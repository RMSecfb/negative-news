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說明" sheetId="1" state="visible" r:id="rId3"/>
    <sheet name="覆核" sheetId="2" state="visible" r:id="rId4"/>
    <sheet name="事件規則" sheetId="3" state="visible" r:id="rId5"/>
  </sheets>
  <definedNames>
    <definedName function="false" hidden="true" localSheetId="1" name="_xlnm._FilterDatabase" vbProcedure="false">覆核!$A$1:$AB$2407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<sst xmlns="http://schemas.openxmlformats.org/spreadsheetml/2006/main" count="26686" uniqueCount="6048">
  <si>
    <r>
      <rPr>
        <b val="true"/>
        <sz val="12"/>
        <rFont val="Noto Sans CJK SC"/>
        <family val="2"/>
      </rPr>
      <t xml:space="preserve">負面新聞離線覆核：第四批（待補分析・</t>
    </r>
    <r>
      <rPr>
        <b val="true"/>
        <sz val="12"/>
        <rFont val="Arial"/>
        <family val="0"/>
        <charset val="1"/>
      </rPr>
      <t xml:space="preserve">FinBERT −0.5</t>
    </r>
    <r>
      <rPr>
        <b val="true"/>
        <sz val="12"/>
        <rFont val="Noto Sans CJK SC"/>
        <family val="2"/>
      </rPr>
      <t xml:space="preserve">～</t>
    </r>
    <r>
      <rPr>
        <b val="true"/>
        <sz val="12"/>
        <rFont val="Arial"/>
        <family val="0"/>
        <charset val="1"/>
      </rPr>
      <t xml:space="preserve">0</t>
    </r>
    <r>
      <rPr>
        <b val="true"/>
        <sz val="12"/>
        <rFont val="Noto Sans CJK SC"/>
        <family val="2"/>
      </rPr>
      <t xml:space="preserve">）</t>
    </r>
  </si>
  <si>
    <r>
      <rPr>
        <sz val="10"/>
        <rFont val="Noto Sans CJK SC"/>
        <family val="2"/>
      </rPr>
      <t xml:space="preserve">產生日期：</t>
    </r>
    <r>
      <rPr>
        <sz val="10"/>
        <rFont val="Arial"/>
        <family val="0"/>
        <charset val="1"/>
      </rPr>
      <t xml:space="preserve">2026-10-26</t>
    </r>
    <r>
      <rPr>
        <sz val="10"/>
        <rFont val="Noto Sans CJK SC"/>
        <family val="2"/>
      </rPr>
      <t xml:space="preserve">　筆數：</t>
    </r>
    <r>
      <rPr>
        <sz val="10"/>
        <rFont val="Arial"/>
        <family val="0"/>
        <charset val="1"/>
      </rPr>
      <t xml:space="preserve">2406</t>
    </r>
    <r>
      <rPr>
        <sz val="10"/>
        <rFont val="Noto Sans CJK SC"/>
        <family val="2"/>
      </rPr>
      <t xml:space="preserve">（全部為「待補分析」且 </t>
    </r>
    <r>
      <rPr>
        <sz val="10"/>
        <rFont val="Arial"/>
        <family val="0"/>
        <charset val="1"/>
      </rPr>
      <t xml:space="preserve">FinBERT </t>
    </r>
    <r>
      <rPr>
        <sz val="10"/>
        <rFont val="Noto Sans CJK SC"/>
        <family val="2"/>
      </rPr>
      <t xml:space="preserve">介於 −</t>
    </r>
    <r>
      <rPr>
        <sz val="10"/>
        <rFont val="Arial"/>
        <family val="0"/>
        <charset val="1"/>
      </rPr>
      <t xml:space="preserve">0.5 </t>
    </r>
    <r>
      <rPr>
        <sz val="10"/>
        <rFont val="Noto Sans CJK SC"/>
        <family val="2"/>
      </rPr>
      <t xml:space="preserve">與 </t>
    </r>
    <r>
      <rPr>
        <sz val="10"/>
        <rFont val="Arial"/>
        <family val="0"/>
        <charset val="1"/>
      </rPr>
      <t xml:space="preserve">0</t>
    </r>
    <r>
      <rPr>
        <sz val="10"/>
        <rFont val="Noto Sans CJK SC"/>
        <family val="2"/>
      </rPr>
      <t xml:space="preserve">，尚無事件代碼；排序由最負面起，後段多為中性的持股異動／目標價文章）</t>
    </r>
  </si>
  <si>
    <t xml:space="preserve">怎麼填（只動黃色欄位）</t>
  </si>
  <si>
    <r>
      <rPr>
        <sz val="10"/>
        <rFont val="Arial"/>
        <family val="0"/>
        <charset val="1"/>
      </rPr>
      <t xml:space="preserve">1. </t>
    </r>
    <r>
      <rPr>
        <sz val="10"/>
        <rFont val="Noto Sans CJK SC"/>
        <family val="2"/>
      </rPr>
      <t xml:space="preserve">最終決定（</t>
    </r>
    <r>
      <rPr>
        <sz val="10"/>
        <rFont val="Arial"/>
        <family val="0"/>
        <charset val="1"/>
      </rPr>
      <t xml:space="preserve">R </t>
    </r>
    <r>
      <rPr>
        <sz val="10"/>
        <rFont val="Noto Sans CJK SC"/>
        <family val="2"/>
      </rPr>
      <t xml:space="preserve">欄）：已預填我的建議。維持＝沿用目前分類；修改＝改成「新事件代碼」；排除＝記為 </t>
    </r>
    <r>
      <rPr>
        <sz val="10"/>
        <rFont val="Arial"/>
        <family val="0"/>
        <charset val="1"/>
      </rPr>
      <t xml:space="preserve">NOT_RELEVANT</t>
    </r>
    <r>
      <rPr>
        <sz val="10"/>
        <rFont val="Noto Sans CJK SC"/>
        <family val="2"/>
      </rPr>
      <t xml:space="preserve">、</t>
    </r>
    <r>
      <rPr>
        <sz val="10"/>
        <rFont val="Arial"/>
        <family val="0"/>
        <charset val="1"/>
      </rPr>
      <t xml:space="preserve">Level 0</t>
    </r>
    <r>
      <rPr>
        <sz val="10"/>
        <rFont val="Noto Sans CJK SC"/>
        <family val="2"/>
      </rPr>
      <t xml:space="preserve">、</t>
    </r>
    <r>
      <rPr>
        <sz val="10"/>
        <rFont val="Arial"/>
        <family val="0"/>
        <charset val="1"/>
      </rPr>
      <t xml:space="preserve">Action</t>
    </r>
    <r>
      <rPr>
        <sz val="10"/>
        <rFont val="Noto Sans CJK SC"/>
        <family val="2"/>
      </rPr>
      <t xml:space="preserve">「排除、不納入風險事件」。</t>
    </r>
  </si>
  <si>
    <r>
      <rPr>
        <sz val="10"/>
        <rFont val="Arial"/>
        <family val="0"/>
        <charset val="1"/>
      </rPr>
      <t xml:space="preserve">2. </t>
    </r>
    <r>
      <rPr>
        <sz val="10"/>
        <rFont val="Noto Sans CJK SC"/>
        <family val="2"/>
      </rPr>
      <t xml:space="preserve">新事件代碼（</t>
    </r>
    <r>
      <rPr>
        <sz val="10"/>
        <rFont val="Arial"/>
        <family val="0"/>
        <charset val="1"/>
      </rPr>
      <t xml:space="preserve">S </t>
    </r>
    <r>
      <rPr>
        <sz val="10"/>
        <rFont val="Noto Sans CJK SC"/>
        <family val="2"/>
      </rPr>
      <t xml:space="preserve">欄）：只有「修改」才需要，從下拉選單選；新事件中文與新 </t>
    </r>
    <r>
      <rPr>
        <sz val="10"/>
        <rFont val="Arial"/>
        <family val="0"/>
        <charset val="1"/>
      </rPr>
      <t xml:space="preserve">Level </t>
    </r>
    <r>
      <rPr>
        <sz val="10"/>
        <rFont val="Noto Sans CJK SC"/>
        <family val="2"/>
      </rPr>
      <t xml:space="preserve">會自動帶出。</t>
    </r>
  </si>
  <si>
    <r>
      <rPr>
        <sz val="10"/>
        <rFont val="Arial"/>
        <family val="0"/>
        <charset val="1"/>
      </rPr>
      <t xml:space="preserve">3. </t>
    </r>
    <r>
      <rPr>
        <sz val="10"/>
        <rFont val="Noto Sans CJK SC"/>
        <family val="2"/>
      </rPr>
      <t xml:space="preserve">更正公司（</t>
    </r>
    <r>
      <rPr>
        <sz val="10"/>
        <rFont val="Arial"/>
        <family val="0"/>
        <charset val="1"/>
      </rPr>
      <t xml:space="preserve">V </t>
    </r>
    <r>
      <rPr>
        <sz val="10"/>
        <rFont val="Noto Sans CJK SC"/>
        <family val="2"/>
      </rPr>
      <t xml:space="preserve">欄）、更正</t>
    </r>
    <r>
      <rPr>
        <sz val="10"/>
        <rFont val="Arial"/>
        <family val="0"/>
        <charset val="1"/>
      </rPr>
      <t xml:space="preserve">Ticker</t>
    </r>
    <r>
      <rPr>
        <sz val="10"/>
        <rFont val="Noto Sans CJK SC"/>
        <family val="2"/>
      </rPr>
      <t xml:space="preserve">（</t>
    </r>
    <r>
      <rPr>
        <sz val="10"/>
        <rFont val="Arial"/>
        <family val="0"/>
        <charset val="1"/>
      </rPr>
      <t xml:space="preserve">W </t>
    </r>
    <r>
      <rPr>
        <sz val="10"/>
        <rFont val="Noto Sans CJK SC"/>
        <family val="2"/>
      </rPr>
      <t xml:space="preserve">欄）：只在公司歸屬錯誤或 </t>
    </r>
    <r>
      <rPr>
        <sz val="10"/>
        <rFont val="Arial"/>
        <family val="0"/>
        <charset val="1"/>
      </rPr>
      <t xml:space="preserve">Ticker </t>
    </r>
    <r>
      <rPr>
        <sz val="10"/>
        <rFont val="Noto Sans CJK SC"/>
        <family val="2"/>
      </rPr>
      <t xml:space="preserve">空白時填寫，空白代表不更正。已依 </t>
    </r>
    <r>
      <rPr>
        <sz val="10"/>
        <rFont val="Arial"/>
        <family val="0"/>
        <charset val="1"/>
      </rPr>
      <t xml:space="preserve">S&amp;P 500 </t>
    </r>
    <r>
      <rPr>
        <sz val="10"/>
        <rFont val="Noto Sans CJK SC"/>
        <family val="2"/>
      </rPr>
      <t xml:space="preserve">清單預填 </t>
    </r>
    <r>
      <rPr>
        <sz val="10"/>
        <rFont val="Arial"/>
        <family val="0"/>
        <charset val="1"/>
      </rPr>
      <t xml:space="preserve">Ticker </t>
    </r>
    <r>
      <rPr>
        <sz val="10"/>
        <rFont val="Noto Sans CJK SC"/>
        <family val="2"/>
      </rPr>
      <t xml:space="preserve">空白的列。</t>
    </r>
  </si>
  <si>
    <r>
      <rPr>
        <sz val="10"/>
        <rFont val="Arial"/>
        <family val="0"/>
        <charset val="1"/>
      </rPr>
      <t xml:space="preserve">4. </t>
    </r>
    <r>
      <rPr>
        <sz val="10"/>
        <rFont val="Noto Sans CJK SC"/>
        <family val="2"/>
      </rPr>
      <t xml:space="preserve">覆核註記（</t>
    </r>
    <r>
      <rPr>
        <sz val="10"/>
        <rFont val="Arial"/>
        <family val="0"/>
        <charset val="1"/>
      </rPr>
      <t xml:space="preserve">Y </t>
    </r>
    <r>
      <rPr>
        <sz val="10"/>
        <rFont val="Noto Sans CJK SC"/>
        <family val="2"/>
      </rPr>
      <t xml:space="preserve">欄）、覆核人（</t>
    </r>
    <r>
      <rPr>
        <sz val="10"/>
        <rFont val="Arial"/>
        <family val="0"/>
        <charset val="1"/>
      </rPr>
      <t xml:space="preserve">Z </t>
    </r>
    <r>
      <rPr>
        <sz val="10"/>
        <rFont val="Noto Sans CJK SC"/>
        <family val="2"/>
      </rPr>
      <t xml:space="preserve">欄）：請填你的姓名；註記可空白。</t>
    </r>
  </si>
  <si>
    <r>
      <rPr>
        <sz val="10"/>
        <rFont val="Arial"/>
        <family val="0"/>
        <charset val="1"/>
      </rPr>
      <t xml:space="preserve">5. </t>
    </r>
    <r>
      <rPr>
        <sz val="10"/>
        <rFont val="Noto Sans CJK SC"/>
        <family val="2"/>
      </rPr>
      <t xml:space="preserve">把握程度為「低」或「建議看原文」為「是」的列（紅字），建議點標題開原文確認。</t>
    </r>
  </si>
  <si>
    <r>
      <rPr>
        <sz val="10"/>
        <rFont val="Arial"/>
        <family val="0"/>
        <charset val="1"/>
      </rPr>
      <t xml:space="preserve">6. </t>
    </r>
    <r>
      <rPr>
        <sz val="10"/>
        <rFont val="Noto Sans CJK SC"/>
        <family val="2"/>
      </rPr>
      <t xml:space="preserve">檢查欄（</t>
    </r>
    <r>
      <rPr>
        <sz val="10"/>
        <rFont val="Arial"/>
        <family val="0"/>
        <charset val="1"/>
      </rPr>
      <t xml:space="preserve">X</t>
    </r>
    <r>
      <rPr>
        <sz val="10"/>
        <rFont val="Noto Sans CJK SC"/>
        <family val="2"/>
      </rPr>
      <t xml:space="preserve">）若出現紅字，表示該列填寫不完整。</t>
    </r>
  </si>
  <si>
    <r>
      <rPr>
        <sz val="10"/>
        <rFont val="Arial"/>
        <family val="0"/>
        <charset val="1"/>
      </rPr>
      <t xml:space="preserve">7. </t>
    </r>
    <r>
      <rPr>
        <sz val="10"/>
        <rFont val="Noto Sans CJK SC"/>
        <family val="2"/>
      </rPr>
      <t xml:space="preserve">不要修改 </t>
    </r>
    <r>
      <rPr>
        <sz val="10"/>
        <rFont val="Arial"/>
        <family val="0"/>
        <charset val="1"/>
      </rPr>
      <t xml:space="preserve">news_id</t>
    </r>
    <r>
      <rPr>
        <sz val="10"/>
        <rFont val="Noto Sans CJK SC"/>
        <family val="2"/>
      </rPr>
      <t xml:space="preserve">、人工版本欄；上傳時靠這兩欄對應與防衝突。</t>
    </r>
  </si>
  <si>
    <r>
      <rPr>
        <sz val="10"/>
        <rFont val="Arial"/>
        <family val="0"/>
        <charset val="1"/>
      </rPr>
      <t xml:space="preserve">8. </t>
    </r>
    <r>
      <rPr>
        <sz val="10"/>
        <rFont val="Noto Sans CJK SC"/>
        <family val="2"/>
      </rPr>
      <t xml:space="preserve">確認後請另存為「檔名</t>
    </r>
    <r>
      <rPr>
        <sz val="10"/>
        <rFont val="Arial"/>
        <family val="0"/>
        <charset val="1"/>
      </rPr>
      <t xml:space="preserve">_</t>
    </r>
    <r>
      <rPr>
        <sz val="10"/>
        <rFont val="Noto Sans CJK SC"/>
        <family val="2"/>
      </rPr>
      <t xml:space="preserve">已確認</t>
    </r>
    <r>
      <rPr>
        <sz val="10"/>
        <rFont val="Arial"/>
        <family val="0"/>
        <charset val="1"/>
      </rPr>
      <t xml:space="preserve">.xlsx</t>
    </r>
    <r>
      <rPr>
        <sz val="10"/>
        <rFont val="Noto Sans CJK SC"/>
        <family val="2"/>
      </rPr>
      <t xml:space="preserve">」。</t>
    </r>
  </si>
  <si>
    <t xml:space="preserve">我的建議統計（即時計算）</t>
  </si>
  <si>
    <t xml:space="preserve">建議維持：</t>
  </si>
  <si>
    <t xml:space="preserve">建議修改：</t>
  </si>
  <si>
    <t xml:space="preserve">建議排除：</t>
  </si>
  <si>
    <t xml:space="preserve">最終決定尚未填寫的列數：</t>
  </si>
  <si>
    <r>
      <rPr>
        <sz val="10"/>
        <rFont val="Noto Sans CJK SC"/>
        <family val="2"/>
      </rPr>
      <t xml:space="preserve">限制：我只看資料中的標題與摘要，沒有逐篇開原文；建議不保證全對，最終由你確認。</t>
    </r>
    <r>
      <rPr>
        <sz val="10"/>
        <rFont val="Arial"/>
        <family val="0"/>
        <charset val="1"/>
      </rPr>
      <t xml:space="preserve">Level </t>
    </r>
    <r>
      <rPr>
        <sz val="10"/>
        <rFont val="Noto Sans CJK SC"/>
        <family val="2"/>
      </rPr>
      <t xml:space="preserve">顏色：</t>
    </r>
    <r>
      <rPr>
        <sz val="10"/>
        <rFont val="Arial"/>
        <family val="0"/>
        <charset val="1"/>
      </rPr>
      <t xml:space="preserve">5 </t>
    </r>
    <r>
      <rPr>
        <sz val="10"/>
        <rFont val="Noto Sans CJK SC"/>
        <family val="2"/>
      </rPr>
      <t xml:space="preserve">紅、</t>
    </r>
    <r>
      <rPr>
        <sz val="10"/>
        <rFont val="Arial"/>
        <family val="0"/>
        <charset val="1"/>
      </rPr>
      <t xml:space="preserve">4 </t>
    </r>
    <r>
      <rPr>
        <sz val="10"/>
        <rFont val="Noto Sans CJK SC"/>
        <family val="2"/>
      </rPr>
      <t xml:space="preserve">橘、</t>
    </r>
    <r>
      <rPr>
        <sz val="10"/>
        <rFont val="Arial"/>
        <family val="0"/>
        <charset val="1"/>
      </rPr>
      <t xml:space="preserve">3 </t>
    </r>
    <r>
      <rPr>
        <sz val="10"/>
        <rFont val="Noto Sans CJK SC"/>
        <family val="2"/>
      </rPr>
      <t xml:space="preserve">黃、</t>
    </r>
    <r>
      <rPr>
        <sz val="10"/>
        <rFont val="Arial"/>
        <family val="0"/>
        <charset val="1"/>
      </rPr>
      <t xml:space="preserve">2 </t>
    </r>
    <r>
      <rPr>
        <sz val="10"/>
        <rFont val="Noto Sans CJK SC"/>
        <family val="2"/>
      </rPr>
      <t xml:space="preserve">淡藍、</t>
    </r>
    <r>
      <rPr>
        <sz val="10"/>
        <rFont val="Arial"/>
        <family val="0"/>
        <charset val="1"/>
      </rPr>
      <t xml:space="preserve">1 </t>
    </r>
    <r>
      <rPr>
        <sz val="10"/>
        <rFont val="Noto Sans CJK SC"/>
        <family val="2"/>
      </rPr>
      <t xml:space="preserve">淺灰、</t>
    </r>
    <r>
      <rPr>
        <sz val="10"/>
        <rFont val="Arial"/>
        <family val="0"/>
        <charset val="1"/>
      </rPr>
      <t xml:space="preserve">0 </t>
    </r>
    <r>
      <rPr>
        <sz val="10"/>
        <rFont val="Noto Sans CJK SC"/>
        <family val="2"/>
      </rPr>
      <t xml:space="preserve">深灰。</t>
    </r>
  </si>
  <si>
    <t xml:space="preserve">序號</t>
  </si>
  <si>
    <t xml:space="preserve">日期</t>
  </si>
  <si>
    <t xml:space="preserve">Ticker</t>
  </si>
  <si>
    <t xml:space="preserve">公司</t>
  </si>
  <si>
    <t xml:space="preserve">標題（點擊開原文）</t>
  </si>
  <si>
    <t xml:space="preserve">中文標題／摘要</t>
  </si>
  <si>
    <t xml:space="preserve">來源</t>
  </si>
  <si>
    <t xml:space="preserve">FinBERT</t>
  </si>
  <si>
    <t xml:space="preserve">目前事件代碼</t>
  </si>
  <si>
    <t xml:space="preserve">目前事件中文</t>
  </si>
  <si>
    <r>
      <rPr>
        <b val="true"/>
        <sz val="10"/>
        <color rgb="FFFFFFFF"/>
        <rFont val="Noto Sans CJK SC"/>
        <family val="2"/>
      </rPr>
      <t xml:space="preserve">目前</t>
    </r>
    <r>
      <rPr>
        <b val="true"/>
        <sz val="10"/>
        <color rgb="FFFFFFFF"/>
        <rFont val="Arial"/>
        <family val="0"/>
        <charset val="1"/>
      </rPr>
      <t xml:space="preserve">Level</t>
    </r>
  </si>
  <si>
    <t xml:space="preserve">目前分類狀態</t>
  </si>
  <si>
    <t xml:space="preserve">建議</t>
  </si>
  <si>
    <t xml:space="preserve">建議事件代碼</t>
  </si>
  <si>
    <t xml:space="preserve">把握程度</t>
  </si>
  <si>
    <t xml:space="preserve">理由</t>
  </si>
  <si>
    <t xml:space="preserve">建議看原文</t>
  </si>
  <si>
    <t xml:space="preserve">最終決定</t>
  </si>
  <si>
    <t xml:space="preserve">新事件代碼</t>
  </si>
  <si>
    <t xml:space="preserve">新事件中文</t>
  </si>
  <si>
    <r>
      <rPr>
        <b val="true"/>
        <sz val="10"/>
        <color rgb="FFFFFFFF"/>
        <rFont val="Noto Sans CJK SC"/>
        <family val="2"/>
      </rPr>
      <t xml:space="preserve">新</t>
    </r>
    <r>
      <rPr>
        <b val="true"/>
        <sz val="10"/>
        <color rgb="FFFFFFFF"/>
        <rFont val="Arial"/>
        <family val="0"/>
        <charset val="1"/>
      </rPr>
      <t xml:space="preserve">Level</t>
    </r>
  </si>
  <si>
    <t xml:space="preserve">更正公司</t>
  </si>
  <si>
    <r>
      <rPr>
        <b val="true"/>
        <sz val="10"/>
        <color rgb="FFFFFFFF"/>
        <rFont val="Noto Sans CJK SC"/>
        <family val="2"/>
      </rPr>
      <t xml:space="preserve">更正</t>
    </r>
    <r>
      <rPr>
        <b val="true"/>
        <sz val="10"/>
        <color rgb="FFFFFFFF"/>
        <rFont val="Arial"/>
        <family val="0"/>
        <charset val="1"/>
      </rPr>
      <t xml:space="preserve">Ticker</t>
    </r>
  </si>
  <si>
    <t xml:space="preserve">檢查</t>
  </si>
  <si>
    <t xml:space="preserve">覆核註記</t>
  </si>
  <si>
    <t xml:space="preserve">覆核人</t>
  </si>
  <si>
    <t xml:space="preserve">news_id</t>
  </si>
  <si>
    <t xml:space="preserve">人工版本</t>
  </si>
  <si>
    <t xml:space="preserve">2026-10-24</t>
  </si>
  <si>
    <t xml:space="preserve">WFC</t>
  </si>
  <si>
    <t xml:space="preserve">Wells Fargo</t>
  </si>
  <si>
    <t xml:space="preserve">Wells Fargo (WFC) Stock Could Be 34% Undervalued After AI Leadership Moves</t>
  </si>
  <si>
    <t xml:space="preserve">Yahoo Finance</t>
  </si>
  <si>
    <t xml:space="preserve">待補分析</t>
  </si>
  <si>
    <t xml:space="preserve">排除</t>
  </si>
  <si>
    <t xml:space="preserve">中</t>
  </si>
  <si>
    <t xml:space="preserve">非公司風險事件：持股異動、目標價調整、財報預告、體育／娛樂、犯罪或意外新聞、同名誤配或評論文章。</t>
  </si>
  <si>
    <t xml:space="preserve">82922e61a1c6bff9c580d29a</t>
  </si>
  <si>
    <t xml:space="preserve">2026-10-25</t>
  </si>
  <si>
    <t xml:space="preserve">BLDR</t>
  </si>
  <si>
    <t xml:space="preserve">Builders FirstSource</t>
  </si>
  <si>
    <t xml:space="preserve">Will Weaker Earnings Expectations Change Builders FirstSource (BLDR) Stock Narrative</t>
  </si>
  <si>
    <t xml:space="preserve">Simply Wall Street</t>
  </si>
  <si>
    <t xml:space="preserve">7a35a88b5fcb7e6fc6bcb13a</t>
  </si>
  <si>
    <t xml:space="preserve">HUM</t>
  </si>
  <si>
    <t xml:space="preserve">Humana</t>
  </si>
  <si>
    <t xml:space="preserve">Mark Cuban’s Cost Plus Drugs teams up with Humana on employer drug costs; resident physician burnout hits three-year low; symptom-based dosing gets opioid-exposed newborns home sooner – Morning Medical Update</t>
  </si>
  <si>
    <t xml:space="preserve">Medical Economics</t>
  </si>
  <si>
    <t xml:space="preserve">b8f7b88a5d078eb7aa575902</t>
  </si>
  <si>
    <t xml:space="preserve">WDC</t>
  </si>
  <si>
    <t xml:space="preserve">Western Digital</t>
  </si>
  <si>
    <t xml:space="preserve">WDC Maintained by UBS -- Price Target Lowered to $435</t>
  </si>
  <si>
    <t xml:space="preserve">GuruFocus</t>
  </si>
  <si>
    <t xml:space="preserve">f2afa5a353f46d47ecdb197a</t>
  </si>
  <si>
    <t xml:space="preserve">CME</t>
  </si>
  <si>
    <t xml:space="preserve">CME Group</t>
  </si>
  <si>
    <t xml:space="preserve">Hyperliquid’s Yan and CME’s Duffy Split Over Who Must Bear US Compliance</t>
  </si>
  <si>
    <t xml:space="preserve">Cryptonews.net</t>
  </si>
  <si>
    <t xml:space="preserve">8170ad104df5a4a311da4374</t>
  </si>
  <si>
    <t xml:space="preserve">COO</t>
  </si>
  <si>
    <t xml:space="preserve">Cooper Companies (The)</t>
  </si>
  <si>
    <t xml:space="preserve">Xbox COO and ex-Minecraft boss leaves Microsoft after just 3 months in the role</t>
  </si>
  <si>
    <t xml:space="preserve">GamesRadar+</t>
  </si>
  <si>
    <t xml:space="preserve">ccb104012dd4d8c4b64f134c</t>
  </si>
  <si>
    <t xml:space="preserve">2026-10-26</t>
  </si>
  <si>
    <t xml:space="preserve">Xbox’s first COO leaves after three months: report</t>
  </si>
  <si>
    <t xml:space="preserve">The Daily Star</t>
  </si>
  <si>
    <t xml:space="preserve">d1c92b2be9c7ae2a43396dcc</t>
  </si>
  <si>
    <t xml:space="preserve">PHM</t>
  </si>
  <si>
    <t xml:space="preserve">PulteGroup</t>
  </si>
  <si>
    <t xml:space="preserve">PHM Maintained by UBS -- Price Target Lowered to $162</t>
  </si>
  <si>
    <t xml:space="preserve">6b52146d0b41b5fe833b3472</t>
  </si>
  <si>
    <t xml:space="preserve">Xbox’s First COO Helen Chiang Departs Just Three Months After Taking the Job</t>
  </si>
  <si>
    <t xml:space="preserve">SSBCrack</t>
  </si>
  <si>
    <t xml:space="preserve">3b158383cd6686e283850701</t>
  </si>
  <si>
    <t xml:space="preserve">AAPL</t>
  </si>
  <si>
    <t xml:space="preserve">Apple Inc.</t>
  </si>
  <si>
    <t xml:space="preserve">Apple Inc. $AAPL Stock Position Lowered by GEM Asset Management LLC</t>
  </si>
  <si>
    <t xml:space="preserve">MarketBeat</t>
  </si>
  <si>
    <t xml:space="preserve">70ec1fbfcadf025a66d7c5ff</t>
  </si>
  <si>
    <t xml:space="preserve">DRI</t>
  </si>
  <si>
    <t xml:space="preserve">Darden Restaurants</t>
  </si>
  <si>
    <t xml:space="preserve">DRI seizes 1.136 kg of suspected methamphetamine from Bhopal-Hyderabad bus</t>
  </si>
  <si>
    <t xml:space="preserve">Telangana Today</t>
  </si>
  <si>
    <t xml:space="preserve">71cca5c84d952ba21e87e0b9</t>
  </si>
  <si>
    <t xml:space="preserve">VICI</t>
  </si>
  <si>
    <t xml:space="preserve">Vici Properties</t>
  </si>
  <si>
    <t xml:space="preserve">VICI Properties Inc. (VICI) Declines More Than Market: Some Information for Investors</t>
  </si>
  <si>
    <t xml:space="preserve">Yahoo Finance Australia</t>
  </si>
  <si>
    <t xml:space="preserve">d415eb0b3996e0d277284619</t>
  </si>
  <si>
    <t xml:space="preserve">MSI</t>
  </si>
  <si>
    <t xml:space="preserve">Motorola Solutions</t>
  </si>
  <si>
    <t xml:space="preserve">‘Lynch syndrome behind half of cancer tumours with MSI’</t>
  </si>
  <si>
    <t xml:space="preserve">The Times of India</t>
  </si>
  <si>
    <t xml:space="preserve">a3cd87143b818fb503912f48</t>
  </si>
  <si>
    <t xml:space="preserve">2026-10-23</t>
  </si>
  <si>
    <t xml:space="preserve">SNDK</t>
  </si>
  <si>
    <t xml:space="preserve">Sandisk</t>
  </si>
  <si>
    <t xml:space="preserve">Micron, Sandisk gain as SK Hynix scraps Solidigm IPO, LYNX says</t>
  </si>
  <si>
    <t xml:space="preserve">Investing.com</t>
  </si>
  <si>
    <t xml:space="preserve">82c227171f04eb0cc21c5b70</t>
  </si>
  <si>
    <t xml:space="preserve">NVDA</t>
  </si>
  <si>
    <t xml:space="preserve">Nvidia</t>
  </si>
  <si>
    <t xml:space="preserve">SpaceX’s $40 Billion Nvidia Financing Faces Higher Borrowing Costs</t>
  </si>
  <si>
    <t xml:space="preserve">TOKENPOST</t>
  </si>
  <si>
    <t xml:space="preserve">65d95ddfc4b5f80ae0412d4e</t>
  </si>
  <si>
    <t xml:space="preserve">URI</t>
  </si>
  <si>
    <t xml:space="preserve">United Rentals</t>
  </si>
  <si>
    <t xml:space="preserve">United Rentals (URI) Could Be 13% Undervalued Following Its Strong Q3 And Higher 2026 Outlook</t>
  </si>
  <si>
    <t xml:space="preserve">601bfe69e560326c744bc3e4</t>
  </si>
  <si>
    <t xml:space="preserve">HONA</t>
  </si>
  <si>
    <t xml:space="preserve">Honeywell Aerospace</t>
  </si>
  <si>
    <t xml:space="preserve">SHAREHOLDER ALERT: Bronstein Gewirtz &amp; Grossman, LLC Announces Class Action Against Honeywell Aerospace, Inc. (NASDAQ: HONA) — Investors Who Suffered Losses Are Encouraged to Contact the Firm.</t>
  </si>
  <si>
    <t xml:space="preserve">WBOC TV</t>
  </si>
  <si>
    <t xml:space="preserve">修改</t>
  </si>
  <si>
    <t xml:space="preserve">MAJOR_LITIGATION</t>
  </si>
  <si>
    <r>
      <rPr>
        <sz val="10"/>
        <rFont val="Noto Sans CJK SC"/>
        <family val="2"/>
      </rPr>
      <t xml:space="preserve">律所公告集體訴訟（</t>
    </r>
    <r>
      <rPr>
        <sz val="10"/>
        <rFont val="Arial"/>
        <family val="0"/>
        <charset val="1"/>
      </rPr>
      <t xml:space="preserve">Honeywell Aerospace</t>
    </r>
    <r>
      <rPr>
        <sz val="10"/>
        <rFont val="Noto Sans CJK SC"/>
        <family val="2"/>
      </rPr>
      <t xml:space="preserve">／</t>
    </r>
    <r>
      <rPr>
        <sz val="10"/>
        <rFont val="Arial"/>
        <family val="0"/>
        <charset val="1"/>
      </rPr>
      <t xml:space="preserve">Bank of America</t>
    </r>
    <r>
      <rPr>
        <sz val="10"/>
        <rFont val="Noto Sans CJK SC"/>
        <family val="2"/>
      </rPr>
      <t xml:space="preserve">）。</t>
    </r>
  </si>
  <si>
    <t xml:space="preserve">3d18c7c523210eaddbc49e39</t>
  </si>
  <si>
    <t xml:space="preserve">TROW</t>
  </si>
  <si>
    <t xml:space="preserve">T. Rowe Price</t>
  </si>
  <si>
    <t xml:space="preserve">Why T. Rowe Price Group (TROW) Could Be 2% Undervalued Following Wealth Platform Expansion</t>
  </si>
  <si>
    <t xml:space="preserve">d71953157a71a04e30a35a03</t>
  </si>
  <si>
    <t xml:space="preserve">CVS</t>
  </si>
  <si>
    <t xml:space="preserve">CVS Health</t>
  </si>
  <si>
    <t xml:space="preserve">CVS Health stock trades 0.19 percent below Xetra close</t>
  </si>
  <si>
    <t xml:space="preserve">ad-hoc-news.de</t>
  </si>
  <si>
    <t xml:space="preserve">f96cc6379b3025a19bbf606c</t>
  </si>
  <si>
    <t xml:space="preserve">AXP</t>
  </si>
  <si>
    <t xml:space="preserve">American Express</t>
  </si>
  <si>
    <t xml:space="preserve">American Express touts AI, plans 5% downsizing</t>
  </si>
  <si>
    <t xml:space="preserve">American Banker</t>
  </si>
  <si>
    <t xml:space="preserve">WORKFORCE_REDUCTION</t>
  </si>
  <si>
    <r>
      <rPr>
        <sz val="10"/>
        <rFont val="Noto Sans CJK SC"/>
        <family val="2"/>
      </rPr>
      <t xml:space="preserve">美國運通／</t>
    </r>
    <r>
      <rPr>
        <sz val="10"/>
        <rFont val="Arial"/>
        <family val="0"/>
        <charset val="1"/>
      </rPr>
      <t xml:space="preserve">Netflix </t>
    </r>
    <r>
      <rPr>
        <sz val="10"/>
        <rFont val="Noto Sans CJK SC"/>
        <family val="2"/>
      </rPr>
      <t xml:space="preserve">裁員報導。</t>
    </r>
  </si>
  <si>
    <t xml:space="preserve">0337dd7ed3f618ea82d6603e</t>
  </si>
  <si>
    <t xml:space="preserve">APP</t>
  </si>
  <si>
    <t xml:space="preserve">AppLovin</t>
  </si>
  <si>
    <t xml:space="preserve">AppLovin (APP) - Portfolio Killers: 10 US stocks that wiped out up to 66% of investors’ wealth in 2026</t>
  </si>
  <si>
    <t xml:space="preserve">The Economic Times</t>
  </si>
  <si>
    <t xml:space="preserve">2d64e954212fc2456cbb5ce3</t>
  </si>
  <si>
    <t xml:space="preserve">MDT</t>
  </si>
  <si>
    <t xml:space="preserve">Medtronic</t>
  </si>
  <si>
    <t xml:space="preserve">Tornado Warning for Parts of Otero County, New Mexico, Until 5 PM MDT</t>
  </si>
  <si>
    <t xml:space="preserve">cedarnews.net</t>
  </si>
  <si>
    <t xml:space="preserve">5366c8cc63a57e783eeb1c63</t>
  </si>
  <si>
    <t xml:space="preserve">APH</t>
  </si>
  <si>
    <t xml:space="preserve">Amphenol</t>
  </si>
  <si>
    <t xml:space="preserve">What Is Weighing on Amphenol (NYSE:APH)?</t>
  </si>
  <si>
    <t xml:space="preserve">Kalkine Media</t>
  </si>
  <si>
    <t xml:space="preserve">504a75218195480ec2e5b172</t>
  </si>
  <si>
    <t xml:space="preserve">CMCSA</t>
  </si>
  <si>
    <t xml:space="preserve">Comcast</t>
  </si>
  <si>
    <t xml:space="preserve">Comcast Q3: This Could Be The Bottom (NASDAQ:CMCSA)</t>
  </si>
  <si>
    <t xml:space="preserve">Seeking Alpha</t>
  </si>
  <si>
    <t xml:space="preserve">7e7d5ba9868754d879a3a344</t>
  </si>
  <si>
    <t xml:space="preserve">SLB</t>
  </si>
  <si>
    <t xml:space="preserve">Schlumberger</t>
  </si>
  <si>
    <t xml:space="preserve">SLB (SLB) Stock Rallies While Q3 Results Expose Margin Squeeze</t>
  </si>
  <si>
    <t xml:space="preserve">2ac10d2e9f0f20bb4c15605e</t>
  </si>
  <si>
    <t xml:space="preserve">RBC Capital maintains Outperform rating on United Rentals, $1392 price target</t>
  </si>
  <si>
    <t xml:space="preserve">TradingView</t>
  </si>
  <si>
    <t xml:space="preserve">3f538c166892e7ea58c68304</t>
  </si>
  <si>
    <t xml:space="preserve">NFLX</t>
  </si>
  <si>
    <t xml:space="preserve">Netflix</t>
  </si>
  <si>
    <t xml:space="preserve">Netflix Stock Tanks 5% as Revenue Growth Slows in Q3. How to Play NFLX Here.</t>
  </si>
  <si>
    <t xml:space="preserve">PRICE_MOVEMENT</t>
  </si>
  <si>
    <r>
      <rPr>
        <sz val="10"/>
        <rFont val="Arial"/>
        <family val="0"/>
        <charset val="1"/>
      </rPr>
      <t xml:space="preserve">Netflix </t>
    </r>
    <r>
      <rPr>
        <sz val="10"/>
        <rFont val="Noto Sans CJK SC"/>
        <family val="2"/>
      </rPr>
      <t xml:space="preserve">因營收成長放緩股價跌 </t>
    </r>
    <r>
      <rPr>
        <sz val="10"/>
        <rFont val="Arial"/>
        <family val="0"/>
        <charset val="1"/>
      </rPr>
      <t xml:space="preserve">5%</t>
    </r>
    <r>
      <rPr>
        <sz val="10"/>
        <rFont val="Noto Sans CJK SC"/>
        <family val="2"/>
      </rPr>
      <t xml:space="preserve">。</t>
    </r>
  </si>
  <si>
    <t xml:space="preserve">0f9c6dfb391301d7c6193d34</t>
  </si>
  <si>
    <t xml:space="preserve">AWK</t>
  </si>
  <si>
    <t xml:space="preserve">American Water Works</t>
  </si>
  <si>
    <t xml:space="preserve">American Water Works Company (AWK) Updates Desalination Plans, Is The Stock Now Too Pricey?</t>
  </si>
  <si>
    <t xml:space="preserve">07718f5171df3e770ca0b109</t>
  </si>
  <si>
    <t xml:space="preserve">COIN</t>
  </si>
  <si>
    <t xml:space="preserve">Coinbase</t>
  </si>
  <si>
    <t xml:space="preserve">CoinDCX belatedly admits latest heist; Ireland fines Coinbase anew</t>
  </si>
  <si>
    <t xml:space="preserve">CoinGeek</t>
  </si>
  <si>
    <t xml:space="preserve">REGULATORY_PENALTY</t>
  </si>
  <si>
    <t xml:space="preserve">高</t>
  </si>
  <si>
    <r>
      <rPr>
        <sz val="10"/>
        <rFont val="Arial"/>
        <family val="0"/>
        <charset val="1"/>
      </rPr>
      <t xml:space="preserve">Coinbase </t>
    </r>
    <r>
      <rPr>
        <sz val="10"/>
        <rFont val="Noto Sans CJK SC"/>
        <family val="2"/>
      </rPr>
      <t xml:space="preserve">愛爾蘭子公司再度被罰。</t>
    </r>
  </si>
  <si>
    <t xml:space="preserve">5d5f1c6490c028dfea6801b3</t>
  </si>
  <si>
    <t xml:space="preserve">SYK</t>
  </si>
  <si>
    <t xml:space="preserve">Stryker Corporation</t>
  </si>
  <si>
    <t xml:space="preserve">Stryker Corporation $SYK Position Lowered by Investment House LLC</t>
  </si>
  <si>
    <t xml:space="preserve">08c6fb79a1140793fd343694</t>
  </si>
  <si>
    <t xml:space="preserve">Jefferies reiterates Hold on American Express stock after earnings beat</t>
  </si>
  <si>
    <t xml:space="preserve">28027865d7aa18661c930211</t>
  </si>
  <si>
    <t xml:space="preserve">BA</t>
  </si>
  <si>
    <t xml:space="preserve">Boeing</t>
  </si>
  <si>
    <t xml:space="preserve">Caught On Camera: Jet2 Boeing 737-800 Veers Off Runway At Birmingham Airport</t>
  </si>
  <si>
    <t xml:space="preserve">Simple Flying</t>
  </si>
  <si>
    <t xml:space="preserve">dd741a300e22e32f57e769bc</t>
  </si>
  <si>
    <t xml:space="preserve">PSA</t>
  </si>
  <si>
    <t xml:space="preserve">Public Storage</t>
  </si>
  <si>
    <t xml:space="preserve">DEBATE: Who’s to Blame for the PSA Card Heist? | PTN 009</t>
  </si>
  <si>
    <t xml:space="preserve">Yahoo Sports</t>
  </si>
  <si>
    <t xml:space="preserve">05e131d6dacc0865541fbe70</t>
  </si>
  <si>
    <t xml:space="preserve">HSY</t>
  </si>
  <si>
    <t xml:space="preserve">Hershey Company (The)</t>
  </si>
  <si>
    <t xml:space="preserve">Is Earnings Optimism Altering The Investment Case For Hershey Stock (HSY)?</t>
  </si>
  <si>
    <t xml:space="preserve">a0faf2afed1888ba818a812a</t>
  </si>
  <si>
    <t xml:space="preserve">‘Hulu or Netflix series’ coming: Joe Concha torches Omar over fraud inquiries, citizenship questions, and vanished millions</t>
  </si>
  <si>
    <t xml:space="preserve">Washington Examiner</t>
  </si>
  <si>
    <t xml:space="preserve">dcfb926e6d1864421784f33b</t>
  </si>
  <si>
    <t xml:space="preserve">DLR</t>
  </si>
  <si>
    <t xml:space="preserve">Digital Realty</t>
  </si>
  <si>
    <t xml:space="preserve">Digital Realty Trust, Inc. $DLR Stock Position Lessened by Integrated Advisors Network LLC</t>
  </si>
  <si>
    <t xml:space="preserve">b4bbc3d63f1271231ba4c3c5</t>
  </si>
  <si>
    <t xml:space="preserve">JBHT</t>
  </si>
  <si>
    <t xml:space="preserve">J.B. Hunt</t>
  </si>
  <si>
    <t xml:space="preserve">J.B. Hunt (JBHT) Q3 Results Flag A Margin Repair Challenge</t>
  </si>
  <si>
    <t xml:space="preserve">23ade0c82513adccf182eb54</t>
  </si>
  <si>
    <t xml:space="preserve">CBRE</t>
  </si>
  <si>
    <t xml:space="preserve">CBRE Group</t>
  </si>
  <si>
    <t xml:space="preserve">Boyd Gaming price target lowered to $85 from $100 at CBRE</t>
  </si>
  <si>
    <t xml:space="preserve">TipRanks</t>
  </si>
  <si>
    <t xml:space="preserve">56f14c8c6bc1d3d6ce0c747c</t>
  </si>
  <si>
    <t xml:space="preserve">BMY</t>
  </si>
  <si>
    <t xml:space="preserve">Bristol Myers Squibb</t>
  </si>
  <si>
    <t xml:space="preserve">What's Going On with Bristol Myers Squibb Stock on Friday?</t>
  </si>
  <si>
    <t xml:space="preserve">Benzinga</t>
  </si>
  <si>
    <t xml:space="preserve">0e2d7980109642c9041d7509</t>
  </si>
  <si>
    <t xml:space="preserve">Wells Fargo’s Ohsung Kwon: We turn cautious on semis heading into September</t>
  </si>
  <si>
    <t xml:space="preserve">CNBC</t>
  </si>
  <si>
    <t xml:space="preserve">780410be901dd6e960484274</t>
  </si>
  <si>
    <t xml:space="preserve">CME-Backed Group Pushes Back on Kalshi as Phantom Rolls Out Prediction Markets</t>
  </si>
  <si>
    <t xml:space="preserve">a50caa3ff5c73921e9f3d508</t>
  </si>
  <si>
    <t xml:space="preserve">UBER</t>
  </si>
  <si>
    <t xml:space="preserve">Uber</t>
  </si>
  <si>
    <t xml:space="preserve">What Should You Do if an Uber Driver Wants to Make a Suspicious Stop?</t>
  </si>
  <si>
    <t xml:space="preserve">Attack of the Fanboy</t>
  </si>
  <si>
    <t xml:space="preserve">a91b469979c4f5defad0ac1a</t>
  </si>
  <si>
    <t xml:space="preserve">Wells Fargo Also Says No as 22 U.S. Companies Oppose Stock Tokenization</t>
  </si>
  <si>
    <t xml:space="preserve">bloomingbit</t>
  </si>
  <si>
    <t xml:space="preserve">6c900c829f452f3aa89b2c7c</t>
  </si>
  <si>
    <t xml:space="preserve">MS</t>
  </si>
  <si>
    <t xml:space="preserve">Morgan Stanley</t>
  </si>
  <si>
    <t xml:space="preserve">Morgan Stanley (MS) Dropped, So What Is Behind The Latest Attention?</t>
  </si>
  <si>
    <t xml:space="preserve">5274965613d454480c0d8ef3</t>
  </si>
  <si>
    <t xml:space="preserve">GPN</t>
  </si>
  <si>
    <t xml:space="preserve">Global Payments</t>
  </si>
  <si>
    <t xml:space="preserve">A Look at Global Payments Inc (GPN) After 3.6% Decline -- GF Val</t>
  </si>
  <si>
    <t xml:space="preserve">1263cc60fad2ae3577a8e7f0</t>
  </si>
  <si>
    <t xml:space="preserve">CBRE Maintains Outperform Rating -- Price Target Lowered to $166</t>
  </si>
  <si>
    <t xml:space="preserve">bbd8811c512819ccd7e3f19e</t>
  </si>
  <si>
    <t xml:space="preserve">SMCI</t>
  </si>
  <si>
    <t xml:space="preserve">Supermicro</t>
  </si>
  <si>
    <t xml:space="preserve">Why Did Super Micro Computer (NASDAQ:SMCI) Face Pressure?</t>
  </si>
  <si>
    <t xml:space="preserve">608a8a09c7aa01525616bda3</t>
  </si>
  <si>
    <t xml:space="preserve">ELV</t>
  </si>
  <si>
    <t xml:space="preserve">Elevance Health</t>
  </si>
  <si>
    <t xml:space="preserve">Elevance Health (ELV) Stock Rallies As Q3 Results Tighten Margin Focus</t>
  </si>
  <si>
    <t xml:space="preserve">66848641655f0cd91376214c</t>
  </si>
  <si>
    <t xml:space="preserve">GS</t>
  </si>
  <si>
    <t xml:space="preserve">Goldman Sachs</t>
  </si>
  <si>
    <t xml:space="preserve">Goldman Sachs CEO David Solomon is optimistic about AI. Most of America disagrees.</t>
  </si>
  <si>
    <t xml:space="preserve">NBC News</t>
  </si>
  <si>
    <t xml:space="preserve">b84f469ec84cad3bc05acd70</t>
  </si>
  <si>
    <t xml:space="preserve">MRVL</t>
  </si>
  <si>
    <t xml:space="preserve">Marvell Technology</t>
  </si>
  <si>
    <t xml:space="preserve">What Is Going On With Marvell Technology Stock on Friday?</t>
  </si>
  <si>
    <t xml:space="preserve">111023964c42463cc79fd26e</t>
  </si>
  <si>
    <t xml:space="preserve">Incyte</t>
  </si>
  <si>
    <t xml:space="preserve">Incyte Gears Up to Report Q3 Earnings: Will Results Disappoint?</t>
  </si>
  <si>
    <t xml:space="preserve">0cb6fd454da71258930cbfaf</t>
  </si>
  <si>
    <t xml:space="preserve">Blackstone Inc.</t>
  </si>
  <si>
    <t xml:space="preserve">KBW：將黑石集團目標價下調至119美元</t>
  </si>
  <si>
    <r>
      <rPr>
        <sz val="10"/>
        <rFont val="Arial"/>
        <family val="0"/>
        <charset val="1"/>
      </rPr>
      <t xml:space="preserve">KBW</t>
    </r>
    <r>
      <rPr>
        <sz val="10"/>
        <rFont val="Noto Sans CJK SC"/>
        <family val="2"/>
      </rPr>
      <t xml:space="preserve">：將黑石集團目標價下調至</t>
    </r>
    <r>
      <rPr>
        <sz val="10"/>
        <rFont val="Arial"/>
        <family val="0"/>
        <charset val="1"/>
      </rPr>
      <t xml:space="preserve">119</t>
    </r>
    <r>
      <rPr>
        <sz val="10"/>
        <rFont val="Noto Sans CJK SC"/>
        <family val="2"/>
      </rPr>
      <t xml:space="preserve">美元</t>
    </r>
  </si>
  <si>
    <t xml:space="preserve">2d2af2e936f0977ce4233486</t>
  </si>
  <si>
    <t xml:space="preserve">TXT</t>
  </si>
  <si>
    <t xml:space="preserve">Textron</t>
  </si>
  <si>
    <t xml:space="preserve">TXT Members Seemingly Address Soobin’s “Gay Deepfakes”</t>
  </si>
  <si>
    <t xml:space="preserve">Koreaboo</t>
  </si>
  <si>
    <t xml:space="preserve">38087ce1c7dd4696e7307fae</t>
  </si>
  <si>
    <t xml:space="preserve">BLK</t>
  </si>
  <si>
    <t xml:space="preserve">BlackRock</t>
  </si>
  <si>
    <t xml:space="preserve">Corporate credit income eclipses rate-cut hopes: BlackRock</t>
  </si>
  <si>
    <t xml:space="preserve">Financial Newswire</t>
  </si>
  <si>
    <t xml:space="preserve">e3fb3679da5d2a9cb69c4701</t>
  </si>
  <si>
    <t xml:space="preserve">TGT</t>
  </si>
  <si>
    <t xml:space="preserve">Target Corporation</t>
  </si>
  <si>
    <t xml:space="preserve">UP TGT Cut Off Marks 2026, Previous Year Cut-Off Marks (Subject Wise)</t>
  </si>
  <si>
    <t xml:space="preserve">Career Power</t>
  </si>
  <si>
    <t xml:space="preserve">5d56369e5e34bd13474930cd</t>
  </si>
  <si>
    <t xml:space="preserve">IRM</t>
  </si>
  <si>
    <t xml:space="preserve">Iron Mountain</t>
  </si>
  <si>
    <t xml:space="preserve">Does Q3 Earnings Outlook Change The Bull Case For Iron Mountain Stock (IRM)?</t>
  </si>
  <si>
    <t xml:space="preserve">d3d9a63e4d21d7c170494201</t>
  </si>
  <si>
    <t xml:space="preserve">MSFT</t>
  </si>
  <si>
    <t xml:space="preserve">Microsoft</t>
  </si>
  <si>
    <t xml:space="preserve">ISMG Editors: Stolen Vendor API Secret Exposes Microsoft 365</t>
  </si>
  <si>
    <t xml:space="preserve">BankInfoSecurity</t>
  </si>
  <si>
    <t xml:space="preserve">CYBER_ATTACK</t>
  </si>
  <si>
    <r>
      <rPr>
        <sz val="10"/>
        <rFont val="Noto Sans CJK SC"/>
        <family val="2"/>
      </rPr>
      <t xml:space="preserve">廠商 </t>
    </r>
    <r>
      <rPr>
        <sz val="10"/>
        <rFont val="Arial"/>
        <family val="0"/>
        <charset val="1"/>
      </rPr>
      <t xml:space="preserve">API </t>
    </r>
    <r>
      <rPr>
        <sz val="10"/>
        <rFont val="Noto Sans CJK SC"/>
        <family val="2"/>
      </rPr>
      <t xml:space="preserve">金鑰遭竊使 </t>
    </r>
    <r>
      <rPr>
        <sz val="10"/>
        <rFont val="Arial"/>
        <family val="0"/>
        <charset val="1"/>
      </rPr>
      <t xml:space="preserve">Microsoft 365 </t>
    </r>
    <r>
      <rPr>
        <sz val="10"/>
        <rFont val="Noto Sans CJK SC"/>
        <family val="2"/>
      </rPr>
      <t xml:space="preserve">曝險。</t>
    </r>
  </si>
  <si>
    <t xml:space="preserve">09a706ef329117960bc19ca2</t>
  </si>
  <si>
    <t xml:space="preserve">FAA Mandates Inspections on Nearly 2,000 Boeing 737 NGs Over Horizontal Stabilizer Oscillations</t>
  </si>
  <si>
    <t xml:space="preserve">Aviación al Día</t>
  </si>
  <si>
    <t xml:space="preserve">PRODUCT_DEFECT</t>
  </si>
  <si>
    <r>
      <rPr>
        <sz val="10"/>
        <rFont val="Arial"/>
        <family val="0"/>
        <charset val="1"/>
      </rPr>
      <t xml:space="preserve">FAA </t>
    </r>
    <r>
      <rPr>
        <sz val="10"/>
        <rFont val="Noto Sans CJK SC"/>
        <family val="2"/>
      </rPr>
      <t xml:space="preserve">命令檢查近 </t>
    </r>
    <r>
      <rPr>
        <sz val="10"/>
        <rFont val="Arial"/>
        <family val="0"/>
        <charset val="1"/>
      </rPr>
      <t xml:space="preserve">2,000 </t>
    </r>
    <r>
      <rPr>
        <sz val="10"/>
        <rFont val="Noto Sans CJK SC"/>
        <family val="2"/>
      </rPr>
      <t xml:space="preserve">架波音 </t>
    </r>
    <r>
      <rPr>
        <sz val="10"/>
        <rFont val="Arial"/>
        <family val="0"/>
        <charset val="1"/>
      </rPr>
      <t xml:space="preserve">737NG</t>
    </r>
    <r>
      <rPr>
        <sz val="10"/>
        <rFont val="Noto Sans CJK SC"/>
        <family val="2"/>
      </rPr>
      <t xml:space="preserve">。</t>
    </r>
  </si>
  <si>
    <t xml:space="preserve">2134f8c80c333d21064eb580</t>
  </si>
  <si>
    <t xml:space="preserve">LITE</t>
  </si>
  <si>
    <t xml:space="preserve">Lumentum</t>
  </si>
  <si>
    <t xml:space="preserve">Lumentum Holdings Inc. $LITE Stock: Robeco Schweiz AG Reduces Position</t>
  </si>
  <si>
    <t xml:space="preserve">d84cd4239537e3b12a66d7be</t>
  </si>
  <si>
    <t xml:space="preserve">TD Cowen cuts Western Digital stock price target on capex concerns</t>
  </si>
  <si>
    <t xml:space="preserve">5f351b0e27b989e012c4770e</t>
  </si>
  <si>
    <t xml:space="preserve">CI</t>
  </si>
  <si>
    <t xml:space="preserve">Cigna</t>
  </si>
  <si>
    <t xml:space="preserve">Has Buying Cigna Stock At A High Paid Off?</t>
  </si>
  <si>
    <t xml:space="preserve">Trefis</t>
  </si>
  <si>
    <t xml:space="preserve">fabd76a3eea07e98b0832784</t>
  </si>
  <si>
    <t xml:space="preserve">IBM</t>
  </si>
  <si>
    <t xml:space="preserve">IBM Stocks Weigh Cash Allocation After Software Earnings Improve</t>
  </si>
  <si>
    <t xml:space="preserve">ac2b06c212bad1ca45ee3ebf</t>
  </si>
  <si>
    <t xml:space="preserve">HPE</t>
  </si>
  <si>
    <t xml:space="preserve">Hewlett Packard Enterprise</t>
  </si>
  <si>
    <t xml:space="preserve">Critical HPE Aruba AOS-8 Flaw Allows Hackers to Bypass SSH Authentication and Take Over Systems</t>
  </si>
  <si>
    <t xml:space="preserve">GBHackers News</t>
  </si>
  <si>
    <r>
      <rPr>
        <sz val="10"/>
        <rFont val="Arial"/>
        <family val="0"/>
        <charset val="1"/>
      </rPr>
      <t xml:space="preserve">HPE Aruba AOS-8 </t>
    </r>
    <r>
      <rPr>
        <sz val="10"/>
        <rFont val="Noto Sans CJK SC"/>
        <family val="2"/>
      </rPr>
      <t xml:space="preserve">漏洞可繞過 </t>
    </r>
    <r>
      <rPr>
        <sz val="10"/>
        <rFont val="Arial"/>
        <family val="0"/>
        <charset val="1"/>
      </rPr>
      <t xml:space="preserve">SSH </t>
    </r>
    <r>
      <rPr>
        <sz val="10"/>
        <rFont val="Noto Sans CJK SC"/>
        <family val="2"/>
      </rPr>
      <t xml:space="preserve">驗證。</t>
    </r>
  </si>
  <si>
    <t xml:space="preserve">b785be5171702d6490b961d1</t>
  </si>
  <si>
    <t xml:space="preserve">Wells Fargo (WFC) Could Be 19% Undervalued As AI And Consumer Banking Shift Starts</t>
  </si>
  <si>
    <t xml:space="preserve">38b1051331efecec2bdc2af8</t>
  </si>
  <si>
    <t xml:space="preserve">Is SM Entertainment involved in TXT Soobin's 'gay' controversy? Chinese livestreamer's alleged Kakao connection has fans talking</t>
  </si>
  <si>
    <t xml:space="preserve">Indiatimes</t>
  </si>
  <si>
    <t xml:space="preserve">373d15ec2e38fbd08728de69</t>
  </si>
  <si>
    <t xml:space="preserve">AOS</t>
  </si>
  <si>
    <t xml:space="preserve">A. O. Smith</t>
  </si>
  <si>
    <t xml:space="preserve">Hewlett Packard Enterprise Co.</t>
  </si>
  <si>
    <t xml:space="preserve">7aab71b3eaa96eb6a3a4d570</t>
  </si>
  <si>
    <t xml:space="preserve">QCOM</t>
  </si>
  <si>
    <t xml:space="preserve">Qualcomm</t>
  </si>
  <si>
    <t xml:space="preserve">Most Read – xMCUs, NVHBM base dies, Qualcomm layoffs</t>
  </si>
  <si>
    <t xml:space="preserve">Electronics Weekly</t>
  </si>
  <si>
    <t xml:space="preserve">8280ee81aae5e3112dc84645</t>
  </si>
  <si>
    <t xml:space="preserve">INTC</t>
  </si>
  <si>
    <t xml:space="preserve">Intel</t>
  </si>
  <si>
    <t xml:space="preserve">Prediction: Intel Stock Will Take Off After Oct. 29</t>
  </si>
  <si>
    <t xml:space="preserve">149741c8f698bb210b487ce6</t>
  </si>
  <si>
    <t xml:space="preserve">UP TGT Vacancy 2026 Notification Out- 17735 Assistant Teacher Vacancies, Apply Online Starts</t>
  </si>
  <si>
    <t xml:space="preserve">e8a562f04ab30907b73025ec</t>
  </si>
  <si>
    <t xml:space="preserve">BALL</t>
  </si>
  <si>
    <t xml:space="preserve">Ball Corporation</t>
  </si>
  <si>
    <t xml:space="preserve">LaMelo Ball says changing his baby son’s diapers is ‘not my job’</t>
  </si>
  <si>
    <t xml:space="preserve">TheGrio</t>
  </si>
  <si>
    <t xml:space="preserve">647cafb9be79f2fcb9cabce2</t>
  </si>
  <si>
    <t xml:space="preserve">CRWD</t>
  </si>
  <si>
    <t xml:space="preserve">CrowdStrike</t>
  </si>
  <si>
    <t xml:space="preserve">CrowdStrike CEO's alarming prediction — plus, the sell-off spreads beyond tech</t>
  </si>
  <si>
    <t xml:space="preserve">e0522475685ac2d1bb2d0867</t>
  </si>
  <si>
    <t xml:space="preserve">More change at Munster as COO steps down after 20 years</t>
  </si>
  <si>
    <t xml:space="preserve">Extra.ie</t>
  </si>
  <si>
    <t xml:space="preserve">3b0874cb0603cc835fc76ce7</t>
  </si>
  <si>
    <t xml:space="preserve">Wells Fargo, Intuit others object to their shares being tokenized- regulatory document</t>
  </si>
  <si>
    <t xml:space="preserve">Raleigh News &amp; Observer</t>
  </si>
  <si>
    <t xml:space="preserve">c474e5b38a1c88c61e9549fc</t>
  </si>
  <si>
    <t xml:space="preserve">Ray Dalio Warns AI Bubble Could Burst As Apple (NASDAQ: AAPL) Pushes Into Smart Home</t>
  </si>
  <si>
    <t xml:space="preserve">Foreign Policy Journal</t>
  </si>
  <si>
    <t xml:space="preserve">6deaafb7005f75ca6c5ba196</t>
  </si>
  <si>
    <t xml:space="preserve">Health Information Alliance Names Michelle Puhlick Interim Executive Director and COO</t>
  </si>
  <si>
    <t xml:space="preserve">citybiz</t>
  </si>
  <si>
    <t xml:space="preserve">f4a145f139cccde04c7525b0</t>
  </si>
  <si>
    <t xml:space="preserve">Goldman Sachs CEO Says Individuals Must Be Held Accountable for AI Failures</t>
  </si>
  <si>
    <t xml:space="preserve">PYMNTS.com</t>
  </si>
  <si>
    <t xml:space="preserve">76516ec8252fddc8bda84826</t>
  </si>
  <si>
    <t xml:space="preserve">KR</t>
  </si>
  <si>
    <t xml:space="preserve">Kroger</t>
  </si>
  <si>
    <t xml:space="preserve">Thieves Stripped a Jeep’s Tires in 3 Minutes While It Was Parked at a Busy Kroger</t>
  </si>
  <si>
    <t xml:space="preserve">MotorBiscuit</t>
  </si>
  <si>
    <t xml:space="preserve">3fd1d423d7aeba1578139b74</t>
  </si>
  <si>
    <t xml:space="preserve">Patient dies in Bristol Myers Squibb autoimmune CAR-T trial</t>
  </si>
  <si>
    <t xml:space="preserve">STAT</t>
  </si>
  <si>
    <t xml:space="preserve">低</t>
  </si>
  <si>
    <r>
      <rPr>
        <sz val="10"/>
        <rFont val="Arial"/>
        <family val="0"/>
        <charset val="1"/>
      </rPr>
      <t xml:space="preserve">BMS CAR-T </t>
    </r>
    <r>
      <rPr>
        <sz val="10"/>
        <rFont val="Noto Sans CJK SC"/>
        <family val="2"/>
      </rPr>
      <t xml:space="preserve">試驗病患死亡。</t>
    </r>
  </si>
  <si>
    <t xml:space="preserve">是</t>
  </si>
  <si>
    <t xml:space="preserve">71d35f0fe33b8ffcc7a82cea</t>
  </si>
  <si>
    <t xml:space="preserve">Qualcomm May Be Preparing Another Round of Job Cuts Next Month. Here’s What to Know.</t>
  </si>
  <si>
    <r>
      <rPr>
        <sz val="10"/>
        <rFont val="Arial"/>
        <family val="0"/>
        <charset val="1"/>
      </rPr>
      <t xml:space="preserve">Qualcomm </t>
    </r>
    <r>
      <rPr>
        <sz val="10"/>
        <rFont val="Noto Sans CJK SC"/>
        <family val="2"/>
      </rPr>
      <t xml:space="preserve">可能於下月再度裁員。</t>
    </r>
  </si>
  <si>
    <t xml:space="preserve">3be895ce4ece3a7d9dbb2afb</t>
  </si>
  <si>
    <t xml:space="preserve">Uber CEO Travis Kalanick tells driver 'bullsh*t' in response to query about price dropping</t>
  </si>
  <si>
    <t xml:space="preserve">Mashable</t>
  </si>
  <si>
    <t xml:space="preserve">f84ce9246957f1034c4f700e</t>
  </si>
  <si>
    <t xml:space="preserve">The 15 Scariest Horror Movies on Netflix</t>
  </si>
  <si>
    <t xml:space="preserve">TheWrap</t>
  </si>
  <si>
    <t xml:space="preserve">0f20361515d1bd946bbbba39</t>
  </si>
  <si>
    <t xml:space="preserve">BlackRock® Canada Announces The Termination Of Ishares Convertible Bond Index ETF</t>
  </si>
  <si>
    <t xml:space="preserve">ad59b1ad9ab7df94d12a3b41</t>
  </si>
  <si>
    <t xml:space="preserve">Decision fatigue, complexity stop people from investing despite growing retirement needs: BlackRock</t>
  </si>
  <si>
    <t xml:space="preserve">The Business Times</t>
  </si>
  <si>
    <t xml:space="preserve">1adf15d36349016e4ad5a327</t>
  </si>
  <si>
    <t xml:space="preserve">USB</t>
  </si>
  <si>
    <t xml:space="preserve">U.S. Bancorp</t>
  </si>
  <si>
    <t xml:space="preserve">Claude Code jailbreaks a Kindle over USB, Amazon bloatware vanishes</t>
  </si>
  <si>
    <t xml:space="preserve">Pasquale Pillitteri</t>
  </si>
  <si>
    <t xml:space="preserve">d2f7e4ba0335ee407f0d49db</t>
  </si>
  <si>
    <t xml:space="preserve">News Orgs Fight OpenAI, Microsoft's Fair Use Arguments</t>
  </si>
  <si>
    <t xml:space="preserve">Law360</t>
  </si>
  <si>
    <t xml:space="preserve">6da85ab7bbc2603c2cc4dc98</t>
  </si>
  <si>
    <t xml:space="preserve">Nvidia Growth Could Slow to 20% But Its Stock Can Still Double, Expert Says</t>
  </si>
  <si>
    <t xml:space="preserve">b5a825aeb366e8334165b031</t>
  </si>
  <si>
    <t xml:space="preserve">LHX</t>
  </si>
  <si>
    <t xml:space="preserve">L3Harris</t>
  </si>
  <si>
    <t xml:space="preserve">L3Harris Announces Quarterly Dividend</t>
  </si>
  <si>
    <t xml:space="preserve">FinancialContent</t>
  </si>
  <si>
    <t xml:space="preserve">4cf2686baaffcdcf45f0c45f</t>
  </si>
  <si>
    <t xml:space="preserve">TSN</t>
  </si>
  <si>
    <t xml:space="preserve">Tyson Foods</t>
  </si>
  <si>
    <t xml:space="preserve">TSN | Dreger on Jets blockbuster trade that sends Hellebuyck to Devils</t>
  </si>
  <si>
    <t xml:space="preserve">Illegal Curve Hockey</t>
  </si>
  <si>
    <t xml:space="preserve">7e4025087c188397f386b97c</t>
  </si>
  <si>
    <t xml:space="preserve">CME-Backed Trade Group Asks CFTC to Reject Kalshi's Perpetual Oil Futures Contract</t>
  </si>
  <si>
    <t xml:space="preserve">BigGo Finance</t>
  </si>
  <si>
    <t xml:space="preserve">4808f1cefb67799c654df032</t>
  </si>
  <si>
    <t xml:space="preserve">NSC</t>
  </si>
  <si>
    <t xml:space="preserve">Norfolk Southern</t>
  </si>
  <si>
    <t xml:space="preserve">Norfolk Southern Declares Quarterly Dividend</t>
  </si>
  <si>
    <t xml:space="preserve">The Progress</t>
  </si>
  <si>
    <t xml:space="preserve">eb6747ed83b62a9d58b9af04</t>
  </si>
  <si>
    <t xml:space="preserve">Xbox's First-Ever COO Is Already Leaving After A Few Months</t>
  </si>
  <si>
    <t xml:space="preserve">Polygon.com</t>
  </si>
  <si>
    <t xml:space="preserve">fd4427bf7a2273fff471e06e</t>
  </si>
  <si>
    <t xml:space="preserve">Nasdaq, Dow, S&amp;P 500 Futures Drop Premarket: NVDA, AMD, META, CRWV, MRNA, WDC, BE In Focus</t>
  </si>
  <si>
    <t xml:space="preserve">af4abb1657c870064e870546</t>
  </si>
  <si>
    <t xml:space="preserve">Third-party websites charging big mark-up, WDC warns</t>
  </si>
  <si>
    <t xml:space="preserve">ODT</t>
  </si>
  <si>
    <t xml:space="preserve">2a7013e52d99c37c4d7459f5</t>
  </si>
  <si>
    <t xml:space="preserve">ABT</t>
  </si>
  <si>
    <t xml:space="preserve">Abbott Laboratories</t>
  </si>
  <si>
    <t xml:space="preserve">Abbott tightens adjusted earnings range for Abbott Laboratories stock</t>
  </si>
  <si>
    <t xml:space="preserve">AD HOC NEWS</t>
  </si>
  <si>
    <t xml:space="preserve">f63e3ef307c837d216f1a24d</t>
  </si>
  <si>
    <t xml:space="preserve">ODFL</t>
  </si>
  <si>
    <t xml:space="preserve">Old Dominion</t>
  </si>
  <si>
    <t xml:space="preserve">A Look at Old Dominion Freight Line Inc (ODFL) After 3.8% Decline -- GF Value $200.84 vs Price $182.70</t>
  </si>
  <si>
    <t xml:space="preserve">4f102d40d010f4735e42b751</t>
  </si>
  <si>
    <t xml:space="preserve">MRNA</t>
  </si>
  <si>
    <t xml:space="preserve">Moderna</t>
  </si>
  <si>
    <t xml:space="preserve">Moderna’s Stock Just Stumbled. Is It a Buy on the Dip?</t>
  </si>
  <si>
    <t xml:space="preserve">The Motley Fool</t>
  </si>
  <si>
    <r>
      <rPr>
        <sz val="10"/>
        <rFont val="Arial"/>
        <family val="0"/>
        <charset val="1"/>
      </rPr>
      <t xml:space="preserve">Moderna </t>
    </r>
    <r>
      <rPr>
        <sz val="10"/>
        <rFont val="Noto Sans CJK SC"/>
        <family val="2"/>
      </rPr>
      <t xml:space="preserve">癌症疫苗資料外洩引發恐慌賣壓。</t>
    </r>
  </si>
  <si>
    <t xml:space="preserve">e69e8a8ceed8d59afe4051fb</t>
  </si>
  <si>
    <t xml:space="preserve">Microsoft's Cloud Storage Changes Frustrate Users - Here's Why</t>
  </si>
  <si>
    <t xml:space="preserve">BGR</t>
  </si>
  <si>
    <t xml:space="preserve">6dd019fe6c1e2172e3a4aad5</t>
  </si>
  <si>
    <t xml:space="preserve">FE</t>
  </si>
  <si>
    <t xml:space="preserve">FirstEnergy</t>
  </si>
  <si>
    <t xml:space="preserve">PUC REJECTS FIRSTENERGY PLAN, ORDERS REVIEW OF AUTO-RENEWALS</t>
  </si>
  <si>
    <t xml:space="preserve">WCCS AM1160 &amp; 101.1FM</t>
  </si>
  <si>
    <t xml:space="preserve">86b870bde29e6e56cdb1ee4f</t>
  </si>
  <si>
    <t xml:space="preserve">英特爾CTO：芯片設備遠遠跟不上芯片需求</t>
  </si>
  <si>
    <r>
      <rPr>
        <sz val="10"/>
        <rFont val="Noto Sans CJK SC"/>
        <family val="2"/>
      </rPr>
      <t xml:space="preserve">英特爾</t>
    </r>
    <r>
      <rPr>
        <sz val="10"/>
        <rFont val="Arial"/>
        <family val="0"/>
        <charset val="1"/>
      </rPr>
      <t xml:space="preserve">CTO</t>
    </r>
    <r>
      <rPr>
        <sz val="10"/>
        <rFont val="Noto Sans CJK SC"/>
        <family val="2"/>
      </rPr>
      <t xml:space="preserve">：芯片設備遠遠跟不上芯片需求</t>
    </r>
  </si>
  <si>
    <t xml:space="preserve">76a9501d994efea57127e6f8</t>
  </si>
  <si>
    <t xml:space="preserve">DRI seizes Pakistan-origin watermelon seeds worth Rs 2 crore at Nhava Sheva port</t>
  </si>
  <si>
    <t xml:space="preserve">Telegraph India</t>
  </si>
  <si>
    <t xml:space="preserve">fa8495a0248322517892de6d</t>
  </si>
  <si>
    <t xml:space="preserve">WYNN</t>
  </si>
  <si>
    <t xml:space="preserve">Wynn Resorts</t>
  </si>
  <si>
    <t xml:space="preserve">A Look at Wynn Resorts Ltd (WYNN) After 3.2% Decline -- GF Value $112.15 vs Price $72.73</t>
  </si>
  <si>
    <t xml:space="preserve">98d83b909bf57a405e2d6648</t>
  </si>
  <si>
    <t xml:space="preserve">Column | This landmark experiment was horrifying. Why is Netflix performing it again?</t>
  </si>
  <si>
    <t xml:space="preserve">The Washington Post</t>
  </si>
  <si>
    <t xml:space="preserve">fa27a753b0c145d9e329e9c2</t>
  </si>
  <si>
    <t xml:space="preserve">AMZN</t>
  </si>
  <si>
    <t xml:space="preserve">Amazon</t>
  </si>
  <si>
    <t xml:space="preserve">‘This place is already being used’: 100 gather in McKinleyville to protest Amazon facility</t>
  </si>
  <si>
    <t xml:space="preserve">Times-Standard</t>
  </si>
  <si>
    <t xml:space="preserve">35407307812b915ad0ff19bb</t>
  </si>
  <si>
    <t xml:space="preserve">Coinbase Now Lets AI Agents Trade in Your Crypto Account. What Could Go Wrong?</t>
  </si>
  <si>
    <t xml:space="preserve">24/7 Wall St.</t>
  </si>
  <si>
    <t xml:space="preserve">c0e13b1fce7ceeb858ab2ec7</t>
  </si>
  <si>
    <t xml:space="preserve">TKO</t>
  </si>
  <si>
    <t xml:space="preserve">TKO Group Holdings</t>
  </si>
  <si>
    <t xml:space="preserve">UFC 333 Highlights! Volkanovski Decimates Evloev With Violent TKO</t>
  </si>
  <si>
    <t xml:space="preserve">MMA Mania</t>
  </si>
  <si>
    <t xml:space="preserve">77358c8bc35a877c95130455</t>
  </si>
  <si>
    <t xml:space="preserve">AIG</t>
  </si>
  <si>
    <t xml:space="preserve">American International Group</t>
  </si>
  <si>
    <t xml:space="preserve">AIG executive accused of posting anti-Semitic comments no longer working for company</t>
  </si>
  <si>
    <t xml:space="preserve">The Irish Times</t>
  </si>
  <si>
    <t xml:space="preserve">EXECUTIVE_MISCONDUCT</t>
  </si>
  <si>
    <r>
      <rPr>
        <sz val="10"/>
        <rFont val="Arial"/>
        <family val="0"/>
        <charset val="1"/>
      </rPr>
      <t xml:space="preserve">AIG </t>
    </r>
    <r>
      <rPr>
        <sz val="10"/>
        <rFont val="Noto Sans CJK SC"/>
        <family val="2"/>
      </rPr>
      <t xml:space="preserve">主管被控發表反猶言論，已離職。</t>
    </r>
  </si>
  <si>
    <t xml:space="preserve">dbee3c9d9baa006a3bca4e75</t>
  </si>
  <si>
    <t xml:space="preserve">Helen Chiang Leaves Xbox COO Role After Three Months</t>
  </si>
  <si>
    <t xml:space="preserve">Demokratis.co.id</t>
  </si>
  <si>
    <t xml:space="preserve">a5f4063651f3e47ad571455b</t>
  </si>
  <si>
    <t xml:space="preserve">How much is at stake for TKO if WWE Crown Jewel in Saudi Arabia is cancelled?</t>
  </si>
  <si>
    <t xml:space="preserve">Khel Now</t>
  </si>
  <si>
    <t xml:space="preserve">16945a1985b8e55960aa16aa</t>
  </si>
  <si>
    <t xml:space="preserve">Backstage News On How Much TKO Could Lose If WWE And UFC Saudi Arabia Shows Are Called Off</t>
  </si>
  <si>
    <t xml:space="preserve">eWrestling</t>
  </si>
  <si>
    <t xml:space="preserve">ad298b7b65bbbfe6fbab9c04</t>
  </si>
  <si>
    <t xml:space="preserve">UPS</t>
  </si>
  <si>
    <t xml:space="preserve">United Parcel Service</t>
  </si>
  <si>
    <t xml:space="preserve">Person Stole Package From UPS</t>
  </si>
  <si>
    <t xml:space="preserve">Citizen app</t>
  </si>
  <si>
    <t xml:space="preserve">ac3a0df8b11903ee4b157a9f</t>
  </si>
  <si>
    <t xml:space="preserve">“So Far, So Good”: TKO, Ari Emanuel Give Disappointing Update Ahead of WWE Crown Jewel</t>
  </si>
  <si>
    <t xml:space="preserve">Last Word On Sports</t>
  </si>
  <si>
    <t xml:space="preserve">b6824412755d85902d11a293</t>
  </si>
  <si>
    <t xml:space="preserve">BAC</t>
  </si>
  <si>
    <t xml:space="preserve">Bank of America</t>
  </si>
  <si>
    <t xml:space="preserve">SHAREHOLDER ALERT: Bronstein Gewirtz &amp; Grossman, LLC Announces Class Action Against Bank of America Corporation (NYSE: BAC) — Investors Who Suffered Losses Are Encouraged to Contact the Firm</t>
  </si>
  <si>
    <t xml:space="preserve">Carroll County Mirror-Democrat</t>
  </si>
  <si>
    <t xml:space="preserve">90e517789e1f30e07b9d4159</t>
  </si>
  <si>
    <t xml:space="preserve">AVY</t>
  </si>
  <si>
    <t xml:space="preserve">Avery Dennison</t>
  </si>
  <si>
    <t xml:space="preserve">Avery Dennison Declares Quarterly Dividend</t>
  </si>
  <si>
    <t xml:space="preserve">ba8eb56e09b455acf996cc6b</t>
  </si>
  <si>
    <t xml:space="preserve">Sweden Blocks ChatGPT and Claude on Government Staff Computers, Clears Only Microsoft Copilot</t>
  </si>
  <si>
    <t xml:space="preserve">2d124b7252951eddc947aeed</t>
  </si>
  <si>
    <t xml:space="preserve">CMS</t>
  </si>
  <si>
    <t xml:space="preserve">CMS Energy</t>
  </si>
  <si>
    <t xml:space="preserve">Chiropractor accused of posing as doctor in $2 billion L.A. fraud bust; Amazon, Google and Meta push prior auth fixes; CMS can now exclude physicians on its own — Morning Medical Update Weekly Recap</t>
  </si>
  <si>
    <t xml:space="preserve">eb1dab04ee32c300c181ff9c</t>
  </si>
  <si>
    <t xml:space="preserve">CVS: Cold and Flu Season</t>
  </si>
  <si>
    <t xml:space="preserve">WSPA 7News</t>
  </si>
  <si>
    <t xml:space="preserve">74889e1748b5cb06789c5e46</t>
  </si>
  <si>
    <t xml:space="preserve">HII</t>
  </si>
  <si>
    <t xml:space="preserve">Huntington Ingalls Industries</t>
  </si>
  <si>
    <t xml:space="preserve">Huntington Ingalls Industries (HII) Stock Could Be 43% Undervalued Despite AUKUS Contract News</t>
  </si>
  <si>
    <t xml:space="preserve">3f01326f621df1844f0abec0</t>
  </si>
  <si>
    <t xml:space="preserve">JBL</t>
  </si>
  <si>
    <t xml:space="preserve">Jabil</t>
  </si>
  <si>
    <t xml:space="preserve">WWE HOFer JBL Dismisses Long-Standing Rumor Of HBK/Vader Beef</t>
  </si>
  <si>
    <t xml:space="preserve">Wrestling Inc.</t>
  </si>
  <si>
    <t xml:space="preserve">a7e1a94683977cf54900a537</t>
  </si>
  <si>
    <t xml:space="preserve">ITW</t>
  </si>
  <si>
    <t xml:space="preserve">Illinois Tool Works</t>
  </si>
  <si>
    <t xml:space="preserve">Illinois Tool Works (ITW), What Is Behind The Mixed Signals Now?</t>
  </si>
  <si>
    <t xml:space="preserve">7a4e5d13e9aeb71aaa27fd34</t>
  </si>
  <si>
    <t xml:space="preserve">Netflix Layoffs, 'You Can See Everything's Oscar Prospects &amp; More</t>
  </si>
  <si>
    <t xml:space="preserve">Deadline</t>
  </si>
  <si>
    <t xml:space="preserve">d7a2dbb44f9f57e352dfd370</t>
  </si>
  <si>
    <t xml:space="preserve">Xbox COO Helen Chiang Exits After 21 Years, 3 Months [2026]</t>
  </si>
  <si>
    <t xml:space="preserve">https://tech-insider.org/</t>
  </si>
  <si>
    <t xml:space="preserve">7163c5b29ac93349d6f25e41</t>
  </si>
  <si>
    <t xml:space="preserve">TSLA</t>
  </si>
  <si>
    <t xml:space="preserve">Tesla, Inc.</t>
  </si>
  <si>
    <t xml:space="preserve">TSLA Price Prediction: Analysts Lift Targets But Contract Stalls Beneath Key Resistance</t>
  </si>
  <si>
    <t xml:space="preserve">Blockchain News</t>
  </si>
  <si>
    <t xml:space="preserve">7a44a621281429750e645b04</t>
  </si>
  <si>
    <t xml:space="preserve">ROK</t>
  </si>
  <si>
    <t xml:space="preserve">Rockwell Automation</t>
  </si>
  <si>
    <t xml:space="preserve">Rockwell Automation, Inc. $ROK Stock: Sterling Capital Management LLC Trims Stake</t>
  </si>
  <si>
    <t xml:space="preserve">1c93101524403307d1863089</t>
  </si>
  <si>
    <t xml:space="preserve">NVR</t>
  </si>
  <si>
    <t xml:space="preserve">NVR, Inc.</t>
  </si>
  <si>
    <t xml:space="preserve">BTIG reiterates NVR stock buy rating despite earnings miss</t>
  </si>
  <si>
    <t xml:space="preserve">59dc9a2c4003d95dd45f838c</t>
  </si>
  <si>
    <t xml:space="preserve">LRCX</t>
  </si>
  <si>
    <t xml:space="preserve">Lam Research</t>
  </si>
  <si>
    <t xml:space="preserve">Analysts Conflicted on These Technology Names: Lam Research (LRCX), SentinelOne (S) and International Business Machines (IBM)</t>
  </si>
  <si>
    <t xml:space="preserve">The Globe and Mail</t>
  </si>
  <si>
    <t xml:space="preserve">c27dabfbf9cb72e40efb763c</t>
  </si>
  <si>
    <t xml:space="preserve">4044b571b732321dfa824920</t>
  </si>
  <si>
    <t xml:space="preserve">HON</t>
  </si>
  <si>
    <t xml:space="preserve">Honeywell Technologies</t>
  </si>
  <si>
    <t xml:space="preserve">Honeywell International (HON) PT Lowered to $269 at RBC Capital</t>
  </si>
  <si>
    <t xml:space="preserve">StreetInsider</t>
  </si>
  <si>
    <t xml:space="preserve">420504c134a1a8cfa99556cb</t>
  </si>
  <si>
    <t xml:space="preserve">Why Analysts Say Boeing's 787 Target Of 10 A Month Still Won't Make Real Money</t>
  </si>
  <si>
    <t xml:space="preserve">ab32a5c8fee22fa566a6c789</t>
  </si>
  <si>
    <t xml:space="preserve">ETR</t>
  </si>
  <si>
    <t xml:space="preserve">Entergy</t>
  </si>
  <si>
    <t xml:space="preserve">Why Utility Stocks Like Entergy And Con Edison Look Defensive Right Now</t>
  </si>
  <si>
    <t xml:space="preserve">8b0fe01281815fc0cdca2e9a</t>
  </si>
  <si>
    <t xml:space="preserve">TMUS</t>
  </si>
  <si>
    <t xml:space="preserve">T-Mobile US</t>
  </si>
  <si>
    <t xml:space="preserve">T-Mobile US (NASDAQ:TMUS) Sets New 1-Year Low - Time to Sell?</t>
  </si>
  <si>
    <r>
      <rPr>
        <sz val="10"/>
        <rFont val="Noto Sans CJK SC"/>
        <family val="2"/>
      </rPr>
      <t xml:space="preserve">電信股因 </t>
    </r>
    <r>
      <rPr>
        <sz val="10"/>
        <rFont val="Arial"/>
        <family val="0"/>
        <charset val="1"/>
      </rPr>
      <t xml:space="preserve">SpaceX </t>
    </r>
    <r>
      <rPr>
        <sz val="10"/>
        <rFont val="Noto Sans CJK SC"/>
        <family val="2"/>
      </rPr>
      <t xml:space="preserve">競爭疑慮下跌／創一年新低。</t>
    </r>
  </si>
  <si>
    <t xml:space="preserve">8916f1dd8d209591de7b3c64</t>
  </si>
  <si>
    <t xml:space="preserve">ACN</t>
  </si>
  <si>
    <t xml:space="preserve">Accenture</t>
  </si>
  <si>
    <t xml:space="preserve">What Is The Biggest Threat To Accenture Stock?</t>
  </si>
  <si>
    <t xml:space="preserve">121474f1437a76efa62cdcad</t>
  </si>
  <si>
    <t xml:space="preserve">Amazon just slashed Borderlands 4 to under $20 in a massive gaming deal</t>
  </si>
  <si>
    <t xml:space="preserve">The Tuscaloosa News</t>
  </si>
  <si>
    <t xml:space="preserve">d59fdf01580179d6db1c118c</t>
  </si>
  <si>
    <t xml:space="preserve">大和：將霍尼韋爾目標價下調至250美元</t>
  </si>
  <si>
    <r>
      <rPr>
        <sz val="10"/>
        <rFont val="Noto Sans CJK SC"/>
        <family val="2"/>
      </rPr>
      <t xml:space="preserve">大和：將霍尼韋爾目標價下調至</t>
    </r>
    <r>
      <rPr>
        <sz val="10"/>
        <rFont val="Arial"/>
        <family val="0"/>
        <charset val="1"/>
      </rPr>
      <t xml:space="preserve">250</t>
    </r>
    <r>
      <rPr>
        <sz val="10"/>
        <rFont val="Noto Sans CJK SC"/>
        <family val="2"/>
      </rPr>
      <t xml:space="preserve">美元</t>
    </r>
  </si>
  <si>
    <t xml:space="preserve">4c9f0982fa2dafbc12c4f335</t>
  </si>
  <si>
    <t xml:space="preserve">RTX</t>
  </si>
  <si>
    <t xml:space="preserve">RTX Corporation</t>
  </si>
  <si>
    <t xml:space="preserve">RTX 5060 Ti 16GB vs RTX 5070: $789 Tie, 8% Gap [2026]</t>
  </si>
  <si>
    <t xml:space="preserve">65104dab85793ed2cccddf2e</t>
  </si>
  <si>
    <t xml:space="preserve">Samsung's new 2TB 990 SSD is 38% off at Amazon today — get $200 off this PCIe 4.0 all-rounder drive for a limited time</t>
  </si>
  <si>
    <t xml:space="preserve">Tom's Hardware</t>
  </si>
  <si>
    <t xml:space="preserve">65f9f77c0aef1997dcd71c36</t>
  </si>
  <si>
    <t xml:space="preserve">FDX</t>
  </si>
  <si>
    <t xml:space="preserve">FedEx</t>
  </si>
  <si>
    <t xml:space="preserve">Brian Quinones Sentenced for Shooting Into Occupied FedEx Truck – Assistant State Attorneys, Jessica Giardina and Rachel Gainer – OSA1.org</t>
  </si>
  <si>
    <t xml:space="preserve">OSA1.org</t>
  </si>
  <si>
    <t xml:space="preserve">b5414949059bd6f162008383</t>
  </si>
  <si>
    <t xml:space="preserve">VZ</t>
  </si>
  <si>
    <t xml:space="preserve">Verizon</t>
  </si>
  <si>
    <t xml:space="preserve">AT&amp;T, T-Mobile and Verizon Push Back on FCC Satellite-to-Phone Rule Changes</t>
  </si>
  <si>
    <t xml:space="preserve">Drive Tesla Canada</t>
  </si>
  <si>
    <t xml:space="preserve">7eed3b2be420f7bfcc9999aa</t>
  </si>
  <si>
    <t xml:space="preserve">AMT</t>
  </si>
  <si>
    <t xml:space="preserve">American Tower</t>
  </si>
  <si>
    <t xml:space="preserve">American Tower (AMT) Heads Into Earnings As Its Undervalued Narrative Faces A Big Test</t>
  </si>
  <si>
    <t xml:space="preserve">579c831aa17be7f66addfe56</t>
  </si>
  <si>
    <t xml:space="preserve">海納國際下調西部數據目標價至405美元</t>
  </si>
  <si>
    <r>
      <rPr>
        <sz val="10"/>
        <rFont val="Noto Sans CJK SC"/>
        <family val="2"/>
      </rPr>
      <t xml:space="preserve">海納國際下調西部數據目標價至</t>
    </r>
    <r>
      <rPr>
        <sz val="10"/>
        <rFont val="Arial"/>
        <family val="0"/>
        <charset val="1"/>
      </rPr>
      <t xml:space="preserve">405</t>
    </r>
    <r>
      <rPr>
        <sz val="10"/>
        <rFont val="Noto Sans CJK SC"/>
        <family val="2"/>
      </rPr>
      <t xml:space="preserve">美元</t>
    </r>
  </si>
  <si>
    <t xml:space="preserve">751172544fc7d72f9b98c648</t>
  </si>
  <si>
    <t xml:space="preserve">PSA confirms FBI investigating $1 million Pokemon &amp; trading card heist as full stolen list revealed</t>
  </si>
  <si>
    <t xml:space="preserve">Dexerto</t>
  </si>
  <si>
    <t xml:space="preserve">fc8e8eedab2b1e82be1eaa32</t>
  </si>
  <si>
    <t xml:space="preserve">Microsoft earnings history before its October 28 report</t>
  </si>
  <si>
    <t xml:space="preserve">Opening Bell Daily</t>
  </si>
  <si>
    <t xml:space="preserve">e6c1c0c705c7f578f1f3d717</t>
  </si>
  <si>
    <t xml:space="preserve">PCAR</t>
  </si>
  <si>
    <t xml:space="preserve">Paccar</t>
  </si>
  <si>
    <t xml:space="preserve">Paccar (PCAR) Declines More Than Market: Some Information for Investors</t>
  </si>
  <si>
    <t xml:space="preserve">cccc48b377d6a6a34f214db2</t>
  </si>
  <si>
    <t xml:space="preserve">American Express: Q3 Earnings Snapshot</t>
  </si>
  <si>
    <t xml:space="preserve">d8429477db209415aca48aed</t>
  </si>
  <si>
    <t xml:space="preserve">Apple Is Just $42 Billion Away From Passing Nvidia as the World’s Most Valuable Company</t>
  </si>
  <si>
    <t xml:space="preserve">4a96943f07d306d3c6fa704d</t>
  </si>
  <si>
    <t xml:space="preserve">A Look at CBRE Group Inc (CBRE) After 6.0% Decline -- GF Value $162.98 vs Price $123.30</t>
  </si>
  <si>
    <t xml:space="preserve">17f712f2d36cddbffbbde561</t>
  </si>
  <si>
    <t xml:space="preserve">PG</t>
  </si>
  <si>
    <t xml:space="preserve">Procter &amp; Gamble</t>
  </si>
  <si>
    <t xml:space="preserve">RBC Capital maintains Outperform rating on Procter &amp; Gamble, $169 price target</t>
  </si>
  <si>
    <t xml:space="preserve">9ae86d27b734ba4cd744f703</t>
  </si>
  <si>
    <t xml:space="preserve">WMT</t>
  </si>
  <si>
    <t xml:space="preserve">Walmart</t>
  </si>
  <si>
    <t xml:space="preserve">Walmart’s Best-Selling NCAA Fleece Hoodies Are ‘Warm and Comfortable,’ and Selling for as Low as $12</t>
  </si>
  <si>
    <t xml:space="preserve">Yahoo</t>
  </si>
  <si>
    <t xml:space="preserve">c273898d2b72d96543a6334e</t>
  </si>
  <si>
    <t xml:space="preserve">Albemarle Corporation</t>
  </si>
  <si>
    <t xml:space="preserve">花旗下調美國雅保目標價至125美元</t>
  </si>
  <si>
    <r>
      <rPr>
        <sz val="10"/>
        <rFont val="Noto Sans CJK SC"/>
        <family val="2"/>
      </rPr>
      <t xml:space="preserve">花旗下調美國雅保目標價至</t>
    </r>
    <r>
      <rPr>
        <sz val="10"/>
        <rFont val="Arial"/>
        <family val="0"/>
        <charset val="1"/>
      </rPr>
      <t xml:space="preserve">125</t>
    </r>
    <r>
      <rPr>
        <sz val="10"/>
        <rFont val="Noto Sans CJK SC"/>
        <family val="2"/>
      </rPr>
      <t xml:space="preserve">美元</t>
    </r>
  </si>
  <si>
    <t xml:space="preserve">d6f95e21ab07cb0df31a9525</t>
  </si>
  <si>
    <t xml:space="preserve">Starz Is Back On Verizon Fios As Carriage Dispute Settled</t>
  </si>
  <si>
    <t xml:space="preserve">IMDb</t>
  </si>
  <si>
    <t xml:space="preserve">999494d534e1d91bbd1c93b9</t>
  </si>
  <si>
    <t xml:space="preserve">Copper pricing fragments as markets regionalise, CME says</t>
  </si>
  <si>
    <t xml:space="preserve">Mining.com</t>
  </si>
  <si>
    <t xml:space="preserve">8a83288d668bd5d97579ebc4</t>
  </si>
  <si>
    <t xml:space="preserve">TXN</t>
  </si>
  <si>
    <t xml:space="preserve">Texas Instruments</t>
  </si>
  <si>
    <t xml:space="preserve">Analysts Are Neutral on Top Technology Stocks: Nextdc Limited (NXDCF), Texas Instruments (TXN)</t>
  </si>
  <si>
    <t xml:space="preserve">509a988bb315d52ee1472b4f</t>
  </si>
  <si>
    <t xml:space="preserve">Medtronic (MDT) Posts Strong Ablation Data, Is The Stock Still Undervalued?</t>
  </si>
  <si>
    <t xml:space="preserve">9d5be6ac171925ca1f31e814</t>
  </si>
  <si>
    <t xml:space="preserve">T-Mobile TMUS and AT&amp;T Stock Sink as SpaceX Targets U.S. Cell Tower Infrastructure</t>
  </si>
  <si>
    <t xml:space="preserve">FXLeaders</t>
  </si>
  <si>
    <t xml:space="preserve">11b754b324b5482ac2a82053</t>
  </si>
  <si>
    <t xml:space="preserve">AMP</t>
  </si>
  <si>
    <t xml:space="preserve">Ameriprise Financial</t>
  </si>
  <si>
    <t xml:space="preserve">AMP eyes bank shake-up as takeover talk builds</t>
  </si>
  <si>
    <t xml:space="preserve">The Australian</t>
  </si>
  <si>
    <t xml:space="preserve">e2a0442945022b93de379857</t>
  </si>
  <si>
    <t xml:space="preserve">HBAN</t>
  </si>
  <si>
    <t xml:space="preserve">Huntington Bancshares</t>
  </si>
  <si>
    <t xml:space="preserve">HBAN Maintains by Baird -- Price Target Lowered to $19.00</t>
  </si>
  <si>
    <t xml:space="preserve">cfb4e1731ebbe1a1c9494fb2</t>
  </si>
  <si>
    <t xml:space="preserve">MCD</t>
  </si>
  <si>
    <t xml:space="preserve">McDonald's</t>
  </si>
  <si>
    <t xml:space="preserve">Why Is McDonald's (MCD) Challenging Tokenized Trading Of Its Shares?</t>
  </si>
  <si>
    <t xml:space="preserve">e0a68affc3d7862c91aedffc</t>
  </si>
  <si>
    <t xml:space="preserve">UBS lowers Western Digital stock price target on capex concerns</t>
  </si>
  <si>
    <t xml:space="preserve">1eef274b6f5e08e54f6fe0de</t>
  </si>
  <si>
    <t xml:space="preserve">NUE</t>
  </si>
  <si>
    <t xml:space="preserve">Nucor</t>
  </si>
  <si>
    <t xml:space="preserve">NUE to Report Q3 Earnings: What's in the Offing for the Stock?</t>
  </si>
  <si>
    <t xml:space="preserve">79227bc28a958f5fd4991a56</t>
  </si>
  <si>
    <t xml:space="preserve">NRG</t>
  </si>
  <si>
    <t xml:space="preserve">NRG Energy</t>
  </si>
  <si>
    <t xml:space="preserve">NRG drop out of NSTLGA Texas; enter LAST CHANCE after Voca drop out</t>
  </si>
  <si>
    <t xml:space="preserve">Dust2.us</t>
  </si>
  <si>
    <t xml:space="preserve">536b6093ff00d3196a8f9e1b</t>
  </si>
  <si>
    <t xml:space="preserve">Dallas Cowboys Cheerleaders Score Major Victory After Netflix Pay Controversy</t>
  </si>
  <si>
    <t xml:space="preserve">e32f6e660afc8af76e3df43b</t>
  </si>
  <si>
    <t xml:space="preserve">Western Digital's 55% Revenue Surge Signals AI Storage Boom</t>
  </si>
  <si>
    <t xml:space="preserve">The Futurum Group</t>
  </si>
  <si>
    <t xml:space="preserve">22a0193e9350038d7711ffa0</t>
  </si>
  <si>
    <t xml:space="preserve">Movsar Evloev Issues Statement After UFC 333 TKO Loss</t>
  </si>
  <si>
    <t xml:space="preserve">3520d589fd21502146e8a252</t>
  </si>
  <si>
    <t xml:space="preserve">Season 3 Of Netflix's Vikings Replacement Gets The Heartbreaking Update Fans Dreaded</t>
  </si>
  <si>
    <t xml:space="preserve">8540d49b4522314099c9f2bc</t>
  </si>
  <si>
    <t xml:space="preserve">Illinois Tool Works schedules October 27 results for Illinois Tool Works stock</t>
  </si>
  <si>
    <t xml:space="preserve">6d7466eccd77f8cfd6dfedf4</t>
  </si>
  <si>
    <t xml:space="preserve">TSCO</t>
  </si>
  <si>
    <t xml:space="preserve">Tractor Supply</t>
  </si>
  <si>
    <t xml:space="preserve">What Is the Margin Squeeze Behind Tractor Supply's (NASDAQ:TSCO) Earnings Beat and Reaffirmed Outlook?</t>
  </si>
  <si>
    <t xml:space="preserve">Kalkine</t>
  </si>
  <si>
    <t xml:space="preserve">75c1b570ae05b78f56aa3c83</t>
  </si>
  <si>
    <t xml:space="preserve">International Insider: Turmoil At Netflix</t>
  </si>
  <si>
    <t xml:space="preserve">d35dba6efea91892e1e6ff15</t>
  </si>
  <si>
    <t xml:space="preserve">A strong start to the year for Western Digital, but shunned on the stock market</t>
  </si>
  <si>
    <t xml:space="preserve">marketscreener.com</t>
  </si>
  <si>
    <t xml:space="preserve">4269106c2a04b85577756902</t>
  </si>
  <si>
    <t xml:space="preserve">Amazon earnings history before its October 29 report</t>
  </si>
  <si>
    <t xml:space="preserve">924fec42ff6e9a5d94644db1</t>
  </si>
  <si>
    <t xml:space="preserve">PAYX</t>
  </si>
  <si>
    <t xml:space="preserve">Paychex</t>
  </si>
  <si>
    <t xml:space="preserve">TD Cowen cuts Paychex stock target to USD 105.00</t>
  </si>
  <si>
    <t xml:space="preserve">a7ed4fb97e59b628310be6d5</t>
  </si>
  <si>
    <t xml:space="preserve">CME live cattle futures unchanged, feeder cattle futures firm</t>
  </si>
  <si>
    <t xml:space="preserve">7b681f05da9969a581469edb</t>
  </si>
  <si>
    <t xml:space="preserve">UNH</t>
  </si>
  <si>
    <t xml:space="preserve">UnitedHealth Group</t>
  </si>
  <si>
    <t xml:space="preserve">Is UnitedHealth Group (UNH) Still A Bargain After Raised Guidance?</t>
  </si>
  <si>
    <t xml:space="preserve">24fd8c63bed0fb462acffe84</t>
  </si>
  <si>
    <t xml:space="preserve">RCL</t>
  </si>
  <si>
    <t xml:space="preserve">Royal Caribbean Group</t>
  </si>
  <si>
    <t xml:space="preserve">Royal Caribbean Cruises Ltd. $RCL Stock: Diversify Advisory Services LLC Trims Stake</t>
  </si>
  <si>
    <t xml:space="preserve">43db73039c8b63973a7ac2f6</t>
  </si>
  <si>
    <t xml:space="preserve">Helen Chiang exits Microsoft three months after becoming Xbox’s first COO</t>
  </si>
  <si>
    <t xml:space="preserve">eGamers.io</t>
  </si>
  <si>
    <t xml:space="preserve">8fd2ace1f95c54d0f317cc9c</t>
  </si>
  <si>
    <t xml:space="preserve">AMD vs Nvidia GPU Chart: 32 GB vs 16 GB Flagships [2026]</t>
  </si>
  <si>
    <t xml:space="preserve">shattered.io</t>
  </si>
  <si>
    <t xml:space="preserve">64c9c23675f235dfa278f43f</t>
  </si>
  <si>
    <t xml:space="preserve">CASY</t>
  </si>
  <si>
    <t xml:space="preserve">Casey's</t>
  </si>
  <si>
    <t xml:space="preserve">Randy Morris, Opening Day Casey's Corner Pianist at Magic Kingdom, Passes Away</t>
  </si>
  <si>
    <t xml:space="preserve">WDW News Today</t>
  </si>
  <si>
    <t xml:space="preserve">d095be3368228311a3ac63be</t>
  </si>
  <si>
    <t xml:space="preserve">JBL: Vince McMahon Never Turned John Cena Heel In WWE Due To Previous Lesson Learned</t>
  </si>
  <si>
    <t xml:space="preserve">5cf21674acb006726e69be94</t>
  </si>
  <si>
    <t xml:space="preserve">This limited-edition Marc Jacobs perfume is 56% off at Amazon right now</t>
  </si>
  <si>
    <t xml:space="preserve">Ventura County Star</t>
  </si>
  <si>
    <t xml:space="preserve">791410a20c87492e77a74cc8</t>
  </si>
  <si>
    <t xml:space="preserve">ROP</t>
  </si>
  <si>
    <t xml:space="preserve">Roper Technologies</t>
  </si>
  <si>
    <t xml:space="preserve">ROP 8-K &amp; SEC Filings</t>
  </si>
  <si>
    <t xml:space="preserve">9279dd68b7e4922f1a3241e2</t>
  </si>
  <si>
    <t xml:space="preserve">SBUX</t>
  </si>
  <si>
    <t xml:space="preserve">Starbucks</t>
  </si>
  <si>
    <t xml:space="preserve">What Could Lift Starbucks Stock?</t>
  </si>
  <si>
    <t xml:space="preserve">966ec8a1d4faf8ab0a570f01</t>
  </si>
  <si>
    <t xml:space="preserve">Cockpit voice recorder indicates pilot tried to abort landing before Amazon cargo plane crash: NTSB - ABC News</t>
  </si>
  <si>
    <t xml:space="preserve">ABC News - Breaking News, Latest News and Videos</t>
  </si>
  <si>
    <t xml:space="preserve">6e18baab6de4a94bd36c6d41</t>
  </si>
  <si>
    <t xml:space="preserve">HOOD</t>
  </si>
  <si>
    <t xml:space="preserve">Robinhood Markets</t>
  </si>
  <si>
    <t xml:space="preserve">HOOD Price Prediction: Futures Sit 21% Below JPMorgan's Floor as Stochastic Hits Single Digits</t>
  </si>
  <si>
    <t xml:space="preserve">520a93c1f6fdc6db6afac694</t>
  </si>
  <si>
    <t xml:space="preserve">KO</t>
  </si>
  <si>
    <t xml:space="preserve">Coca-Cola Company (The)</t>
  </si>
  <si>
    <t xml:space="preserve">CocaCola Company (The) $KO Stock: Sterling Capital Management LLC Trims Stake</t>
  </si>
  <si>
    <t xml:space="preserve">9f1fd9d5973e9a5033dc60e1</t>
  </si>
  <si>
    <t xml:space="preserve">Huntington Bancshares Declares $0.3438 Quarterly HBANZ Dividend</t>
  </si>
  <si>
    <t xml:space="preserve">a38fa254ae5f4c0ea2d9fe38</t>
  </si>
  <si>
    <t xml:space="preserve">CMI</t>
  </si>
  <si>
    <t xml:space="preserve">Cummins</t>
  </si>
  <si>
    <t xml:space="preserve">Cummins stock: Barclays cuts target to USD 675.00 after review</t>
  </si>
  <si>
    <t xml:space="preserve">5e90dff2a5579475ee09ccde</t>
  </si>
  <si>
    <t xml:space="preserve">RBC Just Downgraded Mobileye, Citing the Threat From Nvidia. What This Means for MBLY Stock.</t>
  </si>
  <si>
    <t xml:space="preserve">Barchart.com</t>
  </si>
  <si>
    <t xml:space="preserve">bd543e9db77d0a4b8eda36b7</t>
  </si>
  <si>
    <t xml:space="preserve">Is Royal Caribbean Group (RCL) a Bargain After 3.4% Drop? GF Val</t>
  </si>
  <si>
    <t xml:space="preserve">e6b1ea8a042c7801aa3f1263</t>
  </si>
  <si>
    <t xml:space="preserve">Darden Restaurants (DRI) Could Be 7% Undervalued As Expansion Plans Stay In Focus</t>
  </si>
  <si>
    <t xml:space="preserve">ea22b784781d649697e8b5e0</t>
  </si>
  <si>
    <t xml:space="preserve">I stopped accepting my TV's default software after discovering what USB sideloading could do</t>
  </si>
  <si>
    <t xml:space="preserve">MakeUseOf</t>
  </si>
  <si>
    <t xml:space="preserve">ed642310c6cd85681810f1d0</t>
  </si>
  <si>
    <t xml:space="preserve">KMI</t>
  </si>
  <si>
    <t xml:space="preserve">Kinder Morgan</t>
  </si>
  <si>
    <t xml:space="preserve">Kinder Morgan Expands Backlog Driven By Major Natural Gas Projects</t>
  </si>
  <si>
    <t xml:space="preserve">76146f14d7cc9765b4b48df8</t>
  </si>
  <si>
    <t xml:space="preserve">McDonald's Corporation $MCD Stock Holdings Lessened by Axxcess Wealth Management LLC</t>
  </si>
  <si>
    <t xml:space="preserve">69639cb9abb1e20fff864060</t>
  </si>
  <si>
    <t xml:space="preserve">算力賣到2028年！亞馬遜CEO：投入2200億美元仍不夠</t>
  </si>
  <si>
    <r>
      <rPr>
        <sz val="10"/>
        <rFont val="Noto Sans CJK SC"/>
        <family val="2"/>
      </rPr>
      <t xml:space="preserve">算力賣到</t>
    </r>
    <r>
      <rPr>
        <sz val="10"/>
        <rFont val="Arial"/>
        <family val="0"/>
        <charset val="1"/>
      </rPr>
      <t xml:space="preserve">2028</t>
    </r>
    <r>
      <rPr>
        <sz val="10"/>
        <rFont val="Noto Sans CJK SC"/>
        <family val="2"/>
      </rPr>
      <t xml:space="preserve">年！亞馬遜</t>
    </r>
    <r>
      <rPr>
        <sz val="10"/>
        <rFont val="Arial"/>
        <family val="0"/>
        <charset val="1"/>
      </rPr>
      <t xml:space="preserve">CEO</t>
    </r>
    <r>
      <rPr>
        <sz val="10"/>
        <rFont val="Noto Sans CJK SC"/>
        <family val="2"/>
      </rPr>
      <t xml:space="preserve">：投入</t>
    </r>
    <r>
      <rPr>
        <sz val="10"/>
        <rFont val="Arial"/>
        <family val="0"/>
        <charset val="1"/>
      </rPr>
      <t xml:space="preserve">2200</t>
    </r>
    <r>
      <rPr>
        <sz val="10"/>
        <rFont val="Noto Sans CJK SC"/>
        <family val="2"/>
      </rPr>
      <t xml:space="preserve">億美元仍不夠</t>
    </r>
  </si>
  <si>
    <t xml:space="preserve">7b742829381d22fc84a65328</t>
  </si>
  <si>
    <t xml:space="preserve">Polen Focus Growth Strategy Trims Starbucks Corporation (SBUX) as Turnaround Progress Enters Valuation</t>
  </si>
  <si>
    <t xml:space="preserve">484d4ec770c3d1ec04a41eda</t>
  </si>
  <si>
    <t xml:space="preserve">Microsoft, Google and Goldman Sachs Join 22 Firms Opposing Tokenized Stock Trading</t>
  </si>
  <si>
    <t xml:space="preserve">33208404a3bbb2ac0cd180f5</t>
  </si>
  <si>
    <t xml:space="preserve">BNY</t>
  </si>
  <si>
    <t xml:space="preserve">BNY Mellon</t>
  </si>
  <si>
    <t xml:space="preserve">Why Higher Rates Could Lift BNY Mellon Stock And Cash Management Fees</t>
  </si>
  <si>
    <t xml:space="preserve">a67b8df9ec3452a69593231a</t>
  </si>
  <si>
    <t xml:space="preserve">Walmart (NASDAQ:WMT) Lets AI Shop for You: Is the Rally Overheated?</t>
  </si>
  <si>
    <t xml:space="preserve">5273e18bd3f5770a0a37de34</t>
  </si>
  <si>
    <t xml:space="preserve">What Could Surprise Comcast Stock Investors On The Upside?</t>
  </si>
  <si>
    <t xml:space="preserve">c7c25d42458bba16d1811efb</t>
  </si>
  <si>
    <t xml:space="preserve">PNR</t>
  </si>
  <si>
    <t xml:space="preserve">Pentair</t>
  </si>
  <si>
    <t xml:space="preserve">PNR Set to Report Q3 Earnings: What's in the Offing for the Stock?</t>
  </si>
  <si>
    <t xml:space="preserve">3c9b0052f83fb14d4421219e</t>
  </si>
  <si>
    <t xml:space="preserve">Helen Chiang Exits as Xbox’s First COO Just Three Months After Appointment</t>
  </si>
  <si>
    <t xml:space="preserve">d76e304a4652429c4ff22dc7</t>
  </si>
  <si>
    <t xml:space="preserve">Woman Needs Oil Change. Then She Goes To Walmart Instead Of The Dealership: 'That $32 Might Cost You Someday'</t>
  </si>
  <si>
    <t xml:space="preserve">Motor1.com</t>
  </si>
  <si>
    <t xml:space="preserve">424dfb4056f1ce9c7ef7951a</t>
  </si>
  <si>
    <t xml:space="preserve">New York Woman’s Hilarious Uber Eats Mistake Is Caught On Camera</t>
  </si>
  <si>
    <t xml:space="preserve">efbe74ef9b3caa2d7326482c</t>
  </si>
  <si>
    <t xml:space="preserve">Kroger Stock Has The Bull Case Changed After Its $5 Billion Value Plan</t>
  </si>
  <si>
    <t xml:space="preserve">6bf208efe96ab151a7486df9</t>
  </si>
  <si>
    <t xml:space="preserve">Comcast sets out restructuring as broadband losses deepen</t>
  </si>
  <si>
    <t xml:space="preserve">Broadband TV News</t>
  </si>
  <si>
    <t xml:space="preserve">OPERATING_DETERIORATION</t>
  </si>
  <si>
    <r>
      <rPr>
        <sz val="10"/>
        <rFont val="Arial"/>
        <family val="0"/>
        <charset val="1"/>
      </rPr>
      <t xml:space="preserve">Comcast </t>
    </r>
    <r>
      <rPr>
        <sz val="10"/>
        <rFont val="Noto Sans CJK SC"/>
        <family val="2"/>
      </rPr>
      <t xml:space="preserve">寬頻用戶流失，宣布重整。</t>
    </r>
  </si>
  <si>
    <t xml:space="preserve">4819520ccbc97e0ed3cf635d</t>
  </si>
  <si>
    <t xml:space="preserve">American Express Makes Major Cost Move Despite Strong Earnings</t>
  </si>
  <si>
    <t xml:space="preserve">b5fcb602c4cbd3ae8ebb6188</t>
  </si>
  <si>
    <t xml:space="preserve">Rockwell Automation stock: Mizuho cuts target to USD 430.00 for Rockwell Automation stock</t>
  </si>
  <si>
    <t xml:space="preserve">aa2106c5527a71c9193ff138</t>
  </si>
  <si>
    <t xml:space="preserve">Huntington Ingalls Industries, Inc. $HII Stake Lowered by Carnegie Investment Counsel</t>
  </si>
  <si>
    <t xml:space="preserve">26bd4762abb42c21bf329487</t>
  </si>
  <si>
    <t xml:space="preserve">Aaron Pico Issues Statement After UFC 333 TKO Win</t>
  </si>
  <si>
    <t xml:space="preserve">Heavy.com</t>
  </si>
  <si>
    <t xml:space="preserve">cb4c19d39c4ab1876a3246d0</t>
  </si>
  <si>
    <t xml:space="preserve">Ex-Chief Pilot Wants Out Of Norwegian, Boeing 737 Max Spat</t>
  </si>
  <si>
    <t xml:space="preserve">24592cf186c3b149ea1c1f71</t>
  </si>
  <si>
    <t xml:space="preserve">DVN</t>
  </si>
  <si>
    <t xml:space="preserve">Devon Energy</t>
  </si>
  <si>
    <t xml:space="preserve">Devon Energy (NYSE:DVN) Surges Before Earnings: Is There Room Left?</t>
  </si>
  <si>
    <t xml:space="preserve">b3fb1afb0b759775769ce6a0</t>
  </si>
  <si>
    <t xml:space="preserve">英偉達停產傳聞攪動華強北，顯卡一日一價</t>
  </si>
  <si>
    <t xml:space="preserve">e8fe4ab2dc4987b2cd33f4d8</t>
  </si>
  <si>
    <t xml:space="preserve">UNP</t>
  </si>
  <si>
    <t xml:space="preserve">Union Pacific Corporation</t>
  </si>
  <si>
    <t xml:space="preserve">Did Union Pacific (NYSE:UNP) Just Show That Fuel Costs Are Masking a Stronger Railroad Underneath?</t>
  </si>
  <si>
    <t xml:space="preserve">a641789728b02291dbd3d896</t>
  </si>
  <si>
    <t xml:space="preserve">Traffic Hazard at 3561 Boeing Ave</t>
  </si>
  <si>
    <t xml:space="preserve">Lost Coast Outpost</t>
  </si>
  <si>
    <t xml:space="preserve">b5234e3204b5cdd29399b6f4</t>
  </si>
  <si>
    <t xml:space="preserve">Boeing’s 777 Freighter Line Has Been Idle for Two Months. Here’s What It Costs.</t>
  </si>
  <si>
    <t xml:space="preserve">PRODUCTION_DELAY</t>
  </si>
  <si>
    <r>
      <rPr>
        <sz val="10"/>
        <rFont val="Noto Sans CJK SC"/>
        <family val="2"/>
      </rPr>
      <t xml:space="preserve">波音 </t>
    </r>
    <r>
      <rPr>
        <sz val="10"/>
        <rFont val="Arial"/>
        <family val="0"/>
        <charset val="1"/>
      </rPr>
      <t xml:space="preserve">777 </t>
    </r>
    <r>
      <rPr>
        <sz val="10"/>
        <rFont val="Noto Sans CJK SC"/>
        <family val="2"/>
      </rPr>
      <t xml:space="preserve">貨機產線閒置兩個月。</t>
    </r>
  </si>
  <si>
    <t xml:space="preserve">beb4bd846b9e49a1587f5604</t>
  </si>
  <si>
    <t xml:space="preserve">From zeitgeist to zeitghost: How Netflix kept a hold on viewers—but lost its spot in pop culture</t>
  </si>
  <si>
    <t xml:space="preserve">Fast Company</t>
  </si>
  <si>
    <t xml:space="preserve">deef9a0bcaefa730ab4acc54</t>
  </si>
  <si>
    <t xml:space="preserve">Nvidia eyes converting old nuclear plants into massive AI data centers — reusing shut-down German energy sites could reduce the cost and timeline of building from scratch</t>
  </si>
  <si>
    <t xml:space="preserve">b8c5f70420d73b77678589a4</t>
  </si>
  <si>
    <t xml:space="preserve">Netflix Officially Loses Its Crown to a Free Streaming Rival</t>
  </si>
  <si>
    <t xml:space="preserve">b991d524b59820fb36137a9a</t>
  </si>
  <si>
    <t xml:space="preserve">Comcast Corporation $CMCSA Stock: Harbor Island Capital LLC Cuts Stake</t>
  </si>
  <si>
    <t xml:space="preserve">ce016afe9b11cf1906e55d9a</t>
  </si>
  <si>
    <t xml:space="preserve">NEM</t>
  </si>
  <si>
    <t xml:space="preserve">Newmont</t>
  </si>
  <si>
    <t xml:space="preserve">Newmont Q3 Earnings: Investors Are Walking On Thin Ice (NYSE:NEM)</t>
  </si>
  <si>
    <t xml:space="preserve">4d1ba865db91fcb99e664e90</t>
  </si>
  <si>
    <t xml:space="preserve">亞馬遜利用人工智能工具監測加拿大倉庫中組建工會的風險——《環球郵報》</t>
  </si>
  <si>
    <t xml:space="preserve">f098b4f44eb261c2d1e7bcad</t>
  </si>
  <si>
    <t xml:space="preserve">COP</t>
  </si>
  <si>
    <t xml:space="preserve">ConocoPhillips</t>
  </si>
  <si>
    <t xml:space="preserve">ConocoPhillips (COP) Draws Value Interest As Fair Value Suggests Little Room Left</t>
  </si>
  <si>
    <t xml:space="preserve">0fdec5012ff604f4fb419420</t>
  </si>
  <si>
    <t xml:space="preserve">WAB</t>
  </si>
  <si>
    <t xml:space="preserve">Wabtec</t>
  </si>
  <si>
    <t xml:space="preserve">Wabtec: A Minor Q3 Miss Looks Like An Opportunity (NYSE:WAB)</t>
  </si>
  <si>
    <t xml:space="preserve">3d8c2fccf9e177394dfcf087</t>
  </si>
  <si>
    <t xml:space="preserve">RL</t>
  </si>
  <si>
    <t xml:space="preserve">Ralph Lauren Corporation</t>
  </si>
  <si>
    <t xml:space="preserve">Ralph Lauren (RL) Declines More Than Market: Some Information for Investors</t>
  </si>
  <si>
    <t xml:space="preserve">c2a76efdbb98e90ff5ae6662</t>
  </si>
  <si>
    <t xml:space="preserve">NKE</t>
  </si>
  <si>
    <t xml:space="preserve">Nike, Inc.</t>
  </si>
  <si>
    <t xml:space="preserve">Is Nike (NYSE:NKE) the Story to Follow as Yields Retreat?</t>
  </si>
  <si>
    <t xml:space="preserve">d8d31689d92802ffc5259268</t>
  </si>
  <si>
    <t xml:space="preserve">CVNA</t>
  </si>
  <si>
    <t xml:space="preserve">Carvana</t>
  </si>
  <si>
    <t xml:space="preserve">Dealership denies woman car because of her credit. Then she tries Carvana: ‘I have bought 2 cars from Carvana, never had a problem'</t>
  </si>
  <si>
    <t xml:space="preserve">Yahoo Autos</t>
  </si>
  <si>
    <t xml:space="preserve">248040f47315aea1321f2368</t>
  </si>
  <si>
    <t xml:space="preserve">GLW</t>
  </si>
  <si>
    <t xml:space="preserve">Corning Inc.</t>
  </si>
  <si>
    <t xml:space="preserve">What Is Behind the Recent Pressure on Corning (NYSE:GLW)?</t>
  </si>
  <si>
    <t xml:space="preserve">dbccb028e24e7cce19463fb7</t>
  </si>
  <si>
    <t xml:space="preserve">Review: The ASUS ProArt P16 RTX Spark is exceptional in the right hands and excessive in the wrong ones</t>
  </si>
  <si>
    <t xml:space="preserve">Windows Central</t>
  </si>
  <si>
    <t xml:space="preserve">50e59c4dda695dcac7132890</t>
  </si>
  <si>
    <t xml:space="preserve">MRK</t>
  </si>
  <si>
    <t xml:space="preserve">Merck &amp; Co.</t>
  </si>
  <si>
    <t xml:space="preserve">Merck &amp; Co., Inc. $MRK Position Trimmed by Middleton &amp; Co. Inc. MA</t>
  </si>
  <si>
    <t xml:space="preserve">e9941b756a9f2d8a615ff035</t>
  </si>
  <si>
    <t xml:space="preserve">FSLR</t>
  </si>
  <si>
    <t xml:space="preserve">First Solar</t>
  </si>
  <si>
    <t xml:space="preserve">Caught Out By First Solar's Fall? What Bears Saw</t>
  </si>
  <si>
    <t xml:space="preserve">70fff3088056286e78466bf0</t>
  </si>
  <si>
    <t xml:space="preserve">MGM</t>
  </si>
  <si>
    <t xml:space="preserve">MGM Resorts</t>
  </si>
  <si>
    <t xml:space="preserve">Host community agreement dispute between MGM Springfield and city to enter arbitration</t>
  </si>
  <si>
    <t xml:space="preserve">Western Mass News</t>
  </si>
  <si>
    <t xml:space="preserve">fa689e611561e5a086de1ebf</t>
  </si>
  <si>
    <t xml:space="preserve">CHTR</t>
  </si>
  <si>
    <t xml:space="preserve">Charter Communications</t>
  </si>
  <si>
    <t xml:space="preserve">How Low Can Charter Communications Stock Go?</t>
  </si>
  <si>
    <t xml:space="preserve">4515cfb3239c019b5e3297da</t>
  </si>
  <si>
    <t xml:space="preserve">Comcast (CMCSA) Stock Faces Q3 Earnings Margin Crunch</t>
  </si>
  <si>
    <t xml:space="preserve">85a4b830336d8cb9351276c7</t>
  </si>
  <si>
    <t xml:space="preserve">Is the AI Storage Boom Over? Why SanDisk’s Oct. 29 Earnings Could Prove the Doubters Wrong</t>
  </si>
  <si>
    <t xml:space="preserve">7de83eac529ff7b010dcf846</t>
  </si>
  <si>
    <t xml:space="preserve">JBL Says Bad Timing Hurt The Rock’s Final Boss Run, Would Love To See Him Return</t>
  </si>
  <si>
    <t xml:space="preserve">Wrestling News Co</t>
  </si>
  <si>
    <t xml:space="preserve">8610a1162a0cc9c69cacbd82</t>
  </si>
  <si>
    <t xml:space="preserve">Why is CrowdStrike stock surging today?</t>
  </si>
  <si>
    <t xml:space="preserve">a8cdaa8391f74414118aef7d</t>
  </si>
  <si>
    <t xml:space="preserve">Coinbase Q3 Earnings Preview: Can Crypto’s Rebound Save COIN From A Fourth Consecutive Miss Oct. 29?</t>
  </si>
  <si>
    <t xml:space="preserve">39f0c57d606c34458dadcff9</t>
  </si>
  <si>
    <t xml:space="preserve">APA</t>
  </si>
  <si>
    <t xml:space="preserve">APA Corporation</t>
  </si>
  <si>
    <t xml:space="preserve">Why is ASX 200-listed APA Group (ASX:APA) in focus?</t>
  </si>
  <si>
    <t xml:space="preserve">9c52917e2d358f69301b7dcf</t>
  </si>
  <si>
    <t xml:space="preserve">SNPS</t>
  </si>
  <si>
    <t xml:space="preserve">Synopsys</t>
  </si>
  <si>
    <t xml:space="preserve">What Is Behind the Recent Pressure on Synopsys (NASDAQ:SNPS)?</t>
  </si>
  <si>
    <t xml:space="preserve">614448473dc116cfc0507f56</t>
  </si>
  <si>
    <t xml:space="preserve">DAL</t>
  </si>
  <si>
    <t xml:space="preserve">Delta Air Lines</t>
  </si>
  <si>
    <t xml:space="preserve">Missed Delta Air Lines' Run? What Holders Had To Believe</t>
  </si>
  <si>
    <t xml:space="preserve">ca04bdc0e77ae3bae7798768</t>
  </si>
  <si>
    <t xml:space="preserve">Xbox’s First COO Was Leaving Microsoft 109 Days After Appointment</t>
  </si>
  <si>
    <t xml:space="preserve">9fd59d2c793e1bef366b2136</t>
  </si>
  <si>
    <t xml:space="preserve">Missed FedEx's Run? What Holders Had To Believe</t>
  </si>
  <si>
    <t xml:space="preserve">8023bae9e614797ebc4c5bf9</t>
  </si>
  <si>
    <t xml:space="preserve">DIS</t>
  </si>
  <si>
    <t xml:space="preserve">Walt Disney Company (The)</t>
  </si>
  <si>
    <t xml:space="preserve">Distil PLC Estimates – LSE:DIS</t>
  </si>
  <si>
    <t xml:space="preserve">8d9165b707830b63463afe62</t>
  </si>
  <si>
    <t xml:space="preserve">Amazon cut 30,000 corporate jobs to focus on AI. Now it’s promising 30,000 entry-level roles in the UK by 2030</t>
  </si>
  <si>
    <t xml:space="preserve">Fortune</t>
  </si>
  <si>
    <t xml:space="preserve">8ee163ad0f3b266bf20cf6a0</t>
  </si>
  <si>
    <t xml:space="preserve">MSCI</t>
  </si>
  <si>
    <t xml:space="preserve">MSCI Inc.</t>
  </si>
  <si>
    <t xml:space="preserve">MSCI warning triggered ‘manageable’ outflow from bond market, BI reveals</t>
  </si>
  <si>
    <t xml:space="preserve">The Jakarta Post</t>
  </si>
  <si>
    <t xml:space="preserve">c2646dbfd65aee5aec659e0e</t>
  </si>
  <si>
    <t xml:space="preserve">TKO’s Ari Emanuel Addresses Possible WWE Crown Jewel Relocation Amid Saudi Arabia Security Concerns</t>
  </si>
  <si>
    <t xml:space="preserve">Wrestling Headlines</t>
  </si>
  <si>
    <t xml:space="preserve">a57eba29757bd848ffdefc00</t>
  </si>
  <si>
    <t xml:space="preserve">International Business Machines Corporation $IBM Stake Reduced by Investment House LLC</t>
  </si>
  <si>
    <t xml:space="preserve">9985bf52a93f7bf34c3cd285</t>
  </si>
  <si>
    <t xml:space="preserve">PHM Maintained by RBC Capital -- Price Target Lowered to $110</t>
  </si>
  <si>
    <t xml:space="preserve">e0f9bc628105b0885f011f69</t>
  </si>
  <si>
    <t xml:space="preserve">Futures data is currently not available for 06EF27.CME.</t>
  </si>
  <si>
    <t xml:space="preserve">Yahoo! Finance Canada</t>
  </si>
  <si>
    <t xml:space="preserve">302bfcf9d60ed007e6acfc89</t>
  </si>
  <si>
    <t xml:space="preserve">SanDisk Stock Rises After Brutal Sell-Off Ahead of Earnings</t>
  </si>
  <si>
    <t xml:space="preserve">c9b47548c9e73e4382c8e5dd</t>
  </si>
  <si>
    <t xml:space="preserve">OXY</t>
  </si>
  <si>
    <t xml:space="preserve">Occidental Petroleum</t>
  </si>
  <si>
    <t xml:space="preserve">Morgan Stanley keeps Hold on Occidental Petroleum stock at USD 71 target</t>
  </si>
  <si>
    <t xml:space="preserve">0f54099671d219da6e938396</t>
  </si>
  <si>
    <t xml:space="preserve">CRM</t>
  </si>
  <si>
    <t xml:space="preserve">Salesforce</t>
  </si>
  <si>
    <t xml:space="preserve">Half Your CRM Data Is Wrong: AI Prospecting in a World of 49% Exec Turnover</t>
  </si>
  <si>
    <t xml:space="preserve">www.saastr.com</t>
  </si>
  <si>
    <t xml:space="preserve">2624d4a2d06911154d6c49f0</t>
  </si>
  <si>
    <t xml:space="preserve">CORTIS’s Name On TXT’s Album Stirs Up Massive Backlash</t>
  </si>
  <si>
    <t xml:space="preserve">79048c204117b966dbacd63a</t>
  </si>
  <si>
    <t xml:space="preserve">T</t>
  </si>
  <si>
    <t xml:space="preserve">AT&amp;T</t>
  </si>
  <si>
    <t xml:space="preserve">大摩下調AT&amp;T目標價至25美元</t>
  </si>
  <si>
    <r>
      <rPr>
        <sz val="10"/>
        <rFont val="Noto Sans CJK SC"/>
        <family val="2"/>
      </rPr>
      <t xml:space="preserve">大摩下調</t>
    </r>
    <r>
      <rPr>
        <sz val="10"/>
        <rFont val="Arial"/>
        <family val="0"/>
        <charset val="1"/>
      </rPr>
      <t xml:space="preserve">AT&amp;T</t>
    </r>
    <r>
      <rPr>
        <sz val="10"/>
        <rFont val="Noto Sans CJK SC"/>
        <family val="2"/>
      </rPr>
      <t xml:space="preserve">目標價至</t>
    </r>
    <r>
      <rPr>
        <sz val="10"/>
        <rFont val="Arial"/>
        <family val="0"/>
        <charset val="1"/>
      </rPr>
      <t xml:space="preserve">25</t>
    </r>
    <r>
      <rPr>
        <sz val="10"/>
        <rFont val="Noto Sans CJK SC"/>
        <family val="2"/>
      </rPr>
      <t xml:space="preserve">美元</t>
    </r>
  </si>
  <si>
    <t xml:space="preserve">e9d84b28361e953f2699cd68</t>
  </si>
  <si>
    <t xml:space="preserve">TTWO</t>
  </si>
  <si>
    <t xml:space="preserve">Take-Two Interactive</t>
  </si>
  <si>
    <t xml:space="preserve">AI Risks Roil Gaming Stocks; Take-Two Interactive (TTWO) Stands Out Amid Industry Uncertainty</t>
  </si>
  <si>
    <t xml:space="preserve">bc5881bebe7b375a114f1810</t>
  </si>
  <si>
    <t xml:space="preserve">META</t>
  </si>
  <si>
    <t xml:space="preserve">Meta Platforms</t>
  </si>
  <si>
    <t xml:space="preserve">Meta’s Q3 Was A Great Quarter, And The Market Is Getting It Wrong Again (NASDAQ:META)</t>
  </si>
  <si>
    <t xml:space="preserve">406b0c4a5e41d3fda1683b83</t>
  </si>
  <si>
    <t xml:space="preserve">PEP</t>
  </si>
  <si>
    <t xml:space="preserve">PepsiCo</t>
  </si>
  <si>
    <t xml:space="preserve">PepsiCo Stock And Other Defensive Dividend Plays For Uncertain Markets</t>
  </si>
  <si>
    <t xml:space="preserve">70d4147af3904a1268efdb73</t>
  </si>
  <si>
    <t xml:space="preserve">VTR</t>
  </si>
  <si>
    <t xml:space="preserve">Ventas</t>
  </si>
  <si>
    <t xml:space="preserve">What's in the Offing for Ventas Stock This Earnings Season?</t>
  </si>
  <si>
    <t xml:space="preserve">127e8495232677f700e74d2d</t>
  </si>
  <si>
    <t xml:space="preserve">Jabil (JBL) Could Be 36% Undervalued As Earnings Expectations Improve</t>
  </si>
  <si>
    <t xml:space="preserve">1330f80f60eecd3277218863</t>
  </si>
  <si>
    <t xml:space="preserve">ADSK</t>
  </si>
  <si>
    <t xml:space="preserve">Autodesk</t>
  </si>
  <si>
    <t xml:space="preserve">Autodesk (ADSK) Falls More Steeply Than Broader Market: What Investors Need to Know</t>
  </si>
  <si>
    <t xml:space="preserve">9ce7714579f7f118f482121f</t>
  </si>
  <si>
    <t xml:space="preserve">CME cash dairy prices mixed</t>
  </si>
  <si>
    <t xml:space="preserve">Brownfield Ag News</t>
  </si>
  <si>
    <t xml:space="preserve">26b2b609d35e2f09a8918636</t>
  </si>
  <si>
    <t xml:space="preserve">Walmart drones are now flying over Charlotte. More are coming</t>
  </si>
  <si>
    <t xml:space="preserve">Axios</t>
  </si>
  <si>
    <t xml:space="preserve">cc24dcffc5b0ece8d0993dee</t>
  </si>
  <si>
    <t xml:space="preserve">PRU</t>
  </si>
  <si>
    <t xml:space="preserve">Prudential Financial</t>
  </si>
  <si>
    <t xml:space="preserve">Deutsche Bank Adjusts Prudential Financial Price Target to $102 From $105, Maintains Hold Rating</t>
  </si>
  <si>
    <t xml:space="preserve">38105a9748b73733a6cd6e97</t>
  </si>
  <si>
    <t xml:space="preserve">NDAQ</t>
  </si>
  <si>
    <t xml:space="preserve">Nasdaq, Inc.</t>
  </si>
  <si>
    <t xml:space="preserve">NDAQ 8-K &amp; SEC Filings</t>
  </si>
  <si>
    <t xml:space="preserve">13952ba37d0c641e2014eb78</t>
  </si>
  <si>
    <t xml:space="preserve">Bank of America resets Tesla forecast as Robotaxi miles double</t>
  </si>
  <si>
    <t xml:space="preserve">TheStreet</t>
  </si>
  <si>
    <t xml:space="preserve">5ee225452bb048fe3b246b70</t>
  </si>
  <si>
    <t xml:space="preserve">MO</t>
  </si>
  <si>
    <t xml:space="preserve">Altria</t>
  </si>
  <si>
    <t xml:space="preserve">Altria (MO) Declines More Than Market: Some Information for Investors</t>
  </si>
  <si>
    <t xml:space="preserve">606f12e9b3d37afc79e02142</t>
  </si>
  <si>
    <t xml:space="preserve">StoneX reiterates Hold on Norfolk Southern stock after earnings beat</t>
  </si>
  <si>
    <t xml:space="preserve">86c44fe8bf031d272d8088a0</t>
  </si>
  <si>
    <t xml:space="preserve">'The Lincoln Lawyer' Star's 149-Minute Legal Thriller Officially Leaves Netflix</t>
  </si>
  <si>
    <t xml:space="preserve">Collider</t>
  </si>
  <si>
    <t xml:space="preserve">58d81fe0130d6807909499a9</t>
  </si>
  <si>
    <t xml:space="preserve">UAL</t>
  </si>
  <si>
    <t xml:space="preserve">United Airlines Holdings</t>
  </si>
  <si>
    <t xml:space="preserve">How Strong Q3 Results Will Impact United Airlines Stock (UAL)</t>
  </si>
  <si>
    <t xml:space="preserve">9cfd2d1c4a8df10b49a107ad</t>
  </si>
  <si>
    <t xml:space="preserve">ECHO</t>
  </si>
  <si>
    <t xml:space="preserve">EchoStar</t>
  </si>
  <si>
    <t xml:space="preserve">ECHO's adults-only Halloween event turns death into discovery</t>
  </si>
  <si>
    <t xml:space="preserve">Burlington Free Press</t>
  </si>
  <si>
    <t xml:space="preserve">01dd46a29c7f590eac7bc7e2</t>
  </si>
  <si>
    <t xml:space="preserve">Wells Fargo and five others object to OKX-ICE tokenized stock listings: Report</t>
  </si>
  <si>
    <t xml:space="preserve">58f4b4eca9dccaa98e7ad389</t>
  </si>
  <si>
    <t xml:space="preserve">SYF</t>
  </si>
  <si>
    <t xml:space="preserve">Synchrony Financial</t>
  </si>
  <si>
    <t xml:space="preserve">Synchrony Financial $SYF Stock: Crossmark Global Holdings Inc. Lowers Stake</t>
  </si>
  <si>
    <t xml:space="preserve">e1773b9fc2f11683cffa0f32</t>
  </si>
  <si>
    <t xml:space="preserve">TFC</t>
  </si>
  <si>
    <t xml:space="preserve">Truist Financial</t>
  </si>
  <si>
    <t xml:space="preserve">Truist Financial stock costs EUR 43.26 in weekend trading</t>
  </si>
  <si>
    <t xml:space="preserve">8b7211d46176cba1045f8bad</t>
  </si>
  <si>
    <t xml:space="preserve">ROL</t>
  </si>
  <si>
    <t xml:space="preserve">Rollins, Inc.</t>
  </si>
  <si>
    <t xml:space="preserve">What Is Behind the Recent Pressure on Rollins (NYSE:ROL)?</t>
  </si>
  <si>
    <t xml:space="preserve">00397f0148058577080864d2</t>
  </si>
  <si>
    <t xml:space="preserve">TYL</t>
  </si>
  <si>
    <t xml:space="preserve">Tyler Technologies</t>
  </si>
  <si>
    <t xml:space="preserve">S&amp;P 500 Premarket Movers: CCI and SBAC Lead Gainers, TYL and DECK Top Decliners</t>
  </si>
  <si>
    <t xml:space="preserve">ChartMill</t>
  </si>
  <si>
    <t xml:space="preserve">96b703a8f46ed0888856ebac</t>
  </si>
  <si>
    <t xml:space="preserve">Toyota Driver’s Taillight Burns Out. So She Heads To Walmart To Get A Push Light Instead</t>
  </si>
  <si>
    <t xml:space="preserve">aeaee228538493395d31d81a</t>
  </si>
  <si>
    <t xml:space="preserve">亞馬遜CEO：公司雲服務容量已售罄至2027年</t>
  </si>
  <si>
    <r>
      <rPr>
        <sz val="10"/>
        <rFont val="Noto Sans CJK SC"/>
        <family val="2"/>
      </rPr>
      <t xml:space="preserve">亞馬遜</t>
    </r>
    <r>
      <rPr>
        <sz val="10"/>
        <rFont val="Arial"/>
        <family val="0"/>
        <charset val="1"/>
      </rPr>
      <t xml:space="preserve">CEO</t>
    </r>
    <r>
      <rPr>
        <sz val="10"/>
        <rFont val="Noto Sans CJK SC"/>
        <family val="2"/>
      </rPr>
      <t xml:space="preserve">：公司雲服務容量已售罄至</t>
    </r>
    <r>
      <rPr>
        <sz val="10"/>
        <rFont val="Arial"/>
        <family val="0"/>
        <charset val="1"/>
      </rPr>
      <t xml:space="preserve">2027</t>
    </r>
    <r>
      <rPr>
        <sz val="10"/>
        <rFont val="Noto Sans CJK SC"/>
        <family val="2"/>
      </rPr>
      <t xml:space="preserve">年</t>
    </r>
  </si>
  <si>
    <t xml:space="preserve">1c849500a6c5564b5ef13154</t>
  </si>
  <si>
    <t xml:space="preserve">Cummins Inc. $CMI Stock: Anderson Hoagland &amp; Co. Cuts Stake</t>
  </si>
  <si>
    <t xml:space="preserve">f91e37f72195f3d25147165d</t>
  </si>
  <si>
    <t xml:space="preserve">Why Goldman Sachs views Grid and Utilities as the key AI growth bottlenecks</t>
  </si>
  <si>
    <t xml:space="preserve">Invezz</t>
  </si>
  <si>
    <t xml:space="preserve">7e2419bfd3ad7b3e0981e992</t>
  </si>
  <si>
    <t xml:space="preserve">Bradley Cooper Was Cast First: Liam Neeson’s ‘The Grey’ Is Leaving Netflix</t>
  </si>
  <si>
    <t xml:space="preserve">AOL.com</t>
  </si>
  <si>
    <t xml:space="preserve">fd4ff00bf1353c5dd55673f0</t>
  </si>
  <si>
    <t xml:space="preserve">Nose To Tail: American Airlines To Reportedly Replace Windows On Older Boeing 787 Dreamliners</t>
  </si>
  <si>
    <t xml:space="preserve">6a17d73bc943496d3a443542</t>
  </si>
  <si>
    <t xml:space="preserve">NDSN</t>
  </si>
  <si>
    <t xml:space="preserve">Nordson Corporation</t>
  </si>
  <si>
    <t xml:space="preserve">NDSN 8-K &amp; SEC Filings</t>
  </si>
  <si>
    <t xml:space="preserve">41ae4acc322c09dca1ff4f70</t>
  </si>
  <si>
    <t xml:space="preserve">Nvidia wraps OpenShell around full-stack silicon to stop AI agents going rogue</t>
  </si>
  <si>
    <t xml:space="preserve">SDxCentral</t>
  </si>
  <si>
    <t xml:space="preserve">3701e0b4ec593387017ec0ba</t>
  </si>
  <si>
    <t xml:space="preserve">$SanDisk (SNDK.US)$ I checked the latest calendar and found that the week of October 26–30 could be one of the most event-heavy weeks for US stocks recently, carrying the highest risk of volatility.</t>
  </si>
  <si>
    <t xml:space="preserve">Moomoo</t>
  </si>
  <si>
    <t xml:space="preserve">52966d629a529e732dd5adfa</t>
  </si>
  <si>
    <t xml:space="preserve">CHRW</t>
  </si>
  <si>
    <t xml:space="preserve">C.H. Robinson</t>
  </si>
  <si>
    <t xml:space="preserve">Did Earnings Estimates Shift Just Change C.H. Robinson's (CHRW) Investment Narrative?</t>
  </si>
  <si>
    <t xml:space="preserve">3175192fed244228632f69eb</t>
  </si>
  <si>
    <t xml:space="preserve">ETN</t>
  </si>
  <si>
    <t xml:space="preserve">Eaton Corporation</t>
  </si>
  <si>
    <t xml:space="preserve">Why Did Eaton (NYSE:ETN) Face Pressure?</t>
  </si>
  <si>
    <t xml:space="preserve">6ab5f310343fefc61af034d1</t>
  </si>
  <si>
    <t xml:space="preserve">HRL</t>
  </si>
  <si>
    <t xml:space="preserve">Hormel Foods</t>
  </si>
  <si>
    <t xml:space="preserve">Hormel Foods board member Smith to retire at 2027 annual meeting</t>
  </si>
  <si>
    <t xml:space="preserve">14d80bac2d7800faca685404</t>
  </si>
  <si>
    <t xml:space="preserve">NCLH</t>
  </si>
  <si>
    <t xml:space="preserve">Norwegian Cruise Line Holdings</t>
  </si>
  <si>
    <t xml:space="preserve">Norwegian Cruise Line Holdings (NCLH) Could Be 20% Undervalued As JPMorgan Flags Yield Risk</t>
  </si>
  <si>
    <t xml:space="preserve">58de67a2c78f9f3f254633f5</t>
  </si>
  <si>
    <t xml:space="preserve">VRT</t>
  </si>
  <si>
    <t xml:space="preserve">Vertiv</t>
  </si>
  <si>
    <t xml:space="preserve">Vertiv's Q3 report on Oct 28 will prove if dela...</t>
  </si>
  <si>
    <t xml:space="preserve">Pluang</t>
  </si>
  <si>
    <t xml:space="preserve">aee1e8dbfb8010db22a69993</t>
  </si>
  <si>
    <t xml:space="preserve">Alphabet, Microsoft And Amazon Lead The Busiest Week Of Earnings Season</t>
  </si>
  <si>
    <t xml:space="preserve">Forbes</t>
  </si>
  <si>
    <t xml:space="preserve">c17cf4b3b66bf643be67326a</t>
  </si>
  <si>
    <t xml:space="preserve">Francis Duru’s death devastating loss to Nollywood – AMP-FCT</t>
  </si>
  <si>
    <t xml:space="preserve">PM News Nigeria</t>
  </si>
  <si>
    <t xml:space="preserve">c88bb78fe1e1629d732ebf19</t>
  </si>
  <si>
    <t xml:space="preserve">Retail investors pull back, but household stock demand remains strong: Goldman Sachs</t>
  </si>
  <si>
    <t xml:space="preserve">1825ddd4f4e85b2268c4d46b</t>
  </si>
  <si>
    <t xml:space="preserve">38a3c26a0f11dc83d1d2fa29</t>
  </si>
  <si>
    <t xml:space="preserve">Coca-Cola (KO) Registers a Bigger Fall Than the Market: Important Facts to Note</t>
  </si>
  <si>
    <t xml:space="preserve">5747f164e7e837b275f096c1</t>
  </si>
  <si>
    <t xml:space="preserve">FDS</t>
  </si>
  <si>
    <t xml:space="preserve">FactSet</t>
  </si>
  <si>
    <t xml:space="preserve">FactSet (FDS) Stock May Be 25% Undervalued After Private Markets Data Deal</t>
  </si>
  <si>
    <t xml:space="preserve">904ad49b6e2c4fb65cc6ecab</t>
  </si>
  <si>
    <t xml:space="preserve">Microsoft's Windows Insider wallpapers were apparently made on a Mac</t>
  </si>
  <si>
    <t xml:space="preserve">TechSpot</t>
  </si>
  <si>
    <t xml:space="preserve">b6c88b50c4638c4f5c722b95</t>
  </si>
  <si>
    <t xml:space="preserve">Moderna’s Cancer-Vaccine Leak Spurs Panic Selling. Wall Street Wanted a Cure.</t>
  </si>
  <si>
    <t xml:space="preserve">Barron's</t>
  </si>
  <si>
    <t xml:space="preserve">96ff1eab9832a9c915e052a4</t>
  </si>
  <si>
    <t xml:space="preserve">DVA</t>
  </si>
  <si>
    <t xml:space="preserve">DaVita</t>
  </si>
  <si>
    <t xml:space="preserve">DaVita HealthCare (DVA) Falls More Steeply Than Broader Market: What Investors Need to Know</t>
  </si>
  <si>
    <t xml:space="preserve">c87c1b7d01ec3aba7ce21ea0</t>
  </si>
  <si>
    <t xml:space="preserve">COST</t>
  </si>
  <si>
    <t xml:space="preserve">Costco</t>
  </si>
  <si>
    <t xml:space="preserve">8 Kirkland Signature Products Costco Discontinued In 2026</t>
  </si>
  <si>
    <t xml:space="preserve">Mashed</t>
  </si>
  <si>
    <t xml:space="preserve">2f44833b75eb1617d913a0e7</t>
  </si>
  <si>
    <t xml:space="preserve">FIX</t>
  </si>
  <si>
    <t xml:space="preserve">Comfort Systems USA</t>
  </si>
  <si>
    <t xml:space="preserve">PLEASE FIX: Foliage on stoplight near WaterView Casino</t>
  </si>
  <si>
    <t xml:space="preserve">Vicksburg Post</t>
  </si>
  <si>
    <t xml:space="preserve">df3210bdc874b6d2f2c08d21</t>
  </si>
  <si>
    <t xml:space="preserve">Scarlett Johansson’s 108-Minute Sci-Fi Body Horror Movie Officially Leaves Netflix This Week</t>
  </si>
  <si>
    <t xml:space="preserve">fd6c97cdae559cbe58739530</t>
  </si>
  <si>
    <t xml:space="preserve">Verizon Communications (VZ) Seeks FCC Signoff To End Copper Landlines As Review Widens</t>
  </si>
  <si>
    <t xml:space="preserve">4efb4e1e1bfc939b6ece40bb</t>
  </si>
  <si>
    <t xml:space="preserve">What's Going On With Procter &amp; Gamble Stock Friday? - Procter &amp; Gamble (NYSE:PG)</t>
  </si>
  <si>
    <t xml:space="preserve">53de36a84ba0f38ad29fe2bf</t>
  </si>
  <si>
    <t xml:space="preserve">Lone’er Kavanagh stuns Ramazonbek Temirov with first-round TKO at UFC 333</t>
  </si>
  <si>
    <t xml:space="preserve">MMA Sucka</t>
  </si>
  <si>
    <t xml:space="preserve">2e26bf53e7dab634cae007ce</t>
  </si>
  <si>
    <t xml:space="preserve">Builders FirstSource (BLDR) Registers a Bigger Fall Than the Market: Important Facts to Note</t>
  </si>
  <si>
    <t xml:space="preserve">Yahoo Finance UK</t>
  </si>
  <si>
    <t xml:space="preserve">580ce4da47624690e947330d</t>
  </si>
  <si>
    <t xml:space="preserve">CSGP</t>
  </si>
  <si>
    <t xml:space="preserve">CoStar Group</t>
  </si>
  <si>
    <t xml:space="preserve">A Look at CoStar Group Inc (CSGP) After 4.3% Decline -- GF Value $106.64 vs Price $33.92</t>
  </si>
  <si>
    <t xml:space="preserve">55f4eb06966c64078a93ded3</t>
  </si>
  <si>
    <t xml:space="preserve">ECHO OF DISMAY | THE WEEK India - news</t>
  </si>
  <si>
    <t xml:space="preserve">Magzter</t>
  </si>
  <si>
    <t xml:space="preserve">d6cdd14f677cc771dadd6da5</t>
  </si>
  <si>
    <t xml:space="preserve">How Upcoming Earnings At FirstEnergy (FE) Has Changed Its Investment Story</t>
  </si>
  <si>
    <t xml:space="preserve">f3f008ece5d4937484d35e8b</t>
  </si>
  <si>
    <t xml:space="preserve">ROST</t>
  </si>
  <si>
    <t xml:space="preserve">Ross Stores</t>
  </si>
  <si>
    <t xml:space="preserve">Ross Stores, Inc. $ROST Stock: Sterling Capital Management LLC Lowers Stake</t>
  </si>
  <si>
    <t xml:space="preserve">b9b1c3d850137c3dfa08463b</t>
  </si>
  <si>
    <t xml:space="preserve">LEN</t>
  </si>
  <si>
    <t xml:space="preserve">Lennar</t>
  </si>
  <si>
    <t xml:space="preserve">Weiss Ratings downgrades Lennar: 19 analysts rate Lennar Corporation stock</t>
  </si>
  <si>
    <t xml:space="preserve">5a95f5f8f4848425b28969f3</t>
  </si>
  <si>
    <t xml:space="preserve">CBRE Group (NYSE:CBRE) Announces FY 2026 Earnings Guidance</t>
  </si>
  <si>
    <t xml:space="preserve">a821b2633ddd794f19a57cc0</t>
  </si>
  <si>
    <t xml:space="preserve">Goldman Sachs resets Eli Lilly 12-month stock price target before earnings</t>
  </si>
  <si>
    <t xml:space="preserve">e3fc35f6fb3cf4dbb4b69927</t>
  </si>
  <si>
    <t xml:space="preserve">[[[TSN^Sports]] Toronto Argonauts vS Montreal Alouettes ＬＩＶＥ</t>
  </si>
  <si>
    <t xml:space="preserve">小豆島町</t>
  </si>
  <si>
    <t xml:space="preserve">a24ebde3cef523603cd660b9</t>
  </si>
  <si>
    <t xml:space="preserve">AEP</t>
  </si>
  <si>
    <t xml:space="preserve">American Electric Power</t>
  </si>
  <si>
    <t xml:space="preserve">St. Joseph County resident, officials react to proposed Amazon, AEP nuclear plant</t>
  </si>
  <si>
    <t xml:space="preserve">nwitimes.com</t>
  </si>
  <si>
    <t xml:space="preserve">abcfdfc1ee1301449b43771f</t>
  </si>
  <si>
    <t xml:space="preserve">The Outrageously Cheesy McDonald's Burger You Might Have Forgotten About</t>
  </si>
  <si>
    <t xml:space="preserve">1066dc81d035701a51a75504</t>
  </si>
  <si>
    <t xml:space="preserve">ab67ea637e272ecd8fc910ec</t>
  </si>
  <si>
    <t xml:space="preserve">American Express Company Q3 2026 Earnings Call Summary</t>
  </si>
  <si>
    <t xml:space="preserve">ca666aa0f368c32199183f66</t>
  </si>
  <si>
    <t xml:space="preserve">Did You Miss These $10B-$20B Earnings Results? Snap-on (NYSE:SNA), Tractor Supply (NASDAQ:TSCO), NVR (NYSE:NVR) and 5 More</t>
  </si>
  <si>
    <t xml:space="preserve">4cc08c409d54ef902c08fa5e</t>
  </si>
  <si>
    <t xml:space="preserve">HONA UPCOMING DEADLINE: Levi &amp; Korsinsky Alerts Honeywell Aerospace Inc. Stockholders of Securities Class Action - Contact the Firm</t>
  </si>
  <si>
    <r>
      <rPr>
        <sz val="10"/>
        <rFont val="Noto Sans CJK SC"/>
        <family val="2"/>
      </rPr>
      <t xml:space="preserve">律所公告證券集體訴訟／股東求償（</t>
    </r>
    <r>
      <rPr>
        <sz val="10"/>
        <rFont val="Arial"/>
        <family val="0"/>
        <charset val="1"/>
      </rPr>
      <t xml:space="preserve">Honeywell Aerospace</t>
    </r>
    <r>
      <rPr>
        <sz val="10"/>
        <rFont val="Noto Sans CJK SC"/>
        <family val="2"/>
      </rPr>
      <t xml:space="preserve">、</t>
    </r>
    <r>
      <rPr>
        <sz val="10"/>
        <rFont val="Arial"/>
        <family val="0"/>
        <charset val="1"/>
      </rPr>
      <t xml:space="preserve">J.B. Hunt</t>
    </r>
    <r>
      <rPr>
        <sz val="10"/>
        <rFont val="Noto Sans CJK SC"/>
        <family val="2"/>
      </rPr>
      <t xml:space="preserve">）或隱私訴訟（</t>
    </r>
    <r>
      <rPr>
        <sz val="10"/>
        <rFont val="Arial"/>
        <family val="0"/>
        <charset val="1"/>
      </rPr>
      <t xml:space="preserve">Humana</t>
    </r>
    <r>
      <rPr>
        <sz val="10"/>
        <rFont val="Noto Sans CJK SC"/>
        <family val="2"/>
      </rPr>
      <t xml:space="preserve">）。</t>
    </r>
  </si>
  <si>
    <t xml:space="preserve">340f4ed80f5b9b14cd977d11</t>
  </si>
  <si>
    <t xml:space="preserve">Alexander Volkanovski TKO’s Movsar Evloev In 2nd Round At UFC 333</t>
  </si>
  <si>
    <t xml:space="preserve">MMA Insight</t>
  </si>
  <si>
    <t xml:space="preserve">755751e0855d2d95c6f80551</t>
  </si>
  <si>
    <t xml:space="preserve">PPG</t>
  </si>
  <si>
    <t xml:space="preserve">PPG Industries</t>
  </si>
  <si>
    <t xml:space="preserve">Guentzel buries blocked puck for PPG</t>
  </si>
  <si>
    <t xml:space="preserve">NHL.com</t>
  </si>
  <si>
    <t xml:space="preserve">071d7ac5c366d17bfabcaa92</t>
  </si>
  <si>
    <t xml:space="preserve">J.P. Morgan Maintains Honeywell(HON.US) With Buy Rating, Cuts Target Price to $241</t>
  </si>
  <si>
    <t xml:space="preserve">50dba314c807ed0c9aa310e4</t>
  </si>
  <si>
    <t xml:space="preserve">Boeing Q3 2026 Earnings Date and Estimates</t>
  </si>
  <si>
    <t xml:space="preserve">3a4b537c7eb00f829e82c523</t>
  </si>
  <si>
    <t xml:space="preserve">Apple Stock Price Forecast: AAPL Continues Pullback After Record High, Will It Test $300 Again This Year?</t>
  </si>
  <si>
    <t xml:space="preserve">TradingKey</t>
  </si>
  <si>
    <t xml:space="preserve">72fc1cffa2cb6cb2e7c6f1a0</t>
  </si>
  <si>
    <t xml:space="preserve">Does Lennar (LEN) Stock Look Undervalued After Mixed Signals?</t>
  </si>
  <si>
    <t xml:space="preserve">508c5ba26632330e1838fdc9</t>
  </si>
  <si>
    <t xml:space="preserve">Newmont And 2 Other Great Undervalued Stocks</t>
  </si>
  <si>
    <t xml:space="preserve">2856546db22997f987a9189f</t>
  </si>
  <si>
    <t xml:space="preserve">AZO</t>
  </si>
  <si>
    <t xml:space="preserve">AutoZone</t>
  </si>
  <si>
    <t xml:space="preserve">Man Gets AutoZone Car Code. Then He Tries To Skip The Mechanic And Use ChatGPT: "Are You Guys Lying To Me?"</t>
  </si>
  <si>
    <t xml:space="preserve">8d60ec858b0ab81f68a50325</t>
  </si>
  <si>
    <t xml:space="preserve">MGM Springfield president discusses move to sell casino, ongoing litigation</t>
  </si>
  <si>
    <t xml:space="preserve">NEPM</t>
  </si>
  <si>
    <t xml:space="preserve">e81d3628bec8acb55432724a</t>
  </si>
  <si>
    <t xml:space="preserve">ABNB</t>
  </si>
  <si>
    <t xml:space="preserve">Airbnb</t>
  </si>
  <si>
    <t xml:space="preserve">Airbnb limits checkout chores hosts can require guests to complete</t>
  </si>
  <si>
    <t xml:space="preserve">Scripps News</t>
  </si>
  <si>
    <t xml:space="preserve">adec71520b6dca80732c96ce</t>
  </si>
  <si>
    <t xml:space="preserve">'Cameron Green, Josh Inglis': Pat Cummins hints at major changes in Australia XI after 2nd Test loss, issues warning to Marnus Labuschagne</t>
  </si>
  <si>
    <t xml:space="preserve">https://www.cricketnews.com/</t>
  </si>
  <si>
    <t xml:space="preserve">b387f0aee666f46bac67e5cb</t>
  </si>
  <si>
    <t xml:space="preserve">Death Notice of Ann (Dolly) Cummins (née Penston) (Hollymount, Mayo)</t>
  </si>
  <si>
    <t xml:space="preserve">RIP.ie</t>
  </si>
  <si>
    <t xml:space="preserve">43083fa42efb5f8b58429693</t>
  </si>
  <si>
    <t xml:space="preserve">AT&amp;T Froze Its Dividend After a 2022 Cut. Is Verizon the Better Income Stock?</t>
  </si>
  <si>
    <t xml:space="preserve">53e8052c4fddb7d23f7ffc0c</t>
  </si>
  <si>
    <t xml:space="preserve">Is Huntington Bancshares (HBAN) Expensive Following Its Third Quarter Results And Buyback Backing?</t>
  </si>
  <si>
    <t xml:space="preserve">5d870c996da017f787253167</t>
  </si>
  <si>
    <t xml:space="preserve">KHC</t>
  </si>
  <si>
    <t xml:space="preserve">Kraft Heinz</t>
  </si>
  <si>
    <t xml:space="preserve">Kraft Heinz (KHC) Declines More Than Market: Some Information for Investors</t>
  </si>
  <si>
    <t xml:space="preserve">b1e728d30e32e235c23d29a0</t>
  </si>
  <si>
    <t xml:space="preserve">Instacart Sale Talks With DoorDash and Uber Raise Concerns</t>
  </si>
  <si>
    <t xml:space="preserve">Baller Alert</t>
  </si>
  <si>
    <t xml:space="preserve">4a9b21f57ffa014cc9770b95</t>
  </si>
  <si>
    <t xml:space="preserve">AIG Ewah inspects police formations in Ile-Ife, Edunabon</t>
  </si>
  <si>
    <t xml:space="preserve">The Hope Newspaper</t>
  </si>
  <si>
    <t xml:space="preserve">34c9bfc3306f75109c5653d9</t>
  </si>
  <si>
    <t xml:space="preserve">British Airways Boeing 777 Encounters Mystery Object Near Heathrow: Category A Risk</t>
  </si>
  <si>
    <t xml:space="preserve">The Aviation Hub</t>
  </si>
  <si>
    <t xml:space="preserve">c4413d9ff0cabcf392397b6b</t>
  </si>
  <si>
    <t xml:space="preserve">FOX</t>
  </si>
  <si>
    <t xml:space="preserve">Fox Corporation (Class B)</t>
  </si>
  <si>
    <t xml:space="preserve">GROUND-AND-POUND | 📺 FOX</t>
  </si>
  <si>
    <t xml:space="preserve">BYU Athletics</t>
  </si>
  <si>
    <t xml:space="preserve">82d5b68984240aaaf5dcbc16</t>
  </si>
  <si>
    <t xml:space="preserve">Entergy says industrial customers must help finance new nuclear plants</t>
  </si>
  <si>
    <t xml:space="preserve">The Center Square</t>
  </si>
  <si>
    <t xml:space="preserve">2dbb91254cf20e1f7eaabbbe</t>
  </si>
  <si>
    <t xml:space="preserve">MSCI presses Jakarta to tackle market manipulation</t>
  </si>
  <si>
    <t xml:space="preserve">Indonesia Business Post</t>
  </si>
  <si>
    <t xml:space="preserve">882808ab9b46fda7334cabf6</t>
  </si>
  <si>
    <t xml:space="preserve">DGX</t>
  </si>
  <si>
    <t xml:space="preserve">Quest Diagnostics</t>
  </si>
  <si>
    <t xml:space="preserve">Quest Diagnostics discloses cyber breach</t>
  </si>
  <si>
    <t xml:space="preserve">Washington Times</t>
  </si>
  <si>
    <t xml:space="preserve">DATA_BREACH</t>
  </si>
  <si>
    <r>
      <rPr>
        <sz val="10"/>
        <rFont val="Arial"/>
        <family val="0"/>
        <charset val="1"/>
      </rPr>
      <t xml:space="preserve">Quest Diagnostics </t>
    </r>
    <r>
      <rPr>
        <sz val="10"/>
        <rFont val="Noto Sans CJK SC"/>
        <family val="2"/>
      </rPr>
      <t xml:space="preserve">資料外洩並暫停實驗室入口網站。</t>
    </r>
  </si>
  <si>
    <t xml:space="preserve">dec0aeaf49004c07ec209087</t>
  </si>
  <si>
    <t xml:space="preserve">花旗：將西部數據目標價下調至660美元</t>
  </si>
  <si>
    <r>
      <rPr>
        <sz val="10"/>
        <rFont val="Noto Sans CJK SC"/>
        <family val="2"/>
      </rPr>
      <t xml:space="preserve">花旗：將西部數據目標價下調至</t>
    </r>
    <r>
      <rPr>
        <sz val="10"/>
        <rFont val="Arial"/>
        <family val="0"/>
        <charset val="1"/>
      </rPr>
      <t xml:space="preserve">660</t>
    </r>
    <r>
      <rPr>
        <sz val="10"/>
        <rFont val="Noto Sans CJK SC"/>
        <family val="2"/>
      </rPr>
      <t xml:space="preserve">美元</t>
    </r>
  </si>
  <si>
    <t xml:space="preserve">7f63d988e029701775800b2a</t>
  </si>
  <si>
    <t xml:space="preserve">Starbucks' Comeback: The Store-closure Math Behind The Myth</t>
  </si>
  <si>
    <t xml:space="preserve">Nett Magazine Online</t>
  </si>
  <si>
    <t xml:space="preserve">cc6a0b310190f3a2b069e277</t>
  </si>
  <si>
    <t xml:space="preserve">Unusual Options Volume Report: PepsiCo Stock</t>
  </si>
  <si>
    <t xml:space="preserve">Schaeffer's Investment Research</t>
  </si>
  <si>
    <t xml:space="preserve">9e946c3990d190d741b87c61</t>
  </si>
  <si>
    <t xml:space="preserve">Yakhyaev Stops Nikita Krylov With First-Round TKO at UFC 333</t>
  </si>
  <si>
    <t xml:space="preserve">BVM Sports</t>
  </si>
  <si>
    <t xml:space="preserve">36e90d9ddcd79d0520fe5ca5</t>
  </si>
  <si>
    <t xml:space="preserve">ISRG</t>
  </si>
  <si>
    <t xml:space="preserve">Intuitive Surgical</t>
  </si>
  <si>
    <t xml:space="preserve">Slower Procedure Growth Change The Bull Case For Intuitive Surgical Stock?</t>
  </si>
  <si>
    <t xml:space="preserve">54f185ec2c7ab9c77f7964cc</t>
  </si>
  <si>
    <t xml:space="preserve">Exit interview: Microsoft’s comms chief on CEOs, reporters, what he got wrong, and stories that stuck</t>
  </si>
  <si>
    <t xml:space="preserve">GeekWire</t>
  </si>
  <si>
    <t xml:space="preserve">2ac5181269dca6e7e54267c9</t>
  </si>
  <si>
    <t xml:space="preserve">A Walmart shopper bought an Intel Core i9 14900K for just $50 instead of $361.</t>
  </si>
  <si>
    <t xml:space="preserve">GameGPU</t>
  </si>
  <si>
    <t xml:space="preserve">81b0cd96f99427f7adee992d</t>
  </si>
  <si>
    <t xml:space="preserve">NDAQ 10-Q &amp; SEC Filings</t>
  </si>
  <si>
    <t xml:space="preserve">dfbc5ecd555ced94e94bca6b</t>
  </si>
  <si>
    <t xml:space="preserve">$Tesla (TSLA.US)$ i believe you will go below! dont let me get assigned!</t>
  </si>
  <si>
    <t xml:space="preserve">1d5523382b0f1f281f8d861c</t>
  </si>
  <si>
    <t xml:space="preserve">Quest Diagnostics pauses lab portal after breach</t>
  </si>
  <si>
    <t xml:space="preserve">DysruptionHub</t>
  </si>
  <si>
    <t xml:space="preserve">1cd00808eccc7307b10fc16a</t>
  </si>
  <si>
    <t xml:space="preserve">Texas Instruments CEO Sees No Slowdown in Data Center Demand: 'Actually Growing Demand'</t>
  </si>
  <si>
    <t xml:space="preserve">36bfeac0cdac95b341ec0bd8</t>
  </si>
  <si>
    <t xml:space="preserve">What’s Driving Attention on Union Pacific (NYSE:UNP) Now?</t>
  </si>
  <si>
    <t xml:space="preserve">6435836370f9ba088404f371</t>
  </si>
  <si>
    <t xml:space="preserve">American Express profit jumps as customers stick with the $895 Platinum Card</t>
  </si>
  <si>
    <t xml:space="preserve">Bozeman Daily Chronicle</t>
  </si>
  <si>
    <t xml:space="preserve">0a6f54f9a0d4602524ce9a03</t>
  </si>
  <si>
    <t xml:space="preserve">Opinion: Marissa’s Mirror Ball Memo: Obsessing over Dancing With The Stars</t>
  </si>
  <si>
    <t xml:space="preserve">The Daily Beacon</t>
  </si>
  <si>
    <t xml:space="preserve">2ef821af7c1de592b0a597f7</t>
  </si>
  <si>
    <t xml:space="preserve">What Wynn Resorts Holders Got Wrong Before The Slide</t>
  </si>
  <si>
    <t xml:space="preserve">25c4994380f41744900b6643</t>
  </si>
  <si>
    <t xml:space="preserve">Nvidia CEO AI promotional push lands in Kazakhstan</t>
  </si>
  <si>
    <t xml:space="preserve">Mobile World Live</t>
  </si>
  <si>
    <t xml:space="preserve">1b62ea74ffeecca6363c0743</t>
  </si>
  <si>
    <t xml:space="preserve">How Upcoming Earnings Will Impact Autodesk (ADSK) Stock</t>
  </si>
  <si>
    <t xml:space="preserve">6ebc586ec50597fc7e150598</t>
  </si>
  <si>
    <t xml:space="preserve">Nvidia’s open-source Flora labels an hour of robot video for 72 cents, against about $88.50 on GPT-6 Astra</t>
  </si>
  <si>
    <t xml:space="preserve">29fc25d61bbc8f67f25f82fd</t>
  </si>
  <si>
    <t xml:space="preserve">American Express Reports Third-Quarter 2026 Financial Results</t>
  </si>
  <si>
    <t xml:space="preserve">8df80e8ed2732c20d3c58f9e</t>
  </si>
  <si>
    <t xml:space="preserve">Cigna Group (CI) Evernorth Growth Draws Focus, Is The Stock Still Undervalued?</t>
  </si>
  <si>
    <t xml:space="preserve">6a7ffdc55106b142254fd7d1</t>
  </si>
  <si>
    <t xml:space="preserve">Blackrock World Mining Trust PLC Estimates – FWB:14F</t>
  </si>
  <si>
    <t xml:space="preserve">199513db41232bd4e4e5fee8</t>
  </si>
  <si>
    <t xml:space="preserve">EBAY</t>
  </si>
  <si>
    <t xml:space="preserve">eBay Inc.</t>
  </si>
  <si>
    <t xml:space="preserve">eBay (NASDAQ:EBAY) Issues Q3 2026 Earnings Guidance</t>
  </si>
  <si>
    <t xml:space="preserve">6dc9aa6842a674fd6404e609</t>
  </si>
  <si>
    <t xml:space="preserve">5-star Uber rider was making small talk when the driver asked about having kids — one honest answer left the passenger with a 1-star rating</t>
  </si>
  <si>
    <t xml:space="preserve">Amplify Upworthy</t>
  </si>
  <si>
    <t xml:space="preserve">22c1136d5b55e2ef75a76f3f</t>
  </si>
  <si>
    <t xml:space="preserve">AME</t>
  </si>
  <si>
    <t xml:space="preserve">Ametek</t>
  </si>
  <si>
    <t xml:space="preserve">AMETEK schedules quarterly results as AMETEK stock trades at EUR 214.25</t>
  </si>
  <si>
    <t xml:space="preserve">59dc08c9214b7954f343d269</t>
  </si>
  <si>
    <t xml:space="preserve">AON</t>
  </si>
  <si>
    <t xml:space="preserve">Aon plc</t>
  </si>
  <si>
    <t xml:space="preserve">Aon plc $AON Stock Holdings Decreased by AMF Tjanstepension AB</t>
  </si>
  <si>
    <t xml:space="preserve">045130d03eaf2d69c4c27ac5</t>
  </si>
  <si>
    <t xml:space="preserve">AVGO</t>
  </si>
  <si>
    <t xml:space="preserve">Broadcom</t>
  </si>
  <si>
    <t xml:space="preserve">Broadcom announces AI networking as Broadcom stock costs EUR 288.00</t>
  </si>
  <si>
    <t xml:space="preserve">94a8169bea4ca9be5cf95aaf</t>
  </si>
  <si>
    <t xml:space="preserve">American Express Q3 Earnings Call Highlights</t>
  </si>
  <si>
    <t xml:space="preserve">08ba0bd499719f2b5e2d7f62</t>
  </si>
  <si>
    <t xml:space="preserve">Maxim Naumov unpacks ‘brutal’ ‘Special Forces’ moments that nearly made him cry with VRT</t>
  </si>
  <si>
    <t xml:space="preserve">Page Six</t>
  </si>
  <si>
    <t xml:space="preserve">5d65eae6a6c0f4b0d5afc0ab</t>
  </si>
  <si>
    <t xml:space="preserve">Comcast Offers 'Limited' Upside Potential, Oppenheimer Says</t>
  </si>
  <si>
    <t xml:space="preserve">64347108d61d27df48ce65ca</t>
  </si>
  <si>
    <t xml:space="preserve">DRI Seizes ₹7.32 Crore Meth From Delhi-Bhopal Bus Passenger</t>
  </si>
  <si>
    <t xml:space="preserve">The420.in</t>
  </si>
  <si>
    <t xml:space="preserve">e7664ece77b5fd24762f6d50</t>
  </si>
  <si>
    <t xml:space="preserve">Not Nvidia. Not Micron. This Little-Known Chip Stock Is the AI Boom's Best-Kept Secret.</t>
  </si>
  <si>
    <t xml:space="preserve">3096bbcd261016f38d1de227</t>
  </si>
  <si>
    <t xml:space="preserve">RMD</t>
  </si>
  <si>
    <t xml:space="preserve">ResMed</t>
  </si>
  <si>
    <t xml:space="preserve">Why Is ASX 200-Listed ResMed in Focus (ASX:RMD)?</t>
  </si>
  <si>
    <t xml:space="preserve">cb506390b3b0829505161cf6</t>
  </si>
  <si>
    <t xml:space="preserve">Netflix Steals Chris Rock's A24 Movie From Under HBO Max's Nose</t>
  </si>
  <si>
    <t xml:space="preserve">c27b7795ec527b772503232a</t>
  </si>
  <si>
    <t xml:space="preserve">eBay (EBAY) Stock Could Trade At A Discount As Its 236% Run Continues</t>
  </si>
  <si>
    <t xml:space="preserve">b453ccd6de99bf8af29012ea</t>
  </si>
  <si>
    <t xml:space="preserve">VRSN</t>
  </si>
  <si>
    <t xml:space="preserve">Verisign</t>
  </si>
  <si>
    <t xml:space="preserve">Will Verisign’s $171.4 million bet on .web pay off?</t>
  </si>
  <si>
    <t xml:space="preserve">Domain Name Wire</t>
  </si>
  <si>
    <t xml:space="preserve">7782ed8694266893d1bfb75f</t>
  </si>
  <si>
    <t xml:space="preserve">Man uses 'tub of ice cream' from Walmart to teach his roommate a violent lesson about taking up too much space in an Uber: Police</t>
  </si>
  <si>
    <t xml:space="preserve">5aca394473ec759ec92b6c6c</t>
  </si>
  <si>
    <t xml:space="preserve">366560a06a2dc3c9fdd57fd7</t>
  </si>
  <si>
    <t xml:space="preserve">CNC</t>
  </si>
  <si>
    <t xml:space="preserve">Centene Corporation</t>
  </si>
  <si>
    <t xml:space="preserve">What Is Driving The Move In Centene Stock?</t>
  </si>
  <si>
    <t xml:space="preserve">c7c6e0f823edf9bff8dc3e93</t>
  </si>
  <si>
    <t xml:space="preserve">Take-Two schedules November 9 results for Take-Two Interactive stock</t>
  </si>
  <si>
    <t xml:space="preserve">c232aac472d973e890270d9e</t>
  </si>
  <si>
    <t xml:space="preserve">Netflix Is Shaking Up Its Content Leadership. Here's What Needs to Happen Next.</t>
  </si>
  <si>
    <t xml:space="preserve">ed3d2069d39caabf284a641c</t>
  </si>
  <si>
    <t xml:space="preserve">Learn Why The Bull Case For Illinois Tool Works Stock Could Change Following Quarterly Earnings Preview</t>
  </si>
  <si>
    <t xml:space="preserve">3b40dfc865abc8186cd8ec1d</t>
  </si>
  <si>
    <t xml:space="preserve">Health Data Privacy Lawsuit Against Humana Brought on Behalf of Plaintiffs Represented by Schlichter Bogard Will Proceed</t>
  </si>
  <si>
    <t xml:space="preserve">Schlichter Bogard LLC</t>
  </si>
  <si>
    <t xml:space="preserve">c2eefae911e796dc60502497</t>
  </si>
  <si>
    <t xml:space="preserve">WST</t>
  </si>
  <si>
    <t xml:space="preserve">West Pharmaceutical Services</t>
  </si>
  <si>
    <t xml:space="preserve">WST | Breaking down the Connor Hellebuyck trade and whether the Winnipeg Jets got enough</t>
  </si>
  <si>
    <t xml:space="preserve">572e4ee3fed5e47f076522cc</t>
  </si>
  <si>
    <t xml:space="preserve">Abdul-Rakhman Yakhyaev Stops Nikita Krylov With Brutal First-Round TKO</t>
  </si>
  <si>
    <t xml:space="preserve">Cageside Press</t>
  </si>
  <si>
    <t xml:space="preserve">c1c01470609549daed7173f5</t>
  </si>
  <si>
    <t xml:space="preserve">YUM</t>
  </si>
  <si>
    <t xml:space="preserve">Yum! Brands</t>
  </si>
  <si>
    <t xml:space="preserve">Is Yum Brands Inc (YUM) a Bargain After 3.1% Drop? GF Value Says Undervalued</t>
  </si>
  <si>
    <t xml:space="preserve">d46026afda3a06d386cdbc1a</t>
  </si>
  <si>
    <t xml:space="preserve">Apollo finds no broad AI payoff: NVDA stock forecast before earnings</t>
  </si>
  <si>
    <t xml:space="preserve">Techi</t>
  </si>
  <si>
    <t xml:space="preserve">3da637763cfbcdc1115d7fa4</t>
  </si>
  <si>
    <t xml:space="preserve">Goldman Sachs Ola Electric Downgrade: Why stock rating changed to sell; 23% downside seen - New target price, rationale</t>
  </si>
  <si>
    <t xml:space="preserve">8faaf312abf4e0b63a41e2ff</t>
  </si>
  <si>
    <t xml:space="preserve">Ex-PepsiCo CEO Indra Nooyi worked as an overnight receptionist to pay for her Yale degree</t>
  </si>
  <si>
    <t xml:space="preserve">a406cd3493e83f90c30a8321</t>
  </si>
  <si>
    <t xml:space="preserve">J.B. Hunt Investor News: If You Have Suffered Losses in</t>
  </si>
  <si>
    <t xml:space="preserve">GlobeNewswire</t>
  </si>
  <si>
    <t xml:space="preserve">2a47660840179a8c43894e0c</t>
  </si>
  <si>
    <t xml:space="preserve">Target (TGT) Revamps Its Manhattan Flagship, Is The Stock Still A Bargain?</t>
  </si>
  <si>
    <t xml:space="preserve">01af8a621e3678b9cffd8c5a</t>
  </si>
  <si>
    <t xml:space="preserve">Lions aim to spoil Blue Bombers’ playoff bid on TSN</t>
  </si>
  <si>
    <t xml:space="preserve">9b733b3ccba222a9e1ef55f2</t>
  </si>
  <si>
    <t xml:space="preserve">Alexander Volkanovski Earns R2 TKO In Title Defense | UFC 333</t>
  </si>
  <si>
    <t xml:space="preserve">UFC.com</t>
  </si>
  <si>
    <t xml:space="preserve">16cb0c659ee0ec78bfebf45f</t>
  </si>
  <si>
    <t xml:space="preserve">CDW</t>
  </si>
  <si>
    <t xml:space="preserve">CDW Corporation</t>
  </si>
  <si>
    <t xml:space="preserve">CDW (CDW) Stock May Be 25% Undervalued Despite Boardroom AI News</t>
  </si>
  <si>
    <t xml:space="preserve">5bdff6d5c99424a21b92c4bd</t>
  </si>
  <si>
    <t xml:space="preserve">Letter to the editor: Kroger can’t be trusted</t>
  </si>
  <si>
    <t xml:space="preserve">Pittsburgh Post-Gazette</t>
  </si>
  <si>
    <t xml:space="preserve">cd7f8fd3d102cbb7f88d1715</t>
  </si>
  <si>
    <t xml:space="preserve">Uber ChatGPT Rollout: 3 Hidden Work Costs of AI [2026]</t>
  </si>
  <si>
    <t xml:space="preserve">b003836918e7c7a43c5463c1</t>
  </si>
  <si>
    <t xml:space="preserve">DuCoin records hat trick; Ohio field hockey falls to Ball State in OT</t>
  </si>
  <si>
    <t xml:space="preserve">The Athens Messenger</t>
  </si>
  <si>
    <t xml:space="preserve">67513c724e6fdb2855b1de47</t>
  </si>
  <si>
    <t xml:space="preserve">'Lupin' Season 4 Netflix Review: Stream It Or Skip It?</t>
  </si>
  <si>
    <t xml:space="preserve">Decider</t>
  </si>
  <si>
    <t xml:space="preserve">addb69968ef870b15453a7db</t>
  </si>
  <si>
    <t xml:space="preserve">COF</t>
  </si>
  <si>
    <t xml:space="preserve">Capital One</t>
  </si>
  <si>
    <t xml:space="preserve">Cattle Await USDA Packer News, Cash, COF: Corn Falls, Soybeans Bounce</t>
  </si>
  <si>
    <t xml:space="preserve">AgWeb</t>
  </si>
  <si>
    <t xml:space="preserve">8703581a79222b383faa2fa9</t>
  </si>
  <si>
    <t xml:space="preserve">Tractor Supply Q3: Caution Is Warranted (Rating Downgrade) (NASDAQ:TSCO)</t>
  </si>
  <si>
    <t xml:space="preserve">beb49e59eaa65a6482949d32</t>
  </si>
  <si>
    <t xml:space="preserve">Apple Inc. $AAPL Stock Holdings Reduced by Mitchell &amp; Pahl Private Wealth LLC</t>
  </si>
  <si>
    <t xml:space="preserve">c070703c7199d6d8ffdb1691</t>
  </si>
  <si>
    <t xml:space="preserve">INTU</t>
  </si>
  <si>
    <t xml:space="preserve">Intuit</t>
  </si>
  <si>
    <t xml:space="preserve">Wells Fargo, Intuit others object to their shares being tokenized- regulatory document By Reuters</t>
  </si>
  <si>
    <t xml:space="preserve">e80ade9ef58fd65113ffe410</t>
  </si>
  <si>
    <t xml:space="preserve">How a Fake Amazon Phone Call Cost a Retired Nurse $400K, and What You Can Do to Protect Your Parents</t>
  </si>
  <si>
    <t xml:space="preserve">PCMag</t>
  </si>
  <si>
    <t xml:space="preserve">023f7eb31cffc673096d3b5a</t>
  </si>
  <si>
    <t xml:space="preserve">MU</t>
  </si>
  <si>
    <t xml:space="preserve">Micron Technology</t>
  </si>
  <si>
    <t xml:space="preserve">What Could Micron Technology (MU) Strike Risk And Supply Moves Mean For Investors?</t>
  </si>
  <si>
    <t xml:space="preserve">a319b0041080ed0e2973bc54</t>
  </si>
  <si>
    <t xml:space="preserve">William Blair Lowers Builders FirstSource Rating, Sees 2027 Housing Starts Falling</t>
  </si>
  <si>
    <t xml:space="preserve">ANALYST_DOWNGRADE</t>
  </si>
  <si>
    <r>
      <rPr>
        <sz val="10"/>
        <rFont val="Arial"/>
        <family val="0"/>
        <charset val="1"/>
      </rPr>
      <t xml:space="preserve">William Blair </t>
    </r>
    <r>
      <rPr>
        <sz val="10"/>
        <rFont val="Noto Sans CJK SC"/>
        <family val="2"/>
      </rPr>
      <t xml:space="preserve">調降 </t>
    </r>
    <r>
      <rPr>
        <sz val="10"/>
        <rFont val="Arial"/>
        <family val="0"/>
        <charset val="1"/>
      </rPr>
      <t xml:space="preserve">Builders FirstSource </t>
    </r>
    <r>
      <rPr>
        <sz val="10"/>
        <rFont val="Noto Sans CJK SC"/>
        <family val="2"/>
      </rPr>
      <t xml:space="preserve">評等。</t>
    </r>
  </si>
  <si>
    <t xml:space="preserve">b033aa85b082465002ab0989</t>
  </si>
  <si>
    <t xml:space="preserve">Illinois Tool Works stock: October 27 results are set for Illinois Tool Works stock</t>
  </si>
  <si>
    <t xml:space="preserve">0f17ac93506275a90b00577c</t>
  </si>
  <si>
    <t xml:space="preserve">In the UK, Which? says online marketplaces like Amazon won't stop dangerous products until the law steps in</t>
  </si>
  <si>
    <t xml:space="preserve">The Cool Down</t>
  </si>
  <si>
    <t xml:space="preserve">d1d008b45ee1dca2b68c81d7</t>
  </si>
  <si>
    <t xml:space="preserve">SHW</t>
  </si>
  <si>
    <t xml:space="preserve">Sherwin-Williams</t>
  </si>
  <si>
    <t xml:space="preserve">Sherwin-Williams declares dividend as Sherwin-Williams stock costs EUR 300.90</t>
  </si>
  <si>
    <t xml:space="preserve">bc0244f2418038716f042185</t>
  </si>
  <si>
    <t xml:space="preserve">United Rentals, Inc. Estimates – HAN:UR3</t>
  </si>
  <si>
    <t xml:space="preserve">6d14b371d04edcb8943d69a2</t>
  </si>
  <si>
    <t xml:space="preserve">HST</t>
  </si>
  <si>
    <t xml:space="preserve">Host Hotels &amp; Resorts</t>
  </si>
  <si>
    <t xml:space="preserve">October 23, 2026 – Should government have eliminated the HST on all forms of home heat?</t>
  </si>
  <si>
    <t xml:space="preserve">VOCM</t>
  </si>
  <si>
    <t xml:space="preserve">d2fe14cff14920babe586592</t>
  </si>
  <si>
    <t xml:space="preserve">SW</t>
  </si>
  <si>
    <t xml:space="preserve">Smurfit Westrock</t>
  </si>
  <si>
    <t xml:space="preserve">Smurfit Westrock PLC Estimates – DUS:N4U</t>
  </si>
  <si>
    <t xml:space="preserve">201e147bffcf38e90ba16c01</t>
  </si>
  <si>
    <t xml:space="preserve">West Bengal: DRI busts major gold smuggling ring; Over 7.8 kg foreign gold worth Rs11.5 CroresSeized, 6 arrested</t>
  </si>
  <si>
    <t xml:space="preserve">Organiser</t>
  </si>
  <si>
    <t xml:space="preserve">4ec3f1de8ac262aede103572</t>
  </si>
  <si>
    <t xml:space="preserve">Apple Inc. $AAPL Stock: Cresta Advisors Ltd. Trims Position</t>
  </si>
  <si>
    <t xml:space="preserve">3f4c0f9ca8059eecb9d6ccd1</t>
  </si>
  <si>
    <t xml:space="preserve">11 Best New Walmart Christmas Toys Flying Off Shelves</t>
  </si>
  <si>
    <t xml:space="preserve">bestlifeonline.com</t>
  </si>
  <si>
    <t xml:space="preserve">bf376f224a3b7d63b76b1e6c</t>
  </si>
  <si>
    <t xml:space="preserve">Did Earnings Miss Just Shift Autoliv Stock Investment Narrative?</t>
  </si>
  <si>
    <t xml:space="preserve">EARNINGS_MISS</t>
  </si>
  <si>
    <r>
      <rPr>
        <sz val="10"/>
        <rFont val="Arial"/>
        <family val="0"/>
        <charset val="1"/>
      </rPr>
      <t xml:space="preserve">Autoliv </t>
    </r>
    <r>
      <rPr>
        <sz val="10"/>
        <rFont val="Noto Sans CJK SC"/>
        <family val="2"/>
      </rPr>
      <t xml:space="preserve">財報不如預期。</t>
    </r>
  </si>
  <si>
    <t xml:space="preserve">2bc4132468f4e727bfddd5a6</t>
  </si>
  <si>
    <t xml:space="preserve">Illinois Tool Works schedules October 27 results. Illinois Tool Works stock trades at EUR 246.10.</t>
  </si>
  <si>
    <t xml:space="preserve">4ba915e13a2a97b3e91f98af</t>
  </si>
  <si>
    <t xml:space="preserve">13e5a4badc62611199857190</t>
  </si>
  <si>
    <t xml:space="preserve">Capital One Financial (NYSE:COF) Stock Eases 1.56%: P/E, EPS and Technicals</t>
  </si>
  <si>
    <t xml:space="preserve">Kalkine India</t>
  </si>
  <si>
    <t xml:space="preserve">e903ddf84a9d8e44a2ad107a</t>
  </si>
  <si>
    <t xml:space="preserve">AMETEK Sets November 3 Earnings Report for Investors</t>
  </si>
  <si>
    <t xml:space="preserve">MyChesCo</t>
  </si>
  <si>
    <t xml:space="preserve">29f22fbe5bd7b562eb1ba271</t>
  </si>
  <si>
    <t xml:space="preserve">SCHW</t>
  </si>
  <si>
    <t xml:space="preserve">Charles Schwab Corporation</t>
  </si>
  <si>
    <t xml:space="preserve">How Higher Rates At Charles Schwab (SCHW) Has Changed Its Investment Story</t>
  </si>
  <si>
    <t xml:space="preserve">7e7d79c785ed1dbba568f567</t>
  </si>
  <si>
    <t xml:space="preserve">Edged and gone! Cummins strikes</t>
  </si>
  <si>
    <t xml:space="preserve">Cricbuzz</t>
  </si>
  <si>
    <t xml:space="preserve">cee7bef9fc21a597740b0ad6</t>
  </si>
  <si>
    <t xml:space="preserve">BSX</t>
  </si>
  <si>
    <t xml:space="preserve">Boston Scientific</t>
  </si>
  <si>
    <t xml:space="preserve">Boston Scientific stock costs EUR 40.77 in weekend trading</t>
  </si>
  <si>
    <t xml:space="preserve">d2dd215e16d6fdd556688de3</t>
  </si>
  <si>
    <t xml:space="preserve">Verizon iPhone Duo Delay: $100 Gift Card for Late Pre-Orders</t>
  </si>
  <si>
    <t xml:space="preserve">DigitBin</t>
  </si>
  <si>
    <t xml:space="preserve">6648cdb704e97ee18bdbfa92</t>
  </si>
  <si>
    <t xml:space="preserve">Netflix Turned A Controversial Experiment From The '70s Into A Reality Show. Experts Say It Shouldn't Have.</t>
  </si>
  <si>
    <t xml:space="preserve">HuffPost</t>
  </si>
  <si>
    <t xml:space="preserve">c5798bc53eb3e1bf050b3926</t>
  </si>
  <si>
    <t xml:space="preserve">Abilene High linebacker Levon Koonce chases the ball after Amarillo High wide receiver Jeb Grammer was tackled during Friday’s game at Abilene’s Shotwell Stadium Oct. 16, 2026. Final score was 24-14, Amarillo High.</t>
  </si>
  <si>
    <t xml:space="preserve">The Lufkin Daily News</t>
  </si>
  <si>
    <t xml:space="preserve">e712da1f725df265b8d5acd0</t>
  </si>
  <si>
    <t xml:space="preserve">Who is Sunny Balwani, Elizabeth Holmes' ex-boyfriend and Theranos COO?</t>
  </si>
  <si>
    <t xml:space="preserve">Central Oregon Daily</t>
  </si>
  <si>
    <t xml:space="preserve">7084fd4599fc9274b7d2b0fb</t>
  </si>
  <si>
    <t xml:space="preserve">Moderna Investors Should Brace for More Whiplash</t>
  </si>
  <si>
    <t xml:space="preserve">WSJ</t>
  </si>
  <si>
    <t xml:space="preserve">5b0d49f1e52953403235a9f2</t>
  </si>
  <si>
    <t xml:space="preserve">Apple could be about to dethrone Nvidia as world's most valuable company</t>
  </si>
  <si>
    <t xml:space="preserve">7c4ba775ccf76cb2f96d54ad</t>
  </si>
  <si>
    <t xml:space="preserve">IBM - Do Nothing - Q3 FY12/26 Earnings Review (NYSE:IBM)</t>
  </si>
  <si>
    <t xml:space="preserve">b435987df11a540f4faf4c69</t>
  </si>
  <si>
    <t xml:space="preserve">DuCoin Records Hat Trick; Ohio Field Hockey Falls to Ball State in OT - Ohio University</t>
  </si>
  <si>
    <t xml:space="preserve">ohiobobcats.com</t>
  </si>
  <si>
    <t xml:space="preserve">61ab1c6adb897721c6e0c473</t>
  </si>
  <si>
    <t xml:space="preserve">Uber, texting fines, self-driving cars: Everything Regev didn't do</t>
  </si>
  <si>
    <t xml:space="preserve">The Jerusalem Post</t>
  </si>
  <si>
    <t xml:space="preserve">45b575dd6d6c0407b4af1098</t>
  </si>
  <si>
    <t xml:space="preserve">VRSK</t>
  </si>
  <si>
    <t xml:space="preserve">Verisk Analytics</t>
  </si>
  <si>
    <t xml:space="preserve">RBC Capital reiterates Verisk Analytics stock rating at Outperform</t>
  </si>
  <si>
    <t xml:space="preserve">4bda081850e213063a2e7657</t>
  </si>
  <si>
    <t xml:space="preserve">25 Years Since Its Reveal, and People Still Search for iPods “Every Two Seconds” on eBay</t>
  </si>
  <si>
    <t xml:space="preserve">IGN</t>
  </si>
  <si>
    <t xml:space="preserve">e55c2a6ac06589fd17da3b8b</t>
  </si>
  <si>
    <t xml:space="preserve">Why Is Honeywell International (NASDAQ:HON) in Focus Today?</t>
  </si>
  <si>
    <t xml:space="preserve">32d31cd4dde8386e2d0cb748</t>
  </si>
  <si>
    <t xml:space="preserve">WRB</t>
  </si>
  <si>
    <t xml:space="preserve">W. R. Berkley Corporation</t>
  </si>
  <si>
    <t xml:space="preserve">W.R. Berkley Corporation Estimates – NYSE:WRB</t>
  </si>
  <si>
    <t xml:space="preserve">9b6c4573029efdb358069aa8</t>
  </si>
  <si>
    <t xml:space="preserve">Accenture (ACN) Sees a More Significant Dip Than Broader Market: Some Facts to Know</t>
  </si>
  <si>
    <t xml:space="preserve">feffa427f14fde713e1066dd</t>
  </si>
  <si>
    <t xml:space="preserve">IBM Q3 Earnings Review: No Change To Our 'Do Nothing' Opinion (NYSE:IBM)</t>
  </si>
  <si>
    <t xml:space="preserve">b6593fd005f783def18fd52a</t>
  </si>
  <si>
    <t xml:space="preserve">GeForce RTX 5090 power cable burns out in Fractal Ridge compact case</t>
  </si>
  <si>
    <t xml:space="preserve">11bdd45e87780653cfdc70fc</t>
  </si>
  <si>
    <t xml:space="preserve">Exclusive: MGM Springfield President talks casino sale, ongoing litigation</t>
  </si>
  <si>
    <t xml:space="preserve">e2d629fd9f9ae6e853722cf6</t>
  </si>
  <si>
    <t xml:space="preserve">International Business Machines Corporation $IBM Holdings Reduced by Radnor Capital Management LLC</t>
  </si>
  <si>
    <t xml:space="preserve">c3504c7915e0b415f9dc9394</t>
  </si>
  <si>
    <t xml:space="preserve">Ocarina of Time Switch 2: $59.88 Walmart Price [2026]</t>
  </si>
  <si>
    <t xml:space="preserve">405a1a799581b85123ed8be9</t>
  </si>
  <si>
    <t xml:space="preserve">Rockwell Automation schedules November 5 results for Rockwell Automation stock</t>
  </si>
  <si>
    <t xml:space="preserve">3166215a32767077110ef227</t>
  </si>
  <si>
    <t xml:space="preserve">Family Offices Split by Generation as $124T Changes Hands: BlackRock</t>
  </si>
  <si>
    <t xml:space="preserve">https://www.connectmoney.com/</t>
  </si>
  <si>
    <t xml:space="preserve">7126c9c139481d7f6521bf64</t>
  </si>
  <si>
    <t xml:space="preserve">Frightful Flicks T🙂 Click 🙁R Skip on Max, Netflix, Etc.</t>
  </si>
  <si>
    <t xml:space="preserve">Rebellious Magazine</t>
  </si>
  <si>
    <t xml:space="preserve">168a72503815aa5d1b289b4e</t>
  </si>
  <si>
    <t xml:space="preserve">The 'agents of chaos' from Netflix’s 'New Stanford Prison Experiment' speak out</t>
  </si>
  <si>
    <t xml:space="preserve">SFGATE</t>
  </si>
  <si>
    <t xml:space="preserve">6d4917ef26c829e360e9bc48</t>
  </si>
  <si>
    <t xml:space="preserve">Last Four Women’s UFC Title Fights to End Via KO/TKO</t>
  </si>
  <si>
    <t xml:space="preserve">MyMMANews</t>
  </si>
  <si>
    <t xml:space="preserve">b88ea8bbcd025b3e42a19c19</t>
  </si>
  <si>
    <t xml:space="preserve">GM</t>
  </si>
  <si>
    <t xml:space="preserve">General Motors</t>
  </si>
  <si>
    <t xml:space="preserve">General Motors denies Supercars manipulation claims</t>
  </si>
  <si>
    <t xml:space="preserve">Speedcafe.com</t>
  </si>
  <si>
    <t xml:space="preserve">0817ca8cbab16f1361580706</t>
  </si>
  <si>
    <t xml:space="preserve">Should Greenville Plant Closure Require Action From PPG Industries Stock Investors?</t>
  </si>
  <si>
    <t xml:space="preserve">FACTORY_SHUTDOWN</t>
  </si>
  <si>
    <r>
      <rPr>
        <sz val="10"/>
        <rFont val="Arial"/>
        <family val="0"/>
        <charset val="1"/>
      </rPr>
      <t xml:space="preserve">PPG Greenville </t>
    </r>
    <r>
      <rPr>
        <sz val="10"/>
        <rFont val="Noto Sans CJK SC"/>
        <family val="2"/>
      </rPr>
      <t xml:space="preserve">工廠關閉。</t>
    </r>
  </si>
  <si>
    <t xml:space="preserve">6384eecd503eb22b6efb4101</t>
  </si>
  <si>
    <t xml:space="preserve">PANW</t>
  </si>
  <si>
    <t xml:space="preserve">Palo Alto Networks</t>
  </si>
  <si>
    <t xml:space="preserve">Palo Alto Networks Lobbies On AI bills</t>
  </si>
  <si>
    <t xml:space="preserve">Legis1</t>
  </si>
  <si>
    <t xml:space="preserve">14b61827fc0e9cd79a3b2ffc</t>
  </si>
  <si>
    <t xml:space="preserve">A Prisoner Had McDonald's and Booze Delivered by Drone to a Maximum-Security Prison. Seriously.</t>
  </si>
  <si>
    <t xml:space="preserve">VICE</t>
  </si>
  <si>
    <t xml:space="preserve">baebebec14c30c22223ea4ea</t>
  </si>
  <si>
    <t xml:space="preserve">These Analysts Revise Their Forecasts On Western Digital After Q1 Results</t>
  </si>
  <si>
    <t xml:space="preserve">4af9b027bf459962f3e360b6</t>
  </si>
  <si>
    <t xml:space="preserve">Marks Electrical Group Plc Estimates – LSE:MRK</t>
  </si>
  <si>
    <t xml:space="preserve">8a8322faeb5c86652057bed5</t>
  </si>
  <si>
    <t xml:space="preserve">CME Group Inc. Class A Estimates – LSE:0HR2</t>
  </si>
  <si>
    <t xml:space="preserve">a04cb4b975eb911e28312965</t>
  </si>
  <si>
    <t xml:space="preserve">Coinbase Sets Oct. 29 Release for Third-Quarter 2026 Results</t>
  </si>
  <si>
    <t xml:space="preserve">b0f361055731207ae6dc14c6</t>
  </si>
  <si>
    <t xml:space="preserve">FIS</t>
  </si>
  <si>
    <t xml:space="preserve">Fidelity National Information Services</t>
  </si>
  <si>
    <t xml:space="preserve">FIS: Fuel Oil Report 23 Oct</t>
  </si>
  <si>
    <t xml:space="preserve">engine.online</t>
  </si>
  <si>
    <t xml:space="preserve">74ccee3af1be7c64cd31de61</t>
  </si>
  <si>
    <t xml:space="preserve">AMP Mulls Change in Funding Structure for Bank Amid Buyout Speculation</t>
  </si>
  <si>
    <t xml:space="preserve">www.marketscreener.com</t>
  </si>
  <si>
    <t xml:space="preserve">be54766603879062e2ee7776</t>
  </si>
  <si>
    <t xml:space="preserve">Bristol Myers Squibb reports interim MS data from CAR T study</t>
  </si>
  <si>
    <t xml:space="preserve">ROI-NJ</t>
  </si>
  <si>
    <t xml:space="preserve">efef1c8736df90aba7cf8722</t>
  </si>
  <si>
    <t xml:space="preserve">Amphenol changes division leadership as stock trades at EUR 66.14</t>
  </si>
  <si>
    <t xml:space="preserve">b4fa102c05f85799a986153f</t>
  </si>
  <si>
    <t xml:space="preserve">A $1 Trillion Depreciation Bomb Is Ticking Beneath the AI Market - Meta Platforms (NASDAQ:META), Amazon.c</t>
  </si>
  <si>
    <t xml:space="preserve">5e20505100e031a0da5890f9</t>
  </si>
  <si>
    <t xml:space="preserve">AT&amp;T, T-Mobile, and Verizon fight FCC rules favoring new rival</t>
  </si>
  <si>
    <t xml:space="preserve">PhoneArena</t>
  </si>
  <si>
    <t xml:space="preserve">5b8f3c8e87e1b145bbcd11fb</t>
  </si>
  <si>
    <t xml:space="preserve">'Fading Grandeur' Netflix Review: Stream It Or Skip It?</t>
  </si>
  <si>
    <t xml:space="preserve">7344f2be06dd6cfcc7321675</t>
  </si>
  <si>
    <t xml:space="preserve">27c2449c7c600af1a94ffcbb</t>
  </si>
  <si>
    <t xml:space="preserve">CRH</t>
  </si>
  <si>
    <t xml:space="preserve">CRH plc</t>
  </si>
  <si>
    <t xml:space="preserve">CRH (CRH) Falls More Steeply Than Broader Market: What Investors Need to Know</t>
  </si>
  <si>
    <t xml:space="preserve">8167d4adfd22533d15c9c24c</t>
  </si>
  <si>
    <t xml:space="preserve">GD</t>
  </si>
  <si>
    <t xml:space="preserve">General Dynamics</t>
  </si>
  <si>
    <t xml:space="preserve">Is New GDIT President Altering The Investment Case For General Dynamics Stock?</t>
  </si>
  <si>
    <t xml:space="preserve">321e54785810a69654f6c639</t>
  </si>
  <si>
    <t xml:space="preserve">Should You Buy Bristol Myers Squibb While It Trades Below 10 Times Forward Earnings?</t>
  </si>
  <si>
    <t xml:space="preserve">798465412e3e216c68522cd3</t>
  </si>
  <si>
    <t xml:space="preserve">IVZ</t>
  </si>
  <si>
    <t xml:space="preserve">Invesco</t>
  </si>
  <si>
    <t xml:space="preserve">Invesco Advantage Municipal Income Trust II (NYSEAMERICAN:VKI) Share Price Breaks Below 50 Day Moving Average - Should You Sell?</t>
  </si>
  <si>
    <t xml:space="preserve">888ae27c70d5adaa55c23e65</t>
  </si>
  <si>
    <t xml:space="preserve">Echostar Q3 2026 Earnings Date and Estimates</t>
  </si>
  <si>
    <t xml:space="preserve">f840133a511847f33ea53169</t>
  </si>
  <si>
    <t xml:space="preserve">JCI</t>
  </si>
  <si>
    <t xml:space="preserve">Johnson Controls</t>
  </si>
  <si>
    <t xml:space="preserve">Johnson Controls International plc Estimates – NYSE:JCI</t>
  </si>
  <si>
    <t xml:space="preserve">e892c48e54dcd0347c6bc062</t>
  </si>
  <si>
    <t xml:space="preserve">TSN | How will Jets fans react to Hellebuyck when he returns to Winnipeg?</t>
  </si>
  <si>
    <t xml:space="preserve">0681da24374bf8a24ffaafd8</t>
  </si>
  <si>
    <t xml:space="preserve">Former Kroger facility in Groveland listed for sale months after closure</t>
  </si>
  <si>
    <t xml:space="preserve">The Business Journals</t>
  </si>
  <si>
    <t xml:space="preserve">9abc9dadb751907cea173cb0</t>
  </si>
  <si>
    <t xml:space="preserve">WTW</t>
  </si>
  <si>
    <t xml:space="preserve">Willis Towers Watson</t>
  </si>
  <si>
    <t xml:space="preserve">Aon, Marsh, WTW: are they really brokerages any more?</t>
  </si>
  <si>
    <t xml:space="preserve">Insurance Business</t>
  </si>
  <si>
    <t xml:space="preserve">6d2ab26e82d40599558a9572</t>
  </si>
  <si>
    <t xml:space="preserve">How would you be as a prisoner or guard? New Netflix show asks that question.</t>
  </si>
  <si>
    <t xml:space="preserve">Houston Chronicle</t>
  </si>
  <si>
    <t xml:space="preserve">6d723f96104ac75d7b2da7c5</t>
  </si>
  <si>
    <t xml:space="preserve">SanDisk Q1 FY2027 earnings conference call</t>
  </si>
  <si>
    <t xml:space="preserve">2a23a4222dc40e7fbecf7d18</t>
  </si>
  <si>
    <t xml:space="preserve">Nike (NKE) Falls More Steeply Than Broader Market: What Investors Need to Know</t>
  </si>
  <si>
    <t xml:space="preserve">3a9185a7b680e90240618534</t>
  </si>
  <si>
    <t xml:space="preserve">LVS</t>
  </si>
  <si>
    <t xml:space="preserve">Las Vegas Sands</t>
  </si>
  <si>
    <t xml:space="preserve">Las Vegas Sands | 10-Q: Quarterly report</t>
  </si>
  <si>
    <t xml:space="preserve">6df1013d6c57572e6a0e6346</t>
  </si>
  <si>
    <t xml:space="preserve">Equities Analysts Offer Predictions for IBM FY2027 Earnings</t>
  </si>
  <si>
    <t xml:space="preserve">39a53dcaada4add8992817b2</t>
  </si>
  <si>
    <t xml:space="preserve">1,948 Broadcom Inc. $AVGO Shares Sold by AMG Asset Management Group Inc.</t>
  </si>
  <si>
    <t xml:space="preserve">90ced433d80b105edaabf8b7</t>
  </si>
  <si>
    <t xml:space="preserve">General Dynamics names Amy Johnson GDIT president. General Dynamics stock costs EUR 312.20.</t>
  </si>
  <si>
    <t xml:space="preserve">4c15fdf15d4d725e369ea4e1</t>
  </si>
  <si>
    <t xml:space="preserve">XOM</t>
  </si>
  <si>
    <t xml:space="preserve">ExxonMobil</t>
  </si>
  <si>
    <t xml:space="preserve">Why Is Exxon Mobil (NYSE:XOM) in Focus as Oil Prices Climb Today?</t>
  </si>
  <si>
    <t xml:space="preserve">694b2c3452ce28d67d5e8e04</t>
  </si>
  <si>
    <t xml:space="preserve">Costco Is Kicking Off Its Holiday Savings Before Halloween. Here's the Exact Date They Begin</t>
  </si>
  <si>
    <t xml:space="preserve">Parade Magazine</t>
  </si>
  <si>
    <t xml:space="preserve">ed809b0285851df80f140c25</t>
  </si>
  <si>
    <t xml:space="preserve">Dow Jones futures: Microsoft, Google, Amazon lead earnings wave; what to do in mixed market</t>
  </si>
  <si>
    <t xml:space="preserve">MSN</t>
  </si>
  <si>
    <t xml:space="preserve">f1f9a7d01d89ca489cd7169f</t>
  </si>
  <si>
    <t xml:space="preserve">UFC 333 Highlights! Pico Delivers Blistering 74-Second TKO Over Keita</t>
  </si>
  <si>
    <t xml:space="preserve">4821d2fcdf65612026fec473</t>
  </si>
  <si>
    <t xml:space="preserve">AEP and Xcel Energy Face Surging Power Demand. Which Dividend Is Safer?</t>
  </si>
  <si>
    <t xml:space="preserve">0f5c000ca9c879e459465110</t>
  </si>
  <si>
    <t xml:space="preserve">MTB</t>
  </si>
  <si>
    <t xml:space="preserve">M&amp;T Bank</t>
  </si>
  <si>
    <t xml:space="preserve">M&amp;T Bank Stadium Weather: Bengals-Ravens Forecast (Oct. 25)</t>
  </si>
  <si>
    <t xml:space="preserve">sports.betmgm.com</t>
  </si>
  <si>
    <t xml:space="preserve">fe90d7f09a02fa38badb220e</t>
  </si>
  <si>
    <t xml:space="preserve">Microsoft Weekly: OneDrive + Copilot event, BioWare shutdown, and more</t>
  </si>
  <si>
    <t xml:space="preserve">Neowin</t>
  </si>
  <si>
    <t xml:space="preserve">5b56da36d82f97c1ce3bf85f</t>
  </si>
  <si>
    <t xml:space="preserve">XEL</t>
  </si>
  <si>
    <t xml:space="preserve">Xcel Energy</t>
  </si>
  <si>
    <t xml:space="preserve">7442d337169c4f0f15e5724a</t>
  </si>
  <si>
    <t xml:space="preserve">There’s a Reason That Netflix’s Ad Business Has Underwhelmed</t>
  </si>
  <si>
    <t xml:space="preserve">Next in Media | Mike Shields</t>
  </si>
  <si>
    <t xml:space="preserve">f9877a2578d343df9ccc709a</t>
  </si>
  <si>
    <t xml:space="preserve">DRI Seizes 1.136 Kg of Methamphetamine from Hyderabad-Bound Bus</t>
  </si>
  <si>
    <t xml:space="preserve">Deccan Chronicle</t>
  </si>
  <si>
    <t xml:space="preserve">bafac2673dfaafa894d2aba3</t>
  </si>
  <si>
    <t xml:space="preserve">Wells Fargo, Intuit, and Arm Holdings oppose tr...</t>
  </si>
  <si>
    <t xml:space="preserve">d33bf2c06d7ea63526eae138</t>
  </si>
  <si>
    <t xml:space="preserve">ABBV</t>
  </si>
  <si>
    <t xml:space="preserve">AbbVie</t>
  </si>
  <si>
    <t xml:space="preserve">Avalo Therapeutics downgraded to Neutral at Guggenheim after AbbVie data</t>
  </si>
  <si>
    <t xml:space="preserve">bf8aaab4c629d752e32971df</t>
  </si>
  <si>
    <t xml:space="preserve">Amazon MGM Studios May Have Found Daniel Craig’s Successor</t>
  </si>
  <si>
    <t xml:space="preserve">Disney Fanatic</t>
  </si>
  <si>
    <t xml:space="preserve">39f4372611442242f9d89797</t>
  </si>
  <si>
    <t xml:space="preserve">No. 6 Indiana Hoosiers vs Michigan Wolverines Highlights | FOX College Football</t>
  </si>
  <si>
    <t xml:space="preserve">FOX Sports</t>
  </si>
  <si>
    <t xml:space="preserve">5fa3055abc5497976056f5fc</t>
  </si>
  <si>
    <t xml:space="preserve">Medtronic Plc Estimates – MUN:2M6</t>
  </si>
  <si>
    <t xml:space="preserve">4a83b7bd84807dd84bb99a59</t>
  </si>
  <si>
    <t xml:space="preserve">AEE</t>
  </si>
  <si>
    <t xml:space="preserve">Ameren</t>
  </si>
  <si>
    <t xml:space="preserve">Ameren Illinois Company Estimates – OTC:AILLP</t>
  </si>
  <si>
    <t xml:space="preserve">9cd56f27a1fd562ab9183854</t>
  </si>
  <si>
    <t xml:space="preserve">Microsoft, McDonald's, Verizon, and Others Tell Crypto Platform Not to Tokenize Their Stocks</t>
  </si>
  <si>
    <t xml:space="preserve">Gizmodo</t>
  </si>
  <si>
    <t xml:space="preserve">60c841c993146789f5153c2e</t>
  </si>
  <si>
    <t xml:space="preserve">2dbaebf544decbaffbeb7101</t>
  </si>
  <si>
    <t xml:space="preserve">c1ba6a063eab7c7ea589836d</t>
  </si>
  <si>
    <t xml:space="preserve">Hewlett Packard Enterprise Company Estimates – NYSE:HPE</t>
  </si>
  <si>
    <t xml:space="preserve">b51824d902168d124cacc395</t>
  </si>
  <si>
    <t xml:space="preserve">NOC</t>
  </si>
  <si>
    <t xml:space="preserve">Northrop Grumman</t>
  </si>
  <si>
    <t xml:space="preserve">NOC Week in Review #16: 10/17-23/2026</t>
  </si>
  <si>
    <t xml:space="preserve">The Nerds of Color</t>
  </si>
  <si>
    <t xml:space="preserve">fde86960d8b98bee634d9667</t>
  </si>
  <si>
    <t xml:space="preserve">WWE Crown Jewel’s Future Addressed By TKO CEO Ari Emanuel</t>
  </si>
  <si>
    <t xml:space="preserve">Slam Wrestling</t>
  </si>
  <si>
    <t xml:space="preserve">c56bfe7191e200e55d39901a</t>
  </si>
  <si>
    <t xml:space="preserve">Open Thread: Colorado Avalanche @ Nashville Predators (6:00 P.M. MDT)</t>
  </si>
  <si>
    <t xml:space="preserve">Mile High Hockey</t>
  </si>
  <si>
    <t xml:space="preserve">89342e318ba80ddfcd80476c</t>
  </si>
  <si>
    <t xml:space="preserve">Does AI Platform Launch Change The Bull Case For Rockwell Automation (ROK)?</t>
  </si>
  <si>
    <t xml:space="preserve">602bb3702060d638b2357b11</t>
  </si>
  <si>
    <t xml:space="preserve">CMS parents and staff getting survey to weigh in on proposed schedule changes</t>
  </si>
  <si>
    <t xml:space="preserve">Queen City News</t>
  </si>
  <si>
    <t xml:space="preserve">db4a63ecfeeedfe5f8c2dd92</t>
  </si>
  <si>
    <t xml:space="preserve">TRGP</t>
  </si>
  <si>
    <t xml:space="preserve">Targa Resources</t>
  </si>
  <si>
    <t xml:space="preserve">Erste Group Bank Estimates Targa Resources FY2026 Earnings</t>
  </si>
  <si>
    <t xml:space="preserve">4b13bd7528ee4aebf27b1a77</t>
  </si>
  <si>
    <t xml:space="preserve">BlackRock Multi-Sector Income Trust Estimates – BOATS:BIT</t>
  </si>
  <si>
    <t xml:space="preserve">13daff8fed50cf346c5fc57c</t>
  </si>
  <si>
    <t xml:space="preserve">WY</t>
  </si>
  <si>
    <t xml:space="preserve">Weyerhaeuser</t>
  </si>
  <si>
    <t xml:space="preserve">Weyerhaeuser Company Estimates – NYSE:WY</t>
  </si>
  <si>
    <t xml:space="preserve">acf821dad717ba96b4098d3c</t>
  </si>
  <si>
    <t xml:space="preserve">The One Thing Your McDonald's Egg McMuffin Has Been Missing</t>
  </si>
  <si>
    <t xml:space="preserve">48149fe829d748dee904a740</t>
  </si>
  <si>
    <t xml:space="preserve">Should You Forget the Vanguard S&amp;P 500 ETF (VOO) and Buy the Invesco S&amp;P 500 Equal Weight ETF (RSP) Instead?</t>
  </si>
  <si>
    <t xml:space="preserve">092df0474fcfb758e630f30e</t>
  </si>
  <si>
    <t xml:space="preserve">Invesco Quality Municipal Income Trust (NYSE:IQI) Share Price Breaks Below 50-Day Moving Average - Should You Sell?</t>
  </si>
  <si>
    <t xml:space="preserve">0be2357921eae6b05d694b20</t>
  </si>
  <si>
    <t xml:space="preserve">ADI</t>
  </si>
  <si>
    <t xml:space="preserve">Analog Devices</t>
  </si>
  <si>
    <t xml:space="preserve">Analog Devices, Inc. Estimates – LS:862485</t>
  </si>
  <si>
    <t xml:space="preserve">2dc4b0b77229f31848b4cdbd</t>
  </si>
  <si>
    <t xml:space="preserve">In the US, AME Church retirees to receive tens of millions more in funds lost amid scandal</t>
  </si>
  <si>
    <t xml:space="preserve">Sight Magazine</t>
  </si>
  <si>
    <t xml:space="preserve">1b9dc11f30e9912abda761f5</t>
  </si>
  <si>
    <t xml:space="preserve">PYPL</t>
  </si>
  <si>
    <t xml:space="preserve">PayPal</t>
  </si>
  <si>
    <t xml:space="preserve">PayPal cofounder Peter Thiel says Apple has done 'nothing new' since Steve Jobs' death | Trending</t>
  </si>
  <si>
    <t xml:space="preserve">Hindustan Times</t>
  </si>
  <si>
    <t xml:space="preserve">05cd598d50441986729878c7</t>
  </si>
  <si>
    <t xml:space="preserve">EW</t>
  </si>
  <si>
    <t xml:space="preserve">Edwards Lifesciences</t>
  </si>
  <si>
    <t xml:space="preserve">How Valve Device Approvals Will Impact Edwards Lifesciences Stock (EW)</t>
  </si>
  <si>
    <t xml:space="preserve">89a6f3c7a6e85c31b1fbe152</t>
  </si>
  <si>
    <t xml:space="preserve">Why Broadcom (NASDAQ:AVGO) Remains In Focus As AI Evolves?</t>
  </si>
  <si>
    <t xml:space="preserve">88aaea13e163fb2354193eaf</t>
  </si>
  <si>
    <t xml:space="preserve">CVS Health sets November 4 results and declares a USD 0.665 dividend per CVS Health stock</t>
  </si>
  <si>
    <t xml:space="preserve">1a3cbbae9fa5b8ff33e8dd80</t>
  </si>
  <si>
    <t xml:space="preserve">UDR</t>
  </si>
  <si>
    <t xml:space="preserve">UDR, Inc.</t>
  </si>
  <si>
    <t xml:space="preserve">UDR, Inc. Estimates – SWB:UF0</t>
  </si>
  <si>
    <t xml:space="preserve">f95919fc18f883324c05ced0</t>
  </si>
  <si>
    <t xml:space="preserve">Will These Nuances Undo Merck And Moderna's Cancer Vaccine?</t>
  </si>
  <si>
    <t xml:space="preserve">Investor's Business Daily</t>
  </si>
  <si>
    <t xml:space="preserve">8aa2d3b10d2c7b09776c1131</t>
  </si>
  <si>
    <t xml:space="preserve">CB</t>
  </si>
  <si>
    <t xml:space="preserve">Chubb Limited</t>
  </si>
  <si>
    <t xml:space="preserve">Chubb Limited Estimates – LSE:0VQD</t>
  </si>
  <si>
    <t xml:space="preserve">bd0995cc13992eddcee777d1</t>
  </si>
  <si>
    <t xml:space="preserve">Lam Research reports record September quarter. Lam Research stock costs EUR 205.40</t>
  </si>
  <si>
    <t xml:space="preserve">517f996dc1fb4a8691c3d039</t>
  </si>
  <si>
    <t xml:space="preserve">American Water Works Company, Inc. Estimates – NYSE:AWK</t>
  </si>
  <si>
    <t xml:space="preserve">c1d258f9dfc85e2c908a827b</t>
  </si>
  <si>
    <t xml:space="preserve">HLT</t>
  </si>
  <si>
    <t xml:space="preserve">Hilton Worldwide</t>
  </si>
  <si>
    <t xml:space="preserve">Hilton Worldwide Holdings Inc. Estimates – NYSE:HLT</t>
  </si>
  <si>
    <t xml:space="preserve">10b11e56775f6165eb9b6012</t>
  </si>
  <si>
    <t xml:space="preserve">Richmond Minerals Inc. Estimates – TSXV:RMD</t>
  </si>
  <si>
    <t xml:space="preserve">aca540c9719c32aa0bd00686</t>
  </si>
  <si>
    <t xml:space="preserve">What Darden Restaurants (DRI)'s California Labor Lawsuit Means For Shareholders</t>
  </si>
  <si>
    <t xml:space="preserve">37c30687db906bda00011c24</t>
  </si>
  <si>
    <t xml:space="preserve">FAST</t>
  </si>
  <si>
    <t xml:space="preserve">Fastenal</t>
  </si>
  <si>
    <t xml:space="preserve">Does AI Data Center Demand Change The Bull Case For Fastenal (FAST)?</t>
  </si>
  <si>
    <t xml:space="preserve">ade5369e757038837c339f17</t>
  </si>
  <si>
    <t xml:space="preserve">UHS</t>
  </si>
  <si>
    <t xml:space="preserve">Universal Health Services</t>
  </si>
  <si>
    <t xml:space="preserve">Universal Health Services, Inc. (UHS) Stock forecasts</t>
  </si>
  <si>
    <t xml:space="preserve">c22e06027d0ea2d9a76203df</t>
  </si>
  <si>
    <t xml:space="preserve">Avery Dennison Corporation Estimates – NYSE:AVY</t>
  </si>
  <si>
    <t xml:space="preserve">a64885c48a8c76ce0df61a7c</t>
  </si>
  <si>
    <t xml:space="preserve">ATI Chief Kimberly Fields Joins L3Harris Technologies Board</t>
  </si>
  <si>
    <t xml:space="preserve">ExecutiveBiz</t>
  </si>
  <si>
    <t xml:space="preserve">d4613cf2c6fa83ff88da9d6f</t>
  </si>
  <si>
    <t xml:space="preserve">Amazon Spent More on Data Centers Last Quarter Than AWS Earned in Revenue. Should Investors Worry?</t>
  </si>
  <si>
    <t xml:space="preserve">7e2b056ce680444dbce847b2</t>
  </si>
  <si>
    <t xml:space="preserve">CRL</t>
  </si>
  <si>
    <t xml:space="preserve">Charles River Laboratories</t>
  </si>
  <si>
    <t xml:space="preserve">Charles River Laboratories International (CRL) Has Fresh Attention, But What Is Behind It?</t>
  </si>
  <si>
    <t xml:space="preserve">4f17ec92f5ca7d0636011ab3</t>
  </si>
  <si>
    <t xml:space="preserve">‘Mayor of Kingstown’ Season 5 Update Hints at When It Could Hit Netflix</t>
  </si>
  <si>
    <t xml:space="preserve">Men's Journal</t>
  </si>
  <si>
    <t xml:space="preserve">4a5ab1b49f79eb307482f780</t>
  </si>
  <si>
    <t xml:space="preserve">I've always recommended naming Excel tables, and Microsoft just removed the annoying part</t>
  </si>
  <si>
    <t xml:space="preserve">How-To Geek</t>
  </si>
  <si>
    <t xml:space="preserve">34b82c696882e2c43b364da8</t>
  </si>
  <si>
    <t xml:space="preserve">Turn 74 With $600,000 in an IRA and Decide to Convert $50,000 to a Roth, and the IRS Requires the $23,500 RMD to Come Out First, Taxed, With Not a Dollar of It Allowed Into the Roth</t>
  </si>
  <si>
    <t xml:space="preserve">def1f29457d69e74d4b68aae</t>
  </si>
  <si>
    <t xml:space="preserve">WSM</t>
  </si>
  <si>
    <t xml:space="preserve">Williams-Sonoma, Inc.</t>
  </si>
  <si>
    <t xml:space="preserve">WSM290119C00145000 Interactive Stock Chart | WSM Jan 2029 145.000 call Stock</t>
  </si>
  <si>
    <t xml:space="preserve">dd60bd70724cd5fc48a2f2d9</t>
  </si>
  <si>
    <t xml:space="preserve">TSLA261026P00255000 Interactive Stock Chart | TSLA Oct 2026 255.000 put Stock</t>
  </si>
  <si>
    <t xml:space="preserve">9a5046f39e8b0a5c7833fb1e</t>
  </si>
  <si>
    <t xml:space="preserve">No. 15 Iowa Hawkeyes vs Minnesota Golden Gophers Highlights | FOX College Football</t>
  </si>
  <si>
    <t xml:space="preserve">04d2892b0078ceab3750898f</t>
  </si>
  <si>
    <t xml:space="preserve">FANG</t>
  </si>
  <si>
    <t xml:space="preserve">Diamondback Energy</t>
  </si>
  <si>
    <t xml:space="preserve">Diamondback Energy schedules results call as Diamondback Energy stock trades at EUR 183.10</t>
  </si>
  <si>
    <t xml:space="preserve">d41496f5fe83aa234b382141</t>
  </si>
  <si>
    <t xml:space="preserve">Is Texas Instruments Stock Really Expensive?</t>
  </si>
  <si>
    <t xml:space="preserve">613bff4421cd2797a3252151</t>
  </si>
  <si>
    <t xml:space="preserve">小摩下調AT&amp;T目標價至31美元</t>
  </si>
  <si>
    <r>
      <rPr>
        <sz val="10"/>
        <rFont val="Noto Sans CJK SC"/>
        <family val="2"/>
      </rPr>
      <t xml:space="preserve">小摩下調</t>
    </r>
    <r>
      <rPr>
        <sz val="10"/>
        <rFont val="Arial"/>
        <family val="0"/>
        <charset val="1"/>
      </rPr>
      <t xml:space="preserve">AT&amp;T</t>
    </r>
    <r>
      <rPr>
        <sz val="10"/>
        <rFont val="Noto Sans CJK SC"/>
        <family val="2"/>
      </rPr>
      <t xml:space="preserve">目標價至</t>
    </r>
    <r>
      <rPr>
        <sz val="10"/>
        <rFont val="Arial"/>
        <family val="0"/>
        <charset val="1"/>
      </rPr>
      <t xml:space="preserve">31</t>
    </r>
    <r>
      <rPr>
        <sz val="10"/>
        <rFont val="Noto Sans CJK SC"/>
        <family val="2"/>
      </rPr>
      <t xml:space="preserve">美元</t>
    </r>
  </si>
  <si>
    <t xml:space="preserve">1c47447a0a7315910d1211cd</t>
  </si>
  <si>
    <t xml:space="preserve">MNST</t>
  </si>
  <si>
    <t xml:space="preserve">Monster Beverage</t>
  </si>
  <si>
    <t xml:space="preserve">Monster Beverage Corporation Estimates – BX:MOB</t>
  </si>
  <si>
    <t xml:space="preserve">a46d3923a7b31aebcaf28866</t>
  </si>
  <si>
    <t xml:space="preserve">Learn Why The Bull Case For ITW Stock Could Change Following Quarterly Earnings Report</t>
  </si>
  <si>
    <t xml:space="preserve">d1f5c1eeeb7fc1e935df3020</t>
  </si>
  <si>
    <t xml:space="preserve">Diamondback Energy stock costs EUR 183.10 in weekend trading</t>
  </si>
  <si>
    <t xml:space="preserve">126b7c22550cd3e5439d3401</t>
  </si>
  <si>
    <t xml:space="preserve">Netflix’s ‘Empress of Flames’ First Look Reveals a Thai Throne War Where Revenge Burns Hotter Than Any Crown</t>
  </si>
  <si>
    <t xml:space="preserve">064565f8d5cf85955cc2b360</t>
  </si>
  <si>
    <t xml:space="preserve">Why is Palo Alto Networks stock surging today?</t>
  </si>
  <si>
    <t xml:space="preserve">590b04e57c68fcfce9d5fb30</t>
  </si>
  <si>
    <t xml:space="preserve">American Express Stock Shocks Despite Positive Revenue and Earnings</t>
  </si>
  <si>
    <t xml:space="preserve">BeInCrypto</t>
  </si>
  <si>
    <t xml:space="preserve">7975cc1254a32197e1d40027</t>
  </si>
  <si>
    <t xml:space="preserve">TDG</t>
  </si>
  <si>
    <t xml:space="preserve">TransDigm Group</t>
  </si>
  <si>
    <t xml:space="preserve">TDG Holding Co., Ltd. Class A Estimates – SSE:600330</t>
  </si>
  <si>
    <t xml:space="preserve">755f915252ce31e090d3b328</t>
  </si>
  <si>
    <t xml:space="preserve">WEC</t>
  </si>
  <si>
    <t xml:space="preserve">WEC Energy Group</t>
  </si>
  <si>
    <t xml:space="preserve">WEC Energy Group (WEC) Shares Moved, So What Is Driving Attention Now?</t>
  </si>
  <si>
    <t xml:space="preserve">bb1306cd277f365b9db6fdda</t>
  </si>
  <si>
    <t xml:space="preserve">Atlanta City Council backs Starbucks boycott</t>
  </si>
  <si>
    <t xml:space="preserve">Spectrum News</t>
  </si>
  <si>
    <t xml:space="preserve">d4ee56e6eb2ef5b7abb50d57</t>
  </si>
  <si>
    <t xml:space="preserve">Norfolk Southern Corporation Estimates – NYSE:NSC</t>
  </si>
  <si>
    <t xml:space="preserve">8f775cfd8ae7822b84069302</t>
  </si>
  <si>
    <t xml:space="preserve">Windows remembers every USB device you've plugged in, and checking your history takes five minutes</t>
  </si>
  <si>
    <t xml:space="preserve">XDA</t>
  </si>
  <si>
    <t xml:space="preserve">d90ff83297ccc00123a18392</t>
  </si>
  <si>
    <t xml:space="preserve">All Hallows Eve Victorian Ball happening this weekend</t>
  </si>
  <si>
    <t xml:space="preserve">KTVN</t>
  </si>
  <si>
    <t xml:space="preserve">f281fd553c774503a55669e0</t>
  </si>
  <si>
    <t xml:space="preserve">SpaceX Cell Site Report Hits Verizon, AT&amp;T, Lifts These Tower Plays</t>
  </si>
  <si>
    <t xml:space="preserve">ff07c65a04c1e92e9ad8f735</t>
  </si>
  <si>
    <t xml:space="preserve">6a53d47ffb787f0980c53566</t>
  </si>
  <si>
    <t xml:space="preserve">Oklahoma basketball scrimmage notes: Intel as the opener nears</t>
  </si>
  <si>
    <t xml:space="preserve">247Sports</t>
  </si>
  <si>
    <t xml:space="preserve">aa919e4035e21b849d5ffd50</t>
  </si>
  <si>
    <t xml:space="preserve">Alphabet, Microsoft, Amazon Report Oct. 28-29 [2026]</t>
  </si>
  <si>
    <t xml:space="preserve">8e48ca204011db273018685d</t>
  </si>
  <si>
    <t xml:space="preserve">ResMed Inc. (RMD) Stock forecasts</t>
  </si>
  <si>
    <t xml:space="preserve">7580a4b33809ea1a1830b561</t>
  </si>
  <si>
    <t xml:space="preserve">ResMed Inc. (RMD) Stock Forecasts</t>
  </si>
  <si>
    <t xml:space="preserve">57135f674a83775b045146cc</t>
  </si>
  <si>
    <t xml:space="preserve">BX</t>
  </si>
  <si>
    <t xml:space="preserve">Blackstone Inc. Estimates – NYSE:BX</t>
  </si>
  <si>
    <t xml:space="preserve">e4f22fdf3510b97d5df33bc2</t>
  </si>
  <si>
    <t xml:space="preserve">What to Expect From CVS Health's Next Quarterly Earnings Report</t>
  </si>
  <si>
    <t xml:space="preserve">a8a9926548f418e9a34af985</t>
  </si>
  <si>
    <t xml:space="preserve">Netflix announces 3-part documentary on disappearance of Natalee Holloway</t>
  </si>
  <si>
    <t xml:space="preserve">Bham Now</t>
  </si>
  <si>
    <t xml:space="preserve">9da354c289fdbd06e6c1b052</t>
  </si>
  <si>
    <t xml:space="preserve">Tesla, Inc. (TSLA) Stock Forecasts</t>
  </si>
  <si>
    <t xml:space="preserve">b7025ed94976115cb33d2b6e</t>
  </si>
  <si>
    <t xml:space="preserve">The Hershey Company Estimates – NYSE:HSY</t>
  </si>
  <si>
    <t xml:space="preserve">c3d168f01dc5376406b414a4</t>
  </si>
  <si>
    <t xml:space="preserve">Costar Group Co., Ltd. Reports Earnings Results for the Nine Months Ended September 30, 2026</t>
  </si>
  <si>
    <t xml:space="preserve">c8c3ca8067cbd2e100d8c241</t>
  </si>
  <si>
    <t xml:space="preserve">FFIV</t>
  </si>
  <si>
    <t xml:space="preserve">F5, Inc.</t>
  </si>
  <si>
    <t xml:space="preserve">FFIV261120P00420000 Interactive Stock Chart | FFIV Nov 2026 420.000 put Stock</t>
  </si>
  <si>
    <t xml:space="preserve">31e4e5c8c4ad825679a49a0b</t>
  </si>
  <si>
    <t xml:space="preserve">West Pharmaceutical Services, Inc. Estimates – BX:WPS</t>
  </si>
  <si>
    <t xml:space="preserve">82e28cb786bd87496f00d15d</t>
  </si>
  <si>
    <t xml:space="preserve">Does Sales Reset Change The Bull Case For Nike Stock (NKE)?</t>
  </si>
  <si>
    <t xml:space="preserve">4de1b09de413456e64e852f4</t>
  </si>
  <si>
    <t xml:space="preserve">TKO CEO Ari Emanuel Reveals Whether WWE Crown Jewel In Saudi Arabia Has Been Cancelled</t>
  </si>
  <si>
    <t xml:space="preserve">TJR Wrestling</t>
  </si>
  <si>
    <t xml:space="preserve">b8829119bb7b15deaeea253e</t>
  </si>
  <si>
    <t xml:space="preserve">No. 8 Texas Tech Red Raiders vs Cincinnati Bearcats Highlights | FOX College Football</t>
  </si>
  <si>
    <t xml:space="preserve">99058d02262c5a7e5b83cab6</t>
  </si>
  <si>
    <t xml:space="preserve">GE</t>
  </si>
  <si>
    <t xml:space="preserve">GE Aerospace</t>
  </si>
  <si>
    <t xml:space="preserve">What Did GE Aerospace’s Quarter Change For Its Stock?</t>
  </si>
  <si>
    <t xml:space="preserve">81ac505613ce93b96d8095f9</t>
  </si>
  <si>
    <t xml:space="preserve">Old Dominion Freight Line, Inc. Estimates – BMV:ODFL</t>
  </si>
  <si>
    <t xml:space="preserve">193aa6f801a99869a385070e</t>
  </si>
  <si>
    <t xml:space="preserve">C</t>
  </si>
  <si>
    <t xml:space="preserve">Citigroup</t>
  </si>
  <si>
    <t xml:space="preserve">citigroup global markets australia holdings pty limited Warrant 2022-17.06.27 on iShs S&amp;P 500 Estimates – ASX:IVVSOI</t>
  </si>
  <si>
    <t xml:space="preserve">57808adc853b79786044fada</t>
  </si>
  <si>
    <t xml:space="preserve">Broadcom Inc. $AVGO Shares Newly Acquired by Sawyer &amp; Company Inc</t>
  </si>
  <si>
    <t xml:space="preserve">fb55e95093276f4af85698dc</t>
  </si>
  <si>
    <t xml:space="preserve">VLO</t>
  </si>
  <si>
    <t xml:space="preserve">Valero Energy</t>
  </si>
  <si>
    <t xml:space="preserve">How Earnings Beat Will Impact Valero Energy (VLO) Stock</t>
  </si>
  <si>
    <t xml:space="preserve">ee4495c1ad03ec407985354f</t>
  </si>
  <si>
    <t xml:space="preserve">ISRG Oct 2026 457.500 call (ISRG261030C00457500) stock price, news, quote and history</t>
  </si>
  <si>
    <t xml:space="preserve">cfd34bc0aa6f0e1fc7c9982f</t>
  </si>
  <si>
    <t xml:space="preserve">Report - How Much TKO Would Lose If WWE Crown Jewel 2026 &amp; UFC Events In Saudi Arabia Are Canceled</t>
  </si>
  <si>
    <t xml:space="preserve">eWrestlingNews.com</t>
  </si>
  <si>
    <t xml:space="preserve">98c4cecad47dacb62b06d4a5</t>
  </si>
  <si>
    <t xml:space="preserve">SWK</t>
  </si>
  <si>
    <t xml:space="preserve">Stanley Black &amp; Decker</t>
  </si>
  <si>
    <t xml:space="preserve">Stanley Black &amp; Decker, Inc. (SWK) Stock Price, News, Quote &amp; History</t>
  </si>
  <si>
    <t xml:space="preserve">906c356a10c3d9047e9fd02c</t>
  </si>
  <si>
    <t xml:space="preserve">FLEX</t>
  </si>
  <si>
    <t xml:space="preserve">Flex Ltd.</t>
  </si>
  <si>
    <t xml:space="preserve">Week 7 Fantasy Football FLEX Rankings</t>
  </si>
  <si>
    <t xml:space="preserve">7a10d61596d1e0764e9a36d5</t>
  </si>
  <si>
    <t xml:space="preserve">STT</t>
  </si>
  <si>
    <t xml:space="preserve">State Street Corporation</t>
  </si>
  <si>
    <t xml:space="preserve">State Street (STT), What Is Behind Its Latest Attention?</t>
  </si>
  <si>
    <t xml:space="preserve">87a873f5cd216cddd0507bfc</t>
  </si>
  <si>
    <t xml:space="preserve">CEG</t>
  </si>
  <si>
    <t xml:space="preserve">Constellation Energy</t>
  </si>
  <si>
    <t xml:space="preserve">CEG261113P00305000 Interactive Stock Chart | CEG Nov 2026 305.000 put Stock</t>
  </si>
  <si>
    <t xml:space="preserve">bd298cf3c26f950b316a649d</t>
  </si>
  <si>
    <t xml:space="preserve">HPQ</t>
  </si>
  <si>
    <t xml:space="preserve">HP Inc.</t>
  </si>
  <si>
    <t xml:space="preserve">HPQ261030C00028500 interactive stock chart | HPQ Oct 2026 28.500 call stock</t>
  </si>
  <si>
    <t xml:space="preserve">7bd27f1e2ef3de322c262ff0</t>
  </si>
  <si>
    <t xml:space="preserve">PEG</t>
  </si>
  <si>
    <t xml:space="preserve">Public Service Enterprise Group</t>
  </si>
  <si>
    <t xml:space="preserve">Public Service Enterprise Group (PEG) Shares Moved, So What Is Driving Attention Now?</t>
  </si>
  <si>
    <t xml:space="preserve">2ed3fdd04caf26ff1e8dc4ed</t>
  </si>
  <si>
    <t xml:space="preserve">Motorola Solutions, Inc. (MSI) Stock Price, News, Quote &amp; History</t>
  </si>
  <si>
    <t xml:space="preserve">72d1e6517ff517e2b0a1f9d4</t>
  </si>
  <si>
    <t xml:space="preserve">HWM</t>
  </si>
  <si>
    <t xml:space="preserve">Howmet Aerospace</t>
  </si>
  <si>
    <t xml:space="preserve">Howmet Aerospace Inc. Estimates – NYSE:HWM</t>
  </si>
  <si>
    <t xml:space="preserve">ba86ace5d7da5a4685e84ea5</t>
  </si>
  <si>
    <t xml:space="preserve">Wells Fargo, Intuit Join Growing Corporate Revolt Against Tokenized Stock Plan: Reuters</t>
  </si>
  <si>
    <t xml:space="preserve">Bitcoin News</t>
  </si>
  <si>
    <t xml:space="preserve">3e0966280c1b9cccf65e9c36</t>
  </si>
  <si>
    <t xml:space="preserve">DHI</t>
  </si>
  <si>
    <t xml:space="preserve">D. R. Horton</t>
  </si>
  <si>
    <t xml:space="preserve">DHI Group, Inc. Estimates – NYSE:DHX</t>
  </si>
  <si>
    <t xml:space="preserve">74e75a63fc9a0d1015f123b4</t>
  </si>
  <si>
    <t xml:space="preserve">SNDK270521C01340000 Interactive Stock Chart | SNDK May 2027 1340.000 call Stock</t>
  </si>
  <si>
    <t xml:space="preserve">b2f9b62bee58eae0883a415a</t>
  </si>
  <si>
    <t xml:space="preserve">Your USB hub can sabotage your wireless mouse: here’s the cheap fix</t>
  </si>
  <si>
    <t xml:space="preserve">46769a93767a403a9957bde2</t>
  </si>
  <si>
    <t xml:space="preserve">VLO Nov 2026 465.000 call (VLO261113C00465000) stock price, news, quote and history</t>
  </si>
  <si>
    <t xml:space="preserve">a70cccde5732281fd5eaa28a</t>
  </si>
  <si>
    <t xml:space="preserve">PayPal Holdings, Inc. Estimates – BMV:PYPL</t>
  </si>
  <si>
    <t xml:space="preserve">beb0c120750dc59f649d3c91</t>
  </si>
  <si>
    <t xml:space="preserve">AAPL261030C00225000 Interactive Stock Chart | AAPL Oct 2026 225.000 call Stock</t>
  </si>
  <si>
    <t xml:space="preserve">467745462de0eb36a3556c8d</t>
  </si>
  <si>
    <t xml:space="preserve">MSCI JP IMI/CONSUMER ST STRD JP (AT0000A35R50.VI) recent insider transactions</t>
  </si>
  <si>
    <t xml:space="preserve">5828735fe8b1d822f6692f6a</t>
  </si>
  <si>
    <t xml:space="preserve">Longtime Customer Goes To AutoZone. Then A Worker Makes Him Walk Out And Go To O'Reilly: 'Please Wait For Cashier'</t>
  </si>
  <si>
    <t xml:space="preserve">c5cb7a197512a7ed8626a285</t>
  </si>
  <si>
    <t xml:space="preserve">TGT281215C00115000 interactive stock chart | TGT Dec 2028 115.000 call stock</t>
  </si>
  <si>
    <t xml:space="preserve">bd9c49d6825e4310afa2f0ae</t>
  </si>
  <si>
    <t xml:space="preserve">Invesco QQQ $QQQ Shares Sold by Wedbush Securities Inc.</t>
  </si>
  <si>
    <t xml:space="preserve">a8883b4b7db11f2624906daa</t>
  </si>
  <si>
    <t xml:space="preserve">Devon Energy Corporation Estimates – SWB:DY6</t>
  </si>
  <si>
    <t xml:space="preserve">a2ec0718503dc9f0b1187e90</t>
  </si>
  <si>
    <t xml:space="preserve">TSLA Oct 2026 362.500 call (TSLA261023C00362500) stock price, news, quote and history</t>
  </si>
  <si>
    <t xml:space="preserve">91238d18f04dd3286ea64a18</t>
  </si>
  <si>
    <t xml:space="preserve">TDY</t>
  </si>
  <si>
    <t xml:space="preserve">Teledyne Technologies</t>
  </si>
  <si>
    <t xml:space="preserve">Teledyne Technologies Incorporated : Quarterly Report for Quarter Ending September 27, 2026 (Form 10-Q)</t>
  </si>
  <si>
    <t xml:space="preserve">858277ce633fdd236d5ee1fe</t>
  </si>
  <si>
    <t xml:space="preserve">54,144 CBRE Group, Inc. $CBRE Shares Sold by Crossmark Global Holdings Inc.</t>
  </si>
  <si>
    <t xml:space="preserve">e939d295002f8ad54723d533</t>
  </si>
  <si>
    <t xml:space="preserve">AAPL Dec 2026 590.000 call (AAPL261218C00590000) stock price, news, quote and history</t>
  </si>
  <si>
    <t xml:space="preserve">aa587adf1146b4952c81ce01</t>
  </si>
  <si>
    <t xml:space="preserve">Invesco Advantage Muni Income Trust II Estimates – NASDAQ:XVKIX</t>
  </si>
  <si>
    <t xml:space="preserve">9907894dc66a5ee791cc511d</t>
  </si>
  <si>
    <t xml:space="preserve">Here is What to Know Beyond Why Citigroup Inc. (C) is a Trending Stock</t>
  </si>
  <si>
    <t xml:space="preserve">6a4a5d7f37470bb2b3664174</t>
  </si>
  <si>
    <t xml:space="preserve">TPR</t>
  </si>
  <si>
    <t xml:space="preserve">Tapestry, Inc.</t>
  </si>
  <si>
    <t xml:space="preserve">Tapestry, Inc. (TPR) Stock Price, News, Quote &amp; History</t>
  </si>
  <si>
    <t xml:space="preserve">a9e90d91feb26f9422d19ed3</t>
  </si>
  <si>
    <t xml:space="preserve">TSLA Oct 2026 387.500 call (TSLA261023C00387500) stock price, news, quote and history</t>
  </si>
  <si>
    <t xml:space="preserve">840cdaf19b0147f8deb5367f</t>
  </si>
  <si>
    <t xml:space="preserve">TSLA261023C00382500 Interactive Stock Chart | TSLA Oct 2026 382.500 call Stock</t>
  </si>
  <si>
    <t xml:space="preserve">a807304270a161e405cb0116</t>
  </si>
  <si>
    <t xml:space="preserve">MOS</t>
  </si>
  <si>
    <t xml:space="preserve">Mosaic Company (The)</t>
  </si>
  <si>
    <t xml:space="preserve">MOS Oct 2026 28.000 call (MOS261023C00028000) stock price, news, quote and history</t>
  </si>
  <si>
    <t xml:space="preserve">9ed68659e4d412703e375085</t>
  </si>
  <si>
    <t xml:space="preserve">HPQ Oct 2026 38.500 call (HPQ261023C00038500) stock price, news, quote and history</t>
  </si>
  <si>
    <t xml:space="preserve">3adbae1d2086213c9d2e12a4</t>
  </si>
  <si>
    <t xml:space="preserve">Verisk Analytics comments on Delaware Supreme Court order regarding AccuLynx</t>
  </si>
  <si>
    <t xml:space="preserve">72e06094a2a2b1b3a8736a03</t>
  </si>
  <si>
    <t xml:space="preserve">Microsoft Earnings Report To Focus On AI Momentum, Capex</t>
  </si>
  <si>
    <t xml:space="preserve">3c22313ea1ad1a5239ca437e</t>
  </si>
  <si>
    <t xml:space="preserve">Microsoft will decide Arkane Lyon’s fate in November</t>
  </si>
  <si>
    <t xml:space="preserve">KitGuru</t>
  </si>
  <si>
    <t xml:space="preserve">2ee3ee5b9baa15f4c028cef9</t>
  </si>
  <si>
    <t xml:space="preserve">TSLA Oct 2026 387.500 put (TSLA261023P00387500) stock price, news, quote and history</t>
  </si>
  <si>
    <t xml:space="preserve">f9865ccf5a4e1e5e2ba6cd7b</t>
  </si>
  <si>
    <t xml:space="preserve">iShares MSCI Emerging Markets ETF Shs Cert Deposito Arg Repr 0.2 Sh Estimates – BCBA:EEMC</t>
  </si>
  <si>
    <t xml:space="preserve">53242e1d611d06e016f98a46</t>
  </si>
  <si>
    <t xml:space="preserve">為何人工智能數據中心正推動燃料電池需求激增</t>
  </si>
  <si>
    <t xml:space="preserve">a6e2d42bc8dfac1d6129ee45</t>
  </si>
  <si>
    <t xml:space="preserve">TDG Nov 2026 1180.000 call (TDG261120C01180000) stock price, news, quote and history</t>
  </si>
  <si>
    <t xml:space="preserve">9009deb678ea926a388dc2c0</t>
  </si>
  <si>
    <t xml:space="preserve">TRMB</t>
  </si>
  <si>
    <t xml:space="preserve">Trimble Inc.</t>
  </si>
  <si>
    <t xml:space="preserve">Trimble Inc. (TRMB) Stock Forecasts</t>
  </si>
  <si>
    <t xml:space="preserve">ccbb2ac34c39df40b779a1f6</t>
  </si>
  <si>
    <t xml:space="preserve">Not Nvidia. Not Microsoft. This "Magnificent Seven" Stock Is the Cheapest Right Now.</t>
  </si>
  <si>
    <t xml:space="preserve">891ffe951889ff7c87bf9db2</t>
  </si>
  <si>
    <t xml:space="preserve">JBL Claims Curt Hennig Drugged Jim Ross, Gerald Brisco</t>
  </si>
  <si>
    <t xml:space="preserve">c123292e216d3b46d810cdee</t>
  </si>
  <si>
    <t xml:space="preserve">8916fe6c32f2540605b778d8</t>
  </si>
  <si>
    <t xml:space="preserve">Why is Amazon spending half a billion dollars in Kapolei?</t>
  </si>
  <si>
    <t xml:space="preserve">Hawaii Public Radio</t>
  </si>
  <si>
    <t xml:space="preserve">8348e537f8308a7242ed0409</t>
  </si>
  <si>
    <t xml:space="preserve">TSLA Oct 2026 432.500 call (TSLA261023C00432500) stock price, news, quote and history</t>
  </si>
  <si>
    <t xml:space="preserve">4e4b991de2b420cf00816009</t>
  </si>
  <si>
    <t xml:space="preserve">TPR Co., Ltd. Estimates – TSE:6463</t>
  </si>
  <si>
    <t xml:space="preserve">e46dbc8dbf373e76f2b9a6ca</t>
  </si>
  <si>
    <t xml:space="preserve">Texas Instruments (TXN) Stock Rating: HOLD After Q3 FY12/26 Earnings (NASDAQ:TXN)</t>
  </si>
  <si>
    <t xml:space="preserve">49068395b54e020890102799</t>
  </si>
  <si>
    <t xml:space="preserve">MTB Mar 2027 165.000 put (MTB270319P00165000) Stock Price, News, Quote &amp; History</t>
  </si>
  <si>
    <t xml:space="preserve">60ea7367b51ba38fa17f25ba</t>
  </si>
  <si>
    <t xml:space="preserve">CMG</t>
  </si>
  <si>
    <t xml:space="preserve">Chipotle Mexican Grill</t>
  </si>
  <si>
    <t xml:space="preserve">CMG Oct 2026 36.500 put (CMG261030P00036500) stock price, news, quote and history</t>
  </si>
  <si>
    <t xml:space="preserve">20256c2a2279d3a14a20600c</t>
  </si>
  <si>
    <t xml:space="preserve">AVGO Oct 2026 445.000 call (AVGO261026C00445000) stock price, news, quote and history</t>
  </si>
  <si>
    <t xml:space="preserve">Yahoo Finance Singapore</t>
  </si>
  <si>
    <t xml:space="preserve">8a7411563efbd248371c80ae</t>
  </si>
  <si>
    <t xml:space="preserve">AVGO Oct 2026 367.500 put (AVGO261026P00367500) stock price, news, quote and history</t>
  </si>
  <si>
    <t xml:space="preserve">337a94e2c5659d62bf408c3c</t>
  </si>
  <si>
    <t xml:space="preserve">VTRS</t>
  </si>
  <si>
    <t xml:space="preserve">Viatris</t>
  </si>
  <si>
    <t xml:space="preserve">Viatris Inc. Estimates – NASDAQ:VTRS</t>
  </si>
  <si>
    <t xml:space="preserve">b809301e45eeb3fa176d5ebd</t>
  </si>
  <si>
    <t xml:space="preserve">LLY</t>
  </si>
  <si>
    <t xml:space="preserve">Lilly (Eli)</t>
  </si>
  <si>
    <t xml:space="preserve">LLY|Eli Lilly and Co|Price:1265.235|Chg%:-41.455</t>
  </si>
  <si>
    <t xml:space="preserve">30e8ef02017b446f16ecdfbb</t>
  </si>
  <si>
    <t xml:space="preserve">Equinix</t>
  </si>
  <si>
    <t xml:space="preserve">9bd668957049e0118b671c1b</t>
  </si>
  <si>
    <t xml:space="preserve">New York Jets vs Miami Dolphins Pre-Game Ball</t>
  </si>
  <si>
    <t xml:space="preserve">9810c4e8b902a7690fdce930</t>
  </si>
  <si>
    <t xml:space="preserve">APO</t>
  </si>
  <si>
    <t xml:space="preserve">Apollo Global Management</t>
  </si>
  <si>
    <t xml:space="preserve">Apollo appoints Micky Malka to board. Apollo Global Management stock costs EUR 100.80</t>
  </si>
  <si>
    <t xml:space="preserve">811e1abbb3b7615421642853</t>
  </si>
  <si>
    <t xml:space="preserve">Computer Modelling Group Ltd. Estimates – TSX:CMG</t>
  </si>
  <si>
    <t xml:space="preserve">3afd8e24c3657b43e4b7934e</t>
  </si>
  <si>
    <t xml:space="preserve">TTD</t>
  </si>
  <si>
    <t xml:space="preserve">Trade Desk (The)</t>
  </si>
  <si>
    <t xml:space="preserve">Revenue Warning Could Be A Game Changer For Trade Desk Stock (TTD)</t>
  </si>
  <si>
    <t xml:space="preserve">85ee2bf0b53ab66ac376f610</t>
  </si>
  <si>
    <t xml:space="preserve">LII</t>
  </si>
  <si>
    <t xml:space="preserve">Lennox International</t>
  </si>
  <si>
    <t xml:space="preserve">Lennox International, Inc. Estimates – BOATS:LII</t>
  </si>
  <si>
    <t xml:space="preserve">a54aab4ca9dc51bcb1e82749</t>
  </si>
  <si>
    <t xml:space="preserve">ISRG Nov 2026 505.000 call (ISRG261106C00505000) stock price, news, quote and history</t>
  </si>
  <si>
    <t xml:space="preserve">8dc4eeb686cebdbc4ee2eb5b</t>
  </si>
  <si>
    <t xml:space="preserve">META Oct 2026 592.500 call (META261026C00592500) stock price, news, quote and history</t>
  </si>
  <si>
    <t xml:space="preserve">c8f52816f4d78beee8e54cc3</t>
  </si>
  <si>
    <t xml:space="preserve">NKE Oct 2026 32.500 call (NKE261023C00032500) stock price, news, quote and history</t>
  </si>
  <si>
    <t xml:space="preserve">a0d363c7f7dc72852b2bf034</t>
  </si>
  <si>
    <t xml:space="preserve">MSFT Oct 2026 590.000 call (MSFT261026C00590000) stock price, news, quote and history</t>
  </si>
  <si>
    <t xml:space="preserve">e0b8df84c2ef8de49531ef5f</t>
  </si>
  <si>
    <t xml:space="preserve">ACN Dec 2026 410.000 call (ACN261218C00410000) stock price, news, quote and history</t>
  </si>
  <si>
    <t xml:space="preserve">c50f82e4e20148b021d75267</t>
  </si>
  <si>
    <t xml:space="preserve">Citigroup Global Markets Australia Pty Ltd Warrant 2025-06.02.35 on BHP Billiton Estimates – ASX:BHPJOC</t>
  </si>
  <si>
    <t xml:space="preserve">2cea677e97d7076795e43b22</t>
  </si>
  <si>
    <t xml:space="preserve">DVN Nov 2026 58.000 call (DVN261113C00058000) Stock Price, News, Quote &amp; History</t>
  </si>
  <si>
    <t xml:space="preserve">5e47b683ebc842c7cc72b226</t>
  </si>
  <si>
    <t xml:space="preserve">WDC Oct 2026 392.500 call (WDC261023C00392500) stock price, news, quote and history</t>
  </si>
  <si>
    <t xml:space="preserve">1ecddeb00e837bbed5bee8d6</t>
  </si>
  <si>
    <t xml:space="preserve">Invesco QQQ $QQQ Stock Acquired by Reyes Financial Architecture Inc.</t>
  </si>
  <si>
    <t xml:space="preserve">d8563ded7544802bb95b5259</t>
  </si>
  <si>
    <t xml:space="preserve">MOS Sep 2027 20.000 put (MOS270917P00020000) stock price, news, quote and history</t>
  </si>
  <si>
    <t xml:space="preserve">8c36bedc8175f448c0b265c5</t>
  </si>
  <si>
    <t xml:space="preserve">XYZ</t>
  </si>
  <si>
    <t xml:space="preserve">Block, Inc.</t>
  </si>
  <si>
    <t xml:space="preserve">Block, Inc. $XYZ Stock Sold by SBI Securities Co. Ltd.</t>
  </si>
  <si>
    <t xml:space="preserve">34aca4633c11aaff12d3c20c</t>
  </si>
  <si>
    <t xml:space="preserve">TSLA Oct 2026 347.500 call (TSLA261023C00347500) stock price, news, quote and history</t>
  </si>
  <si>
    <t xml:space="preserve">b9df35f44149394ce3abe435</t>
  </si>
  <si>
    <t xml:space="preserve">TSLA261026C00447500 Interactive Stock Chart | TSLA Oct 2026 447.500 call Stock</t>
  </si>
  <si>
    <t xml:space="preserve">e6f7af622a3a6ed8f94ed941</t>
  </si>
  <si>
    <t xml:space="preserve">LLY Nov 2026 1380.000 put (LLY261127P01380000) stock price, news, quote and history</t>
  </si>
  <si>
    <t xml:space="preserve">11d9e00b434dd9314bab2017</t>
  </si>
  <si>
    <t xml:space="preserve">ROP Stock Quote Price and Forecast</t>
  </si>
  <si>
    <t xml:space="preserve">CNN</t>
  </si>
  <si>
    <t xml:space="preserve">d29c2ae13c932a0c85d96a43</t>
  </si>
  <si>
    <t xml:space="preserve">UNP Mar 2027 125.000 put (UNP270319P00125000) stock price, news, quote and history</t>
  </si>
  <si>
    <t xml:space="preserve">e5b2330d87c187ff2f3aa8f9</t>
  </si>
  <si>
    <t xml:space="preserve">MSFT Oct 2026 455.000 call (MSFT261026C00455000) Stock Price, News, Quote &amp; History</t>
  </si>
  <si>
    <t xml:space="preserve">ed7c265df5fa12ffa1eeb9e6</t>
  </si>
  <si>
    <t xml:space="preserve">Blackrock Greater Europe Investment Trust PLC Estimates – LSE:BRGE</t>
  </si>
  <si>
    <t xml:space="preserve">f8826eb7e054ebb02db26a93</t>
  </si>
  <si>
    <t xml:space="preserve">AVGO Oct 2026 302.500 call (AVGO261026C00302500) stock price, news, quote and history</t>
  </si>
  <si>
    <t xml:space="preserve">dc77bbaac739fa883176016d</t>
  </si>
  <si>
    <t xml:space="preserve">LITE Sep 2027 590.000 put (LITE270917P00590000) stock price, news, quote and history</t>
  </si>
  <si>
    <t xml:space="preserve">19b6b81a4055983b653d6c1a</t>
  </si>
  <si>
    <t xml:space="preserve">CEG270219P00310000 Interactive Stock Chart | CEG Feb 2027 310.000 put Stock</t>
  </si>
  <si>
    <t xml:space="preserve">8fa6d017d788a25258dd62ea</t>
  </si>
  <si>
    <t xml:space="preserve">AVGO Oct 2026 327.500 call (AVGO261026C00327500) stock price, news, quote and history</t>
  </si>
  <si>
    <t xml:space="preserve">03a259e33bd90875c997f2fe</t>
  </si>
  <si>
    <t xml:space="preserve">MSFT Oct 2026 490.000 call (MSFT261026C00490000) stock price, news, quote and history</t>
  </si>
  <si>
    <t xml:space="preserve">baa64638b49d0534466fc628</t>
  </si>
  <si>
    <t xml:space="preserve">NVIDIA Shader Cache Size: 13 Steps, 40 Min [2026]</t>
  </si>
  <si>
    <t xml:space="preserve">b28da19f7e5f7b969121a221</t>
  </si>
  <si>
    <t xml:space="preserve">LRCX261023P00267500 Interactive Stock Chart | LRCX Oct 2026 267.500 put Stock</t>
  </si>
  <si>
    <t xml:space="preserve">a9ba66e01fb9db645ed24625</t>
  </si>
  <si>
    <t xml:space="preserve">TSLA Oct 2026 342.500 call (TSLA261023C00342500) stock price, news, quote and history</t>
  </si>
  <si>
    <t xml:space="preserve">8539df191468480c7f39cc60</t>
  </si>
  <si>
    <t xml:space="preserve">Motorola Solutions, Inc. Estimates – NYSE:MSI</t>
  </si>
  <si>
    <t xml:space="preserve">4c6916fad4bc7d3c86a77143</t>
  </si>
  <si>
    <t xml:space="preserve">TXN Jan 2029 240.000 put (TXN290119P00240000) Stock Price, News, Quote &amp; History</t>
  </si>
  <si>
    <t xml:space="preserve">51c819435a37490ba6858e54</t>
  </si>
  <si>
    <t xml:space="preserve">F5, Inc. (FFIV) stock price, news, quote and history</t>
  </si>
  <si>
    <t xml:space="preserve">4ac5cc17c2cd1a8244a1fdee</t>
  </si>
  <si>
    <t xml:space="preserve">AMGN</t>
  </si>
  <si>
    <t xml:space="preserve">Amgen</t>
  </si>
  <si>
    <t xml:space="preserve">AMGN Mar 2027 560.000 call (AMGN270319C00560000) Stock Price, News, Quote &amp; History</t>
  </si>
  <si>
    <t xml:space="preserve">c84e81039ef9cc84b37059bb</t>
  </si>
  <si>
    <t xml:space="preserve">RMD Nov 2026 240.000 call (RMD261120C00240000) stock price, news, quote and history</t>
  </si>
  <si>
    <t xml:space="preserve">36e9c988628b767507c18ca8</t>
  </si>
  <si>
    <t xml:space="preserve">CVX</t>
  </si>
  <si>
    <t xml:space="preserve">Chevron Corporation</t>
  </si>
  <si>
    <t xml:space="preserve">CVX Sep 2027 190.000 put (CVX270917P00190000) stock price, news, quote and history</t>
  </si>
  <si>
    <t xml:space="preserve">517725cac8a60926cb1d1ea2</t>
  </si>
  <si>
    <t xml:space="preserve">CFG</t>
  </si>
  <si>
    <t xml:space="preserve">Citizens Financial Group</t>
  </si>
  <si>
    <t xml:space="preserve">Citizens Financial Group, Inc. Estimates – NYSE:CFG</t>
  </si>
  <si>
    <t xml:space="preserve">60b4350208006fc079231292</t>
  </si>
  <si>
    <t xml:space="preserve">LVS Oct 2026 41.000 put (LVS261030P00041000) Stock Price, News, Quote &amp; History</t>
  </si>
  <si>
    <t xml:space="preserve">262aadba6023265dffbc1003</t>
  </si>
  <si>
    <t xml:space="preserve">'Paralyzed By Hope: The Maria Bamford Story' Netflix Review, Stream It or Skip It?</t>
  </si>
  <si>
    <t xml:space="preserve">d921877006ca1ab7e2d9e929</t>
  </si>
  <si>
    <t xml:space="preserve">APO Oct 2026 112.000 put (APO261023P00112000) stock price, news, quote and history</t>
  </si>
  <si>
    <t xml:space="preserve">37fbcb54f0e8043a94c8dd75</t>
  </si>
  <si>
    <t xml:space="preserve">TXN Sep 2027 390.000 call (TXN270917C00390000) Stock Price, News, Quote &amp; History</t>
  </si>
  <si>
    <t xml:space="preserve">9a537def92e38080614b75ef</t>
  </si>
  <si>
    <t xml:space="preserve">HUBB</t>
  </si>
  <si>
    <t xml:space="preserve">Hubbell Incorporated</t>
  </si>
  <si>
    <t xml:space="preserve">HUBB Nov 2026 360.000 put (HUBB261120P00360000) stock price, news, quote and history</t>
  </si>
  <si>
    <t xml:space="preserve">d8d54a80402b28c8dfc199bb</t>
  </si>
  <si>
    <t xml:space="preserve">QCOM Oct 2026 182.500 call (QCOM261023C00182500) stock price, news, quote and history</t>
  </si>
  <si>
    <t xml:space="preserve">d5498d917db5b68d15903ca2</t>
  </si>
  <si>
    <t xml:space="preserve">HOOD Jan 2029 195.000 put (HOOD290119P00195000) Stock Price, News, Quote &amp; History</t>
  </si>
  <si>
    <t xml:space="preserve">34498739de4de875ca2cefe5</t>
  </si>
  <si>
    <t xml:space="preserve">HPQ Oct 2026 37.500 call (HPQ261023C00037500) stock price, news, quote and history</t>
  </si>
  <si>
    <t xml:space="preserve">2699485b0625d80d54d082db</t>
  </si>
  <si>
    <t xml:space="preserve">TSLA Oct 2026 470.000 put (TSLA261023P00470000) stock price, news, quote and history</t>
  </si>
  <si>
    <t xml:space="preserve">c733171676e85040e3e0fb38</t>
  </si>
  <si>
    <t xml:space="preserve">Amazon TOM Team Drivers at OIL9 Facility Join Teamsters</t>
  </si>
  <si>
    <t xml:space="preserve">International Brotherhood of Teamsters</t>
  </si>
  <si>
    <t xml:space="preserve">b51a9c076b8f9f49f1333147</t>
  </si>
  <si>
    <t xml:space="preserve">The Trade Desk, Inc. Estimates – NASDAQ:TTD</t>
  </si>
  <si>
    <t xml:space="preserve">4d3560cebdfc30a29caabe57</t>
  </si>
  <si>
    <t xml:space="preserve">CME Nov 2026 265.000 put (CME261106P00265000) Stock Price, News, Quote &amp; History</t>
  </si>
  <si>
    <t xml:space="preserve">c424f0682f228c22d11194cd</t>
  </si>
  <si>
    <t xml:space="preserve">QCOM Oct 2026 145.000 call (QCOM261023C00145000) stock price, news, quote and history</t>
  </si>
  <si>
    <t xml:space="preserve">3ba5b3789a95e4e140abb869</t>
  </si>
  <si>
    <t xml:space="preserve">LLY Nov 2026 1210.000 call (LLY261127C01210000) stock price, news, quote and history</t>
  </si>
  <si>
    <t xml:space="preserve">a7fe2de63390c9be90c83ed1</t>
  </si>
  <si>
    <t xml:space="preserve">GNRC</t>
  </si>
  <si>
    <t xml:space="preserve">Generac</t>
  </si>
  <si>
    <t xml:space="preserve">Generac Holdings Earnings Preview: What to Expect</t>
  </si>
  <si>
    <t xml:space="preserve">c308c4a6eb5267b43ab15930</t>
  </si>
  <si>
    <t xml:space="preserve">CVX Nov 2026 165.000 put (CVX261113P00165000) stock price, news, quote and history</t>
  </si>
  <si>
    <t xml:space="preserve">00b0e5c6507854e0517bd805</t>
  </si>
  <si>
    <t xml:space="preserve">SWKS</t>
  </si>
  <si>
    <t xml:space="preserve">Skyworks Solutions</t>
  </si>
  <si>
    <t xml:space="preserve">SWKS Jan 2027 77.500 put (SWKS270115P00077500) stock price, news, quote and history</t>
  </si>
  <si>
    <t xml:space="preserve">3814013f7c33ea345f11a72e</t>
  </si>
  <si>
    <t xml:space="preserve">SMCI261030C00033500 interactive stock chart | SMCI Oct 2026 33.500 call stock</t>
  </si>
  <si>
    <t xml:space="preserve">9ef77961a563b915fc3cb26d</t>
  </si>
  <si>
    <t xml:space="preserve">PFG</t>
  </si>
  <si>
    <t xml:space="preserve">Principal Financial Group</t>
  </si>
  <si>
    <t xml:space="preserve">Principal Financial Group, Inc. (PFG) Stock Price, News, Quote &amp; History</t>
  </si>
  <si>
    <t xml:space="preserve">a7a674300fd30e9e6a1fab3f</t>
  </si>
  <si>
    <t xml:space="preserve">SPG</t>
  </si>
  <si>
    <t xml:space="preserve">Simon Property Group</t>
  </si>
  <si>
    <t xml:space="preserve">6,057 Simon Property Group, Inc. $SPG Shares Sold by Crossmark Global Holdings Inc.</t>
  </si>
  <si>
    <t xml:space="preserve">461fb21518a88d6b37b78c3f</t>
  </si>
  <si>
    <t xml:space="preserve">VRT Oct 2026 145.000 call (VRT261023C00145000) stock price, news, quote and history</t>
  </si>
  <si>
    <t xml:space="preserve">438aaa792685753b9477fa18</t>
  </si>
  <si>
    <t xml:space="preserve">META Oct 2026 585.000 call (META261026C00585000) Stock Price, News, Quote &amp; History</t>
  </si>
  <si>
    <t xml:space="preserve">efadb95b80c0845e6d1448d3</t>
  </si>
  <si>
    <t xml:space="preserve">Fleece-lined Crocs for $30? Walmart has the Baya Lined Clog at 50% off right now.</t>
  </si>
  <si>
    <t xml:space="preserve">16aa2e2d48935de25cc7dac8</t>
  </si>
  <si>
    <t xml:space="preserve">CMS Info Systems Ltd. Estimates – NSE:CMSINFO</t>
  </si>
  <si>
    <t xml:space="preserve">67b40a13cb59b0fa07ebdf8a</t>
  </si>
  <si>
    <t xml:space="preserve">HONA Jan 2028 95.000 call (HONA280121C00095000) stock price, news, quote and history</t>
  </si>
  <si>
    <t xml:space="preserve">07840212fae2cedd27b21dbb</t>
  </si>
  <si>
    <t xml:space="preserve">SMCI Oct 2026 33.500 call (SMCI261030C00033500) stock price, news, quote and history</t>
  </si>
  <si>
    <t xml:space="preserve">fddb9c720890fedc3c5202f2</t>
  </si>
  <si>
    <t xml:space="preserve">CMG Oct 2026 36.500 call (CMG261030C00036500) Stock Price, News, Quote &amp; History</t>
  </si>
  <si>
    <t xml:space="preserve">0c7c67c29cc372a33c9fb0f1</t>
  </si>
  <si>
    <t xml:space="preserve">IRM Oct 2026 112.000 call (IRM261030C00112000) stock price, news, quote and history</t>
  </si>
  <si>
    <t xml:space="preserve">8d18c8cab650f32227bff844</t>
  </si>
  <si>
    <t xml:space="preserve">HPE Feb 2027 40.000 call (HPE270219C00040000) stock price, news, quote and history</t>
  </si>
  <si>
    <t xml:space="preserve">123ddbe5bbbe7c618375ccf8</t>
  </si>
  <si>
    <t xml:space="preserve">MRNA Jan 2029 330.000 call (MRNA290119C00330000) stock price, news, quote and history</t>
  </si>
  <si>
    <t xml:space="preserve">87fb59442a7ecaf6b1e6ef69</t>
  </si>
  <si>
    <t xml:space="preserve">AVGO Oct 2026 402.500 call (AVGO261026C00402500) stock price, news, quote and history</t>
  </si>
  <si>
    <t xml:space="preserve">f62ad128d911c2dd4244e060</t>
  </si>
  <si>
    <t xml:space="preserve">MSFT Oct 2026 485.000 put (MSFT261026P00485000) stock price, news, quote and history</t>
  </si>
  <si>
    <t xml:space="preserve">7719d05f46582640b57f2b49</t>
  </si>
  <si>
    <t xml:space="preserve">MSFT Oct 2026 535.000 put (MSFT261026P00535000) stock price, news, quote and history</t>
  </si>
  <si>
    <t xml:space="preserve">3e5ab33b96626aca07c15aa6</t>
  </si>
  <si>
    <t xml:space="preserve">ACN Sep 2027 155.000 put (ACN270917P00155000) Stock Price, News, Quote &amp; History</t>
  </si>
  <si>
    <t xml:space="preserve">5ae85a0538bbfaa6ee9a9777</t>
  </si>
  <si>
    <t xml:space="preserve">TSLA Nov 2026 370.000 put (TSLA261104P00370000) stock price, news, quote and history</t>
  </si>
  <si>
    <t xml:space="preserve">c29635c1847be114a818842e</t>
  </si>
  <si>
    <t xml:space="preserve">REGN</t>
  </si>
  <si>
    <t xml:space="preserve">Regeneron Pharmaceuticals</t>
  </si>
  <si>
    <t xml:space="preserve">REGN Nov 2026 730.000 put (REGN261113P00730000) stock price, news, quote and history</t>
  </si>
  <si>
    <t xml:space="preserve">2b9eabda86b62096df983885</t>
  </si>
  <si>
    <t xml:space="preserve">MRK Nov 2026 215.000 call (MRK261106C00215000) Stock Price, News, Quote &amp; History</t>
  </si>
  <si>
    <t xml:space="preserve">a5b076f18af6efca22bc2b3d</t>
  </si>
  <si>
    <t xml:space="preserve">UNH Nov 2026 470.000 call (UNH261113C00470000) stock price, news, quote and history</t>
  </si>
  <si>
    <t xml:space="preserve">e4dc6d9976c7a2d49e6aafb1</t>
  </si>
  <si>
    <t xml:space="preserve">JBL Oct 2026 307.500 call (JBL261023C00307500) Stock Price, News, Quote &amp; History</t>
  </si>
  <si>
    <t xml:space="preserve">b5521f3625ed4d6bc3ded81b</t>
  </si>
  <si>
    <t xml:space="preserve">AZO Nov 2026 3350.000 call (AZO261120C03350000) stock price, news, quote and history</t>
  </si>
  <si>
    <t xml:space="preserve">f989ba3c8023ff4f1ca7d3fc</t>
  </si>
  <si>
    <t xml:space="preserve">AVGO Oct 2026 435.000 call (AVGO261026C00435000) stock price, news, quote and history</t>
  </si>
  <si>
    <t xml:space="preserve">d2c260895380251d6c062c76</t>
  </si>
  <si>
    <t xml:space="preserve">EXPE</t>
  </si>
  <si>
    <t xml:space="preserve">Expedia Group</t>
  </si>
  <si>
    <t xml:space="preserve">EXPE Nov 2026 360.000 call (EXPE261120C00360000) stock price, news, quote and history</t>
  </si>
  <si>
    <t xml:space="preserve">1d298f2a8452afaf18a46825</t>
  </si>
  <si>
    <t xml:space="preserve">JBL Oct 2026 302.500 put (JBL261030P00302500) stock price, news, quote and history</t>
  </si>
  <si>
    <t xml:space="preserve">5fcb76e1ea4c2295aa784a11</t>
  </si>
  <si>
    <t xml:space="preserve">ADSK Oct 2026 257.500 call (ADSK261030C00257500) stock price, news, quote and history</t>
  </si>
  <si>
    <t xml:space="preserve">41e422886c6cfc51ea9da246</t>
  </si>
  <si>
    <t xml:space="preserve">CVS Nov 2026 93.000 put (CVS261113P00093000) stock price, news, quote and history</t>
  </si>
  <si>
    <t xml:space="preserve">317b124644198bb043608138</t>
  </si>
  <si>
    <t xml:space="preserve">WDC Oct 2026 412.500 call (WDC261030C00412500) stock price, news, quote and history</t>
  </si>
  <si>
    <t xml:space="preserve">f906a9393e61dd2d16557197</t>
  </si>
  <si>
    <t xml:space="preserve">MSI Nov 2026 330.000 call (MSI261120C00330000) stock price, news, quote and history</t>
  </si>
  <si>
    <t xml:space="preserve">c75947ce9a3b5138b8368241</t>
  </si>
  <si>
    <t xml:space="preserve">IBM Oct 2026 252.500 call (IBM261030C00252500) stock price, news, quote and history</t>
  </si>
  <si>
    <t xml:space="preserve">1f06bc0278ca9bc63139d74d</t>
  </si>
  <si>
    <t xml:space="preserve">MSFT Oct 2026 490.000 put (MSFT261026P00490000) stock price, news, quote and history</t>
  </si>
  <si>
    <t xml:space="preserve">60f3a84b7fdfd2aceafb430b</t>
  </si>
  <si>
    <t xml:space="preserve">NTRS</t>
  </si>
  <si>
    <t xml:space="preserve">Northern Trust</t>
  </si>
  <si>
    <t xml:space="preserve">NTRS Nov 2026 180.000 put (NTRS261120P00180000) Stock Price, News, Quote &amp; History</t>
  </si>
  <si>
    <t xml:space="preserve">1838857436c9ca910818d299</t>
  </si>
  <si>
    <t xml:space="preserve">QCOM Oct 2026 182.500 put (QCOM261023P00182500) stock price, news, quote and history</t>
  </si>
  <si>
    <t xml:space="preserve">a575e65d3e4a74fd8fe8237d</t>
  </si>
  <si>
    <t xml:space="preserve">SNPS Oct 2026 465.000 put (SNPS261030P00465000) stock price, news, quote and history</t>
  </si>
  <si>
    <t xml:space="preserve">62a945fbef27aceeb9dffbb1</t>
  </si>
  <si>
    <t xml:space="preserve">TSLA Nov 2026 310.000 call (TSLA261127C00310000) stock price, news, quote and history</t>
  </si>
  <si>
    <t xml:space="preserve">705d04291fe3cde62e8cd277</t>
  </si>
  <si>
    <t xml:space="preserve">QCOM Oct 2026 148.000 put (QCOM261023P00148000) stock price, news, quote and history</t>
  </si>
  <si>
    <t xml:space="preserve">6849c2527259b151844be7b5</t>
  </si>
  <si>
    <t xml:space="preserve">PLD</t>
  </si>
  <si>
    <t xml:space="preserve">Prologis</t>
  </si>
  <si>
    <t xml:space="preserve">Why Is Prologis (NYSE:PLD) in Focus Among Real Estate Stocks Today?</t>
  </si>
  <si>
    <t xml:space="preserve">89bbbfcb91c2323755f794c0</t>
  </si>
  <si>
    <t xml:space="preserve">VRT Oct 2026 287.500 put (VRT261023P00287500) stock price, news, quote and history</t>
  </si>
  <si>
    <t xml:space="preserve">0d9bc94abd2a643366526078</t>
  </si>
  <si>
    <t xml:space="preserve">MSFT Oct 2026 555.000 call (MSFT261026C00555000) stock price, news, quote and history</t>
  </si>
  <si>
    <t xml:space="preserve">14b648305236bf0f22856900</t>
  </si>
  <si>
    <t xml:space="preserve">QCOM Oct 2026 155.000 call (QCOM261023C00155000) stock price, news, quote and history</t>
  </si>
  <si>
    <t xml:space="preserve">05259ef97f95b4eebb35ea33</t>
  </si>
  <si>
    <t xml:space="preserve">MSFT Oct 2026 375.000 call (MSFT261023C00375000) stock price, news, quote and history</t>
  </si>
  <si>
    <t xml:space="preserve">19904ab5ac8385a46a5ac926</t>
  </si>
  <si>
    <t xml:space="preserve">ACN Dec 2026 410.000 call (ACN261218C00410000) Stock Price, News, Quote &amp; History</t>
  </si>
  <si>
    <t xml:space="preserve">2278cd7cd2b8662453f16e21</t>
  </si>
  <si>
    <t xml:space="preserve">MRNA Oct 2026 242.500 call (MRNA261030C00242500) Stock Price, News, Quote &amp; History</t>
  </si>
  <si>
    <t xml:space="preserve">c910ba30b7cd1484d91a8bd1</t>
  </si>
  <si>
    <t xml:space="preserve">Lone’er Kavanagh Makes A Statement With R1 TKO | UFC 333</t>
  </si>
  <si>
    <t xml:space="preserve">4e972025da855cf21f7d08c0</t>
  </si>
  <si>
    <t xml:space="preserve">TSLA Oct 2026 250.000 call (TSLA261026C00250000) stock price, news, quote and history</t>
  </si>
  <si>
    <t xml:space="preserve">27db9b895dcbb71f250e5b8c</t>
  </si>
  <si>
    <t xml:space="preserve">PPL</t>
  </si>
  <si>
    <t xml:space="preserve">PPL Corporation</t>
  </si>
  <si>
    <t xml:space="preserve">PPL Corporation Estimates – LS:895250</t>
  </si>
  <si>
    <t xml:space="preserve">1686c59d7ad1447a7e69191d</t>
  </si>
  <si>
    <t xml:space="preserve">JBL Oct 2026 312.500 call (JBL261023C00312500) stock price, news, quote and history</t>
  </si>
  <si>
    <t xml:space="preserve">038c277db2f1b6e9aa158060</t>
  </si>
  <si>
    <t xml:space="preserve">CTVA</t>
  </si>
  <si>
    <t xml:space="preserve">Corteva</t>
  </si>
  <si>
    <t xml:space="preserve">Corteva, Inc. (CTVA) Declares $0.05 Dividend Payable Dec. 15</t>
  </si>
  <si>
    <t xml:space="preserve">18a5b57a776fc788800f6ec2</t>
  </si>
  <si>
    <t xml:space="preserve">TRV</t>
  </si>
  <si>
    <t xml:space="preserve">Travelers Companies (The)</t>
  </si>
  <si>
    <t xml:space="preserve">TRV Nov 2026 390.000 put (TRV261120P00390000) Stock Price, News, Quote &amp; History</t>
  </si>
  <si>
    <t xml:space="preserve">069fa46d51bc151b1293796c</t>
  </si>
  <si>
    <t xml:space="preserve">CVX Nov 2026 235.000 put (CVX261106P00235000) stock price, news, quote and history</t>
  </si>
  <si>
    <t xml:space="preserve">9317cb7b6767c33534b45f5a</t>
  </si>
  <si>
    <t xml:space="preserve">MSI Dec 2027 310.000 put (MSI271217P00310000) stock price, news, quote and history</t>
  </si>
  <si>
    <t xml:space="preserve">937f26640fc42a836147a299</t>
  </si>
  <si>
    <t xml:space="preserve">AAPL Oct 2026 390.000 put (AAPL261023P00390000) stock price, news, quote and history</t>
  </si>
  <si>
    <t xml:space="preserve">1d1218be53bec0d19ea3ac17</t>
  </si>
  <si>
    <t xml:space="preserve">ADM</t>
  </si>
  <si>
    <t xml:space="preserve">Archer Daniels Midland</t>
  </si>
  <si>
    <t xml:space="preserve">ADM Endeavors Inc. Estimates – OTC:ADMQ</t>
  </si>
  <si>
    <t xml:space="preserve">fa4141b773dfb6ad369e5051</t>
  </si>
  <si>
    <t xml:space="preserve">VRT Oct 2026 277.500 call (VRT261030C00277500) stock price, news, quote and history</t>
  </si>
  <si>
    <t xml:space="preserve">b744ec118bd08388b8947b04</t>
  </si>
  <si>
    <t xml:space="preserve">STZ</t>
  </si>
  <si>
    <t xml:space="preserve">Constellation Brands</t>
  </si>
  <si>
    <t xml:space="preserve">STZ Oct 2026 138.000 call (STZ261030C00138000) Stock Price, News, Quote &amp; History</t>
  </si>
  <si>
    <t xml:space="preserve">16647dac937d57ef500ae0f7</t>
  </si>
  <si>
    <t xml:space="preserve">TSLA Jan 2029 155.000 put (TSLA290119P00155000) Stock Price, News, Quote &amp; History</t>
  </si>
  <si>
    <t xml:space="preserve">32819ea7cb009288daed7ea5</t>
  </si>
  <si>
    <t xml:space="preserve">EVRG</t>
  </si>
  <si>
    <t xml:space="preserve">Evergy</t>
  </si>
  <si>
    <t xml:space="preserve">Evergy, Inc. (EVRG) Stock Price, News, Quote &amp; History</t>
  </si>
  <si>
    <t xml:space="preserve">16896855967a5dacf7ff490d</t>
  </si>
  <si>
    <t xml:space="preserve">ULTA</t>
  </si>
  <si>
    <t xml:space="preserve">Ulta Beauty</t>
  </si>
  <si>
    <t xml:space="preserve">ULTA Oct 2026 570.000 put (ULTA261023P00570000) stock price, news, quote and history</t>
  </si>
  <si>
    <t xml:space="preserve">70a27087892ea9054673a195</t>
  </si>
  <si>
    <t xml:space="preserve">VTRS Jan 2029 15.000 put (VTRS290119P00015000) stock price, news, quote and history</t>
  </si>
  <si>
    <t xml:space="preserve">21254d882ede7743fadde9b7</t>
  </si>
  <si>
    <t xml:space="preserve">MSFT Oct 2026 527.500 put (MSFT261026P00527500) stock price, news, quote and history</t>
  </si>
  <si>
    <t xml:space="preserve">2d574f82f6e5a7072f06c373</t>
  </si>
  <si>
    <t xml:space="preserve">MSFT Oct 2026 537.500 put (MSFT261026P00537500) stock price, news, quote and history</t>
  </si>
  <si>
    <t xml:space="preserve">a735d58d5d567e70a3b288e5</t>
  </si>
  <si>
    <t xml:space="preserve">AVGO Oct 2026 302.500 put (AVGO261026P00302500) stock price, news, quote and history</t>
  </si>
  <si>
    <t xml:space="preserve">6a3df6601b731e0177019ffa</t>
  </si>
  <si>
    <t xml:space="preserve">META Jan 2028 1420.000 put (META280121P01420000) stock price, news, quote and history</t>
  </si>
  <si>
    <t xml:space="preserve">0a82a171f0fbaaa823a78ad6</t>
  </si>
  <si>
    <t xml:space="preserve">HOOD Dec 2026 10.000 call (HOOD261218C00010000) stock price, news, quote and history</t>
  </si>
  <si>
    <t xml:space="preserve">e86e74147b4589cb64cc3425</t>
  </si>
  <si>
    <t xml:space="preserve">MSFT Oct 2026 480.000 put (MSFT261026P00480000) stock price, news, quote and history</t>
  </si>
  <si>
    <t xml:space="preserve">157ec89658f009d7faba118e</t>
  </si>
  <si>
    <t xml:space="preserve">TDG May 2027 740.000 put (TDG270521P00740000) stock price, news, quote and history</t>
  </si>
  <si>
    <t xml:space="preserve">8c2b6d6f5760ed339595ba24</t>
  </si>
  <si>
    <t xml:space="preserve">LLY Nov 2026 1230.000 call (LLY261127C01230000) stock price, news, quote and history</t>
  </si>
  <si>
    <t xml:space="preserve">5871f00b215321ffb8ca812f</t>
  </si>
  <si>
    <t xml:space="preserve">LLY Nov 2026 1320.000 put (LLY261127P01320000) stock price, news, quote and history</t>
  </si>
  <si>
    <t xml:space="preserve">e090f28c002e733d73006eda</t>
  </si>
  <si>
    <t xml:space="preserve">VTRS Nov 2026 10.000 call (VTRS261120C00010000) stock price, news, quote and history</t>
  </si>
  <si>
    <t xml:space="preserve">2c305127d5cbb07e48e98155</t>
  </si>
  <si>
    <t xml:space="preserve">FDX Oct 2026 285.000 call (FDX261030C00285000) stock price, news, quote and history</t>
  </si>
  <si>
    <t xml:space="preserve">db0dbcfb89149ab1843c9480</t>
  </si>
  <si>
    <t xml:space="preserve">BLDR Jan 2028 45.000 put (BLDR280121P00045000) stock price, news, quote and history</t>
  </si>
  <si>
    <t xml:space="preserve">f3368146c3a9aeab511f75b5</t>
  </si>
  <si>
    <t xml:space="preserve">NRG Oct 2026 127.000 call (NRG261030C00127000) stock price, news, quote and history</t>
  </si>
  <si>
    <t xml:space="preserve">9e4cbb26b9abd1f2710687c2</t>
  </si>
  <si>
    <t xml:space="preserve">UNH261113P00435000 Interactive Stock Chart | UNH Nov 2026 435.000 put Stock</t>
  </si>
  <si>
    <t xml:space="preserve">b9f22f47526ec3c0cb33152e</t>
  </si>
  <si>
    <t xml:space="preserve">TGT Apr 2027 115.000 put (TGT270416P00115000) stock price, news, quote and history</t>
  </si>
  <si>
    <t xml:space="preserve">7848dfa926e6e0be147aff6f</t>
  </si>
  <si>
    <t xml:space="preserve">AVGO Oct 2026 352.500 call (AVGO261026C00352500) Stock Price, News, Quote &amp; History</t>
  </si>
  <si>
    <t xml:space="preserve">946c913b1694901e8c8c4c08</t>
  </si>
  <si>
    <t xml:space="preserve">SPG Apr 2027 190.000 put (SPG270416P00190000) Stock Price, News, Quote &amp; History</t>
  </si>
  <si>
    <t xml:space="preserve">3461fbcafcfc9b1caac02666</t>
  </si>
  <si>
    <t xml:space="preserve">VICI Properties schedules results date for VICI Properties stock</t>
  </si>
  <si>
    <t xml:space="preserve">7024fe85ba83bb37f3498aac</t>
  </si>
  <si>
    <t xml:space="preserve">DLR Apr 2027 130.000 put (DLR270416P00130000) stock price, news, quote and history</t>
  </si>
  <si>
    <t xml:space="preserve">f8179e9cdea261109f6246ac</t>
  </si>
  <si>
    <t xml:space="preserve">Las Vegas Sands Corp. (LVS) Stock Price, News, Quote &amp; History</t>
  </si>
  <si>
    <t xml:space="preserve">8cde4e222768a1619dd95780</t>
  </si>
  <si>
    <t xml:space="preserve">LLY Nov 2026 1620.000 call (LLY261127C01620000) stock price, news, quote and history</t>
  </si>
  <si>
    <t xml:space="preserve">27273734f869402c01106983</t>
  </si>
  <si>
    <t xml:space="preserve">LLY Nov 2026 1255.000 call (LLY261127C01255000) stock price, news, quote and history</t>
  </si>
  <si>
    <t xml:space="preserve">4c441f0409872b8af8ae9ed2</t>
  </si>
  <si>
    <t xml:space="preserve">LEN May 2027 65.000 put (LEN270521P00065000) stock price, news, quote and history</t>
  </si>
  <si>
    <t xml:space="preserve">95600fe0cb00572a36c4891d</t>
  </si>
  <si>
    <t xml:space="preserve">TER</t>
  </si>
  <si>
    <t xml:space="preserve">Teradyne</t>
  </si>
  <si>
    <t xml:space="preserve">TER Jan 2029 480.000 put (TER290119P00480000) stock price, news, quote and history</t>
  </si>
  <si>
    <t xml:space="preserve">11860d981a6dc6c226c2cfda</t>
  </si>
  <si>
    <t xml:space="preserve">TSLA Oct 2026 330.000 put (TSLA261026P00330000) stock price, news, quote and history</t>
  </si>
  <si>
    <t xml:space="preserve">51047e11fc6903d29c234a42</t>
  </si>
  <si>
    <t xml:space="preserve">LLY Nov 2026 980.000 put (LLY261127P00980000) stock price, news, quote and history</t>
  </si>
  <si>
    <t xml:space="preserve">472fc07b8ed2b7da77ba4e58</t>
  </si>
  <si>
    <t xml:space="preserve">VRT Oct 2026 197.500 put (VRT261023P00197500) stock price, news, quote and history</t>
  </si>
  <si>
    <t xml:space="preserve">d345230788f7dbae5af4c6a1</t>
  </si>
  <si>
    <t xml:space="preserve">MLM</t>
  </si>
  <si>
    <t xml:space="preserve">Martin Marietta Materials</t>
  </si>
  <si>
    <t xml:space="preserve">MLM Nov 2026 520.000 put (MLM261120P00520000) Stock Price, News, Quote &amp; History</t>
  </si>
  <si>
    <t xml:space="preserve">585f7d69121de33d9551a8a6</t>
  </si>
  <si>
    <t xml:space="preserve">MSI Nov 2026 410.000 put (MSI261120P00410000) Stock Price, News, Quote &amp; History</t>
  </si>
  <si>
    <t xml:space="preserve">a9d450622716df802e41840e</t>
  </si>
  <si>
    <t xml:space="preserve">WDC Sep 2027 300.000 call (WDC270917C00300000) stock price, news, quote and history</t>
  </si>
  <si>
    <t xml:space="preserve">12e0ec88f1a0b5876c61d7a8</t>
  </si>
  <si>
    <t xml:space="preserve">AVGO Nov 2026 510.000 call (AVGO261113C00510000) Stock Price, News, Quote &amp; History</t>
  </si>
  <si>
    <t xml:space="preserve">b3c56904071337cf817a27b9</t>
  </si>
  <si>
    <t xml:space="preserve">EBAY Nov 2026 90.000 put (EBAY261113P00090000) stock price, news, quote and history</t>
  </si>
  <si>
    <t xml:space="preserve">bf6bb4f6ca780dd942f142cc</t>
  </si>
  <si>
    <t xml:space="preserve">TRV Nov 2026 410.000 put (TRV261120P00410000) Stock Price, News, Quote &amp; History</t>
  </si>
  <si>
    <t xml:space="preserve">0fa08a76afb6e7a3e21a2e4c</t>
  </si>
  <si>
    <t xml:space="preserve">SMCI Oct 2026 43.000 put (SMCI261023P00043000) stock price, news, quote and history</t>
  </si>
  <si>
    <t xml:space="preserve">7fc1f319cd1c1e05b8fdccfc</t>
  </si>
  <si>
    <t xml:space="preserve">RVTY</t>
  </si>
  <si>
    <t xml:space="preserve">Revvity</t>
  </si>
  <si>
    <t xml:space="preserve">Revvity, Inc. Estimates – NYSE:RVTY</t>
  </si>
  <si>
    <t xml:space="preserve">3d4d716e51647327ed6562f4</t>
  </si>
  <si>
    <t xml:space="preserve">AAPL Oct 2026 400.000 call (AAPL261026C00400000) stock price, news, quote and history</t>
  </si>
  <si>
    <t xml:space="preserve">25618fe1845f1e4a500789a1</t>
  </si>
  <si>
    <t xml:space="preserve">EXC</t>
  </si>
  <si>
    <t xml:space="preserve">Exelon</t>
  </si>
  <si>
    <t xml:space="preserve">EXC Nov 2026 40.000 call (EXC261120C00040000) stock price, news, quote and history</t>
  </si>
  <si>
    <t xml:space="preserve">efc2ef657168ac2b9167df44</t>
  </si>
  <si>
    <t xml:space="preserve">VLO Oct 2026 470.000 call (VLO261030C00470000) stock price, news, quote and history</t>
  </si>
  <si>
    <t xml:space="preserve">b3eef97e35e9b53b26c59abc</t>
  </si>
  <si>
    <t xml:space="preserve">NVDA May 2027 60.000 call (NVDA270521C00060000) stock price, news, quote and history</t>
  </si>
  <si>
    <t xml:space="preserve">cf5d6f529367b22dfb20d695</t>
  </si>
  <si>
    <t xml:space="preserve">EXPE Nov 2026 155.000 call (EXPE261120C00155000) stock price, news, quote and history</t>
  </si>
  <si>
    <t xml:space="preserve">f1e55e124198f417bf8f62e4</t>
  </si>
  <si>
    <t xml:space="preserve">FSLR Jan 2029 145.000 call (FSLR290119C00145000) stock price, news, quote and history</t>
  </si>
  <si>
    <t xml:space="preserve">854be75a9d7623f71dc80b12</t>
  </si>
  <si>
    <t xml:space="preserve">UNP Oct 2026 292.500 put (UNP261030P00292500) stock price, news, quote and history</t>
  </si>
  <si>
    <t xml:space="preserve">aeb774c9a1bb889a79b4ccb3</t>
  </si>
  <si>
    <t xml:space="preserve">UNH Oct 2026 452.500 call (UNH261030C00452500) Stock Price, News, Quote &amp; History</t>
  </si>
  <si>
    <t xml:space="preserve">c018cc8c19fa1bacbc39978d</t>
  </si>
  <si>
    <t xml:space="preserve">Why McDonalds, Microsoft and Google saying no to tokenized stocks isn't a dealbreaker</t>
  </si>
  <si>
    <t xml:space="preserve">CoinDesk</t>
  </si>
  <si>
    <t xml:space="preserve">9638255745fcbe7bc722394e</t>
  </si>
  <si>
    <t xml:space="preserve">SanDisk’s October 29 Verdict: Contracts, Margins and the Flash-Price Question</t>
  </si>
  <si>
    <t xml:space="preserve">5097ae925fd0d09d41436bc8</t>
  </si>
  <si>
    <t xml:space="preserve">LIN</t>
  </si>
  <si>
    <t xml:space="preserve">Linde plc</t>
  </si>
  <si>
    <t xml:space="preserve">LIN Jan 2029 390.000 put (LIN290119P00390000) stock price, news, quote and history</t>
  </si>
  <si>
    <t xml:space="preserve">0d93f826e3afdc9517340258</t>
  </si>
  <si>
    <t xml:space="preserve">CRM Oct 2026 232.500 put (CRM261030P00232500) stock price, news, quote and history</t>
  </si>
  <si>
    <t xml:space="preserve">fdbe73cdfb81b863a4e39abe</t>
  </si>
  <si>
    <t xml:space="preserve">MSFT Oct 2026 450.000 call (MSFT261026C00450000) stock price, news, quote and history</t>
  </si>
  <si>
    <t xml:space="preserve">3eedaf038f321a6e56ba1dfb</t>
  </si>
  <si>
    <t xml:space="preserve">SPGI</t>
  </si>
  <si>
    <t xml:space="preserve">S&amp;P Global</t>
  </si>
  <si>
    <t xml:space="preserve">S&amp;P Global Reports Pro Forma Results Following Mobility Spin-Off</t>
  </si>
  <si>
    <t xml:space="preserve">d5cc282e67384d94655a40d8</t>
  </si>
  <si>
    <t xml:space="preserve">QCOM Oct 2026 162.500 call (QCOM261023C00162500) stock price, news, quote and history</t>
  </si>
  <si>
    <t xml:space="preserve">981c52d44ad40ff587d0793c</t>
  </si>
  <si>
    <t xml:space="preserve">IBM Oct 2026 262.500 call (IBM261023C00262500) stock price, news, quote and history</t>
  </si>
  <si>
    <t xml:space="preserve">c1376445412886b186212efa</t>
  </si>
  <si>
    <t xml:space="preserve">VLO Nov 2026 570.000 call (VLO261106C00570000) stock price, news, quote and history</t>
  </si>
  <si>
    <t xml:space="preserve">077a7547d4a2a588adc90b02</t>
  </si>
  <si>
    <t xml:space="preserve">IBM Nov 2026 220.000 put (IBM261127P00220000) stock price, news, quote and history</t>
  </si>
  <si>
    <t xml:space="preserve">067f97bdd6157b9ec79e65cc</t>
  </si>
  <si>
    <t xml:space="preserve">PTC</t>
  </si>
  <si>
    <t xml:space="preserve">PTC Inc.</t>
  </si>
  <si>
    <t xml:space="preserve">PTC Apr 2027 200.000 call (PTC270416C00200000) stock price, news, quote and history</t>
  </si>
  <si>
    <t xml:space="preserve">55813392ee15ee878e946ba7</t>
  </si>
  <si>
    <t xml:space="preserve">ACN Oct 2026 250.000 call (ACN261030C00250000) stock price, news, quote and history</t>
  </si>
  <si>
    <t xml:space="preserve">934a335ed2543487eafa5bf4</t>
  </si>
  <si>
    <t xml:space="preserve">CNC Oct 2026 62.000 call (CNC261023C00062000) Stock Price, News, Quote &amp; History</t>
  </si>
  <si>
    <t xml:space="preserve">372997ea9f52193eb9b11eea</t>
  </si>
  <si>
    <t xml:space="preserve">The top 5 analyst questions from United Rentals’s Q3 earnings call</t>
  </si>
  <si>
    <t xml:space="preserve">e9d771f3f87223322f2f624a</t>
  </si>
  <si>
    <t xml:space="preserve">TSLA Nov 2026 310.000 call (TSLA261127C00310000) Stock Price, News, Quote &amp; History</t>
  </si>
  <si>
    <t xml:space="preserve">4584651eb34bebbcabeba7a5</t>
  </si>
  <si>
    <t xml:space="preserve">ULTA Oct 2026 510.000 put (ULTA261023P00510000) stock price, news, quote and history</t>
  </si>
  <si>
    <t xml:space="preserve">656abc58d08b615897f24413</t>
  </si>
  <si>
    <t xml:space="preserve">SNDK Sep 2028 720.000 put (SNDK280915P00720000) stock price, news, quote and history</t>
  </si>
  <si>
    <t xml:space="preserve">6db5ab8c6394a00209092c72</t>
  </si>
  <si>
    <t xml:space="preserve">MCD Oct 2026 227.500 call (MCD261030C00227500) stock price, news, quote and history</t>
  </si>
  <si>
    <t xml:space="preserve">107e6d5ccc7f5b40d6fe6c20</t>
  </si>
  <si>
    <t xml:space="preserve">TSLA Oct 2026 515.000 call (TSLA261030C00515000) Stock Price, News, Quote &amp; History</t>
  </si>
  <si>
    <t xml:space="preserve">b646729003a684c889ad3c5a</t>
  </si>
  <si>
    <t xml:space="preserve">TGT Oct 2026 144.000 call (TGT261030C00144000) stock price, news, quote and history</t>
  </si>
  <si>
    <t xml:space="preserve">3ca68aaddff2bb83ec2631d5</t>
  </si>
  <si>
    <t xml:space="preserve">DLR Nov 2026 130.000 put (DLR261120P00130000) stock price, news, quote and history</t>
  </si>
  <si>
    <t xml:space="preserve">a2264fd860ec6668d00b73fe</t>
  </si>
  <si>
    <t xml:space="preserve">USB Oct 2026 66.000 call (USB261030C00066000) stock price, news, quote and history</t>
  </si>
  <si>
    <t xml:space="preserve">d4d378a20eb6080a3fef924d</t>
  </si>
  <si>
    <t xml:space="preserve">Analysts Have Made A Financial Statement On Vossloh AG's (ETR:VOS) Second-Quarter Report</t>
  </si>
  <si>
    <t xml:space="preserve">1528239b89cd54aaaddb917d</t>
  </si>
  <si>
    <t xml:space="preserve">Uber driver was stunned by ‘leave at door’ instructions for $10K tennis bracelet — he instead had a very different plan for the five-figure package</t>
  </si>
  <si>
    <t xml:space="preserve">e186ce8ee4f15063b38df3d8</t>
  </si>
  <si>
    <t xml:space="preserve">LEN Nov 2026 74.000 call (LEN261113C00074000) Stock Price, News, Quote &amp; History</t>
  </si>
  <si>
    <t xml:space="preserve">e76114c34b9384ccdee82e4e</t>
  </si>
  <si>
    <t xml:space="preserve">RJF</t>
  </si>
  <si>
    <t xml:space="preserve">Raymond James Financial</t>
  </si>
  <si>
    <t xml:space="preserve">Raymond James Financial, Inc. Estimates – NYSE:RJF</t>
  </si>
  <si>
    <t xml:space="preserve">78e17132daf7ca08512cc67f</t>
  </si>
  <si>
    <t xml:space="preserve">SNDK Oct 2026 1285.000 put (SNDK261023P01285000) stock price, news, quote and history</t>
  </si>
  <si>
    <t xml:space="preserve">5cd9da79976ebdf1a888eca5</t>
  </si>
  <si>
    <t xml:space="preserve">CRWD Nov 2026 335.000 call (CRWD261113C00335000) stock price, news, quote and history</t>
  </si>
  <si>
    <t xml:space="preserve">eb89d7620975154ef62e2713</t>
  </si>
  <si>
    <t xml:space="preserve">EOG</t>
  </si>
  <si>
    <t xml:space="preserve">EOG Resources</t>
  </si>
  <si>
    <t xml:space="preserve">EOG Resources, Inc. Estimates – NYSE:EOG</t>
  </si>
  <si>
    <t xml:space="preserve">78fdabd450045d25b9e63f42</t>
  </si>
  <si>
    <t xml:space="preserve">VRT Oct 2026 215.000 put (VRT261023P00215000) stock price, news, quote and history</t>
  </si>
  <si>
    <t xml:space="preserve">593c8d88a1a03d3cff54abe6</t>
  </si>
  <si>
    <t xml:space="preserve">UAL Oct 2026 96.000 call (UAL261023C00096000) stock price, news, quote and history</t>
  </si>
  <si>
    <t xml:space="preserve">83135c08bf4a75d910d6167a</t>
  </si>
  <si>
    <t xml:space="preserve">UAL Nov 2026 117.000 call (UAL261127C00117000) stock price, news, quote and history</t>
  </si>
  <si>
    <t xml:space="preserve">7fb19f89d593355e6cf425f7</t>
  </si>
  <si>
    <t xml:space="preserve">ABBV Jan 2029 155.000 call (ABBV290119C00155000) stock price, news, quote and history</t>
  </si>
  <si>
    <t xml:space="preserve">17429d7e9b7db008d38ef25b</t>
  </si>
  <si>
    <t xml:space="preserve">VLO Oct 2026 447.500 call (VLO261023C00447500) Stock Price, News, Quote &amp; History</t>
  </si>
  <si>
    <t xml:space="preserve">58357d90657eca56883fc0b2</t>
  </si>
  <si>
    <t xml:space="preserve">CHD</t>
  </si>
  <si>
    <t xml:space="preserve">Church &amp; Dwight</t>
  </si>
  <si>
    <t xml:space="preserve">Church &amp; Dwight Co., Inc. (CHD) stock price, news, quote and history</t>
  </si>
  <si>
    <t xml:space="preserve">c01fbda10610a058e576fc28</t>
  </si>
  <si>
    <t xml:space="preserve">TDG Nov 2026 1290.000 call (TDG261120C01290000) Stock Price, News, Quote &amp; History</t>
  </si>
  <si>
    <t xml:space="preserve">e81076350b89daa6eea87f00</t>
  </si>
  <si>
    <t xml:space="preserve">Church &amp; Dwight Co., Inc. Estimates – SWB:CXU</t>
  </si>
  <si>
    <t xml:space="preserve">30bf091380869796ad372809</t>
  </si>
  <si>
    <t xml:space="preserve">SPG Nov 2026 220.000 put (SPG261120P00220000) stock price, news, quote and history</t>
  </si>
  <si>
    <t xml:space="preserve">877ea57811858e675aaf27d9</t>
  </si>
  <si>
    <t xml:space="preserve">CAH</t>
  </si>
  <si>
    <t xml:space="preserve">Cardinal Health</t>
  </si>
  <si>
    <t xml:space="preserve">Upcoming Earnings Report Might Change The Case For Investing In Cardinal Health Stock (CAH)</t>
  </si>
  <si>
    <t xml:space="preserve">30ef7c34c6c09499f233c8f5</t>
  </si>
  <si>
    <t xml:space="preserve">What’s Driving Attention Toward Eli Lilly (NYSE:LLY) Now?</t>
  </si>
  <si>
    <t xml:space="preserve">09145f401feac3837bfbe747</t>
  </si>
  <si>
    <t xml:space="preserve">COHR</t>
  </si>
  <si>
    <t xml:space="preserve">Coherent Corp.</t>
  </si>
  <si>
    <t xml:space="preserve">COHR Sep 2027 420.000 call (COHR270917C00420000) stock price, news, quote and history</t>
  </si>
  <si>
    <t xml:space="preserve">65365e733d5077e767a0675e</t>
  </si>
  <si>
    <t xml:space="preserve">VLO Oct 2026 447.500 put (VLO261030P00447500) stock price, news, quote and history</t>
  </si>
  <si>
    <t xml:space="preserve">9c056a1ab3269c85e6cadedf</t>
  </si>
  <si>
    <t xml:space="preserve">WDC Oct 2026 385.000 call (WDC261030C00385000) Stock Price, News, Quote &amp; History</t>
  </si>
  <si>
    <t xml:space="preserve">05c90d74a86df271894c822b</t>
  </si>
  <si>
    <t xml:space="preserve">EXPE Jan 2029 180.000 call (EXPE290119C00180000) Stock Price, News, Quote &amp; History</t>
  </si>
  <si>
    <t xml:space="preserve">7b62e9b310078820ad4653a0</t>
  </si>
  <si>
    <t xml:space="preserve">EXPE Oct 2026 255.000 put (EXPE261030P00255000) stock price, news, quote and history</t>
  </si>
  <si>
    <t xml:space="preserve">c1535688786a8f960e1a9676</t>
  </si>
  <si>
    <t xml:space="preserve">ITW Mar 2027 370.000 call (ITW270319C00370000) Stock Price, News, Quote &amp; History</t>
  </si>
  <si>
    <t xml:space="preserve">39331ba224849072dc8def29</t>
  </si>
  <si>
    <t xml:space="preserve">QCOM Oct 2026 265.000 call (QCOM261023C00265000) stock price, news, quote and history</t>
  </si>
  <si>
    <t xml:space="preserve">b5153c99b750a7f9f5e15e5b</t>
  </si>
  <si>
    <t xml:space="preserve">REGN Oct 2026 805.000 put (REGN261030P00805000) Stock Price, News, Quote &amp; History</t>
  </si>
  <si>
    <t xml:space="preserve">3982939c32bed15086b461b4</t>
  </si>
  <si>
    <t xml:space="preserve">AVGO Oct 2026 440.000 call (AVGO261026C00440000) stock price, news, quote and history</t>
  </si>
  <si>
    <t xml:space="preserve">f59ffb6e63d01648ab455dc6</t>
  </si>
  <si>
    <t xml:space="preserve">AMGN Nov 2026 395.000 put (AMGN261113P00395000) Stock Price, News, Quote &amp; History</t>
  </si>
  <si>
    <t xml:space="preserve">7a18b21087fbeeeef2e66f0f</t>
  </si>
  <si>
    <t xml:space="preserve">VLO Nov 2026 360.000 put (VLO261113P00360000) stock price, news, quote and history</t>
  </si>
  <si>
    <t xml:space="preserve">daf9fb8c7649978d8463f400</t>
  </si>
  <si>
    <t xml:space="preserve">QCOM Oct 2026 115.000 put (QCOM261023P00115000) stock price, news, quote and history</t>
  </si>
  <si>
    <t xml:space="preserve">b312ef1f6a5cd28f05c07173</t>
  </si>
  <si>
    <t xml:space="preserve">CDW Nov 2026 140.000 put (CDW261120P00140000) stock price, news, quote and history</t>
  </si>
  <si>
    <t xml:space="preserve">675d381d60c2b023343ce42a</t>
  </si>
  <si>
    <t xml:space="preserve">VLO Nov 2026 435.000 call (VLO261113C00435000) stock price, news, quote and history</t>
  </si>
  <si>
    <t xml:space="preserve">f825f73f4d43e98e0687756e</t>
  </si>
  <si>
    <t xml:space="preserve">TSLA Oct 2026 327.500 call (TSLA261023C00327500) Stock Price, News, Quote &amp; History</t>
  </si>
  <si>
    <t xml:space="preserve">ab3a244caefcf6befac0f864</t>
  </si>
  <si>
    <t xml:space="preserve">VRT Oct 2026 185.000 put (VRT261023P00185000) stock price, news, quote and history</t>
  </si>
  <si>
    <t xml:space="preserve">33b3fd0b2a02f0297b0e770d</t>
  </si>
  <si>
    <t xml:space="preserve">VRT Oct 2026 310.000 call (VRT261023C00310000) stock price, news, quote and history</t>
  </si>
  <si>
    <t xml:space="preserve">b674b3e0fa62c2abb44f461a</t>
  </si>
  <si>
    <t xml:space="preserve">VRT Oct 2026 210.000 put (VRT261023P00210000) stock price, news, quote and history</t>
  </si>
  <si>
    <t xml:space="preserve">715e85be29aef7dc1a0baab1</t>
  </si>
  <si>
    <t xml:space="preserve">Ross Stores, Inc. Estimates – NASDAQ:ROST</t>
  </si>
  <si>
    <t xml:space="preserve">0cc4d7e569291b4cc1118123</t>
  </si>
  <si>
    <t xml:space="preserve">VRT Oct 2026 272.500 call (VRT261023C00272500) stock price, news, quote and history</t>
  </si>
  <si>
    <t xml:space="preserve">1445aa6706c3edd0ec17fb09</t>
  </si>
  <si>
    <t xml:space="preserve">LUV</t>
  </si>
  <si>
    <t xml:space="preserve">Southwest Airlines</t>
  </si>
  <si>
    <t xml:space="preserve">Southwest Airlines Company (LUV) Stock Forecasts</t>
  </si>
  <si>
    <t xml:space="preserve">0a5f5c5e4548a92e6375edcf</t>
  </si>
  <si>
    <t xml:space="preserve">Boeing Co, The Stock Futures,De (SBA00Z26.CME) stock historical prices and data</t>
  </si>
  <si>
    <t xml:space="preserve">e4e27a452def79dfb40eec6a</t>
  </si>
  <si>
    <t xml:space="preserve">UNH Nov 2026 415.000 call (UNH261127C00415000) Stock Price, News, Quote &amp; History</t>
  </si>
  <si>
    <t xml:space="preserve">62adc6fa19e271cc7379c7eb</t>
  </si>
  <si>
    <t xml:space="preserve">DELL</t>
  </si>
  <si>
    <t xml:space="preserve">Dell Technologies</t>
  </si>
  <si>
    <t xml:space="preserve">DELL Oct 2026 360.000 put (DELL261030P00360000) Stock Price, News, Quote &amp; History</t>
  </si>
  <si>
    <t xml:space="preserve">8211814e82f0c68d9df5bf98</t>
  </si>
  <si>
    <t xml:space="preserve">APA Oct 2026 54.000 call (APA261030C00054000) stock price, news, quote and history</t>
  </si>
  <si>
    <t xml:space="preserve">9688027e6fa34c9f2014a380</t>
  </si>
  <si>
    <t xml:space="preserve">MRNA Oct 2026 252.500 put (MRNA261030P00252500) stock price, news, quote and history</t>
  </si>
  <si>
    <t xml:space="preserve">194ea90848eb0dd9a1930ff4</t>
  </si>
  <si>
    <t xml:space="preserve">Salesforce stock trades at EUR 221.88 in weekend trading</t>
  </si>
  <si>
    <t xml:space="preserve">2dcfffcb901a0e17111d0648</t>
  </si>
  <si>
    <t xml:space="preserve">CRM Jan 2029 185.000 put (CRM290119P00185000) Stock Price, News, Quote &amp; History</t>
  </si>
  <si>
    <t xml:space="preserve">dba42b19e16d7ceb1b18cdda</t>
  </si>
  <si>
    <t xml:space="preserve">TTD Oct 2026 23.000 put (TTD261030P00023000) stock price, news, quote and history</t>
  </si>
  <si>
    <t xml:space="preserve">0cb5f39bb8bfb342807880ae</t>
  </si>
  <si>
    <t xml:space="preserve">Goldman Sachs stock heads into the next Xetra session at EUR 782.60</t>
  </si>
  <si>
    <t xml:space="preserve">9437c3197910fba480e74aaa</t>
  </si>
  <si>
    <t xml:space="preserve">LEN Nov 2026 65.000 call (LEN261106C00065000) Stock Price, News, Quote &amp; History</t>
  </si>
  <si>
    <t xml:space="preserve">9bd0e64c770ef9afa9800371</t>
  </si>
  <si>
    <t xml:space="preserve">ABBV Nov 2026 285.000 call (ABBV261127C00285000) stock price, news, quote and history</t>
  </si>
  <si>
    <t xml:space="preserve">464fb7815b748ab8c5f82f74</t>
  </si>
  <si>
    <t xml:space="preserve">QCOM Oct 2026 250.000 call (QCOM261023C00250000) stock price, news, quote and history</t>
  </si>
  <si>
    <t xml:space="preserve">990aa76b0408030cda8fbbd1</t>
  </si>
  <si>
    <t xml:space="preserve">LEN Nov 2026 93.000 call (LEN261106C00093000) stock price, news, quote and history</t>
  </si>
  <si>
    <t xml:space="preserve">78dc7c6d85452d0f9c884213</t>
  </si>
  <si>
    <t xml:space="preserve">AbbVie Inc. Estimates – NYSE:ABBV</t>
  </si>
  <si>
    <t xml:space="preserve">0f79e6e44624786289ac52b5</t>
  </si>
  <si>
    <t xml:space="preserve">IBM Sep 2027 135.000 put (IBM270917P00135000) stock price, news, quote and history</t>
  </si>
  <si>
    <t xml:space="preserve">d72644923f4087f18e1c5500</t>
  </si>
  <si>
    <t xml:space="preserve">Synopsys, Inc. (SNPS) stock price, news, quote and history</t>
  </si>
  <si>
    <t xml:space="preserve">9634de9218963e8ce3cd1191</t>
  </si>
  <si>
    <t xml:space="preserve">NKE Oct 2026 26.000 put (NKE261023P00026000) Stock Price, News, Quote &amp; History</t>
  </si>
  <si>
    <t xml:space="preserve">662cef72acda74c861d88d69</t>
  </si>
  <si>
    <t xml:space="preserve">QCOM Oct 2026 170.000 call (QCOM261023C00170000) stock price, news, quote and history</t>
  </si>
  <si>
    <t xml:space="preserve">dfb2efb5899783cd1dfb6551</t>
  </si>
  <si>
    <t xml:space="preserve">AMAT</t>
  </si>
  <si>
    <t xml:space="preserve">Applied Materials</t>
  </si>
  <si>
    <t xml:space="preserve">AMAT Nov 2026 650.000 call (AMAT261127C00650000) stock price, news, quote and history</t>
  </si>
  <si>
    <t xml:space="preserve">6fa90ee691711bbbb55a55fc</t>
  </si>
  <si>
    <t xml:space="preserve">ULTA Oct 2026 645.000 call (ULTA261023C00645000) Stock Price, News, Quote &amp; History</t>
  </si>
  <si>
    <t xml:space="preserve">4d5a7b7b67b9bfb0b9f80faa</t>
  </si>
  <si>
    <t xml:space="preserve">TGT Nov 2026 165.000 call (TGT261127C00165000) Stock Price, News, Quote &amp; History</t>
  </si>
  <si>
    <t xml:space="preserve">b08417545eb066a79c608e6a</t>
  </si>
  <si>
    <t xml:space="preserve">LLY Nov 2026 820.000 put (LLY261127P00820000) stock price, news, quote and history</t>
  </si>
  <si>
    <t xml:space="preserve">e87e153504c9a01788aafa90</t>
  </si>
  <si>
    <t xml:space="preserve">ORLY</t>
  </si>
  <si>
    <t xml:space="preserve">O’Reilly Automotive</t>
  </si>
  <si>
    <t xml:space="preserve">ORLY Nov 2026 87.500 put (ORLY261120P00087500) stock price, news, quote and history</t>
  </si>
  <si>
    <t xml:space="preserve">56dadfc01d894ebad5af59cc</t>
  </si>
  <si>
    <t xml:space="preserve">United Rentals, Inc. (URI) Stock forecasts</t>
  </si>
  <si>
    <t xml:space="preserve">1ecfca7c560b63f6d2b17fcb</t>
  </si>
  <si>
    <t xml:space="preserve">REGN270219C00760000 interactive stock chart | REGN Feb 2027 760.000 call stock</t>
  </si>
  <si>
    <t xml:space="preserve">1e8b268f29924d6aabfbd8dc</t>
  </si>
  <si>
    <t xml:space="preserve">EVRG Nov 2026 77.500 put (EVRG261120P00077500) stock price, news, quote and history</t>
  </si>
  <si>
    <t xml:space="preserve">43c9ca87f9f883080cee2624</t>
  </si>
  <si>
    <t xml:space="preserve">QCOM Oct 2026 205.000 call (QCOM261023C00205000) stock price, news, quote and history</t>
  </si>
  <si>
    <t xml:space="preserve">17c213b5ef5f6858cf0665a4</t>
  </si>
  <si>
    <t xml:space="preserve">LLY Nov 2026 800.000 put (LLY261127P00800000) stock price, news, quote and history</t>
  </si>
  <si>
    <t xml:space="preserve">922e9a4852db7a4b899bcbaf</t>
  </si>
  <si>
    <t xml:space="preserve">USB Oct 2026 49.000 put (USB261030P00049000) stock price, news, quote and history</t>
  </si>
  <si>
    <t xml:space="preserve">a999943c4535361c7d6d0616</t>
  </si>
  <si>
    <t xml:space="preserve">WDC Oct 2026 492.500 call (WDC261030C00492500) Stock Price, News, Quote &amp; History</t>
  </si>
  <si>
    <t xml:space="preserve">986557f8efddca379bfd8e35</t>
  </si>
  <si>
    <t xml:space="preserve">CVNA Oct 2026 43.500 call (CVNA261030C00043500) Stock Price, News, Quote &amp; History</t>
  </si>
  <si>
    <t xml:space="preserve">b59865f6be92cd348a320acb</t>
  </si>
  <si>
    <t xml:space="preserve">MRNA Dec 2026 235.000 put (MRNA261204P00235000) stock price, news, quote and history</t>
  </si>
  <si>
    <t xml:space="preserve">c6d4be52d0494f352430f876</t>
  </si>
  <si>
    <t xml:space="preserve">META261026P00675000 Interactive Stock Chart | META Oct 2026 675.000 put Stock</t>
  </si>
  <si>
    <t xml:space="preserve">35c6ad43ea2b5f4123bd0c7b</t>
  </si>
  <si>
    <t xml:space="preserve">LIN Jun 2027 405.000 call (LIN270617C00405000) stock price, news, quote and history</t>
  </si>
  <si>
    <t xml:space="preserve">1bdd19fc821c0f6bb61416ac</t>
  </si>
  <si>
    <t xml:space="preserve">Nucor Corporation Estimates – NYSE:NUE</t>
  </si>
  <si>
    <t xml:space="preserve">cf72a931502fc0b9d5d3cbdb</t>
  </si>
  <si>
    <t xml:space="preserve">Winnipeg Jets trade Connor Hellebuyck to Devils: TSN</t>
  </si>
  <si>
    <t xml:space="preserve">AM 800 CKLW</t>
  </si>
  <si>
    <t xml:space="preserve">f0b95b90023d27e5e80a64e2</t>
  </si>
  <si>
    <t xml:space="preserve">AAPL Jun 2028 135.000 call (AAPL280616C00135000) stock price, news, quote and history</t>
  </si>
  <si>
    <t xml:space="preserve">bd4e28592320bcf01b3bc0a6</t>
  </si>
  <si>
    <t xml:space="preserve">7,710 Broadcom Inc. $AVGO Shares Sold by Crossmark Global Holdings Inc.</t>
  </si>
  <si>
    <t xml:space="preserve">bd4f275017709505862ece3a</t>
  </si>
  <si>
    <t xml:space="preserve">CVNA Oct 2026 42.000 put (CVNA261030P00042000) Stock Price, News, Quote &amp; History</t>
  </si>
  <si>
    <t xml:space="preserve">fa12611128bedc9117a2e7aa</t>
  </si>
  <si>
    <t xml:space="preserve">SNDK Oct 2026 2230.000 put (SNDK261030P02230000) stock price, news, quote and history</t>
  </si>
  <si>
    <t xml:space="preserve">3356be6601fb7874847a3e9f</t>
  </si>
  <si>
    <t xml:space="preserve">TGT Oct 2026 130.000 call (TGT261030C00130000) stock price, news, quote and history</t>
  </si>
  <si>
    <t xml:space="preserve">adfe2e72e1f19eb941872f60</t>
  </si>
  <si>
    <t xml:space="preserve">GNRC Nov 2026 225.000 call (GNRC261120C00225000) stock price, news, quote and history</t>
  </si>
  <si>
    <t xml:space="preserve">cc13554ea699a541d1e6ed41</t>
  </si>
  <si>
    <t xml:space="preserve">COHR270521P00160000 interactive stock chart | COHR May 2027 160.000 put stock</t>
  </si>
  <si>
    <t xml:space="preserve">c1aaa947cdf8fd30abb47694</t>
  </si>
  <si>
    <t xml:space="preserve">XYZ Jan 2029 70.000 call (XYZ290119C00070000) stock price, news, quote and history</t>
  </si>
  <si>
    <t xml:space="preserve">7b94e0a813dd149a2cd74097</t>
  </si>
  <si>
    <t xml:space="preserve">TER Oct 2026 255.000 call (TER261030C00255000) Stock Price, News, Quote &amp; History</t>
  </si>
  <si>
    <t xml:space="preserve">cbce07354a2893048035708e</t>
  </si>
  <si>
    <t xml:space="preserve">LITE Oct 2026 1330.000 call (LITE261030C01330000) stock price, news, quote and history</t>
  </si>
  <si>
    <t xml:space="preserve">e8074b0d26cc8dd9f6f298cd</t>
  </si>
  <si>
    <t xml:space="preserve">FICO</t>
  </si>
  <si>
    <t xml:space="preserve">Fair Isaac</t>
  </si>
  <si>
    <t xml:space="preserve">FICO Dec 2026 770.000 call (FICO261218C00770000) stock price, news, quote and history</t>
  </si>
  <si>
    <t xml:space="preserve">3ed0be921fc55366da57e861</t>
  </si>
  <si>
    <t xml:space="preserve">MSFT Oct 2026 492.500 put (MSFT261026P00492500) stock price, news, quote and history</t>
  </si>
  <si>
    <t xml:space="preserve">1fc1614eeaf00a2ca5e5cba9</t>
  </si>
  <si>
    <t xml:space="preserve">VRT Oct 2026 340.000 call (VRT261023C00340000) stock price, news, quote and history</t>
  </si>
  <si>
    <t xml:space="preserve">0cd3fcf639e88d63c76e87e5</t>
  </si>
  <si>
    <t xml:space="preserve">LH</t>
  </si>
  <si>
    <t xml:space="preserve">Labcorp</t>
  </si>
  <si>
    <t xml:space="preserve">Labcorp Holdings Inc. Estimates – NYSE:LH</t>
  </si>
  <si>
    <t xml:space="preserve">b798f2306ee66bcdffe7f37a</t>
  </si>
  <si>
    <t xml:space="preserve">VRT Oct 2026 280.000 put (VRT261023P00280000) stock price, news, quote and history</t>
  </si>
  <si>
    <t xml:space="preserve">a7f7265b2ac0cf71fbb90b68</t>
  </si>
  <si>
    <t xml:space="preserve">SNDK Nov 2026 1390.000 call (SNDK261106C01390000) Stock Price, News, Quote &amp; History</t>
  </si>
  <si>
    <t xml:space="preserve">5425deda84ea17070cbb503e</t>
  </si>
  <si>
    <t xml:space="preserve">META Oct 2026 540.000 put (META261026P00540000) Stock Price, News, Quote &amp; History</t>
  </si>
  <si>
    <t xml:space="preserve">a361614f86660cf73256f0f6</t>
  </si>
  <si>
    <t xml:space="preserve">LMT</t>
  </si>
  <si>
    <t xml:space="preserve">Lockheed Martin</t>
  </si>
  <si>
    <t xml:space="preserve">LMT Oct 2026 472.500 put (LMT261023P00472500) stock price, news, quote and history</t>
  </si>
  <si>
    <t xml:space="preserve">d7054ac91a270e69eccbc2ba</t>
  </si>
  <si>
    <t xml:space="preserve">KVUE</t>
  </si>
  <si>
    <t xml:space="preserve">Kenvue</t>
  </si>
  <si>
    <t xml:space="preserve">KVUE News at 5:30pm Saturday</t>
  </si>
  <si>
    <t xml:space="preserve">413455cd41b69d8838485ffa</t>
  </si>
  <si>
    <t xml:space="preserve">LIN Sep 2027 560.000 call (LIN270917C00560000) Stock Price, News, Quote &amp; History</t>
  </si>
  <si>
    <t xml:space="preserve">b2482d7111afb9808921acf4</t>
  </si>
  <si>
    <t xml:space="preserve">VLO Oct 2026 540.000 put (VLO261030P00540000) stock price, news, quote and history</t>
  </si>
  <si>
    <t xml:space="preserve">488b1ea7f5596876bea6d9f7</t>
  </si>
  <si>
    <t xml:space="preserve">BXP</t>
  </si>
  <si>
    <t xml:space="preserve">BXP, Inc.</t>
  </si>
  <si>
    <t xml:space="preserve">BXP, Inc. (BXP) Stock forecasts</t>
  </si>
  <si>
    <t xml:space="preserve">a4fcb13f17375a44b2110533</t>
  </si>
  <si>
    <t xml:space="preserve">LEN Oct 2026 81.000 call (LEN261023C00081000) Stock Price, News, Quote &amp; History</t>
  </si>
  <si>
    <t xml:space="preserve">e45ed6e43549787838a8c7a7</t>
  </si>
  <si>
    <t xml:space="preserve">META Oct 2026 545.000 put (META261026P00545000) Stock Price, News, Quote &amp; History</t>
  </si>
  <si>
    <t xml:space="preserve">46be17f40b7b4c7b95f7af5b</t>
  </si>
  <si>
    <t xml:space="preserve">VST</t>
  </si>
  <si>
    <t xml:space="preserve">Vistra Corp.</t>
  </si>
  <si>
    <t xml:space="preserve">Vistra Corp. Estimates – NYSE:VST</t>
  </si>
  <si>
    <t xml:space="preserve">798278becdf7f772f761c323</t>
  </si>
  <si>
    <t xml:space="preserve">SNPS Oct 2026 482.500 put (SNPS261030P00482500) stock price, news, quote and history</t>
  </si>
  <si>
    <t xml:space="preserve">4aa3234ae055d0bff4f3a15a</t>
  </si>
  <si>
    <t xml:space="preserve">VEEV</t>
  </si>
  <si>
    <t xml:space="preserve">Veeva Systems</t>
  </si>
  <si>
    <t xml:space="preserve">VEEV Nov 2026 290.000 call (VEEV261120C00290000) stock price, news, quote and history</t>
  </si>
  <si>
    <t xml:space="preserve">d552fdedac793ebdfca072b1</t>
  </si>
  <si>
    <t xml:space="preserve">WDC Nov 2026 310.000 put (WDC261127P00310000) stock price, news, quote and history</t>
  </si>
  <si>
    <t xml:space="preserve">83e39adc9d0709cccd8bbd94</t>
  </si>
  <si>
    <t xml:space="preserve">LITE Oct 2026 660.000 call (LITE261030C00660000) Stock Price, News, Quote &amp; History</t>
  </si>
  <si>
    <t xml:space="preserve">1898821507db8ec896c6c4da</t>
  </si>
  <si>
    <t xml:space="preserve">MSFT Feb 2027 540.000 call (MSFT270219C00540000) Stock Price, News, Quote &amp; History</t>
  </si>
  <si>
    <t xml:space="preserve">bf6d0bbdf4e7605395820131</t>
  </si>
  <si>
    <t xml:space="preserve">APA Nov 2026 55.000 call (APA261113C00055000) stock price, news, quote and history</t>
  </si>
  <si>
    <t xml:space="preserve">bf20b31b6ccd1689680d2adc</t>
  </si>
  <si>
    <t xml:space="preserve">The 'Walmart of Ghost Tours' is amassing an empire of the undead — and a host of enemies among the living.</t>
  </si>
  <si>
    <t xml:space="preserve">Business Insider</t>
  </si>
  <si>
    <t xml:space="preserve">acc74cc8199af0360e2a5467</t>
  </si>
  <si>
    <t xml:space="preserve">USB Oct 2026 53.000 put (USB261030P00053000) stock price, news, quote and history</t>
  </si>
  <si>
    <t xml:space="preserve">2ffde07c7c4fbb6fa4d1ab37</t>
  </si>
  <si>
    <t xml:space="preserve">CVNA Oct 2026 43.500 put (CVNA261030P00043500) Stock Price, News, Quote &amp; History</t>
  </si>
  <si>
    <t xml:space="preserve">5cc98a1be2b1aba87e88a366</t>
  </si>
  <si>
    <t xml:space="preserve">CCL</t>
  </si>
  <si>
    <t xml:space="preserve">Carnival Corporation</t>
  </si>
  <si>
    <t xml:space="preserve">CCL Oct 2026 28.500 put (CCL261030P00028500) stock price, news, quote and history</t>
  </si>
  <si>
    <t xml:space="preserve">427bb8fb1b45be9d1f9957b4</t>
  </si>
  <si>
    <t xml:space="preserve">MRNA Oct 2026 132.000 call (MRNA261030C00132000) stock price, news, quote and history</t>
  </si>
  <si>
    <t xml:space="preserve">7533c73167c0710a118d3691</t>
  </si>
  <si>
    <t xml:space="preserve">CVNA Oct 2026 48.500 put (CVNA261030P00048500) Stock Price, News, Quote &amp; History</t>
  </si>
  <si>
    <t xml:space="preserve">724eaf8d2482e7d868b4e758</t>
  </si>
  <si>
    <t xml:space="preserve">MCHP</t>
  </si>
  <si>
    <t xml:space="preserve">Microchip Technology</t>
  </si>
  <si>
    <t xml:space="preserve">MCHP Jan 2029 85.000 call (MCHP290119C00085000) Stock Price, News, Quote &amp; History</t>
  </si>
  <si>
    <t xml:space="preserve">234a86e5dc73e6af6ed47d63</t>
  </si>
  <si>
    <t xml:space="preserve">MRNA Oct 2026 105.000 call (MRNA261030C00105000) stock price, news, quote and history</t>
  </si>
  <si>
    <t xml:space="preserve">3059d7016f15c5f592bb0602</t>
  </si>
  <si>
    <t xml:space="preserve">CEG Oct 2026 350.000 put (CEG261030P00350000) stock price, news, quote and history</t>
  </si>
  <si>
    <t xml:space="preserve">6ab5e24b3a60c0c354a19208</t>
  </si>
  <si>
    <t xml:space="preserve">UNH Nov 2026 480.000 call (UNH261127C00480000) Stock Price, News, Quote &amp; History</t>
  </si>
  <si>
    <t xml:space="preserve">5090967db9751a8268ec2336</t>
  </si>
  <si>
    <t xml:space="preserve">INTU Oct 2026 282.500 call (INTU261023C00282500) Stock Price, News, Quote &amp; History</t>
  </si>
  <si>
    <t xml:space="preserve">5654bcd10c50ba789417c1b4</t>
  </si>
  <si>
    <t xml:space="preserve">L3Harris declares $1.25 quarterly dividend per share</t>
  </si>
  <si>
    <t xml:space="preserve">10a56c72770ffd1e29270365</t>
  </si>
  <si>
    <t xml:space="preserve">Why Is Amgen (NASDAQ:AMGN) Drawing Market Focus?</t>
  </si>
  <si>
    <t xml:space="preserve">5d968f1d9275c7ea5ecf9850</t>
  </si>
  <si>
    <t xml:space="preserve">IBM Sep 2027 150.000 call (IBM270917C00150000) Stock Price, News, Quote &amp; History</t>
  </si>
  <si>
    <t xml:space="preserve">ba80505d468f7740cb3de5bc</t>
  </si>
  <si>
    <t xml:space="preserve">Royal Caribbean schedules results call. Royal Caribbean stock trades EUR 247.00 in weekend trading.</t>
  </si>
  <si>
    <t xml:space="preserve">6796ea021a2df0583a577840</t>
  </si>
  <si>
    <t xml:space="preserve">TRV Nov 2026 320.000 call (TRV261120C00320000) Stock Price, News, Quote &amp; History</t>
  </si>
  <si>
    <t xml:space="preserve">3ba00fcdd4b401fb93295256</t>
  </si>
  <si>
    <t xml:space="preserve">NTAP</t>
  </si>
  <si>
    <t xml:space="preserve">NetApp</t>
  </si>
  <si>
    <t xml:space="preserve">NTAP Jan 2028 230.000 call (NTAP280121C00230000) Stock Price, News, Quote &amp; History</t>
  </si>
  <si>
    <t xml:space="preserve">a41edad2a207e93065885a10</t>
  </si>
  <si>
    <t xml:space="preserve">UNP Oct 2026 255.000 put (UNP261030P00255000) Stock Price, News, Quote &amp; History</t>
  </si>
  <si>
    <t xml:space="preserve">b89360b12f4b781d01d2c1b9</t>
  </si>
  <si>
    <t xml:space="preserve">MCD Oct 2026 195.000 call (MCD261023C00195000) Stock Price, News, Quote &amp; History</t>
  </si>
  <si>
    <t xml:space="preserve">30fd0b7d18b7948a23b9c2fb</t>
  </si>
  <si>
    <t xml:space="preserve">AZO Jun 2027 4300.000 call (AZO270617C04300000) stock price, news, quote and history</t>
  </si>
  <si>
    <t xml:space="preserve">e77cbea6e8257b53abc09cd3</t>
  </si>
  <si>
    <t xml:space="preserve">ADI Oct 2026 387.500 put (ADI261023P00387500) stock price, news, quote and history</t>
  </si>
  <si>
    <t xml:space="preserve">24261e68de9a506753490764</t>
  </si>
  <si>
    <t xml:space="preserve">FANG Nov 2026 175.000 put (FANG261120P00175000) stock price, news, quote and history</t>
  </si>
  <si>
    <t xml:space="preserve">0aba1c0cfdbee6535f2ef3c1</t>
  </si>
  <si>
    <t xml:space="preserve">UNH Nov 2026 305.000 put (UNH261127P00305000) Stock Price, News, Quote &amp; History</t>
  </si>
  <si>
    <t xml:space="preserve">79f2a00e59e84a9d35f57f3c</t>
  </si>
  <si>
    <t xml:space="preserve">UBER Oct 2026 63.000 call (UBER261023C00063000) stock price, news, quote and history</t>
  </si>
  <si>
    <t xml:space="preserve">90d9bc86353acd9ccf5882f3</t>
  </si>
  <si>
    <t xml:space="preserve">SNPS Oct 2026 515.000 put (SNPS261030P00515000) stock price, news, quote and history</t>
  </si>
  <si>
    <t xml:space="preserve">fd6b10dad772cc6d57dc6127</t>
  </si>
  <si>
    <t xml:space="preserve">LEN Nov 2026 76.000 call (LEN261106C00076000) stock price, news, quote and history</t>
  </si>
  <si>
    <t xml:space="preserve">c0c71e4ad5b0b19ae8cc2943</t>
  </si>
  <si>
    <t xml:space="preserve">LEN Nov 2026 76.000 call (LEN261113C00076000) Stock Price, News, Quote &amp; History</t>
  </si>
  <si>
    <t xml:space="preserve">7979bf8f63af93c90dfa4b91</t>
  </si>
  <si>
    <t xml:space="preserve">State Street Corporation Estimates – NYSE:STT</t>
  </si>
  <si>
    <t xml:space="preserve">083736bdf025c7cbb9359286</t>
  </si>
  <si>
    <t xml:space="preserve">QCOM Oct 2026 160.000 put (QCOM261023P00160000) stock price, news, quote and history</t>
  </si>
  <si>
    <t xml:space="preserve">8c7cadc075f95249c736acca</t>
  </si>
  <si>
    <t xml:space="preserve">AMAT Nov 2026 605.000 call (AMAT261113C00605000) Stock Price, News, Quote &amp; History</t>
  </si>
  <si>
    <t xml:space="preserve">b9f6aafa4b1d1d1035137295</t>
  </si>
  <si>
    <t xml:space="preserve">SNDK Oct 2026 1830.000 call (SNDK261023C01830000) stock price, news, quote and history</t>
  </si>
  <si>
    <t xml:space="preserve">0c790f42afa910220c7ff1bc</t>
  </si>
  <si>
    <t xml:space="preserve">TGT Apr 2027 115.000 put (TGT270416P00115000) Stock Price, News, Quote &amp; History</t>
  </si>
  <si>
    <t xml:space="preserve">55d162fee183f53d27324f28</t>
  </si>
  <si>
    <t xml:space="preserve">INCY</t>
  </si>
  <si>
    <t xml:space="preserve">Incyte (INCY) Heads To ESMO With New Oncology Data, Is The Stock Still Undervalued?</t>
  </si>
  <si>
    <t xml:space="preserve">de45a21bf0daf6e695d22f20</t>
  </si>
  <si>
    <t xml:space="preserve">AAPL Oct 2026 342.500 call (AAPL261026C00342500) Stock Price, News, Quote &amp; History</t>
  </si>
  <si>
    <t xml:space="preserve">926dc717d4e339257246800a</t>
  </si>
  <si>
    <t xml:space="preserve">Capital One reports third-quarter results. Capital One stock trades at EUR 179.93</t>
  </si>
  <si>
    <t xml:space="preserve">0218ff9b7c262197816e2d6e</t>
  </si>
  <si>
    <t xml:space="preserve">LLY Nov 2026 1235.000 put (LLY261127P01235000) stock price, news, quote and history</t>
  </si>
  <si>
    <t xml:space="preserve">87f95a42bad446306f5245d0</t>
  </si>
  <si>
    <t xml:space="preserve">LLY Nov 2026 1000.000 put (LLY261127P01000000) stock price, news, quote and history</t>
  </si>
  <si>
    <t xml:space="preserve">35f22805699b091db33e9832</t>
  </si>
  <si>
    <t xml:space="preserve">ADSK Oct 2026 252.500 call (ADSK261030C00252500) Stock Price, News, Quote &amp; History</t>
  </si>
  <si>
    <t xml:space="preserve">1c679ef494cae8857f2f2b60</t>
  </si>
  <si>
    <t xml:space="preserve">VRT Oct 2026 295.000 put (VRT261023P00295000) stock price, news, quote and history</t>
  </si>
  <si>
    <t xml:space="preserve">13bac9470061fa062ac613e1</t>
  </si>
  <si>
    <t xml:space="preserve">Ventas, Inc. (VTR) Stock Price, News, Quote &amp; History</t>
  </si>
  <si>
    <t xml:space="preserve">7a829812e545372b2fe2158a</t>
  </si>
  <si>
    <t xml:space="preserve">LEN Nov 2026 81.000 call (LEN261113C00081000) Stock Price, News, Quote &amp; History</t>
  </si>
  <si>
    <t xml:space="preserve">b6b66d45c730d7234966f8a1</t>
  </si>
  <si>
    <t xml:space="preserve">VRT Oct 2026 212.500 put (VRT261023P00212500) stock price, news, quote and history</t>
  </si>
  <si>
    <t xml:space="preserve">0b25ce4eb5ab8a3a43b0d10c</t>
  </si>
  <si>
    <t xml:space="preserve">TOL,LAZ,CFG,JBHT,NYT,HST,FLEX,WTRG,CLS,LH,DKS,IEX | stock prices | quote comparison</t>
  </si>
  <si>
    <t xml:space="preserve">c9b6d0ece6389e24c15a8eac</t>
  </si>
  <si>
    <t xml:space="preserve">RCL Oct 2026 307.500 call (RCL261023C00307500) Stock Price, News, Quote &amp; History</t>
  </si>
  <si>
    <t xml:space="preserve">d9b41bc300460c092d8609f3</t>
  </si>
  <si>
    <t xml:space="preserve">Digital Realty Trust, Inc. (DLR) Stock Price, News, Quote &amp; History</t>
  </si>
  <si>
    <t xml:space="preserve">4b689dcd4668be6a033cb45a</t>
  </si>
  <si>
    <t xml:space="preserve">VRT Oct 2026 207.500 call (VRT261023C00207500) stock price, news, quote and history</t>
  </si>
  <si>
    <t xml:space="preserve">50020e3252c548251abd1172</t>
  </si>
  <si>
    <t xml:space="preserve">LEN Oct 2026 83.000 put (LEN261023P00083000) stock price, news, quote and history</t>
  </si>
  <si>
    <t xml:space="preserve">2acf4c8d3597724e99b2577d</t>
  </si>
  <si>
    <t xml:space="preserve">AVGO Jan 2029 400.000 put (AVGO290119P00400000) Stock Price, News, Quote &amp; History</t>
  </si>
  <si>
    <t xml:space="preserve">398f3161c23baa2cb556e6e9</t>
  </si>
  <si>
    <t xml:space="preserve">UBER Dec 2026 140.000 call (UBER261218C00140000) stock price, news, quote and history</t>
  </si>
  <si>
    <t xml:space="preserve">9faf42884266e9692f0b21b1</t>
  </si>
  <si>
    <t xml:space="preserve">MS International PLC Estimates – LSE:MSI</t>
  </si>
  <si>
    <t xml:space="preserve">95e6346d1115d1a7f324748e</t>
  </si>
  <si>
    <t xml:space="preserve">Blackrock Limited Duration Income Trust Estimates – BOATS:BLW</t>
  </si>
  <si>
    <t xml:space="preserve">0d975d727509f92c7e3ccc6e</t>
  </si>
  <si>
    <t xml:space="preserve">EBAY Nov 2026 90.000 put (EBAY261113P00090000) Stock Price, News, Quote &amp; History</t>
  </si>
  <si>
    <t xml:space="preserve">f1c8fc3d4326de7ac4c2caa2</t>
  </si>
  <si>
    <t xml:space="preserve">2308d35165b496c19a6b0602</t>
  </si>
  <si>
    <t xml:space="preserve">986149064debfbaa58bd0a64</t>
  </si>
  <si>
    <t xml:space="preserve">IEX</t>
  </si>
  <si>
    <t xml:space="preserve">IDEX Corporation</t>
  </si>
  <si>
    <t xml:space="preserve">84917ccf09d096543ec8cd2e</t>
  </si>
  <si>
    <t xml:space="preserve">TTWO Oct 2026 180.000 call (TTWO261030C00180000) Stock Price, News, Quote &amp; History</t>
  </si>
  <si>
    <t xml:space="preserve">c7d5e97c10b06745168aeb0e</t>
  </si>
  <si>
    <t xml:space="preserve">MRSH</t>
  </si>
  <si>
    <t xml:space="preserve">Marsh McLennan</t>
  </si>
  <si>
    <t xml:space="preserve">MRSH Nov 2026 210.000 call (MRSH261120C00210000) stock price, news, quote and history</t>
  </si>
  <si>
    <t xml:space="preserve">beb606583488f760208904bd</t>
  </si>
  <si>
    <t xml:space="preserve">MCD Oct 2026 160.000 call (MCD261030C00160000) stock price, news, quote and history</t>
  </si>
  <si>
    <t xml:space="preserve">3b90d23fe964ccbcb4e23a6c</t>
  </si>
  <si>
    <t xml:space="preserve">Humans are turning the Amazon rainforest into a carbon source</t>
  </si>
  <si>
    <t xml:space="preserve">Earth.com</t>
  </si>
  <si>
    <t xml:space="preserve">cb5c682ad3803efbdd8a143f</t>
  </si>
  <si>
    <t xml:space="preserve">WDC Nov 2026 340.000 call (WDC261127C00340000) stock price, news, quote and history</t>
  </si>
  <si>
    <t xml:space="preserve">4236d9895261d5d9e2b81292</t>
  </si>
  <si>
    <t xml:space="preserve">COHR Jun 2027 170.000 call (COHR270617C00170000) stock price, news, quote and history</t>
  </si>
  <si>
    <t xml:space="preserve">d4c4ed22d90085f1f6a97b7c</t>
  </si>
  <si>
    <t xml:space="preserve">Goldman Sachs stock trades at EUR 782.60 as firm reports results</t>
  </si>
  <si>
    <t xml:space="preserve">05db149188ed2ef82ef4b82c</t>
  </si>
  <si>
    <t xml:space="preserve">ADSK Oct 2026 257.500 call (ADSK261030C00257500) Stock Price, News, Quote &amp; History</t>
  </si>
  <si>
    <t xml:space="preserve">1d1ffc662f2fc5c850d08599</t>
  </si>
  <si>
    <t xml:space="preserve">DLR Nov 2026 130.000 put (DLR261120P00130000) Stock Price, News, Quote &amp; History</t>
  </si>
  <si>
    <t xml:space="preserve">0f3c94aaf0f504a24199041b</t>
  </si>
  <si>
    <t xml:space="preserve">Uber Technologies, Inc. (UT81.F) stock price, news, quote and history</t>
  </si>
  <si>
    <t xml:space="preserve">54fe06787d1854204aff3f3c</t>
  </si>
  <si>
    <t xml:space="preserve">SMCI Nov 2026 37.000 call (SMCI261113C00037000) Stock Price, News, Quote &amp; History</t>
  </si>
  <si>
    <t xml:space="preserve">a235824a6de611c48a8af786</t>
  </si>
  <si>
    <t xml:space="preserve">LEN Nov 2026 92.000 call (LEN261106C00092000) stock price, news, quote and history</t>
  </si>
  <si>
    <t xml:space="preserve">73a48ed1f90b053550973598</t>
  </si>
  <si>
    <t xml:space="preserve">COF Sep 2027 105.000 put (COF270917P00105000) stock price, news, quote and history</t>
  </si>
  <si>
    <t xml:space="preserve">a1c3378df6ec23a0e30ac8dd</t>
  </si>
  <si>
    <t xml:space="preserve">DVN Nov 2026 25.000 call (DVN261120C00025000) stock price, news, quote and history</t>
  </si>
  <si>
    <t xml:space="preserve">f6953a601ebafba9232066ed</t>
  </si>
  <si>
    <t xml:space="preserve">TPR outlines ‘hidden’ AI risks in pension portfolios</t>
  </si>
  <si>
    <t xml:space="preserve">FT Adviser</t>
  </si>
  <si>
    <t xml:space="preserve">c1899bf6838beb062d7af0c5</t>
  </si>
  <si>
    <t xml:space="preserve">SNDK Oct 2026 1465.000 put (SNDK261030P01465000) stock price, news, quote and history</t>
  </si>
  <si>
    <t xml:space="preserve">84a3f5c52f265cd0c57e9ec1</t>
  </si>
  <si>
    <t xml:space="preserve">SMCI Oct 2026 53.000 put (SMCI261030P00053000) Stock Price, News, Quote &amp; History</t>
  </si>
  <si>
    <t xml:space="preserve">fb228a376122e6010f475fd1</t>
  </si>
  <si>
    <t xml:space="preserve">PPG Industries, Inc. (PPG) stock price, news, quote and history</t>
  </si>
  <si>
    <t xml:space="preserve">1dd7e2484f973bd9861dba0c</t>
  </si>
  <si>
    <t xml:space="preserve">Merck &amp; Co., Inc. $MRK Holdings Decreased by Sterling Capital Management LLC</t>
  </si>
  <si>
    <t xml:space="preserve">857d0c7e40c0e3eb1b37aca5</t>
  </si>
  <si>
    <t xml:space="preserve">LIN Nov 2026 545.000 put (LIN261120P00545000) Stock Price, News, Quote &amp; History</t>
  </si>
  <si>
    <t xml:space="preserve">c99520ab141e4aa87c833d5e</t>
  </si>
  <si>
    <t xml:space="preserve">IRM Oct 2026 108.000 put (IRM261030P00108000) Stock Price, News, Quote &amp; History</t>
  </si>
  <si>
    <t xml:space="preserve">78a7fe160c533c28f5b699d3</t>
  </si>
  <si>
    <t xml:space="preserve">UAL Oct 2026 97.000 call (UAL261023C00097000) stock price, news, quote and history</t>
  </si>
  <si>
    <t xml:space="preserve">6012159536c3a0609c862e1a</t>
  </si>
  <si>
    <t xml:space="preserve">SNDK Nov 2026 1290.000 put (SNDK261106P01290000) Stock Price, News, Quote &amp; History</t>
  </si>
  <si>
    <t xml:space="preserve">1f32dae84f29e370265251fe</t>
  </si>
  <si>
    <t xml:space="preserve">FSLR Oct 2026 175.000 call (FSLR261023C00175000) stock price, news, quote and history</t>
  </si>
  <si>
    <t xml:space="preserve">76ecd3d90e5060dfc8b4e520</t>
  </si>
  <si>
    <t xml:space="preserve">META Oct 2026 715.000 put (META261026P00715000) stock price, news, quote and history</t>
  </si>
  <si>
    <t xml:space="preserve">1b165a0726585d6d3c88dd23</t>
  </si>
  <si>
    <t xml:space="preserve">LITE Apr 2027 620.000 call (LITE270416C00620000) Stock Price, News, Quote &amp; History</t>
  </si>
  <si>
    <t xml:space="preserve">763d23209f1e0a37fe455a9c</t>
  </si>
  <si>
    <t xml:space="preserve">USB Oct 2026 54.000 call (USB261030C00054000) stock price, news, quote and history</t>
  </si>
  <si>
    <t xml:space="preserve">83d69bc308b6f54a03b8ddb5</t>
  </si>
  <si>
    <t xml:space="preserve">Generac Holdings Inc. Estimates – NYSE:GNRC</t>
  </si>
  <si>
    <t xml:space="preserve">6c78372562d43370bfa2a1d9</t>
  </si>
  <si>
    <t xml:space="preserve">Bristol Myers Squibb (BMY) Sees a More Significant Dip Than Broader Market: Some Facts to Know</t>
  </si>
  <si>
    <t xml:space="preserve">f5c157a78af0ed2c2f2d3968</t>
  </si>
  <si>
    <t xml:space="preserve">GILD</t>
  </si>
  <si>
    <t xml:space="preserve">Gilead Sciences</t>
  </si>
  <si>
    <t xml:space="preserve">GILD Nov 2026 145.000 put (GILD261127P00145000) stock price, news, quote and history</t>
  </si>
  <si>
    <t xml:space="preserve">cee94f229c698ab83e23f7b6</t>
  </si>
  <si>
    <t xml:space="preserve">CRM Jan 2029 270.000 put (CRM290119P00270000) Stock Price, News, Quote &amp; History</t>
  </si>
  <si>
    <t xml:space="preserve">7d1bb378a8f347ed93a65f07</t>
  </si>
  <si>
    <t xml:space="preserve">LIN Jun 2027 405.000 call (LIN270617C00405000) Stock Price, News, Quote &amp; History</t>
  </si>
  <si>
    <t xml:space="preserve">c9e5dc4010241d6617438c66</t>
  </si>
  <si>
    <t xml:space="preserve">Sacramento State Hornets at Ball State Cardinals - NCAAF Game Summary - Oct 24, 2026</t>
  </si>
  <si>
    <t xml:space="preserve">USA Today</t>
  </si>
  <si>
    <t xml:space="preserve">1f198a5cb3027f39a96026ba</t>
  </si>
  <si>
    <t xml:space="preserve">MRNA Oct 2026 300.000 call (MRNA261030C00300000) stock price, news, quote and history</t>
  </si>
  <si>
    <t xml:space="preserve">043c2df3ffe277c76710ad92</t>
  </si>
  <si>
    <t xml:space="preserve">AZO Jun 2027 4100.000 call (AZO270617C04100000) stock price, news, quote and history</t>
  </si>
  <si>
    <t xml:space="preserve">a32aa09da1d178b947fc1f96</t>
  </si>
  <si>
    <t xml:space="preserve">BLK Jan 2029 1100.000 call (BLK290119C01100000) stock price, news, quote and history</t>
  </si>
  <si>
    <t xml:space="preserve">a8939989c251258f88322a93</t>
  </si>
  <si>
    <t xml:space="preserve">Trimble Inc. (TRMB) stock price, news, quote and history</t>
  </si>
  <si>
    <t xml:space="preserve">3b1d4bb9711476552644ff3a</t>
  </si>
  <si>
    <t xml:space="preserve">XYZ Jan 2029 37.500 call (XYZ290119C00037500) stock price, news, quote and history</t>
  </si>
  <si>
    <t xml:space="preserve">cf09f49882ba937d2b791146</t>
  </si>
  <si>
    <t xml:space="preserve">QCOM Dec 2026 150.000 call (QCOM261204C00150000) Stock Price, News, Quote &amp; History</t>
  </si>
  <si>
    <t xml:space="preserve">0065caeba90baba6474a32b2</t>
  </si>
  <si>
    <t xml:space="preserve">FICO Jan 2028 650.000 put (FICO280121P00650000) stock price, news, quote and history</t>
  </si>
  <si>
    <t xml:space="preserve">cdabd2ec2de9571fe181b063</t>
  </si>
  <si>
    <t xml:space="preserve">GILD Nov 2026 147.000 call (GILD261106C00147000) stock price, news, quote and history</t>
  </si>
  <si>
    <t xml:space="preserve">5e200570f37c354be46dd250</t>
  </si>
  <si>
    <t xml:space="preserve">WMT Oct 2026 96.000 call (WMT261030C00096000) Stock Price, News, Quote &amp; History</t>
  </si>
  <si>
    <t xml:space="preserve">2f425d0aa21adf48a2e4f8f0</t>
  </si>
  <si>
    <t xml:space="preserve">SMCI Oct 2026 30.500 call (SMCI261030C00030500) Stock Price, News, Quote &amp; History</t>
  </si>
  <si>
    <t xml:space="preserve">ef62c262459c2984e5c0d74e</t>
  </si>
  <si>
    <t xml:space="preserve">LEN Nov 2026 74.000 put (LEN261106P00074000) stock price, news, quote and history</t>
  </si>
  <si>
    <t xml:space="preserve">6b145152019d3f5c67ee1630</t>
  </si>
  <si>
    <t xml:space="preserve">AMAT Nov 2026 495.000 call (AMAT261127C00495000) Stock Price, News, Quote &amp; History</t>
  </si>
  <si>
    <t xml:space="preserve">e126b2a689b2211f332bf460</t>
  </si>
  <si>
    <t xml:space="preserve">SNDK Sep 2028 900.000 call (SNDK280915C00900000) stock price, news, quote and history</t>
  </si>
  <si>
    <t xml:space="preserve">bf47d250f40f1275c29f7cb6</t>
  </si>
  <si>
    <t xml:space="preserve">IBM Oct 2026 160.000 put (IBM261030P00160000) stock price, news, quote and history</t>
  </si>
  <si>
    <t xml:space="preserve">8c800ba27a3c3fbae1c3ed45</t>
  </si>
  <si>
    <t xml:space="preserve">HST Global, Inc. Estimates – OTC:HSTC</t>
  </si>
  <si>
    <t xml:space="preserve">e99eb538e4b2ee82cee052f2</t>
  </si>
  <si>
    <t xml:space="preserve">SYK Jan 2029 340.000 call (SYK290119C00340000) stock price, news, quote and history</t>
  </si>
  <si>
    <t xml:space="preserve">465bc3f06468fb2c4fc46d06</t>
  </si>
  <si>
    <t xml:space="preserve">3661994372e55fe0595390e2</t>
  </si>
  <si>
    <t xml:space="preserve">GILD Oct 2026 138.000 put (GILD261023P00138000) stock price, news, quote and history</t>
  </si>
  <si>
    <t xml:space="preserve">b5847b5fdaeb8fd22b830f38</t>
  </si>
  <si>
    <t xml:space="preserve">TSLA Apr 2027 135.000 put (TSLA270416P00135000) Stock Price, News, Quote &amp; History</t>
  </si>
  <si>
    <t xml:space="preserve">26c47bf8886f2f6e37383c73</t>
  </si>
  <si>
    <t xml:space="preserve">STLD</t>
  </si>
  <si>
    <t xml:space="preserve">Steel Dynamics</t>
  </si>
  <si>
    <t xml:space="preserve">Steel Dynamics, Inc. Estimates – NASDAQ:STLD</t>
  </si>
  <si>
    <t xml:space="preserve">d090b63b0ac24867234b433b</t>
  </si>
  <si>
    <t xml:space="preserve">APO Oct 2026 122.000 put (APO261023P00122000) stock price, news, quote and history</t>
  </si>
  <si>
    <t xml:space="preserve">a2d331d353d93a72eecad06b</t>
  </si>
  <si>
    <t xml:space="preserve">FANG Jan 2028 170.000 put (FANG280121P00170000) Stock Price, News, Quote &amp; History</t>
  </si>
  <si>
    <t xml:space="preserve">6ad334059268dca1a3277eca</t>
  </si>
  <si>
    <t xml:space="preserve">American Express Q3 earnings beat as network volume disappoints</t>
  </si>
  <si>
    <t xml:space="preserve">43055ec2e842ad0a6b32e718</t>
  </si>
  <si>
    <t xml:space="preserve">COHR Oct 2026 272.500 call (COHR261030C00272500) stock price, news, quote and history</t>
  </si>
  <si>
    <t xml:space="preserve">2d82daff9828836ddb609171</t>
  </si>
  <si>
    <t xml:space="preserve">VLO Oct 2026 372.500 put (VLO261030P00372500) stock price, news, quote and history</t>
  </si>
  <si>
    <t xml:space="preserve">4974033a86b08e683987ad98</t>
  </si>
  <si>
    <t xml:space="preserve">MCD Oct 2026 252.500 put (MCD261030P00252500) stock price, news, quote and history</t>
  </si>
  <si>
    <t xml:space="preserve">21691c614e26b23c6b72edd3</t>
  </si>
  <si>
    <t xml:space="preserve">PLD Nov 2026 130.000 call (PLD261120C00130000) Stock Price, News, Quote &amp; History</t>
  </si>
  <si>
    <t xml:space="preserve">1354ad42196207090f9626a5</t>
  </si>
  <si>
    <t xml:space="preserve">AAPL Oct 2026 332.500 put (AAPL261023P00332500) Stock Price, News, Quote &amp; History</t>
  </si>
  <si>
    <t xml:space="preserve">50927b0acd4b713e7eb9a98e</t>
  </si>
  <si>
    <t xml:space="preserve">EFX</t>
  </si>
  <si>
    <t xml:space="preserve">Equifax</t>
  </si>
  <si>
    <t xml:space="preserve">Enerflex (TSX:EFX): What Does the Backlog Update Reveal?</t>
  </si>
  <si>
    <t xml:space="preserve">92a60b2ea9264141fbdb154b</t>
  </si>
  <si>
    <t xml:space="preserve">MCO</t>
  </si>
  <si>
    <t xml:space="preserve">Moody's Corporation</t>
  </si>
  <si>
    <t xml:space="preserve">MCO May 2027 440.000 call (MCO270521C00440000) Stock Price, News, Quote &amp; History</t>
  </si>
  <si>
    <t xml:space="preserve">943a23fb65a986e01b1267eb</t>
  </si>
  <si>
    <t xml:space="preserve">VRT Oct 2026 262.500 put (VRT261023P00262500) stock price, news, quote and history</t>
  </si>
  <si>
    <t xml:space="preserve">1ffb7bb0b409056a2a4519a7</t>
  </si>
  <si>
    <t xml:space="preserve">CVNA Oct 2026 51.000 call (CVNA261030C00051000) Stock Price, News, Quote &amp; History</t>
  </si>
  <si>
    <t xml:space="preserve">464a0e5c718884fdd29e4a5e</t>
  </si>
  <si>
    <t xml:space="preserve">He Kept Working at 74 and Skipped the RMD on His 401(k), Which the Law Allows. He Also Owned 6% of the Company, Which the Law Doesn’t</t>
  </si>
  <si>
    <t xml:space="preserve">01b68e5d5999554d63f22ff9</t>
  </si>
  <si>
    <t xml:space="preserve">Greenlight Capital Q3 2026 Commentary: Buys ADI Global Distribution &amp; Mocks SEC Over Musk's Bold Claims</t>
  </si>
  <si>
    <t xml:space="preserve">Hedge Fund Alpha</t>
  </si>
  <si>
    <t xml:space="preserve">f44012e2eafc6b230e9571b9</t>
  </si>
  <si>
    <t xml:space="preserve">UDR, Inc. (UDR) Stock Price, News, Quote &amp; History</t>
  </si>
  <si>
    <t xml:space="preserve">0e7b9d1654eccdde91df2672</t>
  </si>
  <si>
    <t xml:space="preserve">Entergy Corporation (ETR) Stock Price, News, Quote &amp; History</t>
  </si>
  <si>
    <t xml:space="preserve">aebe84e4f13973cba4c28d45</t>
  </si>
  <si>
    <t xml:space="preserve">ABT Oct 2026 97.000 call (ABT261030C00097000) Stock Price, News, Quote &amp; History</t>
  </si>
  <si>
    <t xml:space="preserve">aabde067c386f19e4a2faf39</t>
  </si>
  <si>
    <t xml:space="preserve">ADSK 261023 330.00P (ADSK261023P330000) Stock Options Chain | Quotes &amp; News</t>
  </si>
  <si>
    <t xml:space="preserve">720d50bd5f94ad42ed082080</t>
  </si>
  <si>
    <t xml:space="preserve">ULTA Oct 2026 525.000 call (ULTA261023C00525000) Stock Price, News, Quote &amp; History</t>
  </si>
  <si>
    <t xml:space="preserve">0218e28baf597b71b341aee6</t>
  </si>
  <si>
    <t xml:space="preserve">ADI Nov 2026 400.000 call (ADI261120C00400000) Stock Price, News, Quote &amp; History</t>
  </si>
  <si>
    <t xml:space="preserve">cabcdca5f6cf7460dd5ac47d</t>
  </si>
  <si>
    <t xml:space="preserve">MDT Oct 2026 80.000 put (MDT261023P00080000) stock price, news, quote and history</t>
  </si>
  <si>
    <t xml:space="preserve">7046b91cd6226c4f0ec8444e</t>
  </si>
  <si>
    <t xml:space="preserve">USB Oct 2026 63.000 call (USB261023C00063000) stock price, news, quote and history</t>
  </si>
  <si>
    <t xml:space="preserve">d38fa4161fdaa9086775a8af</t>
  </si>
  <si>
    <t xml:space="preserve">News 2 Day: Early voting starts today, Costco nearing opening, Ponzi scheme ringleader pleads guilty</t>
  </si>
  <si>
    <t xml:space="preserve">WGRZ</t>
  </si>
  <si>
    <t xml:space="preserve">4a077496bc7222850c49b566</t>
  </si>
  <si>
    <t xml:space="preserve">You Own Crypto on Coinbase — Here’s What Happens to the Account When You Die</t>
  </si>
  <si>
    <t xml:space="preserve">savingadvice</t>
  </si>
  <si>
    <t xml:space="preserve">84f8f7693b0fbc2932adbff0</t>
  </si>
  <si>
    <t xml:space="preserve">A classified Broadcom presentation with AMD and NVIDIA roadmaps through 2034 has leaked online.</t>
  </si>
  <si>
    <t xml:space="preserve">4709b2499fffb0a4103573fe</t>
  </si>
  <si>
    <t xml:space="preserve">RTX Oct 2026 230.000 call (RTX261023C00230000) Stock Price, News, Quote &amp; History</t>
  </si>
  <si>
    <t xml:space="preserve">8330033bd56ed4ccd7d88161</t>
  </si>
  <si>
    <t xml:space="preserve">Oregon Ducks vs Illinois Fighting Illini Highlights | FOX College Football</t>
  </si>
  <si>
    <t xml:space="preserve">f2025646f8b6cbb0f72f25e3</t>
  </si>
  <si>
    <t xml:space="preserve">USB Oct 2026 54.000 put (USB261030P00054000) stock price, news, quote and history</t>
  </si>
  <si>
    <t xml:space="preserve">497beefefe4beafb1d004aad</t>
  </si>
  <si>
    <t xml:space="preserve">LIN270115P00250000 interactive stock chart | LIN Jan 2027 250.000 put stock</t>
  </si>
  <si>
    <t xml:space="preserve">2c99311d9111bde25b4a9450</t>
  </si>
  <si>
    <t xml:space="preserve">MPWR</t>
  </si>
  <si>
    <t xml:space="preserve">Monolithic Power Systems</t>
  </si>
  <si>
    <t xml:space="preserve">MPWR Nov 2026 1150.000 put (MPWR261120P01150000) Stock Price, News, Quote &amp; History</t>
  </si>
  <si>
    <t xml:space="preserve">3df771f58cbc9452fcee3098</t>
  </si>
  <si>
    <t xml:space="preserve">META261026P01090000 Interactive Stock Chart | META Oct 2026 1090.000 put Stock</t>
  </si>
  <si>
    <t xml:space="preserve">e73ca99fe3dcb441d4af0b0d</t>
  </si>
  <si>
    <t xml:space="preserve">COHR261030C00282500 Interactive Stock Chart | COHR Oct 2026 282.500 call Stock</t>
  </si>
  <si>
    <t xml:space="preserve">b68d8a724e92d087dc29ba94</t>
  </si>
  <si>
    <t xml:space="preserve">Nasdaq, Inc. Estimates – NASDAQ:NDAQ</t>
  </si>
  <si>
    <t xml:space="preserve">da299c9d9060dd8a83c00031</t>
  </si>
  <si>
    <t xml:space="preserve">Viatris Inc. (VTRS) Stock Price, News, Quote &amp; History</t>
  </si>
  <si>
    <t xml:space="preserve">75d748fed552602bfa4b72bd</t>
  </si>
  <si>
    <t xml:space="preserve">LEN May 2027 50.000 put (LEN270521P00050000) stock price, news, quote and history</t>
  </si>
  <si>
    <t xml:space="preserve">15a0371cbfcc8ac6da496012</t>
  </si>
  <si>
    <t xml:space="preserve">ARES</t>
  </si>
  <si>
    <t xml:space="preserve">Ares Management</t>
  </si>
  <si>
    <t xml:space="preserve">Is Rail Leasing Expansion Altering The Investment Case For Ares Management (ARES)?</t>
  </si>
  <si>
    <t xml:space="preserve">d714e85072a525d415b87423</t>
  </si>
  <si>
    <t xml:space="preserve">CRM Oct 2026 207.500 call (CRM261030C00207500) Stock Price, News, Quote &amp; History</t>
  </si>
  <si>
    <t xml:space="preserve">1d56dc2616bfcb0be745b400</t>
  </si>
  <si>
    <t xml:space="preserve">META Oct 2026 925.000 call (META261026C00925000) Stock Price, News, Quote &amp; History</t>
  </si>
  <si>
    <t xml:space="preserve">44b1f2689ff9617771448aff</t>
  </si>
  <si>
    <t xml:space="preserve">AAPL Oct 2026 245.000 put (AAPL261026P00245000) Stock Price, News, Quote &amp; History</t>
  </si>
  <si>
    <t xml:space="preserve">cd4350ceba81d54047108023</t>
  </si>
  <si>
    <t xml:space="preserve">ZBH</t>
  </si>
  <si>
    <t xml:space="preserve">Zimmer Biomet</t>
  </si>
  <si>
    <t xml:space="preserve">ZBH Nov 2026 105.000 put (ZBH261120P00105000) stock price, news, quote and history</t>
  </si>
  <si>
    <t xml:space="preserve">c08afd87bbd55f1f0439de30</t>
  </si>
  <si>
    <t xml:space="preserve">HRL Nov 2026 17.000 put (HRL261113P00017000) stock price, news, quote and history</t>
  </si>
  <si>
    <t xml:space="preserve">0cb144c09a0aa1c40b9b612c</t>
  </si>
  <si>
    <t xml:space="preserve">CIEN</t>
  </si>
  <si>
    <t xml:space="preserve">Ciena</t>
  </si>
  <si>
    <t xml:space="preserve">CIEN Nov 2026 475.000 call (CIEN261127C00475000) Stock Price, News, Quote &amp; History</t>
  </si>
  <si>
    <t xml:space="preserve">39adfd4a5822bcabf16637bd</t>
  </si>
  <si>
    <t xml:space="preserve">VRT Nov 2026 270.000 call (VRT261106C00270000) Stock Price, News, Quote &amp; History</t>
  </si>
  <si>
    <t xml:space="preserve">771e0b6665049fd78c8ca57f</t>
  </si>
  <si>
    <t xml:space="preserve">AMAT Stock Technicals: What to Know</t>
  </si>
  <si>
    <t xml:space="preserve">JournalArta</t>
  </si>
  <si>
    <t xml:space="preserve">026f6f371351b634c1a33ca2</t>
  </si>
  <si>
    <t xml:space="preserve">ODFL Apr 2027 140.000 call (ODFL270416C00140000) stock price, news, quote and history</t>
  </si>
  <si>
    <t xml:space="preserve">b1b938da16d4f95a7377b69f</t>
  </si>
  <si>
    <t xml:space="preserve">What Is Driving Attention Toward McDonald's (NYSE:MCD)?</t>
  </si>
  <si>
    <t xml:space="preserve">a58d77b4d32260b2cf0d5ddc</t>
  </si>
  <si>
    <t xml:space="preserve">APO Oct 2026 132.000 call (APO261023C00132000) Stock Price, News, Quote &amp; History</t>
  </si>
  <si>
    <t xml:space="preserve">39f37023670ea4b26ad2aa10</t>
  </si>
  <si>
    <t xml:space="preserve">EXPE Oct 2026 230.000 put (EXPE261030P00230000) Stock Price, News, Quote &amp; History</t>
  </si>
  <si>
    <t xml:space="preserve">a266c02e7ff1650a330b8634</t>
  </si>
  <si>
    <t xml:space="preserve">Why Is AbbVie (NYSE:ABBV) in Focus as Healthcare Themes Shift?</t>
  </si>
  <si>
    <t xml:space="preserve">e4a18a0d7554683ae4e9ca54</t>
  </si>
  <si>
    <t xml:space="preserve">COR</t>
  </si>
  <si>
    <t xml:space="preserve">Cencora</t>
  </si>
  <si>
    <t xml:space="preserve">COR Nov 2026 330.000 put (COR261120P00330000) stock price, news, quote and history</t>
  </si>
  <si>
    <t xml:space="preserve">f0697eae63a439e85460a77e</t>
  </si>
  <si>
    <t xml:space="preserve">LEN Nov 2026 76.000 call (LEN261106C00076000) Stock Price, News, Quote &amp; History</t>
  </si>
  <si>
    <t xml:space="preserve">3859b9a553c2fe1ce183d146</t>
  </si>
  <si>
    <t xml:space="preserve">CVNA Nov 2026 62.000 call (CVNA261113C00062000) Stock Price, News, Quote &amp; History</t>
  </si>
  <si>
    <t xml:space="preserve">c1cffd21d51b871f6a2f96b2</t>
  </si>
  <si>
    <t xml:space="preserve">6ee2d1263169fba2a1b9f2a8</t>
  </si>
  <si>
    <t xml:space="preserve">Morgan Stanley Emerging Markets Domestic Debt Fund, Inc. Estimates – BOATS:EDD</t>
  </si>
  <si>
    <t xml:space="preserve">4dcc8cf2fd06a4705d64c667</t>
  </si>
  <si>
    <t xml:space="preserve">Citizens Financial Group, Inc. $CFG Stock Acquired by Citizens Financial Group Inc. RI</t>
  </si>
  <si>
    <t xml:space="preserve">bfa9a45b2416b617f409bfcd</t>
  </si>
  <si>
    <t xml:space="preserve">VEEV Jun 2027 440.000 call (VEEV270617C00440000) stock price, news, quote and history</t>
  </si>
  <si>
    <t xml:space="preserve">ce851ff00f5c9f4b5d5eaa71</t>
  </si>
  <si>
    <t xml:space="preserve">LYB</t>
  </si>
  <si>
    <t xml:space="preserve">LyondellBasell</t>
  </si>
  <si>
    <t xml:space="preserve">LyondellBasell Industries N.V. (LYB) Stock Price, News, Quote &amp; History</t>
  </si>
  <si>
    <t xml:space="preserve">31df8c65823c73c0a2603154</t>
  </si>
  <si>
    <t xml:space="preserve">AIG Oct 2026 88.000 call (AIG261030C00088000) Stock Price, News, Quote &amp; History</t>
  </si>
  <si>
    <t xml:space="preserve">c311243d2c9d1f455abf85e8</t>
  </si>
  <si>
    <t xml:space="preserve">FSLR Oct 2026 202.500 call (FSLR261030C00202500) stock price, news, quote and history</t>
  </si>
  <si>
    <t xml:space="preserve">f4ab66473600f4194fac96ac</t>
  </si>
  <si>
    <t xml:space="preserve">Sandisk Corporation (SNDK) stock price, news, quote and history</t>
  </si>
  <si>
    <t xml:space="preserve">bcd01e00e1f91e4713ce96e1</t>
  </si>
  <si>
    <t xml:space="preserve">CIEN Oct 2026 342.500 call (CIEN261030C00342500) Stock Price, News, Quote &amp; History</t>
  </si>
  <si>
    <t xml:space="preserve">cbac6bd005e140009d8e805c</t>
  </si>
  <si>
    <t xml:space="preserve">HUBB Nov 2026 350.000 put (HUBB261120P00350000) Stock Price, News, Quote &amp; History</t>
  </si>
  <si>
    <t xml:space="preserve">53c6e1bb22502bf1775cc99b</t>
  </si>
  <si>
    <t xml:space="preserve">DRI Healthcare Trust Estimates – LSX:A2QPTQ</t>
  </si>
  <si>
    <t xml:space="preserve">8187187c31438a9d59b0190a</t>
  </si>
  <si>
    <t xml:space="preserve">NVDA Oct 2026 255.000 put (NVDA261026P00255000) stock price, news, quote and history</t>
  </si>
  <si>
    <t xml:space="preserve">0f4000443e51c44ba799b006</t>
  </si>
  <si>
    <t xml:space="preserve">BKNG</t>
  </si>
  <si>
    <t xml:space="preserve">Booking Holdings</t>
  </si>
  <si>
    <t xml:space="preserve">BKNG Oct 2026 175.000 put (BKNG261030P00175000) Stock Price, News, Quote &amp; History</t>
  </si>
  <si>
    <t xml:space="preserve">2e85ce11fac20e105397388c</t>
  </si>
  <si>
    <t xml:space="preserve">EXPE Oct 2026 330.000 put (EXPE261030P00330000) Stock Price, News, Quote &amp; History</t>
  </si>
  <si>
    <t xml:space="preserve">45cfbcd5fc4d769122667ae0</t>
  </si>
  <si>
    <t xml:space="preserve">TER Oct 2026 250.000 put (TER261030P00250000) stock price, news, quote and history</t>
  </si>
  <si>
    <t xml:space="preserve">2d0d7cf4268f7d1807b826f3</t>
  </si>
  <si>
    <t xml:space="preserve">DXCM</t>
  </si>
  <si>
    <t xml:space="preserve">Dexcom</t>
  </si>
  <si>
    <t xml:space="preserve">DXCM Nov 2026 105.000 call (DXCM261106C00105000) stock price, news, quote and history</t>
  </si>
  <si>
    <t xml:space="preserve">2669e0108af21dfcdea3fbd5</t>
  </si>
  <si>
    <t xml:space="preserve">FANG Nov 2026 230.000 put (FANG261120P00230000) Stock Price, News, Quote &amp; History</t>
  </si>
  <si>
    <t xml:space="preserve">812b9011ff639a4c73233a7f</t>
  </si>
  <si>
    <t xml:space="preserve">LEN Nov 2026 92.000 call (LEN261106C00092000) Stock Price, News, Quote &amp; History</t>
  </si>
  <si>
    <t xml:space="preserve">d0263af823cfbae70017d969</t>
  </si>
  <si>
    <t xml:space="preserve">ECHO Oct 2026 82.000 put (ECHO261023P00082000) Stock Price, News, Quote &amp; History</t>
  </si>
  <si>
    <t xml:space="preserve">992010bcc6c2e97271e013e5</t>
  </si>
  <si>
    <t xml:space="preserve">QCOM Oct 2026 152.500 put (QCOM261023P00152500) stock price, news, quote and history</t>
  </si>
  <si>
    <t xml:space="preserve">149e5b6cd52c04ccfd65c07d</t>
  </si>
  <si>
    <t xml:space="preserve">CDNS</t>
  </si>
  <si>
    <t xml:space="preserve">Cadence Design Systems</t>
  </si>
  <si>
    <t xml:space="preserve">Cadence Design Systems stock costs EUR 277.88 before October 26 results</t>
  </si>
  <si>
    <t xml:space="preserve">55f44b3d02a13326662640c8</t>
  </si>
  <si>
    <t xml:space="preserve">CBOE</t>
  </si>
  <si>
    <t xml:space="preserve">Cboe Global Markets</t>
  </si>
  <si>
    <t xml:space="preserve">CBOE Oct 2026 312.500 put (CBOE261023P00312500) stock price, news, quote and history</t>
  </si>
  <si>
    <t xml:space="preserve">e9c9fe425eeb302aedb66d7b</t>
  </si>
  <si>
    <t xml:space="preserve">UNH Nov 2026 440.000 call (UNH261127C00440000) Stock Price, News, Quote &amp; History</t>
  </si>
  <si>
    <t xml:space="preserve">364df99e89a499d6e8dae068</t>
  </si>
  <si>
    <t xml:space="preserve">SYK Nov 2026 300.000 put (SYK261120P00300000) stock price, news, quote and history</t>
  </si>
  <si>
    <t xml:space="preserve">2803ab6247bbb7008cae4f8b</t>
  </si>
  <si>
    <t xml:space="preserve">VLO Oct 2026 475.000 call (VLO261030C00475000) Stock Price, News, Quote &amp; History</t>
  </si>
  <si>
    <t xml:space="preserve">af8f904109a7903f5bcec543</t>
  </si>
  <si>
    <t xml:space="preserve">CBOE Oct 2026 282.500 put (CBOE261023P00282500) stock price, news, quote and history</t>
  </si>
  <si>
    <t xml:space="preserve">c54673c54932bf18f2de2162</t>
  </si>
  <si>
    <t xml:space="preserve">AZO Mar 2027 2360.000 call (AZO270319C02360000) Stock Price, News, Quote &amp; History</t>
  </si>
  <si>
    <t xml:space="preserve">f5d6b358c1a93c55b45629ea</t>
  </si>
  <si>
    <t xml:space="preserve">VRT Oct 2026 272.500 put (VRT261023P00272500) Stock Price, News, Quote &amp; History</t>
  </si>
  <si>
    <t xml:space="preserve">a389c46474c914f8606b8375</t>
  </si>
  <si>
    <t xml:space="preserve">McDonald's Holdings Company (Japan), Ltd. Estimates – HAM:MJ8</t>
  </si>
  <si>
    <t xml:space="preserve">60bbfa70f2baad7f683f2345</t>
  </si>
  <si>
    <t xml:space="preserve">EMR</t>
  </si>
  <si>
    <t xml:space="preserve">Emerson Electric</t>
  </si>
  <si>
    <t xml:space="preserve">Learn Why The Bull Case For Emerson Electric Stock Could Change Following Earnings Report</t>
  </si>
  <si>
    <t xml:space="preserve">285d256702ab8db5d38f1a8e</t>
  </si>
  <si>
    <t xml:space="preserve">Goldman Sachs BDC, Inc. Estimates – BOATS:GSBD</t>
  </si>
  <si>
    <t xml:space="preserve">f18081605705e36b6ece5313</t>
  </si>
  <si>
    <t xml:space="preserve">EXE</t>
  </si>
  <si>
    <t xml:space="preserve">Expand Energy</t>
  </si>
  <si>
    <t xml:space="preserve">EXE Nov 2026 92.000 call (EXE261106C00092000) stock price, news, quote and history</t>
  </si>
  <si>
    <t xml:space="preserve">a9178e93ee6f6b59f8043c4f</t>
  </si>
  <si>
    <t xml:space="preserve">GNRC Oct 2026 280.000 call (GNRC261030C00280000) stock price, news, quote and history</t>
  </si>
  <si>
    <t xml:space="preserve">c8e6ae72bf3f49c5354d63fb</t>
  </si>
  <si>
    <t xml:space="preserve">This New York based airline has painted giant curled mustaches on three of its Boeing 747s for men’s health, and the makeover required technicians to carefully remove the nose cover, align the whiskers, and protect the weather radar’s ability to see ahead</t>
  </si>
  <si>
    <t xml:space="preserve">Luxurylaunches</t>
  </si>
  <si>
    <t xml:space="preserve">24a5dbb9d748d13859c1a1a4</t>
  </si>
  <si>
    <t xml:space="preserve">ECHO Oct 2026 82.000 call (ECHO261023C00082000) Stock Price, News, Quote &amp; History</t>
  </si>
  <si>
    <t xml:space="preserve">a84ba35991f20714e23667f2</t>
  </si>
  <si>
    <t xml:space="preserve">SNDK Oct 2026 1415.000 call (SNDK261030C01415000) Stock Price, News, Quote &amp; History</t>
  </si>
  <si>
    <t xml:space="preserve">a00f021eeed0d9080f64aa05</t>
  </si>
  <si>
    <t xml:space="preserve">PANW Oct 2026 427.500 call (PANW261030C00427500) Stock Price, News, Quote &amp; History</t>
  </si>
  <si>
    <t xml:space="preserve">07f41224e4e6def5ee7477e5</t>
  </si>
  <si>
    <t xml:space="preserve">PANW Oct 2026 580.000 call (PANW261030C00580000) Stock Price, News, Quote &amp; History</t>
  </si>
  <si>
    <t xml:space="preserve">4fb3eb202398db4048067d03</t>
  </si>
  <si>
    <t xml:space="preserve">PANW Oct 2026 305.000 put (PANW261030P00305000) Stock Price, News, Quote &amp; History</t>
  </si>
  <si>
    <t xml:space="preserve">c5b0cc93e8db5db1c2d55b5b</t>
  </si>
  <si>
    <t xml:space="preserve">AMAT Nov 2026 300.000 put (AMAT261113P00300000) stock price, news, quote and history</t>
  </si>
  <si>
    <t xml:space="preserve">1e7272d66011238eac190bc2</t>
  </si>
  <si>
    <t xml:space="preserve">PANW Oct 2026 180.000 put (PANW261030P00180000) Stock Price, News, Quote &amp; History</t>
  </si>
  <si>
    <t xml:space="preserve">e245a1f2b00fd6d7adac0fe7</t>
  </si>
  <si>
    <t xml:space="preserve">SNPS 261023 562.50C (SNPS261023C562500) Stock Options Chain | Quotes &amp; News</t>
  </si>
  <si>
    <t xml:space="preserve">3ec2c9663aa6cb5e4483547e</t>
  </si>
  <si>
    <t xml:space="preserve">Amphenol changes division leadership. Amphenol stock trades at EUR 66.14</t>
  </si>
  <si>
    <t xml:space="preserve">7d3448ff8c1b8187be0fbdca</t>
  </si>
  <si>
    <t xml:space="preserve">SYK Jan 2029 160.000 put (SYK290119P00160000) Stock Price, News, Quote &amp; History</t>
  </si>
  <si>
    <t xml:space="preserve">886835ef440e8c987ff82299</t>
  </si>
  <si>
    <t xml:space="preserve">CBOE Oct 2026 365.000 put (CBOE261030P00365000) Stock Price, News, Quote &amp; History</t>
  </si>
  <si>
    <t xml:space="preserve">c92c3e284c73ebc7ceec337b</t>
  </si>
  <si>
    <t xml:space="preserve">AEP May 2027 135.000 call (AEP270521C00135000) Stock Price, News, Quote &amp; History</t>
  </si>
  <si>
    <t xml:space="preserve">04e4de12b60bf5ef831e18d5</t>
  </si>
  <si>
    <t xml:space="preserve">NDAQ Nov 2026 88.000 call (NDAQ261106C00088000) stock price, news, quote and history</t>
  </si>
  <si>
    <t xml:space="preserve">b1baf3430259986dc1ebf0a6</t>
  </si>
  <si>
    <t xml:space="preserve">Old Dominion Monarchs at Louisiana Tech Bulldogs - NCAAF Game Summary - Oct 24, 2026</t>
  </si>
  <si>
    <t xml:space="preserve">ff708bc40212ba85bfc370da</t>
  </si>
  <si>
    <t xml:space="preserve">XOM Oct 2026 130.000 put (XOM261023P00130000) stock price, news, quote and history</t>
  </si>
  <si>
    <t xml:space="preserve">484ae91a883761bf9c06d251</t>
  </si>
  <si>
    <t xml:space="preserve">CTAS</t>
  </si>
  <si>
    <t xml:space="preserve">Cintas</t>
  </si>
  <si>
    <t xml:space="preserve">CTAS Sep 2027 200.000 call (CTAS270917C00200000) Stock Price, News, Quote &amp; History</t>
  </si>
  <si>
    <t xml:space="preserve">114e76f37b9d5fbd37c8798e</t>
  </si>
  <si>
    <t xml:space="preserve">UAL Nov 2026 123.000 call (UAL261113C00123000) stock price, news, quote and history</t>
  </si>
  <si>
    <t xml:space="preserve">9fdc44cf6dfb0b3e5d6177fa</t>
  </si>
  <si>
    <t xml:space="preserve">ADP</t>
  </si>
  <si>
    <t xml:space="preserve">Automatic Data Processing</t>
  </si>
  <si>
    <t xml:space="preserve">ADP May 2027 320.000 call (ADP270521C00320000) Stock Price, News, Quote &amp; History</t>
  </si>
  <si>
    <t xml:space="preserve">648f3f578cef0b18b4c258ee</t>
  </si>
  <si>
    <t xml:space="preserve">Morgan Stanley Emerging Markets Debt Fund, Inc. Estimates – NYSE:MSD</t>
  </si>
  <si>
    <t xml:space="preserve">b71e358c8f3db1fa2b01ba6a</t>
  </si>
  <si>
    <t xml:space="preserve">CHRW Jan 2029 140.000 call (CHRW290119C00140000) stock price, news, quote and history</t>
  </si>
  <si>
    <t xml:space="preserve">ba3023e9f1872088e53554db</t>
  </si>
  <si>
    <t xml:space="preserve">UPS Apr 2027 135.000 call (UPS270416C00135000) stock price, news, quote and history</t>
  </si>
  <si>
    <t xml:space="preserve">938646205b2714bbe4827738</t>
  </si>
  <si>
    <t xml:space="preserve">DBS Bank Adjusts Salesforce Price Target to $300 From $240</t>
  </si>
  <si>
    <t xml:space="preserve">7ba97992a340e0df992d9de2</t>
  </si>
  <si>
    <t xml:space="preserve">SNPS Oct 2026 285.000 put (SNPS261030P00285000) stock price, news, quote and history</t>
  </si>
  <si>
    <t xml:space="preserve">75e595503a2a107244638234</t>
  </si>
  <si>
    <t xml:space="preserve">CBOE Nov 2026 355.000 call (CBOE261127C00355000) Stock Price, News, Quote &amp; History</t>
  </si>
  <si>
    <t xml:space="preserve">579b679aa5ec5fd1dcad39a7</t>
  </si>
  <si>
    <t xml:space="preserve">NRG Energy, Inc. Estimates – TRADEGATE:NRA</t>
  </si>
  <si>
    <t xml:space="preserve">f7edc573c67650df28ff30fd</t>
  </si>
  <si>
    <t xml:space="preserve">QCOM Oct 2026 202.500 put (QCOM261023P00202500) stock price, news, quote and history</t>
  </si>
  <si>
    <t xml:space="preserve">11a5fe0b73008742622d129f</t>
  </si>
  <si>
    <t xml:space="preserve">PANW Oct 2026 432.500 call (PANW261030C00432500) Stock Price, News, Quote &amp; History</t>
  </si>
  <si>
    <t xml:space="preserve">72cfb0e06e1d2e9d1a547c7c</t>
  </si>
  <si>
    <t xml:space="preserve">Europa Oil &amp; Gas (Holdings) plc Estimates – LSE:EOG</t>
  </si>
  <si>
    <t xml:space="preserve">7aac916af2a4a1fef10eda61</t>
  </si>
  <si>
    <t xml:space="preserve">NFLX Nov 2026 71.000 call (NFLX261120C00071000) stock price, news, quote and history</t>
  </si>
  <si>
    <t xml:space="preserve">898579cecd9ca8824d80ed94</t>
  </si>
  <si>
    <t xml:space="preserve">CBOE Oct 2026 247.500 put (CBOE261023P00247500) Stock Price, News, Quote &amp; History</t>
  </si>
  <si>
    <t xml:space="preserve">4c59742be880c5adb8cf6095</t>
  </si>
  <si>
    <t xml:space="preserve">REGN Jun 2027 1220.000 call (REGN270617C01220000) stock price, news, quote and history</t>
  </si>
  <si>
    <t xml:space="preserve">7e453d8c9b1e0a0a8d7d5a6e</t>
  </si>
  <si>
    <t xml:space="preserve">PANW Oct 2026 357.500 call (PANW261030C00357500) Stock Price, News, Quote &amp; History</t>
  </si>
  <si>
    <t xml:space="preserve">c6635f0ab976b8d678fd64b7</t>
  </si>
  <si>
    <t xml:space="preserve">CMCSA Oct 2026 22.500 put (CMCSA261030P00022500) Stock Price, News, Quote &amp; History</t>
  </si>
  <si>
    <t xml:space="preserve">526ce11d2ed6d2cfd9fb45e6</t>
  </si>
  <si>
    <t xml:space="preserve">Union Pacific (NYSE:UNP) Share Price, Forecast &amp; Analysis</t>
  </si>
  <si>
    <t xml:space="preserve">Stocks Down Under</t>
  </si>
  <si>
    <t xml:space="preserve">a5628177d2eb4e179f9ecabb</t>
  </si>
  <si>
    <t xml:space="preserve">SNDK Oct 2026 1330.000 call (SNDK261030C01330000) Stock Price, News, Quote &amp; History</t>
  </si>
  <si>
    <t xml:space="preserve">8f8a50803c9b2cd33cbe4349</t>
  </si>
  <si>
    <t xml:space="preserve">PANW Oct 2026 417.500 call (PANW261030C00417500) Stock Price, News, Quote &amp; History</t>
  </si>
  <si>
    <t xml:space="preserve">541a40f5fff32ecde630f275</t>
  </si>
  <si>
    <t xml:space="preserve">SNPS 261023 577.50P (SNPS261023P577500) Stock Options Chain | Quotes &amp; News</t>
  </si>
  <si>
    <t xml:space="preserve">2bc0aa7fb6d6fdea8d9a7dbd</t>
  </si>
  <si>
    <t xml:space="preserve">BAX</t>
  </si>
  <si>
    <t xml:space="preserve">Baxter International</t>
  </si>
  <si>
    <t xml:space="preserve">Baxter International Inc. (BAX) Stock Price, News, Quote &amp; History</t>
  </si>
  <si>
    <t xml:space="preserve">8ad5bce9b6d0a2790a241f32</t>
  </si>
  <si>
    <t xml:space="preserve">BR</t>
  </si>
  <si>
    <t xml:space="preserve">Broadridge Financial Solutions</t>
  </si>
  <si>
    <t xml:space="preserve">Broadridge Financial Solutions, Inc. (BR) stock price, news, quote and history</t>
  </si>
  <si>
    <t xml:space="preserve">22bb18c9d3367c15a07534d0</t>
  </si>
  <si>
    <t xml:space="preserve">Did Cole Palmer really eat McDonald's before Chelsea game?</t>
  </si>
  <si>
    <t xml:space="preserve">Tribuna.com</t>
  </si>
  <si>
    <t xml:space="preserve">e6d81520ff8b38bfd9ba346f</t>
  </si>
  <si>
    <t xml:space="preserve">CVX Oct 2026 232.500 put (CVX261023P00232500) Stock Price, News, Quote &amp; History</t>
  </si>
  <si>
    <t xml:space="preserve">6a63d91f920df6f8e73d9c7d</t>
  </si>
  <si>
    <t xml:space="preserve">LITE Nov 2026 815.000 put (LITE261106P00815000) stock price, news, quote and history</t>
  </si>
  <si>
    <t xml:space="preserve">85da9d5bcf48f4ff58af0143</t>
  </si>
  <si>
    <t xml:space="preserve">VLTO</t>
  </si>
  <si>
    <t xml:space="preserve">Veralto</t>
  </si>
  <si>
    <t xml:space="preserve">VLTO Jan 2027 55.000 put (VLTO270115P00055000) Stock Price, News, Quote &amp; History</t>
  </si>
  <si>
    <t xml:space="preserve">32255fe9c2f187d9daf86ba3</t>
  </si>
  <si>
    <t xml:space="preserve">Roper Technologies, Inc. (ROP) Stock Price, News, Quote &amp; History</t>
  </si>
  <si>
    <t xml:space="preserve">a991f030c64148954cf27a8f</t>
  </si>
  <si>
    <t xml:space="preserve">NVDA261023P00250000 Interactive Stock Chart | NVDA Oct 2026 250.000 put Stock</t>
  </si>
  <si>
    <t xml:space="preserve">4be45d8d280f88b4fe6e359b</t>
  </si>
  <si>
    <t xml:space="preserve">REGN Nov 2026 690.000 put (REGN261106P00690000) stock price, news, quote and history</t>
  </si>
  <si>
    <t xml:space="preserve">947c36cb7b8a441feb7a702f</t>
  </si>
  <si>
    <t xml:space="preserve">FSLR Oct 2026 195.000 call (FSLR261023C00195000) Stock Price, News, Quote &amp; History</t>
  </si>
  <si>
    <t xml:space="preserve">e7ba06512e1e7d592a7228df</t>
  </si>
  <si>
    <t xml:space="preserve">LLY Nov 2026 1090.000 put (LLY261127P01090000) stock price, news, quote and history</t>
  </si>
  <si>
    <t xml:space="preserve">e6655f7cd3c7bdd55285dc95</t>
  </si>
  <si>
    <t xml:space="preserve">VEEV Nov 2026 400.000 put (VEEV261120P00400000) Stock Price, News, Quote &amp; History</t>
  </si>
  <si>
    <t xml:space="preserve">2bc9b62670a366e0d3b286fe</t>
  </si>
  <si>
    <t xml:space="preserve">LITE Oct 2026 820.000 call (LITE261030C00820000) Stock Price, News, Quote &amp; History</t>
  </si>
  <si>
    <t xml:space="preserve">59bd0d53223aee2664f33bd0</t>
  </si>
  <si>
    <t xml:space="preserve">PANW Oct 2026 412.500 call (PANW261030C00412500) Stock Price, News, Quote &amp; History</t>
  </si>
  <si>
    <t xml:space="preserve">b882d61c608f401cdf592434</t>
  </si>
  <si>
    <t xml:space="preserve">PPG Oct 2026 107.000 put (PPG261023P00107000) Stock Price, News, Quote &amp; History</t>
  </si>
  <si>
    <t xml:space="preserve">2c168b815fe40eb7d98c604e</t>
  </si>
  <si>
    <t xml:space="preserve">LLY Nov 2026 985.000 put (LLY261106P00985000) stock price, news, quote and history</t>
  </si>
  <si>
    <t xml:space="preserve">2c3031e0d5bb79d67e30d602</t>
  </si>
  <si>
    <t xml:space="preserve">ADSK 261023 350.00C (ADSK261023C350000) Stock Options Chain | Quotes &amp; News</t>
  </si>
  <si>
    <t xml:space="preserve">860f751ba563a5656caa8028</t>
  </si>
  <si>
    <t xml:space="preserve">LRCX Oct 2026 450.000 call (LRCX261023C00450000) stock price, news, quote and history</t>
  </si>
  <si>
    <t xml:space="preserve">7f6b679d1ab44f010309ace2</t>
  </si>
  <si>
    <t xml:space="preserve">TER Oct 2026 295.000 put (TER261023P00295000) Stock Price, News, Quote &amp; History</t>
  </si>
  <si>
    <t xml:space="preserve">cb97ca2765f75846e2525db1</t>
  </si>
  <si>
    <t xml:space="preserve">HWM Jun 2027 170.000 call (HWM270617C00170000) Stock Price, News, Quote &amp; History</t>
  </si>
  <si>
    <t xml:space="preserve">df6ab622e3433df5f507dead</t>
  </si>
  <si>
    <t xml:space="preserve">NVDA Oct 2026 140.000 call (NVDA261026C00140000) stock price, news, quote and history</t>
  </si>
  <si>
    <t xml:space="preserve">05189fcf86719cd6305dad87</t>
  </si>
  <si>
    <t xml:space="preserve">NVDA Oct 2026 285.000 put (NVDA261026P00285000) stock price, news, quote and history</t>
  </si>
  <si>
    <t xml:space="preserve">3d9f08ede5e7ee46bea93679</t>
  </si>
  <si>
    <t xml:space="preserve">ROL Jan 2027 50.000 call (ROL270115C00050000) Stock Price, News, Quote &amp; History</t>
  </si>
  <si>
    <t xml:space="preserve">a1638dfbc98abffcbfeb1f71</t>
  </si>
  <si>
    <t xml:space="preserve">XYZ Jan 2029 80.000 put (XYZ290119P00080000) stock price, news, quote and history</t>
  </si>
  <si>
    <t xml:space="preserve">14cdd7adde4a600bcc044566</t>
  </si>
  <si>
    <t xml:space="preserve">KVUE News at 5:30</t>
  </si>
  <si>
    <t xml:space="preserve">fa1cdaf64f5f390ea1282d58</t>
  </si>
  <si>
    <t xml:space="preserve">TGT Oct 2026 141.000 put (TGT261030P00141000) stock price, news, quote and history</t>
  </si>
  <si>
    <t xml:space="preserve">d9a48fe97b0b3cf95e130bdf</t>
  </si>
  <si>
    <t xml:space="preserve">CBOE Oct 2026 300.000 put (CBOE261023P00300000) stock price, news, quote and history</t>
  </si>
  <si>
    <t xml:space="preserve">c59c309189722b04e1848b47</t>
  </si>
  <si>
    <t xml:space="preserve">UNH Forces Overtime but Edged in Shootout by UAlbany</t>
  </si>
  <si>
    <t xml:space="preserve">University of New Hampshire Athletics</t>
  </si>
  <si>
    <t xml:space="preserve">cfc96444a9db8ac0180215d1</t>
  </si>
  <si>
    <t xml:space="preserve">FANG Nov 2026 210.000 call (FANG261120C00210000) Stock Price, News, Quote &amp; History</t>
  </si>
  <si>
    <t xml:space="preserve">e0715c203404c9ca131b1311</t>
  </si>
  <si>
    <t xml:space="preserve">Why Is Intuit (NASDAQ:INTU) Drawing Market Focus?</t>
  </si>
  <si>
    <t xml:space="preserve">57b0c5395144eec6e0ae2e5e</t>
  </si>
  <si>
    <t xml:space="preserve">CRH plc (CRH) Stock Price, News, Quote &amp; History</t>
  </si>
  <si>
    <t xml:space="preserve">5fe27d3917f6e401dcccd78b</t>
  </si>
  <si>
    <t xml:space="preserve">Howmet Aerospace Inc. Estimates – BCS:HWM0</t>
  </si>
  <si>
    <t xml:space="preserve">f10157a46ab409d1f029806b</t>
  </si>
  <si>
    <t xml:space="preserve">PANW Oct 2026 392.500 call (PANW261030C00392500) Stock Price, News, Quote &amp; History</t>
  </si>
  <si>
    <t xml:space="preserve">94495e35592e82860f69962b</t>
  </si>
  <si>
    <t xml:space="preserve">‍‍‍Old Dominion Monarchs football game</t>
  </si>
  <si>
    <r>
      <rPr>
        <sz val="10"/>
        <rFont val="Arial"/>
        <family val="0"/>
        <charset val="1"/>
      </rPr>
      <t xml:space="preserve">FC</t>
    </r>
    <r>
      <rPr>
        <sz val="10"/>
        <rFont val="Noto Sans CJK SC"/>
        <family val="2"/>
      </rPr>
      <t xml:space="preserve">東京オフィシャルホームページ</t>
    </r>
  </si>
  <si>
    <t xml:space="preserve">6fcdfe15fd1d2b1f5dd943e8</t>
  </si>
  <si>
    <t xml:space="preserve">NVDA Oct 2026 320.000 call (NVDA261023C00320000) stock price, news, quote and history</t>
  </si>
  <si>
    <t xml:space="preserve">a4e205a88f86cf7f28c4b0f3</t>
  </si>
  <si>
    <t xml:space="preserve">SNDK Oct 2026 1340.000 call (SNDK261030C01340000) Stock Price, News, Quote &amp; History</t>
  </si>
  <si>
    <t xml:space="preserve">10a38eef682dc3c4c89260b2</t>
  </si>
  <si>
    <t xml:space="preserve">Why McDonald’s (NYSE:MCD) Remains Part of the Market Conversation?</t>
  </si>
  <si>
    <t xml:space="preserve">16c38d703269b7b31359e06d</t>
  </si>
  <si>
    <t xml:space="preserve">D.R. Horton, Inc. Estimates – NYSE:DHI</t>
  </si>
  <si>
    <t xml:space="preserve">3c2371641ede4fc2a8bc6347</t>
  </si>
  <si>
    <t xml:space="preserve">Broadridge Financial Solutions, Inc. Estimates – NYSE:BR</t>
  </si>
  <si>
    <t xml:space="preserve">25f05ba541355e2d68846dc5</t>
  </si>
  <si>
    <t xml:space="preserve">BLK Oct 2026 970.000 put (BLK261023P00970000) stock price, news, quote and history</t>
  </si>
  <si>
    <t xml:space="preserve">1a900de8450f22cafbb6396b</t>
  </si>
  <si>
    <t xml:space="preserve">Archer-Daniels-Midland Company Estimates – NYSE:ADM</t>
  </si>
  <si>
    <t xml:space="preserve">c880c23a76f651d15b51e381</t>
  </si>
  <si>
    <t xml:space="preserve">NVDA Oct 2026 197.500 call (NVDA261026C00197500) stock price, news, quote and history</t>
  </si>
  <si>
    <t xml:space="preserve">3d2b70f1c34838ffc577cf42</t>
  </si>
  <si>
    <t xml:space="preserve">PANW Oct 2026 190.000 call (PANW261030C00190000) Stock Price, News, Quote &amp; History</t>
  </si>
  <si>
    <t xml:space="preserve">21486a027c91521bdb24271d</t>
  </si>
  <si>
    <t xml:space="preserve">International Business Machines Corporation $IBM Stock Acquired by Fifth Third Wealth Advisors LLC</t>
  </si>
  <si>
    <t xml:space="preserve">6aba7828a96ee19c99c2b0f4</t>
  </si>
  <si>
    <t xml:space="preserve">EQIX</t>
  </si>
  <si>
    <t xml:space="preserve">Equinix Earnings Preview: What to Expect</t>
  </si>
  <si>
    <t xml:space="preserve">c695925bf55a55af8156d95d</t>
  </si>
  <si>
    <t xml:space="preserve">10,820 Nasdaq, Inc. $NDAQ Shares Sold by Prime Capital Investment Advisors LLC</t>
  </si>
  <si>
    <t xml:space="preserve">edb37495483c2ac4b81c968d</t>
  </si>
  <si>
    <t xml:space="preserve">Valero Energy Corporation $VLO Stock Holdings Lowered by Sterling Capital Management LLC</t>
  </si>
  <si>
    <t xml:space="preserve">ca1b1f386232f5124c7d7977</t>
  </si>
  <si>
    <t xml:space="preserve">PANW Oct 2026 290.000 put (PANW261030P00290000) Stock Price, News, Quote &amp; History</t>
  </si>
  <si>
    <t xml:space="preserve">25f6b583fc20b87fa4315bda</t>
  </si>
  <si>
    <t xml:space="preserve">Blackrock MuniYield Quality Fund, Inc. Estimates – BOATS:MQY</t>
  </si>
  <si>
    <t xml:space="preserve">7da5fd8557493920572d8334</t>
  </si>
  <si>
    <t xml:space="preserve">Shin Foong Specialty &amp; Applied Materials Co., Ltd. Estimates – TWSE:6582</t>
  </si>
  <si>
    <t xml:space="preserve">2a774b71e88a27c0b6630c29</t>
  </si>
  <si>
    <t xml:space="preserve">PANW Oct 2026 145.000 put (PANW261030P00145000) Stock Price, News, Quote &amp; History</t>
  </si>
  <si>
    <t xml:space="preserve">afc0820bb880d677cdf0d3f8</t>
  </si>
  <si>
    <t xml:space="preserve">DTE</t>
  </si>
  <si>
    <t xml:space="preserve">DTE Energy</t>
  </si>
  <si>
    <t xml:space="preserve">DTE Energy Company (DTE) Stock Price, News, Quote &amp; History</t>
  </si>
  <si>
    <t xml:space="preserve">4b8f9c0e5a0dc5dceaa9c351</t>
  </si>
  <si>
    <t xml:space="preserve">PANW Oct 2026 165.000 put (PANW261030P00165000) Stock Price, News, Quote &amp; History</t>
  </si>
  <si>
    <t xml:space="preserve">598a98d95e4d3cd8eb3f00fe</t>
  </si>
  <si>
    <t xml:space="preserve">PANW Oct 2026 390.000 put (PANW261030P00390000) Stock Price, News, Quote &amp; History</t>
  </si>
  <si>
    <t xml:space="preserve">da44784a6e555a9c9e9d6fdd</t>
  </si>
  <si>
    <t xml:space="preserve">PANW Oct 2026 620.000 call (PANW261030C00620000) Stock Price, News, Quote &amp; History</t>
  </si>
  <si>
    <t xml:space="preserve">ce96737f6b4b73cfb311a633</t>
  </si>
  <si>
    <t xml:space="preserve">PANW Oct 2026 357.500 put (PANW261030P00357500) Stock Price, News, Quote &amp; History</t>
  </si>
  <si>
    <t xml:space="preserve">9fcf0ce7596425bc8b896d4d</t>
  </si>
  <si>
    <t xml:space="preserve">PANW Oct 2026 245.000 call (PANW261030C00245000) Stock Price, News, Quote &amp; History</t>
  </si>
  <si>
    <t xml:space="preserve">d2e884ab4e324ae1250337cd</t>
  </si>
  <si>
    <t xml:space="preserve">PANW Oct 2026 292.500 call (PANW261030C00292500) Stock Price, News, Quote &amp; History</t>
  </si>
  <si>
    <t xml:space="preserve">accab38a7030f38aec848179</t>
  </si>
  <si>
    <t xml:space="preserve">PANW Oct 2026 277.500 put (PANW261030P00277500) Stock Price, News, Quote &amp; History</t>
  </si>
  <si>
    <t xml:space="preserve">6ab60d2f93cbe2c64713ec23</t>
  </si>
  <si>
    <t xml:space="preserve">QCOM261120C00270000 Interactive Stock Chart | QCOM Nov 2026 270.000 call Stock - Yahoo Finance</t>
  </si>
  <si>
    <t xml:space="preserve">2c8d411ef3c049f01b28cf98</t>
  </si>
  <si>
    <t xml:space="preserve">PANW Oct 2026 90.000 put (PANW261030P00090000) Stock Price, News, Quote &amp; History</t>
  </si>
  <si>
    <t xml:space="preserve">38570a83b6b3e731b4b7ba34</t>
  </si>
  <si>
    <t xml:space="preserve">Bristol Myers Squibb Company $BMY Shares Acquired by Brookstone Capital Management</t>
  </si>
  <si>
    <t xml:space="preserve">25747c503f66228dd1e50edc</t>
  </si>
  <si>
    <t xml:space="preserve">PANW Oct 2026 337.500 call (PANW261030C00337500) Stock Price, News, Quote &amp; History</t>
  </si>
  <si>
    <t xml:space="preserve">395c8020b683c8f680ca8368</t>
  </si>
  <si>
    <t xml:space="preserve">AAPL Oct 2026 275.000 put (AAPL261026P00275000) Stock Price, News, Quote &amp; History</t>
  </si>
  <si>
    <t xml:space="preserve">7272920ab18d669c6d250bf7</t>
  </si>
  <si>
    <t xml:space="preserve">Palantir Sets Nov. 2 Earnings Date as Microsoft, Alphabet Report Wednesday</t>
  </si>
  <si>
    <t xml:space="preserve">2aa99cd26b4c865d30f5c235</t>
  </si>
  <si>
    <t xml:space="preserve">Autodesk sets November 24 results date for Autodesk stock</t>
  </si>
  <si>
    <t xml:space="preserve">555f097768dddd70c525bb9d</t>
  </si>
  <si>
    <t xml:space="preserve">MPC</t>
  </si>
  <si>
    <t xml:space="preserve">Marathon Petroleum</t>
  </si>
  <si>
    <t xml:space="preserve">Minh Phu Seafood Group Corp. Estimates – UPCOM:MPC</t>
  </si>
  <si>
    <t xml:space="preserve">c7de8b4fd0eb0abde0fcc6a5</t>
  </si>
  <si>
    <t xml:space="preserve">PANW Oct 2026 640.000 call (PANW261030C00640000) Stock Price, News, Quote &amp; History</t>
  </si>
  <si>
    <t xml:space="preserve">502b2c1348597936c01ac447</t>
  </si>
  <si>
    <t xml:space="preserve">UNH Oct 2026 422.500 put (UNH261030P00422500) Stock Price, News, Quote &amp; History</t>
  </si>
  <si>
    <t xml:space="preserve">7fd373862cc50bd167ffb320</t>
  </si>
  <si>
    <t xml:space="preserve">Morgan Stanley Private Markets and Alternatives Fund Class A Shares Estimates – NASDAQ:PMXAX</t>
  </si>
  <si>
    <t xml:space="preserve">ea767fd03034eb815996bbec</t>
  </si>
  <si>
    <t xml:space="preserve">IRM Oct 2026 100.000 put (IRM261030P00100000) stock price, news, quote and history</t>
  </si>
  <si>
    <t xml:space="preserve">825e637f0ce6f5090b39d5e0</t>
  </si>
  <si>
    <t xml:space="preserve">COIN Oct 2026 141.000 put (COIN261030P00141000) stock price, news, quote and history</t>
  </si>
  <si>
    <t xml:space="preserve">dc718a75401d199776e549f6</t>
  </si>
  <si>
    <t xml:space="preserve">CAH Nov 2026 230.000 put (CAH261106P00230000) Stock Price, News, Quote &amp; History</t>
  </si>
  <si>
    <t xml:space="preserve">8d7ace8e976c060a4ef214f3</t>
  </si>
  <si>
    <t xml:space="preserve">LRCX Feb 2027 300.000 put (LRCX270219P00300000) stock price, news, quote and history</t>
  </si>
  <si>
    <t xml:space="preserve">201f42558dd7360d4874e9fc</t>
  </si>
  <si>
    <t xml:space="preserve">PANW Oct 2026 367.500 put (PANW261030P00367500) Stock Price, News, Quote &amp; History</t>
  </si>
  <si>
    <t xml:space="preserve">e813edbe1cabdda7f48bba95</t>
  </si>
  <si>
    <t xml:space="preserve">CMS Nov 2026 50.000 put (CMS261120P00050000) Stock Price, News, Quote &amp; History</t>
  </si>
  <si>
    <t xml:space="preserve">eff929c947ee5c3e2ebf1c67</t>
  </si>
  <si>
    <t xml:space="preserve">CBOE Oct 2026 310.000 put (CBOE261023P00310000) Stock Price, News, Quote &amp; History</t>
  </si>
  <si>
    <t xml:space="preserve">64bb9658a4eab07a4aa3cb9b</t>
  </si>
  <si>
    <t xml:space="preserve">TMUS Oct 2026 136.000 call (TMUS261030C00136000) Stock Price, News, Quote &amp; History</t>
  </si>
  <si>
    <t xml:space="preserve">b29effb5dd5d4f5f2c5a6f00</t>
  </si>
  <si>
    <t xml:space="preserve">MDT Oct 2026 91.000 put (MDT261023P00091000) Stock Price, News, Quote &amp; History</t>
  </si>
  <si>
    <t xml:space="preserve">f2f20054cb446a46c21f5c8a</t>
  </si>
  <si>
    <t xml:space="preserve">AMAT Nov 2026 475.000 put (AMAT261127P00475000) Stock Price, News, Quote &amp; History</t>
  </si>
  <si>
    <t xml:space="preserve">45033a6da2b3664eeb6ca817</t>
  </si>
  <si>
    <t xml:space="preserve">NTAP Nov 2026 250.000 put (NTAP261120P00250000) Stock Price, News, Quote &amp; History</t>
  </si>
  <si>
    <t xml:space="preserve">553b1df5000b48dd80af31f0</t>
  </si>
  <si>
    <t xml:space="preserve">TPR Nov 2026 122.000 put (TPR261106P00122000) Stock Price, News, Quote &amp; History</t>
  </si>
  <si>
    <t xml:space="preserve">11e874244dbf02f72908a46f</t>
  </si>
  <si>
    <t xml:space="preserve">SNPS Oct 2026 520.000 put (SNPS261030P00520000) stock price, news, quote and history</t>
  </si>
  <si>
    <t xml:space="preserve">c5430e61121e6359711aa28c</t>
  </si>
  <si>
    <t xml:space="preserve">Royal Caribbean Cruises Ltd. Estimates – NYSE:RCL</t>
  </si>
  <si>
    <t xml:space="preserve">2b185dab3d0ee1b46efafa28</t>
  </si>
  <si>
    <t xml:space="preserve">UBER Oct 2026 81.000 put (UBER261023P00081000) stock price, news, quote and history</t>
  </si>
  <si>
    <t xml:space="preserve">a8693b7f8b3713f82138a935</t>
  </si>
  <si>
    <t xml:space="preserve">ZBRA</t>
  </si>
  <si>
    <t xml:space="preserve">Zebra Technologies</t>
  </si>
  <si>
    <t xml:space="preserve">ZBRA Nov 2026 320.000 put (ZBRA261120P00320000) Stock Price, News, Quote &amp; History</t>
  </si>
  <si>
    <t xml:space="preserve">1adf213045098deda5551f13</t>
  </si>
  <si>
    <t xml:space="preserve">ADI Global Distribution Inc (ADIG) Stock Price, News, Quote &amp; History</t>
  </si>
  <si>
    <t xml:space="preserve">48a98b84f977bf35361d652e</t>
  </si>
  <si>
    <t xml:space="preserve">SPECTER Attack Uses USB Power Signals to Leak Data From Air-Gapped PCs</t>
  </si>
  <si>
    <t xml:space="preserve">Hackread</t>
  </si>
  <si>
    <t xml:space="preserve">bae41e8dcbb35f0bbbe9eb8f</t>
  </si>
  <si>
    <t xml:space="preserve">PANW Oct 2026 307.500 put (PANW261030P00307500) Stock Price, News, Quote &amp; History</t>
  </si>
  <si>
    <t xml:space="preserve">271daabe4bcd009a062eddce</t>
  </si>
  <si>
    <t xml:space="preserve">Exxon Mobil Corp Stock Futures, (SXOM0Z26.CME)</t>
  </si>
  <si>
    <t xml:space="preserve">80fa7c761ff9ff01dae37445</t>
  </si>
  <si>
    <t xml:space="preserve">PWR</t>
  </si>
  <si>
    <t xml:space="preserve">Quanta Services</t>
  </si>
  <si>
    <t xml:space="preserve">PWR HOLDINGS LTD. Estimates – OTC:PWRHF</t>
  </si>
  <si>
    <t xml:space="preserve">09b6ff9a3418b52c899aa435</t>
  </si>
  <si>
    <t xml:space="preserve">NVDA May 2027 370.000 call (NVDA270521C00370000) Stock Price, News, Quote &amp; History</t>
  </si>
  <si>
    <t xml:space="preserve">9e958daf2ad33a71e0e33529</t>
  </si>
  <si>
    <t xml:space="preserve">BlackRock Technology and Private Equity Term Trust Estimates – FWB:8W4</t>
  </si>
  <si>
    <t xml:space="preserve">b581e12722affe644414afcb</t>
  </si>
  <si>
    <t xml:space="preserve">WYNN Nov 2026 88.000 call (WYNN261113C00088000) Stock Price, News, Quote &amp; History</t>
  </si>
  <si>
    <t xml:space="preserve">2fcc950ea8cae7342352bd91</t>
  </si>
  <si>
    <t xml:space="preserve">RCL FOODS LTD. Estimates – OTC:RCLFF</t>
  </si>
  <si>
    <t xml:space="preserve">ed939bfde64eb029a8120248</t>
  </si>
  <si>
    <t xml:space="preserve">PANW Oct 2026 680.000 call (PANW261030C00680000) Stock Price, News, Quote &amp; History</t>
  </si>
  <si>
    <t xml:space="preserve">cd3cf255393203e2cfb484f8</t>
  </si>
  <si>
    <t xml:space="preserve">PANW Oct 2026 355.000 put (PANW261030P00355000) Stock Price, News, Quote &amp; History</t>
  </si>
  <si>
    <t xml:space="preserve">3fd7fe9c94b6d075fd8b562c</t>
  </si>
  <si>
    <t xml:space="preserve">PANW Oct 2026 422.500 call (PANW261030C00422500) Stock Price, News, Quote &amp; History</t>
  </si>
  <si>
    <t xml:space="preserve">92edced3b21d51f6e982bb03</t>
  </si>
  <si>
    <t xml:space="preserve">Qualcomm sets November 4 results date as Qualcomm stock sits at EUR 157.19</t>
  </si>
  <si>
    <t xml:space="preserve">2af38eed5b9b8480fe6b2ecc</t>
  </si>
  <si>
    <t xml:space="preserve">Paychex, Inc. Estimates – NASDAQ:PAYX</t>
  </si>
  <si>
    <t xml:space="preserve">b6a3c8ceaf3e89db5554e2b0</t>
  </si>
  <si>
    <t xml:space="preserve">PANW Oct 2026 362.500 put (PANW261030P00362500) Stock Price, News, Quote &amp; History</t>
  </si>
  <si>
    <t xml:space="preserve">deed08932d8baff7d61f4e22</t>
  </si>
  <si>
    <t xml:space="preserve">PANW Oct 2026 650.000 call (PANW261030C00650000) Stock Price, News, Quote &amp; History</t>
  </si>
  <si>
    <t xml:space="preserve">cc20c33a7f04e40e3c80e798</t>
  </si>
  <si>
    <t xml:space="preserve">How to Fix the Connect a USB Storage Device Message on PS4</t>
  </si>
  <si>
    <t xml:space="preserve">Technobezz</t>
  </si>
  <si>
    <t xml:space="preserve">5a0cd2b0387a11d4f88d3b35</t>
  </si>
  <si>
    <t xml:space="preserve">PANW Oct 2026 500.000 call (PANW261030C00500000) Stock Price, News, Quote &amp; History</t>
  </si>
  <si>
    <t xml:space="preserve">c6945633562fd1e56376b180</t>
  </si>
  <si>
    <t xml:space="preserve">DVN 261023 46.00P (DVN261023P46000) Stock Options Chain | Quotes &amp; News</t>
  </si>
  <si>
    <t xml:space="preserve">ce24e756686359cd6c0811d8</t>
  </si>
  <si>
    <t xml:space="preserve">Sandisk schedules results as Sandisk stock costs EUR 1,105.00</t>
  </si>
  <si>
    <t xml:space="preserve">d534d6234ac0816fa603b9fa</t>
  </si>
  <si>
    <t xml:space="preserve">The Meter Arrives in November: Salesforce Will Charge for Every Call Your Agents Make – and the Price Is TBA</t>
  </si>
  <si>
    <t xml:space="preserve">Forkast News</t>
  </si>
  <si>
    <t xml:space="preserve">f81e12e8e8b87cd9fcfbc8a2</t>
  </si>
  <si>
    <t xml:space="preserve">PANW Oct 2026 365.000 put (PANW261030P00365000) Stock Price, News, Quote &amp; History</t>
  </si>
  <si>
    <t xml:space="preserve">7549815769c4157770b0429b</t>
  </si>
  <si>
    <t xml:space="preserve">Meta Platforms: Sunk Cost Fallacy Vs. Nascent AI/Reality Labs Monetization (NASDAQ:META)</t>
  </si>
  <si>
    <t xml:space="preserve">691f47e6fb41b9ee7ac69886</t>
  </si>
  <si>
    <t xml:space="preserve">FSLR Jan 2029 260.000 put (FSLR290119P00260000) Stock Price, News, Quote &amp; History</t>
  </si>
  <si>
    <t xml:space="preserve">2eebf744cc2e9173526bb798</t>
  </si>
  <si>
    <t xml:space="preserve">PANW Oct 2026 407.500 put (PANW261030P00407500) Stock Price, News, Quote &amp; History</t>
  </si>
  <si>
    <t xml:space="preserve">85bc1f6c32790f643c64678b</t>
  </si>
  <si>
    <t xml:space="preserve">PANW Oct 2026 445.000 put (PANW261030P00445000) Stock Price, News, Quote &amp; History</t>
  </si>
  <si>
    <t xml:space="preserve">d0856c5129be78845a3f87af</t>
  </si>
  <si>
    <t xml:space="preserve">SNPS Oct 2026 280.000 call (SNPS261030C00280000) stock price, news, quote and history</t>
  </si>
  <si>
    <t xml:space="preserve">c9ccf3ca85645d343f279f8f</t>
  </si>
  <si>
    <t xml:space="preserve">S&amp;P Global Inc. Estimates – NYSE:SPGI</t>
  </si>
  <si>
    <t xml:space="preserve">3acd32ef8f60aaff903aa6a7</t>
  </si>
  <si>
    <t xml:space="preserve">Lumentum Holdings Inc. (LITE) Stock Price, News, Quote &amp; History</t>
  </si>
  <si>
    <t xml:space="preserve">36f0c310120ae6438848cfe9</t>
  </si>
  <si>
    <t xml:space="preserve">MassDOT Tells Amazon, Drone Flights Must Follow State Law</t>
  </si>
  <si>
    <t xml:space="preserve">Franklin Observer</t>
  </si>
  <si>
    <t xml:space="preserve">d4093d63b1be51b6f799cc09</t>
  </si>
  <si>
    <t xml:space="preserve">META261023C00545000 Interactive Stock Chart | META Oct 2026 545.000 call Stock</t>
  </si>
  <si>
    <t xml:space="preserve">d28ee20f454a8233807d7f4d</t>
  </si>
  <si>
    <t xml:space="preserve">HOOD Oct 2026 133.000 put (HOOD261030P00133000) Stock Price, News, Quote &amp; History</t>
  </si>
  <si>
    <t xml:space="preserve">c15769dd4f6b02e23dc7f7b9</t>
  </si>
  <si>
    <t xml:space="preserve">SNPS 261023 425.00C (SNPS261023C425000) Stock Options Chain | Quotes &amp; News</t>
  </si>
  <si>
    <t xml:space="preserve">c519a1c8581e0441864b6e7e</t>
  </si>
  <si>
    <t xml:space="preserve">MDT Sep 2027 85.000 call (MDT270917C00085000) stock price, news, quote and history</t>
  </si>
  <si>
    <t xml:space="preserve">ae64f288cb5250ba7cec4147</t>
  </si>
  <si>
    <t xml:space="preserve">LRCX Oct 2026 185.000 put (LRCX261023P00185000) stock price, news, quote and history</t>
  </si>
  <si>
    <t xml:space="preserve">9c59e67d6c584b361cdb31f4</t>
  </si>
  <si>
    <t xml:space="preserve">Emerson Electric Earnings Preview: What to Expect</t>
  </si>
  <si>
    <t xml:space="preserve">8eff58be678d38ff7a0cf76b</t>
  </si>
  <si>
    <t xml:space="preserve">MDT May 2027 100.000 call (MDT270521C00100000) stock price, news, quote and history</t>
  </si>
  <si>
    <t xml:space="preserve">9cf0c30a39820cc529a53f6c</t>
  </si>
  <si>
    <t xml:space="preserve">RSG</t>
  </si>
  <si>
    <t xml:space="preserve">Republic Services</t>
  </si>
  <si>
    <t xml:space="preserve">ADC,VIAV,GLW,AMR,RSG,SRTS,EAT,TRV,BLNE | Stock Prices | Quote Comparison - Yahoo Finance</t>
  </si>
  <si>
    <t xml:space="preserve">fd36cd824fb14286aad0f358</t>
  </si>
  <si>
    <t xml:space="preserve">Synopsys, Inc. Estimates – NASDAQ:SNPS</t>
  </si>
  <si>
    <t xml:space="preserve">da76978116854c641418ab71</t>
  </si>
  <si>
    <t xml:space="preserve">HUM Oct 2026 432.500 put (HUM261030P00432500) Stock Price, News, Quote &amp; History</t>
  </si>
  <si>
    <t xml:space="preserve">041658f592f7280cc3c4d864</t>
  </si>
  <si>
    <t xml:space="preserve">TROW Nov 2026 110.000 call (TROW261120C00110000) stock price, news, quote and history</t>
  </si>
  <si>
    <t xml:space="preserve">2ccabc0f3ba519df5f8b2065</t>
  </si>
  <si>
    <t xml:space="preserve">UP TGT Notification 2026 Out, Exam Date, Vacancy, Eligibility, Application Form &amp; Exam Pattern</t>
  </si>
  <si>
    <t xml:space="preserve">PW</t>
  </si>
  <si>
    <t xml:space="preserve">5def9648852555ce3a4d3971</t>
  </si>
  <si>
    <t xml:space="preserve">Nvidia's RTX Spark has an NPU it barely mentions, and I spent a week figuring out what it actually is</t>
  </si>
  <si>
    <t xml:space="preserve">4e3b71160ed79e2819e523e6</t>
  </si>
  <si>
    <t xml:space="preserve">The Garage never should have existed: Why Microsoft’s grassroots innovation lab worked for so long</t>
  </si>
  <si>
    <t xml:space="preserve">64c725100950b89deac56b2d</t>
  </si>
  <si>
    <t xml:space="preserve">SNPS Oct 2026 415.000 call (SNPS261023C00415000) Stock Price, News, Quote &amp; History</t>
  </si>
  <si>
    <t xml:space="preserve">521a19ca7ff0088312c25483</t>
  </si>
  <si>
    <t xml:space="preserve">PANW Oct 2026 405.000 put (PANW261030P00405000) Stock Price, News, Quote &amp; History</t>
  </si>
  <si>
    <t xml:space="preserve">b94335b194576f0c33662a33</t>
  </si>
  <si>
    <t xml:space="preserve">STE</t>
  </si>
  <si>
    <t xml:space="preserve">Steris</t>
  </si>
  <si>
    <t xml:space="preserve">STERIS plc (STE) Stock Price, News, Quote &amp; History</t>
  </si>
  <si>
    <t xml:space="preserve">653b89f6c050d73097461598</t>
  </si>
  <si>
    <t xml:space="preserve">TJX</t>
  </si>
  <si>
    <t xml:space="preserve">TJX Companies</t>
  </si>
  <si>
    <t xml:space="preserve">TJX Oct 2026 145.000 call (TJX261030C00145000) Stock Price, News, Quote &amp; History</t>
  </si>
  <si>
    <t xml:space="preserve">4bfb5a5a644eb3097b60f21d</t>
  </si>
  <si>
    <t xml:space="preserve">The Mosaic Company (MOS) stock price, news, quote and history</t>
  </si>
  <si>
    <t xml:space="preserve">e50685ab3c22932376bc39c6</t>
  </si>
  <si>
    <t xml:space="preserve">Haunted House Extreme, at Crystal Palace NSC, Oct 30 and 31</t>
  </si>
  <si>
    <t xml:space="preserve">Inside Croydon</t>
  </si>
  <si>
    <t xml:space="preserve">ca3e310ea41a4de2f0e0e0a6</t>
  </si>
  <si>
    <t xml:space="preserve">Citigroup Global Markets Australia Pty Ltd Warrant 2025-25.10.35 on IShs S&amp;P/ASX Di Estimates – ASX:IHDSO1</t>
  </si>
  <si>
    <t xml:space="preserve">e89e5e15c3c6f3aef20b7608</t>
  </si>
  <si>
    <t xml:space="preserve">LDOS</t>
  </si>
  <si>
    <t xml:space="preserve">Leidos</t>
  </si>
  <si>
    <t xml:space="preserve">How Investors Are Reacting To Leidos Stock After Pentagon AI Contract</t>
  </si>
  <si>
    <t xml:space="preserve">54c62308eacd1ca33486c910</t>
  </si>
  <si>
    <t xml:space="preserve">20 Years! NSC recommends higher minimum sentence for gun possession; new crime for adults grooming kids to carry firearms"</t>
  </si>
  <si>
    <t xml:space="preserve">Jamaica Gleaner</t>
  </si>
  <si>
    <t xml:space="preserve">e4752fdce89a49b4fe078a91</t>
  </si>
  <si>
    <t xml:space="preserve">CRWD Nov 2026 135.000 put (CRWD261106P00135000) Stock Price, News, Quote &amp; History</t>
  </si>
  <si>
    <t xml:space="preserve">5044ad2b11d05edfdb81794d</t>
  </si>
  <si>
    <t xml:space="preserve">NVDA Oct 2026 250.000 put (NVDA261026P00250000) stock price, news, quote and history</t>
  </si>
  <si>
    <t xml:space="preserve">5ba1ec4c48e3016b8c3df101</t>
  </si>
  <si>
    <t xml:space="preserve">DLR Oct 2026 202.500 put (DLR261023P00202500) Stock Price, News, Quote &amp; History</t>
  </si>
  <si>
    <t xml:space="preserve">eb853f4e33ab29c8531c3627</t>
  </si>
  <si>
    <t xml:space="preserve">SBUX Nov 2026 99.000 call (SBUX261127C00099000) Stock Price, News, Quote &amp; History</t>
  </si>
  <si>
    <t xml:space="preserve">fa7509e4c919a9b604bd6bf9</t>
  </si>
  <si>
    <t xml:space="preserve">Weyerhaeuser Company (WY) Stock Price, News, Quote &amp; History</t>
  </si>
  <si>
    <t xml:space="preserve">183a3a57f35d58376f526562</t>
  </si>
  <si>
    <t xml:space="preserve">TJX Oct 2026 146.000 put (TJX261023P00146000) stock price, news, quote and history</t>
  </si>
  <si>
    <t xml:space="preserve">437925f075c8f3d838d4af5f</t>
  </si>
  <si>
    <t xml:space="preserve">United Airlines Holdings, Inc. Estimates – NASDAQ:UAL</t>
  </si>
  <si>
    <t xml:space="preserve">ea8948bb9e00be06c5fb7c1e</t>
  </si>
  <si>
    <t xml:space="preserve">PYPL Sep 2027 80.000 call (PYPL270917C00080000) Stock Price, News, Quote &amp; History</t>
  </si>
  <si>
    <t xml:space="preserve">3f778dd9ab86c35a13c4b745</t>
  </si>
  <si>
    <t xml:space="preserve">NVDA Nov 2026 70.000 put (NVDA261113P00070000) Stock Price, News, Quote &amp; History</t>
  </si>
  <si>
    <t xml:space="preserve">85a484c8a12a5642d39d9987</t>
  </si>
  <si>
    <t xml:space="preserve">MET</t>
  </si>
  <si>
    <t xml:space="preserve">MetLife</t>
  </si>
  <si>
    <t xml:space="preserve">Gallery | Jets Arrive at MetLife Stadium for Week 7 Game vs Miami Dolphins</t>
  </si>
  <si>
    <t xml:space="preserve">New York Jets</t>
  </si>
  <si>
    <t xml:space="preserve">d9f9249dd60a5b51d7cdc483</t>
  </si>
  <si>
    <t xml:space="preserve">HUM Nov 2026 320.000 put (HUM261106P00320000) stock price, news, quote and history</t>
  </si>
  <si>
    <t xml:space="preserve">19e6404fcab7f49f447940cc</t>
  </si>
  <si>
    <t xml:space="preserve">Linde plc (LIN) Stock Price, News, Quote &amp; History</t>
  </si>
  <si>
    <t xml:space="preserve">b78f37a773237b6ef2b9bc77</t>
  </si>
  <si>
    <t xml:space="preserve">Xcel Energy Inc. (XEL) Stock Price, News, Quote &amp; History</t>
  </si>
  <si>
    <t xml:space="preserve">23144c46c77d86225af64035</t>
  </si>
  <si>
    <t xml:space="preserve">L3Harris Technologies Keeps Quarterly Dividend at $1.25 a Share, Payable Dec. 18 to Shareholders of Record as of Dec. 4</t>
  </si>
  <si>
    <t xml:space="preserve">fdc8250a41c1c9eda62ad35c</t>
  </si>
  <si>
    <t xml:space="preserve">COF 261023 182.50C (COF261023C182500) Stock Options Chain | Quotes &amp; News</t>
  </si>
  <si>
    <t xml:space="preserve">b508ff0f4a2f79535b501b9a</t>
  </si>
  <si>
    <t xml:space="preserve">PANW Oct 2026 425.000 call (PANW261030C00425000) Stock Price, News, Quote &amp; History</t>
  </si>
  <si>
    <t xml:space="preserve">744ab7c5ac6983ba2780b8fe</t>
  </si>
  <si>
    <t xml:space="preserve">PANW Oct 2026 402.500 call (PANW261030C00402500) Stock Price, News, Quote &amp; History</t>
  </si>
  <si>
    <t xml:space="preserve">f466baaa91a8acee6a0fc798</t>
  </si>
  <si>
    <t xml:space="preserve">ACN261218C00220000 Interactive Stock Chart | ACN Dec 2026 220.000 call Stock - Yahoo Finance</t>
  </si>
  <si>
    <t xml:space="preserve">0121ec48e482a54cea8e03e9</t>
  </si>
  <si>
    <t xml:space="preserve">PANW Oct 2026 375.000 call (PANW261030C00375000) Stock Price, News, Quote &amp; History</t>
  </si>
  <si>
    <t xml:space="preserve">1a2534a2da234cde96e29363</t>
  </si>
  <si>
    <t xml:space="preserve">PANW Oct 2026 530.000 call (PANW261030C00530000) Stock Price, News, Quote &amp; History</t>
  </si>
  <si>
    <t xml:space="preserve">e175445694bd46938130165b</t>
  </si>
  <si>
    <t xml:space="preserve">PANW Oct 2026 120.000 call (PANW261030C00120000) Stock Price, News, Quote &amp; History</t>
  </si>
  <si>
    <t xml:space="preserve">d451eeaefdc252b6160d332e</t>
  </si>
  <si>
    <t xml:space="preserve">Old Dominion Freight Line, Inc. Estimates – NASDAQ:ODFL</t>
  </si>
  <si>
    <t xml:space="preserve">5c6394e08421eedb970ad3af</t>
  </si>
  <si>
    <t xml:space="preserve">WAT</t>
  </si>
  <si>
    <t xml:space="preserve">Waters Corporation</t>
  </si>
  <si>
    <t xml:space="preserve">Waters Corporation Estimates – LS:898123</t>
  </si>
  <si>
    <t xml:space="preserve">177dbd41fbed8e00feb1ff66</t>
  </si>
  <si>
    <t xml:space="preserve">What If Netflix Doesn’t Change All That Much?</t>
  </si>
  <si>
    <t xml:space="preserve">Puck</t>
  </si>
  <si>
    <t xml:space="preserve">5e2402226ce13b4ed8a2cee0</t>
  </si>
  <si>
    <t xml:space="preserve">PEG Nov 2026 75.000 put (PEG261120P00075000) stock price, news, quote and history</t>
  </si>
  <si>
    <t xml:space="preserve">9d3928902228dde055d1f670</t>
  </si>
  <si>
    <t xml:space="preserve">Teradyne, Inc. (TER) Stock forecasts</t>
  </si>
  <si>
    <t xml:space="preserve">30ca95f88223a3006e0a878a</t>
  </si>
  <si>
    <t xml:space="preserve">LITE Feb 2027 1320.000 put (LITE270219P01320000) stock price, news, quote and history</t>
  </si>
  <si>
    <t xml:space="preserve">bf030d065a76f26e3191108f</t>
  </si>
  <si>
    <t xml:space="preserve">General Motors (NYSE:GM) Share Price, Forecast &amp; Analysis</t>
  </si>
  <si>
    <t xml:space="preserve">e01b8477b42e181abd030f9c</t>
  </si>
  <si>
    <t xml:space="preserve">CIEN Oct 2026 275.000 put (CIEN261030P00275000) Stock Price, News, Quote &amp; History</t>
  </si>
  <si>
    <t xml:space="preserve">ca59f3a9d49ac5c8e6af6d1c</t>
  </si>
  <si>
    <t xml:space="preserve">Nasdaq (NASDAQ:NDAQ) Share Price, Forecast &amp; Analysis</t>
  </si>
  <si>
    <t xml:space="preserve">261e381f63865ca0877b4fe3</t>
  </si>
  <si>
    <t xml:space="preserve">MAA</t>
  </si>
  <si>
    <t xml:space="preserve">Mid-America Apartment Communities</t>
  </si>
  <si>
    <t xml:space="preserve">MAA Group Bhd. Estimates – MYX:MAA</t>
  </si>
  <si>
    <t xml:space="preserve">f768becd98776367d7120557</t>
  </si>
  <si>
    <t xml:space="preserve">PANW Oct 2026 265.000 call (PANW261030C00265000) Stock Price, News, Quote &amp; History</t>
  </si>
  <si>
    <t xml:space="preserve">ca20c29f66b0c3065c79e0b5</t>
  </si>
  <si>
    <t xml:space="preserve">PANW Oct 2026 450.000 call (PANW261030C00450000) Stock Price, News, Quote &amp; History</t>
  </si>
  <si>
    <t xml:space="preserve">1a25ad91d50af3c26231f653</t>
  </si>
  <si>
    <t xml:space="preserve">Quest Diagnostics Reports Hack on IT System Used by Clients</t>
  </si>
  <si>
    <r>
      <rPr>
        <sz val="10"/>
        <rFont val="Arial"/>
        <family val="0"/>
        <charset val="1"/>
      </rPr>
      <t xml:space="preserve">Quest Diagnostics </t>
    </r>
    <r>
      <rPr>
        <sz val="10"/>
        <rFont val="Noto Sans CJK SC"/>
        <family val="2"/>
      </rPr>
      <t xml:space="preserve">遭駭，病患資料外洩。</t>
    </r>
  </si>
  <si>
    <t xml:space="preserve">1d3cd55a805de339a43c9a28</t>
  </si>
  <si>
    <t xml:space="preserve">ADC,VIAV,GLW,AMR,RSG,SRTS,TRV,EAT,BLNE | Stock Prices | Quote Comparison - Yahoo Finance</t>
  </si>
  <si>
    <t xml:space="preserve">9c9da0d6b2a83b65e5ea9ebc</t>
  </si>
  <si>
    <t xml:space="preserve">FANG Nov 2026 150.000 call (FANG261120C00150000) Stock Price, News, Quote &amp; History</t>
  </si>
  <si>
    <t xml:space="preserve">fbacfedf698ed5e98f83695d</t>
  </si>
  <si>
    <t xml:space="preserve">69b4a49d6614e1d996515d8b</t>
  </si>
  <si>
    <t xml:space="preserve">Enerflex Ltd. (EFX.TO) Stock Price, News, Quote &amp; History</t>
  </si>
  <si>
    <t xml:space="preserve">f9d983da551bcb3e6f2c6ae1</t>
  </si>
  <si>
    <t xml:space="preserve">JKHY</t>
  </si>
  <si>
    <t xml:space="preserve">Jack Henry &amp; Associates</t>
  </si>
  <si>
    <t xml:space="preserve">Jack Henry &amp; Associates, Inc. Estimates – NASDAQ:JKHY</t>
  </si>
  <si>
    <t xml:space="preserve">b7ee4149fb3ca60bf7c24338</t>
  </si>
  <si>
    <t xml:space="preserve">PPL Corporation (PPL) Stock forecasts</t>
  </si>
  <si>
    <t xml:space="preserve">7d819831ad8bc88aa0bf2def</t>
  </si>
  <si>
    <t xml:space="preserve">UAL Nov 2026 88.000 put (UAL261127P00088000) Stock Price, News, Quote &amp; History</t>
  </si>
  <si>
    <t xml:space="preserve">6990a7c674876fe7ce493dc6</t>
  </si>
  <si>
    <t xml:space="preserve">Houston TV anchor reveals FOX 26 chose not to keep him</t>
  </si>
  <si>
    <t xml:space="preserve">Chron</t>
  </si>
  <si>
    <t xml:space="preserve">d3eafc15f6ef0cd50363eb41</t>
  </si>
  <si>
    <t xml:space="preserve">Kinder Morgan, Inc. Estimates – NYSE:KMI</t>
  </si>
  <si>
    <t xml:space="preserve">80c7daa7ec3d9ee26d2355cd</t>
  </si>
  <si>
    <t xml:space="preserve">PYPL Oct 2026 74.000 call (PYPL261023C00074000) Stock Price, News, Quote &amp; History</t>
  </si>
  <si>
    <t xml:space="preserve">2973957102e2068e44b22248</t>
  </si>
  <si>
    <t xml:space="preserve">Family sees exhausted UPS driver working hard and invites him to 'make a plate' at family cookout</t>
  </si>
  <si>
    <t xml:space="preserve">Upworthy</t>
  </si>
  <si>
    <t xml:space="preserve">f3ab55bb43f453218ae2a865</t>
  </si>
  <si>
    <t xml:space="preserve">MCD Sets Minimum Rs 18,000 Monthly Pay For 4,000 Health Workers</t>
  </si>
  <si>
    <t xml:space="preserve">BW People</t>
  </si>
  <si>
    <t xml:space="preserve">c8b0cd735ca297c912425240</t>
  </si>
  <si>
    <t xml:space="preserve">PNC</t>
  </si>
  <si>
    <t xml:space="preserve">PNC Financial Services</t>
  </si>
  <si>
    <t xml:space="preserve">PNC International Inc Estimates – TPEX:3067</t>
  </si>
  <si>
    <t xml:space="preserve">ead330f3becb5e69b1a437d0</t>
  </si>
  <si>
    <t xml:space="preserve">CMCSA Nov 2026 17.000 put (CMCSA261113P00017000) Stock Price, News, Quote &amp; History</t>
  </si>
  <si>
    <t xml:space="preserve">c46fd8463f5f761d2cbcce99</t>
  </si>
  <si>
    <t xml:space="preserve">5,701 The PNC Financial Services Group, Inc $PNC Shares Bought by Crossmark Global Holdings Inc.</t>
  </si>
  <si>
    <t xml:space="preserve">d9cef0537e37043407346be8</t>
  </si>
  <si>
    <t xml:space="preserve">AVGO 261023 372.50C (AVGO261023C372500) Stock Options Chain | Quotes &amp; News</t>
  </si>
  <si>
    <t xml:space="preserve">b13bbaca7052d48a4b2096f6</t>
  </si>
  <si>
    <t xml:space="preserve">The Cooper Companies, Inc. (COO) stock price, news, quote and history</t>
  </si>
  <si>
    <t xml:space="preserve">4ac80b544e49285e920dd4a4</t>
  </si>
  <si>
    <t xml:space="preserve">PANW Oct 2026 200.000 put (PANW261030P00200000) Stock Price, News, Quote &amp; History</t>
  </si>
  <si>
    <t xml:space="preserve">910a94a193003438b295c1cf</t>
  </si>
  <si>
    <t xml:space="preserve">DTE Energy Company (DTE) stock price, news, quote and history</t>
  </si>
  <si>
    <t xml:space="preserve">dc93697842357ce0cf1e871a</t>
  </si>
  <si>
    <t xml:space="preserve">PANW Oct 2026 120.000 put (PANW261030P00120000) Stock Price, News, Quote &amp; History</t>
  </si>
  <si>
    <t xml:space="preserve">b1fe3f6c88d30b44354a1cad</t>
  </si>
  <si>
    <t xml:space="preserve">PANW Oct 2026 312.500 put (PANW261030P00312500) Stock Price, News, Quote &amp; History</t>
  </si>
  <si>
    <t xml:space="preserve">aa065e58bb2f43dcdfd84ebe</t>
  </si>
  <si>
    <t xml:space="preserve">What To Expect In Markets This Week: GOOGL, MSFT, AMZN, INTC, HOOD, LLY Earnings, Fed Meeting And More</t>
  </si>
  <si>
    <t xml:space="preserve">345f5f3606d07c9a8fdc4456</t>
  </si>
  <si>
    <t xml:space="preserve">TJX Oct 2026 142.000 put (TJX261030P00142000) stock price, news, quote and history</t>
  </si>
  <si>
    <t xml:space="preserve">cfde7173063fbcceea9bdd1c</t>
  </si>
  <si>
    <t xml:space="preserve">GOOGL</t>
  </si>
  <si>
    <t xml:space="preserve">Alphabet Inc. (Class A)</t>
  </si>
  <si>
    <t xml:space="preserve">d767b2d13c2fab94ce03a7b2</t>
  </si>
  <si>
    <t xml:space="preserve">d953a6c0c94b7cbf74de39eb</t>
  </si>
  <si>
    <t xml:space="preserve">Cummins (NYSE:CMI) Share Price, Forecast &amp; Analysis</t>
  </si>
  <si>
    <t xml:space="preserve">dcbbc52494d3282694b9048c</t>
  </si>
  <si>
    <t xml:space="preserve">PANW Oct 2026 327.500 put (PANW261030P00327500) Stock Price, News, Quote &amp; History</t>
  </si>
  <si>
    <t xml:space="preserve">0de8ed78fe67afb3deecae8d</t>
  </si>
  <si>
    <t xml:space="preserve">Host Hotels &amp; Resorts, Inc. (HST) Stock Price, News, Quote &amp; History</t>
  </si>
  <si>
    <t xml:space="preserve">5f9a4660d5342c6ebeab2d41</t>
  </si>
  <si>
    <t xml:space="preserve">PANW Oct 2026 342.500 put (PANW261030P00342500) Stock Price, News, Quote &amp; History</t>
  </si>
  <si>
    <t xml:space="preserve">79a919c33fd22a46e54afca5</t>
  </si>
  <si>
    <t xml:space="preserve">PANW Oct 2026 332.500 put (PANW261030P00332500) Stock Price, News, Quote &amp; History</t>
  </si>
  <si>
    <t xml:space="preserve">6b4d8aeec9f6330d1965a965</t>
  </si>
  <si>
    <t xml:space="preserve">f63848a5e895527254a0f89f</t>
  </si>
  <si>
    <t xml:space="preserve">383f2b85d073a9a3ed563290</t>
  </si>
  <si>
    <t xml:space="preserve">f12ef302a8d4641237b6223e</t>
  </si>
  <si>
    <t xml:space="preserve">12,258 Old Dominion Freight Line, Inc. $ODFL Shares Bought by Valley National Advisers Inc.</t>
  </si>
  <si>
    <t xml:space="preserve">f15ad282dd99b0b5a8a83335</t>
  </si>
  <si>
    <t xml:space="preserve">TGT Oct 2026 100.000 put (TGT261030P00100000) stock price, news, quote and history</t>
  </si>
  <si>
    <t xml:space="preserve">7b63a9a4005f26d7633b606b</t>
  </si>
  <si>
    <t xml:space="preserve">WMB</t>
  </si>
  <si>
    <t xml:space="preserve">Williams Companies</t>
  </si>
  <si>
    <t xml:space="preserve">Williams Companies (NYSE:WMB) Share Price, Forecast &amp; Analysis</t>
  </si>
  <si>
    <t xml:space="preserve">b4d580aa04f621f34207d5bd</t>
  </si>
  <si>
    <t xml:space="preserve">The Williams Companies, Inc. (WMB) Stock Price, News, Quote &amp; History</t>
  </si>
  <si>
    <t xml:space="preserve">6559c089e8e91620335a6048</t>
  </si>
  <si>
    <t xml:space="preserve">IBM261023P00252500 Interactive Stock Chart | IBM Oct 2026 252.500 put Stock</t>
  </si>
  <si>
    <t xml:space="preserve">1b53e80b4a6b710d881e6b82</t>
  </si>
  <si>
    <t xml:space="preserve">Cardinal Health stock: First-quarter results are set for November 5, 2026</t>
  </si>
  <si>
    <t xml:space="preserve">823db299094ba74e08f53893</t>
  </si>
  <si>
    <t xml:space="preserve">LRCX261023P00332500 Interactive Stock Chart | LRCX Oct 2026 332.500 put Stock</t>
  </si>
  <si>
    <t xml:space="preserve">4cdedb8dcb6595e52824b8e3</t>
  </si>
  <si>
    <t xml:space="preserve">AZO Sep 2027 1460.000 put (AZO270917P01460000) stock price, news, quote and history</t>
  </si>
  <si>
    <t xml:space="preserve">21a6d2f1d6251ef6d4be40cd</t>
  </si>
  <si>
    <t xml:space="preserve">CMS Proposes Additional Restrictions for Obamacare Applicants</t>
  </si>
  <si>
    <t xml:space="preserve">Bloomberg Law News</t>
  </si>
  <si>
    <t xml:space="preserve">e834d634f16a25f5110f7d3b</t>
  </si>
  <si>
    <t xml:space="preserve">BlackRock Municipal 2030 Target Term Trust Estimates – NYSE:BTT</t>
  </si>
  <si>
    <t xml:space="preserve">1127edde6506585b3c6d5ae3</t>
  </si>
  <si>
    <t xml:space="preserve">SMCI Nov 2026 37.000 put (SMCI261106P00037000) stock price, news, quote and history</t>
  </si>
  <si>
    <t xml:space="preserve">3548713711dbb7df52e874fa</t>
  </si>
  <si>
    <t xml:space="preserve">SMCI261023C00025000 Interactive Stock Chart | SMCI Oct 2026 25.000 call Stock</t>
  </si>
  <si>
    <t xml:space="preserve">9ca1dca08acbc0b16b9c9af0</t>
  </si>
  <si>
    <t xml:space="preserve">BlackRock Municipal 2030 Target Term Trust Estimates – BOATS:BTT</t>
  </si>
  <si>
    <t xml:space="preserve">6680256149c1e8ab07b9c6c0</t>
  </si>
  <si>
    <t xml:space="preserve">General Dynamics (NYSE:GD) Share Price, Forecast &amp; Analysis</t>
  </si>
  <si>
    <t xml:space="preserve">c990e41b9970b66c251a63cc</t>
  </si>
  <si>
    <t xml:space="preserve">Public Storage Stock Before Q3 Earnings: Smart Buy or Risky Move?</t>
  </si>
  <si>
    <t xml:space="preserve">edde616df50a9f7aa813cf5c</t>
  </si>
  <si>
    <t xml:space="preserve">SMCI Stock Forecast 2026: Analyst Price Targets, AI Demand, and Key Risks</t>
  </si>
  <si>
    <t xml:space="preserve">KuCoin</t>
  </si>
  <si>
    <t xml:space="preserve">6105ebef86c7f16c1d0807e8</t>
  </si>
  <si>
    <t xml:space="preserve">SYF Sep 2027 80.000 call (SYF270917C00080000) stock price, news, quote and history</t>
  </si>
  <si>
    <t xml:space="preserve">c7e770956d7be215c80d46c0</t>
  </si>
  <si>
    <t xml:space="preserve">MOS Utility Ltd. Estimates – NSE:MOS</t>
  </si>
  <si>
    <t xml:space="preserve">e07fdbe6a453fbd26e4820f4</t>
  </si>
  <si>
    <t xml:space="preserve">The 7 Best Psychological Horror Movies on Netflix in October</t>
  </si>
  <si>
    <t xml:space="preserve">be85244045a6f7e5d3e628a8</t>
  </si>
  <si>
    <t xml:space="preserve">PANW Oct 2026 325.000 call (PANW261030C00325000) Stock Price, News, Quote &amp; History</t>
  </si>
  <si>
    <t xml:space="preserve">3efd585159dfb3bf0fce274a</t>
  </si>
  <si>
    <t xml:space="preserve">PANW Oct 2026 402.500 put (PANW261030P00402500) Stock Price, News, Quote &amp; History</t>
  </si>
  <si>
    <t xml:space="preserve">a7e00931aa6c2f43d84b172c</t>
  </si>
  <si>
    <t xml:space="preserve">Fantasy football flex and superflex rankings for Week 7</t>
  </si>
  <si>
    <t xml:space="preserve">ESPN</t>
  </si>
  <si>
    <t xml:space="preserve">86836637cb341c725fe4841a</t>
  </si>
  <si>
    <t xml:space="preserve">Honeywell Aerospace Earnings Preview: What to Expect</t>
  </si>
  <si>
    <t xml:space="preserve">bfe779184094a81dc0b6a136</t>
  </si>
  <si>
    <t xml:space="preserve">AMETEK, Inc. Estimates – NYSE:AME</t>
  </si>
  <si>
    <t xml:space="preserve">0c988b98cc0e2a19b81c6cbb</t>
  </si>
  <si>
    <t xml:space="preserve">Lindian Resources Limited (LIN.AX) stock price, news, quote and history</t>
  </si>
  <si>
    <t xml:space="preserve">93d8237ea7758e21192bdabf</t>
  </si>
  <si>
    <t xml:space="preserve">REG</t>
  </si>
  <si>
    <t xml:space="preserve">Regency Centers</t>
  </si>
  <si>
    <t xml:space="preserve">Republic Glass Holdings Corp. Estimates – PSE:REG</t>
  </si>
  <si>
    <t xml:space="preserve">c741586fa11f42f93e9bd3bc</t>
  </si>
  <si>
    <t xml:space="preserve">PANW Oct 2026 400.000 put (PANW261030P00400000) Stock Price, News, Quote &amp; History</t>
  </si>
  <si>
    <t xml:space="preserve">6f32f43cafed6ff60ffd6f67</t>
  </si>
  <si>
    <t xml:space="preserve">Invesco QQQ Trust (QQQ) stock price, news, quote and history</t>
  </si>
  <si>
    <t xml:space="preserve">93bc4d37b04d71af11112605</t>
  </si>
  <si>
    <t xml:space="preserve">CME Group Logs $469.5 Billion in Q3 Crypto Derivatives Notional Volume</t>
  </si>
  <si>
    <t xml:space="preserve">ae685ca220f48e55a26f2c57</t>
  </si>
  <si>
    <t xml:space="preserve">REGN Jun 2027 1220.000 call (REGN270617C01220000) Stock Price, News, Quote &amp; History</t>
  </si>
  <si>
    <t xml:space="preserve">0685b89d8a7f2f915cb96b44</t>
  </si>
  <si>
    <t xml:space="preserve">MMM</t>
  </si>
  <si>
    <t xml:space="preserve">3M</t>
  </si>
  <si>
    <t xml:space="preserve">MMM261023C00187500 Interactive Stock Chart | MMM Oct 2026 187.500 call Stock - Yahoo Finance</t>
  </si>
  <si>
    <t xml:space="preserve">92f0000c70e7ce6c15a854bc</t>
  </si>
  <si>
    <t xml:space="preserve">International Business Machines Corporation $IBM Stock Acquired by Citizens Financial Group Inc. RI</t>
  </si>
  <si>
    <t xml:space="preserve">6bf58f012bcc78e0b72c4acc</t>
  </si>
  <si>
    <t xml:space="preserve">d6b9e77affae511f8551d50c</t>
  </si>
  <si>
    <t xml:space="preserve">The Williams Companies, Inc. (WMB) stock price, news, quote and history</t>
  </si>
  <si>
    <t xml:space="preserve">eff85c6220ea37abb59e6267</t>
  </si>
  <si>
    <t xml:space="preserve">44,521 NIKE, Inc. $NKE Shares Sold by Wedbush Securities Inc.</t>
  </si>
  <si>
    <t xml:space="preserve">08bfaf571f683cdc935052ab</t>
  </si>
  <si>
    <t xml:space="preserve">citigroup global markets australia holdings pty limited Warrant 2023-10.02.33 on QBE Insur.Group</t>
  </si>
  <si>
    <t xml:space="preserve">d92f2a09e0aad94cea9e7335</t>
  </si>
  <si>
    <t xml:space="preserve">PANW Oct 2026 375.000 put (PANW261030P00375000) Stock Price, News, Quote &amp; History</t>
  </si>
  <si>
    <t xml:space="preserve">49e27c054c35ea760b066519</t>
  </si>
  <si>
    <t xml:space="preserve">LITE Jan 2029 990.000 call (LITE290119C00990000) Stock Price, News, Quote &amp; History</t>
  </si>
  <si>
    <t xml:space="preserve">f422df882318ee253305a6a2</t>
  </si>
  <si>
    <t xml:space="preserve">Hormel Foods Corporation (HRL) Stock Price, News, Quote &amp; History</t>
  </si>
  <si>
    <t xml:space="preserve">738877a9573f874bebaaafe3</t>
  </si>
  <si>
    <t xml:space="preserve">LLY Nov 2026 1045.000 put (LLY261127P01045000) stock price, news, quote and history</t>
  </si>
  <si>
    <t xml:space="preserve">7cf7ca34deabf70c9ae84bac</t>
  </si>
  <si>
    <t xml:space="preserve">PANW Oct 2026 297.500 put (PANW261030P00297500) Stock Price, News, Quote &amp; History</t>
  </si>
  <si>
    <t xml:space="preserve">b0a9c13bb3d33f2822383aa4</t>
  </si>
  <si>
    <t xml:space="preserve">LRCX Oct 2026 255.000 put (LRCX261030P00255000) Stock Price, News, Quote &amp; History</t>
  </si>
  <si>
    <t xml:space="preserve">aba12d21615eb7695b0cda5e</t>
  </si>
  <si>
    <t xml:space="preserve">LRCX Oct 2026 302.500 call (LRCX261023C00302500) Stock Price, News, Quote &amp; History</t>
  </si>
  <si>
    <t xml:space="preserve">6af1e9cfa6a2150a0ec5067e</t>
  </si>
  <si>
    <t xml:space="preserve">Verizon Communications Inc. Estimates – NYSE:VZ</t>
  </si>
  <si>
    <t xml:space="preserve">21e86e913f9bbd13191d2f42</t>
  </si>
  <si>
    <t xml:space="preserve">HRL Oct 2026 18.000 put (HRL261030P00018000) interactive stock chart – Yahoo Finance</t>
  </si>
  <si>
    <t xml:space="preserve">6bf86049922ffb346ee83d6b</t>
  </si>
  <si>
    <t xml:space="preserve">HPQ Nov 2026 34.000 call (HPQ261106C00034000) Stock Price, News, Quote &amp; History</t>
  </si>
  <si>
    <t xml:space="preserve">c4088e1922248d6b4710f952</t>
  </si>
  <si>
    <t xml:space="preserve">PEG Nov 2026 75.000 call (PEG261120C00075000) Stock Price, News, Quote &amp; History</t>
  </si>
  <si>
    <t xml:space="preserve">590a39870ee01b0819881aa9</t>
  </si>
  <si>
    <t xml:space="preserve">First Solar, Inc. Estimates – BVL:FSLRUS</t>
  </si>
  <si>
    <t xml:space="preserve">9b5f90775df62ae3481f89ec</t>
  </si>
  <si>
    <t xml:space="preserve">Starr Peak Mining Ltd Estimates – TSXV:STE</t>
  </si>
  <si>
    <t xml:space="preserve">c337ebc6404f7b1ff925ecb8</t>
  </si>
  <si>
    <t xml:space="preserve">Union Pacific Corp (UNP) Q3 2026 Earnings Call Highlights: Recor</t>
  </si>
  <si>
    <t xml:space="preserve">3d61eab864bf253df6abc956</t>
  </si>
  <si>
    <t xml:space="preserve">PPG Industries, Inc. Estimates – BOATS:PPG</t>
  </si>
  <si>
    <t xml:space="preserve">97a17da3b706aa40e0087871</t>
  </si>
  <si>
    <t xml:space="preserve">ULTA Oct 2026 635.000 call (ULTA261023C00635000) Stock Price, News, Quote &amp; History</t>
  </si>
  <si>
    <t xml:space="preserve">e96810981558edb31a8f8be2</t>
  </si>
  <si>
    <t xml:space="preserve">Applied Materials, Inc. Estimates – NASDAQ:AMAT</t>
  </si>
  <si>
    <t xml:space="preserve">08059996378cb95c3b36221c</t>
  </si>
  <si>
    <t xml:space="preserve">Where Did UPS Fall Behind FedEx?</t>
  </si>
  <si>
    <t xml:space="preserve">af3340c64d57caa7ab132cba</t>
  </si>
  <si>
    <t xml:space="preserve">PEG Nov 2026 75.000 put (PEG261120P00075000) Stock Price, News, Quote &amp; History</t>
  </si>
  <si>
    <t xml:space="preserve">af0b25eb1694c56758b7042a</t>
  </si>
  <si>
    <t xml:space="preserve">Capital One (NYSE:COF) Share Price, Forecast &amp; Analysis</t>
  </si>
  <si>
    <t xml:space="preserve">f6b62ec2c429aff69a58511c</t>
  </si>
  <si>
    <t xml:space="preserve">General Dynamics IT gets new president after predecessor's abrupt departure</t>
  </si>
  <si>
    <t xml:space="preserve">Washington Technology</t>
  </si>
  <si>
    <t xml:space="preserve">b0e98ea8b66ffad95104f780</t>
  </si>
  <si>
    <t xml:space="preserve">Norfolk Southern (NYSE:NSC) Share Price, Forecast &amp; Analysis</t>
  </si>
  <si>
    <t xml:space="preserve">7eb0d8aad111de581c565e0e</t>
  </si>
  <si>
    <t xml:space="preserve">NCLH Oct 2026 13.500 put (NCLH261030P00013500) interactive stock chart</t>
  </si>
  <si>
    <t xml:space="preserve">b8b0ec4be4f46f2c88b3aa97</t>
  </si>
  <si>
    <t xml:space="preserve">Sacramento State Hornets vs. Ball State Cardinals: Full Highlights</t>
  </si>
  <si>
    <t xml:space="preserve">bf547ffa49cf9c838c5be52f</t>
  </si>
  <si>
    <t xml:space="preserve">MRK Stock Analysis: What to Know</t>
  </si>
  <si>
    <t xml:space="preserve">a290970b4a50bac585442b7c</t>
  </si>
  <si>
    <t xml:space="preserve">Gilead Sciences, Inc. Estimates – NASDAQ:GILD</t>
  </si>
  <si>
    <t xml:space="preserve">f67d0bbdc31dce4e8b86d650</t>
  </si>
  <si>
    <t xml:space="preserve">Prologis stock: January 27, 2027 is its next earnings date</t>
  </si>
  <si>
    <t xml:space="preserve">542d0476ee45ba0c260d7c7d</t>
  </si>
  <si>
    <t xml:space="preserve">MAS</t>
  </si>
  <si>
    <t xml:space="preserve">Masco</t>
  </si>
  <si>
    <t xml:space="preserve">Masco Corporation Estimates – NYSE:MAS</t>
  </si>
  <si>
    <t xml:space="preserve">d546341cfa41a1847b66d3cb</t>
  </si>
  <si>
    <t xml:space="preserve">16,626 Analog Devices, Inc. $ADI Shares Acquired by Vest Financial LLC</t>
  </si>
  <si>
    <t xml:space="preserve">ff3d35c7fffd9afc1861a56a</t>
  </si>
  <si>
    <t xml:space="preserve">CPAY</t>
  </si>
  <si>
    <t xml:space="preserve">Corpay</t>
  </si>
  <si>
    <t xml:space="preserve">Corpay, Inc $CPAY Stock Acquired by Valley National Advisers Inc.</t>
  </si>
  <si>
    <t xml:space="preserve">cdd53de1bb1a002b22b8f531</t>
  </si>
  <si>
    <t xml:space="preserve">WBD</t>
  </si>
  <si>
    <t xml:space="preserve">Warner Bros. Discovery</t>
  </si>
  <si>
    <t xml:space="preserve">Beijing WBD New Materials Group Co.,Ltd. Class A Estimates – SZSE:300055</t>
  </si>
  <si>
    <t xml:space="preserve">fa791bf05a1c930fe12b467a</t>
  </si>
  <si>
    <t xml:space="preserve">TPL</t>
  </si>
  <si>
    <t xml:space="preserve">Texas Pacific Land Corporation</t>
  </si>
  <si>
    <t xml:space="preserve">TPL Properties Ltd. Estimates – PSX:TPLP</t>
  </si>
  <si>
    <t xml:space="preserve">147cf0f38f3dddb6c24fd577</t>
  </si>
  <si>
    <t xml:space="preserve">Ulta Beauty, Inc. (ULTA) Stock Forecasts</t>
  </si>
  <si>
    <t xml:space="preserve">36e4e1fcce41d4613dcc026f</t>
  </si>
  <si>
    <t xml:space="preserve">Dividend Reset Might Change The Case For Investing In LyondellBasell Stock (LYB)</t>
  </si>
  <si>
    <t xml:space="preserve">2f2c4f22182d22ba8f2f4feb</t>
  </si>
  <si>
    <t xml:space="preserve">History Says Nvidia Rarely Trades This Cheaply. Here's What Happened the Last Time.</t>
  </si>
  <si>
    <t xml:space="preserve">bd4833e11486dfd7b029df90</t>
  </si>
  <si>
    <t xml:space="preserve">VMC</t>
  </si>
  <si>
    <t xml:space="preserve">Vulcan Materials Company</t>
  </si>
  <si>
    <t xml:space="preserve">Vulcan Materials Company (VMC) stock price, news, quote and history</t>
  </si>
  <si>
    <t xml:space="preserve">c918b065f1fb0dc76828fb57</t>
  </si>
  <si>
    <t xml:space="preserve">PANW Oct 2026 325.000 put (PANW261030P00325000) Stock Price, News, Quote &amp; History</t>
  </si>
  <si>
    <t xml:space="preserve">d793e449fc1d6eb91e75d00c</t>
  </si>
  <si>
    <t xml:space="preserve">SAS 122, DAL 106: Mavericks coach Dusty May Postgame Media Availability</t>
  </si>
  <si>
    <t xml:space="preserve">NBA.com</t>
  </si>
  <si>
    <t xml:space="preserve">d40ba94bfb552e50dc82ba60</t>
  </si>
  <si>
    <t xml:space="preserve">21ea8a31c4c1acae820dc67a</t>
  </si>
  <si>
    <t xml:space="preserve">Intel Stock Has Moved an Average of 16% the Day After Its Last 3 Reports. Should You Buy Before the Next One?</t>
  </si>
  <si>
    <t xml:space="preserve">cdb1e63c7f96664901a9d827</t>
  </si>
  <si>
    <t xml:space="preserve">Dcu’s Peter Safran Rumored To Replace Dan Lin as Netflix’s Film Chief</t>
  </si>
  <si>
    <t xml:space="preserve">9c26a3035df0e090e72ebc2c</t>
  </si>
  <si>
    <t xml:space="preserve">Jane Austen Ball at Dumbarton House</t>
  </si>
  <si>
    <t xml:space="preserve">Georgetown DC</t>
  </si>
  <si>
    <t xml:space="preserve">b7f4e3db942f5ae7c34e6b15</t>
  </si>
  <si>
    <t xml:space="preserve">LHX Oct 2026 247.500 call (LHX261023C00247500) Stock Price, News, Quote &amp; History</t>
  </si>
  <si>
    <t xml:space="preserve">3736f2f63d1281b5fc7a040a</t>
  </si>
  <si>
    <t xml:space="preserve">Exelon Corporation Estimates – NASDAQ:EXC</t>
  </si>
  <si>
    <t xml:space="preserve">c8ca7f832692a075311d64f7</t>
  </si>
  <si>
    <t xml:space="preserve">FactSet Research Systems Inc. (FDS) latest stock news and headlines</t>
  </si>
  <si>
    <t xml:space="preserve">aabd84ddf191a786f4fcc499</t>
  </si>
  <si>
    <t xml:space="preserve">格隆匯快訊</t>
  </si>
  <si>
    <t xml:space="preserve">83822fc99072857bde4420d9</t>
  </si>
  <si>
    <t xml:space="preserve">179e467e6e0fa13585505c4b</t>
  </si>
  <si>
    <t xml:space="preserve">f9e68af5a3653b2e5bd98b46</t>
  </si>
  <si>
    <t xml:space="preserve">FIS Alpine Skiing World Cup: Women's Giant Slalom Run 2 - Sölden</t>
  </si>
  <si>
    <t xml:space="preserve">CBC</t>
  </si>
  <si>
    <t xml:space="preserve">ad910b940905e8f0a6036574</t>
  </si>
  <si>
    <t xml:space="preserve">2,143 Tesla, Inc. $TSLA Shares Sold by New Harbor Financial Group LLC</t>
  </si>
  <si>
    <t xml:space="preserve">25804d439b33ee44fa032a49</t>
  </si>
  <si>
    <t xml:space="preserve">Tesla, Inc. Estimates – FWB:TL0</t>
  </si>
  <si>
    <t xml:space="preserve">ab1e58384a83fc1bf46c25ec</t>
  </si>
  <si>
    <t xml:space="preserve">MDT May 2027 92.500 put (MDT270521P00092500) stock price, news, quote and history</t>
  </si>
  <si>
    <t xml:space="preserve">aa1e0bbe4207a8a338ab4720</t>
  </si>
  <si>
    <t xml:space="preserve">KIM</t>
  </si>
  <si>
    <t xml:space="preserve">Kimco Realty</t>
  </si>
  <si>
    <t xml:space="preserve">Kimco Realty Corporation (KIM) Stock Price, News, Quote &amp; History</t>
  </si>
  <si>
    <t xml:space="preserve">178f5cd7edb37994708133b0</t>
  </si>
  <si>
    <t xml:space="preserve">Honeywell International Inc. (HON) Stock Forecasts</t>
  </si>
  <si>
    <t xml:space="preserve">02bf7c748b6b7cc08fbded78</t>
  </si>
  <si>
    <t xml:space="preserve">CSX</t>
  </si>
  <si>
    <t xml:space="preserve">CSX Corporation</t>
  </si>
  <si>
    <t xml:space="preserve">CSX Data Breach</t>
  </si>
  <si>
    <t xml:space="preserve">Data Breach Class Action</t>
  </si>
  <si>
    <r>
      <rPr>
        <sz val="10"/>
        <rFont val="Arial"/>
        <family val="0"/>
        <charset val="1"/>
      </rPr>
      <t xml:space="preserve">CSX </t>
    </r>
    <r>
      <rPr>
        <sz val="10"/>
        <rFont val="Noto Sans CJK SC"/>
        <family val="2"/>
      </rPr>
      <t xml:space="preserve">資料外洩（標題僅簡述，需看原文）。</t>
    </r>
  </si>
  <si>
    <t xml:space="preserve">57201429e61629319a3ba033</t>
  </si>
  <si>
    <t xml:space="preserve">From Lupin Part 4 to The One About Matthew Perry : What to Watch on Netflix</t>
  </si>
  <si>
    <t xml:space="preserve">d2d00d131609ef25219d53d7</t>
  </si>
  <si>
    <t xml:space="preserve">Morgan Stanley China A Share Fund Inc. Estimates – NYSE:CAF</t>
  </si>
  <si>
    <t xml:space="preserve">262d2ef6e8daf48ac1feb061</t>
  </si>
  <si>
    <t xml:space="preserve">American Express Company (AXP) Stock Forecasts</t>
  </si>
  <si>
    <t xml:space="preserve">396e87b0402b7f2e989b5638</t>
  </si>
  <si>
    <t xml:space="preserve">Honeywell International Inc. (HON) Stock forecasts</t>
  </si>
  <si>
    <t xml:space="preserve">d4f65a7db1378f0f80423fcc</t>
  </si>
  <si>
    <t xml:space="preserve">UAL261113C00120000 interactive stock chart | UAL Nov 2026 120.000 call stock - Yahoo Finance</t>
  </si>
  <si>
    <t xml:space="preserve">71c4c8f8a659a6359b8d121d</t>
  </si>
  <si>
    <t xml:space="preserve">UnitedHealth Group (NYSE:UNH) Share Price, Forecast &amp; Analysis</t>
  </si>
  <si>
    <t xml:space="preserve">08a2a74a6d7d74281ccd5753</t>
  </si>
  <si>
    <t xml:space="preserve">9ca7be7daf77c01bab253ab3</t>
  </si>
  <si>
    <t xml:space="preserve">f06ea0e974336ee6cffd4394</t>
  </si>
  <si>
    <t xml:space="preserve">1e6b3b5b8a020055f6eb26a1</t>
  </si>
  <si>
    <t xml:space="preserve">6b0be8f0bf1461b6658a18b9</t>
  </si>
  <si>
    <t xml:space="preserve">2,224 Invesco QQQ $QQQ Shares Acquired by Foster Victor Wealth Advisors LLC</t>
  </si>
  <si>
    <t xml:space="preserve">f38f83441004353417d8b21e</t>
  </si>
  <si>
    <t xml:space="preserve">Veralto Corporation (VLTO) Stock Price, News, Quote &amp; History</t>
  </si>
  <si>
    <t xml:space="preserve">08e6553a73225e2083dcb59e</t>
  </si>
  <si>
    <t xml:space="preserve">Pfizer</t>
  </si>
  <si>
    <t xml:space="preserve">a061b0c9343f192cfab4aba9</t>
  </si>
  <si>
    <t xml:space="preserve">46bbf84eba843016787b60f4</t>
  </si>
  <si>
    <t xml:space="preserve">EQT</t>
  </si>
  <si>
    <t xml:space="preserve">EQT Corporation</t>
  </si>
  <si>
    <t xml:space="preserve">EQT Corporation Estimates – NYSE:EQT</t>
  </si>
  <si>
    <t xml:space="preserve">d60c0a4a2180b1495f9fb499</t>
  </si>
  <si>
    <t xml:space="preserve">CLX</t>
  </si>
  <si>
    <t xml:space="preserve">Clorox</t>
  </si>
  <si>
    <t xml:space="preserve">The Clorox Company (CLX) Stock Price, News, Quote &amp; History</t>
  </si>
  <si>
    <t xml:space="preserve">cad6df9dbf5d696167bca679</t>
  </si>
  <si>
    <t xml:space="preserve">Alphabet Inc. (Class C)</t>
  </si>
  <si>
    <t xml:space="preserve">6354630eb76ab618049d4e49</t>
  </si>
  <si>
    <t xml:space="preserve">79d88daa83ab394667d9362a</t>
  </si>
  <si>
    <t xml:space="preserve">FITB</t>
  </si>
  <si>
    <t xml:space="preserve">Fifth Third Bancorp</t>
  </si>
  <si>
    <t xml:space="preserve">Fifth Third Bancorp (FITB) Stock Price, News, Quote &amp; History</t>
  </si>
  <si>
    <t xml:space="preserve">ce71fe98cde1c98b328576a9</t>
  </si>
  <si>
    <t xml:space="preserve">M&amp;T Bank Corporation (MTB) Stock forecasts</t>
  </si>
  <si>
    <t xml:space="preserve">4fb06a3fadb7fc7330b98888</t>
  </si>
  <si>
    <t xml:space="preserve">Bristol-Myers Squibb (NYSE:BMY) Share Price, Forecast &amp; Analysis</t>
  </si>
  <si>
    <t xml:space="preserve">44de35ce57f86b908b7ac172</t>
  </si>
  <si>
    <t xml:space="preserve">TJX Companies (NYSE:TJX) Share Price, Forecast &amp; Analysis</t>
  </si>
  <si>
    <t xml:space="preserve">d4339dbe37ffa65911fac768</t>
  </si>
  <si>
    <t xml:space="preserve">PNC Financial Services (NYSE:PNC) Share Price, Forecast &amp; Analysis</t>
  </si>
  <si>
    <t xml:space="preserve">d164edf58459d5a344e2deeb</t>
  </si>
  <si>
    <t xml:space="preserve">What Blackstone Investors Missed Before The Fall</t>
  </si>
  <si>
    <t xml:space="preserve">f066e6dc40e43c667983946d</t>
  </si>
  <si>
    <t xml:space="preserve">LRCX Oct 2026 260.000 call (LRCX261030C00260000) Stock Price, News, Quote &amp; History</t>
  </si>
  <si>
    <t xml:space="preserve">56007cda024e6f8516cd9bb3</t>
  </si>
  <si>
    <t xml:space="preserve">2,406 International Business Machines Corporation $IBM Shares Sold by Culbertson A N &amp; Co. Inc.</t>
  </si>
  <si>
    <t xml:space="preserve">cefbfc5795f457e43d666b8f</t>
  </si>
  <si>
    <t xml:space="preserve">EOG Mar 2027 75.000 put (EOG270319P00075000) stock price, news, quote and history</t>
  </si>
  <si>
    <t xml:space="preserve">e47a962aab4dc34aba846ed5</t>
  </si>
  <si>
    <t xml:space="preserve">MCK</t>
  </si>
  <si>
    <t xml:space="preserve">McKesson Corporation</t>
  </si>
  <si>
    <t xml:space="preserve">McKesson (NYSE:MCK) Share Price, Forecast &amp; Analysis</t>
  </si>
  <si>
    <t xml:space="preserve">1e98cc38530e24f35f4df3ee</t>
  </si>
  <si>
    <t xml:space="preserve">United Parcel Service, Inc. Estimates – NYSE:UPS</t>
  </si>
  <si>
    <t xml:space="preserve">66f5ca55a36ddf67e6f98ff9</t>
  </si>
  <si>
    <t xml:space="preserve">LRCX Oct 2026 297.500 call (LRCX261023C00297500) Stock Price, News, Quote &amp; History</t>
  </si>
  <si>
    <t xml:space="preserve">75c519aee188e12d2e6212c6</t>
  </si>
  <si>
    <t xml:space="preserve">TSLA 261023 400.00C (TSLA261023C400000) Stock Options Chain | Quotes &amp; News</t>
  </si>
  <si>
    <t xml:space="preserve">c3062bc7ab33492f5447e359</t>
  </si>
  <si>
    <t xml:space="preserve">Oracle Corporation</t>
  </si>
  <si>
    <t xml:space="preserve">c74fb810a9f27061536d8bab</t>
  </si>
  <si>
    <t xml:space="preserve">Avery Dennison declares $1.00 quarterly dividend per share By Investing.com</t>
  </si>
  <si>
    <t xml:space="preserve">Investing.com Nigeria</t>
  </si>
  <si>
    <t xml:space="preserve">8847ad0cc3b63fbaee558751</t>
  </si>
  <si>
    <t xml:space="preserve">7cfa6fd6e2f7f8e147e60092</t>
  </si>
  <si>
    <t xml:space="preserve">XYZ Nov 2026 84.000 put (XYZ261113P00084000) Stock Price, News, Quote &amp; History</t>
  </si>
  <si>
    <t xml:space="preserve">bf53b2ea9c6236cf54b806c7</t>
  </si>
  <si>
    <t xml:space="preserve">TXN Mar 2027 340.000 put (TXN270319P00340000) interactive stock chart – Yahoo Finance</t>
  </si>
  <si>
    <t xml:space="preserve">b599d47c9407f32717dea088</t>
  </si>
  <si>
    <t xml:space="preserve">Louisiana Tech 26-0 Old Dominion (25 Oct, 2026) Game Recap</t>
  </si>
  <si>
    <t xml:space="preserve">d32a173627c079db02d4ec37</t>
  </si>
  <si>
    <t xml:space="preserve">PANW Oct 2026 110.000 put (PANW261030P00110000) Stock Price, News, Quote &amp; History</t>
  </si>
  <si>
    <t xml:space="preserve">4800d0d1b6207b0ee29ef6c1</t>
  </si>
  <si>
    <t xml:space="preserve">Vulcan Materials Company (VMC) Stock Price, News, Quote &amp; History</t>
  </si>
  <si>
    <t xml:space="preserve">22ab2ab4099a3205f1375398</t>
  </si>
  <si>
    <t xml:space="preserve">FedEx (NYSE:FDX) Share Price, Forecast &amp; Analysis</t>
  </si>
  <si>
    <t xml:space="preserve">8450fa8879cf52256697a06a</t>
  </si>
  <si>
    <t xml:space="preserve">Johnson &amp; Johnson</t>
  </si>
  <si>
    <t xml:space="preserve">0b5d76160f9a10a3a78573a5</t>
  </si>
  <si>
    <t xml:space="preserve">17899c7903f243253f8691a6</t>
  </si>
  <si>
    <t xml:space="preserve">Quanta Services, Inc. Estimates – NYSE:PWR</t>
  </si>
  <si>
    <t xml:space="preserve">4d42ded1395041b3ec1f7e38</t>
  </si>
  <si>
    <t xml:space="preserve">PGR</t>
  </si>
  <si>
    <t xml:space="preserve">Progressive Corporation</t>
  </si>
  <si>
    <t xml:space="preserve">Progressive (NYSE:PGR) Share Price, Forecast &amp; Analysis</t>
  </si>
  <si>
    <t xml:space="preserve">c7aeb9eb9107a48d4f0314a5</t>
  </si>
  <si>
    <t xml:space="preserve">LITE Nov 2026 1230.000 call (LITE261106C01230000) Stock Price, News, Quote &amp; History</t>
  </si>
  <si>
    <t xml:space="preserve">b18afeca4b586de9ce236be0</t>
  </si>
  <si>
    <t xml:space="preserve">Total current liabilities of DTE Energy Company – MUN:DGY</t>
  </si>
  <si>
    <t xml:space="preserve">92c35e83a6012635fb709fa3</t>
  </si>
  <si>
    <t xml:space="preserve">BlackRock 2037 Municipal Target Term Trust Estimates – BOATS:BMN</t>
  </si>
  <si>
    <t xml:space="preserve">bfcf24b2a9412dd7a13d2255</t>
  </si>
  <si>
    <t xml:space="preserve">Robinhood Markets Insider Sold Shares Worth $5,162,452, According to a Recent SEC Filing</t>
  </si>
  <si>
    <t xml:space="preserve">82f86ff1f4fca7f3e2795046</t>
  </si>
  <si>
    <t xml:space="preserve">LITE 261023 770.00P (LITE261023P770000) Stock Options Chain | Quotes &amp; News</t>
  </si>
  <si>
    <t xml:space="preserve">b34984506baccc14fcd073f4</t>
  </si>
  <si>
    <t xml:space="preserve">109,370 Citizens Financial Group, Inc. $CFG Shares Acquired by Signaturefd LLC</t>
  </si>
  <si>
    <t xml:space="preserve">4d7b1a5254f78409de152fbf</t>
  </si>
  <si>
    <t xml:space="preserve">Procter &amp; Gamble Hygiene &amp; Health Care Ltd. Estimates – NSE:PGHH</t>
  </si>
  <si>
    <t xml:space="preserve">ad26cc43b4a1b0c9e04ef605</t>
  </si>
  <si>
    <t xml:space="preserve">CCL Jun 2027 26.000 put (CCL270617P00026000) Stock Price, News, Quote &amp; History</t>
  </si>
  <si>
    <t xml:space="preserve">d69b832bfa6f0194d520d90c</t>
  </si>
  <si>
    <t xml:space="preserve">JBL Oct 2026 435.000 put (JBL261023P00435000) interactive stock chart – Yahoo Finance</t>
  </si>
  <si>
    <t xml:space="preserve">ac5f8aed218f3ff21fc72817</t>
  </si>
  <si>
    <t xml:space="preserve">AbbVie (NYSE:ABBV) Share Price, Forecast &amp; Analysis</t>
  </si>
  <si>
    <t xml:space="preserve">939e457b9800a741bdf4ec2b</t>
  </si>
  <si>
    <t xml:space="preserve">3M (NYSE:MMM) Share Price, Forecast &amp; Analysis</t>
  </si>
  <si>
    <t xml:space="preserve">6b33a9eded178a3dd8e7e50e</t>
  </si>
  <si>
    <t xml:space="preserve">Robert Cummins Obituary (2026)</t>
  </si>
  <si>
    <t xml:space="preserve">Legacy | Obituary</t>
  </si>
  <si>
    <t xml:space="preserve">1c1f7f1578382f79caa8aef7</t>
  </si>
  <si>
    <t xml:space="preserve">NDAQ Oct 2026 100.000 put (NDAQ261023P00100000) stock price, news, quote and history</t>
  </si>
  <si>
    <t xml:space="preserve">b1af46a6930c43d117bf4387</t>
  </si>
  <si>
    <t xml:space="preserve">LLY Nov 2026 1045.000 put (LLY261127P01045000) Stock Price, News, Quote &amp; History</t>
  </si>
  <si>
    <t xml:space="preserve">ff4b7d67a4794d86b8180787</t>
  </si>
  <si>
    <t xml:space="preserve">ROK Resources, Inc. Class B Estimates – FWB:8P2N</t>
  </si>
  <si>
    <t xml:space="preserve">22d6ed9cba6ee3beb0130258</t>
  </si>
  <si>
    <t xml:space="preserve">Blackrock MuniAssets Fund, Inc Estimates – BOATS:MUA</t>
  </si>
  <si>
    <t xml:space="preserve">63110f8456f29df0e7ceffee</t>
  </si>
  <si>
    <t xml:space="preserve">LRCX Oct 2026 220.000 call (LRCX261030C00220000) Stock Price, News, Quote &amp; History</t>
  </si>
  <si>
    <t xml:space="preserve">64a57cfbb46cede04aed61a9</t>
  </si>
  <si>
    <t xml:space="preserve">OXY Nov 2026 55.000 put (OXY261106P00055000) Stock Price, News, Quote &amp; History</t>
  </si>
  <si>
    <t xml:space="preserve">9ed62b50d49d8ef524881780</t>
  </si>
  <si>
    <t xml:space="preserve">SP Group A/S Estimates – OMXCOP:SPG</t>
  </si>
  <si>
    <t xml:space="preserve">ffafd98a58b9081d8f69c22c</t>
  </si>
  <si>
    <t xml:space="preserve">PSG vs Lyon: Ligue 1 McDonald's preview, predictions, team news and TV info</t>
  </si>
  <si>
    <t xml:space="preserve">LiveScore</t>
  </si>
  <si>
    <t xml:space="preserve">fd19e25dec3e42502a67eed4</t>
  </si>
  <si>
    <t xml:space="preserve">Steel Dynamics | 10-Q: Quarterly report</t>
  </si>
  <si>
    <t xml:space="preserve">918ea73755f61f712805ff8f</t>
  </si>
  <si>
    <t xml:space="preserve">Don't Ignore The Insider Selling In Accenture</t>
  </si>
  <si>
    <t xml:space="preserve">c5c174d78cb0d55d0734c5c0</t>
  </si>
  <si>
    <t xml:space="preserve">Is Earnings Growth Outlook Altering The Investment Case For Jabil (JBL)?</t>
  </si>
  <si>
    <t xml:space="preserve">640008e235ae043393f9607f</t>
  </si>
  <si>
    <t xml:space="preserve">AMGN Nov 2026 410.000 call (AMGN261113C00410000) interactive stock chart – Yahoo Finance</t>
  </si>
  <si>
    <t xml:space="preserve">0e0d56bcfb0d4c3d20f6f295</t>
  </si>
  <si>
    <t xml:space="preserve">Sac State looks to crash Ball State’s Homecoming party</t>
  </si>
  <si>
    <t xml:space="preserve">The State Hornet</t>
  </si>
  <si>
    <t xml:space="preserve">a2bf74228603f5298f27c96b</t>
  </si>
  <si>
    <t xml:space="preserve">CME Stock Price Prediction 2026-2027 | CME Group Forecast</t>
  </si>
  <si>
    <t xml:space="preserve">81ecf0f7e675c4ffdaf73377</t>
  </si>
  <si>
    <t xml:space="preserve">Chubb (NYSE:CB) Share Price, Forecast &amp; Analysis</t>
  </si>
  <si>
    <t xml:space="preserve">d07f13502830adb82d4dc337</t>
  </si>
  <si>
    <t xml:space="preserve">Aon (NYSE:AON) Share Price, Forecast &amp; Analysis</t>
  </si>
  <si>
    <t xml:space="preserve">b467ed0ea15a7f264f506182</t>
  </si>
  <si>
    <t xml:space="preserve">RJF Aug 2027 100.000 call (RJF270820C00100000) Stock Price, News, Quote &amp; History</t>
  </si>
  <si>
    <t xml:space="preserve">54cceb1a8c554ec613856b76</t>
  </si>
  <si>
    <t xml:space="preserve">Canada 31-22 England: No panic for England but Mitchell issues PWR warning</t>
  </si>
  <si>
    <t xml:space="preserve">BBC</t>
  </si>
  <si>
    <t xml:space="preserve">9177dbd0ce5804cea958cb5f</t>
  </si>
  <si>
    <t xml:space="preserve">Corteva declares $0.05 per share quarterly dividend</t>
  </si>
  <si>
    <t xml:space="preserve">f2dac20444eea8c580a64087</t>
  </si>
  <si>
    <t xml:space="preserve">SPGI 261023 445.00P (SPGI261023P445000) Stock Options Chain | Quotes &amp; News</t>
  </si>
  <si>
    <t xml:space="preserve">533354337bce1fc27dd0b9b6</t>
  </si>
  <si>
    <t xml:space="preserve">CMS releases medical frailty work-requirement guidance for Medicaid</t>
  </si>
  <si>
    <t xml:space="preserve">American Medical Association | AMA</t>
  </si>
  <si>
    <t xml:space="preserve">057d2290cd8466a7c669304e</t>
  </si>
  <si>
    <t xml:space="preserve">SNPS Jan 2029 390.000 put (SNPS290119P00390000) interactive stock chart – Yahoo Finance</t>
  </si>
  <si>
    <t xml:space="preserve">686482f33078eda53a0a57ab</t>
  </si>
  <si>
    <t xml:space="preserve">Invesco QQQ $QQQ Stock Sold by Axxcess Wealth Management LLC</t>
  </si>
  <si>
    <t xml:space="preserve">2ebb079148b3b6b864933eb5</t>
  </si>
  <si>
    <t xml:space="preserve">TRV Nov 2026 360.000 put (TRV261120P00360000) interactive stock chart – Yahoo Finance</t>
  </si>
  <si>
    <t xml:space="preserve">68136c3fb2bfbe799250dd65</t>
  </si>
  <si>
    <t xml:space="preserve">Apollo Global Management (NYSE:APO) Share Price, Forecast &amp; Analysis</t>
  </si>
  <si>
    <t xml:space="preserve">1a8f9419f4fef06faf6df3a7</t>
  </si>
  <si>
    <t xml:space="preserve">T.R.V. Rubber Products Public Co.,Ltd. Estimates – SET:TRV</t>
  </si>
  <si>
    <t xml:space="preserve">df3a9306f17d5310579cb2aa</t>
  </si>
  <si>
    <t xml:space="preserve">Verizon Galaxy Z Flip 7 512GB Is $819.99 at Best Buy, $400 Off</t>
  </si>
  <si>
    <t xml:space="preserve">SammyGuru</t>
  </si>
  <si>
    <t xml:space="preserve">57cfdf11f43da2ee6215a76e</t>
  </si>
  <si>
    <t xml:space="preserve">Devon Energy Corporation (DVN) Stock Price, News, Quote &amp; History</t>
  </si>
  <si>
    <t xml:space="preserve">9fe0db0c978c0c76a22be9ea</t>
  </si>
  <si>
    <t xml:space="preserve">CVS Health (CVS), What Is Behind The Fresh Attention?</t>
  </si>
  <si>
    <t xml:space="preserve">10dd835dfdbe1cf9d6d786b9</t>
  </si>
  <si>
    <t xml:space="preserve">Invesco NASDAQ 100 ETF (QQQM) Stock Price, News, Quote &amp; History</t>
  </si>
  <si>
    <t xml:space="preserve">9fd81f0cbdb32ee2421d2ee3</t>
  </si>
  <si>
    <t xml:space="preserve">Avery Dennison Maintains Quarterly Dividend at $1 a Share, Payable Dec. 16 to Shareholders of Record as of Dec. 2</t>
  </si>
  <si>
    <t xml:space="preserve">5762878eb82ce59eefd49a69</t>
  </si>
  <si>
    <t xml:space="preserve">AVGO 261023 415.00P (AVGO261023P415000) Stock Options Chain | Quotes &amp; News</t>
  </si>
  <si>
    <t xml:space="preserve">5a00b97cd735d4590fd2ce05</t>
  </si>
  <si>
    <t xml:space="preserve">What Is Keeping IBM (NYSE:IBM) in Market Focus?</t>
  </si>
  <si>
    <t xml:space="preserve">79422f707876991bd546d905</t>
  </si>
  <si>
    <t xml:space="preserve">ACN Oct 2026 217.500 put (ACN261023P00217500) interactive stock chart – Yahoo Finance</t>
  </si>
  <si>
    <t xml:space="preserve">f22df7e9fddaa25a3dd9120f</t>
  </si>
  <si>
    <t xml:space="preserve">Airbnb Sets New Rules That Limit Checkout Chores: What VA Travelers Need To Know</t>
  </si>
  <si>
    <t xml:space="preserve">Patch</t>
  </si>
  <si>
    <t xml:space="preserve">8e4df374222c32070cb91708</t>
  </si>
  <si>
    <t xml:space="preserve">Waterco Limited Estimates – ASX:WAT</t>
  </si>
  <si>
    <t xml:space="preserve">b96f1810357c34bdfe760d4b</t>
  </si>
  <si>
    <t xml:space="preserve">QUALCOMM’s Quarterly Earnings Preview: What You Need to Know</t>
  </si>
  <si>
    <t xml:space="preserve">f1c264fac8eed81d0c8b2bc8</t>
  </si>
  <si>
    <t xml:space="preserve">Cadence sets October 26 results date. Cadence Design Systems stock costs EUR 283.60</t>
  </si>
  <si>
    <t xml:space="preserve">dd0bafde8d85ed952fc20e17</t>
  </si>
  <si>
    <t xml:space="preserve">2,500 Invesco QQQ $QQQ Shares Sold by Wealth Management Partners LLC</t>
  </si>
  <si>
    <t xml:space="preserve">53904a0f59f89050bba0f1bd</t>
  </si>
  <si>
    <t xml:space="preserve">Bristol Myers Squibb Company $BMY Stock Sold by Axxcess Wealth Management LLC</t>
  </si>
  <si>
    <t xml:space="preserve">456e264533e0a91fe6a64235</t>
  </si>
  <si>
    <t xml:space="preserve">The GeForce RTX 5090 is back in stock at Walmart for $3999.</t>
  </si>
  <si>
    <t xml:space="preserve">bd602da01b1d9131c31d1a93</t>
  </si>
  <si>
    <t xml:space="preserve">Verizon (NYSE:VZ) Share Price, Forecast &amp; Analysis</t>
  </si>
  <si>
    <t xml:space="preserve">e123f28defee0740bad69dad</t>
  </si>
  <si>
    <t xml:space="preserve">YUM Jan 2028 145.000 put (YUM280121P00145000) interactive stock chart – Yahoo Finance</t>
  </si>
  <si>
    <t xml:space="preserve">017fc1684e225ac808b5305a</t>
  </si>
  <si>
    <t xml:space="preserve">1,448 Invesco QQQ $QQQ Shares Sold by Oxler Private Wealth LLC</t>
  </si>
  <si>
    <t xml:space="preserve">4ca795fd7d785e5ecb78743a</t>
  </si>
  <si>
    <t xml:space="preserve">TTD Nov 2026 19.000 put (TTD261106P00019000) interactive stock chart – Yahoo Finance</t>
  </si>
  <si>
    <t xml:space="preserve">5a6c0c14c37d7fdb9dcd564e</t>
  </si>
  <si>
    <t xml:space="preserve">Lam Research Corporation Estimates – MUN:LAR0</t>
  </si>
  <si>
    <t xml:space="preserve">cfec8561bae5a6f0d812d53b</t>
  </si>
  <si>
    <t xml:space="preserve">AMGN Oct 2026 350.000 put (AMGN261023P00350000) interactive stock chart – Yahoo Finance</t>
  </si>
  <si>
    <t xml:space="preserve">3a8f8789f1116d4f75b5494e</t>
  </si>
  <si>
    <t xml:space="preserve">JBHT261120C00120000 interactive stock chart | JBHT Nov 2026 120.000 call stock - Yahoo Finance</t>
  </si>
  <si>
    <t xml:space="preserve">a080db1e927f397161efe378</t>
  </si>
  <si>
    <t xml:space="preserve">XYL</t>
  </si>
  <si>
    <t xml:space="preserve">Xylem Inc.</t>
  </si>
  <si>
    <t xml:space="preserve">Xylem Inc. Estimates – TRADEGATE:XY6</t>
  </si>
  <si>
    <t xml:space="preserve">ed055968d052573e1c4248ef</t>
  </si>
  <si>
    <t xml:space="preserve">Behavioral Patterns of TDG and Institutional Flows</t>
  </si>
  <si>
    <t xml:space="preserve">Stock Traders Daily</t>
  </si>
  <si>
    <t xml:space="preserve">60b2c698134676be827113ce</t>
  </si>
  <si>
    <t xml:space="preserve">Broadcom Inc. $AVGO Stock Bought by Guardian Partners Inc.</t>
  </si>
  <si>
    <t xml:space="preserve">4194ff576bf881c646a1cc17</t>
  </si>
  <si>
    <t xml:space="preserve">BRO</t>
  </si>
  <si>
    <t xml:space="preserve">Brown &amp; Brown</t>
  </si>
  <si>
    <t xml:space="preserve">26,500 Brown &amp; Brown, Inc. $BRO Shares Purchased by Wedbush Securities Inc.</t>
  </si>
  <si>
    <t xml:space="preserve">d854bf74b62b089d6b257752</t>
  </si>
  <si>
    <t xml:space="preserve">BNY, formerly Bank of New York Mellon (NYSE:BNY) Share Price, Forecast &amp; Analysis</t>
  </si>
  <si>
    <t xml:space="preserve">edf1839b76aff1d4d4cdec1a</t>
  </si>
  <si>
    <t xml:space="preserve">CME Group (NYSE:CME) Share Price, Forecast &amp; Analysis</t>
  </si>
  <si>
    <t xml:space="preserve">9fe41fa0fe28f1af60a9937f</t>
  </si>
  <si>
    <t xml:space="preserve">Yum! Brands, Inc. Estimates – NYSE:YUM</t>
  </si>
  <si>
    <t xml:space="preserve">b47dd719805a9341f456ec5f</t>
  </si>
  <si>
    <t xml:space="preserve">Top Stock Reports for Apple, Berkshire Hathaway &amp; Goldman Sachs</t>
  </si>
  <si>
    <t xml:space="preserve">fe43f9729e62f95fe9ae8eef</t>
  </si>
  <si>
    <t xml:space="preserve">Clorox Company (The) Estimates – NYSE:CLX</t>
  </si>
  <si>
    <t xml:space="preserve">b2e112a1284d7b71576ed5ba</t>
  </si>
  <si>
    <t xml:space="preserve">TEL</t>
  </si>
  <si>
    <t xml:space="preserve">TE Connectivity</t>
  </si>
  <si>
    <t xml:space="preserve">TE Connectivity (NYSE:TEL) Share Price, Forecast &amp; Analysis</t>
  </si>
  <si>
    <t xml:space="preserve">e4d151288da58c24c5a8b47f</t>
  </si>
  <si>
    <t xml:space="preserve">ZTS</t>
  </si>
  <si>
    <t xml:space="preserve">Zoetis</t>
  </si>
  <si>
    <t xml:space="preserve">Zoetis (ZTS) Registers a Bigger Fall Than the Market: Important Facts to Note</t>
  </si>
  <si>
    <t xml:space="preserve">58cdbc22e5debdb368d524cf</t>
  </si>
  <si>
    <t xml:space="preserve">BRK.B</t>
  </si>
  <si>
    <t xml:space="preserve">Berkshire Hathaway</t>
  </si>
  <si>
    <t xml:space="preserve">18a2eab6d4d30e3957edddda</t>
  </si>
  <si>
    <t xml:space="preserve">Incyte Corporation Estimates – NASDAQ:INCY</t>
  </si>
  <si>
    <t xml:space="preserve">53ac0517a21ae82a90a180e8</t>
  </si>
  <si>
    <t xml:space="preserve">Bristol-Myers Squibb Company Estimates – NYSE:BMY</t>
  </si>
  <si>
    <t xml:space="preserve">45c135643c16406ff5e5b04a</t>
  </si>
  <si>
    <t xml:space="preserve">Did You Miss These Tech Earnings Beats and Misses? Spotify (NYSE:SPOT), Western Digital (NASDAQ:WDC), Roper Technologies (NASDAQ:ROP) and More</t>
  </si>
  <si>
    <t xml:space="preserve">1107b85a1b9cf30d07b84ffe</t>
  </si>
  <si>
    <t xml:space="preserve">TSLA Oct 2026 315.000 call (TSLA261028C00315000) interactive stock chart – Yahoo Finance</t>
  </si>
  <si>
    <t xml:space="preserve">8d0a45288254689ac28f0595</t>
  </si>
  <si>
    <t xml:space="preserve">ROL Jan 2027 30.000 call (ROL270115C00030000) interactive stock chart – Yahoo Finance</t>
  </si>
  <si>
    <t xml:space="preserve">23596851636605c52c3e6b91</t>
  </si>
  <si>
    <t xml:space="preserve">EchoStar Corporation Shs Thailand Depositary Receipts Repr 1 Sh Estimates – SET:ECHO03</t>
  </si>
  <si>
    <t xml:space="preserve">bd904cce0ef79731cde4f83e</t>
  </si>
  <si>
    <t xml:space="preserve">10,600 Synopsys, Inc. $SNPS Shares Acquired by Robeco Schweiz AG</t>
  </si>
  <si>
    <t xml:space="preserve">5eaf616171579855c109d26e</t>
  </si>
  <si>
    <t xml:space="preserve">Governing Microsoft 365 Copilot at Work | Kovrr</t>
  </si>
  <si>
    <t xml:space="preserve">Security Boulevard</t>
  </si>
  <si>
    <t xml:space="preserve">e9f1812b970c7c660f3b2c0d</t>
  </si>
  <si>
    <t xml:space="preserve">How Much Could Amgen Stock Give Back?</t>
  </si>
  <si>
    <t xml:space="preserve">75c242bbf37c3278a4fc157a</t>
  </si>
  <si>
    <t xml:space="preserve">PANW Oct 2026 100.000 put (PANW261030P00100000) Stock Price, News, Quote &amp; History</t>
  </si>
  <si>
    <t xml:space="preserve">439fe75aea273040dd8a5591</t>
  </si>
  <si>
    <t xml:space="preserve">American Express (NYSE:AXP) Share Price, Forecast &amp; Analysis</t>
  </si>
  <si>
    <t xml:space="preserve">e69ee178b522cc091f19f9db</t>
  </si>
  <si>
    <t xml:space="preserve">ACN Oct 2026 180.000 put (ACN261023P00180000) interactive stock chart</t>
  </si>
  <si>
    <t xml:space="preserve">bcc52dc114f609cfc7fd5ed9</t>
  </si>
  <si>
    <t xml:space="preserve">Can unarmed ICE agents show up at the polls? Dane County, WEC have different answers</t>
  </si>
  <si>
    <t xml:space="preserve">Civic Media</t>
  </si>
  <si>
    <t xml:space="preserve">d54e8e78a376fbbd68ac2b8f</t>
  </si>
  <si>
    <t xml:space="preserve">Public Storage (NYSE:PSA) Share Price, Forecast &amp; Analysis</t>
  </si>
  <si>
    <t xml:space="preserve">3f3aaa116dac470aae7c3a51</t>
  </si>
  <si>
    <t xml:space="preserve">CVS Health (NYSE:CVS) Share Price, Forecast &amp; Analysis</t>
  </si>
  <si>
    <t xml:space="preserve">8928050af84c22b31253e766</t>
  </si>
  <si>
    <t xml:space="preserve">SanDisk's Oct 29 earnings will reveal if AI sto...</t>
  </si>
  <si>
    <t xml:space="preserve">3b7e5693ff1e616224148714</t>
  </si>
  <si>
    <t xml:space="preserve">Stryker (NYSE:SYK) Share Price, Forecast &amp; Analysis</t>
  </si>
  <si>
    <t xml:space="preserve">75d66061ece50b210aa6b8e5</t>
  </si>
  <si>
    <t xml:space="preserve">Obituary: Morgan Stanley Hole</t>
  </si>
  <si>
    <t xml:space="preserve">Park Record | Park City, Utah</t>
  </si>
  <si>
    <t xml:space="preserve">5652757ee8550789fce4b312</t>
  </si>
  <si>
    <t xml:space="preserve">Masco Corporation (MAS) Stock Forecasts</t>
  </si>
  <si>
    <t xml:space="preserve">a81105171e76d9a98326df2b</t>
  </si>
  <si>
    <t xml:space="preserve">7,508 International Business Machines Corporation $IBM Shares Acquired by Tectonic Advisors LLC</t>
  </si>
  <si>
    <t xml:space="preserve">96666d815e6e5a64ddedf462</t>
  </si>
  <si>
    <t xml:space="preserve">Brown &amp; Brown launches COMPASS before Brown &amp; Brown stock results</t>
  </si>
  <si>
    <t xml:space="preserve">c2800f8e2042631a64ab97ff</t>
  </si>
  <si>
    <t xml:space="preserve">American Tower Stock Before Q3 Earnings: Smart Buy or Risky Move?</t>
  </si>
  <si>
    <t xml:space="preserve">c9cabfb5876206ad11e639db</t>
  </si>
  <si>
    <t xml:space="preserve">CVS 261023 77.00C (CVS261023C77000) Stock Options Chain | Quotes &amp; News</t>
  </si>
  <si>
    <t xml:space="preserve">e1587361a8ae6dd688fafe1a</t>
  </si>
  <si>
    <t xml:space="preserve">iShares MSCI China ETF Unsponsored Brazilian Depositary Receipt Repr 0.125 Sh Estimates – BMFBOVESPA:BCHI39</t>
  </si>
  <si>
    <t xml:space="preserve">955a497ae5c0c3f6648e6b40</t>
  </si>
  <si>
    <t xml:space="preserve">SOLV</t>
  </si>
  <si>
    <t xml:space="preserve">Solventum</t>
  </si>
  <si>
    <t xml:space="preserve">Solventum Corporation Estimates – NYSE:SOLV</t>
  </si>
  <si>
    <t xml:space="preserve">83d05c383a93135c5b675d3c</t>
  </si>
  <si>
    <t xml:space="preserve">DOV</t>
  </si>
  <si>
    <t xml:space="preserve">Dover Corporation</t>
  </si>
  <si>
    <t xml:space="preserve">Dover Corporation Estimates – XETR:DOV</t>
  </si>
  <si>
    <t xml:space="preserve">8ee71d56204e665a80cdced5</t>
  </si>
  <si>
    <t xml:space="preserve">BMO MSCI USA VALUE INDEX ETF (ZVU.NE) stock price, news, quote and history</t>
  </si>
  <si>
    <t xml:space="preserve">12c32742ea62ff4bf2f30259</t>
  </si>
  <si>
    <t xml:space="preserve">AMETEK schedules November 3 results for AMETEK stock</t>
  </si>
  <si>
    <t xml:space="preserve">0ea9fa72e769bc5c14895d2f</t>
  </si>
  <si>
    <t xml:space="preserve">HONA INVESTOR DEADLINE: Honeywell Aerospace Inc. Investors</t>
  </si>
  <si>
    <t xml:space="preserve">88962e017e3ba3d298a7b148</t>
  </si>
  <si>
    <t xml:space="preserve">OXY Nov 2026 60.000 call (OXY261127C00060000) interactive stock chart – Yahoo Finance</t>
  </si>
  <si>
    <t xml:space="preserve">b15f2b248ccd471dd14965e5</t>
  </si>
  <si>
    <t xml:space="preserve">Automatic Data Processing stock costs EUR 273.63 before October 28 results</t>
  </si>
  <si>
    <t xml:space="preserve">5bb0bb2a19d32e591e411732</t>
  </si>
  <si>
    <t xml:space="preserve">HPQ Nov 2026 39.000 call (HPQ261106C00039000) interactive stock chart – Yahoo Finance</t>
  </si>
  <si>
    <t xml:space="preserve">0335e5d83f15ab7742b5cc5c</t>
  </si>
  <si>
    <t xml:space="preserve">KLAC</t>
  </si>
  <si>
    <t xml:space="preserve">KLA Corporation</t>
  </si>
  <si>
    <t xml:space="preserve">Cost of goods sold of KLA Corporation Shs Thailand Depositary Receipts Repr 1 Sh – SET:KLAC03</t>
  </si>
  <si>
    <t xml:space="preserve">81be6e6db76d55e60aa3da10</t>
  </si>
  <si>
    <t xml:space="preserve">Procter &amp; Gamble (NYSE:PG) Share Price, Forecast &amp; Analysis</t>
  </si>
  <si>
    <t xml:space="preserve">73264950e7a95e9db716a01e</t>
  </si>
  <si>
    <t xml:space="preserve">Jets-Dolphins Game Recap | Green &amp; White Fall, 28-25, to Miami at MetLife Stadium</t>
  </si>
  <si>
    <t xml:space="preserve">7fc523e397f0164dc289bc9a</t>
  </si>
  <si>
    <t xml:space="preserve">AAPL Oct 2026 170.000 put (AAPL261023P00170000) interactive stock chart – Yahoo Finance</t>
  </si>
  <si>
    <t xml:space="preserve">01e85fb114bd7d4667bf83cd</t>
  </si>
  <si>
    <t xml:space="preserve">GLOBAL X FDS (^DTCR) Stock Price, News, Quote &amp; History</t>
  </si>
  <si>
    <t xml:space="preserve">21f82eaa9fe7b1b1c958e02e</t>
  </si>
  <si>
    <t xml:space="preserve">FIS Alpine Skiing World Cup: Women's Giant Slalom Run 1 - Sölden</t>
  </si>
  <si>
    <t xml:space="preserve">46fb1886a773f7464168e5eb</t>
  </si>
  <si>
    <t xml:space="preserve">Procter &amp; Gamble Company (The) $PG Stock Sold by James Investment Research Inc.</t>
  </si>
  <si>
    <t xml:space="preserve">9563495f08e93ff63066d19b</t>
  </si>
  <si>
    <t xml:space="preserve">HON261023P00217500 interactive stock chart | HON Oct 2026 217.500 put stock</t>
  </si>
  <si>
    <t xml:space="preserve">00082caf2b93cc98d0e211e5</t>
  </si>
  <si>
    <t xml:space="preserve">28,412 Analog Devices, Inc. $ADI Shares Sold by Robeco Schweiz AG</t>
  </si>
  <si>
    <t xml:space="preserve">6b71d93b5f88a9cf82ecdcb5</t>
  </si>
  <si>
    <t xml:space="preserve">QCOM261204C00215000 Interactive Stock Chart | QCOM Dec 2026 215.000 call Stock - Yahoo Finance</t>
  </si>
  <si>
    <t xml:space="preserve">88682accb561185d3749d6a5</t>
  </si>
  <si>
    <t xml:space="preserve">Tesla, Inc. $TSLA Stock Acquired by Gibbs Wealth Management</t>
  </si>
  <si>
    <t xml:space="preserve">42fb8d64f01468d9f34e6560</t>
  </si>
  <si>
    <t xml:space="preserve">NDAQ261106C00097000 interactive stock chart | NDAQ Nov 2026 97.000 call stock - Yahoo Finance</t>
  </si>
  <si>
    <t xml:space="preserve">73a12a7f1b0aec83ee9f7eee</t>
  </si>
  <si>
    <t xml:space="preserve">Laxapana PLC Estimates – CSELK:LITE.N0000</t>
  </si>
  <si>
    <t xml:space="preserve">63b915a6aa883ff17e083f8d</t>
  </si>
  <si>
    <t xml:space="preserve">Iranian plots to kill U.S. officials in Middle East have reached ‘advanced stages,’ intel memo warns</t>
  </si>
  <si>
    <t xml:space="preserve">3d1a54f6089e4216c7c3bc2a</t>
  </si>
  <si>
    <t xml:space="preserve">Preferred Stocks &amp; More: October 25th (NYSE:COF)</t>
  </si>
  <si>
    <t xml:space="preserve">121d572bf4485fe304e5b5ad</t>
  </si>
  <si>
    <t xml:space="preserve">Robinhood Markets stock trades at EUR 84.92 before October 27 results</t>
  </si>
  <si>
    <t xml:space="preserve">cc26749c21af2123ecba3512</t>
  </si>
  <si>
    <t xml:space="preserve">TSLA Jan 2029 170.000 call (TSLA290119C00170000) interactive stock chart – Yahoo Finance</t>
  </si>
  <si>
    <t xml:space="preserve">3f501bcff85fdd1fd84e5ceb</t>
  </si>
  <si>
    <t xml:space="preserve">Republic Services announces change to Plymouth big item collection schedule</t>
  </si>
  <si>
    <t xml:space="preserve">am1050.com</t>
  </si>
  <si>
    <t xml:space="preserve">872fb76dae98e7504534ba45</t>
  </si>
  <si>
    <t xml:space="preserve">Pentair plc. Estimates – NYSE:PNR</t>
  </si>
  <si>
    <t xml:space="preserve">296df9c7785923727672bc9a</t>
  </si>
  <si>
    <t xml:space="preserve">HON261023P00207500 interactive stock chart | HON Oct 2026 207.500 put stock</t>
  </si>
  <si>
    <t xml:space="preserve">c65eebe01dc953b1cb60cf41</t>
  </si>
  <si>
    <t xml:space="preserve">ABT270219C00160000 interactive stock chart | ABT Feb 2027 160.000 call stock - Yahoo Finance</t>
  </si>
  <si>
    <t xml:space="preserve">558e3249aa63b91309cbb4ef</t>
  </si>
  <si>
    <t xml:space="preserve">17,497 Merck &amp; Co., Inc. $MRK Shares Acquired by Bernardo Wealth Planning LLC</t>
  </si>
  <si>
    <t xml:space="preserve">12f2285b91d4100da0a7221a</t>
  </si>
  <si>
    <t xml:space="preserve">DG or ROST: Which Is the Better Value Stock Right Now?</t>
  </si>
  <si>
    <t xml:space="preserve">e548197797c901f10530ebb8</t>
  </si>
  <si>
    <t xml:space="preserve">JBL Nov 2026 250.000 put (JBL261106P00250000) interactive stock chart – Yahoo Finance</t>
  </si>
  <si>
    <t xml:space="preserve">6523987c335deab875804e3c</t>
  </si>
  <si>
    <t xml:space="preserve">JBL Oct 2026 315.000 call (JBL261023C00315000) interactive stock chart</t>
  </si>
  <si>
    <t xml:space="preserve">af3d120504fee19b8157f2cb</t>
  </si>
  <si>
    <t xml:space="preserve">What Will Decide UnitedHealth Group Stock Over The Next Six Months?</t>
  </si>
  <si>
    <t xml:space="preserve">597ed781c8f4abf02ca1b8dc</t>
  </si>
  <si>
    <t xml:space="preserve">Broadcom Inc. $AVGO Shares Acquired by Vest Financial LLC</t>
  </si>
  <si>
    <t xml:space="preserve">d518759ef881949a5b82ab2c</t>
  </si>
  <si>
    <t xml:space="preserve">Public Service Enterprise Group Incorporated (PEG) Stock Price, News, Quote &amp; History</t>
  </si>
  <si>
    <t xml:space="preserve">279b41cb988ea8be5246598e</t>
  </si>
  <si>
    <t xml:space="preserve">12,083 T-Mobile US, Inc. $TMUS Shares Acquired by Vest Financial LLC</t>
  </si>
  <si>
    <t xml:space="preserve">7ce8d0a4f958f2e4a532843d</t>
  </si>
  <si>
    <t xml:space="preserve">MSI Dec 2026 470.000 put (MSI261218P00470000) interactive stock chart</t>
  </si>
  <si>
    <t xml:space="preserve">86f59ae9638f2363e8243844</t>
  </si>
  <si>
    <t xml:space="preserve">Union Pacific Corporation Estimates – BCS:UNP1</t>
  </si>
  <si>
    <t xml:space="preserve">fb56ff53cc24f258bf7d6f53</t>
  </si>
  <si>
    <t xml:space="preserve">JBL Oct 2026 375.000 call (JBL261023C00375000) interactive stock chart – Yahoo Finance</t>
  </si>
  <si>
    <t xml:space="preserve">f0c9be2a2af49127e1381ea8</t>
  </si>
  <si>
    <t xml:space="preserve">Chevron (NYSE:CVX) Share Price, Forecast &amp; Analysis</t>
  </si>
  <si>
    <t xml:space="preserve">c42094ce71df63bea1fa9407</t>
  </si>
  <si>
    <t xml:space="preserve">TransDigm (NYSE:TDG) Share Price, Forecast &amp; Analysis</t>
  </si>
  <si>
    <t xml:space="preserve">3a2832da271283cda870a1d7</t>
  </si>
  <si>
    <t xml:space="preserve">Truist Financial (NYSE:TFC) Share Price, Forecast &amp; Analysis</t>
  </si>
  <si>
    <t xml:space="preserve">e05953e85086d59ddee36897</t>
  </si>
  <si>
    <t xml:space="preserve">KIM Italy Logistics Real Estate Trust 1-A Units 2022-29.11.2027 Estimates – KRX:76201BC5</t>
  </si>
  <si>
    <t xml:space="preserve">2107a37a18629a27f0410734</t>
  </si>
  <si>
    <t xml:space="preserve">Corteva (NYSE:CTVA) Share Price, Forecast &amp; Analysis</t>
  </si>
  <si>
    <t xml:space="preserve">7bc03637528b79b77f567edd</t>
  </si>
  <si>
    <t xml:space="preserve">Invesco Asia Dragon Trust PLC GBP Estimates – TURQUOISE:IADL</t>
  </si>
  <si>
    <t xml:space="preserve">dd4da7baad1ade033706e520</t>
  </si>
  <si>
    <t xml:space="preserve">Power Probe Plc Estimates – LSE:PWR</t>
  </si>
  <si>
    <t xml:space="preserve">d1c8b8ba0c2e6573f4b4bbcb</t>
  </si>
  <si>
    <t xml:space="preserve">Cooking with Jenny: Pumpkin-Shaped Cheese Ball recipe for Halloween</t>
  </si>
  <si>
    <t xml:space="preserve">WCNC</t>
  </si>
  <si>
    <t xml:space="preserve">138a74d352725af93ff0cb0b</t>
  </si>
  <si>
    <t xml:space="preserve">Goldman Sachs Group Inc 4.5 % Notes 2025-30.09.40</t>
  </si>
  <si>
    <t xml:space="preserve">4349f3916a6ccfe358acd12f</t>
  </si>
  <si>
    <t xml:space="preserve">Players cash in at Pickle Money Ball event in Florida</t>
  </si>
  <si>
    <t xml:space="preserve">The Kitchen Pickleball</t>
  </si>
  <si>
    <t xml:space="preserve">34e1e65df25ffda0a3899137</t>
  </si>
  <si>
    <t xml:space="preserve">United Rentals (NYSE:URI) Share Price, Forecast &amp; Analysis</t>
  </si>
  <si>
    <t xml:space="preserve">c68c030f105a341be12eba1c</t>
  </si>
  <si>
    <t xml:space="preserve">GPC</t>
  </si>
  <si>
    <t xml:space="preserve">Genuine Parts Company</t>
  </si>
  <si>
    <t xml:space="preserve">How Investors May Respond To Genuine Parts (GPC) Lowered EPS Guidance</t>
  </si>
  <si>
    <t xml:space="preserve">EARNINGS_WARNING</t>
  </si>
  <si>
    <r>
      <rPr>
        <sz val="10"/>
        <rFont val="Arial"/>
        <family val="0"/>
        <charset val="1"/>
      </rPr>
      <t xml:space="preserve">Genuine Parts </t>
    </r>
    <r>
      <rPr>
        <sz val="10"/>
        <rFont val="Noto Sans CJK SC"/>
        <family val="2"/>
      </rPr>
      <t xml:space="preserve">下調每股盈餘財測。</t>
    </r>
  </si>
  <si>
    <t xml:space="preserve">f5a3c3fe1b64e61d9a898616</t>
  </si>
  <si>
    <t xml:space="preserve">3,074 Linde PLC $LIN Shares Sold by Brookstone Capital Management</t>
  </si>
  <si>
    <t xml:space="preserve">e4184345882e8f7566cb4013</t>
  </si>
  <si>
    <t xml:space="preserve">BLK,BABA,META,CVX,MU,NYT,ORCL,AAL,DIS,CRWV,T,UNP,VTRS,CVNA,CNC,HPE,CMG,AMZN | stock prices | quote comparison</t>
  </si>
  <si>
    <t xml:space="preserve">fbc46b203c43f12dbe204053</t>
  </si>
  <si>
    <t xml:space="preserve">HLT Global Bhd. Estimates – MYX:HLT</t>
  </si>
  <si>
    <t xml:space="preserve">9120f10190221445c3e279e1</t>
  </si>
  <si>
    <t xml:space="preserve">Regional Container Lines Public Co. Ltd. NVDR Estimates – SET:RCL.R</t>
  </si>
  <si>
    <t xml:space="preserve">c8ad988667a518c1a0a8fd1d</t>
  </si>
  <si>
    <t xml:space="preserve">69cbe828f3a7f112fc853fb3</t>
  </si>
  <si>
    <t xml:space="preserve">4a36ff26460170915c040502</t>
  </si>
  <si>
    <t xml:space="preserve">PTC Therapeutics, Inc. Estimates – NASDAQ:PTCT</t>
  </si>
  <si>
    <t xml:space="preserve">184e53be3dfcc34b692216a5</t>
  </si>
  <si>
    <t xml:space="preserve">SNPS Oct 2026 265.000 put (SNPS261030P00265000) interactive stock chart – Yahoo Finance</t>
  </si>
  <si>
    <t xml:space="preserve">671e8c983c1664adb5fd2dd8</t>
  </si>
  <si>
    <t xml:space="preserve">Why Is Honeywell International (NASDAQ:HON) Drawing Market Focus?</t>
  </si>
  <si>
    <t xml:space="preserve">82afb56fd9e5e1ae855201cf</t>
  </si>
  <si>
    <t xml:space="preserve">Northern Trust ESG &amp; Climate In (^IBDW-TC) latest stock news and headlines</t>
  </si>
  <si>
    <t xml:space="preserve">5a774a83d85869080b173367</t>
  </si>
  <si>
    <t xml:space="preserve">General Dynamics (GD) Appoints Amy Johnson as GDIT President</t>
  </si>
  <si>
    <t xml:space="preserve">a25fc1348bb0e8983ad9ff7f</t>
  </si>
  <si>
    <t xml:space="preserve">DXYZ,AMR,RSG,WBD,AMAL,ESTC,UBER,TSN,QVCG | Stock Prices | Quote Comparison - Yahoo Finance</t>
  </si>
  <si>
    <t xml:space="preserve">ae2b814a45195131826e82b4</t>
  </si>
  <si>
    <t xml:space="preserve">Trimble Inc. Estimates – NASDAQ:TRMB</t>
  </si>
  <si>
    <t xml:space="preserve">81d07027c7425d1f628e305c</t>
  </si>
  <si>
    <t xml:space="preserve">REG - Leverage Shares PLC Leverage -4Xshrtsem$ Leverage -4Xshrtsem£ - Notice of Adjourned Meeting - -4x Semiconductors</t>
  </si>
  <si>
    <t xml:space="preserve">bcd16cb0c5177c9f4ce84572</t>
  </si>
  <si>
    <t xml:space="preserve">Fantasy Football Week 7 Flex Rankings: Which RB/WR/TE Should You Start?</t>
  </si>
  <si>
    <t xml:space="preserve">Athlon Sports</t>
  </si>
  <si>
    <t xml:space="preserve">79bbbfb9ce306b3f6adf2246</t>
  </si>
  <si>
    <t xml:space="preserve">Form 144 Paychex For: 25 October By Investing.com</t>
  </si>
  <si>
    <t xml:space="preserve">Investing.com South Africa</t>
  </si>
  <si>
    <t xml:space="preserve">201f0b8bd3a45ef45ccb42f5</t>
  </si>
  <si>
    <t xml:space="preserve">Cummins (CMI), What Is Behind The Fresh Attention?</t>
  </si>
  <si>
    <t xml:space="preserve">592c23a046e55abc63e5a67f</t>
  </si>
  <si>
    <t xml:space="preserve">Union Pacific Corporation $UNP Stock Sold by Community Bank of Raymore</t>
  </si>
  <si>
    <t xml:space="preserve">1a9bf689a922993bdb49186a</t>
  </si>
  <si>
    <t xml:space="preserve">LLY Nov 2026 1160.000 call (LLY261127C01160000) interactive stock chart – Yahoo Finance</t>
  </si>
  <si>
    <t xml:space="preserve">29f39b402c2f423e3e787df0</t>
  </si>
  <si>
    <t xml:space="preserve">CBOE290119P00185000 interactive stock chart | CBOE Jan 2029 185.000 put stock - Yahoo Finance</t>
  </si>
  <si>
    <t xml:space="preserve">0a8ed35d2e70602d06fbc838</t>
  </si>
  <si>
    <t xml:space="preserve">TTD Oct 2026 6.000 put (TTD261030P00006000) interactive stock chart – Yahoo Finance</t>
  </si>
  <si>
    <t xml:space="preserve">dc630362ff5fabd5d8949d2e</t>
  </si>
  <si>
    <t xml:space="preserve">UAL Oct 2026 70.000 put (UAL261023P00070000) interactive stock chart – Yahoo Finance</t>
  </si>
  <si>
    <t xml:space="preserve">a82255b9e0da5b033bc32fc3</t>
  </si>
  <si>
    <t xml:space="preserve">Willis Towers Watson Public Limited Company Estimates – MUN:WTY</t>
  </si>
  <si>
    <t xml:space="preserve">359fb242b8c469be7f5602cf</t>
  </si>
  <si>
    <t xml:space="preserve">TGT Jan 2029 155.000 call (TGT290119C00155000) interactive stock chart</t>
  </si>
  <si>
    <t xml:space="preserve">993f9699ce65eb2489fc1331</t>
  </si>
  <si>
    <t xml:space="preserve">46d6831dde751f3a198656fd</t>
  </si>
  <si>
    <t xml:space="preserve">6,358 Shares in AMETEK, Inc. $AME Acquired by JSF Financial LLC</t>
  </si>
  <si>
    <t xml:space="preserve">31c8363c2e9c33ab2cb9aed8</t>
  </si>
  <si>
    <t xml:space="preserve">KVUE News at Four</t>
  </si>
  <si>
    <t xml:space="preserve">d1f9eb6cd08a966e402cc91f</t>
  </si>
  <si>
    <t xml:space="preserve">Paychex, Inc. (PAYX) stock price, news, quote and history - Yahoo Finance</t>
  </si>
  <si>
    <t xml:space="preserve">1ac163464d7c43d10f588be7</t>
  </si>
  <si>
    <t xml:space="preserve">SNDK Oct 2026 1980.000 put (SNDK261030P01980000) interactive stock chart</t>
  </si>
  <si>
    <t xml:space="preserve">d3312c7e6a49e05488b3f362</t>
  </si>
  <si>
    <t xml:space="preserve">SYF Jan 2028 57.500 call (SYF280121C00057500) interactive stock chart</t>
  </si>
  <si>
    <t xml:space="preserve">d4fe05ac229551a6158b9432</t>
  </si>
  <si>
    <t xml:space="preserve">Old Dominion Monarchs vs. Louisiana Tech Bulldogs Odds, Betting Lines, Expert picks, Game Projections, DFS Projections and Player Prop Projections - Saturday 10/24 5:00 PM ET</t>
  </si>
  <si>
    <t xml:space="preserve">SportsLine</t>
  </si>
  <si>
    <t xml:space="preserve">aa0d131870ee172e440d90ac</t>
  </si>
  <si>
    <t xml:space="preserve">Travelers (NYSE:TRV) Share Price, Forecast &amp; Analysis</t>
  </si>
  <si>
    <t xml:space="preserve">ac16e90cca6fe0ca934e4744</t>
  </si>
  <si>
    <t xml:space="preserve">Exelon Corporation (EXC) Stock Forecasts</t>
  </si>
  <si>
    <t xml:space="preserve">575ff4828107345655be9de2</t>
  </si>
  <si>
    <t xml:space="preserve">Vertiv Holdings, LLC (VRT) Stock Forecasts</t>
  </si>
  <si>
    <t xml:space="preserve">a2b6057cf267defa1d611550</t>
  </si>
  <si>
    <t xml:space="preserve">Merck &amp; Company, Inc. Estimates – NYSE:MRK</t>
  </si>
  <si>
    <t xml:space="preserve">936c76bf49a726806be95a21</t>
  </si>
  <si>
    <t xml:space="preserve">MCK Nov 2026 860.000 put (MCK261120P00860000) interactive stock chart</t>
  </si>
  <si>
    <t xml:space="preserve">ee31201e23658d33f19e6a2e</t>
  </si>
  <si>
    <t xml:space="preserve">e7e58c3af6d80fdd09947310</t>
  </si>
  <si>
    <t xml:space="preserve">AZO Jun 2027 3900.000 call (AZO270617C03900000) interactive stock chart – Yahoo Finance</t>
  </si>
  <si>
    <t xml:space="preserve">3ecbc35556191707f4ff7669</t>
  </si>
  <si>
    <t xml:space="preserve">2,147 Invesco QQQ $QQQ Shares Sold by Clarity Wealth Advisors LLC</t>
  </si>
  <si>
    <t xml:space="preserve">fc64c77a158ef128fe1cab6f</t>
  </si>
  <si>
    <t xml:space="preserve">TSLA Oct 2026 420.000 call (TSLA261030C00420000) interactive stock chart – Yahoo Finance</t>
  </si>
  <si>
    <t xml:space="preserve">507494ecea0c3861a603f09b</t>
  </si>
  <si>
    <t xml:space="preserve">LLY Nov 2026 1520.000 call (LLY261127C01520000) interactive stock chart – Yahoo Finance</t>
  </si>
  <si>
    <t xml:space="preserve">3f18c5fc7a87c85e5a80cc1d</t>
  </si>
  <si>
    <t xml:space="preserve">SYY</t>
  </si>
  <si>
    <t xml:space="preserve">Sysco</t>
  </si>
  <si>
    <t xml:space="preserve">22,657 Sysco Corporation $SYY Shares Sold by Nisa Investment Advisors LLC</t>
  </si>
  <si>
    <t xml:space="preserve">285a100e75ad6679e12e58b4</t>
  </si>
  <si>
    <t xml:space="preserve">These Disney Finds Are Only $10 on Amazon Today</t>
  </si>
  <si>
    <t xml:space="preserve">Disney Food Blog</t>
  </si>
  <si>
    <t xml:space="preserve">aa6bf74d97b5543f9a49b57a</t>
  </si>
  <si>
    <t xml:space="preserve">QCOM Oct 2026 157.500 put (QCOM261023P00157500) interactive stock chart</t>
  </si>
  <si>
    <t xml:space="preserve">1d5d52bf6b55b11c55924b3d</t>
  </si>
  <si>
    <t xml:space="preserve">WM</t>
  </si>
  <si>
    <t xml:space="preserve">Waste Management</t>
  </si>
  <si>
    <t xml:space="preserve">Waste Management, Inc. (WM) Stock Price Today: $239.38</t>
  </si>
  <si>
    <t xml:space="preserve">afff9ca61d5d434fb9fc86ea</t>
  </si>
  <si>
    <t xml:space="preserve">OXY261127P00061000 interactive stock chart | OXY Nov 2026 61.000 put stock - Yahoo Finance</t>
  </si>
  <si>
    <t xml:space="preserve">ade8a45782bdad41c23615dc</t>
  </si>
  <si>
    <t xml:space="preserve">QCOM261113P00185000 interactive stock chart | QCOM Nov 2026 185.000 put stock - Yahoo Finance</t>
  </si>
  <si>
    <t xml:space="preserve">6e68222ff5120f1984475d8b</t>
  </si>
  <si>
    <t xml:space="preserve">COHR261030P00400000 interactive stock chart | COHR Oct 2026 400.000 put stock - Yahoo Finance</t>
  </si>
  <si>
    <t xml:space="preserve">f854df801f7c173fb3b70979</t>
  </si>
  <si>
    <t xml:space="preserve">WMT Oct 2026 118.000 put (WMT261023P00118000) interactive stock chart</t>
  </si>
  <si>
    <t xml:space="preserve">657ca43943e4909abf72563e</t>
  </si>
  <si>
    <t xml:space="preserve">Linde (NASDAQ:LIN) Share Price, Forecast &amp; Analysis</t>
  </si>
  <si>
    <t xml:space="preserve">273d4ccbd0b90344d14f2162</t>
  </si>
  <si>
    <t xml:space="preserve">Invesco CurrencyShares Japanese Yen Trust (FXY) Stock Price, News, Quote &amp; History</t>
  </si>
  <si>
    <t xml:space="preserve">2be2457dd3a2c01a57ec53b9</t>
  </si>
  <si>
    <t xml:space="preserve">Invesco California Value Municipal Income Trust Estimates – NASDAQ:XVCVX</t>
  </si>
  <si>
    <t xml:space="preserve">f49f4a021eec2b24b8df8b46</t>
  </si>
  <si>
    <t xml:space="preserve">ExxonMobil (NYSE:XOM) Share Price, Forecast &amp; Analysis</t>
  </si>
  <si>
    <t xml:space="preserve">bd4185551b33da85727d3ff9</t>
  </si>
  <si>
    <t xml:space="preserve">5,822 Autodesk, Inc. $ADSK Shares Sold by One Wealth Capital Management LLC</t>
  </si>
  <si>
    <t xml:space="preserve">a6b1db15f01845ceb3c034a6</t>
  </si>
  <si>
    <t xml:space="preserve">Tesla, Inc. $TSLA Stock Sold by One Wealth Capital Management LLC</t>
  </si>
  <si>
    <t xml:space="preserve">2b3745689de33dcbf8542ad7</t>
  </si>
  <si>
    <t xml:space="preserve">What Is CrowdStrike (CRWD) Asking With A Reported $500 Million Security Deal?</t>
  </si>
  <si>
    <t xml:space="preserve">34aa7bdb5d07ba1656d7cebd</t>
  </si>
  <si>
    <t xml:space="preserve">TPR Nov 2026 117.000 call (TPR261113C00117000) interactive stock chart – Yahoo Finance</t>
  </si>
  <si>
    <t xml:space="preserve">d71e279ba947728279531447</t>
  </si>
  <si>
    <t xml:space="preserve">HP Inc. $HPQ Shares Sold by Sumitomo Mitsui DS Asset Management Company Ltd</t>
  </si>
  <si>
    <t xml:space="preserve">5c977ac318ae21a134f2ea37</t>
  </si>
  <si>
    <t xml:space="preserve">Occidental Petroleum stock: Results due November 9, 2026 for Occidental Petroleum stock</t>
  </si>
  <si>
    <t xml:space="preserve">4f985d2a4e9b20918365bdbf</t>
  </si>
  <si>
    <t xml:space="preserve">Ciena Corporation Estimates – NYSE:CIEN</t>
  </si>
  <si>
    <t xml:space="preserve">2b3b5e833a9330f18b908063</t>
  </si>
  <si>
    <t xml:space="preserve">Erste Group Bank Comments on TJX Companies FY2027 Earnings</t>
  </si>
  <si>
    <t xml:space="preserve">9755f9f030f6b25afe907fd9</t>
  </si>
  <si>
    <t xml:space="preserve">E-nano Russell 2000 Futures,Mar (N2KH27.CME) Interactive Stock Chart - Yahoo Finance</t>
  </si>
  <si>
    <t xml:space="preserve">8d31a3b45e5e1b1146245a8b</t>
  </si>
  <si>
    <t xml:space="preserve">LIN Jan 2029 620.000 call (LIN290119C00620000) interactive stock chart</t>
  </si>
  <si>
    <t xml:space="preserve">fabff41d8c4fe396265df516</t>
  </si>
  <si>
    <t xml:space="preserve">SNPS261106C00495000 interactive stock chart | SNPS Nov 2026 495.000 call stock - Yahoo Finance</t>
  </si>
  <si>
    <t xml:space="preserve">9e0de0e814f0d05114cdefc6</t>
  </si>
  <si>
    <t xml:space="preserve">ACN Oct 2026 210.000 call (ACN261030C00210000) interactive stock chart – Yahoo Finance</t>
  </si>
  <si>
    <t xml:space="preserve">b28d46d9d567611d65423b66</t>
  </si>
  <si>
    <t xml:space="preserve">HPQ May 2027 28.000 call (HPQ270521C00028000) interactive stock chart</t>
  </si>
  <si>
    <t xml:space="preserve">f777367f6d16d58e5c77cd07</t>
  </si>
  <si>
    <t xml:space="preserve">Learn Why The Bull Case For Nasdaq (NDAQ) Could Change Following Earnings Beat</t>
  </si>
  <si>
    <t xml:space="preserve">4574deabe09f7b91b900b51e</t>
  </si>
  <si>
    <t xml:space="preserve">How (ZTS) Movements Inform Risk Allocation Models</t>
  </si>
  <si>
    <t xml:space="preserve">bd7f26acf92fbe81e847c226</t>
  </si>
  <si>
    <t xml:space="preserve">Urban Enviro Waste Management Limited Estimates – NSE:URBAN</t>
  </si>
  <si>
    <t xml:space="preserve">8d9cf35cb3014b8ae99064f7</t>
  </si>
  <si>
    <t xml:space="preserve">What Does Sherwin-Williams Offer That IFF Does Not?</t>
  </si>
  <si>
    <t xml:space="preserve">f61547f45ffeb59f4a675611</t>
  </si>
  <si>
    <t xml:space="preserve">Old Dominion vs Louisiana Tech Prediction, Picks &amp; Odds | 24 Oct 2026</t>
  </si>
  <si>
    <t xml:space="preserve">Sportsgambler</t>
  </si>
  <si>
    <t xml:space="preserve">a8230e4747320295cfa21070</t>
  </si>
  <si>
    <t xml:space="preserve">TTWO Mar 2027 165.000 call (TTWO270319C00165000) interactive stock chart – Yahoo Finance</t>
  </si>
  <si>
    <t xml:space="preserve">25e9a454134c741b0eb00798</t>
  </si>
  <si>
    <t xml:space="preserve">HUM280121C00440000 interactive stock chart | HUM Jan 2028 440.000 call stock - Yahoo Finance</t>
  </si>
  <si>
    <t xml:space="preserve">48bf821736576157374f429a</t>
  </si>
  <si>
    <t xml:space="preserve">TMUS Oct 2026 148.000 put (TMUS261030P00148000) interactive stock chart – Yahoo Finance</t>
  </si>
  <si>
    <t xml:space="preserve">f1bfbb21821f40ea065dbf92</t>
  </si>
  <si>
    <t xml:space="preserve">Principal Financial Group, Inc. Estimates – XETR:PG4</t>
  </si>
  <si>
    <t xml:space="preserve">727ea92b7bfcefde0621b42b</t>
  </si>
  <si>
    <t xml:space="preserve">REGN Oct 2026 960.000 put (REGN261023P00960000) interactive stock chart</t>
  </si>
  <si>
    <t xml:space="preserve">0ee8fe95b4b688212183e17a</t>
  </si>
  <si>
    <t xml:space="preserve">BlackRock MuniYield Fund, Inc. Estimates – NASDAQ:XMYDX</t>
  </si>
  <si>
    <t xml:space="preserve">5c8be996bf8b430dd01209cd</t>
  </si>
  <si>
    <t xml:space="preserve">Motorola Solutions (NYSE:MSI) Share Price, Forecast &amp; Analysis</t>
  </si>
  <si>
    <t xml:space="preserve">05fb602944ae559050819fac</t>
  </si>
  <si>
    <t xml:space="preserve">ACN Oct 2026 205.000 put (ACN261030P00205000) interactive stock chart – Yahoo Finance</t>
  </si>
  <si>
    <t xml:space="preserve">8d80913f88a5b2411ce841ad</t>
  </si>
  <si>
    <t xml:space="preserve">PH</t>
  </si>
  <si>
    <t xml:space="preserve">Parker Hannifin</t>
  </si>
  <si>
    <t xml:space="preserve">Parker-Hannifin Corporation $PH Stock Sold by Robeco Institutional Asset Management B.V.</t>
  </si>
  <si>
    <t xml:space="preserve">c2c3f7777bf6ba14cb18618e</t>
  </si>
  <si>
    <t xml:space="preserve">37,729 Las Vegas Sands Corp. $LVS Shares Sold by Robeco Institutional Asset Management B.V.</t>
  </si>
  <si>
    <t xml:space="preserve">e7920663c0f642212f116ca7</t>
  </si>
  <si>
    <t xml:space="preserve">DUK</t>
  </si>
  <si>
    <t xml:space="preserve">Duke Energy</t>
  </si>
  <si>
    <t xml:space="preserve">Duke Energy (NYSE:DUK) Share Price, Forecast &amp; Analysis</t>
  </si>
  <si>
    <t xml:space="preserve">1d783c1440c793480d957dc4</t>
  </si>
  <si>
    <t xml:space="preserve">16,782 Apollo Global Management Inc. $APO Shares Bought by DHJJ Financial Advisors Ltd.</t>
  </si>
  <si>
    <t xml:space="preserve">6c1b91bfd624ed267d567ea0</t>
  </si>
  <si>
    <t xml:space="preserve">MSCI PACIFIC LARGE/CONSUMER DIS (^650628-USD-STRD) interactive stock chart</t>
  </si>
  <si>
    <t xml:space="preserve">e481bd965aced297273eecf8</t>
  </si>
  <si>
    <t xml:space="preserve">TROW270319P00055000 interactive stock chart | TROW Mar 2027 55.000 put stock - Yahoo Finance</t>
  </si>
  <si>
    <t xml:space="preserve">d784c0ae2a6e3a91bc4acbfb</t>
  </si>
  <si>
    <t xml:space="preserve">Form 4 Apple Inc: Jennifer Newstead (SVP, GC and Government Affairs) For: 20 October By Investing.com</t>
  </si>
  <si>
    <t xml:space="preserve">9f024df4d799dd3f19644f66</t>
  </si>
  <si>
    <t xml:space="preserve">S&amp;P 500 Movers | Winners: CCI, CRWD, PANW | Losers: BE, FIX, GL</t>
  </si>
  <si>
    <t xml:space="preserve">4cbb1d6e5f74abb2b9290039</t>
  </si>
  <si>
    <t xml:space="preserve">AMGN Oct 2026 325.000 put (AMGN261030P00325000) interactive stock chart – Yahoo Finance</t>
  </si>
  <si>
    <t xml:space="preserve">dfae4a5ee08c642e97033414</t>
  </si>
  <si>
    <t xml:space="preserve">BKNG Oct 2026 172.500 call (BKNG261023C00172500) interactive stock chart</t>
  </si>
  <si>
    <t xml:space="preserve">66f940dc380b3ef53f171d5f</t>
  </si>
  <si>
    <t xml:space="preserve">CCI</t>
  </si>
  <si>
    <t xml:space="preserve">Crown Castle</t>
  </si>
  <si>
    <t xml:space="preserve">8bf44c33e30f532a80c9d920</t>
  </si>
  <si>
    <t xml:space="preserve">HP Inc. $HPQ Stock Sold by RWC Asset Management LLP</t>
  </si>
  <si>
    <t xml:space="preserve">5e045638bc415d63a35506b0</t>
  </si>
  <si>
    <t xml:space="preserve">Intuit Inc. $INTU Stock Sold by Crossmark Global Holdings Inc.</t>
  </si>
  <si>
    <t xml:space="preserve">fdacfdbeb5145192169bcc9d</t>
  </si>
  <si>
    <t xml:space="preserve">BlackRock Technology and Private Equity Term Trust Estimates – BOATS:BTX</t>
  </si>
  <si>
    <t xml:space="preserve">084344e8119022bbde880210</t>
  </si>
  <si>
    <t xml:space="preserve">5d900b5716bdc2de559f5eb9</t>
  </si>
  <si>
    <t xml:space="preserve">be02b3619c47e2b141e16e3f</t>
  </si>
  <si>
    <t xml:space="preserve">Ravens vs. Bengals: Ball security, pass rush headline five keys</t>
  </si>
  <si>
    <t xml:space="preserve">Ravens Wire</t>
  </si>
  <si>
    <t xml:space="preserve">d261d3176b8587f513fc85b2</t>
  </si>
  <si>
    <t xml:space="preserve">MRNA Oct 2026 136.000 call (MRNA261030C00136000) interactive stock chart</t>
  </si>
  <si>
    <t xml:space="preserve">950359a75a0c61ecd6fba1f0</t>
  </si>
  <si>
    <t xml:space="preserve">Chevron (CVX) Ascends While Market Falls: Some Facts to Note</t>
  </si>
  <si>
    <t xml:space="preserve">e7fbb28fa1e4e5277678eff9</t>
  </si>
  <si>
    <t xml:space="preserve">LHX Oct 2026 240.000 call (LHX261030C00240000) interactive stock chart</t>
  </si>
  <si>
    <t xml:space="preserve">aa4cd760b482e34ead5e3800</t>
  </si>
  <si>
    <t xml:space="preserve">IFF</t>
  </si>
  <si>
    <t xml:space="preserve">International Flavors &amp; Fragrances</t>
  </si>
  <si>
    <t xml:space="preserve">d5eecc8205e3493b4c2515f3</t>
  </si>
  <si>
    <t xml:space="preserve">Uber Technologies, Inc. Estimates – NYSE:UBER</t>
  </si>
  <si>
    <t xml:space="preserve">0341f0e887bbe3a5c4fbfc8c</t>
  </si>
  <si>
    <t xml:space="preserve">Top MarTech News From the Week of October 23rd: Updates from Salesforce, monday.com, Insightly, and More</t>
  </si>
  <si>
    <t xml:space="preserve">Solutions Review</t>
  </si>
  <si>
    <t xml:space="preserve">be5ee59d6a6971f5438d4b2a</t>
  </si>
  <si>
    <t xml:space="preserve">LRCX Nov 2026 370.000 call (LRCX261127C00370000) interactive stock chart – Yahoo Finance</t>
  </si>
  <si>
    <t xml:space="preserve">8505fc084a0e8e5a1512eeb3</t>
  </si>
  <si>
    <t xml:space="preserve">ADI261113P00370000 interactive stock chart | ADI Nov 2026 370.000 put stock - Yahoo Finance</t>
  </si>
  <si>
    <t xml:space="preserve">c06087814bd8fe05701b7bdb</t>
  </si>
  <si>
    <t xml:space="preserve">CTSH</t>
  </si>
  <si>
    <t xml:space="preserve">Cognizant</t>
  </si>
  <si>
    <t xml:space="preserve">25,963 Cognizant Technology Solutions Corporation $CTSH Shares Sold by TD Waterhouse Canada Inc.</t>
  </si>
  <si>
    <t xml:space="preserve">e665c2bc0483a16099ced75d</t>
  </si>
  <si>
    <t xml:space="preserve">ADSK261030P00237500 interactive stock chart | ADSK Oct 2026 237.500 put stock - Yahoo Finance</t>
  </si>
  <si>
    <t xml:space="preserve">69a9bd227fc15ac699c52c92</t>
  </si>
  <si>
    <t xml:space="preserve">Owens Corning Inc $OC Shares Sold by RWC Asset Management LLP</t>
  </si>
  <si>
    <t xml:space="preserve">aae23e48c2fed0295c5cb8e4</t>
  </si>
  <si>
    <t xml:space="preserve">Coinbase Tokenized bStocks Price (COINB/USD) Today | Live Price, Market Cap &amp; Chart</t>
  </si>
  <si>
    <t xml:space="preserve">Binance</t>
  </si>
  <si>
    <t xml:space="preserve">907418bc2b733c9fc428bb37</t>
  </si>
  <si>
    <t xml:space="preserve">Boeing 737 MAX Cockpit: What Pilots See &amp; Do On Every Flight</t>
  </si>
  <si>
    <t xml:space="preserve">c59ccc99adb30433c49e5603</t>
  </si>
  <si>
    <t xml:space="preserve">Pat Freiermuth Stats, News, Video, Bio, Highlights on TSN</t>
  </si>
  <si>
    <t xml:space="preserve">c57d98b7648324ee8250134e</t>
  </si>
  <si>
    <t xml:space="preserve">CVS Health Corporation $CVS Shares Acquired by Sterling Capital Management LLC</t>
  </si>
  <si>
    <t xml:space="preserve">debcef6de7658dbd51256134</t>
  </si>
  <si>
    <t xml:space="preserve">The Hidden $496 Billion Catalyst Waiting to Ignite Amazon Stock on Oct. 29</t>
  </si>
  <si>
    <t xml:space="preserve">4837c1d66680d3ffb1d98c7e</t>
  </si>
  <si>
    <t xml:space="preserve">DOW</t>
  </si>
  <si>
    <t xml:space="preserve">Dow Inc.</t>
  </si>
  <si>
    <t xml:space="preserve">Dow Inc. Estimates – NYSE:DOW</t>
  </si>
  <si>
    <t xml:space="preserve">8661b0af150aee7a376e0a79</t>
  </si>
  <si>
    <t xml:space="preserve">但斌美股持倉曝光</t>
  </si>
  <si>
    <t xml:space="preserve">5329ae4443408898f344983c</t>
  </si>
  <si>
    <t xml:space="preserve">TSLA Oct 2026 387.500 put (TSLA261023P00387500) interactive stock chart</t>
  </si>
  <si>
    <t xml:space="preserve">abb75f55a328d3f9deadaa13</t>
  </si>
  <si>
    <t xml:space="preserve">AI-fueled tech selloff in focus; Western Digital reports - what’s moving markets</t>
  </si>
  <si>
    <t xml:space="preserve">c5eadeff4be11423812ab840</t>
  </si>
  <si>
    <t xml:space="preserve">AAPL 261021 290.00C (AAPL261021C290000) Stock Options Chain | Quotes &amp; News</t>
  </si>
  <si>
    <t xml:space="preserve">afb7b601115898c5ecdcc64b</t>
  </si>
  <si>
    <t xml:space="preserve">Day 5: LRCX</t>
  </si>
  <si>
    <t xml:space="preserve">64b27a499a57640967bc60bd</t>
  </si>
  <si>
    <t xml:space="preserve">The Friday Checkout: Did Kroger really want to merge with Albertsons?</t>
  </si>
  <si>
    <t xml:space="preserve">Grocery Dive</t>
  </si>
  <si>
    <t xml:space="preserve">99f75aad9eb612558f4e5481</t>
  </si>
  <si>
    <t xml:space="preserve">ADSK Nov 2026 245.000 call (ADSK261127C00245000) interactive stock chart – Yahoo Finance</t>
  </si>
  <si>
    <t xml:space="preserve">f330183063e623157228508a</t>
  </si>
  <si>
    <t xml:space="preserve">KVUE News at Five</t>
  </si>
  <si>
    <t xml:space="preserve">68c323b381ffe8f03945759d</t>
  </si>
  <si>
    <t xml:space="preserve">ETN Oct 2026 430.000 call (ETN261023C00430000) interactive stock chart</t>
  </si>
  <si>
    <t xml:space="preserve">1e828c9983968f4cbaf38597</t>
  </si>
  <si>
    <t xml:space="preserve">Arm Comments on Jury Decision in Qualcomm Trial</t>
  </si>
  <si>
    <t xml:space="preserve">EE Times</t>
  </si>
  <si>
    <t xml:space="preserve">291c8a2b199d853b4524037a</t>
  </si>
  <si>
    <t xml:space="preserve">10,178 Procter &amp; Gamble Company (The) $PG Shares Acquired by Signaturefd LLC</t>
  </si>
  <si>
    <t xml:space="preserve">e8cac708389da6c137a9c17a</t>
  </si>
  <si>
    <t xml:space="preserve">072c97c8bd6ce3c682ebbf33</t>
  </si>
  <si>
    <t xml:space="preserve">IBM Stock Week Ahead: $253.56, Bull $269 or Bear $240</t>
  </si>
  <si>
    <t xml:space="preserve">FinanceFeeds</t>
  </si>
  <si>
    <t xml:space="preserve">14394d036c1889c0f1497ef8</t>
  </si>
  <si>
    <t xml:space="preserve">Broadcom Inc. $AVGO Shares Sold by Eagle Rock Investment Company LLC</t>
  </si>
  <si>
    <t xml:space="preserve">6ef7ee24c65c5f6763b70cf4</t>
  </si>
  <si>
    <t xml:space="preserve">8,257 American Water Works Company, Inc. $AWK Shares Sold by Robeco Schweiz AG</t>
  </si>
  <si>
    <t xml:space="preserve">00da0bf51f675c4eed7fbedc</t>
  </si>
  <si>
    <t xml:space="preserve">2,918 Cummins Inc. $CMI Shares Sold by Sterling Capital Management LLC</t>
  </si>
  <si>
    <t xml:space="preserve">eb2db5cce161b74db3b3c4b8</t>
  </si>
  <si>
    <t xml:space="preserve">WELL</t>
  </si>
  <si>
    <t xml:space="preserve">Welltower</t>
  </si>
  <si>
    <t xml:space="preserve">Welltower Inc. Estimates – NYSE:WELL</t>
  </si>
  <si>
    <t xml:space="preserve">eeca4da93c4fc3d7ff5b0979</t>
  </si>
  <si>
    <t xml:space="preserve">Floor Talk with Northrop Grumman VP &amp; GM Kenneth Todorov</t>
  </si>
  <si>
    <t xml:space="preserve">qz.com</t>
  </si>
  <si>
    <t xml:space="preserve">c0194f957498635e6c72f649</t>
  </si>
  <si>
    <t xml:space="preserve">GILD261127C00175000 Interactive Stock Chart | GILD Nov 2026 175.000 call Stock - Yahoo Finance</t>
  </si>
  <si>
    <t xml:space="preserve">185c7595fec39a2d4fc551d2</t>
  </si>
  <si>
    <t xml:space="preserve">EOG Resources (NYSE:EOG) Share Price, Forecast &amp; Analysis</t>
  </si>
  <si>
    <t xml:space="preserve">8dc4de2d9beb411b545d66d7</t>
  </si>
  <si>
    <t xml:space="preserve">VLO Jun 2027 390.000 put (VLO270617P00390000) interactive stock chart</t>
  </si>
  <si>
    <t xml:space="preserve">28e4b84ac579e69b5e85cc25</t>
  </si>
  <si>
    <t xml:space="preserve">LLY Nov 2026 1295.000 put (LLY261127P01295000) interactive stock chart – Yahoo Finance</t>
  </si>
  <si>
    <t xml:space="preserve">d7f35be98ee845e9b65ac4c3</t>
  </si>
  <si>
    <t xml:space="preserve">Why Is Builders FirstSource (NYSE:BLDR) Drawing Market Focus?</t>
  </si>
  <si>
    <t xml:space="preserve">8f04525f040ffadc2cf6565e</t>
  </si>
  <si>
    <t xml:space="preserve">‘KPop Demon Hunters,’ ‘Squid Game’ Stars Fete Netflix’s Korea Decade as Ted Sarandos Teases ‘Tantara,’ ‘All of Us Are Dead’ Season 2</t>
  </si>
  <si>
    <t xml:space="preserve">fa62e90ddaf14a0133c7a86d</t>
  </si>
  <si>
    <t xml:space="preserve">‘Heartland’ Season 20 Sets US Release, But Won’t Stream on Netflix For A While</t>
  </si>
  <si>
    <t xml:space="preserve">065138f63e5f8d224f3a7712</t>
  </si>
  <si>
    <t xml:space="preserve">C.H. Robinson’s Q3 2026 Earnings: What to Expect</t>
  </si>
  <si>
    <t xml:space="preserve">9a24b53b56843a58ca1a0113</t>
  </si>
  <si>
    <t xml:space="preserve">Merck &amp; Co., Inc. $MRK Stock Sold by Carolina Wealth Advisors LLC</t>
  </si>
  <si>
    <t xml:space="preserve">bda2867ccb9f87f5385347a8</t>
  </si>
  <si>
    <t xml:space="preserve">Why AbbVie (NYSE:ABBV) Is Back on The Market Radar?</t>
  </si>
  <si>
    <t xml:space="preserve">837148201d583f2b4feedc41</t>
  </si>
  <si>
    <t xml:space="preserve">AMZN Nov 2026 267.500 put (AMZN261102P00267500) interactive stock chart</t>
  </si>
  <si>
    <t xml:space="preserve">e6a1c32c29a8127bb7a562d3</t>
  </si>
  <si>
    <t xml:space="preserve">TDY Jan 2027 480.000 put (TDY270115P00480000) interactive stock chart</t>
  </si>
  <si>
    <t xml:space="preserve">462aaa0f7e0cef3fff1dc4d8</t>
  </si>
  <si>
    <t xml:space="preserve">CSCO</t>
  </si>
  <si>
    <t xml:space="preserve">Cisco</t>
  </si>
  <si>
    <t xml:space="preserve">DISTRICT 5-2A DI WEEK 9 REPORT: De Leon, Hawley and Cisco all chart Week 9 wins</t>
  </si>
  <si>
    <t xml:space="preserve">Big Country Preps</t>
  </si>
  <si>
    <t xml:space="preserve">40810ff8e11768095ec996b6</t>
  </si>
  <si>
    <t xml:space="preserve">Forex Signals Oct 26: Google, MSFT, Amazon, Intel and SNDK Earnings Preview in Focus This Week</t>
  </si>
  <si>
    <t xml:space="preserve">b316f52066846d70d440531f</t>
  </si>
  <si>
    <t xml:space="preserve">Does New COO Appointment Change The Bull Case For PC Connection Stock (CNXN)?</t>
  </si>
  <si>
    <t xml:space="preserve">1266a4bc0303d752c1a232ea</t>
  </si>
  <si>
    <t xml:space="preserve">Total current liabilities of Lumentum Holdings, Inc. – SWB:LU2</t>
  </si>
  <si>
    <t xml:space="preserve">fd1e269c040bce37accfe566</t>
  </si>
  <si>
    <t xml:space="preserve">Cushman &amp; Wakefield (CWK) Hires CBRE Team Following Chicago Push But Is The Stock Cheap</t>
  </si>
  <si>
    <t xml:space="preserve">3187e47122a4651172e15ff3</t>
  </si>
  <si>
    <t xml:space="preserve">Comfort Systems USA, Inc. Estimates – NYSE:FIX</t>
  </si>
  <si>
    <t xml:space="preserve">9487e0fe6947f21d8ba8f16e</t>
  </si>
  <si>
    <t xml:space="preserve">157,206 Corteva, Inc. $CTVA Shares Sold by Assenagon Asset Management S.A.</t>
  </si>
  <si>
    <t xml:space="preserve">85181bfd46040f4ee0c33c2e</t>
  </si>
  <si>
    <t xml:space="preserve">ERIE</t>
  </si>
  <si>
    <t xml:space="preserve">Erie Indemnity</t>
  </si>
  <si>
    <t xml:space="preserve">Form 4 Erie Indemnity Company: Sarah Shine (Executive Vice President) For: 30 September</t>
  </si>
  <si>
    <t xml:space="preserve">28b376f7bf74669a6c039178</t>
  </si>
  <si>
    <t xml:space="preserve">Is Gold Miner Perseus (ASX:PRU) Handing Surplus Cash Back to Shareholders?</t>
  </si>
  <si>
    <t xml:space="preserve">42f404ec191ae1d1f9f0b416</t>
  </si>
  <si>
    <t xml:space="preserve">American Express earnings analysis: questions answered and next catalysts</t>
  </si>
  <si>
    <t xml:space="preserve">4010e8b8aec8bd08220d25b4</t>
  </si>
  <si>
    <t xml:space="preserve">AMAT Jan 2029 610.000 call (AMAT290119C00610000) interactive stock chart – Yahoo Finance</t>
  </si>
  <si>
    <t xml:space="preserve">8f549f9099c80949c53987c4</t>
  </si>
  <si>
    <t xml:space="preserve">Sysco Corporation $SYY Stock Sold by Investment House LLC</t>
  </si>
  <si>
    <t xml:space="preserve">0a9c222b7f6742a53f2e7898</t>
  </si>
  <si>
    <t xml:space="preserve">Indian Energy Exchange (NSE:IEX) Q2FY27 Analyst Call Details</t>
  </si>
  <si>
    <t xml:space="preserve">85f0265850c6c2565b54d016</t>
  </si>
  <si>
    <t xml:space="preserve">How Are Dow, S&amp;P 500, Nasdaq Futures Trading After META, TSLA Earnings?</t>
  </si>
  <si>
    <t xml:space="preserve">Stocktwits</t>
  </si>
  <si>
    <t xml:space="preserve">64a89c1edff16dc8c1000606</t>
  </si>
  <si>
    <t xml:space="preserve">Leaked memo reveals Skydance's new advertising leadership after the Paramount-WBD merger</t>
  </si>
  <si>
    <t xml:space="preserve">05c4ca89154d2e7c1f5389cd</t>
  </si>
  <si>
    <t xml:space="preserve">Portfolio manager prefers Microsoft, Amazon, Google in AI trade</t>
  </si>
  <si>
    <t xml:space="preserve">Reuters</t>
  </si>
  <si>
    <t xml:space="preserve">654e8071fcd1a5cc8f08b8c8</t>
  </si>
  <si>
    <t xml:space="preserve">DAL starts Irving, Christie, Flagg, P.J., Gafford</t>
  </si>
  <si>
    <t xml:space="preserve">NBC Sports</t>
  </si>
  <si>
    <t xml:space="preserve">faf6685bfd2b419ee58d7baf</t>
  </si>
  <si>
    <t xml:space="preserve">Accenture (NYSE:ACN) Share Price, Forecast &amp; Analysis</t>
  </si>
  <si>
    <t xml:space="preserve">2118f94471f1c314876e4f32</t>
  </si>
  <si>
    <t xml:space="preserve">PepsiCo, Inc. Estimates – BX:PEP</t>
  </si>
  <si>
    <t xml:space="preserve">4db5ebcb0e0553c26d42101d</t>
  </si>
  <si>
    <t xml:space="preserve">What to Expect From Fair Isaac’s Next Quarterly Earnings Report</t>
  </si>
  <si>
    <t xml:space="preserve">753ef3210938f0d0d3c2ee92</t>
  </si>
  <si>
    <t xml:space="preserve">ABBV Oct 2026 267.500 put (ABBV261030P00267500) interactive stock chart – Yahoo Finance</t>
  </si>
  <si>
    <t xml:space="preserve">41120e44958906331f061a1c</t>
  </si>
  <si>
    <t xml:space="preserve">e7cded48a7ecd8b425ae04d6</t>
  </si>
  <si>
    <t xml:space="preserve">Can a non-gamer CEO save Microsoft’s Xbox?</t>
  </si>
  <si>
    <t xml:space="preserve">08c04a0e3d6886506c7dd03c</t>
  </si>
  <si>
    <t xml:space="preserve">Columbia PFG College Fishing – Cherokee Lake weigh-in (10/23/2026)</t>
  </si>
  <si>
    <t xml:space="preserve">Major League Fishing</t>
  </si>
  <si>
    <t xml:space="preserve">e23ff88929ad9c8f73e82118</t>
  </si>
  <si>
    <t xml:space="preserve">51,812 The Progressive Corporation $PGR Shares Sold by Vest Financial LLC</t>
  </si>
  <si>
    <t xml:space="preserve">38e54097de36bb65f1a62dcc</t>
  </si>
  <si>
    <t xml:space="preserve">Form 144 ANALOG DEVICES INC For: 24 October By Investing.com</t>
  </si>
  <si>
    <t xml:space="preserve">Investing.com India</t>
  </si>
  <si>
    <t xml:space="preserve">6fe1c1463b62def863eb956f</t>
  </si>
  <si>
    <t xml:space="preserve">Accenture files Investor Day presentation. Accenture stock trades at EUR 222.50</t>
  </si>
  <si>
    <t xml:space="preserve">f27441b72b69d9713d63012e</t>
  </si>
  <si>
    <t xml:space="preserve">Intuit stock trades at EUR 306.53 in weekend trading</t>
  </si>
  <si>
    <t xml:space="preserve">8b454d3573d0a3633d25537e</t>
  </si>
  <si>
    <t xml:space="preserve">EOG Resources updates tax guidance. EOG Resources stock trades at EUR 146.48</t>
  </si>
  <si>
    <t xml:space="preserve">fbec248b2e31ee6dd1a08097</t>
  </si>
  <si>
    <t xml:space="preserve">Apollo Global Management Inc. $APO Stock Acquired by Yousif Capital Management LLC</t>
  </si>
  <si>
    <t xml:space="preserve">b9b60f903a2192bcd6179daa</t>
  </si>
  <si>
    <t xml:space="preserve">Nordson (NDSN), What Is Behind The Fresh Attention?</t>
  </si>
  <si>
    <t xml:space="preserve">f7b00295c63053ee4442f61b</t>
  </si>
  <si>
    <t xml:space="preserve">NKE Oct 2026 36.000 call (NKE261023C00036000) interactive stock chart</t>
  </si>
  <si>
    <t xml:space="preserve">6a31036418bf9c23b686bf82</t>
  </si>
  <si>
    <t xml:space="preserve">LITE Nov 2026 420.000 put (LITE261113P00420000) interactive stock chart</t>
  </si>
  <si>
    <t xml:space="preserve">51a0d259ee98fb54137cec73</t>
  </si>
  <si>
    <t xml:space="preserve">11,058 Analog Devices, Inc. $ADI Shares Sold by Axxcess Wealth Management LLC</t>
  </si>
  <si>
    <t xml:space="preserve">b46197f6a142535361be76a4</t>
  </si>
  <si>
    <t xml:space="preserve">GIS</t>
  </si>
  <si>
    <t xml:space="preserve">General Mills</t>
  </si>
  <si>
    <t xml:space="preserve">General Mills, Inc. $GIS Stock Sold by Quadrant Capital Group LLC</t>
  </si>
  <si>
    <t xml:space="preserve">27d61f313ff851202895c328</t>
  </si>
  <si>
    <t xml:space="preserve">Form 144 Intuitive Surgical For: 24 October By Investing.com</t>
  </si>
  <si>
    <t xml:space="preserve">Investing.com Canada</t>
  </si>
  <si>
    <t xml:space="preserve">4db26af62bf5694fe458ed71</t>
  </si>
  <si>
    <t xml:space="preserve">Nvidia’s Jensen Huang asks these tiny robot ducks to sit, fall asleep and somersault and the adorable little Microducks do it all on command: What are the viral robots, how much do they cost, key features and more details</t>
  </si>
  <si>
    <t xml:space="preserve">2d7a6c01d4406889acb98777</t>
  </si>
  <si>
    <t xml:space="preserve">3,127 Intuit Inc. $INTU Shares Sold by Quadrant Capital Group LLC</t>
  </si>
  <si>
    <t xml:space="preserve">9e0746df50779ca29d407f81</t>
  </si>
  <si>
    <t xml:space="preserve">Form 4 Boeing Co For: 24 October By Investing.com</t>
  </si>
  <si>
    <t xml:space="preserve">2aca66951a4698fc2f0fc3fc</t>
  </si>
  <si>
    <t xml:space="preserve">Salesforce Inc. $CRM Stock Sold by Boomfish Wealth Group LLC</t>
  </si>
  <si>
    <t xml:space="preserve">73e0c4388be37fbb803149bb</t>
  </si>
  <si>
    <t xml:space="preserve">doValue S.p.A. Estimates – MIL:DOV</t>
  </si>
  <si>
    <t xml:space="preserve">20b723defa6ac891cf7a358a</t>
  </si>
  <si>
    <t xml:space="preserve">Apple Inc. $AAPL Shares Acquired by ABLE Financial Group LLC</t>
  </si>
  <si>
    <t xml:space="preserve">5f07e479d21bf319aa9f48a7</t>
  </si>
  <si>
    <t xml:space="preserve">3,555 Apple Inc. $AAPL Shares Sold by Three Magnolias Financial Advisors LLC</t>
  </si>
  <si>
    <t xml:space="preserve">e7bb6efa49ae10b0c98be4ce</t>
  </si>
  <si>
    <t xml:space="preserve">NKE Oct 2026 37.500 put (NKE261023P00037500) interactive stock chart</t>
  </si>
  <si>
    <t xml:space="preserve">60773113a93b7a4630e57f4d</t>
  </si>
  <si>
    <t xml:space="preserve">YUM CHINA (09987) Stock Forum and Discussion</t>
  </si>
  <si>
    <t xml:space="preserve">7db4303c8c9449fda4e6d6f6</t>
  </si>
  <si>
    <t xml:space="preserve">CMG Oct 2026 36.500 put (CMG261030P00036500) Interactive Stock Chart - Yahoo Finance</t>
  </si>
  <si>
    <t xml:space="preserve">4f48bfa1cb7fd777ae9d9398</t>
  </si>
  <si>
    <t xml:space="preserve">ABBV Nov 2026 310.000 call (ABBV261106C00310000) interactive stock chart – Yahoo Finance</t>
  </si>
  <si>
    <t xml:space="preserve">ee53c5faccfb3e7cc938c1ba</t>
  </si>
  <si>
    <t xml:space="preserve">Here is What to Know Beyond Why AutoZone, Inc. (AZO) is a Trending Stock</t>
  </si>
  <si>
    <t xml:space="preserve">efa767ef3d304e75ed10c7c3</t>
  </si>
  <si>
    <t xml:space="preserve">WYNN261113C00100000 Interactive Stock Chart | WYNN Nov 2026 100.000 call Stock</t>
  </si>
  <si>
    <t xml:space="preserve">95208a5001a15974bf1a696c</t>
  </si>
  <si>
    <t xml:space="preserve">SNPS Oct 2026 280.000 call (SNPS261030C00280000) interactive stock chart – Yahoo Finance</t>
  </si>
  <si>
    <t xml:space="preserve">d0eff8ddb21f00c917a22255</t>
  </si>
  <si>
    <t xml:space="preserve">What’s up with… SpaceX, Nokia &amp; Iceye, Comcast</t>
  </si>
  <si>
    <t xml:space="preserve">TelecomTV</t>
  </si>
  <si>
    <t xml:space="preserve">f96715112eaa3909d5fb68fd</t>
  </si>
  <si>
    <t xml:space="preserve">Public Storage’s Q3 2026 Earnings: What to Expect</t>
  </si>
  <si>
    <t xml:space="preserve">ad62f4245161ec28acaead6b</t>
  </si>
  <si>
    <t xml:space="preserve">FICO Jun 2027 1550.000 put (FICO270617P01550000) interactive stock chart</t>
  </si>
  <si>
    <t xml:space="preserve">b5a798cff5e95ab386501102</t>
  </si>
  <si>
    <t xml:space="preserve">Blackrock Core Bond Trust Estimates – NYSE:BHK</t>
  </si>
  <si>
    <t xml:space="preserve">673cd6964024d7683c0f3233</t>
  </si>
  <si>
    <t xml:space="preserve">TER Oct 2026 530.000 call (TER261023C00530000) interactive stock chart</t>
  </si>
  <si>
    <t xml:space="preserve">2538a8c1371c59d9b41c2cce</t>
  </si>
  <si>
    <t xml:space="preserve">PNC reports third-quarter earnings. PNC stock trades at EUR 201.00</t>
  </si>
  <si>
    <t xml:space="preserve">e01c1b582a81506df4d725a4</t>
  </si>
  <si>
    <t xml:space="preserve">iPhoneDuo內屏維修要7998元</t>
  </si>
  <si>
    <r>
      <rPr>
        <sz val="10"/>
        <rFont val="Arial"/>
        <family val="0"/>
        <charset val="1"/>
      </rPr>
      <t xml:space="preserve">iPhoneDuo</t>
    </r>
    <r>
      <rPr>
        <sz val="10"/>
        <rFont val="Noto Sans CJK SC"/>
        <family val="2"/>
      </rPr>
      <t xml:space="preserve">內屏維修要</t>
    </r>
    <r>
      <rPr>
        <sz val="10"/>
        <rFont val="Arial"/>
        <family val="0"/>
        <charset val="1"/>
      </rPr>
      <t xml:space="preserve">7998</t>
    </r>
    <r>
      <rPr>
        <sz val="10"/>
        <rFont val="Noto Sans CJK SC"/>
        <family val="2"/>
      </rPr>
      <t xml:space="preserve">元</t>
    </r>
  </si>
  <si>
    <t xml:space="preserve">e144c688a30054871a0e8389</t>
  </si>
  <si>
    <t xml:space="preserve">TTWO Nov 2026 185.000 put (TTWO261113P00185000) interactive stock chart – Yahoo Finance</t>
  </si>
  <si>
    <t xml:space="preserve">9aeabcfb2e5263ec89ca2078</t>
  </si>
  <si>
    <t xml:space="preserve">Stryker Corporation $SYK Shares Sold by Robeco Institutional Asset Management B.V.</t>
  </si>
  <si>
    <t xml:space="preserve">df8f1201ba627ec2a9c3da69</t>
  </si>
  <si>
    <t xml:space="preserve">Lone’er Kavanagh Defeats Ramazan Temirov in First-Round TKO at UFC 333</t>
  </si>
  <si>
    <t xml:space="preserve">f3443af89a3d69921c6c1af9</t>
  </si>
  <si>
    <t xml:space="preserve">Capital One reports $3.5 billion net income and Capital One stock trades at EUR 179.93</t>
  </si>
  <si>
    <t xml:space="preserve">31eb0c452bf0707c4e6bae44</t>
  </si>
  <si>
    <t xml:space="preserve">APA Stock Price Prediction 2026-2027 | APA Forecast</t>
  </si>
  <si>
    <t xml:space="preserve">708067748761e25fe097f3b0</t>
  </si>
  <si>
    <t xml:space="preserve">Two-euro coins selling for 3,000 on Ebay: which ones are they and how to identify them</t>
  </si>
  <si>
    <t xml:space="preserve">El Constitucional</t>
  </si>
  <si>
    <t xml:space="preserve">59ab459aa24b5dbcbc8a4031</t>
  </si>
  <si>
    <t xml:space="preserve">MedTech Solutions S.A. Estimates – GPW:MDT</t>
  </si>
  <si>
    <t xml:space="preserve">6a1f578723d3bfcbb287f4ec</t>
  </si>
  <si>
    <t xml:space="preserve">TSLA.O</t>
  </si>
  <si>
    <t xml:space="preserve">6270385e3ffa758cb30dfea5</t>
  </si>
  <si>
    <t xml:space="preserve">Enerflex (TSX:EFX): What Does the Data-Centre Contract Involve?</t>
  </si>
  <si>
    <t xml:space="preserve">220a10e6c2784300c6ce76a1</t>
  </si>
  <si>
    <t xml:space="preserve">Form 8K Darden Restaurants For: 23 October By Investing.com</t>
  </si>
  <si>
    <t xml:space="preserve">3b4a540d8ce79d6cd8a0c66d</t>
  </si>
  <si>
    <t xml:space="preserve">GDDY</t>
  </si>
  <si>
    <t xml:space="preserve">GoDaddy</t>
  </si>
  <si>
    <t xml:space="preserve">GoDaddy Inc. Estimates – NYSE:GDDY</t>
  </si>
  <si>
    <t xml:space="preserve">461a09fa06651981769e94a8</t>
  </si>
  <si>
    <t xml:space="preserve">TROW Jan 2028 170.000 call (TROW280121C00170000) interactive stock chart</t>
  </si>
  <si>
    <t xml:space="preserve">ce6eafb97599489cc560fc04</t>
  </si>
  <si>
    <t xml:space="preserve">The Best Movies to Watch on Netflix Right Now (Oct. 23-30, 2026)</t>
  </si>
  <si>
    <t xml:space="preserve">f84b9a215f19e7cdee398db6</t>
  </si>
  <si>
    <t xml:space="preserve">Super Micro Computer: The Valuation Is A Joke (Earnings Preview) (NASDAQ:SMCI)</t>
  </si>
  <si>
    <t xml:space="preserve">5ad4d243f9602cf9ab77963e</t>
  </si>
  <si>
    <t xml:space="preserve">TT</t>
  </si>
  <si>
    <t xml:space="preserve">Trane Technologies</t>
  </si>
  <si>
    <t xml:space="preserve">Trane Technologies (NYSE:TT) Share Price, Forecast &amp; Analysis</t>
  </si>
  <si>
    <t xml:space="preserve">84add88c31fe679aec80c1c5</t>
  </si>
  <si>
    <t xml:space="preserve">)ω#[WATCHLIvE]HQ!] Louisiana Tech V Old Dominion Game-Day Updates</t>
  </si>
  <si>
    <t xml:space="preserve">0041a7f7068fee83627a5266</t>
  </si>
  <si>
    <t xml:space="preserve">EXE Jun 2027 110.000 put (EXE270617P00110000) interactive stock chart – Yahoo Finance</t>
  </si>
  <si>
    <t xml:space="preserve">2653f6d66d32f11c1540aa42</t>
  </si>
  <si>
    <t xml:space="preserve">Form 10-Q DOW CHEMICAL CO /DE/ For: Sep 30 Filed by: DOW INC.</t>
  </si>
  <si>
    <t xml:space="preserve">f6e1a749575668900b076f27</t>
  </si>
  <si>
    <t xml:space="preserve">LEN Jan 2029 105.000 put (LEN290119P00105000) interactive stock chart – Yahoo Finance</t>
  </si>
  <si>
    <t xml:space="preserve">fd52e0ba0e0632794f157a26</t>
  </si>
  <si>
    <t xml:space="preserve">HON261106P00230000 interactive stock chart | HON Nov 2026 230.000 put stock - Yahoo Finance</t>
  </si>
  <si>
    <t xml:space="preserve">3526e08e16bae0c0e852e00c</t>
  </si>
  <si>
    <t xml:space="preserve">10,404 3M Company $MMM Shares Acquired by Crossmark Global Holdings Inc.</t>
  </si>
  <si>
    <t xml:space="preserve">a82af930824dee6dccff5e4d</t>
  </si>
  <si>
    <t xml:space="preserve">Form 4 Broadcom Inc For: 24 October By Investing.com</t>
  </si>
  <si>
    <t xml:space="preserve">dbd9e85b85853679a0ab49a4</t>
  </si>
  <si>
    <t xml:space="preserve">MPC Container Ships ASA Estimates – TURQUOISE:MPCCO</t>
  </si>
  <si>
    <t xml:space="preserve">dc33b88098a805fd13eb1c89</t>
  </si>
  <si>
    <t xml:space="preserve">Will India Gas Supply Expansion Change Linde (LIN) Stock Narrative</t>
  </si>
  <si>
    <t xml:space="preserve">004a76eb6f90047113d4ff0f</t>
  </si>
  <si>
    <t xml:space="preserve">Western Digital Corporation $WDC Shares Sold by SBI Securities Co. Ltd.</t>
  </si>
  <si>
    <t xml:space="preserve">87822cf242bc6790a4867f6d</t>
  </si>
  <si>
    <t xml:space="preserve">Sterling Capital Management LLC Sells 20,469 Shares of Nasdaq, Inc. $NDAQ</t>
  </si>
  <si>
    <t xml:space="preserve">cf08517e48e5fd390c665d65</t>
  </si>
  <si>
    <t xml:space="preserve">EOG Resources stock trades at EUR 146.48 in weekend trading</t>
  </si>
  <si>
    <t xml:space="preserve">d29ccad9e7e84508382679de</t>
  </si>
  <si>
    <t xml:space="preserve">Boeing (NYSE:BA) Share Price, Forecast &amp; Analysis</t>
  </si>
  <si>
    <t xml:space="preserve">574697acc90429471ecfe1ad</t>
  </si>
  <si>
    <t xml:space="preserve">Stock-Split Watch: Is Sandisk Next?</t>
  </si>
  <si>
    <t xml:space="preserve">2349fffea8eaa300614949ca</t>
  </si>
  <si>
    <t xml:space="preserve">Northern Trust Quality Dividend (^SPLB-IV) latest stock news and headlines</t>
  </si>
  <si>
    <t xml:space="preserve">2c4472c710f0d71657ce3f2e</t>
  </si>
  <si>
    <t xml:space="preserve">Form 144 Accenture PLC For: 22 October By Investing.com</t>
  </si>
  <si>
    <t xml:space="preserve">ede94884e17388d1b4a174ab</t>
  </si>
  <si>
    <t xml:space="preserve">PHM Oct 2026 120.000 put (PHM261023P00120000) interactive stock chart</t>
  </si>
  <si>
    <t xml:space="preserve">7f103465cba8ccf3cf43d2b1</t>
  </si>
  <si>
    <t xml:space="preserve">Form 4 Invesco Unit Trusts For: 23 October By Investing.com</t>
  </si>
  <si>
    <t xml:space="preserve">eb6522a23d30e41e6d2e6b6d</t>
  </si>
  <si>
    <t xml:space="preserve">BlackRock Credit Strategies Fund Class W Shares Estimates – NASDAQ:CRDWX</t>
  </si>
  <si>
    <t xml:space="preserve">25c3fe59ca72891e057e8e89</t>
  </si>
  <si>
    <t xml:space="preserve">Occidental Petroleum (NYSE:OXY) Share Price, Forecast &amp; Analysis</t>
  </si>
  <si>
    <t xml:space="preserve">8482af58a7a3624c750117d2</t>
  </si>
  <si>
    <t xml:space="preserve">Synopsys stock trades at EUR 385.25 in weekend trading</t>
  </si>
  <si>
    <t xml:space="preserve">80212373c7e3b75a7e533649</t>
  </si>
  <si>
    <t xml:space="preserve">Quanta Services (NYSE:PWR) Share Price, Forecast &amp; Analysis</t>
  </si>
  <si>
    <t xml:space="preserve">febd1d33988923dc32ca6cdb</t>
  </si>
  <si>
    <t xml:space="preserve">Form 4 QUEST DIAGNOSTICS INC For: Oct 21 Filed by: Plewman Patrick</t>
  </si>
  <si>
    <t xml:space="preserve">137af627ac69a40e54e78ae6</t>
  </si>
  <si>
    <t xml:space="preserve">Devon Energy (NYSE:DVN) Share Price, Forecast &amp; Analysis</t>
  </si>
  <si>
    <t xml:space="preserve">ba56bf7c8abcb9dad188d56e</t>
  </si>
  <si>
    <t xml:space="preserve">BlackRock TCP Capital Corp. Estimates – NASDAQ:TCPC</t>
  </si>
  <si>
    <t xml:space="preserve">a5442dde65afb1eee5b0e5d6</t>
  </si>
  <si>
    <t xml:space="preserve">Blackrock MuniYield New York Quality Fund, Inc. Estimates – NYSE:MYN</t>
  </si>
  <si>
    <t xml:space="preserve">44a7d4792eead3d5a0b5ec5e</t>
  </si>
  <si>
    <t xml:space="preserve">MMM Jan 2027 180.000 put (MMM270115P00180000) Stock Forum &amp; Discussion - Yahoo Finance</t>
  </si>
  <si>
    <t xml:space="preserve">e76f0a9715d89063e107ecd9</t>
  </si>
  <si>
    <t xml:space="preserve">Form 144 RESMED INC For: 23 October By Investing.com</t>
  </si>
  <si>
    <t xml:space="preserve">cc967007e324b3274676a8c8</t>
  </si>
  <si>
    <t xml:space="preserve">ROL Jan 2029 50.000 call (ROL290119C00050000) interactive stock chart – Yahoo Finance</t>
  </si>
  <si>
    <t xml:space="preserve">34b4942c00a412ac687b12e4</t>
  </si>
  <si>
    <t xml:space="preserve">Wells Fargo, Intuit latest companies to object to their shares being tokenized, document shows</t>
  </si>
  <si>
    <t xml:space="preserve">2a3321a0d401766eab7e8950</t>
  </si>
  <si>
    <t xml:space="preserve">2,830 Apple Inc. $AAPL Shares Sold by WealthSpring Partners LLC</t>
  </si>
  <si>
    <t xml:space="preserve">673fe838a3218399a76c31af</t>
  </si>
  <si>
    <t xml:space="preserve">VLO Oct 2026 442.500 call (VLO261030C00442500) interactive stock chart</t>
  </si>
  <si>
    <t xml:space="preserve">e5ac39ccbb7661f6e99976fb</t>
  </si>
  <si>
    <t xml:space="preserve">FIS Alpine Skiing World Cup: Men's Giant Slalom Run 2 - Sölden</t>
  </si>
  <si>
    <t xml:space="preserve">f1e41e4127586e34d5944fc3</t>
  </si>
  <si>
    <t xml:space="preserve">25,485 First Solar, Inc. $FSLR Shares Sold by Robeco Schweiz AG</t>
  </si>
  <si>
    <t xml:space="preserve">e0b89e90c19331e846b28bb8</t>
  </si>
  <si>
    <t xml:space="preserve">The Goldman Sachs Group, Inc. $GS Shares Bought by Citizens Financial Group Inc. RI</t>
  </si>
  <si>
    <t xml:space="preserve">70d42518235a099c54180d80</t>
  </si>
  <si>
    <t xml:space="preserve">Lam Research Corporation $LRCX Stock Sold by Valley National Advisers Inc.</t>
  </si>
  <si>
    <t xml:space="preserve">15a53e4bbd747fab414045ec</t>
  </si>
  <si>
    <t xml:space="preserve">M&amp;T Bank Corporation $MTB Holdings Decreased by Evergreen Capital Management LLC</t>
  </si>
  <si>
    <t xml:space="preserve">4a45218614e56214083fb47a</t>
  </si>
  <si>
    <t xml:space="preserve">KEYS</t>
  </si>
  <si>
    <t xml:space="preserve">Keysight Technologies</t>
  </si>
  <si>
    <t xml:space="preserve">KEYS | Pre-Game vs TOR</t>
  </si>
  <si>
    <t xml:space="preserve">1afec22deb7475a44a7799b1</t>
  </si>
  <si>
    <t xml:space="preserve">Calnex Solutions Plc Estimates – LSE:CLX</t>
  </si>
  <si>
    <t xml:space="preserve">07636a66a3c81269125e4a30</t>
  </si>
  <si>
    <t xml:space="preserve">Did AI Tax Launch Just Shift Intuit Stock Investment Narrative?</t>
  </si>
  <si>
    <t xml:space="preserve">c636bbe90a1a46848202a6ea</t>
  </si>
  <si>
    <t xml:space="preserve">How Data Center Financing Risks At Nvidia Shares Has Changed Its Investment Story</t>
  </si>
  <si>
    <t xml:space="preserve">9028d4b4d0f6fc4dd7cfd25f</t>
  </si>
  <si>
    <t xml:space="preserve">‘Mayor of Kingstown’ Season 5 release date: ‘Mayor of Kingstown’ Season 5 on Paramount+/Netflix Info</t>
  </si>
  <si>
    <t xml:space="preserve">e1ab57863aa9bb99dc17210b</t>
  </si>
  <si>
    <t xml:space="preserve">ebc0c7a47c425233e68143d1</t>
  </si>
  <si>
    <t xml:space="preserve">Salesforce stake traded for premium price as grim buildings rot</t>
  </si>
  <si>
    <t xml:space="preserve">Adelaide Now</t>
  </si>
  <si>
    <t xml:space="preserve">491642ca66a6b2f200ba8b57</t>
  </si>
  <si>
    <t xml:space="preserve">18,543 Xylem Inc. $XYL Shares Acquired by Vest Financial LLC</t>
  </si>
  <si>
    <t xml:space="preserve">dbcfc045dd0e0e116c2f1f2a</t>
  </si>
  <si>
    <t xml:space="preserve">Netflix’s ‘New Stanford Prison Experiment’ Is Rigged For Drama</t>
  </si>
  <si>
    <t xml:space="preserve">9ddea2eeeecbd4bc389b7bbe</t>
  </si>
  <si>
    <t xml:space="preserve">Ciena appoints Monika Fahlbusch. Ciena stock trades at EUR 286.35</t>
  </si>
  <si>
    <t xml:space="preserve">fc9456f5ca2e32bdd4d5000c</t>
  </si>
  <si>
    <t xml:space="preserve">Amgen reports Tezspire trial results. Amgen stock trades EUR 392.10</t>
  </si>
  <si>
    <t xml:space="preserve">0bfbd1a96284b0da15536346</t>
  </si>
  <si>
    <t xml:space="preserve">3M Company $MMM Shares Acquired by Axxcess Wealth Management LLC</t>
  </si>
  <si>
    <t xml:space="preserve">4b7fcc41441201e3ca49a3c6</t>
  </si>
  <si>
    <t xml:space="preserve">8a480a18016afd80b3ff01a3</t>
  </si>
  <si>
    <t xml:space="preserve">CocaCola Company (The) $KO Stock Holdings Reduced by Capital Investment Advisors LLC</t>
  </si>
  <si>
    <t xml:space="preserve">30acecff96b6bb7b432957e5</t>
  </si>
  <si>
    <t xml:space="preserve">AVGO Oct 2026 350.000 put (AVGO261019P00350000) interactive stock chart</t>
  </si>
  <si>
    <t xml:space="preserve">fe4e108278a3cadc5a263c19</t>
  </si>
  <si>
    <t xml:space="preserve">ROP Nov 2026 210.000 put (ROP261120P00210000) interactive stock chart</t>
  </si>
  <si>
    <t xml:space="preserve">ab75116083080937f8fb4a0a</t>
  </si>
  <si>
    <t xml:space="preserve">Form 4 NVIDIA Corporation For: 25 October By Investing.com</t>
  </si>
  <si>
    <t xml:space="preserve">abeaf737fa94092d6662dd64</t>
  </si>
  <si>
    <t xml:space="preserve">MA</t>
  </si>
  <si>
    <t xml:space="preserve">Mastercard</t>
  </si>
  <si>
    <t xml:space="preserve">Nuveen Multi-Market Income Fund (MA) Estimates – BOATS:JMM</t>
  </si>
  <si>
    <t xml:space="preserve">084f1dace17f99e6dee6d922</t>
  </si>
  <si>
    <t xml:space="preserve">Northrop Grumman (NOC), What Is Behind The Fresh Attention?</t>
  </si>
  <si>
    <t xml:space="preserve">0377998d85f38af2eb8a0398</t>
  </si>
  <si>
    <t xml:space="preserve">FSLR Sep 2027 185.000 put (FSLR270917P00185000) interactive stock chart</t>
  </si>
  <si>
    <t xml:space="preserve">a8b4763111eac8cab65a0ed7</t>
  </si>
  <si>
    <t xml:space="preserve">Comcast Teases Epic Universe Inclusion in Future Universal Orlando Annual Passes</t>
  </si>
  <si>
    <t xml:space="preserve">e85399161785399cfc4c7811</t>
  </si>
  <si>
    <t xml:space="preserve">HPQ Oct 2026 31.000 call (HPQ261030C00031000) interactive stock chart</t>
  </si>
  <si>
    <t xml:space="preserve">3110239a2a6fd05a4da11374</t>
  </si>
  <si>
    <t xml:space="preserve">TSLA Oct 2026 422.500 put (TSLA261026P00422500) interactive stock chart</t>
  </si>
  <si>
    <t xml:space="preserve">06eedb74205858cddbea8a55</t>
  </si>
  <si>
    <t xml:space="preserve">SNPS Nov 2026 490.000 put (SNPS261106P00490000) interactive stock chart</t>
  </si>
  <si>
    <t xml:space="preserve">6dd1568b7fbc80b0725fd319</t>
  </si>
  <si>
    <t xml:space="preserve">TJX Companies declares dividend as TJX Companies stock yields 1.30 percent</t>
  </si>
  <si>
    <t xml:space="preserve">bac30ef1839d640579fbe235</t>
  </si>
  <si>
    <t xml:space="preserve">BNY Mellon Strategic Municipals, Inc. Estimates – BOATS:LEO</t>
  </si>
  <si>
    <t xml:space="preserve">eb3021992d4e6b900233346e</t>
  </si>
  <si>
    <t xml:space="preserve">EXE Sep 2027 110.000 call (EXE270917C00110000) interactive stock chart – Yahoo Finance</t>
  </si>
  <si>
    <t xml:space="preserve">8250484692fd03a65f138dc8</t>
  </si>
  <si>
    <t xml:space="preserve">SNPS Oct 2026 555.000 call (SNPS261023C00555000) interactive stock chart</t>
  </si>
  <si>
    <t xml:space="preserve">9222c5ab3f54e22e2d5176a9</t>
  </si>
  <si>
    <t xml:space="preserve">MCD Oct 2026 200.000 call (MCD261023C00200000) interactive stock chart – Yahoo Finance</t>
  </si>
  <si>
    <t xml:space="preserve">9cf57f42148f8832734da4a9</t>
  </si>
  <si>
    <t xml:space="preserve">4,029 Shares of Invesco QQQ $QQQ Acquired by Wavvest Wealth LLC</t>
  </si>
  <si>
    <t xml:space="preserve">7af07e49d14113dcf09cb734</t>
  </si>
  <si>
    <t xml:space="preserve">CIT: Great Gray Trust T. Rowe Price Retirement Date 2060 Trust Fee Class I1 (WWTAGX)</t>
  </si>
  <si>
    <t xml:space="preserve">f7b0fddf6927b9b9e5bc1af7</t>
  </si>
  <si>
    <t xml:space="preserve">Honeywell International (NASDAQ:HON) Issues Q4 2026 Earnings Guidance</t>
  </si>
  <si>
    <t xml:space="preserve">8daf0aecbe6e5f670854adb8</t>
  </si>
  <si>
    <t xml:space="preserve">Honeywell International (NASDAQ:HON) Issues FY 2026 Earnings Guidance</t>
  </si>
  <si>
    <t xml:space="preserve">fb3e57ef487cefdc6e442a54</t>
  </si>
  <si>
    <t xml:space="preserve">WDAY</t>
  </si>
  <si>
    <t xml:space="preserve">Workday, Inc.</t>
  </si>
  <si>
    <t xml:space="preserve">WDAY Oct 2026 202.500 call (WDAY261030C00202500) interactive stock chart – Yahoo Finance</t>
  </si>
  <si>
    <t xml:space="preserve">843be438073bbcd6b7ab4504</t>
  </si>
  <si>
    <t xml:space="preserve">661735-AUD-NETR interactive stock chart | MSCI AUSTRALIA SMID VAL NETR AU stock</t>
  </si>
  <si>
    <t xml:space="preserve">51f7faccee4b47aa29a30b9d</t>
  </si>
  <si>
    <t xml:space="preserve">Broadcom (AVGO) Stock Forum and Discussion</t>
  </si>
  <si>
    <t xml:space="preserve">91d7abaefb6e99acdfe9cc31</t>
  </si>
  <si>
    <t xml:space="preserve">Marathon Petroleum (NYSE:MPC) Share Price, Forecast &amp; Analysis</t>
  </si>
  <si>
    <t xml:space="preserve">4ac096a440b2c1b926463c5b</t>
  </si>
  <si>
    <t xml:space="preserve">VISN,STAA,WEST,RXO,SLND,PLSE,CODI,VANI,GRNT,TPL,ABR,CAUD,HAPN,GUG,RMCF,QRHC,CRGY | Stock Prices | Quote Comparison - Yahoo Finance</t>
  </si>
  <si>
    <t xml:space="preserve">9c21e0eb2b00e9833f316bc9</t>
  </si>
  <si>
    <t xml:space="preserve">ADSK Oct 2026 230.000 call (ADSK261030C00230000) interactive stock chart</t>
  </si>
  <si>
    <t xml:space="preserve">ac242a77a3da23b9b5f942e0</t>
  </si>
  <si>
    <t xml:space="preserve">AMAT Nov 2026 375.000 put (AMAT261113P00375000) interactive stock chart – Yahoo Finance</t>
  </si>
  <si>
    <t xml:space="preserve">bbd5bff8836a8cee283df0ae</t>
  </si>
  <si>
    <t xml:space="preserve">VST Nov 2026 149.000 put (VST261106P00149000) interactive stock chart</t>
  </si>
  <si>
    <t xml:space="preserve">07af066c779e477f992f4bc9</t>
  </si>
  <si>
    <t xml:space="preserve">PT Victoria Care Indonesia Tbk Estimates – IDX:VICI</t>
  </si>
  <si>
    <t xml:space="preserve">b918335b47876921e04de5a4</t>
  </si>
  <si>
    <t xml:space="preserve">VICI Properties Inc. $VICI Shares Acquired by Tectonic Advisors LLC</t>
  </si>
  <si>
    <t xml:space="preserve">357e9c39fa6db72b96fd7703</t>
  </si>
  <si>
    <t xml:space="preserve">IDXX</t>
  </si>
  <si>
    <t xml:space="preserve">Idexx Laboratories</t>
  </si>
  <si>
    <t xml:space="preserve">IDEXX Laboratories, Inc. Estimates – NASDAQ:IDXX</t>
  </si>
  <si>
    <t xml:space="preserve">403c3dc314ff836b08ae73f7</t>
  </si>
  <si>
    <t xml:space="preserve">PFG: Principal Financial Group Inc - Registered Shares Latest Stock Price, Analysis, News and Trading Ideas</t>
  </si>
  <si>
    <t xml:space="preserve">857990ca92fb3db53c331f21</t>
  </si>
  <si>
    <t xml:space="preserve">American Water (AWK) Updates CPUC: Monterey Desal Cost Now $825M</t>
  </si>
  <si>
    <t xml:space="preserve">d6d5f9d33aa3774f114676d5</t>
  </si>
  <si>
    <t xml:space="preserve">Form 8K PNC Financial Services For: 23 October By Investing.com</t>
  </si>
  <si>
    <t xml:space="preserve">Investing.com Australia</t>
  </si>
  <si>
    <t xml:space="preserve">e7ef91d631bbbb5baf54653e</t>
  </si>
  <si>
    <t xml:space="preserve">Form 4 General Mills: Jo Ann Jenkins (Director) For: 29 September</t>
  </si>
  <si>
    <t xml:space="preserve">e2dac6384d46ce13041ca4ad</t>
  </si>
  <si>
    <t xml:space="preserve">Bristow appoints new COO for Government Services business</t>
  </si>
  <si>
    <t xml:space="preserve">Helicopter Investor</t>
  </si>
  <si>
    <t xml:space="preserve">d1d16a12479444c9b218d55d</t>
  </si>
  <si>
    <t xml:space="preserve">ALH or WSM: Which Is the Better Value Stock Right Now?</t>
  </si>
  <si>
    <t xml:space="preserve">05ee4553cbed0c7de32ce30e</t>
  </si>
  <si>
    <t xml:space="preserve">Iron Mountain Incorporated (Del (IRM) Stock Forecasts</t>
  </si>
  <si>
    <t xml:space="preserve">e9a1f387a4a76713d8a4c0e5</t>
  </si>
  <si>
    <t xml:space="preserve">1,431 Tesla, Inc. $TSLA Shares Sold by Private Wealth Partners LLC</t>
  </si>
  <si>
    <t xml:space="preserve">90c7bf57c683bfdd8d66c2e5</t>
  </si>
  <si>
    <t xml:space="preserve">Ex-Walmart Tech Goes To Dealership For Warranty Service. Then They Quote Him For A New Battery: ‘Crazy’</t>
  </si>
  <si>
    <t xml:space="preserve">86874858835e1cd8a779d7f9</t>
  </si>
  <si>
    <t xml:space="preserve">10,922 Genuine Parts Company $GPC Shares Sold by Sterling Capital Management LLC</t>
  </si>
  <si>
    <t xml:space="preserve">3fd416599801d501a1ac3278</t>
  </si>
  <si>
    <t xml:space="preserve">Amgen Inc. $AMGN Shares Sold by Axxcess Wealth Management LLC</t>
  </si>
  <si>
    <t xml:space="preserve">0c3685d3b37af0511f88a783</t>
  </si>
  <si>
    <t xml:space="preserve">Sandisk SNDK Stock: $1,238 Four Days to Results, Bear $1,090</t>
  </si>
  <si>
    <t xml:space="preserve">71179e16dc6b354e44e47741</t>
  </si>
  <si>
    <t xml:space="preserve">BLDR Jan 2027 52.500 put (BLDR270115P00052500) interactive stock chart</t>
  </si>
  <si>
    <t xml:space="preserve">bd020509298548e2ccd353df</t>
  </si>
  <si>
    <t xml:space="preserve">42,274 Procter &amp; Gamble Company (The) $PG Shares Sold by Citizens Financial Group Inc. RI</t>
  </si>
  <si>
    <t xml:space="preserve">faa8093341f526bb24d360e2</t>
  </si>
  <si>
    <t xml:space="preserve">CL</t>
  </si>
  <si>
    <t xml:space="preserve">Colgate-Palmolive</t>
  </si>
  <si>
    <t xml:space="preserve">Colgate-Palmolive (NYSE:CL) Share Price, Forecast &amp; Analysis</t>
  </si>
  <si>
    <t xml:space="preserve">651cfa037695cd340341132c</t>
  </si>
  <si>
    <t xml:space="preserve">8,123 Aon plc $AON Shares Bought by Valley National Advisers Inc.</t>
  </si>
  <si>
    <t xml:space="preserve">4adb146b513cf6bc3f1aa306</t>
  </si>
  <si>
    <t xml:space="preserve">48b4a0da6583288d408d5cb2</t>
  </si>
  <si>
    <t xml:space="preserve">SAS 122, DAL 106: Daniel Gafford Postgame Media Availability</t>
  </si>
  <si>
    <t xml:space="preserve">a5f1ecfc78660e5a75a3daa9</t>
  </si>
  <si>
    <t xml:space="preserve">Form 4 Monolithic Power Systems Inc For: 25 October By Investing.com</t>
  </si>
  <si>
    <t xml:space="preserve">b6d365116108adc93b852d99</t>
  </si>
  <si>
    <t xml:space="preserve">DD</t>
  </si>
  <si>
    <t xml:space="preserve">DuPont</t>
  </si>
  <si>
    <t xml:space="preserve">Which draft lottery contenders need Landon DuPont the most?</t>
  </si>
  <si>
    <t xml:space="preserve">Daily Faceoff</t>
  </si>
  <si>
    <t xml:space="preserve">4957f094c1014eeb34319eb7</t>
  </si>
  <si>
    <t xml:space="preserve">NKE Oct 2026 46.000 put (NKE261030P00046000) Interactive Stock Chart - Yahoo Finance</t>
  </si>
  <si>
    <t xml:space="preserve">e4907fdece80b404c7bb631f</t>
  </si>
  <si>
    <t xml:space="preserve">Humana, UnitedHealthcare ending Medicare Advantage plans for 1 million seniors, insurers say</t>
  </si>
  <si>
    <t xml:space="preserve">CBS News</t>
  </si>
  <si>
    <t xml:space="preserve">41732bf600c5d0af49669519</t>
  </si>
  <si>
    <t xml:space="preserve">CCL football roundup: Here are results, stats and highlights from 2026 IHSA opening round playoff games</t>
  </si>
  <si>
    <t xml:space="preserve">Shaw Local</t>
  </si>
  <si>
    <t xml:space="preserve">f54ea7f9963a260c3cee2c7c</t>
  </si>
  <si>
    <t xml:space="preserve">The Cigna Group (NYSE:CI) Share Price, Forecast &amp; Analysis</t>
  </si>
  <si>
    <t xml:space="preserve">c1f718096d25ba003ad187ea</t>
  </si>
  <si>
    <t xml:space="preserve">DVN Oct 2026 49.500 call (DVN261023C00049500) interactive stock chart</t>
  </si>
  <si>
    <t xml:space="preserve">d78943ba19abe5cb70824249</t>
  </si>
  <si>
    <t xml:space="preserve">91,450 Simon Property Group, Inc. $SPG Shares Sold by Robeco Institutional Asset Management B.V.</t>
  </si>
  <si>
    <t xml:space="preserve">cba88fca990c97988da8f371</t>
  </si>
  <si>
    <t xml:space="preserve">72,860 Builders FirstSource, Inc. $BLDR Shares Acquired by Investment House LLC</t>
  </si>
  <si>
    <t xml:space="preserve">dc031bdf39e072a2f1f12cab</t>
  </si>
  <si>
    <t xml:space="preserve">AMAT Nov 2026 680.000 call (AMAT261127C00680000) interactive stock chart – Yahoo Finance</t>
  </si>
  <si>
    <t xml:space="preserve">733e0f8fda83a9e1944ce5d2</t>
  </si>
  <si>
    <t xml:space="preserve">YUM Nov 2026 120.000 call (YUM261120C00120000) interactive stock chart</t>
  </si>
  <si>
    <t xml:space="preserve">228f76bbb89b43ab4700a0cf</t>
  </si>
  <si>
    <t xml:space="preserve">BlackRock Investment Trusts - Net Asset Value(s)</t>
  </si>
  <si>
    <t xml:space="preserve">f46c976d912961b44d35a8cb</t>
  </si>
  <si>
    <t xml:space="preserve">WYNN Nov 2026 84.000 call (WYNN261127C00084000) interactive stock chart – Yahoo Finance</t>
  </si>
  <si>
    <t xml:space="preserve">f8c4e27f9b37eab326c7bf90</t>
  </si>
  <si>
    <t xml:space="preserve">15,772 Sysco Corporation $SYY Shares Acquired by Axxcess Wealth Management LLC</t>
  </si>
  <si>
    <t xml:space="preserve">4e368141958d0a00727fc8d5</t>
  </si>
  <si>
    <t xml:space="preserve">What Is Behind the Upward Move in Equifax (NYSE:EFX)?</t>
  </si>
  <si>
    <t xml:space="preserve">78f0de70d079e7ec53b1208b</t>
  </si>
  <si>
    <t xml:space="preserve">Edwards Lifesciences Corporation $EW Shares Sold by Investment House LLC</t>
  </si>
  <si>
    <t xml:space="preserve">a4df7d629318a4ac2fd0f41c</t>
  </si>
  <si>
    <t xml:space="preserve">News @ 7 on HUM News: full details and when it's on</t>
  </si>
  <si>
    <t xml:space="preserve">TVGuide.co.uk</t>
  </si>
  <si>
    <t xml:space="preserve">1f19fd9c55a2852d7f7f802a</t>
  </si>
  <si>
    <t xml:space="preserve">PLD Jan 2029 160.000 call (PLD290119C00160000) interactive stock chart</t>
  </si>
  <si>
    <t xml:space="preserve">f61923289bb3d6e4038e2a16</t>
  </si>
  <si>
    <t xml:space="preserve">LEN May 2027 95.000 call (LEN270521C00095000) interactive stock chart – Yahoo Finance</t>
  </si>
  <si>
    <t xml:space="preserve">bf8da82b5d312e9e48b92f29</t>
  </si>
  <si>
    <t xml:space="preserve">Could You Have Held Motorola Solutions Stock Through Its Falls?</t>
  </si>
  <si>
    <t xml:space="preserve">786cc4f0387d326d426d5211</t>
  </si>
  <si>
    <t xml:space="preserve">NVDA261019P00237500 interactive stock chart | NVDA Oct 2026 237.500 put stock - Yahoo Finance</t>
  </si>
  <si>
    <t xml:space="preserve">9977afe78ed25ba865d97a03</t>
  </si>
  <si>
    <t xml:space="preserve">Invesco QQQ Trust (QQQ) Price, Quote &amp; Chart, NASDAQ</t>
  </si>
  <si>
    <t xml:space="preserve">TechGraph</t>
  </si>
  <si>
    <t xml:space="preserve">7c91a4292e610d1ac664fe79</t>
  </si>
  <si>
    <t xml:space="preserve">343,162 DuPont de Nemours, Inc. $DD Shares Sold by Mondrian Investment Partners LTD</t>
  </si>
  <si>
    <t xml:space="preserve">59be8a495f26060e5f797632</t>
  </si>
  <si>
    <t xml:space="preserve">Broadcom Inc. $AVGO Stock Acquired by Hosking Partners LLP</t>
  </si>
  <si>
    <t xml:space="preserve">3b196208e416c33eae5d7e9b</t>
  </si>
  <si>
    <t xml:space="preserve">EG</t>
  </si>
  <si>
    <t xml:space="preserve">Everest Group</t>
  </si>
  <si>
    <t xml:space="preserve">Everest Group, Ltd. (NYSE:EG) Stock Rated "Hold" by Wall Street Analysts</t>
  </si>
  <si>
    <t xml:space="preserve">b0136b75f0d222cf0603dac2</t>
  </si>
  <si>
    <t xml:space="preserve">2,838 Tesla, Inc. $TSLA Shares Bought by Fifth Third Wealth Advisors LLC</t>
  </si>
  <si>
    <t xml:space="preserve">57f1e6be458dc8d7682d1fa0</t>
  </si>
  <si>
    <t xml:space="preserve">LVS Oct 2026 35.500 put (LVS261023P00035500) interactive stock chart</t>
  </si>
  <si>
    <t xml:space="preserve">6b8398b1b2389a590369ffff</t>
  </si>
  <si>
    <t xml:space="preserve">VEEV Dec 2026 220.000 put (VEEV261218P00220000) interactive stock chart</t>
  </si>
  <si>
    <t xml:space="preserve">10b1574ca9f1f58b579a397f</t>
  </si>
  <si>
    <t xml:space="preserve">TGT Nov 2026 150.000 put (TGT261120P00150000) interactive stock chart</t>
  </si>
  <si>
    <t xml:space="preserve">e6be36d7237b1bb0bcc83669</t>
  </si>
  <si>
    <t xml:space="preserve">ADI261113P00400000 interactive stock chart | ADI Nov 2026 400.000 put stock - Yahoo Finance</t>
  </si>
  <si>
    <t xml:space="preserve">93bb5051b65a0bb41980647c</t>
  </si>
  <si>
    <t xml:space="preserve">SNPS Oct 2026 425.000 put (SNPS261030P00425000) interactive stock chart</t>
  </si>
  <si>
    <t xml:space="preserve">2be15e2f30682d93cb861c72</t>
  </si>
  <si>
    <t xml:space="preserve">Western Digital Corporation Estimates – NASDAQ:WDC</t>
  </si>
  <si>
    <t xml:space="preserve">4e6f712435de45c5ee63215b</t>
  </si>
  <si>
    <t xml:space="preserve">PNC Financial Services Group, Inc. (The) Estimates – NYSE:PNC</t>
  </si>
  <si>
    <t xml:space="preserve">78903ee807f7f8845175308e</t>
  </si>
  <si>
    <t xml:space="preserve">NSC Nov 2026 350.000 call (NSC261120C00350000) interactive stock chart</t>
  </si>
  <si>
    <t xml:space="preserve">6259439342724d13e865f1a1</t>
  </si>
  <si>
    <t xml:space="preserve">Mapped: How Many Starbucks Stores Are in Each Country?</t>
  </si>
  <si>
    <t xml:space="preserve">Visual Capitalist</t>
  </si>
  <si>
    <t xml:space="preserve">59c0579483de5964770cd588</t>
  </si>
  <si>
    <t xml:space="preserve">JBL Oct 2026 305.000 call (JBL261023C00305000) Interactive Stock Chart - Yahoo Finance</t>
  </si>
  <si>
    <t xml:space="preserve">4d83d913804bfc0f8db3c4e9</t>
  </si>
  <si>
    <t xml:space="preserve">NXPI</t>
  </si>
  <si>
    <t xml:space="preserve">NXP Semiconductors</t>
  </si>
  <si>
    <t xml:space="preserve">Trading the Move, Not the Narrative: (NXPI) Edition</t>
  </si>
  <si>
    <t xml:space="preserve">966eae6a5e3f00d186769600</t>
  </si>
  <si>
    <t xml:space="preserve">Quest Diagnostics reports patient data breach</t>
  </si>
  <si>
    <t xml:space="preserve">NJBIZ</t>
  </si>
  <si>
    <t xml:space="preserve">46ad8babcec8413edae97a1a</t>
  </si>
  <si>
    <t xml:space="preserve">I tried using a pumpkin as my cup at Starbucks. Here's what happened</t>
  </si>
  <si>
    <t xml:space="preserve">lenconnect.com</t>
  </si>
  <si>
    <t xml:space="preserve">a47ce1e3ee055b7df5242d65</t>
  </si>
  <si>
    <t xml:space="preserve">Veralto stock: CEO sells 7,098 shares before Veralto stock results on October 29</t>
  </si>
  <si>
    <t xml:space="preserve">bdc1fffc89e56614c43a14b7</t>
  </si>
  <si>
    <t xml:space="preserve">UNH Nov 2026 500.000 put (UNH261120P00500000) interactive stock chart</t>
  </si>
  <si>
    <t xml:space="preserve">431fdf1e41cab41e1505ba8d</t>
  </si>
  <si>
    <t xml:space="preserve">Roper Technologies, Inc. 2026 Q3 - Results - Earnings Call Presentation (NASDAQ:ROP) 2026-10-23</t>
  </si>
  <si>
    <t xml:space="preserve">de670ec200e28c3e5cd17d82</t>
  </si>
  <si>
    <t xml:space="preserve">Netflix top 10 movies — here’s the 3 worth watching right now (October 24-25)</t>
  </si>
  <si>
    <t xml:space="preserve">Tom's Guide</t>
  </si>
  <si>
    <t xml:space="preserve">016ad4ee1d8f93f01ade5ef9</t>
  </si>
  <si>
    <t xml:space="preserve">Form 4 NVIDIA Corporation For: 24 October By Investing.com</t>
  </si>
  <si>
    <t xml:space="preserve">f8413bf7d528ed27f46e624e</t>
  </si>
  <si>
    <t xml:space="preserve">Jabil, Inc. $JBL Shares Sold by Crossmark Global Holdings Inc.</t>
  </si>
  <si>
    <t xml:space="preserve">0d33bbbb7b18511eab82c029</t>
  </si>
  <si>
    <t xml:space="preserve">Earnings Week Ahead: MSFT, GOOGL, AMZN, XOM, BA, VZ, and more</t>
  </si>
  <si>
    <t xml:space="preserve">ddf2196d466a3d2e812201e2</t>
  </si>
  <si>
    <t xml:space="preserve">THERE IS BUD SELIG — BUD LITE — AND IF HE RUINED BASEBALL 32 YEARS AGO, HE’LL TRY AGAIN IN DECEMBER</t>
  </si>
  <si>
    <t xml:space="preserve">Jay Mariotti | Substack</t>
  </si>
  <si>
    <t xml:space="preserve">99efc8f9eb400eb5ec465e5a</t>
  </si>
  <si>
    <t xml:space="preserve">2,533 International Business Machines Corporation $IBM Shares Sold by Dudley Capital Management LLC</t>
  </si>
  <si>
    <t xml:space="preserve">134dca8d1a7aaffd9b697741</t>
  </si>
  <si>
    <t xml:space="preserve">EXPE Oct 2026 240.000 call (EXPE261030C00240000) interactive stock chart</t>
  </si>
  <si>
    <t xml:space="preserve">d5f46fed5da7079b7cea7f1b</t>
  </si>
  <si>
    <t xml:space="preserve">Comcast Corporation $CMCSA Stake Lessened by RWC Asset Management LLP</t>
  </si>
  <si>
    <t xml:space="preserve">2f9160b83c69023c84e7882f</t>
  </si>
  <si>
    <t xml:space="preserve">Apple Inc. $AAPL Stock Sold by Salem Investment Counselors Inc.</t>
  </si>
  <si>
    <t xml:space="preserve">7b9754e3c7b1e80866faff92</t>
  </si>
  <si>
    <t xml:space="preserve">Invesco Global Equity Income Trust plc Global Equity IncomeGBP Estimates – TURQUOISE:IGETL</t>
  </si>
  <si>
    <t xml:space="preserve">5a6f8c70c88c8db718a79b87</t>
  </si>
  <si>
    <t xml:space="preserve">20,697 Lam Research Corporation $LRCX Shares Sold by Harbor Island Capital LLC</t>
  </si>
  <si>
    <t xml:space="preserve">1021a47462f3cbc69888fa06</t>
  </si>
  <si>
    <t xml:space="preserve">Form 4 BLACKROCK FUNDS III For: 25 October By Investing.com</t>
  </si>
  <si>
    <t xml:space="preserve">951e08cdf2477383420f44e7</t>
  </si>
  <si>
    <t xml:space="preserve">HSIC</t>
  </si>
  <si>
    <t xml:space="preserve">Henry Schein</t>
  </si>
  <si>
    <t xml:space="preserve">Henry Schein, Inc. Estimates – NASDAQ:HSIC</t>
  </si>
  <si>
    <t xml:space="preserve">d527762b0f3c02340d508b54</t>
  </si>
  <si>
    <t xml:space="preserve">TXN Mar 2027 340.000 put (TXN270319P00340000) interactive stock chart</t>
  </si>
  <si>
    <t xml:space="preserve">1d35cd16f27ecf7ec20d7e08</t>
  </si>
  <si>
    <t xml:space="preserve">MRK Apr 2027 95.000 put (MRK270416P00095000) interactive stock chart</t>
  </si>
  <si>
    <t xml:space="preserve">1e0241617bb62d5978f77b11</t>
  </si>
  <si>
    <t xml:space="preserve">WYNN Sep 2027 92.500 put (WYNN270917P00092500) interactive stock chart – Yahoo Finance</t>
  </si>
  <si>
    <t xml:space="preserve">e9008f4e783a44abc8915904</t>
  </si>
  <si>
    <t xml:space="preserve">Form 8K Old Dominion Freight Line Inc For: 22 October By Investing.com</t>
  </si>
  <si>
    <t xml:space="preserve">cc1a8f3c1fc31f0ad982c8fc</t>
  </si>
  <si>
    <t xml:space="preserve">170,251 Diamondback Energy, Inc. $FANG Shares Purchased by Robeco Institutional Asset Management B.V.</t>
  </si>
  <si>
    <t xml:space="preserve">ea298b169f1c4a04619a49c5</t>
  </si>
  <si>
    <t xml:space="preserve">MCD Oct 2026 267.500 call (MCD261030C00267500) interactive stock chart</t>
  </si>
  <si>
    <t xml:space="preserve">970e76d6e5d509447270e847</t>
  </si>
  <si>
    <t xml:space="preserve">23,870 Citigroup Inc. $C Shares Acquired by Citizens Financial Group Inc. RI</t>
  </si>
  <si>
    <t xml:space="preserve">acbe4f17ff53fe1eb9ff2183</t>
  </si>
  <si>
    <t xml:space="preserve">BKNG Nov 2026 165.000 put (BKNG261106P00165000) interactive stock chart</t>
  </si>
  <si>
    <t xml:space="preserve">51e1de1619975ef714890f30</t>
  </si>
  <si>
    <t xml:space="preserve">Carmen Electra officially kicks off Halloween season at a gas station, postgame police chase &amp; Ball-Sac</t>
  </si>
  <si>
    <t xml:space="preserve">Fox News</t>
  </si>
  <si>
    <t xml:space="preserve">06ed19eff44019c54bfb5e11</t>
  </si>
  <si>
    <t xml:space="preserve">What could ResMed (ASX:RMD) reveal in its next update?</t>
  </si>
  <si>
    <t xml:space="preserve">8ca7ade5943a02604d2a4ed1</t>
  </si>
  <si>
    <t xml:space="preserve">NVDA Sep 2027 5.000 call (NVDA270917C00005000) interactive stock chart</t>
  </si>
  <si>
    <t xml:space="preserve">ff041735ef9c7ab1ae639e06</t>
  </si>
  <si>
    <t xml:space="preserve">Prologis Inc (POJN.HM) stock price, news, quote and history - Yahoo Finance</t>
  </si>
  <si>
    <t xml:space="preserve">f4659bc860fa727735267672</t>
  </si>
  <si>
    <t xml:space="preserve">AME Nov 2026 260.000 put (AME261120P00260000) Interactive Stock Chart - Yahoo Finance</t>
  </si>
  <si>
    <t xml:space="preserve">0961f634b1602973a468db9d</t>
  </si>
  <si>
    <t xml:space="preserve">IBM Nov 2026 260.000 call (IBM261127C00260000) interactive stock chart</t>
  </si>
  <si>
    <t xml:space="preserve">a32d99062388271cf2cd1ec5</t>
  </si>
  <si>
    <t xml:space="preserve">McLane Company Names Chris Smith EVP And COO</t>
  </si>
  <si>
    <t xml:space="preserve">The Shelby Report</t>
  </si>
  <si>
    <t xml:space="preserve">bf301f2462373cdf52533d82</t>
  </si>
  <si>
    <t xml:space="preserve">CAH Jan 2029 160.000 call (CAH290119C00160000) interactive stock chart</t>
  </si>
  <si>
    <t xml:space="preserve">a8115732c89b8ab9ac4b390e</t>
  </si>
  <si>
    <t xml:space="preserve">Expedia Group, Inc. $EXPE Shares Sold by Investment House LLC</t>
  </si>
  <si>
    <t xml:space="preserve">85ed9310ec4ec1cfb111f944</t>
  </si>
  <si>
    <t xml:space="preserve">URI Oct 2026 1035.000 put (URI261023P01035000) interactive stock chart</t>
  </si>
  <si>
    <t xml:space="preserve">084c6f5fa68335b6fa053de8</t>
  </si>
  <si>
    <t xml:space="preserve">LLY Nov 2026 1520.000 call (LLY261127C01520000) interactive stock chart</t>
  </si>
  <si>
    <t xml:space="preserve">a7f9cc213a7abd803507efc6</t>
  </si>
  <si>
    <t xml:space="preserve">Broadcom Inc. $AVGO Shares Sold by Nisa Investment Advisors LLC</t>
  </si>
  <si>
    <t xml:space="preserve">3adbf6c27176e07412bee68c</t>
  </si>
  <si>
    <t xml:space="preserve">NVDA Oct 2026 280.000 put (NVDA261019P00280000) interactive stock chart</t>
  </si>
  <si>
    <t xml:space="preserve">edc30631ae70b74420d05e96</t>
  </si>
  <si>
    <t xml:space="preserve">How much MSFT stock does former CEO Steve Ballmer actually own?</t>
  </si>
  <si>
    <t xml:space="preserve">d96c3b2de884fcf9e88653e6</t>
  </si>
  <si>
    <t xml:space="preserve">Learn Why The Bull Case For Charter Communications Stock Could Change Following Cox Deal Completion</t>
  </si>
  <si>
    <t xml:space="preserve">54b129d974f15fea3071e9b6</t>
  </si>
  <si>
    <t xml:space="preserve">Coinbase Derivatives Pauses Futures and Perpetual Trading for Maintenance</t>
  </si>
  <si>
    <t xml:space="preserve">783c9c521ff78d2128838a36</t>
  </si>
  <si>
    <t xml:space="preserve">!+[Here's Way To Watch] Old Dominion v Louisiana Tech LIVE NCAA Match 25 October 2026 Right Now</t>
  </si>
  <si>
    <t xml:space="preserve">d1bb5bc2f8fb8a5eee4e789e</t>
  </si>
  <si>
    <t xml:space="preserve">LyondellBasell Industries NV (LYB) Stock Forecasts</t>
  </si>
  <si>
    <t xml:space="preserve">5d4efbf6616589607472f304</t>
  </si>
  <si>
    <t xml:space="preserve">Form 144 GENERAC HOLDINGS INC. For: 24 October By Investing.com</t>
  </si>
  <si>
    <t xml:space="preserve">Investing.com UK</t>
  </si>
  <si>
    <t xml:space="preserve">9237dc99479c414955a63f56</t>
  </si>
  <si>
    <t xml:space="preserve">3,552 BlackRock $BLK Shares Bought by Robeco Institutional Asset Management B.V.</t>
  </si>
  <si>
    <t xml:space="preserve">7676250a2c85d68dab3ccb99</t>
  </si>
  <si>
    <t xml:space="preserve">Form 144 PROCTER &amp; GAMBLE Co For: 24 October By Investing.com</t>
  </si>
  <si>
    <t xml:space="preserve">ce234fcf9518e2dfd326a0eb</t>
  </si>
  <si>
    <t xml:space="preserve">Devon Energy Corporation $DVN Shares Acquired by RWC Asset Management LLP</t>
  </si>
  <si>
    <t xml:space="preserve">fd7b644e0db3559ee0cfb48f</t>
  </si>
  <si>
    <t xml:space="preserve">BLK Oct 2026 1145.000 call (BLK261030C01145000) interactive stock chart</t>
  </si>
  <si>
    <t xml:space="preserve">4e3258dd8c0cb26492d0edee</t>
  </si>
  <si>
    <t xml:space="preserve">Merck &amp; Co., Inc. $MRK Stock Sold by Capital Investment Advisors LLC</t>
  </si>
  <si>
    <t xml:space="preserve">03278a1dc46419596d86150b</t>
  </si>
  <si>
    <t xml:space="preserve">NEE</t>
  </si>
  <si>
    <t xml:space="preserve">NextEra Energy</t>
  </si>
  <si>
    <t xml:space="preserve">NextEra Energy, Inc. 7.234% Corporate Estimates – BOATS:NEE/PT</t>
  </si>
  <si>
    <t xml:space="preserve">5dcee3ac1cff903a1b7b08f4</t>
  </si>
  <si>
    <t xml:space="preserve">PYPL Nov 2026 53.000 put (PYPL261127P00053000) interactive stock chart</t>
  </si>
  <si>
    <t xml:space="preserve">6e98f1d1c21518ec263023c9</t>
  </si>
  <si>
    <t xml:space="preserve">Form 144 EQUIFAX INC For: 24 October By Investing.com</t>
  </si>
  <si>
    <t xml:space="preserve">49c12bce3a219296eb69e1a7</t>
  </si>
  <si>
    <t xml:space="preserve">UNH Oct 2026 382.500 call (UNH261030C00382500) interactive stock chart</t>
  </si>
  <si>
    <t xml:space="preserve">54d7562b2f661f2cb802f738</t>
  </si>
  <si>
    <t xml:space="preserve">Apple Inc. $AAPL Stock Acquired by Stone Summit Wealth LLC</t>
  </si>
  <si>
    <t xml:space="preserve">87d708d16d8c03115fa62700</t>
  </si>
  <si>
    <t xml:space="preserve">96,621 Occidental Petroleum Corporation $OXY Shares Sold by Robeco Institutional Asset Management B.V.</t>
  </si>
  <si>
    <t xml:space="preserve">01da6b9e3134aedbeaf9ded9</t>
  </si>
  <si>
    <t xml:space="preserve">PLTR</t>
  </si>
  <si>
    <t xml:space="preserve">Palantir Technologies</t>
  </si>
  <si>
    <t xml:space="preserve">Form 4 Palantir Technologies Inc For: 25 October By Investing.com</t>
  </si>
  <si>
    <t xml:space="preserve">a1f58f7029099c101d23e138</t>
  </si>
  <si>
    <t xml:space="preserve">FIS Alpine Skiing World Cup: Men's Giant Slalom Run 1 - Sölden</t>
  </si>
  <si>
    <t xml:space="preserve">450c1caa613707fc68f0ab09</t>
  </si>
  <si>
    <t xml:space="preserve">FFIV Feb 2027 490.000 put (FFIV270219P00490000) interactive stock chart</t>
  </si>
  <si>
    <t xml:space="preserve">9e6535d2873c8a0472e523f0</t>
  </si>
  <si>
    <t xml:space="preserve">STZ Oct 2026 112.000 put (STZ261030P00112000) interactive stock chart</t>
  </si>
  <si>
    <t xml:space="preserve">cc01dec387f3b9025cbbb315</t>
  </si>
  <si>
    <t xml:space="preserve">LIN Sep 2027 400.000 put (LIN270917P00400000) interactive stock chart</t>
  </si>
  <si>
    <t xml:space="preserve">f5813fec174a46d4c0256131</t>
  </si>
  <si>
    <t xml:space="preserve">49,580 The Progressive Corporation $PGR Shares Bought by Robeco Institutional Asset Management B.V.</t>
  </si>
  <si>
    <t xml:space="preserve">ddb40ebb5fd1edc34dc02db2</t>
  </si>
  <si>
    <t xml:space="preserve">NIKE, Inc. Announces 2026 Investor Day Webcast</t>
  </si>
  <si>
    <t xml:space="preserve">Business Wire</t>
  </si>
  <si>
    <t xml:space="preserve">418c2089943dc2eb36958731</t>
  </si>
  <si>
    <t xml:space="preserve">Goldman Sachs CEO David Solomon on the economy and small businesses in the age of AI</t>
  </si>
  <si>
    <t xml:space="preserve">a30ad3e8fd69a09acba74d48</t>
  </si>
  <si>
    <t xml:space="preserve">DXCM Nov 2026 91.000 call (DXCM261113C00091000) interactive stock chart – Yahoo Finance</t>
  </si>
  <si>
    <t xml:space="preserve">b7fa49b29c2f7d82362d0744</t>
  </si>
  <si>
    <t xml:space="preserve">NSC Sep 2027 280.000 put (NSC270917P00280000) interactive stock chart</t>
  </si>
  <si>
    <t xml:space="preserve">61fbcfa51fd827d1cb6776b5</t>
  </si>
  <si>
    <t xml:space="preserve">LRCX Oct 2026 385.000 call (LRCX261030C00385000) interactive stock chart</t>
  </si>
  <si>
    <t xml:space="preserve">0e1226d693906b4c8410022e</t>
  </si>
  <si>
    <t xml:space="preserve">Capital One Financial Corporation $COF Shares Acquired by MBL Wealth LLC</t>
  </si>
  <si>
    <t xml:space="preserve">89d666eaa4293f9a4294d323</t>
  </si>
  <si>
    <t xml:space="preserve">USDA AMS Report: CME Grade A Nonfat Dry Milk Weekly Average Cash Price (Oct 23, 2026) - News and Statistics</t>
  </si>
  <si>
    <t xml:space="preserve">IndexBox</t>
  </si>
  <si>
    <t xml:space="preserve">7b2bd0a62da1c65848d1fde0</t>
  </si>
  <si>
    <t xml:space="preserve">Form 144 EQUIFAX INC For: 23 October By Investing.com</t>
  </si>
  <si>
    <t xml:space="preserve">b54d71e55f4c17098939724f</t>
  </si>
  <si>
    <t xml:space="preserve">Altria Pays Out 89.3% of Its Earnings as Dividends. Here’s Why That Number Matters.</t>
  </si>
  <si>
    <t xml:space="preserve">13f33749e047701fa467439d</t>
  </si>
  <si>
    <t xml:space="preserve">RF</t>
  </si>
  <si>
    <t xml:space="preserve">Regions Financial Corporation</t>
  </si>
  <si>
    <t xml:space="preserve">RF - Regions Financial Corp. | News</t>
  </si>
  <si>
    <t xml:space="preserve">OTC Markets</t>
  </si>
  <si>
    <t xml:space="preserve">dac148bdd01f652768c47608</t>
  </si>
  <si>
    <t xml:space="preserve">Boston Scientific names COO as Boston Scientific stock trades at EUR 40.77</t>
  </si>
  <si>
    <t xml:space="preserve">de7ca129c6fa4954309667af</t>
  </si>
  <si>
    <t xml:space="preserve">TMO</t>
  </si>
  <si>
    <t xml:space="preserve">Thermo Fisher Scientific</t>
  </si>
  <si>
    <t xml:space="preserve">TMO Oct 2026 677.500 put (TMO261030P00677500) interactive stock chart</t>
  </si>
  <si>
    <t xml:space="preserve">85f1e0275124952cbe95b322</t>
  </si>
  <si>
    <t xml:space="preserve">JBL Nov 2026 260.000 put (JBL261127P00260000) Interactive Stock Chart - Yahoo Finance</t>
  </si>
  <si>
    <t xml:space="preserve">df5704d05e30c752c3d8daec</t>
  </si>
  <si>
    <t xml:space="preserve">Ulta Beauty, Inc. Estimates – NASDAQ:ULTA</t>
  </si>
  <si>
    <t xml:space="preserve">7bf40536333f17d4493c17de</t>
  </si>
  <si>
    <t xml:space="preserve">PPL Nov 2026 31.000 put (PPL261120P00031000) interactive stock chart</t>
  </si>
  <si>
    <t xml:space="preserve">318412ab06205d7664c5d480</t>
  </si>
  <si>
    <t xml:space="preserve">Alexa Chung in LII Spring 2027 at Tiffany &amp; Co. Event</t>
  </si>
  <si>
    <t xml:space="preserve">Red Carpet Fashion Awards</t>
  </si>
  <si>
    <t xml:space="preserve">cf4e96c33093217481e4d798</t>
  </si>
  <si>
    <t xml:space="preserve">WDC Dec 2028 810.000 call (WDC281215C00810000) interactive stock chart</t>
  </si>
  <si>
    <t xml:space="preserve">df183e76adf751787be76066</t>
  </si>
  <si>
    <t xml:space="preserve">Complete List Of Old Dominion Songs From A to Z</t>
  </si>
  <si>
    <t xml:space="preserve">Classic Rock History</t>
  </si>
  <si>
    <t xml:space="preserve">96476db77ca89f86288dfdd4</t>
  </si>
  <si>
    <t xml:space="preserve">24,273 Medtronic PLC $MDT Shares Sold by Robeco Institutional Asset Management B.V.</t>
  </si>
  <si>
    <t xml:space="preserve">facb0fa13826810353a0c20c</t>
  </si>
  <si>
    <t xml:space="preserve">26b85fd1b7e89101a35d168a</t>
  </si>
  <si>
    <t xml:space="preserve">12,302 Xylem Inc. $XYL Shares Sold by Robeco Institutional Asset Management B.V.</t>
  </si>
  <si>
    <t xml:space="preserve">7ff369c7136274e2f3d4326d</t>
  </si>
  <si>
    <t xml:space="preserve">Form 8K Wynn Resorts Limited For: 23 October By Investing.com</t>
  </si>
  <si>
    <t xml:space="preserve">84ccc2b5b26ff58fb5c3d78c</t>
  </si>
  <si>
    <t xml:space="preserve">Entergy Texas Inc 5.375% Series A Preferred Stock, Cumulative, No Par Value Estimates – NYSE:ETI/P</t>
  </si>
  <si>
    <t xml:space="preserve">f1866b7599a1da7f046a58aa</t>
  </si>
  <si>
    <t xml:space="preserve">RTX 5090 Predecessor Unlock: BF16 Hits 129.6 TFLOPS [2026]</t>
  </si>
  <si>
    <t xml:space="preserve">69e5e0ba8ae23bbc92ef205e</t>
  </si>
  <si>
    <t xml:space="preserve">LVS Oct 2026 37.500 call (LVS261030C00037500) interactive stock chart</t>
  </si>
  <si>
    <t xml:space="preserve">975ebefc006f9bdd081159f9</t>
  </si>
  <si>
    <t xml:space="preserve">Form 4 Palantir Technologies Inc For: 24 October By Investing.com</t>
  </si>
  <si>
    <t xml:space="preserve">8015eaff80ed73e7e0793063</t>
  </si>
  <si>
    <t xml:space="preserve">TSLA Oct 2026 362.500 call (TSLA261023C00362500) Interactive Stock Chart - Yahoo Finance</t>
  </si>
  <si>
    <t xml:space="preserve">e9eeb14974484a247a3fb45d</t>
  </si>
  <si>
    <t xml:space="preserve">Form 4 Blackstone Inc For: 24 October By Investing.com</t>
  </si>
  <si>
    <t xml:space="preserve">826e0601b972e3985e81ad99</t>
  </si>
  <si>
    <t xml:space="preserve">Coca-Cola Company (The) Estimates – NYSE:KO</t>
  </si>
  <si>
    <t xml:space="preserve">ac6ac8a97ecc608d5020ce13</t>
  </si>
  <si>
    <t xml:space="preserve">[Football Live] Sacramento State vs. Ball State Live Stream</t>
  </si>
  <si>
    <t xml:space="preserve">5920471b152e83c020715f41</t>
  </si>
  <si>
    <t xml:space="preserve">CRM Jan 2029 270.000 put (CRM290119P00270000) Interactive Stock Chart - Yahoo Finance</t>
  </si>
  <si>
    <t xml:space="preserve">1b72f1832bf1d93117c0635b</t>
  </si>
  <si>
    <t xml:space="preserve">Form 4 Microchip Technology Inc For: 25 October By Investing.com</t>
  </si>
  <si>
    <t xml:space="preserve">f01e538a0daa2ca2d1cd5eee</t>
  </si>
  <si>
    <t xml:space="preserve">EXE Oct 2026 89.000 call (EXE261030C00089000) interactive stock chart</t>
  </si>
  <si>
    <t xml:space="preserve">87576be8207ecba6f24d134b</t>
  </si>
  <si>
    <t xml:space="preserve">PHI Group Inc. (WY) Estimates – OTC:PHIL</t>
  </si>
  <si>
    <t xml:space="preserve">f18ee63eddb4818ea36e0796</t>
  </si>
  <si>
    <t xml:space="preserve">MRVL Nov 2026 225.000 call (MRVL261106C00225000) interactive stock chart</t>
  </si>
  <si>
    <t xml:space="preserve">1a4e0daebd4066c08ddae417</t>
  </si>
  <si>
    <t xml:space="preserve">Marine Corps Birthday Ball set for Nov. 7 in Lake Charles</t>
  </si>
  <si>
    <t xml:space="preserve">KPLC 7 News</t>
  </si>
  <si>
    <t xml:space="preserve">b470ca7ed67b08dd808e4bdb</t>
  </si>
  <si>
    <t xml:space="preserve">Form 424B3 GOLDMAN SACHS GROUP INC</t>
  </si>
  <si>
    <t xml:space="preserve">75b3064b5ac2093e53086628</t>
  </si>
  <si>
    <t xml:space="preserve">Global Payments Is Maintained at Hold by Truist Securities</t>
  </si>
  <si>
    <t xml:space="preserve">c27ad38c70ce58782c1587d1</t>
  </si>
  <si>
    <t xml:space="preserve">Nine Larger Banks Reported on October 22 and None Missed: Huntington Bancshares (NASDAQ:HBAN) and Peers</t>
  </si>
  <si>
    <t xml:space="preserve">kalkine.ca</t>
  </si>
  <si>
    <t xml:space="preserve">de9087ba225af603bc2a9227</t>
  </si>
  <si>
    <t xml:space="preserve">CIEN Nov 2026 330.000 put (CIEN261120P00330000) interactive stock chart</t>
  </si>
  <si>
    <t xml:space="preserve">d12cf934fc44599184ae071d</t>
  </si>
  <si>
    <t xml:space="preserve">150,149 Comcast Corporation $CMCSA Shares Sold by Axxcess Wealth Management LLC</t>
  </si>
  <si>
    <t xml:space="preserve">eab1dfc2fe9382a180c0c407</t>
  </si>
  <si>
    <t xml:space="preserve">CDW Corporation $CDW Shares Bought by Sterling Capital Management LLC</t>
  </si>
  <si>
    <t xml:space="preserve">d2b5d45c66d86852d19c3602</t>
  </si>
  <si>
    <t xml:space="preserve">Form 4 Unitedhealth Group For: 25 October By Investing.com</t>
  </si>
  <si>
    <t xml:space="preserve">56ee9bd3de83fb872e8be9c1</t>
  </si>
  <si>
    <t xml:space="preserve">Prime Minister meets MSCI Chairman and CEO Doha</t>
  </si>
  <si>
    <t xml:space="preserve">The Peninsula Qatar</t>
  </si>
  <si>
    <t xml:space="preserve">4d7fefe0c1459de806c2be8a</t>
  </si>
  <si>
    <t xml:space="preserve">83,385 Owens Corning Inc $OC Shares Sold by Robeco Institutional Asset Management B.V.</t>
  </si>
  <si>
    <t xml:space="preserve">8ea24c09ea58d93d09251d1d</t>
  </si>
  <si>
    <t xml:space="preserve">Salesforce Inc. $CRM Stock Sold by Mountain Hill Investment Partners Corp.</t>
  </si>
  <si>
    <t xml:space="preserve">670867265b7e2090b01fe473</t>
  </si>
  <si>
    <t xml:space="preserve">Atlatl Advisers LLC Sells 2,898 Shares of Invesco QQQ $QQQ</t>
  </si>
  <si>
    <t xml:space="preserve">2405648f87cb0f80284da6b5</t>
  </si>
  <si>
    <t xml:space="preserve">6,128 Shares of Salesforce Inc. $CRM Acquired by Murphy Pohlad Asset Management LLC</t>
  </si>
  <si>
    <t xml:space="preserve">709d4e128f476a9022b3799f</t>
  </si>
  <si>
    <t xml:space="preserve">Norfolk Southern reports USD 3.5 billion revenue. Norfolk Southern stock trades at EUR 294.55</t>
  </si>
  <si>
    <t xml:space="preserve">f8d327b74f88a5032f54a7a4</t>
  </si>
  <si>
    <t xml:space="preserve">MMM Nov 2026 170.000 put (MMM261106P00170000) interactive stock chart</t>
  </si>
  <si>
    <t xml:space="preserve">e389922f960e754d60e349d9</t>
  </si>
  <si>
    <t xml:space="preserve">6,659 Apple Inc. $AAPL Shares Bought by Define Financial LLC</t>
  </si>
  <si>
    <t xml:space="preserve">55dc4c90c23195e6077d81df</t>
  </si>
  <si>
    <t xml:space="preserve">GoDaddy’s CEO on when small businesses should — and shouldn't — use AI</t>
  </si>
  <si>
    <t xml:space="preserve">583d59c428cf5eca4b26bd9b</t>
  </si>
  <si>
    <t xml:space="preserve">TTD Nov 2026 9.500 put (TTD261106P00009500) interactive stock chart</t>
  </si>
  <si>
    <t xml:space="preserve">d651abc5437900c1f717a6d9</t>
  </si>
  <si>
    <t xml:space="preserve">TSLA Oct 2026 432.500 call (TSLA261023C00432500) Interactive Stock Chart - Yahoo Finance</t>
  </si>
  <si>
    <t xml:space="preserve">796015e0b5b99bc42a8bee55</t>
  </si>
  <si>
    <t xml:space="preserve">INCY Nov 2026 145.000 call (INCY261120C00145000) Interactive Stock Chart - Yahoo Finance</t>
  </si>
  <si>
    <t xml:space="preserve">390f3a77b438ae87d6693787</t>
  </si>
  <si>
    <t xml:space="preserve">citigroup global markets australia holdings pty limited Warrant 2022-25.11.32 on Transurban Estimates – ASX:TCLJOD</t>
  </si>
  <si>
    <t xml:space="preserve">f9e7359c9d7d65decfc6845e</t>
  </si>
  <si>
    <t xml:space="preserve">Israir Group Ltd Estimates – TASE:ISRG</t>
  </si>
  <si>
    <t xml:space="preserve">d130dbe503d2fccbf0673c28</t>
  </si>
  <si>
    <t xml:space="preserve">ROL Jan 2028 30.000 put (ROL280121P00030000) Interactive Stock Chart - Yahoo Finance</t>
  </si>
  <si>
    <t xml:space="preserve">fd1127170efb3d8902aefad4</t>
  </si>
  <si>
    <t xml:space="preserve">Here's How IDEXX Laboratories Is Placed Ahead of Q3 Earnings</t>
  </si>
  <si>
    <t xml:space="preserve">3fc5f4bfcebfa943605c40b0</t>
  </si>
  <si>
    <t xml:space="preserve">PNC Mar 2027 180.000 put (PNC270319P00180000) Interactive Stock Chart - Yahoo Finance</t>
  </si>
  <si>
    <t xml:space="preserve">be112141fb2c121eedbe8741</t>
  </si>
  <si>
    <t xml:space="preserve">USB Nov 2026 56.000 call (USB261106C00056000) interactive stock chart – Yahoo Finance</t>
  </si>
  <si>
    <t xml:space="preserve">37132c4067faa1e79a0c50f6</t>
  </si>
  <si>
    <t xml:space="preserve">PEP Oct 2026 123.000 put (PEP261030P00123000) interactive stock chart</t>
  </si>
  <si>
    <t xml:space="preserve">915ca732f48e62ff499dbbb0</t>
  </si>
  <si>
    <t xml:space="preserve">CPT</t>
  </si>
  <si>
    <t xml:space="preserve">Camden Property Trust</t>
  </si>
  <si>
    <t xml:space="preserve">CPT Sep 2027 130.000 put (CPT270917P00130000) interactive stock chart</t>
  </si>
  <si>
    <t xml:space="preserve">f76407d47ef7176fb90238f7</t>
  </si>
  <si>
    <t xml:space="preserve">FSLR Sep 2027 145.000 put (FSLR270917P00145000) Interactive Stock Chart - Yahoo Finance</t>
  </si>
  <si>
    <t xml:space="preserve">d541f2f6a0c0cc2ac5195f87</t>
  </si>
  <si>
    <t xml:space="preserve">DGX May 2027 160.000 put (DGX270521P00160000) interactive stock chart</t>
  </si>
  <si>
    <t xml:space="preserve">f1a9e73ef55455e1d80e2603</t>
  </si>
  <si>
    <t xml:space="preserve">4,025 Jabil, Inc. $JBL Shares Sold by Titan Investment Management LLC</t>
  </si>
  <si>
    <t xml:space="preserve">a63fe89ae4689b1a15e35769</t>
  </si>
  <si>
    <t xml:space="preserve">Lumentum Holdings Inc. Estimates – NASDAQ:LITE</t>
  </si>
  <si>
    <t xml:space="preserve">164723a84fb1941496472ea4</t>
  </si>
  <si>
    <t xml:space="preserve">TRGP Mar 2027 250.000 call (TRGP270319C00250000) interactive stock chart</t>
  </si>
  <si>
    <t xml:space="preserve">d7b10e04d00cfc5f924460df</t>
  </si>
  <si>
    <t xml:space="preserve">UAL Nov 2026 104.000 call (UAL261127C00104000) interactive stock chart – Yahoo Finance</t>
  </si>
  <si>
    <t xml:space="preserve">1f621b6f8a0e2c84438f9424</t>
  </si>
  <si>
    <t xml:space="preserve">92,090 Fifth Third Bancorp $FITB Shares Sold by Isthmus Partners LLC</t>
  </si>
  <si>
    <t xml:space="preserve">bd6bdd3c473bd410cbf4e9c0</t>
  </si>
  <si>
    <t xml:space="preserve">PGR Nov 2026 220.000 put (PGR261127P00220000) interactive stock chart</t>
  </si>
  <si>
    <t xml:space="preserve">618368af3d1a819db1a51510</t>
  </si>
  <si>
    <t xml:space="preserve">LRCX Nov 2026 175.000 call (LRCX261127C00175000) interactive stock chart</t>
  </si>
  <si>
    <t xml:space="preserve">27c814d508ef119eb050b55e</t>
  </si>
  <si>
    <t xml:space="preserve">Event Replay: 2026 Hard MTB League Finals</t>
  </si>
  <si>
    <t xml:space="preserve">Pinkbike</t>
  </si>
  <si>
    <t xml:space="preserve">cacf5040031155d5683ec496</t>
  </si>
  <si>
    <t xml:space="preserve">AZO Sep 2027 2260.000 put (AZO270917P02260000) Interactive Stock Chart - Yahoo Finance</t>
  </si>
  <si>
    <t xml:space="preserve">dd153447fff95c51c86efad5</t>
  </si>
  <si>
    <t xml:space="preserve">SPGI Oct 2026 387.500 put (SPGI261030P00387500) interactive stock chart</t>
  </si>
  <si>
    <t xml:space="preserve">c2abb6e6db40b6951e9589c6</t>
  </si>
  <si>
    <t xml:space="preserve">Form 8K Nordson Corporation For: 23 October By Investing.com</t>
  </si>
  <si>
    <t xml:space="preserve">ebec5f5be6dbe70152aa6fb8</t>
  </si>
  <si>
    <t xml:space="preserve">SNDK Jan 2027 2450.000 call (SNDK270115C02450000) Interactive Stock Chart - Yahoo Finance</t>
  </si>
  <si>
    <t xml:space="preserve">09aa422de9e11a3a9ce30597</t>
  </si>
  <si>
    <t xml:space="preserve">HUM Oct 2026 295.000 call (HUM261023C00295000) interactive stock chart – Yahoo Finance</t>
  </si>
  <si>
    <t xml:space="preserve">9c3817bd43ea6964e209fc73</t>
  </si>
  <si>
    <t xml:space="preserve">Cummins Inc. $CMI Shares Sold by Investment House LLC</t>
  </si>
  <si>
    <t xml:space="preserve">4a5e12dacd462c626d313e80</t>
  </si>
  <si>
    <t xml:space="preserve">ACGL</t>
  </si>
  <si>
    <t xml:space="preserve">Arch Capital Group</t>
  </si>
  <si>
    <t xml:space="preserve">Arch Capital Group Ltd. Estimates – NASDAQ:ACGL</t>
  </si>
  <si>
    <t xml:space="preserve">712dbb1d4c89d483982adc4c</t>
  </si>
  <si>
    <t xml:space="preserve">LVS Nov 2026 42.000 put (LVS261113P00042000) interactive stock chart</t>
  </si>
  <si>
    <t xml:space="preserve">52c00fd077bc8364012ef467</t>
  </si>
  <si>
    <t xml:space="preserve">UNP Dec 2026 295.000 call (UNP261218C00295000) interactive stock chart</t>
  </si>
  <si>
    <t xml:space="preserve">af2d627554ca2bf4d514dfef</t>
  </si>
  <si>
    <t xml:space="preserve">Wake County names Heather Cashwell as new Solid Waste Management director</t>
  </si>
  <si>
    <t xml:space="preserve">Wake County Government (.gov)</t>
  </si>
  <si>
    <t xml:space="preserve">ccd11f88f1a6f1041f68e386</t>
  </si>
  <si>
    <t xml:space="preserve">Cencora, Inc. Estimates – NYSE:COR</t>
  </si>
  <si>
    <t xml:space="preserve">2db74d9d9622236ee63173d3</t>
  </si>
  <si>
    <t xml:space="preserve">SMCI Oct 2026 44.500 put (SMCI261023P00044500) interactive stock chart</t>
  </si>
  <si>
    <t xml:space="preserve">6f646479f2bd750cefa09542</t>
  </si>
  <si>
    <t xml:space="preserve">Quanta Services sets October 29 results date as Quanta Services stock trades EUR 487.75</t>
  </si>
  <si>
    <t xml:space="preserve">b36fda37c16fe1d482812b9b</t>
  </si>
  <si>
    <t xml:space="preserve">Ross Stores, Inc. $ROST Shares Bought by Brookstone Capital Management</t>
  </si>
  <si>
    <t xml:space="preserve">721a1a5d4919a505542e26ad</t>
  </si>
  <si>
    <t xml:space="preserve">STLD Nov 2026 400.000 call (STLD261120C00400000) interactive stock chart</t>
  </si>
  <si>
    <t xml:space="preserve">aabbacf07fc98fc6fbf134d3</t>
  </si>
  <si>
    <t xml:space="preserve">International Business Machines Corporation $IBM Stock Sold by James Investment Research Inc.</t>
  </si>
  <si>
    <t xml:space="preserve">4721a8e9f04d88375cec70d8</t>
  </si>
  <si>
    <t xml:space="preserve">17,105 Labcorp Holdings Inc. $LH Shares Acquired by Robeco Institutional Asset Management B.V.</t>
  </si>
  <si>
    <t xml:space="preserve">c9cf760b5b88dd657fc8ffe8</t>
  </si>
  <si>
    <t xml:space="preserve">TXT DAILY NEWS (@TXT_DailyNews) on X</t>
  </si>
  <si>
    <t xml:space="preserve">Howl.Link</t>
  </si>
  <si>
    <t xml:space="preserve">f4c6440be072c3f142c2a938</t>
  </si>
  <si>
    <t xml:space="preserve">The Goldman Sachs Group, Inc. $GS Shares Bought by Sterling Capital Management LLC</t>
  </si>
  <si>
    <t xml:space="preserve">f8d2c1102e54d2eb017af05f</t>
  </si>
  <si>
    <t xml:space="preserve">SNPS Oct 2026 520.000 call (SNPS261030C00520000) interactive stock chart</t>
  </si>
  <si>
    <t xml:space="preserve">49de7dcccbdb61ff6f59d75b</t>
  </si>
  <si>
    <t xml:space="preserve">SMCI Oct 2026 39.000 call (SMCI261023C00039000) interactive stock chart</t>
  </si>
  <si>
    <t xml:space="preserve">8153def09b891c499ebaa26a</t>
  </si>
  <si>
    <t xml:space="preserve">TSLA Oct 2026 362.500 put (TSLA261023P00362500) Interactive Stock Chart - Yahoo Finance</t>
  </si>
  <si>
    <t xml:space="preserve">d162fa645be75d42918f1218</t>
  </si>
  <si>
    <t xml:space="preserve">FFIV Jan 2027 250.000 put (FFIV270115P00250000) interactive stock chart</t>
  </si>
  <si>
    <t xml:space="preserve">c457e69160209736f8cc46a3</t>
  </si>
  <si>
    <t xml:space="preserve">66,288 ExxonMobil Corporation $XOM Shares Sold by Axxcess Wealth Management LLC</t>
  </si>
  <si>
    <t xml:space="preserve">05ee3bfb5cd936512e6ade28</t>
  </si>
  <si>
    <t xml:space="preserve">What to Expect From Ventas’ Q3 2026 Earnings Report</t>
  </si>
  <si>
    <t xml:space="preserve">df301e7417ed61b1fc096319</t>
  </si>
  <si>
    <t xml:space="preserve">PulteGroup, Inc. Estimates – BOATS:PHM</t>
  </si>
  <si>
    <t xml:space="preserve">8588d824f922fcb3c7009fb7</t>
  </si>
  <si>
    <t xml:space="preserve">Form 4 Starbucks Corporation For: 25 October By Investing.com</t>
  </si>
  <si>
    <t xml:space="preserve">ae5cbcb53875d2db027d4c7a</t>
  </si>
  <si>
    <t xml:space="preserve">JPM</t>
  </si>
  <si>
    <t xml:space="preserve">JPMorgan Chase</t>
  </si>
  <si>
    <t xml:space="preserve">JPM Coin and USDC Follow Different Rules for Dollar Access</t>
  </si>
  <si>
    <t xml:space="preserve">762768f918da38a8b0301b05</t>
  </si>
  <si>
    <t xml:space="preserve">EXE Nov 2026 89.000 call (EXE261113C00089000) interactive stock chart</t>
  </si>
  <si>
    <t xml:space="preserve">5819dc770f696667a784010f</t>
  </si>
  <si>
    <t xml:space="preserve">Oracle Corporation $ORCL Shares Sold by Citizens Financial Group Inc. RI</t>
  </si>
  <si>
    <t xml:space="preserve">d9c7fd9d5b38779c20734f62</t>
  </si>
  <si>
    <t xml:space="preserve">29,949 Builders FirstSource, Inc. $BLDR Shares Purchased by SBI Securities Co. Ltd.</t>
  </si>
  <si>
    <t xml:space="preserve">ebd21ca307ef4b05d0ce1965</t>
  </si>
  <si>
    <t xml:space="preserve">Robert De Niro’s 170-Minute Crime Epic Is Officially on Netflix</t>
  </si>
  <si>
    <t xml:space="preserve">ee7ede330329c7a015f670b9</t>
  </si>
  <si>
    <t xml:space="preserve">META Oct 2026 635.000 put (META261026P00635000) interactive stock chart</t>
  </si>
  <si>
    <t xml:space="preserve">0c47807f5a929a1da4d98a7b</t>
  </si>
  <si>
    <t xml:space="preserve">Anglo Philippine Holdings Corp. Estimates – PSE:APO</t>
  </si>
  <si>
    <t xml:space="preserve">7178d93ab4dc7d6e5bbab0bd</t>
  </si>
  <si>
    <t xml:space="preserve">[MATCH LIVE] Sacramento State vs. Ball State Live NCAA Football October 24, 2026</t>
  </si>
  <si>
    <t xml:space="preserve">83f0d861a667e8f65db6b1cb</t>
  </si>
  <si>
    <t xml:space="preserve">Protecting AI at Runtime with IBM and Intel</t>
  </si>
  <si>
    <t xml:space="preserve">26c066f77a1a051a583f7b02</t>
  </si>
  <si>
    <t xml:space="preserve">4de581217ec5f003c69516db</t>
  </si>
  <si>
    <t xml:space="preserve">Seasonal Coffee-Free Beverages: Starbucks' Halloween Frappuccino Features A Cat-Ear…</t>
  </si>
  <si>
    <t xml:space="preserve">Trend Hunter</t>
  </si>
  <si>
    <t xml:space="preserve">f3e08fff9a695337e6b443b3</t>
  </si>
  <si>
    <t xml:space="preserve">Form 144 TERADYNE For: 24 October By Investing.com</t>
  </si>
  <si>
    <t xml:space="preserve">94d92d3d1780f26332f8c3bc</t>
  </si>
  <si>
    <t xml:space="preserve">MDLZ</t>
  </si>
  <si>
    <t xml:space="preserve">Mondelez International</t>
  </si>
  <si>
    <t xml:space="preserve">Mondelez International, Inc. $MDLZ Stock Acquired by Robeco Institutional Asset Management B.V.</t>
  </si>
  <si>
    <t xml:space="preserve">7dfd7dcb4375276e42813780</t>
  </si>
  <si>
    <t xml:space="preserve">[[[CBS^Sports]] Sacramento State Hornets vS Ball State Cardinals ＬＩＶＥ</t>
  </si>
  <si>
    <t xml:space="preserve">e1a3686b033e48f0b070a938</t>
  </si>
  <si>
    <t xml:space="preserve">CRM Nov 2026 195.000 put (CRM261127P00195000) Interactive Stock Chart - Yahoo Finance</t>
  </si>
  <si>
    <t xml:space="preserve">23443981e55aa6a2d04bff16</t>
  </si>
  <si>
    <t xml:space="preserve">L3Harris Technologies Inc $LHX Stock Holdings Decreased by Mondrian Investment Partners LTD</t>
  </si>
  <si>
    <t xml:space="preserve">7b0737fa3b2e14b661404a6d</t>
  </si>
  <si>
    <t xml:space="preserve">WDC Nov 2026 295.000 put (WDC261127P00295000) interactive stock chart</t>
  </si>
  <si>
    <t xml:space="preserve">68ad7fc8d8405346311ce381</t>
  </si>
  <si>
    <t xml:space="preserve">Vertiv Holdings Co. $VRT Stock Sold by NTV Asset Management LLC</t>
  </si>
  <si>
    <t xml:space="preserve">a69afd1c18d0221b9e9956c3</t>
  </si>
  <si>
    <t xml:space="preserve">BleedTechBlue Staff Predictions: Louisiana Tech vs. Old Dominion</t>
  </si>
  <si>
    <t xml:space="preserve">On3</t>
  </si>
  <si>
    <t xml:space="preserve">febe33ff84a10d6c864b99dd</t>
  </si>
  <si>
    <t xml:space="preserve">TER Nov 2026 350.000 put (TER261106P00350000) interactive stock chart</t>
  </si>
  <si>
    <t xml:space="preserve">70ce0e90ccea3eccc3e8890a</t>
  </si>
  <si>
    <t xml:space="preserve">URI Nov 2026 1390.000 call (URI261106C01390000) Interactive Stock Chart - Yahoo Finance</t>
  </si>
  <si>
    <t xml:space="preserve">74caca566edc1a67225d95e9</t>
  </si>
  <si>
    <t xml:space="preserve">TXN Oct 2026 320.000 call (TXN261030C00320000) interactive stock chart</t>
  </si>
  <si>
    <t xml:space="preserve">790f030af76949056b24019a</t>
  </si>
  <si>
    <t xml:space="preserve">EQT Holdings, trading as Equity Trustees (ASX:EQT) Share Price, Forecast &amp; Analysis</t>
  </si>
  <si>
    <t xml:space="preserve">5c00f190729ee30572de359e</t>
  </si>
  <si>
    <t xml:space="preserve">275,506 Aon plc $AON Shares Bought by Washington Trust Advisors Inc.</t>
  </si>
  <si>
    <t xml:space="preserve">837a78dec026b898fa66bf57</t>
  </si>
  <si>
    <t xml:space="preserve">Form 4 Lam Research Corp For: 24 October By Investing.com</t>
  </si>
  <si>
    <t xml:space="preserve">8b6579eabad35922080dfe23</t>
  </si>
  <si>
    <t xml:space="preserve">CVX Nov 2026 165.000 put (CVX261113P00165000) interactive stock chart</t>
  </si>
  <si>
    <t xml:space="preserve">d6cc8510bbbcef12322cb45a</t>
  </si>
  <si>
    <t xml:space="preserve">Uber driver was happy with a $32 tip on a $65 ride — then came the wealthy passenger's bizarre request for $1,500 and a flight back</t>
  </si>
  <si>
    <t xml:space="preserve">57be4147d96c89b71c88dc05</t>
  </si>
  <si>
    <t xml:space="preserve">Boeing Facility in Renton, Washington</t>
  </si>
  <si>
    <t xml:space="preserve">The Daily News | Texas' Oldest Newspaper</t>
  </si>
  <si>
    <t xml:space="preserve">cf9bba5905646f3a34c76c16</t>
  </si>
  <si>
    <t xml:space="preserve">PYPL Nov 2026 47.000 call (PYPL261113C00047000) interactive stock chart</t>
  </si>
  <si>
    <t xml:space="preserve">25c50282aa3e38ba85994e8b</t>
  </si>
  <si>
    <t xml:space="preserve">Should You Buy, Sell, or Hold TER Stock Before Q3 Earnings Release?</t>
  </si>
  <si>
    <t xml:space="preserve">a52213f22c3690da1e9209ea</t>
  </si>
  <si>
    <t xml:space="preserve">LITE Dec 2026 770.000 put (LITE261218P00770000) interactive stock chart</t>
  </si>
  <si>
    <t xml:space="preserve">c91585883246f94b9e61e5bd</t>
  </si>
  <si>
    <t xml:space="preserve">Thermo Fisher Scientific (TMO), What Is Behind Its Latest Move?</t>
  </si>
  <si>
    <t xml:space="preserve">2c5c71ef74180ac1d910e9dd</t>
  </si>
  <si>
    <t xml:space="preserve">AMAT Nov 2026 710.000 put (AMAT261120P00710000) interactive stock chart</t>
  </si>
  <si>
    <t xml:space="preserve">a3934243d8d3de3030e95787</t>
  </si>
  <si>
    <t xml:space="preserve">T-Mobile US, Inc. $TMUS Stock Sold by Lmcg Investments LLC</t>
  </si>
  <si>
    <t xml:space="preserve">f13f43eb8f43196ae7c8790e</t>
  </si>
  <si>
    <t xml:space="preserve">AMETEK sets November 3 results date as AMETEK stock trades at EUR 214.25</t>
  </si>
  <si>
    <t xml:space="preserve">472166ef8be03b41a2b6bed3</t>
  </si>
  <si>
    <t xml:space="preserve">UNP Feb 2027 215.000 put (UNP270219P00215000) interactive stock chart</t>
  </si>
  <si>
    <t xml:space="preserve">ddcf4b192913a6d6c68fd871</t>
  </si>
  <si>
    <t xml:space="preserve">Form 4 Robinhood Markets Inc For: 25 October By Investing.com</t>
  </si>
  <si>
    <t xml:space="preserve">f404e01978428ac27874ffc5</t>
  </si>
  <si>
    <t xml:space="preserve">iShares MSCI Japan ETF Cert Deposito Arg Repr 0.07142857 Sh Estimates – BCBA:EWJC</t>
  </si>
  <si>
    <t xml:space="preserve">e34d9a5ba9e701a03cb937b2</t>
  </si>
  <si>
    <t xml:space="preserve">Sandisk: Buy Into 10/29 Earnings - This Is Not A DRAM Stock (NASDAQ:SNDK)</t>
  </si>
  <si>
    <t xml:space="preserve">465dfdb4c8af994c91949c5b</t>
  </si>
  <si>
    <t xml:space="preserve">NFL RedZone on TSN Premium Week 7 Spotlight</t>
  </si>
  <si>
    <t xml:space="preserve">343fc0716da5e1c425107679</t>
  </si>
  <si>
    <t xml:space="preserve">WYNN Nov 2026 65.000 call (WYNN261113C00065000) interactive stock chart</t>
  </si>
  <si>
    <t xml:space="preserve">9da8964e288df7afe999b0e5</t>
  </si>
  <si>
    <t xml:space="preserve">Realty Income</t>
  </si>
  <si>
    <t xml:space="preserve">Realty Income Yields 5.7%. Here's What $2,500 in Yearly Dividend Income Would Cost You.</t>
  </si>
  <si>
    <t xml:space="preserve">119d5f6ead85a0e68b21c109</t>
  </si>
  <si>
    <t xml:space="preserve">Here’s what really happened in 1971 that inspired Netflix’s Stanford Prison Experiment</t>
  </si>
  <si>
    <t xml:space="preserve">839775b0fac075956841423f</t>
  </si>
  <si>
    <t xml:space="preserve">Men's Tennis Heads to Ball State for MAC Indoor Qualifying Event</t>
  </si>
  <si>
    <t xml:space="preserve">Western Michigan University Athletics</t>
  </si>
  <si>
    <t xml:space="preserve">51fe9746f5e291c2db96f659</t>
  </si>
  <si>
    <t xml:space="preserve">Goldman Sachs Group, Inc. (The) Estimates – NYSE:GS</t>
  </si>
  <si>
    <t xml:space="preserve">dbb32cdedb5e6ecac0ceed71</t>
  </si>
  <si>
    <t xml:space="preserve">AZO Mar 2027 4550.000 put (AZO270319P04550000) Interactive Stock Chart - Yahoo Finance</t>
  </si>
  <si>
    <t xml:space="preserve">e4818bb4c5e2fe36efeeb445</t>
  </si>
  <si>
    <t xml:space="preserve">EXE290119P00050000 interactive stock chart | EXE Jan 2029 50.000 put stock - Yahoo Finance</t>
  </si>
  <si>
    <t xml:space="preserve">4825b20bf00d7dbb75b41451</t>
  </si>
  <si>
    <t xml:space="preserve">UBER Oct 2026 77.000 put (UBER261030P00077000) interactive stock chart – Yahoo Finance</t>
  </si>
  <si>
    <t xml:space="preserve">ca6572543ccff5aa8ba8aa4e</t>
  </si>
  <si>
    <t xml:space="preserve">BlackRock Municipal Credit Alpha Portfolio, Inc. - Institutional Estimates – NASDAQ:MUNEX</t>
  </si>
  <si>
    <t xml:space="preserve">6ec93ed1bbe79f6756810c4d</t>
  </si>
  <si>
    <t xml:space="preserve">The Progressive Corporation $PGR Stock Acquired by AMF Tjanstepension AB</t>
  </si>
  <si>
    <t xml:space="preserve">c724f225aeb154a0e9288bb3</t>
  </si>
  <si>
    <t xml:space="preserve">Old Dominion vs Louisiana Tech Prediction, Pick, College Football Odds for Saturday, Oct. 24</t>
  </si>
  <si>
    <t xml:space="preserve">fcc5643aba9aafc002a6d0da</t>
  </si>
  <si>
    <t xml:space="preserve">Citizens Financial Group, Inc. $CFG Shares Bought by Fifth Third Wealth Advisors LLC</t>
  </si>
  <si>
    <t xml:space="preserve">fdf78b3111fbbcef2bd28725</t>
  </si>
  <si>
    <t xml:space="preserve">Verisk Analytics (VRSK) Jumped, What Is Driving Attention Now?</t>
  </si>
  <si>
    <t xml:space="preserve">f8efa7e9b2455817e9c0ec0f</t>
  </si>
  <si>
    <t xml:space="preserve">American Express Co Shs Cert Deposito Arg Repr 0.066666666 Shs Estimates – BCBA:AXP.CI</t>
  </si>
  <si>
    <t xml:space="preserve">a18db1b133704adc23e2c717</t>
  </si>
  <si>
    <t xml:space="preserve">TDG Gold Corp Estimates – TSXV:TDG</t>
  </si>
  <si>
    <t xml:space="preserve">1375d8a2e6a94e0bd36a8aab</t>
  </si>
  <si>
    <t xml:space="preserve">GALLERY: Bed Races | Ball State University Homecoming 2026</t>
  </si>
  <si>
    <t xml:space="preserve">Ball State Daily News</t>
  </si>
  <si>
    <t xml:space="preserve">a079fc1c6a32da7cf6045fc7</t>
  </si>
  <si>
    <t xml:space="preserve">Skechers Manhattan Beach HQ Listed for Sale by CBRE</t>
  </si>
  <si>
    <t xml:space="preserve">Hoodline</t>
  </si>
  <si>
    <t xml:space="preserve">e85cf627f76a48246af5cd20</t>
  </si>
  <si>
    <t xml:space="preserve">New Releases on Netflix This Week and Top 10 Movies &amp; Series: October 24, 2026</t>
  </si>
  <si>
    <t xml:space="preserve">What's on Netflix</t>
  </si>
  <si>
    <t xml:space="preserve">fe6403f7984ab15e7da76110</t>
  </si>
  <si>
    <t xml:space="preserve">TSN OverDrive | What kind of reception awaits Connor Hellebuyck when he returns to Winnipeg?</t>
  </si>
  <si>
    <t xml:space="preserve">b654abb1faef6dcdc538b7e8</t>
  </si>
  <si>
    <t xml:space="preserve">Dover Corporation $DOV Shares Acquired by Robeco Institutional Asset Management B.V.</t>
  </si>
  <si>
    <t xml:space="preserve">2a77acb8c0fb31f971070f60</t>
  </si>
  <si>
    <t xml:space="preserve">McDonald's Corporation $MCD Shares Sold by Precedent Wealth Partners LLC</t>
  </si>
  <si>
    <t xml:space="preserve">9300203e0532911433d81708</t>
  </si>
  <si>
    <t xml:space="preserve">MRK Apr 2027 95.000 put (MRK270416P00095000) Interactive Stock Chart - Yahoo Finance</t>
  </si>
  <si>
    <t xml:space="preserve">afcb56049aac7747556ad78b</t>
  </si>
  <si>
    <t xml:space="preserve">Banana Ball: The Party Animals vs Texas Tailgaters</t>
  </si>
  <si>
    <t xml:space="preserve">ballysports.com</t>
  </si>
  <si>
    <t xml:space="preserve">f91b520861f0c7b93b3aa31d</t>
  </si>
  <si>
    <t xml:space="preserve">Tokenized Deposits vs. Stablecoins: What JPM Coin and USDC Holders Own</t>
  </si>
  <si>
    <t xml:space="preserve">The Defiant</t>
  </si>
  <si>
    <t xml:space="preserve">2152ff8074ad572c2ffb9991</t>
  </si>
  <si>
    <t xml:space="preserve">SNDK Dec 2027 1360.000 put (SNDK271217P01360000) Interactive Stock Chart - Yahoo Finance</t>
  </si>
  <si>
    <t xml:space="preserve">6d0af44d765ea2808659c700</t>
  </si>
  <si>
    <t xml:space="preserve">UAL Jan 2028 97.500 call (UAL280121C00097500) interactive stock chart</t>
  </si>
  <si>
    <t xml:space="preserve">3855d7d326480ee5d0b675c5</t>
  </si>
  <si>
    <t xml:space="preserve">FOX News personalities Ainsley Earhardt, Sean Hannity get married</t>
  </si>
  <si>
    <t xml:space="preserve">upi</t>
  </si>
  <si>
    <t xml:space="preserve">ccab976fc8e442c70889ec52</t>
  </si>
  <si>
    <t xml:space="preserve">Rangers face Cisco in regular season finale</t>
  </si>
  <si>
    <t xml:space="preserve">Longview News-Journal</t>
  </si>
  <si>
    <t xml:space="preserve">d1806409bbf4e45eb3e5c4df</t>
  </si>
  <si>
    <t xml:space="preserve">PHM Sep 2027 85.000 put (PHM270917P00085000) interactive stock chart</t>
  </si>
  <si>
    <t xml:space="preserve">6543e636193a5fe189a3ae2c</t>
  </si>
  <si>
    <t xml:space="preserve">‍‍‍[WATCHLIVE]NCAAF!] Ball State Cardinals football 𝐋𝐈𝐕𝐄 Ｆｒｅｅ Ｓｔｒｅａｍｓ ＯＮ Ｔｖ Ｃｈａｎｎｅｌ 24 October 2026</t>
  </si>
  <si>
    <t xml:space="preserve">5502f585518fca2d697889fb</t>
  </si>
  <si>
    <t xml:space="preserve">Form 144 IRON MOUNTAIN INC For: 24 October By Investing.com</t>
  </si>
  <si>
    <t xml:space="preserve">9d32c070cb659afb6e2ea68d</t>
  </si>
  <si>
    <t xml:space="preserve">Comcast Corporation $CMCSA Shares Sold by WASHINGTON TRUST Co</t>
  </si>
  <si>
    <t xml:space="preserve">150518e4c1d85c14a83e6245</t>
  </si>
  <si>
    <t xml:space="preserve">)ω#[WATCHLIvE]HQ!] Ball State V Sacramento State Game-Day Updates</t>
  </si>
  <si>
    <t xml:space="preserve">7dfa91e66fdc7f5a952de67b</t>
  </si>
  <si>
    <t xml:space="preserve">Amplifon SpA Estimates – MIL:AMP</t>
  </si>
  <si>
    <t xml:space="preserve">c73aa504ddfe07712d4600f8</t>
  </si>
  <si>
    <t xml:space="preserve">Earnings Preview: What to Expect From PPL’s Report</t>
  </si>
  <si>
    <t xml:space="preserve">a6a5230b7d82d5165cc0f455</t>
  </si>
  <si>
    <t xml:space="preserve">Medtronic stock trades at EUR 85.33 in weekend trading</t>
  </si>
  <si>
    <t xml:space="preserve">7351162bfc5a47b3180e80e6</t>
  </si>
  <si>
    <t xml:space="preserve">CME Group director Martin Gepsman sells $121,000 in shares By Investing.com</t>
  </si>
  <si>
    <t xml:space="preserve">2b4939762502f2860a4768c0</t>
  </si>
  <si>
    <t xml:space="preserve">FIS Alpine Ski World Cup Sölden: Women's giant slalom run 2</t>
  </si>
  <si>
    <t xml:space="preserve">6a02b1380a555a655d750b7d</t>
  </si>
  <si>
    <t xml:space="preserve">Joe Fitzgerald Appointed Executive Vice President and Chief Operating Officer at Boston Scientific</t>
  </si>
  <si>
    <t xml:space="preserve">https://hrtoday.in/</t>
  </si>
  <si>
    <t xml:space="preserve">91e6864eafcac0fd8b8bf09d</t>
  </si>
  <si>
    <t xml:space="preserve">BNY Mellon Strategic Municipals, Inc. - Common Stock Estimates – NASDAQ:XLEOX</t>
  </si>
  <si>
    <t xml:space="preserve">a12c4ccbe9d4419a495fd547</t>
  </si>
  <si>
    <t xml:space="preserve">LVS Nov 2026 36.000 call (LVS261106C00036000) Interactive Stock Chart - Yahoo Finance</t>
  </si>
  <si>
    <t xml:space="preserve">968a077b9c6ae0fc80db619a</t>
  </si>
  <si>
    <t xml:space="preserve">LITE Jan 2029 1020.000 put (LITE290119P01020000) Interactive Stock Chart - Yahoo Finance</t>
  </si>
  <si>
    <t xml:space="preserve">c2b71f36ee0e90eb1d23eb9b</t>
  </si>
  <si>
    <t xml:space="preserve">MRNA Oct 2026 140.000 call (MRNA261023C00140000) Interactive Stock Chart - Yahoo Finance</t>
  </si>
  <si>
    <t xml:space="preserve">e0e6afa48e88061be68214ad</t>
  </si>
  <si>
    <t xml:space="preserve">AbbVie Inc (Derivatives) Price History and Historical Data</t>
  </si>
  <si>
    <t xml:space="preserve">CoinMarketCap</t>
  </si>
  <si>
    <t xml:space="preserve">086a7691ea4285b19067f005</t>
  </si>
  <si>
    <t xml:space="preserve">MSI Jan 2027 600.000 call (MSI270115C00600000) Interactive Stock Chart - Yahoo Finance</t>
  </si>
  <si>
    <t xml:space="preserve">0772dbeb2400a6e6dc4086ac</t>
  </si>
  <si>
    <t xml:space="preserve">QCOM Jan 2027 290.000 put (QCOM270115P00290000) Interactive Stock Chart - Yahoo Finance</t>
  </si>
  <si>
    <t xml:space="preserve">e29b328dfaac88c82493bbe2</t>
  </si>
  <si>
    <t xml:space="preserve">UAL261106P00080000 interactive stock chart | UAL Nov 2026 80.000 put stock - Yahoo Finance</t>
  </si>
  <si>
    <t xml:space="preserve">81b9bf2be4cb1ded8c2c6ad0</t>
  </si>
  <si>
    <t xml:space="preserve">Virginia Sharma Appointed Chief Marketing Officer, Missionforce at Salesforce</t>
  </si>
  <si>
    <t xml:space="preserve">882e501d43c106faca1658a0</t>
  </si>
  <si>
    <t xml:space="preserve">Abdul Rakhman Yakhyaev Stops Nikita Krylov By First-Round TKO At UFC 333 — Highlights</t>
  </si>
  <si>
    <t xml:space="preserve">MiddleEasy</t>
  </si>
  <si>
    <t xml:space="preserve">5a81fb3aa4021e51e82d9208</t>
  </si>
  <si>
    <t xml:space="preserve">Oppenheimer reiterates Amgen stock rating on cancer drug data By Investing.com</t>
  </si>
  <si>
    <t xml:space="preserve">a0f04263dc16e34a45e66120</t>
  </si>
  <si>
    <t xml:space="preserve">Bottles Creator Mirko Brombin Wants Microsoft Office on Linux, Not Its Clones</t>
  </si>
  <si>
    <t xml:space="preserve">It's FOSS</t>
  </si>
  <si>
    <t xml:space="preserve">d37b0c2d3ee81c0a07191bcc</t>
  </si>
  <si>
    <t xml:space="preserve">TE Connectivity Ltd. $TEL Shares Sold by Axxcess Wealth Management LLC</t>
  </si>
  <si>
    <t xml:space="preserve">c5f4f4029f2caa198cf002d5</t>
  </si>
  <si>
    <t xml:space="preserve">EXE Oct 2026 103.000 call (EXE261030C00103000) interactive stock chart</t>
  </si>
  <si>
    <t xml:space="preserve">45a5841a788d0c59497c9342</t>
  </si>
  <si>
    <t xml:space="preserve">CMCSA Oct 2026 22.000 call (CMCSA261030C00022000) Interactive Stock Chart - Yahoo Finance</t>
  </si>
  <si>
    <t xml:space="preserve">6a0c1a04b01a06aa4f9d9706</t>
  </si>
  <si>
    <t xml:space="preserve">Robeco Schweiz AG Sells 18,827 Shares of Generac Holdings Inc. $GNRC</t>
  </si>
  <si>
    <t xml:space="preserve">582d7672f40c3b1724bff030</t>
  </si>
  <si>
    <t xml:space="preserve">UPESSC Opens 17,735 TGT Posts: Registration Starts October 24, 2026</t>
  </si>
  <si>
    <t xml:space="preserve">Observer Voice</t>
  </si>
  <si>
    <t xml:space="preserve">04efa52e2e38d4538973163a</t>
  </si>
  <si>
    <t xml:space="preserve">Eastwood’s Jordan Nava runs the ball during a football game against Canutillo on Friday, Sept.4, 2026, at Eastwood High School in El Paso, Texas.</t>
  </si>
  <si>
    <t xml:space="preserve">9738f8c6867eff92f50f8763</t>
  </si>
  <si>
    <t xml:space="preserve">EXE Oct 2026 86.000 call (EXE261030C00086000) interactive stock chart</t>
  </si>
  <si>
    <t xml:space="preserve">1159d5c84acbf6d3822ff7f8</t>
  </si>
  <si>
    <t xml:space="preserve">Form 4 Uber Technologies Inc For: 25 October By Investing.com</t>
  </si>
  <si>
    <t xml:space="preserve">5359385850efbf28b176ee28</t>
  </si>
  <si>
    <t xml:space="preserve">Booking Holdings Inc. Common Stock Estimates – NASDAQ:BKNG</t>
  </si>
  <si>
    <t xml:space="preserve">b436e4b9da843593ef85d3ca</t>
  </si>
  <si>
    <t xml:space="preserve">UBER Oct 2026 59.000 call (UBER261023C00059000) Interactive Stock Chart - Yahoo Finance</t>
  </si>
  <si>
    <t xml:space="preserve">cbe757a456b24c66062e6150</t>
  </si>
  <si>
    <t xml:space="preserve">String metaverse limited Estimates – BSE:META</t>
  </si>
  <si>
    <t xml:space="preserve">3d621e3dd90f30b3601a2068</t>
  </si>
  <si>
    <t xml:space="preserve">LEN May 2027 105.000 put (LEN270521P00105000) interactive stock chart – Yahoo Finance</t>
  </si>
  <si>
    <t xml:space="preserve">2c4830187e8f9c26035a1f46</t>
  </si>
  <si>
    <t xml:space="preserve">12,791 Apollo Global Management Inc. $APO Shares Bought by Titan Investment Management LLC</t>
  </si>
  <si>
    <t xml:space="preserve">c18f26cf9827eeac1ca5de04</t>
  </si>
  <si>
    <t xml:space="preserve">Form 144 LAM RESEARCH CORP For: 23 October By Investing.com</t>
  </si>
  <si>
    <t xml:space="preserve">1eaade8f540f3ff13b59e422</t>
  </si>
  <si>
    <t xml:space="preserve">ADSK Nov 2026 245.000 call (ADSK261106C00245000) interactive stock chart</t>
  </si>
  <si>
    <t xml:space="preserve">dd84f7c6c9eb56d0f88d01a8</t>
  </si>
  <si>
    <t xml:space="preserve">AMAT Nov 2026 455.000 call (AMAT261113C00455000) Interactive Stock Chart - Yahoo Finance</t>
  </si>
  <si>
    <t xml:space="preserve">d33ed6372a54718cdef9a38b</t>
  </si>
  <si>
    <t xml:space="preserve">Sandisk stock trades at EUR 1,105.00 in weekend trading</t>
  </si>
  <si>
    <t xml:space="preserve">eadaaa6e2238bce1d5acfd95</t>
  </si>
  <si>
    <t xml:space="preserve">NIKE (NYSE:NKE) Now Covered by Wolfe Research</t>
  </si>
  <si>
    <t xml:space="preserve">ee9de419dbb6a867201ed56f</t>
  </si>
  <si>
    <t xml:space="preserve">Amgen Inc. $AMGN Shares Sold by E. Ohman J or Asset Management AB</t>
  </si>
  <si>
    <t xml:space="preserve">bb13967ad2b72183ddd8f6d0</t>
  </si>
  <si>
    <t xml:space="preserve">14,670 Amgen Inc. $AMGN Shares Sold by Investment House LLC</t>
  </si>
  <si>
    <t xml:space="preserve">3512ecb479783a02cc30ed45</t>
  </si>
  <si>
    <t xml:space="preserve">TSLA Jan 2028 600.000 put (TSLA280121P00600000) Interactive Stock Chart - Yahoo Finance</t>
  </si>
  <si>
    <t xml:space="preserve">7661e6d111ea0c53cbb4515d</t>
  </si>
  <si>
    <t xml:space="preserve">Inflexion sells majority stake in Celnor to Goldman Sachs Alternatives</t>
  </si>
  <si>
    <t xml:space="preserve">e5e07f7ba6c29b65fe0c5ed9</t>
  </si>
  <si>
    <t xml:space="preserve">ABBV Q3'26 Earnings: revenue estimate is 17.35B USD</t>
  </si>
  <si>
    <t xml:space="preserve">be4dc565aa4bda7c554cb68d</t>
  </si>
  <si>
    <t xml:space="preserve">Form 4 EQT Private Equity Co LLC: Martha Willis (Director) For: 21 October By Investing.com</t>
  </si>
  <si>
    <t xml:space="preserve">8c2f5380d453a8c07b68420f</t>
  </si>
  <si>
    <t xml:space="preserve">20,152 Medtronic PLC $MDT Shares Sold by Royal Fund Management LLC</t>
  </si>
  <si>
    <t xml:space="preserve">971ea00de197fe1232acc54d</t>
  </si>
  <si>
    <t xml:space="preserve">Regeneron Pharmaceuticals, Inc. $REGN Shares Sold by Washington Trust Advisors Inc.</t>
  </si>
  <si>
    <t xml:space="preserve">ff83c5a01cc7868c3f55adf0</t>
  </si>
  <si>
    <t xml:space="preserve">AXP Oct 2026 287.500 put (AXP261023P00287500) Interactive Stock Chart - Yahoo Finance</t>
  </si>
  <si>
    <t xml:space="preserve">27abb571cef55e95b18413e3</t>
  </si>
  <si>
    <t xml:space="preserve">Microsoft Raised Xbox Prices. Now It’s Emailing Owners to Trade Their Consoles In</t>
  </si>
  <si>
    <t xml:space="preserve">672edc78b2a5a3f2342d628e</t>
  </si>
  <si>
    <t xml:space="preserve">Safe Shelter Annual Twilight Ball</t>
  </si>
  <si>
    <t xml:space="preserve">Savannah Business Journal</t>
  </si>
  <si>
    <t xml:space="preserve">0a66f64e09f6609963629038</t>
  </si>
  <si>
    <t xml:space="preserve">VST Nov 2026 125.000 call (VST261113C00125000) interactive stock chart</t>
  </si>
  <si>
    <t xml:space="preserve">1ebcc116303c85f0984d30f6</t>
  </si>
  <si>
    <t xml:space="preserve">SNDK Aug 2027 2370.000 call (SNDK270820C02370000) Interactive Stock Chart - Yahoo Finance</t>
  </si>
  <si>
    <t xml:space="preserve">d63b01b570ec6c96f125eede</t>
  </si>
  <si>
    <t xml:space="preserve">BlackRock MuniHoldings Quality Fund II, Inc. Estimates – NASDAQ:XMUEX</t>
  </si>
  <si>
    <t xml:space="preserve">40746aceb9d5e29490eaf3f7</t>
  </si>
  <si>
    <t xml:space="preserve">Form 144 ROPER TECHNOLOGIES INC For: 24 October By Investing.com</t>
  </si>
  <si>
    <t xml:space="preserve">bccbb00f13315c0d0980b840</t>
  </si>
  <si>
    <t xml:space="preserve">What to watch, powered by Verizon, as Orlando City host New York City FC</t>
  </si>
  <si>
    <t xml:space="preserve">Orlando City</t>
  </si>
  <si>
    <t xml:space="preserve">612115e9ea627e346a2be548</t>
  </si>
  <si>
    <t xml:space="preserve">5,071 Apple Inc. $AAPL Shares Purchased by Copeland Capital Management LLC</t>
  </si>
  <si>
    <t xml:space="preserve">b0a04bcc3ab187c033d5940d</t>
  </si>
  <si>
    <t xml:space="preserve">Brown &amp; Brown, Inc. $BRO Shares Acquired by Capital Investment Advisors LLC</t>
  </si>
  <si>
    <t xml:space="preserve">9600a51e5dd00c4f4e133d33</t>
  </si>
  <si>
    <t xml:space="preserve">Week 7 FLEX Rankings for Fantasy Football: Weekend Updates (2026)</t>
  </si>
  <si>
    <t xml:space="preserve">RotoBaller</t>
  </si>
  <si>
    <t xml:space="preserve">0beabc29c00349997cba702f</t>
  </si>
  <si>
    <t xml:space="preserve">201,811 Aon plc $AON Shares Purchased by Yousif Capital Management LLC</t>
  </si>
  <si>
    <t xml:space="preserve">436ba2d9c2bb54fafa00a729</t>
  </si>
  <si>
    <t xml:space="preserve">WDC's Pricing-Driven Earnings Beat Divides Wall Street — Analysts Flag Rising Supply, Valuation Risks</t>
  </si>
  <si>
    <t xml:space="preserve">67363afb675a444323581722</t>
  </si>
  <si>
    <t xml:space="preserve">AI-Agent Payments Explained: Mastercard Agent Pay, AP2 and x402</t>
  </si>
  <si>
    <t xml:space="preserve">46698cdef04cd9ccec33a186</t>
  </si>
  <si>
    <t xml:space="preserve">Form 4 iShares MSCI EAFE ETF For: 23 October By Investing.com</t>
  </si>
  <si>
    <t xml:space="preserve">b871ca72034fdbc1275424f0</t>
  </si>
  <si>
    <t xml:space="preserve">TSLA Nov 2026 190.000 put (TSLA261113P00190000) Interactive Stock Chart - Yahoo Finance</t>
  </si>
  <si>
    <t xml:space="preserve">11d3d0758ce2fcb656019d18</t>
  </si>
  <si>
    <t xml:space="preserve">NVDA May 2027 450.000 call (NVDA270521C00450000) Interactive Stock Chart</t>
  </si>
  <si>
    <t xml:space="preserve">e5261e43955ee9f72c40d50e</t>
  </si>
  <si>
    <t xml:space="preserve">Top Crypto Stocks to Watch This Week: SoFi, Strategy, Coinbase</t>
  </si>
  <si>
    <t xml:space="preserve">62575c879552e6082bb2c75e</t>
  </si>
  <si>
    <t xml:space="preserve">NextEra Energy, Inc. 7.299% Corporate Estimates – NYSE:NEE/PS</t>
  </si>
  <si>
    <t xml:space="preserve">c0fa1d7efaeafe29f23f54ec</t>
  </si>
  <si>
    <t xml:space="preserve">BRO Q3'26 Earnings: EPS estimate is 1.09 USD</t>
  </si>
  <si>
    <t xml:space="preserve">e0e9972c470caa8b26c1102d</t>
  </si>
  <si>
    <t xml:space="preserve">VLO Nov 2026 570.000 put (VLO261113P00570000) Interactive Stock Chart - Yahoo Finance</t>
  </si>
  <si>
    <t xml:space="preserve">c8004d966f139e9ac1aab443</t>
  </si>
  <si>
    <t xml:space="preserve">NXP Semiconductors N.V. $NXPI Shares Newly Acquired by Vest Financial LLC</t>
  </si>
  <si>
    <t xml:space="preserve">6a435f255ba1dd39ee01bc45</t>
  </si>
  <si>
    <t xml:space="preserve">Veeva Systems Inc. $VEEV Stock: AMF Tjanstepension AB Lowers Position</t>
  </si>
  <si>
    <t xml:space="preserve">dec4d55c46de795e97a7b269</t>
  </si>
  <si>
    <t xml:space="preserve">Abbott Laboratories stock: BTIG cuts target to USD 125.00</t>
  </si>
  <si>
    <t xml:space="preserve">76b8b362d2fc166525e0655b</t>
  </si>
  <si>
    <t xml:space="preserve">CIEN Oct 2026 337.500 call (CIEN261023C00337500) Interactive Stock Chart - Yahoo Finance</t>
  </si>
  <si>
    <t xml:space="preserve">8320ab4b5ac39c1f57dbf75e</t>
  </si>
  <si>
    <t xml:space="preserve">REG - Invinity Energy Sys - Posting of Circular and Notice of General Meeting</t>
  </si>
  <si>
    <t xml:space="preserve">e63616e7deda11cc11c95dcd</t>
  </si>
  <si>
    <t xml:space="preserve">Form 144 Veralto Corp For: 23 October By Investing.com</t>
  </si>
  <si>
    <t xml:space="preserve">6490eeca25d5a067d267915f</t>
  </si>
  <si>
    <t xml:space="preserve">What Are the Changes in CMS Readmission and Mortality Risk Adjustment Methodologies?</t>
  </si>
  <si>
    <t xml:space="preserve">Dexur.com</t>
  </si>
  <si>
    <t xml:space="preserve">04526afcff1841cdbd975766</t>
  </si>
  <si>
    <t xml:space="preserve">WDC Q3 Earnings: $3.34B Revenue, 222 EB, AI Demand [2026]</t>
  </si>
  <si>
    <t xml:space="preserve">afb5ffa4835b9b40257130c6</t>
  </si>
  <si>
    <t xml:space="preserve">CDW Mar 2027 75.000 call (CDW270319C00075000) interactive stock chart</t>
  </si>
  <si>
    <t xml:space="preserve">4f426b4e5e2f75e10c30b22d</t>
  </si>
  <si>
    <t xml:space="preserve">ABBV Nov 2026 245.000 put (ABBV261127P00245000) interactive stock chart</t>
  </si>
  <si>
    <t xml:space="preserve">74cd1bf8c5008626ba004f3e</t>
  </si>
  <si>
    <t xml:space="preserve">EIX</t>
  </si>
  <si>
    <t xml:space="preserve">Edison International</t>
  </si>
  <si>
    <t xml:space="preserve">Edison International (EIX) Stock May Trade At A Premium Following Fire Liability Ruling</t>
  </si>
  <si>
    <t xml:space="preserve">9290e7b9bb0fad02fa9e7fa6</t>
  </si>
  <si>
    <t xml:space="preserve">NDAQ Oct 2026 92.000 call (NDAQ261023C00092000) interactive stock chart</t>
  </si>
  <si>
    <t xml:space="preserve">c8b6a739ab3fc76d0cb6d6fd</t>
  </si>
  <si>
    <t xml:space="preserve">LLY Nov 2026 1080.000 put (LLY261127P01080000) interactive stock chart</t>
  </si>
  <si>
    <t xml:space="preserve">7d481ac86285b6a3c7e6a497</t>
  </si>
  <si>
    <t xml:space="preserve">REG - VinaCapital Vietnam - Monthly Report</t>
  </si>
  <si>
    <t xml:space="preserve">075fa0faf527fe8bf703b9af</t>
  </si>
  <si>
    <t xml:space="preserve">Autodesk, Inc. $ADSK Shares Acquired by E. Ohman J or Asset Management AB</t>
  </si>
  <si>
    <t xml:space="preserve">e3218c169534788c873c9d69</t>
  </si>
  <si>
    <t xml:space="preserve">SMCI Oct 2026 53.000 call (SMCI261023C00053000) interactive stock chart</t>
  </si>
  <si>
    <t xml:space="preserve">921b7313e3424e9788cb5050</t>
  </si>
  <si>
    <t xml:space="preserve">Palo Alto Networks, Inc. $PANW Shares Sold by Middleton &amp; Co. Inc. MA</t>
  </si>
  <si>
    <t xml:space="preserve">62040135c297f8aefb668656</t>
  </si>
  <si>
    <t xml:space="preserve">SYY Jan 2029 70.000 put (SYY290119P00070000) Interactive Stock Chart - Yahoo Finance</t>
  </si>
  <si>
    <t xml:space="preserve">8b10871359b6593813db4808</t>
  </si>
  <si>
    <t xml:space="preserve">META Oct 2026 705.000 put (META261026P00705000) interactive stock chart</t>
  </si>
  <si>
    <t xml:space="preserve">a0c2cd8b72d1ce675aefd344</t>
  </si>
  <si>
    <t xml:space="preserve">20,192 Edison International $EIX Shares Bought by Sterling Capital Management LLC</t>
  </si>
  <si>
    <t xml:space="preserve">3aa52f5f9532fbbcc2e04c80</t>
  </si>
  <si>
    <t xml:space="preserve">INTU Dec 2026 320.000 put (INTU261218P00320000) Stock Forum &amp; Discussion - Yahoo Finance</t>
  </si>
  <si>
    <t xml:space="preserve">22da63dfd6421b97b007d191</t>
  </si>
  <si>
    <t xml:space="preserve">Lupin, Balaraw, Maria Bamford: What's New to Watch on Netflix the Week of Oct. 23, 2026</t>
  </si>
  <si>
    <t xml:space="preserve">8ef474f5376b520e1945e27b</t>
  </si>
  <si>
    <t xml:space="preserve">UNH Oct 2026 235.000 call (UNH261030C00235000) interactive stock chart</t>
  </si>
  <si>
    <t xml:space="preserve">ec324ba01869a9f662ead9c3</t>
  </si>
  <si>
    <t xml:space="preserve">BlackRock takes 5.07 percent of ABC Brasil stock</t>
  </si>
  <si>
    <t xml:space="preserve">ccdf188963120e2fe0429902</t>
  </si>
  <si>
    <t xml:space="preserve">‍‍‍Sacramento State vs Ball State Football Game</t>
  </si>
  <si>
    <t xml:space="preserve">d3c383bde104e2ea8a617819</t>
  </si>
  <si>
    <t xml:space="preserve">Chauffeurs For The Uber Wealthy Are Sharing The Wildest Things They’ve Overheard</t>
  </si>
  <si>
    <t xml:space="preserve">BuzzFeed</t>
  </si>
  <si>
    <t xml:space="preserve">ca6af7120d95f063dfd767e5</t>
  </si>
  <si>
    <t xml:space="preserve">COHR Nov 2026 350.000 call (COHR261106C00350000) interactive stock chart</t>
  </si>
  <si>
    <t xml:space="preserve">ab38562a5f670be31d3a11c9</t>
  </si>
  <si>
    <t xml:space="preserve">TPL Nov 2026 280.000 call (TPL261120C00280000) Interactive Stock Chart</t>
  </si>
  <si>
    <t xml:space="preserve">f029adcf9704b11b192b42cd</t>
  </si>
  <si>
    <t xml:space="preserve">DAL Mavericks vs. UTA Jazz 26 October 2026 | H2H, Betting Tips &amp; Odds</t>
  </si>
  <si>
    <t xml:space="preserve">online-bookmakers.com</t>
  </si>
  <si>
    <t xml:space="preserve">18ae2320487f370d341da390</t>
  </si>
  <si>
    <t xml:space="preserve">3‑pointer by LaMelo Ball</t>
  </si>
  <si>
    <t xml:space="preserve">844ad3810dfdd84d9e51cc78</t>
  </si>
  <si>
    <t xml:space="preserve">Form 144 FIRST SOLAR For: 24 October By Investing.com</t>
  </si>
  <si>
    <t xml:space="preserve">19fae3992a1484f6f170fee2</t>
  </si>
  <si>
    <t xml:space="preserve">Winmark COO Renae Gaudette sells $531,519 in stock By Investing.com</t>
  </si>
  <si>
    <t xml:space="preserve">f7679ccd3386dffd28255f33</t>
  </si>
  <si>
    <t xml:space="preserve">AIG Oct 2026 82.000 call (AIG261030C00082000) interactive stock chart</t>
  </si>
  <si>
    <t xml:space="preserve">5d51cba3baaea1ff411c27f2</t>
  </si>
  <si>
    <t xml:space="preserve">MKC</t>
  </si>
  <si>
    <t xml:space="preserve">McCormick &amp; Company</t>
  </si>
  <si>
    <t xml:space="preserve">McCormick &amp; Company, Incorporated $MKC Stock: Sumitomo Mitsui DS Asset Management Company Ltd Lowers Holdings</t>
  </si>
  <si>
    <t xml:space="preserve">4882d42f7e9916b57c14376b</t>
  </si>
  <si>
    <t xml:space="preserve">ROADSHOW- Waste Management</t>
  </si>
  <si>
    <t xml:space="preserve">KOLD</t>
  </si>
  <si>
    <t xml:space="preserve">f91bf055b8b1f2b1de2e0093</t>
  </si>
  <si>
    <t xml:space="preserve">The new travel flex isn't a photo. It's what you bring home</t>
  </si>
  <si>
    <t xml:space="preserve">0f7e54e1f8cd3edec542bffd</t>
  </si>
  <si>
    <t xml:space="preserve">Apple Inc. $AAPL Stock Sold by Fairfield Financial Advisors LTD</t>
  </si>
  <si>
    <t xml:space="preserve">83c780da9911a0ec2e9dd266</t>
  </si>
  <si>
    <t xml:space="preserve">14,816 Apple Inc. $AAPL Shares Bought by N10 Wealth LLC</t>
  </si>
  <si>
    <t xml:space="preserve">64bc1246aea8f8ddc131864a</t>
  </si>
  <si>
    <t xml:space="preserve">VRT Oct 2026 200.000 call (VRT261030C00200000) interactive stock chart</t>
  </si>
  <si>
    <t xml:space="preserve">d6b354e6cc0175a64ca5fc50</t>
  </si>
  <si>
    <t xml:space="preserve">Capital One Financial Corporation $COF Shares Sold by Evergreen Capital Management LLC</t>
  </si>
  <si>
    <t xml:space="preserve">415edcbf663cf6b2b62bb7d1</t>
  </si>
  <si>
    <t xml:space="preserve">WDC Oct 2026 337.500 call (WDC261023C00337500) Interactive Stock Chart - Yahoo Finance</t>
  </si>
  <si>
    <t xml:space="preserve">0bbbb3ec102a4c25c469b02c</t>
  </si>
  <si>
    <t xml:space="preserve">Tesla, SpaceX, Micron and More: 5 Stocks Investors Couldn't Stop Buzzing About This Week</t>
  </si>
  <si>
    <t xml:space="preserve">190eb9641a4ca01bea9ca47e</t>
  </si>
  <si>
    <t xml:space="preserve">Rákosszentmihályi SC vs Puebla FS TFC live score, H2H and lineups</t>
  </si>
  <si>
    <t xml:space="preserve">Sofascore</t>
  </si>
  <si>
    <t xml:space="preserve">8142b0e7e381fa0801ddf87b</t>
  </si>
  <si>
    <t xml:space="preserve">SNDK Nov 2026 1345.000 put (SNDK261106P01345000) interactive stock chart</t>
  </si>
  <si>
    <t xml:space="preserve">c4301b5b6f87ff8fb89afa78</t>
  </si>
  <si>
    <t xml:space="preserve">Form 4 Intuit Inc: Richard L. Dalzell (Director) For: 22 October</t>
  </si>
  <si>
    <t xml:space="preserve">787990c0b6669f3e15347bb2</t>
  </si>
  <si>
    <t xml:space="preserve">45,118 The Clorox Company $CLX Shares Bought by Nisa Investment Advisors LLC</t>
  </si>
  <si>
    <t xml:space="preserve">a74ff50b316f92491359dd1a</t>
  </si>
  <si>
    <t xml:space="preserve">^139245-EUR-NETR interactive stock chart | MSCI EUROPE SMALL CAP V NETR EU stock - Yahoo Finance</t>
  </si>
  <si>
    <t xml:space="preserve">b0d352592aa0ead51e3728d3</t>
  </si>
  <si>
    <t xml:space="preserve">Pharma Equity Group A/S Class A Estimates – OMXCOP:PEG</t>
  </si>
  <si>
    <t xml:space="preserve">dc1a9331666326f2adf59d9c</t>
  </si>
  <si>
    <t xml:space="preserve">Teledyne Technologies Incorpora (TDY) Stock Forecasts</t>
  </si>
  <si>
    <t xml:space="preserve">cbf8bb51463259c210b547ce</t>
  </si>
  <si>
    <t xml:space="preserve">Lam Research Corporation $LRCX Shares Sold by Sterling Capital Management LLC</t>
  </si>
  <si>
    <t xml:space="preserve">614994ff95b4654cac74e26a</t>
  </si>
  <si>
    <t xml:space="preserve">BLK,BABA,META,CVX,NYT,MU,ORCL,AAL,DIS,CRWV,T,UNP,VTRS,CVNA,CNC,HPE,CMG,AMZN | Stock Prices | Quote Comparison - Yahoo Finance</t>
  </si>
  <si>
    <t xml:space="preserve">a95293f1d62560f4e933c5a6</t>
  </si>
  <si>
    <t xml:space="preserve">Retired teacher keeps it real with vintage base ball, music</t>
  </si>
  <si>
    <t xml:space="preserve">e8747ab1b5805e40a105a153</t>
  </si>
  <si>
    <t xml:space="preserve">Apollo Global Management Inc. $APO Shares Bought by Farmers &amp; Merchants Investments Inc.</t>
  </si>
  <si>
    <t xml:space="preserve">fae84a91d5121d167f6b1417</t>
  </si>
  <si>
    <t xml:space="preserve">22e5684c605ccae57897629e</t>
  </si>
  <si>
    <t xml:space="preserve">McDonald's Corp Shs Cert Deposito Arg Repr 0.041666666 Shs Estimates – BCBA:MCDD</t>
  </si>
  <si>
    <t xml:space="preserve">e2a7810766707b546309b703</t>
  </si>
  <si>
    <t xml:space="preserve">ETFs Are Net Sellers of Tesla (TSLA) on Wednesday</t>
  </si>
  <si>
    <t xml:space="preserve">e68f918cc68a1c863624ae33</t>
  </si>
  <si>
    <t xml:space="preserve">TTD Nov 2026 2.500 call (TTD261120C00002500) interactive stock chart</t>
  </si>
  <si>
    <t xml:space="preserve">591d13838bae1fa4116a7600</t>
  </si>
  <si>
    <t xml:space="preserve">AAPL Jun 2028 210.000 call (AAPL280616C00210000) interactive stock chart</t>
  </si>
  <si>
    <t xml:space="preserve">7fb3b8ae37365a4367d6e2d6</t>
  </si>
  <si>
    <t xml:space="preserve">TSLA Dec 2028 155.000 call (TSLA281215C00155000) Interactive Stock Chart - Yahoo Finance</t>
  </si>
  <si>
    <t xml:space="preserve">248b738d17e2b764feaea583</t>
  </si>
  <si>
    <t xml:space="preserve">Xtrackers MSCI Japan Climate Tr (IE0006FDYJF8.SG)</t>
  </si>
  <si>
    <t xml:space="preserve">37c3e7ad81dbc7a2d0c3f1e2</t>
  </si>
  <si>
    <t xml:space="preserve">Should You Buy Amazon Stock Before Oct. 29?</t>
  </si>
  <si>
    <t xml:space="preserve">1dafd84da6d17e9b085eeae3</t>
  </si>
  <si>
    <t xml:space="preserve">Investors Heavily Search Vertiv Holdings Co. (VRT): Here is What You Need to Know</t>
  </si>
  <si>
    <t xml:space="preserve">e33999086ce4c23d76b48332</t>
  </si>
  <si>
    <t xml:space="preserve">OXY Oct 2026 62.000 put (OXY261030P00062000) interactive stock chart</t>
  </si>
  <si>
    <t xml:space="preserve">7f82579c0691aec7b9f447e8</t>
  </si>
  <si>
    <t xml:space="preserve">36429d01e3e04a6ee89c5393</t>
  </si>
  <si>
    <t xml:space="preserve">BlackRock Science and Technology Term Trust Estimates – NYSE:BSTZ</t>
  </si>
  <si>
    <t xml:space="preserve">2bb6b18fd51cd7cc265b1eb6</t>
  </si>
  <si>
    <t xml:space="preserve">Winnebago Is Maintained at Neutral by Citigroup</t>
  </si>
  <si>
    <t xml:space="preserve">d6219088d7e59d97d1da0380</t>
  </si>
  <si>
    <t xml:space="preserve">Intuit Connect Sets Oct. 27 Product Updates and Roadmap Discussion</t>
  </si>
  <si>
    <t xml:space="preserve">www.tokenpost.com</t>
  </si>
  <si>
    <t xml:space="preserve">e619d1b4c5575e1bc9e0812d</t>
  </si>
  <si>
    <t xml:space="preserve">SNDK Nov 2026 1090.000 put (SNDK261127P01090000) Interactive Stock Chart - Yahoo Finance</t>
  </si>
  <si>
    <t xml:space="preserve">01eb22538532140c60981a46</t>
  </si>
  <si>
    <t xml:space="preserve">REGN Nov 2026 770.000 put (REGN261106P00770000) Interactive Stock Chart - Yahoo Finance</t>
  </si>
  <si>
    <t xml:space="preserve">9df4f4b171d6ad20298d1f56</t>
  </si>
  <si>
    <t xml:space="preserve">PPG Oct 2026 102.000 call (PPG261023C00102000) interactive stock chart</t>
  </si>
  <si>
    <t xml:space="preserve">d4f95ef00f0d1f1e7c389c21</t>
  </si>
  <si>
    <t xml:space="preserve">Form 4 Invesco QQQ Trust For: 24 October By Investing.com</t>
  </si>
  <si>
    <t xml:space="preserve">2a7f70fec69e9e20a8136124</t>
  </si>
  <si>
    <t xml:space="preserve">2026-27 FIS Alpine Ski World Cup: All overall and discipline rankings from the Alpine skiing season</t>
  </si>
  <si>
    <t xml:space="preserve">Olympics</t>
  </si>
  <si>
    <t xml:space="preserve">b8492c50baf9b2b62ed2b50d</t>
  </si>
  <si>
    <t xml:space="preserve">78,231 Salesforce Inc. $CRM Shares Bought by Capital Investment Advisors LLC</t>
  </si>
  <si>
    <t xml:space="preserve">155e21120bf4df5de2b39a1e</t>
  </si>
  <si>
    <t xml:space="preserve">LITE Jan 2029 1360.000 call (LITE290119C01360000) Interactive Stock Chart - Yahoo Finance</t>
  </si>
  <si>
    <t xml:space="preserve">42c8343affd10e28e4d3eb15</t>
  </si>
  <si>
    <t xml:space="preserve">Here’s What People Really Think of Starbucks’ Black Cat Frappuccino</t>
  </si>
  <si>
    <t xml:space="preserve">Totally The Bomb</t>
  </si>
  <si>
    <t xml:space="preserve">46c2fcc192657c09bd08d294</t>
  </si>
  <si>
    <t xml:space="preserve">CFL on TSN: Blue Bombers vs. Lions</t>
  </si>
  <si>
    <t xml:space="preserve">e50e415d1e2fa3a261181843</t>
  </si>
  <si>
    <t xml:space="preserve">McDonald's Corporation $MCD Stock Sold by Investment House LLC</t>
  </si>
  <si>
    <t xml:space="preserve">8a80d8998284ef912af03cfa</t>
  </si>
  <si>
    <t xml:space="preserve">SLB (SLB) Opens Canada Facility After Data Center Win Changed The Story</t>
  </si>
  <si>
    <t xml:space="preserve">c55b0fc30e4b5c563ddd40e4</t>
  </si>
  <si>
    <t xml:space="preserve">UFC 333 Results: Alexander Volkanovski TKO’s Movsar Evloev (Video)</t>
  </si>
  <si>
    <t xml:space="preserve">BJPenn.com</t>
  </si>
  <si>
    <t xml:space="preserve">6e015b6eb0071a5435dbf277</t>
  </si>
  <si>
    <t xml:space="preserve">GALLERY: Ball State Centennial Homecoming Parade 2026</t>
  </si>
  <si>
    <t xml:space="preserve">Cardinal Media</t>
  </si>
  <si>
    <t xml:space="preserve">1ea1409046220d732d99dd20</t>
  </si>
  <si>
    <t xml:space="preserve">CDW Holding Limited Estimates – SGX:BXE</t>
  </si>
  <si>
    <t xml:space="preserve">55c3cb6678a84cb41fdebe57</t>
  </si>
  <si>
    <t xml:space="preserve">Total non-current assets of Siam Pan Group Public Co. Ltd. – SET:SPG</t>
  </si>
  <si>
    <t xml:space="preserve">9050330b0894fa36512e8a99</t>
  </si>
  <si>
    <t xml:space="preserve">Medtronic PLC $MDT Stock: Citizens Financial Group Inc. RI Increases Stake</t>
  </si>
  <si>
    <t xml:space="preserve">e1c618775bdcdd78c9ad8c6f</t>
  </si>
  <si>
    <t xml:space="preserve">SMCI Jun 2027 70.000 put (SMCI270617P00070000) interactive stock chart</t>
  </si>
  <si>
    <t xml:space="preserve">26e3856b48e280eef886d4d7</t>
  </si>
  <si>
    <t xml:space="preserve">HP Inc. $HPQ Stock: Harbor Island Capital LLC Lowers Holdings</t>
  </si>
  <si>
    <t xml:space="preserve">512b92f4257759c30b866561</t>
  </si>
  <si>
    <t xml:space="preserve">85b37f14e9ff082ed34531c9</t>
  </si>
  <si>
    <t xml:space="preserve">AMT Apr 2027 200.000 call (AMT270416C00200000) interactive stock chart</t>
  </si>
  <si>
    <t xml:space="preserve">e25517967e52c52178771250</t>
  </si>
  <si>
    <t xml:space="preserve">Invesco Mutual Fund revises daily SIP rule: Instalments can now be debited on weekends, holidays</t>
  </si>
  <si>
    <t xml:space="preserve">Upstox</t>
  </si>
  <si>
    <t xml:space="preserve">9fd9bce8d556c93458f4a154</t>
  </si>
  <si>
    <t xml:space="preserve">5269007ef11348f9d60baec3</t>
  </si>
  <si>
    <t xml:space="preserve">Procter &amp; Gamble Company (The) $PG Stock: Sterling Capital Management LLC Lowers Position</t>
  </si>
  <si>
    <t xml:space="preserve">9fdf69167fd43f6716c43f91</t>
  </si>
  <si>
    <t xml:space="preserve">GDDY Nov 2026 109.000 put (GDDY261106P00109000) interactive stock chart</t>
  </si>
  <si>
    <t xml:space="preserve">ac55c9431bebf6f21ea4272d</t>
  </si>
  <si>
    <t xml:space="preserve">6b9c3b0a4e10b1c18f4dcc36</t>
  </si>
  <si>
    <t xml:space="preserve">e6ac13a92838d2a2facdd77e</t>
  </si>
  <si>
    <t xml:space="preserve">BNY Mellon Strategic Municipal Bond Fund, Inc. Estimates – NYSE:DSM</t>
  </si>
  <si>
    <t xml:space="preserve">3a670edc7f45696d3a014363</t>
  </si>
  <si>
    <t xml:space="preserve">SMCI Oct 2026 35.500 call (SMCI261023C00035500) Interactive Stock Chart - Yahoo Finance</t>
  </si>
  <si>
    <t xml:space="preserve">7c50bb389a84bf72a461f3d7</t>
  </si>
  <si>
    <t xml:space="preserve">BlackRock Greater Europe Investment Trust Plc - Transaction in Own Shares</t>
  </si>
  <si>
    <t xml:space="preserve">888462b77c26bf98190cb7fc</t>
  </si>
  <si>
    <t xml:space="preserve">Windows 11, RTX Spark, and Local AI: It’s Not Me, It’s Windows ⭐</t>
  </si>
  <si>
    <t xml:space="preserve">Thurrott.com</t>
  </si>
  <si>
    <t xml:space="preserve">bcae88564bddd871c4498604</t>
  </si>
  <si>
    <t xml:space="preserve">Is Elon Musk Coming for Verizon?</t>
  </si>
  <si>
    <t xml:space="preserve">8c5b5dc714cfa68e7974d563</t>
  </si>
  <si>
    <t xml:space="preserve">Western Digital Corp (WDC) Stock News Today</t>
  </si>
  <si>
    <t xml:space="preserve">78e23f327e45abf8952a7b60</t>
  </si>
  <si>
    <t xml:space="preserve">QIAGEN N.V. (QIA) Discloses AFM Notice on BlackRock Voting Rights</t>
  </si>
  <si>
    <t xml:space="preserve">88363f4c2a11fcae1b380f8b</t>
  </si>
  <si>
    <t xml:space="preserve">REGN Nov 2026 680.000 put (REGN261113P00680000) Interactive Stock Chart - Yahoo Finance</t>
  </si>
  <si>
    <t xml:space="preserve">d353271fadb5d247aa7c3aa0</t>
  </si>
  <si>
    <t xml:space="preserve">EOG Nov 2026 144.000 put (EOG261113P00144000) Interactive Stock Chart - Yahoo Finance</t>
  </si>
  <si>
    <t xml:space="preserve">95ff6af87140cd2f3026bd74</t>
  </si>
  <si>
    <t xml:space="preserve">CTSH Jan 2029 62.500 call (CTSH290119C00062500) Interactive Stock Chart - Yahoo Finance</t>
  </si>
  <si>
    <t xml:space="preserve">330e7f2191df2805af9baf20</t>
  </si>
  <si>
    <t xml:space="preserve">UDINESE vs. AC MILAN: THE OFFICIAL LINE-UPS</t>
  </si>
  <si>
    <t xml:space="preserve">AC Milan</t>
  </si>
  <si>
    <t xml:space="preserve">12720278de8acabbe594af73</t>
  </si>
  <si>
    <t xml:space="preserve">Form 4 Invesco QQQ Trust For: 25 October By Investing.com</t>
  </si>
  <si>
    <t xml:space="preserve">81c849918093cdf380c2f4bf</t>
  </si>
  <si>
    <t xml:space="preserve">TTD Apr 2027 22.500 put (TTD270416P00022500) Interactive Stock Chart - Yahoo Finance</t>
  </si>
  <si>
    <t xml:space="preserve">4a21eaffe2c0f4275fe1f716</t>
  </si>
  <si>
    <t xml:space="preserve">Event_Code</t>
  </si>
  <si>
    <t xml:space="preserve">事件中文</t>
  </si>
  <si>
    <t xml:space="preserve">Level</t>
  </si>
  <si>
    <t xml:space="preserve">ACCOUNTING_FRAUD</t>
  </si>
  <si>
    <t xml:space="preserve">會計舞弊</t>
  </si>
  <si>
    <t xml:space="preserve">BANKRUPTCY</t>
  </si>
  <si>
    <t xml:space="preserve">破產</t>
  </si>
  <si>
    <t xml:space="preserve">DEFAULT</t>
  </si>
  <si>
    <t xml:space="preserve">違約</t>
  </si>
  <si>
    <t xml:space="preserve">DELISTING</t>
  </si>
  <si>
    <t xml:space="preserve">下市</t>
  </si>
  <si>
    <t xml:space="preserve">GOING_CONCERN</t>
  </si>
  <si>
    <t xml:space="preserve">繼續經營疑慮</t>
  </si>
  <si>
    <t xml:space="preserve">LIQUIDITY_CRISIS</t>
  </si>
  <si>
    <t xml:space="preserve">流動性危機</t>
  </si>
  <si>
    <t xml:space="preserve">TRADING_SUSPENSION</t>
  </si>
  <si>
    <t xml:space="preserve">停牌</t>
  </si>
  <si>
    <t xml:space="preserve">ANTITRUST_INVESTIGATION</t>
  </si>
  <si>
    <t xml:space="preserve">反壟斷調查</t>
  </si>
  <si>
    <t xml:space="preserve">AUDITOR_RESIGNATION</t>
  </si>
  <si>
    <t xml:space="preserve">會計師辭任</t>
  </si>
  <si>
    <t xml:space="preserve">CREDIT_DOWNGRADE</t>
  </si>
  <si>
    <t xml:space="preserve">信用調降</t>
  </si>
  <si>
    <t xml:space="preserve">ENVIRONMENTAL_INCIDENT</t>
  </si>
  <si>
    <t xml:space="preserve">重大環境事故</t>
  </si>
  <si>
    <t xml:space="preserve">高管不當行為</t>
  </si>
  <si>
    <t xml:space="preserve">FDA_WARNING</t>
  </si>
  <si>
    <r>
      <rPr>
        <sz val="10"/>
        <rFont val="Arial"/>
        <family val="0"/>
        <charset val="1"/>
      </rPr>
      <t xml:space="preserve">FDA</t>
    </r>
    <r>
      <rPr>
        <sz val="10"/>
        <rFont val="Noto Sans CJK SC"/>
        <family val="2"/>
      </rPr>
      <t xml:space="preserve">警告</t>
    </r>
  </si>
  <si>
    <t xml:space="preserve">GUIDANCE_WITHDRAWN</t>
  </si>
  <si>
    <t xml:space="preserve">撤回財測</t>
  </si>
  <si>
    <t xml:space="preserve">INSIDER_TRADING</t>
  </si>
  <si>
    <t xml:space="preserve">內線交易</t>
  </si>
  <si>
    <t xml:space="preserve">重大訴訟</t>
  </si>
  <si>
    <t xml:space="preserve">REGULATORY_INVESTIGATION</t>
  </si>
  <si>
    <t xml:space="preserve">監管調查</t>
  </si>
  <si>
    <t xml:space="preserve">監管裁罰</t>
  </si>
  <si>
    <t xml:space="preserve">RESTATEMENT</t>
  </si>
  <si>
    <t xml:space="preserve">重編財報</t>
  </si>
  <si>
    <t xml:space="preserve">SANCTION</t>
  </si>
  <si>
    <t xml:space="preserve">制裁</t>
  </si>
  <si>
    <t xml:space="preserve">CDS_SPREAD_WIDENING</t>
  </si>
  <si>
    <r>
      <rPr>
        <sz val="10"/>
        <rFont val="Arial"/>
        <family val="0"/>
        <charset val="1"/>
      </rPr>
      <t xml:space="preserve">CDS</t>
    </r>
    <r>
      <rPr>
        <sz val="10"/>
        <rFont val="Noto Sans CJK SC"/>
        <family val="2"/>
      </rPr>
      <t xml:space="preserve">利差擴大／信用風險升高</t>
    </r>
  </si>
  <si>
    <t xml:space="preserve">CEO_DEPARTURE</t>
  </si>
  <si>
    <r>
      <rPr>
        <sz val="10"/>
        <rFont val="Arial"/>
        <family val="0"/>
        <charset val="1"/>
      </rPr>
      <t xml:space="preserve">CEO</t>
    </r>
    <r>
      <rPr>
        <sz val="10"/>
        <rFont val="Noto Sans CJK SC"/>
        <family val="2"/>
      </rPr>
      <t xml:space="preserve">異動</t>
    </r>
  </si>
  <si>
    <t xml:space="preserve">CFO_DEPARTURE</t>
  </si>
  <si>
    <r>
      <rPr>
        <sz val="10"/>
        <rFont val="Arial"/>
        <family val="0"/>
        <charset val="1"/>
      </rPr>
      <t xml:space="preserve">CFO</t>
    </r>
    <r>
      <rPr>
        <sz val="10"/>
        <rFont val="Noto Sans CJK SC"/>
        <family val="2"/>
      </rPr>
      <t xml:space="preserve">異動</t>
    </r>
  </si>
  <si>
    <t xml:space="preserve">資安攻擊</t>
  </si>
  <si>
    <t xml:space="preserve">資料外洩</t>
  </si>
  <si>
    <t xml:space="preserve">財報不如預期</t>
  </si>
  <si>
    <t xml:space="preserve">財測下修</t>
  </si>
  <si>
    <t xml:space="preserve">EXPORT_RESTRICTION</t>
  </si>
  <si>
    <t xml:space="preserve">出口管制</t>
  </si>
  <si>
    <t xml:space="preserve">工廠停工</t>
  </si>
  <si>
    <t xml:space="preserve">MAJOR_CUSTOMER_LOSS</t>
  </si>
  <si>
    <t xml:space="preserve">重大客戶流失</t>
  </si>
  <si>
    <t xml:space="preserve">營運惡化</t>
  </si>
  <si>
    <t xml:space="preserve">PATENT_LITIGATION</t>
  </si>
  <si>
    <t xml:space="preserve">專利訴訟</t>
  </si>
  <si>
    <t xml:space="preserve">重大產品瑕疵</t>
  </si>
  <si>
    <t xml:space="preserve">PRODUCT_RECALL</t>
  </si>
  <si>
    <t xml:space="preserve">產品召回</t>
  </si>
  <si>
    <t xml:space="preserve">SHORT_SELLER_REPORT</t>
  </si>
  <si>
    <t xml:space="preserve">放空機構報告</t>
  </si>
  <si>
    <t xml:space="preserve">SUPPLY_CHAIN_DISRUPTION</t>
  </si>
  <si>
    <t xml:space="preserve">供應鏈中斷</t>
  </si>
  <si>
    <t xml:space="preserve">TRADE_RESTRICTION</t>
  </si>
  <si>
    <t xml:space="preserve">貿易限制</t>
  </si>
  <si>
    <t xml:space="preserve">裁員或人力縮減</t>
  </si>
  <si>
    <t xml:space="preserve">分析師降評</t>
  </si>
  <si>
    <t xml:space="preserve">BOARD_RESTRUCTURE</t>
  </si>
  <si>
    <t xml:space="preserve">董事會重大改組</t>
  </si>
  <si>
    <t xml:space="preserve">PRIVACY_INCIDENT</t>
  </si>
  <si>
    <t xml:space="preserve">隱私事件</t>
  </si>
  <si>
    <t xml:space="preserve">生產延遲</t>
  </si>
  <si>
    <t xml:space="preserve">PRODUCT_OR_SERVICE_DISCONTINUATION</t>
  </si>
  <si>
    <t xml:space="preserve">產品或服務終止</t>
  </si>
  <si>
    <t xml:space="preserve">TARIFF</t>
  </si>
  <si>
    <t xml:space="preserve">關稅</t>
  </si>
  <si>
    <t xml:space="preserve">NATURAL_DISASTER</t>
  </si>
  <si>
    <t xml:space="preserve">天災</t>
  </si>
  <si>
    <t xml:space="preserve">股價下跌</t>
  </si>
  <si>
    <t xml:space="preserve">SECTOR_MOVE</t>
  </si>
  <si>
    <t xml:space="preserve">產業下跌</t>
  </si>
  <si>
    <t xml:space="preserve">VALUATION_CONCERN</t>
  </si>
  <si>
    <t xml:space="preserve">估值疑慮</t>
  </si>
  <si>
    <t xml:space="preserve">GENERAL_INFORMATION</t>
  </si>
  <si>
    <t xml:space="preserve">一般公司更新</t>
  </si>
  <si>
    <t xml:space="preserve">NON_CORE_SOURCE</t>
  </si>
  <si>
    <t xml:space="preserve">非主要公司網站</t>
  </si>
  <si>
    <t xml:space="preserve">NOT_RELEVANT</t>
  </si>
  <si>
    <t xml:space="preserve">無關新聞事件</t>
  </si>
  <si>
    <t xml:space="preserve">UNKNOWN</t>
  </si>
  <si>
    <t xml:space="preserve">待人工覆核</t>
  </si>
  <si>
    <r>
      <rPr>
        <i val="true"/>
        <sz val="9"/>
        <rFont val="Noto Sans CJK SC"/>
        <family val="2"/>
      </rPr>
      <t xml:space="preserve">來源：</t>
    </r>
    <r>
      <rPr>
        <i val="true"/>
        <sz val="9"/>
        <rFont val="Arial"/>
        <family val="0"/>
        <charset val="1"/>
      </rPr>
      <t xml:space="preserve">negative-news </t>
    </r>
    <r>
      <rPr>
        <i val="true"/>
        <sz val="9"/>
        <rFont val="Noto Sans CJK SC"/>
        <family val="2"/>
      </rPr>
      <t xml:space="preserve">的 </t>
    </r>
    <r>
      <rPr>
        <i val="true"/>
        <sz val="9"/>
        <rFont val="Arial"/>
        <family val="0"/>
        <charset val="1"/>
      </rPr>
      <t xml:space="preserve">Parameter_Event.xlsx</t>
    </r>
    <r>
      <rPr>
        <i val="true"/>
        <sz val="9"/>
        <rFont val="Noto Sans CJK SC"/>
        <family val="2"/>
      </rPr>
      <t xml:space="preserve">（</t>
    </r>
    <r>
      <rPr>
        <i val="true"/>
        <sz val="9"/>
        <rFont val="Arial"/>
        <family val="0"/>
        <charset val="1"/>
      </rPr>
      <t xml:space="preserve">Event </t>
    </r>
    <r>
      <rPr>
        <i val="true"/>
        <sz val="9"/>
        <rFont val="Noto Sans CJK SC"/>
        <family val="2"/>
      </rPr>
      <t xml:space="preserve">工作表），</t>
    </r>
    <r>
      <rPr>
        <i val="true"/>
        <sz val="9"/>
        <rFont val="Arial"/>
        <family val="0"/>
        <charset val="1"/>
      </rPr>
      <t xml:space="preserve">2026-10-26 </t>
    </r>
    <r>
      <rPr>
        <i val="true"/>
        <sz val="9"/>
        <rFont val="Noto Sans CJK SC"/>
        <family val="2"/>
      </rPr>
      <t xml:space="preserve">讀取。</t>
    </r>
  </si>
</sst>
</file>

<file path=xl/styles.xml><?xml version="1.0" encoding="utf-8"?>
<styleSheet xmlns="http://schemas.openxmlformats.org/spreadsheetml/2006/main">
  <numFmts count="3">
    <numFmt numFmtId="164" formatCode="General"/>
    <numFmt numFmtId="165" formatCode="0.000"/>
    <numFmt numFmtId="166" formatCode="General"/>
  </numFmts>
  <fonts count="17">
    <font>
      <sz val="11"/>
      <color theme="1"/>
      <name val="Calibri"/>
      <family val="2"/>
      <charset val="1"/>
    </font>
    <font>
      <sz val="10"/>
      <name val="Arial"/>
      <family val="0"/>
    </font>
    <font>
      <sz val="10"/>
      <name val="Arial"/>
      <family val="0"/>
    </font>
    <font>
      <sz val="10"/>
      <name val="Arial"/>
      <family val="0"/>
    </font>
    <font>
      <b val="true"/>
      <sz val="12"/>
      <name val="Noto Sans CJK SC"/>
      <family val="2"/>
    </font>
    <font>
      <b val="true"/>
      <sz val="12"/>
      <name val="Arial"/>
      <family val="0"/>
      <charset val="1"/>
    </font>
    <font>
      <sz val="10"/>
      <name val="Noto Sans CJK SC"/>
      <family val="2"/>
    </font>
    <font>
      <sz val="10"/>
      <name val="Arial"/>
      <family val="0"/>
      <charset val="1"/>
    </font>
    <font>
      <b val="true"/>
      <sz val="10"/>
      <name val="Noto Sans CJK SC"/>
      <family val="2"/>
    </font>
    <font>
      <b val="true"/>
      <sz val="10"/>
      <color rgb="FFFFFFFF"/>
      <name val="Noto Sans CJK SC"/>
      <family val="2"/>
    </font>
    <font>
      <b val="true"/>
      <sz val="10"/>
      <color rgb="FFFFFFFF"/>
      <name val="Arial"/>
      <family val="0"/>
      <charset val="1"/>
    </font>
    <font>
      <u val="single"/>
      <sz val="10"/>
      <color rgb="FF0563C1"/>
      <name val="Arial"/>
      <family val="0"/>
      <charset val="1"/>
    </font>
    <font>
      <u val="single"/>
      <sz val="10"/>
      <color rgb="FF0563C1"/>
      <name val="Noto Sans CJK SC"/>
      <family val="2"/>
    </font>
    <font>
      <b val="true"/>
      <sz val="11"/>
      <color rgb="FFFFFFFF"/>
      <name val="Arial"/>
      <family val="0"/>
      <charset val="1"/>
    </font>
    <font>
      <b val="true"/>
      <sz val="11"/>
      <color rgb="FFFFFFFF"/>
      <name val="Noto Sans CJK SC"/>
      <family val="2"/>
    </font>
    <font>
      <i val="true"/>
      <sz val="9"/>
      <name val="Noto Sans CJK SC"/>
      <family val="2"/>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BF8F00"/>
        <bgColor rgb="FF808000"/>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C00000"/>
          <bgColor rgb="FF000000"/>
        </patternFill>
      </fill>
    </dxf>
    <dxf>
      <fill>
        <patternFill patternType="solid">
          <fgColor rgb="FFBF8F00"/>
          <bgColor rgb="FF000000"/>
        </patternFill>
      </fill>
    </dxf>
    <dxf>
      <fill>
        <patternFill patternType="solid">
          <fgColor rgb="FFFFFF00"/>
          <bgColor rgb="FF000000"/>
        </patternFill>
      </fill>
    </dxf>
    <dxf>
      <fill>
        <patternFill patternType="solid">
          <fgColor rgb="FFA6A6A6"/>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FEB9C"/>
          <bgColor rgb="FF000000"/>
        </patternFill>
      </fill>
    </dxf>
    <dxf>
      <fill>
        <patternFill>
          <bgColor rgb="FFFFC7CE"/>
        </patternFill>
      </fill>
    </dxf>
    <dxf>
      <fill>
        <patternFill>
          <bgColor rgb="FFF8CBAD"/>
        </patternFill>
      </fill>
    </dxf>
    <dxf>
      <fill>
        <patternFill>
          <bgColor rgb="FFFFEB9C"/>
        </patternFill>
      </fill>
    </dxf>
    <dxf>
      <fill>
        <patternFill>
          <bgColor rgb="FFDDEBF7"/>
        </patternFill>
      </fill>
    </dxf>
    <dxf>
      <fill>
        <patternFill>
          <bgColor rgb="FFEDEDED"/>
        </patternFill>
      </fill>
    </dxf>
    <dxf>
      <fill>
        <patternFill>
          <bgColor rgb="FFA6A6A6"/>
        </patternFill>
      </fill>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DEBF7"/>
      <rgbColor rgb="FF660066"/>
      <rgbColor rgb="FFFF8080"/>
      <rgbColor rgb="FF0563C1"/>
      <rgbColor rgb="FFFFC7CE"/>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8CBAD"/>
      <rgbColor rgb="FF3366FF"/>
      <rgbColor rgb="FF33CCCC"/>
      <rgbColor rgb="FF99CC00"/>
      <rgbColor rgb="FFFFCC00"/>
      <rgbColor rgb="FFBF8F00"/>
      <rgbColor rgb="FFFF6600"/>
      <rgbColor rgb="FF66669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news.google.com/rss/articles/CBMilwFBVV95cUxNak8wTV9oZFI5VDNqS0xTdWlSWThYQk9tZ180aExLWHlYWGhrcWY3TGFiZ0hVb1JOV1BpbXlkcEFFbWdjajV0ZmJtRGtOc2ZCYS1rLUtNTGtJZExUZndlS0pEZkhyaDBGeVo4SncwYU1GQkJYU1YwQnY1ZmdsU1I2ZGcwMDJsN1lhVFlXMTdfNFB0MXc4cGlr?oc=5" TargetMode="External"/><Relationship Id="rId2" Type="http://schemas.openxmlformats.org/officeDocument/2006/relationships/hyperlink" Target="https://news.google.com/rss/articles/CBMi3wFBVV95cUxQY3JoeExQY0Z1UTlMVVJDeWJDZGhNMnJ4cE9Nd2s4c08zLXE5aUw3Nnk4YWVlRkdYTVNTRWF4QU95S25QdmNJaE9VMzBKN1lEX2FrT1NobVFJeVZuekg1MmZMOE5aaU9mdnJZTDZZaVBsNVVnYWpjbm10eVk5Sl9Fb0Q5RUZrVkFQMjVYa1I3RVFsRS1BdHZRaGQ2d3puY0" TargetMode="External"/><Relationship Id="rId3" Type="http://schemas.openxmlformats.org/officeDocument/2006/relationships/hyperlink" Target="https://news.google.com/rss/articles/CBMi3wJBVV95cUxNV0NlSGZXeVY5bUR4TlF4YWFVQmxBMnZFMlJpM1VBU3JGWXp5RGh0QWRjN3JRQ2xwOGR3WnFBUGZVclVqU083MkZGSEhvU2o4NzBoRGNQLTNLOHgtd2V1bmN0cUt1NXBOQmR0LVlaRVlzcEZObE9tMGttcGF1NW44ajktcEVvbTdaNGUyQzRhSG5WTl9HNTBZR0pWQWFjRm" TargetMode="External"/><Relationship Id="rId4" Type="http://schemas.openxmlformats.org/officeDocument/2006/relationships/hyperlink" Target="https://news.google.com/rss/articles/CBMi3wJBVV95cUxNV0NlSGZXeVY5bUR4TlF4YWFVQmxBMnZFMlJpM1VBU3JGWXp5RGh0QWRjN3JRQ2xwOGR3WnFBUGZVclVqU083MkZGSEhvU2o4NzBoRGNQLTNLOHgtd2V1bmN0cUt1NXBOQmR0LVlaRVlzcEZObE9tMGttcGF1NW44ajktcEVvbTdaNGUyQzRhSG5WTl9HNTBZR0pWQWFjRm" TargetMode="External"/><Relationship Id="rId5" Type="http://schemas.openxmlformats.org/officeDocument/2006/relationships/hyperlink" Target="https://news.google.com/rss/articles/CBMikgFBVV95cUxNNEIzQlNfemV4NWI4cGNWRXo1V0RCNWItS3EwYkNudHJvLW8wbVhQSHo3UmRGek94aFR3SHFjREJwWDdnZ0w3eTNlS2hIbUdKa1FHWUZYQmNKT1hjSFpmYmZTWHozN1g3cUxzSzY5dXFMX19VNm54SVp1ckJRUkcxV3BzLTE5MkNOVFZQMTIzTVB2QQ?oc=5" TargetMode="External"/><Relationship Id="rId6" Type="http://schemas.openxmlformats.org/officeDocument/2006/relationships/hyperlink" Target="https://news.google.com/rss/articles/CBMiV0FVX3lxTE85aHFjeGc4a1c5b21KOW9lbDMxVzFDTE5TVDdhOWc4YkY3Z0lSWmtITHlKX1BiVlhIWGlYZnFkT1pzdjltSW16WnoyS2taeFl6bzk1UmZGOA?oc=5" TargetMode="External"/><Relationship Id="rId7" Type="http://schemas.openxmlformats.org/officeDocument/2006/relationships/hyperlink" Target="https://news.google.com/rss/articles/CBMivwFBVV95cUxPU081eWxtaHdZSHlDNEV0Q0xMeEJoTE9UREFQS2YzVHk1ZnBCQ09XdWVhTU1aRzFKN3BHU1pGYm9LTUNhenZSbnVKbVU2X1BiSjRKNm5FQjBCcVB3ZHYtOTluTDlGN05SQTVsVXFOV3JPTTluQmZ4YWo5VGVpazU3cDR5RE55UWdvdG54MXpka1JFOXhxZzBpdGpqNnRjYX" TargetMode="External"/><Relationship Id="rId8" Type="http://schemas.openxmlformats.org/officeDocument/2006/relationships/hyperlink" Target="https://news.google.com/rss/articles/CBMiqgFBVV95cUxNMHFNbG9QZFJIajAxZVZVRWJ0d2FqQWJ2TTNkaURIWlJmVDAteFF0UE03MFJ6ZV90VGMySU1JSDY0VTd5TC1JSkdSTXN3NW1oUGhGeFNEMlhrWDBNamJwRTA4UldaVXNpUy1hUnlBOENwbzVZYlJnc3ozM29IZTQzZDhqQ05xMFczZEdjSVh3eXVPTGtkUThRQzJSU3JGeF" TargetMode="External"/><Relationship Id="rId9" Type="http://schemas.openxmlformats.org/officeDocument/2006/relationships/hyperlink" Target="https://news.google.com/rss/articles/CBMikgFBVV95cUxQODF1QWw2NmVEWHo1M0E4SVh6ak94Sk5GMGpUZF9IX2xKeWFxV2lqOTlob0pXMzliOXdIQWItZ2ZJemdvV0FUbFJYR1RIaTNSREVhYmhySTZidU4xdWcwTWZBTDVzdFlBLXZhY1RpYlhjSzZDOTZYZkphQkNXVXZPSGFaNl8xYkkxSEVOZkJkeHQtdw?oc=5" TargetMode="External"/><Relationship Id="rId10" Type="http://schemas.openxmlformats.org/officeDocument/2006/relationships/hyperlink" Target="https://news.google.com/rss/articles/CBMipAFBVV95cUxPQ1Vsemtwd2pBZ1NZYzNWbThadV93WDVJQWRLcVh0OFJmRWR2b1VJT2I5MklOTHhWcmtVX2JjenZGcTlVTTM0YWJjOWpUZUV3UlJtTG91RzQ2bkhDb1g4c1IzVWRGXzRCZ3ZmQWdlWkxnV2NxNkVmbmREVkxhN3FQOTdmWUY4b0tDM3FBSDRfd0hFcTVFTkVRdXRtbkFDQm" TargetMode="External"/><Relationship Id="rId11" Type="http://schemas.openxmlformats.org/officeDocument/2006/relationships/hyperlink" Target="https://news.google.com/rss/articles/CBMixAFBVV95cUxPY2x3WVNycWJ3V1Q5T1UwNkt1T0w0QUo1WEZBR0xYanhKS05uSVB0azZQa0JnY1U2TjJpVGNtc284aW9RLTh3YWxQWkFVbm5vY0xjaXFjbWNDSTJFMVVOSFdSbTVGcjA3MG9GYUVFZDIwcHlfS1Ayb2ZVOVdLekp4Ty1KeHk0Q0dwOXV4cktwQUNxZHRsSGVtaDB3Sy1mQV" TargetMode="External"/><Relationship Id="rId12" Type="http://schemas.openxmlformats.org/officeDocument/2006/relationships/hyperlink" Target="https://news.google.com/rss/articles/CBMiowFBVV95cUxOdmVldFNTdi1MVmJjTFNNN2ZxdGEzMUdHQTgzRVYzeFFUTW9lclA3U0xJbzBZUk1tWHQ2X1o4UjROY3pfVzlkeTVYNjBiSjZQVUVEM2RKRk9GZUN1VUFNT2p5VDIwelk2Q3pnY1BTelZzTDZyaGZZT0ZVVHJGdmZBTHdhVG1pZ251M3RocEpsSllyRDE0OEt4VzFJZU9Vbj" TargetMode="External"/><Relationship Id="rId13" Type="http://schemas.openxmlformats.org/officeDocument/2006/relationships/hyperlink" Target="https://news.google.com/rss/articles/CBMiigFBVV95cUxONkhkc0ZJT0pPdDVTTDBHaHUxU0d0ZG5FUlY0UWc1OU82RUhCUTBsUVF4OGFBOHM5WVEyZl9TbThac2E0RW5JTEdudU41c1BLOFhOTVd2VXVaSER1U0ZaWUhBVXBoZWZGMW9ONnk0Rm9SaVlWRElFV1hjVktzZzdDWUVwZkdJY285YlE?oc=5" TargetMode="External"/><Relationship Id="rId14" Type="http://schemas.openxmlformats.org/officeDocument/2006/relationships/hyperlink" Target="https://news.google.com/rss/articles/CBMiygFBVV95cUxQRGtjQktqUDJsWFl5elc3YXpmVXZhZmhiN0hHUnB1emMxZExYaENfQmhmOFNaRFRjWnFfSGNsSkQ0aHFUeFM5T2hicE5OSGIyTEo2QmRUd1NmRTFuemNtMzZIWGVXRDhMelU5cndja2ROcThDNU5PR0Y4NTByaUpicmVISHFUdTFqbjVzaFNib3pxbkFnRFVoZkxUeDZfSk" TargetMode="External"/><Relationship Id="rId15" Type="http://schemas.openxmlformats.org/officeDocument/2006/relationships/hyperlink" Target="https://news.google.com/rss/articles/CBMiugFBVV95cUxPbGZ1Y0F6UWZ0UDhvYUp3TnZubjRhUUhFbi15TFB3alRuX0JVQ3BmbXA2YkdNUERzVjZLVk1Ld3BnWFlnNkU5RHdrMmQxTjE5OF9TZmlzWGZ6U2U5UllZeGxLZ0o2WUVTWmk4blJVN3hxSWhQbHkxVUxlLVF0bW82MzYzcEpRQ0RlZER0dEJDVXhRbGpZclZ2b0pnOVY0UG" TargetMode="External"/><Relationship Id="rId16" Type="http://schemas.openxmlformats.org/officeDocument/2006/relationships/hyperlink" Target="https://news.google.com/rss/articles/CBMiWEFVX3lxTE9BelEwVkNLLVIxc21wM0RRMXFDdHZHRmU3Qjdkcm91b2VPOFF1YXFYZ2ptSE1vSERkZWVPOFAwWWNKeGllWWFLdUk1NUx0M2JYQnR2LUk2dVU?oc=5" TargetMode="External"/><Relationship Id="rId17" Type="http://schemas.openxmlformats.org/officeDocument/2006/relationships/hyperlink" Target="https://news.google.com/rss/articles/CBMi0AFBVV95cUxOSmJkQjNLWXBCbFUwQWZyYjZ0T0h0dWhIbVVJYUp6a0NPc3lOeUdMOHRMSEU3Wmk5UjNCQlJGZHZqazYzazY5dE1RdGtCNWhZUkhyYTdZbkFveVIxQXFIeVpvWnFyalpFc29pMkFPVFJQeVkyNmJidXVDa3JLYV9oRVhEckhJczUydWpwZ1pacE5jaTlIQWVLSE4yQjZ6dD" TargetMode="External"/><Relationship Id="rId18" Type="http://schemas.openxmlformats.org/officeDocument/2006/relationships/hyperlink" Target="https://news.google.com/rss/articles/CBMivgJBVV95cUxPZGVRYnM0Z0ZvVEltWUZmOFBBcjJmalE0U0VlcVU4dkZlZkwyTzFNOU1YN3k4cHVUR1Jselh4OWpSdUM2cnBIaFNfX1dfWjdXYTd1XzNpYVEycThESkJBU1BQUTBxXzQycXBTRnZBSDc1VFBoS2NTY01sWTVHdFZKQURFc2dIQ0VpbnRHbjZsVThkbzlhczBpSnJ1WFFGMW" TargetMode="External"/><Relationship Id="rId19" Type="http://schemas.openxmlformats.org/officeDocument/2006/relationships/hyperlink" Target="https://news.google.com/rss/articles/CBMi5gFBVV95cUxNRkxJX1RRS2wwQXBxSUItOXd1ZTM4NndWZkZsakZDYW9HUnpoMzg1OFlkc1pQaXFyc3NfR1VHamJhbTB1aXQweTRFZk1zWEZNY29hMVU4X3dydDdWOHhtM3ExRmJmNUhaa0pwZkRqUE1rMlItdWY1WHlOd3dyR0lsNE0wUDZ1Mmd3Z1FyY0UxLVFxTTRXMWNmN2JOcFlkb1" TargetMode="External"/><Relationship Id="rId20" Type="http://schemas.openxmlformats.org/officeDocument/2006/relationships/hyperlink" Target="https://news.google.com/rss/articles/CBMiuAFBVV95cUxObXpaQWw2OENTQUhEa2k0UU1sSkJ4QU1TZFplLWdlYXdJdk96RlhqRGNYemk4bjFXZFFfbXFiRkVDVEdUTGF2Z01ZcVRmcVcyNUk0VkdIeGhld3FsZHVSclNJblZnSDZ2cWoyYzBmT2NiVDNmaVFfT1JIX0QtZU80Qi1uOXhwcUdyYVhrTTQxa1JjTDJtN3NIR2hsQkZacH" TargetMode="External"/><Relationship Id="rId21" Type="http://schemas.openxmlformats.org/officeDocument/2006/relationships/hyperlink" Target="https://news.google.com/rss/articles/CBMigwFBVV95cUxQNS1QTjVZeHY3S2pOOGhOY3huWnFRb1F2SXh4c0tfVlhKbDd6eFFrZmVXQmR5cGFlM1g1cjZQWHQ4V3ZYUTZQNkZVTlkzZkRpcGNxaFFSSHl1RUdMQVZQVHc1Tm1peEpCc0Myc1dHdWUzeDZUMWFQMlJkbXNLMXdfdUZFSQ?oc=5" TargetMode="External"/><Relationship Id="rId22" Type="http://schemas.openxmlformats.org/officeDocument/2006/relationships/hyperlink" Target="https://news.google.com/rss/articles/CBMi_wFBVV95cUxNQkFNRDIxcFJzUzBGZVhKRjdiWkM2Qi1UZGxob19KdnBkMThhZzlJbHJ6VGI4c3Q4bmxhZ1p1NURqYnByYlNBbElzeVVjaUpEck5xRlRSVlltNnNEVkltTzBMcW9rcU53OTkweURRcGlxdjBHN3F0Y2xvTkpyZXVMT0VmbXVwOFlacUwtUERBdmNEeGx1QjNha0Z0aXNIen" TargetMode="External"/><Relationship Id="rId23" Type="http://schemas.openxmlformats.org/officeDocument/2006/relationships/hyperlink" Target="https://news.google.com/rss/articles/CBMirAFBVV95cUxQUDcwMnphWWE5YWxTc0VBeG1MaElqMUhYYUZ4LURIc3QwajNRQTUxRUtEdEp1UkdFM0ViSVVranFnLVVhWEN6UzlsVlR0Q21mTEltLWwyRnZHNlp2M3RobDVES202N1JMcUJHa0lsOVd2amxVdHdxM1NxRzFxV2N3bGtheTRRbmZDR3Y4MU5HdUhnMDlGLXFSNmo1OHZDNU" TargetMode="External"/><Relationship Id="rId24" Type="http://schemas.openxmlformats.org/officeDocument/2006/relationships/hyperlink" Target="https://news.google.com/rss/articles/CBMimwFBVV95cUxPVEFpeERGQWFtSVp3bE5yMTJVZ2Vld3NyRXJ4Q19uckViWGZPWVlfbnEzcWZkVVFlQ1ZrVi1MaVFRTks3YWhoMG9hNFdZM3lwOFhVcDdySjlaMERoRWVvRUZZU1lHT25FQXdyVHNGQUZ2YjJWXzZ6OVc4ckRyRnotclNEZ20ySm1LU28tTjFkeDk5YlRpdzd6T2tkdw?oc=" TargetMode="External"/><Relationship Id="rId25" Type="http://schemas.openxmlformats.org/officeDocument/2006/relationships/hyperlink" Target="https://news.google.com/rss/articles/CBMiggFBVV95cUxQSU1YcWlBbXE4Ujc2SWF1OEJpbzNZb19NcnBSWTlGQ3c4eGZmTGhPWWRQTGRfR2hlbUJyQWtYejE0VjhCcjlYT19xWVVpUm1FYW5sWVBHM21yTENPcl9NQnl5QzJZYmN3U2lkbmVVZFU4djgtRmIwU2lsa2tKSlpQNnZn?oc=5" TargetMode="External"/><Relationship Id="rId26" Type="http://schemas.openxmlformats.org/officeDocument/2006/relationships/hyperlink" Target="https://news.google.com/rss/articles/CBMilwFBVV95cUxPSFZNYkhmVTFhVG8wWmIza1dlbWlScXotLThKdV9xQmhYQUJmTjFOd1BhUjFlSEcweWhtaFNLd0E2ZTk2ZnQxclMtSng2ckFiVnhXeW00UTlZbmF1cExFeGoyNGJ2ZVpYRjJYMUg4Wk1GVHJJUlAwOGw3RU9xY2tvYlVNX0Q0VUp3bUg4bC1xZEtGV0hjLUxj?oc=5" TargetMode="External"/><Relationship Id="rId27" Type="http://schemas.openxmlformats.org/officeDocument/2006/relationships/hyperlink" Target="https://news.google.com/rss/articles/CBMi0wFBVV95cUxQM0VMMDA4dnNUMkhnWk9iZmF1THNla01KODB3Q21aeDNkdGJuaC02ZGsySFFPY3FzVllPSzFWNDE4bGprNXBqblowNWkwa3lGamQ1MmNjQUt2ajIwb3dKaDlhWG1xNEFxYmJsb2s2dE03aENXTFRWSlF3X0tYazB1a29UV1dOcUdteVdVV1RCMVA5VXNUOEhObFpFMWZRcG" TargetMode="External"/><Relationship Id="rId28" Type="http://schemas.openxmlformats.org/officeDocument/2006/relationships/hyperlink" Target="https://news.google.com/rss/articles/CBMimgFBVV95cUxQSE1NejdSdC1wcUozN1FxaXY4MVI4S0VZMHNRUEl0Qm0yRjNLTnpuZEdEUnZsT3hkXzRicmVDQkNuRll4TVhOdUYzYW1NWGdTUEhsWG9HUGRLU3RMR1Fucjh6QkJzam9QV2ZUeVoxSDlyeVFidUxxQlVjd2l5RVBtd2hUOEd1d0N0VWVad2lPMjJkSkZiYnlHdjBR?oc=5" TargetMode="External"/><Relationship Id="rId29" Type="http://schemas.openxmlformats.org/officeDocument/2006/relationships/hyperlink" Target="https://news.google.com/rss/articles/CBMi0gFBVV95cUxQbzgzd2xYVG5OVnNyMzB3RHlCY1lRbGRqM3VLR2RlQ3Zpd2lHRUo4NkViWjVoV0xhNVJaSFdwOVp4ZTNCaGpOMkE4WV94LXFqa0pvNXhoZGswT0lJdzM1S3M4ajFCSndOdk5oZHV4MV9fTEg4Mm0taDZKcmxleS1TWktON2lQbTY4NTNKOGdKczc2aVI5ZnRCZXh3ZjUxcE" TargetMode="External"/><Relationship Id="rId30" Type="http://schemas.openxmlformats.org/officeDocument/2006/relationships/hyperlink" Target="https://news.google.com/rss/articles/CBMikAFBVV95cUxQeDhKb0thYUtLelNaRlBOMUx4aUN2czRhbGdaVHFrM241V09idFZVZWNFNUtOcWNCbWt5eEllQ2daeHhpQ2ZMS213SVBRMklHeVRYVXNiQzF0cVNRTTNjWHFEcExKbDZiWmhFdFFUYTRpTDA4M1RBWkhkTFp0akJZaDFvV2hFNDBidzNLcUFKc18?oc=5" TargetMode="External"/><Relationship Id="rId31" Type="http://schemas.openxmlformats.org/officeDocument/2006/relationships/hyperlink" Target="https://news.google.com/rss/articles/CBMiwwFBVV95cUxPdC16TmFKNmo4M2pXb2Z6Mzl2enkyU3hCU3BlMjhwQ3p4RWlobTJRNDBSUTVYY0Vfbk55M1ZiWk9wX21qOFc0bzF6MGt2b3dWTHAyYklvMFcybmNhNXhsUUpPNjlYblV5WlFGMmpmWFdOQ18wZlJQcEU2Vmt5NFRtNVplNmRfU0dCcTJ3cDAwbFdLWUF4UXhXdFlZWU5GUn" TargetMode="External"/><Relationship Id="rId32" Type="http://schemas.openxmlformats.org/officeDocument/2006/relationships/hyperlink" Target="https://news.google.com/rss/articles/CBMiywFBVV95cUxQS1VfRWNXVklmMlMyeHhrNlRBNnZva1dlWnZvVUJnWDU0SWVKZGJDY0ZkTE5VcGRrYnVCTFRpX1BJXzBiN2ZLc1ZINC1VcE9TSlM4RTNVcldtWlAtQTZoakxEdXRhbDlCOTVrWEdNOEU1dF8tNjh3OEkyTmpWY1V4UXBHZ1FBVkwzUFVZZ2FVV2JYWW95LU1JT1pjc3pTWX" TargetMode="External"/><Relationship Id="rId33" Type="http://schemas.openxmlformats.org/officeDocument/2006/relationships/hyperlink" Target="https://news.google.com/rss/articles/CBMimwFBVV95cUxPU0ozSVFYUzI3NFVIRzJNT1pOOWdOMkhiRU50Um50X0xqdXdMNmtTUzZUUURXbjNodGpFM0kwLWk5SUkzV0ZUSF9iaWV6bGxKbXB5RGx5MGNXcEZiZ3VKMTZhUHpZcmhjOWR4RnVMcE4wVUhsRnY0SlB5N24zdnRSbVU3bEZ0eDRVZElCX2tEWDB6R3dTdktMOXhObw?oc=" TargetMode="External"/><Relationship Id="rId34" Type="http://schemas.openxmlformats.org/officeDocument/2006/relationships/hyperlink" Target="https://news.google.com/rss/articles/CBMif0FVX3lxTE9IOW5FRjhJaGlZZ2RiSXE0RXNnQWx4RlVhY0NLT3loOW9PTFNVNmJoeVBKSWY1Q2lhWkNtbEdjdkFNUllvckpmN3BZQWVOQnp1UHZoX3FWUEZOZG1Hekt6RVZDMUs2LXE0WlJtTHFGMWJGbVN0U2xiYTJ3Y0ZIZjg?oc=5" TargetMode="External"/><Relationship Id="rId35" Type="http://schemas.openxmlformats.org/officeDocument/2006/relationships/hyperlink" Target="https://news.google.com/rss/articles/CBMiqwFBVV95cUxPdmxWRTlENFY4TURYT2pxRk9PWEdvSE5vUmJmbnRVZWJ5elZCVXJYc3p2NmF3X24wV01HejA2ckRFeUJYdS1MYkpjRS1wc1N0ZlVOYXJtSjRnR18tcjNMekVGbjJQbE16UTdxRGNxSFZQWnRuU2ZKaDhuWk5UZXhyQXU0b0lnRERZbEZhaXZyTHduTFVLdkRHbFk2NEVuVG" TargetMode="External"/><Relationship Id="rId36" Type="http://schemas.openxmlformats.org/officeDocument/2006/relationships/hyperlink" Target="https://news.google.com/rss/articles/CBMiygFBVV95cUxQNmRpeTQ2RVpRb0lOODBJLXJDbGlyTGNuRTVwd3IxVG5qTlZubFlBY2NUcVRLTGoxNWtIVm13V0NCSlFQX2FlUHQyUmRsVE1sME1qU2ZEU3VxUFhCcE5XcEpXTWlxQkZXcDFQdTEwWm8xVFo3VW5BV3JmcUJ1M08tajM1M2owYVB5cWZDeldlZXowTHdmc3o2d2ItMTRWN0" TargetMode="External"/><Relationship Id="rId37" Type="http://schemas.openxmlformats.org/officeDocument/2006/relationships/hyperlink" Target="https://news.google.com/rss/articles/CBMi4gFBVV95cUxNOFZWUS1DMV9UbEo1SldGVjFfaEhMSzdITEl0Q2plbWpKQzZfR0RtM2ljQXBoZkNla3Q4d2xCQWVBdFNxSkFEa0FNVkNzZUw5T1F1U1ltNTdKa3hIbjVVOWpSX3FYNGdkWWdzUENDRG43dTh3OU1ONWZEOThXVG0xV1FyaDJJUnpEMC1GVlVIaTZpTmVxQ2FqZTg1WFowb0" TargetMode="External"/><Relationship Id="rId38" Type="http://schemas.openxmlformats.org/officeDocument/2006/relationships/hyperlink" Target="https://news.google.com/rss/articles/CBMiiAFBVV95cUxNRTBsUDU0cGVOcTJoclR6SWZleHZ4NGg1ZzhWY1RiQ2VPX3dQb1BucEFtNGt1UWFXYzRMYmpRX1ljT1JMeEl2Z0VKbTBIekNRQmFvYzFKN2JUMVVZUjg3VmY2bnB5b2FraDBEenRFd3lhaU0zZkpaT3V3QXdHMU9SX0tWRDZ0ekFJ?oc=5" TargetMode="External"/><Relationship Id="rId39" Type="http://schemas.openxmlformats.org/officeDocument/2006/relationships/hyperlink" Target="https://news.google.com/rss/articles/CBMiqAFBVV95cUxOVGhpRkNtZWFZcDlpQ0dyVnZhX3RQVkFucGh0TEpZazNJRG00eDA1eDZqUjBpQUJIbE00MFI1R0lzbEhCLWhuQzNIZ3dDckwwN1MtWUJMSEpOakFMMHRBaWNfTFFOYmR5MnQ0NGxsT2g1MW1xdXc0QTRKLWR3b3JQRGVqcXhSMXJxS3RFa1lKcENKN19JWmM3RmRsTVZrLV" TargetMode="External"/><Relationship Id="rId40" Type="http://schemas.openxmlformats.org/officeDocument/2006/relationships/hyperlink" Target="https://news.google.com/rss/articles/CBMiuAFBVV95cUxNZTZnajdMZG5BT2tfZnJYb3NSUUt0elJMOTFJVE5MWjVLeG10dUc1eEk3R2ZyUkROTHRxemJJekpGNnZuSk9qTWxGYU1YTUtUUjRwZ09aUk95V1JEYjFIX2Jrc1hYQVJ1VHAtTzJmVDV5QnlWMWY1Ykl4Z3Z6T29RWkZvYWN0WkYtdEpicGpoUjBGV3BiT0pQYlRNWFlNOG" TargetMode="External"/><Relationship Id="rId41" Type="http://schemas.openxmlformats.org/officeDocument/2006/relationships/hyperlink" Target="https://news.google.com/rss/articles/CBMiuAFBVV95cUxQc2Z2VS1HTGpjZW90N0Y4eWFRR1NDcFZhckt5T1RGNk5ieTVkX1pDbHlvR19Oa01hQUdzLVpCeE9BRVNUMHBkZEVHa1p1cFJTYkJtbUxrZjByRjZ5ZGNiNDJScEt2SzM3OE1uY3FtZWt2eHlodTM5ODRwbDNTQ0RnaW1jU0c3cFEybWlyaGxUUFRpcFB6dlhqVGRxSXB4YU" TargetMode="External"/><Relationship Id="rId42" Type="http://schemas.openxmlformats.org/officeDocument/2006/relationships/hyperlink" Target="https://news.google.com/rss/articles/CBMimgFBVV95cUxPaUN4SndycHVXSE92TDJia2xISlVnVW1ueHl1U3JYQWF3UmFTa2RxMUcydGh6a01DVWxEZGlxeGdVSk4wa01pVmFGSHJaVl9KVFVYRFR6OVktVVpWR1Mxc1hxVjB4blVHTl9iZTNYTnV5bC1tRE1NYTdkRVV3LUxJNmliUHpMRTRBZFMteTRWc0F1Z1hDVGdDSG5R?oc=5" TargetMode="External"/><Relationship Id="rId43" Type="http://schemas.openxmlformats.org/officeDocument/2006/relationships/hyperlink" Target="https://news.google.com/rss/articles/CBMiiwJBVV95cUxPMXRDRkpzTVBPQzZnczNqdnplYndQSUF2Y2lMVk5tS2R1ck0wNk4yQjVDbFNsOUJYSHJ0VUxiWTZWRjA0X2ZPLXd3RWxBeW94aktEWHJXYjlya2xzUWhfb1hfUTg0RmliaEUzXzVNWWNFbjRYSUxsdktHNnRQMDRrVzhKWFRySFh2TDYwbmh5YVdnWm5RZkljRzlSTUhmbV" TargetMode="External"/><Relationship Id="rId44" Type="http://schemas.openxmlformats.org/officeDocument/2006/relationships/hyperlink" Target="https://news.google.com/rss/articles/CBMiVEFVX3lxTFBwbXBGZTFHajJ4clV6UF96S3pETFBkZURnSWhpcjczWEtUR1N1SzFGamtxc2FyWm5BZWZsZ3JaMU1LdzE0NlB3WDYwcHh3ZDlqSk5VWQ?oc=5" TargetMode="External"/><Relationship Id="rId45" Type="http://schemas.openxmlformats.org/officeDocument/2006/relationships/hyperlink" Target="https://news.google.com/rss/articles/CBMingFBVV95cUxPYmtDMENPVldZS3ZQRmJoYTRDN191bUlEMjlrVy1ab1dUeUhsZXNOTmlPMTlYMnRyY0xoRnc2TnFscHBBbFpCYTk3SFFDcnZjcTNhR2FMdnRUa1ZfRHJtR0ZYNm45dU1PZjVDTHMzalhtUEJjNUdLTjkzbjVpYVItdzBfOEFsUk1sZHd6dTByelRUWktfRVdlbzFkb0ZGQQ" TargetMode="External"/><Relationship Id="rId46" Type="http://schemas.openxmlformats.org/officeDocument/2006/relationships/hyperlink" Target="https://news.google.com/rss/articles/CBMiugFBVV95cUxOOGFLbU5OS2tGUVh4a2F3bEl3a3l0ZlBfMi1ZZlJjdTZ2clBZeWlqMjEyQndmX0Nub1RFUi1LSE9PU3NKMC1tZ05lc0x4ZlVGeUtaeDVLNFpXeTZ1dlNidGh2dnoxcXNlSll1UXRJbEVseFdMbnAzT0RLeVdSa0k5cHlfaDRVUEZ0UjFJeTdWTGtOeUNDS21DbmxiRkU4UV" TargetMode="External"/><Relationship Id="rId47" Type="http://schemas.openxmlformats.org/officeDocument/2006/relationships/hyperlink" Target="https://news.google.com/rss/articles/CBMioAFBVV95cUxOX01kbUZEQm1UbE5OU3lWaXdaNzdCaTlhbVF4OURUN3BGMEtFTDhoS3NiSjVPMFQzM2c2NTRXZEgtU0xSUGtOS3Q1YWlyZWt2T0ppSzRIZWxHbE5Ic09ISUFCYm42SEtXYmtST0REUjduaWtCaDVib1o0dWozdktJaUJuODdEbm9aNGM5VGF1WkhHMlRlNmdabk1ILXN1Mn" TargetMode="External"/><Relationship Id="rId48" Type="http://schemas.openxmlformats.org/officeDocument/2006/relationships/hyperlink" Target="https://news.google.com/rss/articles/CBMisgFBVV95cUxPeTYwMXpJVFVUNGlRTm9iSnVRdlRiSlptV3BmYUxBMFVPZk1NR1FOVEwxT3VtdTFmdldiZUY5akRiYUZHV3hWY2NKaEpOcDZNWmdJLXZOdEZVdjhIVXRtMFc1cTllSDZZeFNZcTVFcTd4aFB2aFZEWm45SGlEMS15d1BRdnpJWnAxX2Noa1ZSRnRLVzJaQ0N5QXJ5Rl9Zbl" TargetMode="External"/><Relationship Id="rId49" Type="http://schemas.openxmlformats.org/officeDocument/2006/relationships/hyperlink" Target="https://news.google.com/rss/articles/CBMimgFBVV95cUxQZC1GUTZIYXFKZkJ0RDIwUXlEUi1wa2FxWUJlWS1KMzFCS0pKUnlIaTVSODlOZE5YMkxDMlEtU3NEVzUxWWhWQlhIWkk4QnpMcjluMHQ2TTdrWmVaRnBOUDE2azFoLW5odlB3XzZXT0RReVNSWHhrUXFuN0YyaV9DcDA2UWRsNDd3TThUSWIwZEhmbnN2TlV3RUp3?oc=5" TargetMode="External"/><Relationship Id="rId50" Type="http://schemas.openxmlformats.org/officeDocument/2006/relationships/hyperlink" Target="https://news.google.com/rss/articles/CBMikgFBVV95cUxOeTBtRkdCV0JmRVhRRElocWhzcy1QVnNWalVodjRkQTRBa29uVTJhaXc0cXBSTWFYQTluU05rZU54blRJVktmNURyUU1aWldQclZuRllZbzdfSnAyaGNiM3ZYb3VPb2QtdTNna0tvUDdxMDBBRmd0eTVaWDNhX28xWi1SRWd1SV82cjVYeUFxeE1kZw?oc=5" TargetMode="External"/><Relationship Id="rId51" Type="http://schemas.openxmlformats.org/officeDocument/2006/relationships/hyperlink" Target="https://news.google.com/rss/articles/CBMiuAFBVV95cUxOTnpCbFIxRUdZeWg2QW1NT1o5QmswUGQyLVJYNG41UXNwRDVwVGZ4RGZXdUU4ZnUxbTFRLVNBTjJWMDNxUG1iSVhEVF9TLVFNNVU4Y0FwbXRrUTczY29CWmdUMlhNWUR4M01aZU5neVU4emE4bmloM21vaUpSdXI2YXd0OXdTajE5Tmt6U1drTi13VXpjVE1aS2E4VWpnWU" TargetMode="External"/><Relationship Id="rId52" Type="http://schemas.openxmlformats.org/officeDocument/2006/relationships/hyperlink" Target="https://news.google.com/rss/articles/CBMilwFBVV95cUxPSmNsQURtb2JJQXdnbDZBS00tQy1JRVhiX0k4d3VhY1NYMDJxd1JmS3hwWjBvc2RIWTYyZnpyWXJyclB4YmwtM3FNMUVxUXVvWkZ1cGN2WFA3dTVQWVFlZTFWeGFKTFNXbDJHb2JhanNiREpXUkxzbWRQQ0hMYTdyY0h1X2tYZjFXWXVHTDI2TmtxMzZ2eXNZ?oc=5" TargetMode="External"/><Relationship Id="rId53" Type="http://schemas.openxmlformats.org/officeDocument/2006/relationships/hyperlink" Target="https://www.gelonghui.com/news/5330244" TargetMode="External"/><Relationship Id="rId54" Type="http://schemas.openxmlformats.org/officeDocument/2006/relationships/hyperlink" Target="https://news.google.com/rss/articles/CBMiigFBVV95cUxOV3p0YndLVnJCU0lVcHB3UmN4bHVyMDU2cEFEOG5SMDB6Y1lzNTItZ3F5N1ZxTkJyb0x0TDdZdXVWMHJoOVRhSWdZalZwRTZTS3RLNU5pTm9GaFF5YnFzYllzX0tkT0VRWmZsNDg3Znh4MzZaRFVMSW9UUlV0WTZESEhVVk9DTUtGYnc?oc=5" TargetMode="External"/><Relationship Id="rId55" Type="http://schemas.openxmlformats.org/officeDocument/2006/relationships/hyperlink" Target="https://news.google.com/rss/articles/CBMirAFBVV95cUxNV2F1bG1nUTl5UGJnTWVKVzZQeFZPUldDejlvbE5qVFEtNjBBSmRsR3k2TTZHdGVpNGVLeHR1SWtxX05BQWlYbWM1aWppYUdFY2NXRUppU25Ec1pEWDVpek13MVg5aHRfVlpVeVo0dVdHV0lONDA3a2FfSFduV0lER05wWkZkbzl1dG51NGdDRC1lRGVuTDFDNTJuekVQWE" TargetMode="External"/><Relationship Id="rId56" Type="http://schemas.openxmlformats.org/officeDocument/2006/relationships/hyperlink" Target="https://news.google.com/rss/articles/CBMiWkFVX3lxTE4zc1drRW91VVBOLXA5TndNTlMwLWZrVGZ6LXlvZDBxX19FQk9Xc2dEU2NGbEtTN295alpIal9sU0JqMHd5OGREanF5MGVmRUxlWjVDVzd2cjBwZw?oc=5" TargetMode="External"/><Relationship Id="rId57" Type="http://schemas.openxmlformats.org/officeDocument/2006/relationships/hyperlink" Target="https://news.google.com/rss/articles/CBMizAFBVV95cUxONW5fMkRiVkFmaXVvZEFqLW5Oa3N2ZzZFRHVOZzY3dE1neWlScWZFSUlKVTl3QXh4M1F6MHNvMnAwT0xXVGxrY0VvR0l4N2NKRnBidGJUYzRCbjFqRWhEQjl2TG5EcDUyRmlreWhUQUJqYjJ5c0NvZWdiaXpoWkVRMUlIVTlCRDBBWFA4Z3ZDVmZNQXV3Z0NBR1dSNmE2al" TargetMode="External"/><Relationship Id="rId58" Type="http://schemas.openxmlformats.org/officeDocument/2006/relationships/hyperlink" Target="https://news.google.com/rss/articles/CBMiogFBVV95cUxOMjRXVS02UWNQQmpJcWdZQTcwOFU5UU1wY3E0OWhtYUhrdDRHMGxJU0h2cFE4Ukx2SzVSNFE0SDZGTHhBX0Z6c1pCNjVsMVdsMWt2NHhzbjJqVmFQX1l4TjU0UXY3dk1sbGlzNFJDeEVFREktbVBDRWw4WTdpc1B3OXlHeEdPMlBvRF9LUUdZWGxfTmxoQlJiMU4za0l5SE" TargetMode="External"/><Relationship Id="rId59" Type="http://schemas.openxmlformats.org/officeDocument/2006/relationships/hyperlink" Target="https://news.google.com/rss/articles/CBMi0gFBVV95cUxNUkdOYWxuOFV2bGlWTDFuc3NHajZVRmphUW0zREV1RnAxTTVCbkozeUZTNjNGVlN1X1NMenVRQlAwWl9KS1prOG1ZdWZJYXZDUFUzdkNESlpSd25NcWVka25WaDdWWWo4Qk1JUFNkaG1WMy1xYnRhNDVjS3lsUFZMYXFNMkxsUlNscnU0bURzUF9aOElvN1hGX0pOS3M4QX" TargetMode="External"/><Relationship Id="rId60" Type="http://schemas.openxmlformats.org/officeDocument/2006/relationships/hyperlink" Target="https://news.google.com/rss/articles/CBMixwFBVV95cUxONGpuZUdybjkzZWN4Snp2U2tnN2JjQS00VEd4MTNmUUI1dzBuRTd6VmFvZUFSS09JZC1UYmdXbUV5MmRXaEYxdlZKWVRHUUtSYVV4WU1DWDIzVWxiZTN0bEVoVWVxcFpjQlJWQVp6RnBJN3VlbWJkNjhmTE9zZHl0WW42OEJlWVQ2LXVsbU9IZUtnV3QtbEx0Z0gxY2lIUU" TargetMode="External"/><Relationship Id="rId61" Type="http://schemas.openxmlformats.org/officeDocument/2006/relationships/hyperlink" Target="https://news.google.com/rss/articles/CBMixAFBVV95cUxQU3c1UDAwRWdpd2dCQzZMRUthVk5kWlR1bEl0Q0dmMWhmTWZGbnM3RENBM21ZV09pQUhzT1gzVUNoa2llWndROEhTcFZta3lZRUdiaGd6cEJFNk9lZV9kT3FjYjYzMFc2eWVOTHlQQk11aThJUWJ6V1pTLWRReDNmU2d5R0FiZ1hJWUt3MU9ObGgxWXdPeGNrWTBNR2kyTl" TargetMode="External"/><Relationship Id="rId62" Type="http://schemas.openxmlformats.org/officeDocument/2006/relationships/hyperlink" Target="https://news.google.com/rss/articles/CBMiogFBVV95cUxOLXB3TG9pZEVnMTZIaUlWUVRRQ3JMRklYUjNkYU5fZDlBYzItS0lIUjY5aGthcXdNREFSQWpLQ3JKdEJ6VGhYeDlaQ25kV3l4VGpCVGhWbzNEa05OaFhtNEpBVDNrSVA1bEl1Y1VFUkZwY1U3ZDVDUU1qeldtdVQxc0taNU11VjdWNkR3cWlXODlROHRSeHo5M0J2blpTdC" TargetMode="External"/><Relationship Id="rId63" Type="http://schemas.openxmlformats.org/officeDocument/2006/relationships/hyperlink" Target="https://news.google.com/rss/articles/CBMiwgFBVV95cUxPZmlJOUpsY1Q1RkV4eW9jenFYSE5lYURVN2JkS2JBbEFBMlJYRWpxMW5wWDRWQTdoMTF0Z0xMRG5PbEVWbmxuWkVycXhzenhJOGtlTXphZ001M2lVZjE2NlktdU1ub1BQeUp6NFZxdHRXNXJDZG1EQTBSWXZ2d0FoZEpXYkNTUjdoR3RzMTBZQ2pLM0ZSZ1lDTmVkTGZtdl" TargetMode="External"/><Relationship Id="rId64" Type="http://schemas.openxmlformats.org/officeDocument/2006/relationships/hyperlink" Target="https://news.google.com/rss/articles/CBMiYkFVX3lxTFA2d1pxR0ZtcXJUdlp1RmNyTjcxWWh1NmQtTnhTSndXa2cwbGI2ejRlUTZkM2dTOXlQOVJVVEdIXzlQSzl4YmlHbmNYZFFMTE9QY3pLckFUaENTcUpWcURnZ05B0gFnQVVfeXFMT2hxeWJZdE13a0l2ci1Bb1lTYlhtNWpqc2lzWGhYY3RBY04tRFVjR1VjVkV1NWFTcGVocV" TargetMode="External"/><Relationship Id="rId65" Type="http://schemas.openxmlformats.org/officeDocument/2006/relationships/hyperlink" Target="https://news.google.com/rss/articles/CBMiwgFBVV95cUxOUG9RT1c0aG91T3FSQk9rdWs4SnA5bGxGbjBEQnVWV0UzNlBQcXdKN0RHVmhWemU0aHRQQktRUHZtWVhNZW1adnpMTkN6OUs4YVVwQjZ3aEtfaXpqLWhHS0Nfc0R4OXJBbVBzT251bWYzalN5ajVtaUFNTVBjdVhMbXA2bGk0OS02NDlMY3E0Rzg0eXM1UnkwalRlcDhlN0" TargetMode="External"/><Relationship Id="rId66" Type="http://schemas.openxmlformats.org/officeDocument/2006/relationships/hyperlink" Target="https://news.google.com/rss/articles/CBMilAJBVV95cUxQSkU0dU1xMXhtSWRWeEdwMDJ1VEgxRmY3Q0cwaTNSTjRtZ0dZOHRPeloyRmRNNGFFdENFLTJ5aHAyMXVCYnZKbXpBZTJubGhselprOFBmeHpGTUhKb0VkdTJNNHp3WFplYVNmWkdnMXRjQmJXTFRtdElQUzBSR3dLT1FNN0NkYmFrSGtOM3hhTDFjODE5M1VpTjVacnU3Vm" TargetMode="External"/><Relationship Id="rId67" Type="http://schemas.openxmlformats.org/officeDocument/2006/relationships/hyperlink" Target="https://news.google.com/rss/articles/CBMiYkFVX3lxTFA2d1pxR0ZtcXJUdlp1RmNyTjcxWWh1NmQtTnhTSndXa2cwbGI2ejRlUTZkM2dTOXlQOVJVVEdIXzlQSzl4YmlHbmNYZFFMTE9QY3pLckFUaENTcUpWcURnZ05B0gFnQVVfeXFMT2hxeWJZdE13a0l2ci1Bb1lTYlhtNWpqc2lzWGhYY3RBY04tRFVjR1VjVkV1NWFTcGVocV" TargetMode="External"/><Relationship Id="rId68" Type="http://schemas.openxmlformats.org/officeDocument/2006/relationships/hyperlink" Target="https://news.google.com/rss/articles/CBMixgFBVV95cUxOdXlWekNyd01IUm1TYV9kbUxGM0hFYzltNndQVk5qZldVWkctM0NkVWNQMWtYTE1TZVhyS3ZTaDUyaGVKMDFaMW04YTJXbnI5WUhENXpjdXhZbDRmeVVJNHpIYjJneDZYbTRDTXVoa2VrTnZyYTRvTkVUWlM3WXV6elk1SGo3dUFSWk1kUTlyVkR0U1htaGM3QXJfSnpoRk" TargetMode="External"/><Relationship Id="rId69" Type="http://schemas.openxmlformats.org/officeDocument/2006/relationships/hyperlink" Target="https://news.google.com/rss/articles/CBMimwFBVV95cUxObXFKNE45amMxbzI4VFA0S1N0V3E4Ni1JdWM2c2JZdzhkb0VObC1Sc2lONEktdFVkYXhTWDRsUnNHRTFNa0o1YUt1Y3JJd0J6WG9Rak1FQnhTa2tjdVlnNy1oLVFzM0ZydVFlNm5oRldCWmV5cE1MZGZrVl9UR2hwWkJGNFRUQkRTVENhYUcydWItMkdoaF9yREZzSQ?oc=" TargetMode="External"/><Relationship Id="rId70" Type="http://schemas.openxmlformats.org/officeDocument/2006/relationships/hyperlink" Target="https://news.google.com/rss/articles/CBMiZ0FVX3lxTE51Yy0wSzRHUFZodUlzY2QwMWxfNUJrNDJuend2OVpTcnBSNC1RVU1RX1dYUVNlckl5YkFRTXJMbWFOa2IwQjFKbnhUOFBmRG9TYUh0VXFzek8xZWx6X3ZONC1NWjFSazA?oc=5" TargetMode="External"/><Relationship Id="rId71" Type="http://schemas.openxmlformats.org/officeDocument/2006/relationships/hyperlink" Target="https://news.google.com/rss/articles/CBMiekFVX3lxTE5qTlNmYXJJWjVMQzBvQlNtdVNJcVpVMTVVeUEyZEJ3cXRyYlZHV1BfUTd5V0lWWHQ0Ty0zZ1FaUzhYYUU1SkV0N0NaSTJnclIzYnR3MXJVNzgzUWJoYld2SkVOQzR5dWV3Z0xWbVlkVngzV3FGMnZYXzln?oc=5" TargetMode="External"/><Relationship Id="rId72" Type="http://schemas.openxmlformats.org/officeDocument/2006/relationships/hyperlink" Target="https://www.cnbc.com/investingclub/2026/10/23/crowdstrikes-alarming-prediction-plus-sell-off-spreads-beyond-tech.html" TargetMode="External"/><Relationship Id="rId73" Type="http://schemas.openxmlformats.org/officeDocument/2006/relationships/hyperlink" Target="https://news.google.com/rss/articles/CBMie0FVX3lxTE1VU2UtWkM5Z0VsamtXVTJsemRnTVVtN0U4elg2dkpESFpxYjl5RTlmMGhjeFJGUTI1SGYzOW9qOWxpT010emlfRGhiQ3VwUjNHOF9yUU5hN3UyT0NtRm5ESkxqUjdMUzFKZVhxbkVKYVBDRGpGN0hvMmpOMA?oc=5" TargetMode="External"/><Relationship Id="rId74" Type="http://schemas.openxmlformats.org/officeDocument/2006/relationships/hyperlink" Target="https://news.google.com/rss/articles/CBMickFVX3lxTFBWNXVteHltMHdZLVFTVmF1R3ZRbHNGQ21XeXFCbk50RkxQT25QZm9UUUJNZzI1WjNxRHNMS0VKRmZNUnE3TGdXZGFXQ1A3ZUxyc0I5dmxCS3hNWUt5WnhpRTRaQXNZVVhTdGNlMVhGN0hKdw?oc=5" TargetMode="External"/><Relationship Id="rId75" Type="http://schemas.openxmlformats.org/officeDocument/2006/relationships/hyperlink" Target="https://news.google.com/rss/articles/CBMiygFBVV95cUxORXN6Wlp3cWM0X1k1WGdTNFhZVzNyQnN1SS00bk02bHlOa25ZbzVrU0o2STJZcGNTcGIzRFd1OVJPNThadlE0VWp5QzYtWGVib21RUTFHTnhyX0E5TmJXcXd3Z3NvR3lxWmJfTktQVzl6czVsSWhHNGlZdHh6am9mQzkybElyQUxYaVZYRlBZWGZkeHVjODV0QkhqSXRrck" TargetMode="External"/><Relationship Id="rId76" Type="http://schemas.openxmlformats.org/officeDocument/2006/relationships/hyperlink" Target="https://news.google.com/rss/articles/CBMiwgFBVV95cUxOTV9aODdNNkdyOHRLMEFiQmZGNjRCVDloaFhGNnNvcFBYeFZnakFvbE9EeEdxMThtWlQ4QXhiNk41TGJkeVFFWElULW5LN0lmU1RIdXlwQTdwWXJhM1BoSjZYdjR2bW50YnlDV2Vubk5fdktFR1JiS3ZWdGYtcFgxZ1Jja2Qxb1otUEI4ZFZ1d1lKMEJhVHJnSWVaMmVmd0" TargetMode="External"/><Relationship Id="rId77" Type="http://schemas.openxmlformats.org/officeDocument/2006/relationships/hyperlink" Target="https://news.google.com/rss/articles/CBMiyAFBVV95cUxPSHVndmFMZF9ISzJJYnZKVmxYcjNiTEJTbFJXaHVvTDNnQTRYWm1ReXh3VVQ3MlRhcmdfZnhBLXl0a3lISm1RVnlNVVNlSEpfVGNsTms4NlJ1X0dCSW9mbTJJMDFCWVlRTnNGQVZPZG1WcEhXZkdfcUtGUUtnVDFSVHpCYjR0TjZ0MHJHZUJRMmpsMzNPdEVYQzh5YUlTS3" TargetMode="External"/><Relationship Id="rId78" Type="http://schemas.openxmlformats.org/officeDocument/2006/relationships/hyperlink" Target="https://news.google.com/rss/articles/CBMirwFBVV95cUxNUkUweFpUZDFmRnpwZnFJZC1rdEY0ZUs0ZGotOTJ4N05rY2N6aFNwcU84dG5oSU15UVkyVHVEWkRuTWdUeVd6TUhPU0h6ZE1KZ19laW5lMjFYcFE1VVVtR1hTTHRrOGMyTVc0RjFOQ0h4OHpGQmNYaXlCdFhwcDA4WENGZkZrdDdoLUU3enZCMWZZUGx3ZG9JX1hhS1lPVj" TargetMode="External"/><Relationship Id="rId79" Type="http://schemas.openxmlformats.org/officeDocument/2006/relationships/hyperlink" Target="https://news.google.com/rss/articles/CBMimgFBVV95cUxOWlQ0M1N1dzlaclE5RFJsRHhYYWJURFR3Y2JWVGZLMS1vSTY0TVhmcm51ampiZ1VGUk9zWGNCNHFJNWYtN21SdFdHYnFXMkF0WmtxOU52LXc0R1JIQzhiT3dmYU9oUEY3d3FEbi1IQW9qcV94MXI4UjNQbWNYb0FqakdQUW4xS0MtSkxGN3dPWkdQcmRCSTBBUG9n?oc=5" TargetMode="External"/><Relationship Id="rId80" Type="http://schemas.openxmlformats.org/officeDocument/2006/relationships/hyperlink" Target="https://news.google.com/rss/articles/CBMiowFBVV95cUxNamVrTTBka1JGMU1MdzR5Ujh2NGVFZU9lZkEyM3BqNk52N3pQQWRJV3F3a0VBQ0ZtbFAzUVZ1bHVaV3NrejZlRmhtZ3p6RnpKMFZzTEl4bVdRd29Fb1Z0YWYzZmdZUnU3dnBmQ2QxNjVGUkZrNk41R3ZtaC14UGtCc3E3UFFFRFFXbFVxUEc2NHpISHFJUEF2VnZMOHRyYW" TargetMode="External"/><Relationship Id="rId81" Type="http://schemas.openxmlformats.org/officeDocument/2006/relationships/hyperlink" Target="https://news.google.com/rss/articles/CBMiZkFVX3lxTE9jWWNXVlFhdFphM1J4MW44Y2kzV2tRVTRNTzVKWDRkRGVvRlJXcl9aRTRrVE1xSkZnV2JyQnA0SVVmeUpLRVd3bmNqYmE0N2JXZWVfLXBPRmczNWt0UzM4M0lmRFVvdw?oc=5" TargetMode="External"/><Relationship Id="rId82" Type="http://schemas.openxmlformats.org/officeDocument/2006/relationships/hyperlink" Target="https://news.google.com/rss/articles/CBMilwFBVV95cUxQWDJEaVVaQTZMUy00WnU4dGxDT3dpVG1fRFNLaFljQVpKazQ3RVg2UDhreHUzSmdjUFBLVE1ZeFJ1d2NqQzlURk1UYjdoWTZta2hOa0NSaTlWWERsU3RtQjBuZ2c2REp6Uk5ZNHZ4ZmU2bXl2bmNmcUNEeFp1eG51ZUpJOFp1VHU4ZEs4VHpMNXo3NDk4Qk5v?oc=5" TargetMode="External"/><Relationship Id="rId83" Type="http://schemas.openxmlformats.org/officeDocument/2006/relationships/hyperlink" Target="https://news.google.com/rss/articles/CBMi5AFBVV95cUxQVE1sb2lyOTVQTnZiS21vUklzN1prLWk4bm9qUVd6bjBKcjFRQjZRVDZISzhhVUtvYnJhYl9ROUhLYVNZd2tRYllfbTRUcTJhSjc3UFBacHBMTkhOQWNaSF9JQlF0WVNmNFp2YXE4eHBnWTZjb3M0SGtVV2JlWXFfRkhlY1BHaWhOcTlFS09KLVZfWTl0NHFTSFF0TlVyUF" TargetMode="External"/><Relationship Id="rId84" Type="http://schemas.openxmlformats.org/officeDocument/2006/relationships/hyperlink" Target="https://news.google.com/rss/articles/CBMi4wFBVV95cUxOZnNqSFJnbHhvaHZNbC1PNVQ4RXBmb1RIZ2tIbnhLWHhJdXdUenF0b0h0MUFLWFlvd3BJLTFrbWRUQUc5WWdpVjRLRHl2YkVQQXhJdzNCS1FPSlpPTjFyT0pwWkx2cnRweUVvclpPQllSLTZCRUhNQmVCUmlfTjYtcW9WZl8zeU1EeTNHRE5jcFkwbGtISGdLNjFLaF9JSk" TargetMode="External"/><Relationship Id="rId85" Type="http://schemas.openxmlformats.org/officeDocument/2006/relationships/hyperlink" Target="https://news.google.com/rss/articles/CBMilAFBVV95cUxOenFUT19EemtGQml4d1h2dTJBS182aVlwc25WbzlWcmk0eHFKUGdER1U3YlhLWEwwZnh6c1NFelEwckNKeFJjWUx5QnNCdzVWQkNoNUlSZ2RtcXNLRlMtM19ETXNTdU1aRHZReFY4ekxRd1FlLXRuendJRGh1TUlrR3o3aDNhbURMT0s2MzlrdG8yUy0w?oc=5" TargetMode="External"/><Relationship Id="rId86" Type="http://schemas.openxmlformats.org/officeDocument/2006/relationships/hyperlink" Target="https://news.google.com/rss/articles/CBMimAFBVV95cUxQd3g0SGZPbjZNY0dQcFFYakN5SHFWcnZaUkRDd0FxMGN0QkNacm1lSkxIbnpwbG1vLU5pMU1WTGRDejNuYWhXRU1YZnB6M005TTRUSm9yQWhtbzhld0liT0RKeVVhTDhkdjRwOE4tNlJzQzJ0R3V5SFZweENhSHJDUWNoUW5rTnJJbGg3TmtaemUybVpZd3R3dtIBVkFVX3" TargetMode="External"/><Relationship Id="rId87" Type="http://schemas.openxmlformats.org/officeDocument/2006/relationships/hyperlink" Target="https://news.google.com/rss/articles/CBMiqAFBVV95cUxNM2s2VGY2dDN4TTZCRWFXY3o0ZmZRVFJQRGp5UklibTVIbWtWT1Jid24tTnlZMEFHUjNkNnpQcTJOWTdBdGxHVUF6Uk5pSVFXUlRVVnNEZGh6WXc5dTNweEpac19jX1FDRTczZmk2Z1RpMVh2TW44QjgycmRMYjZDVU03bWdhVHZhbWtXX1JpemdkQ0VMWWtBcXdiVnBINT" TargetMode="External"/><Relationship Id="rId88" Type="http://schemas.openxmlformats.org/officeDocument/2006/relationships/hyperlink" Target="https://news.google.com/rss/articles/CBMingFBVV95cUxOMlF6VWtrczg5NGI5dEMyTFc5c254anNjenUwWlZZM1otUGE0QzZSbGV6S3dUXzBtRjBaV1dxSi1tY3hWRjZXUE1HWm5rNGhtT0FSX3lpV3lORVptNUpITGRaSlI5TFZZMFdsa001Q1lrdkVlM2FxVlJjRkJLcmFLWlVpUG1wRzI2Uk41cVRoaEZpb1JCYm1oZER0UTJUZw" TargetMode="External"/><Relationship Id="rId89" Type="http://schemas.openxmlformats.org/officeDocument/2006/relationships/hyperlink" Target="https://news.google.com/rss/articles/CBMimgFBVV95cUxOTk9ZRTUwSExDelFmZmxQZWowQkpYX2JWdVVyam9acDY3ZWZPME1uN1NBZ1hZTWFRdFBob1Bsd1JGSmRWWDdUYzJGSGNaYXluQ2Q3RFcwOEl3NzVHbG9ONmkzdkdxOVVsOWY5NHlxdEsxUUlwSTZhODVCYUJFcVNjMXA2WE4tTnpRR3dIYmprT0xKYk8wT0hTakxB?oc=5" TargetMode="External"/><Relationship Id="rId90" Type="http://schemas.openxmlformats.org/officeDocument/2006/relationships/hyperlink" Target="https://news.google.com/rss/articles/CBMidkFVX3lxTE1CUlZidnc2eHZnOGJ0ZVY4NFJva2RXU1JfR0VQeXdvYW56REJoSG9uLXUtQTRxZGEwZnFBQU5kRVBlVGM5bDd2WTdJX2JlcWl4VGIySGZweWNpMnkyaDRyOGFheFB1NnZvcW1aUGlMZS04b09CWXc?oc=5" TargetMode="External"/><Relationship Id="rId91" Type="http://schemas.openxmlformats.org/officeDocument/2006/relationships/hyperlink" Target="https://news.google.com/rss/articles/CBMi7gFBVV95cUxPaEFjU2tOWVcwUHZnOEZzemFuZVNjX2ZNWGxsTXM0ZVBFVlA1aVkxX09hTU9Ud3V6Z0x5dXlabUVTNE14NjVEWTBnZVVBc29RWE4yX0paM09ncTRDeVpBTnc5SnhSTU5uaXdZdTlqaGROY19wU2gtR29CQi1lTjd0VlJSRXNIYjNVWWNwemgxUUR6SERhOF91V3RIQnVPZ2" TargetMode="External"/><Relationship Id="rId92" Type="http://schemas.openxmlformats.org/officeDocument/2006/relationships/hyperlink" Target="https://news.google.com/rss/articles/CBMiUEFVX3lxTE1PMjFvT2JCS1NSZHNua1o2amFoNFhjWkhIcG9oQ3lTTHZzN3ZoU3Y4aUlMMDJEWnNhWDdWdzJUTXc2eDRKT3hxYlhITXpsRzh3?oc=5" TargetMode="External"/><Relationship Id="rId93" Type="http://schemas.openxmlformats.org/officeDocument/2006/relationships/hyperlink" Target="https://news.google.com/rss/articles/CBMikwFBVV95cUxON0pWLThkWllqVTRvcVRMY1NVeUN0UVNxa08tNkRhbzQxTUFlaTZON1BOYkh4bDEtaHB4X2d6dHk3VS1sVDhYMEhhZ0IyMVpjTXJjWVJ3WE9ZTDdWWG9paC1zdHZpbFpFNVZNTk9aYXhQRnRtWVlXRE0tZ2hOaDFmc2RIQUV5aTRBbEJaaDNsWUNxUXc?oc=5" TargetMode="External"/><Relationship Id="rId94" Type="http://schemas.openxmlformats.org/officeDocument/2006/relationships/hyperlink" Target="https://news.google.com/rss/articles/CBMiogFBVV95cUxNNnZtWHJORVhDckNlcjdqZElueTJGM3JZcXBBdXhlb0d5TXdGY3hRcjdoeWxhWlJXLTJuUmhyekYyY0tGNmlBRlZSTnA3czZOYk8wdHpNem9LaEsxYmhPX1N0VW1BWUVnNlZFdGVUN3pTMVBVWjI0S3ZnSHZQdS1UdEl6MHZzUUJzbmFWNjRKVDBvZzVQMzJvZFVZR1NzcG" TargetMode="External"/><Relationship Id="rId95" Type="http://schemas.openxmlformats.org/officeDocument/2006/relationships/hyperlink" Target="https://news.google.com/rss/articles/CBMizAFBVV95cUxQYVhHVU1oNjM4UkJHNGFuRU1Sal9hZ0NmdmNMa0JubDZHWXZUVFEyQU5IQ0J1ZDFBdDZQZUotSDRia0kzVkJRTnZrRk9LQzNCaWxWdTVvVThYX09qUzlaWUFtd1UySTNTQzZNVUE3UGtUekwzVWJGcnNRRlN4Mjc0QXNPdU1LZm16Znc3VWNnVmpGTk0xU1VwMEJ5S0MzWT" TargetMode="External"/><Relationship Id="rId96" Type="http://schemas.openxmlformats.org/officeDocument/2006/relationships/hyperlink" Target="https://news.google.com/rss/articles/CBMiygFBVV95cUxPRGY1dnF6bGFkTjV0TnVKSmhpSDZyR0hFRl9qbUNuQmt2b2l2RlB1RDNpdE8yazQ1UzJXcjZjSVVRa01WV2xINm9mbnZ6RjlaX1hUZ2NoMUVQQUFTczk0TWh0WGpsRHZYTmlmY2NoN2hXcjZKc0JyQURvUURha0E4RmNveDZST1VHNHp1U0lhX0gxQXRacExEb29UcFBUdy" TargetMode="External"/><Relationship Id="rId97" Type="http://schemas.openxmlformats.org/officeDocument/2006/relationships/hyperlink" Target="https://news.google.com/rss/articles/CBMimwFBVV95cUxNM0s4RjQzdWpWakFvZG5WdXhSWXdsLTdfZUxuT09KZmtfdFZaaVd6d1I1TDMtRkY1VmJTd2IzTGlBYU9vRWVXQTVKV1RSblpxejJWQmtaT2JhYmpFaTItV1RYTDl6VUZGd1h6bkdmNFl0d3ExYTZDWnFRS2ZnLUh6d1lzSVZIbVNfY09GUkR5dF96aWRvam9OVXBORQ?oc=" TargetMode="External"/><Relationship Id="rId98" Type="http://schemas.openxmlformats.org/officeDocument/2006/relationships/hyperlink" Target="https://news.google.com/rss/articles/CBMifEFVX3lxTFBYSkpqZ0I5MUhiMXdXaEVKOFhLY1JsZUl4WTRHSkxVdGhPUEN6OE1uQW9rZWRQMUFoTVZCV3U0d2dlSkxiMnNqOUNuWmM1M0VCMWZtYzZsaUIzR2dwb2ppeE1XZFduUnN6enczMFN5OHNOdXZ5ZjIzWnpHN2o?oc=5" TargetMode="External"/><Relationship Id="rId99" Type="http://schemas.openxmlformats.org/officeDocument/2006/relationships/hyperlink" Target="https://news.google.com/rss/articles/CBMigAFBVV95cUxPQU5fUGJhTzN5U0pKU2cyekxDbDZvQVpDUXR2ODJQQ0p0Y0hMX1Q3UlZla1ZqWTF0Q0laV0xVRnZYUEpSclZrR3BwT05NLWl1MUlFVkhkeUxRSm5Ib0c2THV4cXlDTmp6Y01aTnlULXROZ0FiWmo4dVdOTUhzTFdHTA?oc=5" TargetMode="External"/><Relationship Id="rId100" Type="http://schemas.openxmlformats.org/officeDocument/2006/relationships/hyperlink" Target="https://www.gelonghui.com/live/2725779" TargetMode="External"/><Relationship Id="rId101" Type="http://schemas.openxmlformats.org/officeDocument/2006/relationships/hyperlink" Target="https://news.google.com/rss/articles/CBMiyAFBVV95cUxNLXNqRVFBNExFWlZNMjZiLTJOOTdJZGRzbER1N250cGdUQmdyeGxrTU1JbldKYXpzMzVDSHZSNU9ycVltdGlTNU9ZdzFtNUVzLWcyZEo5MlkzdjRhclEtc0dDUWk0TEowSTJudWZ4X1lvVWRha2tlWkRBYzcyNFFRcnJIYUlqb2Fic2V5VnBONFVnRXBEZGxya1FiZjZaUX" TargetMode="External"/><Relationship Id="rId102" Type="http://schemas.openxmlformats.org/officeDocument/2006/relationships/hyperlink" Target="https://news.google.com/rss/articles/CBMitwFBVV95cUxObGxHeUQyRFltNjRnOXZ3dDJ4Mmt2Vmd4Ni1fa1lZak1ITnpfQjlnV3B6VGpZVkI3eVJybEJqLU5yclc5QTB4NVFxNi03RXZweHdycVV5QUFDbXJPSDFIcEtQQXh6Z1BLQW0zQzk2SkJkV3BIdXBlc1puOW1oZzNmMTExaFJVdi1aRTRsa2kwUVFfdVFlWEs4UmdwZGR2Qk" TargetMode="External"/><Relationship Id="rId103" Type="http://schemas.openxmlformats.org/officeDocument/2006/relationships/hyperlink" Target="https://news.google.com/rss/articles/CBMiwAFBVV95cUxPTUp4V0d3eXJZM2ZQUTczei1VSVZJSjBhZ19ibF9EVXg0WUREZkJneGZ6TWYxcGlDNE5TeXU0RTJRUzhHSnhNUU1HdGN5REJKTkt5dlNBWEhHNjJYSDlXck9jN0piMGV1X2hQZDRUWFBnNld2NDZYOFo4bVVMbGFyWDhhYV9pOV9nRDNJejNoMFc1eXNDRm0xenB4ZFpNSj" TargetMode="External"/><Relationship Id="rId104" Type="http://schemas.openxmlformats.org/officeDocument/2006/relationships/hyperlink" Target="https://news.google.com/rss/articles/CBMiygFBVV95cUxOb3FvR1A3OHVmejlqcXZPRGN2Y1BUaExNc3g1TjltbVRaVEJWSE9IVjdIdzlEU081Q1V0WXA1R1JCTW5icDdGd3Y3eThpTEtkYXdFU0JLUzlza1M4VWdzX3kzYU9jSXdrNTAtdEZtRWN0ZXdTRmpRU2pvMEtlUzBLbS1ENlBZR2xTRGhLNFYtVk9EdXBTaXNDdzdWWFc4RV" TargetMode="External"/><Relationship Id="rId105" Type="http://schemas.openxmlformats.org/officeDocument/2006/relationships/hyperlink" Target="https://news.google.com/rss/articles/CBMi0AFBVV95cUxPWHRqeWxzWmMtcTUyZThsQWFiMnNuV2FtaHMxSUhYaGZ6S0c3blhKSHc0bmlOMUF6NV8yalpVbDBhdy1NMm13b3FHUTAxRDdPbGZiMXRMVHBIcnlyUHZ4aWl5blRyTGhGdi1FWWl3eEduV1NySUlEVUxmRVdVUkFqaG90amxMRVc1NE1paG5GdXExUWZBaW5PM25zM1BnQm" TargetMode="External"/><Relationship Id="rId106" Type="http://schemas.openxmlformats.org/officeDocument/2006/relationships/hyperlink" Target="https://news.google.com/rss/articles/CBMiugJBVV95cUxPS0NZQUFGbUNhVldESTVZMEsyS3JGaTB0WVpKdVZrMVg2V1VCUHNxLTlLSUtDRVhBeGEtaWRJWjNOb0E2T2o2QWExdjR5ZUwxOFFZMVRVMFIwTERaSEl4c01HdTBpX19yV1V0cUItaVdRMDNIa3ZoTU5SeUVOLWtsZ3l0N29LWjkwZlJFbjJPVXZqOFJOTGRWMUY0SUFMR0" TargetMode="External"/><Relationship Id="rId107" Type="http://schemas.openxmlformats.org/officeDocument/2006/relationships/hyperlink" Target="https://news.google.com/rss/articles/CBMi0AFBVV95cUxPWTFoUHhPY3lMYzFhMG5OVTVYV3lGQ3RITXNvdURfRExMdDU0RU1rcUFXcTBGdkl0SVlPbnFkOWVROHVLYURidTlaRXpnSjFwYXVxS2pLXzZBdEpjUlQycmhVU3U3OTlQNFRKbVQ0dUtYWFEzZmlFUDVVcFJOc05pQnBLem9UaFBaSFRKNm0yQURfVnZkSlJIejUwZVVzTH" TargetMode="External"/><Relationship Id="rId108" Type="http://schemas.openxmlformats.org/officeDocument/2006/relationships/hyperlink" Target="https://news.google.com/rss/articles/CBMiZ0FVX3lxTE92UFlBaGtBYWlnaDYxX2ZQRVlZLVZkcDZWWllhVmJ6ME5keG5pbWlLaDRNdUFoTEhYWFdjWGxqQ2IxTFZ0cl9oZUJ2QTVycVNXbndrcmhhTEJXbG5fMTJoNEswZktvaTg?oc=5" TargetMode="External"/><Relationship Id="rId109" Type="http://schemas.openxmlformats.org/officeDocument/2006/relationships/hyperlink" Target="https://news.google.com/rss/articles/CBMiqwFBVV95cUxPM2dIV18yMmtnbG9ubWpwMXRhb3F0ek5abWlYZjdsR2FDaHRlZ1I5MXA1eU01ck5mQi1FdTA1S3RhY1oxT21OMV9fc0l2ODlhMzdhZUtRdi16amZ6RGJ6STZlX3luUkEtNnF3eFhSWlpKOHRJa0d5dFlHQkxmMWs5d214bjZ2TTJEZ3VWRkUtTk1pT0VLX1U2eDJwRTFWNE" TargetMode="External"/><Relationship Id="rId110" Type="http://schemas.openxmlformats.org/officeDocument/2006/relationships/hyperlink" Target="https://news.google.com/rss/articles/CBMivwFBVV95cUxNaXIyZHN0Qm8zS2xCczBla0VJekQwYWt0RkVzTjBPVDgxMXlUSENlZWFOUHRvTGM5dUFHR1EzNUZpeHRBb1dXOEFxZlhaVlFWQ0xXREVnZnlaT0haWl9UYlNUZ1NiWXZiS2R5V19ncC13X3J2NV90RmNVMWptNmNVYVFBNC1WUkc0UmtwcWU3dVlMa2w0b1BtNlRSV1dlZG" TargetMode="External"/><Relationship Id="rId111" Type="http://schemas.openxmlformats.org/officeDocument/2006/relationships/hyperlink" Target="https://news.google.com/rss/articles/CBMiUkFVX3lxTFBnTTVhbHpEVTVsVllRMlJDT3RNSmtMRzgzdkFoTkZDRXFSWUREMW5kYWNUQVF5NmdxZFVmY3Eya1BLSFhKTlhmSVlFcjFoVVJXWXc?oc=5" TargetMode="External"/><Relationship Id="rId112" Type="http://schemas.openxmlformats.org/officeDocument/2006/relationships/hyperlink" Target="https://news.google.com/rss/articles/CBMilAFBVV95cUxQblpNa0poWlBxcVdfb0JfYVRVb2NnNzRqZ0lpcGlya2MwRlJGQmxqNnhERXFrWVF2bzBhenBienR4QV9oR1ZwREY4WVNldVh4eTdwTVNQT0FtVG9aZC1tSlA2eFRGSldPV0VROGJJSnd5TjljTlJDVjBBajRneVJxd3Q2czQ1ajZVbW5pSF9wLXlxUWEx?oc=5" TargetMode="External"/><Relationship Id="rId113" Type="http://schemas.openxmlformats.org/officeDocument/2006/relationships/hyperlink" Target="https://news.google.com/rss/articles/CBMitwFBVV95cUxQUk5QbkZCdXRobVB5VXJ2cF9PSzJWX3hQdFd3cXh1S3hWMy1DNlctUi1IbHBDYjNCQU5FOVFKMG51ZlpZOXlWZ3UtSzE5N1p0UlZjTVkzMHprd3BfZnRIRVhmWWJJNUtDcjJOUFl3Y1pzNzdFTm45Ui1oX29VRlhjeHgzT2tOLUMzUHo0TmJLSi14SllfZnJ0aE01UDBYYz" TargetMode="External"/><Relationship Id="rId114" Type="http://schemas.openxmlformats.org/officeDocument/2006/relationships/hyperlink" Target="https://news.google.com/rss/articles/CBMisAFBVV95cUxOcVJBMl9zbV83UVdPOXJWVEZNTHNFM1BaSmsyMF9ncllVS29IekJLRExvVGVFTXZ4UEl5Y19vbHk0OTJkM1EtcmZTaWNkWmRuZERTYmJEN2JITEljTkJWT1ppNXp1RjRQRkhwczZNV0htZld1OXN5TUZnR1lNUVI4M2VXbEJQVGJUYVpmWTdISXNUSVZHcHFWMy1uM1AtQn" TargetMode="External"/><Relationship Id="rId115" Type="http://schemas.openxmlformats.org/officeDocument/2006/relationships/hyperlink" Target="https://news.google.com/rss/articles/CBMidkFVX3lxTE9tUlN0eU5tYUNwVy0xVkk4ckxUTU1NZWFIZENtR0RsLWlGQktFQkFuOVBpdzZDQlJ0S0ExRUFDUksyT285dEZqRk54YW1IZHdwMVpnOTNCdE54bTlRM2ZEMTY3bWlaWWIxN2J3dDF0S3h6UmhISVE?oc=5" TargetMode="External"/><Relationship Id="rId116" Type="http://schemas.openxmlformats.org/officeDocument/2006/relationships/hyperlink" Target="https://news.google.com/rss/articles/CBMimgJBVV95cUxPaU9CT0N5SEtnQVhDTmQzSjMtejNHMVZUeGh1d1A1VTJJTFZGdVBwRWFDQUlTelNmQl9kOWdldXU1enpXbEF1WXlyakZxc0h0VzJKUmxoRGVTTExYeXBTLURiMFFIeTZRQlpOV1NydzVGU2FsQjBYaHVQYzBjaGV0a3hJNm5nb0haXzV2WnlZQUpKNVFUM0VUc1VLclFxYk" TargetMode="External"/><Relationship Id="rId117" Type="http://schemas.openxmlformats.org/officeDocument/2006/relationships/hyperlink" Target="https://news.google.com/rss/articles/CBMia0FVX3lxTFBTU245VnBPblpLOWI5TGpSLW5YVzYtcXN4YnBWb1BlVVdPT3lkTC1PZHZoeXFZdnhZTHUySjV3ekpJeU1WNDFleXE1ZTExRDlwNDRzVFdjQ0xObVFzcEdKbk1aaHp5cmw3RUIw0gFwQVVfeXFMTzdrSkZaRnBFdlI2VDBDaTZScjZRMUtoYlRWZy1NVGNTamN6TzNHbWowMy" TargetMode="External"/><Relationship Id="rId118" Type="http://schemas.openxmlformats.org/officeDocument/2006/relationships/hyperlink" Target="https://news.google.com/rss/articles/CBMipwFBVV95cUxQeTZXZWxLZTN6Zk1Jb2huSHZ5aDl2Z0VQNTNoSkd5QURHbS1oT05iamEzVXVxbHJDMGVfblNzcFp6RXRXMXRvTVdyTGxydXpkNDdLUi1oSnpVRTd0TGl0MzdKZi1MQVNrNnNham5xS1BJNDV1QkdHU1daTWxlQjItMTkyNHVlcTJobzl4V3g0STNBZG1qSktqVFlaT29qNU" TargetMode="External"/><Relationship Id="rId119" Type="http://schemas.openxmlformats.org/officeDocument/2006/relationships/hyperlink" Target="https://news.google.com/rss/articles/CBMinAFBVV95cUxPTlR2QlpkTkFtN0pybXR5RHZzaXQ5WFl5eWRTMVJqSG9iMElqU05vTlVWUXNZVjZsVFB4dTYtR0xBSjJfMXU2N2h5MnlKNWl6WS1wZy1IN29NY1BkYzZHSF9jTWFZV0MxWVJTXzdfNjJwTnNzOVZ2dzhRWmMycTNtLVNNRmg2UVdMZlQyWmdyR1lEc2IzeDhTeTY2M3Q?oc" TargetMode="External"/><Relationship Id="rId120" Type="http://schemas.openxmlformats.org/officeDocument/2006/relationships/hyperlink" Target="https://news.google.com/rss/articles/CBMimwFBVV95cUxPRTAwX2I3bTZDVl9pV01IQmpzNnVBNHNIVmJPeG9YSHFKTzRDdDBvb1Z3UGlidHR1bTBpQjFpOVBqeU1uUGNkVmpYbTJEZjk5VDJubjFRX1M4NUJCMXl3UzYydWZnOGprbUVwdGxrOGFjZ0Zpbk5sYzFUeTNGWVpVQlFWRVhLWGlKVDJ4UHlzTHpCMEpXdkhYVVFNWQ?oc=" TargetMode="External"/><Relationship Id="rId121" Type="http://schemas.openxmlformats.org/officeDocument/2006/relationships/hyperlink" Target="https://news.google.com/rss/articles/CBMiiwFBVV95cUxPUzNpandmVjdfV1VUOHhOVEF0dmVjSTdHWlZxclFpMWVkak1ScURnTm0tbWdPVmhiSVlvcGRXOE1NTEpjdjBmYlA4ZU1haFkyUUdmU2FRRUNOLVFHejl0R3p0NnlfZUZobnBWX0ZSdXF4YWZfSnp6MjRnMnN2ZDVuNDFmM1RwUXB3ZEFF?oc=5" TargetMode="External"/><Relationship Id="rId122" Type="http://schemas.openxmlformats.org/officeDocument/2006/relationships/hyperlink" Target="https://news.google.com/rss/articles/CBMihAFBVV95cUxNMWVzLV8ySXBZbWFyd2pIT0w1ekVXV1hLOC1PTTFTdXRzVkZfT1Q3bmJEeUEtaU56bmsxOW9GclUySkpuMko5dlZDR3VLUGNic0VDTUNJRUJYNFNrNDVMNWJ1dHVNN2VBWWNQcG9NV210TldaQ3BlRUZQZUh3TG1LdDdWWlY?oc=5" TargetMode="External"/><Relationship Id="rId123" Type="http://schemas.openxmlformats.org/officeDocument/2006/relationships/hyperlink" Target="https://news.google.com/rss/articles/CBMiowFBVV95cUxNSTVxS0twcjFzLTIwd0VWMGdXT3ZqVi1DaXV2amh3Mlh2OTUwTGM3UXIwaFpXSGRCY292WHlsc1ctMTdnN1VNMEVyUTV0WEpobTZjdHBEcUJvR0ZjOGtDbFlEdmhQQ1RLYUNRRWNOT1N3aU1VWGpQRXJndEl1eEFVbGxuLXFPdDUtNFJiQTRTRmdyd2hQdHE2NFlJMldNaX" TargetMode="External"/><Relationship Id="rId124" Type="http://schemas.openxmlformats.org/officeDocument/2006/relationships/hyperlink" Target="https://news.google.com/rss/articles/CBMi1AFBVV95cUxONS1zckdtNWxHUTN0X3lhODNtRV9XUkdud1c5eHVMQ0dhVlRVUFc0Z2o4U1ZFVUFEXzZLTk5VamprckY3NTRVRE1xeGhTWnJfaWFrOWNnTzZCRU1aZU5VbHduU1JPOW9NbFNCeWhBTGpyTGszZ1RHVGtkNlBON05rME9VbWU5STdGRVdkaVpTMmtLVW1vdndqSTJxUmJVQz" TargetMode="External"/><Relationship Id="rId125" Type="http://schemas.openxmlformats.org/officeDocument/2006/relationships/hyperlink" Target="https://news.google.com/rss/articles/CBMiugFBVV95cUxOS3cwMjFqaWNMSnBVUlRRSXZDSHB6VEJKbU03V0hRVE83Y2l5N1VDRVhqLXVSLTZQOEtVVTJ2RC1vTkRVLVZLVm5peXQyMm5vNndwc1REZjliZWpiM2NFckJKeEprNl9kb3NyRzR3aWRZcUVQUzNQemVpdFgtdi1oV2I5dVh2MmE3V21hMi1UWkh6eEsyb0JNVFBWZ1RJZ1" TargetMode="External"/><Relationship Id="rId126" Type="http://schemas.openxmlformats.org/officeDocument/2006/relationships/hyperlink" Target="https://news.google.com/rss/articles/CBMirAJBVV95cUxPMkpZa3J0aXZKSUtTU2tDd2J4OFFZTGl0NHZLSjhraGlzeFpNX3IyckM3LVdxQ3ZlU05BNmpFT1ZwNlRWY29tUEhTcjFKTnhsS2Y4X3pRMVU4MloyT1NmWDhzRmotTzN0bjlqYkloNmFlWHFCaW9NRmt3cmlsU2I4ZlQ5Rm5HU3R1dUVMalJfc2NtOG1KYUJsblFqTHRBbk" TargetMode="External"/><Relationship Id="rId127" Type="http://schemas.openxmlformats.org/officeDocument/2006/relationships/hyperlink" Target="https://news.google.com/rss/articles/CBMirAJBVV95cUxPMkpZa3J0aXZKSUtTU2tDd2J4OFFZTGl0NHZLSjhraGlzeFpNX3IyckM3LVdxQ3ZlU05BNmpFT1ZwNlRWY29tUEhTcjFKTnhsS2Y4X3pRMVU4MloyT1NmWDhzRmotTzN0bjlqYkloNmFlWHFCaW9NRmt3cmlsU2I4ZlQ5Rm5HU3R1dUVMalJfc2NtOG1KYUJsblFqTHRBbk" TargetMode="External"/><Relationship Id="rId128" Type="http://schemas.openxmlformats.org/officeDocument/2006/relationships/hyperlink" Target="https://news.google.com/rss/articles/CBMiygFBVV95cUxQbWpIcURPMVBlN2dXR3pqMnZuaDJwTXNpb3NuNWlVLVF3d0QtaHhMT0hvZnBGRXZXVGR4RmtNT21vWGlQdVRsdmlVRDlPQlFNTUtDUUFkVU5aN21ZTXY2QlB4SnUtT0JCckdXMTMwUl9aUnF0Ql9xLUlnYy1uNE4yRGpCc3E5Wk1WM0FaSDhJUi0xQm1CTjBPdUh1ZjF0aU" TargetMode="External"/><Relationship Id="rId129" Type="http://schemas.openxmlformats.org/officeDocument/2006/relationships/hyperlink" Target="https://news.google.com/rss/articles/CBMijwFBVV95cUxPbHZPRG1TRnoxUDMyUVFrNDRQeDRfeVdPdng2ekNRYUxvNGdQTDhEUXdTVXNYNk81S1JkTjVQdFAxN19fWE1pQlNYSnpHU3duSnVIcTJLV0NIazZCZldqSUwyTW5id3pJVUJ1RS0xQk5tYU9ZblFpOWN2RGpwQnU2RDFXZVZZN0pfQWVfYTNzUQ?oc=5" TargetMode="External"/><Relationship Id="rId130" Type="http://schemas.openxmlformats.org/officeDocument/2006/relationships/hyperlink" Target="https://news.google.com/rss/articles/CBMiwgFBVV95cUxPcUZaSVVrLUlyclkwcC05MDlDcUFfbFduLXBvWFYzU19UUnJYaVpFUWN2bWtTWFh1Wk9PeUxTOFZlZVd2UklyLWlwbXRnOTEtUWM3YmJVWFNlVUFPZ1RSWm1XU2JFUGZhUFptOXlVSWlMQ01neDF6UjdsLVRlNnpWcEp5YTRqZ0RJNTZqMDlMQ1dFQWxwRXp1U0JaalVoTT" TargetMode="External"/><Relationship Id="rId131" Type="http://schemas.openxmlformats.org/officeDocument/2006/relationships/hyperlink" Target="https://news.google.com/rss/articles/CBMitwFBVV95cUxOMXctcGhaQ2lQLVM1Rm1paENIYk5vWWNtRGhHN0Nic2M1c0tsNVJrMVhpellScThuamxielQ2RXg1c3ZqOVZVRkxpbHI1QTg5ampuNV9iWHVTSTdxQUlaaUFLM1pmSnl2RGJqam12N1NBX2Qtazd1TmhZRmUxbXJiLVdZUkJRVWtkcVg1MmRaaHJlbjlHc3JwSWk5UzFTOD" TargetMode="External"/><Relationship Id="rId132" Type="http://schemas.openxmlformats.org/officeDocument/2006/relationships/hyperlink" Target="https://news.google.com/rss/articles/CBMimwFBVV95cUxOMzFidV9lOURlejVsX0FSNmFoNFhGMGFJSVNHMFlCZmsxMWVsVV9lLVZNX3BvaEx1blFUN2pxTHAtUFhGOVdXV1kxYjRTMmprdTlONFhWU3dzRzF4MVNTTEZZcXYzSXY5RzlKSGRuenpuWHRJQzJsUzVacFlIazV4cWxqSkloUlZOejBKOXlQTERHckp0b2E1YUZMbw?oc=" TargetMode="External"/><Relationship Id="rId133" Type="http://schemas.openxmlformats.org/officeDocument/2006/relationships/hyperlink" Target="https://news.google.com/rss/articles/CBMivwFBVV95cUxNbW9VM1R5MGNyT2xWQkoyeU1aRnpfYXVoMnllQUJ1MWQwR3JaM0pEd2NUdlEzdWRPR05OWmp6RTVaVEZYdjl0Q2NsbUVzaHYtb0huNV95WkhnRDFLQ3RPUjNXaXR5TTRhTnl3X1J1X3cwRkxvYTZzNWNxSWhDMmdkdWdwSGxRZnBzdjdIRHc0bkZYN0J2al9uY2tPcEF1NG" TargetMode="External"/><Relationship Id="rId134" Type="http://schemas.openxmlformats.org/officeDocument/2006/relationships/hyperlink" Target="https://www.gelonghui.com/live/2726012" TargetMode="External"/><Relationship Id="rId135" Type="http://schemas.openxmlformats.org/officeDocument/2006/relationships/hyperlink" Target="https://news.google.com/rss/articles/CBMia0FVX3lxTE8zUWlWaU1rQ2VLNHVZVUhOMnVxUkF6aWJJclltZFMwWlBQaEhSeXVUSGR4ZHMwSzJWREQ4RjEtYTRIdlc5ZjhnVlBha2pnV2pkZjV6Qk1CUkRjMDZDcXMwWGRfeWt4Qm55UVdR?oc=5" TargetMode="External"/><Relationship Id="rId136" Type="http://schemas.openxmlformats.org/officeDocument/2006/relationships/hyperlink" Target="https://news.google.com/rss/articles/CBMiggJBVV95cUxQM3BGOEd3QTluNlhDN1RkS3liMHdsQVZfWWVlLVdMcDZPVmxXRWVtZ2MzdUp3el9WcktERDN0V3hBR0F3cTZIajJ4ekNzUE55Z0tackw0ak5XQWxZdmNQSEJmMUMzb2E3dlBMR1hRWl9aVXdOOWUzYklWMnpmVUFUdTJDamRPbFJ3ZFA2aksyRWxQMmpWSHZ0UFFQeHNPSH" TargetMode="External"/><Relationship Id="rId137" Type="http://schemas.openxmlformats.org/officeDocument/2006/relationships/hyperlink" Target="https://news.google.com/rss/articles/CBMi6AFBVV95cUxQYUJHV0NfTmVjc2U1c0JhcFVzVEZNTWRTRkVFcHR1ZXh0NmQ4YVBHeGRzRU9iNVctaGozZkZvQ2E3c0dxbVJQQ1RCdE8wM2hCa1IwenFackZPNUhhTW5TLVlleHhhVnF3RGFlVmNlSGo5cnd5OHh2WElYNGhCdFhkWERLZlRLYTdiQV9EejNIdUdFUmFVX0JMWUZHMy15aG" TargetMode="External"/><Relationship Id="rId138" Type="http://schemas.openxmlformats.org/officeDocument/2006/relationships/hyperlink" Target="https://news.google.com/rss/articles/CBMihgFBVV95cUxQUDZvUzd4el93YUZxd3l3anlJa1NsaTNIdGNzMlp6YzVNcHJzY1dxRnpGclBnODJmVHlxS1YzLTRicWM3NzBxTW45ODFEeEljVE9oSEUzb3pDenQ4WDdydFJWSm5Dbmt5MjF2Q0ZHS3pFOWpZMmctSGw1U1VCWDlRTFVfcmV3Zw?oc=5" TargetMode="External"/><Relationship Id="rId139" Type="http://schemas.openxmlformats.org/officeDocument/2006/relationships/hyperlink" Target="https://news.google.com/rss/articles/CBMinwFBVV95cUxOZk9nVUw2SE9ZZWU4N0NUMzh5Wnk3TU9kekFaOHBMRjZSR0F0X3BZdEtQMGJlZGFiWXRkUno3VTJheDFjYkhYV2NPRTNjaXRSN1BZVXV4aWRqenZmM29iN1J4ZmMyd0RMNGx0cElNcllFaTBqRlpMWk1uZ1MxcDVVZGZvZTRRZnFLaWZNYWtDb1RZYk8xWm01Nm9KSnd6Rj" TargetMode="External"/><Relationship Id="rId140" Type="http://schemas.openxmlformats.org/officeDocument/2006/relationships/hyperlink" Target="https://www.gelonghui.com/live/2725869" TargetMode="External"/><Relationship Id="rId141" Type="http://schemas.openxmlformats.org/officeDocument/2006/relationships/hyperlink" Target="https://news.google.com/rss/articles/CBMi2wFBVV95cUxQYzBCTENBVjlqT0lTOFNzQ19ONm1GTmY5X2NHOFVIMkY5RXBreWVpa0k3b21fSEdacDBGZnlLOUFZTkZGMkRpNzE0VExOOXFmdmg2SFdvVXpLMnBSNnE4Nmh3WkVFT0dqUWlCZzQ3TFloZG1UTDYwemQtTk1fNTRRcTlYeWFjWklYeWRXMFF5ZGYxbUpuX0RpcEVTRXUzOU" TargetMode="External"/><Relationship Id="rId142" Type="http://schemas.openxmlformats.org/officeDocument/2006/relationships/hyperlink" Target="https://news.google.com/rss/articles/CBMigwFBVV95cUxQc2RENm0zODZKVjBqYVM1ZHZLaEJydVNwaFFvcDhYeVBFSHZQNjM2eEVicWZEMG8zU0RLUVJpcW0zTlBjTDNCd1dBYmVBQ1FaaHE4VUxQSHN3MkQyR3RxOTJ0UmVMRHQ5ZExYS3o4d3lDeldWcVB4Tjkwd0hpRXFNcngtWQ?oc=5" TargetMode="External"/><Relationship Id="rId143" Type="http://schemas.openxmlformats.org/officeDocument/2006/relationships/hyperlink" Target="https://news.google.com/rss/articles/CBMingFBVV95cUxOaXBhc25GOHo3OUxDNGVsa3VWRGlfSHY2X1JOS29xaEVJZElNVmVmRVlOdjFrcGp0WmVXbW1BU3c1Y1lnYVVZSm5kMUNYSktDcy1EZTBZejZ6VmZvT0xBanl5dTJQOWtYOW95Y0dGYW9rdkMzaExjRG1BbUY3OHVCMVgxSE9PVXNSbVVrbTl4WEpBOFBOMHBJTldXeWNMZw" TargetMode="External"/><Relationship Id="rId144" Type="http://schemas.openxmlformats.org/officeDocument/2006/relationships/hyperlink" Target="https://news.google.com/rss/articles/CBMipAFBVV95cUxQVm1pT2YteklkNEt6SEJnZFdOR3c3SUd6T3I2bjNEeGtyejdUWjVrZXJjbHlyaTh1Q0QtSHFkOGNNV3RodUN1NUpnS1pnaTJ2TXN5QTZzTVM4VUVkbVVuNWcxdU1BQi1tRkRzdlJNeUUzNVktRFBaNHdsUWZnRVlVajc5bENuYk9vWTF0TWtINkl5ejNRVGVEVzlWdWphej" TargetMode="External"/><Relationship Id="rId145" Type="http://schemas.openxmlformats.org/officeDocument/2006/relationships/hyperlink" Target="https://news.google.com/rss/articles/CBMiyAFBVV95cUxQczllUkU2QUQ2TXR2UklteGV6azI4QVQwanJCVFFSd3BJZW5GaGVfMF9hM0xxaXVRZXFNZFM3Z21SMjZkdmFPNmU5SENyQ3EyTndKQ25QRmR0MEJ5R1VueFZ6UkZOQVliTTBHbm1NamN5bGFwU0lUclZ3c1YwYTJ5b3M4NU41Q2JoaTNuT2IzczlFVGZNcU5DUjJOTTliUk" TargetMode="External"/><Relationship Id="rId146" Type="http://schemas.openxmlformats.org/officeDocument/2006/relationships/hyperlink" Target="https://news.google.com/rss/articles/CBMitgFBVV95cUxNUnh2RG44RjNWM3ZRMWROcnFkWll4eUFsd3hObG5ZOVFCdmFKeG8zQzE4eEx4di1Pc3VjM3pCVTZDRmhkMEcxd18zMGFTd0pManRPTlNydFlxOENySEFMaVNONC1rdGlLTFJQeEhVSlFxbDdHUXRwWmxlTnIzenJTUGZPNjhscmItdW5TdmYwSUZ6RjFNaFhzUFJ2R1JIWD" TargetMode="External"/><Relationship Id="rId147" Type="http://schemas.openxmlformats.org/officeDocument/2006/relationships/hyperlink" Target="https://news.google.com/rss/articles/CBMi0gFBVV95cUxNRzBpbkN5MzVtRkQ3V2s5MFF4MjlSa3l6ejg3Mk15UG0xYUNlR2FKMjlvT1VWNzg1R2wtRDR1YlVvSTktR0lHQnByUGxVeHZJZDluSi1oVC1CLV9hTmM3bTAwcVpSbGNCb08xWkxCUTM4cjVuX21iMXdCR3pFVTBUVkd2bmozbnFfNmRmR1F3dklOaWZhUGZNYV9qWEZLSE" TargetMode="External"/><Relationship Id="rId148" Type="http://schemas.openxmlformats.org/officeDocument/2006/relationships/hyperlink" Target="https://news.google.com/rss/articles/CBMinwFBVV95cUxOSlllWVJmdGdRYXJ5UVZfdk9LQi1sSWp0Y2ExQ0daMFVuazZvcFRiTEZHZWtNOWF0cW1uVGlxMmwtNENzSEJfblZfYkc1Sy1Sb2tiM0RVbFZkWGloZE9JcUdjZlVILXBIakRjMnlSNUZaa3lNQ0dnVzg1SzFzVkEzSkx2dUU5SEFqM1J5TTg1eldOTzFlQ1NhVDRzeDY0Y0" TargetMode="External"/><Relationship Id="rId149" Type="http://schemas.openxmlformats.org/officeDocument/2006/relationships/hyperlink" Target="https://www.gelonghui.com/news/5330577" TargetMode="External"/><Relationship Id="rId150" Type="http://schemas.openxmlformats.org/officeDocument/2006/relationships/hyperlink" Target="https://news.google.com/rss/articles/CBMiZ0FVX3lxTE5oTGdGdjBaVnRVYU43c0o2YTBxZllXMGFWQnVfV1huN19hUHhwV3dONU84YnpkSGV0Y2Rtd0J0QjFTYXJCR2pkNXdrMGZ6amlVLUZGZHB4MXg1d1g3dURtX0lITzYwZjA?oc=5" TargetMode="External"/><Relationship Id="rId151" Type="http://schemas.openxmlformats.org/officeDocument/2006/relationships/hyperlink" Target="https://news.google.com/rss/articles/CBMijAFBVV95cUxQV3FiMUszRDZ6UXVjX3NjTHJUNzRnWjBaaE0yaWJ5Mm5iNXlCcFFxNURUQy03LWRKQ3F0ZWh3cWw5bHNmcVF0ZUZqM3NjbUNSQUtJc1kxdHNfNnZPUjRISTM0NmJQS2taN2pCeGFEak0tZy1xSmlTNWhYb3EtRk9OYmdZUUd4SzctMmluaQ?oc=5" TargetMode="External"/><Relationship Id="rId152" Type="http://schemas.openxmlformats.org/officeDocument/2006/relationships/hyperlink" Target="https://news.google.com/rss/articles/CBMiggJBVV95cUxNT0I0YmlUako0c1pVYjF6R3VkeEttbElma095bk5JeVNrb3ItXzdqNlNvWUkyaVU3LU1UVGpVQXk0eGNaSElKcERJSm14QjZyeFpfZWFrS2tXTG14Y2tQUWNEUGFoT3JuQUpSN3Y0b2R2YTlxc185M3VhSVgwS0VhTW1HMFBBZ3lsTXotSUt1cGxWcDAzTHE5Rm56cDBNeG" TargetMode="External"/><Relationship Id="rId153" Type="http://schemas.openxmlformats.org/officeDocument/2006/relationships/hyperlink" Target="https://news.google.com/rss/articles/CBMixAFBVV95cUxPLTZMY0NET1A0Qkg3NlpHdFhHRW9BWjJEQmVwMmlFR1BqaXRQSGhUaXNnS1RSZkFtZDF2aUxydXZCaF9PRFFLdDFWMHhrY2N5bDZSSVhBY1JUWUJ5aFI4MGlHOVZLM2ptV09VelNjWC1wRFJ1QTZ0eEJ4VUhxZGNmbTM4VGRmTExpRlcwSjJyeEVKVXpWSVdDaHhOc1dJeU" TargetMode="External"/><Relationship Id="rId154" Type="http://schemas.openxmlformats.org/officeDocument/2006/relationships/hyperlink" Target="https://news.google.com/rss/articles/CBMiwAFBVV95cUxPaUx3YXY4N0NRcGt5RlhKODZFNWk1bC1Ub01UdF8zNU9FVzY4ZndYZlFSOFp2QWd1MGp0TmxicW9UcjhHVUd3Z0xJWDRMLVlDckYwSEh0U2hUdVA3MHJkRmRpbGRfaUdXRUhmdXo2RUJGVkEzUDN0Z0J2MVBlZk5waDJaTy10VVlOellFQW5aZnZtajRZcE5zaWVmTGo3Tn" TargetMode="External"/><Relationship Id="rId155" Type="http://schemas.openxmlformats.org/officeDocument/2006/relationships/hyperlink" Target="https://news.google.com/rss/articles/CBMiiAJBVV95cUxPWml4V1BLd1R4WVZ6UE9YZXFONUV6QlQ0TG1BTmNwQ1pabllYSTV4eEhvdFdwYmdwZnRYT2FBQlJIM2lYMHZEMXhNUU5PYlpxV2p3VldkQWxQVkZFUk55V1QyT2lmMVI2UjFJdmNDOHpVd2lRdjdnYWJMak1OODlUNGJrc092cVJ2c0haTWRHdVlxN2RKMG82SUtvNUg3d3" TargetMode="External"/><Relationship Id="rId156" Type="http://schemas.openxmlformats.org/officeDocument/2006/relationships/hyperlink" Target="https://news.google.com/rss/articles/CBMilgFBVV95cUxPSjRxalhpZi1VU00zZ3M5RV94SkR5ei1CanFtWG50WlBMVWM3TnlMU24zMWNCWGxMekJlT0NKeWJldmJlVjc3Vk1HVV9XRUdFMHBZNGhRSjU0NmRFa3M5ZW5OUHdManZLODc4TmFVVGI0ekg1ZVc5cnk1c3pqUVE3dGwwc2ROdW91VXdXbnpsbEdnSFRYNkE?oc=5" TargetMode="External"/><Relationship Id="rId157" Type="http://schemas.openxmlformats.org/officeDocument/2006/relationships/hyperlink" Target="https://news.google.com/rss/articles/CBMipwFBVV95cUxPUkphR1hIRjZCZmRDWno5Mjk1d3kzc2RoZTRhQTJZc0czRjBFWTFISDltT0pUVDdQTUxvSkhjSkN1bnB6cHFBSEJENmxQRGgxRl9vSjJqeDRRS2Y2anZ5b0I1QjRLeGxlMkRVWVRqSnJzcTliY3oxeEdqc3dIVnlXVmxyS3QzTFNNbzdRamEzQTVqWnBvYi11WU1EVm9GQk" TargetMode="External"/><Relationship Id="rId158" Type="http://schemas.openxmlformats.org/officeDocument/2006/relationships/hyperlink" Target="https://news.google.com/rss/articles/CBMiwAFBVV95cUxOb2Y2WkRPNGo2MGcxVGp1WFlZc25Pckk1WVdtYVJxS2Y1cFJVbVc4LURCUmktRlV2MzMxcWMxWHJJeVJGQy1MeTFLcWdsNS1fNVpuS1V1T05JNmNVUWF0Nm9JTXRMS1VCQXNwU19pR3daNUEtamN3elFVc1lTcXpTRUJwS3h1d2I5djZZS2JQRFZjaWZNeVlYbmRUejc1b0" TargetMode="External"/><Relationship Id="rId159" Type="http://schemas.openxmlformats.org/officeDocument/2006/relationships/hyperlink" Target="https://news.google.com/rss/articles/CBMimAFBVV95cUxOYlN2SjFJR0FGaDZTMlhFSHJLaW5UT1VMdDZua2kyUDRFRG5LUVZHOXlnQkhkNUx0YlFmUUtlZW4xbnVySWp1QWRnVUhZNmNOMkRZaFluYlcyU0lMaFowZHhjZ3hhNFFYUjdTMzQteVdJVjF4OWZPNlFjTkpjV0JQZW1mNDJsM043Z0N1eS1zX3VGM0ZDX3RlVg?oc=5" TargetMode="External"/><Relationship Id="rId160" Type="http://schemas.openxmlformats.org/officeDocument/2006/relationships/hyperlink" Target="https://news.google.com/rss/articles/CBMinwFBVV95cUxONXU3QVFNUDdwTmhZTGZOLTNlS3l5enZ2RG9uQ2hYaUE4QVhzb21UU05fNzNreDFZUl9ydFZWcGRmdlJETWh4MEpCQ1QxdzhVUml1VjNiYmRjVUVGR0dVUm41dGVpTzBxVHNrZXdYeWlZbGFTbTdrUENTRUpqb0JDX1JWeDFxRDdENHpZcEdTQ3VqR3lEcF9lVGJVczFodT" TargetMode="External"/><Relationship Id="rId161" Type="http://schemas.openxmlformats.org/officeDocument/2006/relationships/hyperlink" Target="https://news.google.com/rss/articles/CBMikgFBVV95cUxPZDd6UFBPX1dPRG9Za0FqSDRLcDZqSHlaZ0ZSMGIyRGUxUXJZQ1Z6d0Vua2NaV3FiYmdNalpPZGpzT29lbUNjXzMyUUkycnZHY3Jwa29yX2ZlV2xCTGQyNzVmU1J2YUhJR2FLYVBudUdzT1gtU1M3WjRVU1VPUlVJWjNNeTd2bmIzUkZiY0EyMTVRdw?oc=5" TargetMode="External"/><Relationship Id="rId162" Type="http://schemas.openxmlformats.org/officeDocument/2006/relationships/hyperlink" Target="https://news.google.com/rss/articles/CBMilwFBVV95cUxORGFJOXdWcXdnRnI1YjJGcV91UjFFVmdCamE3LWFaSEtoU0JicFRiUXY3ZjlYblR1VERQdUJMWW5iNHlmZFFMVTE0b0dhRlhIUE5YRFF5OVBaUEFSMU9EMDJXOEkycGx1by1aTjVsaUYtdGc2VFdiRmNEOS1EOWltcFNZYVNVeWdoSlphOTRMNlZXNGE2OTh3?oc=5" TargetMode="External"/><Relationship Id="rId163" Type="http://schemas.openxmlformats.org/officeDocument/2006/relationships/hyperlink" Target="https://news.google.com/rss/articles/CBMiiwFBVV95cUxPUFlTNjViUDNjdlV3bnNuS3lOR0JkSjJYVEIxYkthajhIOVR1Vzh0N3FyUkdLR3lSOE1Sc3RGQmViWUNKWWVNY3hZekk0c3ZhRFZudXBGcHpqNmFzd3hXa1l5dlFhNVVSSUp4aHRzQ0JKa0djQXVGRF9KQTh5eDZRNTlBRE94RTFwemtz?oc=5" TargetMode="External"/><Relationship Id="rId164" Type="http://schemas.openxmlformats.org/officeDocument/2006/relationships/hyperlink" Target="https://news.google.com/rss/articles/CBMiYEFVX3lxTE1jVTlIMHI2MlZXejNFZ2MtMlh0YTBkUkZfcTFXZ2hxMmdab05KUFdrb09iYWRkUktwWTZkVDlpTXA0alVSR2JIdjlzQjF5LUZ0dVd3ZWtZeDNNdVZBSDhxNQ?oc=5" TargetMode="External"/><Relationship Id="rId165" Type="http://schemas.openxmlformats.org/officeDocument/2006/relationships/hyperlink" Target="https://news.google.com/rss/articles/CBMi2AFBVV95cUxNbllRUmo2NVNJM3oySldvbVNBVFhWUjVhXzlZUElMZVB3ZWxscEJFX2ZjOWpxOXRMSmhTWWZPRGpxSkxLOGVUOHR6R25iNm00VkdtNS1ENVJCbFU5SUlqdlBSUFFsckxUUzR5QjBDR2pkeW9hYVVPd1MwMDBHNy16NkdyMW9oMUU3dE5ybEZJSDVlblZqMEU4WGFqV1VXZU" TargetMode="External"/><Relationship Id="rId166" Type="http://schemas.openxmlformats.org/officeDocument/2006/relationships/hyperlink" Target="https://news.google.com/rss/articles/CBMi1AFBVV95cUxPY1VxN2g2cFRPY0g2a0FDVVNac3A0dU1HZlhVQWVXbnJUVHFhdkJoUTdiRjAxYUg5MkVXbEh0UlcyTW12a2dTUFloNkFtRllBSGdjcFVSVUJXak5QV2ZTQlRqeXNhRkEyYUZxdDNwajZMWi15WnBTdHBkeWNQa2ZoaVBGTFlEVExpNUQ5MlhxMjl4cDB5VUNrTnZaa2c3S3" TargetMode="External"/><Relationship Id="rId167" Type="http://schemas.openxmlformats.org/officeDocument/2006/relationships/hyperlink" Target="https://news.google.com/rss/articles/CBMihAFBVV95cUxNYWJ5UWQ1ODNqeVItblBUeG5Ec1N1Wk9zdkxBS19RdFZORC0xWDlRY3ZaV3hzOC02QWJMOEpZZ0RxWGg5cTlseHctQTVTeEMtTVg1eEtNWk9WcEVTdlRhSVRsSkJkb2dJNVlnMExUOHFVckI3LVdiaG1hSkRZR2VDby14VkI?oc=5" TargetMode="External"/><Relationship Id="rId168" Type="http://schemas.openxmlformats.org/officeDocument/2006/relationships/hyperlink" Target="https://news.google.com/rss/articles/CBMiywFBVV95cUxPc3ZCMVdOWXhOSlRQbGZ1OTZSR25vZjhnZjJOZW1XWXVwVTVkcmJyc2JCVEw1UjJjOE1PQ0NabmctdnpFTnNMRWdaV1k3c3M5SG5EeGY3YU81MU9MVDNtZnc3N1NhSWdPalFqSVBXczIzZ0VSV2RtTTM4bHB6RkVOY0hTbE5NR1g2S2FTUTUtM3dGeVh1SFNBdFZ6bEQ1en" TargetMode="External"/><Relationship Id="rId169" Type="http://schemas.openxmlformats.org/officeDocument/2006/relationships/hyperlink" Target="https://news.google.com/rss/articles/CBMif0FVX3lxTE5JZXhQT2d4elFlay1iTlBZY21nWElIRUZvbXA1a3ZtYlI3ZHczWTBNNUh5TU5GOW9TUUVKbnFfekdaT2ZMVjlQWFVndTd3NEF1ajZncXJJM0NkNmRaVWhoUk0tNFMyTnlodUVZa2tpRFQ3emFwZGNSREQtVzhIbGc?oc=5" TargetMode="External"/><Relationship Id="rId170" Type="http://schemas.openxmlformats.org/officeDocument/2006/relationships/hyperlink" Target="https://news.google.com/rss/articles/CBMisAFBVV95cUxOMVNSeWN0SDEyRWxKeXE5NzBQbGFlU3lmcEtlRzlpZTZsRzhQN0gwcWlCOHZPbmhlcDBfNFF3Q2tBUVVQNEdIdnVkeDlmSjJzN1BfZmRQQ0g3OEpUM3Mza3dzTThFcHJBQnNsbjFrd0RDSjRUdTAwUEdzbFBsenkxWnpYaHFKVGZxNjNrZzRESEVKSWVnNUFpTm5VemxfRE" TargetMode="External"/><Relationship Id="rId171" Type="http://schemas.openxmlformats.org/officeDocument/2006/relationships/hyperlink" Target="https://news.google.com/rss/articles/CBMiygFBVV95cUxNWjN4eGpjaHpwQURRVy1NS2JpN2N3eTNhSVhDaDBPQ2g3ZDcwQXk1a2pVT2VkMUh3RFBkS3dCekZwQ1A5N3FBaXYwLTN2YkRvWGkxYzdkODNEY2JKT3BVUXplU21fb3h4WWE1akFocUxzbVJjTHpBaExxOU05ZEdyUkVZaGhiMEgxYzAyM00yNUtVNXFZOHRPcjZOa0N2aj" TargetMode="External"/><Relationship Id="rId172" Type="http://schemas.openxmlformats.org/officeDocument/2006/relationships/hyperlink" Target="https://news.google.com/rss/articles/CBMiowFBVV95cUxNYkVfZjNXSnBwRFVBb0RQV0RhVjZtZm9GVzh0cEF6czZ2WVJUUHRQMzN4THZHalZ6b2lZRzNBTzMxZXloX2h0QWxRY25ZQmlYbmVCT2lZbi1YZnBjb3lTSUxZVlhJaUo0cEpWcDdfZkRQb1Y1eTRMTi1UZmJ1bTRlT2FpbkZua1pRdlRmVW1TMHB1SzNGWjBrUWlYUElGLU" TargetMode="External"/><Relationship Id="rId173" Type="http://schemas.openxmlformats.org/officeDocument/2006/relationships/hyperlink" Target="https://news.google.com/rss/articles/CBMi2gFBVV95cUxOUjlsOGU1UkhucnV4dW04eWY1WDk3UVM1dUV4c2NoVHRJNjRTc0cxZ1JKUG9YbTBLT3poNW1xRklDOERCcHZ0S0lYenFMYmp3Qnl6TWJkZUMtdDZwMjRod2NsOGQ2dkZFYUFqamZMOW00RWc2OG5ENkl5a0J6WlBkS1lOY3hGbzBqcmpnMjdHbTREVE9fLVNFNFFnSFlnQW" TargetMode="External"/><Relationship Id="rId174" Type="http://schemas.openxmlformats.org/officeDocument/2006/relationships/hyperlink" Target="https://news.google.com/rss/articles/CBMilwFBVV95cUxNTEozYmJxS3R4MXljcUZNZ1RCdndTQkRMaHpGYlk2VVpOSEpacHF4MEVyb2JUREhCR09tTWVOcmdkdGNQWHlrc0poUHRjUVItdU0yMDNieW10ZFM3ZEVacGVLMEpJTzJlV1BSRG5EUWM4R29NWU5vaE5DT090eHRYcWFUT1kzcHFnVlBOc3pVcHEyVGIwMXNR?oc=5" TargetMode="External"/><Relationship Id="rId175" Type="http://schemas.openxmlformats.org/officeDocument/2006/relationships/hyperlink" Target="https://news.google.com/rss/articles/CBMijwFBVV95cUxNaU53STNpci1OYk1FLXZRekc4QmFFamRBdUpVc3U3YnYxdWNCbVhsbUR6SjZTMWVhZTR4NEZEMkp6a01tYXRiZnFEc0ZlMHFvR0NfNlpBb1FhcUxpcWtTNzRpMTRubWR1VndjQlBLbVpCcEZ3dWpWQ2ZXMC1TVjdQWW9pRmJJbGt0OVRnMUNoMA?oc=5" TargetMode="External"/><Relationship Id="rId176" Type="http://schemas.openxmlformats.org/officeDocument/2006/relationships/hyperlink" Target="https://news.google.com/rss/articles/CBMipAFBVV95cUxNX3pLSUdEZzRCY3dUQUtRYVpaMTZZcFk1WVRPeDBfaGpXN041amhwbWhOLVJ2c3dBQ201OW1Ud0pCZ2ZhcUNYemU4V2dQNTdSalB4TzNVam84bjUyZWU1M0lId1p0cE85dVRPbU50eEhXNkl5TWl2YXhjaTA5V2VSbXVEYW45eXBPM1RBbG9od1RtQW45T3BNd0RrLXhYWX" TargetMode="External"/><Relationship Id="rId177" Type="http://schemas.openxmlformats.org/officeDocument/2006/relationships/hyperlink" Target="https://news.google.com/rss/articles/CBMixAFBVV95cUxNM0xESXVTR1pyNGtpRUVQWGNpY09jZzByaWxrMWZITklsYXgweFl1MXJFM1Qzb3ZuV3AxaDdlTmpmR2FKWkdjOF9JOFVDU0RKYVRtWXVuSDlNVHVaZHp6RmRxQnBBNWhia2Nzc0ZZY0JjSEpwMldmWFZCY3pWLWh0eFRPN1NlOU9DX25HSkFsVnhpUTZJRVh1WTkyNktYQk" TargetMode="External"/><Relationship Id="rId178" Type="http://schemas.openxmlformats.org/officeDocument/2006/relationships/hyperlink" Target="https://news.google.com/rss/articles/CBMi6AFBVV95cUxOWEtwWHdfTnR2b3dCZmRvR1h0ZTRma3ppTEVlbmp4SnJrSjZVRjJObDYxeENVT2VDb2RDWHVEdFgzVHlmUlI3bEV1UGRJa2NHSmhicFY0SnVsaTZKdFRzOWJreGNMUGpsTnFYdDNYTzFidEFhRVh0czRoeVBKNmtvV0RaUHJ2WWx1MzRYS2M5V3A4bjFVNUlQNWk0UmphQm" TargetMode="External"/><Relationship Id="rId179" Type="http://schemas.openxmlformats.org/officeDocument/2006/relationships/hyperlink" Target="https://news.google.com/rss/articles/CBMid0FVX3lxTE1nQi13T29xek9HU3R6UEoxb19jUURZaW1TbVFYVndjTTUzemhRNUVubEJWR3VNZWZVQ3lTdUstZ1JGOXFUN0ZSbjRjUmNFdVhINTNzMzFjaGhPT21kWEZfeGFUNVFURW12bUg5cHY4UTdfUnZ5dXlB?oc=5" TargetMode="External"/><Relationship Id="rId180" Type="http://schemas.openxmlformats.org/officeDocument/2006/relationships/hyperlink" Target="https://news.google.com/rss/articles/CBMilgFBVV95cUxQWVpNTlNWMG1nZDRYdEQtU0RNY1dqZ2ZKcGxYRHEtUlFLUEJHTlkxM0ZFMVptcEgtMlRLNjNwSkJDTDFMMWhOWlA2WTAxYVhSUW9wNThVTVRSb2gxTTBGN1RHbUZaRnh3dGZNRGljWUJuZXpPekNlYjVfY3lWQUpmT3VtX3ZKcEhNN1FaMFowRDYwdDFadFE?oc=5" TargetMode="External"/><Relationship Id="rId181" Type="http://schemas.openxmlformats.org/officeDocument/2006/relationships/hyperlink" Target="https://news.google.com/rss/articles/CBMinwFBVV95cUxNb3hjNDZDRVZpT05lTHdHTDhvVnZNU1BCNV9WQmtabENuZVhmSlRMU18wVnhuMlNTVFZKcmNZMlJXdy1ONVg5Y2RGX0VXM0d1X3FDT01IOUpoMXBOWjM5UzJTUzFEM09Mb2toTDljYjRjVWs5VXhNYnNERjlEYmcyWHFSQU5SQzVSc3luSHNHdjFnSmZMNF91OXEyNklKSm" TargetMode="External"/><Relationship Id="rId182" Type="http://schemas.openxmlformats.org/officeDocument/2006/relationships/hyperlink" Target="https://news.google.com/rss/articles/CBMinAFBVV95cUxOR2laQVpvZ2xVVFZfMEZvR3VNeXZLbDJ2bWFENHpjWWt4ZUZHMDdRTkRLWFIyVkQ4djRjTmlhX0ZmV3ZKU1UyeVhrWVdlbTVtVzBDcW9uUE9SUFJrdlViRjVOZFhUS3JDbENORnp3V3hVdUdpbUlPZ3ctVEc0MWZtMUJLVkx3VDBxVTU5bzBpS2tSQnZPT3lEaF9sbl8?oc" TargetMode="External"/><Relationship Id="rId183" Type="http://schemas.openxmlformats.org/officeDocument/2006/relationships/hyperlink" Target="https://news.google.com/rss/articles/CBMizwFBVV95cUxOVzJ2aW9ORFdaMWUxMkpvN1dHamxzZ3VxbmlPR09nUV96RU44VDFqRU05YlZhcGpISERNSW1xbEQ5azh3ZzZVV0tPeHRlZjJpcUJBSU5hLWc5aEtnNUNTazN3bnBrQ05Vd21lLWpoRUNMNVFuajRieVZhaWFRb3RrY0lrYVhQMFZCMjFtd05nbktKVkRuU2tKYm9jRk5Ecz" TargetMode="External"/><Relationship Id="rId184" Type="http://schemas.openxmlformats.org/officeDocument/2006/relationships/hyperlink" Target="https://news.google.com/rss/articles/CBMiWEFVX3lxTE81NEtfSVhYQVZ2bHBQd00tNVdCTmFSLUVJVXJfcmxvdHI0M3JES0VpN3hHWFZwUm94ZHJpUWtzS21ndlJOYngzTzlyWUVzSld6WHFxUXhhU2o?oc=5" TargetMode="External"/><Relationship Id="rId185" Type="http://schemas.openxmlformats.org/officeDocument/2006/relationships/hyperlink" Target="https://news.google.com/rss/articles/CBMiwgFBVV95cUxQd0V0T21jTEhCdGM1SFpteVExRVJQbHpLQy1TaUJIUFdEbjRqbGZsS1J5YVYtaFV2RTlUX01yTENnNThXYXdMUzk5SDdUQUI3eFo3cWVFYk9adGRreWZNS181X2hubW02N3lHYkh2WkxXOUtyNHMySzlVa0lvTlczWWt4U0d5TTQzd1YtU3phUFBJLVUtVFpVLTYxXy03VF" TargetMode="External"/><Relationship Id="rId186" Type="http://schemas.openxmlformats.org/officeDocument/2006/relationships/hyperlink" Target="https://news.google.com/rss/articles/CBMizgFBVV95cUxPTnBMTHhrNDkxUmtwdUJ6MmdGcjJIcmN3blpXOTEwa3h1ckNKeF9MQkotN3N3SUFWemtzTW8wVnVrcFNLMTJYRnZwZGI5UGN6eHN6OHhndGFfTVlIbW5KTEFNbldHSFlBVzRCc3ZoY2lBaGREb2pxY1VTajFkQ0NYQ1duQ2stN3g3Qm51SGtJckUzV2pOX1pBWXItMXhtRF" TargetMode="External"/><Relationship Id="rId187" Type="http://schemas.openxmlformats.org/officeDocument/2006/relationships/hyperlink" Target="https://news.google.com/rss/articles/CBMiuAFBVV95cUxONC1KZFd5a0hNdzlpRDQ4MTNaQjVBRjVXV2N3LUFKTXJMVWZJSXpfcVg0WjhrS3VlenJvNnFwODVVbUJfOHh6OVFjazk1TS1zbHFhaDFKUjJZekk0clhvZFhEc2NBQkxJNFE2VS1iVFRJWUg5VDNQREtlYTN1VnNQN1YyVGVtdHB1N3BWUjhuRmdzeUNlb05HTHF3ZVlBMl" TargetMode="External"/><Relationship Id="rId188" Type="http://schemas.openxmlformats.org/officeDocument/2006/relationships/hyperlink" Target="https://news.google.com/rss/articles/CBMi2wFBVV95cUxPYXp4RjJfdnAyQVBDRDNjMTFTTU1UNm5ZQ0VYRE1sQ3U2Zk5CdTFsNXFTTms3MkljckFMa3dLMGEwMWZPUTJSVmNOZ3BzNERMT0l1RGY4MnZVU3NUNnoyVW5TMnd4S09wZEhtZzBnY0NqMmt2WjBwNDRRNmN2NUdwOC1ndGQ2cmk4R2MyMndYZGM0eW1lWjdEQUc3VS0ydl" TargetMode="External"/><Relationship Id="rId189" Type="http://schemas.openxmlformats.org/officeDocument/2006/relationships/hyperlink" Target="https://news.google.com/rss/articles/CBMilAFBVV95cUxNcE1vSDF1THRmYkpEVXR1cVRDbzVJUE1vRjBlbWJEdEdjZEhvVGt2aWNKcWxvVWs0NjVPaDBqVWpGbXlGaXJjMXlwTV9fLVQ2VVpsTk8xMmNhcXFvRjBWY1dQU3hvcUowdng2Y3dzYzVXZE1HT1RrWTZSRGlIa2Z4Tkg5cmRqSk1fbXBiRF9TSm9SbTYz?oc=5" TargetMode="External"/><Relationship Id="rId190" Type="http://schemas.openxmlformats.org/officeDocument/2006/relationships/hyperlink" Target="https://news.google.com/rss/articles/CBMiqwFBVV95cUxNclcxSHRqRzMzeGlmNzRLaXlCTVRJYzE4am9WcWhuNGhBdmROR0tqUDI2YWRWSF9JQkRGdTdyZk4wemt4eFg3NWNZMW1ydlRxMGphS3k3b19TNC1OY1hRX2NrYm1VMjJ5X3JyNVRERFc1blNtMXFFV19wTGpSNTNJeGJQbUJhRFBUbThTUzhGR3pvTmltMFdzQTJrbFV3N1" TargetMode="External"/><Relationship Id="rId191" Type="http://schemas.openxmlformats.org/officeDocument/2006/relationships/hyperlink" Target="https://news.google.com/rss/articles/CBMi2wFBVV95cUxOamtvQ0x2ZzVubjNkSm50Y09Mb0VYT3dXU3RDMTRqcll6U3Nra2Y1LU1ocEVjTUF1ZzZmY2RUbm9XNTcxc1Nzd1p4SEtocWZ3Q082eFJ6MlpDd2tMak4xUEhMdVlpLS1GMjJpN3RrNjZVaXBuQ3Y4WnJuVjhDejJRTkF0OWJicmlNbUo3dElXcm90dU9wSnVwSnBRc3l0Z3" TargetMode="External"/><Relationship Id="rId192" Type="http://schemas.openxmlformats.org/officeDocument/2006/relationships/hyperlink" Target="https://www.gelonghui.com/p/7135147" TargetMode="External"/><Relationship Id="rId193" Type="http://schemas.openxmlformats.org/officeDocument/2006/relationships/hyperlink" Target="https://news.google.com/rss/articles/CBMinwFBVV95cUxNdmF6SzdjMnRkN2lBZ3hyN00wNl9SQWRJTUE2NFBkdURHYmk2dEJVUGlXUFZLOFlfN3lJZkdoeFRzM0VkSHZNUi1ZY1B5a0g3bGF2MkU0dGhsLUtudTdmcndMYTJHVTc2YmczV3BlWEpHVWlyaXFUdmNxaEdQOXNBUFdUdlRudDNXeWxSblU2QnFPQXJ2X1RKRjVqUTAwak" TargetMode="External"/><Relationship Id="rId194" Type="http://schemas.openxmlformats.org/officeDocument/2006/relationships/hyperlink" Target="https://news.google.com/rss/articles/CBMiWEFVX3lxTE83Y1o5cm9NWG40QW9FWThxcm5DS215RDhYT1R6NXU1d3ctOGZJV2JEWHcxYlhZcVNHMW94YmhSdmZ4QUowdy1hZjVDdmhoeTY2ZWF3blZab0U?oc=5" TargetMode="External"/><Relationship Id="rId195" Type="http://schemas.openxmlformats.org/officeDocument/2006/relationships/hyperlink" Target="https://news.google.com/rss/articles/CBMilwFBVV95cUxOQ0lPeGRrV3h3SzB4RGNiRlI0T080NWRFNERCY29jTDl6R1lTcllQUm5rTGhRZmN0bE5WbWRXdk5YRkhVOEJBaWtDTlZWTU1LV2VPWnNONmtjb2dBc2lLTTNGY1ZveTdoQlJsRnlfZDBQYmpEczJra1J3Yk9hX0dYUEdHcXMwT2dQWXdFVEs5ZWQ5ejRQLS1V?oc=5" TargetMode="External"/><Relationship Id="rId196" Type="http://schemas.openxmlformats.org/officeDocument/2006/relationships/hyperlink" Target="https://news.google.com/rss/articles/CBMiqgFBVV95cUxNeXBPb1FKVWR5SkR5VjZpblZkaXhuZnNvRHNUV0NiU29JZVpfUXA4UUd0VVFYZVA3eXhQNi1wbDlFMklyclF0QklrMzQ4OWVlcEpBNnZRY0p5UVU1aktvcndEMEdKemRVSHNhS3NieUw0ZlBtMS0tRlV2Wkluak9BWEs5bVBhbzdGZ1l0Y0NJcXphWkFDQjZPXzZZbVZLMU" TargetMode="External"/><Relationship Id="rId197" Type="http://schemas.openxmlformats.org/officeDocument/2006/relationships/hyperlink" Target="https://news.google.com/rss/articles/CBMiuwFBVV95cUxNZ1BaRFMxUEMzYWJXT0JZQnM1ZC1RQ2d2N0UyQy1uOXFFVlduVS1FM0lfb3lleUpmTmc0R282MzlBZDh4YmtLaEFfUHpEbnZyaHljUFp5aWFEbWVjVkNMR0FqU0JqcVFRWTlMcjE1RDNheThRRk9HSTA0cWk1WnBteTB2U04zTEE1di1pRl9fTnhUZEk5LXExdkxDOUV0Uz" TargetMode="External"/><Relationship Id="rId198" Type="http://schemas.openxmlformats.org/officeDocument/2006/relationships/hyperlink" Target="https://news.google.com/rss/articles/CBMilgFBVV95cUxNXzNkLWZFUldBYkVaejRfTFZCSzh0NThRcXVWV0VMQXNhVXhiWHZ3LWd6UGMybEZHSVdTRVBZVlB1bnRiMmpGdG9ackRyZERjUElTQXFkSzlmc3cwalhiUVp3YzhZc3FfNzNIMDU1dEc2LWZUa2RaQmFkREQzU3JEd0FtTWJzclBPSm9RV0psbkRHTkhSMnc?oc=5" TargetMode="External"/><Relationship Id="rId199" Type="http://schemas.openxmlformats.org/officeDocument/2006/relationships/hyperlink" Target="https://news.google.com/rss/articles/CBMiogFBVV95cUxPQ2RqcGFpa3NyellMUTE5Rl9WenM1NXJaUnlZVXl0RlczakxUWWVoWGtlT2d4bzIybklvODhCUDl6SXBzQUIyU2pzN2ZOT29ZUWhRQ0h3RXJzX0FRNWJhUzF6ZzNMZ1dJQ05CWmZWMFRteUJKYUNacXBzSkU5VkNsQTN2WEs3OEhOX1ZxRUdMVGtRYnU3SmVBUGg1YVg0OD" TargetMode="External"/><Relationship Id="rId200" Type="http://schemas.openxmlformats.org/officeDocument/2006/relationships/hyperlink" Target="https://news.google.com/rss/articles/CBMifkFVX3lxTFA5NURqTmpCcHZYdDd1aFozTU5HdVA2WG1RMHEtLXRvbFNwWnhqMi0zWUowU01MSnoxX1VrNXl6MGJZZ0NGd0lUbmN4QnkteTlGb3V2UEpsTmhaMHZMRUJkWU51a2ZsYTR4SENQaGJtTmg3QTZwcTNJUnppd2Zidw?oc=5" TargetMode="External"/><Relationship Id="rId201" Type="http://schemas.openxmlformats.org/officeDocument/2006/relationships/hyperlink" Target="https://news.google.com/rss/articles/CBMijAFBVV95cUxPeWRJb0ZHT0djOXl1Q3NrUnBUWXQwaHBGazFHLUpxQnJDWkV3WUhOWms5MjdvMXlWVEg3b0xqUzlWazBGNmJBa3hRM2lMaVdteHAtSG50QUNtOUNSaWRtZWs1THpWWTFmRThBVndXSzk5eDNXYnV4M0hkRERfYUJWQzRNS05KcHY0N1RvOA?oc=5" TargetMode="External"/><Relationship Id="rId202" Type="http://schemas.openxmlformats.org/officeDocument/2006/relationships/hyperlink" Target="https://news.google.com/rss/articles/CBMimwFBVV95cUxPbGNCQm5nZDJQSmo5Yk1NQy1vdF9ValRJMVFoUTFJd19COUhLZWo0dFZqMjZXRU9TUVh5Y3RYZllaU05TaXBMWV8zT2h3UDlvMG01TDYxVlpGLTNXSXo2bjZsa2FSRi11dFhoZkZuR3NLZ1JBd2tkYWhSU2FNSDZleGtTZk9DM2tRLXJGanlaWXhDWE15cDRCalB3WQ?oc=" TargetMode="External"/><Relationship Id="rId203" Type="http://schemas.openxmlformats.org/officeDocument/2006/relationships/hyperlink" Target="https://news.google.com/rss/articles/CBMiowFBVV95cUxNakVxZ1VNd0RhVGwyclV6Smg4Qjc0aFZ5cl9XUjlLOE43MXdVWGFDa2V5cEFxbDQtN2JFanJUb2tkd0tEeDRoWVdJN0FGZTFyTDhFUWRjaFktX0J5U2p5QjI1cUJlVUpIU0pHVU5hTWRmYi1TZGpkbVpfZVBqaDVQTDZKaWlYbmxlbmxZMlhTMnl5Vk5td2lzdzVlakZmQW" TargetMode="External"/><Relationship Id="rId204" Type="http://schemas.openxmlformats.org/officeDocument/2006/relationships/hyperlink" Target="https://news.google.com/rss/articles/CBMivwFBVV95cUxOallBTXFjdVFxOUgycDJYUzg2MVh3UnVuZjNoMDdPWXk3NmZoWGtlYWpOVW91VTRNU1hZR3RSUjBoZ0tWeEJNMHNGQU1xeVdFQnZVTm9HNTdNbmxydDFnOXFReTNLWjUzYUYydUdwQkJLQXVkbHMwc05FekREdGV4dWJBbFUzVUNCa2J2ZEprYkhvS1RXRjhzZEh0SmhjN2" TargetMode="External"/><Relationship Id="rId205" Type="http://schemas.openxmlformats.org/officeDocument/2006/relationships/hyperlink" Target="https://news.google.com/rss/articles/CBMi5gFBVV95cUxNU0lfb2Y5RHBybWEwWUc5Z0xxTUpiOFRfLUpEMHVLR2RWQWNNek5US3ItbGd1RWh3cHJVSVlkek1iXzRnMW5uZjFJOGtFUHMzbGRHcF9CZTF4ZmlCODB2OTZndnZERUlEZFUxdkJyTDRKdW1haEtsWXJBYnNwRFFZWXBZR180Zjl4aGdzd1ZTRURUMFMzLWF6YTdMUlNDbG" TargetMode="External"/><Relationship Id="rId206" Type="http://schemas.openxmlformats.org/officeDocument/2006/relationships/hyperlink" Target="https://news.google.com/rss/articles/CBMi2wFBVV95cUxNTl9FMVNsSWpIdWZYd25rOWM2SV9IZERvaEVQTEFyMHRJLVpWa2RtR0t0eWEtVTBXN3hFcUJsV3IzZks0MEZyQU9aSkd6U192NVNacElwVVFoWXhaREcwTXRDRm1vSllEZVE5ZmRFcmhnUE5xYzhpU1ZmVHVLemtXRF8zWmZReVU3WVhQdm42Unh6SVlJNlh6R3lXejBQaz" TargetMode="External"/><Relationship Id="rId207" Type="http://schemas.openxmlformats.org/officeDocument/2006/relationships/hyperlink" Target="https://news.google.com/rss/articles/CBMic0FVX3lxTE5ESG9maU1OVjBpanpUakFmaXdhWklWQ1pxV2JRQjNQYU1taDV5SUNVLUM5S2Z2NW84RDBrc1k4MWlaTlVNTVlxQ1B0R0JfblNrTVNjZHZvbjFxXzhpS3A5NXY3UWV0bmI0R3QtTy15V0NIX2c?oc=5" TargetMode="External"/><Relationship Id="rId208" Type="http://schemas.openxmlformats.org/officeDocument/2006/relationships/hyperlink" Target="https://news.google.com/rss/articles/CBMiVkFVX3lxTE1rTmFreUVNRmVRdEdlV2k5b0ZRc2MwcHVEdVEzVWhWejdOMmFtYWtFTm51cGNBR0VBa2dkMHpoQV9rSGxVSHhlTmxFdGhxTFJzRnNGZExB0gFWQVVfeXFMTWtOYWt5RU1GZVF0R2VXaTlvRlFzYzBwdUR1UTNVaFZ6N04yYW1ha0VObnVwY0FHRUFrZ2QwemhBX2tIbFVIeG" TargetMode="External"/><Relationship Id="rId209" Type="http://schemas.openxmlformats.org/officeDocument/2006/relationships/hyperlink" Target="https://news.google.com/rss/articles/CBMipwFBVV95cUxPbk02Y1BOOGpVM1hJd3Zic0lDdXNvVFVKVzJ2dXYyVXdsaGNtNFY4OTM1NDBxbmJWY3lQVF9uQzhUZ2ZLR0IwYUViTkhRZ1ZYall5Tzh5ZEZFOGVoTDFzWTdYNGdDX09qNU1IN1o2WmRvMzRiSFhKRVBUVXRGTW0tdWp0T0NzLThsRWg3aEVpdVN4X2M5Vk4yWW1ENl85Uk" TargetMode="External"/><Relationship Id="rId210" Type="http://schemas.openxmlformats.org/officeDocument/2006/relationships/hyperlink" Target="https://www.gelonghui.com/live/2727618" TargetMode="External"/><Relationship Id="rId211" Type="http://schemas.openxmlformats.org/officeDocument/2006/relationships/hyperlink" Target="https://news.google.com/rss/articles/CBMi0AFBVV95cUxQZDBtbm1WV296eGRiMUQ0dk5mdHhTS0w3emtYRXdjeWNnTDN4a1pnRGxLQjFPQUtsd1htZEEtWXpVN011cWdScGdSZzVlZ2JHN3RMNlpEN1ZGUjk3QWhBNG1DUVktN1owMldPTGhKVVdTLTJyM3VJSDVVblVPMW5xZENaNWRFMlFZTUtIU2prX0NjY0NVenFEZUp1YU0tNE" TargetMode="External"/><Relationship Id="rId212" Type="http://schemas.openxmlformats.org/officeDocument/2006/relationships/hyperlink" Target="https://news.google.com/rss/articles/CBMicEFVX3lxTE5wM0NGY1FUQl81dER2cDNrai15ZnNublNJdXlNMVlCcG9EQXFrZlIzSFg5RG1FcG1qbVZRelJnWkhqZzZxa2hBUXNqMlY0aXp5a3A3R3FWUUVOX0ozclNlb0dfLXl6Rno0UlNnQzdFQUM?oc=5" TargetMode="External"/><Relationship Id="rId213" Type="http://schemas.openxmlformats.org/officeDocument/2006/relationships/hyperlink" Target="https://news.google.com/rss/articles/CBMimwFBVV95cUxQSWNqNG5JV1MzeXhMc3RpbC1qYUJLQ09oX1J2NkZ5aFRlZ3JJM3FPVjZxbnVmVmZPVkpiTlkyZnkwbUhxLVFOOFVSejkyZkZtTGF0Rjg0X25RdV9ZT3FJYmNWeVR1SnRYSHVucmFWOGdKMEVhNTJveGlIczF6ZVhTV0h0T1BTbmNCbjduTnd6QXNBbjZKYTRBalpHSQ?oc=" TargetMode="External"/><Relationship Id="rId214" Type="http://schemas.openxmlformats.org/officeDocument/2006/relationships/hyperlink" Target="https://news.google.com/rss/articles/CBMijwFBVV95cUxPdTZLVXZ6Z28za2RraFlZa3hiVG1ybW5McEtoOHp4SVJVTjV5MzhwTi1QWFBzcW5aN3NTTms1TnRyMjVXYTVMMHJMSjh5VTNmUG1pR25feFRoNWZzMF9va3dmeG54YTZkWTVfS1k0Tnc3cjk4eFp0a0xyWXh4UGFGa1JwN1pPcHIxN0pkVTNxOA?oc=5" TargetMode="External"/><Relationship Id="rId215" Type="http://schemas.openxmlformats.org/officeDocument/2006/relationships/hyperlink" Target="https://news.google.com/rss/articles/CBMixwJBVV95cUxQUFVoWHcyVVlZWFNsbldGSXRpNFpFbVdkSzhBMlplM3dTUGxwYU9CamtweDJEWl9IcV9IVzEyR3lTcElvUU1IUUdsX2tNMEdvNlBvZ2JJT1ZidU5CVDZYSzh2N1VhN1NKcnNTTUh0OEM5ZFlPbzZDOFpHRjhndlowd1Y0clhCMFEtUGU3ZHRpVFZLM1VXaEpCRUt4b3Uzbm" TargetMode="External"/><Relationship Id="rId216" Type="http://schemas.openxmlformats.org/officeDocument/2006/relationships/hyperlink" Target="https://news.google.com/rss/articles/CBMiZ0FVX3lxTE5NZnNyRWhiRnZQVnowT1otVUZyeHd4TFlLbUQ1TG43TFNVYUU5NkNyVlVlZFAtWHdDdmpRMHhrcWJxa1hfT2M4ODlLR2pMRUFIc0Q5TFZFZVlPQ3VZWnNXNnNXYUdVeEk?oc=5" TargetMode="External"/><Relationship Id="rId217" Type="http://schemas.openxmlformats.org/officeDocument/2006/relationships/hyperlink" Target="https://news.google.com/rss/articles/CBMiyAFBVV95cUxPRl9kZ3VzcmFBa0F0Tk16Q3NKTU5Ca2xOalFqSUlhTnFVOU54Z0JZX1lxcWgwM2dHZzBKdkd0NmpJUzZGaHZfMl9TRWhOU3N1SWVWS1B1VERnQkNsbTAwb1ZhSnU5bkxyY3NkbFgtVFNOcTcwYUZRR1RuMEZkbzJuWmwzaFRHelB0WU9QS0Z6VmRSTnEzQTBHQ0MxQU5fZF" TargetMode="External"/><Relationship Id="rId218" Type="http://schemas.openxmlformats.org/officeDocument/2006/relationships/hyperlink" Target="https://news.google.com/rss/articles/CBMimgFBVV95cUxQQXJWdGpuVG1ZdDBnaGFNYS1hVUEtNFVqNFVOclI0c0hZYjVtRnZ4SzBiNUMwdTB5bm9BRktIYlBRQWQ3ajZXa2xpMWV4eTd5ZEROeFNUMHJTZjZtcThUQUlXNkJRUFVFNnFaS1JSSThua2p3alJsa01NSTN5dFZITm1yRXVMTmdMLXFVVXZVTjJOUlB3d3V5NTl3?oc=5" TargetMode="External"/><Relationship Id="rId219" Type="http://schemas.openxmlformats.org/officeDocument/2006/relationships/hyperlink" Target="https://tw.tradingview.com/symbols/NASDAQ-AMZN/news/" TargetMode="External"/><Relationship Id="rId220" Type="http://schemas.openxmlformats.org/officeDocument/2006/relationships/hyperlink" Target="https://news.google.com/rss/articles/CBMipwFBVV95cUxPMC1aM0tCOVlCcHNQVHFuSVBNNkt0YnZiQy0zRkMzd2pFUm4zSFNfdlRXR1l2SXFBYm1jSXFCUTNiVEo4S1BLM0drajloZ2xSNHAwRmlId2syanZrZ3BqZGo2cXFpeWtVS1NFVHphMlk3ZkZVc2pPWkh3anBWMnJFdUljZ3gzUkJGMHlvcmp4MkRuNUxMSHhxR01uei1Idm" TargetMode="External"/><Relationship Id="rId221" Type="http://schemas.openxmlformats.org/officeDocument/2006/relationships/hyperlink" Target="https://news.google.com/rss/articles/CBMikwFBVV95cUxQZ1NYU2NSSEljU2xzSk5rUDdGdFZsY2JkZGwyTnY4cndrcF9ZMmRpc0wzLU1NWmx0UHZic25JTUlNUEdlWnA1bHRGUmhVR2pBMklmZVFsdVRhNU52eU52TTYxNVFQRmd6bk13dmg2a2lqWUFjN01LX3ZpdjFhc2U3dHFIQmk1T2JJdE1QTGNkLWpUdnM?oc=5" TargetMode="External"/><Relationship Id="rId222" Type="http://schemas.openxmlformats.org/officeDocument/2006/relationships/hyperlink" Target="https://news.google.com/rss/articles/CBMihAFBVV95cUxNOTAxWjhTclhiM3NSd3JHSGtHOVZkX1BsY082TEFrOXlaVUE2Ym9KZkRrcHhuMDVPM1hUWXZHbTA2YWR1OXh3VWZ5RWtWbEpwd1BMcDBRY25rb0RXbm1VdnJxZnlwbnB3RnQxLThLSzJ6d2tXWU9FZ0JXQTJlVkp6ZVhwaG8?oc=5" TargetMode="External"/><Relationship Id="rId223" Type="http://schemas.openxmlformats.org/officeDocument/2006/relationships/hyperlink" Target="https://news.google.com/rss/articles/CBMingFBVV95cUxNME10cFZqUGV6aTIzeXdJN3Uya0lPb0pReDdkSjA4VjVpVHVhcUhpU2Q4NlJyLTZ2dDdsYmhfcmVQVk1RazZ0c3NMQ01iajF2djBxMTZkM1E1OE92MWRJeFpZa1lnSk5MdGZoZ3BTTXVTeFhWNFJjX0pZWVdKd2FKVDdnUnJCNHYzeTJFdUhfY3kwX2tRckRXYVFkSXpqUQ" TargetMode="External"/><Relationship Id="rId224" Type="http://schemas.openxmlformats.org/officeDocument/2006/relationships/hyperlink" Target="https://news.google.com/rss/articles/CBMiqwFBVV95cUxNY01hUnc5TGk3bEgwLUhITDhMSXJUVjg1aEpTY1dmcmlWb0E1Zko4YUtGMXpTQ09mcWJTXy1GbUNyYkVMUDFTeVRmdjVPbmZhNTFJQlJRTjFwUVNaaE5hZzZxYjhCX1NMNGJMRGRxSnJtZTgySGJaUkdfMUVpRVl1VEF0RTZ0YjhqVktSbGtrS3Q5UVJISEItSVRzb3ZnYl" TargetMode="External"/><Relationship Id="rId225" Type="http://schemas.openxmlformats.org/officeDocument/2006/relationships/hyperlink" Target="https://news.google.com/rss/articles/CBMisgFBVV95cUxPRWVFZ1R0VExGX3dQZjd2UVN6dGI5QlpVekNiMTYtQWRQeFREbDdGZEUxaktONFpJb25Rb0g2LXVjMXVhb3c3WFJSSnI4ZTh4ME1BREVhemdiQjJXQXlwczhWMFRSc1dXa1NVR1Vuai1ob0FZMW8ycGx3UzNKbzBxbnE0UDRHMVdVZnkwdnpDS3BWQmZnczllbWVJNzFZZE" TargetMode="External"/><Relationship Id="rId226" Type="http://schemas.openxmlformats.org/officeDocument/2006/relationships/hyperlink" Target="https://news.google.com/rss/articles/CBMijgFBVV95cUxQZk02MmFiY0pPOEZ0U1M4ZmVwUERfbU1sanNvRm9HazNNalpNQkpUcUtJOUlnWm9uLTRzMG9nS05yUGt5d1Nud25OdXQzUXFnaWkzMnZzd1QwU0xtdlJJdklvSW1qNEV6MklEUzQ5VUU4bXl5LUxWQmkwQ09GelAyVEpHWExuN2NSeW1VeUd3?oc=5" TargetMode="External"/><Relationship Id="rId227" Type="http://schemas.openxmlformats.org/officeDocument/2006/relationships/hyperlink" Target="https://news.google.com/rss/articles/CBMiuAFBVV95cUxOTGttUmtqRlp3T1dzMGNaV2l0MlRiX3hfSXpzUU90NnY0ZnFLQVZrUzVlemJrWU1SUEVnMHVqaUpmUllWaVlaRWFWZnZ5U0R2WXh3eGNlbWNnaGJBc3lWR1pNbUZDN2cwa2NSMVVybE1IR2ZCS1VkbXE1bFhNdVQ2Q1Q1aFdCWHZ5VlNJYks4MHlmUF9STEhER28xOEtRWm" TargetMode="External"/><Relationship Id="rId228" Type="http://schemas.openxmlformats.org/officeDocument/2006/relationships/hyperlink" Target="https://news.google.com/rss/articles/CBMimwFBVV95cUxNaFN1SExjaS1yRUZJMkFDSXE4dWxqb01PRWUwSDBaTlRNdk9ma19vYzVTWEo1N0h0N2U0YjVHbVFKczluWGNidzZEQ0RUd08xYXMybldjdWNGRE94UmJLVFdnRHREUWltblZNQ0wxLXRvdEJmRGRxOGxfQURqeTZ4djJiaGdqU184S1Zoa1RUdWcySW9jc2tFMzBKaw?oc=" TargetMode="External"/><Relationship Id="rId229" Type="http://schemas.openxmlformats.org/officeDocument/2006/relationships/hyperlink" Target="https://news.google.com/rss/articles/CBMiwAFBVV95cUxPMFQtQkNUcXlPSThJNWpBaGFJUU1udVlqcHFndnB0MS0yaXlKdFdzQ0NxeVB5MktvdFFqb2lPSVB5NV9tNWlnLW9UbG1PcVRqeGVJcml0ZUVYU0ZRLWdxaWZtNHJPWm9Ea0RlR3VNTExnYV9PbGpuQTExTTlOcWRPX2VFVTBpS2RxQnhocU0yUGJLVWduM01RN09tU2VDLV" TargetMode="External"/><Relationship Id="rId230" Type="http://schemas.openxmlformats.org/officeDocument/2006/relationships/hyperlink" Target="https://news.google.com/rss/articles/CBMingFBVV95cUxQOWJOTC0xcWgydVNTbTNZcXpzcEJMdndCX0Yta212WkZqdjFwaGZRdHFkTmVRcEJVbXJlSjBSWXg0N1dKUmhVdEFhbXRRVkRvTkVTdTUycERFSnVqbmNCMUlqNkx5emw2SGJuZ1lYNTlYR2FSN2JNdnZONjdESW5CTlF2d244WFVrdzlfamVTNjZ5SHVoRVhTcTVtd1U0dw" TargetMode="External"/><Relationship Id="rId231" Type="http://schemas.openxmlformats.org/officeDocument/2006/relationships/hyperlink" Target="https://news.google.com/rss/articles/CBMimAFBVV95cUxQX21qSFpEalYyQTZITWhyWkxiWElTOXpEX0ZwaElXSERRXzhMdXllWk1Gdm1KUS1KY214R2NCOTRGZDZ6TWpvd1NQMVdRcWZMcHFma0htcnJadVF1a0E5NlE4cVhNMFBJeWpsdE5MNUpWZEJTaFJ5czhQRFVSRmpXRGdIT2RROC14MGZmcFBNUHcwZlM3TzR2dw?oc=5" TargetMode="External"/><Relationship Id="rId232" Type="http://schemas.openxmlformats.org/officeDocument/2006/relationships/hyperlink" Target="https://news.google.com/rss/articles/CBMiywFBVV95cUxOdDVoMGxUaTVNejFBSlhGUTIyU3EzTGsyZXdxenpSa0lCbkU4NmEzZm1DN3cxNUZocU05YXkxR0xhNGU3MXVGbUotZnR4ZjRiSmFONmx3Sk9CSnh5OTI3bU1NSkczdWRxZUpqUUFlTmNMTUI3bWNWZzdVanVUQ3dWREc5YXowN2NxampGeEFidFRNSlFmZnlNWEFhNWNPNF" TargetMode="External"/><Relationship Id="rId233" Type="http://schemas.openxmlformats.org/officeDocument/2006/relationships/hyperlink" Target="https://news.google.com/rss/articles/CBMikAFBVV95cUxOaHBZWnBqanlwaXcxWC1ad0Z3TUNBQkhDRGhIYzZneWc4NXZiSFR4WUR3RHFFS3dERE5xdXpnSU9WZUJwbDU4RGliRFBubFdLVUxMT3BQbG9pWk54dF9tMDZhYXMxYWJtRFBvZjJ5QzJLWGk3UlhFLVBIMzJiYjF2Q0VoX0Y1V2stVUcweWRaelY?oc=5" TargetMode="External"/><Relationship Id="rId234" Type="http://schemas.openxmlformats.org/officeDocument/2006/relationships/hyperlink" Target="https://news.google.com/rss/articles/CBMiogFBVV95cUxPWkZxNTA4cnQ2UEVZRWJFRmZtdjJuQy1fUFdjaUlLN1ZMaWVXTmRXOXZ3RTcybEpYaWJlTEVydXdOeTRsWWVLQjVLRTdQd0FSSFQzb1lSQ3BPRS10OUY3b2VpejVsV2IyN0U1S2VzclJPX2VkVkUyalFZdVZfZXczbVdTS3h1Z3RUMGFkaE1QVTlqZ3RiYVBSck03QmMtZX" TargetMode="External"/><Relationship Id="rId235" Type="http://schemas.openxmlformats.org/officeDocument/2006/relationships/hyperlink" Target="https://news.google.com/rss/articles/CBMiogFBVV95cUxQNHFuZy1Pc3F1bWMxSGkzYW5tWTJ6SFJEazZfMXpUVnQzbGllSGlmQzNkRjFKbzBZQjd6WUdIa1FVU2UxdkhWZXFvemQ1V2NCUFlVQzJjeXBHeEdpWjRPWW50R2ZTcU9EYVJkQnpWOUlTY0swenhfTWFBWnVBUzJ6WGNNN3BEWjBwaWpJUTB1RVNsUFQ2TkNla0I3WGNvRX" TargetMode="External"/><Relationship Id="rId236" Type="http://schemas.openxmlformats.org/officeDocument/2006/relationships/hyperlink" Target="https://news.google.com/rss/articles/CBMikwFBVV95cUxPVW5pdkZMYjl2dFg1LXFoRF9fbHl1eGx4RG5QVXJLd0s4b196bWtQM1E5bWtCMWdsNWc3WENHQkdJeFJjMEdONTdBdlpwSktuQ29oZmtyVEdpSGlvbnhuNkhMZWZ1c3llX0x4a040SVkxLU1URWN6ZGljdW13dkpXdTMwenJWU3U4SnVVZVZuNDhkdkU?oc=5" TargetMode="External"/><Relationship Id="rId237" Type="http://schemas.openxmlformats.org/officeDocument/2006/relationships/hyperlink" Target="https://news.google.com/rss/articles/CBMipgFBVV95cUxQSGtvVGxKMzl6UnpjaE5VV05yeEhjNDVFLWg5bTZleEFjYnVuM3hLVlV6RVg0b1pQZkVJcjdRQzlxYm03WFpIWWdFZklLbmp4aklHOE5GaGNjbnJ6LXJLMzVFTGIyc1BNM0IyeG1KR2RfUFU2TG05My03RTk3LWc1ck4teS13V1NHTjB1eFlxZjdNbFpLZHU4R3ZmMTRIN1" TargetMode="External"/><Relationship Id="rId238" Type="http://schemas.openxmlformats.org/officeDocument/2006/relationships/hyperlink" Target="https://news.google.com/rss/articles/CBMiywFBVV95cUxOVG5IWVVEdk9mTDI1NWo0dFhmUFRzVkRyTDNvRE1YZlZXU0hKTVZHTUpFMC05Ym0wVVRKeFA2T09PcjhxUE4xcnZYNVpfMEdjZklGSGdjSkVhX0QzenRjV091c20zUV95QjAxN3hLb09SWXlDWkJRWlpYOG1oNk9UcWFyWHBUdTZXMkpKTkpUQU5DRU1sSDhmVGNBbkVHRm" TargetMode="External"/><Relationship Id="rId239" Type="http://schemas.openxmlformats.org/officeDocument/2006/relationships/hyperlink" Target="https://news.google.com/rss/articles/CBMiVkFVX3lxTE1ZMkpSQ1lBQ2owd1dfOVZSV1EyaXZFaDVKdzBHNTViYy1rLWdFLVFUUmFEQ2FzTHZ2YWowTGV6OWprZERvZC1mcEdJem5tLV9PMkRkMFpR?oc=5" TargetMode="External"/><Relationship Id="rId240" Type="http://schemas.openxmlformats.org/officeDocument/2006/relationships/hyperlink" Target="https://news.google.com/rss/articles/CBMisgFBVV95cUxOTXpxTHlLREdTTzRGNTB0S3dHZmNNdHR3b3FFZ2JvSnN1TExwVkZTbTNOV29zQjZrWDdMTWYyVGwta20xeEdvUk5wZmFJcE5aZmNZbGdwZ1dyWXV3SDVnekx6QWRiT0owSlZqalhEWGY3YVlYZThFVnBwSUhzb2RyVUVZeHN4ZE9LemxfNlFaVUlhZHo2R2puaHVRV2hPSS" TargetMode="External"/><Relationship Id="rId241" Type="http://schemas.openxmlformats.org/officeDocument/2006/relationships/hyperlink" Target="https://news.google.com/rss/articles/CBMic0FVX3lxTE5ic3lBNE0xQ2pfc0toSnMxRlE4UURNWmotNE50bkxWb1NuUlNLdmI1d1Bpc2FoMG5vOVZFS05JdmNBRDRoTEFtdTVNWF9VR3U4aWtCVUJ1alZ1YklaMEFtQ1lETFFGVHlOOHV3aWFodk14ejQ?oc=5" TargetMode="External"/><Relationship Id="rId242" Type="http://schemas.openxmlformats.org/officeDocument/2006/relationships/hyperlink" Target="https://news.google.com/rss/articles/CBMisAFBVV95cUxQQ2U0blJOMGJBU1pBcWFJeGZUcGRxa2UzdUc2Q200d3lJSE1WMkQ4VVMxTll3UENrb29JVHBNb25aaFpoYV83SG04ZXBjUm1OanZrMTRlSUk0dTRzbTlRV1Fxdjl5QTloNzE4TGxXajNLaEFuYksxUlFWSXVuYjdOcXQ5ZUxSU01Db0ZGUzFFY0hYUm55NTBEdTh6ZUxVUU" TargetMode="External"/><Relationship Id="rId243" Type="http://schemas.openxmlformats.org/officeDocument/2006/relationships/hyperlink" Target="https://news.google.com/rss/articles/CBMi9gFBVV95cUxQXzdwQldsb0RyYm1MTXVOOWZGNm9nZkV0c3J3Y3M5b3FNTExTOWYwSERGMzl3NWRSSW5USTNhN2Rvc3RJUjdDQ1o1TjNwUmxzSlhYMzZBRmhfZnQ5dnU1Y1lPZk80T19UZ3BIbkRXN1FpOVgxMDZhdFZ1eDQ1Sm9yM1RRclBVZGJwWGlXNjlkbnVDTkIzNko4dHFpQmpPaj" TargetMode="External"/><Relationship Id="rId244" Type="http://schemas.openxmlformats.org/officeDocument/2006/relationships/hyperlink" Target="https://news.google.com/rss/articles/CBMiygFBVV95cUxNZDBVNU12WVBINVBpVmdEaXFVWGhlTkJnQU5LY2Y0QnkxaDhSVmlFOC1TNTdSQTY5ZTI3WGw4UGZ2cy1QS2NCeU0xR1liLTBTbG1Ib0t0dUdsZXA1ai1TemUwQVpqcTBtTU1jY3pKdksxTW8yNGN3eWRwRHA3aE14cGRQX3RNTVhRejBzZUY5dklDSkxSR3FsaVNEUDdlMU" TargetMode="External"/><Relationship Id="rId245" Type="http://schemas.openxmlformats.org/officeDocument/2006/relationships/hyperlink" Target="https://news.google.com/rss/articles/CBMi3wFBVV95cUxQMm9GbkFRSkVVcm1jYXRvaTZsTHhfM3BlOEtkQmdjbVZlbWg1V2hGcGVxS3ZKWkZ1Y3BBOUN3c3JyLXpZVFZlVXQtN3lwUVV1SlR4UGdvYWpBTkpoRHY1WHF6WGZJY2hoV0pBb2JqRHJrRTlmek5qWjN3M2JESkt1cmhjUDZkenRkWWNEOFZwNTJWQl9EZXNTblV4WWkyVn" TargetMode="External"/><Relationship Id="rId246" Type="http://schemas.openxmlformats.org/officeDocument/2006/relationships/hyperlink" Target="https://news.google.com/rss/articles/CBMinAFBVV95cUxOSG5pMHhoM0R0X0I4VGE1M0ZCYU0zUmdzYWNFcUpSRHc0WVU5QlprNjFTN211WTY2b29nbkZ1RFJ2dlpRbWFzWlVrWHYxYUplNElZWFZrU2hsRENSUUZvOTlLVFJIcDduYzZhRTJfY3ZveVRBakVPN1hJZFJuaHRaZHJDXzdCWWx0X3NxQ2QzakI0ZS1XdWdsZ1NIQjM?oc" TargetMode="External"/><Relationship Id="rId247" Type="http://schemas.openxmlformats.org/officeDocument/2006/relationships/hyperlink" Target="https://news.google.com/rss/articles/CBMiZEFVX3lxTFBsNlFfRUZ5d2dxV0dXZmpualROeUhkdGEwZ1QwRENZeHBWWkVJd0RjTXF2OUx4Mm1qam5JekpDcU41TTRmYTZYcmFJY2hIek1YTkpYc3RGNk9kRXlkNmJzTnZBTlg?oc=5" TargetMode="External"/><Relationship Id="rId248" Type="http://schemas.openxmlformats.org/officeDocument/2006/relationships/hyperlink" Target="https://news.google.com/rss/articles/CBMiuwFBVV95cUxNTkRDa2QwbHRXdkhFeWc5MEs1czd1ZDVUZHhUcjhmZWtPY0xlMjhwbkdzay1pa054eEpWNVVFdUxtOWxBR0w4Vks3N1gzRTdIVVVFWEJYSGJyTkpwdmNPdlFja2RCTF9VSGhiT3liVTYwdklRTlcwOVZpNG1wY0JjY3FMNWJhWGZKeF9PVVpKa0g1MXVjX0RuTHhnZ3A4eT" TargetMode="External"/><Relationship Id="rId249" Type="http://schemas.openxmlformats.org/officeDocument/2006/relationships/hyperlink" Target="https://news.google.com/rss/articles/CBMi0AFBVV95cUxNeFFnakNLbDdDcGdWTkc1TkVKOVQ1aFpHdXV2cUZtTXAwZFhtaVNHdzIta2hJZUNuUm85eXAtMmpJR0JDVGgyQ0dmbjh2RTYzNTZfUjNsT1o1YktGT2tiQktjUDBLQlhfcG5GeGNNRUprV1NDaTNnWXpPT0hrUGk0Z3YySFVTRnhJcThQal9TTFBpd0Q0M3lPcGdWOVptR0" TargetMode="External"/><Relationship Id="rId250" Type="http://schemas.openxmlformats.org/officeDocument/2006/relationships/hyperlink" Target="https://news.google.com/rss/articles/CBMilwFBVV95cUxQZy0zTWtYZnFwT25ENWY3OWZ4dldMaXRYUUZBTzFJNnlWcVpVR2ZncFVldjNDLUhycFBVVWVMMUpYSEFOYi1tb0pnSFFDcFhsLVo5bUd1TkJIR3lqNjJvZ3Z5STdVRWQ0Y0ZlRi1nTGxrRGgyR185UDZEeVptU0VOZ0pxdGRRM0hXR2xlRWJfYk9nQ1ZDN2ZB?oc=5" TargetMode="External"/><Relationship Id="rId251" Type="http://schemas.openxmlformats.org/officeDocument/2006/relationships/hyperlink" Target="https://news.google.com/rss/articles/CBMigAFBVV95cUxOV0pyVWJrdUVOeW16OTh4aDVCV2xmYWRFUmprbFJTRHFGN0lqeENhZlVXcUtTamJuckxtX1dDdDdRZFNPdGVrS19VclVGS0FTb0p3MjdmbThXUjVKUHhmcWFCVHl3OXNkODhmd01XWXJnVXJhdy1xa2NLYmNxUTRudA?oc=5" TargetMode="External"/><Relationship Id="rId252" Type="http://schemas.openxmlformats.org/officeDocument/2006/relationships/hyperlink" Target="https://www.gelonghui.com/news/5330692" TargetMode="External"/><Relationship Id="rId253" Type="http://schemas.openxmlformats.org/officeDocument/2006/relationships/hyperlink" Target="https://news.google.com/rss/articles/CBMixwFBVV95cUxNd0U2MVVOUHp4WnNnYTd4aHUtQUFQVjVpMkpGblZsYWVMQnVVX1VLQ0RBRm1BV29FeG1pVk9jc2VUckM3T3RkdnB2N1dYcTBnY2FWTU9uWnpHVzlKNURXYUstZmRWY3RJMnhnZXFSLS1FZ3V4LXU5Z2lOTkRDYmZYcEU0SkROMkxuQnYzNXJ5cmN1ZExNYnV4WVp4X29yQk" TargetMode="External"/><Relationship Id="rId254" Type="http://schemas.openxmlformats.org/officeDocument/2006/relationships/hyperlink" Target="https://news.google.com/rss/articles/CBMirgFBVV95cUxQSmQ4THMyTHFOVGQ0eEpWY1hiemo5RE9oYTBScS10Q3R1TmVraGM3SjM3cDdGR0VmaGpDUEhHVzBoNjRjM19KUlNRNnBSMU1wSFIyRlhBdHdWVFJrRkFqVmZreVdVNDBUd09uZF9qaGRJS0NfSzFOdDVQVnNnRVJJU0g2eEdqOUljazhuT1JGbjVwdmVnSEhFMkRWR1ZnS3" TargetMode="External"/><Relationship Id="rId255" Type="http://schemas.openxmlformats.org/officeDocument/2006/relationships/hyperlink" Target="https://news.google.com/rss/articles/CBMi1gFBVV95cUxPTHFxRE5uZEVPMWZfNHF5cmZEdkpna01fZmFPYXpuZGFWc1BTVUNmZk5VWUg0WXN1aWNJQjkzUjZxbkdQZThzSzdkUDhpdFZnVlozUjRmR0FzMUh0enlWT1dpVl9mTDFjczkwUUl4bW9mMUNBb3VZMU1HcEJmY1cwLUlMUHlIQk9XeGVMVTh3SFRaa1I1STFSVmQxNk1sWX" TargetMode="External"/><Relationship Id="rId256" Type="http://schemas.openxmlformats.org/officeDocument/2006/relationships/hyperlink" Target="https://news.google.com/rss/articles/CBMitAFBVV95cUxPS1RBeXUyXzBCdHJOV1RqTVpIR0VGamxCU3ZMSVFLSmNwc0tkRVZDRjNqY3VYM1NVaTFockRBVHZFenpMVjZ5YThEYk82NEYxZEZfYmYzTFpIektYZDR4bVBmOXhFNm1FT3FLd0xRTk0wWmVVd2V1WnBsTGFVR2dRemVSSGxpZy1xYjRUdnBWaTJoTXR6alUtT3JmczBkdW" TargetMode="External"/><Relationship Id="rId257" Type="http://schemas.openxmlformats.org/officeDocument/2006/relationships/hyperlink" Target="https://news.google.com/rss/articles/CBMimwFBVV95cUxPZXRlbjdIRndTYVpERk5QWDQ2ZDYtcVR5M20tWVJ5UTJGQW1Jc2lZQWxXNkxSZno5NXlTMm1OMm9zdERRTWd3NExnVGpnaWlKcEtpSV9nTnUwcWVrd1V2QWRJclBSWU5OOVFabmpzQ3NVUEs1d3NjTkhGb0l5THY1SktpNVdWRjR0WXJQYzBGcXE3ZVB1QnBMb0VRMA?oc=" TargetMode="External"/><Relationship Id="rId258" Type="http://schemas.openxmlformats.org/officeDocument/2006/relationships/hyperlink" Target="https://news.google.com/rss/articles/CBMingFBVV95cUxPelQybHMzRkpCM1o0aldoUExycUpENlJNTnB3N3FqWnJ2bVV4S2hPa2RXeG9IM1d5a0xOT1lwSkhRTDk5c0hJQl96WG5pTm92MERlR3htek50LWZMbXMtRjhaVnoyRXZ1TzNvSHIyUUdPSGNNSVJXQkx2Qy1BMHY3NDYwUE5ibjFaaE0yMnNjUktQUXZZT1pSbEl2M2luUQ" TargetMode="External"/><Relationship Id="rId259" Type="http://schemas.openxmlformats.org/officeDocument/2006/relationships/hyperlink" Target="https://news.google.com/rss/articles/CBMib0FVX3lxTE0zYWNOMF9kNkQtRExzRGhmYUE4Z0VnQU45X0VKUEFmVXFPdnNEQVB1V0c0NnQ3bEM5aU1vYWlUVDZNeTFQZVRiN21tSXprS0pnZnotRERJUG9fWnZnS0g0cEttb0dScWNNZU1QcXlDSQ?oc=5" TargetMode="External"/><Relationship Id="rId260" Type="http://schemas.openxmlformats.org/officeDocument/2006/relationships/hyperlink" Target="https://news.google.com/rss/articles/CBMijAFBVV95cUxPeVM1SVhUcGZCOFBKUllEZjhxTHVzQ00zX0JMUDhPMDYzMXlrZzQ2NVdBcWFHSWRkUnpJdUMzZTRIc0VZQmxKWFIyOEJQMGFMTDdQRkMtRGRKRDNXeElBUU8yRS10dXVRTEVlVVEwb2t0QnV5X0d4OUlOUlZoNE1YT2RoQ3FRdVhvN0tWRg?oc=5" TargetMode="External"/><Relationship Id="rId261" Type="http://schemas.openxmlformats.org/officeDocument/2006/relationships/hyperlink" Target="https://news.google.com/rss/articles/CBMi3wFBVV95cUxPVGRFS3JLZ2ppTndLTE1YWlJpbkVWdEk2MFRSM0hwRE1ZR2dqZlYyMUFOYk56amM0NUhaMEt0VkhNbGM0ZVV2M054TDNjTG80YzJSY0Y1R0c1ZkFUVWNJOGFMUk95czdhajRNU3ZQeFNyNklQSG5Hd29JYkNYeGZlUTEzNExpN1FPbjd6OVVyZ2Qyc3NuYllrRkFnMzlqR0" TargetMode="External"/><Relationship Id="rId262" Type="http://schemas.openxmlformats.org/officeDocument/2006/relationships/hyperlink" Target="https://news.google.com/rss/articles/CBMiekFVX3lxTE8teWNMNXU4enZXMTZIRHNkNkFYTVJuZ0dBOFFUZC1ZV28wbmE1QWNKbTV3SGdqMlJwTFYxSVlFaERYLUplZXRObU1KZzJUVzhyeW42WUxlQ3F4YVNwZXVXT3lyNjZRVUp3b3M5M1BNaVRBdDFoZVVHRjhn?oc=5" TargetMode="External"/><Relationship Id="rId263" Type="http://schemas.openxmlformats.org/officeDocument/2006/relationships/hyperlink" Target="https://news.google.com/rss/articles/CBMipAFBVV95cUxNR0pMY3cwREJXRVRHbkJuZHNpZmkxYndVSnNHamdUZ3Jsdi1RUVF3MF9JOWk5Zkdldy11R1poN3VWU29Nc2VQNVF0dXRINWI4LTZvY1BzZEVDNDdTdmZyNWtLVUI5NGY1Z2hoTF8xcUZ1d3lodm5SdkV3R3NNUmVCdm5zMjRUS2ZQWlg2Z0NZdFpCdDJWNG1vemlfeWp5ZU" TargetMode="External"/><Relationship Id="rId264" Type="http://schemas.openxmlformats.org/officeDocument/2006/relationships/hyperlink" Target="https://news.google.com/rss/articles/CBMimwFBVV95cUxPN0tCRnZ3WGdvUU1UNmNhV2pwMEtSc21aM09IdTdRY01RNzBOM1AtbHR1eEEzMWFuaG9EbncxcjJQN1dZRU1BZXBtVWkwb1AxdDZ4VlpTSXpUdWhGTDNZVjRBOTBGVTFwNWdaQzBmOXozd3hUVDlyMXhkdDU5OUFqVHp1b2cxWVdFeS1rR0xGT0lNaDFvUkY4Z190TQ?oc=" TargetMode="External"/><Relationship Id="rId265" Type="http://schemas.openxmlformats.org/officeDocument/2006/relationships/hyperlink" Target="https://news.google.com/rss/articles/CBMixwFBVV95cUxQSUZvUWZuSEhCeE0tME5oR1JuRFZjT3AzS29HVE9scFZFLU1OSE1WQ3FjRG5pN0JhQmdzdGhFT0NPNXVmNF9pM1diVXRIUnZZbDJJM3pCbHE4U05MT2lpSDQ5RFB4eDBLSy1lUXdSN25UYTRhdjIzbGlYRHpsWFQ2WXhsTjVkZWp4bk53TTdPRllldjRjcnBPbF9fSmNvMW" TargetMode="External"/><Relationship Id="rId266" Type="http://schemas.openxmlformats.org/officeDocument/2006/relationships/hyperlink" Target="https://news.google.com/rss/articles/CBMiowFBVV95cUxNbUk5NWwxZW1ac2tkcEYyNzl4WkNLdU1HMHNna0tOQ2ktXzI3VWhDN0NsRklKRFJmY01feHk3ZHpqYWlXTFZqWmhCd3hiemM5UjN5ZUxUV1NLVUc1eDM0cTVSODVrUm1SRjJTbzBmZy1VQmxXMlNfVm1CZlc2eEFoTXVkZ2x1d0lNWTV4OXItdEhGT0RweFRyLXVQdlo3aX" TargetMode="External"/><Relationship Id="rId267" Type="http://schemas.openxmlformats.org/officeDocument/2006/relationships/hyperlink" Target="https://news.google.com/rss/articles/CBMi5gFBVV95cUxNMTJvUzRRbTNQcW84T1BwaWprRnQ2OE1qLTBzSTdiS2llc3ZWdzZ4RGRaa2ZQeXphV29aaGJfc2lQOWRMX0NHSm9wQVVUU2NDcFoyblN0VUJxeHRuZ1p1QlozR0ZlVkNiMThrRElBcXktYWRqUU44RzFIVTduSjVycVhfaDdKd1AzUHotd3lTMnJoZXdBTDhoY2NNTE9ESH" TargetMode="External"/><Relationship Id="rId268" Type="http://schemas.openxmlformats.org/officeDocument/2006/relationships/hyperlink" Target="https://news.google.com/rss/articles/CBMiywFBVV95cUxPRTU3cy1CU1BqTnpJdTdfNUpja0hUUXR3czFSQmxoT2Zsejl4RWJ1RlQwbXFsRmEwZmZrUnVhUjhlUEJNN3lKMHN3MHdLT3dtRkZRelBtMEdLWTE1czRpZjNYbDhSdnFkQ0pyQnJ3eDRoeS1hVDNDRGJHMTdIZFl3QXJGcnFFTFhMYzFranBpOUpKRXdmV1NoQ2Q3T3hNN2" TargetMode="External"/><Relationship Id="rId269" Type="http://schemas.openxmlformats.org/officeDocument/2006/relationships/hyperlink" Target="https://news.google.com/rss/articles/CBMi2AFBVV95cUxPSExkaTdoVUR1aTI2eVZTQ290V1FfS3FLX3BOMUlSOURvcnRCZXF6NndrUE00WTFuam5EbkZTR0J4RWpFQUJtNjdVMmRPeDA2Y1JLNTZQTENHcDFFZG9Ta2NsTFpKYUlLeE5mcnVCVlllZW5VUUJvdE96WnNPdDlXRE9QRi10NUVVWi05MG14eGg1V1V2MUFjT0lLdF9hQU" TargetMode="External"/><Relationship Id="rId270" Type="http://schemas.openxmlformats.org/officeDocument/2006/relationships/hyperlink" Target="https://news.google.com/rss/articles/CBMizgFBVV95cUxPb0kya01xb052WG9wVFA3MHV4bG5CcUlNRWFnWHMxRF90YThNazRJZGNuQjR4czMzU2NZT1hTVXk1ZHI4Uzh1R3liSmtoRmViRk55c2Q1bEhnRENZN052M3FnSnZsaGIwREpDdGxhQ21OOXBIYXZ5UVV5RS1BNmtyR1lvRFB3Nkg4OFFCV0gxb2tlbXJtZkt6ckhSQy1acm" TargetMode="External"/><Relationship Id="rId271" Type="http://schemas.openxmlformats.org/officeDocument/2006/relationships/hyperlink" Target="https://news.google.com/rss/articles/CBMivAFBVV95cUxOc09xX0ZCY1YyaE81T1NqOG4xbk5BbkZIdDdHaHhEMlVTX3FHQkZnNHVrZVFqaWJHU2JqTERIVi1vVnc1OEUwcFk1WVVacEp0ZTV0Q0tXclA2NV9POVdmUVRCUmxPemJibjZtWDd0c1BES0swTDBhVmFoVFlRNmN3Sl9ZOUJROU5uODkwUlhlOHFiSjk3YkdsanVPcWd4MT" TargetMode="External"/><Relationship Id="rId272" Type="http://schemas.openxmlformats.org/officeDocument/2006/relationships/hyperlink" Target="https://news.google.com/rss/articles/CBMioAFBVV95cUxNXzluNUM5a2FIOGtyNXhYN25ZeTVROEh3UGg0SDU0QURrbUtITW0ySTVfT2VpbllZY1kxUGpMRTlZZG5sTjZ1SnRMWUJEbXhZWWhsTEVGOGtSRE5wLUxOYlRKZk5jZGUwYXZmcjhidnMta21pM0dVbU4xRmxvejlSMFA3MklXenoycDlXaHZVTnNGUThZcTUxM014c292WF" TargetMode="External"/><Relationship Id="rId273" Type="http://schemas.openxmlformats.org/officeDocument/2006/relationships/hyperlink" Target="https://news.google.com/rss/articles/CBMixgFBVV95cUxNUFpxdVh4NkFHN1JCSDZwLVI3R0RYX3JJN3FjMzB1dldxaWNkaVFZV0dKTVVBY3NOVDFLN1ZHVFlrU29COUpNM0syZk9GSE90ZC1adUxhMkxVcUYwWHlGOERMWmRZNXZLcHFXV25GX0xQZS0tR2lXN0ZnN1B3YnBZQzVlS3JJYmhtLUJOTGVtWHd2MVFZQ1NKWjIwWi1jU0" TargetMode="External"/><Relationship Id="rId274" Type="http://schemas.openxmlformats.org/officeDocument/2006/relationships/hyperlink" Target="https://news.google.com/rss/articles/CBMid0FVX3lxTFBGbE1xaWxlZmQ4MFprb3RlYXlsYml2ZERSSUp2TUY1NnJ6aTNhaW9sWE5mT0syRndRUVk3cU4wSl9wektqVTlXWGQtUEVQQlZsbnREZ20xdklpZEN6emlCU193WGlWMDhDUmZMZDhKa3Y2WlZkMWpj?oc=5" TargetMode="External"/><Relationship Id="rId275" Type="http://schemas.openxmlformats.org/officeDocument/2006/relationships/hyperlink" Target="https://www.gelonghui.com/live/2727384" TargetMode="External"/><Relationship Id="rId276" Type="http://schemas.openxmlformats.org/officeDocument/2006/relationships/hyperlink" Target="https://news.google.com/rss/articles/CBMitAFBVV95cUxNdkFybnVXTm9ZWkloNmt1eC03THNsaXl1VGRpZUoyMnNoOTJPZUxNNGtaQ1lOWTBGbzlEQ05LeDZONHJZaDVxMUczc1JBTWpYNmVEdkdweUgtM0p6YUo3NG5rSDB6M0ZzcUdMSUtmbzNCT2VRZ0Zyc1dPaEw3UjJpYWtCTWYtOVRsUjNMeFZ4U0JoU0J2d0FPRE9MWEE5Wl" TargetMode="External"/><Relationship Id="rId277" Type="http://schemas.openxmlformats.org/officeDocument/2006/relationships/hyperlink" Target="https://news.google.com/rss/articles/CBMisAFBVV95cUxQbTRIdnNMekdSVHhwb01Bc2g1QWx6U3lnT0xqeHFHVDYwOHQ2blpGT0pMYlNUZU45N25QTnY0MkJrSE8waElYdXdFUDA1WXl3S2dWZjBleUduMzJEX2ljaEl4aXAteUhsZWVHZ196UHBtUWdNM0JlcEluN3ZIMW1KN2t6UEI3VWR4WWdXQnlRMUNVcTRvOTBXNHBxeGxMbj" TargetMode="External"/><Relationship Id="rId278" Type="http://schemas.openxmlformats.org/officeDocument/2006/relationships/hyperlink" Target="https://news.google.com/rss/articles/CBMif0FVX3lxTE1fd0wxeW1VSUJ2a05pSmNScDA0SnhhWWRWOG9QcHFwNnVvS1Q1dlpIMzdpQlUwRXlkempmVlUwUnBvT2ZhdjdBa2RQZDlYYXBBbS0wQWJ1RDBUdDNqUFRVSDI1a1BJbWRqMjhGV0d0SEFGQTVGQS04blMxZTBSV2s?oc=5" TargetMode="External"/><Relationship Id="rId279" Type="http://schemas.openxmlformats.org/officeDocument/2006/relationships/hyperlink" Target="https://news.google.com/rss/articles/CBMiwgFBVV95cUxOWTcyN3dwcUlIanZkWW9JVzN4SWxQSW95b2RxbXdRa1h4enNaeHRTazFpZGo0TUVRYUhLdS1hM3JjZWdQLVJ4bUNPUWdFUUxweGVPaEUwQmV0U2d0NlVlQnZ1NE1Zb2NQNmF0Yk51NGR6aWE1cExtckZickpaa1otdDg1MEwydVR6LXJwTFVkZjBFeHF1ajQzd0RKb052cU" TargetMode="External"/><Relationship Id="rId280" Type="http://schemas.openxmlformats.org/officeDocument/2006/relationships/hyperlink" Target="https://news.google.com/rss/articles/CBMid0FVX3lxTE1SU0hyYVZZY183bkJGS2J4blI5dTJfSUZUZFdtZXc5U2pzQWJNZndJeVI2NkZrVEtabktGbUJhdnA5elI3UHVCc0IwV2lOT3dXY2g4eDROczRmMVI3SndxWnB3M0RXSHIzMkw3ZF9PanNwM1NrV2RN?oc=5" TargetMode="External"/><Relationship Id="rId281" Type="http://schemas.openxmlformats.org/officeDocument/2006/relationships/hyperlink" Target="https://news.google.com/rss/articles/CBMisAFBVV95cUxNMVhkUFVGZkxlUFhvOWM1a3Ywai1teFQ2T21UdHBWWGdYR0pzbEN5V2hWY1MwQk9xT21sb21TTHB3WW5qTVRrYW9lbVpQOG95XzVtQTlkT2R4enpTU1drM0JVNHFLRGphdzNpY1hFVEt3UGxzNWlwNVJ4SWI3UDhlWi1uVlVkLWNKQXB5bGhyQzZrQ3NUZDZTRWJIYkx2TT" TargetMode="External"/><Relationship Id="rId282" Type="http://schemas.openxmlformats.org/officeDocument/2006/relationships/hyperlink" Target="https://news.google.com/rss/articles/CBMirgFBVV95cUxORlQwS2N4WEFWREsxbjUtU1NmZU9XRnIyc2wxck9leE9uUVNDZ01jMDlONy1LbFRDOVR4RG9pbk5ldXBtdHN2c0RLTmZQbW1pNGVTTHJ5UnFlSGV6TDQ5Z0loVFljYjZBVkhQTnN2aHFma1NKTFhKcElyVTJ2SEZOWHg2bm5oM2lFd0xRcnZWTTV6Y1NoT2hibU9pQmFHTm" TargetMode="External"/><Relationship Id="rId283" Type="http://schemas.openxmlformats.org/officeDocument/2006/relationships/hyperlink" Target="https://news.google.com/rss/articles/CBMinwFBVV95cUxNOVgxZVpiM21zZFNNODAxT1NyeG1SRFlyRjF0c2l1MVJxZWVjVGNLT296THZaZ0FuOG9EVUU4Q3ZWRGZ4bXhVZWQyVkFVNWIweVlKcWItb3lOUVNCQUFwVEUxWnB5NEVaY2J0anVqV3lYaWxMSGZ1ZEdsb1YtakV5SEFPTUJFSm5hR1B0RWNOeTlfVjVYakdPTUtzb2FkNE" TargetMode="External"/><Relationship Id="rId284" Type="http://schemas.openxmlformats.org/officeDocument/2006/relationships/hyperlink" Target="https://news.google.com/rss/articles/CBMiiAFBVV95cUxOSF81V3hMbUZiWjNvWUVRVFlFdHg4UjF2dUp3NGNoYkFYdHp6aTlDR3U1R2c5RGZWMkNIYjdaMjJPNXNuaFZIWHBVak1KamFFZ2tmN1oxdlA1XzRDblpjekdBTHZsWE1jLUdSRHYtOF80U0FNY0JmcEFrd1lyTUIwS3cxcnB2c010?oc=5" TargetMode="External"/><Relationship Id="rId285" Type="http://schemas.openxmlformats.org/officeDocument/2006/relationships/hyperlink" Target="https://news.google.com/rss/articles/CBMivwFBVV95cUxQQmp1WUQ2d05Ra3BKN3UzeGM3eUlaQ2I2UzJRdkJhVlpjdnpaLTRfMWMxbGs1SWZtZkRKM3hEMWNieXFIbFo3NUlGTlVFR2tWcGcxSVV1ZzVtNkpVRWZ6U1FncUU0Nk9nUkVEX3NTZ1REWG9Rc1F0Rk5KUW5GVWtleWpDRmZabkNtaTZQbU1IR2I3OUl5allBdjdEQ0NiLX" TargetMode="External"/><Relationship Id="rId286" Type="http://schemas.openxmlformats.org/officeDocument/2006/relationships/hyperlink" Target="https://news.google.com/rss/articles/CBMiogFBVV95cUxOVjhaLV9FeXpSamhVODdyb0Zra3BRVTJoUkU0MG56eUNTTDROSXE5d2RsckhPWmFRLUZNOXNHYVNPcF9lOGRDRDdkaG9Bc2xZSm00X1V6UThrZ2NxdG9ZYS1ZV2s1cVhVN3VmVUlFeElkcHBuTGxkYS1QanBRNUdHN2M4ckNKN1ZOVDRhNllFc3haTjYySUFDOFlhaU81bE" TargetMode="External"/><Relationship Id="rId287" Type="http://schemas.openxmlformats.org/officeDocument/2006/relationships/hyperlink" Target="https://news.google.com/rss/articles/CBMipgFBVV95cUxOU0c3UU4ySTV6QWw4bFQ1akdHQ19USUwxNlEzckQ5SFdGZ0l5Z3Y2dXNHNHJDdmxPS1pXQkxVbU0zajVQMlI4a3EtY0VZQ3ZiTzN6MkVzU3lhTThfRVVSa1F0SUhJZGNOWF8wRDZ2enlQQWMySUhEUlRvemNNcHNxZDVDcmpBSi12OExLaXNBM0ZmY0NZMDR5bzBmQjlqRT" TargetMode="External"/><Relationship Id="rId288" Type="http://schemas.openxmlformats.org/officeDocument/2006/relationships/hyperlink" Target="https://news.google.com/rss/articles/CBMiugFBVV95cUxNejc2bTI5S0tyekp3bHVMcnhSNk9TUHR3QXJpeldDM0lqcXJ5X2JKZ0loY3NyR2w1X3FtZlFOc2puRG8tQ25zNEIyOWpZVTJfakJPSGtKX0hQSEhQdTJ6cXFJamNQY2xQN1pram5RTWJUR2E1T3g5M3hMOGZCdkVNTmhNS1NPa1ZQVDZKQU5CZm1FX0JMdzZmVzdaMnVUaU" TargetMode="External"/><Relationship Id="rId289" Type="http://schemas.openxmlformats.org/officeDocument/2006/relationships/hyperlink" Target="https://news.google.com/rss/articles/CBMimwFBVV95cUxOUWoyTUx5SUxOMjBZS1FNNFpLemYtdHNvbkJGS3pBenBibTFKd1pRYUJFXzNvQkNvY2kyYnpCajdUaEdLWEd3WXU3SnI2bTN5WVJpRXJqOVpzV2dtWFAtZUtySER1SVQxRFZYTnBZUWxqWkVwQ2lEVE1DY0FSR3dfLTFWRFhWTDBSLVdnRzFJZVNfclNRb0FvTDluMA?oc=" TargetMode="External"/><Relationship Id="rId290" Type="http://schemas.openxmlformats.org/officeDocument/2006/relationships/hyperlink" Target="https://news.google.com/rss/articles/CBMivAFBVV95cUxPVjlEaTF0djRpRW5NMU9ab0ZaM3d3OE5tenh1VVIxS0JoRC1fV3V3eXl3N09meVJhMFdjWDBGVXpDZzQ3UHhZb09JY1MyN2d5Unc4YVhrSVhfRGZLTEJqcllGTUpCOXo3bkpLU3AtXy03OFVZVFU0Vk0tNTBXWnRwa0ZsWWFOOHdIV1hQU3RUc0gtMVByUjVLV0t0MTI3UU" TargetMode="External"/><Relationship Id="rId291" Type="http://schemas.openxmlformats.org/officeDocument/2006/relationships/hyperlink" Target="https://news.google.com/rss/articles/CBMiugFBVV95cUxNejc2bTI5S0tyekp3bHVMcnhSNk9TUHR3QXJpeldDM0lqcXJ5X2JKZ0loY3NyR2w1X3FtZlFOc2puRG8tQ25zNEIyOWpZVTJfakJPSGtKX0hQSEhQdTJ6cXFJamNQY2xQN1pram5RTWJUR2E1T3g5M3hMOGZCdkVNTmhNS1NPa1ZQVDZKQU5CZm1FX0JMdzZmVzdaMnVUaU" TargetMode="External"/><Relationship Id="rId292" Type="http://schemas.openxmlformats.org/officeDocument/2006/relationships/hyperlink" Target="https://news.google.com/rss/articles/CBMimgFBVV95cUxOVjNQS0JaM3VVNzJmLWlzV09TR0RQNlN1NWZmamt6WjZPelhCbzlXSDB4ZExjSFJKM3p3NEFuVHNjV2JXaHZ3WWdTaXdrTktrcnpzMnNFWGE2OHRLTXI3VDQ3SlZkdEZ0eF9fYURWVlRsTHA2NkN1cXZLRm9wZFhTbHFCc1RmQXlOUFlhNi1TVjhQcENabjFBZ2hB?oc=5" TargetMode="External"/><Relationship Id="rId293" Type="http://schemas.openxmlformats.org/officeDocument/2006/relationships/hyperlink" Target="https://news.google.com/rss/articles/CBMikwFBVV95cUxQX244OHdEQUdoU3V5NHBKRGRTSHRCempXdUZDbjVRcXplWmRTRFNfc0xPN3UzVm5uc2xzY2pjcmpKaDRGSUdzc1ktTEtFdGFNc3ZQbk5SUWtPWUxlM3JpNjJmRmV0QTQ1SGlyZHZyTGI2VVJ3Y1Y4ZGtpOEZYOVZfTkFyWXNfNVpxOE9UeV9lSzloMzg?oc=5" TargetMode="External"/><Relationship Id="rId294" Type="http://schemas.openxmlformats.org/officeDocument/2006/relationships/hyperlink" Target="https://news.google.com/rss/articles/CBMinwFBVV95cUxNVEZnTHUxdUhnMVowdHhSR181VEV4eVdmM01obzYwdFRMaThUWFBpYllGUWd2S3BTVVYzS0dla2N1LWhUeGxPVWpPcUpzdXZPS2RITTMta1pyeUNSSUQ2dEVmV19ybV9YeFNqNERLdnlXcVBDNGxlQm9fcUtzUDlqSzZuRUdCam9DdDJZeFh2TWFvUzBJaHZTQU5iVVpfOE" TargetMode="External"/><Relationship Id="rId295" Type="http://schemas.openxmlformats.org/officeDocument/2006/relationships/hyperlink" Target="https://news.google.com/rss/articles/CBMiiAFBVV95cUxNTW5URDR6c0JIbW1KRXVlZUV5eDh4UFlWYTVucmcwTGduaHplaUZrdlJoN1dzdHdYTHdESDR1SkpLaVgyVHhGbERwZUpPeElickdZZ3JJeHBfM2FwYkt3a28tM2hwVmpRRXY0T2txamt6VDhzYnA4dWVjMTBKQ0pEMFdqOV9NbE44?oc=5" TargetMode="External"/><Relationship Id="rId296" Type="http://schemas.openxmlformats.org/officeDocument/2006/relationships/hyperlink" Target="https://news.google.com/rss/articles/CBMimAFBVV95cUxQTUtJYUZvRW5TREQwTFJ5Sm9yN0kyNkFvbll1MXBYMTBiTlBXQWRYTVpTVHFabEM5cnZnOGFzUGZZTHlkemRPNXJTckJHQ3A4SkMxYzNQZTFzVC1jZjFtcjB1SXN5UWlXSmFkSXkxRzFQRUhnR3Z4bjdJNTRxanFGektLWi00TnFqZTRoYU1vUnVMWnNVV1l1eQ?oc=5" TargetMode="External"/><Relationship Id="rId297" Type="http://schemas.openxmlformats.org/officeDocument/2006/relationships/hyperlink" Target="https://news.google.com/rss/articles/CBMigwFBVV95cUxQRmwzMHJQejJxS25UNUtTTGdvR1NDWFlkaXpUbkhwVnFlMlBHa1hkalUwOGFrcklDY3hoN19YZlhvX05MeFBxM0FsOVNEZENCRUtJRGlLbmJubWdrTUFrWWxNQWtkVFVFQ1ZoeFJwaF9UXzg2RjQ1TXZFVnNIQXdnMVFKUQ?oc=5" TargetMode="External"/><Relationship Id="rId298" Type="http://schemas.openxmlformats.org/officeDocument/2006/relationships/hyperlink" Target="https://news.google.com/rss/articles/CBMib0FVX3lxTE9SelJlQVNoNVB2LXFGMzlZOFZIekRBWGJCUEk1NHlLcTBMci05V3NLTUh0ZTVFeXNtYkpScDdkNDN5WG8tV2tXSHdCNS1YaWtEVFNiOWNLTDM4dk5kcnR0dko5LU9vY1Y2ZmxWYVdwcw?oc=5" TargetMode="External"/><Relationship Id="rId299" Type="http://schemas.openxmlformats.org/officeDocument/2006/relationships/hyperlink" Target="https://news.google.com/rss/articles/CBMiZ0FVX3lxTFB2RGdSRF9qb1hnbmpPNTRzY0tKVjltanVHUElQcGNFUWtYOVZ6cTgwU0hvSFV4eXNiZTBvekp3SUs5a2JCczlYSTdhZDFNV0dvemFhd3FBOFd3emhYa3Vvc0c2c3MtTmM?oc=5" TargetMode="External"/><Relationship Id="rId300" Type="http://schemas.openxmlformats.org/officeDocument/2006/relationships/hyperlink" Target="https://news.google.com/rss/articles/CBMinAFBVV95cUxNMVRJd3oyUGVKa2hxZTRQajBDYWd0Q1Noam9jZ1J0SmN5NjRuSUtfaXUxT1ZQLUZraTdqaDZpMGRQd2tJajhvNjFPSVFEejJzRzJoVW50Nm9yZUFEeE8tM3dvVnA3MFZ3Y09QeTVwZ0R3RlRHT190QUlnLW5DNXhBQTBYSFRGSDctejlUc09FQ21uLXF5cWpMNW90S2c?oc" TargetMode="External"/><Relationship Id="rId301" Type="http://schemas.openxmlformats.org/officeDocument/2006/relationships/hyperlink" Target="https://news.google.com/rss/articles/CBMiggJBVV95cUxNdHZEY3ZNbVZ4Z0VMZWpkLVNxNTZWV2JMRnhpU0MxNy0wcDlJcWpxeXlPTTN2dzEwYlVzRHRNU3ZxczhuTUkzVUdVOFdrVy1fSEs2Mm5ZbmRZZlpjMW5hQ0N5OEFLZWVObmhqcEVCa2w3eDBXR2hwRm5zY042V3MtdnFaVEV3cTNRMlc0eE5FQnFRTExpT1d1NjJQRzNxQU" TargetMode="External"/><Relationship Id="rId302" Type="http://schemas.openxmlformats.org/officeDocument/2006/relationships/hyperlink" Target="https://news.google.com/rss/articles/CBMioAFBVV95cUxOYjNiMEE1ck52MnRBT2Q1ODdDaG5yem5mNi10ZGg2UHpMR2VnMHoyck1uTXRKaHNlb0ItU0lVRmRoMmhIQk1yVERac1FzcGhrd3V1Y2NQS2RDNFo4eTMwdEVnSGxueXhWdHQwbkY4bkJUcENIcDJIS1UtemlNN0UxYzhKZUFCTVlRWVJXYm5qdDNuNWdzSWUyOHJLOHdKUD" TargetMode="External"/><Relationship Id="rId303" Type="http://schemas.openxmlformats.org/officeDocument/2006/relationships/hyperlink" Target="https://news.google.com/rss/articles/CBMilgFBVV95cUxQdDdPRWtMTmQ0SEItMy0xZWl2SjFraDBfaWJfdGlLVkVaYnl6TWF4UVkzaFVYZlNlZnJVdGxteHZ2b20xVllBTDFPZFc4c1NYV1FDQ25KbW0xdzNuRlpETDFMX2hIM0RrLVU1X2t5X1FvUmRQNDE1TzJGQ1JQOVY2bGE0dkx6VExNMFpvdy1lTTEza3pkY3c?oc=5" TargetMode="External"/><Relationship Id="rId304" Type="http://schemas.openxmlformats.org/officeDocument/2006/relationships/hyperlink" Target="https://news.google.com/rss/articles/CBMitwFBVV95cUxOdmhaOWtoZkJmZXNzeEgwQ3pTOVNKbjF0QkZYTWoxTTVObjFRY2xrRWtuaVpHdWxRdEhaYXAtdi02bTI1UVJZeGN2Qzdia2NnWG5YSzhqU0hhV1dOaDBBczNDNWxhWUVkazZFOG1ueWkyR2hYOEFjTVNxSWNQRFNPbFBNX1NYdnhycW52UC11eGVlWjVGMGpIREJHVnU2Ml" TargetMode="External"/><Relationship Id="rId305" Type="http://schemas.openxmlformats.org/officeDocument/2006/relationships/hyperlink" Target="https://news.google.com/rss/articles/CBMidEFVX3lxTFBsVnNpMFRBenVZRkV5bldpa3YyMXJhSkdXcnpHUkNRSUg3RlhJTlRtVGdtYXJMTDRoeUZUVndWSlNsbnlHekppTl9yU2lhSmZySWZIRDBJVVphcFJZS1VZRUIyUjFaRFJsYlpaY0JiaXZDcWpY?oc=5" TargetMode="External"/><Relationship Id="rId306" Type="http://schemas.openxmlformats.org/officeDocument/2006/relationships/hyperlink" Target="https://news.google.com/rss/articles/CBMiqAFBVV95cUxQMVJ1N0JyY0tyaEFSbm1jclJ2Q3RYbnFxZlZBZWxjRFplbnpBNUt2YmRETlJQR05EX2NkelNjS3N1WDRYVE1GUDFRbUJneTBvMldXQ3ljM0xhTjBiRVpSekdQMlEyS211TEpOQlRwSlZNNzBQNy1lb3dTMEgwN0ZHZTVIT3BrNGpVaFhmUGtLbVlENllsbjJBNEtHanhxcE" TargetMode="External"/><Relationship Id="rId307" Type="http://schemas.openxmlformats.org/officeDocument/2006/relationships/hyperlink" Target="https://news.google.com/rss/articles/CBMizAFBVV95cUxOS1gzQnpEa0Y0OTJxZXRqem9ZUWJJYkdoN19YdXVIdjR5QUNVRW1VRlJ3dGo4NzNuZXg3VUdHMHRWRFo0U1lNX2dNdFR0NnhiRkJGeWFWWlNQdnZrVUFCYjdMT1JmRHBOQmtBc2hzQUc1Z2lGdjBaMldka1lySnd4dVk3eUtqV1VoSmhVTDY4OVU1d3NIUm9jZEFCSmtuQ0" TargetMode="External"/><Relationship Id="rId308" Type="http://schemas.openxmlformats.org/officeDocument/2006/relationships/hyperlink" Target="https://news.google.com/rss/articles/CBMi0gFBVV95cUxNb2Vfc3paX1BkczVlTHRUeHYzZHhBWV9JQ0JSSngtZjU5WjQ2VmNBLXZkRlJ2NDNwRjNDcFJ5WTZXWkdmX0lZTmVZc0duMnFEaUxoZXExY25TTzBuazhHZzZaOHBjZFVxRzhFRnZDZHMxemJGUXdfaGdpRVFPWmJ4cFZZVk1iclNEbElvcGliRTh2ZUFOS01CZXp4dWlOOE" TargetMode="External"/><Relationship Id="rId309" Type="http://schemas.openxmlformats.org/officeDocument/2006/relationships/hyperlink" Target="https://news.google.com/rss/articles/CBMiuwFBVV95cUxQbTZQaV9TaUt3bjNaTHVsak9DWUp1YUJyTW1YSGtURTJlS2lsZzBIN1JDV2t1aHNmLWhGRVBkdHVDVGtTT1FhQlZLUXlrRVJtRzFlMmNuTkYtX1RuaW1YZnJWcmJGWGdTWnZDUEJiZkpOaWJUbHFKMU5fTjRwQkVoRUFsSmJFWjFXM21DOEdyNkQyNXYyekUzcWxROEd4Nk" TargetMode="External"/><Relationship Id="rId310" Type="http://schemas.openxmlformats.org/officeDocument/2006/relationships/hyperlink" Target="https://news.google.com/rss/articles/CBMiwAFBVV95cUxQZnRETTl0Tl91clV2Z0NveHV6Yi04eExwRHZsT09seEV0enZqRWNoajJhcDJSMkYxMURJcVV1NnNIMUl5UXR1Qzk5OVh1X0VGNGJlbjN1RVdaTzBmWDRTM3EwUUs0ME5KRHZWbnhHVHRUTnViSXBrS0VXRUttb2dlczE4NzNIWHhhaEhGQnNVN1VxLUVjb0JJaUhyNFhNTX" TargetMode="External"/><Relationship Id="rId311" Type="http://schemas.openxmlformats.org/officeDocument/2006/relationships/hyperlink" Target="https://news.google.com/rss/articles/CBMi8AJBVV95cUxOWm44blE4cDVicnF3eDNMRkN5eDNkaGVBQTQyQ24ySHdEZjVtV243ZHdtbi1DMnJMUEFlRzRyNUVtUFJDVTlYaHdrMmlNZU1kQmhLdXZBcnl1bHdKdUNkV0tuRkhnUjhWeGpwSnFmZWY5RERKZDNEdW1XeEhYVEV3R2h3dTA4bFdJbXBrbURLcGE4VkhLbm9iaU9fZUV1T0" TargetMode="External"/><Relationship Id="rId312" Type="http://schemas.openxmlformats.org/officeDocument/2006/relationships/hyperlink" Target="https://news.google.com/rss/articles/CBMilAFBVV95cUxPZzR1Ui1jcS1uNEt5YUxYY25mOVpQRnh4RGFQd3I3UVpISWFJRGMtRFZyNjBqZWNFOHV1Y2xTc1QtQXQwdUlMdjJjRG5hd0tlRHFMMVpQMFF6SWFIc1NiUlhZY0dRUGhFUy1PclVnTm8yVXZRektjOGJadVVGNWtJZTluVHFndmtaR2RkRktaREV3WktM?oc=5" TargetMode="External"/><Relationship Id="rId313" Type="http://schemas.openxmlformats.org/officeDocument/2006/relationships/hyperlink" Target="https://news.google.com/rss/articles/CBMinwFBVV95cUxNZlFYbFlhZy1ScG9IQU9NMlctdDU4NFJUZk15eVEzRjdqaHMtdXNzblRCdUJoMmlMYm9rRURKSXBRV2ljaUhrdENscVA1ZE0wLWl4Y1FiT2FsS2lUbFZ1LUxwY0VGYnk4V09EUHlySEhxc1F5RkY4eFVIU3pOQmliaUp1UHlGWGhSdGdiNHRNNl9tQmxzdC1xNDVMbUI5Rj" TargetMode="External"/><Relationship Id="rId314" Type="http://schemas.openxmlformats.org/officeDocument/2006/relationships/hyperlink" Target="https://news.google.com/rss/articles/CBMilAFBVV95cUxPZzR1Ui1jcS1uNEt5YUxYY25mOVpQRnh4RGFQd3I3UVpISWFJRGMtRFZyNjBqZWNFOHV1Y2xTc1QtQXQwdUlMdjJjRG5hd0tlRHFMMVpQMFF6SWFIc1NiUlhZY0dRUGhFUy1PclVnTm8yVXZRektjOGJadVVGNWtJZTluVHFndmtaR2RkRktaREV3WktM?oc=5" TargetMode="External"/><Relationship Id="rId315" Type="http://schemas.openxmlformats.org/officeDocument/2006/relationships/hyperlink" Target="https://news.google.com/rss/articles/CBMingFBVV95cUxOMzV3N0hGVlhyMk5XMnprWmZfUTVqMVNhcWg5bWFnQk45VEhqTFB0dEVINDFRN1BFb21MQXNuOG43U1llSGZrRjZHRUFHdVJkQnNna016UzNKRThuTG9aM2JpTE1pbWpjNDVRN1hNN21HVldyUFBVQjQ2SURWUl9IamNLRW9URDFLZE95eTBYXy0wcC13aXRXNG5EUGNXQQ" TargetMode="External"/><Relationship Id="rId316" Type="http://schemas.openxmlformats.org/officeDocument/2006/relationships/hyperlink" Target="https://news.google.com/rss/articles/CBMi4wFBVV95cUxQNTNHNW1lbjRQU1JTeVNwQnJIb0lpTzFGTklzdTllZlE0YjFITER0dkNsWEtsOTRwNzA3VzhSa2Y2Wi1GYzUwTllrbXVUZDV1cUNUbm5INGpJNjVBZ3VmVkZVWFhMd3NsZ295V0VOVjEwNnRlZzNBd1RUanZ4bmlZdWt5cHBqUEFQT2FFbGdaT2N2eDJNcmNRN1pBV1Vpc0" TargetMode="External"/><Relationship Id="rId317" Type="http://schemas.openxmlformats.org/officeDocument/2006/relationships/hyperlink" Target="https://news.google.com/rss/articles/CBMimwJBVV95cUxQelR0Y1Nacy1QZ1BiSXNRelZaY1pEQ2FwMzgtUThBelJUSUhOYUxGMEMwcTl1bXl2TER0MFVXX2UwM1lYUENDUnBZLXdqdEVIdExTamp1V192QkdfSXREczBqcDFKakxQcWxEbk5CSjVWSmJVRVgwRnNDak5sWWRlUjJWeEFYbm5XMkRDaFZKOGtnUEVydWRJR1pxelJmUm" TargetMode="External"/><Relationship Id="rId318" Type="http://schemas.openxmlformats.org/officeDocument/2006/relationships/hyperlink" Target="https://news.google.com/rss/articles/CBMilwFBVV95cUxPM0FEZFc5N2RhSHNTbkRHNURJZF9PV2hlcXpLSDBtcU05SDI0eS1fYXJFdWVsMUFFbmtkajg3WHVqcGkwRV8xdG1nei1ZRVBSRDNOOEo5Z1BLR1luMHM2aV92WHp4bUh4ZWZQbEpwdHhGTVA5TTUyYnF1N2QtdXZfVFI5Rm5FeEszZXIwZy05Qm5wQkNXTmM4?oc=5" TargetMode="External"/><Relationship Id="rId319" Type="http://schemas.openxmlformats.org/officeDocument/2006/relationships/hyperlink" Target="https://news.google.com/rss/articles/CBMimwFBVV95cUxNdHYza3E5T0ZRY256NkZFQW0xYWpUS3dTc2RSa1M1WHU2a0trQm5OMVhVOHo5cW5MSVA5azFXd2tMeHFjbERuRXB3WGxkSEZJNXFvY012TVFuN2x6QVZ5Q05xVHozVFlEekpXQnBOUkVNb0dnYWRGcjZGOHRRczZORThneldTaG02NEJ1R2F3NGFOYks5OG4zM1VxWQ?oc=" TargetMode="External"/><Relationship Id="rId320" Type="http://schemas.openxmlformats.org/officeDocument/2006/relationships/hyperlink" Target="https://news.google.com/rss/articles/CBMiqwFBVV95cUxOVkxCMC1mUFQ3cVNWVHRIekdQNU5rdFNNRXB1SzJfM0NpdzhCTW9PNkViTnhLbERKXzNtVXFtQ1pJeG1zYWM3VWhJRDdDSnRHY3F5Y0dpdThCby11aHkwR2FCMFdOcnpFbzhjV0NmNTNyMm03ZFAtV1k0MGpXZU5SY2FwOTBOX2MwWEE5dDNNd3RybFM2UWdFM0xhcE5yen" TargetMode="External"/><Relationship Id="rId321" Type="http://schemas.openxmlformats.org/officeDocument/2006/relationships/hyperlink" Target="https://news.google.com/rss/articles/CBMihwFBVV95cUxNZEFaVkYtWkNlM0FwUURLNVRZRVhXc2FaNHVQdXBjdEJhN1RvcTl1YTVnM04wQkswdWRsbmxUdjEzMXpwWWpCTC10aElWMnMxcmtiWjlTQzJNZFBrX2dYUW9JRjN1Vk5RdlRENjN2Q0I4R0JvUEpnTVYyNXdSbURBM0wwR005MHM?oc=5" TargetMode="External"/><Relationship Id="rId322" Type="http://schemas.openxmlformats.org/officeDocument/2006/relationships/hyperlink" Target="https://news.google.com/rss/articles/CBMiwwFBVV95cUxQYy16c1hoRlNmSWUyZ2FGNV92azg2ckFMLVp4RXdsRG9OSGE0WGVMdHJXZGlLZjNQcWNWQm9mZm9uRE84b0RpM0I4X2o1X0pTQzR0WnpwcTlSR1JHVmhrRng3d21vX0V0ZkJsYTl3dWtnLXhqaTBlS1hVTnp4TFV2dW1EYWg3OGpwQUROMm5Md3BqOEFhbnBpa0owNDF5Qk" TargetMode="External"/><Relationship Id="rId323" Type="http://schemas.openxmlformats.org/officeDocument/2006/relationships/hyperlink" Target="https://news.google.com/rss/articles/CBMiyAFBVV95cUxNZmtaU3ktcWlNdU9sLVByQW5INjRwa2ZDMHBiWV9WM3BTUVh6cWpvUXU3Y3BOUWVlaFVNUm1lVUxadHk4QjljcFZNNDZpSUtMdnlsbkxaMnQtWVdfb0I1TFZxUWItcXNEYVdLY19JV1lIMm9ZQW1WOXNQYnRuOTJWNHJ1Qm0xOFpnWGc0Z2pDaS0zMGdzYXRZMklCd29fcU" TargetMode="External"/><Relationship Id="rId324" Type="http://schemas.openxmlformats.org/officeDocument/2006/relationships/hyperlink" Target="https://news.google.com/rss/articles/CBMinwFBVV95cUxQaUNOYTEyaFRaWlNYQmhwU3pvSXdpQjdxNFFqYkRCaTRieU54ZVJqTnNoWkNXam9RMnFxRDU5UUV3dTZKMzA4bG53VWs2blI2NU1BeUpQNHRLdlRacU9BMFd1M25JT0szV0dGTG1INU9iT0MtQVg3NG9TWjZTUGs4MndMajdQRDVsMnB5Z09QcTQwMU1pRWlOTU9zdE12Tj" TargetMode="External"/><Relationship Id="rId325" Type="http://schemas.openxmlformats.org/officeDocument/2006/relationships/hyperlink" Target="https://news.google.com/rss/articles/CBMic0FVX3lxTE9EbmVvemdscldldkF2RlJWRXJvQ1FsTTJaa3A3Um5zUzVDMVlvQV9ueFppcVVVVnEzaTdPdFhVaFpaZk5qTkJNSXBuS0NRWkVGTGJlSE5mTkpUYVpHdzJ0YXdFeWEtU0x5SUhudy16RVQ5OEk?oc=5" TargetMode="External"/><Relationship Id="rId326" Type="http://schemas.openxmlformats.org/officeDocument/2006/relationships/hyperlink" Target="https://news.google.com/rss/articles/CBMitwFBVV95cUxNVGVBMXo0b3ZXM1RvaF9fNFdkVUtUWGExaE9lU2IxZHhwa25YYW5JckZJcm4wRHVQTkNUbm9NNHNLblRHSjg0ZU9rOGNtNWNyQ2JKRkc2UEVHRmFWZk1IZDgtZjhMM01EenZPNkxNdXBnVmVuMnpMNko1ejlCYlU1TWNEX1ctWGRDQ3V0eXhJUVhuTFBlVVZyWUlMeG4xSn" TargetMode="External"/><Relationship Id="rId327" Type="http://schemas.openxmlformats.org/officeDocument/2006/relationships/hyperlink" Target="https://news.google.com/rss/articles/CBMitwFBVV95cUxQUkViMVZMbHNGOEFXZHBJTnlUZk0zOE9RZ0M2QUZUbUNqdnVKelJIYXRyNzVmcXhZWDBEcFBaTkZOazJvNVc0YW1rTmxNMVo0a3hTWVowMDZHVkJPTGJzdGlEZ2E0VEZLTVFaRFBFU3E3QVVUMEdXMl9YQ2h5ckF4TmtEa19pOWdMcTZjLVljR1JPRmpRYWc4UDAySHJNVU" TargetMode="External"/><Relationship Id="rId328" Type="http://schemas.openxmlformats.org/officeDocument/2006/relationships/hyperlink" Target="https://news.google.com/rss/articles/CBMi1AFBVV95cUxPV2ZzbXFSMEpoTmVYa1NmN04zRUFwc3lTUGJibXhobThXamxnTzRJM1dieWdtS2xrVGFOMU9RTXlLVTh6Y2VFYnFiWERGS2VfQnhudUZxRF9pOG03N2FUS0s3NlAyY2N6b0tfSnFyeHRoMFhIdjJWaWNNRGZFcE5aT04wSm0tY1dPODNndVVwUDNfR19GX0V5WWxtQ01kNl" TargetMode="External"/><Relationship Id="rId329" Type="http://schemas.openxmlformats.org/officeDocument/2006/relationships/hyperlink" Target="https://news.google.com/rss/articles/CBMickFVX3lxTE5CaGtWMUk1MjJVYW1IRzQ1VEVjcVRLZ1JDampnTC1zTWNLckZmeEg2TzhJeWpEWHpfdE1USEVJZ0xTb2JjcGZCZ3dIVTEybW5vMmlsMG9DcGlYbkwzdnctbVZVbWxQRnBMMlQ1Nm9XbjNEZw?oc=5" TargetMode="External"/><Relationship Id="rId330" Type="http://schemas.openxmlformats.org/officeDocument/2006/relationships/hyperlink" Target="https://news.google.com/rss/articles/CBMiugFBVV95cUxNQUc4SlRZSmpnTExQZTFXSVBLWTlhaHVvenU5TEw1YkFCQllKcm9KSUh0MGRacVJaZGNYSXhsX1NGTUFiOER3Uk1HZHRBb3RJamwyNlZ2YUxTRkR3MDFlYXBFX01wVWNMakVrc0VYWkU3LUhTemhjaHFDNW1Za04zYkN4d3B3bk9FR2owa3NsXzhfMGlYbmQyeVItbGVJQT" TargetMode="External"/><Relationship Id="rId331" Type="http://schemas.openxmlformats.org/officeDocument/2006/relationships/hyperlink" Target="https://news.google.com/rss/articles/CBMi0gFBVV95cUxPSVlRZjgyUE02cXEzVHA0MUV3VXJ0VHNjMnI0Mlc4RmIxR2s0dUxvanBYcXk3NXdzOXJjUFM2TmYxXzRackxyN0xqazBwV1JKU2hwSk9RZDZseHZpTWRFVkdZeGdqSHQ0LWxLbGROaVBFT0h2c2N0YkNxZHk2cnRtYzMwTDg1QmRVb3QzOTRNQ29jdFhxN0tESVBVN3hFNW" TargetMode="External"/><Relationship Id="rId332" Type="http://schemas.openxmlformats.org/officeDocument/2006/relationships/hyperlink" Target="https://news.google.com/rss/articles/CBMimgFBVV95cUxPYVhwTFVxX09rVG9FQjBNWnFCb0JQVDQxRFpWSHU1dFA0dW13Vldnck5rdDBDazBYUFRMQ1Fwek1kdHhsRV8yRGF1QTNnT3JVRVdSRU1vWGI0UUNtVC1qUTlvZW9TLW9JSkxZX2FqTUEwMlVsaW5tZnhEaEQtT0hKNEJDTGRwWXZ3bFlxTzMzazhlTHpFOVp5cXpB?oc=5" TargetMode="External"/><Relationship Id="rId333" Type="http://schemas.openxmlformats.org/officeDocument/2006/relationships/hyperlink" Target="https://news.google.com/rss/articles/CBMid0FVX3lxTE1lZ2xmRE5MYXdWYjBQckwwNUx0T3JNSnczYzBZWFlVeElyZHJQblJMbS1ReVZ1NC0zLVRucUp1eUpWcWx0aTV4YTg5Y0NqWGo1ckxlQjI5dUJQX0ZXMUZpdzdIaGZ3LVhhVHNXV01zck9OTGo0aFg4?oc=5" TargetMode="External"/><Relationship Id="rId334" Type="http://schemas.openxmlformats.org/officeDocument/2006/relationships/hyperlink" Target="https://news.google.com/rss/articles/CBMikwFBVV95cUxQYW9Ldm5MakFxeVMtcG5pOXRfNjhiRUFyWmFxWDlsNHVZN2RvaFROUld1NzVzNnJ1NF82SFlFNmJsalRVWGgzdS1ZRGVwM1R1bHNsY1hGc21ndlVSZ2p4NjhDTWlDYU45b3c0Z0RHYlZfanNxbG5WNlNzTWZIS0F1V1J4TGtkZXdmV0RXQ1Q0MFZfd1k?oc=5" TargetMode="External"/><Relationship Id="rId335" Type="http://schemas.openxmlformats.org/officeDocument/2006/relationships/hyperlink" Target="https://news.google.com/rss/articles/CBMifkFVX3lxTFBzRDVmYklYX2pjX21VWHR2QVV5S1FUdVRUNTlRN091VVJuekEzcjFCb2ZrTm93M2pRSHVxTWJhbERHSTdJRmhJd3VMTmpfR2o4SGxVclJKRGVTZGhpdklXeTVmQW12SW1OSmhpNFZ1RWtFOHZjSDZUVzVXVHk2QQ?oc=5" TargetMode="External"/><Relationship Id="rId336" Type="http://schemas.openxmlformats.org/officeDocument/2006/relationships/hyperlink" Target="https://news.google.com/rss/articles/CBMia0FVX3lxTFBMM01Ub2lyZEZrUXlyWFRrd3JYMEJKM2Npbm9Xa29qTEJCQk1FUmxxWVRlN1lJUDUzZHVldkNrQW9VbUE0RmxWWEpIMFJVUDdkWEtMaHZzbzc2UXo2VlV4WTVtR3VOYWswZENR?oc=5" TargetMode="External"/><Relationship Id="rId337" Type="http://schemas.openxmlformats.org/officeDocument/2006/relationships/hyperlink" Target="https://news.google.com/rss/articles/CBMilgFBVV95cUxNeEpBTWphYXk0Z1VfaXpEZ3hCSlJLd3c5N1E1T3YtTDhvX2ZEQmRLSlRoNThsYlE5UFhvVGpOSEt1X09fQTBtdkcwd0ZpZUpBeUhlYkkwOEpRT1M4aFZfV1BCZkRwYXJpcG1TdHhqSHYzdkxuaHNvbjNXU1BfdS1mbWxRM3BIaFZSQnA2X2kyX2ZVZHZEOFHSAZsBQVVfeX" TargetMode="External"/><Relationship Id="rId338" Type="http://schemas.openxmlformats.org/officeDocument/2006/relationships/hyperlink" Target="https://news.google.com/rss/articles/CBMirgFBVV95cUxQd2VTbVRvZVY1czh6Q0ItdjU1Qi1wOHpVaE5BV0tUWWV1MTJYaFJmMEVQa3hFdUpPMDJ3SHdVZ0ZKUUpYZnFreDl0M2EydmNMX2IyWUVfS2Y5dk54eDg0ZmVmWmRmaTFjX2ZiXzduWFF4c01fT2lrRFdoVjl5UkkzS1RCckdRXzJUVTAzUmJDOVB5VXJoMHdpM2d2VUc1QW" TargetMode="External"/><Relationship Id="rId339" Type="http://schemas.openxmlformats.org/officeDocument/2006/relationships/hyperlink" Target="https://news.google.com/rss/articles/CBMilAFBVV95cUxNOVFIczdaejJZb1c5X3BXRktsa1FlcHl3eHhyZm9oak1MYnBUeGRvdW1MczZpcWV6WGxNaE9CT1BqVGR1N04teW5EdHdvbXNjYWFMYjRKbk9rNG9XcWlnbEFvNGx1SzNQMk5OU25sZlpxZjFjN0dzenJRUGlnN3YtSHpjSGVhOGhDYnkzV1VsUnNYbkRW?oc=5" TargetMode="External"/><Relationship Id="rId340" Type="http://schemas.openxmlformats.org/officeDocument/2006/relationships/hyperlink" Target="https://www.gelonghui.com/live/2726550" TargetMode="External"/><Relationship Id="rId341" Type="http://schemas.openxmlformats.org/officeDocument/2006/relationships/hyperlink" Target="https://news.google.com/rss/articles/CBMiekFVX3lxTE1KNmNZM3I3ZFpIdm14S3pmTmtzY01sM0ZFa0REY2pZZ19sR3dZbmNFWUJiWkRtUkd2b3E4OF9SN0JGRnVVTjIzRFlaVmpvd2tsRmkycEVyb2JzUlYzZ1lLN3VpS21kVG1jZndlX2tmTjZ0anVBUUp1OXNR?oc=5" TargetMode="External"/><Relationship Id="rId342" Type="http://schemas.openxmlformats.org/officeDocument/2006/relationships/hyperlink" Target="https://news.google.com/rss/articles/CBMiqAFBVV95cUxQM25IcjV2akxvMXVmZVRHWm5WNUJUZFVoVHhJaVdkWE1OQmpRUVlNZkg1X3FiX3ZSd3I2LTZQY2FxMko0LVVJRmZma1h6SHdOZWVLdDY1cm91VWNiVmRTUW9ucEtVdm52Yk1aSWU1aXpWLUxjZnRpNDNKQ05rb3FlbF9mQTNLVGVZV1BmUWhaUjZ4TFlmUzgxVFJ6VnE2Q0" TargetMode="External"/><Relationship Id="rId343" Type="http://schemas.openxmlformats.org/officeDocument/2006/relationships/hyperlink" Target="https://news.google.com/rss/articles/CBMimgFBVV95cUxNN3JEdjVzVnJJNFJGRGY0dXYwXzFURFJ3QWVRUUFCVlVtR29uM01NQnlhMDVqTkxZUnBNUTY2TE92M19CR2FmeXY0dmJ4Ry1HcUlaWjVIYkZWdldWd1VIVUU0Rmx1X0tSVFplaENySnlnS3dyU1hPSzFjLXd4eDRiaWZja0RJS0JNTkVNa3hMRV9VTWFJM2wtRGR3?oc=5" TargetMode="External"/><Relationship Id="rId344" Type="http://schemas.openxmlformats.org/officeDocument/2006/relationships/hyperlink" Target="https://news.google.com/rss/articles/CBMi2wFBVV95cUxOUXdnR1RiYzRDUlBSYlJtdlkwREJHRFF1YWtXOUU0Y0tCLXlQQ0NRV3RLLU9DRU5fSW56T3A0cTFUSW04OWUxNjA2cXhRZmprVV82RWRVLVFlVmdob0FVdHpmY01kRFVNbjZCNzktaEZLQ2cxdFpTa2xleDBsWTJLenhQV1FjLW1jem41cXZtVUZiZzd0V3JiSUhmYW1leU" TargetMode="External"/><Relationship Id="rId345" Type="http://schemas.openxmlformats.org/officeDocument/2006/relationships/hyperlink" Target="https://news.google.com/rss/articles/CBMixgFBVV95cUxPVjVvem1yelYxZ1JCSGx0aXUySWR6M1pRdC1GY3RoOUg5ZjBtLTc5WDlLT3lodHFUYzd0LWZNcW9ZZ00xMW5jdEdMVFJJdFZOTnVoTXdtQzhXcjhMUV9iUmdUWXBNbzVGOVVJbUlrRTR0clJjYjRwYUV6ckxlOHppY01ZQm9NclA1aEJSX0tFbkhqYkp5WmFmcmwzVDVfRE" TargetMode="External"/><Relationship Id="rId346" Type="http://schemas.openxmlformats.org/officeDocument/2006/relationships/hyperlink" Target="https://news.google.com/rss/articles/CBMisgFBVV95cUxPWG9PVkVBOEN5aVdGVExKUFRuNm02UHdjbGY5dm1qcWpSZ0RJMldLM0tubzVxNmRSSXhvMnp5aGlPdmdXSk5aY3Q3d0lZcXZXa0UzanhBZFdMelV3NkJFTVhHMGFZUUl4YmZfWm8wRExta053SjdEYnFzZE4zOS0wNXRNeG5DckRUVXF4MU1wU0pkcFJ4TVJrd3pfbi1hbH" TargetMode="External"/><Relationship Id="rId347" Type="http://schemas.openxmlformats.org/officeDocument/2006/relationships/hyperlink" Target="https://news.google.com/rss/articles/CBMiekFVX3lxTE5COE11ZXF5b2FULXJqMlYtVktCZnMwcDZuWTlGQ0oxVTdyLVVoVEFzblhlZ3RoTTJHYXlxX3dSU1prUWMwNjhGdFBibk04U3p5Vy1ubjJ1ODdwTnR2TEVXMmhlenF1SmEzdW14STdNUTczNm1wQmhBVkp3?oc=5" TargetMode="External"/><Relationship Id="rId348" Type="http://schemas.openxmlformats.org/officeDocument/2006/relationships/hyperlink" Target="https://news.google.com/rss/articles/CBMigwNBVV95cUxNX2tJNTlKWVd4S3pQcGgySTdvMnFLZmMzM2RKZ3htLWstMXNudDVYUllqLTRBV0pVcXJ1MTRvYm05MElNckZNYV9qWndWcUYxaUNYYlFuYnRmVjAxWVVYdkFrbkJHTkJTRWY1TlRwUUZweUI2N3F2UUtpTVhuT0JKZHI5MjVGemZ6T3N3V0hnRzBFTlJEUjNtV1pRdFJoUz" TargetMode="External"/><Relationship Id="rId349" Type="http://schemas.openxmlformats.org/officeDocument/2006/relationships/hyperlink" Target="https://news.google.com/rss/articles/CBMieEFVX3lxTE1YaFNEWklwT2xIOVRFeVZtQ2dJTy1iM2FFZGZiWGlfRlp1MTBCZnpWZURsOWpoeFBtVHJFRVNZY1RuVHFKOEdqcEJKNEF3VnY5RkZDQlhmakI3OTNIYnNGMDBsQ0xNZkh0dWZwUXlqSzY0Uy15dFhKZQ?oc=5" TargetMode="External"/><Relationship Id="rId350" Type="http://schemas.openxmlformats.org/officeDocument/2006/relationships/hyperlink" Target="https://news.google.com/rss/articles/CBMilAFBVV95cUxPSFdwdGhoYnFadUxDeUJBZEZVY2F5c3pxOTNOMVd3Z3VyVzFTMmY5aEVMQ0JDWS1mVlhyMVdSV002NC1ISk03SlFuTnMwQWtXcE9VbjNpanhDWlN3b2hjb3EwVmZJOFNXS25KdVpGUDBWTHFpeXNkSXA1X2RmdFVTbWE0T3RlN0EtUkZhblMwNDhMZll2?oc=5" TargetMode="External"/><Relationship Id="rId351" Type="http://schemas.openxmlformats.org/officeDocument/2006/relationships/hyperlink" Target="https://news.google.com/rss/articles/CBMinwFBVV95cUxNRzJFSTVkVGM5VzNacGJ0Q0Z6UUl5a2NEMWgyMl9relhZajdBQVN0ZWYzMUZVbWt4SWpjWldMaEdnMTVmQ055UFVjUTVRVGFHTGRlRGxsSUxYdjZzVElKWWlVVXp5b0FMNGpjVXFqWGNrMkZYNFA4TC00cDRXWXVXYVdqdENwVDNndEl4VHN4VlVQLXFLNmlhd0RVWXJSVj" TargetMode="External"/><Relationship Id="rId352" Type="http://schemas.openxmlformats.org/officeDocument/2006/relationships/hyperlink" Target="https://news.google.com/rss/articles/CBMiiAJBVV95cUxQQ3dKM0ZTS0h6SDlzWnhSQU04a1NIRU5KSjhuTWx3dUNmSTEtMUt1LWxrSnlvSkVjWGpia0sxaXhjVFZUMWZtdHFFaEI4eVJ4ekJnTTNpUUFTX2dfYTlJWDhsMHBCV3NiOXdibTZnWlU4RU00V2lxZGN4Z3BXY0J3ZzRJbkdEQTc4cjV4LTBkbEdPTUdGNGFRQmQ0eVp5LT" TargetMode="External"/><Relationship Id="rId353" Type="http://schemas.openxmlformats.org/officeDocument/2006/relationships/hyperlink" Target="https://news.google.com/rss/articles/CBMitgFBVV95cUxPaEFCaUtuSkRxRThhU25qNjdON1pwQXJoYWlRNGNORXFSUnRhQ3BYZ094NzFhTmoxRUxkcnlIZVh1M285UnNLQnZ3cDRKU3pPRzk5NmRoYXJLck05WWIyMzRFdHg2TmxDai1kMFFYLTZiczR0ckRMQTdENlJEbmlGOTNxdXE1b0VoNWs4SzkzUFZEZkVMdGU5ZWhiVVlEYm" TargetMode="External"/><Relationship Id="rId354" Type="http://schemas.openxmlformats.org/officeDocument/2006/relationships/hyperlink" Target="https://news.google.com/rss/articles/CBMizAFBVV95cUxPTWJpdWRWdmV5eFJ3UXBUQ2xfV3publVCZ1FjTHJWbVNhWVFYdlFWMFBUWTBKNl9sM2w3ZDdaWlRjVDB4Nkdkc05ySHg5Q3J3VU9iSzMyVUFnaXJsN29ES3pEa0MxWi1mYXB0OUlNUzVETUdRWE5ja29UZFNqb0I2X2dEV1dIUUVmX3BkZElLQ0ZmTkhWZmFTYk9ZNHpBZW" TargetMode="External"/><Relationship Id="rId355" Type="http://schemas.openxmlformats.org/officeDocument/2006/relationships/hyperlink" Target="https://news.google.com/rss/articles/CBMilAFBVV95cUxQZXlvYWJacVpFN2s5b2FtcHY2MUYycWVqNTdkZzYwYVl0RFR4dHhKSVJMQTBHVFhLeEpfLTBGeEduLXdHLWlsckFtaTZmSnhMdXAyX2Y3djQyaXhZb2JRa3Zocm5WUWRpMG5nMUpOYWlFX0lXbTNITFhUaGdhekx5TXdMcGFYc1N1bjRvUlNuZVZwSHVU?oc=5" TargetMode="External"/><Relationship Id="rId356" Type="http://schemas.openxmlformats.org/officeDocument/2006/relationships/hyperlink" Target="https://news.google.com/rss/articles/CBMivAFBVV95cUxPUmFBdzhpMFA2eUlDR3hadGpWQW1QdEVETlNDaDlxRnZRZW5mdmU3LTVmbWIzdHVmVHlJRVNQUGZHVGZYRnhLRldaVnNyLUcybTluQmtlNHFGajBSRFFaUkZpbHQ1UjZjakxOTUhyX1ZxMnpqMGtHX1ZOcmFwUDlDVkR2NmZzdHhjUXp3VGpUb2JRcXZINFQ2bDgwSVFLZm" TargetMode="External"/><Relationship Id="rId357" Type="http://schemas.openxmlformats.org/officeDocument/2006/relationships/hyperlink" Target="https://news.google.com/rss/articles/CBMiwAFBVV95cUxQSGRfX3licUp0OEpsWWdTWHhPbjFpLUJCNGZjWFpCSUhBMzRFVVhtVll2ZFRlREZKRTV5cXBIUFhudDdPU1l6RnNmZXpTNnFibGQ2VmxvRzFpNmo5eWxWNGR1djRfVTN1ZVB4RUotOWVjWlhla25TcG52YXMzdTVXR0lDRTFnWEltQXE1M0FXTWdtVDVYbVJZdmhzU09NST" TargetMode="External"/><Relationship Id="rId358" Type="http://schemas.openxmlformats.org/officeDocument/2006/relationships/hyperlink" Target="https://news.google.com/rss/articles/CBMiyAFBVV95cUxQbUpPRDd2ZDZOUWxJY1g0RGJBc3dvWHp4Rm9icDFRVklkaFJZanhzbnlENlpPREFDSmlPeTloTzRtMFpRdVg1cDB2VU1BYUhzVkhuQnA3SkdmUjFNdDVCNVozdFRacUJpb0pxOVRoUmVNeVNlb3B2eGNid1ZYeUtKS2pMYXp1YWZ4Smx0UEZjR1FlM1k4YUU4blVpeWRyVG" TargetMode="External"/><Relationship Id="rId359" Type="http://schemas.openxmlformats.org/officeDocument/2006/relationships/hyperlink" Target="https://news.google.com/rss/articles/CBMixwFBVV95cUxPYXFtV0FLZHFUZnozQTViS29jaTc0bXhQT0tQVFR1V2U1cGR4TFBKZ3JYa1BTYmQ0d1NwaXAwY2g0dmVZTjVOMlNkd0dQS0VMMXdGeE5xZ29IcG9tT0M2VnNscXhsNVo2c1FGbTJuUDlvLTkwR0czNEpLTHZLQzNWdWV4aFljR0d2Rm1FazgwUEFSMmJBLTBWUmN2X3NsR2" TargetMode="External"/><Relationship Id="rId360" Type="http://schemas.openxmlformats.org/officeDocument/2006/relationships/hyperlink" Target="https://news.google.com/rss/articles/CBMic0FVX3lxTE1QZ2N4M1FCcjVIWmphLUtaWTRseWpzcWtveTBpa0dWY1hENXhHakgtcHBfVkdjcXA4OXNZODZhU3NjX3Y0djJ0M1UyeDBseXBrZHF6TVIzZmR3T0tMUWd1bDNHNFh1NGtlak1oM1hEZG8zazA?oc=5" TargetMode="External"/><Relationship Id="rId361" Type="http://schemas.openxmlformats.org/officeDocument/2006/relationships/hyperlink" Target="https://news.google.com/rss/articles/CBMisgFBVV95cUxQbFpxQ1cyeEVCRVk0TGRiSDI0SzRSZkotOHZyU3gwY1F2X3duU0s5WFR4Tm1vMEFQaW1CVnFIMWVxdkxaa0VzaVVNUnBLSlpFVzlBVVRDNGFoY3N3bDlvSUdJa1NtMVJXSW1JQkdKVzBucExXak5nYUR6TmRzSWl0b290TzFRWkJfZXBQM25HRUdVaWlkeHktZnZ4ZmxxZX" TargetMode="External"/><Relationship Id="rId362" Type="http://schemas.openxmlformats.org/officeDocument/2006/relationships/hyperlink" Target="https://news.google.com/rss/articles/CBMi-gFBVV95cUxNcW82bnI4RFdjbUZfV3hFNWVRQjUwWG1XZlhoUnhtUXNNcWRralVRbUR4TWlvMGMtS1lMTFFZX1J0b1BfZEdGQjU1Z1R5d25MeGtBdlctek5Ld01EVl9ub2M4QmNoOHYxYnVLNnR4dkU1RExyc3pRSzFQbkFaOTIycnlBY0tTQkEwQ1Z0Q01ZTXc5M1gyMkxHeFlFQWhWR1" TargetMode="External"/><Relationship Id="rId363" Type="http://schemas.openxmlformats.org/officeDocument/2006/relationships/hyperlink" Target="https://news.google.com/rss/articles/CBMizwFBVV95cUxOM2REVmNOZ2FyeTRvWUtGSXEzNEtBeEl6T2FLTTFwSVFIc09EcVdiUXFJRDdDdWNXX2VQNGFZa2ROVHZIc3gzcEdmVGVkVmJSS0NqcThYQXVCMFVuVUthMndCR3NjbERjSF9sM1QtTUpOYXQ2MU50RnBEZlFQMlpZS09EaC11MVlQakx4Y2FIYUYwczJOeUlsTkc1Q1ZTSH" TargetMode="External"/><Relationship Id="rId364" Type="http://schemas.openxmlformats.org/officeDocument/2006/relationships/hyperlink" Target="https://news.google.com/rss/articles/CBMivwFBVV95cUxNbmJCcDNvdDFOeWQtZTh4dTZUUkd5NTJ1aXM5N0xrWTlBWWo2M0ltbkZWYXNZYy13VzhPZTRpWGdMaHlENnJFSF9CRmN1OWswd1pabEM3Z3BrbnZKdWtsd2FGTE9Qa1AtcmtnQlFKYjhEVlQyTlB1LVBDb1ljTHk0aXUtX1RSMW1UVjkyaVktNWh2aUVncXpJOU9YYkI0RF" TargetMode="External"/><Relationship Id="rId365" Type="http://schemas.openxmlformats.org/officeDocument/2006/relationships/hyperlink" Target="https://news.google.com/rss/articles/CBMiygFBVV95cUxNM05jYl9mQjFaVEVUSVR6SVFYdDRlN3Jhbjc4d3FXRE5kRXV0WnkwYUpFUS1kSk1sV1Z6SUdLanZIaWZvV0ZJd2pWZzFISlpuTFRPN2JTaVRSRVJvdV8yeno3RG5LZUJpVWFoanMzLTluY09seDVYUnJlMHdHdDBXX1h0TEEwOGQ1TGJNREpGNzhrS29VRTNhdEZMQXlIcE" TargetMode="External"/><Relationship Id="rId366" Type="http://schemas.openxmlformats.org/officeDocument/2006/relationships/hyperlink" Target="https://news.google.com/rss/articles/CBMinwFBVV95cUxPVjVNaElZUmdval9iWndya3JkRWdWY21GWGcydGZESURXSUs2dzIybkd2TTFoOU9vN3M3UXlUUnc2TmZlTThsd3M0OVpOLXRTczU5TWN0OEk5VGxwUGJ5RnVtX2hiVEVybzQwdk5XcVMydllXaXlmSFFqUVdVS2hWLWRJb2NsbHhBYzRqbTRWZm5XbU5YWkVWUUpJR3FBY3" TargetMode="External"/><Relationship Id="rId367" Type="http://schemas.openxmlformats.org/officeDocument/2006/relationships/hyperlink" Target="https://news.google.com/rss/articles/CBMisAFBVV95cUxPUkdkUklzYXh3ODFCRnRhWG9yOFhwLWhUWGhRT2hmT29nYWFHLTg0emt0bXhfdXhfUVd5dWI3QlItaU9WLXVIekZJcmI1Z1FhS1hsMlhsLXd5THkxTXNreGh1R3lRcW1sVm56RVJkYmpIVUZObTg1TEdob084bEdIWG14NGpTV2J3eDlrOUoyRnZsd2dpV3J0dVZHRUw3V3" TargetMode="External"/><Relationship Id="rId368" Type="http://schemas.openxmlformats.org/officeDocument/2006/relationships/hyperlink" Target="https://news.google.com/rss/articles/CBMirgFBVV95cUxQMlFycTdFRC0tMGdvQ1hESTI1bmR3MGh0ODQ5ZE5EM0JkTGZkZVliME9BRWxzRjhOdU5aWDAyVHNPaXdmUUNaVFdMSDdNdXFTWFJLSFN2VE53SThtTGNiU2pkMW1nSnNzU0x3OWxqaC10c2tEcTRnWl9xZkVrU0FHTnBfM2FHclJLWDZ2ZEp6S1RVZ25Cdl8wZm5pbEVNNE" TargetMode="External"/><Relationship Id="rId369" Type="http://schemas.openxmlformats.org/officeDocument/2006/relationships/hyperlink" Target="https://news.google.com/rss/articles/CBMib0FVX3lxTE9jdkNuM0NaWWt4dVlFVnVzQWxVeEw3WnpUZUEtX0ZUOV93NGRKZWs0dVFld203MGEyRE42aVMySVBxRlltZFdNRDJwdmtfN2RxRDdPbTRtSkF6Qy1RRkJqLVFxVmxpMWtHamJjWXY0aw?oc=5" TargetMode="External"/><Relationship Id="rId370" Type="http://schemas.openxmlformats.org/officeDocument/2006/relationships/hyperlink" Target="https://news.google.com/rss/articles/CBMimAFBVV95cUxOb01Rb0tTV242ZXZIYWZKcldDVEhKNkZGN1VyMXcyMHlsWXJha24wVTJXd2c4WDNSNlRtOFd2MEFNYlZKbDhZN2Y3cGxtNWxfaDNYemc2WWlhTEVISXdSa2cxY0VXclRKaE5ZbHlaVW9zX3h0OWhDYmxJUG4tRy1aaHIyazk2U3RrWkNiMmxGVlZzLTlmUi12Vw?oc=5" TargetMode="External"/><Relationship Id="rId371" Type="http://schemas.openxmlformats.org/officeDocument/2006/relationships/hyperlink" Target="https://news.google.com/rss/articles/CBMilAFBVV95cUxPOHhPMmVONWtNWmZsNHRILUJkN3JKbzc0ckIxUkJfemJ0Wk83dHdTMTMzRjVLRmpTNEJoQUV0eUpWd083aWFpRHZXS1QzeEh6cVFtYUNTN19Pd2NTTVUxZ2xGeUhudU85RG8tNXlZR0hhZjNhQV9wNkw3SHZ2MDlmSE1FUE9TNGh6dDdhTENHNnRyTVg0?oc=5" TargetMode="External"/><Relationship Id="rId372" Type="http://schemas.openxmlformats.org/officeDocument/2006/relationships/hyperlink" Target="https://news.google.com/rss/articles/CBMiZ0FVX3lxTE1CNjNRMldOQldZaWtlQ0xXUUJmdS1JTkdWazhleTVSSm1xa1lja29RN1VkWEh4UUpMT1JndnNjQ3hmbzBBUkMtcjBLSHhNREtOMG5LZy0tdnF0OU1ySjNBUzR1YVByRGs?oc=5" TargetMode="External"/><Relationship Id="rId373" Type="http://schemas.openxmlformats.org/officeDocument/2006/relationships/hyperlink" Target="https://news.google.com/rss/articles/CBMifkFVX3lxTE91MC1KNjRjNm5WMW5adTdaMmdCTGdIa2VaWDJWOWJJMEJQOUtkbGUyRkd5ZTVyLUJCS3U4azVWQU01Q3lkVmdmdUNrVzJsZUtla1hsNWoxVnVITWU4dkhaX1RLMDVZWk9FUzZQOEVkQWZIMDZaYkhKRUVGRHk0UQ?oc=5" TargetMode="External"/><Relationship Id="rId374" Type="http://schemas.openxmlformats.org/officeDocument/2006/relationships/hyperlink" Target="https://news.google.com/rss/articles/CBMijwFBVV95cUxPemE5V3hDV2hETkdEU0RNT3JGSlJoNGZnWm1CT1V4eUotak5mNWhRcXRJS2RLMVRiQVNfdUYwT2tZUE12aEQ4WFFHQTVwcjFyTXVBRnZBR2tuRi1hcG96eDRWek5tNGU1a1o4dkpsZlkxUzd0Sk9jMW5faFBqRWpDSnpaaXNUUFdrbnlUM0pMcw?oc=5" TargetMode="External"/><Relationship Id="rId375" Type="http://schemas.openxmlformats.org/officeDocument/2006/relationships/hyperlink" Target="https://news.google.com/rss/articles/CBMidEFVX3lxTE13LVllbDlTc1NWcHFCRHhFb1p6d2xKX1JTckdSYnY5Sm9RYVR3MHdaZnZCb210RDEzN0dtN3RidW5rQkhiWXpyU3BNSlAzbklETlNZdi1VTnd5SVpFcVBUamZpUGNMWXZuUnBHaU9wblQ5X0N0?oc=5" TargetMode="External"/><Relationship Id="rId376" Type="http://schemas.openxmlformats.org/officeDocument/2006/relationships/hyperlink" Target="https://news.google.com/rss/articles/CBMidEFVX3lxTE13LVllbDlTc1NWcHFCRHhFb1p6d2xKX1JTckdSYnY5Sm9RYVR3MHdaZnZCb210RDEzN0dtN3RidW5rQkhiWXpyU3BNSlAzbklETlNZdi1VTnd5SVpFcVBUamZpUGNMWXZuUnBHaU9wblQ5X0N0?oc=5" TargetMode="External"/><Relationship Id="rId377" Type="http://schemas.openxmlformats.org/officeDocument/2006/relationships/hyperlink" Target="https://news.google.com/rss/articles/CBMiowFBVV95cUxNTUZUa3ZsZ0VwZEVral9laUcwanREVkRtazBaYTg3US1JWk9IeWlRSDNCSTN3WHlzelpfckl6UDJZNUd1TElwTzdFWFhEeWQyWmJZdll3cEJ2QWtIMl9TcFNRYXYtbG1UbEFmSkROeXpwT0h2WnQ3VFZhUEhPdmVzTzZOWkJDVVFLWkxaZWhmYU91RDFiVnZPT182U1g3LU" TargetMode="External"/><Relationship Id="rId378" Type="http://schemas.openxmlformats.org/officeDocument/2006/relationships/hyperlink" Target="https://news.google.com/rss/articles/CBMiywFBVV95cUxNRWZualducGpVb1dqa0t1QTUxUUhadW1MWlAyazcxNi1IcHIyQm55aXlVeUpJTHNpVURfQmJIa3I5TDNsOENFN0Rmd2Jnc2gtV0JQa2thSHVCb1NpSDNFOVZQMW1pTlM2NGVad1VjMmd4bG81S2RyczczNmZDU0tOUHdfbEFibkZJODFoTC1POEtHUTlMX3EtTThMbEU3NH" TargetMode="External"/><Relationship Id="rId379" Type="http://schemas.openxmlformats.org/officeDocument/2006/relationships/hyperlink" Target="https://news.google.com/rss/articles/CBMirAFBVV95cUxQckp0Tlo1SVVnWEVDVEpaUGxlUE1YVzQ4V09HYy0zVG5FYkRQZDQzVkdCQ2pwalVqbk01N3kxSFNVNEtCUTlDd0FzWjFOem5wenZfdGVWSzNQX0Nnc0dhZlF3X0NSOXc3S2NHX1lRcnZqekxWRnRsekZfM3JkVlJRSVpiSURrdlYtek1pR3cyckp5NVRUYWZOenoxSk45Mz" TargetMode="External"/><Relationship Id="rId380" Type="http://schemas.openxmlformats.org/officeDocument/2006/relationships/hyperlink" Target="https://news.google.com/rss/articles/CBMimAFBVV95cUxPb19taEJud0lVRlZEdUVGNkI5WHF0TGtiZ3Baa1FCQm9BaWhKR29tWmRUU2NwS3V5NGZFWTJCamRFcDl5ZVBzV0s0MWdocWNLRjN5dlJmLTRTNVIzSHFhUnhtWUk4cnhxWVVmMk1qd0JVSUlZQUJ0VEhNV2xaeG5MVjMycTNaTWhqNUN0MFNEQ282d1FNbjJXWA?oc=5" TargetMode="External"/><Relationship Id="rId381" Type="http://schemas.openxmlformats.org/officeDocument/2006/relationships/hyperlink" Target="https://news.google.com/rss/articles/CBMi2AFBVV95cUxQai1FNVdGaTF3SzFvZkJYQThFTGVDaldaa3l6QlNZRnZicnBUeFJ0b2x2MnNZbDVCTThJTkF6VXlMV2steDNFT2h5cXV2dXg1NjE3bVJOMWRqREQzTzd5VVFWdEpJY043SEJaaXA2UEF3ZjliOUJJQlVNZGZpWFlvT00xdnIzT241LWxKcFR5WmNMMzdOb0puWVQxUXUwTl" TargetMode="External"/><Relationship Id="rId382" Type="http://schemas.openxmlformats.org/officeDocument/2006/relationships/hyperlink" Target="https://news.google.com/rss/articles/CBMisgFBVV95cUxOVTFhRGFxWks4NThIczJFZ2R5bmxFV1BCaWVwOURqRGozQWxhQjh1RW9nMEVMS2pSYnhQRnFQMGkzLUswR3dNeUlYaXBzUGpJVWJESmplXzUtYTdqNTJQbzU3ZjVMSWpqcFFwT1d1NElEVEdDQWZxUjlNR09kZFhHTkhZUlA2bUVVejJ5T0JWQkkwN2FBOUxmTllvVWVmY2" TargetMode="External"/><Relationship Id="rId383" Type="http://schemas.openxmlformats.org/officeDocument/2006/relationships/hyperlink" Target="https://news.google.com/rss/articles/CBMirAFBVV95cUxObHZUcVphRTVRMnRfMWktS2VYUjBZczJRWjl1OVZ3T3VER0Npa1RVUDl0N3k1TG9IdEFURXpkd0RiMWNuZXd2azlBMEVRN0k2NkRDeDJVZ0NneUJGQy1ORElidmlRX2o0WHUwVzdDQjN3eFM4RVlVVXNpMjI0YWxQaGFBM2hGNEsySHY0VlhqYlV0bmxVR3ZxeC11U1hvZH" TargetMode="External"/><Relationship Id="rId384" Type="http://schemas.openxmlformats.org/officeDocument/2006/relationships/hyperlink" Target="https://news.google.com/rss/articles/CBMirwFBVV95cUxQOWV0cmw4dHc2VG1DY0M1R21RMlZJM18yVWZuMUUtTjdFMG5JdVYya3MzYzd3aGhKTXhRMVkxTnpsM216R0t4SUYtRkI1OGM5TmdXR3F6dmZ6NzZVVWozQUFPWkNGcUNBSkdvS3hOeHdZamxvLTYyTElmZVEtckJGZUxPeVZBNXdvTWJWQkZrODQ3eVFWdHBmZ1NtMVpHSG" TargetMode="External"/><Relationship Id="rId385" Type="http://schemas.openxmlformats.org/officeDocument/2006/relationships/hyperlink" Target="https://news.google.com/rss/articles/CBMia0FVX3lxTE81OU10Ql9qQl9PcnlOeEUxRTMteVU3N2VLc2FYTm5xcXF5TEowVi0xWXNsVkhReE9jNU9GaFJSWXV2WEpsRkFLVGhna1hWU29vcVJnWGtUd0RPNDBWU3FOVUJrRU81Q0dPMGtR?oc=5" TargetMode="External"/><Relationship Id="rId386" Type="http://schemas.openxmlformats.org/officeDocument/2006/relationships/hyperlink" Target="https://news.google.com/rss/articles/CBMi_wFBVV95cUxPMTlZYjBJalF3ZjdSOVBFNGJ1b3N0QlZPRi1CWFRZbTBpZGt4VFYxVHhLamZ1MUpKbmhlbzJiTGdnRTdqRE1UTUVfaFJYRmxlY3A0dUhUQnZOOWJlNGYxRFh3SE1FN2RjQldfb05XVzVPZ19lUVBFRVV4MW1tS1hxejg0aER3OG1QNVBGUmR3QUhGcGVMekp0OVBSMHNLUF" TargetMode="External"/><Relationship Id="rId387" Type="http://schemas.openxmlformats.org/officeDocument/2006/relationships/hyperlink" Target="https://news.google.com/rss/articles/CBMiywFBVV95cUxNaUZleE1kRndsemUxdVlPSmw1UUduU28yWnR5NFZyOG1sXzdsZml1Y3FQeGgtTVh0eTJsLXhqcUdqSzYxNTMxcUJwT3VWZEcxNm94eklhQmtHRGhoRGRTNUpndVFnRFNEZVdReExmR1NVOVJ4TDJUNkZYYlh6OWZzSDNiVkN4VjRaRXJxOGFiSk5wckJZRi1iOGVZOWh3RF" TargetMode="External"/><Relationship Id="rId388" Type="http://schemas.openxmlformats.org/officeDocument/2006/relationships/hyperlink" Target="https://news.google.com/rss/articles/CBMiygJBVV95cUxOdWhWYXFZT3JJX2NBeXdHNEJ0Ym9GWVJTTFdVSERoaDV6amVhMHlBdGk0bHdFN1ZYUTdqbVVlTUNZa0xRSGdZZldfZWdlX0k4N2hwcnVYOFByeUFweGNybWpRckJKX1dHb2lxNU91cS0xZlZjZ2V0bzdyby1NYVE3MHRudWxHempOLU5tQWprWEpIUHlBV1lNQkZQdTRqMj" TargetMode="External"/><Relationship Id="rId389" Type="http://schemas.openxmlformats.org/officeDocument/2006/relationships/hyperlink" Target="https://news.google.com/rss/articles/CBMizAFBVV95cUxQeVd6RzNKcnRRZ1JqaXVSTzl2aHQ1bFRmeUZ2bjZBcGUwRjlzTFNXYXl5SzBScVJfaWRham9KN3dxZ0tETHR5aGkyQkJZSFlyOENrZUFfeldld3Boa1NCZGtrYzQ1TU4tdHlabkZHdHFXaDhxQkNSSlZMckxvMDY1bWV4ektNOXdnMVoxazlzM0FaSmhCcDRkQ2Naa3VKcX" TargetMode="External"/><Relationship Id="rId390" Type="http://schemas.openxmlformats.org/officeDocument/2006/relationships/hyperlink" Target="https://news.google.com/rss/articles/CBMilgFBVV95cUxPM2U5ZVhZUGFTck53VmxuUnNxTGVlTHRQT3R1SkhTZ2c5TW1tclFMTUxpZWZtbHFtbHV0S2hPNlJCbXlFNDFmd3duOE1oRUZrWEsyUWxGTDd3dGlnS2tGQ1p2QzdoajB1bktzYkF4c041dHNna05WTld0UHlESVJsN096NnIwMkhhRFRmeWZyY3ZqNEk1VGc?oc=5" TargetMode="External"/><Relationship Id="rId391" Type="http://schemas.openxmlformats.org/officeDocument/2006/relationships/hyperlink" Target="https://news.google.com/rss/articles/CBMiR0FVX3lxTFBfcENKblFqOThOT1UzVmNyZnU2ZFpZU2w0aTZmWUhpU09uX3N5V29yaExaWlQ2SldCWG4zQmwtZDFDR0tVN0VJ?oc=5" TargetMode="External"/><Relationship Id="rId392" Type="http://schemas.openxmlformats.org/officeDocument/2006/relationships/hyperlink" Target="https://news.google.com/rss/articles/CBMijgFBVV95cUxOZnUzblVUaHpEcENxU2x5NFV4eTYwczlEa3Z5bGR0RllCQzJobDJPRXhFcU0wU0VlTllWT3NObVFldlRnaEZVR2ZoUTJWTzNZYXZSZ0pMdmpIUV9qLUFsSi1CTmxCZkE4dkpuRWdlQ0pWLTFPT0l4MlpicFdiOHVzZS1sUEl5djlLWmRvSk5n?oc=5" TargetMode="External"/><Relationship Id="rId393" Type="http://schemas.openxmlformats.org/officeDocument/2006/relationships/hyperlink" Target="https://news.google.com/rss/articles/CBMiogFBVV95cUxOVzZvZDQzVnhaMWIzdUlxUlVTMjR3aUNHa1E0MUVqc1NkOUNBd2hyd296R2lFV1p0c180T2RXaGZkNkN4ZGNndEljOXI1RTJxWkdiZ29GTHpjSWsteUloOWd1TFZGdDRlSEhnbmZEMlhVOF80RHgtb0xTa29XTFhlUFFxZzlDd09WVHJUUDVLSTRKTWpkTHpqa2IxLUZxRV" TargetMode="External"/><Relationship Id="rId394" Type="http://schemas.openxmlformats.org/officeDocument/2006/relationships/hyperlink" Target="https://news.google.com/rss/articles/CBMijwFBVV95cUxNUmNoblJWM3Zqc0x6d0laQ2JGd255bkRCX0pEcXJjTFhtdmZSZm91RTRDdGpKTzVsM0ZaSElqTGhqeHJQdWFOUVhwTEd0aDRtSkJDNmNaQjZYNzZrVUxUWDVrWUNTMTItUUhsT2pwaFU3TlBlUmhLeV9jZ01rbXBsdm5SWDc1ckNCMTd1bVNlOA?oc=5" TargetMode="External"/><Relationship Id="rId395" Type="http://schemas.openxmlformats.org/officeDocument/2006/relationships/hyperlink" Target="https://news.google.com/rss/articles/CBMigAJBVV95cUxNdWpuUXFBVFlfUXdMbklIRlNyM1hfT2EwcUlmVGgzcFd5d2o5bDFvdDFvYk5lcUhoSzdKeGd3NEYyN2luT3l5VXNuZUxZN2FreUhtOUZYbjJpV0JqckowN01nQlphY0E5Ym5ETlJSX1VHV1NkZHBuQmVpcl9RR0FlWWZfTGV1QXhmY1FQV3NoVno4ZTA2VzJhVVBwVkJ3c3" TargetMode="External"/><Relationship Id="rId396" Type="http://schemas.openxmlformats.org/officeDocument/2006/relationships/hyperlink" Target="https://news.google.com/rss/articles/CBMibkFVX3lxTE5DVDFQQl9DTUlUYzlMcWIxcUJHemRXRHZGNVZGeUphejVtUGVES0JSQXplSjdLZm1NVUtYREpfS3dnZDhJZFlDNjg2MEUxOVNBdnkxWTBqdVc4NE5KS1VqY2Y1TmxBSmVHaGl1ZXdB?oc=5" TargetMode="External"/><Relationship Id="rId397" Type="http://schemas.openxmlformats.org/officeDocument/2006/relationships/hyperlink" Target="https://news.google.com/rss/articles/CBMitgFBVV95cUxPbzIxVy1iSHRXN2dweUJndE9ZZnlVdzBIU0JlcnNreE9lQTJKM3JnT2RVUU9memdoWFBXOHdsOVNuNDhqY2piQTdUVV9UVW1kY1RJdnlkQkc5TDNYYnhBNS1qWXUzT2ItV014MVkyWi0xR0w5aHpsRXV1QV9lUHJuU21qRVFpekwxdnYyRTY4Qzk5S01RTXJibTUycUdqaV" TargetMode="External"/><Relationship Id="rId398" Type="http://schemas.openxmlformats.org/officeDocument/2006/relationships/hyperlink" Target="https://news.google.com/rss/articles/CBMinAFBVV95cUxQU2p3ZDhpLVdjU1FIMkM5QWFPcTROMkRmTU1aQmlKZzgtWDVZTEd1dmtNRDQ5R09Lb09KQXhHeHZZYjJVV0FQTHlPdkJIbmFnQ1JRTWtQUks1UEozXzljN0JNSHgzdWM2Z0pKZ2xHZWNEUTNPZXlKUTJuS1l6dHpjN1pKX1VzSXBLaHRmNm54SmpUSkxUdEk3STg4cTg?oc" TargetMode="External"/><Relationship Id="rId399" Type="http://schemas.openxmlformats.org/officeDocument/2006/relationships/hyperlink" Target="https://news.google.com/rss/articles/CBMizwFBVV95cUxOck1fZGFEUVEtLV9EZ2V5U3JjWXR4NDZ4VjM3SUltZFRueVNKWVBGNG9KNFVDNHV6Tml5LTl6a1FVLVUxeVJFdmZ1czluR3dzVjFrVXlkVTM1ZHB1THBoa09iWWdtNXZ3UkttU2I5N3ZYTkZhc2tJcDhHTzJmMW0yY1FteURXMjRuX2ZNUmt6N0o5cEUteE5keVdnajJ3cm" TargetMode="External"/><Relationship Id="rId400" Type="http://schemas.openxmlformats.org/officeDocument/2006/relationships/hyperlink" Target="https://news.google.com/rss/articles/CBMi2AFBVV95cUxQLWVDVVlOM1FJaVlrX09HS2ZlQ3J4LUtWSk9ZcGRaOHQydzA5emxuYVM5NWgwd2tWV3M4anF6QmZLN0RSZzNENVJId25oZ1ZBZFp5X3RVT1Y3LV95M2tDVnFiSldSNVNqWm5CWUdfVkhZOEtOTVhwYlBfT1VJaVpMcHFhZjd6WXMtM0Z0Q2RZR0FyYjFrQzFxbmVhWnpVUn" TargetMode="External"/><Relationship Id="rId401" Type="http://schemas.openxmlformats.org/officeDocument/2006/relationships/hyperlink" Target="https://news.google.com/rss/articles/CBMiqwFBVV95cUxOT2VTS2hULXF4NjJURUpJNHFPUml0R1JVaFYzOXJOZ01aZ1lzVU1XaDV3ZE5UcmVQNnZnSTJROXVMWDgtLXVNeThpWFN0aGt3TmY2clNjUzczY0dmQmNuYTdFbUlMMTh6QlNzR1Rya2pGZlZNRkpsN0dKOFBCb2Foejdpd0x1SjBsVHJIRm94QlowcmxFMUpoc2NQUTEyV1" TargetMode="External"/><Relationship Id="rId402" Type="http://schemas.openxmlformats.org/officeDocument/2006/relationships/hyperlink" Target="https://news.google.com/rss/articles/CBMinwFBVV95cUxQc1NSLUxySzlsNnBqd2dQNjhQeHliel8wRHFXNmR2WFpIbFhRbnVobnFaQXBtOXAwTGh1R2hLajFKcHVJcXU2cEx5d19UWXhFNDQ1aVlHYWxBT25DSGVrSzQ1UTN5R2pIVXFOZlBsSnJzSHZqTnhqUXVDUUZucWpoUnJSWXBvWjhOcXBxcEVQbWRuX2JGMHZyV2ZUS216dG" TargetMode="External"/><Relationship Id="rId403" Type="http://schemas.openxmlformats.org/officeDocument/2006/relationships/hyperlink" Target="https://news.google.com/rss/articles/CBMiWEFVX3lxTE5NUW5fbzFydkZiTjl4dWNhZ2RWUEZyel82YmFReVprWUpTSWZZbHlfUkhUS0dobDI5SE5wcGdSTVlqT01tSWZieU14eXdYU1JoRXZVS2pZTU4?oc=5" TargetMode="External"/><Relationship Id="rId404" Type="http://schemas.openxmlformats.org/officeDocument/2006/relationships/hyperlink" Target="https://news.google.com/rss/articles/CBMi3gFBVV95cUxPYV9zeFh1bF9OT2R2bVNKVjh2cDBJWHpiUE1IeFNWeTdzLUpua2duTndXT1VKallpT2VhdGVNbHl4M3E1U1p4alNMV2g2WE0wRzdSWkZVaUlDS0Zsc1EyQ0dmS2RfMlpSb29YMGgySHNCTnpzR1V0Z1ZSRFJKN2Yyc0diWGIzaGd6VW94N0VPUl8zTDRCZXJHa2hPNkJQak" TargetMode="External"/><Relationship Id="rId405" Type="http://schemas.openxmlformats.org/officeDocument/2006/relationships/hyperlink" Target="https://news.google.com/rss/articles/CBMilgFBVV95cUxOQUtUaERPNzdyQlBqRzdYLW52Si1jSk9aNTZGUlJ1UWVZQzhrdFZtSjJEaW11QWdPQmVUYVEyTWJjNEl2bnNlTzJaaUhDUXdNZXJRMHktOGtDdExKWjNjS1FGenpmQm9tbkhmaE9hR0ZJa2VBU29NZmg0X1BqYVZfMGU0VXZ2NVlCdkpGeU9yeUdqS0ZRSEE?oc=5" TargetMode="External"/><Relationship Id="rId406" Type="http://schemas.openxmlformats.org/officeDocument/2006/relationships/hyperlink" Target="https://news.google.com/rss/articles/CBMi1wFBVV95cUxQVFR3dlhCQXJ6QzFDYVhoOTVwNU8xRVdRZjhRWC14SGlSX09ILVlidW8tY1JSdEw5YWMxODctWW9PMTEwMENOeFdjSWc4S3N3VkFmSmFxSVRfaTNTWjd0RGJEOXVRUjVIOEdvTlgyNnlVOVlIZnpUYkFOY2doNFV2NjBzcVAweU5TWGFhWnRoemhOWlZQX2RiSkpBbjYxUU" TargetMode="External"/><Relationship Id="rId407" Type="http://schemas.openxmlformats.org/officeDocument/2006/relationships/hyperlink" Target="https://news.google.com/rss/articles/CBMic0FVX3lxTE9BN0hwd1pmTzhhQ08wemVPWFIxTTE1bnBtLUZuX2VUY3kxVm9YV3lzcmFSTU9CZGc0QWdpdy12NXpLdXRjOWhZeTh0endCZWROX0M5dW9OQnlIVU9xdmhNWjM5QnZYWGVuVmxCSk9wNjBqYzg?oc=5" TargetMode="External"/><Relationship Id="rId408" Type="http://schemas.openxmlformats.org/officeDocument/2006/relationships/hyperlink" Target="https://news.google.com/rss/articles/CBMisgFBVV95cUxQRHJsNmRZNzMzeTAyMDRoTGRCTmFOS01ZTmFxOWo4VzhpUVdRNlQwZUtqai1aT1Y5LWpnQS1YanM5UUQ1Z3lING8yZG03bldHNDVoNUYxUVJQR0ZpMDlBSTM4bVZQNWd0Tjg4WGZEdEZXR3g1dXpPZU9DXzA3T25VSXFxc0dFbjA4cG5YTGhiRko4a2lsUWF0SVNveEpFNH" TargetMode="External"/><Relationship Id="rId409" Type="http://schemas.openxmlformats.org/officeDocument/2006/relationships/hyperlink" Target="https://news.google.com/rss/articles/CBMilgFBVV95cUxOai1Vdi1wbFM0RXVSNldZaEgxQndzVExRbmxPTmFCZmdWVGlTVHpUQnZQcktGR3FFQldVbE1Xd1RHTkFDek1wcHBvT2c0VllMbHh1R3FSdEVreFIxOWhYV3JTdElQbTY4WlFycE0tai12VjN3ZXVzMTNiODU2Ti05RkxZSHVtTUE1SFF2MXl5Z0JMODd2M0E?oc=5" TargetMode="External"/><Relationship Id="rId410" Type="http://schemas.openxmlformats.org/officeDocument/2006/relationships/hyperlink" Target="https://news.google.com/rss/articles/CBMi_gFBVV95cUxNNGZaX1ZENXNoQmk4eldEQ093OW9ZdmpzbFZ1SlB0ZEh3MHEyb3hGbS0xVVNZNWkyTjFNU3lNdkxDR0tpM0JZNzVMbU5MZHZSSm8wWmJLanFnMWQ5aHBWNEFUbW9qTHVtZURYUm52X1lDT1Q4TzVUQ2xVdGJuZ2owS1FGQkFfRVlSOEMyQVJNb1ZLdTFLdGJWbGFocHgxc1" TargetMode="External"/><Relationship Id="rId411" Type="http://schemas.openxmlformats.org/officeDocument/2006/relationships/hyperlink" Target="https://news.google.com/rss/articles/CBMitwFBVV95cUxQdXdZMEFrRDJkQWZCNXBnOWJ2WldGMlAyR2VCd2laQ2drTklCZTZOMFR4M2x0YjlCZzdPQ2F6TVdKdDBiOUtRczl6cTA3WUV4a214QTVTeUpaYnFZVGg3VWoxWGVGemlRSHYzcDRDQW0wUE9pRngwWTQxOHNzTlJMLTZyVzVhSXROV21iUWx5VlZqM0U5Q0JodEp4LTB0SW" TargetMode="External"/><Relationship Id="rId412" Type="http://schemas.openxmlformats.org/officeDocument/2006/relationships/hyperlink" Target="https://news.google.com/rss/articles/CBMieEFVX3lxTE10b2Z3SE9taXNIZmdRNkRMNXlLVHdBTW96TEp0eDdYMWU2eWcta2RhSzdvTzRZYXZfQ1pfdUJ6NTFNTDc5WVhhdDRzU19fQmoxc24tdVItejN2bVY3SGdXekxsa3JzUFZyRzVPc0lEX29IRU1JZTAwNQ?oc=5" TargetMode="External"/><Relationship Id="rId413" Type="http://schemas.openxmlformats.org/officeDocument/2006/relationships/hyperlink" Target="https://news.google.com/rss/articles/CBMimAFBVV95cUxPR1VkTWZfMzBfcVl3WWphOU5mcmt6US1wX1JyRC16NU45RTNRc2FoNnkyYzRyMXgxUHBQZWNVVkFhT281bnlCblJEdGFtVDdNbmZvMmNXclhUTTJRbUdFZlJtUkZJdlNJNnBHZ2V4RDVuZW9ZUmlqTDQ2N2ZSWUhpYVQ1TVRVQUI2UVI3cE5jWWJybHF4ZTlSeg?oc=5" TargetMode="External"/><Relationship Id="rId414" Type="http://schemas.openxmlformats.org/officeDocument/2006/relationships/hyperlink" Target="https://news.google.com/rss/articles/CBMi7wFBVV95cUxNNXhEV3JOeDFMRXdmaHJmWTRpR2E1eXV1bFBNMlgxMjJmaHpVc2xnTTVWZUNQZGVmYXRsSHhnVXB2Uk9rakMyZFhIcG96TmVJMmtVQWFEVW44ZlMzNlBWR1RwaGFfNWJoYkpzZ0owOWpHNDBYeDc2VThuM3dkVm9IZVNPZ1NSV1hKZlZhbXVMQjl4UmpIN3QzZUZuQzJHVk" TargetMode="External"/><Relationship Id="rId415" Type="http://schemas.openxmlformats.org/officeDocument/2006/relationships/hyperlink" Target="https://news.google.com/rss/articles/CBMi7wFBVV95cUxNTXJhSXk1NFN1bkdmM3otb1BTcFRISDNiMG5HRnV5MVQtY09FU1BTZDBJc1haQ2llVDh1VWE5azIxSHp2UmJsaUhyOVJuaGlpSXhxcU1VMTdGUVhyUkpRVGhKcDBiNVZxWFZLRnZzc1FVd1ZVaXpZbTYtS2Z4VDJZdElnUzRJMTltNnVVYVJ3ZnYzeVAxbHVFN3htWW1wb3" TargetMode="External"/><Relationship Id="rId416" Type="http://schemas.openxmlformats.org/officeDocument/2006/relationships/hyperlink" Target="https://news.google.com/rss/articles/CBMi5AFBVV95cUxOVXpXVldhSzIyRy1fa0xYaUZtT3FCdFA5VFJPTkd4enFiVmFHdXVlSXpwOFVFa3lsc21oWmFTcU1aaHRCdWRoTDVETFZqR1FzSmFwM2xXU1hkVTllWnhmS2h6T3h6ZmxzZlltaG5rWGE0NE8tdERENVZXOUVRc2hkZGcwS2ZkRlBSN0JMVzFLRFRDc3U0cWtBQ1YxNGlYVU" TargetMode="External"/><Relationship Id="rId417" Type="http://schemas.openxmlformats.org/officeDocument/2006/relationships/hyperlink" Target="https://news.google.com/rss/articles/CBMipAFBVV95cUxPbzB4eTBEMjRDWmdPYTlCQWxYMDY5X3U4SDBpb2s4R3p1WGxkdlZOTVhLdWp1YjJ5aWg4c0N2RndfSUpDaEFOdVFGeW0zckRCeXV1Snl6OFJTN3ZiT2FRSWlmU3pZRUwzOFZXSnJ1ZTBnV3RQVlBudDNvMXVLTjMtMndwNElEMHMwWkZpdFpQX0FtbFUyZ1otekgyOWJJS2" TargetMode="External"/><Relationship Id="rId418" Type="http://schemas.openxmlformats.org/officeDocument/2006/relationships/hyperlink" Target="https://news.google.com/rss/articles/CBMi3gFBVV95cUxOYjh5X1ZlX3JwM2NkQjhZSFAwRzI4SXVvblN3SUNVOWNXcUVEZWJCMng4M3U2bE9IdG9yVU5uMmRnaUtickJWWDRObTBtM3puaVhHUWFXYnpIVjBOdWlRZ2FfZ01NMXRTa1RiQlF3RzZEcE1NVU1HOU4tNHd4LXV5R2pLYm1IMVBJVjkyMm92bGFiRFp2QzE4OTJOOG9HZm" TargetMode="External"/><Relationship Id="rId419" Type="http://schemas.openxmlformats.org/officeDocument/2006/relationships/hyperlink" Target="https://news.google.com/rss/articles/CBMigwFBVV95cUxPdV9aLVkxUzg4cERDN1gxa2xQTW1GaEJkeUVaV2JleXA2bzNXMW41WTFDTHhERmdZSXJXSHNOdEQzcEtxRE5NeWxPV1ItVUtjNldmT1B3X0JzMVVTMmR0Z2xNY1p3UUpuUDJlSjlHamVQbkg5SC11M0M1RWJnQlNDenFIZw?oc=5" TargetMode="External"/><Relationship Id="rId420" Type="http://schemas.openxmlformats.org/officeDocument/2006/relationships/hyperlink" Target="https://news.google.com/rss/articles/CBMivgFBVV95cUxQREFCaHl6MTJOb1R2VXhxVG8yTVJjMjdhVkMtX2FCcjJsV2ZwWkRyWGRvZVJvWUpFV2lUdkhWcGJaSDI2a3FQS1Y5VUNIUjJ3d3VkZ2p1cW0xSV9HZWU1SEZFNUNQTVRyV1czb0JNa0V1THlySE1PaGthWWNDS1g0X01sMWJoTlg2T1ZCWFh4QTBuNUVCenUyMHF6TW9xXy" TargetMode="External"/><Relationship Id="rId421" Type="http://schemas.openxmlformats.org/officeDocument/2006/relationships/hyperlink" Target="https://news.google.com/rss/articles/CBMibEFVX3lxTE5yZjRWdE1QbW04dXN2cWpPdUlmRm9OZXZNUjZZWm94LV9HNmdEWWMxZFByWWNjb2ZXak9ZdWVuNzN1SXN2cGh5TlVFUDlveXlEUEZOUHNnZl8zdnlOekNrc25jM1FrVVpCbUVsQg?oc=5" TargetMode="External"/><Relationship Id="rId422" Type="http://schemas.openxmlformats.org/officeDocument/2006/relationships/hyperlink" Target="https://news.google.com/rss/articles/CBMinAFBVV95cUxOM1dWdG9LdUJ6dWEtOVRwNjhZOU83TmVDdlZqcXJfWkYtLXY3VTdlMVFBV2VGT0hjUGRGVm1lYjVCdGlnM3d5THV5X193aDZUTl9oWkg2a0pzYk1MSWM2ZjIyMF9UV2FIamhrZk16T2ZRRnRDcl8xZnpFdEZOeGpjbFBPWmpvTmllc3oyWmRrRkRvY3plZkJfTV9VdDPSAa" TargetMode="External"/><Relationship Id="rId423" Type="http://schemas.openxmlformats.org/officeDocument/2006/relationships/hyperlink" Target="https://news.google.com/rss/articles/CBMingJBVV95cUxNT3QwXzdrcDJJZURIMFRzTXU4bkxyWEVSeFU1UklWanFLajdNUHp2VENjN3doMFJ5c1VtVmVwSi1CVVJnbVlKN2Z6TC16dVJtNkYwemdDVWxwZ0dQQzM1dXBZRUJQbG5nTkNseG9NWjk0MHZtcm03N21fSXVJSDNBNWJObTR2VW9GSnN2ZC1uYnJZaGtjLU16aGxMN0piUH" TargetMode="External"/><Relationship Id="rId424" Type="http://schemas.openxmlformats.org/officeDocument/2006/relationships/hyperlink" Target="https://news.google.com/rss/articles/CBMigAJBVV95cUxQRDJUdndXckFlY0RNOXZYcTdsSTNudkhma3E1RFpfR0JZeHc3V1FyZzZtNmJrbmFZYUJGWG5Fbk9VZHE0cDJUUEhMbG9nRXh5UzhUeXZpSWRRM19idlVQd29ITnFoNkc2cnN1M2NDVnpaRi1hMGl1VVZoNWRwWU0tbGRRbmNvdGtzTFJkUm1zTjNlbzVqclp2VnRlWGFtM3" TargetMode="External"/><Relationship Id="rId425" Type="http://schemas.openxmlformats.org/officeDocument/2006/relationships/hyperlink" Target="https://news.google.com/rss/articles/CBMilgFBVV95cUxOdWduZGRpay1ZdEdfaHpvR3otOTZXUEM3U3dyQkFDN0xfWFFWSDcxUXlzX0hsemk0b3NXemZ1ZnR5Rk80SkMzdThXcHB5bGlqMzYxZnN3Wmw2UmJWRV9mT0lRUXhOZXNBVWF6Y2RvLWwzOTZhaHItcHJXWm90anRpZGdUcGJ3dTc3RWVhOTdOd2x1bzNqbUE?oc=5" TargetMode="External"/><Relationship Id="rId426" Type="http://schemas.openxmlformats.org/officeDocument/2006/relationships/hyperlink" Target="https://news.google.com/rss/articles/CBMi0AFBVV95cUxNOFY2dW5TYXJidk1hMlhxX0FCMHpzMmlEdTVHRjItUElpUVpqb05RNDJBWHlBeTNlcnBRTW04bm9NZEZ2d2JjY093eHAyLWZnMHhWZGxaUE9jdHZvUF9ERUFVNGJja1I3TjBQbTJpUjZRTlVtOFp1Ykx5UmY3REowV0tPYWVmZjlidVV2SlNNNjhQc09DZEtacjUzZURkVn" TargetMode="External"/><Relationship Id="rId427" Type="http://schemas.openxmlformats.org/officeDocument/2006/relationships/hyperlink" Target="https://news.google.com/rss/articles/CBMisAFBVV95cUxOS243aWtUQ3ZJM050WVNqN1BZaDM4WTNNZ3lsX1kySWxoYVZ1WVRCdWpMRV9za0k0bVZIU2Rnb0FZNFdDZFpsY29kb1drUE02QzFWUDBKVDBjVV9naEt0cThXWU9oRkpUSmFFc1BkU0xGOXdkNW1kYzNGSVNLV28tQm5QeFkxZF8xcVE5QkRqSU9IYVRoOFJ3RUZrNGZPWn" TargetMode="External"/><Relationship Id="rId428" Type="http://schemas.openxmlformats.org/officeDocument/2006/relationships/hyperlink" Target="https://news.google.com/rss/articles/CBMingFBVV95cUxPQWxLQkplZGdteXYxZGNVczFPalVCb1R4Q1R0bjdLV000N3Y4LTFkLUtUMDJBb3AtVF9DT1VMSXduSUJGSTZVbzU1VEtyRWxyQWVaRTZkM1hZWlNmQjVSNnpka2k0Y0t2LTFFRHJPX2NzMzdRY1RkU0pnWGpCZngtTWpzQWxOY1pNMzNPOXBmM0ZablN5UjkyUlR6UHpHZw" TargetMode="External"/><Relationship Id="rId429" Type="http://schemas.openxmlformats.org/officeDocument/2006/relationships/hyperlink" Target="https://news.google.com/rss/articles/CBMie0FVX3lxTE5CcG5WaDYyMV9pUlFUMVRrbGNwNWdsUmE2SGtEQWRreTZrb0RKaGZQSzdydC0wQXlEWHFfMmh0c256ZlVuVjZBajJGTExKNlFJY0d0bC1YU21NNHNSZnVLQnVpQ29lVVF1RzdiUDgxdUJrMTBVXzRIMnFqZw?oc=5" TargetMode="External"/><Relationship Id="rId430" Type="http://schemas.openxmlformats.org/officeDocument/2006/relationships/hyperlink" Target="https://news.google.com/rss/articles/CBMixAFBVV95cUxOcUFQVUwtR2xZMDJCaldNdXpzMnkzYnpvTDEyeDRGQ1FCd0pIVTVuYV9YTHBlenhsY2xKb3VvLU1UclpDVXkzWVNjb1FENzlYREZ5OW5ITWtsWGF2ODlSRlF1eEZsSF80NFVzMTczMU9KREF0M3JuaTUzLW42dDh4S2dub2QxeWQ2LVhvV1NKeHlSclZGMEcyMXBWbWw0Vk" TargetMode="External"/><Relationship Id="rId431" Type="http://schemas.openxmlformats.org/officeDocument/2006/relationships/hyperlink" Target="https://news.google.com/rss/articles/CBMijAFBVV95cUxOa2RuVG51YzdkdjZ3cWg0N2lGbGJCS21ZVEt5WkRUbFBJVW5UWGd0bFpXQ1lJcWs3NE16NnVfZ0FVZDlISkE2V1BPR0hqbjYwblJsMndRMnBnWDRwTlZpaDYxbFc2TVJRQUN6SEZMdXhMTDdoRC14REZxRHJvdmxKYWVQNEZDendwcVlNQw?oc=5" TargetMode="External"/><Relationship Id="rId432" Type="http://schemas.openxmlformats.org/officeDocument/2006/relationships/hyperlink" Target="https://news.google.com/rss/articles/CBMiowFBVV95cUxPdjB2MjBvcXNyVTctb1JyeHkyT2dBcE9IeGtVRW11akFnWFV1SVNOUzFTeGt3UDlxemRsRmxkdWljVnphQVNQcE1vd2JLaVlldWZONWhCNkxjbFl1cG94OXlfQjFvR0NONTJWRVpuSlRQRjd0cmh6WUMwWlRTRkcxNVppTGVncmdVWUx0aTFubnhXLVcwVDJQYnowTHRYMn" TargetMode="External"/><Relationship Id="rId433" Type="http://schemas.openxmlformats.org/officeDocument/2006/relationships/hyperlink" Target="https://news.google.com/rss/articles/CBMidEFVX3lxTE9ieURDbS1PcnNWdFRLbVNFbGtRUUNTUm5iNGhiYktoS0dPOElNYm9ZUHZXNEVIYnNra2NTUGVFMmxlZW5BVlNiMHN2ZzFCUzUwREVOZG1sVjVrYlplS1lYS3N3QVFWWjJlenJzVVFPZHB0QmF1?oc=5" TargetMode="External"/><Relationship Id="rId434" Type="http://schemas.openxmlformats.org/officeDocument/2006/relationships/hyperlink" Target="https://news.google.com/rss/articles/CBMiogFBVV95cUxOOWFkcld0SDEyOGVwRlB2NTUyZnN1cmc2RUtwLVRfc2M3b0JZSDgzS1RPVmk3UWVzMDNNRzlDeXpJWWMzUm9Dc2tDUjIyS3NMYkRPVWhSZmF0VUw1Z1pJdFFYNkdOTEtKXzhTekxHdFdhcEJKSDlodjJBV1Y1b3NuRHppWENLWnJzOFVraEdRWjJoX3RpSVpIOFFINXBwVE" TargetMode="External"/><Relationship Id="rId435" Type="http://schemas.openxmlformats.org/officeDocument/2006/relationships/hyperlink" Target="https://news.google.com/rss/articles/CBMioAFBVV95cUxPSWxzbXVlLUVUaktSRGtmdVVyTVdQRk8td1RxekVONlNFMlFVcy1XcERIQWhvX201OEFMZ3B3UkZRUFVvUUlwaVhwU09SX2NUZTBka0taU3JiaklqRDE2bUVNcktuUWtQMmFlUXhTa1RuOTJwYUZMSkNCZFpZYVI4aFdfWlN1RzFWNnRVYk82ZkdTcHRWMzdFQ2dnYkdNQW" TargetMode="External"/><Relationship Id="rId436" Type="http://schemas.openxmlformats.org/officeDocument/2006/relationships/hyperlink" Target="https://news.google.com/rss/articles/CBMisAFBVV95cUxQS1IxX3FKUHkzUEpmV25CVVJDY0RmMG1sSDAwZGt5WUdEZFVPeVlJZ2dXWURaYVhjelZNX2RTQ2FYWjVneFpXYnM3ZXNSWTF0cHljUGd0SEZFaEJxTmNjZDhxSmhyb3hBalJGTDNVYlF3Ml9nR3QwMHlWRUp0WGNCQ0FXZUJYX3c3VjVNRVM2dHU0Rktqc1RoeTQ4b2lKNV" TargetMode="External"/><Relationship Id="rId437" Type="http://schemas.openxmlformats.org/officeDocument/2006/relationships/hyperlink" Target="https://news.google.com/rss/articles/CBMi1gFBVV95cUxQaDRKdVhIYUQ3Sy1za0VVRy16SFBsNURCSjREMTJTVEtvYkp4MGEyM2FNNXFQYjl2c2V4OEs1WEZlNkduckhkMlZ4OV85MlB6VlVKZXh2eHFrTjA1T0FwUkV6YzN3SjRFZUN0RGRzSXc5TEYtUzBDRERjTS1oV1ZYYXpHNDJEcDNmRVB5SFlyZzZQQTJHN29wZzdodEtfRH" TargetMode="External"/><Relationship Id="rId438" Type="http://schemas.openxmlformats.org/officeDocument/2006/relationships/hyperlink" Target="https://news.google.com/rss/articles/CBMi7wFBVV95cUxNZnNNeTZjd250TmVXNDRVUGZtNk9fVW5ZeFFGY25LMUkxeHRDcjZ4M1NrN3ZjS3ppcXY5aDU2aFV2anZDcWt2d3FGUXd6cVBSSTdEMWJPek53MHljTGpXcFhFWDhOUmZacDE0dk8wUmNYNjZ0eURuQ3FpQkV5dlVWeTNmYzJ3Ul9pX2VoR0N0Sm5iR0swdGN2RjFsOXNMd0" TargetMode="External"/><Relationship Id="rId439" Type="http://schemas.openxmlformats.org/officeDocument/2006/relationships/hyperlink" Target="https://news.google.com/rss/articles/CBMiigFBVV95cUxPcXdMN1FKRmZuZGRkYklnQWNpb1BCY0dZUlM1TFc3alFfYnR2eFF2dEdmbjZiZU51YmFCOW8zQmw4UGFQVElheFNiREFQZDl4eWNROWQxN0p6V1R6VWJBcWg1a3BoS3c3TEZPVFZxUldQT0g5SGZiRWlEYU9pbmNzS1Qtdkk0OE9iRFE?oc=5" TargetMode="External"/><Relationship Id="rId440" Type="http://schemas.openxmlformats.org/officeDocument/2006/relationships/hyperlink" Target="https://news.google.com/rss/articles/CBMi2AFBVV95cUxNcTB3UEhPY01KOWtmcTNvSTdidmYxVkxRWmJ0MV9DbkVVNVNRWnV0OU1ib3RFZVY1eWM0cW5CZEZKaW1Na0p2eDNDU0E5QUJkWHZ1a2pETV84UXVCWG9EQlRuS0NkSnJHdVVMMVljMFBGU1VBVU4xbGstdl9hYkRFODl1NDdhQU1MMHBleTM5SmpOU1NVa0NqcFNDMXI5SE" TargetMode="External"/><Relationship Id="rId441" Type="http://schemas.openxmlformats.org/officeDocument/2006/relationships/hyperlink" Target="https://news.google.com/rss/articles/CBMipwFBVV95cUxNYllsaE0wRVZ0REpOYlZCN0U2NHpXbXlMcERWb21FajdJWWlYb3FWTl96TnNSb1NsQkxZVGRsanpUNmZ2dzVCMUE5LW1iTnpHMWYzYVNTdEpnck1md0lrMkt1Q0Myb3FNU0RYU01FX0k0MU9CQ1U2OUYxMVBvWmlZZ2c0LUt0Mm1BRE1xMmNGZ19fbzdSYjBlUnRadWpJTU" TargetMode="External"/><Relationship Id="rId442" Type="http://schemas.openxmlformats.org/officeDocument/2006/relationships/hyperlink" Target="https://news.google.com/rss/articles/CBMiiAFBVV95cUxPeXRMUl9GTUFKSktRVFRDRWZZMkxqaXFVQmRnWXlDRGtXaHZOaWp2UkE0TmZnYU1BNzJuYUNhS1h1LXgyWGdmdHhfNGR6UXVOaDZWY1N4blh4ZHcySEJzSFFBQWprR1B3SVU2S0c4TVVDZmRUUUtGMkYyREVtOWVQWlRXczBoWU9u?oc=5" TargetMode="External"/><Relationship Id="rId443" Type="http://schemas.openxmlformats.org/officeDocument/2006/relationships/hyperlink" Target="https://news.google.com/rss/articles/CBMikwFBVV95cUxPbE9Ga2VCRVRzQzd1YVh4anRjVjVzTTFPQXlKVmMzdDZaeHBwbUlYd19wLXh0VC1lOUIwNXJYb05ocy1QWnRmbF95UUJRVHdIZkRVamNxeEtzUjZxa0p2YnhNVmJPdGM4Z3FRZmhOQnVMMzRTRHhlNFJrWlJJbVVsZTRkeENNSXVmQXhZV0JFcFkzWkE?oc=5" TargetMode="External"/><Relationship Id="rId444" Type="http://schemas.openxmlformats.org/officeDocument/2006/relationships/hyperlink" Target="https://news.google.com/rss/articles/CBMif0FVX3lxTE1ndmYwWFhLN1R1TXdDMkhhb0lCdktjaFdGX1JhMHlLOThULUJPXzgtVmdER0cwaERMTmVBWjE3NFJ3Y3Z2aldOUndaVUZoVjZvUGtpT3ZhY0NycWFtbUlnd0JCWi1hQ0Rhc0F2MkFqa0dOcDJaWDF5VUJDQTRrX0U?oc=5" TargetMode="External"/><Relationship Id="rId445" Type="http://schemas.openxmlformats.org/officeDocument/2006/relationships/hyperlink" Target="https://news.google.com/rss/articles/CBMi0wFBVV95cUxPdGRUa2poV0ljZTNBUFcyemJ2T0VsbVdxaTA0NzNpOG43dUxob080WkF3RFRFVE1tRXQ2TVE5OERrM0s2OG1ScHlLYUFRN19BWjF0bVRURzZ1R3ctNFVUMmUwRFZjdENxQkN3QUEycFhZQm1STk1xZHBGRnFKU1JPRmdQNENUNVhzWjZPa3FxN2NCczJqV3h1NDJDc1Bma0" TargetMode="External"/><Relationship Id="rId446" Type="http://schemas.openxmlformats.org/officeDocument/2006/relationships/hyperlink" Target="https://news.google.com/rss/articles/CBMiywFBVV95cUxPWnRTMVozZXVkYzA3NEUyNkcxUlpRWEhZLTJuaWJMNnpGU3lDOWJHMldfUjJZUFJUMWZ0Qzh3RkhkRkhrbndBTElUVjJhWTF1NFhlamZVbFFIVk5Gc3BYNlhBWUxDY01RakcyTm9aNS1uNWtlcnlCN2h4VGxRTDRaRHlPQ0hMQWRWVnc5Nkc2M3pTbzhOOU5EWE1uWEV2Tm" TargetMode="External"/><Relationship Id="rId447" Type="http://schemas.openxmlformats.org/officeDocument/2006/relationships/hyperlink" Target="https://news.google.com/rss/articles/CBMie0FVX3lxTE8yd2ZjWHcxQ2U5OUVyZENZNHYzQjZjbEJZQ2lSdUJiX2hhWTQtUk5lM0V4U1k0UnotS2NXclFlaUI4d0FCVWNvVE5IRkxHUVNRN2k1S0FQYWtFUk1HWHhiR1BBek9kR3V0VjhhSkc1VmgwOUlhcmlxSjJLYw?oc=5" TargetMode="External"/><Relationship Id="rId448" Type="http://schemas.openxmlformats.org/officeDocument/2006/relationships/hyperlink" Target="https://news.google.com/rss/articles/CBMiwwFBVV95cUxQdHZBcTRCazhYZEUzaU9rbF93ZjY1NWZ3VjZualhrR1A5em1QQWVDcXRCcW9xZmVpalMtcFBWOEFIV1lsRXpCWTNRVk9QVExNdDE0UWNOY0FvbDh3SHBLWnRYLTFsN1BKeTJhQVgwZExQQm15QzNzU1hrTVZBLUpyVVUtNFZqLWNxWUFqZ1NhRW5BX0J6V2I4V2gxREt0YV" TargetMode="External"/><Relationship Id="rId449" Type="http://schemas.openxmlformats.org/officeDocument/2006/relationships/hyperlink" Target="https://news.google.com/rss/articles/CBMi4gFBVV95cUxQckt5VWRHLTV3ZnAzWXdBX1NCM0tNTmpzV3I0clhSRE52ZlJUVi1NdnZxWm4tN0x2YXJsazNRRlFwb3JfNk5wd0RCZG9ybDcxcnpsSW1KTWJ0Rl9EeG1rZmt1eUZab2tmcXBFNHROQ1EtamcwczV3SElwU2thTm9mNUUzOVF5Unp3QUc0cExPX0U5LS1KelpudnBlSjZ4ZT" TargetMode="External"/><Relationship Id="rId450" Type="http://schemas.openxmlformats.org/officeDocument/2006/relationships/hyperlink" Target="https://news.google.com/rss/articles/CBMic0FVX3lxTE5JU2lIT1IxT2JQRWswT3R3TThyNHM2bm14NzNUYUVzUi1BMGRwczhDMmlGQ1VIcTVJUVRLdl9JdnkzYjhDOEFnMWF2U2lNLUNWNDQ5bnlsRmJ6bDdBMHZiOWxTeE5XWV9IZEUweWJlRURlSUU?oc=5" TargetMode="External"/><Relationship Id="rId451" Type="http://schemas.openxmlformats.org/officeDocument/2006/relationships/hyperlink" Target="https://news.google.com/rss/articles/CBMidEFVX3lxTE5LbVRXSE10anRSTVdiUHBmMzdCS3lyd3VaRzk0ZEJBQUlsX2NjSVdDeXJ6Sjh2N0hGdWR1azhUUnBZU0NvV19iY2NDQWZaNlpTdjhhbjU1MDRKaGdacVlFOThpeGtvc0MxYWpRTGVpbnlWcXBQ?oc=5" TargetMode="External"/><Relationship Id="rId452" Type="http://schemas.openxmlformats.org/officeDocument/2006/relationships/hyperlink" Target="https://news.google.com/rss/articles/CBMiWEFVX3lxTE5WaVdKSS1JWFR6VGFFSjZzRFJkd0VYSE5IdllJVTBCZk5WTWNTckZadmkwZmMyd3JaWGZHWVV3SkNNOWpSalQyWU5yRHV0OFpUM0FQOWNxLUc?oc=5" TargetMode="External"/><Relationship Id="rId453" Type="http://schemas.openxmlformats.org/officeDocument/2006/relationships/hyperlink" Target="https://news.google.com/rss/articles/CBMib0FVX3lxTE1ieVVSM0pLclhMR1IydDJvNzlTVHRWTlJRczI0QmN0YmdQOUwxbUV0ZG5mZVF6UDVPTE9ZUkhhVThhdDlmUkRnRUFXUVpiMjZlV3haaW9Rblc1dks1Smxyb0JIWTBhcURPWmQ0dUs4RQ?oc=5" TargetMode="External"/><Relationship Id="rId454" Type="http://schemas.openxmlformats.org/officeDocument/2006/relationships/hyperlink" Target="https://news.google.com/rss/articles/CBMiwAFBVV95cUxNR2piVE11YXlDSVhtdWZvYVZ2bWlsRTZrOS1OZFBfU2FUMG1FTmVtNENMckQ5SU55Z2tUVy1ib2E1S2NFR2xTQ09sMWZxWUs2S0phMnhNekY0dlE3ZTFrd3FjUGFzd0duY0lLbmEzVzdxZl9rRWl6c0lyS3Z5S1l3TTRzRmpfLWp0NXhWLXY0bU9UbWx0VkdWNHNLZUlmUk" TargetMode="External"/><Relationship Id="rId455" Type="http://schemas.openxmlformats.org/officeDocument/2006/relationships/hyperlink" Target="https://news.google.com/rss/articles/CBMiqwFBVV95cUxOdTBZdUtNcTNBREJSZDNaTXpsVG51ekQyZUNUV3BDX2V0LVJXZnBYRU9CSkFIc2tTNFktX3JOeVRRNzU0T21jWUN6MWNGQkhnejFMU2pabVJ1TmtLOVpPajRDNkVIUjRDOThrN05nc0Z1enlIMnQxeHJUUDE3dERuMmJhb3lVaHFZbE1BODV1RWpUVG5oeGNST0NUcmFxel" TargetMode="External"/><Relationship Id="rId456" Type="http://schemas.openxmlformats.org/officeDocument/2006/relationships/hyperlink" Target="https://news.google.com/rss/articles/CBMixwFBVV95cUxNS2RMZHhXM1dCdGJfd2lfY2NIWFl1NExrTjYzUlhRNFhyZWFBY1BvUmZFc0VWXzJuNE1zOHFlcVpCZzJ3Sjg4cXlRZVpKSjU4U3ZRYkhxRzhvY2F3N3F6Ny05TVQ5a0xoa3V2akJ0QVRnSjZXenBSc2NTTjdqOWNEYmZrd09hLTZ5RGlySnJBNXR6dWdaOGpkbzF5SENHMj" TargetMode="External"/><Relationship Id="rId457" Type="http://schemas.openxmlformats.org/officeDocument/2006/relationships/hyperlink" Target="https://news.google.com/rss/articles/CBMitwFBVV95cUxQVzFBY01WUFVEb3p2TjZONGRHQWNiVGtiOEEySU50MmpCZkw1WWY5Z2FlM2VkSTdBQUxBZ3Rfa0gtSEFxV1lJSmJIcDAtdmYxRXk3MGJOUWh4Vi1hNU5NanQ5Z08tSGxYV05IYzFScTdSUUsyM05sZlBvSFRTX2hNWW1HVWJ5dzhFVTYwY3dUZDQzUGlHeGZYTGNsaWNJQz" TargetMode="External"/><Relationship Id="rId458" Type="http://schemas.openxmlformats.org/officeDocument/2006/relationships/hyperlink" Target="https://news.google.com/rss/articles/CBMif0FVX3lxTFBkR1A1SjdkNmdKSUlmYlVoeTJJemhPTllVd0w5N2tPMjhOZkN6TnhTLUh0ZHlZbWozR3ppa2hzdGZzNkJBU0RzX201SnNoT0ZycUw3OXU2VVJBWXJtd2g2ZGZiMjU3cFhvVTIxaXBXb0tEM01mNGJ2Rm9WS3oyNmM?oc=5" TargetMode="External"/><Relationship Id="rId459" Type="http://schemas.openxmlformats.org/officeDocument/2006/relationships/hyperlink" Target="https://news.google.com/rss/articles/CBMib0FVX3lxTE5vOFJLNGF6TFF6R2VNd1ZiS2RBc1RMb2NoRVlqeVBqX3VNdXRwbTg1UDZFTkFUcDdkckRxVlFETGpGY1Z1TEk5eTVBTUNWOFg1azJTZ25SYkUzT3ZNcWxCSmFmdThvdmJLVW9fUkJKVQ?oc=5" TargetMode="External"/><Relationship Id="rId460" Type="http://schemas.openxmlformats.org/officeDocument/2006/relationships/hyperlink" Target="https://news.google.com/rss/articles/CBMif0FVX3lxTFBkR1A1SjdkNmdKSUlmYlVoeTJJemhPTllVd0w5N2tPMjhOZkN6TnhTLUh0ZHlZbWozR3ppa2hzdGZzNkJBU0RzX201SnNoT0ZycUw3OXU2VVJBWXJtd2g2ZGZiMjU3cFhvVTIxaXBXb0tEM01mNGJ2Rm9WS3oyNmM?oc=5" TargetMode="External"/><Relationship Id="rId461" Type="http://schemas.openxmlformats.org/officeDocument/2006/relationships/hyperlink" Target="https://news.google.com/rss/articles/CBMilgFBVV95cUxQbnZqZms0Ml85TjUyMXNXRWctcDJhTmdVY0tXdWRBZVVNeU9LWjJCV3BqRUVYYlZmNVNTejZRUEpXLUdQdXA1SkxGcjJoWHRNS05yZ3NnaTFCZk5zN0VGYjQxaG9fRGJWa0FnTGxtSHpFMUxtcGVVaVp0SkRqeDQxOEZReldNclNDOFo2UHdsQ215V2c0QXc?oc=5" TargetMode="External"/><Relationship Id="rId462" Type="http://schemas.openxmlformats.org/officeDocument/2006/relationships/hyperlink" Target="https://news.google.com/rss/articles/CBMi0gFBVV95cUxQN2cyeU9xclhQc3VVaTJVMWp1SmZEelowRnVwOXA2Z3M2cDFJU3gxRDMwV1BCVXdwWjFGd3UtTDBCTWRzbC1sc2c2eEk4TjBoQnV2cmxuWTZDN2RkcmphWFFfTFVtSnJ4ZnVJMHVyMjhIVm1FS29WRzhlTENpM2ZTeXIwNy13Q2RCem5kejA5MWRHY2JBV1lmajRMU1BpZH" TargetMode="External"/><Relationship Id="rId463" Type="http://schemas.openxmlformats.org/officeDocument/2006/relationships/hyperlink" Target="https://news.google.com/rss/articles/CBMimAFBVV95cUxNS0F3dURFSktJZUtpekhBMzdIMk4ySzFVUGwxZnJKeUMzNko3dVotSjlGSnlNRldES1dkWnRMdDNZMjFfTWxoSjhyNjdlVlBlYkMycUl4TU1lTHpORlhKVnN4dDN5WkdGQzYtN2ozUF9pYjVmeHgwQTNSS0o0RTVSdTRveUVScVRSM3Q0REJfbzhyenE2aTZJbg?oc=5" TargetMode="External"/><Relationship Id="rId464" Type="http://schemas.openxmlformats.org/officeDocument/2006/relationships/hyperlink" Target="https://news.google.com/rss/articles/CBMikAJBVV95cUxOWXhFSk4xYUJ6NFNPMUJUOWVHc3hUblQzczhSQl9lZXloUVVCYUNyeTY3R1RuUjlONVR5WDFpaDMxeHdNLVlqZGJKcDFTUFB5LWZOVXB4Y1k5Tk9UT3pHSmNEMXBjT1RxUzB2NGg1UmkyQXpmZkdBbGJNNDFGZTlrRm04dlJfY1ZhakNxcWRtb2R1MXNDcU5VcHFCNVgxX1" TargetMode="External"/><Relationship Id="rId465" Type="http://schemas.openxmlformats.org/officeDocument/2006/relationships/hyperlink" Target="https://news.google.com/rss/articles/CBMigAFBVV95cUxPSk5ENXpRODlmdTk3YmF6NkNlcDhkNmkyWTNmdVdKdjMwTkpyaUV4WkU4dzN5RlRodktCVzJ3NlRnekF6cExTcWlzWEV1eUNha2psQ0oxbWRYYkNUdmhJLWV2dlJxaHFXcWhJa1FDbHlaaUtsM3JBUUJGMDBwYXVMWA?oc=5" TargetMode="External"/><Relationship Id="rId466" Type="http://schemas.openxmlformats.org/officeDocument/2006/relationships/hyperlink" Target="https://news.google.com/rss/articles/CBMidEFVX3lxTE0wQUFJMXppMExuVkpYYkZhWUFmWVJNbTBHR0t1eDVPV1FwWDZ1cXg5US1BNFNPUG1zZjY1aGowZUNiRmJXYW5BQ3AwNHZQOGdnRmU5RDgzb2RMSnZtaWltYkZ2c1ZKbDlpVGhMY2NpeFR0M3Fx?oc=5" TargetMode="External"/><Relationship Id="rId467" Type="http://schemas.openxmlformats.org/officeDocument/2006/relationships/hyperlink" Target="https://news.google.com/rss/articles/CBMinAFBVV95cUxPTkx4QjBqRE1ZNU9EUE1nZEZlU3FzS1JMU0Y5S0dvN1daMjRhYWhybVh0TDVQT3hUbUZPdHhvX1Vwa2hleW9IaXpIZDFJc2tmNDFTeHJJcUs1VUYwS3U0SlVPTTJibEhTRzREbDkyeWtlQUNqVEc2NVRBc19HMXdRNjJlM1BWRjRhVW5GaXlta2paU0drTVRCbUNzbWM?oc" TargetMode="External"/><Relationship Id="rId468" Type="http://schemas.openxmlformats.org/officeDocument/2006/relationships/hyperlink" Target="https://news.google.com/rss/articles/CBMipwFBVV95cUxNSmtPaktyYjFPaU56TWR2TEFURWlNcUwzYnIxMi1pcUVwQ1lvU0J3Skp4MjY3QjViSTFHVUdONVBxd0syQ29QUjZtSGxOY3habzNZZGU5NVE4TWVyR1FXS081c3hJOFVtTXIzZnBWQ1JGMlNvdDlYWFQ2RUlLWlNoOHVHNzlGU2hTM05MMlYtNlNZdzBGbW05ZlNSUjZuMF" TargetMode="External"/><Relationship Id="rId469" Type="http://schemas.openxmlformats.org/officeDocument/2006/relationships/hyperlink" Target="https://news.google.com/rss/articles/CBMivAFBVV95cUxQdEZnZ2dLS0tEeEthM2t6blJuQTYtY3k2NUZ3c3F2VllpNGFuRjFycEZ0Z2NJSlNDQ2JZVHlpNnBzRnlwc0xoWFdSTnN4bVFKSEpSbDFwbTdVZDVPcHRkWmpHNUVTUzJ1ZUh5alhqWXZKRFV4N1hFR1NxS0V3SXVXMEE1dDlaVHJyVHNmQWloWGl0WUJUVHp2NVo0RzIxT0" TargetMode="External"/><Relationship Id="rId470" Type="http://schemas.openxmlformats.org/officeDocument/2006/relationships/hyperlink" Target="https://news.google.com/rss/articles/CBMisgFBVV95cUxQTy1IU3NSVFkxQmM4ajFjQnhnb1BnVU43b0ZxTzhMaFNLWUpXWTNnWXNXY19xVXVLdTA2cm1BR1R3Yk92OElCc1NNMkpDc25vMG9BSXVlN1owNjh3eUR5QVBSUEJrWjNNRzZmWnNqVjJRNHotUE80Tm15ZnBHY2V2elk3MVNGWWFESjVsWmdQUTZNOXMxTk81WlN0Uk9ZaD" TargetMode="External"/><Relationship Id="rId471" Type="http://schemas.openxmlformats.org/officeDocument/2006/relationships/hyperlink" Target="https://news.google.com/rss/articles/CBMinAFBVV95cUxQVXQ0NmpQa1lkbFJ1cXpQUUs5M3ZfZUtfSzlsOFhkai1WMHdaMExid2FhWHZfN2pJWjREUTg3WGx4am1XbXJvYlFQUXhSaENCMEtNOTM4eWJjbUx3V2FuUlBVZWFxUksyYVhEeXoxZUFKX2UwcVRHN1ZNVTltREQ1dXFtU29wWlh6VGZhYXZ6OFczRkdxVUdhXzg2V1I?oc" TargetMode="External"/><Relationship Id="rId472" Type="http://schemas.openxmlformats.org/officeDocument/2006/relationships/hyperlink" Target="https://news.google.com/rss/articles/CBMilwFBVV95cUxOVmNBSEFjbFNwM1dUckplVlUyVjhHQktnMHRNbHZGb1l4VG1uLWhKVzdfcVhRQ1hxNUVyclJlZ3dyQUZXb005UTNxYTBMQ1lIZzNmS0JuT3h6Vm56azhiQU5xTXFwQjNPekE3eVI1cV9MNFlxZUV1MUtOWldUbENMSWRHMHJ1NDVqUFUwZUw4enBQWVI5Z0c0?oc=5" TargetMode="External"/><Relationship Id="rId473" Type="http://schemas.openxmlformats.org/officeDocument/2006/relationships/hyperlink" Target="https://news.google.com/rss/articles/CBMib0FVX3lxTE1iNHhoTTd5djl5Z1lmVW5RZllxTTFuaWxTRk5RU3dydjJPNWJjelhoRDhJU2p1RDBrcWFGcXNpRFhnSkpzWHotWWQ3WnF0NFlXcmw5dFZiYkw4a3VMVUJWNGFRUUpBZklQanhZVFhSYw?oc=5" TargetMode="External"/><Relationship Id="rId474" Type="http://schemas.openxmlformats.org/officeDocument/2006/relationships/hyperlink" Target="https://news.google.com/rss/articles/CBMiwAFBVV95cUxQWnQ0STJIOGFpSkdiSXRqMUdRdGw2SC1UTDNLNnNGR2xXa213cTUzM1dhYkdiRXFPSW84djNXdHgxSlVTVjJYQkxnNk5xa0NDZGZPYmlsWnNEZGNtMy1HWVc2WDAxcHZKM25XTkVqUUhVX2JCN1ZqUjZGQVV3cm0xdVdHdklvMmx3QWJXczhseEk0M2ticHlGQ3BMR1lOYn" TargetMode="External"/><Relationship Id="rId475" Type="http://schemas.openxmlformats.org/officeDocument/2006/relationships/hyperlink" Target="https://news.google.com/rss/articles/CBMiyAFBVV95cUxOQ1BWYzRVS1hpN1R5N1V6U0JNNEw2Q3g5VkFoMG1iTEF4cEw4ampkTVlLZ1diTE5tdF80ZXp3OHBTQXIzRklveVRraVZOWkd4dmZoVWZlWjlWcFNOb0dKclhrVTVhR3BoNmtFc0pUdmZHLVJDaHBkdXh1TkJFckhEZlZqTGg0RFZCa1JNNDdkN2FrZjNVcEpzYkN0V2RoQU" TargetMode="External"/><Relationship Id="rId476" Type="http://schemas.openxmlformats.org/officeDocument/2006/relationships/hyperlink" Target="https://news.google.com/rss/articles/CBMi5wFBVV95cUxQc2huSXJ5VzQyTHZtR0hRNUtyQTNqb2xsSEFyTE4xVnJ3NmhPRHpjNXczaHFqMmk5MFZxQVVYc3pQMDdBSEkxU1pwem0xbkFleVBhYUhpa0xEQncyeU1tcXJQeE5sVW42Nm0zV0tSeUFWZXE5SldNa2tLMHU0aVpqR0poQk8wVTlFUDBycC1WRi1UNnZyNURYREd3WW5EV3" TargetMode="External"/><Relationship Id="rId477" Type="http://schemas.openxmlformats.org/officeDocument/2006/relationships/hyperlink" Target="https://news.google.com/rss/articles/CBMipwFBVV95cUxQY1Ayd1hkSml6enhNbWVlSlNYM1RjVUFKZmRpeWhiMHQzZ1JwVWc3Wjd4TkZLQVVZSzRlWWoxRkZpQjJMZkREd2ZlRURFNmQ4RVlPNW96MGFnVEwxMVJyVjRMN1o2dGw0dGFqTFByM1RHZmdGLUx1VmdCNUg5WVZJVHRsY1BKTHNzbDZKdmhJYzVrMFh5WEdscXFHbllxZF" TargetMode="External"/><Relationship Id="rId478" Type="http://schemas.openxmlformats.org/officeDocument/2006/relationships/hyperlink" Target="https://news.google.com/rss/articles/CBMiugFBVV95cUxNMjRWU1hrRWhQOGliVlRZb29MVWVDSUVWWWwzcXBzN2laNWlZandlQXpVRTZpQTJRM05DOTdMSHpieWNXMnlXWjhwRUVVcnpoVWRoRnREMXl5Y1hZWHA5WWs4aWp5OTFpMExlU0htYlp0dW5GaDkzM3ZXbV9JaXhIdDRBeTFvbzFwb3RUVy1sNmVVank3cm4zSmxqdmM5MU" TargetMode="External"/><Relationship Id="rId479" Type="http://schemas.openxmlformats.org/officeDocument/2006/relationships/hyperlink" Target="https://news.google.com/rss/articles/CBMiggJBVV95cUxOdmxmaHF2VGlqQll6WVdDbUx1ZHhfZDhyMmdHSFZUN0poUGlNcjVXclBMYzlNRWZSQjd5bEZ1WU1EZjZaRlBtbXBPQzlRRTNNNjZkLUJuLWRUOVRrM2lFd211Y3pNRWs3c0VodHRXaUx3azdmNGRUbzM2ckxkNGtOay1ycUYwQ0EtR3VaSHdRVTV6NTY5ZTQwa2QzVnkwS2" TargetMode="External"/><Relationship Id="rId480" Type="http://schemas.openxmlformats.org/officeDocument/2006/relationships/hyperlink" Target="https://news.google.com/rss/articles/CBMiiAFBVV95cUxQQ04tYmRHbmpQNXJUXzBSZk43VjhPT0hEOWVzLWxsT19Ga3h2bTBmdm5lWUtKNXlJTkFTcTlyN3pyUnhzOFpjQWVrMWVZQkNQU1MzQVpGZVFTXzNWMDRxQWY4MlpQLVRSZ3cyb0hkWHg0ZFBHcFFaaW8zWThmRDktZHpfbEJQZTRu?oc=5" TargetMode="External"/><Relationship Id="rId481" Type="http://schemas.openxmlformats.org/officeDocument/2006/relationships/hyperlink" Target="https://news.google.com/rss/articles/CBMiswFBVV95cUxOVVlwRTVuLUFxV0ZNQWw0azJjeU1XVWRsbmRqZEctYlBvNjM1YXVJcUFIN0FKc3ZYWnFLamJzOXlXaUlKTmw1ZEdra2lZSDA1bVZZSUpHb1BMZmVHSkY5clYzVUQzSDNubUQzQnhRdmlMMkdrQl9uZG42anFKOHR3QjI3ZkpQSDRSZVNMTkEtWDdGV3pSS3VVNEEwdG9aU2" TargetMode="External"/><Relationship Id="rId482" Type="http://schemas.openxmlformats.org/officeDocument/2006/relationships/hyperlink" Target="https://news.google.com/rss/articles/CBMinwFBVV95cUxNUWt2cUluOE9TdVd5MlZ6WHhVX3ZoM2t0dHpzR3JtRlZONE5JMzl5SXlKTnBUNXFFV1NrMmNsakgyNzFZTUM1QTJhSHVSWEdLNHVMNHI0Q3lqNm10emh5NzZMYVlIWXRoV3pzajNsZ2dBRGtWdzVUUk9ITlplYWNEQlZjdUgyeVViaEYwWlZsNjhaZ2psYURUbzVUY2tfSn" TargetMode="External"/><Relationship Id="rId483" Type="http://schemas.openxmlformats.org/officeDocument/2006/relationships/hyperlink" Target="https://news.google.com/rss/articles/CBMimwFBVV95cUxONGRFX2VVTVdLdk9NaFlEYWVNSVU3QkJXN192LXZkdXd4SUJSQ0dmM1JkbVZXaGJid1VKeGN4T0t1cTVNLWpqRFFNblhJTEd5OUk5RU5McWZYUE5TSklSNzk4czQyb0ZaQ3BiczJxUWMwRUVIRURQUTFLaUduZXFLelRRNll4WmdRRTJaSVJUZXJvekQ3REFWa1paQQ?oc=" TargetMode="External"/><Relationship Id="rId484" Type="http://schemas.openxmlformats.org/officeDocument/2006/relationships/hyperlink" Target="https://news.google.com/rss/articles/CBMiswFBVV95cUxOVVlwRTVuLUFxV0ZNQWw0azJjeU1XVWRsbmRqZEctYlBvNjM1YXVJcUFIN0FKc3ZYWnFLamJzOXlXaUlKTmw1ZEdra2lZSDA1bVZZSUpHb1BMZmVHSkY5clYzVUQzSDNubUQzQnhRdmlMMkdrQl9uZG42anFKOHR3QjI3ZkpQSDRSZVNMTkEtWDdGV3pSS3VVNEEwdG9aU2" TargetMode="External"/><Relationship Id="rId485" Type="http://schemas.openxmlformats.org/officeDocument/2006/relationships/hyperlink" Target="https://news.google.com/rss/articles/CBMidkFVX3lxTFBHV0M3LUVvYThtT3c3cUpXVnZOdHJMUU1oLWJRc01BRzJsam52M2pPRXJudXhKZXQ5QUE3WXV3RnFHajU2QzBlR2h1dzBOdDhzamZtZ2JXWm10MHlLX0R0UXFneEp5UTZnRnlxdzRMdW1TVXJVOUE?oc=5" TargetMode="External"/><Relationship Id="rId486" Type="http://schemas.openxmlformats.org/officeDocument/2006/relationships/hyperlink" Target="https://news.google.com/rss/articles/CBMixwFBVV95cUxPTllXTmRPVFFKRUY1MHY3djRfOFkzcy1GMzdRaWtIS0UtQ1ptQ00tUXp6QmI1QWF6M1hLMDFoVUkxb2hDSU5kc2xDYVNRQk5xNEhYSFVGdmY4WEtjSHg4aWctQllBdkxUV1Vha0VlTkstZllYWkZLd3h5QkZ1dkk3T1ZkS3lGREZSZk1HOGc2cTd1MWdydmFKWjduOEhPZi" TargetMode="External"/><Relationship Id="rId487" Type="http://schemas.openxmlformats.org/officeDocument/2006/relationships/hyperlink" Target="https://news.google.com/rss/articles/CBMilgFBVV95cUxQOV8ybjFubTlILS1LNjhKOUFXb2lpSWlZNDRZYnBoMmdnTU5xekxPc182bTNxcVhyd0JaYkZBRFdUMENzRUJqNkVNbDdTUjZ3VGZ6YXNLSzVObjEwMFN2a0MwUGZqZ2lNSy04WTRJMEE4TnRuRkszaTk4aU81cktDVllzSzYxeHJHaXlDbFcyUGVWX0N4cmc?oc=5" TargetMode="External"/><Relationship Id="rId488" Type="http://schemas.openxmlformats.org/officeDocument/2006/relationships/hyperlink" Target="https://news.google.com/rss/articles/CBMivwFBVV95cUxQX2lBTThWQTdZaXNkbjZJY1VzZ29NTDA4S2I2bkRBNjNieHA3OVdXZmUwemdKWXZ6eHI3TzM5akQyMl92YmFRWVczOVJ0dGczMkI2TWJVYkEzNGVwZWtLblZEVGVGWmowdk9HS0g1UVVTU2djN0FWNU01ajJnYnhlNGV5cklJck5RLWg1UFBYd1djUy1lV01xVWVwZHNNYV" TargetMode="External"/><Relationship Id="rId489" Type="http://schemas.openxmlformats.org/officeDocument/2006/relationships/hyperlink" Target="https://news.google.com/rss/articles/CBMilwFBVV95cUxPVzNrSnFPTkZYa0FPN0lNVHZ1dElIalB1NFNQT3hqM255UU8tbGJ2cTdSS0JBQUJNcDY2TkQ1Ri0xTmdhUUJjcG9LT0k5MzVvZlpONThiMHVwS2dlY1ZQeENocUxneEdDSXcwUzdfS0tXYnE2X19kTEwxNlV2UFZPSVRRSUlaVEltY28xNmZ3eGQxR3d1REd3?oc=5" TargetMode="External"/><Relationship Id="rId490" Type="http://schemas.openxmlformats.org/officeDocument/2006/relationships/hyperlink" Target="https://news.google.com/rss/articles/CBMiYkFVX3lxTE9yVUtpaW0zVkpmRDBXLXk3UTVWUmRldFVSU0FsMVc0N0U1QnJLYUctbS1SZ0FtNm1lX2lrc3hrbnFnSFliLTNWOUxWX1c3WEhPSjlaMFEtVFNidkU3TFJZVUNR?oc=5" TargetMode="External"/><Relationship Id="rId491" Type="http://schemas.openxmlformats.org/officeDocument/2006/relationships/hyperlink" Target="https://news.google.com/rss/articles/CBMic0FVX3lxTE9jZ3Jtbm03VDdwYVk0RC1PNC1lYlpJZTNlZWFuSi10cmpyTlRyc0RsTWRzVUlDMWRYcVozUy1pN2dpYUtFQ21QR0MwTi10Y01vTEdqNHplSHU1MVJFa1hIdDA0V0RZQlJPcWlUR0xwRkl3THc?oc=5" TargetMode="External"/><Relationship Id="rId492" Type="http://schemas.openxmlformats.org/officeDocument/2006/relationships/hyperlink" Target="https://news.google.com/rss/articles/CBMidkFVX3lxTE5SdmpMQ1hnbmo2TDg3Zk03VXZMYXVGWVhUMFkwbW5PZlVLWWFUbm5GcFpUQTlkTkQwTjRGRWRGdy1XdEluZjI5Nnl3RTRVYjFrUW1oWGw4UlM4d2ozMHZ6VUgyWFhITm1rRkh3X0xwZWZFN1RGQVE?oc=5" TargetMode="External"/><Relationship Id="rId493" Type="http://schemas.openxmlformats.org/officeDocument/2006/relationships/hyperlink" Target="https://news.google.com/rss/articles/CBMiuwFBVV95cUxPZXBpNzdMaGFVbjdIOHkwUDdQMW9CdWhOdjh1bHpSbUZCVHdVakpnRDh4Rl9SWjU2Mlo2Tk9RNVVzSjRyejNQMmNRWHI4Rk8ybDN1VUVTNzMwYi13WHh0VVBCZlkwNjBITlNESnlsVVRySDk1RVQ3akxGV3FUVTJ1b3NUREF5cjZJODV3THZhVnNlR1IzcnQ1U282SkFydE" TargetMode="External"/><Relationship Id="rId494" Type="http://schemas.openxmlformats.org/officeDocument/2006/relationships/hyperlink" Target="https://news.google.com/rss/articles/CBMiuwFBVV95cUxPZXBpNzdMaGFVbjdIOHkwUDdQMW9CdWhOdjh1bHpSbUZCVHdVakpnRDh4Rl9SWjU2Mlo2Tk9RNVVzSjRyejNQMmNRWHI4Rk8ybDN1VUVTNzMwYi13WHh0VVBCZlkwNjBITlNESnlsVVRySDk1RVQ3akxGV3FUVTJ1b3NUREF5cjZJODV3THZhVnNlR1IzcnQ1U282SkFydE" TargetMode="External"/><Relationship Id="rId495" Type="http://schemas.openxmlformats.org/officeDocument/2006/relationships/hyperlink" Target="https://news.google.com/rss/articles/CBMiuwFBVV95cUxPZXBpNzdMaGFVbjdIOHkwUDdQMW9CdWhOdjh1bHpSbUZCVHdVakpnRDh4Rl9SWjU2Mlo2Tk9RNVVzSjRyejNQMmNRWHI4Rk8ybDN1VUVTNzMwYi13WHh0VVBCZlkwNjBITlNESnlsVVRySDk1RVQ3akxGV3FUVTJ1b3NUREF5cjZJODV3THZhVnNlR1IzcnQ1U282SkFydE" TargetMode="External"/><Relationship Id="rId496" Type="http://schemas.openxmlformats.org/officeDocument/2006/relationships/hyperlink" Target="https://news.google.com/rss/articles/CBMidEFVX3lxTE1qb2pPQy1HRU1hSlVDS3Y0SFZzZDA5aTVab0J0WnBGSVNGYW1xUHhGNWZFd1pWZnNGY0pEVEdWS3piWXhZb0NnWlE4ODdPSzlrRnVhTFI0MFlNd1U2ODVLRm1LX3E4RHV1NW9DcTduWDlNeFV4?oc=5" TargetMode="External"/><Relationship Id="rId497" Type="http://schemas.openxmlformats.org/officeDocument/2006/relationships/hyperlink" Target="https://news.google.com/rss/articles/CBMigAFBVV95cUxQM1N6Y0ctOUJCbGpfOGRSc2ZLVEY4WURvU3VzemZKRGxHRzRibnBwelhGUm05Ml9jUlRFTHNBR2o5azV4UVd2bEZmZ0RhcWUyR0dOdU41eER5LXEyYlItOElrcTh2ZzdHZV8wc2NpaTlaWllGdHRsYXh3ZWEwa19XOA?oc=5" TargetMode="External"/><Relationship Id="rId498" Type="http://schemas.openxmlformats.org/officeDocument/2006/relationships/hyperlink" Target="https://news.google.com/rss/articles/CBMikgFBVV95cUxNbVViZXZHOTBRc2hkR1QwNG1LZFBMWGpVM0s1UTc1NHczN0luQi1id1dwZjlvTmM5Qkx6cE1ycFVndEdnOVBud0ZXdnFVUEo3cEY2bEt2WThWTDMwelZpRnRQNFFVejVHenNzR2Y0aHAwaExtdm1hUnZTT3BHQ3ZOZUYtVUVSanNQUmxlNU9NcllTUQ?oc=5" TargetMode="External"/><Relationship Id="rId499" Type="http://schemas.openxmlformats.org/officeDocument/2006/relationships/hyperlink" Target="https://news.google.com/rss/articles/CBMizAFBVV95cUxPZ2tFU0YyUHJYTHNxVXpvWGhiR0EydWM3RkMwaEFIV0xmNl9aRWtFMHVHWHZTMG5aa20yeC14T3NJcXdYeThhb1N6Z2hKeE9wYW0wRW81Z3ZXb09hRWd6VXppcnJHeHAtdGpZbzlsZjRxVlhZZEp4alNEZHZMSzlwMHFFb042LWlnaDRoUmZUemc4VjhBRXpXUE9GaElFRk" TargetMode="External"/><Relationship Id="rId500" Type="http://schemas.openxmlformats.org/officeDocument/2006/relationships/hyperlink" Target="https://news.google.com/rss/articles/CBMi3AFBVV95cUxPa25XbzRxeW80M3cwSlpXUWsxeDVaZTNORVpOSWRMc0F4S1Fnd1RwbUk0dU1NVnc1ak1iUTZXTW1HaDYzMEs4SzVqbE1fWDdnWFFVN3hZQ0FMSmNDNHhNRTJRYkhlZUpQZlprNVRZOGFEbkJJTXdqQ0NjY25RLXo3N19vNWdDZUZMcTQtRHg4M1RQWVJ1MlIyWjNuNVNYWE" TargetMode="External"/><Relationship Id="rId501" Type="http://schemas.openxmlformats.org/officeDocument/2006/relationships/hyperlink" Target="https://news.google.com/rss/articles/CBMi0gFBVV95cUxPYXhScWZ5cEUxRE9ZMkZWMlMwT3Fjazl1VE56dVAycXI2NWpfdkhMRmJBSFI2STRXTFFUeXVQYzFJZkZ5UFpYeXpRX2t6TGJWOV9WUDBLMkJydGM3cGV2aW1uY0dITjFWcUhwWllldlFCMDlfdTVNU0c5eFVJLWRiRDFqb2tqVE1BQVk2QjlTN3dRS3VsZU5TSVc5SlRiZW" TargetMode="External"/><Relationship Id="rId502" Type="http://schemas.openxmlformats.org/officeDocument/2006/relationships/hyperlink" Target="https://news.google.com/rss/articles/CBMivwFBVV95cUxQOHFHN3FRUjBDdklqQzh4YWZDRHhDbUlnR3dRTGtzTVBYR2Ridkl5UlVCVFZiNmZoeE9penJNZDBzN3BueUdHV29jZl9GaUNhYUMzUGdwRGFUbWRldFNlMFBoczhTNUwwd3JjWEYyMy1vbS0wOF9vUE9hQzBTRTZNREV0ZFRmTlNCTURuOWpWbVdPYW8wSU92QkxlY052dz" TargetMode="External"/><Relationship Id="rId503" Type="http://schemas.openxmlformats.org/officeDocument/2006/relationships/hyperlink" Target="https://news.google.com/rss/articles/CBMidkFVX3lxTE9CeERQX1Y0RXpneDJ6aEhWRjJuRHFjRUd5TXQ4cFg3Y2RMR285c2JCVlI0NnR5Mk9rZV85aTlib2c1MWZnT21naF9rNUFjV3FKYldSa2VYSGxOQ2J6NTZvRmM0Tl9LQVc2RzdRQWkyTm1fZ3ViSXc?oc=5" TargetMode="External"/><Relationship Id="rId504" Type="http://schemas.openxmlformats.org/officeDocument/2006/relationships/hyperlink" Target="https://news.google.com/rss/articles/CBMic0FVX3lxTE5kZXZQd3dJbEJMWFZFanlWNkFvdjBoeGRWZVo5U3VvZk1tWG5WTnRNWXNpWDZZZWhvLVRrdXRiMUxFUGItYnY4MkpBLUVEVnpSZXQwNHRuOWx1QzlmVEd3RkVuZGNDUzJTa0Zqb2JRRHExMWs?oc=5" TargetMode="External"/><Relationship Id="rId505" Type="http://schemas.openxmlformats.org/officeDocument/2006/relationships/hyperlink" Target="https://news.google.com/rss/articles/CBMihgFBVV95cUxOYUZwaWJaQ20zZTBwbi1jaE5oaGxBQjA1bW5ReHIzSUpFNk5GOUc4LWJzZXZyaHBfb2xhUjJIVjJQQ2xUTTl0SXhkc1FjWjZ0Z3hwYVNkcDFaQnJ0UE5sRE9xd3RNYnlQblZYVGR4Q2JYc1Uwc1YtblAxZlZPSkE5SkxpMi01QQ?oc=5" TargetMode="External"/><Relationship Id="rId506" Type="http://schemas.openxmlformats.org/officeDocument/2006/relationships/hyperlink" Target="https://news.google.com/rss/articles/CBMilwFBVV95cUxOaUd1eE00bTNlTkR2MkZ1SFl3aGhrQ1ZpY3I3UXpWdUpqbFRxR2ppeEVBNkVMVVVOTXd5SjVSeF9YOUdMV01jak5VU3F3Z3ludzViN3hGMzRnUDgxcWRGeGVYN0lIaFdFTWdlV0xkSjNYVXNLd1FzZExvY2dXTWxsVndzZDlIWC1nN3EyQkcyMWlVV0ZVbVE4?oc=5" TargetMode="External"/><Relationship Id="rId507" Type="http://schemas.openxmlformats.org/officeDocument/2006/relationships/hyperlink" Target="https://news.google.com/rss/articles/CBMi_wFBVV95cUxPMk5TcjMtVFZTOTZxRmRjYy0yWUoxYzFtQzZDaVVRSkhWMmo0VVV5dFV6NG14UUgzSE13YTRMR09tSlI0SUtPX29HR0cyaFdKN2RYeGRHcmtoU1pfMHdUQjF5eGZFZWNjY0xGNUh1Y1U3MVBnaHd4bWRSVldlbnF2dDZNQUtZYjkyZy1kYlRLWVNwamswMXFZbVZxdHhpZU" TargetMode="External"/><Relationship Id="rId508" Type="http://schemas.openxmlformats.org/officeDocument/2006/relationships/hyperlink" Target="https://news.google.com/rss/articles/CBMidkFVX3lxTE1vZkp2cGxfVmNPanhQSzJpdXYxTW1mTXJuQmFzaDFOMG9DemZraDNPSDJ5bS1ZTGJiWGlDZGpBWVlMZGlEQndCdVBJWjdJSE1tQ0dBc3RoaXNhV1I2SnQwbFVnWGJTcGpLSDVoTktUU2Q4X3htcXc?oc=5" TargetMode="External"/><Relationship Id="rId509" Type="http://schemas.openxmlformats.org/officeDocument/2006/relationships/hyperlink" Target="https://news.google.com/rss/articles/CBMiwgFBVV95cUxQeUJfSVlJX3pQdUoxQnFUWnRSTFFuUzNjeTZieHRxSnBseUd2MlhKcFZZWVc0a29tQjROUS05MF8tTXVGZnNyZTFnS2tNWnlLXzN4OTRRZ2otX3hFM2pfSFMxYUlFVDJLalMtb3JWN1dQdzh0OUozOE5xLS1GQlR2NnhaUi1rOTZKS3JXSUNacHNibFluaTRWbzlHV2prRF" TargetMode="External"/><Relationship Id="rId510" Type="http://schemas.openxmlformats.org/officeDocument/2006/relationships/hyperlink" Target="https://news.google.com/rss/articles/CBMi3AFBVV95cUxNUE1zQ2FkTGhWV3Bmemw0SndiemIyUUNhekQ5cHA1Yk9kOGdyUWZUT3p0Q0pkcGtldzRmMjFGQWMzdTdmRmhyV1d6ZHZQbUloa2YwbWxEaVlYNUhjTm91c2tvLVRIaDIzVmxEdUo0d1MtNXhiY01HSDRmRDRaWjhUN1kxMXVHRG9RQVZFckZvUDRjUWZpb2ZaVm9lSERLaT" TargetMode="External"/><Relationship Id="rId511" Type="http://schemas.openxmlformats.org/officeDocument/2006/relationships/hyperlink" Target="https://news.google.com/rss/articles/CBMi1wFBVV95cUxONU9hcUw2d3FVRkdxQW5IbU9LRkJ1alRWd1ZhbFdldXJKYThydjNZSkNZNnQwQTAteVA2TGo0QlZucDlsMDVwRTNaOWdYeWtIa2JVSjRmUnczU09zZDJWMVl3RXh1cnBWVFIwV3NJRzRqWHFQcHBpNGgtdXU5dnRoeDFNZ1hubjhWcDN6bXpQUWhSczFRY0IxZVM1VUdIZH" TargetMode="External"/><Relationship Id="rId512" Type="http://schemas.openxmlformats.org/officeDocument/2006/relationships/hyperlink" Target="https://news.google.com/rss/articles/CBMiogFBVV95cUxOQ0JCR2lHYTA3dkY0ajFDQWFVYVo0d3g3SmFJUEh3YWRKZlBVZ1oybHBBSjNNS01wLXZlTGtRLWpqMGROazVhbDVKSlBnX0RJSjhUUXpFU1JZb0pMSGR6cTk3MVc3UFlaOVQ2QzNybUtrbW1YRkdJMnQ4UTVIVmllRlgtTFc3LWE5OFRVMzdXelg0a3duNWw0TjVnT0hCLX" TargetMode="External"/><Relationship Id="rId513" Type="http://schemas.openxmlformats.org/officeDocument/2006/relationships/hyperlink" Target="https://news.google.com/rss/articles/CBMi5wFBVV95cUxQX1NsbXY4a0RzNjJ3V3VkOWdOeDBFNG8xSWtua05fTnYtVU1DTlZDZUN1Z0M2MEVLYTMyci1BZ01BV1RmUEFTbFJVa1Y5VXFaQnh3LVdDMTFZZ3ZOU00xN3dBN0VIU2xZaEZRcEdja1RhSFkxRFRNX19VWkRSeDlFREJWaU9KSkRySkFzQ3J6RC15RGVTY2EzVU5vZzdZX3" TargetMode="External"/><Relationship Id="rId514" Type="http://schemas.openxmlformats.org/officeDocument/2006/relationships/hyperlink" Target="https://news.google.com/rss/articles/CBMic0FVX3lxTE95UmtVQjRjb2o3Y1lEMlVkLXpGdHZSaWpHd2RCQVExNlRqVVRqU2NHLVNFd05OWjJpbS1MOUdEZTB1VWRTbXZqNFNJOGZOYkVmSVZpSjhpSllrTUI1QUpFbkcxbHZjeVpaNDl1dDRaYm41OEU?oc=5" TargetMode="External"/><Relationship Id="rId515" Type="http://schemas.openxmlformats.org/officeDocument/2006/relationships/hyperlink" Target="https://news.google.com/rss/articles/CBMiiwFBVV95cUxPTS1mNXBmbHBQeGdTbHg2b1NFN1FGVFVQTXNLbGpGOUluVjNUN3h1NDZvXzR4dWQzckwzMjA5Mk5aSlk3RTh4Ymp4OE5JczNIcmJFUlJlRlNEcXFVMWZBeFJjai05Qmd5ZTdjM2Jxa2E2Y1VVb2JXY1dEd0FvN2VXb0t6OV9wcUhreUhr?oc=5" TargetMode="External"/><Relationship Id="rId516" Type="http://schemas.openxmlformats.org/officeDocument/2006/relationships/hyperlink" Target="https://news.google.com/rss/articles/CBMidEFVX3lxTE1ycjJVOXpwOE8zT2hkU0JjMkxRaUxHYzZ5R1hEcmJMdGNFWWpLbll1WkgzN1QwbXJ6dFIzdTM1anZxUUZoOFUwMEdkTmhJMTROWDltLWtpQU1Wa0w0Z3hlV3h2TkwtNlNpOEEtMVplQkFnRUQz?oc=5" TargetMode="External"/><Relationship Id="rId517" Type="http://schemas.openxmlformats.org/officeDocument/2006/relationships/hyperlink" Target="https://news.google.com/rss/articles/CBMizgFBVV95cUxPcWpRTUxJRGdXZXI5T3dxZWhlOGdpcFBBTGR2VG03STRaNjIzYVRJaW5tVElUWDFYUzdqR1RYc1BiNE15SmoyN19mZHlVeXpEUFdvWWw3UVB5akl1S2NXUFdtWWt2OXZieU9XVmJydlV0N25qSVFHeHhwVHZqNXkxNzIwZHZ5aklCdXBKM20xLVVtUFZFd2gzNl9pdE9DeH" TargetMode="External"/><Relationship Id="rId518" Type="http://schemas.openxmlformats.org/officeDocument/2006/relationships/hyperlink" Target="https://news.google.com/rss/articles/CBMidEFVX3lxTE50dUVIdkFhb2NEanBIUVVJSlFOUjVfMDhSYjFTUW9JZXZTVUxweU9YVjJOclpRZkRKcXRrc0sxQ1pWak9XUTFpc1pRT2E0RlRLS28yOUZqajFkM0MzYVA1LW5mSzg2V2phNktRZEpkcGNkYjFU?oc=5" TargetMode="External"/><Relationship Id="rId519" Type="http://schemas.openxmlformats.org/officeDocument/2006/relationships/hyperlink" Target="https://news.google.com/rss/articles/CBMidEFVX3lxTE1vNVFTeXBHdUljbjBkelJjbXpDUVR3VHdyUHNHbWRFdEl3NGJNYzJQSENzbEpOT3dVNXhKTGhLZGhXenlRMTRZUjRvRzVfYngzM281S2RETi1HNi1zcGYyb3BEeE52TlAwV1NoMDUzekxpelJD?oc=5" TargetMode="External"/><Relationship Id="rId520" Type="http://schemas.openxmlformats.org/officeDocument/2006/relationships/hyperlink" Target="https://news.google.com/rss/articles/CBMidEFVX3lxTE9LWUJDMV9oVlNTcGpNRXJjLVBXU3hxREI4RzBOTFZRci12S1lEM2NKdnZTSGNiakRYQVE0QU5BbWJvT1JBYUhDNV9jRk1Pc1pmRHljcnI0NldORE9UeVVtVFJncG9SbnRuN0RQWjhuQVJzZlRU?oc=5" TargetMode="External"/><Relationship Id="rId521" Type="http://schemas.openxmlformats.org/officeDocument/2006/relationships/hyperlink" Target="https://news.google.com/rss/articles/CBMi3wFBVV95cUxOX3Fvd0lRWVNZVE5TVF82bkV3MXppckJNVlJpQWJPRXBUR21hc2E1c1F0eUxwTWtqS091UENwRmxIUWx3WmZZUHFxVVFWVjlxRlFpVU9sR3JBNUd5T0VMLUJHQjNHdzlHZUc5SThHNVhwUGxKN2FRREtBd2Z5N2xaenRGbVNwVTZ6RnVhSkFtTGhiX1pLV0tiY251VkUtNG" TargetMode="External"/><Relationship Id="rId522" Type="http://schemas.openxmlformats.org/officeDocument/2006/relationships/hyperlink" Target="https://news.google.com/rss/articles/CBMilgFBVV95cUxOby1nMmhnNTZrSGZkTGpYa0JMM3o3aDV1VEVmdlIwTU9JNG05c1JUcnpBYmJEbzUxUFZCbXFPQ3ZsQnN4dWZCSkdTcVp0VFdKV3VfYXVXYlozaFFkUDRsczVMTXdBdURjOGo0TDE2cklQdjAxVmZVRjRQNmtFRlFlLUNxdDNUdkhKcElYT2ZwTnhWdkhHUnc?oc=5" TargetMode="External"/><Relationship Id="rId523" Type="http://schemas.openxmlformats.org/officeDocument/2006/relationships/hyperlink" Target="https://news.google.com/rss/articles/CBMikwFBVV95cUxOWUx4SWpKSjdIeW5IRUlTS1RXdnhaLVR5cEd2OU50Ylc1aGlTeUxfYnViRFNabmpoV0dmOS10czFxXzBZZk5JbGg2N2xGMi1oMHd0OHRxbmNBRkpPck9rWno2MGdkSTZkbkVvRTExall0MlV6RUNWbndHaW11Yk4wUnJWOVpUVUk1NU5teWRFV0pDSlk?oc=5" TargetMode="External"/><Relationship Id="rId524" Type="http://schemas.openxmlformats.org/officeDocument/2006/relationships/hyperlink" Target="https://news.google.com/rss/articles/CBMidEFVX3lxTE5qcHA5TXc3N28zVXBtUkM0WVpCcDJKS044MXBLMTRjUHExVW00ZTZHdUVGSUVvcGYxU0VCS2MxNjNlVFA3Zng0NFRwaGJFRDYxWnBfeG50ejJnaUlSZ0ZyUkZsZUNrOGd1Znd6U09Ra25xemVV?oc=5" TargetMode="External"/><Relationship Id="rId525" Type="http://schemas.openxmlformats.org/officeDocument/2006/relationships/hyperlink" Target="https://news.google.com/rss/articles/CBMid0FVX3lxTFBRY1BTTUZ2cmpqZTI4VFhsakRjZkt2aW1MSUZYd0U2OTVwTE43OHlLUV9iYUppTG5ReUs0ZEQ0LUlwQlk4elFZTHJYV1ZldjA1VFhoZ2VfWjFOVzlTeU94MGhzcWRSUk9XRjluUHJiYmRsQXdkclRz?oc=5" TargetMode="External"/><Relationship Id="rId526" Type="http://schemas.openxmlformats.org/officeDocument/2006/relationships/hyperlink" Target="https://news.google.com/rss/articles/CBMimgFBVV95cUxPdzN6dktVeDdweUlHX2IzZ2Zmd2VsYzFXQ0RGWkZ0Q2lpSm1WY3d5dkZGaW1KU0NhaXU5bjdmam1yUUxueWR1Sk42YjlROE0yek5GTXp6Y2VleklfS2pyS053VXQyR2xNZE43XzA4Xzg4WWQ4eUdLUXRXZVRHdDB5d21EdDBRWkYyQ0NZaEV6SW52T1FpUVFCd25B?oc=5" TargetMode="External"/><Relationship Id="rId527" Type="http://schemas.openxmlformats.org/officeDocument/2006/relationships/hyperlink" Target="https://news.google.com/rss/articles/CBMigAJBVV95cUxQaGEteXBYLWQ0SFR5ZFk5OG1hMkU1NVpIZ2lZbmh4SEtfUXNxUVZfbjVqT2Rmd0YyZlg5LUh5RlByNGlKdEZjVmVhTF90bVRNdU1oUlZYWTRrMlU4OWJYdVI3UkFJdlowLXdZelNoZ2hmTGNvMXFOYXcyUUFOaXVlZU91d0NwRlUxR1IyZWFSXzN6UC0weGJ1eDVrQzJRN2" TargetMode="External"/><Relationship Id="rId528" Type="http://schemas.openxmlformats.org/officeDocument/2006/relationships/hyperlink" Target="https://news.google.com/rss/articles/CBMipAFBVV95cUxPcWZQWVR5c1pDR2ZkV3NXRnplTXM4ZDFuZ1daSGVEUERKZ0tyT0REcGp6ckxWQnpXc3lxaGt2MFZaQ3Ytb1VzTWRCalg3TWZSYVZId0pRWVhFaEcxZ0pfcTRETXlteEN5THV1Tk04d3hzeGVVZmIxZllrVHRVSVZUN2JWbHM0ekM5MGRBSV8xSzMwbURtTVJBenBTcm5ROX" TargetMode="External"/><Relationship Id="rId529" Type="http://schemas.openxmlformats.org/officeDocument/2006/relationships/hyperlink" Target="https://news.google.com/rss/articles/CBMif0FVX3lxTFA3NW5Jdk9PWWxadkMtb3RpT1RNVGZGaHBieFpTc1hkMkg2U3JxNDJJTlA2Mi1mY3NNVy12T1VHSUFrdTdlOEdiMHVZNUh3enJCNVFQdU5mdU5FVHlsYk5aa1Vycy15ZC1TVFBQQmhpVDNzU0VOa2x1WnVtMGM3a0U?oc=5" TargetMode="External"/><Relationship Id="rId530" Type="http://schemas.openxmlformats.org/officeDocument/2006/relationships/hyperlink" Target="https://news.google.com/rss/articles/CBMixgJBVV95cUxNNXpmMnJrREdfLUlHYTZLWkZCM0VMUlE1SWxhWlUzcHhjZzBLZkdMa29sdm9iUTJvYlFBVVA4MFd4aEZuY0JtSGVzY0xpWVBWTG44Rjc0SVU2UFYySjYtQkE5Z1E5aU9YMFUyRWxBTVBHVF9PN3RmWWZhVXFGd0p5NUVkVG5MZGpSMkUxLWxUN1R1U01INi1VQ2NVZTd2en" TargetMode="External"/><Relationship Id="rId531" Type="http://schemas.openxmlformats.org/officeDocument/2006/relationships/hyperlink" Target="https://news.google.com/rss/articles/CBMiX0FVX3lxTE5ZMnZiTTlLMTJCQ3FyT0hYZ0J5Mm1EUmU1R2R5T19pdUxwQWZlSU1fOEFuM1dGMzU0N0MtSWtxVC0zM1dsZWZvRF9JZ2lfX183V2tUc2pBcnh3SEFyNVpn?oc=5" TargetMode="External"/><Relationship Id="rId532" Type="http://schemas.openxmlformats.org/officeDocument/2006/relationships/hyperlink" Target="https://news.google.com/rss/articles/CBMiYEFVX3lxTE5SQzlBZ3JERS1VRVZ0RGpONUFhWnhpZ3gzOHhicVJtTXBObUNodTdfQjhfYXNzQW9oQXNoX0JLLUpUV2RoQzNiQjN2akt3UG5GdEEyajQ0RTdSeGRWdXprdA?oc=5" TargetMode="External"/><Relationship Id="rId533" Type="http://schemas.openxmlformats.org/officeDocument/2006/relationships/hyperlink" Target="https://news.google.com/rss/articles/CBMiYkFVX3lxTFBkbWZCNDdLa3pDWnJ3eHhSVi1ZVUFRWklBMjBseGExN3F6R2VWMEhsSE94QTd0bGc1SnhoMy1VN2Z6M1hCT1dmMmVtZHV3OG94QWJoQ0pBZXlXQWhNaW93dWV3?oc=5" TargetMode="External"/><Relationship Id="rId534" Type="http://schemas.openxmlformats.org/officeDocument/2006/relationships/hyperlink" Target="https://news.google.com/rss/articles/CBMi6AFBVV95cUxPVm5WX0pRTVRheEJWY2w3Q3dmUG05UDR3OGZIUUFWRUtOZUNETnNodDhqV2dWVk9Yb1Eza3RDSURIUGZpbEVBRnpmMWZJVEJYOUJENDdQby1DODdBY2ozNVFNQTdQRWNVN1FjeS1wenc2LTJlSGhlVjR5NTVSUDltT0RyeHdDMkF5a1BJVjBlaEppRkdOWlJ4cXNGOXF4V3" TargetMode="External"/><Relationship Id="rId535" Type="http://schemas.openxmlformats.org/officeDocument/2006/relationships/hyperlink" Target="https://news.google.com/rss/articles/CBMipgFBVV95cUxPZV9oNnhfN1lheDZ4X1poeHZ4aVVZY2xPMFBnc2t5RXUwQTg0WVgtWVNwSmE2cVp2WTFIR3FzOFQ4TDBnTzN4UjR4cTVCemJlaFFwWEc1OGpLZVlvMEFZa3NSYkJxbk5BYnZkRFVIcWVnRlpJTDEtVUhkTFZ0NWN3NFJPWlZmNmFzYkN5a1hHYnRqWGRHQkl3LWlOLVhXa1" TargetMode="External"/><Relationship Id="rId536" Type="http://schemas.openxmlformats.org/officeDocument/2006/relationships/hyperlink" Target="https://www.gelonghui.com/live/2726310" TargetMode="External"/><Relationship Id="rId537" Type="http://schemas.openxmlformats.org/officeDocument/2006/relationships/hyperlink" Target="https://news.google.com/rss/articles/CBMickFVX3lxTE1XRU9ybU9SN3NxZUM5N2o3WUVKVHR4R25tRnBoMUZ1cTVSWGN2WkQzd2ZRU2lLdWNRZ0xRcEx4YlFDYXRHNzlEQ1NkeFZHYjQ1V3NTUkhEUVBDZVpOSHlxa0tld0Zqd0I5X1FmOTdvYnVQZw?oc=5" TargetMode="External"/><Relationship Id="rId538" Type="http://schemas.openxmlformats.org/officeDocument/2006/relationships/hyperlink" Target="https://news.google.com/rss/articles/CBMi1wFBVV95cUxQS1REUnNpSXp4MjMzeTExc0Y2WkhjUUNyRFJqdjdCaFM1YXdTNDhHbkJ1ZmNTd3ItdzBuTGJSUER4RVRIWEtCdDNUVFZ6WUg0LTNxSllCVkZDdnZNTU5mM1RtTWhYOWczVkk1ZUxnZENnRFprNHlmcGNqVENJbzBxWEN3UlVIWTB4VGwxd2F2YVgyUzg5YnNIbUxkdmktTH" TargetMode="External"/><Relationship Id="rId539" Type="http://schemas.openxmlformats.org/officeDocument/2006/relationships/hyperlink" Target="https://news.google.com/rss/articles/CBMiwAFBVV95cUxNQXJlUWtOazUzT3RRZHlyOElHdmtnTTJyVTFhaXNBME8yVmtVdGM1bGE1Z0p6X3VrTGtTN2ZoeHNYdi13Sks1OGFXa2RHY2RLOExXbkZsWS1qSEo1VWREQ2RBLTV1eVVrLVNvVW9iT20wTnNKOEVONDRyc3dzUXZGMG1SOVhFUmRNdV85bzFZU2ozMVpBSTZoeHlDbnA4cm" TargetMode="External"/><Relationship Id="rId540" Type="http://schemas.openxmlformats.org/officeDocument/2006/relationships/hyperlink" Target="https://news.google.com/rss/articles/CBMiZ0FVX3lxTE1nSFU1bzUtNWJGVk1jYnJ6Y1ZNVmFnWEZXVFZuQVk5WGE0bkZDcXE4VDU5TGVIaE82Zk01WUtqN1plaDBSc2NSalNEUUtGQXZJQ3dRSFNGTkYyZVl1dWJKdEtzYUxBZTQ?oc=5" TargetMode="External"/><Relationship Id="rId541" Type="http://schemas.openxmlformats.org/officeDocument/2006/relationships/hyperlink" Target="https://news.google.com/rss/articles/CBMiqwFBVV95cUxONGFGNmtlcEozS19DUkRjLUt0X3JYLTRSOVRHNzBmRzFuemgxem10WFFhS1VqbXlFT0ZpTS1fcEJSd3FBSnUtbTJzbXZjTWdqcWZaSjMxRG5JdFR1bThSOEZXTC05bHhLWldoUjcySjVUODZuTFhSNTh3WlFvZU0zN28xU25xeTNNOU5qTVpOY3VzWG5wZXA5RVpwSEVTcn" TargetMode="External"/><Relationship Id="rId542" Type="http://schemas.openxmlformats.org/officeDocument/2006/relationships/hyperlink" Target="https://news.google.com/rss/articles/CBMiakFVX3lxTE11bVFZeU1KeU53OUx5d0JxNnp0Y0lNanZZYzkwZG1MTDg0MFBKTlJEa0YwMnd2NHE0ZWdrQjJueXAzbjVGdjhreTFfcURIWFB1Um1iZ0V0aE1YNmdJbjNESkdGNkZVem5pTHc?oc=5" TargetMode="External"/><Relationship Id="rId543" Type="http://schemas.openxmlformats.org/officeDocument/2006/relationships/hyperlink" Target="https://news.google.com/rss/articles/CBMid0FVX3lxTE5nYnZwUzVObHFwX1Jyb2NKY1kxc3J5T1NMd2dhYjk1ZUF1eTJab2gwdzF6TklTSF9WRnJHa0xYeDdKM2VSTDNTeVdkWGZkMG01ZXdoYWN3b0o1U085V1NaZVNXUkY4WGcwYXUtYnNCeEtDXzE2TGo0?oc=5" TargetMode="External"/><Relationship Id="rId544" Type="http://schemas.openxmlformats.org/officeDocument/2006/relationships/hyperlink" Target="https://news.google.com/rss/articles/CBMilwFBVV95cUxQM25hak5QVHQxbW5EVjlWWm5KVFNEMnJ5aVFmY2VVSDNsVTV6SlVxbUozck80RXlaRWUzWUtVd3c2V1RTTjg0MlBHTkplN0RYQzF3TTV2ZW05QU02WTFsX0hzYmlNUTkzbmV5VEFSSkxsbzNJWWhDVHBObE0zUm1sTTgzdmN1ZjhCaUdoSjJLaFJvdTZRWjJZ?oc=5" TargetMode="External"/><Relationship Id="rId545" Type="http://schemas.openxmlformats.org/officeDocument/2006/relationships/hyperlink" Target="https://news.google.com/rss/articles/CBMiowFBVV95cUxPYjhSWDA3TjlTVXpkQ19nRVZtbFhFUlZYRVQzcVloNkNQYUUxXzZ5NmdtdmxNRTJadnE3enNqOUZzNWN4QlA3X0ZEdExvdW91ZE5NQmY1UXB3UXc3WGxIU0pkam1QZU9hRk1PT2E1Z1hRR3Z1MjZKYnJ1RzVXbmJvcDgxSVpUS3h4LXpqS0s5ZG1HVWpkT0RMYlpRVVVuNF" TargetMode="External"/><Relationship Id="rId546" Type="http://schemas.openxmlformats.org/officeDocument/2006/relationships/hyperlink" Target="https://news.google.com/rss/articles/CBMidEFVX3lxTFA0bUVnM1gydlRaZy1VVFhScU54aXJ3aHdiMTlfVnMzYmM1V3pZbnRiLVlDbFRCb2hSNFJiNjljS2hEY0k2enR4R1BuSG96VkZEbEw4a2tLTXV4aEtzZW1rWjJoYVEtbUJaUXJJM1pSNjh2SkJq?oc=5" TargetMode="External"/><Relationship Id="rId547" Type="http://schemas.openxmlformats.org/officeDocument/2006/relationships/hyperlink" Target="https://news.google.com/rss/articles/CBMipwFBVV95cUxOUGNXU00yMjg3RkI1ak9XY0xvdkdlb0Fic3MzM3poNk5uU0VLeVZEWllOeHhSaGN6NDNRYVkyNmRscExtVjdBbG9GMVJDenRjR2NiblhKemNLSnFwdlFlbGZEenRVd1prSTlmS0JUNmtNWlY3bVFqV2NjQ3d0NUJ2QVpsOGJMVDV5dG1nNDV4a3o3WnRscURTZmhBd0NGZF" TargetMode="External"/><Relationship Id="rId548" Type="http://schemas.openxmlformats.org/officeDocument/2006/relationships/hyperlink" Target="https://news.google.com/rss/articles/CBMizwFBVV95cUxNMzVUOXdLTVBGLVBNanljSHlzcmQwLXlybVRLeFo0WDNEVXpQWmoyZUhhTDRaWk9BcHJtNGd3bmJTUzNYN1BQbWl1UmlfOWRvMmZFZnFBZmYwSjN4ZGJudURZc1RiNGlWQnhtWFV6Vm1sSHB3SWdVaTdKNmhMX203ZHhyOVk4MnlsSU1nMDZEZXR5RG1JT2Q1NHc5bzMwS0" TargetMode="External"/><Relationship Id="rId549" Type="http://schemas.openxmlformats.org/officeDocument/2006/relationships/hyperlink" Target="https://news.google.com/rss/articles/CBMinAFBVV95cUxPRGhHOEdiQVlNTHNYOThqbzI1YkxtY3FQZHFXQXNJV29Gd0cybFdhMVk2eE5rSHBSOTB4NEh0OXBBbkthVE05X2NKZGM4dkdROHBCUG05cHB2OEl5YnNfbTBOVGlNY3AzNW44SEh6M08zMmRkbmpTcklnSFN5MWliRXFucElJelRsaXRpYWthS3R5bXFHYUllLWJTWkE?oc" TargetMode="External"/><Relationship Id="rId550" Type="http://schemas.openxmlformats.org/officeDocument/2006/relationships/hyperlink" Target="https://news.google.com/rss/articles/CBMinAFBVV95cUxPRGhHOEdiQVlNTHNYOThqbzI1YkxtY3FQZHFXQXNJV29Gd0cybFdhMVk2eE5rSHBSOTB4NEh0OXBBbkthVE05X2NKZGM4dkdROHBCUG05cHB2OEl5YnNfbTBOVGlNY3AzNW44SEh6M08zMmRkbmpTcklnSFN5MWliRXFucElJelRsaXRpYWthS3R5bXFHYUllLWJTWkE?oc" TargetMode="External"/><Relationship Id="rId551" Type="http://schemas.openxmlformats.org/officeDocument/2006/relationships/hyperlink" Target="https://news.google.com/rss/articles/CBMisAFBVV95cUxNeDR2cFNCdFNNQVpDZktwUmVZb2NsTVJlTy1BTTdUS1lBcEFLM2hsN3dYaXJQTXBlRVhNWU15UllYUElPd1BSTGc3Zmh3RlFvTGdxS1h1Sm9jdFdVTW0yUzAzM1ZKenp2TkJEOXhpVW5kSVEzNGpuM1VQeW9XbEJ3R2p0NFdHTkxULWN3WE1IRHludklLeTd3LUc2SldGSW" TargetMode="External"/><Relationship Id="rId552" Type="http://schemas.openxmlformats.org/officeDocument/2006/relationships/hyperlink" Target="https://news.google.com/rss/articles/CBMie0FVX3lxTE5BQjlzdEM2Sm51V01SaGszNGZUVUdCTW9keTM4QWc5VklWMXhFM3NBLXJPNDdET09ybGpGNmdNY0Q3QnpjMXNHZkNYZDVYNzJVRDNKYmszSmJ6UFNKakNsdGhsUU5zRld5RlRvYlhLY0dPZy1XekwyRVRDbw?oc=5" TargetMode="External"/><Relationship Id="rId553" Type="http://schemas.openxmlformats.org/officeDocument/2006/relationships/hyperlink" Target="https://news.google.com/rss/articles/CBMikAFBVV95cUxNNDBSWHFHMjhoM3Zad0N4SmdWeXZzcEt2OW9FU2x6TVQtRE1rUU9GcFA4YVg5cHZEbFNUWGFtdmVpX3BxM0hqNzREWTZ2QkY3UWtXSXVkQU1HS1VMN0p1RHY3dlVJLTIyTzhGejZvZjUweHpBUnZFekQtcVJrN0lsWTdKbnVOODloWjNKSUZCcGQ?oc=5" TargetMode="External"/><Relationship Id="rId554" Type="http://schemas.openxmlformats.org/officeDocument/2006/relationships/hyperlink" Target="https://news.google.com/rss/articles/CBMilAFBVV95cUxQNmZ4R05KaGczdm1IQ2R3bEFURkJjVlQ3RHpZU0dqUXNLU2hxcm5IVU1aYVg1a0dydjctbGhWSk5oeVJtVWJkMzNqcnptcFRic01BRmtqM1VCdlpkNTc1aGlEUnFrUzM5WkFGSTFVMndPd1RpZWRuWV95QzQ2NFpFX1lieHM0eHJSM2NuUHRuM1FKdldT?oc=5" TargetMode="External"/><Relationship Id="rId555" Type="http://schemas.openxmlformats.org/officeDocument/2006/relationships/hyperlink" Target="https://news.google.com/rss/articles/CBMic0FVX3lxTE9xRXdZTFlMOUtYWmdKRl9MMFE4UF9VMU9QSF9YUEVuQy04WkE2WXVYS2ppb0NTMEhSYkw2ZTBFb2cxb3BZbVVENElWckZ3UnVSYmoxUG1GWHgxNVdNSmxxeFh4eHpDVXZDZmZHUWVsQnI4ZzA?oc=5" TargetMode="External"/><Relationship Id="rId556" Type="http://schemas.openxmlformats.org/officeDocument/2006/relationships/hyperlink" Target="https://news.google.com/rss/articles/CBMimgFBVV95cUxOSFdzX21qRGlIZkhsN3JMWFJEdmlWVGVxaUZyZktJRHQtbmVRdENpVDdHX2pFenRiMXNjS3ctX0tERFVCRVY0Z0Q3bmpmRWI5NHN2VEtkQXRxTlRQRGNqYTZaZU94YUtYUmpLeDhqWmloTm14TjRRd3NWMlA4SFdaUi1nSUFxUnpmRHJQN3dfX1NBN2tfS2xCRXhn?oc=5" TargetMode="External"/><Relationship Id="rId557" Type="http://schemas.openxmlformats.org/officeDocument/2006/relationships/hyperlink" Target="https://news.google.com/rss/articles/CBMiqAFBVV95cUxQRFdjY0R1bHg3VWZ4djJLQUNYZ0FEQzNDU19IUW9kU21SRlZxQkNaTHRFdDBlbUkwLVoxYTJtQVdGWnVRMWJyUHo5c0JtQmxCWDh4OUxpU0lnUkl1NWY2NE5vcUI5cDZldzNuT0toeUxZR0N1VFpIekxWdG9RYVJNRFVZdDBibGt4TTB6Q0FaUlhDc0owTHU2QmtmSkZ3Yk" TargetMode="External"/><Relationship Id="rId558" Type="http://schemas.openxmlformats.org/officeDocument/2006/relationships/hyperlink" Target="https://news.google.com/rss/articles/CBMijAFBVV95cUxNTnRxanA1NkxRYjNoUjlnekp3M0tGQkVSQ1NCc1lXaEd0c0NWa3p0bWxnSHNpLXNXWlFwVXNZaVkxRlJfS0JWQWVITkx5N3IxWnhmbHVDTHl2b3gyYWVGRFFCTEkxMW1pQ0N4YUUzckZkSGJ3bjUxOVl4N0ptQ2l4UEJ6ekVXVTB0b0NKUA?oc=5" TargetMode="External"/><Relationship Id="rId559" Type="http://schemas.openxmlformats.org/officeDocument/2006/relationships/hyperlink" Target="https://news.google.com/rss/articles/CBMidEFVX3lxTE84NXVab3E5UTVlc3hZTzVZaEdJTTM4NUJubG5CaWRSUUcycDFmenY2S3ctM0lyMXB3UG9BODNxQm1uWlNEejNjVW5mYnRIZFF0dVljcjNtcTBxU1F3a1I4RlJXazlPS3B4ZTRGQkdQVkhKWm5Y?oc=5" TargetMode="External"/><Relationship Id="rId560" Type="http://schemas.openxmlformats.org/officeDocument/2006/relationships/hyperlink" Target="https://news.google.com/rss/articles/CBMi2AFBVV95cUxQdFRNYThpS2tkT2RTT3A1eXJCNVo3eDcxMWpyekZJQW03T2ZiYzRBbWpIQVJwa202eUNtdkxuaWdlX1ZfemF1OGstdUtReW5zT1ZlV3A1MFdQRjNadldPRDh6Uy1IbEpnRjF3QkpZbEdXckRKLU5CTDdVRkdGSjhCdXZSNERIUXhKV2h1YkVjUVhtVi1iUC1TbDJjbXlPZU" TargetMode="External"/><Relationship Id="rId561" Type="http://schemas.openxmlformats.org/officeDocument/2006/relationships/hyperlink" Target="https://news.google.com/rss/articles/CBMiYEFVX3lxTE5rbS0yc0NkN2c3Mm5jY1ZFMUstejR3bFh0eGRzZ1Yxd2FkVHRXN3RoR0h5X21PSGM0T1lESGpKREU5VTdZZi1remVFUnhPZ0NUcTlhcExiTlF4VE9tUHlYdQ?oc=5" TargetMode="External"/><Relationship Id="rId562" Type="http://schemas.openxmlformats.org/officeDocument/2006/relationships/hyperlink" Target="https://news.google.com/rss/articles/CBMickFVX3lxTE9TNzFIODBSN2tWSzlMNzdRQ0NJNFlTRnpEYWlHaGdyMXlqaGc0SlFuc2tmNy1iVWgxdFNQVHFrQUIyRE1ZOW54OGlsRFVEU1lGWXhrZlRFVDgxUGdIcTlIWVJyUFo1UkxzZzJ0YXIwcGRpZw?oc=5" TargetMode="External"/><Relationship Id="rId563" Type="http://schemas.openxmlformats.org/officeDocument/2006/relationships/hyperlink" Target="https://news.google.com/rss/articles/CBMiyAFBVV95cUxNWDdQYzAzV2xCT01ySzlta0QyNEZYS2g2MUpqNGZ3a0VlRTIzaXdpQ1ByaXVVQUhIRXN6ZmxkeEVYYW1uazBMWlFKZHVWTUEwbjhncXd4UmVJWFV2czNfbzRGVjZRa2tWMVhGOHNDdW1jck9fVmc5OGZfanRXRFhnRThSblo4RVRwUTlnNVp6WjVMUXZnZjBTNzdMak5GWF" TargetMode="External"/><Relationship Id="rId564" Type="http://schemas.openxmlformats.org/officeDocument/2006/relationships/hyperlink" Target="https://news.google.com/rss/articles/CBMiuAFBVV95cUxOMG5GSFFYSzhtMTRLUGszb0VJdzZOLUwwbW1Qc1N5NGNaSlhrck51WUlYeGREbEdZQUt4YjZhclZYcUZTWDN1LTM5YXZIRndfaVpxbGRLbVdYS3M1REsxdmprM0NCbmxtbzhjY0xXeEQtM2tWdTM2MmlSbHR1aDFvcG9acXFWRkF0WE1XUzROU2xuQmxMeFA3cFRwclZGRi" TargetMode="External"/><Relationship Id="rId565" Type="http://schemas.openxmlformats.org/officeDocument/2006/relationships/hyperlink" Target="https://news.google.com/rss/articles/CBMiYkFVX3lxTFBzUDRDdm1uNHVqRjBXekhMSzlUY05hYXBSblpzdG1tMmRIbVZWX1loYU5Jc0sxREtxN2ZhN3FiTXc1eXc0LXp3NTVrMC0ybVF3TVNOWFduOGJrRTIxZGNjMDdn?oc=5" TargetMode="External"/><Relationship Id="rId566" Type="http://schemas.openxmlformats.org/officeDocument/2006/relationships/hyperlink" Target="https://news.google.com/rss/articles/CBMirwFBVV95cUxPdDM2MlFQOEtJZTRqRlY2cnUxTDVIaHJzYkd1d1FYM3NHZnFrOUEycGg1emNQaElGUFZweU8xcXJ2YVNZVmczNXpCSFZHYVFVZUVKR19ZWkxrbUNRTGFQM09JUWRRSTBVclc3dFpBNGJUajVZdGh1RzlmXzJzZU1pOWlyaV80SjVXRFVvZWZwUFQ5bUxKRC1ETlMzTGc0bH" TargetMode="External"/><Relationship Id="rId567" Type="http://schemas.openxmlformats.org/officeDocument/2006/relationships/hyperlink" Target="https://news.google.com/rss/articles/CBMidEFVX3lxTFBQY2RqN0RBa1dvMmNsS1lUVUFHc2c1U1I4SnBCbmg0U1BtYXZpVDl4RnBDTUhSVnh3THFZMWhydGNjdVJrSjVlTHZVVF9sWFVuVVVMcXVfUkdLQVVzU3JsLVZUbXlPMGZrT0U3eUota1JsOFNY?oc=5" TargetMode="External"/><Relationship Id="rId568" Type="http://schemas.openxmlformats.org/officeDocument/2006/relationships/hyperlink" Target="https://news.google.com/rss/articles/CBMid0FVX3lxTE0ya1JtYWZoeHAyR0V6OWc5dDZ5RFJ1QXdZTWwxVmVRRG9BUUx3WlZuUXVWd2RmaGtkX2kyUDk5bHhIS2pfdnVwZnR4WFdWNWhQZTFZdDkzLTJXYjM3a0NLQVdTZXY3M0FRbnh3WG1VTm85aXNmYi1V?oc=5" TargetMode="External"/><Relationship Id="rId569" Type="http://schemas.openxmlformats.org/officeDocument/2006/relationships/hyperlink" Target="https://news.google.com/rss/articles/CBMivwFBVV95cUxOZ2xoa2wtOVE4UGVWZVBETXprUU40UC1XMUtRUUpwaW9vWkQ1OHgxNTZNdUduSDRna3J4N0QxVVNkZ1RTQlkxZWNfY2RQY21LRnN2dVRBY01ZMXZ1RF9QNU5IbHJXMnJWOFlBaE55NV9kc2NwaklISkdCeVRxTlV2VDdsWGtneUQwdHNmdlFWRDJjUWo1MW9Hck1vVVRrSU" TargetMode="External"/><Relationship Id="rId570" Type="http://schemas.openxmlformats.org/officeDocument/2006/relationships/hyperlink" Target="https://news.google.com/rss/articles/CBMilgFBVV95cUxNUHQ2Rkx5N3NLTG5DeE5aYW5rYTNLNVJsR3BQeDBwenh1YlJrNWp1V0d1bnBKMUpHNXlnemJvRnFqNVFidU9mQjNDcE1tTjNGVWtoLUdpUDZZeVNvM0xwUVJEYVVjOS1YOTREdjZIRWpCYWhnOENEdHJjN1RvamNGZkhYOFpDeEJZSzYzMDVocW5Oa1NIYnc?oc=5" TargetMode="External"/><Relationship Id="rId571" Type="http://schemas.openxmlformats.org/officeDocument/2006/relationships/hyperlink" Target="https://news.google.com/rss/articles/CBMiZkFVX3lxTE9EZFNVRDBEaGx6eG54LWxRcERtaUYzUDZvUTVhVTdWVjA1Q2xsc21sbVIxRk5oejR6OTlHWGNOVXNTWTVJMDNWOWFyclR5a2pPblcwUlFUYkhKbTFHSXJURTlhY3RGdw?oc=5" TargetMode="External"/><Relationship Id="rId572" Type="http://schemas.openxmlformats.org/officeDocument/2006/relationships/hyperlink" Target="https://news.google.com/rss/articles/CBMizwFBVV95cUxNTmtHVnJmNnJYalRQdGFfcEc3VG9XX3VGOGZQeTFIX19BYUZESThQZ3F5QnNoUWhWdk14V3VtMkh0TlB3d1o5VFoySE1PZU1fdUU1WUtuN1VYcUtxaklGd1VQQ3dUU3B0UFFqMWF6eHRScUtsSTRkQmhGLW9oOGZjNldlU3dJY0dXUDZHcUxxanplOF9TMGRhS21NSVlvdV" TargetMode="External"/><Relationship Id="rId573" Type="http://schemas.openxmlformats.org/officeDocument/2006/relationships/hyperlink" Target="https://news.google.com/rss/articles/CBMiUEFVX3lxTE90UGpaVkR1d0Z3WGlRdTBLVy1zSUh4ODVtTHJkYS1rVG9KRTZQdEtzR0txMC1XSlR4STdaMXp0cEZPbFJ5c0pBaXpfNU5UaTlp?oc=5" TargetMode="External"/><Relationship Id="rId574" Type="http://schemas.openxmlformats.org/officeDocument/2006/relationships/hyperlink" Target="https://news.google.com/rss/articles/CBMirwFBVV95cUxQeTlyZ3ZqR2YxSl90UUhTLTZBTWRUYkh0Z1gyeXBtak1YN3FicjB1YmtkLTRnYUxJQUtaeVE2NXNSU0tSMGpGOFZTVHktTGY2dWFYMWUtWVI2emhGc2xSbDlXcnNlN2FQLTlUSXQ1Q2VvTk9RSWVHRWFtUEpva2FWdE1aeWQybFM2clV6M2UyYzJseVA3MzZkSGlpcXJ1bk" TargetMode="External"/><Relationship Id="rId575" Type="http://schemas.openxmlformats.org/officeDocument/2006/relationships/hyperlink" Target="https://news.google.com/rss/articles/CBMizwFBVV95cUxPeXRWTVBENlpLTW9Pb0dvSjBxbkxXVHFKbkZxdXVKTm1yeGFCZjByR1NLRVZOZkNvUWxPQ3IteWRjTFdkemJjeGVRZWJkU2FOaVJBeGJpSGVnX0d3TU1UV2F5bVhGRjViT2Q1TkRFQ0ZHdGNtQ2lKeWk3U2E2dUxRRVZOdm1ncFpxVzBVSXBTRlZPbG9mUnR4bzJ1VmpIZX" TargetMode="External"/><Relationship Id="rId576" Type="http://schemas.openxmlformats.org/officeDocument/2006/relationships/hyperlink" Target="https://news.google.com/rss/articles/CBMiX0FVX3lxTE5qbWNLdlhlV1JPRUhuTnBPSFBhdTZDLXhVeWw3ZGM0aFhiTENzZGM3azhuZzJDVkxseGV2b0JiZURlN0V0X2x6YVpiUmd4WDNfUU4yUldDLWNuNUVISXJr?oc=5" TargetMode="External"/><Relationship Id="rId577" Type="http://schemas.openxmlformats.org/officeDocument/2006/relationships/hyperlink" Target="https://news.google.com/rss/articles/CBMiY0FVX3lxTE83T09PSUEta01oSDVFd2hid2w4SnVJQy05N1p1ekZJY09SemVnelBuX1JTVXAyaWxCckRpTEZYaFhVb0JZMTl4WlVvMjVkck54cUhjd3ZweXl4TVBYSVZac0tYMA?oc=5" TargetMode="External"/><Relationship Id="rId578" Type="http://schemas.openxmlformats.org/officeDocument/2006/relationships/hyperlink" Target="https://news.google.com/rss/articles/CBMi4AFBVV95cUxQR2VldmV6aVBwckVrcDU3Smw0aUpTaFo4OUw3Rm44VHFiR3FKQ2g1NTRzbS1CNnRKdUFuclp6ZjNfUXpQTjMxTFdxYjBOY19aZjlxT0szMjQyaUszMjZWT1ljOUFnbkZHYnRtd0VDUnU4NU14QWJ2YXNIb3F2X0xvWTFuZGZjS201LTJPWjJYTEQxXzJCY3ZqaEZyR3c1d0" TargetMode="External"/><Relationship Id="rId579" Type="http://schemas.openxmlformats.org/officeDocument/2006/relationships/hyperlink" Target="https://news.google.com/rss/articles/CBMiUEFVX3lxTE8yNDhXRzVST0hiQVJVeUZGdzBZWHEyTWZYcnFXSE5DczRNSTVQQ2F0SkNfUEdlWW5oeFBoT1ppck1ROXR6X0hVRzFhUThJNFVT?oc=5" TargetMode="External"/><Relationship Id="rId580" Type="http://schemas.openxmlformats.org/officeDocument/2006/relationships/hyperlink" Target="https://news.google.com/rss/articles/CBMirwFBVV95cUxQeTlyZ3ZqR2YxSl90UUhTLTZBTWRUYkh0Z1gyeXBtak1YN3FicjB1YmtkLTRnYUxJQUtaeVE2NXNSU0tSMGpGOFZTVHktTGY2dWFYMWUtWVI2emhGc2xSbDlXcnNlN2FQLTlUSXQ1Q2VvTk9RSWVHRWFtUEpva2FWdE1aeWQybFM2clV6M2UyYzJseVA3MzZkSGlpcXJ1bk" TargetMode="External"/><Relationship Id="rId581" Type="http://schemas.openxmlformats.org/officeDocument/2006/relationships/hyperlink" Target="https://news.google.com/rss/articles/CBMidEFVX3lxTE8wYlY5blBreG0ybjMzRy10MmNxTTlHcjh5RWttcncxYXQ1SG5tZEl5dVhRdlVyN3dwRHNHZGRUbWlYaWpnaENTdzNqd2JaN3lCam1MQU10NXUzb2tZbjhEMGVYd0wwOHBwc3FYell2LU1NOU1W?oc=5" TargetMode="External"/><Relationship Id="rId582" Type="http://schemas.openxmlformats.org/officeDocument/2006/relationships/hyperlink" Target="https://news.google.com/rss/articles/CBMirAFBVV95cUxPWUhoM08zUWRFVjFaNXdBR2xvSVBIekFQOVJ6VlU0aFhPSEszVU5pZVZmbldFTloxT0ZXVVBpMGRIUVlsWWhPU296M0I1akFMNW9xSHZHOUNRZnBvT1N3RVZVMjczQ3d2eTlaRW5Pc3pyaXlPWFgxRklLdlBWMU1Tek54R0RMVWhrLVhhMzA0LU1JRXNoTlVFQVZDQmZURV" TargetMode="External"/><Relationship Id="rId583" Type="http://schemas.openxmlformats.org/officeDocument/2006/relationships/hyperlink" Target="https://news.google.com/rss/articles/CBMidEFVX3lxTFB6WV9NODA4TDdEZ1BGQnVrTjZ0Z0pIUE5aNmgzVThQSDhqQ3QxSXA4Vkh5Qk55c3pUMDhTbHJCdU9JSUhYVWxHRkQ3Skp5TnJvOUkybktTdm1xSzlJZU94SmUyWFBKbHBEdDF2alVZbDNrTkdC?oc=5" TargetMode="External"/><Relationship Id="rId584" Type="http://schemas.openxmlformats.org/officeDocument/2006/relationships/hyperlink" Target="https://news.google.com/rss/articles/CBMiYEFVX3lxTE1fYUMya3E0MGhrc3pkRHIwWk40UU5vWDV5MGJ6QXJrZC11Y1BfNnRucG50cUxKOVhGcUptNzBqMUoyNU9lV3ktenlrUkhrQ2E1YzFTaWptTGROa1RURXlhQQ?oc=5" TargetMode="External"/><Relationship Id="rId585" Type="http://schemas.openxmlformats.org/officeDocument/2006/relationships/hyperlink" Target="https://news.google.com/rss/articles/CBMilwFBVV95cUxNOHlydEVQUy0zLW16N1JtOG5VdXpIZjFVcHAyaDkzQTNKQWVlb09IcnBpTzhJYWtIcWNoRlBEbkpRS2FLUlJHcmc1UDhIbzE1RXVjSC0xRVZUTkV1dVkwZV82OHdSMmZINzNOZDVjVnprZDRjZFZVOWo1MjFQMTNibGliSm45eHIydDJZaVFydmY1dWkycW53?oc=5" TargetMode="External"/><Relationship Id="rId586" Type="http://schemas.openxmlformats.org/officeDocument/2006/relationships/hyperlink" Target="https://news.google.com/rss/articles/CBMiZEFVX3lxTFBSd0V4Ym16dklvUzktR21oZk9BR2VHNTUxdDVLbndqOTFia3JTWE9CZ1dMTkVUbU84X0RsbDQ1T18xRWh0RENHQ2g5NnBsZnlSWmVtN0ZIWGRQMnhjWXNnWHczeDk?oc=5" TargetMode="External"/><Relationship Id="rId587" Type="http://schemas.openxmlformats.org/officeDocument/2006/relationships/hyperlink" Target="https://news.google.com/rss/articles/CBMidEFVX3lxTE1XcUtMdXhmQUdKbVJrNzJvbTlLczZwSEVwcV8xX3QtX3k1TFZlRkxiQlhPaWdJWXZyakZvbnlFbF9kQ1F5MFpXYmJpQnNOSzRfSE96Rzg2R1laSFEtVTFHZXotN2ZYT1g5LTlGTXhqVkRjNE5I?oc=5" TargetMode="External"/><Relationship Id="rId588" Type="http://schemas.openxmlformats.org/officeDocument/2006/relationships/hyperlink" Target="https://news.google.com/rss/articles/CBMiYEFVX3lxTFBoS1UwSVA2SXNscFlmV3hXaDJfVzhrUFhLUGc0dUVLU2NWUEZYVEN2aUpQS1BXOUZXekFCZG1lUnhTYVVXR0h0SUJMd1hFVEJ1TnU1VjJFSkpOZmF4WWs2VA?oc=5" TargetMode="External"/><Relationship Id="rId589" Type="http://schemas.openxmlformats.org/officeDocument/2006/relationships/hyperlink" Target="https://news.google.com/rss/articles/CBMifEFVX3lxTFBhUVFveVpjT1BaTUVDR3RHTC1uVmRqbkd2ek8wWnhkV1c3a1VxTnlFUC1ZcGs4T2E5cmlNdTQyLTNidDNzV2pvcWlDX1JVSkswRmhXU05jajRkQ2c2N1hPNjFwSnZaN2o2dWhrQW5iM2Rwc3lVWmpXaHNCWVM?oc=5" TargetMode="External"/><Relationship Id="rId590" Type="http://schemas.openxmlformats.org/officeDocument/2006/relationships/hyperlink" Target="https://news.google.com/rss/articles/CBMibEFVX3lxTE9tVWY1SFdwZmFzZmxfVEswVDNKbVV0WVFuWXBTV1J2X0NJNmpGM2hoUEprcVUyc09FUjFNWjlEa3NMdkFzcm9rS1I4TW9ZUDZiUkRZTW1NaWxiLTZDTkFKaW5UVDQ4WVhIT3RvTQ?oc=5" TargetMode="External"/><Relationship Id="rId591" Type="http://schemas.openxmlformats.org/officeDocument/2006/relationships/hyperlink" Target="https://news.google.com/rss/articles/CBMiY0FVX3lxTE9kLVBXanRZV1lMSWhPNFllOXJVcnVBbUl1NkNvOHZCa05lWjR4alB1cllUb0ZXMVVhZjluR3pCZUNrWW9yc2Q3T1FUemZvaVIzcmxrLTVZT3YwSDlBZTZEUXdsYw?oc=5" TargetMode="External"/><Relationship Id="rId592" Type="http://schemas.openxmlformats.org/officeDocument/2006/relationships/hyperlink" Target="https://news.google.com/rss/articles/CBMitAFBVV95cUxOblFmMWJMeFZTZXZnRGZBU3pmanFIbl80UG1UMmF0MF9iY3lyWkdwR0NZa0lXYlBra3FQdHl5WHlYVEhhcnB5UGJPdkF1VWZCN2pPazJrZzhPT2xEbjJmSm1ndDR1RUtqSmRuMzE0WGpCLVBfRWR2Vk1CV3piZUpMWmNGSlJtclpsckxQVXlBZkV6QnZHNjF0TGVvcE8wST" TargetMode="External"/><Relationship Id="rId593" Type="http://schemas.openxmlformats.org/officeDocument/2006/relationships/hyperlink" Target="https://news.google.com/rss/articles/CBMic0FVX3lxTE9nTFRLTFFzY2dZMW9KQVZLNS00SDd4OUxFRDdhR1NDWjhGV0ltbkNMdHRJcjVseTE2c0tRNFhNLVVYMWhBaTYzVk1UQlZzSnNmby1ZWkRvWG01ekdDd3N4Y3hGa1Vaek04ek4yS0hqZmViQ1E?oc=5" TargetMode="External"/><Relationship Id="rId594" Type="http://schemas.openxmlformats.org/officeDocument/2006/relationships/hyperlink" Target="https://news.google.com/rss/articles/CBMiZkFVX3lxTFBEb21vLUtwRTVNbTlXdV9HMEJSMkZEcE02bHg3ejIwNGFqYWVkclB2SS1vZ29pY2toNllNMjRSb1BsUGFOTWFZWXQ1LU9JTldKTjBRZk1MOVRudEFlZC1ZMGJVN1VIdw?oc=5" TargetMode="External"/><Relationship Id="rId595" Type="http://schemas.openxmlformats.org/officeDocument/2006/relationships/hyperlink" Target="https://news.google.com/rss/articles/CBMi4wFBVV95cUxPRHJjaE81R2I0SXo4ejIxWTBWYWhES19hMmt6T0ZWeVIwZnhEbkhqblB6VHE3VlpId21DcWhJdXRhNlR6azRFbnh1c29naUNRaVhaR3VsM2FPdWllX3hlUVFHVURnREpjSzFTZnN5QjFlNEZKd2NHdU53R0xfbFdmN0QxSjIxcFhBYTV2bUtFUFRyUU5yNDB0eGVxcmQwZ1" TargetMode="External"/><Relationship Id="rId596" Type="http://schemas.openxmlformats.org/officeDocument/2006/relationships/hyperlink" Target="https://news.google.com/rss/articles/CBMiywFBVV95cUxNT1IwU0pCMDZXSHBHTWV1eUg2VnV2bGY1VXdrNDJsdUc5dTNabHBfeHo4M2lPTXBBV2RBX0Rnc2Z1YzlILTFxVHNSaHgxOWpQQzZJRS01eno1R1JNZjJzaWtKMzE4OUswZUV5bXFsTEpEY2FZb1hNaXp6ZW1QdHZhWFA5ekw5NjFNLS1iTEI5ZHFYbWZCNVNvRVNIa1h2dm" TargetMode="External"/><Relationship Id="rId597" Type="http://schemas.openxmlformats.org/officeDocument/2006/relationships/hyperlink" Target="https://news.google.com/rss/articles/CBMiZkFVX3lxTE5RWUhScklsUjJUZWcyZ1ZkMnU5RmdEajRSYzRQTWxtdmpkbFRvSkxnV05hN0l1TDROaEljcFJUQk9WU3RWUmVhM09TZHdaR3FDbnVmdGxEbFNjY2IxR19jR3hyX2lLQQ?oc=5" TargetMode="External"/><Relationship Id="rId598" Type="http://schemas.openxmlformats.org/officeDocument/2006/relationships/hyperlink" Target="https://news.google.com/rss/articles/CBMiekFVX3lxTE5CdGJHQ1MzV3N4cFktU3huSU5uUnJIX3E1MUh3SjdwWEEyMV9QdE9nY2hqOVBTXzlEN2R0bG4xdkxyLTZHZ0o0cTBEV2RQdWdpbkt6VjJVdWZ6dVBlVVhQMjNJcGIteGx0M2s3OXRzS0NtYnFrN0xSS1RB?oc=5" TargetMode="External"/><Relationship Id="rId599" Type="http://schemas.openxmlformats.org/officeDocument/2006/relationships/hyperlink" Target="https://news.google.com/rss/articles/CBMimgFBVV95cUxNcXh3OWo3VE83NVZvVTMzSVhDNjQydVQ2Z2JQS2xBUE9iWFJfZVp1bUV2VlFTdkRkUzVPbFFxbUNZdWtpQXF4VEExZktMSThKZUVPUllrY3llRkl5WDBYUjRhQ3dBS0dqa2dPQThyUXprYjlLQTI5WmxFUnBIS21ZdmNLTmxSV01odWM5QkhZanFQUzdvM184VHRR?oc=5" TargetMode="External"/><Relationship Id="rId600" Type="http://schemas.openxmlformats.org/officeDocument/2006/relationships/hyperlink" Target="https://news.google.com/rss/articles/CBMiUEFVX3lxTE0zRE1uR2hiOXFOeF9pXzRUZ2ZJZ3dXVnJjOWJVcUIycFc2dEdoc0taOUkyampHZUJJbE1teVR0SDJYcDhtWFU2UDQ1MU1zWXlu?oc=5" TargetMode="External"/><Relationship Id="rId601" Type="http://schemas.openxmlformats.org/officeDocument/2006/relationships/hyperlink" Target="https://news.google.com/rss/articles/CBMiZkFVX3lxTE5SVWhYZ1pPcDBVZjk1RllScnJsalNmS3FKZVpGOFhtMnJ6SjFjVGcyUWk2c211SmhESF9KQ3ZsUW5UX3c3NGV4UG9ZQ0NaX0tZRFZRd0FEVU1iMnNJenc2V2g2SjlHdw?oc=5" TargetMode="External"/><Relationship Id="rId602" Type="http://schemas.openxmlformats.org/officeDocument/2006/relationships/hyperlink" Target="https://news.google.com/rss/articles/CBMiYEFVX3lxTE5HdDRleWRHZHk5d2RYaVlKT1JndUV1bDQ0VlZnR1FKa3N5RTdWNmtGSlFCanBTdjU0Wnd5ckp5cDcyd1luTG56cHdkcURlaUo4RkhzOEU1ZWlWclBkTzIwNw?oc=5" TargetMode="External"/><Relationship Id="rId603" Type="http://schemas.openxmlformats.org/officeDocument/2006/relationships/hyperlink" Target="https://news.google.com/rss/articles/CBMiZEFVX3lxTFB6TExLYlhRQkpyeXo0V1BfZTVUd2U4YW9KdHE0YndkY1YwWC1PN1hCX2o4RjRuMWdsRm1uMmVsdTB0bkwzaWdJa2NGODBqak1RYVpGNnpLS2xHUFZCQzZPYUFkS0Q?oc=5" TargetMode="External"/><Relationship Id="rId604" Type="http://schemas.openxmlformats.org/officeDocument/2006/relationships/hyperlink" Target="https://news.google.com/rss/articles/CBMiZEFVX3lxTE5FSUVvWlNIOWh3b3NmMHlnMlU0VUphNDZyOXlBcVFVNFJCTDRkbzhSZjU0b3NHWnNIQzE0WU15ZmlCNmJmRGRtc2cwR0hTT2lST2VJbzV3UVFJUjgyV2hrdXBLT3M?oc=5" TargetMode="External"/><Relationship Id="rId605" Type="http://schemas.openxmlformats.org/officeDocument/2006/relationships/hyperlink" Target="https://news.google.com/rss/articles/CBMixAFBVV95cUxPX0N4YW1hWDNpYTVoU2xxQTZFR09WcjRzUnM4UzBIS1dXbl9fZTBRdVFxSno4enEyVmNFQ0Z0QXNlR05Qck02aXZqMHZ0bU5LdXBGTWsyUjgybk1vZWx6a09IRlhxZmFHcHN3cHBuc0p0YnBjMEtOWXVScE9oZXg1YnVXV3MzeUd6OWdXczZvdG5KTENQSG1xRTNDZ2FDcl" TargetMode="External"/><Relationship Id="rId606" Type="http://schemas.openxmlformats.org/officeDocument/2006/relationships/hyperlink" Target="https://news.google.com/rss/articles/CBMilAFBVV95cUxPVkhrYl9acjF5aWRCRnliWEZWQUNJbU5ST2V5M3hJZlQ2TzBMUU1mRmdiQWpzeDdXVVA0THRVYUhXMl9QLWZPbzc3ZnVNRFVqRU5BNkY3N0ZwbmlYOURTajh5b05PdDc0OGxISm50UW5kbEo5TGM4aE9NLUNuUWlEYzA0MFg5ZF9rcGw2VkJhUElJZjgy?oc=5" TargetMode="External"/><Relationship Id="rId607" Type="http://schemas.openxmlformats.org/officeDocument/2006/relationships/hyperlink" Target="https://news.google.com/rss/articles/CBMinwFBVV95cUxNOUpweUdDdnNvMHVXWG9qNkxYczVOOFZOS0lySXdVOFBrVHZYd1VUSE9pS053YzlVd0VYVExZWlFqMTFkV1M2b1ZERHoyNEtsS00yXzc4dzAzU2YzS3VTSDdwUmM2aENYczhBQTF2TWQwemtYSUJnRUMxVFY0Q25lZWk2dVVsSDV2RmxwZ25VQmR6ejh5Q21BRDNIM2U4aj" TargetMode="External"/><Relationship Id="rId608" Type="http://schemas.openxmlformats.org/officeDocument/2006/relationships/hyperlink" Target="https://news.google.com/rss/articles/CBMiZkFVX3lxTE1FcmdmR3JNVFlPZm0wZGtLb1dGSGc4Y2Y4b3pSXy02elFXQnJOeVBPUU81ZlJYTzNnTWI0dENWbmd0OFJ3N1F4N3RVbHI1UmZyZHFKbDRDY2F2bUFCNWM0Mng0ei1Odw?oc=5" TargetMode="External"/><Relationship Id="rId609" Type="http://schemas.openxmlformats.org/officeDocument/2006/relationships/hyperlink" Target="https://news.google.com/rss/articles/CBMidkFVX3lxTE42UTNuSnNNQ0QyMFpvWlNFOFZoNzNnSjRoOGtYODdmRUJWNFc4VlVCVHQ3eXp6ZURta2g2c3pFeTdPV1JSRWFNalRmRHFGcFZmTDhUbEwtQnlDVUR0cGYwZzFrUWREd3ZSQ2ZCR3NaeEVjQ1Bha1E?oc=5" TargetMode="External"/><Relationship Id="rId610" Type="http://schemas.openxmlformats.org/officeDocument/2006/relationships/hyperlink" Target="https://tw.tradingview.com/symbols/NASDAQ-AEP/news/" TargetMode="External"/><Relationship Id="rId611" Type="http://schemas.openxmlformats.org/officeDocument/2006/relationships/hyperlink" Target="https://news.google.com/rss/articles/CBMiZEFVX3lxTE9UQmlydDNzdDBsWjI4WENNWnV3UTdPXy1tRDhrX1hKWjQzQ1JBaHVMOTA2MEZTWGNrWDhfWERyUGd2YldiVE9qeDRCaVJNQjhRUHlMNGQxR0pwN0VuLWJWVkZ3V0M?oc=5" TargetMode="External"/><Relationship Id="rId612" Type="http://schemas.openxmlformats.org/officeDocument/2006/relationships/hyperlink" Target="https://news.google.com/rss/articles/CBMikwFBVV95cUxOZktCM1ZxelVxdGh4emUzcTJzZEtYUFJWbWQ1NEt4a19maENHTHZRUTdIN3JfVGdkR3UycGhTVWsyUTNMNFZtWktOUzVLYWdYU0c3V3U1d204ak5RMkVXNFNUZkJnc1BYd0V2OGdWSmlhQ2pESXlsS2E3cUFSRl93TnpTdWVNTmlmdmZuSHBnNzllSUk?oc=5" TargetMode="External"/><Relationship Id="rId613" Type="http://schemas.openxmlformats.org/officeDocument/2006/relationships/hyperlink" Target="https://news.google.com/rss/articles/CBMiowFBVV95cUxPVFVONXJpeDJYM2V4Qi0yTkNxcEttV3dxcDY3SHo4VmExZVlDMVhsc1JEd2R5Z2NVcDRSQ05wTjVYWlc4RW9uRnhpVDQtU0RLNjhiWDExenNadEtqX0pmUWp2eUtVV1lsTHNrVDYxbEZNTm5qZHR3WUFHYWh5WWxlWlZGSUhZNnlMSjE1UER0eTBfRzVTc2VuZlBfd1E3bl" TargetMode="External"/><Relationship Id="rId614" Type="http://schemas.openxmlformats.org/officeDocument/2006/relationships/hyperlink" Target="https://news.google.com/rss/articles/CBMijgFBVV95cUxQc0M0NkRCSXc1MkFLajZCVG14NS0ydk1xQWN2ckFmbm9jeXVONENGeThfRy1wLVhRcEFWUVk1VWhDaWM5dVlhTXRYak5hcTUyTGhNejFrajhaalJrbE5YVUhfOG9IMWY0SFRZbmFyM0R0TGg2T3E1VG5Jbi1lSXdKdmdNU1V5Vk12Z1EyWmxR?oc=5" TargetMode="External"/><Relationship Id="rId615" Type="http://schemas.openxmlformats.org/officeDocument/2006/relationships/hyperlink" Target="https://news.google.com/rss/articles/CBMiowFBVV95cUxPVFVONXJpeDJYM2V4Qi0yTkNxcEttV3dxcDY3SHo4VmExZVlDMVhsc1JEd2R5Z2NVcDRSQ05wTjVYWlc4RW9uRnhpVDQtU0RLNjhiWDExenNadEtqX0pmUWp2eUtVV1lsTHNrVDYxbEZNTm5qZHR3WUFHYWh5WWxlWlZGSUhZNnlMSjE1UER0eTBfRzVTc2VuZlBfd1E3bl" TargetMode="External"/><Relationship Id="rId616" Type="http://schemas.openxmlformats.org/officeDocument/2006/relationships/hyperlink" Target="https://news.google.com/rss/articles/CBMisgFBVV95cUxPMmFqU18tY1htU2J2bmduQzlUMUdxMVVjX0V3TGlqV0w4RlNMMjJyaHNpS0ZiWGl0TVM4Y2hmUFZ6SzdGUWIyNllYNkNsUms1RV9CMVVuOHRPUkJtMS1ma0dyVXlfX0xxamk5QmxBS1dXN0ZOS2ZRVWRfeVFjbHllclN2ak51WmhsRXo4NkdYX3dMYU9ZY1VSUU4zOXptTU" TargetMode="External"/><Relationship Id="rId617" Type="http://schemas.openxmlformats.org/officeDocument/2006/relationships/hyperlink" Target="https://news.google.com/rss/articles/CBMiZkFVX3lxTE9yNjVhT04tOVhEeWsyS1ZBNjBINkFYRjFERTM3MFRsU2pMczdWbzNFeHRJbERkRFVjQkVXMFEyYS16NjllZm9GdVZ4blZqQVdrM2pqYmFjeThtV054d1Bpd0xOREZiUQ?oc=5" TargetMode="External"/><Relationship Id="rId618" Type="http://schemas.openxmlformats.org/officeDocument/2006/relationships/hyperlink" Target="https://news.google.com/rss/articles/CBMidEFVX3lxTE5lVTA2c0hhZk1rMWVaQlduRjYyQnVMNEo2TDBzNFJtZDdvaXBDQ2NUN3ZTM2J6WEwwN0F4aEFOM0tuSTRsWFBnbGRyRGpsRVRPenBkakVGWDNVR0xpTHY1OFB2ZUYxR3lzN1hNenNkNkwxa0VP?oc=5" TargetMode="External"/><Relationship Id="rId619" Type="http://schemas.openxmlformats.org/officeDocument/2006/relationships/hyperlink" Target="https://news.google.com/rss/articles/CBMi0AFBVV95cUxPNWF0blN3TEpSNy1BREtLcEg4VTZqTS1hYVJpaktVamNYay1iNlFQU0tOT0lJV1FxYkp6UGVQdXBDb2U1aWRIZ0FMcC1qa0lrMVgyMWVzVnRsYkE3WS1qSmwtZnFqN1U4d2Ffd2JBOWdmaHFpYzZNLVFlUGh6TFVONGtJdmpOUEwxMXU5eXZ1VndlWU82ek92aDVveTh4YW" TargetMode="External"/><Relationship Id="rId620" Type="http://schemas.openxmlformats.org/officeDocument/2006/relationships/hyperlink" Target="https://news.google.com/rss/articles/CBMiZEFVX3lxTE53SGhlQ2l4dU5SNjk4MURyXzBkWFlGYWVMUGszYzJsdDd4Ql85S0dCQ1pOZHFQWWxpRFVjSHhWcGR4WEdQa2N4aVpQdTM5WnhIMkY1amxwS2Z0RzB6TWlfeGhDU18?oc=5" TargetMode="External"/><Relationship Id="rId621" Type="http://schemas.openxmlformats.org/officeDocument/2006/relationships/hyperlink" Target="https://news.google.com/rss/articles/CBMiZEFVX3lxTFBkQ0VKdFIzOTZ0M1l6OXRISjMza1dUcGNmMUxzTl9fR2k0Y0ROcEpBazBOb2tZT2lzU3lBR2RERU9UNWVueFlrUmwzbVg0bUlKRHhaLTdURnJtMTJQYVVLQWU1ZkU?oc=5" TargetMode="External"/><Relationship Id="rId622" Type="http://schemas.openxmlformats.org/officeDocument/2006/relationships/hyperlink" Target="https://news.google.com/rss/articles/CBMiZkFVX3lxTE5SOXhBZ1AyVDdPaVlRYmJlMFRab2lwMHlwYnJ4aGVtdDZHNEFXTENZVi0tRENaSXBxak1rcXZqaXhnUkVTd3VVZnBDYjQtU0tLTDlMakFMYzhzN1dJb3dMamtsV1FIZw?oc=5" TargetMode="External"/><Relationship Id="rId623" Type="http://schemas.openxmlformats.org/officeDocument/2006/relationships/hyperlink" Target="https://news.google.com/rss/articles/CBMiZkFVX3lxTE9rYktGNjNwcWlZUy1LZnAyY0c2ZjZRTjhWanVRT20zZm42bmRCejNlWHB1YmlfRDRQSms4RU5naDRlSExybHFWNlpOenE5cHFyZjhtcVZHMjZzZ082dG1GWmpoWUUyQQ?oc=5" TargetMode="External"/><Relationship Id="rId624" Type="http://schemas.openxmlformats.org/officeDocument/2006/relationships/hyperlink" Target="https://news.google.com/rss/articles/CBMieEFVX3lxTE9VMlQ0dWplc2lmb3loSEdXeFNvVEFnb2JZaE9hc25aZnB3akUyRDJqaC0ySWN0UXk5Z0RJTDl2R1ZvWTlZZEpMcWRRYVQzWXdNcTFCbnZ4VUF3NGtOSUJPR0U4VjVwS1IwY1pVRDFkLTU2Y09ST1dWaQ?oc=5" TargetMode="External"/><Relationship Id="rId625" Type="http://schemas.openxmlformats.org/officeDocument/2006/relationships/hyperlink" Target="https://news.google.com/rss/articles/CBMiWEFVX3lxTE9NdEMyb2VTTThaRm5uc043NzBTaTh0THlzeVR2ajVMS09ZVlEyQmZGT1dLcnZNa2NYLUFIeXBOOHZoWGh6TFRmb2VkWVRWcUxFOEFtbjBXX0Y?oc=5" TargetMode="External"/><Relationship Id="rId626" Type="http://schemas.openxmlformats.org/officeDocument/2006/relationships/hyperlink" Target="https://tw.tradingview.com/symbols/NASDAQ-EQIX/news/" TargetMode="External"/><Relationship Id="rId627" Type="http://schemas.openxmlformats.org/officeDocument/2006/relationships/hyperlink" Target="https://news.google.com/rss/articles/CBMiggFBVV95cUxQQVFETW56blNFazhXbC1Sc19sNFlZZEtvNlVoY0xnSEpCYXRfaEZ3UGx0cXlmdHJYV0VaSENVel9nR3B1MzdITHcxTEoyeFpLMkc1d1Nlb0c2SGxtbFRra1hDRUN1SEJzUkdJRjBKTTQ1UzVwdGVvTUJEeVVJamQ4Wm93?oc=5" TargetMode="External"/><Relationship Id="rId628" Type="http://schemas.openxmlformats.org/officeDocument/2006/relationships/hyperlink" Target="https://news.google.com/rss/articles/CBMi4AFBVV95cUxQc2tjc0h3S2NyREFhNTR0Z29OeWdMODBVVlRIOTJ3a3BfSy1yNzB4QUZXdGVZY1g2VUk2QmVTdm5CTFZsMDF5bEZzQUd1YWFnQU9KNld4c2tVMVdOQXU3QmFCZUpMUy1ualc0ZnBLbWplZFk4QXNHZ0RTTnVHS0N0TFZ6T2szVDVPZE5Ub2pmaDU4MjJMU0V0M2c4SnRMVz" TargetMode="External"/><Relationship Id="rId629" Type="http://schemas.openxmlformats.org/officeDocument/2006/relationships/hyperlink" Target="https://news.google.com/rss/articles/CBMic0FVX3lxTE5UZnVxR2hNdVFrSUgwdldTaTJPeDdqQU1VckZicThHVE5jbGprZDNwaE5taFg3NlZqV1ZlTUJhMnJkMkRULXIxVUk3VmpKeXozeVJPajh1ZmdxcFg1OGV2SHlrRS14UTRCYWRhM0ROTkN1SWc?oc=5" TargetMode="External"/><Relationship Id="rId630" Type="http://schemas.openxmlformats.org/officeDocument/2006/relationships/hyperlink" Target="https://news.google.com/rss/articles/CBMiwwFBVV95cUxNaER3MmNuenFxRkxJbnFzMFR3T2UtaVNuT3p4UmJROUp5azFLWUl5X00weVhHOG1UcWc5Z18wSkpmQXRwbXM1QXlHUTZYZUFmWllSaHltM3NCQnFESEhEZGNQUDg4X2VfVGx5Q2g0YkZNVzZ4WnJReDBZVmNYR3FaX2kteWNaeXBhMy1sbHY1NmZRSURqdEZBdnMtX1FpYm" TargetMode="External"/><Relationship Id="rId631" Type="http://schemas.openxmlformats.org/officeDocument/2006/relationships/hyperlink" Target="https://news.google.com/rss/articles/CBMidkFVX3lxTE1MZlNrbVhhci1IYjlkb1R4aS16LXhLV01nZGxCb29FSUl5Z1JGTFNmSlo3enpIX1NRNDhsaGU1N2Q3dmtFYnB1RE5NS3RIQ2ttTXV4a3FKbnV6QnQySmlKd0MxSkxCTDZjd1NEUkp1SlZZekhSWnc?oc=5" TargetMode="External"/><Relationship Id="rId632" Type="http://schemas.openxmlformats.org/officeDocument/2006/relationships/hyperlink" Target="https://news.google.com/rss/articles/CBMiZkFVX3lxTFBIUldabE1IdHRoMFZpVGNEYzBQSlJQNzhLMEN4YmNyb0pROG5GampWQWdYaFA1YTlVM1E3ZjdZZUVtOUJQWjZ1Mk5kVER5N2lLWl9vaHNGbUNWVExVUFVocEhITG5FUQ?oc=5" TargetMode="External"/><Relationship Id="rId633" Type="http://schemas.openxmlformats.org/officeDocument/2006/relationships/hyperlink" Target="https://news.google.com/rss/articles/CBMiZkFVX3lxTE1yYi1oLUpyTVgzNFZKTDNGNmxnbzVFVWNuSGNqT3hmUmJJMjRPLUc1aXVJOXRFb1RCajBmbjdRLVZTYU9hLXo0R3oyTmNpc1VZWjhlVkVoWlgyRy1DeVRBR21iY0dZUQ?oc=5" TargetMode="External"/><Relationship Id="rId634" Type="http://schemas.openxmlformats.org/officeDocument/2006/relationships/hyperlink" Target="https://news.google.com/rss/articles/CBMiZEFVX3lxTFBZdXNFeDc4dzJDc2lZc2poYkZBekliakNTeGZOUUhsc2ZVTERfY3AwMVdDNVJOWTBPUHNhTGpaS3hrYmxXQWJJU1NCUURDa0JodkpGbTAzU2hUc3Y2NXVOdTdTdmo?oc=5" TargetMode="External"/><Relationship Id="rId635" Type="http://schemas.openxmlformats.org/officeDocument/2006/relationships/hyperlink" Target="https://news.google.com/rss/articles/CBMiZkFVX3lxTE9hbFNiaUhrSURmWENBLUh5SHpxVEltZWdCejFoQjF1aDNPYnBaMmJQN3JDZFVsYWpfZjNjUlVkb09hU20xOVhkekZ6ZEdhSTdwX25xSElydG0tWF9RRzFoY2JKU1hNdw?oc=5" TargetMode="External"/><Relationship Id="rId636" Type="http://schemas.openxmlformats.org/officeDocument/2006/relationships/hyperlink" Target="https://news.google.com/rss/articles/CBMiZEFVX3lxTE9SdW9RSDhIeXVIUnAtdXZXZzNMTUtJeW5EY3k4S2gwZ3VMemJwSTZJR082QjdFcmNPdlpzNXN0SDU3OEZtYmc4Vjk0aXNLTVMzMUE2dEc1azh3aTAyM1Q1NUcxcHk?oc=5" TargetMode="External"/><Relationship Id="rId637" Type="http://schemas.openxmlformats.org/officeDocument/2006/relationships/hyperlink" Target="https://news.google.com/rss/articles/CBMimgFBVV95cUxPM1hmTEtCa3RaYUJfNlhTaXlzWUhaRVVnQjEwVnFsOVR2MWxMck1MZF9CV3J4YVJDYV96NlptclBDMmluV3JWY011WDg4VnVoS1o0T0hhb3hMZ2NYalBJNE5XOXotc0dNWWRJY0dUb3BrNkhfdkdoMWxVVFZKR3hWcFB6cERPNFNTRFZBdDhDYXRLWjhKOXU1a1NR?oc=5" TargetMode="External"/><Relationship Id="rId638" Type="http://schemas.openxmlformats.org/officeDocument/2006/relationships/hyperlink" Target="https://news.google.com/rss/articles/CBMiZEFVX3lxTE5YRndmak00Ujk4bC0zVy1nd2dfUVdzWGVXS2hoSFdKYi1aZmRPTjQyUGJHT0dldE1lT2dkQkdpVjhRM002bHhXMXNIOGFoT1lTS1VrNzllYzA0Ry14ME1vVVZ3Q1A?oc=5" TargetMode="External"/><Relationship Id="rId639" Type="http://schemas.openxmlformats.org/officeDocument/2006/relationships/hyperlink" Target="https://news.google.com/rss/articles/CBMiZEFVX3lxTE51bk5NVGp1TjJGTzJCbEwzMHhVZWk5OG1NNVlsUVhBN08yQV9xVFB1am9YWlY1dmZMckFYd0lFT2EzdHNKdjdhWXBMTXJwQ1ZYeUNnY0FQUnhhQmd3YURnRWxtX3A?oc=5" TargetMode="External"/><Relationship Id="rId640" Type="http://schemas.openxmlformats.org/officeDocument/2006/relationships/hyperlink" Target="https://news.google.com/rss/articles/CBMixgFBVV95cUxNZzFMOWlhdlczQVBOeFBqcndCblBvOC1wdF9YbEM0UldnZWtaTXFWNnI2UnJmN3RJRFdyNW9vTXBiekJiR1dzOVozODZ4QW1SMjBRdzZsN2w4cU8yQnVWZjVJS2F2U3BTaGJxZS1VeTFNS3NacXNQRlROcmNOVTVUZm8zckNwd2dtN2RnNjZ4ZWlERHRLMXFFS3JiQnZ3a1" TargetMode="External"/><Relationship Id="rId641" Type="http://schemas.openxmlformats.org/officeDocument/2006/relationships/hyperlink" Target="https://news.google.com/rss/articles/CBMiZEFVX3lxTE1mYmJyLU84WlA1ZGsyVXhTbEJzc2cyNnhHWU1LRnYxbEE0ZXgyVVlFQnU5cDNxTVJoWkpQZnZtaUo4OHp5TUZ1eU9GM0xnZFFDSGxPZnRHODBTTVE5U1dlVTNoV3Q?oc=5" TargetMode="External"/><Relationship Id="rId642" Type="http://schemas.openxmlformats.org/officeDocument/2006/relationships/hyperlink" Target="https://news.google.com/rss/articles/CBMirwFBVV95cUxOWl9tV0NrVHB1MVduZHFoYk9hdnNyUG1POTdqdFI3THVwVWl3RkVYQ1RUbzRRUm9tZ21pX1JTSy1Sb1BCbkx2ZkYwanNJRzZ5NlMzYm1ZXzBqZDN5c2RxMUZvbnYzd2E5LWZ5emVBdUNDVXJsUFpsREVDekIzN3Z0VGd3ZGhIRF92ak9DNWJ2d25YWFZiX1k2UnFRSkZSYU" TargetMode="External"/><Relationship Id="rId643" Type="http://schemas.openxmlformats.org/officeDocument/2006/relationships/hyperlink" Target="https://news.google.com/rss/articles/CBMiZkFVX3lxTE5kRnJkMGlzVU9VTjV2QUxRQWEzVUs2TzVPZW14LTBkYm5ndlI0c0QtR3VRNTJJS25xRlJxUzBzWGg5LVZBc2ZNdTRFRHppWENNU3QyZVNvbDc2UVRkOGt3ejREcmIxdw?oc=5" TargetMode="External"/><Relationship Id="rId644" Type="http://schemas.openxmlformats.org/officeDocument/2006/relationships/hyperlink" Target="https://news.google.com/rss/articles/CBMiYEFVX3lxTFBSbHhMVDV0ZFRrWWlFS2I2dk5tOXpubmItdHNnaGpia1hkUTl2eDBnbGhtV1RyYmRjcHdQTzRFYlFhWUNVTlJhay1WelY2X0I0Z25RMGZCSE1adGc5SUpzLQ?oc=5" TargetMode="External"/><Relationship Id="rId645" Type="http://schemas.openxmlformats.org/officeDocument/2006/relationships/hyperlink" Target="https://news.google.com/rss/articles/CBMiZEFVX3lxTFB6dUVFQnYzNUNkZXk4cjZZLVRtVjJWbWRoQ0VtTWZwbkZDRHVOOC1NdlZ3TDRyeHJobmZtRDlNTVBhdGFDbXVGUFpYamVYYWNYeGxHTXRHa1NIdmZzdGRPdHd1ams?oc=5" TargetMode="External"/><Relationship Id="rId646" Type="http://schemas.openxmlformats.org/officeDocument/2006/relationships/hyperlink" Target="https://news.google.com/rss/articles/CBMiT0FVX3lxTE9OZEtkTlg1WXBhQjlkLS1sLWNVN0ZpWXE5Rm1pejJROThZZEN5RUcyRldSRXNqTUVEalN4ZWhObl9BZE5hVzA0YnhpNW5QdWs?oc=5" TargetMode="External"/><Relationship Id="rId647" Type="http://schemas.openxmlformats.org/officeDocument/2006/relationships/hyperlink" Target="https://news.google.com/rss/articles/CBMiZEFVX3lxTE1xYkpfS2pXX01UMkZtd1gxeDVVZmVGTlY4ZVhvX1puVXd3SHJfcFByU0dwa0hyNW94MEcydFlRM0NOQ2luOFNGVWp2bjNIQVAxVG9BdmVER2JBdDdoQ21qYjhRdG8?oc=5" TargetMode="External"/><Relationship Id="rId648" Type="http://schemas.openxmlformats.org/officeDocument/2006/relationships/hyperlink" Target="https://news.google.com/rss/articles/CBMiZkFVX3lxTE1oWVpXRE1pUlc3R3k5T0x6eXJ3UWtpUkNjc1JyVWxvazhjRVliRkd4VFYtMkJGdGVxUFNocU4tejl2c2oyanprcmZCeEgxbFgwZnBZTEUyQkJIWGN4bDJtdUJUSEJxUQ?oc=5" TargetMode="External"/><Relationship Id="rId649" Type="http://schemas.openxmlformats.org/officeDocument/2006/relationships/hyperlink" Target="https://news.google.com/rss/articles/CBMijgFBVV95cUxNdk81YUltYlZuR2MwUHMxS19zUmtyVHZEODY1Y2JNRkI3SDFFdTlVMDJDbGZrQXNDUzJUbHFNVXVzS0I3Zlh2c09JY0Y1bHhKVlRON3pDVmFWSkhFWS1YXzJBSjN6MHRDd0JSSk9iekZLOGg3XzJIbGlDdWJHNWxRNmJrSERFbG5yVkhQRk1B?oc=5" TargetMode="External"/><Relationship Id="rId650" Type="http://schemas.openxmlformats.org/officeDocument/2006/relationships/hyperlink" Target="https://news.google.com/rss/articles/CBMiZkFVX3lxTE5HYnBZMnEweTRyNldHWU1yRVRJeC1fTXNfTHp2c1B6d1dPMkNpVEVyUjNIUWcySHR6MlFTTW82UnRtb3VENF9lLWhJV3hTVHR5alVRTFk0MzAxeEtscmFoOEJzZjByUQ?oc=5" TargetMode="External"/><Relationship Id="rId651" Type="http://schemas.openxmlformats.org/officeDocument/2006/relationships/hyperlink" Target="https://news.google.com/rss/articles/CBMiZkFVX3lxTE9Lb1UxYnNXMmo0Z1pVZElSLXVNR1lDY1hGWDJlelkxRXcybzJjWUFfeUtkZW96QXpIMUIwMFBSTmZPUmNRa1pNc1lIQTJNREFFaUVLbm9WenBONGZtZjJKSXhNMjhCUQ?oc=5" TargetMode="External"/><Relationship Id="rId652" Type="http://schemas.openxmlformats.org/officeDocument/2006/relationships/hyperlink" Target="https://news.google.com/rss/articles/CBMiX0FVX3lxTE1TTnJ5X194dE5IajlNcEh4NjJSdnN5QTFlbXlaak1KejJIdmZJMjFnOHB0QWtLY0tmZWh0cmRxbGZWRXlqOW40VkpHczFLYmdFaHFrUTZZS3VOUjVtbldJ?oc=5" TargetMode="External"/><Relationship Id="rId653" Type="http://schemas.openxmlformats.org/officeDocument/2006/relationships/hyperlink" Target="https://news.google.com/rss/articles/CBMiZkFVX3lxTE1hdTI3TDdHaG50MjcteGd0Mm5HOUcwdEh4eVVDekFud1ZtYWdMQjlvRlpFQ1Z3OUFISkRUNTJ2LTR1T21jWHZPMndTRzV4V21mNnhTd2U2ZTdnODlNdVprMDdSOHF3QQ?oc=5" TargetMode="External"/><Relationship Id="rId654" Type="http://schemas.openxmlformats.org/officeDocument/2006/relationships/hyperlink" Target="https://news.google.com/rss/articles/CBMiZkFVX3lxTFBQUmpwNlJNcU9naVllaVdjOHljTUlmdTFNa080d1B0ZXRudi1iOVQzWjhGM2h3bjJqU1ZiOEloaUwycTNuOUJXRG91LVNKQlY4NEZYUnhzUTNIUlpUX0wyMmM5dnI5UQ?oc=5" TargetMode="External"/><Relationship Id="rId655" Type="http://schemas.openxmlformats.org/officeDocument/2006/relationships/hyperlink" Target="https://news.google.com/rss/articles/CBMihgFBVV95cUxPR2RwQ3g5RG43MTk5U2w4Ymg1YzdCZTlpUlROSVVMRWwxLWg0UEQwaWhkNEthMGJhMkN1Q0FKMUZGRmhIU2xmS1FPbXFSMVJBQlFXTXItMVFvSHdCWGx3U0M3d2pJRldCUXY3QTd4VjNFSzE4d3phQW5iT3lKYU5iZldXSVJ1QQ?oc=5" TargetMode="External"/><Relationship Id="rId656" Type="http://schemas.openxmlformats.org/officeDocument/2006/relationships/hyperlink" Target="https://news.google.com/rss/articles/CBMiYEFVX3lxTFBwaGtyVnFEVDBuVXRJUTZSOU5CNk9OeXBvcGlMc1lhbWs2RV9ucWVTZDEwYm1rS295clczdEJuWjUxbXBjWUc5RXhoczAycVBpem9IVVJFTm5lbGMyQ2hSZQ?oc=5" TargetMode="External"/><Relationship Id="rId657" Type="http://schemas.openxmlformats.org/officeDocument/2006/relationships/hyperlink" Target="https://news.google.com/rss/articles/CBMiZkFVX3lxTE1pWnRRSERPanNvUnhWVW9WcjY3MUs2VTVVcFNXeks0Q2tTNjg3a1FndmtkaEJwTlJIejM1R0tLRERwTzN0cEJtTEVVVzE5ZVBCZElTZV9UVkJQZkZVUlNuTjdoQUpQZw?oc=5" TargetMode="External"/><Relationship Id="rId658" Type="http://schemas.openxmlformats.org/officeDocument/2006/relationships/hyperlink" Target="https://news.google.com/rss/articles/CBMidEFVX3lxTE5TM2dmejNrT2NDbFVEYUlIODBBXzViNDhETFZyV0VkTXZGdUl2NzV6Y0hwckdwS2IzWW0yRlF0U2ViMTlJN3gwTGg5NUZ1QkktX003VEZ4ZFlEaEJXVlYzNUVfYkVwWU5xUm9RZzE2dXJ3enQw?oc=5" TargetMode="External"/><Relationship Id="rId659" Type="http://schemas.openxmlformats.org/officeDocument/2006/relationships/hyperlink" Target="https://news.google.com/rss/articles/CBMiZEFVX3lxTE5fT1ZLbFdiLWRCYWxfN0RodGR0X1B5TGtxaGliZG02VFdrRV9qaUNvYjBNZmdjb2hNVW9aYVh4WTJiNlpLMGVqcEtIN2EzUGFnRzVFendPdnk2cmxWZmQ1MGtUejQ?oc=5" TargetMode="External"/><Relationship Id="rId660" Type="http://schemas.openxmlformats.org/officeDocument/2006/relationships/hyperlink" Target="https://news.google.com/rss/articles/CBMiUkFVX3lxTE9kUms4dmE2WTRBR1lpT2xKWnByeUlscWt1dEZNZ3BSc3BHMWtSd1JlVXpnVGIyemxlbVZNVFhtUi1wd1JsRHRmR0NxWXdnNjlmenc?oc=5" TargetMode="External"/><Relationship Id="rId661" Type="http://schemas.openxmlformats.org/officeDocument/2006/relationships/hyperlink" Target="https://news.google.com/rss/articles/CBMiZkFVX3lxTE9HTHlBMThteklmcFBlcmIxNWhGVENOdkRBSHU1Uno3dXFCY2ZoU3RCYks4dmltR1dtMmhZbDN1ZV9BSV9ETVRodmtZSzg2SjlHTU1mVVVyOWRPeGt5MHhyYnkzVlVpdw?oc=5" TargetMode="External"/><Relationship Id="rId662" Type="http://schemas.openxmlformats.org/officeDocument/2006/relationships/hyperlink" Target="https://news.google.com/rss/articles/CBMiZEFVX3lxTE5rb2lLa3EyTjNoTHlRbXBDOHRIWF9veG5jclg1aF95WG1Sc2hndWctMHAxQ1JkYTJZQktWMEJaS0VpZW9pR0VqeXJQWnR4Q1FpLVpfaEpEYWtVZjg1SmxGTVJHZGI?oc=5" TargetMode="External"/><Relationship Id="rId663" Type="http://schemas.openxmlformats.org/officeDocument/2006/relationships/hyperlink" Target="https://news.google.com/rss/articles/CBMiZEFVX3lxTE1jc3J2YnBIOXZueHVQVm1fdlJUV3VvaHpxUURUME5KZm1GaFJHaXk4ZFJHVmphaVk4UW5kTml5ZUVjWnpnenUzRnBvN05mMFFIdGdWMXBVSzdwUWVGOTdoRHhsYVU?oc=5" TargetMode="External"/><Relationship Id="rId664" Type="http://schemas.openxmlformats.org/officeDocument/2006/relationships/hyperlink" Target="https://news.google.com/rss/articles/CBMidEFVX3lxTE9YRlhJMV9kWUNjdE1GTzc4aTVsQW10bm5lQVJvYXlqNmxsbEFtSHlTS00wQWNrTC1ONEZRV3dSXzF1MGp2Z3NVT1NtMW1sOWhnejRhMUFTT29wcWQtdmN5OFJkR18zV2NoYjV5WGw0WG4yS0dj?oc=5" TargetMode="External"/><Relationship Id="rId665" Type="http://schemas.openxmlformats.org/officeDocument/2006/relationships/hyperlink" Target="https://news.google.com/rss/articles/CBMiZEFVX3lxTE9tX0gzXzVDV3o0S3NhcWRKNlF2dm5pZWM2eGhCMWp0dHNCN3MwaDNPY3h6RUZDNDI0bW1BcjdzSkpqeGhVdnFZb0ppZnpBWHY3bk41MDZDZ2ZnVWhFbmpHcWVkdDc?oc=5" TargetMode="External"/><Relationship Id="rId666" Type="http://schemas.openxmlformats.org/officeDocument/2006/relationships/hyperlink" Target="https://news.google.com/rss/articles/CBMirgFBVV95cUxNa1hhWDdtb1JSTkc3QkVoQS1UOW5yUWpIT09JOEpWckFIZmRJbXJoTzQ5MGdNMVdCSGFLMlJ3cnlFbHpzVm5YX0thX1JlSWFYQ0kzdE9XTlREQ3Q3TWdlcnZLSDRBQlFLQmUyaXlkRlh4T1FRLTJFOWtqZHl3TjBiVXB0cUplNjdzTEhkakNCajNWZG1VaTNsYzJhNUNTZk" TargetMode="External"/><Relationship Id="rId667" Type="http://schemas.openxmlformats.org/officeDocument/2006/relationships/hyperlink" Target="https://news.google.com/rss/articles/CBMiZEFVX3lxTE5DN0RWeVRyV2FfYnFHWWpXNHNDOHVVSDBBRUp2TFZMcGR6Z0lkRDE2bmlrUWpKdDdnWGNjeHhxMEpZdDZ2eVVCem1VOWphdkR6aUNCWEJ3ZjFDY1J0YzZQbVpmaWg?oc=5" TargetMode="External"/><Relationship Id="rId668" Type="http://schemas.openxmlformats.org/officeDocument/2006/relationships/hyperlink" Target="https://news.google.com/rss/articles/CBMiZEFVX3lxTE9sMlZTY29LUFphLVAyMnJXelEtVXRvWXE2M3ZiSldtenQ2cklmcWRUUE1sNjJDSWZnU05hMVUxTzR5NGhyb3d4dXFRV0ZCQ2xIazJWTEx2WTNCVGZKVjBMcUZsa3k?oc=5" TargetMode="External"/><Relationship Id="rId669" Type="http://schemas.openxmlformats.org/officeDocument/2006/relationships/hyperlink" Target="https://news.google.com/rss/articles/CBMiZkFVX3lxTFB5WmxIZ1hseXJjTWRZajZ0SDJJNDRkNS16eHJrbnFVM0FiV2R3REpYU0dvUmhBQmhVTjVrcThhNWdFQ3dtN0MzVjY5NUhIb1NQSDJUNTFpUG9hbWNCVXBRQkNUanhzdw?oc=5" TargetMode="External"/><Relationship Id="rId670" Type="http://schemas.openxmlformats.org/officeDocument/2006/relationships/hyperlink" Target="https://news.google.com/rss/articles/CBMiZkFVX3lxTFByeUFoSlJJTzNDOC1VTXVhaHBzN0F2bmMwbjdxTkF0MWdXa3JFMk9wWWt2cFZRQkxLVUlZY0Z5UVBYMFBETjBTS3J3RkZrZzhpS2NleG0wb2xvTThoaTY1ZWthQmxUZw?oc=5" TargetMode="External"/><Relationship Id="rId671" Type="http://schemas.openxmlformats.org/officeDocument/2006/relationships/hyperlink" Target="https://news.google.com/rss/articles/CBMiZkFVX3lxTFBOLUFWVzBFQUlMalZlSmpveU9VNVpEaW9tQnNsM09OQ2s5ZUxMU3dXNUdYU3o0WXFzaFpNcE05SWhRUXdpUXBpRkI4S3hEQ3dHQmt0Q2pBejE5d1V5anNIV0JzYnJJdw?oc=5" TargetMode="External"/><Relationship Id="rId672" Type="http://schemas.openxmlformats.org/officeDocument/2006/relationships/hyperlink" Target="https://news.google.com/rss/articles/CBMiZEFVX3lxTE43cDU3R1ZyUW5MNGM4R21sbUwtR3RubmdGU1loVXZLdFdLRDZfTmgydk9WblFFZVhRZHo5c1NDZWlUdVFKTC1MMy1PZEFZOEpMWVZBc2NjZ3pDRUo4TVRoa1BqSXA?oc=5" TargetMode="External"/><Relationship Id="rId673" Type="http://schemas.openxmlformats.org/officeDocument/2006/relationships/hyperlink" Target="https://news.google.com/rss/articles/CBMiZkFVX3lxTE9nV0FjSjNVQS0wV3RUSVZKWFlaLXpXTmR2R0lNQkRYYUlyV2FZN0R2T1J5R1VkNmhVbkRmUFM5UnlHcXZnVGtta0dZMWJFS0Via3pHblMxLU9vNndDa2pMV0E3R0Mtdw?oc=5" TargetMode="External"/><Relationship Id="rId674" Type="http://schemas.openxmlformats.org/officeDocument/2006/relationships/hyperlink" Target="https://news.google.com/rss/articles/CBMijgFBVV95cUxOSHp4aUk0eFJKZGpBajViVTQ0bUVZc3I2WGVBOXhKVzd1Q0RXYnFaRk9hb3VhX3habHMyeDlpNUozQ2lPcFk2bmQ1dFdYRGctTmV5d0M5a1pfb05FTUh0WHJWYy11RUt2VVRnTVpfbWg1TEpWalVpUFdlVUtuY1RvOXFrQ2JCUE14d1dvTnRR?oc=5" TargetMode="External"/><Relationship Id="rId675" Type="http://schemas.openxmlformats.org/officeDocument/2006/relationships/hyperlink" Target="https://news.google.com/rss/articles/CBMid0FVX3lxTE1TQ21qci1pMUxMaFItT3I1WjUtLTJkc0lvZVF0cEdiWVljWGtxZlRxSG8yUjhDT3NISThlVlZJbnRtcndqLVdicGhzYmNMb2M0VWxjRUNXR3FNTHNlOERKY05zOTNoZzQySldoMlA3YmpGemtIRlhJ?oc=5" TargetMode="External"/><Relationship Id="rId676" Type="http://schemas.openxmlformats.org/officeDocument/2006/relationships/hyperlink" Target="https://news.google.com/rss/articles/CBMiZEFVX3lxTFAyTERyLWVPbkNWWFFSY1R4NWNWSW9aOW5fbmhXZ2gwN2JzbE9FbVR4Si1ZVEFTbFh2OUM1ZUZORVdUMExua09rU2pZOXlCVnVNaU1zSG56UDd5SF9nLUUxeENrV2o?oc=5" TargetMode="External"/><Relationship Id="rId677" Type="http://schemas.openxmlformats.org/officeDocument/2006/relationships/hyperlink" Target="https://news.google.com/rss/articles/CBMiZkFVX3lxTE8yRVMybmg1ZXloVEJmcm1mZElXUTliWGJWWVBmT3RRb092MVFXZ2hxUnZVaHVLb19LY3dUd3dpc3psdDFiMkRTOXAzSm5rWG1Hc0hoQnJBa0ptdUwza2N5MXRoeDlKdw?oc=5" TargetMode="External"/><Relationship Id="rId678" Type="http://schemas.openxmlformats.org/officeDocument/2006/relationships/hyperlink" Target="https://news.google.com/rss/articles/CBMiZEFVX3lxTE15aG5qTF82UnpOV3FGdEFwdmt0SXdvanBLNXVnS3RDaUhqWVdRSGgzY0ZLam12VURCcllERnJ0RElHSTNncWRqOTdTbi1Hd1VKZC01TGc2QThvaTRuSVJGZmxQN0E?oc=5" TargetMode="External"/><Relationship Id="rId679" Type="http://schemas.openxmlformats.org/officeDocument/2006/relationships/hyperlink" Target="https://news.google.com/rss/articles/CBMiqAFBVV95cUxQYWFRcjJlZmR3M0tLdkljQ0xEV1NQelZ2VmExcVRIdVRNb0NZQkRDQzYtRzR1OURab19BZnhtc1VwekxHRmJfZ09iUkZUV2pxUU5kaGtQYXIzZElSbVc2ZUs5d2NxaWhDYy1pRmhJcEdPUzB1UUhjLVdnWFFhWWo2T0pCMU53T3YyaWpjaEkzbmZ3WVZIUG0ySFU4R2IyWX" TargetMode="External"/><Relationship Id="rId680" Type="http://schemas.openxmlformats.org/officeDocument/2006/relationships/hyperlink" Target="https://news.google.com/rss/articles/CBMiZEFVX3lxTE9qWHJMaXh2YVFFalRGMm1PVUNOa2ttRkpzYU5GeTJsRmxtem50UjREd09ORHJtaEc1MkYxRENNaXZLdEJyUWVqM2pBM3Q5NDZ6SmNNUzYtd1h3SlNpWnJpZk5KNFI?oc=5" TargetMode="External"/><Relationship Id="rId681" Type="http://schemas.openxmlformats.org/officeDocument/2006/relationships/hyperlink" Target="https://news.google.com/rss/articles/CBMiZkFVX3lxTFBHZlpkdmUtemNiNHJzUFFuRGdqZGF2Ni1JSGlrdkJiQVNKNi1KYVVoMWZKVzMyYk93c3JQUG1pVHVWcXRCZlEwQmZyWlBBSUhsNHhsdklieVE3d0xOMDA2NksxUjAxZw?oc=5" TargetMode="External"/><Relationship Id="rId682" Type="http://schemas.openxmlformats.org/officeDocument/2006/relationships/hyperlink" Target="https://news.google.com/rss/articles/CBMiZEFVX3lxTE5WN3JLX3NfcjdVS296YWFtaVpMbHFxMmlaYUpvYkxuQXcybGszdkhGTEdIeGlGMHA4OVJrYUZCZ1lLcnNuUDhJMUhCVkI1VnNSMm5hV1VITjRQOGZGUHplWE93dU4?oc=5" TargetMode="External"/><Relationship Id="rId683" Type="http://schemas.openxmlformats.org/officeDocument/2006/relationships/hyperlink" Target="https://news.google.com/rss/articles/CBMiUEFVX3lxTE1yN2lWSERMVWhNd0ZhZjZERkJncER4OWhzLVNYU19xYmRlZUdJRVNIcUI4MTVZRFJUN3E4MGxKR3VQU19Jak1EODhqb3RsVGR6?oc=5" TargetMode="External"/><Relationship Id="rId684" Type="http://schemas.openxmlformats.org/officeDocument/2006/relationships/hyperlink" Target="https://news.google.com/rss/articles/CBMi1gFBVV95cUxQMUpMZUwxOTcwczhSNGxkUXhLUFo2ZXJtWDFtWkExdHRzR0RjanVqbGh5aGVDMnZPWDYyeklTMVkxbGRJRS1rUERBYjFqaERWa3FXSGVlOU1xV0syYVVzY09GZ0xEMW5jV21TTldwZVZTdDdOSk9UczBNMW5iQ2R6ZG9HS09yaGNWZENsaGhTaENZRTFxdmdOaU9TMzdleV" TargetMode="External"/><Relationship Id="rId685" Type="http://schemas.openxmlformats.org/officeDocument/2006/relationships/hyperlink" Target="https://news.google.com/rss/articles/CBMiZEFVX3lxTE15Q2swZGJZYy1RNk1MZktiVnFkbkMyakFJZXN3Z1RuRjYzZ2JZN0kwUVBnNFNPUEZTRDFpeUlaS3BCNVh5bmVMWl90d2NPTlhmNUdxclZRU2JIQUFUZXl3RmpLa3A?oc=5" TargetMode="External"/><Relationship Id="rId686" Type="http://schemas.openxmlformats.org/officeDocument/2006/relationships/hyperlink" Target="https://news.google.com/rss/articles/CBMiZkFVX3lxTFAxbXhiVFFSWFNLNDAxcHJ1VEZSazZIZG94OVRiZ19nMFh3ZXcxdTZNeG5OXzdWam5haG9MRGp5NjdrMDFxekVhOHV3R0g5eG5pMVBsQmxNYkpKTnNzTVJobUJBNFhFQQ?oc=5" TargetMode="External"/><Relationship Id="rId687" Type="http://schemas.openxmlformats.org/officeDocument/2006/relationships/hyperlink" Target="https://news.google.com/rss/articles/CBMiigFBVV95cUxOZV9OcnJHdWRvT0RGSnBrTmpHaGQ3c0ZSdzJPanU2OW00cG5RNkVRODF0M3RZcmxvR1oxVWJydUFRVU1rWEZHVnpZd0Ixbm95dVVvUmU4bmZPQXI1Q2NPYjBNaUNEb0NRVS1kYW1iTDgyR1NVOU5EZmFiTlk4ZzRUVzVJNzJiRGNZQkE?oc=5" TargetMode="External"/><Relationship Id="rId688" Type="http://schemas.openxmlformats.org/officeDocument/2006/relationships/hyperlink" Target="https://news.google.com/rss/articles/CBMimwFBVV95cUxNMXk2d1NNSVFrS1NfTGlpS2ZKQ01ON2dJN1puSmRuZzVfb2lGQ2NtR3BYZTc0Y2pfTkJWcERDa290WThsemFXSWZyek1NcmFEbUtRU2NmVHViYUNXY3Z3STdBZ0lCMndqTGJIMVlrMHVWcmxJVWZMbzEyU1cyTWp1MF80UUFoWjRiWXZPYmF4Qm82cXE4a3hfTUFZQQ?oc=" TargetMode="External"/><Relationship Id="rId689" Type="http://schemas.openxmlformats.org/officeDocument/2006/relationships/hyperlink" Target="https://news.google.com/rss/articles/CBMiZkFVX3lxTE9YWTVHbVJfcmhoOEs4VE9DVG5OV1h0UzVGamU5UVQzdFoxSDBqdldab3RjRnJ3eHkzd2VNN19vSTVCQlQ3VV91OGs1eGF5TjJPaW92emNuemFNcVhoVXFlaWY1VEtldw?oc=5" TargetMode="External"/><Relationship Id="rId690" Type="http://schemas.openxmlformats.org/officeDocument/2006/relationships/hyperlink" Target="https://news.google.com/rss/articles/CBMiZkFVX3lxTFA0NDRZUThSMHBrV3BoSDdURVp4bDMwQUtXZUhMMlNiUzEwdW8zclZrM1MzcnVISG9IcWpkYXRVbGgyRGhaaThyaU9KNGVkQm8xcHVUbUZ6WS1hOHpwbldnQ2R4cDFzQQ?oc=5" TargetMode="External"/><Relationship Id="rId691" Type="http://schemas.openxmlformats.org/officeDocument/2006/relationships/hyperlink" Target="https://news.google.com/rss/articles/CBMiZEFVX3lxTFBUbGhRRHFOZWY0SGZ1TmViYWZZVWdQOWEzNFdXQk04bkFHLXRfcHFCMWRQamZBZjE1a0FueHlpai05RVZ0Nmo2ZTRKaGd0dXhwYWJBN0FIblRKSjV6YWtPeWFaZFc?oc=5" TargetMode="External"/><Relationship Id="rId692" Type="http://schemas.openxmlformats.org/officeDocument/2006/relationships/hyperlink" Target="https://news.google.com/rss/articles/CBMiZEFVX3lxTFBCa1lZNGJfQm5NbkNGMngxNy15UFAwcmdxNjViMHZjV2dORGFfVjNiUXNHZzlCQnZnRGJ5TXdtT005VDA0ZGdMcDRPVGw2bmswTFFtdW5jelZfOXQ3T3ZVTFh5aVM?oc=5" TargetMode="External"/><Relationship Id="rId693" Type="http://schemas.openxmlformats.org/officeDocument/2006/relationships/hyperlink" Target="https://news.google.com/rss/articles/CBMiZEFVX3lxTFBJUTBnd1ZyaHpuYlhIMTN1UGdlbjhqbHhWcHlCRVQzamRNc2JnRUMxeTJZV2N3UE42dnVza1psOW1XZy0xbFFSdVExa0JfR095dWJMclNmc3c4Nnh0bHR3eWF3Nk4?oc=5" TargetMode="External"/><Relationship Id="rId694" Type="http://schemas.openxmlformats.org/officeDocument/2006/relationships/hyperlink" Target="https://news.google.com/rss/articles/CBMiZkFVX3lxTFBmRnhlQkFCVGRHYXZ5RFU4VEVPNFNpbnh4VXYtR0tTSkF2ZXJ6cVltUWpNOEUtZ1hnY3Iza3N1RzROS3B6RGR1eTRuam4tMTFTSnVrQl9ISjA4bWhvTVlBWGRzeHBKdw?oc=5" TargetMode="External"/><Relationship Id="rId695" Type="http://schemas.openxmlformats.org/officeDocument/2006/relationships/hyperlink" Target="https://news.google.com/rss/articles/CBMiZkFVX3lxTE1ldHZBS0JFdkpROTBqRFpYNVF0RFh6bVNTc2dTcmhUbGRmNVJYUFB5REY5aHlmVENHVUd3RC1XZzJ3Ym5RYmxjSGk5cExheFhnMl90ZkJ2dUJvTy0xOWV1ZDc4TnpVdw?oc=5" TargetMode="External"/><Relationship Id="rId696" Type="http://schemas.openxmlformats.org/officeDocument/2006/relationships/hyperlink" Target="https://news.google.com/rss/articles/CBMiZkFVX3lxTFBPbkZrVmdBdXEzZjloTHNubHNudHp3bUs3YThEMmlNMHh4bTFsQkpIT0JoRVV6Nlc3X2V6VDJFWHFWeGxpeGdvVFBCQmVPclRWSmQtd25STDVGdWdpbV95WjhQN2hPUQ?oc=5" TargetMode="External"/><Relationship Id="rId697" Type="http://schemas.openxmlformats.org/officeDocument/2006/relationships/hyperlink" Target="https://news.google.com/rss/articles/CBMiZkFVX3lxTFBLSXV0ajRUazlmZWpkb3FGU3ZpR3VPcjFmT0FtWFQtOEtlNzBsN0dMc01xamxpVVpMMl9JYldmSmdBS1liSktKeEFEeDNwei11cW5qWi1EODgwZ1ZuUWRETW44UDdkZw?oc=5" TargetMode="External"/><Relationship Id="rId698" Type="http://schemas.openxmlformats.org/officeDocument/2006/relationships/hyperlink" Target="https://news.google.com/rss/articles/CBMiZEFVX3lxTFBmSnNPbWx6N2QtWFN3QjRKOHZ4WnJlRFQ5U25keFdhMDFnVGZkd0hhYWpVdHA0Wi01OWR5Y2M1M3NobllvWlhTbnAyZEoxem1oSWJwc0thbmlZWmZQTU9mQkE1dE8?oc=5" TargetMode="External"/><Relationship Id="rId699" Type="http://schemas.openxmlformats.org/officeDocument/2006/relationships/hyperlink" Target="https://news.google.com/rss/articles/CBMiZkFVX3lxTFBnUXY1RU1OaXBDanV3UHp0NjhQTmZ6QkdvQTJKY0VGcFdNWkVIeFhydm90MmhlNW9nQnBuYS1GNTJzYkdja0xsSnc1cmRPRjNqM3lrY0puMm9MN0pRVFE1NE1lNmJaZw?oc=5" TargetMode="External"/><Relationship Id="rId700" Type="http://schemas.openxmlformats.org/officeDocument/2006/relationships/hyperlink" Target="https://news.google.com/rss/articles/CBMiZkFVX3lxTFBXY2dnek0zUzgzRlZTSF9ZQTJ0UHdDMEhreEtRRV9rLTlXMEJsWDJGTUF3ZFBITVhiTHIyZ01hZVhPNTlkQ2J5TVJMdDIyejY1cmVPckJfYkpqVzFuMlBJR3BkVGd1UQ?oc=5" TargetMode="External"/><Relationship Id="rId701" Type="http://schemas.openxmlformats.org/officeDocument/2006/relationships/hyperlink" Target="https://news.google.com/rss/articles/CBMiZEFVX3lxTE5LNWJRVG5VdmVjV1RMQUQ1eUNrbmszVEtsaFcxRER5SUpSTDBRdmJfVmtQUXh4YTJHeGEyY002UmxYOEhnVS1hNjM3V3AxSWFpZDREQWZpYXByX0lNS0o1bWRaZFk?oc=5" TargetMode="External"/><Relationship Id="rId702" Type="http://schemas.openxmlformats.org/officeDocument/2006/relationships/hyperlink" Target="https://news.google.com/rss/articles/CBMiZEFVX3lxTE9PRklQYTR0UnhPREJSRkVvLUZxX2ZWTTgwMmhDWVJ1NHlHUkhEdDg2Tm1aMEszM3VXMDV2QkFoUEF6ZWFKTG1ad25JQXJhQ013ZGVtckhza09nNnFXQ1hLS1Fib2I?oc=5" TargetMode="External"/><Relationship Id="rId703" Type="http://schemas.openxmlformats.org/officeDocument/2006/relationships/hyperlink" Target="https://news.google.com/rss/articles/CBMiZEFVX3lxTE9TUlNiSmhBRHpXYmhkRjVpYzAzbThodkpGam02VXJkWERyN0YtUEh4Q1RmM05IeG10ZWFJeE5nQ3NDemlTUGEyakZPY1dZdzZlUkc2NEJIM0JrdmZuV0RERm95MG0?oc=5" TargetMode="External"/><Relationship Id="rId704" Type="http://schemas.openxmlformats.org/officeDocument/2006/relationships/hyperlink" Target="https://news.google.com/rss/articles/CBMiZEFVX3lxTE03NUkxS0tscmRyNTJIdnlTaXJTRWRiSjh5UHZxTTljOEFGeGFlTFZpQkstRWVFdjZSYzg5eFY1aDl1c0N6eXI4MGJiYUtZdEc2cTg1NGtQU1ZNTjI0MVJ2OXdJbHg?oc=5" TargetMode="External"/><Relationship Id="rId705" Type="http://schemas.openxmlformats.org/officeDocument/2006/relationships/hyperlink" Target="https://news.google.com/rss/articles/CBMiZkFVX3lxTE02Qm5MNFN1RW55U1pUWnNIM0xqb3hYOUlJYmVKR183R01PUnRlbE1HaFRWSGpxTHZGbXc1ekpld3pNeGFLSFk3MklkMWNTVzZWVGVnX3cyMUpoaC0wazFTTmtIWkNOUQ?oc=5" TargetMode="External"/><Relationship Id="rId706" Type="http://schemas.openxmlformats.org/officeDocument/2006/relationships/hyperlink" Target="https://news.google.com/rss/articles/CBMiZkFVX3lxTE9fVTZURVQ3bE5zTGM0dXp0OFU4d29GcV9LNzBONVdVTm44UDAyMDVJR3NvWHV2bG04Ny1qWkZ2LVhwdXFKQ0tVNWZ2ME9kdU83MUQ5ckk0U3c2cEsyWVdDTGhHQl9SZw?oc=5" TargetMode="External"/><Relationship Id="rId707" Type="http://schemas.openxmlformats.org/officeDocument/2006/relationships/hyperlink" Target="https://news.google.com/rss/articles/CBMiZEFVX3lxTE9fZTU0Z1l1SURuSmZycmxYemJ5T3l3bWo3ckVRN3Bub0pDRjNCTFpOQTJqRVJoWERmOUJIeEJxSG8zRGNOT0RaT0hBVFV1RUEzNzVOb3gtX1NtQmhMUjJoMFhtcUQ?oc=5" TargetMode="External"/><Relationship Id="rId708" Type="http://schemas.openxmlformats.org/officeDocument/2006/relationships/hyperlink" Target="https://news.google.com/rss/articles/CBMiZkFVX3lxTFBTYk95S0ZmaHB4Q2sxTEdPZTBQNGJwN2JaZDJwbGdiQzRZVTQxTFkxeDZzNzlxVEQ5R0pha0hXN3Rmak1uUnNsa3VncUd2MVUyLTRwcFpmY3Z2NjQ5SGhlRHVhT3J5UQ?oc=5" TargetMode="External"/><Relationship Id="rId709" Type="http://schemas.openxmlformats.org/officeDocument/2006/relationships/hyperlink" Target="https://news.google.com/rss/articles/CBMiZEFVX3lxTE50TkJNQ2pxRWZLR3RRMkZiNnA1aUdRWjB3aW5SeVVLclNyTW5TMGhZa2xBNlJkdHQxRWdzaUUzWVpxYXpEOXFJYzRkRkx0VlF3eE1iUE9YUFJBSHhIY05pVXNpbko?oc=5" TargetMode="External"/><Relationship Id="rId710" Type="http://schemas.openxmlformats.org/officeDocument/2006/relationships/hyperlink" Target="https://news.google.com/rss/articles/CBMiZEFVX3lxTE1CT18wMzdsdmgzUkFOYlVCLUpUTV81Y05mdmVCZFNCcDBEZEhVNWx3WUJuNmxFMDRQeEp0dFh0cE1zUTlxZHA1czZXN0VsaC1YTWhPcTA1cXgwdXBNQS1PMEFrY00?oc=5" TargetMode="External"/><Relationship Id="rId711" Type="http://schemas.openxmlformats.org/officeDocument/2006/relationships/hyperlink" Target="https://news.google.com/rss/articles/CBMiZEFVX3lxTE1MVU41UEpUQUFQU1ZreTJQVGJXanNVcEdXdjdSUGU0U2RWR1J3MFJiSWNTV3JYRzVvbUNZaG9na0dodzlZV2k4NGMxRnpDVnhrU054dWk2bFRTbExBak5yS1NUQlg?oc=5" TargetMode="External"/><Relationship Id="rId712" Type="http://schemas.openxmlformats.org/officeDocument/2006/relationships/hyperlink" Target="https://news.google.com/rss/articles/CBMiZEFVX3lxTE5JUDUxMzh5N3p2bFVHc1Q5ODlwb1dyTUhNLXV4by13LWczakZEdTFRZnJUYmNBeGxsUlJYOGJ2TWFoTHVKLVVuYTBaNzN3QVB5Rmw0Znk0R2NBcG1XVnF0VkJUejQ?oc=5" TargetMode="External"/><Relationship Id="rId713" Type="http://schemas.openxmlformats.org/officeDocument/2006/relationships/hyperlink" Target="https://news.google.com/rss/articles/CBMiZkFVX3lxTFB3dmQyX3cwUEYtQ0V6ZjVIVFNiR0VrNzhEOFdQUXpMOExzWTlpLUhobmxlcUw5azU0Wm1vMlF5M2RiaF9FRFhmVTk3Wkd5eGQwOGlsWmVYRjVYTkVvVmFkRGFsb2VtQQ?oc=5" TargetMode="External"/><Relationship Id="rId714" Type="http://schemas.openxmlformats.org/officeDocument/2006/relationships/hyperlink" Target="https://news.google.com/rss/articles/CBMiZkFVX3lxTE1pMHR6UjJYSnRVUm12aWNTWFR0REdXeThybTJwMFBMX3hidEZzVjFkOGdaOWtCOXlBUFFURlVodXd3VElVQ1ZxQS1ERWZvdVBxd2E4ZHc4SW9KZjM3SUtRWkk4cVd2dw?oc=5" TargetMode="External"/><Relationship Id="rId715" Type="http://schemas.openxmlformats.org/officeDocument/2006/relationships/hyperlink" Target="https://news.google.com/rss/articles/CBMiZkFVX3lxTE1ieGtDZFAwYVczWmJDdldtaVREckJsTUtmUlVPVHBxbzh5UTBvNXVpTmtLVUtLSVk2aTZKaHBFOEZndjMzWDRkam52alpyOXJvbi0xSzhXS19OcUZTS1gzbVpScUpGdw?oc=5" TargetMode="External"/><Relationship Id="rId716" Type="http://schemas.openxmlformats.org/officeDocument/2006/relationships/hyperlink" Target="https://news.google.com/rss/articles/CBMiZkFVX3lxTFBmZ2EzVl9STnppendpanJwd1NCWHhtOUFPajZpQVZ5QkxhVzYxNGFfSXlOT3hudVBBcVB2REttQ3JlbXFocTNEQnNUcDZwRXpNNGhfQTFEWW5hRnU1bW9tTy1TODhFUQ?oc=5" TargetMode="External"/><Relationship Id="rId717" Type="http://schemas.openxmlformats.org/officeDocument/2006/relationships/hyperlink" Target="https://news.google.com/rss/articles/CBMiZkFVX3lxTFB1b0NoNUw1Uy1MRjh2MHlHazVuSFNJSE9zQ18tYUNCTGZoOGY5eUF3TTUwQUxkMU5jOTFDS3loeDVrRjJQRTB0MGZIT3VKay1WWVBkcUd3aWhNMDRDWDdqTWFnWTZqUQ?oc=5" TargetMode="External"/><Relationship Id="rId718" Type="http://schemas.openxmlformats.org/officeDocument/2006/relationships/hyperlink" Target="https://news.google.com/rss/articles/CBMiZkFVX3lxTE41QXB0WFZUUENkemhPNkJ4dWZoVjU0cDRPZnJ6Q3BIX2hjMjZ0eTh1T09mODNfMWNDbm5qUHVObzl1WFM1VWlTSDFBWEZoSk1EOFI5bzg5cUhjX0N4VVlacEdFSFN6Zw?oc=5" TargetMode="External"/><Relationship Id="rId719" Type="http://schemas.openxmlformats.org/officeDocument/2006/relationships/hyperlink" Target="https://news.google.com/rss/articles/CBMiyAFBVV95cUxQRDFlUERiNmFfcS1TT3dlZVdHOG9tMTdLcEJIUEpGczVmeVhXV0pQVHRqYnFwMEtreVJTLUJ6YnU3SDQtU2JnNnJrd3VGaXRhNWNpU3VxdFZ4dlU4MDExV1ROZlpwSkdTQUZEcWhkdzJZS25ja1FsUzRZdDlVYUZVQ0tVaW40VXFuc3pobVFvdmNoc0l4NDFvUlE1WXZsaW" TargetMode="External"/><Relationship Id="rId720" Type="http://schemas.openxmlformats.org/officeDocument/2006/relationships/hyperlink" Target="https://news.google.com/rss/articles/CBMiZEFVX3lxTE1PUll3RlBOSFdJT2JaWkpjQktJaU9HSEJQU3NfZklUX2xUSDNiQVIwenI3bDRJSHJtS3N2a0dreTdjMDVWRHdmSkdUWFg0cDZic25wQzNaMktxWlpsZUVxdHdpYVY?oc=5" TargetMode="External"/><Relationship Id="rId721" Type="http://schemas.openxmlformats.org/officeDocument/2006/relationships/hyperlink" Target="https://news.google.com/rss/articles/CBMiZkFVX3lxTE9peThsRWEyYVFpRy1WSXptcEZMREZSaXEzTGhvYnctaEQyTmFrbVZnZlEycUpTTnY4SU9jc29JVEtMZ3NFZlNTazgzQnZTTnFHUmFQMWk5VzRCMWM1aWpzcm8xN05wZw?oc=5" TargetMode="External"/><Relationship Id="rId722" Type="http://schemas.openxmlformats.org/officeDocument/2006/relationships/hyperlink" Target="https://news.google.com/rss/articles/CBMiZkFVX3lxTE9xR2RUR1h3VzYtRHFhc1lfY2VyaGVkZm84VVV3LTRFYi1LeU1OSjZUSU5xWVpPWDA5LVlZR0Q2ZnNQQUNzak5oM3c4c3hUUktLcFdEeG94T0ZRMVNERWZ2NmpYRUhSZw?oc=5" TargetMode="External"/><Relationship Id="rId723" Type="http://schemas.openxmlformats.org/officeDocument/2006/relationships/hyperlink" Target="https://news.google.com/rss/articles/CBMiZkFVX3lxTE9UTGk0YTdGWDhTa21iTWJaZ05ZLTExY295UkQ2aVgyaXNHTGJ3b0JkUmJDeVdHMnRWS1pLdV95WWtocHJoT1F4N1Y3cDJSbkV5M0hycFV4b0xWOFVoXy1FWmIzWXd3dw?oc=5" TargetMode="External"/><Relationship Id="rId724" Type="http://schemas.openxmlformats.org/officeDocument/2006/relationships/hyperlink" Target="https://news.google.com/rss/articles/CBMiZEFVX3lxTFBjeDIxNmZiTlZyb0NCTkhZTUduenpGVTRVcEF1SDJ5aHc1QzJGQ2NzNDE5WkYyYlplN0ZxbGY1c3RFMS1yNWJlaGtHTk9aYlczTThBaHA5eXNmaDNsMmphTDNYZFY?oc=5" TargetMode="External"/><Relationship Id="rId725" Type="http://schemas.openxmlformats.org/officeDocument/2006/relationships/hyperlink" Target="https://news.google.com/rss/articles/CBMiZkFVX3lxTE80QWN2WXpQeW5iS0oybHBCN3A4VVR2YnNqUjJlMXZSbFE1cGJPMFlHMk15X0RJM09mOFEtaFRNZHpMUkg3ZkJuUkR0c2pxQkRCc00zNXpmUFoyS3pMUWVBY3NPS0VKUQ?oc=5" TargetMode="External"/><Relationship Id="rId726" Type="http://schemas.openxmlformats.org/officeDocument/2006/relationships/hyperlink" Target="https://news.google.com/rss/articles/CBMiR0FVX3lxTE5YWjNzLWltb1lVWUFOSGhyY2NVdG9EM05jdUs1a1ZWMWwwZHB0RjJfd3dmOWo4RG55UWRCcEx2OEVxLV9jMXZN?oc=5" TargetMode="External"/><Relationship Id="rId727" Type="http://schemas.openxmlformats.org/officeDocument/2006/relationships/hyperlink" Target="https://news.google.com/rss/articles/CBMiZkFVX3lxTE81REtteDh6UGYwZkZFd19USE9PVEpLdXFIdDNVUGJqd2N4S0h4UlZNQTdnYlVKM2VVZDhOdlZxYVdJM3JicV9VTHV6c0o4TDdxR2VHcDc2d3RyX0t3NU9UNEZKODB3QQ?oc=5" TargetMode="External"/><Relationship Id="rId728" Type="http://schemas.openxmlformats.org/officeDocument/2006/relationships/hyperlink" Target="https://news.google.com/rss/articles/CBMidkFVX3lxTE80NXQycVRSQ3dyVkVDa0s1NXpnSjJzYTRmSUNodUVsQWZfclNNd19uanZha2ZOUUNmREhtMDV0dXZJYWRzSEo0YzZYU2xwaVBqT1lfV29OcC1sZWtGZW1OcHEtZ0hSSHlTclRPcGdzRl9jRHlYVFE?oc=5" TargetMode="External"/><Relationship Id="rId729" Type="http://schemas.openxmlformats.org/officeDocument/2006/relationships/hyperlink" Target="https://news.google.com/rss/articles/CBMiZEFVX3lxTE5FMW16Z3AwVGxuc1dxR3Bxem83Y3hjU2stcUMxY0pGSkV1OHcyZndBRHNnRWQ5U3ZXUWlnU05PSkxVTW03cnhwVWZ5aFJPUWZ1X0ZIaERTWWV4Uy1oZGl1akpCOTI?oc=5" TargetMode="External"/><Relationship Id="rId730" Type="http://schemas.openxmlformats.org/officeDocument/2006/relationships/hyperlink" Target="https://news.google.com/rss/articles/CBMitwFBVV95cUxPNzN1SFZycVpDV0x4V0Zhc2RVUE1hN2Y0SDhzVXRFV042SjdNOEo1WVN2d0ZxbzRYbkdzT3dDTEgzVXJMdDRzdW5DaDA5dFpBZENJVVg4R3NYTUM2bTIteHFEVXd0alo3X0R4RF9PQVJLM3Y0SkpPam9oVTVvN3VYa0JkTG5fRWwtS2lOWnhoc0lIUDVhR25BMUpOa1FtX0" TargetMode="External"/><Relationship Id="rId731" Type="http://schemas.openxmlformats.org/officeDocument/2006/relationships/hyperlink" Target="https://news.google.com/rss/articles/CBMiZEFVX3lxTE5sTWtKS21iZUZMRWhRT2RKdFhocnlHUGpiMHF0R2hyWTllYWU3cFdiMEZMWEFpcmJ6Q3JITWxUS01tSjZwMXpDUDB5N1JXcUs0enp3Y3hQcWh4eUM5ZlZOUDU3ZlY?oc=5" TargetMode="External"/><Relationship Id="rId732" Type="http://schemas.openxmlformats.org/officeDocument/2006/relationships/hyperlink" Target="https://news.google.com/rss/articles/CBMiZEFVX3lxTFA4TWhJTzdWRHFQdy11OU9TdW50bFlUYVg3MG1yUW9Qc2VOQS1LalFtTUpTZXdGNHlBOER5WEMzTm9hWjgwQmVRM3hUMlY3Tm1KQ2oyb3lBTC1UM1FmYmFaN3ZIaVQ?oc=5" TargetMode="External"/><Relationship Id="rId733" Type="http://schemas.openxmlformats.org/officeDocument/2006/relationships/hyperlink" Target="https://news.google.com/rss/articles/CBMiZEFVX3lxTE80VXJzZHIzNUxXMVhvSE8yMkNjd1h5WTFXbHhWc3NXdDZULS1fNlFMelREUnltMW5BWnc4SkxqX1VwU29OLTF3MkMtOVRrbHUzNEc3d19qcFh5LURPVEpRQ3hteXY?oc=5" TargetMode="External"/><Relationship Id="rId734" Type="http://schemas.openxmlformats.org/officeDocument/2006/relationships/hyperlink" Target="https://news.google.com/rss/articles/CBMiZkFVX3lxTE9FTWlLaFBhRl94cDQxMktPTVRNbl9IbkRSUUpnbUczdGRwc2ZEdkJwYzF5M2hTeXhkUTRlcU1SWHpoSnQ1Nk11c2FjU3BwRWdBbTZZV1lfb2NZak01V29femNpeGFhUQ?oc=5" TargetMode="External"/><Relationship Id="rId735" Type="http://schemas.openxmlformats.org/officeDocument/2006/relationships/hyperlink" Target="https://news.google.com/rss/articles/CBMijgFBVV95cUxQVmdYVmJPcXh1U0RvcTdOb0FLenB5cDBrT2VpSU1yaG1TVDdLR3NJSkh0QmdtTGR5NHI4MHZTZjRWQ2o2Q05JVnJ4SEJvS0FmYlJ6WWNjSEhWbVNKdkNGakF5MW1KVVRQMy0xcmFwd1daWHR0ak5pQVhmOU9jWWdkVWFmWWRJT3Jab3hURTln?oc=5" TargetMode="External"/><Relationship Id="rId736" Type="http://schemas.openxmlformats.org/officeDocument/2006/relationships/hyperlink" Target="https://news.google.com/rss/articles/CBMiZEFVX3lxTE5WVmpxdGFvRzBrWEI0c3Y1N1F3bVdaTE16cWw5VlVVNEhSSzhOX2UwaExBZ2d1bDl4cjBCamVrV0dTajhlN2loa2I5dkVwcno2bEcyc3MyTEMzc1hyM19OXzZwa3k?oc=5" TargetMode="External"/><Relationship Id="rId737" Type="http://schemas.openxmlformats.org/officeDocument/2006/relationships/hyperlink" Target="https://news.google.com/rss/articles/CBMiZEFVX3lxTE9pRXJteFoxV1FKMGdMVFhYZDVEamNQZllJQU1Yb3JsQzJ3Y3B6Y1VVMGxoQ0lvYTVCaXlQRGR2V29TeE9DakxvWk9wcGNWRU54SEdGbk84THo5aXNPelBTa2trTG8?oc=5" TargetMode="External"/><Relationship Id="rId738" Type="http://schemas.openxmlformats.org/officeDocument/2006/relationships/hyperlink" Target="https://news.google.com/rss/articles/CBMiZkFVX3lxTE81WElSX0s2VHp4TklIbzdrUlZTeldub1VvVF9KUFZxNXJrMlQ4Yi1XTS1lanFRcjJFQVNKcHNkWVA3dndYSVEyT0dRTHNsc3pYQkd5SnhPV3lCeFlRTmp0WE9qam5ZZw?oc=5" TargetMode="External"/><Relationship Id="rId739" Type="http://schemas.openxmlformats.org/officeDocument/2006/relationships/hyperlink" Target="https://news.google.com/rss/articles/CBMiUkFVX3lxTE1GVjdONTNmOTRRTG1UcWJHaDRValRQYTZPVm1WV19EdXcyWk1PODFjN0Y4TzRJRnZZLXVMSS1UNHhpMjJqTFU5aTR0VXN3TEM0N0E?oc=5" TargetMode="External"/><Relationship Id="rId740" Type="http://schemas.openxmlformats.org/officeDocument/2006/relationships/hyperlink" Target="https://news.google.com/rss/articles/CBMiZkFVX3lxTE1WMEZGcGpESmZxUGg4V05ZQ1RfeE9LcWhGRklhTDZGR3FqYmdzZ3ByaEkxcXd0ZkxKZURJOEVZRWRvbjdWa2RpSS1MM3djc0FERzVmVnJ2ZU1JeDV3U1VzYkdibGxPUQ?oc=5" TargetMode="External"/><Relationship Id="rId741" Type="http://schemas.openxmlformats.org/officeDocument/2006/relationships/hyperlink" Target="https://news.google.com/rss/articles/CBMiZkFVX3lxTE1NZXY5RlpxUDJHRnJWLXlhVjVVZkx6TUp4aXFHNGFjaXRaSjdFeVhJVWRCZF9TN3l0MExCQ0E2TzRERjhrOEp3VEN4eVNGWnlqT3JvU283SmZCOVp2b1F5Zk5oLWtKdw?oc=5" TargetMode="External"/><Relationship Id="rId742" Type="http://schemas.openxmlformats.org/officeDocument/2006/relationships/hyperlink" Target="https://news.google.com/rss/articles/CBMiZkFVX3lxTFBJRDFQc0FRdlIyalI5OVlNcl9wZmM2LUtETHdBdHNjRGkxR09pRy03R3pSUVVSWEhLQS1IdV8yNzJhUXptLVdzYXJJQkpQOHV2cWxPczNyTU5femFBc2M2TmlvX2RiZw?oc=5" TargetMode="External"/><Relationship Id="rId743" Type="http://schemas.openxmlformats.org/officeDocument/2006/relationships/hyperlink" Target="https://news.google.com/rss/articles/CBMiZkFVX3lxTE1DM3gxUlV0WC1BQXNoLURKajAyZUJRazNaOXV1VjRYNnNyUThhNVZNMDlRbzZycUFtaXhZUGlNTDVxMURzR3Z2aGZ3OW9yVlNJaGw0aHF0US1tTlA2OFFtU1lPVmFlQQ?oc=5" TargetMode="External"/><Relationship Id="rId744" Type="http://schemas.openxmlformats.org/officeDocument/2006/relationships/hyperlink" Target="https://news.google.com/rss/articles/CBMiZkFVX3lxTE45eF82Vkc2cjRtM2dHdTRQcTZlMmtBUUR2SmpXcW5VU1paV0M4MEdrYmhDRmpNZ3BfLU53YVFXN0E4QVlDWFBsaUJ1SEVMZnpvMjBmN2lSRFJTSzBDRE5na0VEdGhfUQ?oc=5" TargetMode="External"/><Relationship Id="rId745" Type="http://schemas.openxmlformats.org/officeDocument/2006/relationships/hyperlink" Target="https://news.google.com/rss/articles/CBMiZkFVX3lxTE9leEROOG5GNEdpSXJpeFI2WjBiLU92ZGxPTjFhRFZ4Skd4SGNjeEJTYWoxUl9IcXJSd2hpZjFkd0dNLWVDWlBVeTJ4MEpZMzVTU1Z4MVFFYmRWdzhtdi12N2cxdExqUQ?oc=5" TargetMode="External"/><Relationship Id="rId746" Type="http://schemas.openxmlformats.org/officeDocument/2006/relationships/hyperlink" Target="https://news.google.com/rss/articles/CBMiZkFVX3lxTFAzUHF1aUZUYUE3Z2xxdHd2TUFsY1pKNG9iNlA4Z3NFLTdUeU9WZ0F5QWw3eWMtTlFvcmJlNDhGTmsyZ2E0ZzFhNTAxamQtQ09fekhueVhJcWhJS2pmdjVIQk4wdlRxZw?oc=5" TargetMode="External"/><Relationship Id="rId747" Type="http://schemas.openxmlformats.org/officeDocument/2006/relationships/hyperlink" Target="https://news.google.com/rss/articles/CBMiZkFVX3lxTE9meWM1YVhBbTdmTGE5cjRYMDhLUHlKeTN3NUtyM0p0N0hUeEd1Z1hHdjVnbFcyRERFaDZtRXFfRGdhaERrTVBrbHhoRnJHcUxjWVBURDRnNWRpOUQwUHpwZUlJbEJmQQ?oc=5" TargetMode="External"/><Relationship Id="rId748" Type="http://schemas.openxmlformats.org/officeDocument/2006/relationships/hyperlink" Target="https://news.google.com/rss/articles/CBMiZEFVX3lxTFBnVFVFY2FYQVpJc2RZUFVoM0hOTnBwN0F1cGRleGhkcmttZTRRUWJ5WWZoRjNGU1N1RGhuTUg5T3dHRElraUs2c0RSbm12ZU9uWEF3Q0xEODU3eTdDVnVSRUgyR3I?oc=5" TargetMode="External"/><Relationship Id="rId749" Type="http://schemas.openxmlformats.org/officeDocument/2006/relationships/hyperlink" Target="https://news.google.com/rss/articles/CBMiZEFVX3lxTE84eVQ1bFA2bVphUFhtMlVRZkFlR01RSU1SOE5qZkVrRVloVUV2ckl1ckE1a1ZuNUg4dkY0QmwxdWxKSjVFWHVwSmNIOU9tQzNpbDVrVTdTeWxSa3Y2SXNOUWMxS28?oc=5" TargetMode="External"/><Relationship Id="rId750" Type="http://schemas.openxmlformats.org/officeDocument/2006/relationships/hyperlink" Target="https://news.google.com/rss/articles/CBMiZEFVX3lxTE5scE9nZlhLUWoxaXMyTnJzX2tTSFoxZjVkbktXMlRVaXVVYTJybWdtLUVxREZOaEY4NEVpZ294RTBsdVRTaDYxdi10c01YT2V1bW11VzRMb1ZHMTFyMnZQbkFXS00?oc=5" TargetMode="External"/><Relationship Id="rId751" Type="http://schemas.openxmlformats.org/officeDocument/2006/relationships/hyperlink" Target="https://news.google.com/rss/articles/CBMiZkFVX3lxTE5YWnROenRLckdhdkJTdFVBVXd5SWltRXZTNjRxcXZpTXNPbVNfbmdNRlp5WEc0LWpZaV9qcE45ZUJQcFc5VU1sSVRVYnVnUEFmYjVINUdjQjMwVnhuUnpyREhaZkdpQQ?oc=5" TargetMode="External"/><Relationship Id="rId752" Type="http://schemas.openxmlformats.org/officeDocument/2006/relationships/hyperlink" Target="https://news.google.com/rss/articles/CBMiZEFVX3lxTFBXZzE0dmNLZTlZOEtmclBuN25zWkJuclBaOWQwbE1BSmxLbXlZckdhS0szbnc2T0F5ZS12eFZkcXdxZEx2U2dNYWZwV2w4a01vb3R2bzJKaWZfX1RQQXk1eEdscEY?oc=5" TargetMode="External"/><Relationship Id="rId753" Type="http://schemas.openxmlformats.org/officeDocument/2006/relationships/hyperlink" Target="https://news.google.com/rss/articles/CBMiZkFVX3lxTFBZY1JxQWU5ekd3cTZPZ3dsZlItUkFCM0ZyelJZc0hRSlNhMXhzdE5HTHptRkd3bmJfTDk0T1BndmhLck1HaEFqSTdwRFY2aGV5dlRVRlduNEI3M2l0cGxMLU51eVlqUQ?oc=5" TargetMode="External"/><Relationship Id="rId754" Type="http://schemas.openxmlformats.org/officeDocument/2006/relationships/hyperlink" Target="https://news.google.com/rss/articles/CBMiZEFVX3lxTFBPQkFkc2FaUlpnWHp5eHpYbVUzSVNVTEVZNE5zNzBUTWM1VVpLM1pXQVgtWGgtNGJFU2FVSzlLbTZjMUt6Vy1tVFlxRWVJaWdfMzU2djhWVUFqWWU1dEhFclg2Q2U?oc=5" TargetMode="External"/><Relationship Id="rId755" Type="http://schemas.openxmlformats.org/officeDocument/2006/relationships/hyperlink" Target="https://news.google.com/rss/articles/CBMiX0FVX3lxTFA4Q0ZEbWg0TE1WY1E0X25xU2xGWFZKVzJKSVVFRjVuWGh3OU5aSmxIWllxSU9lYWZhQUNOTGdZMGFPa1ctdmdWcVZTbDNWaG5zam9jY3ZLWEN3cDN2LXBJ?oc=5" TargetMode="External"/><Relationship Id="rId756" Type="http://schemas.openxmlformats.org/officeDocument/2006/relationships/hyperlink" Target="https://news.google.com/rss/articles/CBMiZEFVX3lxTFBSNHc0RDE0MmZMNGJXSDlsNTZWS2J0MkRfVUZNc1k2dHRjUVgzVjFZZ3lLNlZqMjE2Zi1iVDdRLVo4emZ3OFlaTjg0ZGhwMmQ1ekdlMDd6aWZYSXVuZWZOVnpIRUk?oc=5" TargetMode="External"/><Relationship Id="rId757" Type="http://schemas.openxmlformats.org/officeDocument/2006/relationships/hyperlink" Target="https://news.google.com/rss/articles/CBMiZkFVX3lxTE5BY3g4ZG5kdlF1cHhaTm1iVko1RTVBdWRqQ2VjNE9WUGtxWXhJNWduYjYyY3U1M193Tkxnbm1yVlg2b1pSRDVDZXhvelhueUdQWVhWZFBNM2lDck9mam55R0hXYkt0Zw?oc=5" TargetMode="External"/><Relationship Id="rId758" Type="http://schemas.openxmlformats.org/officeDocument/2006/relationships/hyperlink" Target="https://news.google.com/rss/articles/CBMiZEFVX3lxTE14RHE4a0JhdEdNQ1RTRlV3OVdHMjFnbnFBUnpyWU9LdF9EWmROeEJOWDlkajRJNWR3M1hxX3F4Qk50YmZnb2swa0tOc1doSU11UVVTeFVhblBtRmRDRl9ZNXF0eGo?oc=5" TargetMode="External"/><Relationship Id="rId759" Type="http://schemas.openxmlformats.org/officeDocument/2006/relationships/hyperlink" Target="https://news.google.com/rss/articles/CBMixgFBVV95cUxNbWZLM2M3eGN0bHhIVzJtS3NZWXM1c2ptbF9idXZPdFlqTjlFbjJQRmFGNGE2Tm1Ia2IzUXgtS0xqRk1PY2dIOHVOVWQteVlTdU10Njd3LU15ZFVzT1NIZGNsS0c0NGk0eXZPaU82M3ZYNFNDVzFadGRGNDZpMDZKTnBpd0stU19zTW5jcXpmSmJ4OHNINnd2ZVNCMjVDY1" TargetMode="External"/><Relationship Id="rId760" Type="http://schemas.openxmlformats.org/officeDocument/2006/relationships/hyperlink" Target="https://news.google.com/rss/articles/CBMiZEFVX3lxTE8ybHA1Mnc3OFRLajhpLU9ZS0pDSGlTeFNvV3dnZ3V4aVF6dmFrNnVUOFVEY1JMeGYwU3JRMmF5azRBNEFvT2p2RlVybXgzeXZuZ2NzTmFEMEdqV1ZoZS1QRUZUcl8?oc=5" TargetMode="External"/><Relationship Id="rId761" Type="http://schemas.openxmlformats.org/officeDocument/2006/relationships/hyperlink" Target="https://news.google.com/rss/articles/CBMiUEFVX3lxTE8waDFPLWszejFQWFhob09ydy0zU2owLXdQNlh2SENoLS1aX2VSanBPTG1IM19qbWZtazBQVm9PcHg4X0FPc3JUdHlGR3hiOXlo?oc=5" TargetMode="External"/><Relationship Id="rId762" Type="http://schemas.openxmlformats.org/officeDocument/2006/relationships/hyperlink" Target="https://news.google.com/rss/articles/CBMiZEFVX3lxTE0xX2NnTEVIZ2pxWmlSY2NLeTE3V3JuYjJ4TnQyMlFMRk1vSmJSNERrLUw5Mjl6THJJZWgycHlFVFJXYjhBS2dOYlU1TTVHUVUtaWpFR1p3UzVEYjg2SVFxSk9ITGk?oc=5" TargetMode="External"/><Relationship Id="rId763" Type="http://schemas.openxmlformats.org/officeDocument/2006/relationships/hyperlink" Target="https://news.google.com/rss/articles/CBMiZEFVX3lxTE9IMFdtRk1iVDlGRjRvWnhsRXRoWktjdWlKc3p5SHY3RUJpbkpYbzFBcXZOOVIxMkQybFVvOW1VWFg2Wjg4Mjd2MVFrWDFhXzdzallSc2RFVnlpMHo5WUFXbnhHLUY?oc=5" TargetMode="External"/><Relationship Id="rId764" Type="http://schemas.openxmlformats.org/officeDocument/2006/relationships/hyperlink" Target="https://news.google.com/rss/articles/CBMiZEFVX3lxTE8zdHpONkNQRHVaMGdHX1JKX24zV1RkenVaRHRxMXdSTVlFY2xpU2thSEVHTG1PTUd6dkRaRm1PY0Q5ZzhWUHJ3bmNtNWhzZ0tNUGI4djUtRFBna1JtN0NNTWVvRTE?oc=5" TargetMode="External"/><Relationship Id="rId765" Type="http://schemas.openxmlformats.org/officeDocument/2006/relationships/hyperlink" Target="https://news.google.com/rss/articles/CBMiZEFVX3lxTE1KRGNxTF9CZFBEOWF2cTlDdWtpVERCbXgxS0FUQ0VMTDFhYTI2Y3lwN1YzaUR3bWZDbm1JalJ0QzIzUkdFbkRINTRULUNESUJTQXRRUlpUQWQwcFA1WTNUeWh0Sk4?oc=5" TargetMode="External"/><Relationship Id="rId766" Type="http://schemas.openxmlformats.org/officeDocument/2006/relationships/hyperlink" Target="https://news.google.com/rss/articles/CBMiZkFVX3lxTE9PVllMaUtBdUhXTmpiMGY3RXNidzgxZm9seEJCS2lENmFNd1ZkWHZKNEZuUHRMMW5aZUdDSW5xTzA5TTVtenFLNWxGanVYSnJJX1g1S05oN0VpVDJBTzRiOHpfQ1lBdw?oc=5" TargetMode="External"/><Relationship Id="rId767" Type="http://schemas.openxmlformats.org/officeDocument/2006/relationships/hyperlink" Target="https://news.google.com/rss/articles/CBMiZEFVX3lxTFBpMzZZeEsxc20waUVSanFyZEZiMm5zUmpkTGhVNEI0Rk9aczI3WVZwWm0tVUI5UWZKTGoyTkV6NFk3MEJxaTItcEY0SVZZV0szY3JvbDFLR29LNjlhSlNtSkgtOTg?oc=5" TargetMode="External"/><Relationship Id="rId768" Type="http://schemas.openxmlformats.org/officeDocument/2006/relationships/hyperlink" Target="https://news.google.com/rss/articles/CBMiZEFVX3lxTE9hZ3J0RVdIb2JiNW5IZVMxMXpaU0hvYXc3RXBhSG9HQWhyYW1laEE5TTFTMG96SDRTNjkxTTNwelVNRjJzWTliN1BVM2YtUWs5ZUtBVE15OWpkTnFCWmczRjlldFQ?oc=5" TargetMode="External"/><Relationship Id="rId769" Type="http://schemas.openxmlformats.org/officeDocument/2006/relationships/hyperlink" Target="https://news.google.com/rss/articles/CBMiZEFVX3lxTE4yY1A3R1NySkxJZzRTMFR6S1gyVTRBR0lqN1RzY2tRV09ZMjlaQW52SGNmM2didjN3Vm1NVURWb0gzRVhqWXNuWC03TnF6dXd5X2xCSWE4SmltZkowM2FDZnk5UmI?oc=5" TargetMode="External"/><Relationship Id="rId770" Type="http://schemas.openxmlformats.org/officeDocument/2006/relationships/hyperlink" Target="https://news.google.com/rss/articles/CBMiZEFVX3lxTE5QMjN4MWZEUmFiOEMwM01xZkRNUVlOc1BuaTgwaU92a2EwZkNxZEdzT1M0QU1YbG50QzJLQWhsZklRa1BIS25WaWdEWFhlbnA3UXAzOUtSVWFva3JOOXp2RWpxb1A?oc=5" TargetMode="External"/><Relationship Id="rId771" Type="http://schemas.openxmlformats.org/officeDocument/2006/relationships/hyperlink" Target="https://news.google.com/rss/articles/CBMiZEFVX3lxTFAtQ0w3cndvU3ZTV3U3UHJqU3R3dXBhX1B3VzFQajVibUpCb0JJZURidWNPTVVDMjA5WmhsNWlKR3UzTnZXTEpmcWlfQ1VyZVBhQ1hHem11RDRlbUYyeVM1SnMzSUk?oc=5" TargetMode="External"/><Relationship Id="rId772" Type="http://schemas.openxmlformats.org/officeDocument/2006/relationships/hyperlink" Target="https://news.google.com/rss/articles/CBMiZkFVX3lxTE1abC1YSnhPczRaU0V0WUR1N1phdWp1Sk0zeVJNa0UwSG9ab2REY3dKbkdoZVhVam9XeFBMclBfa1U1LTY0bEdrODNBTVRrV2Y5NXJvWTM0MEVVTXlQSlJNdWNQODFBZw?oc=5" TargetMode="External"/><Relationship Id="rId773" Type="http://schemas.openxmlformats.org/officeDocument/2006/relationships/hyperlink" Target="https://news.google.com/rss/articles/CBMiZkFVX3lxTE1wTFNCNUJPMXJRSEh2Q2FzUVBRci1MNkwtbUhCZHk3QmFhOTQ5X3pfWjR3M0s3RHM2VERXOVphQnoyMmdNMTNldV9mTnV2R2JOa243dmZPUXE2MzRjNEc0LWpyOXFEZw?oc=5" TargetMode="External"/><Relationship Id="rId774" Type="http://schemas.openxmlformats.org/officeDocument/2006/relationships/hyperlink" Target="https://news.google.com/rss/articles/CBMiZEFVX3lxTE5nQkt2dE5IbWw4cWpOSXJzNUJCMmhqQml2ZnJVcUM3aFFKZXdKOWI1dy1jLWpYXzFFOWxIcWNXNzNRcjBYdjN2bWtBUEY0Q0M5TWVQMGlmLUhQQWxVeFZmcHNpSVo?oc=5" TargetMode="External"/><Relationship Id="rId775" Type="http://schemas.openxmlformats.org/officeDocument/2006/relationships/hyperlink" Target="https://news.google.com/rss/articles/CBMiZkFVX3lxTFBkWEdHbjUyVHdERGxUZU8yWExLRVFTN1Uza25kQk00d0xPOEhKT0JvLVY0amUtY09JSThGVlRVVDVETnFYTWF3RTZrNEl0Sm1mWlVGQnZkclFpMGNRMGlvRDQwZzh5QQ?oc=5" TargetMode="External"/><Relationship Id="rId776" Type="http://schemas.openxmlformats.org/officeDocument/2006/relationships/hyperlink" Target="https://news.google.com/rss/articles/CBMidkFVX3lxTE5LRGFWSWJlZm02ZXdxdGNFLTdtYkRVcnRWUURXdEJiVWVSTHFEV083X1pyc2RrU1NDbS1tajBrUzgtU29lZl9NQW94WHVwSVRrZ2JoSUtMb2c2LVVtNWlTYWdjOXlpTDY0ZGwtQXliaFgxWkpHWmc?oc=5" TargetMode="External"/><Relationship Id="rId777" Type="http://schemas.openxmlformats.org/officeDocument/2006/relationships/hyperlink" Target="https://news.google.com/rss/articles/CBMiZkFVX3lxTE5DNV9ySUd2YkE4QUl4MEdtYjFtbWJvWE1OeVYxUloxTWFSTW1HVWg0ZzVhM0xtWi1QbElGQ2dLaFVKR1RrbllUdFNqNVhDZDRHdWFHTlF5cmJLUlh5c3BQYnBKcmZpUQ?oc=5" TargetMode="External"/><Relationship Id="rId778" Type="http://schemas.openxmlformats.org/officeDocument/2006/relationships/hyperlink" Target="https://news.google.com/rss/articles/CBMiZEFVX3lxTFBuSU40eDgyb0tVWVQ4dXAyZXNZVElXTTJfQktsVnpESjI4bk9qZ0hWd2VHTmJlNEthQzZQMGZES243SkU0OWRqaV9vMUxTcGNFS0ZBSWh3YU1MRDJHaDgwS3BiZng?oc=5" TargetMode="External"/><Relationship Id="rId779" Type="http://schemas.openxmlformats.org/officeDocument/2006/relationships/hyperlink" Target="https://news.google.com/rss/articles/CBMiZEFVX3lxTE9HOGhPRTdzd2Q3SU80QTM4elFvMllpbjhoaHJDVU13OFA0U18zaUIxTzdvdDlDNUJLM3VUZlRtUGZaNmhSTEwwOFJyZUNrRTJvNUdEV25DRVFUdWlOY1Z3a3lONng?oc=5" TargetMode="External"/><Relationship Id="rId780" Type="http://schemas.openxmlformats.org/officeDocument/2006/relationships/hyperlink" Target="https://news.google.com/rss/articles/CBMiZkFVX3lxTE5ib25pbFY2cl9UY2pmWWh5V2lHWENPQmY5RHd6QmtNbzNyRG9ra3NqUVhObkEyWWtaSlR0T2NHVFVOcDByUDNuTEVxUEJ3OE82NHFkVEVkTGc5YjFuRFItM2Nxd011QQ?oc=5" TargetMode="External"/><Relationship Id="rId781" Type="http://schemas.openxmlformats.org/officeDocument/2006/relationships/hyperlink" Target="https://news.google.com/rss/articles/CBMiZkFVX3lxTE9kaXZ0LUpxVl9uQi1vTUsxX3AzdmI0dmlQYng1cnJIQ1k3MWNlbzdGQkpwVnhVUDFrVHBtUGN3c3A4a1lnM1ZSYm5iNE4wd3JtTFlVSHo5LUR6eEZDZHhEOWdZZXBRdw?oc=5" TargetMode="External"/><Relationship Id="rId782" Type="http://schemas.openxmlformats.org/officeDocument/2006/relationships/hyperlink" Target="https://news.google.com/rss/articles/CBMiZkFVX3lxTE0yN2VTZWJwWGdheVNzZWhXSEpoRkpyS196a2tVbnBTRE43WWlDZmVrcmdrLUhqRDc4WkhfSkhkOHhycVVsckdiMHdvNmp5c3BaQmpqcVlEbW5YQ05NNG1BQ0o1cjIxZw?oc=5" TargetMode="External"/><Relationship Id="rId783" Type="http://schemas.openxmlformats.org/officeDocument/2006/relationships/hyperlink" Target="https://news.google.com/rss/articles/CBMiZEFVX3lxTE9yLWdQTC1xWE91dlh4UHpEWUx5RnUzQXVrQXBBcDh1bGptMjFuVVRmSUhYSVUtZjhqT191SFZINVdWa0FBdm40eWhNTXczOVhPNzBrMlg0clV1T3N5NTY2MnBWNkI?oc=5" TargetMode="External"/><Relationship Id="rId784" Type="http://schemas.openxmlformats.org/officeDocument/2006/relationships/hyperlink" Target="https://news.google.com/rss/articles/CBMiZEFVX3lxTE5Bdjh1Q2lhMkw4bmV6T2hkR1hRU2dYNF9hX05BVmVGdjN6S25EcU5ZclBUMlV6Q2ZiUTZHY2FCd1R6dHQ0LWN0Si00XzAtR2dEZmRCTGhXQVlEcGlGWFUtNlItb3c?oc=5" TargetMode="External"/><Relationship Id="rId785" Type="http://schemas.openxmlformats.org/officeDocument/2006/relationships/hyperlink" Target="https://news.google.com/rss/articles/CBMiyAFBVV95cUxNbm5pWDd4RndldEZ5NU1XRVVESnRLMmdDSUdqU3BDdUx0a29iMEFEMFY1UThtWk5VdDhXd2JMMllwd3h1M0FVZzNNZkM2NmVHUm4wd0FQMk81UDlYZksycnV5N2JIQ1hoYmNsbHlSTURFMkhyc0pSemo2MEt6R2N0amtPenJQWkNZNG1BSUhmbm1MYThvS3ZaNWJsWGtZbm" TargetMode="External"/><Relationship Id="rId786" Type="http://schemas.openxmlformats.org/officeDocument/2006/relationships/hyperlink" Target="https://news.google.com/rss/articles/CBMi4AFBVV95cUxNTDl6T3pqZGJ2LXhxQnBpOHpYNHotZmNCS0tUdHNnUGk3bmRTTzlvUzEyb1cyd0xkUUJPM2VRZHdNbzQtakxwd3QwaDdSS2RXVjdIdWlQa3NjZkU5SnpDNFJPNExoWVlLMzZ3WGNfOEwySVQ4cjBGc3pYNWZmVGZXUDA4c0d3MktieXF1Q2RLOUFBbFUzMTJ4QVJhU3RfMG" TargetMode="External"/><Relationship Id="rId787" Type="http://schemas.openxmlformats.org/officeDocument/2006/relationships/hyperlink" Target="https://news.google.com/rss/articles/CBMiZEFVX3lxTE9rOUlMMTBxOUNFbmxSODhMTmFNa3NiWEV5N0lIVTJ2ZU1uTXh2bUMzblZINGpYWE93Q2R4Q0JybU1tdm1GYjVwQVF5TXhxaUQyY1ptdlVyTy1MdWZVV1h6aHZZb0Q?oc=5" TargetMode="External"/><Relationship Id="rId788" Type="http://schemas.openxmlformats.org/officeDocument/2006/relationships/hyperlink" Target="https://news.google.com/rss/articles/CBMiZEFVX3lxTE9id2ltczVqSUJZdElPcUpzV3RUYkEwTy1PS2VaWVJiQ2lyR28xQ29zTTJacG44b09WVTVBUGlJY24tWkkwY0FOVXZULUpVd3dyd2Y3TzM1Zm9xV1dDUkhET2pmc0g?oc=5" TargetMode="External"/><Relationship Id="rId789" Type="http://schemas.openxmlformats.org/officeDocument/2006/relationships/hyperlink" Target="https://news.google.com/rss/articles/CBMiZkFVX3lxTE1oSkxqcjFxa1FzYl9DNFBlRllJeFpoZWhWV0ZCSEo4MDBqN1pDN1lOWTRpTVRkNllrVloxUjR0NnhPcEFqb3lwU0Nlb3FMbEZuWXNSVVFKd2phVUFEMDlXblZRTmNxdw?oc=5" TargetMode="External"/><Relationship Id="rId790" Type="http://schemas.openxmlformats.org/officeDocument/2006/relationships/hyperlink" Target="https://news.google.com/rss/articles/CBMibEFVX3lxTE5WcmZMSTJCQ1hXN2hpWFN3OFBTN1dHdG12Uk1MQkNPcWh1bUdxdVdEeDI5UVIwekdhRGwzSHBxSHZrUUdsdGNKc1J6dlJDWTVQMTVtUGU2VzR0ZjRJUjMtdm5HSkZaOFZ0RVc1RQ?oc=5" TargetMode="External"/><Relationship Id="rId791" Type="http://schemas.openxmlformats.org/officeDocument/2006/relationships/hyperlink" Target="https://news.google.com/rss/articles/CBMiZkFVX3lxTFBNMzh1ekUxM1NzQTdLcXVtaDdnWGZaclhkR1VNTTJhelRnRUliWDk0RGdnTHNTRkhQRjQ3dkJqR0NIM1VGZ2piajRQQkNraHR3WktRNjlkSzBRVEtSZ3U0SXRUczRVdw?oc=5" TargetMode="External"/><Relationship Id="rId792" Type="http://schemas.openxmlformats.org/officeDocument/2006/relationships/hyperlink" Target="https://news.google.com/rss/articles/CBMiZEFVX3lxTE8xUEFCWlV5ay1XN1hSUmtoR1ZtS2h1NUVTek14VGFOeVREMWw4Rks4UXpuNm1KT0MwZlpzOGJuSC1SanVEMlJycXZ0V1dGaXVQSngxWlFSTDB2SnRTQlNTbG1VQlE?oc=5" TargetMode="External"/><Relationship Id="rId793" Type="http://schemas.openxmlformats.org/officeDocument/2006/relationships/hyperlink" Target="https://news.google.com/rss/articles/CBMiZEFVX3lxTE82Z3ZLd1dMS2xmbHJBQ3dvaDJFdHlELXBKcGlYbXp4NDNZd2EyUmY5NnR4dDN3alJCdnliNjBrZ2lmb1VJVFZkWjhreU40TDA1QjJrX1BCZE9hbV9XcWlySTJmM3c?oc=5" TargetMode="External"/><Relationship Id="rId794" Type="http://schemas.openxmlformats.org/officeDocument/2006/relationships/hyperlink" Target="https://news.google.com/rss/articles/CBMiZEFVX3lxTFBSRDdnc3JKV1dTRnRxa2MyRF80YnA3X3hPM2M1VUI5T25BZUNWeFYwdDl1OFNoOEJjSWhza3NxVVFBQTJWdGtBdTFlX3hTelF3anZvUzdsTy1YYlV2VkxXVEZkdFY?oc=5" TargetMode="External"/><Relationship Id="rId795" Type="http://schemas.openxmlformats.org/officeDocument/2006/relationships/hyperlink" Target="https://news.google.com/rss/articles/CBMiZEFVX3lxTE9WWlk4dnd1b1dFZXlBdFpJeVlqN2xULWh3TTktalZhajRPZkRFRUtDRVlUSzBkUjVYT1lSN3FSRGRDazVRLTRtT0JkWmdzNTduRnh0NDJSWnFrUnF6d2lwOHNrUWg?oc=5" TargetMode="External"/><Relationship Id="rId796" Type="http://schemas.openxmlformats.org/officeDocument/2006/relationships/hyperlink" Target="https://news.google.com/rss/articles/CBMiZEFVX3lxTE85Y1JJdTJOeEM3WUNtN1J6OVZBVEhEdGtoR0RLN2dlODFWVWJHajQydngtQ0kxTFJRMWlIejZtQm1Gc2xkVFJmWTN4U1I2NFZtYk96TXlOWUxwZC1ZQlRsWUlsVTM?oc=5" TargetMode="External"/><Relationship Id="rId797" Type="http://schemas.openxmlformats.org/officeDocument/2006/relationships/hyperlink" Target="https://news.google.com/rss/articles/CBMiZEFVX3lxTE84S3FEQkVRQXozM0VaTVZEbzZSRUpZdlQ2T1Blc0tvVlpWb3ZEc0tLRXBGd0g0ODFqWlN6ZjVPS1hCXzlSQjFpeEtOdjBKTm44MlJtNTdLQmFfeldYUXZlQmx4QXk?oc=5" TargetMode="External"/><Relationship Id="rId798" Type="http://schemas.openxmlformats.org/officeDocument/2006/relationships/hyperlink" Target="https://news.google.com/rss/articles/CBMimwFBVV95cUxQV01jUXozRGdVME9ianFDZXpxTU5zb0RjejhDS2hFT2o5Z3pSSnpEZ1NOb01wc2NpaHQzOVZOSS1sanlpVUdfbE9XYWkwTk5Rd1N2VkxfaHlzOVdmZnNaaTNiZlp0NFBmeE1CeHAtNDhsbFdKOWwyWWZSaVl6SjdObDhzemlZY09hNDdpd3FUVlFyQWZzYVJHNlAyYw?oc=" TargetMode="External"/><Relationship Id="rId799" Type="http://schemas.openxmlformats.org/officeDocument/2006/relationships/hyperlink" Target="https://news.google.com/rss/articles/CBMiZkFVX3lxTE5IMkdoWnp2dDFtYTc4NkFZdFBHczA5SWwxLVZFalVVRnItQXZRdHNjSUtreU5mZDBpMHVvLTBmcU1MaTdYX25mTTg1Q2RsNnFTQXp3WWdLLVZTd0N4azBKZTBHaHc1dw?oc=5" TargetMode="External"/><Relationship Id="rId800" Type="http://schemas.openxmlformats.org/officeDocument/2006/relationships/hyperlink" Target="https://news.google.com/rss/articles/CBMiZkFVX3lxTE1MUENpTnJpSTRUZS1XUFhLWmVNTVRqNGRONmFhVWFXbWtsa2Q1RjZHbWluVnlrdkZ5TnN6QzYxS0hQYmQ4cU8xNGRlZm5XX2Zhb3pENVN0OGNDd0VpQlYzSGd2X3BzUQ?oc=5" TargetMode="External"/><Relationship Id="rId801" Type="http://schemas.openxmlformats.org/officeDocument/2006/relationships/hyperlink" Target="https://news.google.com/rss/articles/CBMiZkFVX3lxTE9nWnZFMmpFRDIzdmNDNU9keEliNEZGWEM3MnhZa1pSYmZWNGFOU245bHhzM0NKbkNqQmhwQ2hZbzd0MUMwOUlFNGc3Z1JlY2JxbkdOQkZZYWNfTGNud3k1R2JWRDRjdw?oc=5" TargetMode="External"/><Relationship Id="rId802" Type="http://schemas.openxmlformats.org/officeDocument/2006/relationships/hyperlink" Target="https://news.google.com/rss/articles/CBMiZEFVX3lxTE5HbEdiaVRHY1Y2QkhVbW54NHdPeW1iX2NWYk54bXV5RVBlVFF5S1BkUGRyVmNHZTJDSW9GZmpKeElXTk9hR3p1R3V6Z2ZhbldtMS0wQVFvckxVdm1JODlEWGNFbkY?oc=5" TargetMode="External"/><Relationship Id="rId803" Type="http://schemas.openxmlformats.org/officeDocument/2006/relationships/hyperlink" Target="https://news.google.com/rss/articles/CBMiZkFVX3lxTE9pX0poTUtTLUFkd05OdUdVSE82dzJlVFowSnY4YWdSQ0lrRmp3aGRKNTlObU5lSndRZ2llOWk2QkxIMW54RG41Zm1icTRKeXduQzg0OURKUGhXbkhqNXlCYWdvd3FKdw?oc=5" TargetMode="External"/><Relationship Id="rId804" Type="http://schemas.openxmlformats.org/officeDocument/2006/relationships/hyperlink" Target="https://news.google.com/rss/articles/CBMiZEFVX3lxTFA5N0JUN0ZHYl9ONnRtVzNDUWk1Um9wcllndDlITHFtSnI0Y25PR0dLRzFyNjNaYTlzbFdNampUak9wUU1xMlBZNU1hZjJKZ2lqSzN1VHNBVjVuQWdpbmkyRmVkd2U?oc=5" TargetMode="External"/><Relationship Id="rId805" Type="http://schemas.openxmlformats.org/officeDocument/2006/relationships/hyperlink" Target="https://news.google.com/rss/articles/CBMiZEFVX3lxTFBQSmowYnNzNUNQVzBoWWxSWW5SRUY3VGIydDREb3JXVTI5RDdVYnQyVklHUF9hbm93YlZvV0RDSkxXN3JTNDhfTWs2LUlvMHExZlJGb3M3Z0JNZjNJMVUtS3BwLWE?oc=5" TargetMode="External"/><Relationship Id="rId806" Type="http://schemas.openxmlformats.org/officeDocument/2006/relationships/hyperlink" Target="https://news.google.com/rss/articles/CBMiZEFVX3lxTE9PWElBSm4tTUhhNGxUUXRaVlVISE5vUG5zN3dkTmpXcDlGelJ0YVFYS1hselZYN0pJWk9MU0lnTVBBXzVnc1JhcE5wdC1PQlVSRTBmUS1OUWVNNTJ0b0JraTIwOFM?oc=5" TargetMode="External"/><Relationship Id="rId807" Type="http://schemas.openxmlformats.org/officeDocument/2006/relationships/hyperlink" Target="https://news.google.com/rss/articles/CBMizwFBVV95cUxPZ3JKWGU5bGxCUVQ4c1d4Qi02LVJ6Y3BsLTB2RnZEd3RSMy1rdXFvaUZjV3NlOWIwSW5JaXJRaEpDdEx2SllORjMtYUNIcmlCc2U0NHBGbmxjZUNDMzR2aDhXSDFOTmU0ZTlJdmNNSWtwSEVLRjFaREFsTXpBN3U2c0h3c1loTkY1ODYyYzY4S01OMFlGZzVreWY0dFVEQ0" TargetMode="External"/><Relationship Id="rId808" Type="http://schemas.openxmlformats.org/officeDocument/2006/relationships/hyperlink" Target="https://news.google.com/rss/articles/CBMigAJBVV95cUxPbWxqejdnZUFwVmVwSTdfb3hGaDllS29UbFpLdmdPYWktTjYyaFVjWWJUdDFPY1NRcXdHR1BsWS0tU0FmdUhkeE1Yem9qeU1xYXlUaEpzakZKbXIzeldiSHliY1l1RnlMMi1vczlDbW1LbG5zSm1OcnYtWUQxdWdyUklYS19xQTlFZmx0ekVsc3VITU1XN3dTRDluUnpSUV" TargetMode="External"/><Relationship Id="rId809" Type="http://schemas.openxmlformats.org/officeDocument/2006/relationships/hyperlink" Target="https://news.google.com/rss/articles/CBMiZEFVX3lxTE1KS3J3YlJTdUtjSVEwcHFYNmJmR1ltd0JZLTFpUGcyN0ttUFk3RzlJeEtlZjFLemI3NnVFd2VCZzlNM0pQcFN5d1ltM0k4ZlZXck5EVlRwZ3pyMk1QR3hiVkdsZjg?oc=5" TargetMode="External"/><Relationship Id="rId810" Type="http://schemas.openxmlformats.org/officeDocument/2006/relationships/hyperlink" Target="https://news.google.com/rss/articles/CBMidEFVX3lxTE5yTmZRWno3SzB2NWhpLXEwQThmdU10bE1WMU1NREVSVXlkYjVGenNxT2tTSTI0MWxFVHVXeElzdGQtRU1IZUNOb1ZsVTVleG1oUG85MWZsTXNTUUZWNjNVbmdubTYyYkVWb0xmUlpnMGdRWkox?oc=5" TargetMode="External"/><Relationship Id="rId811" Type="http://schemas.openxmlformats.org/officeDocument/2006/relationships/hyperlink" Target="https://news.google.com/rss/articles/CBMiZkFVX3lxTE10LTRDc0tCUTRGd2RsRGgwNmx4MlMzQmRlaHlhb05ONHRsVmhvcDBXZDZ2V0syeFFKWm5PTnRKaXZ4SHRDTEpqN21yNWFwUE1IXzFrWnc4aGNXU0RmUUY2Uk5jNlJJdw?oc=5" TargetMode="External"/><Relationship Id="rId812" Type="http://schemas.openxmlformats.org/officeDocument/2006/relationships/hyperlink" Target="https://news.google.com/rss/articles/CBMiZkFVX3lxTE43NlBEZ25iYTVrTGp6MUY4UEltajl4SmpZM05tLWRtd2Z4Uno0QmotRFJDcmZyWUY2ZWVvdGZlSmRJNDc4SWRNT1VOUHgxektfZnVCQVdJTEZBejFrSm5LV0w2YTZrQQ?oc=5" TargetMode="External"/><Relationship Id="rId813" Type="http://schemas.openxmlformats.org/officeDocument/2006/relationships/hyperlink" Target="https://news.google.com/rss/articles/CBMidEFVX3lxTFB3aEV2Q3Q5Ty1kWTBCQlFWNGhQUXRySjJjUTdhLTlTY18wRTd6VENaR2YtM0pNd2I4VnJ6ZkJfcTNKUW5WdG5SajMzNm9vZzZNTDFYelhsVEFWbnB1cHFFbE9WRDRwWDBZY2Z2RTczUmNKOWZh?oc=5" TargetMode="External"/><Relationship Id="rId814" Type="http://schemas.openxmlformats.org/officeDocument/2006/relationships/hyperlink" Target="https://news.google.com/rss/articles/CBMiZEFVX3lxTE5oYkZ0S2w3WHgwMXAtc0VaRHVwTjVZX2FXb2NKeEVaNE5iVmcyOTgzbnpkRjVRMDU5clh5bjJabWZzWm40aFlnVnRqamdUNnh3RFh2czJSSHZOZGVCb3c1TXJFaGs?oc=5" TargetMode="External"/><Relationship Id="rId815" Type="http://schemas.openxmlformats.org/officeDocument/2006/relationships/hyperlink" Target="https://news.google.com/rss/articles/CBMiZEFVX3lxTE9pdEUwX1ZvbVFRc19hSEkyUldhNTBtcEdnakt6VjI1S2VsenlYeXBPTDdzYWxvalVBZzBBd21DRGFpbnBQT09MOHlOVmdDc3BNLW1VanlhUGhTSnlQemk0WWVaV2w?oc=5" TargetMode="External"/><Relationship Id="rId816" Type="http://schemas.openxmlformats.org/officeDocument/2006/relationships/hyperlink" Target="https://news.google.com/rss/articles/CBMiZEFVX3lxTE8tMThqeGtoX3BCSXhoS05pazVIdnIxUnlKQUhEZ3VBaTdKdnRwbXY5T1piUnJRR0hLcTYxdUdvYjhQcDdXLUFYNnBEb3k3cm43VVhHXzlZSm5FbWdqck1oZjNYX1U?oc=5" TargetMode="External"/><Relationship Id="rId817" Type="http://schemas.openxmlformats.org/officeDocument/2006/relationships/hyperlink" Target="https://news.google.com/rss/articles/CBMiZkFVX3lxTE0ybkRONGV0WUcxRmFRLWpNUHE3R1E4cFZHVmlUalA4UzRMUnAtbXVHV1dDUHU3RUlxaXhPMXFCdWN3bEZha3RxcVMwSU14dm8tVkUyY0NOUUczeWw5cWdneVh2TnB2UQ?oc=5" TargetMode="External"/><Relationship Id="rId818" Type="http://schemas.openxmlformats.org/officeDocument/2006/relationships/hyperlink" Target="https://news.google.com/rss/articles/CBMiZEFVX3lxTE1BT3phYVNjTmNsTGxfNUdHOGlqLWdzZVBmZlJ1YWpSRnBhR00xTUlpS1ZfWFgyczV4b1FrSk9qdkxhZjctX183RzdTaE1qTEh2NEpWWnM1UlpPcFkwNjRwWmR2VXA?oc=5" TargetMode="External"/><Relationship Id="rId819" Type="http://schemas.openxmlformats.org/officeDocument/2006/relationships/hyperlink" Target="https://news.google.com/rss/articles/CBMiUEFVX3lxTE4tZ3dTQ1VQTXU4dDAxQVh0U1M1Skpta3BSa2pEV3RsWm53WnFKWmtJWmhsMVFNd3g1NU5OS2QxcVppTmVJTU52endnS2t5Y1lq?oc=5" TargetMode="External"/><Relationship Id="rId820" Type="http://schemas.openxmlformats.org/officeDocument/2006/relationships/hyperlink" Target="https://news.google.com/rss/articles/CBMiZEFVX3lxTE9kSlBRT3lRUVp6V1pKMWktSkRYSkRfSGpWZUlIN09aaFc1RF9KbGk5eUdIU2NTTmM4MHhyU2NVeGY0RlNna2lSblpBdEh0ZG8wRUdWQmdrRGhUaFhCVjgzMWJaOVA?oc=5" TargetMode="External"/><Relationship Id="rId821" Type="http://schemas.openxmlformats.org/officeDocument/2006/relationships/hyperlink" Target="https://news.google.com/rss/articles/CBMilgFBVV95cUxNOVJBUXJTbE5YMHJTeWtQV1FhUjZyZlh2NDBTOENSYVFGbWplSVlFOXRrZDFNaWVPNmpxTncxT1ZBaGdQY1Y4NnVEX2RIYk1vWk5KeHVmV0d5S0tVblBOUVdmd1BRVEdFNUxWeU53U1FWUFUwZGxrX3dWcWd2V3hWdmdub2UtQUtSdkhhQ3VXODh3VWtXdXc?oc=5" TargetMode="External"/><Relationship Id="rId822" Type="http://schemas.openxmlformats.org/officeDocument/2006/relationships/hyperlink" Target="https://news.google.com/rss/articles/CBMiZEFVX3lxTE5xQkhIUXdHYU9oQm43aUY0TTlpSkZVMGtXOHBLazMxUlZEM2xYaTFHN2MxWXNBOFlBdUwydmFsdTBpTFc1c2JUcmVNdElvS0lNZm9XYngyVW9Wbk83b1lURmNoRFY?oc=5" TargetMode="External"/><Relationship Id="rId823" Type="http://schemas.openxmlformats.org/officeDocument/2006/relationships/hyperlink" Target="https://news.google.com/rss/articles/CBMizgFBVV95cUxQMzBIZ0c5bjBmZkl3dHNxcGtSSnNDczUtY0xXVXQ3S1lZc1RLNVFGVFhUOUtvd3YzTmRzUmpLNUJmTjVFZ0lTYlNza3NoNllOSEdyR0liYnBuSVpVLXhqaUdfejV2SHJkdWNDQ3F6ejZrVTUxV3g0MEkwWU1zaUdmeGlONFprcU1GU05haDkxczFXT3daUzBlWm51R3Rva1" TargetMode="External"/><Relationship Id="rId824" Type="http://schemas.openxmlformats.org/officeDocument/2006/relationships/hyperlink" Target="https://news.google.com/rss/articles/CBMinwFBVV95cUxPRUc1cnJqSHRnbWRTQ0Y4MlN2RHhtQUltZERtTDU4QnZ0YlNrOEhXRXZtNlN1V1ptenhzcWR5TzVnRjFlZWxpLXpIMXFnazJ3bldrSVhqWFJoalVjRTcwNUNLVk1FTjc4SWFIS1d5cUkxQ09LbVM0cVVjWk4ybkJYWmVfMDNuUTY4MHgzS015SVdMUmRvYlgzTVJ3cVFTaT" TargetMode="External"/><Relationship Id="rId825" Type="http://schemas.openxmlformats.org/officeDocument/2006/relationships/hyperlink" Target="https://news.google.com/rss/articles/CBMiZkFVX3lxTE41clBPUmFtMi1FQTc0QW5zMkJCcGQwbkFZTm55dmlsSTZkblQ3azBKWDNmbno4anpubFVPQkczNkRBOHVTbEl3cEFCdEF3ZmdOSnJiV2FBZDFMR29lZ3VmUExWdDl6dw?oc=5" TargetMode="External"/><Relationship Id="rId826" Type="http://schemas.openxmlformats.org/officeDocument/2006/relationships/hyperlink" Target="https://news.google.com/rss/articles/CBMiZEFVX3lxTE1tV1YycWxkTWM5aXhhRXFBQzlpdFpGN25sbFE1Ri16QnVUck9teGo4ZFpXeC1qbmQxWU9qR0hkX1NGMDFpUGN6TkotYmVwdm93bk1aS1MtUmZVTEV2Y2NuWDBmdWM?oc=5" TargetMode="External"/><Relationship Id="rId827" Type="http://schemas.openxmlformats.org/officeDocument/2006/relationships/hyperlink" Target="https://news.google.com/rss/articles/CBMiZEFVX3lxTE1YTTlWTDZWcll1bHExMzVlSTB1c3JPTU1LVUxDMkJkOUYwcVFrLUdjbUZuWEtUOHBabzhqcEttWm11X1JFUEhueHhDTjNkckFxSER0Y1FnSG5fQnU2UjNaRXBRYnk?oc=5" TargetMode="External"/><Relationship Id="rId828" Type="http://schemas.openxmlformats.org/officeDocument/2006/relationships/hyperlink" Target="https://news.google.com/rss/articles/CBMiZkFVX3lxTE84dTZqaGNaYnpSclc3NjNRRHU1QzVGdDVRbmIyYllrV3dxQ3plOHB6YjQ2U2F6ZXpQUlVCVVpsSWppMEc3dDR5RXRLYXRiUW8zT3pHLVNxM1BLaDM2dUZqQkdwalBRUQ?oc=5" TargetMode="External"/><Relationship Id="rId829" Type="http://schemas.openxmlformats.org/officeDocument/2006/relationships/hyperlink" Target="https://news.google.com/rss/articles/CBMiZkFVX3lxTE9ScGJ6OG4ybHJDRm8zUTctRmRCSHhURnFqeklfNzBDa1Jhdl9LMEhSNEt2OFlQNEo5ckpFc1poQlpiR2FGWllqb1ZpeEU1SWY1c04zNV9fczVqcWRZNmZESkd2NGNBUQ?oc=5" TargetMode="External"/><Relationship Id="rId830" Type="http://schemas.openxmlformats.org/officeDocument/2006/relationships/hyperlink" Target="https://news.google.com/rss/articles/CBMiZEFVX3lxTFBDbXJhRllnbGM2RGtnazJjSEhxMDNycVRjRFoya29xUzRKVTNBUEpGX3JYMXhtSFZNVEVodlNiQU9UaTRGMnYzbHVJa2x0UkN2THk1SWlSd2VQR0xCZlFFdXNKME4?oc=5" TargetMode="External"/><Relationship Id="rId831" Type="http://schemas.openxmlformats.org/officeDocument/2006/relationships/hyperlink" Target="https://news.google.com/rss/articles/CBMiZkFVX3lxTE51M2NEbWpoUGJkOHV0YzRSa1FJYXJxM01hUkVMLTd3TnJiWHFiTEVQa0NTb1c4eGQyZ0x5WTVkV0UtSHo5YWhuTFQtcjJPLXhtT0UtUVU3Ynk1NU9TOHlrbDZiMDdXZw?oc=5" TargetMode="External"/><Relationship Id="rId832" Type="http://schemas.openxmlformats.org/officeDocument/2006/relationships/hyperlink" Target="https://news.google.com/rss/articles/CBMiZkFVX3lxTFBqOHNLNG9CTEI2bG80YWo4U1pKSGZQV1VvZl9PcjU4NDZMRGYwU0JJUUpmbWFBQldJTmt1LTNKXzBnM3J3NnNaSlpQLTNWXzE4VkxTcjRPeEpaX05HM0Izd3R6OS03Zw?oc=5" TargetMode="External"/><Relationship Id="rId833" Type="http://schemas.openxmlformats.org/officeDocument/2006/relationships/hyperlink" Target="https://news.google.com/rss/articles/CBMiZkFVX3lxTE5oVWNOcmpKaHloMGJXSWxlWlU1c3cwY1BBNUtzRndLMkZkem41SG1BSTB1UDNWMk5Qd1E0NUNvY0k0UHotZmFrRm91ZlFWTy1qUkhTS3NDaHRqa19PZ1dqUk1XZFNOUQ?oc=5" TargetMode="External"/><Relationship Id="rId834" Type="http://schemas.openxmlformats.org/officeDocument/2006/relationships/hyperlink" Target="https://news.google.com/rss/articles/CBMiZkFVX3lxTE5NRWpBWGFhMEJwLVY2MW5XRU1XelFzYzYyNE9sTUdjYkpoTWxWSFpSNURLZjRtTVRjTHk3RzhYV3kxdDRMLUo2ZDRIT084ZUNLdmI1dUtWRW9tQTVVeXgtUnNzUUw0Zw?oc=5" TargetMode="External"/><Relationship Id="rId835" Type="http://schemas.openxmlformats.org/officeDocument/2006/relationships/hyperlink" Target="https://news.google.com/rss/articles/CBMiZEFVX3lxTE83X0lrNnY4U1hScjBkcmpDak9vUXYzWmY1WnZ3UEh3WmhxTG5sOXhvZE5PWGd1bXFQcUNyV2Y1eTJycmxrZVdNWkR1NXpKR2dZN01hcjBpci0taVd0dHRmb1cwR2w?oc=5" TargetMode="External"/><Relationship Id="rId836" Type="http://schemas.openxmlformats.org/officeDocument/2006/relationships/hyperlink" Target="https://news.google.com/rss/articles/CBMiZkFVX3lxTE84SUdEeTgtQkQzM3FTRklhMWR3TUpTeWZqNjZhM0xpckNpYVU2OVlBZ0hGc0VzNGVXNGkzelJxU1l4bTRRNVJzMk44b0VNbHlqeTZDRENncjBJX2FKY09XY1VJdlV2QQ?oc=5" TargetMode="External"/><Relationship Id="rId837" Type="http://schemas.openxmlformats.org/officeDocument/2006/relationships/hyperlink" Target="https://news.google.com/rss/articles/CBMiZEFVX3lxTFBjV0tLQjYtakdGMDRjZjR3OUgwQVRHOFM4RV9tRGMzR1F2aFlGUnExMVZiaXN1RzJRLTVUNEpxYWlMYnVFQ1VFb3dmaFo1TkRtem5SZmwxY19VZ0Q0SzVnTF9NNjY?oc=5" TargetMode="External"/><Relationship Id="rId838" Type="http://schemas.openxmlformats.org/officeDocument/2006/relationships/hyperlink" Target="https://news.google.com/rss/articles/CBMiZEFVX3lxTE1MZkllT1RYbUN3SXFMLU12eVdERjdjYngwcHAyY3RzM01ZSGlQUFVTeWZOU000elQteXVoNzR5c0M0Qm01QU56dE9ieEhmaXNhUFFOXzNHSHdMMFFIdnpmbjAwSXU?oc=5" TargetMode="External"/><Relationship Id="rId839" Type="http://schemas.openxmlformats.org/officeDocument/2006/relationships/hyperlink" Target="https://news.google.com/rss/articles/CBMiZkFVX3lxTE1aNGVhRXNSeVFrWFhncDl2UXoyM0dfc2RQdGhiVmh3bkdmZk1tOFFxVzJ1cjdLUG5qZXBFOGpjdG1DRU1yeXdrWFZSODh4bW1YdGZwNHRRamZrb05YRVdpMnRPUDAwZw?oc=5" TargetMode="External"/><Relationship Id="rId840" Type="http://schemas.openxmlformats.org/officeDocument/2006/relationships/hyperlink" Target="https://news.google.com/rss/articles/CBMiZEFVX3lxTE5qMXp4b3lRZXlsWGI1NVBIOXQ4X3BUeExPRUxwUy0wT2d1UkVURTVuamEyZ3d1MTJ6T1prSUJrRExqTjlwdUdteUU5VVV4OUVtRjd2RDFfTVF2ZzlWeVNQRUE0b0k?oc=5" TargetMode="External"/><Relationship Id="rId841" Type="http://schemas.openxmlformats.org/officeDocument/2006/relationships/hyperlink" Target="https://news.google.com/rss/articles/CBMiZEFVX3lxTE12bldWeV9ZN2Y1cEpWZm9naDNDR0hhM1YtSkhYcFdwbjBHNGw5cUhZQXZYcmh6SVJmb0JydUxRa2FOa2QtR0lBdDlZSFRBTkJ6Wm9nejB5MGtpQ2RMZnFOUXM2TjQ?oc=5" TargetMode="External"/><Relationship Id="rId842" Type="http://schemas.openxmlformats.org/officeDocument/2006/relationships/hyperlink" Target="https://news.google.com/rss/articles/CBMiZEFVX3lxTFBZRzJVSVU0QkFaR0t2OGszU01ROTcxU1ZOT2h4VlVRelZUT01XSXF6ZlRDU0xsaUVMRWNVRW5wUlBMakFsbTBxVWdWcXZhRDZJMEo0VVoxa1JRamNGbWpPa0hHYXE?oc=5" TargetMode="External"/><Relationship Id="rId843" Type="http://schemas.openxmlformats.org/officeDocument/2006/relationships/hyperlink" Target="https://news.google.com/rss/articles/CBMieEFVX3lxTE4xZjFtZWpuSXN3d2xaOTdIbWpudUVneXFjY3I2YVZOYzA1TE1jcDAwQ1Q1S3ppcGh6b2NRS2FTdS1fVmhLdVdoMUxvYzFZV0FBRC1EbksyV3JvT3JBVlFwT3E0ZUpLQzQ4Q2trQ3AxbGpBdE9yOW4xWA?oc=5" TargetMode="External"/><Relationship Id="rId844" Type="http://schemas.openxmlformats.org/officeDocument/2006/relationships/hyperlink" Target="https://news.google.com/rss/articles/CBMiZEFVX3lxTFB1M1JWa1A4VFV5RWpfQmZaS2hOamI3V3VmVXVWSTA2WkhaYVlsb3ZyQ1VKdTlURVE3OTc5UlZxaFJlLVZLREVLRTB1dmlGV0Jqd2gyMEJMSEl3SWNidmROUk5vaDc?oc=5" TargetMode="External"/><Relationship Id="rId845" Type="http://schemas.openxmlformats.org/officeDocument/2006/relationships/hyperlink" Target="https://news.google.com/rss/articles/CBMikAFBVV95cUxNLUJFU1dQeERnUy1DTmk0TzVBeU1fTld4SmFpdUhtbnAxUlJCd0JuSGFQc1pTc3FjakM2ZjFQUVlBM3lZMWsyRG50ZWJVSGpfS0UyYTY4b0tNZ2NZMzBRbTFJRS1OemRRWFpEUFp1Tlkzc2VWZ3FQYU1ieUVsT0hkYjVrOTl0c1d3NXVQdFBucDQ?oc=5" TargetMode="External"/><Relationship Id="rId846" Type="http://schemas.openxmlformats.org/officeDocument/2006/relationships/hyperlink" Target="https://news.google.com/rss/articles/CBMiZ0FVX3lxTE41MTJjcUd2blpaRTUzN0pEMGFEM3dxdS1mRTlYRFZPbk5lRlN0clBoOG9LdFVEX0FMNGZhb2hjdzQydk5xVG5XX0d0YjludFo3Tk5Oc3FuV0ZoaUVxdHhwakdFdHRqVXM?oc=5" TargetMode="External"/><Relationship Id="rId847" Type="http://schemas.openxmlformats.org/officeDocument/2006/relationships/hyperlink" Target="https://news.google.com/rss/articles/CBMiZEFVX3lxTE84Z1dMV2s4UFQ4cDFtYWoxVXExZFIyNGYtZy1Gck9XMWpIRU5laFFWeFJlTmpUaU50VHVmeS1vV19KeHBPaTB3NGdoNF9lNWNwZXllTVRya1RpNmhacVQ2YVpjLVY?oc=5" TargetMode="External"/><Relationship Id="rId848" Type="http://schemas.openxmlformats.org/officeDocument/2006/relationships/hyperlink" Target="https://news.google.com/rss/articles/CBMiZkFVX3lxTE9Pb1JUUjI4bXNWbG5BWW54MGt2UVFTb1E2ZjRYVlJPbFhFcEZQQnNkWlM4VmZxX3ZmMmxDdlpFa3htYmlKU0k1XzlaWG5XZXMzOVV1dkFVNTYtcXNtNXpxcGFHTXQwQQ?oc=5" TargetMode="External"/><Relationship Id="rId849" Type="http://schemas.openxmlformats.org/officeDocument/2006/relationships/hyperlink" Target="https://news.google.com/rss/articles/CBMiZEFVX3lxTE9rOUswcUpTbHhHNHZqQl9GLVZyaUkxS3hJd25nTkEzNVhVc0FMUGZqRXRIV2Y3VndNVUpIc21SZ2l4V0tDNnJSWjZ0QlM1WU9rVURWMnFaeFJRcnk5d0tpeFNiZVo?oc=5" TargetMode="External"/><Relationship Id="rId850" Type="http://schemas.openxmlformats.org/officeDocument/2006/relationships/hyperlink" Target="https://news.google.com/rss/articles/CBMiZkFVX3lxTE5lT3BZQUYxcWtJYnh0d00waDM3cEJmT2pJVE43TTRsSjJjQU8tWWpQOGcyT1BMczVyQVRLbmJRa2J1ZWxjemlFd1VMRXdoZUVuX3pSSkVxZHRSNWpsVndoNV9aYnZwdw?oc=5" TargetMode="External"/><Relationship Id="rId851" Type="http://schemas.openxmlformats.org/officeDocument/2006/relationships/hyperlink" Target="https://news.google.com/rss/articles/CBMiuwFBVV95cUxOeXl3ZjR1OVROdVhHdEF6eEFKUVhIcjd1OVk0MVlCa09zR0ptWmxvZk54dVg1QThCT19vd3pZdDRWRVNweTZ1VW4wRVdlZVVGM3pwU3Z1ZTJYTnZHejVYQUp4MXVXQ3RzZUE2cG53SE5RQWFhdjRHdXhGR1V5SGlORVQwWXB1VVppNHJhNFZzRDhaa3cwMF9BYlIxcVM2Wj" TargetMode="External"/><Relationship Id="rId852" Type="http://schemas.openxmlformats.org/officeDocument/2006/relationships/hyperlink" Target="https://news.google.com/rss/articles/CBMiZEFVX3lxTE03TmgteWltUnBvRmFrcUdVQS0weHgwMWVCX0NLeUpJT3NsSzBYRlBDMlpuMTQ1c0ZMQTRyWnNob2tLUmlQN2RES0FGQm5rM1gzeEtkVkhZODFtcGVBMVBwMHRoSDY?oc=5" TargetMode="External"/><Relationship Id="rId853" Type="http://schemas.openxmlformats.org/officeDocument/2006/relationships/hyperlink" Target="https://news.google.com/rss/articles/CBMiZEFVX3lxTE83UDlncVI0TlltV2pOZDlMYk5YSWxoTjFnU0pwZGVjSmxXei16V1M1MWsxQ2FfTHNlSFdRMDlIZ0ZuN2xwQ0pTZVk3VEgwU0hfajliREJVSGpmeGhFVEhsSG9UT0Y?oc=5" TargetMode="External"/><Relationship Id="rId854" Type="http://schemas.openxmlformats.org/officeDocument/2006/relationships/hyperlink" Target="https://news.google.com/rss/articles/CBMiygFBVV95cUxQck5NQTBJUTZydFJlN1NoXzdrY25yTGVQcW9TdWJuN2M4djRIbDVOWlFUVVFhdHZUSUtwNHJwOHJacnYwT0hXVVlScmxWUFFEMFctQnQxVWRZalZacEV2YXBOenVHYktQYUV4RzZXTGtWUXNjLUFtek1rbmN5U0s1eGhYRzdaalA2Uk0tUGtvWlVsWlhITlZWTmZkaVZnUG" TargetMode="External"/><Relationship Id="rId855" Type="http://schemas.openxmlformats.org/officeDocument/2006/relationships/hyperlink" Target="https://news.google.com/rss/articles/CBMiZEFVX3lxTE85NTBkOFJfcWhXRDZRZzFHRjNWLU82WXRBUjlkcTF3eVlHX1BOQjFZdjNDVUF1THVta2FsaTVFeXBDbTNkaUl0c240MC1TTDQ0N0J5c2hSSzBYcThUM1FnbkVhS0o?oc=5" TargetMode="External"/><Relationship Id="rId856" Type="http://schemas.openxmlformats.org/officeDocument/2006/relationships/hyperlink" Target="https://news.google.com/rss/articles/CBMiZkFVX3lxTE04ZXEzclRYUXVVWjVOSDBGYldya19DQkN4ZkNJdE1DdnBKYVVlVlZtc19UZU1tX2liSXZsZFBITTdIQnlCMjRqZUQ1SllBUXdPY3VhS1U2SzlkU3dYM0NtMHlRejU2QQ?oc=5" TargetMode="External"/><Relationship Id="rId857" Type="http://schemas.openxmlformats.org/officeDocument/2006/relationships/hyperlink" Target="https://news.google.com/rss/articles/CBMiZkFVX3lxTE0zaDZzd3NVdWlvaEFzRGRKSE9Td2hfcGxvR2NMWkRsdmN6b0VlMVF1RmRjUzJQSnIwRHZTTnpuX3M3TjNka0R1bm9JTWV2aTRacXpMRXg4NHZDQ1JUd0xScEFwdk96Zw?oc=5" TargetMode="External"/><Relationship Id="rId858" Type="http://schemas.openxmlformats.org/officeDocument/2006/relationships/hyperlink" Target="https://news.google.com/rss/articles/CBMiZEFVX3lxTE1wTVZsNko2Ql9wNHR6dTBaa0dEaE84UWtPNURtZjZ4WXBxQzBHQnZ4UThXanZmWDJVSWI5T1g4XzNWek9KY0xMR3dXWnQ2RDVLQ0VPOGJyZW1meXVuNE12RGxGY2g?oc=5" TargetMode="External"/><Relationship Id="rId859" Type="http://schemas.openxmlformats.org/officeDocument/2006/relationships/hyperlink" Target="https://news.google.com/rss/articles/CBMidkFVX3lxTE15TzljUHowT2xUU0xNMHRENmt6RHVWZHFqb1owWWZJVFdvZEZLbDlVRno0MG54aVpMd092dlBvLTlXWWNGbk9KUTY4dGNOb1R0WWxMOTdsY3hoOWdybHpLLWZyWjJFUWZmZ1VkU1RwVDBibE5wYnc?oc=5" TargetMode="External"/><Relationship Id="rId860" Type="http://schemas.openxmlformats.org/officeDocument/2006/relationships/hyperlink" Target="https://news.google.com/rss/articles/CBMiZEFVX3lxTE5zTzY3SWk3b21lT2lza2lQN3FfVWhUSjB2TFFnNWJibmNURUN4U3NJMGFlNTcyVTRpVFZabFJ3V1BYUEJLRFh6U29xcmVPWkR2VFNCbjV2d3J2NUw3cDZIdjczaUM?oc=5" TargetMode="External"/><Relationship Id="rId861" Type="http://schemas.openxmlformats.org/officeDocument/2006/relationships/hyperlink" Target="https://news.google.com/rss/articles/CBMiUkFVX3lxTE16NTNOdVkwZkY3alRmU1phcWhRS3c2emp3d09zSm1BSkg5QlJCRWE0bkRmYS1qQkpRMEpJbDZ5aUYtbDlGTEpkdVdqNm9zSTJuYWc?oc=5" TargetMode="External"/><Relationship Id="rId862" Type="http://schemas.openxmlformats.org/officeDocument/2006/relationships/hyperlink" Target="https://news.google.com/rss/articles/CBMiZEFVX3lxTE1nQ2ZXZU1hTWxSTnZuczc2Z0JGMUJ5U0FLVU9wWWxtTzJXV3J6VU5ZY3FsVFVoOTg5eG9hRG56T2RLNkxlY2hicE1ObnQybkQ0ZWt4NURYdjJHa2s3REZyT0FnMTQ?oc=5" TargetMode="External"/><Relationship Id="rId863" Type="http://schemas.openxmlformats.org/officeDocument/2006/relationships/hyperlink" Target="https://news.google.com/rss/articles/CBMiZkFVX3lxTFBnT1VBdUt5Zk5QWlVrOFVTTUVpZl9GVm9YOG5HOWUxRzZEbzVLY2c2NXV4RHU5R2NIM0dFLU1Vd21HNUEwODhfMk5wR0l1ZjBQYkZyVUlNX1BxQ0xTZ3ZhNXpLRmQ3Zw?oc=5" TargetMode="External"/><Relationship Id="rId864" Type="http://schemas.openxmlformats.org/officeDocument/2006/relationships/hyperlink" Target="https://news.google.com/rss/articles/CBMiZkFVX3lxTFBjdmhHZ2g3ZWhiRFlhYnFqYXAxcm1jR1I3cThsYVpFbXd3enVSMlh1STFQT1dUTk54YzNMX2NGUTZlRzdqNHBHYjhwTE1qMWhiRC1rZHppZ0tQR21lNDBjOGhYczRzdw?oc=5" TargetMode="External"/><Relationship Id="rId865" Type="http://schemas.openxmlformats.org/officeDocument/2006/relationships/hyperlink" Target="https://news.google.com/rss/articles/CBMiZkFVX3lxTE9MdG9PS1E3c0lkS3ZqRnNpYi13T3cyR2M5eWRhejgwM1ZWWFlKNzJjRE9fVEN1RTRIZmRRa1NNaW16ZXU2TlFuRklSWFcyV0RFaEhSVUg2amNQYTBSbkxYWlA5X1NiZw?oc=5" TargetMode="External"/><Relationship Id="rId866" Type="http://schemas.openxmlformats.org/officeDocument/2006/relationships/hyperlink" Target="https://news.google.com/rss/articles/CBMiZEFVX3lxTFBMTW1vR215OHBpaG9sN1lHZkI3WGY4VlQ3dlVLNjhKcURtb21QMGZSSTY4bV9ObVBGejEyWHFuVHhEV05XV1RvdGlHM19fRW1ONEpFVzBtTUVhQ2hJTGc3WFFOS0I?oc=5" TargetMode="External"/><Relationship Id="rId867" Type="http://schemas.openxmlformats.org/officeDocument/2006/relationships/hyperlink" Target="https://news.google.com/rss/articles/CBMiZEFVX3lxTE5hOTRWUDlpZFFvQXExU3YtNk11ZXVwbUxPcW8zelRaZWJzQl9nQll6VlNZWjd1QnRJbjNZUTA1WXpsUUxmRHZDbEZBU3pUMWlIcGxwRWtNWlk5WHNLSnh4N2dfa2U?oc=5" TargetMode="External"/><Relationship Id="rId868" Type="http://schemas.openxmlformats.org/officeDocument/2006/relationships/hyperlink" Target="https://news.google.com/rss/articles/CBMiZkFVX3lxTE16aGxhaUppX1JocUJYOHpsY3NpLWd1YXJKLS1MVmZFLVV5bU1JYy1ncGloaHNNQTQ3ZGM4bjAwX1poUXNwTi02czdJVzN5TW9HQnlVdVVkc2tGREZNTEdES0NoNWRlUQ?oc=5" TargetMode="External"/><Relationship Id="rId869" Type="http://schemas.openxmlformats.org/officeDocument/2006/relationships/hyperlink" Target="https://news.google.com/rss/articles/CBMikAFBVV95cUxNdEpscUFnYXZoVDFPLVpyNnZfRmFDZEFaeXRsbGdkYUF1QndsRy1JY015amMyWlA4ck9qQ2tvOTBCYnhSVVNSakFUSHMwMnM5LTdaYzBtNmgtSm9YZF9ENExYU2NMSXBRV19vOUNMVmFKUWVFS2M4azMwX0pVaXlnZE5OZnp1YkFRa2hvM28wbHY?oc=5" TargetMode="External"/><Relationship Id="rId870" Type="http://schemas.openxmlformats.org/officeDocument/2006/relationships/hyperlink" Target="https://news.google.com/rss/articles/CBMiZEFVX3lxTE1Tdk01ZlZ3SUZQMXgzMktma254SFhFLWJpa05jRFpPNi1mRVlYaFN2NEdncmpOMnIxMFpfUHFUQ1pDekpnZmF1SHNwSG9tNjdtZWF6UzFKeENmd21mei10MzBCX2g?oc=5" TargetMode="External"/><Relationship Id="rId871" Type="http://schemas.openxmlformats.org/officeDocument/2006/relationships/hyperlink" Target="https://news.google.com/rss/articles/CBMiZkFVX3lxTE1NN0RjZnk3RHRzVGVDeGtQX2tvd2NhVm9tRVdSb3d2czFTbWFVM0YyeEFBTTFqWXcxS0FCU0haOElJVXdRSHAtRThBUW5NMW5rbVIzTW1DcnUzOU92V3VKQUd2ZzRxUQ?oc=5" TargetMode="External"/><Relationship Id="rId872" Type="http://schemas.openxmlformats.org/officeDocument/2006/relationships/hyperlink" Target="https://news.google.com/rss/articles/CBMiZkFVX3lxTE8wYmhwVjRJVGRpMXlkTEcxYTNqRUI1STZaM0Y5Y1BzQVR0SThDbm9SalpOOTlvVHpJUU1yTHJTbjRDM215MUxiRnZhZUFtWVFwbU1UdFZLQV9VdjJORFJwaTFMLUVnUQ?oc=5" TargetMode="External"/><Relationship Id="rId873" Type="http://schemas.openxmlformats.org/officeDocument/2006/relationships/hyperlink" Target="https://news.google.com/rss/articles/CBMiZEFVX3lxTFBzUENnY1p5TEM0LWdFUTFpQ3M2Yzl1eTkyd1QxY3kzU3Fzc0pORXRFeTFpZ2xKWjl5TWtVRnlkdElwTEVJV2Jad3pWdlFVT2ZWbVFWdHVWYkt0cjQxY0tLX1czQ0w?oc=5" TargetMode="External"/><Relationship Id="rId874" Type="http://schemas.openxmlformats.org/officeDocument/2006/relationships/hyperlink" Target="https://news.google.com/rss/articles/CBMiZEFVX3lxTFBQV2ZGRmRwN1ZncmV5WUxzdzdFb1pKZ2RWUkphNk1FSV9weVcyZFoxU1NXcFZCX1A0ODQ3QkhSa0VUNUZhNEloX2I3SElrc1BrUU9VWkNoUVFlVXhWYXRRNlA0TkU?oc=5" TargetMode="External"/><Relationship Id="rId875" Type="http://schemas.openxmlformats.org/officeDocument/2006/relationships/hyperlink" Target="https://news.google.com/rss/articles/CBMiZEFVX3lxTE9WQVhHcFVybzFMYk1UcVRDd2ZGM1NJVGVuMnJab25tODJOSDI2QnVTRnc4TFU5MXFrUk5Zb3VKdnZiSUhDRUlqNEozb3JPS25GMmtFYVd4akxVMzQ1OVVKUTdrZms?oc=5" TargetMode="External"/><Relationship Id="rId876" Type="http://schemas.openxmlformats.org/officeDocument/2006/relationships/hyperlink" Target="https://news.google.com/rss/articles/CBMiZkFVX3lxTE05Rzc3RUxaclVCYXhxOTlGS1V2Qk9KQnpqcG5BUUxwTDVvLTRQOVVJLXFYcmZMQWUyZUp2SWc0enVNN2stNkF3N2Z0bHJMVm5ucF9RbzhtRWlCTGo5RzVvWUFubjhRdw?oc=5" TargetMode="External"/><Relationship Id="rId877" Type="http://schemas.openxmlformats.org/officeDocument/2006/relationships/hyperlink" Target="https://news.google.com/rss/articles/CBMiZkFVX3lxTE00a0J0by1TMWd4TnBQdXA3TkhFZHpTbFJDM3RKQXhXM1BIYkVCOGRLSFk5bUphMlF4b2ZnMzlhdGEydlBkellMYXpqMUYyT2dVQXBKX0xuLTNWc2FNYzFNUmhDREF6dw?oc=5" TargetMode="External"/><Relationship Id="rId878" Type="http://schemas.openxmlformats.org/officeDocument/2006/relationships/hyperlink" Target="https://news.google.com/rss/articles/CBMiYEFVX3lxTE91TTFyNHZHSlh6V1RDbWNWcG5lNDFaMnA2WDBFVDdUSU5wUlJjZ25QbzRRTWpqTUk1V0xNT2twMEdndjVGUG43djNfVGlaT204bjY4ZU1HaDlDaURJTm5KSw?oc=5" TargetMode="External"/><Relationship Id="rId879" Type="http://schemas.openxmlformats.org/officeDocument/2006/relationships/hyperlink" Target="https://news.google.com/rss/articles/CBMiZEFVX3lxTE1tdXZDdXVsYVNSb0wzbmFLU0xkUHJYYzd3Zms4eFJ4ZW9OSllmVDZZdVNaRG94a0N1U2Q0VXE3YWhfbVAzazM3SEk4clZKQkNUdHB4djd6YWdXeHJ3R212MkwwRXA?oc=5" TargetMode="External"/><Relationship Id="rId880" Type="http://schemas.openxmlformats.org/officeDocument/2006/relationships/hyperlink" Target="https://news.google.com/rss/articles/CBMilwFBVV95cUxQVDJ5RE1pN24zOEhZTEFSVWhpbnEycGJxTTFnUUdhaFpPaUdjc1FmdXFaYXdkUG9PNV9DMmhpbzVYYUlUN3dtUUt6Mm4ybG1jeFg3bHAwQms0c01sM05udzVFUjFTWlI4NEZZVFRIeTNCOUpFSEJ6QWVyRHROZTI2TFI0dzBhRkJRbzRVSkJUalRCb1p0Yl9n?oc=5" TargetMode="External"/><Relationship Id="rId881" Type="http://schemas.openxmlformats.org/officeDocument/2006/relationships/hyperlink" Target="https://news.google.com/rss/articles/CBMiiwFBVV95cUxQZFplT3F2NUtKQkc2MFVvMjJSYndJOGRjYkJrSFprZDRhV1R6dHVvcWtza2RlVlNDOHZYWTJnVzU2SnBaZG9ZUVR1T3I2R0Q1YTVJWnlmS3RvNENMN3JTS1lfVUFpQ3h1SjNXN29WRFU3ekh0NWlUUzdiTVEyT1JmekNFejJGenM1OGNN?oc=5" TargetMode="External"/><Relationship Id="rId882" Type="http://schemas.openxmlformats.org/officeDocument/2006/relationships/hyperlink" Target="https://news.google.com/rss/articles/CBMiZkFVX3lxTFAxeGlBNkowRnVBSkxoTnBydzJoMlkzcW53aW9iVTVabFNEZW81S1ZoWlVyYVRGUXFuUlFpdE15a3RJOFpEQXR1ZnRWaE91YVktYzY1X21KNENYZjVBaE11aEFTTTRuZw?oc=5" TargetMode="External"/><Relationship Id="rId883" Type="http://schemas.openxmlformats.org/officeDocument/2006/relationships/hyperlink" Target="https://news.google.com/rss/articles/CBMixwFBVV95cUxNeUlYUTd5V1R3NUEweWFkUk9TU1A3bEMzLU5SNXZpSXh6Rzhmb2NObmd1NXBtSVVQMEhLekRPS0t6c1VfYy1veEZULTJvLW1fSmdlbnBnRmozdGpZMHhucFpZMTFtcTMxVDJUNTgxemZKdG9CVlYyYWN5Tk11SGctd0xsZm0wWUNtNGNLRGdEVF9oblJXdlVOODNZdEkwRD" TargetMode="External"/><Relationship Id="rId884" Type="http://schemas.openxmlformats.org/officeDocument/2006/relationships/hyperlink" Target="https://news.google.com/rss/articles/CBMiZkFVX3lxTFBBaVZsNzMyTnc2MlA4RW1jY3hrQzgzeXRRYTZpaThVdFNQczlveENZVnNTYmJXNV9FcW1PeVhGQkxBekowckVQZGhfM2dqcjVXSmZiSHBkeFRFR2ZIazJxT3kzbEJGQQ?oc=5" TargetMode="External"/><Relationship Id="rId885" Type="http://schemas.openxmlformats.org/officeDocument/2006/relationships/hyperlink" Target="https://news.google.com/rss/articles/CBMiZkFVX3lxTE1MYXU4S09zTzVGUGY4eHoyVG9vNkxwNTd3Z1JtQXpCbXNQZVZuRHBCWWUxNFpSdTV4TWM3RDlKeHJweE4wWUFHWTB4d3htdkZsektrSU9rX1BoZkdGNllLY25RVjJTQQ?oc=5" TargetMode="External"/><Relationship Id="rId886" Type="http://schemas.openxmlformats.org/officeDocument/2006/relationships/hyperlink" Target="https://news.google.com/rss/articles/CBMiZEFVX3lxTE95NldFenVWUjIxbmRQUzIxMnVmRTZvTEFreFFMSVhOd0tzSWtNRTlpeXIwb3p0Y29USTlOYWg3NFY0OVNBRWtBOFF0blpRbkJ4WG1QSWw2N1lYS05EdzlFNFIxMy0?oc=5" TargetMode="External"/><Relationship Id="rId887" Type="http://schemas.openxmlformats.org/officeDocument/2006/relationships/hyperlink" Target="https://news.google.com/rss/articles/CBMiZkFVX3lxTE0wRjhFRGl1V1ZwWkpXN0lKTUpsZXhCYzdZR1BOY1VzUXpFMkdibHBsSjk0QU5DYkFhbjZzOENrbGwwRGZ5NHVlenRUcFlKVHA4M1otOGFRNHlheXBhSHFUeUlFMDJoQQ?oc=5" TargetMode="External"/><Relationship Id="rId888" Type="http://schemas.openxmlformats.org/officeDocument/2006/relationships/hyperlink" Target="https://news.google.com/rss/articles/CBMiZEFVX3lxTE50Zm80NFBpV3dCOGNDQWp3VFgycmIyQUNUaTRobXVjSVpzWDE3N19SQnZQNDNQSS1uLVBVUkVUcG9OVjNNSVBJdjI2ZnFaQ0FlRzJRZ2tCMDR2VWZFRU1IMkYtUmk?oc=5" TargetMode="External"/><Relationship Id="rId889" Type="http://schemas.openxmlformats.org/officeDocument/2006/relationships/hyperlink" Target="https://news.google.com/rss/articles/CBMiZEFVX3lxTE9iRndBd1VrWUtKUzdBclNXY1Q2UEFNc2dxMnFHbnNlcURjUmlMaXM3cHZCZFVNZ0hJQjA3RmcxWF9SQzUwNVQxWkpWWmlDQzBTQWRYMXhYUnRnTTRMU2RCck82ZEQ?oc=5" TargetMode="External"/><Relationship Id="rId890" Type="http://schemas.openxmlformats.org/officeDocument/2006/relationships/hyperlink" Target="https://news.google.com/rss/articles/CBMiZEFVX3lxTE1WcDlkMVd3NHJhcjdYTDRsdDFkVUZtVk9Da2hQd292Yy0tN2FTQ1ZsX1N1VkVEQWx1UkhVY1FDajFidW5FbDNNN042MEU3SWo0Q1JrcEJkbHBmR18zNFh4cjNNSzc?oc=5" TargetMode="External"/><Relationship Id="rId891" Type="http://schemas.openxmlformats.org/officeDocument/2006/relationships/hyperlink" Target="https://news.google.com/rss/articles/CBMiZkFVX3lxTFBjU1laQUZqWlY4VkM2NGlmdjU2YTJkRDdwMGhzNUlnam9KU19oMUVsbjdrNWZZM05lRHVDUnNSYTY3NzZXSW1iTURVb0hIcmR1cTY2bjVFVnl0ZjNOWUxDT0YybjgtZw?oc=5" TargetMode="External"/><Relationship Id="rId892" Type="http://schemas.openxmlformats.org/officeDocument/2006/relationships/hyperlink" Target="https://news.google.com/rss/articles/CBMiZkFVX3lxTE9Qb2dNa1ZGUWhybWRQNUJHdGpEQVBRak1PdTNVc2FWbllEbGVWYmlxOTY5REl6S01RbEV4WE84M1prOWxIVk5GWXZ3ODd5bUR1NEJLY2VVdnM4Q3F3X1BjWUlndU9IQQ?oc=5" TargetMode="External"/><Relationship Id="rId893" Type="http://schemas.openxmlformats.org/officeDocument/2006/relationships/hyperlink" Target="https://news.google.com/rss/articles/CBMiZkFVX3lxTE16dWpRWi10b0plb3VGeTViTl9qWE5NRXJ3bURPb3M1c2E4LUFqbVNVczF6eV9vazNnZGd4Wi0tNnR2a2NyUEl4aW43dXZOZU5aRW41WlZ6ME5zZHFTYjhueFZoOGFjQQ?oc=5" TargetMode="External"/><Relationship Id="rId894" Type="http://schemas.openxmlformats.org/officeDocument/2006/relationships/hyperlink" Target="https://news.google.com/rss/articles/CBMiZEFVX3lxTE5wU2d2V0pQNEdKbklIanNTUi13cTlpOEVaR2pkRkpoeU1qY2RfWi14UEtDbDYwX3lIWGN2VkNJZHowM0JhUWNSTEo3VlFrMXdJQlhmNWVVUjhlTFJ3QnplTnNVd2Q?oc=5" TargetMode="External"/><Relationship Id="rId895" Type="http://schemas.openxmlformats.org/officeDocument/2006/relationships/hyperlink" Target="https://news.google.com/rss/articles/CBMic0FVX3lxTE1MVDFxVEduVUpfRmRyNWk1MXpiWGtjYXctZkRCbmh4YVBlZmhQRGtHdzk3emtWVXZIRkZTaWZ2Z1RVT3ZXaG52cjJTQVZOdW15U3lHYndWUWMtS0l5M1U0LW1UX01lUHlHakpWcXFMRkU3cDA?oc=5" TargetMode="External"/><Relationship Id="rId896" Type="http://schemas.openxmlformats.org/officeDocument/2006/relationships/hyperlink" Target="https://news.google.com/rss/articles/CBMiZEFVX3lxTE41R1JkU25GTVVtb2FPeUEydlladjcxMDJVSmhHZmxoT0tWWmgxV0toS0cyZ1lwTk5ENnd1ZG02S1FyR0FtRTQ3dTJiYWZDdWI2VXZhSW1HMzNfdUxXQnJOOXNUZVo?oc=5" TargetMode="External"/><Relationship Id="rId897" Type="http://schemas.openxmlformats.org/officeDocument/2006/relationships/hyperlink" Target="https://news.google.com/rss/articles/CBMiZkFVX3lxTE01OFc3amNPN0lXdUlJZEF3YTVubGM0NkZXYXVoUzlNb0hrSlEwQkh5LVdmdTJabjB4eUplZ0lxR1ZCeFoxYzhpM2E3YzBpUmZXcVMxZWJ3R3hINEpGVG1US0FpS1lSdw?oc=5" TargetMode="External"/><Relationship Id="rId898" Type="http://schemas.openxmlformats.org/officeDocument/2006/relationships/hyperlink" Target="https://news.google.com/rss/articles/CBMiZkFVX3lxTE1PZW9GbzRNRV9vS1lsZ3NYMktUb1g2MTBOczE4Y2V4SV9raWlFMjFXX0gtUmdBTk5lV0JXN1pmdEFsYmo2M3lpZGlNQ3dnVi1RU25uU1ViX0lLX2R4Q1FwQTdxc3BsQQ?oc=5" TargetMode="External"/><Relationship Id="rId899" Type="http://schemas.openxmlformats.org/officeDocument/2006/relationships/hyperlink" Target="https://news.google.com/rss/articles/CBMiZEFVX3lxTE1iUmE4UENoVUJnZ01DdTJaTFl5Q0hfaHRZOGR2VHNKZ0VVVno4VHJ6UXo2YlR1S1ZUemxSU3JHWnk5ZUhIUVlqYVNweE9oVjVYOTVEUVFKRHp0SHhFU2RvZjl2T0Y?oc=5" TargetMode="External"/><Relationship Id="rId900" Type="http://schemas.openxmlformats.org/officeDocument/2006/relationships/hyperlink" Target="https://news.google.com/rss/articles/CBMisgFBVV95cUxOR0V1NzlUczJXTlZ4UnFsWl94Q3IwSWVTQnFwMTF0N2hWUWtLdHhYcGJndWhrLTFJcWw0UFRCU2FaTlhpRkc2QzlESzhBeG9mOFBLZ2h2Q1NEWGptS2tGdkJaSGRfRUlhQXBQcVFicy1JTlVETl9mUWRWeEVDVlZqRmE0MWFKTS1mMnVQcV9ZNHBOVXk4bmFBUUJkTG55X2" TargetMode="External"/><Relationship Id="rId901" Type="http://schemas.openxmlformats.org/officeDocument/2006/relationships/hyperlink" Target="https://news.google.com/rss/articles/CBMiZEFVX3lxTE5mU0YzVnZ3cmJRODBLbWViOUwxa21HVWdYcS1iM1QwRHNFR09XVnhtQ254T0JEUlJuNGtxSjdXTWIzZzZ5dVNza0NQUDVnNFRfN01qVGF5U1ZaSlN3ay1SeG00YkY?oc=5" TargetMode="External"/><Relationship Id="rId902" Type="http://schemas.openxmlformats.org/officeDocument/2006/relationships/hyperlink" Target="https://news.google.com/rss/articles/CBMiZEFVX3lxTE9fUVRNMmpyQ1dVLXJkZEtydkZKRkEyUFdLaFJ5aW9YT2h6dUpnckoyb0pmZUpOaXNnMHJ4UmdJbEpDSVYtUDhsZ0VVOFZRVzZYSmVfTXU1cHlJYXFncDRvNTNGbFA?oc=5" TargetMode="External"/><Relationship Id="rId903" Type="http://schemas.openxmlformats.org/officeDocument/2006/relationships/hyperlink" Target="https://news.google.com/rss/articles/CBMikwFBVV95cUxPdTBwVkhCVjRIeWVuZWxJbnVwNHJCeUtaRk54MkVGX2w4anpzX2JPSW1GRXNabTZKZmZwRUhsMmlHVTFtbUQ0d1pNYWNCQWdWdzZHdnBMRGVzaUtyUHNndVFUZkIwd2VBNXVfQUlkeWdVbWdLZE5Mczd4Sm9NQzFDOXAtRWNHTU5DOXM3WWRzWktvbFU?oc=5" TargetMode="External"/><Relationship Id="rId904" Type="http://schemas.openxmlformats.org/officeDocument/2006/relationships/hyperlink" Target="https://news.google.com/rss/articles/CBMiZEFVX3lxTE1USWFZZEVwZHlZdGhGTWFNdlMxeXpGTTNiNE4xMS1zMEVBLWpPak1CV25OMi1oZzlWelFnQTRJQnRIQlF4N3QzY3RiMjFwZUxZRVlUUE1UU2FjVHlYeXNkdlN5Tkg?oc=5" TargetMode="External"/><Relationship Id="rId905" Type="http://schemas.openxmlformats.org/officeDocument/2006/relationships/hyperlink" Target="https://news.google.com/rss/articles/CBMiZkFVX3lxTE9tQXVpVkxmbFQwc2h4eEJHMTAxTmFldzd0NldFLXJGTWZiYWVZNDBBamlaaEJZbVNQcWVKLUhGUEtLSENJalg5T1cyRXZfV1NJbU45UVRLRmJEVlFUaTczV252dTQ5Zw?oc=5" TargetMode="External"/><Relationship Id="rId906" Type="http://schemas.openxmlformats.org/officeDocument/2006/relationships/hyperlink" Target="https://news.google.com/rss/articles/CBMidEFVX3lxTE1zNGtISHhvd0FlSjRFZlNGUGkyRUNwREtYU0xTY1p4S2dKU1B0eUpFcW1hdlBnb0V3aFd6M096XzRvanVJVF80Q01ibjlTMmRFR3NiWEZiejFEYlJTOWZwUjU2dnd4SnJIVHJjaUtOTkhQQUxR?oc=5" TargetMode="External"/><Relationship Id="rId907" Type="http://schemas.openxmlformats.org/officeDocument/2006/relationships/hyperlink" Target="https://news.google.com/rss/articles/CBMiZkFVX3lxTE1UNUxkTFcxX1VBdUp0dWNnUHZQM0x1VTNvYnRoRnVCeWg1TG9qUndXNnMtaW1PSkVWQWwtZmpYMU1Ob0FCNVcwdnB2VTBHeW5TYW90M19rdzlGQUVpbk8zemhDMVRtZw?oc=5" TargetMode="External"/><Relationship Id="rId908" Type="http://schemas.openxmlformats.org/officeDocument/2006/relationships/hyperlink" Target="https://news.google.com/rss/articles/CBMiZkFVX3lxTE1iM0tUcWtYY0ppX1B4WlVzZ3NEdzFQYXIxek9IMV9rOWRHbFNCazVxeV9YSWVvRTNHcXkzeFduRkhJWHNQbFpVNUZSQW5FYzloejZKYmtPMXNDWnlzTHc5OUVXdVFIQQ?oc=5" TargetMode="External"/><Relationship Id="rId909" Type="http://schemas.openxmlformats.org/officeDocument/2006/relationships/hyperlink" Target="https://news.google.com/rss/articles/CBMiZEFVX3lxTE9qc3lJRElYekhjRlVpc2hrdUxHWHVVajdPZ0hNSFBwajVKSkIxZ2ZTUjFURUVJWFNMOXZDdEJYNHM3dFdhTF8wMHBRZHI4eGU4RUVQdnB5bm9ScDNSeF9xMmRSZk8?oc=5" TargetMode="External"/><Relationship Id="rId910" Type="http://schemas.openxmlformats.org/officeDocument/2006/relationships/hyperlink" Target="https://news.google.com/rss/articles/CBMiZkFVX3lxTFBGMVExdC05ZlV5Tmw4T2tjVFY0OGdvYWNLNjhFczExUEx6LXJFWUYwVVNtRkZMVlA5RFF2Q1k3Qjlhd1lMa3UzaFQwVmR0eU8xOEVJOXY5eXpuODV6TWhjQWRKVXlCQQ?oc=5" TargetMode="External"/><Relationship Id="rId911" Type="http://schemas.openxmlformats.org/officeDocument/2006/relationships/hyperlink" Target="https://news.google.com/rss/articles/CBMiZkFVX3lxTE9kZ3AtakNPbDA4SGQ3WjZrUFMtcDNUWkk5ajVQVkwtQUlFRndjVDVtZjlzNU56alEtMnNBYWVzTmh0N3prY3NkSHB4bjJ4V2dSTGd5bDl1THBHSEtmckpRbVItTXhKdw?oc=5" TargetMode="External"/><Relationship Id="rId912" Type="http://schemas.openxmlformats.org/officeDocument/2006/relationships/hyperlink" Target="https://news.google.com/rss/articles/CBMiZEFVX3lxTE42aS1FeExDc3ZreWY1ZUwzMkQtd28tRExWTVN4cFNWVktCSjBnNWFuM2pjV3ZXcHFYMXZGVWg3N3BKNU9kdkFPN2tLT2R2eGI1ZU51R0tZN0phY21TWHlETjNJT0M?oc=5" TargetMode="External"/><Relationship Id="rId913" Type="http://schemas.openxmlformats.org/officeDocument/2006/relationships/hyperlink" Target="https://news.google.com/rss/articles/CBMimgFBVV95cUxOejVSX1ZFOEpXa3RqelFDT2JUUW5pSVVBYlVfcjN1NkR1ZmNIQWJlR1p3c25xUXBEYzc2T25jdUJzWGFWT3JuazZtR0lWV2I0VVBnQi1XWmF5eld6REtsaC13TTBpSTlZMTAwclNFa283dVBOZmh1SWRfbGstZFBaajN2WUFFWHBDR19vY29kTS1UbnZfR2xsSWVR?oc=5" TargetMode="External"/><Relationship Id="rId914" Type="http://schemas.openxmlformats.org/officeDocument/2006/relationships/hyperlink" Target="https://news.google.com/rss/articles/CBMiZEFVX3lxTE52SnJBZS0yOVVSVVdOaHZmY2c4blVQX0c2OHE3U21XUkh5VUdUR0VRUjFiTnFvbnF4MHdhVHVKMVV6N1lKS2lXSkxqTlBuRkVjV1F2VG81Skd2U3lZQjV1S1JrVGc?oc=5" TargetMode="External"/><Relationship Id="rId915" Type="http://schemas.openxmlformats.org/officeDocument/2006/relationships/hyperlink" Target="https://news.google.com/rss/articles/CBMiZkFVX3lxTE91aldZa05HQkNsMGhmdEpyVDYtdmFNUE1ZcWJJeGNubFNmZGtJQTFNdUNKVUFaTGlsVkE5WURZTDA1ZEVIZHZNcHh4MWU0aTVDUGt3a05Fd3JMcjZsWFRSZFVzS3p0QQ?oc=5" TargetMode="External"/><Relationship Id="rId916" Type="http://schemas.openxmlformats.org/officeDocument/2006/relationships/hyperlink" Target="https://news.google.com/rss/articles/CBMiZEFVX3lxTE5ZNkxJaEVhOGVQMU5LVlc2Z1NWYzVhQTRqNGFYMml3bTczYVk1TFdRd2NndzNPUGJzSVItbzd4ZWNScDNEZ2FsVDFWM3RMZDhTcjYyd3o4U1FXZHI5Sk5pWWx6YVU?oc=5" TargetMode="External"/><Relationship Id="rId917" Type="http://schemas.openxmlformats.org/officeDocument/2006/relationships/hyperlink" Target="https://news.google.com/rss/articles/CBMiZkFVX3lxTE9hcnZrbWFTT3M0azBUci1JMmUzS0kzSUxLOTZWbWgydTY3clRpUlg3SE9QNm0wRTBxZjlicnpKQnVPbEEyMml0MEtndks2dEhjY3U0bXJ1RlFlV3pjZ3BURE9xY1E2QQ?oc=5" TargetMode="External"/><Relationship Id="rId918" Type="http://schemas.openxmlformats.org/officeDocument/2006/relationships/hyperlink" Target="https://news.google.com/rss/articles/CBMiZkFVX3lxTE8zYTA4QXVsOFJWSXpsRi1tSF9NM2JMQTNLXzd4UVdFN0duZE44N2tfSFBFNlVxNzR6M19ya2NaMTdkd3NQaFgtVV9ocTNuRXpoQUcybGE5MGp1SXk3ajFoX3JfOTBhZw?oc=5" TargetMode="External"/><Relationship Id="rId919" Type="http://schemas.openxmlformats.org/officeDocument/2006/relationships/hyperlink" Target="https://news.google.com/rss/articles/CBMiZkFVX3lxTFBNSVQzRXRmMmw2YkRqR3RyVXByazhxUFJRNkpqaUFJeEZuRFgwbHlqWHF5UC1KU28xSExCMlZCVWdtRml1bFBJUzB6b3V1SnNadjVhR3EwaEpyS3F6MTllc1hOMm56Zw?oc=5" TargetMode="External"/><Relationship Id="rId920" Type="http://schemas.openxmlformats.org/officeDocument/2006/relationships/hyperlink" Target="https://news.google.com/rss/articles/CBMiZkFVX3lxTE5jaVpGZkFvQmZqT3RQelY1N3pvSW9BSXE2Nk14SGt3Y0dqQ09iSWhLcDFjNEZTWGhpMU11cWFfclZsaXp0QmdXbGRESXFCbFA0alRyS3l3dTNCUG4xN0kxM1p3X0V5Zw?oc=5" TargetMode="External"/><Relationship Id="rId921" Type="http://schemas.openxmlformats.org/officeDocument/2006/relationships/hyperlink" Target="https://news.google.com/rss/articles/CBMiZEFVX3lxTE9NYnlBZURBM0dnVGt3X1VCTWpNdjdEUGJlN1h5MHV2RE84VGlkQ0JxdmF3cER4dVQ2TTZmSE40dkNjNDdDRlpKMExYMENzenBHN2F2TnA0MEFmNjRxWWxRUVY0Xzk?oc=5" TargetMode="External"/><Relationship Id="rId922" Type="http://schemas.openxmlformats.org/officeDocument/2006/relationships/hyperlink" Target="https://news.google.com/rss/articles/CBMiZEFVX3lxTFBjcnB6WW9uTGFfQWZMVzd4cmhJcGtiMlUwNzdJSkN6RkMtVl9ab2I1eHUxNGNvUW1QNmlpZG5SbXhNeTRBY1VCcE1jNC1pdjF6X3VOX1pxY3pBMnlhTGR4dUpLLVk?oc=5" TargetMode="External"/><Relationship Id="rId923" Type="http://schemas.openxmlformats.org/officeDocument/2006/relationships/hyperlink" Target="https://news.google.com/rss/articles/CBMiZkFVX3lxTFBnWkt4SG5JZlRFcklySlV6QlJCVld5VExuZU4tQWZZTF9FRURNeGp4a0tISUE1MnNBeEhweVM2TWRfUTNJdElXSEMxLURwWlEwczJOZk5pTUwxTVZwdTUwS0ZjRF9JUQ?oc=5" TargetMode="External"/><Relationship Id="rId924" Type="http://schemas.openxmlformats.org/officeDocument/2006/relationships/hyperlink" Target="https://news.google.com/rss/articles/CBMiqwFBVV95cUxNMGlNMkVVdG9zLWktblpJQkFoVmhadXpxVGhjbXJ5WnJpY09XWWFpR2JNQU5Pdk4xWTF2bTlfamtOM25Ub2dwQURLVW55QWpwb29QcGtZYUgwQ2pGUVVtZFNSbzZtX2xjNmtkc2lDTnowZ3A2UDFrNkF4THhMSGRRSHdBUkJaSHcwVE1NU0hSSnNlR2xjUk1TVHpFSnpaZW" TargetMode="External"/><Relationship Id="rId925" Type="http://schemas.openxmlformats.org/officeDocument/2006/relationships/hyperlink" Target="https://news.google.com/rss/articles/CBMilAFBVV95cUxNTE1Ba0N0bUg4STVkSGw4Wjl6aUl1bkVIaklnbTZlWDZ3blB0Nl9WbUFMNlN6Rkc2RmRuallFYy1SR2l4dEpLTE1EcDhWa3Jwc2twQVQ2NFdOSUcyd2F5MGMzdnZxZGlaNWRYWU43Zmw2emNGN1J0RE1sR1lyazRpXzZVNEF2djdlNEVMQUg5Ri1tcUdm?oc=5" TargetMode="External"/><Relationship Id="rId926" Type="http://schemas.openxmlformats.org/officeDocument/2006/relationships/hyperlink" Target="https://news.google.com/rss/articles/CBMiZEFVX3lxTFBQNFo2VXdYWFpKejRhdjAxczdwU3JnODNFZkU2a1VaOGZ1cnA0TExoZ1BiS0lBRER3OWV1NjlVcUw3enh0SGVpSjZZV3FYUzlGUU5XTjFvOHRLVEpQRjJjdGN4NUQ?oc=5" TargetMode="External"/><Relationship Id="rId927" Type="http://schemas.openxmlformats.org/officeDocument/2006/relationships/hyperlink" Target="https://news.google.com/rss/articles/CBMi8gFBVV95cUxPN0dGSkFvVkpaeFloQmNDT0EyNzl1Z044NHJsalVaNEZ0RDJmdU03dlZNRXdiNHctM2V3UDQzWXZlVHhqeFRWdlEtTVRrdzFkYTMyOTQ2WFltNnNvb3R2RVJySUVjRTB2ejFaRy1WaTFpNkF6dzA4THJEbnZuTld3bzBSWUlNa1FxMm1Tb1FoQk5zYXB6TFF5dHBNaUJjRW" TargetMode="External"/><Relationship Id="rId928" Type="http://schemas.openxmlformats.org/officeDocument/2006/relationships/hyperlink" Target="https://news.google.com/rss/articles/CBMiZEFVX3lxTE5jb2pPcHhDcnJQYktZRDB2M18xdGN0N0c4ZGY0OGYyNnFiLTRpeDJoM3pJNTJKa1BYQnAxMEREWUgtYXlGcGM4M1hUZ0lqZEJEV09VMkdNZ21GV2s3SUhKX1hRcmY?oc=5" TargetMode="External"/><Relationship Id="rId929" Type="http://schemas.openxmlformats.org/officeDocument/2006/relationships/hyperlink" Target="https://news.google.com/rss/articles/CBMiZkFVX3lxTE1CdjdQQklZUlZIX3RaOUd3c0JBT0xvN1ZzZ0NrRGo5ajQ5Smo3alY0VlJmRmVGN2MtUnFKbGNaWWw0aGNUX0NiZl83YkhTODhpWHlSOGlFTldkcTJvdkM5TnJyOWNndw?oc=5" TargetMode="External"/><Relationship Id="rId930" Type="http://schemas.openxmlformats.org/officeDocument/2006/relationships/hyperlink" Target="https://news.google.com/rss/articles/CBMiZEFVX3lxTE15MFdmRXNtS1pHQVlhWGExQmd1R3dOa1dlemZNTXo2MEFrNEF3V0l4bkJ5SWlrMTM2ZE41TUdpUThYM0J0SEtKX0tXTzZtVWpobE83eWZtc0I5a05CdWdjSlRac2c?oc=5" TargetMode="External"/><Relationship Id="rId931" Type="http://schemas.openxmlformats.org/officeDocument/2006/relationships/hyperlink" Target="https://news.google.com/rss/articles/CBMiZEFVX3lxTFB6cVZRY0RfZFlscWpicDdTbVVVYi1KV0FvY1pVVFJVWll2VmRNYjVjQ3JvWGxFX3ZTX0lsTnZxTFhyRmtVdVozRWxndG1xYXJUZDBzZXFaeFJVbE9qck1kV0VjY0w?oc=5" TargetMode="External"/><Relationship Id="rId932" Type="http://schemas.openxmlformats.org/officeDocument/2006/relationships/hyperlink" Target="https://news.google.com/rss/articles/CBMiZEFVX3lxTE5lN1hFMTNEczBqUTc2eUlNUlBHRW9QSGNwVUZZbllmUkx1eGU1Vm8yb0JlQWxXU0prVEtvbjZiVlpWdjVkanQxNkI1Vjdmczdhc0xxVHh1MGQzNE40Ri16bnBKaHA?oc=5" TargetMode="External"/><Relationship Id="rId933" Type="http://schemas.openxmlformats.org/officeDocument/2006/relationships/hyperlink" Target="https://news.google.com/rss/articles/CBMiZEFVX3lxTE9GdTZXbGJFOHVqZmc5RDBHV1MwUkg4Y0REdkZPLWlFTnR5QWRubzRfS0pYTGE0VmppSVR2LVBHLWJ6MnpiejdxRldCTHFlcW9YVkptY3Etc0FzMDZoSC1uQXJwN0I?oc=5" TargetMode="External"/><Relationship Id="rId934" Type="http://schemas.openxmlformats.org/officeDocument/2006/relationships/hyperlink" Target="https://news.google.com/rss/articles/CBMiZkFVX3lxTE4wNHZjSXBmNWF5cXBwemQzZl9yb2R5LV9aS0k4YkFORUY2NGVvV2xNcTBmb1l3Z2NoamRKU2h1ZHNWd1FmRGdwdTJLZ09TLTJselQyeUJPUm9RRFhRWlVZazh3YXhpUQ?oc=5" TargetMode="External"/><Relationship Id="rId935" Type="http://schemas.openxmlformats.org/officeDocument/2006/relationships/hyperlink" Target="https://news.google.com/rss/articles/CBMiZEFVX3lxTE5KeE9nd3VPazJxX2dfbjJLVkx4Wmppclh6Ykl0ZElndGtWSzE4dU9IaFdCZHU0OFJrTllVRnBCdGx6X0lXOXhzX21zMWFNTHlYYnlXclRFUEhOdXhZWnlid1lpRl8?oc=5" TargetMode="External"/><Relationship Id="rId936" Type="http://schemas.openxmlformats.org/officeDocument/2006/relationships/hyperlink" Target="https://news.google.com/rss/articles/CBMiZkFVX3lxTFBWQ183Q0dpdm96ZWVwWUIxc3gtNjVXS1Z1djh1VkZCaXdfLXpYOG1WVG0zbDZHdl9oX2U2S2RrLVJDOXRVQlFlWmt4eDJIcEVJdUJ6NW5zVEJnSkNZZGxnZGxLU2MwZw?oc=5" TargetMode="External"/><Relationship Id="rId937" Type="http://schemas.openxmlformats.org/officeDocument/2006/relationships/hyperlink" Target="https://news.google.com/rss/articles/CBMiZkFVX3lxTE9IbC1vX2pJTUlaUzlSZGtMRnlMRXVkUEpfZHpuMXdiaXE5NGFXYlRQUzVDN2JISDEwampZOG1nN05FVG04VURXaHVyb2tXWlczT01qRlJRUHlzOUM2eW5EQld6ekFndw?oc=5" TargetMode="External"/><Relationship Id="rId938" Type="http://schemas.openxmlformats.org/officeDocument/2006/relationships/hyperlink" Target="https://news.google.com/rss/articles/CBMiZEFVX3lxTE80NnBRZkFKczVwTHVhTmhhUmFyNnNLUTF4eGhJVkRpemVpd2hIT19oUl84RFpSVzU5LV9ZMHJWbkd5MzRLMHp6cXJZOHRnenBHZWZ0bGpKTTRIWDEyanZMRGQzcFo?oc=5" TargetMode="External"/><Relationship Id="rId939" Type="http://schemas.openxmlformats.org/officeDocument/2006/relationships/hyperlink" Target="https://news.google.com/rss/articles/CBMiZEFVX3lxTE1JRm5uSnpfdUZJeFJJUkhHZEVFX0RCa0tJbnIteDhzaVFycGgza19yVVV3VHlNUHkxT19zbHBTX0tkbDR4NDljemdjb3dGbG9Bb3kwZWJ4UG5zaVNLSEx4MnhlbF8?oc=5" TargetMode="External"/><Relationship Id="rId940" Type="http://schemas.openxmlformats.org/officeDocument/2006/relationships/hyperlink" Target="https://news.google.com/rss/articles/CBMidEFVX3lxTE1IUGRnRURRNFRQUzVvUXo4bWhaODExQjM2UjJDNFl6bEZtTERuSk54VlFaS05FSVd6VjE2Z1RmTThxRnBiNTJQYk9EbHpNVi1hdzJEYUhtMDIxNktwSzY1VUp6enpJcWp2dVl1Z2lqaldObXhT?oc=5" TargetMode="External"/><Relationship Id="rId941" Type="http://schemas.openxmlformats.org/officeDocument/2006/relationships/hyperlink" Target="https://news.google.com/rss/articles/CBMiZkFVX3lxTE5VQlhBNEh4SHpoR0RZeXowci1Fck53bHhuZTZyYXp2eUZxMTJDOTlBQ0xIbWFjZ3A1aktQSFB4cy04NGEtbm05T2JrYmRJOHFQZXNrR0lDT2N6VkpPMXVGX2l0Y0VjQQ?oc=5" TargetMode="External"/><Relationship Id="rId942" Type="http://schemas.openxmlformats.org/officeDocument/2006/relationships/hyperlink" Target="https://news.google.com/rss/articles/CBMiZkFVX3lxTE1Uc25Oc3cyZ3lHWlo2WmhBc21IRlVwMWYtNWZCcktLWVdwX1pIaTVrNmwxRzlobVZQS0dLek1rYVpQTWlWaGotY0JiODFEa0FVMWd4eTUwRW9SalIxY1hxTFdJLThfQQ?oc=5" TargetMode="External"/><Relationship Id="rId943" Type="http://schemas.openxmlformats.org/officeDocument/2006/relationships/hyperlink" Target="https://news.google.com/rss/articles/CBMiZkFVX3lxTFBHcFliXzZ1RjFXcHpYcXpBMEI2aUFTLVJOaHFIOEZvd0otWksyZnVteWFFclg5TnRXb0l2RjV2bHF1am43bG1fZWpDWGpmRXhOaTZqOWFQLXhSLXZCdS1NSG1Hd0FTdw?oc=5" TargetMode="External"/><Relationship Id="rId944" Type="http://schemas.openxmlformats.org/officeDocument/2006/relationships/hyperlink" Target="https://news.google.com/rss/articles/CBMiZEFVX3lxTE12RFE3M1lOclhGSlQ2YTQxUXVTSkpmSGFJSE0tbDV5Zm1KRlNkZ1NsWDJhV2VOWVBJYkd4blRqamFqbjNJTlpCUW5nVTFRMWlPTkJnd2dTZnk5Y1dHc1V1TkNyV3k?oc=5" TargetMode="External"/><Relationship Id="rId945" Type="http://schemas.openxmlformats.org/officeDocument/2006/relationships/hyperlink" Target="https://news.google.com/rss/articles/CBMinAFBVV95cUxQMlRRcVF0d0gtWE5vVnJFajFVZlhQY0V3eGh0R3drU3pjUUJtVWhXRnp5c29vUGZQOS14MlhpTDh3SHZjVk93VzIwRTZYT0tkWENFeUg1aGttbzhPNEZjb0hWYUJIUDBJYXJJS09nTFJ2TTg5Q3NidmxadWdyTFp4WmxMRlF1UTN5b0FYcTdCeDZfNGhYMUFNVXBPdzU?oc" TargetMode="External"/><Relationship Id="rId946" Type="http://schemas.openxmlformats.org/officeDocument/2006/relationships/hyperlink" Target="https://news.google.com/rss/articles/CBMiZkFVX3lxTFBtREEtbXFvT1hyTldhbjFsam9YLTlNNE9tZmFSQnhkSURKYzhUZlE0OUxOYkg1bmdsc2lNREpWNV9vX2lXMzkzSFNqRVFiem1YTk9IWFFwZjdyRVVjUDRNODZVWks2Zw?oc=5" TargetMode="External"/><Relationship Id="rId947" Type="http://schemas.openxmlformats.org/officeDocument/2006/relationships/hyperlink" Target="https://news.google.com/rss/articles/CBMi2wFBVV95cUxPMUJGZE9IX2UwX3NvVlVxblhieG5zWWpodXl4QU9iVVVJOVI4X01McDNrOWxsZGdqbTM3TVBJdGFQZ2Iya0Y3RTlBd0dOSVc4NWFEaVJPdmVaN3JheXA3WGw3QWpfeHJkdVc3a1NWSTdqTGtKOHF1ZUprSVNjV19YYUJvcVlHeEpyZDVMMHdjQzdPazM2elUtWEZBOHMtOU" TargetMode="External"/><Relationship Id="rId948" Type="http://schemas.openxmlformats.org/officeDocument/2006/relationships/hyperlink" Target="https://news.google.com/rss/articles/CBMiZEFVX3lxTE0xeHRuY3ZHYWltMTZwTDg0RjlVNkxlakVnNDZCZ05jc0pvb3lMZU5yZks1NlBnU3JadkJGclBMcE8tQlZiN3BhaEI5dldRaS1vUlRWaEpFY0FEcUxoc0Z1bmh4RE0?oc=5" TargetMode="External"/><Relationship Id="rId949" Type="http://schemas.openxmlformats.org/officeDocument/2006/relationships/hyperlink" Target="https://news.google.com/rss/articles/CBMiZEFVX3lxTFB0NGRoRFRsNDNjTkljMEFhUnc3LWlOZjRJRHJ0cVZYdW9hTUVEQWtGOWV5QnRnM1BKbDMxWlBCU2FIOGQ3WW5fLXJGTHUwV2xBOElxcG1kX2I2RDVfcjJheUZOcDY?oc=5" TargetMode="External"/><Relationship Id="rId950" Type="http://schemas.openxmlformats.org/officeDocument/2006/relationships/hyperlink" Target="https://news.google.com/rss/articles/CBMiZkFVX3lxTE1SbWJoMUJwWEVLQW9lckJSRXlUM1M1NVV0STFTMEZ5Mmx1ZzdiTmlJb2NQN3p2ekYwN3hxR0VYRkN5bHpwSlFqQkwtMzBMb0o4aTVucjd3WTJxR0ZPOVB4cUtoamYtdw?oc=5" TargetMode="External"/><Relationship Id="rId951" Type="http://schemas.openxmlformats.org/officeDocument/2006/relationships/hyperlink" Target="https://news.google.com/rss/articles/CBMiZEFVX3lxTFBDdW1SOGFRTFc5b1p3UDQzbTdURG52LUlFVmJnOERYUEFwb2ZFZmZkanZZWXp3MnR4enRmcENEUENSSEZMeUgwZ1ZhNUF2dHF0MDUzbjNFbWRwbXhrSi1ZVzZGUlg?oc=5" TargetMode="External"/><Relationship Id="rId952" Type="http://schemas.openxmlformats.org/officeDocument/2006/relationships/hyperlink" Target="https://news.google.com/rss/articles/CBMiUEFVX3lxTE5laHFUSG5Dclp5dnZPZEx5U1g0SjBwMmhTdjdYTDJpT2RIRWdEY1pkalFLQ0wyOUJFVlBfYkV5dXZXUHF5Ry0xZGhKdTBEdEV5?oc=5" TargetMode="External"/><Relationship Id="rId953" Type="http://schemas.openxmlformats.org/officeDocument/2006/relationships/hyperlink" Target="https://news.google.com/rss/articles/CBMiZEFVX3lxTE0tdjBObS1tcV9YOTlSYmRKbDFPeVFGbUZpZnJNQWYtc29CeXZPQ3A4a0VYT09kM3E1bHprWjZ4WDI0LVB4bkxWQ0pXQWNEaWkwT2Ffek9aYWMyRERndC1XVEVUUlM?oc=5" TargetMode="External"/><Relationship Id="rId954" Type="http://schemas.openxmlformats.org/officeDocument/2006/relationships/hyperlink" Target="https://news.google.com/rss/articles/CBMiZEFVX3lxTE52dkpXWUZINTVRWmN6dG1vNWVTYW5VcTVlRml2OFdGbmRYbUhqSW9ZODdTQ1dvQWpfcGRtU1dvdDFlMVRIYXlWYUVEMGZiZEx6WTladlM3X3RjcHFYVXp0ZnkwYmM?oc=5" TargetMode="External"/><Relationship Id="rId955" Type="http://schemas.openxmlformats.org/officeDocument/2006/relationships/hyperlink" Target="https://news.google.com/rss/articles/CBMijwFBVV95cUxPZFQ2WmdhcTRJOEhCUjdUejVNZk5waUNSb1NKYWEyQTQxcGJBU2dLQ2NaRVh2NTdfX3dZZEk3dXlfMEQ5RXh3M3hRLWxoQ20zbjJ5a0hBMjc4dzVNU2w2VFJ1a1RxQ3R4dGp6alpOSVBHY1J0cms3b1JRazA3RktGcnVvZ0Y4MXo1RV9CZnBMcw?oc=5" TargetMode="External"/><Relationship Id="rId956" Type="http://schemas.openxmlformats.org/officeDocument/2006/relationships/hyperlink" Target="https://news.google.com/rss/articles/CBMiZEFVX3lxTE5SaGJrTmF3Yk9ZX2pJdnpiQW9qcTJkSnRtYWFrTzJPLThLcU5zbkJLeW90akhLdXNWcDBhaTc0cHYyWW9fQ2lzQ2hZNWVka3BTbHRFQkVQd0wzVXhXaEMzZGdGODQ?oc=5" TargetMode="External"/><Relationship Id="rId957" Type="http://schemas.openxmlformats.org/officeDocument/2006/relationships/hyperlink" Target="https://news.google.com/rss/articles/CBMiUEFVX3lxTFBhSjJsbms1SjhybGlrc1dUZ2VPUlpxV0ZabzMyczM3Z3U5dGNscFRYbzd2ZHZuNnpJem5UMFd5SndnM2kyWWc3NG9USl9tTWVx?oc=5" TargetMode="External"/><Relationship Id="rId958" Type="http://schemas.openxmlformats.org/officeDocument/2006/relationships/hyperlink" Target="https://news.google.com/rss/articles/CBMiZEFVX3lxTE02aGJtZXlnX05WeGs2OTY5YTdtSDAwaXZqb25XMVBtRWRaQXZBUUl5SVFrck8zbUtzM3ZVZndkeERCRFM0VDUwS0NHNFJ2MVhndG9mUVhNd3MzMjl2dkk1UEFuTDE?oc=5" TargetMode="External"/><Relationship Id="rId959" Type="http://schemas.openxmlformats.org/officeDocument/2006/relationships/hyperlink" Target="https://news.google.com/rss/articles/CBMiZEFVX3lxTE9ZckVzclNWYWF6NjRIbl8xTk9Nd3JyWHpFMVdwSG1aQ0c1d1cyZU10QXIwSFhOZDFYSW9jYjFINkw4bTZNT1dqRC1HT25jWDlhTHNzWE54WTFNR2VIbUF4cjVnWlQ?oc=5" TargetMode="External"/><Relationship Id="rId960" Type="http://schemas.openxmlformats.org/officeDocument/2006/relationships/hyperlink" Target="https://news.google.com/rss/articles/CBMiZkFVX3lxTFB6MDgyTkxodnJvTlNFem9YZTg1cDZUUy1EUlI5ZEhvMDZyNklCakFOVFZaZW1abUN2VHoxczQzUVdMQjh4XzBfNU53NEFVOWhaNzhCWldkMnl6aTMyemxTcGpaRWZ5dw?oc=5" TargetMode="External"/><Relationship Id="rId961" Type="http://schemas.openxmlformats.org/officeDocument/2006/relationships/hyperlink" Target="https://news.google.com/rss/articles/CBMiZkFVX3lxTE1ldXhkejYwTktHVldSTmJVdEpMMy0zN3NBQmxCdHpDbmJlZ2xyekxrMkpnSEI2Y0N2aUEwY3JvMV83M1UydS1yLUdTbnV2U1EwcTZiWVc3VGJrYjBqR0s0VjhoSVExUQ?oc=5" TargetMode="External"/><Relationship Id="rId962" Type="http://schemas.openxmlformats.org/officeDocument/2006/relationships/hyperlink" Target="https://news.google.com/rss/articles/CBMic0FVX3lxTE5xQ1U5cThOaTFKcHQ4UlM1bzZRVzRUdGtOS2MyUl9UQk5jQzB4am91M2VEM1pxWWVUZUpKOU1mTC1UWTliaFV3eVZaOWhJTmFPb1B4VzBnQ0N4V3RDaDg1SUl5SHdncnp1a1dSNG9SM1pyTDg?oc=5" TargetMode="External"/><Relationship Id="rId963" Type="http://schemas.openxmlformats.org/officeDocument/2006/relationships/hyperlink" Target="https://news.google.com/rss/articles/CBMidkFVX3lxTE96RzBidlpVNnEzX2VhR1dTdWVvS1pHc2RDeG03TmN4d2lGZmlnWU55X3l5a285RlUzei1zNE5TeUxsRHpWaXBmV28xd1BmekdDWVluWnRYNXRUeUFvbVUzZFNSZ2VXUWM3Nk5FNlQ5UHpKR01SV2c?oc=5" TargetMode="External"/><Relationship Id="rId964" Type="http://schemas.openxmlformats.org/officeDocument/2006/relationships/hyperlink" Target="https://news.google.com/rss/articles/CBMiZkFVX3lxTFA2QXIzcmJ3R21XSjVTVkJzV1ZVZ0xYZW1CTHk1NkNEU3h2Ny1rcGh2VEpuV0FsT3M1MFh5SUNGdmp5V2lidS1SdUN6STF2eGJ6R283RkktV3Z1a0RYaDk0RjVqVDRGUQ?oc=5" TargetMode="External"/><Relationship Id="rId965" Type="http://schemas.openxmlformats.org/officeDocument/2006/relationships/hyperlink" Target="https://news.google.com/rss/articles/CBMijwFBVV95cUxPZFQ2WmdhcTRJOEhCUjdUejVNZk5waUNSb1NKYWEyQTQxcGJBU2dLQ2NaRVh2NTdfX3dZZEk3dXlfMEQ5RXh3M3hRLWxoQ20zbjJ5a0hBMjc4dzVNU2w2VFJ1a1RxQ3R4dGp6alpOSVBHY1J0cms3b1JRazA3RktGcnVvZ0Y4MXo1RV9CZnBMcw?oc=5" TargetMode="External"/><Relationship Id="rId966" Type="http://schemas.openxmlformats.org/officeDocument/2006/relationships/hyperlink" Target="https://news.google.com/rss/articles/CBMijwFBVV95cUxPZFQ2WmdhcTRJOEhCUjdUejVNZk5waUNSb1NKYWEyQTQxcGJBU2dLQ2NaRVh2NTdfX3dZZEk3dXlfMEQ5RXh3M3hRLWxoQ20zbjJ5a0hBMjc4dzVNU2w2VFJ1a1RxQ3R4dGp6alpOSVBHY1J0cms3b1JRazA3RktGcnVvZ0Y4MXo1RV9CZnBMcw?oc=5" TargetMode="External"/><Relationship Id="rId967" Type="http://schemas.openxmlformats.org/officeDocument/2006/relationships/hyperlink" Target="https://news.google.com/rss/articles/CBMijwFBVV95cUxPZFQ2WmdhcTRJOEhCUjdUejVNZk5waUNSb1NKYWEyQTQxcGJBU2dLQ2NaRVh2NTdfX3dZZEk3dXlfMEQ5RXh3M3hRLWxoQ20zbjJ5a0hBMjc4dzVNU2w2VFJ1a1RxQ3R4dGp6alpOSVBHY1J0cms3b1JRazA3RktGcnVvZ0Y4MXo1RV9CZnBMcw?oc=5" TargetMode="External"/><Relationship Id="rId968" Type="http://schemas.openxmlformats.org/officeDocument/2006/relationships/hyperlink" Target="https://news.google.com/rss/articles/CBMiZkFVX3lxTE5EdW5Fb3BjY3JXQ3NGOVFHa3ZZWmZ4WnZHa0VnZ0VGT2xCODg5dEVtNVJtN0M0TEhuMnhmalBqNzBlb2w0MzV0UFNpaWoteHZYNjhmQnA0R3ktazNwS0l5VzhNRGxIQQ?oc=5" TargetMode="External"/><Relationship Id="rId969" Type="http://schemas.openxmlformats.org/officeDocument/2006/relationships/hyperlink" Target="https://news.google.com/rss/articles/CBMiZkFVX3lxTFBhVFVxS1Zpd010MTRfNUFyM2JoTVd1QUJPRnRRNFVqaEp0MVBMWkxOdkg2MWR6WnNRbGFZdUhQN3ZsNjRTZWM4RFU5QzVDZE8tbTVhUXBVbG04MjJvbmNWMjBEQ0dzZw?oc=5" TargetMode="External"/><Relationship Id="rId970" Type="http://schemas.openxmlformats.org/officeDocument/2006/relationships/hyperlink" Target="https://news.google.com/rss/articles/CBMiZEFVX3lxTE14VGlDMGgtQ19aeTI5aEVrVkNjUkp6b3AtOW1WaFVPaGUtUVgzLVd0enh3dkhwMUttLURkZk0tY3l2VUhzc0RXcS1GMFRqdU56aFNuV0RSMWtqVndBZmpDU3lpME8?oc=5" TargetMode="External"/><Relationship Id="rId971" Type="http://schemas.openxmlformats.org/officeDocument/2006/relationships/hyperlink" Target="https://news.google.com/rss/articles/CBMilwFBVV95cUxPdElQbWRZZVQ5NGI5VFdTWEhqeFI2dTB1RFByZVgwS1Zwa0lGd2NYY0Q2ZmtydEV0b2YyRkxGMTctUlJBOW8zTTFISzFXdTBJenpGMXdQeE5reUFveDF5QVNsZVFDSnBheEtlV3hrbWZoVTM2MTFUNXVyT3F0TTdFelAybWNTX2M0cktucHdQSGlOUFIzOENF?oc=5" TargetMode="External"/><Relationship Id="rId972" Type="http://schemas.openxmlformats.org/officeDocument/2006/relationships/hyperlink" Target="https://news.google.com/rss/articles/CBMiZEFVX3lxTFBnU0RnRTV2dWhFRVR6OFRxcVJETkxWRXpqSnA3SERpN1VwNklITXE1ZWJlQlZIOVV3cTJKMmI1dmhxY1RJQkN1anEtbUhJX1hNVGhnaU92ZmYxNGRRUVh5VkVtTWQ?oc=5" TargetMode="External"/><Relationship Id="rId973" Type="http://schemas.openxmlformats.org/officeDocument/2006/relationships/hyperlink" Target="https://news.google.com/rss/articles/CBMiZkFVX3lxTE13NENSUEdwOXFWZmZBNXVTLXhIbUpJd0JXbEdiSExOMkRwNWkwVjVrQ3FlWVZYaXFCM2ZHSkRnNW9oOHpMZFk5TnVVeHJHUEgwS3E5Y25qRHNKWkZ4dEtMQXlGS180QQ?oc=5" TargetMode="External"/><Relationship Id="rId974" Type="http://schemas.openxmlformats.org/officeDocument/2006/relationships/hyperlink" Target="https://news.google.com/rss/articles/CBMixgFBVV95cUxOQW1YTHJ6b2dJWXJMemx3Ull3N0Q2ZGw1VzVzNGtOXzVfcGJTT2hBY2RqZEJDZ2ZaMHVZNDhoUGJuTVNRYWZjdmdYNDA4aDExNUVZSzctNERwRmZOZUhPbTc5Uy1EMTJxblBUQmVjemo0aXY5dUVWUnI2TWU2T3hiMGcxRTNJcUktalFzNTJaUU01WkVKVHpGQjhqOTVEST" TargetMode="External"/><Relationship Id="rId975" Type="http://schemas.openxmlformats.org/officeDocument/2006/relationships/hyperlink" Target="https://news.google.com/rss/articles/CBMiZkFVX3lxTE9lTWxyNk5ldWhwaWQ4TG1PZDJJMkFQVmFkeWx6RG1HVkRSWnBjaHd1SU1nTTRlaThfXzhlU0ZyZTZ4MnVpSURtRG8yQzc2QlRHUDFXTDVSeUNkZUREcVhKMmxVMFk2Zw?oc=5" TargetMode="External"/><Relationship Id="rId976" Type="http://schemas.openxmlformats.org/officeDocument/2006/relationships/hyperlink" Target="https://news.google.com/rss/articles/CBMiZEFVX3lxTE9GaHhnQ1luSDBnT3h1YklyTXB3T3VIYWZLWV9TdTBHVUQwZHdCa3lLZ3NkS3ZiRDRzN09HcnhVeHcyMUh4YXFueUtybzV4QkVwd0pQWEgxelFCbzNsQVJxNDJaeUU?oc=5" TargetMode="External"/><Relationship Id="rId977" Type="http://schemas.openxmlformats.org/officeDocument/2006/relationships/hyperlink" Target="https://news.google.com/rss/articles/CBMiYkFVX3lxTE9IYU9vR09pSG1rRnEyaUFaMmJVOXRFOF9sSnI2VmtFYzJ6d2FqaXRjMV9LZmZmWVduRzVIVTM5dDVQSFpWcFZWdlJyVGtDVUYwZmVTZXhwVGZ0X1p1eElEX1dR?oc=5" TargetMode="External"/><Relationship Id="rId978" Type="http://schemas.openxmlformats.org/officeDocument/2006/relationships/hyperlink" Target="https://news.google.com/rss/articles/CBMiZkFVX3lxTFA4aTZDY3ZGcng4cEFJZnpMWGN3S3YtY3F1SWQ3LUk2d1FOVVFEWWx0SW5KZFJDandNa1hucjEyVFp0RFpfSWQ5NFJUU2ZwXzMwdEp2Q1g0X3BrN3lncFBsVG1fX2lQQQ?oc=5" TargetMode="External"/><Relationship Id="rId979" Type="http://schemas.openxmlformats.org/officeDocument/2006/relationships/hyperlink" Target="https://news.google.com/rss/articles/CBMiZEFVX3lxTE5wR1Q0Y1EzSkpHRzJRdE9qQnR2eUxTS09SUHBxR2VJV04tcFN2aWlnbmNSR2lUMFJac3lnS1IzNElZdEdqZGZhWGVHUXFNdi1ieHdFQ21HS09OZGRDZWE3RHprZmo?oc=5" TargetMode="External"/><Relationship Id="rId980" Type="http://schemas.openxmlformats.org/officeDocument/2006/relationships/hyperlink" Target="https://news.google.com/rss/articles/CBMiZEFVX3lxTE02REJKWGlyUVpqMXQwU09ITVFxalNsX1dYSkdpV2lQQXYwQ0tEMVpYaVZ2enhKdlJYcWk0SW1mRF9PVnpKb1FpVldFSXVhOEJHUVlsVDdFdGw0SmlPbklxbGFnX1o?oc=5" TargetMode="External"/><Relationship Id="rId981" Type="http://schemas.openxmlformats.org/officeDocument/2006/relationships/hyperlink" Target="https://news.google.com/rss/articles/CBMiZEFVX3lxTFBFRnRNNG82eU9ORms2cDc3WE5zQ0YtSUtKUXlmSG54N2dpZWhRbXhfYVpDTjlzRmM2NjN6ZXNYVXloc0RWc1djelpKRTdiWUxOVUZTa0pyQU05YWVTd3RYQlJGUVU?oc=5" TargetMode="External"/><Relationship Id="rId982" Type="http://schemas.openxmlformats.org/officeDocument/2006/relationships/hyperlink" Target="https://news.google.com/rss/articles/CBMiekFVX3lxTFBnZGIyT1ZKSFczWU9UM0dkQ3h5bFY3VU0yZDM4dG1kUDhZNU9nQV9aU3hOOHdFaDlmVVpQR25QU2NXNjZ6VXNLMExFRWxkZzZuQ1hUZzJtY2xRMFpORVhudlRkQ3FNcTNieERyTFBQMUptWTFUSjV1a1lB?oc=5" TargetMode="External"/><Relationship Id="rId983" Type="http://schemas.openxmlformats.org/officeDocument/2006/relationships/hyperlink" Target="https://news.google.com/rss/articles/CBMiZkFVX3lxTFA4bHJNeHhScWJfUzBtVWh3a0NIRWRwSkxoa291MlJqa2VsR3RYUU80OXJyTEM3SkttTGw1Y0lnOXZ4ZmxpZVpaRWZ6anVWbVphZEdmS1lJODZTWTY1Q2hFQmVSQ0tMZw?oc=5" TargetMode="External"/><Relationship Id="rId984" Type="http://schemas.openxmlformats.org/officeDocument/2006/relationships/hyperlink" Target="https://news.google.com/rss/articles/CBMiZkFVX3lxTFBBUkxDcHh6X0h6cTNfRmJYbG9KbGtla2I3VjlPaFpoZGRJNTh3OHEzMHFwV3RMMTZKRFEwUjJXRGxVSFpuWlppUG94OFQxend6ZlUxMTY3QzJuY0NWSVZQa2pDZDhQdw?oc=5" TargetMode="External"/><Relationship Id="rId985" Type="http://schemas.openxmlformats.org/officeDocument/2006/relationships/hyperlink" Target="https://news.google.com/rss/articles/CBMiUEFVX3lxTE1HcENELXhmdlhQS0JrdWtOaXM4S0tjTUpMdEZ2Z2Y1WWxUUF9lTXZwdkFMdnJCZ3lwdnhYRFdYT0p6enJZUE1GQzZQOHlyUEww?oc=5" TargetMode="External"/><Relationship Id="rId986" Type="http://schemas.openxmlformats.org/officeDocument/2006/relationships/hyperlink" Target="https://news.google.com/rss/articles/CBMiywFBVV95cUxOcFJJMUlGNXpZYURaeDhpWTFnTE9UVWxmTE04UXhKTHo4WWxwbWlPa2JWUHZqbHlYNTR5UFlPSUpOclFKc25penU2OENlbWtMWm8wUDNvQ3hhdmt2Z1JnMEJqVWVoZnZvSk84MVNVR3QxOTlHNEluTlFNX0lpTU9fS0hYZzQxM2ZOalA3akVTQ2E5YTZZYnZxTDU4SDVHY1" TargetMode="External"/><Relationship Id="rId987" Type="http://schemas.openxmlformats.org/officeDocument/2006/relationships/hyperlink" Target="https://news.google.com/rss/articles/CBMiZEFVX3lxTE1lMWFjVl9Ucy1PMkRqTmloM05yQkpiTVFURkxQT09sbXpJSGtHTmlzeks3TXY5WUVJdnMtOVpzUkFwYVFHaEFTY1lYOExNSUNxcFBEZV81NlZtVUdhVmtBemxwcEo?oc=5" TargetMode="External"/><Relationship Id="rId988" Type="http://schemas.openxmlformats.org/officeDocument/2006/relationships/hyperlink" Target="https://news.google.com/rss/articles/CBMiZEFVX3lxTE5DS0NpM3B3cWlpQUV4d2FOSFJKa0dUeWtaYi1VVTNJd3g5UDVudnlOVTdKdjZwM1BNTzA5NUZZbGhWYnZzTkdjNTlZNFdGdnhsbkl2UlFnaGJKTTJoakM4T0RmYUY?oc=5" TargetMode="External"/><Relationship Id="rId989" Type="http://schemas.openxmlformats.org/officeDocument/2006/relationships/hyperlink" Target="https://news.google.com/rss/articles/CBMiZEFVX3lxTE4zeWZXQkRUMC1IdHRGeDdRbUdEQ0tsTjg2QzFZMGgwVjktSEd6dnR3Y253MWJDeS1fMGt4d2xnSFllM1JaTVZMWEZPSERwWkJDd25ZeExDdkVtclpYVDQ1bG02SGg?oc=5" TargetMode="External"/><Relationship Id="rId990" Type="http://schemas.openxmlformats.org/officeDocument/2006/relationships/hyperlink" Target="https://news.google.com/rss/articles/CBMiZkFVX3lxTE1ZSzVoRXlNYTZ6VnNNb05Lam91R1ZfQ3VBV0ZESDBYWWgwSTlKRXQ4NjF0SGpyekRJT3Zaek9VUXc0SmRUSTBjc1BkT0Z5MEctckdVdXpNRG9Rc3liSWZtLVo2U1kzUQ?oc=5" TargetMode="External"/><Relationship Id="rId991" Type="http://schemas.openxmlformats.org/officeDocument/2006/relationships/hyperlink" Target="https://news.google.com/rss/articles/CBMiZkFVX3lxTE5PN1lhNHFDVnRlUDJoOG9BQzAzcWt4UXI2MjQzQVU1U1FXZGlMaERvVElnMm8yRmdMOW04WU84S0NXa0RCQlpWdk5iNkljYlNlNmJXa25rSjhtMkVXTW9pU3k5VTdfZw?oc=5" TargetMode="External"/><Relationship Id="rId992" Type="http://schemas.openxmlformats.org/officeDocument/2006/relationships/hyperlink" Target="https://news.google.com/rss/articles/CBMiZkFVX3lxTE5ONUViS0ZCcHg5RUhNMDl3T2stOGFyT09nUkhFT1JzQzdYUFlhLTQwcHFvTXpfWldFbERuVTBzb05INFM1eG53LVZlN1pSUnlTV1RlTC13dVVqY3QzcFVObWdmZzNxZw?oc=5" TargetMode="External"/><Relationship Id="rId993" Type="http://schemas.openxmlformats.org/officeDocument/2006/relationships/hyperlink" Target="https://news.google.com/rss/articles/CBMiZkFVX3lxTFBnSVE3YWVMOFVOWlpmSmliVGJqYVZkTk9VLWxoX21uRUtLelBsb3pBWEhYcENrVEk0TkhJS1A0NFEtdDVKa3pkS1pPMFBBY1ljeUhrV2RlT3hNQUdHeXBTSjV5WXl1dw?oc=5" TargetMode="External"/><Relationship Id="rId994" Type="http://schemas.openxmlformats.org/officeDocument/2006/relationships/hyperlink" Target="https://news.google.com/rss/articles/CBMiZEFVX3lxTE5Cdk1iUVFyZGN1Uko2eTNnWWNZaFdvQ05RQkRQdkVpNGxqX1lFNy1fbVVScTUyOFRrb0xsdjNTa0tHQmt4dVAzRDh6OEhROVI4c2JRZDhmanJOWXByVk1ndDFxNnQ?oc=5" TargetMode="External"/><Relationship Id="rId995" Type="http://schemas.openxmlformats.org/officeDocument/2006/relationships/hyperlink" Target="https://news.google.com/rss/articles/CBMidkFVX3lxTE9PUTRuVWItZWIxdUxBQnFiN1FaT0lueHc3VWtWb3FEbHhZbllzTEtsempXNWxENE44eW9tbHpSTnJhZ0RHeEM4VnZ4d3BWOWUtWjNQcnV4cWlQWVhvUXoxb0dsMmZwd1pLaWFwOVY5eHY3c2xaRUE?oc=5" TargetMode="External"/><Relationship Id="rId996" Type="http://schemas.openxmlformats.org/officeDocument/2006/relationships/hyperlink" Target="https://news.google.com/rss/articles/CBMimgFBVV95cUxPcmFmT1dqNXB2dGlMdWRDWmZkcnhtV196MmkyeHctdlBRN1hOZ3RQeXgxSlIzaklGeFVmR0lJSEtFSEhaei1SeW15dXQ3dzIzaVdHenhEMUVXbXNWN19acVFFWkpJYnZ0UW5nLVpabjlqWXNXWkZYaVRHcVVDdTF3Umd1SWduZURRM0I2UHVoejhlOFUzQVVUR3dR?oc=5" TargetMode="External"/><Relationship Id="rId997" Type="http://schemas.openxmlformats.org/officeDocument/2006/relationships/hyperlink" Target="https://news.google.com/rss/articles/CBMiZkFVX3lxTE0yRjdiT04xMmZ2bDBfX2NudC1CZlBwVmlScE5kZWZRLXpRc0ItQ0VjQTlKbmxHai1KeEJPYU1VUnBhMnhDZEUyLUIxck5DbFNOVWd2WjJQSWRjQVk4MW9zNXpuYS1yUQ?oc=5" TargetMode="External"/><Relationship Id="rId998" Type="http://schemas.openxmlformats.org/officeDocument/2006/relationships/hyperlink" Target="https://news.google.com/rss/articles/CBMiZEFVX3lxTFBIM2RERG1tNVhTSlR3bk1lOEFjaUp4RWhyVl9CaVllaDU3VmVuTE53NEhiU052WjI0TDB2Y1FQRkpuUXV3MWw1R1lSZ2F4LUhtTGZDcUhIMVpOQkFKTHRhaGZsYTA?oc=5" TargetMode="External"/><Relationship Id="rId999" Type="http://schemas.openxmlformats.org/officeDocument/2006/relationships/hyperlink" Target="https://news.google.com/rss/articles/CBMiZEFVX3lxTE1uaFZCbHBQREhQRFdldnhPQmJsTFpLTm5XaWxSZVgxZkFJQkpBRTRYTC1jUDl2SmZxQXdNN3lVMFNvN3MzTnprZ2ZyakpiS2FRS2VVcWxUNWFrWGM4YUQxNG5sd00?oc=5" TargetMode="External"/><Relationship Id="rId1000" Type="http://schemas.openxmlformats.org/officeDocument/2006/relationships/hyperlink" Target="https://news.google.com/rss/articles/CBMi9AFBVV95cUxPU3E5QVJqRWs4ZEVtYlVmcjItMjNDMmZLRzNNMHF2ZVdLT014S3QzcGFRMTlsdFRwMU15SXZnMzFiZXFzSWJLZlc4b3BYUG4yLWpSdUlRWHB2UUs0ZkhMZ2M4ZlZpMFdpSHlWX0VvX0FjSGMyVHowaGhWczY0TmFtR0EyYzlQTXR0RWxhUVBwWmNjbmxtUmdjOEtxVGRReF" TargetMode="External"/><Relationship Id="rId1001" Type="http://schemas.openxmlformats.org/officeDocument/2006/relationships/hyperlink" Target="https://news.google.com/rss/articles/CBMiZkFVX3lxTE92ZUx3WTBzOS1mSEZLRGtqdDFmLXV4WHZTZTBEOFRCTTFiRHYzUVFITmJzUC1HeEw1RmZTd0NFZWtldWFzZ1E5Y1ZPZ045aW5WY2tBdHZBbmNpcXQ2TWNXRmN0LTktQQ?oc=5" TargetMode="External"/><Relationship Id="rId1002" Type="http://schemas.openxmlformats.org/officeDocument/2006/relationships/hyperlink" Target="https://news.google.com/rss/articles/CBMiZEFVX3lxTE5xX1NCM09VU1hYUUZJTl90cTc5V2xmVW5oQndkbjI0S3pYVUtDWFVZRVJ5d0hXQUlwc20yRUcwWk8xTjBsUHVzY0I4RGg3VTN0UWo3Wm9rWFU4eFFCNDFMUmxBWUk?oc=5" TargetMode="External"/><Relationship Id="rId1003" Type="http://schemas.openxmlformats.org/officeDocument/2006/relationships/hyperlink" Target="https://news.google.com/rss/articles/CBMiZEFVX3lxTE0yVk1LbkM5S0xWUUlrSzlMY2JOUDRheDhibng5S0RfNFhmMW9zQWdIMmdNRkREMjFwZmxFenNaNWRkbllHNFRhTDlJOTJUNXR2UnF4TUhISDBRTVIwRGZzdjZJWnE?oc=5" TargetMode="External"/><Relationship Id="rId1004" Type="http://schemas.openxmlformats.org/officeDocument/2006/relationships/hyperlink" Target="https://news.google.com/rss/articles/CBMiUkFVX3lxTFBQS0dlc3NOUFlOOHpQX3BYQUVOWUdvZjhUWldSWjZoWTBKS3U1NDZLSGRHY3hFb1FnVWplcHA0aXdsWTFmcENwZEVJMGM1MFFmU2c?oc=5" TargetMode="External"/><Relationship Id="rId1005" Type="http://schemas.openxmlformats.org/officeDocument/2006/relationships/hyperlink" Target="https://news.google.com/rss/articles/CBMiZEFVX3lxTE1uSzBGclp0c2VmcGhUaHhBbEZzS0hZVWYtWGRYeFM0dFYxOGtkTWUxSjFSM3JOQVVUM3g4b09CNWVUQWRMQ1RXUWJaTnpDUWxyRU1qbE5mWGh3eU5QSE5CYk5JLXk?oc=5" TargetMode="External"/><Relationship Id="rId1006" Type="http://schemas.openxmlformats.org/officeDocument/2006/relationships/hyperlink" Target="https://news.google.com/rss/articles/CBMiZkFVX3lxTE5EWlJUYlVaS0VrMDQwYmtoLXhMekdHTzA2dVBLUW1fZDJvN3lBb3JxUkF5ZXV2RUIwdDJES2ZuSWR5RTl6Yk8xTHY4QnE0TFItMXlKQ2gzVDdzWThGWm5pdnByaUxiZw?oc=5" TargetMode="External"/><Relationship Id="rId1007" Type="http://schemas.openxmlformats.org/officeDocument/2006/relationships/hyperlink" Target="https://news.google.com/rss/articles/CBMiZkFVX3lxTE5pbE5iR3AtZU44ZHRGRUVacW1Uem9SUnZKa3VDRkJGTE0wV2xXVWxvNG16M1JSd1NURlQzazBxVGpQRDl4T2FWWms1NGZUVEZ3ekpMdjRCZV9pOXZqaGx0cWhvOGtLUQ?oc=5" TargetMode="External"/><Relationship Id="rId1008" Type="http://schemas.openxmlformats.org/officeDocument/2006/relationships/hyperlink" Target="https://news.google.com/rss/articles/CBMiZkFVX3lxTE1JbmNKQ1N1NUZzUDc0eUYwS21EWkR3RTJIdXVzQW9LNEJkdi1uci0tbjQxS1o3N0t1d3lmemlqcHE5ZTNtZVNqbk5mdGVLM19VNEN1b0p3cngxUjItdjBsY1lTU2RtQQ?oc=5" TargetMode="External"/><Relationship Id="rId1009" Type="http://schemas.openxmlformats.org/officeDocument/2006/relationships/hyperlink" Target="https://news.google.com/rss/articles/CBMiZEFVX3lxTE1ZWmpWZ2prcFZoSTBSUUxqRjFET2tlejdXd2RTeVZ6WWh0V21yeFhJalF3UGF3LUlUYVpDVVBXYi1UMFk5T0JQYTZ6UzBkbjFtNzQ4dWN1X1BlUTk2NjlrMHRLbXA?oc=5" TargetMode="External"/><Relationship Id="rId1010" Type="http://schemas.openxmlformats.org/officeDocument/2006/relationships/hyperlink" Target="https://news.google.com/rss/articles/CBMiZkFVX3lxTE96Uno5OXl5b3lJYUZNb2J0MG9KMmIwWmF4UnJGZ2xQSHJ2VkNEZ2NLSlNqYWtwRjh1RHJjZ0prTzc1cjhRRkIwblhOTEUtUkJHUkxDdGp0V3o5QzlHWnZ3al96MFNMUQ?oc=5" TargetMode="External"/><Relationship Id="rId1011" Type="http://schemas.openxmlformats.org/officeDocument/2006/relationships/hyperlink" Target="https://news.google.com/rss/articles/CBMiZEFVX3lxTFBOd3lFSlc2UnotcWZZeVR5X1pjcGltVEU0bHpIQkJ0a3JhcHMyQ0dCYzFSSVB5Y3piTWFwbU1HX01HOGpyNVYzNlBBMzdmQzdwOUlBb1JNQXBQUkNiUHk2Uk1IcWg?oc=5" TargetMode="External"/><Relationship Id="rId1012" Type="http://schemas.openxmlformats.org/officeDocument/2006/relationships/hyperlink" Target="https://news.google.com/rss/articles/CBMiZkFVX3lxTFBWNGhKbzVsdlhHSVhidEF1b3BGdk51LWwtaEtMQ1NMYTZkbC1jY2RyNWNyOWtLNTZIb3hSQ2I5ZjltSGE0anE2VWtIOFhoMmp0czM1czdlaVdGd09YTTFVYnN3eGVWQQ?oc=5" TargetMode="External"/><Relationship Id="rId1013" Type="http://schemas.openxmlformats.org/officeDocument/2006/relationships/hyperlink" Target="https://news.google.com/rss/articles/CBMiZkFVX3lxTE5SMGpEUExUYlRLdUp6QmVwRUF3WnI4NXZxZU9qNWdEMUl5VU9FdS00cnFvNTd6dFpaMTRwZVZpQ3NPRW9TTnlORGd5TDZyaC14WTlMVU9qTzk3eDRLUXlwTG05bDgxZw?oc=5" TargetMode="External"/><Relationship Id="rId1014" Type="http://schemas.openxmlformats.org/officeDocument/2006/relationships/hyperlink" Target="https://news.google.com/rss/articles/CBMiZEFVX3lxTE4xN2xXVXo1TldZQmpMdUNGczhpNmtkUDAxWjZ2VERRd19ONEwtWlJwVEFwazMydUFsenBldUkyaUJ5Q0EyT2JFWFFrdlJXRGotOGxEdlFDSk5wcG9IWkoxN0dPSVY?oc=5" TargetMode="External"/><Relationship Id="rId1015" Type="http://schemas.openxmlformats.org/officeDocument/2006/relationships/hyperlink" Target="https://news.google.com/rss/articles/CBMidEFVX3lxTE5yczZRNERIOWpDTVdKeHVfWjJUc19Ld2hUWmJpSE4wNjBZSzZRV0Y3UTcxcV9uT2d6aHRvdmxTc0FVZENsM0UtY3dBSU1fWHJrZGFlaERvd2dJRjNham5vbU1NQzBSTEg2S3FqazhUSzcwM2JR?oc=5" TargetMode="External"/><Relationship Id="rId1016" Type="http://schemas.openxmlformats.org/officeDocument/2006/relationships/hyperlink" Target="https://news.google.com/rss/articles/CBMiZEFVX3lxTFBjc0hZcVp0V2JtWC1RSWF5UjFlajl3cldlRlBNZTFqZkU5TFFkWURyRVZ2WF95dzJqU3NkZmo3bGR3Q3VsYXVlWl9wb2pIWm50Qm1YNUEtWWFYa2VlZVZEaXJxdmY?oc=5" TargetMode="External"/><Relationship Id="rId1017" Type="http://schemas.openxmlformats.org/officeDocument/2006/relationships/hyperlink" Target="https://news.google.com/rss/articles/CBMiUkFVX3lxTE54WEZwenFrMEtnMUtiOUJXZFdkS0FDRjhzY2hFZHVmRi1qSm42dExLUm5NOWtqdWdWNWtBcnl6RXBDZFpRbl9uWHVtOWh2NzgzS1E?oc=5" TargetMode="External"/><Relationship Id="rId1018" Type="http://schemas.openxmlformats.org/officeDocument/2006/relationships/hyperlink" Target="https://news.google.com/rss/articles/CBMiZkFVX3lxTE5BR3V3cTBBWTJsaEVlYVpyVWxwVmM4Vk5uX0JfMkozcjdPN3Y5dVNZbnhwclc5SktJdnJkVEpMM1BiWmtZRkx6VVNmTlJXNHh2NlVuZXN5bTFMc01OSGN4WVNnUE5zdw?oc=5" TargetMode="External"/><Relationship Id="rId1019" Type="http://schemas.openxmlformats.org/officeDocument/2006/relationships/hyperlink" Target="https://news.google.com/rss/articles/CBMiZkFVX3lxTFBQMEtYejNGWWxLcUZqS0RGdm9teGRKMWtfVUlrMGZjcDlFbG1RXzJyMGdfM1U0SklnLW1RSHQ2R3JuU3RjRUZBRC1Makt0elpvZGNKN1JadVNleDNSdlB1X2NRVG4tUQ?oc=5" TargetMode="External"/><Relationship Id="rId1020" Type="http://schemas.openxmlformats.org/officeDocument/2006/relationships/hyperlink" Target="https://news.google.com/rss/articles/CBMieEFVX3lxTFBXN2NmWlNtZVFnNzlCWFpycjVMVkRjQXJXUjdvMkNhNTdNcm5mdXMwMlNwRkF6eXlUU1hxMVdPd2ROUndKdEdoNVFiNlpIdmpjRkZIbkg1SE5ISmVBdDhuaENnUUpFalFEY3dxOUktczN5SWJ6Q1BMRw?oc=5" TargetMode="External"/><Relationship Id="rId1021" Type="http://schemas.openxmlformats.org/officeDocument/2006/relationships/hyperlink" Target="https://news.google.com/rss/articles/CBMiZEFVX3lxTE9FaGNvUHJJd3Jxd2dPekUtX0V1TFV1b1ViUFAySkphRzNnTXBYWEVPYTFVRDlUV3dsQ0lLSktFUGttYi0tWVItU2lmNUJPZkxidnE5cW9SQnVRS2xaelpCSklvZ2I?oc=5" TargetMode="External"/><Relationship Id="rId1022" Type="http://schemas.openxmlformats.org/officeDocument/2006/relationships/hyperlink" Target="https://news.google.com/rss/articles/CBMiZkFVX3lxTE4zbGtHUGtvU0JCR19DZ2gxcldWcGdLNmNBb0hfVmtzS0xrX1paTWJhbTNEelYwR3YyanVMRGlIZk9xVGcwd1pxTTJ5aDBlNFR2cnBxQXdHc3ZRSkVialpqNWkzUExjUQ?oc=5" TargetMode="External"/><Relationship Id="rId1023" Type="http://schemas.openxmlformats.org/officeDocument/2006/relationships/hyperlink" Target="https://news.google.com/rss/articles/CBMixAFBVV95cUxQWldCXzBfZWdmbTFyMkItZ19xWWFyOC1EZFprVGlMRDdvMDVzZjIzbTB2ZjFPSWFCS0g4dS1TM2tBTDgwQlNzT1p2b2VDMVpKU1AyMzJucG8zRlI1ZG51MHZNY1dqcUZsM3JLNjBhOE51VUM3aG9IbUp4eFBSbDVtV0FucVVySVhybzZlVi1VbFE2VVpKVklpTVdhNUl3MW" TargetMode="External"/><Relationship Id="rId1024" Type="http://schemas.openxmlformats.org/officeDocument/2006/relationships/hyperlink" Target="https://news.google.com/rss/articles/CBMiZkFVX3lxTFBPaTFYN2VHSEVwLTNtbTdMLThoUnZOR0kwLW9EbmlWT0xLbzM3SUExYkJKS1k0RXhQMmdQY05YOVZBUm9JMUo1OVhGZU13MHpzNTlvdy1QaThJNEFQczY5V3NUYXlFZw?oc=5" TargetMode="External"/><Relationship Id="rId1025" Type="http://schemas.openxmlformats.org/officeDocument/2006/relationships/hyperlink" Target="https://news.google.com/rss/articles/CBMiZEFVX3lxTE54b002Z3Roa3R5b0NZSUYxUEhsM1daUmtxc202ZC0yUVdpN3lEejhVQ2xyQjlSUDdLUHp5SEE1WDZ1MDQ3UFBYeVF3OVJHWjQ1NEQzZzNMZERmM1pvdmF3THhHeHE?oc=5" TargetMode="External"/><Relationship Id="rId1026" Type="http://schemas.openxmlformats.org/officeDocument/2006/relationships/hyperlink" Target="https://news.google.com/rss/articles/CBMiZEFVX3lxTE9MNmE0cmpDbTFURVc4NGlrQXh3XzhHNGpSRlJHdng1OHk4TG81NUpIWjZkb3p4aURaLUctRTR5X3NpREo1MHdLaEw5QUJaZWZWYnF6Ty1QRld3dFdLNTV1N3JnMmU?oc=5" TargetMode="External"/><Relationship Id="rId1027" Type="http://schemas.openxmlformats.org/officeDocument/2006/relationships/hyperlink" Target="https://news.google.com/rss/articles/CBMiZEFVX3lxTE5PS2RicVoyS1puQVJZVVdtMWhnQWI0bkdTUUFHSGdTRWFGcGtNbEw0UXNKbWNvSjB1VEZ1TEdZcGMtQXNmWkhSV01HaWN6TFZwQjkxRWRjblhqYXpUMFBoYVBnQ28?oc=5" TargetMode="External"/><Relationship Id="rId1028" Type="http://schemas.openxmlformats.org/officeDocument/2006/relationships/hyperlink" Target="https://news.google.com/rss/articles/CBMiZkFVX3lxTFB1WnBxb0xSRlkzZ3hxejcySjN6QlN3aU5TR0xNSy1vSUhCZFV1dkJBc2Fya0FsZHdESjBNc2V5YWhZajNPNFQ5aFVQdGlFMUN2S2RZWEcyRFlkbDFlMEpOYTJadXpidw?oc=5" TargetMode="External"/><Relationship Id="rId1029" Type="http://schemas.openxmlformats.org/officeDocument/2006/relationships/hyperlink" Target="https://news.google.com/rss/articles/CBMimAFBVV95cUxOa3luYnlBbzZVQ0dHRWY1d09jcDRXd05aNnRNU0hpbklGdDRSUkZjNnIyVlRQZzYxTHBjMkM5U21Oa1hfbzFGblp1VmJpelRkRTZYY0hjMkhaMWkzRF9GRXJwT3JxdXF2ajFuZ1JvV1BsdHQwdG9YU1ZVQTd3ZWJMdC13dEdVdDF3WVI2QnI0MHNFOFhHZjJoNA?oc=5" TargetMode="External"/><Relationship Id="rId1030" Type="http://schemas.openxmlformats.org/officeDocument/2006/relationships/hyperlink" Target="https://news.google.com/rss/articles/CBMiZEFVX3lxTE1yWllHTUgwT1hRVXBvczhrYlBHWkNKTU00cTBCRVJWN3VUaDJwLUJKa2I4MHMwdWpKMTJjYVoyWVZQNTRianFpS3A2RzBpVklrUkEzZ0ZnNFkyQ2l4RUZjQWN4Zmg?oc=5" TargetMode="External"/><Relationship Id="rId1031" Type="http://schemas.openxmlformats.org/officeDocument/2006/relationships/hyperlink" Target="https://news.google.com/rss/articles/CBMiZEFVX3lxTE5VaFp6S1NyeUNYSTZ2MktPa1VpMWpmQWJ4NXRsam9PLUdIZC1oeXJ0VkJpWWdVdjFnWjZ2M2tKUlhFMVg2SmRvQkRCVWtmV1RQUnIzTVVhMXhDUDNNdDVVZE9CX3Q?oc=5" TargetMode="External"/><Relationship Id="rId1032" Type="http://schemas.openxmlformats.org/officeDocument/2006/relationships/hyperlink" Target="https://news.google.com/rss/articles/CBMiZkFVX3lxTE9zVWpMZ0ZuLWxiSmJLY1NGLUhwb3lpN3NaZDNKY2RTNy1kUTVyX3JKRmxaX2Nsak1pVHRHdkloTGJpWmRJY0ZSd09YbUwwRlNIdEdGWnkweDBCUXV2YmxlRFZEbmhMQQ?oc=5" TargetMode="External"/><Relationship Id="rId1033" Type="http://schemas.openxmlformats.org/officeDocument/2006/relationships/hyperlink" Target="https://news.google.com/rss/articles/CBMie0FVX3lxTE5PZ0ZXVjJoek1OQmZHS29Sb19VbXBmeEVWV1h6LWtjLTVIS3NhUGh0X2VBdnlmWHJ5cTZyX01PYzdpMmtsUDBFaWlGZFpRUU1jLUdLdVNCZVM4RnFtejdNSEx1TTVoX2FZYi05NzVfeEM0MlRhNG9rVVdZbw?oc=5" TargetMode="External"/><Relationship Id="rId1034" Type="http://schemas.openxmlformats.org/officeDocument/2006/relationships/hyperlink" Target="https://news.google.com/rss/articles/CBMie0FVX3lxTE5WVTdjNkdINEVfd0EzbDY0M1lzTlVtUEFPVm45UlFHODBzQmxlWGNtR2FUTE9IZTdwZ0ljd2JqeXF4MHVjTm15Y1J1QXhudjVXWXljano3UjdqOC0zTlAzRXpwMmxRMHBFVXdoQmNYSVVfZU9QdlY2Q01paw?oc=5" TargetMode="External"/><Relationship Id="rId1035" Type="http://schemas.openxmlformats.org/officeDocument/2006/relationships/hyperlink" Target="https://news.google.com/rss/articles/CBMiUEFVX3lxTE9PQWNqWHRVX2tCX2J6YzNnQjBYNERoWlZpVG55WjN3ZFFJMnRDdWVlb0U2SGRpLVR3cTdaV2xDSGMyRzVhZ2JfNC1fd2MzeGE5?oc=5" TargetMode="External"/><Relationship Id="rId1036" Type="http://schemas.openxmlformats.org/officeDocument/2006/relationships/hyperlink" Target="https://news.google.com/rss/articles/CBMiUEFVX3lxTE5UZHVJZndmYlBfbV9CWTk2cFBGT0VDUFQwQUlZMzNaeGg4N2R5R3dGLVp5V0JUOWtTLW1LY19JSk5tYy1qUXU0V2pMdU5lbl9Z?oc=5" TargetMode="External"/><Relationship Id="rId1037" Type="http://schemas.openxmlformats.org/officeDocument/2006/relationships/hyperlink" Target="https://news.google.com/rss/articles/CBMiZEFVX3lxTE4tR3pvYnp0YUx4UjFmdWt0V2hHMGNoMW9vc3lBWExzdHc3dnF4WUQ0cUdwdzNXQWdxU0xzRVJHNXRKXzBuSnhUZ3VmQlpRNVVNM2JqQmY5MlVDTExZOEZLek5zeUc?oc=5" TargetMode="External"/><Relationship Id="rId1038" Type="http://schemas.openxmlformats.org/officeDocument/2006/relationships/hyperlink" Target="https://news.google.com/rss/articles/CBMiYEFVX3lxTFBUbGliUEdsNDd3ZmlmNFhUZGtiZVhHVHhpR1lKYXg5Z01zdVV3WWYtR2hpclhOVnFGSDgzMExycnlUcFp4czhabExXVnN4em9Ea2dmekE1cTZxRXN2aWtmYg?oc=5" TargetMode="External"/><Relationship Id="rId1039" Type="http://schemas.openxmlformats.org/officeDocument/2006/relationships/hyperlink" Target="https://news.google.com/rss/articles/CBMiZkFVX3lxTE5reWlNNndUTlBoV0hUMS1NV1RoY2VxNkR5RXlXbVpxcmxwQzFjcWV4YThOalNEdmJ4X0RLVXZWM0lIdGJBaUxER2t0Q295WC1PX0pXaUVKaUpSTmpuTXpWT0o0bkFSZw?oc=5" TargetMode="External"/><Relationship Id="rId1040" Type="http://schemas.openxmlformats.org/officeDocument/2006/relationships/hyperlink" Target="https://news.google.com/rss/articles/CBMiZEFVX3lxTFBFQmxkYVZ5VEpNYUxOYnE1Yl9jaTZrMUFpZ210cmNMdk9fRDRuQW9abkZ6OFZycVl2Y2hycG1WcjYwM3FCaktYbmpEQ0w0aWFLT2JyQlVJaE9rSGJTZXNzNU5RTW0?oc=5" TargetMode="External"/><Relationship Id="rId1041" Type="http://schemas.openxmlformats.org/officeDocument/2006/relationships/hyperlink" Target="https://news.google.com/rss/articles/CBMiZEFVX3lxTE54NjFWWDFnYVJFRFJDbW1NUERCY0lHbXhMSk1ndU1meWctc0I4TUxBTDZfMnRvZ01nNDVaX0t0TndCMXhqeEkwMGVCR0lndFpuWmNiVkZLbmtVbjdOVUItYWcxaWg?oc=5" TargetMode="External"/><Relationship Id="rId1042" Type="http://schemas.openxmlformats.org/officeDocument/2006/relationships/hyperlink" Target="https://news.google.com/rss/articles/CBMiZEFVX3lxTE54eHFCVkRLNno2Sl9VcHdKRmtoZzBkWjN3MU9uOFRTNEo2SVBEeWlYX1QzYXpLWi1MVHc3Ymp4NHh5VjFmZnpzV0k1N2pxTGM1ZFlMT3N3Vm01T2FRSTR3LXRJVEU?oc=5" TargetMode="External"/><Relationship Id="rId1043" Type="http://schemas.openxmlformats.org/officeDocument/2006/relationships/hyperlink" Target="https://news.google.com/rss/articles/CBMihgJBVV95cUxNczUxdFhmUHlHUE1KOWFVUE4tNndlQjV1NGV3ZXJPdWhjYTI0eFhfUHprbVVGOVgwc0t3QURFQlJ1Z1BxZDY5UEFDbTA5NkUwOXBqaHlFR2NMUkhfaDBpN0xkOWhmbzJXOEUzeXF6bDJYNFFYajVGbTQ2WElGdWtTZnk4Mm5OZUZwWFhsNVpJVkNEdkRYX3BWbXpNVGNDWm" TargetMode="External"/><Relationship Id="rId1044" Type="http://schemas.openxmlformats.org/officeDocument/2006/relationships/hyperlink" Target="https://news.google.com/rss/articles/CBMi0gFBVV95cUxPRGZHSFlCYWhhTHlCNWtxVjBLRzNlenBkOTJFRmEzc2NJR0pLQ0dHWUVBSF82ajVnYnRZc0hFdmd3bldQUjU1SnMwRlBBdXlvMGpBdlRpc1NCVDR0N0lrdUF0S2Y2X1FZQ2tZcXBhZ0tRMXdQOE5qbkduUGdzaUpqenBkamwxdG1TZ002ejZGcVAzWDVkdGpZc0U3TXJxaz" TargetMode="External"/><Relationship Id="rId1045" Type="http://schemas.openxmlformats.org/officeDocument/2006/relationships/hyperlink" Target="https://news.google.com/rss/articles/CBMitgFBVV95cUxOQ3I0cmJtX2t2UzYweUUyM0xIZTBVU2JXNE80LVBfZmZMQ3RlcUpEU2ZwVTYwOV93UllPNEVwaDVaV3RIb1ZxdmdDMzlVTnktYldndkRCdTNIOWRibUpUQm91RFVNc2FEdE9jQm80c3FTRXozWkZrTFlVWjY1cWlMZHUwcE5zcWFiWWgyVnZZVmcwZWNjaEI4N2N5OERGel" TargetMode="External"/><Relationship Id="rId1046" Type="http://schemas.openxmlformats.org/officeDocument/2006/relationships/hyperlink" Target="https://news.google.com/rss/articles/CBMiZEFVX3lxTFB1cDlpbDRBdUx2bW9mSXlkc1JoRTV4UFBmOGI1UkY3ajBSUExKRkZEZ1RJTTBrRHZXMWpXWGdhckdCQ1FxLXNndFkxYnBZX3VuZGUwVEZEcUUtUkUydHVEN01TYlE?oc=5" TargetMode="External"/><Relationship Id="rId1047" Type="http://schemas.openxmlformats.org/officeDocument/2006/relationships/hyperlink" Target="https://news.google.com/rss/articles/CBMiYkFVX3lxTE1xd2xoMkgwcHFYWXlaZXA1UnlwemE1akpXX0VlQmRzODJtTkJuUDN6Si11OHlqUW9DbERncjZ3RjBqRFp1TExEb3JwdFdDQVliUGJYWUw2b0w5WWVNQWJ6MlBn?oc=5" TargetMode="External"/><Relationship Id="rId1048" Type="http://schemas.openxmlformats.org/officeDocument/2006/relationships/hyperlink" Target="https://news.google.com/rss/articles/CBMiZEFVX3lxTE00ZzJuNndQYjVUMVZfQk5tWlVUTk9HTkpWQWhwQUY0N1JGODctLU1vUVNINEdmS3MtWENHNURsc0tDV1Vnc3hCOWRFeGZZNE81MDBnbUpyX3ZBRVhvYmF5cjl5clk?oc=5" TargetMode="External"/><Relationship Id="rId1049" Type="http://schemas.openxmlformats.org/officeDocument/2006/relationships/hyperlink" Target="https://news.google.com/rss/articles/CBMiY0FVX3lxTE5FWGJxcm5xSUxhSzllNmFDUzZFaUxWX2tjcnBJUDA4YThNMWFzV0Ffa2N5blBoQTBIV2ZxVkFUdE9SVEo2QlplRlVlS1ZvVVFhNXVjUHNtcjFpOUVxc0xUTTVUbw?oc=5" TargetMode="External"/><Relationship Id="rId1050" Type="http://schemas.openxmlformats.org/officeDocument/2006/relationships/hyperlink" Target="https://news.google.com/rss/articles/CBMiZkFVX3lxTE9sWWI0TkZ1LV9kXzg4UkNkMURlQkFyZTFHNVM3eWpiMmpjRWR3ak9JSnRPUUJnb2VBdHJRUTJYTjQ3SjBmRUw1czVjVWtvcV82eUtIUUtjWHhHdmRuSjlsa1FNY09zZw?oc=5" TargetMode="External"/><Relationship Id="rId1051" Type="http://schemas.openxmlformats.org/officeDocument/2006/relationships/hyperlink" Target="https://news.google.com/rss/articles/CBMiYEFVX3lxTFBhTjRYWFdxTmtYQXdBdWxqRnlJa29uM0k2STNVM1huZ19EZEFOSVhmN3Q4bVdYMXdMcWdkRkVjODJxUlZxekhvQkFlRE5jdGJqVk9LRWw3Y2hmQ1FGMDFjcw?oc=5" TargetMode="External"/><Relationship Id="rId1052" Type="http://schemas.openxmlformats.org/officeDocument/2006/relationships/hyperlink" Target="https://news.google.com/rss/articles/CBMiYEFVX3lxTE9UTWRJY0Z0bjFhTV9qcnRVZFJGbDZCQVFUNmhzSzQzTEl1R1YtTDJ3S0U1V2poR2U5QzMzNG1heTRIbmIwRWpGT0Vnd3RRRE5PN0s5WTBVelozZ1VsaklWMQ?oc=5" TargetMode="External"/><Relationship Id="rId1053" Type="http://schemas.openxmlformats.org/officeDocument/2006/relationships/hyperlink" Target="https://news.google.com/rss/articles/CBMieEFVX3lxTFBVaXVBTzI2Mng0aUFCMm1mYTlTcWRha09xMDY0dm9rcFFhS3RtY2lXNDd1TnFKTlAxcHZzUHRVUnlpd1RoMlVYVGJSYVo1djNiVnpfWktFcEtMcS1aX3c5TEMtS1MtbnhNQm1mVk01djJoRXVqdGlPTA?oc=5" TargetMode="External"/><Relationship Id="rId1054" Type="http://schemas.openxmlformats.org/officeDocument/2006/relationships/hyperlink" Target="https://news.google.com/rss/articles/CBMiUkFVX3lxTE56T0FCRjVhZWxiOTl1RTdYTjFYYS1xTjRnU183QmEzbTBuekJwZ1lBSGd2N2twVFpHbEVfcFgtYWxfOEFCaFlKVUZ2SkFydl9QbHc?oc=5" TargetMode="External"/><Relationship Id="rId1055" Type="http://schemas.openxmlformats.org/officeDocument/2006/relationships/hyperlink" Target="https://news.google.com/rss/articles/CBMiZEFVX3lxTFBPdDV1R0lrR2M5SHlNZ0t0Y2FYOXY1Q3lYUXBQa2JRMmRtSVZtVWRWaUhZTHpGbGlWU3A0Y3NGNUF5SjAyNElERzR1eEFtdTB6WTZkTGJPcjVOeVN6eHM3cFVzc3I?oc=5" TargetMode="External"/><Relationship Id="rId1056" Type="http://schemas.openxmlformats.org/officeDocument/2006/relationships/hyperlink" Target="https://news.google.com/rss/articles/CBMi3wFBVV95cUxQZ3dsUHBMQzg0NWdFSnZJTk9HZFdva0tMakdPbTdLRzZ1SkRqaGRBTFhXV2drWmEyTTVRWHAtNUxUSUZlejZaU2RjUUlTdjNlVzZqNl9CcS1PaWlqTUFDdHFpR1BLYXdOeExickN0WVMzcWNNY3h4RTVQVThLd2didjhCR0pmdU5kSnBTeDRva0hKRE9mOFNtLWVFb1NmR2" TargetMode="External"/><Relationship Id="rId1057" Type="http://schemas.openxmlformats.org/officeDocument/2006/relationships/hyperlink" Target="https://news.google.com/rss/articles/CBMiZEFVX3lxTFB4eWJUVnoyQjMzR0VpTkQtaWlnSXY0Y2ZnQ25JaG0xdG5lZGFrZklBNFJSeUpubkQxWXJJRGIzdHljUVRHS1JBMkhLby1UQy11LTBLSHJZMnFmMzZBSnVTV2NwN1Q?oc=5" TargetMode="External"/><Relationship Id="rId1058" Type="http://schemas.openxmlformats.org/officeDocument/2006/relationships/hyperlink" Target="https://news.google.com/rss/articles/CBMiZkFVX3lxTFB3UG5ONkdRR2NlSkVWbVVzMHpSRGY5UndfbnZnMzl0ZmwxVExra3hfNnozdUxQa216eWdHUUIwX19JMWN4ZkFocEdGZFBBLUF6V3Z2bG1KdTY2TU1ZVFA1RVdGY0Q4dw?oc=5" TargetMode="External"/><Relationship Id="rId1059" Type="http://schemas.openxmlformats.org/officeDocument/2006/relationships/hyperlink" Target="https://news.google.com/rss/articles/CBMiZkFVX3lxTE92am5DTVVQdVQweGJzZklabU1mUE5QN0hZQ1BxN19XUzN4TzBVT3hsdkJSNkIzMHdFZV9wUFBQRTNTUUIwNjNiUWR6UndnN0J3MlN2cDlGYVlLS2ROMEZlTF9TVjF6Zw?oc=5" TargetMode="External"/><Relationship Id="rId1060" Type="http://schemas.openxmlformats.org/officeDocument/2006/relationships/hyperlink" Target="https://news.google.com/rss/articles/CBMiZEFVX3lxTE5IT1Nta1FpcWxYc0lyZVJCcTVhRm8wTi1xS1BrN1h2a0ZBb1Q2YXRYa1dqYVhSU185a1pWQU9BMWYzYnNNaWl2MnFnZXg5U0IxLXN5RXVnWkg1cGlGNlZCem9NU3k?oc=5" TargetMode="External"/><Relationship Id="rId1061" Type="http://schemas.openxmlformats.org/officeDocument/2006/relationships/hyperlink" Target="https://news.google.com/rss/articles/CBMiZEFVX3lxTFBCaWl1dGo3QVlWX1BQc2xLUkpfOU9rOC0zMDUwcGh3X3lXMXItNWQtaTBFeGM3NFM0TktmeDV3OEphbWUxSXg5MWJmQlV1WnQyZkxXNHVtWnF5N1o5SnpWOGFVLWQ?oc=5" TargetMode="External"/><Relationship Id="rId1062" Type="http://schemas.openxmlformats.org/officeDocument/2006/relationships/hyperlink" Target="https://news.google.com/rss/articles/CBMiZkFVX3lxTE1UOFlHb1A5X2w2TDlqMm1TYnFVMWI1bG01M0pzNlRiVHhJSU9wNUV6bXdqb3dxbjh6Mk9pS0FKVUNOS040dFU5OEpEbDNIOVNvcVVuNkc5LWpHOEd3ZC0yWXdJdGRmdw?oc=5" TargetMode="External"/><Relationship Id="rId1063" Type="http://schemas.openxmlformats.org/officeDocument/2006/relationships/hyperlink" Target="https://news.google.com/rss/articles/CBMiZEFVX3lxTFAyRktfQ0tiVVh5VjVoaFpSdkxWc1l6dVNCclFOV0xqSzRVN2ptLVlUZUdHcjZKR2J5NUF4Nm82MzNwYWtQZ2pFRmltb3NUVGpSZXRJcDk1TzJLU3hmSEU2cXh5R2g?oc=5" TargetMode="External"/><Relationship Id="rId1064" Type="http://schemas.openxmlformats.org/officeDocument/2006/relationships/hyperlink" Target="https://news.google.com/rss/articles/CBMinAFBVV95cUxNTUt4NGVsb3ZMbU5lQVhjRkhtMGRQZmpIcU5DdG44bTBkV1dUY2JZMlFLOTVsLWx1cTc2bWx5c1dYWTQ2M1pVSURDalVpRThDRkhLUE53d3NZS1poTEhjelVRRlhBZm5WWDVjdmlhY25YSXVOSHVaQUU1VHNQSExWZlplX2Y5RWVGRmtfWlVZLUJPQXlQcEVUOFNkUEE?oc" TargetMode="External"/><Relationship Id="rId1065" Type="http://schemas.openxmlformats.org/officeDocument/2006/relationships/hyperlink" Target="https://news.google.com/rss/articles/CBMiZkFVX3lxTE5kMi1BV0NMSGFGaFlQOVNGQXJQQW5aQzNzNURkZF9lbWVlUndKdFZid0lWMHllaG5MUXY5NjhYbjdBNW9HMUh6d3FxZkhTcEpsUHVlR29vb3VCQTc4Zk9iYlZySTc4QQ?oc=5" TargetMode="External"/><Relationship Id="rId1066" Type="http://schemas.openxmlformats.org/officeDocument/2006/relationships/hyperlink" Target="https://news.google.com/rss/articles/CBMilwFBVV95cUxPQkwwTk1zcXlCVXlPQW91Tnk0emdoMWpEcUwwRXRucDd3d0MtdXdObWRLVmlzTzFuNlJyZUJTYTRyZnc5NmthQmNvZ3pkR2VXYmMyV01aZVhBM29EZnMzRnBFWS1ld3hVTUZJd2FFYVhPSlJyQm1ITDAxQ3I0Wmp5cEJiUWxoWU1tUVU3ajcxS2NTdnZ4cEpN?oc=5" TargetMode="External"/><Relationship Id="rId1067" Type="http://schemas.openxmlformats.org/officeDocument/2006/relationships/hyperlink" Target="https://news.google.com/rss/articles/CBMiZEFVX3lxTFBMdjBrb213Q2tzR2dBRno1VklSUlFPWGw2NjFYaGYxN1I3SDlkdDZwQnNGVV90WW1GeUw1dXdTTjFPT282NjdxclBmQnFJdmQzZ05YQVY0TnVHRnNIaDNpUjRJOEU?oc=5" TargetMode="External"/><Relationship Id="rId1068" Type="http://schemas.openxmlformats.org/officeDocument/2006/relationships/hyperlink" Target="https://news.google.com/rss/articles/CBMiZkFVX3lxTFBzbUNHZVdubEFpV1MtSldaMVZDWHRYQ3htcVR2cXRDdk1xVWpydW5ud2wzc1RHdkVnNnhnMERteDZJMWgxNUxsVnUzR3BLNWhLb3N1TFZ0aTRMVEVYVUcxZUlETWpLZw?oc=5" TargetMode="External"/><Relationship Id="rId1069" Type="http://schemas.openxmlformats.org/officeDocument/2006/relationships/hyperlink" Target="https://news.google.com/rss/articles/CBMipwFBVV95cUxOYjltQVlDVkZGazFsdkE3QUdSLXdIZmpvN2YtQ2hMNmt1czVGTFJHSkVYWHVjWkZlYlZ4Z0lTYUlIV2hYMGNrQzVFemhJV2pqQTI0c1BfTGszYTF6MEUtRDd2ZzFjckxnQ09PVXRfb1hTU2lXQWJSZHdyaTJBaHd4V1dnek1kejZXcGZVVDdQSDBjWkc2ZFZZU2twcUwzYW" TargetMode="External"/><Relationship Id="rId1070" Type="http://schemas.openxmlformats.org/officeDocument/2006/relationships/hyperlink" Target="https://news.google.com/rss/articles/CBMiZEFVX3lxTFA4SXF0Ry0xNGJleERMWkNmUF96UnJkbkNWcWsxMDI3SFkySnpVR1RkTGRVZzJXSlVlQUQwYlM2cEFMUmczcDJ6TEkwcVhpemRkSGhLcW1nUFpjaGxrVzdhcS1hZTE?oc=5" TargetMode="External"/><Relationship Id="rId1071" Type="http://schemas.openxmlformats.org/officeDocument/2006/relationships/hyperlink" Target="https://news.google.com/rss/articles/CBMiZEFVX3lxTFBUX0ZPX1BYVkRTaGtUVHFKek5lRjJ1UFBqLVN1aktHWFl6V0pJMkhfSjJzdUF2YTU5cUJCZ05HdDZucFBNZzJYQ19kNER2ZWh5bHBuTjJfUnlIQjhVQUZodGxXRnE?oc=5" TargetMode="External"/><Relationship Id="rId1072" Type="http://schemas.openxmlformats.org/officeDocument/2006/relationships/hyperlink" Target="https://news.google.com/rss/articles/CBMiZkFVX3lxTE5ZbWxXOFpiOTFkODF5SUtMb1dYZF9ENE9sVFhxOTlCQjdPRjR1V0gtNzdSOUl1aVVLaVJJUnhxeVJ4VmhpUkJQdENiOXZqc2dlY1FDRzhOV0tiYjluZGJUYlJlMm0tUQ?oc=5" TargetMode="External"/><Relationship Id="rId1073" Type="http://schemas.openxmlformats.org/officeDocument/2006/relationships/hyperlink" Target="https://news.google.com/rss/articles/CBMitgFBVV95cUxOQ3I0cmJtX2t2UzYweUUyM0xIZTBVU2JXNE80LVBfZmZMQ3RlcUpEU2ZwVTYwOV93UllPNEVwaDVaV3RIb1ZxdmdDMzlVTnktYldndkRCdTNIOWRibUpUQm91RFVNc2FEdE9jQm80c3FTRXozWkZrTFlVWjY1cWlMZHUwcE5zcWFiWWgyVnZZVmcwZWNjaEI4N2N5OERGel" TargetMode="External"/><Relationship Id="rId1074" Type="http://schemas.openxmlformats.org/officeDocument/2006/relationships/hyperlink" Target="https://news.google.com/rss/articles/CBMidkFVX3lxTFBfd0VQRTlUMDFRYWJCdnZUWmRfVUNPSDRtWV9HSHhUUEpnU1ZFcHBnOGY2dUp3U1A4MTFhVDVvNGlTVHpzNGNjTHBSYnVGUzFqcVNJYWFjRm13VW9FcVBDMl8xYWRmd2tzU2gwWFVKNjhIbjhSR1E?oc=5" TargetMode="External"/><Relationship Id="rId1075" Type="http://schemas.openxmlformats.org/officeDocument/2006/relationships/hyperlink" Target="https://news.google.com/rss/articles/CBMi2wFBVV95cUxQWnhOS3loSVBoN1pTT0xzZG5aZXVRUHA1RlBOV1lhSkp4R0ttaHBHcGFUWlp2aUtLb0JWajV6WFIzdWNyNGprMzEwY0cyNzJ1WUpKQW1hNkJkV0RxNEVOdGN0T3Z1b1pLVTlZNmhoWnJoTzFNaTRrcnJCaGZNS0NxYnFGanF2SzBtWkttTTIwSXJnNmk2WEw4b2gwdGY2Rl" TargetMode="External"/><Relationship Id="rId1076" Type="http://schemas.openxmlformats.org/officeDocument/2006/relationships/hyperlink" Target="https://news.google.com/rss/articles/CBMiZkFVX3lxTE9nOXBUS2Q0Vlg0U0FJRnQtNmx1dE8zN2lWQU8tOUMtRTF0d0I1Ynk1VUQxaEhLMHFLZllLdUVYSXZlQXR5c1BIQ3JjdFN4OHFNcEN2ZW5DSDN0akJ2NDJwMmpNZzNVUQ?oc=5" TargetMode="External"/><Relationship Id="rId1077" Type="http://schemas.openxmlformats.org/officeDocument/2006/relationships/hyperlink" Target="https://news.google.com/rss/articles/CBMiUEFVX3lxTE1oenRUdVM4bW51YlF5VXZmdXBXWEdFM3Q0VDlySHNWaGpSLUdpcThwQXVNa2pVM3lteGJDak0tdGtIZVQwVTN4Ylp2OVRJempv?oc=5" TargetMode="External"/><Relationship Id="rId1078" Type="http://schemas.openxmlformats.org/officeDocument/2006/relationships/hyperlink" Target="https://news.google.com/rss/articles/CBMiZEFVX3lxTFBaaVR2YTlxdjBtRDVSYVNMMWlBYTRZUVgwOFhldG1VMTdmbjg0OWZJWl9tYXgwdmhVUzNwbTRtdGV0dGRCd0RuaW03cm5QNlYtV082WEkxVjZTUWl4SlJybmZRZ1E?oc=5" TargetMode="External"/><Relationship Id="rId1079" Type="http://schemas.openxmlformats.org/officeDocument/2006/relationships/hyperlink" Target="https://news.google.com/rss/articles/CBMiZkFVX3lxTFBKWWlXT05lMzVQQ0Zxd1VtTlhWQ1I0MkR1cEwyRWV6aGtTRlZzR21UYmJYeGVadmx2WEE1LVE3dlVINHg4bFhYc0xVU21GUi1IYlJ0bUFoMnFEVlFEbkJnbEUyZm13Zw?oc=5" TargetMode="External"/><Relationship Id="rId1080" Type="http://schemas.openxmlformats.org/officeDocument/2006/relationships/hyperlink" Target="https://news.google.com/rss/articles/CBMiYkFVX3lxTE9JY0VlelZIR29tZk1kTWhSYjdMTEdRU2kxWHp2VzJwU2ExTnctMEtxaFh6blBKY1VFREZPb25PYllrUGZTTGRWWFUwMXQ1d0R2Y3Bqb0h6b1FWN0EwdHpid0h3?oc=5" TargetMode="External"/><Relationship Id="rId1081" Type="http://schemas.openxmlformats.org/officeDocument/2006/relationships/hyperlink" Target="https://news.google.com/rss/articles/CBMiZkFVX3lxTE5XdzBBUzFKTHBoVVRMUXVxXzF0RlRZanJvVU9DR0RacWJvR2E5VGtwRWlkTXBvSjdlcEZ2ajhVd3VSWkVaNTZpaW15M0tFWkRiSjkxdDQ0c1hQcEdsQm1zX0hOOUFyZw?oc=5" TargetMode="External"/><Relationship Id="rId1082" Type="http://schemas.openxmlformats.org/officeDocument/2006/relationships/hyperlink" Target="https://news.google.com/rss/articles/CBMiZkFVX3lxTFBiOVRnQk5qYmJUblBTUVhLY05VTmVSckxIang1blFhVlZBVnpncXpjeUJCRzVUWlA1U0lBREtYTUpGekhfUzNwaE5DOEN6QUpWRzN2M0FtcXRjRF8wLUF3dTlNblpHdw?oc=5" TargetMode="External"/><Relationship Id="rId1083" Type="http://schemas.openxmlformats.org/officeDocument/2006/relationships/hyperlink" Target="https://news.google.com/rss/articles/CBMid0FVX3lxTE16eHgwaDY5ZlQzb1Y3Yk9HMV9kZ3FSMjVyRDZwZG4tRFhyajBmUWZKVlFLckNRMnRRaXplUXo5LTM2OGZjMElGaXJOejduTUJtUVJJcy02a0Q1WXFjZFlvc0FkLUJUS2VFTTZmYXdHNWxFNEpDRWUw?oc=5" TargetMode="External"/><Relationship Id="rId1084" Type="http://schemas.openxmlformats.org/officeDocument/2006/relationships/hyperlink" Target="https://news.google.com/rss/articles/CBMiZkFVX3lxTE52d3o1ZTViVWwzSEJIYzI0OFZCUjEwOWZWaU1fWG80SGhIelg2RE1ZTEFvOHRKdGlzSUxic0N0WmtPMjZISE9VM3RVYzNZLUt0aXJkSlhUWXk5cDdDU0pFbTZ5M002dw?oc=5" TargetMode="External"/><Relationship Id="rId1085" Type="http://schemas.openxmlformats.org/officeDocument/2006/relationships/hyperlink" Target="https://news.google.com/rss/articles/CBMiZkFVX3lxTE5OOWhWMmdrWHVTY3YzeXdGNWZzOVpxNTlxaDB0OVpDV2ZFQms2MzJuUHdUc3ZpMDZaa25wZG5oNnpHa0pUOWNKY05MempuTDZzZHdNWFVqZXhZOEtObk5iclh0NkZTdw?oc=5" TargetMode="External"/><Relationship Id="rId1086" Type="http://schemas.openxmlformats.org/officeDocument/2006/relationships/hyperlink" Target="https://news.google.com/rss/articles/CBMiZkFVX3lxTE1HQ2NLRFRsWF9DUzRja1ZILUU5bjY0QTBtWXFvbjlxeGgzalljbU5QUEEwT0pCOGR3Tl9PeVBMVEhCRTlGTE9sbXpBTTAyT2pRR0FzRU9BaWJFRnZQMjd1OXJwUEE2dw?oc=5" TargetMode="External"/><Relationship Id="rId1087" Type="http://schemas.openxmlformats.org/officeDocument/2006/relationships/hyperlink" Target="https://news.google.com/rss/articles/CBMiZEFVX3lxTE5Sd0J2YUkwRmFGLWNfcVp5ZFRROENEdldFNXNWQ294a0p2NDM2Tjh3a1hTSVZ0N19qMTZnNVptWE5jWklUSXUzX2JReWpzSDlXTEdUbjh2OTEzSXBDN0h6ZUpkMEQ?oc=5" TargetMode="External"/><Relationship Id="rId1088" Type="http://schemas.openxmlformats.org/officeDocument/2006/relationships/hyperlink" Target="https://news.google.com/rss/articles/CBMiZkFVX3lxTE5LYUZzTE9EV0lLZXBjT1lLQlNjb2NmZXl4QTFTa0VEb0FxZXJmNHFsZVNGU0JxeHVJR1UwdktHdThuQ3dtdjFWWkRHR0FHMElCckhldzhGZm96X2FFeGtKREZpbUltZw?oc=5" TargetMode="External"/><Relationship Id="rId1089" Type="http://schemas.openxmlformats.org/officeDocument/2006/relationships/hyperlink" Target="https://news.google.com/rss/articles/CBMiZkFVX3lxTE9QSklyWjJtT1M1aFZhZnpJTndneVJOTnJqTmFqYlZaZm1ReDRaUkdtMzJfMFQwd1lfa1hwdGFhbVVGcU9FRzVwUktRanBabVJiYmxoQXBrUW51cndDMzdrelhibUxJZw?oc=5" TargetMode="External"/><Relationship Id="rId1090" Type="http://schemas.openxmlformats.org/officeDocument/2006/relationships/hyperlink" Target="https://news.google.com/rss/articles/CBMiZEFVX3lxTE1OaXVkR2FuNnpQejJTLUk5S2lTc211ZGNhaHF5MkUybjE4VWhZbjc4ZXZWSmw0Vy1WM3hYNm1STHhDZ21VbV93YmlSM1Q5X2V5QVMzbUVaMlhUbGRHOEhXN3o0ZDg?oc=5" TargetMode="External"/><Relationship Id="rId1091" Type="http://schemas.openxmlformats.org/officeDocument/2006/relationships/hyperlink" Target="https://news.google.com/rss/articles/CBMiZkFVX3lxTE5GOEItdV9yRENhWmgtcEt4cWdUOEhjRnJvRERMaDRpVDVVblpvSEttNms3RHBnbTNXcWxyNlpfV3B0V0MxWjM0ZWxwOUU5MUxWMTNManlqbGFGcXpieWY1S2hydlppZw?oc=5" TargetMode="External"/><Relationship Id="rId1092" Type="http://schemas.openxmlformats.org/officeDocument/2006/relationships/hyperlink" Target="https://news.google.com/rss/articles/CBMiZkFVX3lxTE9aRVN0Z3g2SUxVeF9jaHVybEVjVDUzZjk4NUZ5cTNGRzhLR3pJMGVTQTJWR3Nfclg3eHlWUVZNR1lHWmVLRGhmT0hSejh1Snc3d0xyWmprcHE5cHNmTnlmSFNSN3phdw?oc=5" TargetMode="External"/><Relationship Id="rId1093" Type="http://schemas.openxmlformats.org/officeDocument/2006/relationships/hyperlink" Target="https://news.google.com/rss/articles/CBMizwFBVV95cUxNZUFtb3U5RU1EYWRkaG5sSEktM1Rlb2VQQ2tWSWZQTU9nXzhTY25JdVE1dldZZFlvYzlIWHAwelNSdWlaUjhYVlgxdGpETmEyeW1mTGQtdjBrMjZrUTBoWlFEUjVBVzVHV3VjREozQk1tVTlyUEVOVVJITWstYmtFQWtwdkhVYm9hcnJlLUJhSElDaVFGQnhwYXFYSnRpTz" TargetMode="External"/><Relationship Id="rId1094" Type="http://schemas.openxmlformats.org/officeDocument/2006/relationships/hyperlink" Target="https://news.google.com/rss/articles/CBMiZkFVX3lxTE5ZM2tpTWVKWGRCUVBUSmlTY1hvaGlxSE1KQ0NTR2ZwejNXZ0tWbjdPVmJEWllTc0hROWFFMEZzdEt4Y0hEcFBZZ1VBaFQ1T01rS1J6U2ZMclE1LXZBakQyR2JGbkFHQQ?oc=5" TargetMode="External"/><Relationship Id="rId1095" Type="http://schemas.openxmlformats.org/officeDocument/2006/relationships/hyperlink" Target="https://news.google.com/rss/articles/CBMiZEFVX3lxTE9OS05mcnVXNFZnZ1U2RjlIeTB2VTBPV1BnTnJvWFQxMllJa25IaFlGZHRHVGMyWmxDQi1RWjN4blN6UG9xMmhtMlZGUlg3bk9BSGRVbU5sSkFOcTJnWnBQLXp4Z2k?oc=5" TargetMode="External"/><Relationship Id="rId1096" Type="http://schemas.openxmlformats.org/officeDocument/2006/relationships/hyperlink" Target="https://news.google.com/rss/articles/CBMiZEFVX3lxTE1oZkdEN2hqRnJCdWFqbGJRYm5kbjk1YkEyN2lURTNJYlY3ZlhxY2hkWHluNUtTTHJuZTNkYVRiMkRzWFdrT3BVdnp1bXRfQThSQWU2WEdRTU1NZzlCalJJMnJ0Qlo?oc=5" TargetMode="External"/><Relationship Id="rId1097" Type="http://schemas.openxmlformats.org/officeDocument/2006/relationships/hyperlink" Target="https://news.google.com/rss/articles/CBMiZEFVX3lxTE95Y0o2WmRYSk8zS2g0SXJNSFB2YzVHbUlZU0I5UUd5Szh3dVNyTUU4YXNPUHNUWUFMbGUyamdMZ0F6VFVMNlN5VkYxSldqODJaNE5Zb2pGSFdKS2pqQlhzSms1SHg?oc=5" TargetMode="External"/><Relationship Id="rId1098" Type="http://schemas.openxmlformats.org/officeDocument/2006/relationships/hyperlink" Target="https://news.google.com/rss/articles/CBMiZkFVX3lxTE5ENEt2Z0N5OUJPdnlnNGZXUGtJRHdJNW1uVm8wUEtUVzIxdDh5ckdzQWlhTGczVkQwU2RkVFhQSGpDOWhpNHg3X0xVc3h0d01rOHZQZGhYcy13SU5qVDM5eGpCZ0RiZw?oc=5" TargetMode="External"/><Relationship Id="rId1099" Type="http://schemas.openxmlformats.org/officeDocument/2006/relationships/hyperlink" Target="https://news.google.com/rss/articles/CBMiZEFVX3lxTFBxNXhRSmFybTJaQzNZdWRFT0xtNm1OZ3gtQUMzaVpNY1J6ZmxjM25jekNTU0pocE5tY2hjOGxzM2RkX2U4dWpkc1VYLVV4SHVFREtTYzRkMllRQXM5OHZXT1U0MTI?oc=5" TargetMode="External"/><Relationship Id="rId1100" Type="http://schemas.openxmlformats.org/officeDocument/2006/relationships/hyperlink" Target="https://news.google.com/rss/articles/CBMiZEFVX3lxTE5RM0tHZDZUQmZhVVAydjN1VXBvMHdVWkNOcXVISXliakVIbXJVcXlGc2puYkQ1Qi1GRjIwUW1RanQtWE1jcGJzak5YZFFvZ1BCaGlXU05PQW9JajVBb2oycTE4enk?oc=5" TargetMode="External"/><Relationship Id="rId1101" Type="http://schemas.openxmlformats.org/officeDocument/2006/relationships/hyperlink" Target="https://news.google.com/rss/articles/CBMic0FVX3lxTFBUSlBoVkRSZXdsZ3d3X0RjeXdFYXpZQzFXeTRLR1VJeXVmWmlOaUZRd3lndnN0YWJWWGlVY1IwRkFUN294LW80ODFnc3duRkcyWG5oSGVlVVFER0tuTEN0aXRYZW81V0VmZkFEOGt6LVFVTnM?oc=5" TargetMode="External"/><Relationship Id="rId1102" Type="http://schemas.openxmlformats.org/officeDocument/2006/relationships/hyperlink" Target="https://news.google.com/rss/articles/CBMilwFBVV95cUxQbm1wQ2kyZHp0Sm9icldtWFpMdXlRMmY4RDhKWnExemI5enE1Q2dzdGdvRERmWGo0SlYwTFdoREdUb1R5TjNLaEhDRld5cFQ0U0M1WTkxMWVBTGI5NWlzMTBsNXROU2pZckhWc1ZOVzV2aFF6Q2tydGJmTWc0Q0JDLS1UOHVnTnZjUERGVGpiRGdtN0ZfUlpn?oc=5" TargetMode="External"/><Relationship Id="rId1103" Type="http://schemas.openxmlformats.org/officeDocument/2006/relationships/hyperlink" Target="https://news.google.com/rss/articles/CBMid0FVX3lxTE5abEpuZGpQWFlGVUVQRzlSengtNmE3OEFLSkh0SFMwRFJNS1R6cFdtXzZQMUh1Tk9RcFhSOXh0dGlyM3ZhdGVVQ3VJeFlyMU1rMEY2c2hyRWVvcmhyeHI3d2dCWFMya042MGpudi1DcEJKNTQxM1dF?oc=5" TargetMode="External"/><Relationship Id="rId1104" Type="http://schemas.openxmlformats.org/officeDocument/2006/relationships/hyperlink" Target="https://news.google.com/rss/articles/CBMiZEFVX3lxTFAwZ1RieUd0SHMwWnlXRzVXaGlOQ1BELWlMMUkycVJxZm5mTnplQWlOTVdwc1FCTVpYU1JRTWRFaEFvc1VpajNOXzFudV9BeHdQNnRGVktvOEJySEFZTUY4UXdVOXI?oc=5" TargetMode="External"/><Relationship Id="rId1105" Type="http://schemas.openxmlformats.org/officeDocument/2006/relationships/hyperlink" Target="https://news.google.com/rss/articles/CBMiZkFVX3lxTFBBT0hTSFljMUlIcTJIVDJRSkxhaDRiazJwWmZycmR4RlA5X0FUX0pxMldBMzI3dEhZU0lLcEtxOHQwWS1wdmFxbjNvWUxGOVk5bFloRHhMNUgzcEYtcmhnUTAyb3UtZw?oc=5" TargetMode="External"/><Relationship Id="rId1106" Type="http://schemas.openxmlformats.org/officeDocument/2006/relationships/hyperlink" Target="https://news.google.com/rss/articles/CBMijgFBVV95cUxNR1pjUGpiN3NvY2g5Qm8tR3JQTFY2ZWY1eGNkaXJ4NWd1OWl5RDBtNEJXNk9pQldQY0NjUjkyMnNDb3dicDRORC1VWHR6TkJTbEJ0ZlpTS2RXY1lzZGFhQkdMREdZMzZ4S2YtaE8wZXNLaHBSQVNxeUd4Ykx3bmdKQWFOaW1PNzdtQS1xWHdB?oc=5" TargetMode="External"/><Relationship Id="rId1107" Type="http://schemas.openxmlformats.org/officeDocument/2006/relationships/hyperlink" Target="https://news.google.com/rss/articles/CBMiZkFVX3lxTE9BZmJrNEROc19kcWl3Z2FqNi01NXd0NF9oOVczZmRVbTlORlpaYlhnRVFaLU5UeU9wQjg3eUNIQ0dSM3pYN2F1R3J1SDVKd3JmX192UHFNWUVqd0hCWXR3ci05NnBwUQ?oc=5" TargetMode="External"/><Relationship Id="rId1108" Type="http://schemas.openxmlformats.org/officeDocument/2006/relationships/hyperlink" Target="https://news.google.com/rss/articles/CBMiZkFVX3lxTE9Xd0ZPVTV1VDZrN1BkYVBDaV9MMV8ybEp2U1J6b1JXUkU4eEppaFgzSG8zb3kybE1adV9PVkJZMmJBSmJOajNab1AwVEdOQ24zRDRwUl9Yblo5TGt4RjNSZHFYaUUxQQ?oc=5" TargetMode="External"/><Relationship Id="rId1109" Type="http://schemas.openxmlformats.org/officeDocument/2006/relationships/hyperlink" Target="https://news.google.com/rss/articles/CBMiZkFVX3lxTE9jbjE1VWo0d0FKSm9MT2RTU0F4VGZ6THNUSmx5c0htdG1uQ3hNamlIejZWdEZ6cEh6THliRDlYZWJoMFNhWTVNaXduT1cwNFhmaXpRZzBrQVY0NVRsb2VwS3Mzak1xZw?oc=5" TargetMode="External"/><Relationship Id="rId1110" Type="http://schemas.openxmlformats.org/officeDocument/2006/relationships/hyperlink" Target="https://news.google.com/rss/articles/CBMiZkFVX3lxTE5YalEwdVVDT3BQdk5YNmpFZ1ZkWXU1Qmstdk8zRk92ODAtNXQ1by02akVkZi1PWmRQd21MZlF5VG96andiblAtbDRMSGxrU1J0aGs2cGZVc0k5OUtnU0VLbFdKTWNTUQ?oc=5" TargetMode="External"/><Relationship Id="rId1111" Type="http://schemas.openxmlformats.org/officeDocument/2006/relationships/hyperlink" Target="https://news.google.com/rss/articles/CBMiZkFVX3lxTFB5NlVlOEpFbWdZeFNwNGhlNnZHVDB0NHllQmZEOGZlc1lrVS0xWmtVb3lKdktRazZPcTV2ZU5HTVpjMkhVc3dlYWM5M3VXOW1GaFRFdUNUY3B6eEdXLWx3UjRxQUxNUQ?oc=5" TargetMode="External"/><Relationship Id="rId1112" Type="http://schemas.openxmlformats.org/officeDocument/2006/relationships/hyperlink" Target="https://news.google.com/rss/articles/CBMiZkFVX3lxTE9VSjUxeEx4My1jVHFOb3BoZXZJTUViUXhwZWhYU2M5NmEydEg5dDJUeG10UkROYkdrbGFhdm52TWo1Rlk3WW1wbm9ER296NWttYzhNaDhpS2hFWnFEX2FkeUh1Z0tJQQ?oc=5" TargetMode="External"/><Relationship Id="rId1113" Type="http://schemas.openxmlformats.org/officeDocument/2006/relationships/hyperlink" Target="https://news.google.com/rss/articles/CBMiZkFVX3lxTE9BNEFJdDJyM1I1ekx6T3YzWEdrWXEyRGtpMjN3LUE0SVVMQ1VYVXJpNTFnN0VTWF9kaGIxUE15cF9VQUIybzkxVU9saHlwNXVGM25iMnVQOUpmWnRLUFFRSndqT0sydw?oc=5" TargetMode="External"/><Relationship Id="rId1114" Type="http://schemas.openxmlformats.org/officeDocument/2006/relationships/hyperlink" Target="https://news.google.com/rss/articles/CBMiYEFVX3lxTE1oN2JZc1R0T3RHcTRGUWl2dHo3TFpQQzBlN2Z0bzJrTjVfc2h1ekJUcXctcW5fT0k1aFU2RVBqbDZKV1owNzRURkEwUkZEY2w5T0ZCUnF6SGN2TkRRWG9hLQ?oc=5" TargetMode="External"/><Relationship Id="rId1115" Type="http://schemas.openxmlformats.org/officeDocument/2006/relationships/hyperlink" Target="https://news.google.com/rss/articles/CBMizwFBVV95cUxPalNLTmhOM1FWT0tvUFYwbWdNcGMydmZqbXRMY204U3hNV3RWMzdhWVlGekxTbm95aGJOaFN3V21XNHIxSGVqazNGZFA2WlVLaFJaVmVaZ2RmdFBCVl84dlhMOGlaM2lCaGc3ZDlNOVpTTk1rMkJtYWlEczlBcDVISElhcTQyRjVELVZjVmRxenFqQWQwaXdUMGs1NVY2Un" TargetMode="External"/><Relationship Id="rId1116" Type="http://schemas.openxmlformats.org/officeDocument/2006/relationships/hyperlink" Target="https://news.google.com/rss/articles/CBMiZEFVX3lxTE40U0h6T05aTkotMm5FTk4xcEwzRkZmd19aSUdEcUpxck1NdnVKdXNKRzgyUFZIMzIxUDJ5OW45LUVERDA1akI0MHhHU0dkdjlCZDJLUS0tYXNZVXM4MDdIczh4dlA?oc=5" TargetMode="External"/><Relationship Id="rId1117" Type="http://schemas.openxmlformats.org/officeDocument/2006/relationships/hyperlink" Target="https://news.google.com/rss/articles/CBMiZkFVX3lxTE5vV2lmbGR4Y21rZV9Rc1FjMjJ3eEZSdHktNWk3c0dJYmNCa254SUpvRDdyQ2cyczdhWFN5UGJmSTlFR05Cb3U1SWVFUjhQNDJkQVdpUjl2SU5pQ3lETE16akpvcExQUQ?oc=5" TargetMode="External"/><Relationship Id="rId1118" Type="http://schemas.openxmlformats.org/officeDocument/2006/relationships/hyperlink" Target="https://news.google.com/rss/articles/CBMiZEFVX3lxTE5QeGZMQmtBODlGMEdfbnNDNzQtd2RiVS1VSmFLNGxBdjdpMml1OWlQTTlueWZoV0ZrS0hoY0JBSmtVem5NbXMyZGVFQTh4VFk1TFFvYnVndUxMQ29LT2RXOVcyMkY?oc=5" TargetMode="External"/><Relationship Id="rId1119" Type="http://schemas.openxmlformats.org/officeDocument/2006/relationships/hyperlink" Target="https://news.google.com/rss/articles/CBMiZkFVX3lxTE1uTXJ0QnFtd2lrWE55TXMtQlkzYXg2M21wNWZTX1lhRHA4Y1o0NC1ITU1mQ1lQc3JKWVFiRzdUb1hLNjRENDlKdDQyN3ZxVHloYWhjRUZ3MFY3eWVTbm5SQ1FuZjExUQ?oc=5" TargetMode="External"/><Relationship Id="rId1120" Type="http://schemas.openxmlformats.org/officeDocument/2006/relationships/hyperlink" Target="https://news.google.com/rss/articles/CBMi9AFBVV95cUxPLTF5Z2d3bTc1R3pUeVhXUE5qNENYNTVKTHdjd095bTZZTjJ6M25pLXl0REdPQlVGT29aeTVVb0dfMktXZ2ZUUG8ycUNEZGR4Qm8yYXVzY1I0dlI4a1pNSzBZWThwQjd5RFFyNmRsOXlUX1g4bDE3dnQ4WmllSkQ1MXI4Z1BHQnZJX0xCMlcxSjgwcXpkLWNyT283d3g4cW" TargetMode="External"/><Relationship Id="rId1121" Type="http://schemas.openxmlformats.org/officeDocument/2006/relationships/hyperlink" Target="https://news.google.com/rss/articles/CBMiZEFVX3lxTFAzWHFJOTJVX0h2Nm13ZkFodXEwT3BDcFk4d2trTVRXNTdLRXhmc1NsNTVZcWV2NGlrY3gzQkdYdTduUU04cUJuV0k3RGJpOHhVODJCemkzSHlxZDQ2Rlc5cVB2emg?oc=5" TargetMode="External"/><Relationship Id="rId1122" Type="http://schemas.openxmlformats.org/officeDocument/2006/relationships/hyperlink" Target="https://news.google.com/rss/articles/CBMiZkFVX3lxTE4xNHhHQnQtOXdvc2taak8zVzBNR3hWZ3EteHZ4LTNJaGY3VzRRbW43LXhucWJuRVBYWFRNbVFaY1AzbElxb1BWamFueUVobU5XNmNNVHRfS2ROZEE1U3NzaVVUaDJUQQ?oc=5" TargetMode="External"/><Relationship Id="rId1123" Type="http://schemas.openxmlformats.org/officeDocument/2006/relationships/hyperlink" Target="https://news.google.com/rss/articles/CBMiZEFVX3lxTE5WaWNZakVPaFVkckFXTWxwei1UWHpjMjlZY3pBV2lHQ1dwdGJDUkdrQlo3bE5vQ1ZJU3M4cEZoN3ZybXR6NEduaE9lMkdDdGdOZWI5RmRjOVVXWHAtTFk2MnMtb3Y?oc=5" TargetMode="External"/><Relationship Id="rId1124" Type="http://schemas.openxmlformats.org/officeDocument/2006/relationships/hyperlink" Target="https://news.google.com/rss/articles/CBMiZEFVX3lxTE9ZcUhYZjJmaEVyRlhPbGpaeERRdC1SeklwZWhONkwxS3dUeWdFbmpCUk5kUWJGNmdCWmJ0RlJNa25yYnhzNjEyN19YNmpNY1ZhcU9iWUZuQzJNWGQwS2N4aWtaOC0?oc=5" TargetMode="External"/><Relationship Id="rId1125" Type="http://schemas.openxmlformats.org/officeDocument/2006/relationships/hyperlink" Target="https://news.google.com/rss/articles/CBMidEFVX3lxTE9kT1RwWjJ5RzBfcWgxUTR6cld2dDh2RGhtYXJVWmUwb0Y5TDh0a2xncG1nSWtFSDBGT3ZDYVQ1UklIc2NEUkxGbnFNLVkyNngzZ0tFX29RWFBKaTU5ZHhWUndETGhnaEtBVC02NmdROU5nLWt0?oc=5" TargetMode="External"/><Relationship Id="rId1126" Type="http://schemas.openxmlformats.org/officeDocument/2006/relationships/hyperlink" Target="https://news.google.com/rss/articles/CBMiZkFVX3lxTE85RkFQeTFadEdhcy03a1hlQndjZUVNQlB4TFJkTUhHQWZudGFDX0NnUUJRdGZwWUJDOTlrcWktZnBzQ1RRX0xsQ1NodE5LeEVUUk5ObG8wUWFROFdDdnUyTV85NUJLQQ?oc=5" TargetMode="External"/><Relationship Id="rId1127" Type="http://schemas.openxmlformats.org/officeDocument/2006/relationships/hyperlink" Target="https://news.google.com/rss/articles/CBMiZEFVX3lxTE1SamxJellfaGJMX0R6TVE3Q3lHZWFxcEtNUlA1QWpZRkV2T2czN1c5aDlvWGNaTHhGcUpDT2EydEtIYnpvcUptcWF0ODk0LVJFdmsyVGc5OEQ2QXpya2xTQkg2VXc?oc=5" TargetMode="External"/><Relationship Id="rId1128" Type="http://schemas.openxmlformats.org/officeDocument/2006/relationships/hyperlink" Target="https://news.google.com/rss/articles/CBMiogFBVV95cUxOQU9nWGRfcVBOVzhSUmlpU0FlTEdwaFZ6M3pmelFRNkloTk5wZ2JHODJvSXRKSEhxaTZMZlR6S1BjZFFVaC1PRUt6dThwSWNFS3hPWVVESWQ0UTJNYzcwTFZhSGR2QWp0cEFiN2ZBV0E1cWtmcHZNNmJPTWNEWUNzM1ZEb3UxMHZnVV80bkwyc3dHT2lHV3VqcWJEbjViR0" TargetMode="External"/><Relationship Id="rId1129" Type="http://schemas.openxmlformats.org/officeDocument/2006/relationships/hyperlink" Target="https://news.google.com/rss/articles/CBMiZkFVX3lxTE9BNVd0M21SUEsyQWFMNHdYck81cGpXZm9xQ3NZMnB4Q1FyQjVDd1dsTXZSWGFma0E5LTJBREdaZTVYMHM4YXZLOHNZSWRjekVKc2Q4V2xnZjVFMnkwQV9STnFLUnduQQ?oc=5" TargetMode="External"/><Relationship Id="rId1130" Type="http://schemas.openxmlformats.org/officeDocument/2006/relationships/hyperlink" Target="https://news.google.com/rss/articles/CBMiZkFVX3lxTFBkUTdNdGhaNTN6WXhLRmdMeU5MckhTU00zZXZRQmNyMHVoN0NyMFU1b0JIRzJpRHU3ZXhXSmdyUGN3X29sd3FwUHRFYksxMEM4Q2wxU2lpRGhxcmNfbDNDQnNrUkM1dw?oc=5" TargetMode="External"/><Relationship Id="rId1131" Type="http://schemas.openxmlformats.org/officeDocument/2006/relationships/hyperlink" Target="https://news.google.com/rss/articles/CBMie0FVX3lxTE52cTNpTTgtbzJqQWNWd0dZS0RSeUU2Y0JLVTRnOEsyaDFKdEFpOVN3VmhwY3RocTZwYWlMOWhHSW01MFU3aXpNYVpsQ2xGZ0d3d0lTZEZicWZqZ1VGNEl1ejU4TXJfNW1TSVBGYk0tc1FrX2pFUVlGUllkZw?oc=5" TargetMode="External"/><Relationship Id="rId1132" Type="http://schemas.openxmlformats.org/officeDocument/2006/relationships/hyperlink" Target="https://news.google.com/rss/articles/CBMiZkFVX3lxTE1wMnRjREwzRWVUMmRQOUdzWE5way01dUtmZEE5WkswV2dhR3NSSGlVRWN1UlNuQXF2M3djaE1tOGVIZjkzYUFuMTc4Q3JrdnVGUEk0OWpsOXBzOERiQjYyMTJPV0RVZw?oc=5" TargetMode="External"/><Relationship Id="rId1133" Type="http://schemas.openxmlformats.org/officeDocument/2006/relationships/hyperlink" Target="https://news.google.com/rss/articles/CBMiZkFVX3lxTFAtbnNSVjVMQnMtYXF3c0pydTVka1RzamVWTkY1bld1X012Q3BNWEIta2ZwUEFTYUZCSjczQURqQUJGWm9zeFRneGZ0ckNocWpLaTZfcGFFLUJtRlNPN1d5OUJZS3BDdw?oc=5" TargetMode="External"/><Relationship Id="rId1134" Type="http://schemas.openxmlformats.org/officeDocument/2006/relationships/hyperlink" Target="https://news.google.com/rss/articles/CBMic0FVX3lxTFBKSHRsZ1Nya0RkTTNtQ21mR2M1VW1FeGlFVGctTDZjdVVjSVduX1Q2MGpJZS1JbXQ2eDhFbXVGdjZXUXlrSzVvOF9sdWMxNmp0bjdtTFpyOV9tQW5OWlNpeDlpR0lxZ19IV1lQUzViZzd3dlU?oc=5" TargetMode="External"/><Relationship Id="rId1135" Type="http://schemas.openxmlformats.org/officeDocument/2006/relationships/hyperlink" Target="https://news.google.com/rss/articles/CBMiZkFVX3lxTE1RS3hNanhUVGgxQUlvbXFWMENiMnhQMW1vcEZ3Vnh0U0hybkFOcUpWdlF0ODhuOGViVGRTZ09DM05mYzVQcThPMW41ZnRNaVprVkJWMDhvSllUYkZyQjJqeG9MYTktZw?oc=5" TargetMode="External"/><Relationship Id="rId1136" Type="http://schemas.openxmlformats.org/officeDocument/2006/relationships/hyperlink" Target="https://news.google.com/rss/articles/CBMiZkFVX3lxTFBhaGFlSDJJaU5WcEd6bG43bEVscEdTQVFFVVBQQWhXQWNObjhNRFM5S2wwdmllc2gtSnZYVUI1MTNTM2RhYkJiZ2JUWENVUV9ObFNqVk9Lc3RKS2pDdm05X0ZXUWdRdw?oc=5" TargetMode="External"/><Relationship Id="rId1137" Type="http://schemas.openxmlformats.org/officeDocument/2006/relationships/hyperlink" Target="https://news.google.com/rss/articles/CBMiZkFVX3lxTFBCZG9peGhrSEJqTnc0RmEzSkRfcXo4ZlE0VzlRako5YWtLQ0pGbi04N252Ql9HQ0JvN0tmNDZZRWtxVkswdmlZMWlucXN2aFVFdkh1Z3gzZXkzWjBZTjR0ZGpGcExtZw?oc=5" TargetMode="External"/><Relationship Id="rId1138" Type="http://schemas.openxmlformats.org/officeDocument/2006/relationships/hyperlink" Target="https://news.google.com/rss/articles/CBMiZkFVX3lxTE5XUnVWY2pKUndGOHJpQ0prNHM2bE9tSGVzaVAyN1V6dG05bnpzUWhtVEpfMjlESHhnQUJtNmFTeEZnNW1oSFpWVWRaNHlsbzI0M2lPdXFmVFAwZmZfSkJwZmU5RVhwQQ?oc=5" TargetMode="External"/><Relationship Id="rId1139" Type="http://schemas.openxmlformats.org/officeDocument/2006/relationships/hyperlink" Target="https://news.google.com/rss/articles/CBMiZ0FVX3lxTE5RN1VydEtORzV0SXJZRUs3dnpQU21XT3FZNXZ5OE5RTkxQelJOR0JjRDNFcGhSMU1iS191WndHZXZna29TNnp1RDUyTGtzYk54N1g2cUpSVk1QaWZTSXVQR0xkYXFJUlU?oc=5" TargetMode="External"/><Relationship Id="rId1140" Type="http://schemas.openxmlformats.org/officeDocument/2006/relationships/hyperlink" Target="https://news.google.com/rss/articles/CBMiX0FVX3lxTE5VaS1XaDRWSkxCaG9OMVJqOFlFSGxWSUxZbnIzMkpITjZEVUtjSG9zMzVYQUJZY0gtSHZzYm9vUDlqemVxUUhiZkI5VlZfMFFJSnYzSGl0blFUNVNJamVN?oc=5" TargetMode="External"/><Relationship Id="rId1141" Type="http://schemas.openxmlformats.org/officeDocument/2006/relationships/hyperlink" Target="https://news.google.com/rss/articles/CBMiZkFVX3lxTE1mU2xMVHhWUDFrNHFVWURaWWtHS2MzYkw3RjM0Ty1ObVpGZ3cxZjJCRm1KRjBMYnA1NnBXaGpaUFVMOS1obk51enRqUXBiNFZ4R3RKSUJBT0JMeDdoZll3OXc3aGNFUQ?oc=5" TargetMode="External"/><Relationship Id="rId1142" Type="http://schemas.openxmlformats.org/officeDocument/2006/relationships/hyperlink" Target="https://news.google.com/rss/articles/CBMiZkFVX3lxTE1kMk1LNHA1ZHR1LVZYSm5XSGVTT1doNFhpYTdiT1p2T0xaNHdmeS1XMHFRRUNYMjlWR0N2d2ZiZTh0UlhpdHh3RkoteHVnMmtpc1NDS3pxellNUmNtd2FOcXBHX3N2QQ?oc=5" TargetMode="External"/><Relationship Id="rId1143" Type="http://schemas.openxmlformats.org/officeDocument/2006/relationships/hyperlink" Target="https://news.google.com/rss/articles/CBMiYEFVX3lxTE5fOUNsdlNTOUczTEFKeXlYOUd5LUNfNVFiQWZLb19mVVVROWs1bFpiY2szSXZLOWFNRzRJVDAzTGN3RDh3Tm5IZWhXOUEwanN4VVJ5LTIwc3UteXdPVFQtOQ?oc=5" TargetMode="External"/><Relationship Id="rId1144" Type="http://schemas.openxmlformats.org/officeDocument/2006/relationships/hyperlink" Target="https://news.google.com/rss/articles/CBMiUEFVX3lxTE1SM0trU00wM0MxNld6VmZ4VldkNU5WWEFacHRhSkgyejdKMUhVWUFNWkJISnAxSjg4ZDR1ZTVkeWRwQVFrMDJ6blpMWk43elNa?oc=5" TargetMode="External"/><Relationship Id="rId1145" Type="http://schemas.openxmlformats.org/officeDocument/2006/relationships/hyperlink" Target="https://news.google.com/rss/articles/CBMiT0FVX3lxTE9MU0gyb092ak5YdFRuVlphLWxfTE9lWlAydmx4QUlqbGltLUU4YXdSZGZBVV9xOU9Bd1pqMWZXLUItUEtJanV2VVZiX0c5bms?oc=5" TargetMode="External"/><Relationship Id="rId1146" Type="http://schemas.openxmlformats.org/officeDocument/2006/relationships/hyperlink" Target="https://news.google.com/rss/articles/CBMilAFBVV95cUxQVm5NZExQU3lLbDBsclRxM3cyS3dfblFYVTFDZllhZUE3MG5xY3NaLXFoTENIZUNiRUpFeGlpeVVhYXhNTmI4dUNaVUNybXoxNDVFdHhUdll0dTY0N2V5bmJ5a2NHQlgzMTZIazV1S2h6clRNWFdtYkdGUWhRODJsc2wtbHJnd0p0QzZPMkg0Z21LZkRt0gGUAUFVX3lxTF" TargetMode="External"/><Relationship Id="rId1147" Type="http://schemas.openxmlformats.org/officeDocument/2006/relationships/hyperlink" Target="https://news.google.com/rss/articles/CBMiZEFVX3lxTE5SSEFjaDdxV3RFOWJNdzVWTzBYRFgtTmJiZnBBNlhXMDlrZHU3bnh3UEd3Rkhlalh6a1QxMWNsLWtQTzI2a1dBYlVHdzlMUEtiS05fNklsLTB4VFdjSUItRjMwMDE?oc=5" TargetMode="External"/><Relationship Id="rId1148" Type="http://schemas.openxmlformats.org/officeDocument/2006/relationships/hyperlink" Target="https://news.google.com/rss/articles/CBMiZkFVX3lxTE9oZnp3dlVlT3BFTG5DekZyZDlBZlk3bE5JMDI0a1BKUVVyWDYyRlRpVmNva3o3TmdkY3pRcUJyMDlIT2lRQk55aDh4QVNKdDg1TS1tUVZNZmJ3WFhwMlEtZjJVcWFrUQ?oc=5" TargetMode="External"/><Relationship Id="rId1149" Type="http://schemas.openxmlformats.org/officeDocument/2006/relationships/hyperlink" Target="https://news.google.com/rss/articles/CBMiZkFVX3lxTFBxaDdtYlFLeG1IaFY0OVprd2VkbGROWXpGY0xYcFhIQzZIc3ZCYkpUMHJwLXdpV0c0bzBZWXNoR0ktU2d3dFl6SnpNVjZFZHYyb0lHZnAxNzN6SktYWDc3U2E2eDNBQQ?oc=5" TargetMode="External"/><Relationship Id="rId1150" Type="http://schemas.openxmlformats.org/officeDocument/2006/relationships/hyperlink" Target="https://news.google.com/rss/articles/CBMiUEFVX3lxTE5teVZhVlo1Z1Nxd2tuM2J2ZlJDSnZWUXV0MDNKOEpTY2pFeVJ3YjdRS2FYcThodEpNRnVnRk5VUjRYVUNnZFNEbDNfSkhMSnBB?oc=5" TargetMode="External"/><Relationship Id="rId1151" Type="http://schemas.openxmlformats.org/officeDocument/2006/relationships/hyperlink" Target="https://news.google.com/rss/articles/CBMiYEFVX3lxTFBqcnQ1Ql8yVkktemxnTWsxS0FHTWlCOXlGNF9zU3pPQ1RjYzRUdllMOThKTlFOcG4wbVBVME1weVBMdHhfU3d3T3JMS29IRGF1c25Lc1VvcHd4cURDTDI0NQ?oc=5" TargetMode="External"/><Relationship Id="rId1152" Type="http://schemas.openxmlformats.org/officeDocument/2006/relationships/hyperlink" Target="https://news.google.com/rss/articles/CBMiZkFVX3lxTFBxeEFfUVY1MkIzQkQzcl9HUXdWekQ3cDY3bjN3X2lkS0dSN2U1cGFrNlBQb2N4WllfT0pLRmJ4OGhlcW5BbXlURVo4d0FxSWM0YkUxdTZOcldpTi1RX25Uek1wSEFpQQ?oc=5" TargetMode="External"/><Relationship Id="rId1153" Type="http://schemas.openxmlformats.org/officeDocument/2006/relationships/hyperlink" Target="https://news.google.com/rss/articles/CBMiZkFVX3lxTFBtMTVyamFlZVVRMllyci05R0k3VU4wR0FzQUVBYU9JUklZYU1Pem5rZERTWHR2OVd2eWhaWUtKblNVQ0UzbXNyTm1LRFpWNHBrVUR5VVFlRTRaWmxJenpHVE02d010UQ?oc=5" TargetMode="External"/><Relationship Id="rId1154" Type="http://schemas.openxmlformats.org/officeDocument/2006/relationships/hyperlink" Target="https://news.google.com/rss/articles/CBMiZEFVX3lxTE5UVXZjTXRjOFdRSkp2cFdLY2hiYjliblF5bHFKRU56bkRhMjNlQ1Y1SzlfSGFMZDM1Q1VTR3JHUF9DU0FQUEs4SXhUR1E4dHRGcWFQUU1FdEpPX3hLeC1SV3dQdEE?oc=5" TargetMode="External"/><Relationship Id="rId1155" Type="http://schemas.openxmlformats.org/officeDocument/2006/relationships/hyperlink" Target="https://news.google.com/rss/articles/CBMiZkFVX3lxTE53eXI5NXZjYlluYUpMMHZSY2ZoMXNOWEVieURVR0Q3ajlWNEtVTTJCcGRYQ1k3aEFlQ3B5Sko0eVNjWVVlZ3ljUTVaTTd4VGtBWW9KNGRsYnJYSkZCdk44d3NHbHJqdw?oc=5" TargetMode="External"/><Relationship Id="rId1156" Type="http://schemas.openxmlformats.org/officeDocument/2006/relationships/hyperlink" Target="https://news.google.com/rss/articles/CBMiZkFVX3lxTE9DNHRQVHZtUmxjVHN6Rzk5VnNIZ213bkQ1LXpHUDFsTEw3eTY2YTAtdEVQcTJhS2U0WjU0TFJLUVJVR2FDblVFWHRlLWU5WVhqMXJWd3V2LUxGeXJ1NGs4ODE1WF9hZw?oc=5" TargetMode="External"/><Relationship Id="rId1157" Type="http://schemas.openxmlformats.org/officeDocument/2006/relationships/hyperlink" Target="https://news.google.com/rss/articles/CBMiZkFVX3lxTE9YcWJNcDNKV3VkTHI1amNpZE13WW9JUF9QSU9uS0hsYlR1Z3FreGZ2TDBQdHVaM1RLUHVKOXZOY05ReUxBbUJxZDBxUDJWc0lvRm54TWstS0NQVmhleVlUX2wzQ2l3dw?oc=5" TargetMode="External"/><Relationship Id="rId1158" Type="http://schemas.openxmlformats.org/officeDocument/2006/relationships/hyperlink" Target="https://news.google.com/rss/articles/CBMiZEFVX3lxTE81QnI1NGxsT2VpVzBJMHlybG44MHZrWkRGS2FrOTcwUTRuT3NmU25JakJ6a2JGNTVmNXd5UzJIeUFKSl9MNXhfS2IyUEhlT1dTR0l3YklUNVV0R3dvd21NaFJpVjg?oc=5" TargetMode="External"/><Relationship Id="rId1159" Type="http://schemas.openxmlformats.org/officeDocument/2006/relationships/hyperlink" Target="https://news.google.com/rss/articles/CBMiZEFVX3lxTE50dm5ZMEs1eVB0bFVCZ1dVVnEwRm9hSVI5QnpHOEhtYTBXTHAwRWFGdWlrZTNHblczRWtWOEdydHh4RUprZTQzcXJaT0VMU2VqckxXWlN0N3VuOFVwREhpTjFrUUw?oc=5" TargetMode="External"/><Relationship Id="rId1160" Type="http://schemas.openxmlformats.org/officeDocument/2006/relationships/hyperlink" Target="https://news.google.com/rss/articles/CBMiYEFVX3lxTE5fbWszaGlJRHFOVUtuTUl3TG9OMG5zOUx1ODMwUnhNaENJVlBDMkVUMUlFd1prdXBOcEx0SUVDLUZ4YTg1Sm9fWVlsX1JHU0tCN3FZLWxkanhTT00tWEpKbw?oc=5" TargetMode="External"/><Relationship Id="rId1161" Type="http://schemas.openxmlformats.org/officeDocument/2006/relationships/hyperlink" Target="https://news.google.com/rss/articles/CBMiZkFVX3lxTE81WDdVQzBxSUdpNERIdVdTT2hWcGtOUGpLaEx1a2tVZng4RV9SektPcXVvcG9qcUlRbW1YT1dPYVFYZDVwZ0hlUFRJd2lmcnZSMEtCMUpJNF9Md3NLbWlPd3NHQ3B0Zw?oc=5" TargetMode="External"/><Relationship Id="rId1162" Type="http://schemas.openxmlformats.org/officeDocument/2006/relationships/hyperlink" Target="https://news.google.com/rss/articles/CBMiZEFVX3lxTE9ndzNMeU5qR0Nta19tWWR3R0F5Snl1c09NTlJyVDNzSEdFcWtCZVV0UjY2Z3ZaRGYtYkc4aEItajFFOTJLNlRlUmY4QXkxNFJMTFN6Nk5hOG01eTBTOEpKMkM3TXc?oc=5" TargetMode="External"/><Relationship Id="rId1163" Type="http://schemas.openxmlformats.org/officeDocument/2006/relationships/hyperlink" Target="https://news.google.com/rss/articles/CBMiZEFVX3lxTE9EWGl3aksyWkRad2JQd0FWQUJFOXZvd0twMGxsa183MFZBZTYzZW15TGlBZFZSSkhuNWtjSzFZSlBrYUl0X1JTUURiZEN0cGxtNVIwZjJfT1RPY25tSWQzQno5OUw?oc=5" TargetMode="External"/><Relationship Id="rId1164" Type="http://schemas.openxmlformats.org/officeDocument/2006/relationships/hyperlink" Target="https://news.google.com/rss/articles/CBMiZkFVX3lxTFBlUnNTVU5JWmlZZ1VINk9iSXYwRW9Jc3prSGZ3emVaMkQ2c3ZfUk0ySTBkcDlzczV2WVZXZW1ubjNoZ1M2NVZWaDd6ZEJCOGJINmNWWjF6MHdva2JKZmdKUWo2QnNHdw?oc=5" TargetMode="External"/><Relationship Id="rId1165" Type="http://schemas.openxmlformats.org/officeDocument/2006/relationships/hyperlink" Target="https://news.google.com/rss/articles/CBMiZkFVX3lxTE95WEN0MmJUV004TFJwVHMxWUNDWnVfOTFaemEwNmE5ejcydFpSMW5qeUt0a2w0ZW5SUWRsQVlDRlQ4Z3pnNTRad3BCbUJPUlR4T0hzR1VGSThiTHNnRUxCQkszOFlzUQ?oc=5" TargetMode="External"/><Relationship Id="rId1166" Type="http://schemas.openxmlformats.org/officeDocument/2006/relationships/hyperlink" Target="https://news.google.com/rss/articles/CBMiZEFVX3lxTE90NEtIaEJIX2NHVC1HWkI0b2NSU3dyZFRfMHNuSEJpbHJuanprbnh0RUh3a2dmOGRucUF4NDhYSUdmWHhpOEZBQWhRQ2VlOWpCQ296Q05fSmxkUEpkbUM1SGRFOVY?oc=5" TargetMode="External"/><Relationship Id="rId1167" Type="http://schemas.openxmlformats.org/officeDocument/2006/relationships/hyperlink" Target="https://news.google.com/rss/articles/CBMiZEFVX3lxTFB5U2JsOHZOaFl5bzY2RU1xZ1FVQ0Q3ajl2QkNkR1E0VXFMRk5tVHc0ZWhmOGZSRV90Z09sM3BxSE1JUzFsM0xnYU9NOUNXaXdDTjIwb1JUTjBkRW5mWFF1bmh5Ykk?oc=5" TargetMode="External"/><Relationship Id="rId1168" Type="http://schemas.openxmlformats.org/officeDocument/2006/relationships/hyperlink" Target="https://news.google.com/rss/articles/CBMiowFBVV95cUxPTGh5V3VMaHJycllfVGhERXBRVm80QlZKTVdlV3k1dDZJZXRZRVFPN1BFeENTeDVkMklDNjJZQlFSdDdtNjFHU3FBUUdZR2tNMURLSjk2Rk10Wkd1N2dyb1ZILVBRYmdub0V0MDBxeW52anowWmlsZ2RIM0h1bDFyQ3J0b01ySjhjUzZ3eG5neFd6MUNhMXo4Z3N0Y0V5Xz" TargetMode="External"/><Relationship Id="rId1169" Type="http://schemas.openxmlformats.org/officeDocument/2006/relationships/hyperlink" Target="https://news.google.com/rss/articles/CBMiZEFVX3lxTE82Tld5SV9OSkstdlAzdXpyVmlvM1Q1SzFnNV9EMUdKelZDSXlFNWQxQ2hzYmxzNy1LQkpGMWZQTmEyc1loRUtjMkRvbEpBRW52UkpEUXdMV01kWTBwZHZxUGlTR2Q?oc=5" TargetMode="External"/><Relationship Id="rId1170" Type="http://schemas.openxmlformats.org/officeDocument/2006/relationships/hyperlink" Target="https://news.google.com/rss/articles/CBMiZkFVX3lxTFBybVZ0TzBrWWtORGs3WFk4UFVGYnZmaEpuUzRhaXNlbGVKUTNSZWNrM0pMQXFjU1NvSTdSYjhic2lRb3FjRmJ4SUJ4S0tMc0JlR0Y4QXloTVJYWHFXNVNaZ19KV0Fudw?oc=5" TargetMode="External"/><Relationship Id="rId1171" Type="http://schemas.openxmlformats.org/officeDocument/2006/relationships/hyperlink" Target="https://news.google.com/rss/articles/CBMiqAFBVV95cUxQZTFUY0ZMNUlLVVF1RG5BNlBPVTAtZGd2bEJQdGpneDJqeWNBdDV0VEdrQk8xUXRQb18yS0ZFMU9lUE15OF9oNHJaOW01S0FUc2Vpa2NvdEV2WmY0X1RRdVg2MWhWaFVObDYzQ1NndVM0cGRBd0VneXRuWVl5bEZoWHV1N3pFMFo2dl8wMmwxdEZULURpc1dBSG1jN29PRH" TargetMode="External"/><Relationship Id="rId1172" Type="http://schemas.openxmlformats.org/officeDocument/2006/relationships/hyperlink" Target="https://news.google.com/rss/articles/CBMiX0FVX3lxTE5VaS1XaDRWSkxCaG9OMVJqOFlFSGxWSUxZbnIzMkpITjZEVUtjSG9zMzVYQUJZY0gtSHZzYm9vUDlqemVxUUhiZkI5VlZfMFFJSnYzSGl0blFUNVNJamVN?oc=5" TargetMode="External"/><Relationship Id="rId1173" Type="http://schemas.openxmlformats.org/officeDocument/2006/relationships/hyperlink" Target="https://news.google.com/rss/articles/CBMiZkFVX3lxTE5ZYWJ1eXFXckJZeWpCZG1rTmxFVFV3cGhzQVo2bjFBUkFKdGdTdnJ3SjdsSzZMY2lNeXY0c2JMek04Y0FxY1I4UW5XbW9iMUx6Zzlfc0xRZ2xoelZ2dmhSSXp2b2RMdw?oc=5" TargetMode="External"/><Relationship Id="rId1174" Type="http://schemas.openxmlformats.org/officeDocument/2006/relationships/hyperlink" Target="https://news.google.com/rss/articles/CBMilgFBVV95cUxPZkRJQllaUGIzSmtOREhpMFg3anpnNHZPeWZSbHlzc2ViRElJUTlleVQwUVNiZ24wZkhnQ1JtajkzZDR4bUVtemF3REJZZmFEVE1kQTZJQVVOak91U3lrWldfZmZsel91VHhlaDA1bHlUTVVvVS1WTEdidUltaS1Ta0h0UmkxeUYwbk5lUFpQNk93bzlBMVE?oc=5" TargetMode="External"/><Relationship Id="rId1175" Type="http://schemas.openxmlformats.org/officeDocument/2006/relationships/hyperlink" Target="https://news.google.com/rss/articles/CBMiUEFVX3lxTE94U1ZNQ0ExVlFXbTZMX0tZdzVOelVJZGtFNXBOcmpmb1F2UDd6R25NTTJRMHJsNFE2dDlLdkNDMENXY3ZqcjVOZVBOcjdGNVNZ?oc=5" TargetMode="External"/><Relationship Id="rId1176" Type="http://schemas.openxmlformats.org/officeDocument/2006/relationships/hyperlink" Target="https://news.google.com/rss/articles/CBMidEFVX3lxTE00NV9zc3R4WHhwVXI1X3hkQk40UFFFZzlYdlF0YndNRm85QUdMVk1GVW5aRy1lMENaLThiWGZfZktQWENqV1pNMno3RlVkelZUYm0yTWlKTkxlNjJBdmo0cWRBRHotTmRjYzJyMkpwYVdlSXR0?oc=5" TargetMode="External"/><Relationship Id="rId1177" Type="http://schemas.openxmlformats.org/officeDocument/2006/relationships/hyperlink" Target="https://news.google.com/rss/articles/CBMiZkFVX3lxTE9ER3FfS1piYkFGQThEUFVHRzR1VzZiZEc3d181OE1zUlFROWNpb3NJZ0NqNDhaN2N2b09UN1oxRkVCbEUtLW1wTkE5SElUNll1VFl4eTM1RjBwR0pva05wak1iMFRSdw?oc=5" TargetMode="External"/><Relationship Id="rId1178" Type="http://schemas.openxmlformats.org/officeDocument/2006/relationships/hyperlink" Target="https://news.google.com/rss/articles/CBMiuwJBVV95cUxQcGE3Zk9ILXRCaV9LV3I2eXZKTWpzbjF3Nk5sMU5VMU9sUXJicmJ6cUlsREdMekdGY1Z0YWZBcmJwUDRlQ3YybklndjE1XzR3b016ck9vdms0NENjd3lqV3FkbndrYVk1ODBxR2libE41RlRuUWdBSDg0T0xKNkxOVjdTbGJwbHBIa0pOUndYUzM2aDJFRXIyMC1oLWFUM2" TargetMode="External"/><Relationship Id="rId1179" Type="http://schemas.openxmlformats.org/officeDocument/2006/relationships/hyperlink" Target="https://news.google.com/rss/articles/CBMiZkFVX3lxTFBLVDVFWVpIcFluaWZ3bTNMLUJjZjEzR3pfNlhyaW5FN1B2OTNBMVNiQjcwdmRhTUk4ZGhwM082Wk5uSy05R21YQXFwR2d5WkZ1a2Zrb0JaeG5oRU5YXzUyVm1xZzd4QQ?oc=5" TargetMode="External"/><Relationship Id="rId1180" Type="http://schemas.openxmlformats.org/officeDocument/2006/relationships/hyperlink" Target="https://news.google.com/rss/articles/CBMiZkFVX3lxTE5OT0FxTWNoYXpoZGZ0aUwxc1BnZkJvMk5iRnVBZHBZZndDWGVOUDA2eGRVNW92M0JtZEtjczQ0U0hCNGU3Uk5zZmFoWFVqZXFnUnlsd0x2WXhwQlVmZDBnYl9JRTcwZw?oc=5" TargetMode="External"/><Relationship Id="rId1181" Type="http://schemas.openxmlformats.org/officeDocument/2006/relationships/hyperlink" Target="https://news.google.com/rss/articles/CBMiqAFBVV95cUxOcmxrM2NpN3pKc19Lc0dOaEtTenhiT2hLQkpGX1VBZHlydUttczg4YkZ2TzdMZjNiZHBZWXNJUGo4Uk1NeWw4WklGNVZxQjdlZDlCZUEwanAwTXJmRWhMTktIeXVLSXRlSmRLR044clo3VjY1dXNFOXdLelFvd1dmelhvY0NXcTd5YTRHcEtXbFlJdnRHVXJHR3hzajZuWV" TargetMode="External"/><Relationship Id="rId1182" Type="http://schemas.openxmlformats.org/officeDocument/2006/relationships/hyperlink" Target="https://news.google.com/rss/articles/CBMidEFVX3lxTFBQUHI3YklaNVJETzdGOV8tdWQ4ckV2R2Z6YjQwaHFGMHJNRUx6MlVNV0N4N2FPUWVqazRFSTIzQy1pSmNPM0ZpTmZRSVUySU9OUEh3eWY4M0lxeDNnMEZCeHlzLWI3cTAxamZ6WVNVcm1zZlMx?oc=5" TargetMode="External"/><Relationship Id="rId1183" Type="http://schemas.openxmlformats.org/officeDocument/2006/relationships/hyperlink" Target="https://news.google.com/rss/articles/CBMic0FVX3lxTE1aTXMzb3NFNGdMeFJQWTBiaEJ0eEdPSGFhYVhmcHYwMl96ZUpXTFhuNEIzSjNLZFV1bW1lTE9SX29oVlRvYVNpVlZSR1UwNG1kcUNFZ2hDQk14a24tT3lmU3pTdGVkZFBYWUlfT1dPLXVENmM?oc=5" TargetMode="External"/><Relationship Id="rId1184" Type="http://schemas.openxmlformats.org/officeDocument/2006/relationships/hyperlink" Target="https://news.google.com/rss/articles/CBMiZEFVX3lxTFBBaXB5VElvZE1WNjRtZ1N1TjBNN2RoSElRam54YTdwUW5ZaGEzX3Nrbi1YM3o0ZGRVQ0VuWENtenBQemtUdGUzazU5ZU9hNDkxQktZZTlQQzA0WWM5clB1c2tJdHk?oc=5" TargetMode="External"/><Relationship Id="rId1185" Type="http://schemas.openxmlformats.org/officeDocument/2006/relationships/hyperlink" Target="https://news.google.com/rss/articles/CBMidEFVX3lxTE1JYzctYWtQSWUxSGFJRld0bFNOb2lBTGc0d2F0UlYxZk1ZT1ZDT0NqeVpQZldLZlktd1lJWG5mMWR3bXEwbFFISmVLNlAwMzVrM1dFNzhocTRFRWItRG5XWVdaR2F0Nl9XWXFBVmpNQWIwVU11?oc=5" TargetMode="External"/><Relationship Id="rId1186" Type="http://schemas.openxmlformats.org/officeDocument/2006/relationships/hyperlink" Target="https://news.google.com/rss/articles/CBMiZkFVX3lxTE1vU1FPWDRKbTZyU1AybmpuZ1dkeC0xNU5Ub1M1WUtnMHlzdUd5b1ZKNmRLWF96QUoxNm9qRHdyTm9oTGh1RFlwZHVMUlNxM3RIaURZQ2xUUDRCOFY2ajJ2cVREMW9adw?oc=5" TargetMode="External"/><Relationship Id="rId1187" Type="http://schemas.openxmlformats.org/officeDocument/2006/relationships/hyperlink" Target="https://news.google.com/rss/articles/CBMiZkFVX3lxTFA1ZjE4Q1VxYkstakY1ZXI5TUtCa09TVHowQUI4MHhZcEFENWozMFEyV2lFektJXzRBdFZITEhhUXludk5LZlo4YlVLc2tKMUV4UlA3U255ZUpuSUtlNGZvemFhN0ZXUQ?oc=5" TargetMode="External"/><Relationship Id="rId1188" Type="http://schemas.openxmlformats.org/officeDocument/2006/relationships/hyperlink" Target="https://news.google.com/rss/articles/CBMi7wFBVV95cUxPNEVWOFd3cmJSNXNxY201dXlFdEJuWnlnTzltaDV3eEFQcGV0cnYxdUlOX2dDa21hOTdVNzNZWEpObkJyRVE1cTlZU0RDSTljWExCYkFzaU5NZ3VFVmpKLXpNVlJkMzVTS2dFSVpzbzFRdzRuSTlWN1plQWktS05KMTNrOVVudnNvbVIxelhpRFF0N1lSVWstZUdreTNRQ3" TargetMode="External"/><Relationship Id="rId1189" Type="http://schemas.openxmlformats.org/officeDocument/2006/relationships/hyperlink" Target="https://news.google.com/rss/articles/CBMinAFBVV95cUxPUkxZdW9Pbl8zMFVvWFFXQWg3WEIzR3d4MjVlY2FDWUcyQnloWW4zV1FIejEwSWdCWjVCNDN4dnIyQU9BRDllbEVLRmlMS2VoMkxJc0xiakczb1Vzam5UaFJWc0E1SU9uWklWa1JpWjhkMEVnOHplWW9jYTFzSDNHYVkxMzZKOVRMWTNrY2VJUU1hSDBpWWRmZG1GWHc?oc" TargetMode="External"/><Relationship Id="rId1190" Type="http://schemas.openxmlformats.org/officeDocument/2006/relationships/hyperlink" Target="https://news.google.com/rss/articles/CBMi0AFBVV95cUxNemhzeTJUNnQxWldJYzZUa2x6MXJvRmdCYWcwY3hpTEJUY21NLTRwbmhraXNydjNwQUFUMlc5Z1ZkWlZjQkJRenQ4dFpsNHFwYk5SSXIyUzV1VkZJRHpTYjJjbjgtbXpxckxJM1ZvRGdYcDRSalpEMVE1ZHZ6aVQ2cWZOVHl2V2t0c1NzbVpHNjB2eVVta2ZPZTVGS3oxaW" TargetMode="External"/><Relationship Id="rId1191" Type="http://schemas.openxmlformats.org/officeDocument/2006/relationships/hyperlink" Target="https://news.google.com/rss/articles/CBMi4gFBVV95cUxPWDJoY1Q2RHNGVWk0dlRKTVduUkdpTXJ2RWZjTjg4RVVzUnV5dGpqZkFRc29XX1BRcGVpMTRVRE1SMUtEcDhSNHFqVkNVcFcxc01mV25BUktnVWZoTDgxeThPcmhlanZIVjdoWDNhUFVvRFZ0b04yUVhocURsNmZaRmEzOHVELVk0a3ROZnlVUDdDY094clZvNEdWTWgyU2" TargetMode="External"/><Relationship Id="rId1192" Type="http://schemas.openxmlformats.org/officeDocument/2006/relationships/hyperlink" Target="https://news.google.com/rss/articles/CBMiZkFVX3lxTE4yalRxdFNlWlNNb2REZnFRRWFNdU9tN2QxVGZhb2ltZnVTdTFBaU01QmFXdlpsazRpOERrRDNaUURTTDRINk5raDlNTDdENmVpUTFsTXZoTXExbEV0WERwbElOcGstdw?oc=5" TargetMode="External"/><Relationship Id="rId1193" Type="http://schemas.openxmlformats.org/officeDocument/2006/relationships/hyperlink" Target="https://news.google.com/rss/articles/CBMidkFVX3lxTE9tQ2VtdmpDNEZpdFBtQ2dISzhkcUtxYS1SSUFQUkpsdWlITjB4bGZnWjZEQVUtTUg4RTNkWDZISE5veEVGZTR0a2pYakxIRGlQOHdNZk0ybTZveXRiMGtWbldwSjFYcTJZWGMzMXJuMktkY0F5VWc?oc=5" TargetMode="External"/><Relationship Id="rId1194" Type="http://schemas.openxmlformats.org/officeDocument/2006/relationships/hyperlink" Target="https://news.google.com/rss/articles/CBMidkFVX3lxTE8yNjllOUZCUlYxZDlna3hadmpoVXBPMEVKclFaMmw3SHBIUTZKVnpLOTZxdjkzSWhFVjlpeGNfazkyb3FRanN4elp5cWFKT1E5Tm81OHpTUWZyZjliMXNjcVlnYm1YVGw5ZmlsNl96LVh2b09IMWc?oc=5" TargetMode="External"/><Relationship Id="rId1195" Type="http://schemas.openxmlformats.org/officeDocument/2006/relationships/hyperlink" Target="https://news.google.com/rss/articles/CBMiZkFVX3lxTE5rY2p4R04ySXBkTHU5WE15OEhqVWIxcHp6YzlHWlFmalhFbkZ2bUl5akFRLUFKNnZ3NXNiM0pPNUZzQ3FramJjNUZpY1RtTF96SVNqX2Z4NmEtUEFWSU1nSTF0alpkQQ?oc=5" TargetMode="External"/><Relationship Id="rId1196" Type="http://schemas.openxmlformats.org/officeDocument/2006/relationships/hyperlink" Target="https://news.google.com/rss/articles/CBMiUEFVX3lxTFBEM2VvYzZiUmJUYVVWMnJxSU5BVmkwMjFRTVVlTlRycUtxWDZaS0J4TGw1dkVLMXVNTHFwWkM1OUtoQ0VtU2Q4ZFdxVWpkMVM0?oc=5" TargetMode="External"/><Relationship Id="rId1197" Type="http://schemas.openxmlformats.org/officeDocument/2006/relationships/hyperlink" Target="https://news.google.com/rss/articles/CBMiZkFVX3lxTE54eGoxcWltLXUxVnhkZ2RXVW85N0xJeWxLY0pkWG5TeWJOcnV5SmNFVWZmYmhhNFZDRFhyM25ZVExVdUhSY2tidUg4V0VmaldndVRXQXVoZFc0Xy1URzc2WGJKai04QQ?oc=5" TargetMode="External"/><Relationship Id="rId1198" Type="http://schemas.openxmlformats.org/officeDocument/2006/relationships/hyperlink" Target="https://news.google.com/rss/articles/CBMiZkFVX3lxTE1aQ3REWDNLNm4zaFRMWDJUc0pHUEZCMVV0WXVRLTJNTDVpUndJdHlHanNZMVZONGpRTjFDOXdJei1hdndybEVnTmtKTlpLa1F4ajRUUnpseFJydjNtYjVOSUVsZ2liUQ?oc=5" TargetMode="External"/><Relationship Id="rId1199" Type="http://schemas.openxmlformats.org/officeDocument/2006/relationships/hyperlink" Target="https://news.google.com/rss/articles/CBMiZkFVX3lxTFBaSnJ3RUxKRU9tQzg1UlpQYXJjc0hhMHJZcDJNZ0tvSDJ2OEppWTZoNi1Eb0E4aDJHWUJjaWJ5bkRrY0g2Y2xPWWs2UVNOUjZtRFpOOVFhajVzX2lLV3pUSU9kV3BjQQ?oc=5" TargetMode="External"/><Relationship Id="rId1200" Type="http://schemas.openxmlformats.org/officeDocument/2006/relationships/hyperlink" Target="https://news.google.com/rss/articles/CBMiZkFVX3lxTE1uTFF6YWRDdTdVcXhFcFVpMlJfQ0pYWXc3VW0zVHhuY0UxZVE1MDJnTmpDTUdZd1pYYVZMamlqaFA3NUdUdTBhNWFFcGl5amxQTzZMUGZ2bWtDTW5GNFJSb1pCcHJlQQ?oc=5" TargetMode="External"/><Relationship Id="rId1201" Type="http://schemas.openxmlformats.org/officeDocument/2006/relationships/hyperlink" Target="https://news.google.com/rss/articles/CBMiZkFVX3lxTFA5TzNybFZGOGwyajYyZUM2VG1oclVGUmlvTFFNMEV2dkRKNHhqYTlBRTdUcXd1aXZ5cWdpeEhvQ2IySU9WTEdLRTRSVnFoNFFtV2tPa0JXNTduVkcyajNIVmNTTVA2dw?oc=5" TargetMode="External"/><Relationship Id="rId1202" Type="http://schemas.openxmlformats.org/officeDocument/2006/relationships/hyperlink" Target="https://news.google.com/rss/articles/CBMiZkFVX3lxTFA5TERtZ09pQ0MzaXo2Qkh4R2VJYmtWWWdIUjBUMUF6VExtNTdfMEc3c3pPaEZMbmZ5VGItUFVYOFFrbEFXcnFqSTRNUXNFckFVWEc3YjBLbTBldS1TemtCQXJkLWp1Zw?oc=5" TargetMode="External"/><Relationship Id="rId1203" Type="http://schemas.openxmlformats.org/officeDocument/2006/relationships/hyperlink" Target="https://news.google.com/rss/articles/CBMiZkFVX3lxTE5yMmtiaVFmdFFqdnVFaUhkWHhHR2ltaklidHJKVGI5YmVtXzRVN2VMQkREX0xGTmV3Y1lTdy1RVVBubkg4T3hPbTd0YTBRVlotM2pHZ1V4ZUxxRDNIbkF0WW5hY1NRUQ?oc=5" TargetMode="External"/><Relationship Id="rId1204" Type="http://schemas.openxmlformats.org/officeDocument/2006/relationships/hyperlink" Target="https://news.google.com/rss/articles/CBMiZEFVX3lxTE1vNVoxSHc3Y2Q5TkpIT3BqaGh4ZDBuX2JwSjVfcFYyWmdRZkxuS05lSWd5VUFfemliU0NsT0ltZU5SWVlqdFYyeklQeF8tVF9rOXMxa3pYamNfanRPdHVreHl2V1Q?oc=5" TargetMode="External"/><Relationship Id="rId1205" Type="http://schemas.openxmlformats.org/officeDocument/2006/relationships/hyperlink" Target="https://news.google.com/rss/articles/CBMiZkFVX3lxTE5qUkR1OG5DVkZYZHNBX3lXaWpvcVdOZnFjQ0tfTEdHanNQWnN5RnRtbkFDX0tkWkY0ZEIxSU1KUTZxb0haRGJnc2EwcE1Fa01IUjJDdUk0YjNhYWRvNC1TYVg3QmFqQQ?oc=5" TargetMode="External"/><Relationship Id="rId1206" Type="http://schemas.openxmlformats.org/officeDocument/2006/relationships/hyperlink" Target="https://news.google.com/rss/articles/CBMi2gFBVV95cUxNZnVrZWZuY0ZuR0IzWEpTaTJuOWhadGdpZzZ3dVRyY28wQlFxNldGTFR0TjRPc1REeDh5Nlc4Nk55aVJNZU1RM1Vqekh5R3ZGNHJJR3hXbHphR3F6RWl2aC0tNXc2UXJYZDlHekRrSTdfdlZLeGNKczFKQ19OU1l4bWluOC1tWlNWTi1zd2RkRVMwYk52RnRBdWFTTjl0Vn" TargetMode="External"/><Relationship Id="rId1207" Type="http://schemas.openxmlformats.org/officeDocument/2006/relationships/hyperlink" Target="https://news.google.com/rss/articles/CBMiZkFVX3lxTE9oenVSdVBET2hjckRQZmNCMFJuWHpVWmlER0lxaFNjUHVGLTZ6Z3NDZTl3ZnVPNW85Z0NZNjRzSEM1VWsyTEJWQVo1RjNfWTJjMjJ4aVdURUJMTzNjR240Ql9ILWJ5QQ?oc=5" TargetMode="External"/><Relationship Id="rId1208" Type="http://schemas.openxmlformats.org/officeDocument/2006/relationships/hyperlink" Target="https://news.google.com/rss/articles/CBMiZkFVX3lxTE4yOE1Ib24yUDZQd01rRWtIYkFGMVpGOWxRell1b21MMmNEVGUtQk9kOUFfeUFCRHNDTzV2cl8wWi10a1UySmVfVWJCU2NoYlNVS3dpWnVrWVQ0dHdDbzYzai1pU0VUQQ?oc=5" TargetMode="External"/><Relationship Id="rId1209" Type="http://schemas.openxmlformats.org/officeDocument/2006/relationships/hyperlink" Target="https://news.google.com/rss/articles/CBMiWEFVX3lxTE5aTmFrT3lfXzZhMVFYLTJleHRoUVZQel9MX1dNZUg0M3RoS1YwaDNvNW5FOTdYN0hneXd1em9fbXlyenh2SWpHY3N3cDJ3YTA4U2RaSzBpelo?oc=5" TargetMode="External"/><Relationship Id="rId1210" Type="http://schemas.openxmlformats.org/officeDocument/2006/relationships/hyperlink" Target="https://news.google.com/rss/articles/CBMivAFBVV95cUxNQjREdmhrYVQ1M2EwQ1otVUU0NlFiTjhxTkx2VEpuYkJYQ0xIR1NMdWtxTkdmZWN5aHRzUFl3bkZscWo3VUZ5UWNKb0dxNkFpbGcxT3JRb0IwUFN3dGxfRzVMWW16eVV2eGE3aHdZT1FnclJFd2VmN0RUZ09nNTFPLWtpS0NqVzdSa051eDRMMXRMQmVwUHhrVkFhcFlZZn" TargetMode="External"/><Relationship Id="rId1211" Type="http://schemas.openxmlformats.org/officeDocument/2006/relationships/hyperlink" Target="https://news.google.com/rss/articles/CBMimAFBVV95cUxPbjZmVTd2Z2JoU29CZXNwS01raGVYdzdEM2owU2dlcEVsUTJlci1xVW5VTlItc0xVcGhHQTlkY2lNeEVGLUpicjJhS2lTSUNuSjJ1amRYcVVHNUtDZXV2RnhlU3FvVm5zU09RX2NVM3AwSFZZUU1tUVdnRzRsa0padTZDTzBIWURUNjBHN3V0MXhIYjJMVy0yTQ?oc=5" TargetMode="External"/><Relationship Id="rId1212" Type="http://schemas.openxmlformats.org/officeDocument/2006/relationships/hyperlink" Target="https://news.google.com/rss/articles/CBMiZkFVX3lxTE9YSExjVktEeDAyV3BFaTFQblEwa1Z0TlpKWHhlQV9CODUwY09MSVVJYUtQa1d0LUo1YTQ5R2gtZzZDT2xyVngwQkVfS2V6WTdkVGFTMU1NNE1UUUFYaXJlT2dCMHAwdw?oc=5" TargetMode="External"/><Relationship Id="rId1213" Type="http://schemas.openxmlformats.org/officeDocument/2006/relationships/hyperlink" Target="https://news.google.com/rss/articles/CBMiZEFVX3lxTE9fVjB6RTFNM3VfUDRJZ3hLRW1MV2lMYU9xSHpqdkVrYzlZWWpuZzFmUF9HNEJvdlNqUmJwbWhfSEZqeVh4UTdFODRtZUhFLUZtWU16Q2ZIT2ZrMFBJLTJycFJ2SVE?oc=5" TargetMode="External"/><Relationship Id="rId1214" Type="http://schemas.openxmlformats.org/officeDocument/2006/relationships/hyperlink" Target="https://news.google.com/rss/articles/CBMiekFVX3lxTE9rUnJpSTRBMGN0b1ZwZlRncXpMbzhXcU1LdW40MVdsNVNZSl9WbU52SUtSR3VuaG1xMWhxYzVrdngybF9Zc1hBWTVrNG9SOXBoaXN6UngtbE4zNk01cDIzbFQ4TjlXV29GQTVzNlJScDhRUTJnU3AzbUFB?oc=5" TargetMode="External"/><Relationship Id="rId1215" Type="http://schemas.openxmlformats.org/officeDocument/2006/relationships/hyperlink" Target="https://news.google.com/rss/articles/CBMiZEFVX3lxTFBOWkk3LXR1WnVJUFRWcUVSVlBWcWFndllwTjJ2R0xoSzY2Uk82bnhwLVRxeXlxYUgwaHNTWlhJcFdlUVFqOHRXcXFqVEFESE1RVGdnTFdDOW51bkgzVzhxNmZDZlI?oc=5" TargetMode="External"/><Relationship Id="rId1216" Type="http://schemas.openxmlformats.org/officeDocument/2006/relationships/hyperlink" Target="https://news.google.com/rss/articles/CBMiZkFVX3lxTE1qZkhxV1lvdEdkdE9vUDNEOHluY1NpZ1dOeWZQcFZtTWI5Slhma2tPVURnWmZwcTVZUlhMNnpKSk5Yd2FwVGViZ0hPQWx4RW4tdmNzX1RWSVZZR2VWaVFYdnhfRml6QQ?oc=5" TargetMode="External"/><Relationship Id="rId1217" Type="http://schemas.openxmlformats.org/officeDocument/2006/relationships/hyperlink" Target="https://news.google.com/rss/articles/CBMiZEFVX3lxTE5KVkhTemRaVkRscm5uMnphMGNMSklzLVVsVl9FcDUxX2dXb0xCZlBrRzE5R1JOUTItR2otcHR2ZS1BbUk3QmlWOFk2NEF4Wnl3ZGNjQVpWVmZJYzl5R0x2d1U4UGg?oc=5" TargetMode="External"/><Relationship Id="rId1218" Type="http://schemas.openxmlformats.org/officeDocument/2006/relationships/hyperlink" Target="https://news.google.com/rss/articles/CBMiZkFVX3lxTE14dzdGaW1UZFpxbFJiT2NRaWhKbGV6UnRyRFVSQ1VMbFVTc2NfWVYwYjFSeXZuM2pqYXdRVjdBMTRnYWFjbzUzX1Y2dmdPMWNIZlJvV1BWUERGTTJnaFU3VVY2NEFBQQ?oc=5" TargetMode="External"/><Relationship Id="rId1219" Type="http://schemas.openxmlformats.org/officeDocument/2006/relationships/hyperlink" Target="https://news.google.com/rss/articles/CBMiZkFVX3lxTE1xT0h5WU9PR3E5T1Z0WTJabFlNa3JNc0hmZjBUVnBLTHdHdk5oM2JtSWR1V2pWRy1QS0x3cjZrSVZvOFVWelpUMXdIR2NzMUhVTm9hZS13VldTdTR4cGZnVUZURjlJdw?oc=5" TargetMode="External"/><Relationship Id="rId1220" Type="http://schemas.openxmlformats.org/officeDocument/2006/relationships/hyperlink" Target="https://news.google.com/rss/articles/CBMiZEFVX3lxTE50Q0hTak5kRnlxd3hTTWR0VXE1NzdhRFJKZXpOcGZLV3RWUzFrZjR1VktBY2xjUWJIcldNa0N6QmZHdTFaaG5sUzZBR05yd2hsT3R1clotbU5TVDhUc2N3dWp6T2M?oc=5" TargetMode="External"/><Relationship Id="rId1221" Type="http://schemas.openxmlformats.org/officeDocument/2006/relationships/hyperlink" Target="https://news.google.com/rss/articles/CBMiZkFVX3lxTE9OUFFqanE5UVM1empNbWszNFhaeTcxbVZTUjZCVldKQzlULWFOTWJVZUZ4TE83QUZCcWZ4Q1lYVTVSRjZycHc4WlVTd2I4UWRQaTVvd0JLMjZUOGxYNlp4OW1ZdVZZUQ?oc=5" TargetMode="External"/><Relationship Id="rId1222" Type="http://schemas.openxmlformats.org/officeDocument/2006/relationships/hyperlink" Target="https://news.google.com/rss/articles/CBMiZkFVX3lxTE9MTkhqVlVTaWFHd0VVWFhCX0I2SlZ4LUhMcjdHN0dlVnVSY2g3WGVvNmFmMUdJMHp0a0FEQmNMY1R1dmFOWUhoTDhYTW01S3h4d1haWHI3TjZhWkI0U0lzbGJpY3l1Zw?oc=5" TargetMode="External"/><Relationship Id="rId1223" Type="http://schemas.openxmlformats.org/officeDocument/2006/relationships/hyperlink" Target="https://news.google.com/rss/articles/CBMiZEFVX3lxTFA3X2tzdUJLSEd6LV9KT012cWhPZWpMSTdJanRGSWU2NWR0OWlFODdsMW5qS0lHOVVHdDZpM2FQajRranhlRkpVeGtNbmZiSXQ0ZXpMUE5XTDc3TzFkay1PaFFBajE?oc=5" TargetMode="External"/><Relationship Id="rId1224" Type="http://schemas.openxmlformats.org/officeDocument/2006/relationships/hyperlink" Target="https://news.google.com/rss/articles/CBMiZkFVX3lxTE9YVDkyX2Z3em1KUVJia20tMHRuYXpPY2hSUkxCQ25kVXRwRUdDRUhEdWliTmcwcE9vVGZWd3NGenV5aENiVVVsZWYzR0lEd3lZUXpIbTFNa0ZnV3pNVF9lbzJzNkdNUQ?oc=5" TargetMode="External"/><Relationship Id="rId1225" Type="http://schemas.openxmlformats.org/officeDocument/2006/relationships/hyperlink" Target="https://news.google.com/rss/articles/CBMiZkFVX3lxTFAwX0pKcWQ1dWY4VDM2REpaS0twZmhPLTZfcllmQm10TWZLMHdYUGJGcTJxVmFRdUd3bm03M2h4VGtkUW01VVdjVldwOHpqQU1UOWpPQldmT1IyekF6TVZTQ1g3R3F0Zw?oc=5" TargetMode="External"/><Relationship Id="rId1226" Type="http://schemas.openxmlformats.org/officeDocument/2006/relationships/hyperlink" Target="https://news.google.com/rss/articles/CBMiZEFVX3lxTE05d3Izbmk4Z0FXTmk1SFN5aGh6cEowQmdpbXYtaWRGTjFaazNJUU1yLTVjR3hyd3FITzZiTjUtbnJyRzB3aGdHNWF0b0lPbklGTXVQcEZEcHpfTEJtdEpIcy10Rkk?oc=5" TargetMode="External"/><Relationship Id="rId1227" Type="http://schemas.openxmlformats.org/officeDocument/2006/relationships/hyperlink" Target="https://news.google.com/rss/articles/CBMiZkFVX3lxTFBzeFB4eDgwTXhXb0xTdjd4ZEUyN3Jyd2JUNjZ0WkVyX1R6Y294VWhKMmlxTENzUVlSbkt6N21SMGV6SHU4M2J5bnFCUV9zQUMySU1qak8xaXp1THlMRGlKQzhnOTBqdw?oc=5" TargetMode="External"/><Relationship Id="rId1228" Type="http://schemas.openxmlformats.org/officeDocument/2006/relationships/hyperlink" Target="https://news.google.com/rss/articles/CBMidEFVX3lxTE5uT2N2dkFhUzE0VjhPbmFuV1N6Rm90a0owMzVNem5KQ3dMTUdJSWh4SXF1MUZ6VVJlRWw2WmR5eHp2VjY0bjd0S2Itd2gxSHlYaEdETzZqWlBMM3lFUEhGWE8xaHAwdUFxZ05ScUhQVXdDZHBM?oc=5" TargetMode="External"/><Relationship Id="rId1229" Type="http://schemas.openxmlformats.org/officeDocument/2006/relationships/hyperlink" Target="https://news.google.com/rss/articles/CBMiZkFVX3lxTE5IbXEtNjRnVEQ2dnc0eXNseW9hbnNEVk9FUS0zbTNlM0tRSHM3U2lLaEdjT0pydkFuVVI0QWM3N1V4MUItUl9nSUJBek9Pb1NKT0NnN0t2dHhTNUpqVTZIa0phenpPdw?oc=5" TargetMode="External"/><Relationship Id="rId1230" Type="http://schemas.openxmlformats.org/officeDocument/2006/relationships/hyperlink" Target="https://news.google.com/rss/articles/CBMiZkFVX3lxTE82R1JLYjZER2VVeFQ3YWN3azdlVHRVRmtUdVMxTktRcXhvTGNJXzk1S1cxcnRRMmNVN2dlOV9vaVlDUDdmOU9TYnl3Rmsta05tYlo3RTM0a253b1ZHTUtpcWczX1E0Zw?oc=5" TargetMode="External"/><Relationship Id="rId1231" Type="http://schemas.openxmlformats.org/officeDocument/2006/relationships/hyperlink" Target="https://news.google.com/rss/articles/CBMiUkFVX3lxTFBpbTBYblNXV29DSzBDckd2TGhkbVVaa05KVWRIRkxVa2FMNWNmc3hJajR4MWpSb2pBUmdTYlRWYzl4WUtSb0VIRVhVRENZMmpLTUE?oc=5" TargetMode="External"/><Relationship Id="rId1232" Type="http://schemas.openxmlformats.org/officeDocument/2006/relationships/hyperlink" Target="https://news.google.com/rss/articles/CBMifEFVX3lxTE1EdWpVb2RPM1E5bkZXX0RnUTY2NlJ1c29LeFFfNlROZ1NsdlQtcExjODZUZUhUd21XZndVMnBDVWVId3ZWVFhmMWtac3RrZVpacUF5eGlrUzNjLTU5NjFOR19QVktqVnFmRVVVOEJMR1ptV2dqTFRZMEFKR0E?oc=5" TargetMode="External"/><Relationship Id="rId1233" Type="http://schemas.openxmlformats.org/officeDocument/2006/relationships/hyperlink" Target="https://news.google.com/rss/articles/CBMiZkFVX3lxTE1kMDNDWXlvbExLdXR1OXlIUWgyYVlVajhVOHJSMnk0UVluZHdRd1d6OWl6Ti0yRUZTdzAwRF84OC11RzVCWXctYWVFbG81SEZJRFdxb0NUcmpLTDZpdXNqMENMTWo1QQ?oc=5" TargetMode="External"/><Relationship Id="rId1234" Type="http://schemas.openxmlformats.org/officeDocument/2006/relationships/hyperlink" Target="https://news.google.com/rss/articles/CBMiZEFVX3lxTFAxVTcyMGxzSUE5aEtkcU9MNk1lS29rbzRILUhZVGhhUWozNnVERktlanFhYjQzMHV3b29WQVgyZG9fRUZrVkRCQmg1SDhYa01LbUlUM2JxTTlBd0hia2kyMFBlQS0?oc=5" TargetMode="External"/><Relationship Id="rId1235" Type="http://schemas.openxmlformats.org/officeDocument/2006/relationships/hyperlink" Target="https://news.google.com/rss/articles/CBMidkFVX3lxTE5CWXNDbDhHTmM3ZkgwVUtKLUM1eFNQS3RZcTJ1MXlOelplQW1YREZNWXJhR1AzMVNCUDNfQ051N1Q1T3dFbGpCcFMtckt0TjNWUVRRVU41ZkJ3M1hFdjVMOXhpT05KRUtXZ1BwNW1Ka20zYkxENEE?oc=5" TargetMode="External"/><Relationship Id="rId1236" Type="http://schemas.openxmlformats.org/officeDocument/2006/relationships/hyperlink" Target="https://news.google.com/rss/articles/CBMiZkFVX3lxTE43UnYwa1V0MG5McWR3eHduVGVJb3VLM0YwTm1hckZhMWFOYS1RLXBvVFpDb2JjR0RWNlB0bV9taDVXaHdlTGQ2cjBHbVhWU3J5WWRPX0hfLXdXWHhVaG03WGxWdE5OZw?oc=5" TargetMode="External"/><Relationship Id="rId1237" Type="http://schemas.openxmlformats.org/officeDocument/2006/relationships/hyperlink" Target="https://news.google.com/rss/articles/CBMic0FVX3lxTFBseXlfV0NNUVYxVjA4NGNZSjFWMkVKY3BPbml0NURpdjdkZmxqUmZ3UTFfTThVbnpQSjFOMHJEZmVzeVBTZmowQ282YWsyRm82ZU5rSHFCTFpzNWRzTmkxN0Z4M2NFemJXdWRkUUJ5aThqR3c?oc=5" TargetMode="External"/><Relationship Id="rId1238" Type="http://schemas.openxmlformats.org/officeDocument/2006/relationships/hyperlink" Target="https://news.google.com/rss/articles/CBMiZkFVX3lxTE9CR05jLW94cFotSVVaSnlMNmdUMHFHVVh0b1NPU0tfeXRWaUNpZ0pPX3VMNDhZLXgxeE5WVUhqbmIweWZEU3EtOWZYMEVrQWpINjgwSkNTcjZJcXJCUEtIMkhnRlFjQQ?oc=5" TargetMode="External"/><Relationship Id="rId1239" Type="http://schemas.openxmlformats.org/officeDocument/2006/relationships/hyperlink" Target="https://news.google.com/rss/articles/CBMidkFVX3lxTE9qeXJrVGpJeERlbXFZSlFFTjdZVzZleDFra29hZVJmMGJuaGg0UVB2YmRiWV9tRTBLc0Y3dmZsZzRfaHBQUm81SGxyUmlNRVg3MTl4S1VFaF95T3prYXZrcjBFeDFmNFBBS3J1UjdlRWtPMDc0Q3c?oc=5" TargetMode="External"/><Relationship Id="rId1240" Type="http://schemas.openxmlformats.org/officeDocument/2006/relationships/hyperlink" Target="https://news.google.com/rss/articles/CBMiZkFVX3lxTE1PRlo1WUgyMWpIbGlVbm5PSUFscmFYME5GRDFkN2hTZkIya0UzZUpINTllSDI4dk5YR0hRbVVGZzBjWnN1dzA3eEdudUV1TWpSVDYyUzNxemVkX2VKS3NKalVySWVvZw?oc=5" TargetMode="External"/><Relationship Id="rId1241" Type="http://schemas.openxmlformats.org/officeDocument/2006/relationships/hyperlink" Target="https://news.google.com/rss/articles/CBMiZkFVX3lxTE8tUlVYMFlXT211T051VVBrT2FEU29WNUViRXRRcFF3YThGbVY4djJyZVNjazM4eFlGVlc1dmp5YUh3NVM1cFpnd08yOXdSODVOb1dadV9pQmhLT0pyTHd6bEpmY3JGQQ?oc=5" TargetMode="External"/><Relationship Id="rId1242" Type="http://schemas.openxmlformats.org/officeDocument/2006/relationships/hyperlink" Target="https://news.google.com/rss/articles/CBMiZkFVX3lxTE5WcktJZXd4bjByLUtJRmVMbGVJRG51ck1Pcm5WRGdEQ3FEZ25zRHJ3NllmdmVXc1QxQ1NFV1Jtel9ZS0IxejYyMnQzSzBUTWJlbk4xSVpXYjZzVTBEV0NqdnVxQUVHZw?oc=5" TargetMode="External"/><Relationship Id="rId1243" Type="http://schemas.openxmlformats.org/officeDocument/2006/relationships/hyperlink" Target="https://news.google.com/rss/articles/CBMi0wFBVV95cUxObF92RDZ4ajlOekVVN3RtVTR1R2dqM1YxLTV6dkZHNTlVUkgxb0RJdGIyc1pQRXJsTDFocWFNT3h0TllNcDNwUWRXZHIzMUJfN1ZWcFFUNDg1TVNjRWNPYnNUY1Z4Yjc2dTVHS1NsbHRLeENSblVfclpNcm5NY0haanBTbkdrTVBFZ2F4TEk5VFdKTkNxU19GUE1Zc1JCUE" TargetMode="External"/><Relationship Id="rId1244" Type="http://schemas.openxmlformats.org/officeDocument/2006/relationships/hyperlink" Target="https://news.google.com/rss/articles/CBMieEFVX3lxTE00clB5eWlUdWNGZmFuRWRpQjItR3A3VVNBUmU5ZmpWV3JwVzM4VldmRTA3d05aOEtTX25SQUpROXhlVHh2b1N1VkJ4a3AwaW40TjBVZWJ3bGgwTW1BV2piODFwTmJ3YmlqQ1BUa2RPY0xSMVBBWW0wTg?oc=5" TargetMode="External"/><Relationship Id="rId1245" Type="http://schemas.openxmlformats.org/officeDocument/2006/relationships/hyperlink" Target="https://news.google.com/rss/articles/CBMiZkFVX3lxTE5TMTB0VXZLMU5RM3h6QVBCSDBpUTdGYjlzaXNlZWRkOVhJVXdXUmhfLUlNSWd2SGhtckF5c1dhMXZLUVpwMWxKTnBYTzZQOUthRk92SU1pV0lzYjEwc1RTU2UyTXc0UQ?oc=5" TargetMode="External"/><Relationship Id="rId1246" Type="http://schemas.openxmlformats.org/officeDocument/2006/relationships/hyperlink" Target="https://news.google.com/rss/articles/CBMiZkFVX3lxTE1DNWFkYnR1QzdHU1lqZ0ZnQ1JJVEF5SzlUbjlZazR0ZFA4eVRmS1ptcTJoZjNFcFBPc2p3TllSR3dtWDJ5OEVkUWV1LWpLd0FTZGR0M09hdzBrYjJiSVZGZkVQSkYzZw?oc=5" TargetMode="External"/><Relationship Id="rId1247" Type="http://schemas.openxmlformats.org/officeDocument/2006/relationships/hyperlink" Target="https://news.google.com/rss/articles/CBMijgFBVV95cUxPdllZeGJTalRSMGNTX0NDUGRhdzdHWDVpZlNaMzJrNV95Q0x1T1VjRXZYZFZyUmdVTXZpVkJWYjdaWVRwam50ZkF0aU94UHR4dGdBR3BHbkZGTUdXdzNNRDJmSVRfaHhnZzVGaS1mbjVIRE5uazl0dDhDZjRVNGlnVnEwZ0IwbDZCaFVTdElB?oc=5" TargetMode="External"/><Relationship Id="rId1248" Type="http://schemas.openxmlformats.org/officeDocument/2006/relationships/hyperlink" Target="https://news.google.com/rss/articles/CBMiZkFVX3lxTFBPQ21FdlhzUnlET3RJQXBGdi1FT05kR3dFb21Wc2dodHB0WVVKMU5KTVB5alh0aENBUUdHalFxVFd3TkJNU25QR01uSlZWaHFuOTE3UF9YR2RRbEhEQVBBU1lpWHZrUQ?oc=5" TargetMode="External"/><Relationship Id="rId1249" Type="http://schemas.openxmlformats.org/officeDocument/2006/relationships/hyperlink" Target="https://news.google.com/rss/articles/CBMiigNBVV95cUxNbmdtQ1hja0ZTS1UyVmpRekJOSklyNkVGd3NHVEtxblVvV2ZEa1JaQWpraHJTYVppclFEN2ZaNWJoNjJSWlNVOVNvQzdQdm9ySTctdEJfdTNsWUVSR3dhRGRFZXBsb0lLX04yZC1yVmtIdWJDYmJJbmxTT1A1YzlMbU84OUZ4ZzZsX1k5anpPc3RkZGxRcFNidHNNdm15c0" TargetMode="External"/><Relationship Id="rId1250" Type="http://schemas.openxmlformats.org/officeDocument/2006/relationships/hyperlink" Target="https://news.google.com/rss/articles/CBMiwgFBVV95cUxNV1RfYU1GdmtkTzBOQVVhSmlVMTVmUDlmUTRqWXdEVl9aa0MtVFNPYXBvbzhqNmRmcnJNb2Z3Nko0VTRubVpTVjBXYnZCUUtGTTVCNENPLXRmUnY0YzRrUzF6MVVlVi1EWlZKWEQ2VlVqN0ltWEVOS05PU2VXY3pKXzZzNWlCQkoxR2pzTVhSdEU1Rk9UbUx1WHNHa2RDek" TargetMode="External"/><Relationship Id="rId1251" Type="http://schemas.openxmlformats.org/officeDocument/2006/relationships/hyperlink" Target="https://news.google.com/rss/articles/CBMixgFBVV95cUxPaGN3RC1wOGx6R3FkcDhKU0RKejM3YWJOMHFkZmpwa0dQR2JmVDF4THFqYWgyUkpYNVRQVjd2WTBmZjNJTlF1RFN4MHpxeXdBenNFVmlwTFBMQW9keW5UdXZQbHF5SWtxMVh4cWxDZmJRX3VjMm52ckc2SkpRYV96eURVb0pYS1dualZpdFFRaG50MWFqT2NFOHh5aC1sSW" TargetMode="External"/><Relationship Id="rId1252" Type="http://schemas.openxmlformats.org/officeDocument/2006/relationships/hyperlink" Target="https://news.google.com/rss/articles/CBMiZkFVX3lxTFA3RGp4NG16MmdfWWRPeEJWekdfUF9rbkx6ZldEcks1Q2FLaFZubk13NXBqYm0wSTF1TGQ3cThhZTV0MGd6azRSSUJNUkppbTFQVlpYRGFOMFdGTGJlNmh4ZzBPTldUdw?oc=5" TargetMode="External"/><Relationship Id="rId1253" Type="http://schemas.openxmlformats.org/officeDocument/2006/relationships/hyperlink" Target="https://news.google.com/rss/articles/CBMiswFBVV95cUxNcFVxbUZyZUZsNHFfSThXS2R1UXMzQ0pyd092cDRPRkhWNmladm5feU0zalA1TDlMLXZXUjMzaTF5SERGUzVKYVFpQXcwOEFzYjA0NU0wdUU5MjloMkoxWTdCdVpEVlNVSTEzSGVtV3VmMlZyanJZOXB5NzE1dGk1ZVVRYURsMjh2UjhkbDdfWlJaTVhubklqZ21GVGg1ck" TargetMode="External"/><Relationship Id="rId1254" Type="http://schemas.openxmlformats.org/officeDocument/2006/relationships/hyperlink" Target="https://news.google.com/rss/articles/CBMiZkFVX3lxTFAyclAxcXBRT0c5VENWN0kzM2dMaVZ2S05LdTh1MDVMWUR2MEtKUTlnUHFHU2xmMGt0TGZuLXdtOHUxbG5aUGk4NHc3UVd0eXZlN1pqQThIdjZZUURrbDUzWUl3eDNpUQ?oc=5" TargetMode="External"/><Relationship Id="rId1255" Type="http://schemas.openxmlformats.org/officeDocument/2006/relationships/hyperlink" Target="https://news.google.com/rss/articles/CBMiZkFVX3lxTFB0WWZHZE01d21RU2ZXTXZlbk5BR3BhdUJhbGUwZ0swTG5idUc0WEZIbW5odGlFQVVPdTQ3OG1LV2hzLU1jQ1kxTHQycXVIMTFiWm54RHF0bU12NHFRbWpFR0UtS0NTdw?oc=5" TargetMode="External"/><Relationship Id="rId1256" Type="http://schemas.openxmlformats.org/officeDocument/2006/relationships/hyperlink" Target="https://news.google.com/rss/articles/CBMiZkFVX3lxTE04R2llcDRPVzZtd3I2cnVWaEMweng0R1RmZmVrOXhjWE5JaXlxak5uUENQQV9meXdsTEE3S1FOSEE0VER4LUROUFpLZF93NVZGWnpjZ2d1b1Zpc2xUNXRBbkZCb0dUQQ?oc=5" TargetMode="External"/><Relationship Id="rId1257" Type="http://schemas.openxmlformats.org/officeDocument/2006/relationships/hyperlink" Target="https://news.google.com/rss/articles/CBMiZkFVX3lxTE80LWRQM3lvdkJiWDR5cXRfRkJnY1czLWdUUGVBdFI5Q2FhcTdTNWktbkJsV2ZPRERMWDB2R2dicXJndHFhbjlOY1lMdkg5dElmNWhwTmVKYk9Ybi1tWG16MTBhc00zZw?oc=5" TargetMode="External"/><Relationship Id="rId1258" Type="http://schemas.openxmlformats.org/officeDocument/2006/relationships/hyperlink" Target="https://news.google.com/rss/articles/CBMidkFVX3lxTFBxRGYxVUxZR290TkRxQzlfU1ZQdTdvZGJDYkh4T29iS0VWa3UwWElqWmtQQ0RubU9zaXFkbm9faWtzd1FXMmNMQVd6VnBCVi01bTZaM3dHWERCelNCbnVTNS1TelpmejJCVXVkQnRuX1RUNTk0ZFE?oc=5" TargetMode="External"/><Relationship Id="rId1259" Type="http://schemas.openxmlformats.org/officeDocument/2006/relationships/hyperlink" Target="https://news.google.com/rss/articles/CBMiUkFVX3lxTE8zMG1wX2dRdnd4cjgwU2R3dklRZUh6UnlUa2tXMlhIWWZIQ3lMWVdvVlNta3pETFFpbkNfczN0cnJWaWtqS0JwaDhzZkE4RnBNMXc?oc=5" TargetMode="External"/><Relationship Id="rId1260" Type="http://schemas.openxmlformats.org/officeDocument/2006/relationships/hyperlink" Target="https://news.google.com/rss/articles/CBMiuwFBVV95cUxQRHJRcmtJVERTN3BKWVpqM3lBQnJtaVItMDhXQlc1bVllMkhuUUQ2X293X0dSWXFuLTNZbGkyYWk4Z2txN2cwN0NLQkU2bWRoVl9TRHYxOFRDenhnRWRMRnktUnRLb3RxMzFTbVN2TmVsMWxTcDZaRkJaa3ZYT3dxdTFRQTY1THBwbHdYQlNtbTg4aG9FcHRibVFTWEtqWF" TargetMode="External"/><Relationship Id="rId1261" Type="http://schemas.openxmlformats.org/officeDocument/2006/relationships/hyperlink" Target="https://news.google.com/rss/articles/CBMiYEFVX3lxTE5PaTZTdFcteDZ5b2NoZldWbnFLak90NC1xek12c0lMVUlGWkl1NUJ5QU5FMGVGZWVRdjRyRENFb2ZaUi1oUXZTam9jZjJOekJJcmtzTkpLZWQ2cDdOME4tdQ?oc=5" TargetMode="External"/><Relationship Id="rId1262" Type="http://schemas.openxmlformats.org/officeDocument/2006/relationships/hyperlink" Target="https://news.google.com/rss/articles/CBMiZkFVX3lxTE56emVyNjlJYW5LeDBjOTVqTzVoeGJ6R3RLXy1Ob2JBVlM2T1QtNkxQbkZhWDVOQXFZMy04cTcwOVMwOFpTanNWaml2RVFwLXRPNWdkbFdXaEdtS2s1TUcxckJ3bzE0dw?oc=5" TargetMode="External"/><Relationship Id="rId1263" Type="http://schemas.openxmlformats.org/officeDocument/2006/relationships/hyperlink" Target="https://news.google.com/rss/articles/CBMiYEFVX3lxTFBDSjl2SXRxbXFDemRFSDdKdWV5RVlRUHhvVEhyd0tmTmloUUNEWEdHQzZGeFBNVU0wbzNhN01DRF9ZcFFZMzgyZ2xkMXdKNmVXUTlxbGtCRDltd1Q2LUhSNQ?oc=5" TargetMode="External"/><Relationship Id="rId1264" Type="http://schemas.openxmlformats.org/officeDocument/2006/relationships/hyperlink" Target="https://news.google.com/rss/articles/CBMiZEFVX3lxTE5mLTlueExlVTZMaUNRdDdWYk83NXZBRERuREtjOW14REp0U3VURzhJbWF4d0xzYkZXRlgtZ292TW1OVmxDSWhGVTNEbE9HVVhMUkNCMk9XTDhwanZuOTFOemZ0WlM?oc=5" TargetMode="External"/><Relationship Id="rId1265" Type="http://schemas.openxmlformats.org/officeDocument/2006/relationships/hyperlink" Target="https://news.google.com/rss/articles/CBMiZkFVX3lxTE5JcUpxamZlSFh3NFZEMkJmWTBLT1JKeGY3aGNtRjN2Y3k2c21tYlVRUnhpSS04aVExd1F2SGxRSUxxV0JpcG45RDQtelFGUjlVRFg0RHA5N2FfNFc1TFBMcFIyeGRjUQ?oc=5" TargetMode="External"/><Relationship Id="rId1266" Type="http://schemas.openxmlformats.org/officeDocument/2006/relationships/hyperlink" Target="https://news.google.com/rss/articles/CBMiqAFBVV95cUxNZE5Sbnc4d1F2NHhBZjJZMVhLUW5QUnc0TGVpM2xZWG42V3h6ajNmWlFhSk9XRnlLTjRiaXhWS0U2VkR1WDQydTVQS2hCblRhRWdiUG1vbzRoTmRuVnh0SU9RUlRDQ3F1Z21LRkJlUTl3OS1KVjZtS1F4ekN5dkJLbERxLTVVWFpRSXEzYlF1YmVKZWN2MkVfWC1HbGFTSE" TargetMode="External"/><Relationship Id="rId1267" Type="http://schemas.openxmlformats.org/officeDocument/2006/relationships/hyperlink" Target="https://news.google.com/rss/articles/CBMiZEFVX3lxTE4xYjFOR0sxRkF1WE5rRUxMZGIwNm1iczNFOHhGVDJndVBDLWUzNU1JT1F0dWdBamVqT1R1VVcxNmlaeHRDcEpJNzY4dWJoeWc1SHRfSkFjd2hiUTBxYjFqaXhZUmI?oc=5" TargetMode="External"/><Relationship Id="rId1268" Type="http://schemas.openxmlformats.org/officeDocument/2006/relationships/hyperlink" Target="https://news.google.com/rss/articles/CBMigAFBVV95cUxPQXgzR0RWeE5ndkNMU2ZFd083VTQ2T3lsRDg0Vm4zRFVjN0pjMjRmdUF3UVNZeEVLaFZMYmtVYjdDdm9vX1prdWJkUkpaM1ZxT2Y2M1FsTE9IdWU5QXJ6WE10TkJRWnpsZjJScXdKVGdHa0NXR2NGV1dCM2tmeHpXNA?oc=5" TargetMode="External"/><Relationship Id="rId1269" Type="http://schemas.openxmlformats.org/officeDocument/2006/relationships/hyperlink" Target="https://news.google.com/rss/articles/CBMieEFVX3lxTE05TnhzR3NWOGl6WUFLcWNpQ3ItdXN0dzhMZEVoNlZMN251M3pPUnhiVzB5eXZXdFRGYkdpaWxkenJ4T3VkblFQd3VxblRkMWFBQVVyWXR0NjNyZnM2Z1dNdWYyU09wQXJycDRtVkRTaDhzWXRESXFQNQ?oc=5" TargetMode="External"/><Relationship Id="rId1270" Type="http://schemas.openxmlformats.org/officeDocument/2006/relationships/hyperlink" Target="https://news.google.com/rss/articles/CBMiZEFVX3lxTFB2ZXRKX0JaMFYyT0xCVXhUeDkxYWZnQmM1N0Myak9hd1RGYUo0ZUNZaDZzd3N2ZU9Pb1Z4WlZNckt4dE1YY0VUc2Z5QjBvSUtVS2pHZWpxSXNQTHo2SmstdnRZVGY?oc=5" TargetMode="External"/><Relationship Id="rId1271" Type="http://schemas.openxmlformats.org/officeDocument/2006/relationships/hyperlink" Target="https://news.google.com/rss/articles/CBMiZkFVX3lxTFBSUG4xWjM1Ql9qamRvaUFTTllubnFoQkNxS2kwQXduaGVNR2lPTGp1ZUlJbDlTYVRNQ0liRGlVMjhNUzdCUmZEVzZISUdhMTNvQk44Vk9QX3pxRWw0b21XT2R0UGpWdw?oc=5" TargetMode="External"/><Relationship Id="rId1272" Type="http://schemas.openxmlformats.org/officeDocument/2006/relationships/hyperlink" Target="https://news.google.com/rss/articles/CBMia0FVX3lxTE5hbHVkUGpEQU80MHdBUEtoUGJFaTMyNjk1UjhzNE51aEhTNmQ3NUd0a3FhWUxfMmJ5OUxXNGlIWDdFZ3BvczJQUWVfc0kxbk53WnkwaHdzQ1ZLV2c5Q2tKUUctZVJPcXROYlVj?oc=5" TargetMode="External"/><Relationship Id="rId1273" Type="http://schemas.openxmlformats.org/officeDocument/2006/relationships/hyperlink" Target="https://news.google.com/rss/articles/CBMilwFBVV95cUxNUi1MREE0X2pWeEg3R3pvMmJ0TFQzNWRkUHJpQU1DbWhrMi1uZmdsb2F0bVhEYVh1SWIzMXJ4QlhyWWxxU2xLX2s2OHVVd1Zka2w1MDlLdXRlMzdUaGJYdmtFLVZfODRVZnBmM2tsQjRLSjdoTjZvM1JxaHFiQlhCeGdYWlNyWDJFNk1NUjVpbUprWEh5Ni1J?oc=5" TargetMode="External"/><Relationship Id="rId1274" Type="http://schemas.openxmlformats.org/officeDocument/2006/relationships/hyperlink" Target="https://news.google.com/rss/articles/CBMixgFBVV95cUxNX3c0UlA2RHBZYi1BdWdxbGpfb1cxMi1hRjlaSklMSzZYZ0ZlRG94QjRIN3Z3ZkNTRG5fZTliczN6dVBCc0hxUlFrdTBJYnVvNUtYQ3NHUXRka1dXLWQ1UDlUVk9BTnUxTzIwSG83eUFFNXZPTDlNNmlEQ1ByaG5WRm1hX0Nta040ekdWWmt0TmRNQ1lOSUR6S2FhM0l5NU" TargetMode="External"/><Relationship Id="rId1275" Type="http://schemas.openxmlformats.org/officeDocument/2006/relationships/hyperlink" Target="https://news.google.com/rss/articles/CBMiZkFVX3lxTFBGUzFXX2hPbUtOX2hoeHl3Z1FZU0trNXVCMVM2dEdXSWN6YjA1LVo1dmxGZFVTcXFVb1NoMTBlc2ltX0NwMVZpZFBFbGJkVHhnMFZpbHJTcUdGVF92TXpFVmtkWHEzUQ?oc=5" TargetMode="External"/><Relationship Id="rId1276" Type="http://schemas.openxmlformats.org/officeDocument/2006/relationships/hyperlink" Target="https://news.google.com/rss/articles/CBMiZkFVX3lxTE85UXMwS3ZUNjBXdGJjbnBia09vTFdac1JDTTRzZG5BWGhneG9od1A5SEtnejJCdTdCSlRncXlhb3FxZEdWclpzMTVaSWxVa1FMT0p1bXJHMjRzM29Kc2pVdUVwUXFvQQ?oc=5" TargetMode="External"/><Relationship Id="rId1277" Type="http://schemas.openxmlformats.org/officeDocument/2006/relationships/hyperlink" Target="https://news.google.com/rss/articles/CBMiUEFVX3lxTE1BbUI2ZGhlYnpJTnEtNWpqMEtYdDFwQ2puZHRMckJyZWJTVnhla3ZPaEpKMGhBTGoySUt2SlRyV05hcldUTVRJLUdlYS0tckVL?oc=5" TargetMode="External"/><Relationship Id="rId1278" Type="http://schemas.openxmlformats.org/officeDocument/2006/relationships/hyperlink" Target="https://news.google.com/rss/articles/CBMiZEFVX3lxTFBtbnBneGNrbDdrNExqX2J2eXVCOFVyZng2cy1QME11VzhDQ0l4azZKRWpqaHFOaDRlOVpQeTVoaThiSnIxTXRkOXpSS2tsRVN1d2dOYlNwSDhZVVg0dzQtV0d1MGk?oc=5" TargetMode="External"/><Relationship Id="rId1279" Type="http://schemas.openxmlformats.org/officeDocument/2006/relationships/hyperlink" Target="https://news.google.com/rss/articles/CBMiUEFVX3lxTE5SRUZrUzY0dDVpVFpsYmV6ak9QXzJpMjU0QmtpOEtNOFFNbkdfSWUxdlYtY3htRDBiRzg5RkNIV0dpcU9vUE1PaDk0RGxQTFZs?oc=5" TargetMode="External"/><Relationship Id="rId1280" Type="http://schemas.openxmlformats.org/officeDocument/2006/relationships/hyperlink" Target="https://news.google.com/rss/articles/CBMingFBVV95cUxQemE5R1pUWXdUUk1jeW5MdG91dFVYOUpNS1gwUWU0WDVyMjNzb0JGRWphZ3YxNmthN1pIb2ZNSnpnUW51Y3dKQlB4Q0lrQnV2Z3lyMUFXcHRsTE0wWF9hRUxEME9fUXJ3Z0ZnejRDSkhiNDBHTGUtclc2cHV1QXZ6ZW91aXNRMTEyNUg2SklwcUVTTWhjSzdUaEpFb3owZ9" TargetMode="External"/><Relationship Id="rId1281" Type="http://schemas.openxmlformats.org/officeDocument/2006/relationships/hyperlink" Target="https://news.google.com/rss/articles/CBMid0FVX3lxTE9kTzhSNnF0SV9oYWk0c3dsdWw5ZXN3Z0E3R0hBeHNOQUx3R2hKaldUVDNwVmZERmFGY1N1MzBpZFQxWWFpb1pXODNrbVZkaUxuY2pUb04yRVFwaHhvNUxZLXBVZTZWSlg0Mm5iaElMY1B0S0ZBQUk0?oc=5" TargetMode="External"/><Relationship Id="rId1282" Type="http://schemas.openxmlformats.org/officeDocument/2006/relationships/hyperlink" Target="https://news.google.com/rss/articles/CBMi2wFBVV95cUxNemtNTmFPTktYWndQVDZvbng3bFRIekF5U0ltdGRNZ2hLYVlxX1V3M05hRUYyblI2bTVtSllPd2hEcnRjeW5DQnRRZjRWaWFIeHBucmR2TXlJRklHcndBZE9pUzcyd2owWGUxM2xoZFNzdHN6bVlSeVJHNUFldklwdEZXUU1nNUVqRDYzTTVWT1EwbldJMDMyUDltWktELU" TargetMode="External"/><Relationship Id="rId1283" Type="http://schemas.openxmlformats.org/officeDocument/2006/relationships/hyperlink" Target="https://news.google.com/rss/articles/CBMivgFBVV95cUxPdmVYa1lxMFhvUVNhc1NqRkFjWnRPRm1wblRldkJDOUhBTndJTWd5QzlXSFNZOXJEbXhnM3JLd2ctYkxsaExPdmk4VDdud3Z1Y0pMU21Ra29SX0dYM08xb3VOOUYwZjNMNTFzM0p4SU5LMWJJYV84WUJOZFJiT3RmN0FMMUxCVXN1eW5mTjNpQ2IwV3dVTjEtdTh6S1RuQm" TargetMode="External"/><Relationship Id="rId1284" Type="http://schemas.openxmlformats.org/officeDocument/2006/relationships/hyperlink" Target="https://news.google.com/rss/articles/CBMiZkFVX3lxTE95YUpxUjcyUjktalNnMVR1Qk9kSGZlVUNreTVXTmFabUdjYkN3LVZkVlRhYlpweGZNc2MwTWJYczNEaEVUZTE5bWlrdWZ4aGpGei1VMGJ0aHNSVDU5U2RhSmNFVjJ6QQ?oc=5" TargetMode="External"/><Relationship Id="rId1285" Type="http://schemas.openxmlformats.org/officeDocument/2006/relationships/hyperlink" Target="https://news.google.com/rss/articles/CBMiZkFVX3lxTE9JdC1rWHBpbVdHRjNZY2p1SlFxdHFjS3YtVk1wbWo2WXg4TzR0Q1pUT09NbVo3N1l2bHhQTVBuWEZJNmVsZjYwOUVvTkhyWE54RGxPLWxsaFV0aDBGYnpGTVlwNUxwUQ?oc=5" TargetMode="External"/><Relationship Id="rId1286" Type="http://schemas.openxmlformats.org/officeDocument/2006/relationships/hyperlink" Target="https://news.google.com/rss/articles/CBMiZEFVX3lxTE90SFZsdWo5aXJXNVhubWtKMkJEYTFaY0JQNmk3Q1E4Z2dicjNNcUIwSkxlRWxGZGNycHFvN2Y0dXE4YkFOY0JHV0Z6eUl6YXl5eXdSUnRaUXl0a3Jyc2JXaWJjQ2w?oc=5" TargetMode="External"/><Relationship Id="rId1287" Type="http://schemas.openxmlformats.org/officeDocument/2006/relationships/hyperlink" Target="https://news.google.com/rss/articles/CBMiZkFVX3lxTFBZWnprOUdGcDFPUHJCNzRBLUhlR3VzeWd6MkFuMXptYTNUNXRrdDhFekpsM0xGRWlFYW5xeHRNNzNRbWYyNWVuOENhYVVPUjJHbzMwNzlKZEFlSEFWaFVGa1NqNmJIdw?oc=5" TargetMode="External"/><Relationship Id="rId1288" Type="http://schemas.openxmlformats.org/officeDocument/2006/relationships/hyperlink" Target="https://news.google.com/rss/articles/CBMiT0FVX3lxTFBIcno5YThUUnFUVHZEbVlFMXQ2Mnd3cGJNcTAzWV9jZ1hROFpQUmtGU1JVbDNfQWtEQ0VpRGVyQ3NuRl9pSU01Q3JsVUVJcjg?oc=5" TargetMode="External"/><Relationship Id="rId1289" Type="http://schemas.openxmlformats.org/officeDocument/2006/relationships/hyperlink" Target="https://news.google.com/rss/articles/CBMiZEFVX3lxTFBZN1puZG1aN21yYVVaQjhRQ0R3TzFwaXlRZkhScmgwcGlpTENxVnpDby1kUnRRME0zMnV5Y2MtcGoxRGdxZ3g1c2k3b29OVFp0VmNIM2FfTG5PU1JVSTUxQXRsX0g?oc=5" TargetMode="External"/><Relationship Id="rId1290" Type="http://schemas.openxmlformats.org/officeDocument/2006/relationships/hyperlink" Target="https://news.google.com/rss/articles/CBMid0FVX3lxTE5WWlZkcHVVbzJyQWpIUW9ZeVFOS3AzZXJOczJ5MHFEN3NDdFlBNTNNMHVYVUNrVF9zdDhfeUtfN2t0Ui14cjgzekdST0RWV1hOOFFjSUdsYlp2Sno3UkVRMi1nVl9QbmtOdlBHUHZaMzY4SGpCRjJB?oc=5" TargetMode="External"/><Relationship Id="rId1291" Type="http://schemas.openxmlformats.org/officeDocument/2006/relationships/hyperlink" Target="https://news.google.com/rss/articles/CBMiZkFVX3lxTE1CRVJHMkdUVUppZ3FWVXY0V0NFT3FpajNBSFdINlE4d09Mdk1BTXcxc2NObVZjZWhhV3BCQ0tyTGxoc19hTUZrX29DMGZQTUNEblBMUzMzRWVlcUpmMUlHTkpPSV9Fdw?oc=5" TargetMode="External"/><Relationship Id="rId1292" Type="http://schemas.openxmlformats.org/officeDocument/2006/relationships/hyperlink" Target="https://news.google.com/rss/articles/CBMiZkFVX3lxTE1DSUhsZ2tjWlJMS2lBMk5HdWU1ZGZhYU5Ma1dGRml0R0lFazFLZ2FiYTlOd3IwSmR2bE9zWm94bllMWVUwb2JKMjZZY1R4aVRVT3VfUmtJWjVNSjlRaEJvSG5ETU5NQQ?oc=5" TargetMode="External"/><Relationship Id="rId1293" Type="http://schemas.openxmlformats.org/officeDocument/2006/relationships/hyperlink" Target="https://news.google.com/rss/articles/CBMioAFBVV95cUxQRGdscDJnazM5ZFFUN0lhSHZsZ0tJLU5UQU1naG9HWkR3VWZmODhCLUE1cUlWank4My1RZjNINGcxaW5GaGJueGlfeXdURUdqb0s5d3hDT0tWaXdaYllkaHItYWtKLXcyc1I4N0xvamtlOVlJQTVJYUFjN2RRUDVnVFdPUkFacW1tSGhsM0poV0pnUWF2ME5XVDZqXzBta2" TargetMode="External"/><Relationship Id="rId1294" Type="http://schemas.openxmlformats.org/officeDocument/2006/relationships/hyperlink" Target="https://news.google.com/rss/articles/CBMiZEFVX3lxTE5iSUtHbWd5NHl6MUNSNWhPTnFZX3ZhQzUtMHVnWEpCUkdWSG1rcUEyaUtldDNIWnpBTEtTQkp6Mm9CRFNBSUhVb1pUNGVLVlVjLUw5ZUdScDRha1gzSHdGUDNDcWo?oc=5" TargetMode="External"/><Relationship Id="rId1295" Type="http://schemas.openxmlformats.org/officeDocument/2006/relationships/hyperlink" Target="https://news.google.com/rss/articles/CBMiUEFVX3lxTE1OYVJaRkhFUUlNU1lRTHhNZUF3Q2JMN2k4ZUQ0aUVpa2V5b1Rxb3RJc1ZGblJ1dnI4YmRQSXB6RE1NbUNHakNXdVFBaXVkTTlh?oc=5" TargetMode="External"/><Relationship Id="rId1296" Type="http://schemas.openxmlformats.org/officeDocument/2006/relationships/hyperlink" Target="https://news.google.com/rss/articles/CBMiUEFVX3lxTE1BaVdlZ0p5S0xmUGNiTU1vbC1SbVpVRW5IWGRpRkhiY3AxUHpwc19FTk5wNW5hMjZlMlBwSGpfOUVxekJiZWY5aVRvRGNSb3RM?oc=5" TargetMode="External"/><Relationship Id="rId1297" Type="http://schemas.openxmlformats.org/officeDocument/2006/relationships/hyperlink" Target="https://news.google.com/rss/articles/CBMi4wFBVV95cUxQbEV6dXdzRzNMR0RWRFdpdHZaU3Z2amJMSEEtQWNCUzVTWG9pYjlXc3NvT1oyQmFFUllxcWpJMS1qa2tLWmRLd1Z0WmdNZndNRUxuQjdncGFqZkxYRzFvNWQ2NzE4NE8wRDdINjZOLW40S0JlYXFqZ19SSnB0aEpxa2dTb050SUVaUGs2MzUxUmtsakdMN21zazhsMk9ULX" TargetMode="External"/><Relationship Id="rId1298" Type="http://schemas.openxmlformats.org/officeDocument/2006/relationships/hyperlink" Target="https://news.google.com/rss/articles/CBMiX0FVX3lxTE5wX3dCbktGZC02YW5NVUQ4bUFFMVNxdXl4cDNyaWRPcFJ1OVEtVWR4MEFzdjROa29Qa3JlQTJ4VGlzdHFobzZsNlNEcFBHYnVNS1Q1LXFGUGpXbVBFNUs0?oc=5" TargetMode="External"/><Relationship Id="rId1299" Type="http://schemas.openxmlformats.org/officeDocument/2006/relationships/hyperlink" Target="https://news.google.com/rss/articles/CBMiZkFVX3lxTE5aVmtuckdRdEpVendsdmd1d2FiZUF0TUJCR2F3N1RyRmdiRm83anJyM3MyMmRPb3hLdWtjY0NCUlRqYWJ2SFJKVmtienNreGdZWTB2UEkyOF9rSjVGekxpNzFITnpNdw?oc=5" TargetMode="External"/><Relationship Id="rId1300" Type="http://schemas.openxmlformats.org/officeDocument/2006/relationships/hyperlink" Target="https://news.google.com/rss/articles/CBMiZkFVX3lxTE9sZHVuVjdqQmpnS3hXaVpmSHpqTVVfSDQyZ1ozOWxxZHlySi1YUm45dGt1RXBWUFQ5UXZyemt4c0pmalZRR3lYNFFscEFnUks5VnRzeFR3WEEtemYtbGhnSlVCa2R3Zw?oc=5" TargetMode="External"/><Relationship Id="rId1301" Type="http://schemas.openxmlformats.org/officeDocument/2006/relationships/hyperlink" Target="https://news.google.com/rss/articles/CBMiY0FVX3lxTFBaS3VHejNGajdadVV6M2xsQTNIMGxEdzlGZl9Pck1CT1Rud1Z6YURuMUYtdlhxVFZSMDdRRE1MdHVEVVp1TE82Y09WRlFORVdlNzI3bzdfSFphSU50bHlOODhVcw?oc=5" TargetMode="External"/><Relationship Id="rId1302" Type="http://schemas.openxmlformats.org/officeDocument/2006/relationships/hyperlink" Target="https://news.google.com/rss/articles/CBMiZkFVX3lxTE5SWExjRmFTSFRURHpyU2RvR0NYbC1CcnNwYWsydzU4djI3ZENYY2RySlhNY2VRY0FFWndLX3hzeDRBR1hEeGdNaXFZRVlPcWh0b1NmR2pDZWdFTXI1NzY1S0dWVi1Mdw?oc=5" TargetMode="External"/><Relationship Id="rId1303" Type="http://schemas.openxmlformats.org/officeDocument/2006/relationships/hyperlink" Target="https://news.google.com/rss/articles/CBMiZkFVX3lxTE1LREI1bzZLazBxdUpSbmNITWhRU21aNk5JeU1xaXItWERvT3Q4UGVtLVdNWHpJT0RUeGxfdzNaSUdGTDN1cHBFTThNWHFyT0E1Tk1RWXdEdWZuNGtzd1ZaNWRfT3l5QQ?oc=5" TargetMode="External"/><Relationship Id="rId1304" Type="http://schemas.openxmlformats.org/officeDocument/2006/relationships/hyperlink" Target="https://news.google.com/rss/articles/CBMiZkFVX3lxTFBQRjRjc3hVcnFzS1VLR0ZuN01vbnhtb0VVMzl2UDdaaHp2cDAzQzRGRHZFNGpPTS05VE01ZXlnT2RCcUItMzdreWlaU1ZRZGdfaWZCbERkbGhTbkRyNUFhXzFUX2RPQQ?oc=5" TargetMode="External"/><Relationship Id="rId1305" Type="http://schemas.openxmlformats.org/officeDocument/2006/relationships/hyperlink" Target="https://news.google.com/rss/articles/CBMieEFVX3lxTE5SRC1kanRUOFVCeEhXUW81dXlTcHBtRjE5SThhdkI2R0syanFjVlVjTmIyMEN6bWZ1aEdMbEpjM0pUQTh5U1VlSzJBeEZ2YXNNNWd2U01BbHlZbWthdVdmRzFvWk5MTTExZGRPZDhDbjljcVJSOVdsbg?oc=5" TargetMode="External"/><Relationship Id="rId1306" Type="http://schemas.openxmlformats.org/officeDocument/2006/relationships/hyperlink" Target="https://news.google.com/rss/articles/CBMidkFVX3lxTE1yTXNXZE5KRjFoVm1pT3ZlVDdKWkRSeE92SkVUOW50ZW5hWkd1blEwVXNVbUxCRXVtN29QMVNXOHgzb1RXOG9jT2REenJtNVBUXzMtYm4tZHdYNk05Rmg3NU8yYlFRTzludkNyN2JlNkFvUmpoMXc?oc=5" TargetMode="External"/><Relationship Id="rId1307" Type="http://schemas.openxmlformats.org/officeDocument/2006/relationships/hyperlink" Target="https://news.google.com/rss/articles/CBMifkFVX3lxTE9BRWZpSGFSQnllbzRNNmtfNVh4ckFSbjJLUWlVYkZGN3R1Skh1cDA5NUFtd0ItOTNMVWNLcUtqSWNBR29YZTQ3aXlaYnJ1elZGdmxPVHhLSUw0VUhjeWZ1YkJTdXg5X0FWM1BzT1N1WlFlX2NJOHhKQnMtSS11QQ?oc=5" TargetMode="External"/><Relationship Id="rId1308" Type="http://schemas.openxmlformats.org/officeDocument/2006/relationships/hyperlink" Target="https://news.google.com/rss/articles/CBMiZEFVX3lxTE0wZ2kwMmtVWkV1SlM3czdxUGtQamVld3l1MjdsblZTTTJHUnpZRkNwNkQyeWs1Unpsb1J3S0VJNWNJUjUzNDQzT3ZsR0ZyYnYxZ3hfb2hxMmlNcXlobXpoUEMwX3U?oc=5" TargetMode="External"/><Relationship Id="rId1309" Type="http://schemas.openxmlformats.org/officeDocument/2006/relationships/hyperlink" Target="https://news.google.com/rss/articles/CBMikwFBVV95cUxNQjU4NVZBUE53VUgwMk5mQlJ1YkVCR1JlUzZ4dGZPaVVBelkxR3o5SjVzdE0wczlEMjJtTWxENnFKMFJleGp6TEJ1MTJLWjdDRFAtc2hCTWFEY2RCbUNxT2xCSlFCSVZIMi14ZzgwZEoxNlBsMlBraG5LRm9hMW1YZzF0UXpncWZUaXhsc3NUcnoyLU0?oc=5" TargetMode="External"/><Relationship Id="rId1310" Type="http://schemas.openxmlformats.org/officeDocument/2006/relationships/hyperlink" Target="https://news.google.com/rss/articles/CBMiZkFVX3lxTE83VnJMb0I1RWJnbDM2aFVlRzRkSVhOOEltQTMyVWM5RkIwVFZLRndfQk1nb2ptbGl1ZnBPa3VTdk5kOFpUX3JGZ09wbldhakJXMXNzcU9OQV9ucm9BOFF3aEdEOVZqUQ?oc=5" TargetMode="External"/><Relationship Id="rId1311" Type="http://schemas.openxmlformats.org/officeDocument/2006/relationships/hyperlink" Target="https://news.google.com/rss/articles/CBMiYEFVX3lxTFBveHhxTUxxTkpGRm9CaWp1aUQtN2VMLUQ0b3p0ZnlXUldfZEtmQk1TR0JJZUNDd0xaeVlzbmJYbnRhTUs2UmhtZUxmUG9QYlhjMXhfamdsVHFXWk9CTXJSRQ?oc=5" TargetMode="External"/><Relationship Id="rId1312" Type="http://schemas.openxmlformats.org/officeDocument/2006/relationships/hyperlink" Target="https://news.google.com/rss/articles/CBMiZkFVX3lxTFA3R19ESVhGNUxFTnJON3pPTFlPcFhjSkJSQ196QXZYRmpLZFowNmQ2SzNMVkYxUXhOM2kwVkdTb25NcFpDcWgxOUZtUDlUUk95MHJRTmpWVmdGanRka18ydW1fbFd5dw?oc=5" TargetMode="External"/><Relationship Id="rId1313" Type="http://schemas.openxmlformats.org/officeDocument/2006/relationships/hyperlink" Target="https://news.google.com/rss/articles/CBMiVkFVX3lxTE5KcVhPVVhfdXBIV3NZSzhMSjNfdE1CM1pXeHQzWGtaZmtZd0RrT3hQbVk1ak5pYVdvcm9wak84SmhzdWh6T3FMTFc4NFB3WXlCVzZ6SzNn?oc=5" TargetMode="External"/><Relationship Id="rId1314" Type="http://schemas.openxmlformats.org/officeDocument/2006/relationships/hyperlink" Target="https://news.google.com/rss/articles/CBMic0FVX3lxTE1vQnVGXzhLeDBrQTlha0FUOHFUNUlmUWpSY1VlcW9kN1cwSDlQSlBRVGlLbkJpcFNyYnZnajRNSVRXLXBfdjRHbWFpaE5BVWZmTkhNUmN1U05FcWVST1VXSUVzQ2tGbklZM3d6d1BCYmRHZTg?oc=5" TargetMode="External"/><Relationship Id="rId1315" Type="http://schemas.openxmlformats.org/officeDocument/2006/relationships/hyperlink" Target="https://news.google.com/rss/articles/CBMiZkFVX3lxTE8xaEhRaDZES0FKcGhjb2xWSFdJUVA0cUJ0VVZBNHMtWXd3cDJETUxMMzVsM0x4QUlCZFROYmZ6ek1abEY3bDZPUjc0aTNQTDg0ZUxHeGR3SUVybGpVVGVXaVA4bjd4UQ?oc=5" TargetMode="External"/><Relationship Id="rId1316" Type="http://schemas.openxmlformats.org/officeDocument/2006/relationships/hyperlink" Target="https://news.google.com/rss/articles/CBMiZkFVX3lxTFBpbHFmWEVCdXVVLUpCZGhfNEJnbzF1TWZ6anV4SmtoVkN2NEttdWNONmFzTktHSE1IT2RQYkJlX2FPeUNveXJGZmp6ZjFvdW5BdlFjTFRjQkkxbHVrS2FvWUFTbloxUQ?oc=5" TargetMode="External"/><Relationship Id="rId1317" Type="http://schemas.openxmlformats.org/officeDocument/2006/relationships/hyperlink" Target="https://news.google.com/rss/articles/CBMingFBVV95cUxONi1kSkRTZzB3MVdxRzJwcXkyUkM5VEdnRFFGQVdrVkZkZmIzOFhQWXpzOFhhSS1YT21TLWdlbi1JWnJ1YVJ6dUxTS1JpWWc0UzgxeUhFcVo1eFY2UHJNc1EyOUxWUDJlemJhTk41UVNLQ2pNYkhGT0lCYk9JR3FPSjZXaFZkTlpITVpFVEZKT3FzYk9venh4MU1ZcXRCdw" TargetMode="External"/><Relationship Id="rId1318" Type="http://schemas.openxmlformats.org/officeDocument/2006/relationships/hyperlink" Target="https://news.google.com/rss/articles/CBMigAFBVV95cUxPNlk4YV9VTERBVXFaZWNBQldwTG51eHpZNEhzSmtKc1BibTRRRkM1NXViYjVETWE4R016dEhYT0RTdUNoZEw0dTNjNGZEWklPQ3RqeUFvaTZfZk9JWnVhZTdfd21RaGxMSXl6QjI3X2M3bklZc0VUZEVJRlJYYkE0RA?oc=5" TargetMode="External"/><Relationship Id="rId1319" Type="http://schemas.openxmlformats.org/officeDocument/2006/relationships/hyperlink" Target="https://news.google.com/rss/articles/CBMiZkFVX3lxTE9ETWtUcHVac1lYNkk2RWR4MDhjTkQ5dThlUU55dTFBMW1ka24wWVEwTGNjUHczOTRMeDRNeXR3SmVnbk5CN0htSkQ5cDB0MF9GQ2w2OFZ0STJfdXJlUVVkU0tVeDZYdw?oc=5" TargetMode="External"/><Relationship Id="rId1320" Type="http://schemas.openxmlformats.org/officeDocument/2006/relationships/hyperlink" Target="https://news.google.com/rss/articles/CBMiUEFVX3lxTE13dS1VaGZPby1ocExNalpvdG53V1MxMHBUd1NmRnplaXFqQllqa1ljcHIwUUlDQWVfdml1VUhtY195RGczdnJERnJ0ek40OVo2?oc=5" TargetMode="External"/><Relationship Id="rId1321" Type="http://schemas.openxmlformats.org/officeDocument/2006/relationships/hyperlink" Target="https://news.google.com/rss/articles/CBMiVEFVX3lxTE9kNVU2RVVCeXZkSDZkUjlINzBjb2o1cWhsczR1alZKMVRRemFkN1dISzhvMk9QNzBNVTJMUkpFOWx6WFpzbjA4QXRoV3pkckIxcGxvNA?oc=5" TargetMode="External"/><Relationship Id="rId1322" Type="http://schemas.openxmlformats.org/officeDocument/2006/relationships/hyperlink" Target="https://news.google.com/rss/articles/CBMieEFVX3lxTE9tQWVoaG5tblpqLVcxdkM4Y0pxZG1oN0ZtQUc4Um1MNHJ0X2ttdk5rdmY5cWN0QkhNVkc2QmpTU0VxWVI3QVRNYjUtZ3k5LVljUzgyQllUdjF4RGVOYTNQVTRDY0dNYXJ1ZFhvbHFQNzJJVVdRN1A2Tw?oc=5" TargetMode="External"/><Relationship Id="rId1323" Type="http://schemas.openxmlformats.org/officeDocument/2006/relationships/hyperlink" Target="https://news.google.com/rss/articles/CBMikAFBVV95cUxNT1hKUzIzYmpNQUNRS0NNNnpGcTFrRzhqYlBQb3FYdmxVT1dlenJhR2NlTTB3UHVaRm8zSWk5MTdNS2JUaTd6OEFZV1VhR1FRdUlOZ3BIcjNvOUFYcFNKVm85X3dneUdlWUp0eVRIY084UmpPNzRIU0JjYnUxYk9tNUUxcFRacHJKQzB6OFhaNTQ?oc=5" TargetMode="External"/><Relationship Id="rId1324" Type="http://schemas.openxmlformats.org/officeDocument/2006/relationships/hyperlink" Target="https://news.google.com/rss/articles/CBMiZEFVX3lxTE9mMVlpMFZyNkkwSjNqQ3RocDNKV3V5bzhXZVRVR09JYnFLV1RJYm05S0N5cmNabzNOdUxocGZiMjFoNVo3ZFhtb3hvUW94alcwUmxHQjZobDNqMGlRVWZCSHJCUUI?oc=5" TargetMode="External"/><Relationship Id="rId1325" Type="http://schemas.openxmlformats.org/officeDocument/2006/relationships/hyperlink" Target="https://news.google.com/rss/articles/CBMiiwFBVV95cUxOYVRNemdaWUFDSXpMR1RYcHFUQXpOQ2NXeE13UVhZQnlDa1NNSjgxT1JDeXJKYXdNcHo2bkFERWU3c0ZRQXR1amJtMXhiU1NBcE9BZThBZXhXTjFYdEUtX19HX0VMalIwUG5MZGtNZUlHQWRral9jSzZKQUpLZkhOX3Vra2M4TG1vSF9N?oc=5" TargetMode="External"/><Relationship Id="rId1326" Type="http://schemas.openxmlformats.org/officeDocument/2006/relationships/hyperlink" Target="https://news.google.com/rss/articles/CBMidEFVX3lxTE1GYXBuVmJnZTRieUQ4TTU1bTRQdnlSaFNfeEUtREpONm1CQjVSNGZ6N21rU3U1aVppcXhqSVN6dUtJLThoR0hQSDFNdkR1OHlfR3NVTE9QNk1zSEtrR05OdVoydDl3Y1dsbGhvSExwdEM2UFZw?oc=5" TargetMode="External"/><Relationship Id="rId1327" Type="http://schemas.openxmlformats.org/officeDocument/2006/relationships/hyperlink" Target="https://news.google.com/rss/articles/CBMiZkFVX3lxTE5PM3hDWGUzeHlfMzc5U2lkQWI3VEYtVWc4aC15TUdsSGdtRVpmLTRBSXEwSkF6NzFmX1VXZHQyZXR3QmlrZDBsSkwtV0RxLTh4RUVzUm1rRzREVzJJdmJ3dzRiUlplUQ?oc=5" TargetMode="External"/><Relationship Id="rId1328" Type="http://schemas.openxmlformats.org/officeDocument/2006/relationships/hyperlink" Target="https://news.google.com/rss/articles/CBMitwFBVV95cUxNbFVkenRoZlZ2STRBT09QWm92Q2NrcXp6anpBVDV3a00yX3lmSXFJTWlhRHRBLTE5ZGx0N3dTVmVScnphRnRXYXljeDg1d1VYZGE4UFBFeXYwOWswMzJxWFV3RTB6RjNKMVExamUtelZSVk91SDB3TGRTYjNwc0tBOVNETkxTV2ZXQlgzSHVzVGFESnRURThMdDcyQ01FVD" TargetMode="External"/><Relationship Id="rId1329" Type="http://schemas.openxmlformats.org/officeDocument/2006/relationships/hyperlink" Target="https://news.google.com/rss/articles/CBMipAFBVV95cUxOMTNrSW5fdUVzSkt6RWwzUVJGZm5xMEY5N01QX1lSajNjR1E4N0VGS216dEN5WkZUQVpKNmV1NUxGTGQ0UElwS1NNVUxrbXVzSXEzem4ySjNtWW9QQXd1OUlNVmJKbWFfQXJuRFFYS3ZhejRucG9YVlZzZ0tDUk5ucEZnQzd2V3hoNnB0eTF4d3BTQnYyVVB3S0xqVnlVVV" TargetMode="External"/><Relationship Id="rId1330" Type="http://schemas.openxmlformats.org/officeDocument/2006/relationships/hyperlink" Target="https://news.google.com/rss/articles/CBMidkFVX3lxTFBrLS1PU0Qwa2JKXy16UFlfemF1Z2VpcTRyWTc3U3FYd21uWkxGNGw0bGZwaHh6U0FZN1VUc0xqMWdHRVRtZmJENzlYTVJlZ01pR2Q1OXJYdDU0TG5fTk5kWGd5UEV6N2dldFI0S3pZcm1LOWlNN2c?oc=5" TargetMode="External"/><Relationship Id="rId1331" Type="http://schemas.openxmlformats.org/officeDocument/2006/relationships/hyperlink" Target="https://news.google.com/rss/articles/CBMiZ0FVX3lxTE82MkR1a3R6SWY4RTNXdXBZQ3dJQVQyWVF2Tm00bkpiejZRS3Zhb1dlNzhlemhrM3R1RDVzUXNZdjdRd1RXZ2JnLW5FZkgyZXdVaTBSRW5DUVA0NnpYUldLdG92bWpCa3c?oc=5" TargetMode="External"/><Relationship Id="rId1332" Type="http://schemas.openxmlformats.org/officeDocument/2006/relationships/hyperlink" Target="https://news.google.com/rss/articles/CBMi6AFBVV95cUxOWUxPLTYwaWs1enBSdV80UUdZc2Raa3FyUGZMOWNXUnVFWkgxRnNhYlVfUFd4ZzZwXzRfcHU2czk1QTJnQjJuUjFQbEMyQk9GdC1DemhaSXAxbVRNYkdYUXlNcHBDMHRZdjY4LUpQVlNuMXkwSmlaa0VXTUVsSEJGVzFPMjdyRThoRUJxemI5bkFPMGdVZUwzelI1R1Q1Nz" TargetMode="External"/><Relationship Id="rId1333" Type="http://schemas.openxmlformats.org/officeDocument/2006/relationships/hyperlink" Target="https://news.google.com/rss/articles/CBMiYEFVX3lxTE9WYVU4NkF2dmFPVE9ibm9BMF9iQmpDSV9ud0l5T0RaLVVlbExXTGFQalFwbEtjYlVETzNyM1VFc0ttSWhxNGtSTnhPMjQtdTJrdjdvTl9xZUk2MG1VSDVHeQ?oc=5" TargetMode="External"/><Relationship Id="rId1334" Type="http://schemas.openxmlformats.org/officeDocument/2006/relationships/hyperlink" Target="https://news.google.com/rss/articles/CBMiUEFVX3lxTFAzZnNaeXdzUVFhcm0yQ2ViMThjOUFYLW5VRExuQjBSUG1yUjV0YlJEdDFWTlItMzdZby1USmtGOUNxSjhJeE9HYkFGZ0JkUndZ?oc=5" TargetMode="External"/><Relationship Id="rId1335" Type="http://schemas.openxmlformats.org/officeDocument/2006/relationships/hyperlink" Target="https://news.google.com/rss/articles/CBMiZkFVX3lxTFBBd3lNcEY5WWFyNUFhREg0eFN4N1VmdHhjMEY4Mmh6dnY1M0E0REN2bnFuVkRyM1NlbXkxSTRJVmVVd25uOEpwc2JhU19nV1hBTTg5N3cyb3JTdTc0eU1JeEUyYXBsQQ?oc=5" TargetMode="External"/><Relationship Id="rId1336" Type="http://schemas.openxmlformats.org/officeDocument/2006/relationships/hyperlink" Target="https://news.google.com/rss/articles/CBMiUEFVX3lxTE1EM1UxTkNlY1lRaURWYnlxaWlMLWo4ZUxqU3BOdTlkZDBtbXpxT2gzM1JoSTU5eDVCWGE3NVZSVlE4ZnJpSmxyU2N0d2hSYnFJ?oc=5" TargetMode="External"/><Relationship Id="rId1337" Type="http://schemas.openxmlformats.org/officeDocument/2006/relationships/hyperlink" Target="https://news.google.com/rss/articles/CBMiZkFVX3lxTFBoQUdrRlQ4cXhtdFk1TEVHemNCZy1zQUN1M2tqTnBHdXNYbGMzbzBnSFVDNHR0WnVQLTBlWlVsb2o3RGppTWQ1Z3pJeUQtMVNiT3JMVkI1WnJxY3lIUUY4QllxbnpCQQ?oc=5" TargetMode="External"/><Relationship Id="rId1338" Type="http://schemas.openxmlformats.org/officeDocument/2006/relationships/hyperlink" Target="https://news.google.com/rss/articles/CBMiZkFVX3lxTFB6ajUwQVdmSXROTEhjMm1SQ1g3RmJzdG55a1pEWkp1MlFQMmRlaThMUzlsM1ZWNlBOT1hDTHRCdzlHcGVpd3Y5NHV5emxFbmkzRzlrX3l2OVB1S04xb2dQaHJFMUh2QQ?oc=5" TargetMode="External"/><Relationship Id="rId1339" Type="http://schemas.openxmlformats.org/officeDocument/2006/relationships/hyperlink" Target="https://news.google.com/rss/articles/CBMimwFBVV95cUxQYkVZR3d0Ykt1cG5KOE9laUxXc2txMDJWdHFGYWw1ZDZmVnllWGotLXFjM3dqNm9za0xtNUhFMnlzQTRWakZmV2pNY29BLTdUb3RmSFR0bWw5SDZBdlRIVF80ZFBqa2ZXSnkyZkdid09fcm1MQ1hqbk04bkJ1UzJqaTNJYzJGdHBJTlVKaFBYZEg5UGhfRmV4V3l5QQ?oc=" TargetMode="External"/><Relationship Id="rId1340" Type="http://schemas.openxmlformats.org/officeDocument/2006/relationships/hyperlink" Target="https://news.google.com/rss/articles/CBMiZEFVX3lxTE9YRnU3Y0ppZlM0WWRzOUhsTmF2VEdBODluOVZISENnSTZSNjBSel9DUE10OEVBYXlsSjg4bEJTM29DY2Jsc20tZmVJRGxGZFVBZzhmVWFnVFRXMm1Edm93UV9STWM?oc=5" TargetMode="External"/><Relationship Id="rId1341" Type="http://schemas.openxmlformats.org/officeDocument/2006/relationships/hyperlink" Target="https://news.google.com/rss/articles/CBMimwFBVV95cUxQYkVZR3d0Ykt1cG5KOE9laUxXc2txMDJWdHFGYWw1ZDZmVnllWGotLXFjM3dqNm9za0xtNUhFMnlzQTRWakZmV2pNY29BLTdUb3RmSFR0bWw5SDZBdlRIVF80ZFBqa2ZXSnkyZkdid09fcm1MQ1hqbk04bkJ1UzJqaTNJYzJGdHBJTlVKaFBYZEg5UGhfRmV4V3l5QQ?oc=" TargetMode="External"/><Relationship Id="rId1342" Type="http://schemas.openxmlformats.org/officeDocument/2006/relationships/hyperlink" Target="https://news.google.com/rss/articles/CBMimwFBVV95cUxQYkVZR3d0Ykt1cG5KOE9laUxXc2txMDJWdHFGYWw1ZDZmVnllWGotLXFjM3dqNm9za0xtNUhFMnlzQTRWakZmV2pNY29BLTdUb3RmSFR0bWw5SDZBdlRIVF80ZFBqa2ZXSnkyZkdid09fcm1MQ1hqbk04bkJ1UzJqaTNJYzJGdHBJTlVKaFBYZEg5UGhfRmV4V3l5QQ?oc=" TargetMode="External"/><Relationship Id="rId1343" Type="http://schemas.openxmlformats.org/officeDocument/2006/relationships/hyperlink" Target="https://news.google.com/rss/articles/CBMiV0FVX3lxTE15N1duaWVLQnI5NWVCTGVhVC1PcUdXMjJxXy10NHpDN1RHZTFQMGRXNWo5VHB1UTlKaTJTendLdG5WOEVucGtaV1huTk9sZVJqdGJTVnRLSQ?oc=5" TargetMode="External"/><Relationship Id="rId1344" Type="http://schemas.openxmlformats.org/officeDocument/2006/relationships/hyperlink" Target="https://news.google.com/rss/articles/CBMiZkFVX3lxTFA4cGZQQUZpOWdwZ0pkSmkzYkpSMUhaNWg4QVM0Q3oyM0VadnpYaWdkZVdZbVZid0VGUE1zanB1bndZUlhLODI3VlYxeDNZaTA0TUhKZWN2aTQ5NXRfcmJPQnVNdGx5UQ?oc=5" TargetMode="External"/><Relationship Id="rId1345" Type="http://schemas.openxmlformats.org/officeDocument/2006/relationships/hyperlink" Target="https://news.google.com/rss/articles/CBMiUEFVX3lxTE14ZUFGNHYtaUhNcEhfZFpTLVUwT0tHUUJwQngtVnNqYjN1UC16d29jaTZ4LVhoTFNiRnJKbVk0ZzBtMHA3WXJuNUtndnRxc241?oc=5" TargetMode="External"/><Relationship Id="rId1346" Type="http://schemas.openxmlformats.org/officeDocument/2006/relationships/hyperlink" Target="https://news.google.com/rss/articles/CBMiZkFVX3lxTE5HVzFrMnUtNFgtMHRjaGRqOHRrbEJ5cUtKVnhFYnJucFNySmxmcjRDZmxfaGVTb3VXaElkbzdjM0hMbVVSbXNsNEpXNGlMQWR0V3U1M054S0taSHI2dlhZd1hkVHpkdw?oc=5" TargetMode="External"/><Relationship Id="rId1347" Type="http://schemas.openxmlformats.org/officeDocument/2006/relationships/hyperlink" Target="https://news.google.com/rss/articles/CBMiZkFVX3lxTE1sVm1TdkYyenRhVFpNZnNubElpX0pVbHlwMUdUb0NjbWYzQ3l3VDkyVHNveGlrWDNXT3ZEVUxMVVh0TUZfdXYzcHFnbm5Gck1HbWwzTy1tS05xdjMxTVlUZ0J1aGU3QQ?oc=5" TargetMode="External"/><Relationship Id="rId1348" Type="http://schemas.openxmlformats.org/officeDocument/2006/relationships/hyperlink" Target="https://news.google.com/rss/articles/CBMimwFBVV95cUxQYkVZR3d0Ykt1cG5KOE9laUxXc2txMDJWdHFGYWw1ZDZmVnllWGotLXFjM3dqNm9za0xtNUhFMnlzQTRWakZmV2pNY29BLTdUb3RmSFR0bWw5SDZBdlRIVF80ZFBqa2ZXSnkyZkdid09fcm1MQ1hqbk04bkJ1UzJqaTNJYzJGdHBJTlVKaFBYZEg5UGhfRmV4V3l5QQ?oc=" TargetMode="External"/><Relationship Id="rId1349" Type="http://schemas.openxmlformats.org/officeDocument/2006/relationships/hyperlink" Target="https://news.google.com/rss/articles/CBMimwFBVV95cUxQYkVZR3d0Ykt1cG5KOE9laUxXc2txMDJWdHFGYWw1ZDZmVnllWGotLXFjM3dqNm9za0xtNUhFMnlzQTRWakZmV2pNY29BLTdUb3RmSFR0bWw5SDZBdlRIVF80ZFBqa2ZXSnkyZkdid09fcm1MQ1hqbk04bkJ1UzJqaTNJYzJGdHBJTlVKaFBYZEg5UGhfRmV4V3l5QQ?oc=" TargetMode="External"/><Relationship Id="rId1350" Type="http://schemas.openxmlformats.org/officeDocument/2006/relationships/hyperlink" Target="https://news.google.com/rss/articles/CBMimwFBVV95cUxQYkVZR3d0Ykt1cG5KOE9laUxXc2txMDJWdHFGYWw1ZDZmVnllWGotLXFjM3dqNm9za0xtNUhFMnlzQTRWakZmV2pNY29BLTdUb3RmSFR0bWw5SDZBdlRIVF80ZFBqa2ZXSnkyZkdid09fcm1MQ1hqbk04bkJ1UzJqaTNJYzJGdHBJTlVKaFBYZEg5UGhfRmV4V3l5QQ?oc=" TargetMode="External"/><Relationship Id="rId1351" Type="http://schemas.openxmlformats.org/officeDocument/2006/relationships/hyperlink" Target="https://news.google.com/rss/articles/CBMi4AFBVV95cUxNSWRCV3JJUGJLNkdwS1RXbmZYNVpHSUp6QzN0dlNnMmc0UUlqVlBGV3pidmEyRTFsOGpqZmtEbmNmbGlwOXN6NXdCd0tIcExGd0dURWtqNGVxZTdVTm9EbkJwaERBTzNSVzRsVzJ0RlpYbC1Zcll1SkpOb0ZSZXdWSzdRN1ZuTWdUZ2FIcnNBS1pNRHVIeEdIdW9fQ2F5eU" TargetMode="External"/><Relationship Id="rId1352" Type="http://schemas.openxmlformats.org/officeDocument/2006/relationships/hyperlink" Target="https://news.google.com/rss/articles/CBMiZEFVX3lxTFB2X0czREtNZDZ0eTcyR2JmeHN4cEMzTGFSaEdheG56V0RWakNqeWNuS0JmNnBxZjdSd3N4TTVWT1pWSlZOQmxFemV6ZjVnY2xjenlZNkN1M3pfT1ZQbWsyd0ZQX0o?oc=5" TargetMode="External"/><Relationship Id="rId1353" Type="http://schemas.openxmlformats.org/officeDocument/2006/relationships/hyperlink" Target="https://news.google.com/rss/articles/CBMiZkFVX3lxTFBpSVZpR0pOa1d1NnM0WG5Scm5DZTlyS0V6Q2VwU2s3aGlNNWtXSEcwRGVDOUZZZkMwcEIwWi1fd3VmY24tc0hsaC1nc1FPODhkOTFYRXk4VWNGOGktRzJJanllNHVCQQ?oc=5" TargetMode="External"/><Relationship Id="rId1354" Type="http://schemas.openxmlformats.org/officeDocument/2006/relationships/hyperlink" Target="https://news.google.com/rss/articles/CBMiUEFVX3lxTE9tTWhMelpUVDFmNVBBUDNWdDFjX3UwMnh4UlhhbHZtQV9QU0h0UWlLNkVHX0UwTHJQSlVaXzdWY3ZGOWRndXR1SmlMNjl2bHRr?oc=5" TargetMode="External"/><Relationship Id="rId1355" Type="http://schemas.openxmlformats.org/officeDocument/2006/relationships/hyperlink" Target="https://news.google.com/rss/articles/CBMiX0FVX3lxTE1nYUp1bDJPWTM4bjVfNTlxQmI1LXdaZEpiVE9mNUg4YXFnVUoyNHEtTlpGSEV1NTNUWjN5bGZ3bm10a1FSY2dhb2dqRGpZUERkZUp0SmNZVkE5ZU8tY2VV?oc=5" TargetMode="External"/><Relationship Id="rId1356" Type="http://schemas.openxmlformats.org/officeDocument/2006/relationships/hyperlink" Target="https://news.google.com/rss/articles/CBMizwFBVV95cUxONG9peEJTSVpmZEJvNEViQzA4TkNRLXdBRUVVQ3pIcGVoQlppbG9rYmZvb0d2MC1ibEtVc2t0Q1J6R2xXR0laQzhKaklLc3hLVWI5b1Rqai1ZYXhvU05PbTRVbjc5dldKcGhyZmxOSE5ZYmNlODhURDN2LXdtNTJxYl93aUxqZzJIRXFQWFozdzFqdEZ2aDhEWEZMc3JTbk" TargetMode="External"/><Relationship Id="rId1357" Type="http://schemas.openxmlformats.org/officeDocument/2006/relationships/hyperlink" Target="https://news.google.com/rss/articles/CBMiYEFVX3lxTE1MZ2FnQm1PWFpFbkRodnlvQmRrUV9uaXpveEdyX000NGFLb1hSUEpqRnhCYWVOaDFqTUNFaFFGaE5lb3dQcG15d3hOVE9ESGlQVVF2dE9nMHl3WDJtcEUxVw?oc=5" TargetMode="External"/><Relationship Id="rId1358" Type="http://schemas.openxmlformats.org/officeDocument/2006/relationships/hyperlink" Target="https://news.google.com/rss/articles/CBMiZEFVX3lxTE9zZUVuMkh0OEh6ek1nbjE2STAtX0hIeWlWeU1wWU40UWU3ZUJJR3RNdzN1RXkzTWR5MDNkcEJjTEJvSHR6MG9FUHRsYTdwdm5vSVFJQWpsNWs1Q2xBUnlIeVFQMjk?oc=5" TargetMode="External"/><Relationship Id="rId1359" Type="http://schemas.openxmlformats.org/officeDocument/2006/relationships/hyperlink" Target="https://news.google.com/rss/articles/CBMitgFBVV95cUxQS0wwcGFPRktTRDdjbGQ3VHV2VFRYNjVHS0djeUhMaDdDeUMyNkxOUThuMF9Ga3ZiMzVMLVhpWEhlSUpza3E2ZXlIU2h2QmtNeDlvNGZPT3kxNkZ1WXFqczBfTzFWZG10Ulg1SHVaVlRJVDB4VmlIT2JXQzRuZi01eHc5QWExeGdLT0QzUXplaDFaU25vZUltZVR6a1VvdW" TargetMode="External"/><Relationship Id="rId1360" Type="http://schemas.openxmlformats.org/officeDocument/2006/relationships/hyperlink" Target="https://news.google.com/rss/articles/CBMidEFVX3lxTE9mYndtU2tLSERGRmZ4WkYwMS1nZTZ2ODR5RDRVWjlGbUV6YXFDTlpOTEpFTl9yZWVETmVpYm5NTzVwY0p0SGphMHFVN1owMzhWSXNySVJ0VEVZTTZQeHlFMm83N3NpT01sN3hoWlJZX1ROWkM4?oc=5" TargetMode="External"/><Relationship Id="rId1361" Type="http://schemas.openxmlformats.org/officeDocument/2006/relationships/hyperlink" Target="https://news.google.com/rss/articles/CBMiZkFVX3lxTE9HY0llSTV4WHl2b3BsRkJOeDI2cDE3YUtRTWl5Y0pHTjlFLUpTYzcxY3plV2hPeEhCbXQyc0tka3pnd0t0anRIWnBBVXMxYVdjXzhUdjJ5M0dodWxBNGhJVXdEc2J2UQ?oc=5" TargetMode="External"/><Relationship Id="rId1362" Type="http://schemas.openxmlformats.org/officeDocument/2006/relationships/hyperlink" Target="https://news.google.com/rss/articles/CBMiYkFVX3lxTE96ZE1EVjd5eFl5RVRfXzhudi1SSWVoMy1qZVRKZUNrQUFSZFNsUFJZeXhhSE9vYnNxU19SV2F6dVdEY0NtYk1FXzJfellIa1M3MDlFOFpUYnpXSVQ2ZnQwTU5B?oc=5" TargetMode="External"/><Relationship Id="rId1363" Type="http://schemas.openxmlformats.org/officeDocument/2006/relationships/hyperlink" Target="https://news.google.com/rss/articles/CBMidkFVX3lxTE9PZFQ2aWMyOEE5cWZZcGppazQxTTBjTjdGNmZFYVRsRGJfd3NrZHNINEhSTld2Qm1fNWRlVGhlc05KRVV5UGYyaEphTWE5Zm1iUWZOQ0dBLW1vdGJnUnF4WmtwbXZmaENOSlEzNzdIWWVfa2t2UlE?oc=5" TargetMode="External"/><Relationship Id="rId1364" Type="http://schemas.openxmlformats.org/officeDocument/2006/relationships/hyperlink" Target="https://news.google.com/rss/articles/CBMiY0FVX3lxTE1kLWZ3d3VELUp5NUVDWkdRUGxlTDVuNW43aVUwdFhRekVfZEswX1RDUUpWWVlGTGNBV2NROHpxMXpMUnF1eDlTUkxZRVI4bmg3ZHVveUpIRFdmMlJXSWpaMjlQbw?oc=5" TargetMode="External"/><Relationship Id="rId1365" Type="http://schemas.openxmlformats.org/officeDocument/2006/relationships/hyperlink" Target="https://news.google.com/rss/articles/CBMi4gFBVV95cUxOZzFGVVlzNFNrOXR0cEVac1dScFkyUW1RcWZVYkN3a2xWQjdlajMtaVVJSk5TcmhvbXQwd2c4cTIxeHh2TFVSNmZGazRIM0l4bXR3R0FFV0ZsTzlPYzAyYi1QZUg5Z0JrTmVQaDVDZFl0cTRmWUhlZFg4SzRZbjA1ZHhaOFVuZ2Y5WUlOQU9KTzBkWGJhb19IaG0wUi1CN0" TargetMode="External"/><Relationship Id="rId1366" Type="http://schemas.openxmlformats.org/officeDocument/2006/relationships/hyperlink" Target="https://news.google.com/rss/articles/CBMiUEFVX3lxTE14ZUFGNHYtaUhNcEhfZFpTLVUwT0tHUUJwQngtVnNqYjN1UC16d29jaTZ4LVhoTFNiRnJKbVk0ZzBtMHA3WXJuNUtndnRxc241?oc=5" TargetMode="External"/><Relationship Id="rId1367" Type="http://schemas.openxmlformats.org/officeDocument/2006/relationships/hyperlink" Target="https://news.google.com/rss/articles/CBMinwFBVV95cUxNOTljZDNfV1djbDFvZXFEdFZGN19BbVcwbEdrVUp4TzlfMHR2dnhtR01aSjRnU2tUQ29JbGpqUGNoaF9DQ2g0ejJNLURiQ0xkMTlkbGlDMGN2QmVaUUpJNl9EN2E3N1Vvb3BEZUtiUFE4VGE0aDZRZ0JKOGRYSDh1Z3dGSDlTZWJUc0lST2tvMDV3YnlRaUlsNmd4QVEzZD" TargetMode="External"/><Relationship Id="rId1368" Type="http://schemas.openxmlformats.org/officeDocument/2006/relationships/hyperlink" Target="https://news.google.com/rss/articles/CBMiZEFVX3lxTE5MUVh5ejIwcy1PQmx0bF9DTWNoOFVCTHNvUlY3eEs4TTZmRjFkVm00YmM4Y2s4dkJWU3c3cjE0Z3V3OVNNdl9rRlJacDZUbWRCYjhzZXh4UmJadWp0ZFlnX01CNkc?oc=5" TargetMode="External"/><Relationship Id="rId1369" Type="http://schemas.openxmlformats.org/officeDocument/2006/relationships/hyperlink" Target="https://news.google.com/rss/articles/CBMic0FVX3lxTE4xWDV0QXlOTjBmdWVfRnozdWo4cktBNXZTY2UxeUpFbFJEc094QXBtQXBadXRDU1poQVBWMEFnVDd0MlRFWkF5MzVfQTNTM2FVbWFkRU1Kem5ra3dvRUhJRHc5SUpZbUR2dTl1V3BBYVhKY0E?oc=5" TargetMode="External"/><Relationship Id="rId1370" Type="http://schemas.openxmlformats.org/officeDocument/2006/relationships/hyperlink" Target="https://news.google.com/rss/articles/CBMisgFBVV95cUxPNVBXLWZlNkZIMHJwYnVIZU4tTG9RMjJkOGJ3OW1aRHpLTURsWFJjWld4T3NINEVVR1h0OHFpNlFwdU9WQURadWxQZjF2Z3RTaGgtNlRXdl9KbFpUczVDSUZUdU1nM2xnYU1iMWdNak5aRW5JamdpektHUXY3aDZCbWx3bDRUODd1TkhhTnljbnhwUllFbVBvQWE0dzMtaS" TargetMode="External"/><Relationship Id="rId1371" Type="http://schemas.openxmlformats.org/officeDocument/2006/relationships/hyperlink" Target="https://news.google.com/rss/articles/CBMiZkFVX3lxTE5PVk90N0Z6LTcwZzhpRF9DbkVoMWp5SzdpTGF4dWh3S1gxRjBVSUdMWEppN1dMRVh5eHdjVm80dUM0SGNXNHFBSTNvbE56WjF3RHFONHVkOENRTlFRMUlycTdjdUNEUQ?oc=5" TargetMode="External"/><Relationship Id="rId1372" Type="http://schemas.openxmlformats.org/officeDocument/2006/relationships/hyperlink" Target="https://news.google.com/rss/articles/CBMiZkFVX3lxTE1JaTNqUmd2MFBsQnBMNTVhbHJXWG5qMHNwbTZoQzVVZkhDRVpwMDJYY2dUWWFNRlhyV2dkVDBYWW5aclAtRE9YdVdsOHgwN1A3RURoSC1oWXNUczExb3IzTkoyX19RUQ?oc=5" TargetMode="External"/><Relationship Id="rId1373" Type="http://schemas.openxmlformats.org/officeDocument/2006/relationships/hyperlink" Target="https://news.google.com/rss/articles/CBMirwFBVV95cUxQODh6SVFrRG9GR1VIbGFidHNvNEVmVjVyNWZkTi0tT0RjSE9UTElJeEdzMng5S1N4cm1tVzF4NWx3T1hnSUdEUlNYNWlvbGQwUHFBZTVDWnNfUjJOSUwxSWFHdVhzbWNXYXlCWmZlZjhZTko0Vkw2S0hhMEx3eEY3ZS1rWThZbnZZYnhFMlZOMjRnTkVjUzctOTdydzkxaD" TargetMode="External"/><Relationship Id="rId1374" Type="http://schemas.openxmlformats.org/officeDocument/2006/relationships/hyperlink" Target="https://news.google.com/rss/articles/CBMirAFBVV95cUxNdG9Ja3RhS1ZBX0Fxc0xud1BWaGduNy10aGtmeW9JRTZ3WTFtQU56cUVISnpCdUJiMEY1VXZ2NWpXTG02eHNabU5DWEx2aDRQbENldGZTMDQzVkJiUjdFMDVIVU5GRHl5S2M4MFc0MW0xUFNXcHR4dGJDNTVLa3NMX0h2bFRHcmgwSlhVd1ZfNDJIckFNU09PVUx4VlpWMz" TargetMode="External"/><Relationship Id="rId1375" Type="http://schemas.openxmlformats.org/officeDocument/2006/relationships/hyperlink" Target="https://news.google.com/rss/articles/CBMidEFVX3lxTE1kemt5T1d6V2JHang0bkhtcWJ3YjdyajJWTnNEbVhpb0ttZmRoX2VxMUxpQXZyZkdDWHZkeUx0VTlXV29WSVplYlhyUTVBeERNYlc1a25xdURaUUswYXcyREs1bi1BUkVsc016dEdoX21hR09t?oc=5" TargetMode="External"/><Relationship Id="rId1376" Type="http://schemas.openxmlformats.org/officeDocument/2006/relationships/hyperlink" Target="https://news.google.com/rss/articles/CBMiVEFVX3lxTE11b19DWVByeFFVTldFeG1fWmMxRzVjYVpYQXIzZ2FOMUM5alY1RFN4UXZmcml3bU9RYUtnZ2RKbkpVdkN6aUpwVzZ2YTYzQWNLYTBrXw?oc=5" TargetMode="External"/><Relationship Id="rId1377" Type="http://schemas.openxmlformats.org/officeDocument/2006/relationships/hyperlink" Target="https://news.google.com/rss/articles/CBMic0FVX3lxTE5vZmNfZEJFZHQxUF9UWS1LZHp0RkxuTG1ESVdEdE9tUXdYSXBOLXRnRjBPMndDTk1weFY0TV96dFJ6MmdGemNWVVJJWFdDV3l0TlFvSzRGU1hwZmplQ1NQZlpNRTJnU2REV2JQWEFfVE15eHc?oc=5" TargetMode="External"/><Relationship Id="rId1378" Type="http://schemas.openxmlformats.org/officeDocument/2006/relationships/hyperlink" Target="https://news.google.com/rss/articles/CBMirwFBVV95cUxQODh6SVFrRG9GR1VIbGFidHNvNEVmVjVyNWZkTi0tT0RjSE9UTElJeEdzMng5S1N4cm1tVzF4NWx3T1hnSUdEUlNYNWlvbGQwUHFBZTVDWnNfUjJOSUwxSWFHdVhzbWNXYXlCWmZlZjhZTko0Vkw2S0hhMEx3eEY3ZS1rWThZbnZZYnhFMlZOMjRnTkVjUzctOTdydzkxaD" TargetMode="External"/><Relationship Id="rId1379" Type="http://schemas.openxmlformats.org/officeDocument/2006/relationships/hyperlink" Target="https://news.google.com/rss/articles/CBMiZkFVX3lxTFBsOWN2TlJSb3BRU1FaSDJ3X2NVWlVvT3lHRnlsZGlNd1hJM2kwT3dXOGQ0X3JQTnQ3S3lOVXRDaE1RWWszR2pEdjNoM3hyT0hPNlRmU2tRMGwyZ3VjRE1MN2sySlhTUQ?oc=5" TargetMode="External"/><Relationship Id="rId1380" Type="http://schemas.openxmlformats.org/officeDocument/2006/relationships/hyperlink" Target="https://news.google.com/rss/articles/CBMiUEFVX3lxTE1mRXluZFJYVktQeUJZdDhRcWdWMlhNbG82VkFudjNXVWJ2S0ZQZU56amJRX1c5M3F5Q01SaWYtSEZueFY5UTRUY3RpakFfdkI4?oc=5" TargetMode="External"/><Relationship Id="rId1381" Type="http://schemas.openxmlformats.org/officeDocument/2006/relationships/hyperlink" Target="https://news.google.com/rss/articles/CBMiVEFVX3lxTFAwTkhHWGNyZ0IweGlab0JaQnJKZ25lWWFQOTRiU2g5NHNhNWVlMmp3d0tXaUhhNXloUnZ1TVhnYU5GNnlrc3JtQWdYMVRocmlMb0dOWg?oc=5" TargetMode="External"/><Relationship Id="rId1382" Type="http://schemas.openxmlformats.org/officeDocument/2006/relationships/hyperlink" Target="https://news.google.com/rss/articles/CBMiZkFVX3lxTFBGZU9uZGphZkRvaUR6dzFMTE9XaXNWZkZ0TzdZWFhXd1pKU0lqSjZfRWkwMVVZbFZtbWNROHAxaXAzdFk5c3Q2RTBHQU5IenB0LUVSLUNUcUlPemR2Y3BpOGVxSWJoUQ?oc=5" TargetMode="External"/><Relationship Id="rId1383" Type="http://schemas.openxmlformats.org/officeDocument/2006/relationships/hyperlink" Target="https://news.google.com/rss/articles/CBMiY0FVX3lxTE1ERnhGdGNRcTZCbFNJS2h0ajNLZldIWGpMNlpBTUI1RUNDWHZ0UURGUnJtSlVrWU5KV3RJc2Q0MllnUGhnbkhuMFNjQjBBV2lFcVpzbzcxWS1DM3Qtel9mdXZTUQ?oc=5" TargetMode="External"/><Relationship Id="rId1384" Type="http://schemas.openxmlformats.org/officeDocument/2006/relationships/hyperlink" Target="https://news.google.com/rss/articles/CBMi7wFBVV95cUxPdVJnakRYa1hfT1gxUWFBNnUwcEdKUEhEV0tvMTh1YkNobGkzMWZhV0d0eFVIUVJ4MW00XzR1WmZ1TWdKS2dGQjRpVG1EWEd1TnE3MmVJQ3pYVlNjeGNnZUZ0THBhdjlKYm5HQ1RKbk5oNkFEci1HVjZnbXFIdURqc1RJa0h5YmlFeXpuM0NlTmVwTWhnQmNUc0FGX3p6c3" TargetMode="External"/><Relationship Id="rId1385" Type="http://schemas.openxmlformats.org/officeDocument/2006/relationships/hyperlink" Target="https://news.google.com/rss/articles/CBMi7wFBVV95cUxPdVJnakRYa1hfT1gxUWFBNnUwcEdKUEhEV0tvMTh1YkNobGkzMWZhV0d0eFVIUVJ4MW00XzR1WmZ1TWdKS2dGQjRpVG1EWEd1TnE3MmVJQ3pYVlNjeGNnZUZ0THBhdjlKYm5HQ1RKbk5oNkFEci1HVjZnbXFIdURqc1RJa0h5YmlFeXpuM0NlTmVwTWhnQmNUc0FGX3p6c3" TargetMode="External"/><Relationship Id="rId1386" Type="http://schemas.openxmlformats.org/officeDocument/2006/relationships/hyperlink" Target="https://news.google.com/rss/articles/CBMiUEFVX3lxTE1melFHYTJCLXBOci14Ynp4UHF0b2h4aEx3WEhLUWpRYk40ZWpiSHBrY2g0TGdYSERwR055ZlZwRW9HU3FZN3hSTzFQbzJoZGx1?oc=5" TargetMode="External"/><Relationship Id="rId1387" Type="http://schemas.openxmlformats.org/officeDocument/2006/relationships/hyperlink" Target="https://news.google.com/rss/articles/CBMiuAFBVV95cUxNd09vTG0wbTFuc05DVllUTGVXQms1Q1d3ZHlfVGx1eWtGMTB5RFdwMjJhMEhWeVpia1F0OEtUOTdoR24wYTQ2NWlJWTdYSTBGVTZ2M3lZRTRwcndIczFQZnAxUEhNcGgxOHh3bWZRemhscFl1U3V5WjI5bzduam1HV19iMTZVZ3BLY0dRM1FmcUF6ZkkxMFFBRmRYQjFxQk" TargetMode="External"/><Relationship Id="rId1388" Type="http://schemas.openxmlformats.org/officeDocument/2006/relationships/hyperlink" Target="https://news.google.com/rss/articles/CBMid0FVX3lxTE9IRTg2YzVkQmZUOHNTb2lrN0k3SFVGYWw1US1aTjVpZ2RQbHhEUEZCZnBmRFR6c24xZEJRTXF5T0gxVlliY2hqZjhWNUhlekR5T2toclFTZENDX1ZLMnJ5bkwxS0hoTWU0dzNiVzFza0JKRmxubFdR?oc=5" TargetMode="External"/><Relationship Id="rId1389" Type="http://schemas.openxmlformats.org/officeDocument/2006/relationships/hyperlink" Target="https://news.google.com/rss/articles/CBMiZkFVX3lxTFB2NUhkSFRIekNTdFAxNk5WQkhUdlRrWWtyM3A0SVdYMTdqNUVBRHJ3ay05WGl0UnhBN1BaTTZNR1JQaHlWVW9EdEtUbVd0OVdjWE1qakxmQ01jczFyaXUwSXZCb09vZw?oc=5" TargetMode="External"/><Relationship Id="rId1390" Type="http://schemas.openxmlformats.org/officeDocument/2006/relationships/hyperlink" Target="https://news.google.com/rss/articles/CBMiZkFVX3lxTE5LMHNZcTZ0RUx1NEZEdWphVzBiMXZmRGFuS1pqT0hRQ3BoNkFXZnI3RHVWdlhFdmcxbGh5bkw5VDFFc0hqakpnZDdkNkVBVTh6RDVsVHltSFJHVGkwSXBfWmJ2YkhKdw?oc=5" TargetMode="External"/><Relationship Id="rId1391" Type="http://schemas.openxmlformats.org/officeDocument/2006/relationships/hyperlink" Target="https://news.google.com/rss/articles/CBMiUEFVX3lxTE5DWmdkLU0tTksxWFM2OHNrUzhGZmtVekl1VnBZYnZ3NE9Pa0VTZGlhZ2pRN3pfNzhIdnh6bHM1QUU5ZjhoV05tVTJmS095MUxs?oc=5" TargetMode="External"/><Relationship Id="rId1392" Type="http://schemas.openxmlformats.org/officeDocument/2006/relationships/hyperlink" Target="https://news.google.com/rss/articles/CBMiZEFVX3lxTE5zMzFFODhLcUJNTldGVEs0Y0NfLU5TckNRNm5CUjVSYkRmaHVqMHlPUHZJZVo3M21iQk5DYnN3MjZ1Um1ocnFteHpjbV85amZCU3NDUkc0STNnWDlkWHZZWExodU4?oc=5" TargetMode="External"/><Relationship Id="rId1393" Type="http://schemas.openxmlformats.org/officeDocument/2006/relationships/hyperlink" Target="https://news.google.com/rss/articles/CBMiZkFVX3lxTE9MMlhiZWZ2ZjJrbnpUQkxvOU4xbjZXWWwxOUNtQkdDTVVHU1g5aE9NdUx1Z0N6SEpOZ1Z3aEhONllLNlZ4SDE0eGgtMnFVZ05KTWFYX3RVUVhmUVdWZUJnLXJTcnJMdw?oc=5" TargetMode="External"/><Relationship Id="rId1394" Type="http://schemas.openxmlformats.org/officeDocument/2006/relationships/hyperlink" Target="https://news.google.com/rss/articles/CBMiZkFVX3lxTE9pOHAyYjVqNmdqZEZqMVZKa1BPZndxdFYzdjVUc09OTTdfZHY2REM3a2FCWGVsSV9RcW1FS2xDLUU3YTB1Z0Z6MVpaazBxZXg1MXFTN0lBSklHOXM5SVpRRUlnZnZtUQ?oc=5" TargetMode="External"/><Relationship Id="rId1395" Type="http://schemas.openxmlformats.org/officeDocument/2006/relationships/hyperlink" Target="https://news.google.com/rss/articles/CBMirwFBVV95cUxQODh6SVFrRG9GR1VIbGFidHNvNEVmVjVyNWZkTi0tT0RjSE9UTElJeEdzMng5S1N4cm1tVzF4NWx3T1hnSUdEUlNYNWlvbGQwUHFBZTVDWnNfUjJOSUwxSWFHdVhzbWNXYXlCWmZlZjhZTko0Vkw2S0hhMEx3eEY3ZS1rWThZbnZZYnhFMlZOMjRnTkVjUzctOTdydzkxaD" TargetMode="External"/><Relationship Id="rId1396" Type="http://schemas.openxmlformats.org/officeDocument/2006/relationships/hyperlink" Target="https://news.google.com/rss/articles/CBMiZkFVX3lxTE9JNVl3N0pZLWRXX0YySWVKUjEyMG5kS1Zla2V3czU5aWZPY2xOemN5Yzh1eXU0UVFiLWw4aU4xY1p3dXlwSDlqTXRmUk1kT2lXR1BwaTNvZGdTcEt4MU90RzJQSUhfZw?oc=5" TargetMode="External"/><Relationship Id="rId1397" Type="http://schemas.openxmlformats.org/officeDocument/2006/relationships/hyperlink" Target="https://news.google.com/rss/articles/CBMic0FVX3lxTFBTTjhnMFl2cXJVbnJEVVlBSnNLaC1JOVJkZmNzVU1kU2tvd1o0OFBjYjFkR1VYd2t2WUtoUmJ3WHpYWDJCcFZubWdMS2ZWQ2NyOUZSWFJlVXROc0RRbnRjcjZ0aUpTampFaG5kSWNRUHp1WEU?oc=5" TargetMode="External"/><Relationship Id="rId1398" Type="http://schemas.openxmlformats.org/officeDocument/2006/relationships/hyperlink" Target="https://news.google.com/rss/articles/CBMibEFVX3lxTFBkT2J0djJ6cHpPZjdmY1BIeWxoMmxqU0tPWlp5Y0haSkZMODZPY2NvZGdDZ24xdTk4YUtHY1FKbklFMjJrZ2U4aDRJUVgwVnBSdFBpZExSeTZxYnBfODNwSE5ZZVIyZ1RHZnprZQ?oc=5" TargetMode="External"/><Relationship Id="rId1399" Type="http://schemas.openxmlformats.org/officeDocument/2006/relationships/hyperlink" Target="https://news.google.com/rss/articles/CBMiZEFVX3lxTE9UdXRhbm13dE5NbDNIeFU3SVEzVmxDNFAtc2VPQmp3ZnNNMDBjS0U1ZHgyRlNILV9UanU2akRkMjBxZk9iWEh2Qk9FWjE1cThVOXVJbmh0bTZzYU9OOHlQQ1BROWw?oc=5" TargetMode="External"/><Relationship Id="rId1400" Type="http://schemas.openxmlformats.org/officeDocument/2006/relationships/hyperlink" Target="https://news.google.com/rss/articles/CBMiZEFVX3lxTE5ZVGhtd3BFVW9vVHpwRXFXZEpGRWJ2UDd1OGVxaV9yZVZ3d09aTkp1OTd0SDAweWFCTmhRanY2ZUpGVWRocDFOVm9SaVV0SHBkM2tQMHN3SkxBMGhZQWNVb3ZRc1E?oc=5" TargetMode="External"/><Relationship Id="rId1401" Type="http://schemas.openxmlformats.org/officeDocument/2006/relationships/hyperlink" Target="https://news.google.com/rss/articles/CBMid0FVX3lxTE1Wb1hfY0ptSTZrQWVhQ3Z4Sm1EbTVpX1Y4VGhZSXdrSzdJUmpDUmRaRFZvTWVUTER1X1E5VEhTMkNWbThkbWd0SVhwSE1nZHQ0X0toMHN3c2pjVkk2dlEzZ3JMd2E3N3kyc2xTeTMzTE5xRjl3OUZJ?oc=5" TargetMode="External"/><Relationship Id="rId1402" Type="http://schemas.openxmlformats.org/officeDocument/2006/relationships/hyperlink" Target="https://news.google.com/rss/articles/CBMidEFVX3lxTE9YdGs4LXR6WklNaWpfYkVaa05QRWdJejdva0owWDMta1BPRlNYUlJwTGNmVk5CTmlBNl82TzJ3VmpYREswTXNROWlST0tTS1BpZHRGQ3o0YVl3QkJVdnpfcUVLUUNSTkRYaURpZzNrSEJZTFBH?oc=5" TargetMode="External"/><Relationship Id="rId1403" Type="http://schemas.openxmlformats.org/officeDocument/2006/relationships/hyperlink" Target="https://news.google.com/rss/articles/CBMi3wFBVV95cUxOTmxFMnhFVHBKUzBYX1JXc1luX0NMY1UyRGJTUHZWSjNIeW9ydHBLV1RIbHBEVnNwNVAzc2c5a1pNSlV0ZWdFemtkVl9NcG9fYm1sLUVmX3ROa2dQSmlEU3JiSkpYRk0zeHA5WGdQTjBOeV9LUFUzVDhOYWR4TzY1Z3d6ZEtUZzhnZXAzcWJKUm1xdVdIMEpLMmdPMzF4WV" TargetMode="External"/><Relationship Id="rId1404" Type="http://schemas.openxmlformats.org/officeDocument/2006/relationships/hyperlink" Target="https://news.google.com/rss/articles/CBMidkFVX3lxTE1zLVN4Tmk5ZWw0WFVScE5MSnVRQUVwQVQ4ektlSTEzYTdRMnMyYVZWdTdsQ2dONnJDejJWSHNpdlNfX1dBckVFQ01uZ1hKa2VOLWZrUk11NFYtSURhWkRfZDAzZFBWY3hQUjVBS2RPM2lUX3A3Mnc?oc=5" TargetMode="External"/><Relationship Id="rId1405" Type="http://schemas.openxmlformats.org/officeDocument/2006/relationships/hyperlink" Target="https://news.google.com/rss/articles/CBMiZkFVX3lxTE9zUlJSVnBQbkpHUmdpVk1ySW9wMUxpdml4cTRHWm9KTzZZNFZKZmNxbWliUTVJMWlzY2FnMUdRT21DMDhFekpsTGtjY0lJZkpuV2xieFJhbXc1QnV6S1lxWUdkc2JOZw?oc=5" TargetMode="External"/><Relationship Id="rId1406" Type="http://schemas.openxmlformats.org/officeDocument/2006/relationships/hyperlink" Target="https://news.google.com/rss/articles/CBMieEFVX3lxTE9WbTBKOTdBMFBRYnZqdWZUd2lpWGpOTnZjWGlkVHlocXVHMGNWTTFlZk5NTk5DajZjOTd0ZDBKbzdNQ0NKQkE5MzNXZW1sVndmWUF0RmZSZVhKWk9RMmZqMEFSTjY2TkxxdTRTZkl4LU5tUnQybG41Wg?oc=5" TargetMode="External"/><Relationship Id="rId1407" Type="http://schemas.openxmlformats.org/officeDocument/2006/relationships/hyperlink" Target="https://news.google.com/rss/articles/CBMilAFBVV95cUxQTHBjU2xEYmZyYUpXQUtzVml6MFRDY2JLTmtHdnNjeU9pR18yRFdjdmpoUUVvZk1COVdKcHdjM0luUlNla3Fzcm54S0pMQ0tUOTRjU215azJreTZ3NnhzcEdQcWFNVnRLdC01SzJjWWRZVFQyM2JJei1ReV9kZlBEZ1NLX1A5Z3RCek9IY1BudmF3X2My?oc=5" TargetMode="External"/><Relationship Id="rId1408" Type="http://schemas.openxmlformats.org/officeDocument/2006/relationships/hyperlink" Target="https://news.google.com/rss/articles/CBMiZEFVX3lxTE9sZ1BsUGI1dk01NHVndnA0bWlicnlPbUd1Zzk3NUNjLUtxX3JvUEtFQTY3V0JReWQyblA0aFNaRE9CNzlqaExpMmFvdnJNb2xKMklZSXk0OFNmVU1BVU1nWWZ1UUQ?oc=5" TargetMode="External"/><Relationship Id="rId1409" Type="http://schemas.openxmlformats.org/officeDocument/2006/relationships/hyperlink" Target="https://news.google.com/rss/articles/CBMiXEFVX3lxTE5maWFRcDAxRXdfWHZJUDRYNWVJWk1sUm54elhMYTdLaGtFZ21RZXZfZ0F2dkYwdUNsUi0za2Q5LVJYazQxcHJCYlYyTk1QY1gyZ2ZDNXpVdVh0SVM0?oc=5" TargetMode="External"/><Relationship Id="rId1410" Type="http://schemas.openxmlformats.org/officeDocument/2006/relationships/hyperlink" Target="https://news.google.com/rss/articles/CBMi8gFBVV95cUxNQzJSX1p5OFJVNmYyeW9DX0luc1o4SXdKWkgyaGpHaDJteGFfT1JiaGZRUXR0UGJWYjlHNE1CbldxUlVXQXYyNktsNG1vUzlLUHpReWxINXpBcldPd0NNbkhsUmY2UWxQaENVQ1R2RTg0WVozb25semVrZFRGVGNzaUxtZk4weHE4NFUyTk1CSFRBaW4tOUg4SFlESnE1ej" TargetMode="External"/><Relationship Id="rId1411" Type="http://schemas.openxmlformats.org/officeDocument/2006/relationships/hyperlink" Target="https://news.google.com/rss/articles/CBMiY0FVX3lxTFBPZ0tVRGVBTTBCZTlBNVpkaXc5WnZWYjM0UmtKVHkwSTlocnJGMUotSHVnMnl0S2tBRGNHbmJyLU8wMzZ6SzV6SC1LVWYzY1d2blVwVVlZMEdWWVpjS3hQT25Ybw?oc=5" TargetMode="External"/><Relationship Id="rId1412" Type="http://schemas.openxmlformats.org/officeDocument/2006/relationships/hyperlink" Target="https://news.google.com/rss/articles/CBMibkFVX3lxTFAtZkFYdWhodjZXd0VmYV85UWQ1OWVEVktGN2M4REtkUlh3bXQtQlF2bVZqWWRHQ0RIQ20tUm9IODVDNDM0ejJ4ZUlpSnhiZmVHc1RzMU9pOXpKekxoaXpLYy1KZm9JbHV2N0g2R2hB?oc=5" TargetMode="External"/><Relationship Id="rId1413" Type="http://schemas.openxmlformats.org/officeDocument/2006/relationships/hyperlink" Target="https://news.google.com/rss/articles/CBMibkFVX3lxTFAzSXdJMHhuSWtLTHRCaXBuYnFyd0NoRlRRTlcxeEhTQWFMY2JRcUw4clFCWTdZU0NBWWZLQmRPS3UxOXllVzhfSEJIb2ZZRGF6RFBJeWJFOElkMFpEcXVnTDJCOWFENlg4UUlMVk5n?oc=5" TargetMode="External"/><Relationship Id="rId1414" Type="http://schemas.openxmlformats.org/officeDocument/2006/relationships/hyperlink" Target="https://news.google.com/rss/articles/CBMikwFBVV95cUxNY01tUGlPUUxfdXFWbjRIeF82dmVILVp4OXFfZDczcGJGRzZIRXM4Q3RyclZWY0tLNndWOWhBYUJoOFh1QzJzX25USmhZM2dXX1JiTWJ5ajRJMWJteHNOSGl0ZGRzN09Eb2drRDJuWVQ5R1p3N0w5WXZYRHUxYjMxcnZrZW9HWlczZ2NZcVFSNW9zQmM?oc=5" TargetMode="External"/><Relationship Id="rId1415" Type="http://schemas.openxmlformats.org/officeDocument/2006/relationships/hyperlink" Target="https://news.google.com/rss/articles/CBMieEFVX3lxTE5mbmJyOXRQMDBnN2ZNaTlHQ0xYalZPaktBWkZvWjlNRUhYcW5QQ2w1ZDhyRGloM1VTNUN3S3BSZzFibElJdmx3eklLNThfTTc1bW50Z1BhSWRPaXo1dzRIWmJrMnlENC1JTWc1bkJNV2FjbDJtUU0wZw?oc=5" TargetMode="External"/><Relationship Id="rId1416" Type="http://schemas.openxmlformats.org/officeDocument/2006/relationships/hyperlink" Target="https://news.google.com/rss/articles/CBMiuwFBVV95cUxNRUZwbEI1QVh1ZVctN2FObjE3R1FYYS1BSlB6UmJLdEJybTVRemlWMWtXZU91czFONWRWVzh6RFRyMjc1YXZLaUc0eEd6bU1RMjlIRHV2dHQyTkVUV084REh6dnNUQTNBdEtzMER1aHBYS243QVZlSmlhaV9reDY0Q2Y4NTF1UkV4LWNHbzJiWlIzckZ0b24xamVqMWtkc3" TargetMode="External"/><Relationship Id="rId1417" Type="http://schemas.openxmlformats.org/officeDocument/2006/relationships/hyperlink" Target="https://news.google.com/rss/articles/CBMidEFVX3lxTE4wRHB2MkZ0SVdJTV9qSVlHZnJGMm9NNk9DRFJzaEh0X0RxUUFSRE9tbVdIdFE0NFQ1amR1dUs3TEJkNGRBRzBYT1cyNWlBTHNwUHF0cHd2dmROWFFxczhSanA2c1lxRXd2cUNvcW0tTUR2NzlL?oc=5" TargetMode="External"/><Relationship Id="rId1418" Type="http://schemas.openxmlformats.org/officeDocument/2006/relationships/hyperlink" Target="https://news.google.com/rss/articles/CBMixgFBVV95cUxOTGFjZG5UdUdXR25xMmhfcU44RVI4eXpVWXdMNFhmOF9McGk2NlBwZVF3X0M2d1pwdThwMDh5ckJpSzJZZWJDZDhHYmkzYXJ4b3J1aGRSLWoxanVrZG9wclFoQVNSOXp6MVhNU0lqR3lhZWZQYm5MWXlIQVZmakFuM2EybUVjdy1nbkVfTkhmOXZ0OUFzbnIzZFh3dGhHaG" TargetMode="External"/><Relationship Id="rId1419" Type="http://schemas.openxmlformats.org/officeDocument/2006/relationships/hyperlink" Target="https://news.google.com/rss/articles/CBMiwAFBVV95cUxPUzNlZHdxV2VMMTR1OWE1QmN4ZVZiNHpXV3JZTzFNaEN3NWJKTWFpWjVlZmJEeGJ3cmZqaldGZVFUMGxJRTloSkhTaFpHR1FsbVBEb2hwNVctenpuOTR6OXVGcV90MjdWRDJjZWhOUHotVS1VUGZVelpzdFJ2TmVaSWczc0hLVEs2dWRnNm81V0NsLTFrNWp5N05xZElQcV" TargetMode="External"/><Relationship Id="rId1420" Type="http://schemas.openxmlformats.org/officeDocument/2006/relationships/hyperlink" Target="https://news.google.com/rss/articles/CBMieEFVX3lxTE4xS2tIZTRKNWc1MndYR0Jqc2lWNURqaEduYzdHZHN4c1lMNFBJcF9zNEJMQTFEbVBnQlJwMDB6QjlGTWxid2c5d3NRc0tJUXZ0OTlBQ2VUVjBCZ2diZWsxMEFOWlloWHJBUGRQeFByNFh1bVJydXhaTQ?oc=5" TargetMode="External"/><Relationship Id="rId1421" Type="http://schemas.openxmlformats.org/officeDocument/2006/relationships/hyperlink" Target="https://news.google.com/rss/articles/CBMidEFVX3lxTFB4RjVEX0hpZWplOFR2b1k2Zm9aLUlwOEtueklfT2xWMThHamp5UXpLbVNGbEw5NEMwSi02bWdxanVGUnp2REhzbFFSS21mS21KZXJKZ1prOTQ5bkZ5ZVhaSEVPTjVDQXFLRE5SSTlEZndFcVht?oc=5" TargetMode="External"/><Relationship Id="rId1422" Type="http://schemas.openxmlformats.org/officeDocument/2006/relationships/hyperlink" Target="https://news.google.com/rss/articles/CBMijAFBVV95cUxNd0JPRVNxT0I2WTliNUxXVGZETjdzUFVkV1U2SkZNSDJfdk9UOEVORzVJQU1XZUZPVFFuTEdueURKYXVMeDFrYWtpSC0xb1JSVjNXQ09VdGJXQmNDLXpDbVA1M2NRUGxNdzVlRl9aR3BQVzlwNDktNkU4ZkhVMVJITV9jVnNIQkxIQUJTTg?oc=5" TargetMode="External"/><Relationship Id="rId1423" Type="http://schemas.openxmlformats.org/officeDocument/2006/relationships/hyperlink" Target="https://news.google.com/rss/articles/CBMi2gFBVV95cUxPa1lySy1ZdFBDLVJmUkNPalNvWGdfcEZrVzBieUpzOXF1TDlDN3M2V2dWVE9MMzVYQlNRSXotMXZtNU9Jay14dWxqTzNpUV9jU3lfY19OaUF4d2lQMGhMTkNab0F6c1hrSjJRM2I1d3lKVV9wNjRkT0d6S255NFE4RGxTRnVjT2g5X2kwSjFlb3FDMzh1WlFiSlI3aWpvLU" TargetMode="External"/><Relationship Id="rId1424" Type="http://schemas.openxmlformats.org/officeDocument/2006/relationships/hyperlink" Target="https://news.google.com/rss/articles/CBMigwFBVV95cUxPMWVDUVVMb3dGeWQ0R3QwNFhMek1NcjZpcVBDTWJPQ045c1l4UWRxeDhtUU1VRTd3aHNNeThVeTVmTXRIRXNSeDhtU2l4c1B6OGNmWDBJWlFSNjZCTWpFOGRhYjlGb2FhVWdWXzlXQzJ0MDZ6Nk5GV25CVG5FdU5BSzFWQQ?oc=5" TargetMode="External"/><Relationship Id="rId1425" Type="http://schemas.openxmlformats.org/officeDocument/2006/relationships/hyperlink" Target="https://news.google.com/rss/articles/CBMiUEFVX3lxTE81N000S2pNNnRGbUp0LW0yVTJMaWVRT2RZbEVWaGFfZ2NBMHdaRW5aMnFaN3Q3SzFPdDEwN2IwMXVDbHZYcFRqaG1KNW1WanN6?oc=5" TargetMode="External"/><Relationship Id="rId1426" Type="http://schemas.openxmlformats.org/officeDocument/2006/relationships/hyperlink" Target="https://news.google.com/rss/articles/CBMiZkFVX3lxTFBJUEVBTlg0by1GRTNUMXc2Z3lCdDVtcVU0dWdzOEl3eXV0TWlMZmZ6Q29sQ2t0SVhzNVQxV0xxbGdRazlmWTlDMVlKSHhfRlR4YWFsRTloTVZTZmZidXpyYVZKWi1FZw?oc=5" TargetMode="External"/><Relationship Id="rId1427" Type="http://schemas.openxmlformats.org/officeDocument/2006/relationships/hyperlink" Target="https://news.google.com/rss/articles/CBMicEFVX3lxTE4xbWp5cnY3cGNWOVNlTEpZTXVzeGxicVVPWnIxTlVWV1ZXY2lFeGFGVmRXczlNQm45eDRibV9DOVIyazZycDVYbWJHSDVocUdCbE54N2hjaWNfXzA0UGZxVG0wMEcxMDlKYWZZSl9lLU4?oc=5" TargetMode="External"/><Relationship Id="rId1428" Type="http://schemas.openxmlformats.org/officeDocument/2006/relationships/hyperlink" Target="https://news.google.com/rss/articles/CBMilAFBVV95cUxQTHBjU2xEYmZyYUpXQUtzVml6MFRDY2JLTmtHdnNjeU9pR18yRFdjdmpoUUVvZk1COVdKcHdjM0luUlNla3Fzcm54S0pMQ0tUOTRjU215azJreTZ3NnhzcEdQcWFNVnRLdC01SzJjWWRZVFQyM2JJei1ReV9kZlBEZ1NLX1A5Z3RCek9IY1BudmF3X2My?oc=5" TargetMode="External"/><Relationship Id="rId1429" Type="http://schemas.openxmlformats.org/officeDocument/2006/relationships/hyperlink" Target="https://news.google.com/rss/articles/CBMi4wFBVV95cUxQODM5QzZKdTVucXFiMmtDQlZRZVVET0JPT3RUYlpYaDVhaUI5VUhudUpwT1dBVmc5RjNHWUZmOWNaWlVTc3RBeUZrNzk3RkJwZGtYdlp1WGtKOHA4cGxUWlRKdXZVcWlJbkVUS1pPSzZDRXA4aGN3dXBqTkY5eDlqOWVfTF9CSUtWV3BZN1dmYW1pallzWUR1YjBUejl1MG" TargetMode="External"/><Relationship Id="rId1430" Type="http://schemas.openxmlformats.org/officeDocument/2006/relationships/hyperlink" Target="https://news.google.com/rss/articles/CBMiXEFVX3lxTE5maWFRcDAxRXdfWHZJUDRYNWVJWk1sUm54elhMYTdLaGtFZ21RZXZfZ0F2dkYwdUNsUi0za2Q5LVJYazQxcHJCYlYyTk1QY1gyZ2ZDNXpVdVh0SVM0?oc=5" TargetMode="External"/><Relationship Id="rId1431" Type="http://schemas.openxmlformats.org/officeDocument/2006/relationships/hyperlink" Target="https://news.google.com/rss/articles/CBMia0FVX3lxTFBXTFdBMEQ3LXBsMHdDRk9KZHNYcVZyd1g2M0VLbm5qbXQyaldJcU95Q1ZuRmdDVWxQWTlfUUNQU0F2YlRxUHNfRndOb1JnWDNhWjBrblpuN2pYWEFOUWE4YmRDMHdkbkdDVXZZ?oc=5" TargetMode="External"/><Relationship Id="rId1432" Type="http://schemas.openxmlformats.org/officeDocument/2006/relationships/hyperlink" Target="https://news.google.com/rss/articles/CBMiY0FVX3lxTFBPZ0tVRGVBTTBCZTlBNVpkaXc5WnZWYjM0UmtKVHkwSTlocnJGMUotSHVnMnl0S2tBRGNHbmJyLU8wMzZ6SzV6SC1LVWYzY1d2blVwVVlZMEdWWVpjS3hQT25Ybw?oc=5" TargetMode="External"/><Relationship Id="rId1433" Type="http://schemas.openxmlformats.org/officeDocument/2006/relationships/hyperlink" Target="https://news.google.com/rss/articles/CBMiekFVX3lxTFB2cWxZSHd1Y21hX2N5M0poSTZuaEdDdHo1dFAxUTdJQjNoT0w2UEZwRHZEbmZBd3h0ZUFrNklWZkEtTWgyOW5EMVZCY3l5QW4wRnR0YVdkVXd0ZHhFdi1BNElOOXhhQS15Ukd0amRiSU1DU0k0cHBkWEtB?oc=5" TargetMode="External"/><Relationship Id="rId1434" Type="http://schemas.openxmlformats.org/officeDocument/2006/relationships/hyperlink" Target="https://news.google.com/rss/articles/CBMiZEFVX3lxTE9GWmRWNlBJeWk0V1BMNWswa3pMaUJuamVSM3ZMMEVDYkZZZl93bEVWNTlGbkxjVjVTUnp5VldFNjJVdnBtRFZ6SVo5X0hYdllidW4xajJZNTUtNUdWR0xMdUJFdlA?oc=5" TargetMode="External"/><Relationship Id="rId1435" Type="http://schemas.openxmlformats.org/officeDocument/2006/relationships/hyperlink" Target="https://news.google.com/rss/articles/CBMid0FVX3lxTFBYcXE5c1F4cnlaLXF5QXY2OEViTHhENnNQTmNvU19oYXp0OFVhaFc0U19BTm1mUlJVRDhMdzg0WEJhZEtpeHh6di03bnBFS0lKeWtCVVBmRVFmd2lTQU5XX014c1hDWDJ3X1FFNlh0RnRmX1JmMUV3?oc=5" TargetMode="External"/><Relationship Id="rId1436" Type="http://schemas.openxmlformats.org/officeDocument/2006/relationships/hyperlink" Target="https://news.google.com/rss/articles/CBMiV0FVX3lxTE5SaHRUTmFSMGtTVGhOaGsyaTBCZDZxUUhUYXBBTmZTcUtwcmprYW5JM21zcWJrVVd3cmFDc3c3QVZrYVNVREpsaGJXald6SDZLWlpHNmFqVQ?oc=5" TargetMode="External"/><Relationship Id="rId1437" Type="http://schemas.openxmlformats.org/officeDocument/2006/relationships/hyperlink" Target="https://www.gelonghui.com/live/2726608" TargetMode="External"/><Relationship Id="rId1438" Type="http://schemas.openxmlformats.org/officeDocument/2006/relationships/hyperlink" Target="https://www.gelonghui.com/live/2726935" TargetMode="External"/><Relationship Id="rId1439" Type="http://schemas.openxmlformats.org/officeDocument/2006/relationships/hyperlink" Target="https://www.gelonghui.com/live/2726858" TargetMode="External"/><Relationship Id="rId1440" Type="http://schemas.openxmlformats.org/officeDocument/2006/relationships/hyperlink" Target="https://news.google.com/rss/articles/CBMiWkFVX3lxTE1BbkNYYzZyRTRqQUQ5NU5HTnYwVmZrZmtfQVpYNEc1RXVCeVRYUWVvZVM2TEZHeFd4M1pRaDVEUmhYQlZSMUJVMGpOM0VQV2hST1ZaTVFlZzhoZw?oc=5" TargetMode="External"/><Relationship Id="rId1441" Type="http://schemas.openxmlformats.org/officeDocument/2006/relationships/hyperlink" Target="https://news.google.com/rss/articles/CBMixAFBVV95cUxNdDV3OGctdUpIYVlIYWRvX0xrYjhxbEFFcHN1bEFfc1h1TkxCekh3YnpldElxQmdvdXVuWmJ5S3plM2pzcXppYzlLakpJOHJwR0pZUVAxUjZoMWlnMi1fbkFUMkJ2TlduVXBtSE42ZHFEdTJjcmpLRkVRT2pyY0EwTG1XVkt5cHpYcEpadzFIYlhUYTBMbEgxX2FpQ3gyWU" TargetMode="External"/><Relationship Id="rId1442" Type="http://schemas.openxmlformats.org/officeDocument/2006/relationships/hyperlink" Target="https://news.google.com/rss/articles/CBMic0FVX3lxTFBUUTh6dlJXaUtEOUV4cHNwYTFYVzNFZzVaNEtyWEpGbkIyVTY1X1hoVXZWWFRnVl9xa3hKcXVTX3NsT2NuX1ZaNzlObXdIaGRsOG1xMkRHdkZTZWprX2VDYzdjTmxMMFBLZDRQWmdYeVg1emc?oc=5" TargetMode="External"/><Relationship Id="rId1443" Type="http://schemas.openxmlformats.org/officeDocument/2006/relationships/hyperlink" Target="https://news.google.com/rss/articles/CBMiZEFVX3lxTE5qYXE1X2kyeGx1VS11Z2JBTmJJbnh5aklXclRCNHFTeVJuS0gtZEl5T3hCNlRtNzZwS0N5aGdyUWxUaEVOVk9kMWV1RlhFT1VkcVcwZDlBTHJXSmg0Vm1CeU1LQkU?oc=5" TargetMode="External"/><Relationship Id="rId1444" Type="http://schemas.openxmlformats.org/officeDocument/2006/relationships/hyperlink" Target="https://news.google.com/rss/articles/CBMiUEFVX3lxTE9FSXNNd3dVSy1ldWJscVNGOWp6VUtFZ3djNEJWdnFqMmNYa1cwbURMbTZEX05wd1VUeFJVcmVMb2tfZ0hmLTlEdkRxazJQSjE0?oc=5" TargetMode="External"/><Relationship Id="rId1445" Type="http://schemas.openxmlformats.org/officeDocument/2006/relationships/hyperlink" Target="https://news.google.com/rss/articles/CBMikAFBVV95cUxOU2VFeEVMcW9COXl2d3NwbzRuc0FQZG9CeXA3YjJlVXJJOFR6eUwzRFJQemZhQWVFT05QQVhJQjBOdlJUSFFSY21hdnM3MFE0XzhrT0poSFh0emduZldOWkhkellSQjFlX0ZhNlk1QTV1dnpBRncycVlLNm9YU0phNDVSVmJLeTdkS1BQbjEtREU?oc=5" TargetMode="External"/><Relationship Id="rId1446" Type="http://schemas.openxmlformats.org/officeDocument/2006/relationships/hyperlink" Target="https://news.google.com/rss/articles/CBMilgFBVV95cUxPbjZ2bGhsTk93ZXp4VnBFVzNaQmpGendSMmVYUU14U0xxcWFiV0Z6M1otQmhMamd0Z1ZxUmU2ODhzd2RsZFlNd2hSZHBDWmdvekxma0dtTHBFLWNCUm9MR2N2T3Y0OXcxTEdDZ0VJYXd0MzM2MTJtTHU3b0RsdlZ2VjIxWDBwaGViaHRCVU9mRVRqUXp5b0E?oc=5" TargetMode="External"/><Relationship Id="rId1447" Type="http://schemas.openxmlformats.org/officeDocument/2006/relationships/hyperlink" Target="https://news.google.com/rss/articles/CBMihgFBVV95cUxNZUpsZHk1LUdHVjVqY3dxNUtza3JQNDlBOUhlZnNfTUEwV3dZWS1qUHV0c3RCNGZLdWtKVG81WnFENFFDS2NxcjA1R0Izamg5SThTRW5wXzBndXNGelZ6ZTZzU0FnVlFQNkJhR2JyMHgtaHdOUWNZNWIzRkpHYUd0OVJMaWU3dw?oc=5" TargetMode="External"/><Relationship Id="rId1448" Type="http://schemas.openxmlformats.org/officeDocument/2006/relationships/hyperlink" Target="https://news.google.com/rss/articles/CBMidEFVX3lxTE0xRzA0MHNUOWtteVh3UDZaUkNkNURMbGpZeVF2cFVyOEVPYXpOZjZ1eHRsMG5ZRXZyN2l3MWJ1YjJHcFZ3Mld4MVVoXzJBaXd4SUx4VXNjQ1NNVVhicXBnTS1DaXRZcjJKZHBrMndLUWpnWW9J?oc=5" TargetMode="External"/><Relationship Id="rId1449" Type="http://schemas.openxmlformats.org/officeDocument/2006/relationships/hyperlink" Target="https://news.google.com/rss/articles/CBMijAFBVV95cUxPTWZMUlpLZVlSV211dHFOQng1SzdhN1hkaEd0R2JPbWxmTlFnVjNpMEtneDlsWXpTazZmY2lYc0syT2NxRUkzRmVlY0JxSGFqRzNzSTlNWGFxVWVzb3lKWWIxUW5KR0d0QkFBTFpOUVhrRmQyTXphd1ZDNzNzcW9qLWhrRmJ5a1VRSnhFTg?oc=5" TargetMode="External"/><Relationship Id="rId1450" Type="http://schemas.openxmlformats.org/officeDocument/2006/relationships/hyperlink" Target="https://news.google.com/rss/articles/CBMikAFBVV95cUxQMFVUUXQ3aU9TMWpxOXV0NDR0WHJJdmt2d2wxMGlQZnVWQVJPWGVRVFFldXIxZzhpWDBsX0luZnVDNWVEQ1JxOWFETWVvdG5fNkVEY0JjVUJHeG45eTF6WTBIUGVuY181NG1MMnNpNkN1Nl82a25YSUxvLXJ4THg0cUw2QzRGVVlVMTFvejdBVXc?oc=5" TargetMode="External"/><Relationship Id="rId1451" Type="http://schemas.openxmlformats.org/officeDocument/2006/relationships/hyperlink" Target="https://news.google.com/rss/articles/CBMiZEFVX3lxTE9XcWtpR29DUXdPUUV1dUlPNWVjVHozVUE5NXZveksxdUw2c0YxNG1BZHBfNHNVWUFLRUZqUW9TT1pNSURTN1ZfVUdhTnJsM2JORFltQ2dWc1B3Qmxsbk9JQXlfY2E?oc=5" TargetMode="External"/><Relationship Id="rId1452" Type="http://schemas.openxmlformats.org/officeDocument/2006/relationships/hyperlink" Target="https://news.google.com/rss/articles/CBMiZkFVX3lxTE1HcUh5ako1dXZBZDItNUFCd1RPV0diWGExWUFHV1psTWZGVVFnaHc0Rnk0Z0otWTduQ29JamxUeFI1V1ZyS0JyYmJMVDc5U1FhU2NBN1Q0OVg3UEdFcGVxZEV1VnhMUQ?oc=5" TargetMode="External"/><Relationship Id="rId1453" Type="http://schemas.openxmlformats.org/officeDocument/2006/relationships/hyperlink" Target="https://www.gelonghui.com/live/2727326" TargetMode="External"/><Relationship Id="rId1454" Type="http://schemas.openxmlformats.org/officeDocument/2006/relationships/hyperlink" Target="https://www.gelonghui.com/live/2727340" TargetMode="External"/><Relationship Id="rId1455" Type="http://schemas.openxmlformats.org/officeDocument/2006/relationships/hyperlink" Target="https://www.gelonghui.com/live/2726597" TargetMode="External"/><Relationship Id="rId1456" Type="http://schemas.openxmlformats.org/officeDocument/2006/relationships/hyperlink" Target="https://www.gelonghui.com/live/2727520" TargetMode="External"/><Relationship Id="rId1457" Type="http://schemas.openxmlformats.org/officeDocument/2006/relationships/hyperlink" Target="https://news.google.com/rss/articles/CBMizwFBVV95cUxNaHNrd19PTU9kaUtsWjQxR1dCUS13LWVpZFhSYzVfU2JLSUVsOGZVbDdBcVl2bXp1OGxYazk4Qzg1WXRkelJMNWl0dGZZTzBEV3RicURQbW50N0VUeVFCWnQwbUlZRHVhdjdoTjJiam5XTS1IT0VBMzhPbUx0Q3RERjBZVi1YWmhSOS11eFk4THloSmNXWDllanYyTGQ3cU" TargetMode="External"/><Relationship Id="rId1458" Type="http://schemas.openxmlformats.org/officeDocument/2006/relationships/hyperlink" Target="https://news.google.com/rss/articles/CBMiUkFVX3lxTE4xS2VDcDNQTjJ6OFBKRU1CUzJEanplLWVoUTNDNnJ5S2M5Xzd2SFhsY3RpaktWUDZvRmFKdkZHRDZaeVVHX3hxUmhoMXEwR01vTUE?oc=5" TargetMode="External"/><Relationship Id="rId1459" Type="http://schemas.openxmlformats.org/officeDocument/2006/relationships/hyperlink" Target="https://www.gelonghui.com/live/2727744" TargetMode="External"/><Relationship Id="rId1460" Type="http://schemas.openxmlformats.org/officeDocument/2006/relationships/hyperlink" Target="https://www.gelonghui.com/live/2727371" TargetMode="External"/><Relationship Id="rId1461" Type="http://schemas.openxmlformats.org/officeDocument/2006/relationships/hyperlink" Target="https://news.google.com/rss/articles/CBMidEFVX3lxTE5pYXZoZjVWRlNyX1VPZ3JtVUQ0MkJlUGJRN0l4bVd1eG9Ncm1lYUlrVDVULW0wM01ubl9kUXA0S2RDd2xaZVpadDBYS3pObW95ZDIwUjVZOUFJZUloT3pISXFsQjNCNF9aeFZEUVdSWXZWcVQw?oc=5" TargetMode="External"/><Relationship Id="rId1462" Type="http://schemas.openxmlformats.org/officeDocument/2006/relationships/hyperlink" Target="https://news.google.com/rss/articles/CBMiUEFVX3lxTE1SMHdNbU5NX1JaWjMxcWN5cjZ1WXRGeUMyTXd3bDNEei0xT1BtWmRKUlZQOUpFYktvLW9WaWdPcExRRms5dEZ6cFBFVlNqRjBG?oc=5" TargetMode="External"/><Relationship Id="rId1463" Type="http://schemas.openxmlformats.org/officeDocument/2006/relationships/hyperlink" Target="https://www.gelonghui.com/live/2727371" TargetMode="External"/><Relationship Id="rId1464" Type="http://schemas.openxmlformats.org/officeDocument/2006/relationships/hyperlink" Target="https://www.gelonghui.com/live/2728181" TargetMode="External"/><Relationship Id="rId1465" Type="http://schemas.openxmlformats.org/officeDocument/2006/relationships/hyperlink" Target="https://news.google.com/rss/articles/CBMiUkFVX3lxTE9oajEwaWhHMmlyZ0V5eXJaR2Fsd0YzaUdCRGgtQjhzZ2NMdE4yNW9Pcmw0U3YxYmhtZmtsSmZiOXNnbDBhZjh4WkFEWFJaeE82bmc?oc=5" TargetMode="External"/><Relationship Id="rId1466" Type="http://schemas.openxmlformats.org/officeDocument/2006/relationships/hyperlink" Target="https://news.google.com/rss/articles/CBMijAFBVV95cUxOS3M1RDFvck5OYnFhMS1MY0ExRExBcnRMSmdKSHkxQU9yRVVfLWFpYlJtQnlUS1c4SEJrUklrSVczX2lzd0pwbi14UlRuVmlQVEFQNGJOb0VmVUVzZ1BNMER1OExJU2ZLbGZyd3doaWtkN0d2T3R6bGpZMk9VaDc0ZVI3SmpXdTRKMFgtQw?oc=5" TargetMode="External"/><Relationship Id="rId1467" Type="http://schemas.openxmlformats.org/officeDocument/2006/relationships/hyperlink" Target="https://news.google.com/rss/articles/CBMiaEFVX3lxTE85MjZ5Z2dZRllMME9vRWNyVW1rQkRtRkFreDBpN2tVMkUtQ2FTbmdEMzhFaVpEMFNuWElEU2JWeVJZV1dyckF4b1hKSW1NSk9Cd0NMSmZKaE1MYk5wZ2RzWVJmMHo1TFFt?oc=5" TargetMode="External"/><Relationship Id="rId1468" Type="http://schemas.openxmlformats.org/officeDocument/2006/relationships/hyperlink" Target="https://news.google.com/rss/articles/CBMiX0FVX3lxTFBPV1hTa1FHUFg3UEtld2UzRDh4ZDdPVFJlWEY3M0dYWlBwUTExcGU2MW9OcGcwcmpZUDNHQUhVOU9hbHlDWTdnY0pEam1uODJ5N2VDakdqakxfVXBBVDNZ?oc=5" TargetMode="External"/><Relationship Id="rId1469" Type="http://schemas.openxmlformats.org/officeDocument/2006/relationships/hyperlink" Target="https://news.google.com/rss/articles/CBMia0FVX3lxTFB5RjhoVXNpUUk2eUhBUzc2dzFST2RBZVFQVkRDZjRQWWlXSW5ZdlM2TlBNVzF3YzRad1dWUmNKOC1lRHJzcFhfWjZUOGJYQkFvWVh5dnR6dVp2VHg2UG1IdXkzWWdRVjE1Z2hR?oc=5" TargetMode="External"/><Relationship Id="rId1470" Type="http://schemas.openxmlformats.org/officeDocument/2006/relationships/hyperlink" Target="https://news.google.com/rss/articles/CBMixgFBVV95cUxNejVfVTdjYk5qSUx3RE9IU09PeHpVYW5vbTRUSHF4YVpYMnlqRmd2N2JXc1cwWnl2TUFFSFl4U0JxWTVFWmhfSWozRTZKUFJkUnlmODRCSWgwQlJlN2xwNmZXYThBME5POWg2RUNtSWFpNmpVLVMydnN4MjZRckJWQ21wTTZiRlNIN3hLR2VIb19NdU9NWUJqTDJ1ZVRhUk" TargetMode="External"/><Relationship Id="rId1471" Type="http://schemas.openxmlformats.org/officeDocument/2006/relationships/hyperlink" Target="https://news.google.com/rss/articles/CBMiZkFVX3lxTE5xbjhfU21SMjQ0OHFZMTJfQW1sNFF4cEFVQWUwNTZEOW1TNGs5TmxleWtxbTFDVktGTXo2ODJ6VVB4cmNWZFdGN0MzekVySklJaFBfOW1MX2oyLVA0NktBazRudEFadw?oc=5" TargetMode="External"/><Relationship Id="rId1472" Type="http://schemas.openxmlformats.org/officeDocument/2006/relationships/hyperlink" Target="https://news.google.com/rss/articles/CBMi5AFBVV95cUxOUVFacVloLXR2S0tadkY5aXdLS0pueTRiNVNzRm5zU1Fza1JGTDJOX29ZbTVEbjZlY0FSbDEyRGtTbURmRFBBUzZ5WlFobXhFQldET1ZqY2VuRi04ZTRNWU9RZk9PVnRydTFEcWdPYV8zRVpDM0REa1BKYTNtZkY5Umw4MzV4V3ZSd2RfcF93SkpJWnh5aFVybFBsMFdDYn" TargetMode="External"/><Relationship Id="rId1473" Type="http://schemas.openxmlformats.org/officeDocument/2006/relationships/hyperlink" Target="https://news.google.com/rss/articles/CBMiZEFVX3lxTFBQUkZnSEw0UXNVcEVfbE1CekNQcHNHX3NyQVItQ1hYYlk2UjVSSHNaUmJDcXdoNUJtbFZnVVVhWkdYQ3g0N0k5NmNjd3VialYxZms4ZEVfNkt1NEM3bzdCa0pNSXE?oc=5" TargetMode="External"/><Relationship Id="rId1474" Type="http://schemas.openxmlformats.org/officeDocument/2006/relationships/hyperlink" Target="https://news.google.com/rss/articles/CBMiWEFVX3lxTFBtZ2J6R09wUm9RcTJaVlhXRHAxMHRZeDRETmtXWjB5QlZ4OFFnSS1aRm5RNWQwa1VMa29RempWN2pYYkp0UElSb1RtVUlXcDZjXzlhSGZac2I?oc=5" TargetMode="External"/><Relationship Id="rId1475" Type="http://schemas.openxmlformats.org/officeDocument/2006/relationships/hyperlink" Target="https://news.google.com/rss/articles/CBMidEFVX3lxTE1vbURwc3hxSXE2VnpwbEYzUHotZHFTUDIwejhzOThWbGMweTNwS3RUTGtKNVZ2OFpPemVMMnZnX3BXeGVPd0xVdFVEaEFYdmZ2Y2piYzBicldYTnZyNnh5aWw1dmEwak93MHhFcmw0MzdmeG5n?oc=5" TargetMode="External"/><Relationship Id="rId1476" Type="http://schemas.openxmlformats.org/officeDocument/2006/relationships/hyperlink" Target="https://news.google.com/rss/articles/CBMiZkFVX3lxTFBGcXJCUW9wcE9QZTdzZE1pZVVtb2J2WTB6S0NWc3hSVGNqdEE5TWRaMjZoSGUxVVJoaXN2bGY1OGZOSXRZQ1V3dE5BTTltTUJhZnBSX0dLeER0RU1nWjM0R2xfY0FxZw?oc=5" TargetMode="External"/><Relationship Id="rId1477" Type="http://schemas.openxmlformats.org/officeDocument/2006/relationships/hyperlink" Target="https://news.google.com/rss/articles/CBMi3gJBVV95cUxONzViUF9tTTlveGdXb2Exem1nLVVJRS0wNlZ2eG04dlJDaTgzdU81eHFpWkhFeEUteFhOdTkzNkdxUlBQMVo2TXA4bHFVVGpaVW9oaXR2dWpIZTRMR05NS29WVUFhNDZCRjl2X1RQc296ODJVR0E1eUtrMXp0Y2xYMFF1YjZrOHZ5bGlDenUzSUJnclpMZm8wYnBaTHo2RD" TargetMode="External"/><Relationship Id="rId1478" Type="http://schemas.openxmlformats.org/officeDocument/2006/relationships/hyperlink" Target="https://www.gelonghui.com/live/2727040" TargetMode="External"/><Relationship Id="rId1479" Type="http://schemas.openxmlformats.org/officeDocument/2006/relationships/hyperlink" Target="https://news.google.com/rss/articles/CBMiuAFBVV95cUxNTXJfbWY5UnlLTkF3UXlQS3hJczdGOW5xUWVJdzA1QkZabXBVdDh3Z21ZcUdsblB2UG1VbHNvYW4xcUNTdi1OOXdHclZoTGZreS1jbjRqTGdvRzZIYUVuMmR4NDRVRFBhUHhRMEFlNk9XRkVFaTNvU3RBSThEdnFDc1ltOE9odmt5bFpTSjd6eEJwVnZuWmtZbHlXSlEzeX" TargetMode="External"/><Relationship Id="rId1480" Type="http://schemas.openxmlformats.org/officeDocument/2006/relationships/hyperlink" Target="https://www.gelonghui.com/live/2726949" TargetMode="External"/><Relationship Id="rId1481" Type="http://schemas.openxmlformats.org/officeDocument/2006/relationships/hyperlink" Target="https://news.google.com/rss/articles/CBMiZEFVX3lxTE1uTHpDOTBNWXBqM0V4WGRKQWNvbkFaN0lpQXFGdzNMbXdMbVd0NTk3NDAwQV9fQUU0Um5TNl9EVkR2N2ptU0JxQVlhbWZDMDVVLTIyd2RQZlBVMXRSY0NTRlJOS2Y?oc=5" TargetMode="External"/><Relationship Id="rId1482" Type="http://schemas.openxmlformats.org/officeDocument/2006/relationships/hyperlink" Target="https://news.google.com/rss/articles/CBMibEFVX3lxTE45alA4Nk5IMFlaOVZybWJMcmQ3UlRQSWFpbUxCRUZRdTdsWUgxYnpqdW8tZWhvNHRJTnZkOHFUZHdyejhEczdRZ0FBa0hXTHd1WEJ3R2FiV2dmUW9tb1ZEdnAxeHFVYWd6VGlCYw?oc=5" TargetMode="External"/><Relationship Id="rId1483" Type="http://schemas.openxmlformats.org/officeDocument/2006/relationships/hyperlink" Target="https://news.google.com/rss/articles/CBMicEFVX3lxTE9PTTlmZ1phb29tTGNJTGdHd3NHNUcxTHJOdW5hb3I0bUhwR3h4dGk0TnN0bnE0TTFreTlfc1BXSHRmR1IzZFFWOWRnS1ZaajhLQ0hTaHhyNmZmUEhXZ2NoMTg2b2pZcXRLNGNya0hNY3U?oc=5" TargetMode="External"/><Relationship Id="rId1484" Type="http://schemas.openxmlformats.org/officeDocument/2006/relationships/hyperlink" Target="https://news.google.com/rss/articles/CBMiZkFVX3lxTE10WVppVk1qaDAzSUd5Q2FEd2dmb2Frd1Zjc1Jwa2oyNUhzNXdYU0RQUktDNURLcnBFUkpleUlVekJ5dWl3dmk2a2JKZXRDRTRZdnNUYUVMOVB1cmcxN3RMRzBKS1p2dw?oc=5" TargetMode="External"/><Relationship Id="rId1485" Type="http://schemas.openxmlformats.org/officeDocument/2006/relationships/hyperlink" Target="https://news.google.com/rss/articles/CBMiUEFVX3lxTE92bWtGOTJSRzl0S3N2dVhDNlpjZ3dWU2w4UlUzUzNyYWVkOVVtSGRzWkZ2NDBTSjhzRkR2czcyMmRIZU83S3h0eU9lQkVRMUxN?oc=5" TargetMode="External"/><Relationship Id="rId1486" Type="http://schemas.openxmlformats.org/officeDocument/2006/relationships/hyperlink" Target="https://news.google.com/rss/articles/CBMiVEFVX3lxTE41UVRpOURycU44cUl2aTRvMFNPRUZWa2g4ZnhpcDlzbHRMVFZPSEFxbnhBWEdxb0g2YXRxZDVOSjFHSEU4TXNfUmpzejlYOXZna2dyYw?oc=5" TargetMode="External"/><Relationship Id="rId1487" Type="http://schemas.openxmlformats.org/officeDocument/2006/relationships/hyperlink" Target="https://www.gelonghui.com/live/2728041" TargetMode="External"/><Relationship Id="rId1488" Type="http://schemas.openxmlformats.org/officeDocument/2006/relationships/hyperlink" Target="https://www.gelonghui.com/live/2727096" TargetMode="External"/><Relationship Id="rId1489" Type="http://schemas.openxmlformats.org/officeDocument/2006/relationships/hyperlink" Target="https://news.google.com/rss/articles/CBMidEFVX3lxTE9rX0xzTmw0OTBUaVozeThoTGQ5b2NGLUtpb1Z1YjFTYTZXN3J4TUtPRzNzUDk0RGI4UmpYZHd2VGlYWjhWZHlVTVp5S0MwSlZZLUR5aFgtVDc0WjdybTR0OGNrdWFyeF9uZGV6dk9zWk5QUUx2?oc=5" TargetMode="External"/><Relationship Id="rId1490" Type="http://schemas.openxmlformats.org/officeDocument/2006/relationships/hyperlink" Target="https://news.google.com/rss/articles/CBMiXEFVX3lxTE9WSkNwYnJjQ2QtWDZBdVJMVW9mWWZLRzlpb2ozN0FyZ2lJcnRSdjdhUjlNSkc0blJnd0NSVVNYRDZ6NFNhNEN3Umw5bzB0cnM2NTdZNk1rS3Z6TUFP?oc=5" TargetMode="External"/><Relationship Id="rId1491" Type="http://schemas.openxmlformats.org/officeDocument/2006/relationships/hyperlink" Target="https://news.google.com/rss/articles/CBMiZkFVX3lxTE80UkpXSGlNcjZrSUk0N3JRbi03bDhCTTd2U3JWM1Y2SlVHTWwyY1lZdktQUkNzSjJzbGhwZ05yMzhsWm03cEc4MGF4R2tBQlpKMUNZV21iWVozYnVya3V4b0JmN3pCQQ?oc=5" TargetMode="External"/><Relationship Id="rId1492" Type="http://schemas.openxmlformats.org/officeDocument/2006/relationships/hyperlink" Target="https://news.google.com/rss/articles/CBMimwFBVV95cUxOa1ZYMGRydWtXZ1VhT1pWYVZ6Mk1hMzdaUWtGT0dpVlRHUTFFWHVvYUswVW9LZGF0LU1JTklWR0poQXVjczY2SzRoTnppY3QyWDUwcDhDS2hBTXpsdkVyVVF2MDN0SG5PRkgzS2puVWNvS2t4WDVld1FBd05ZX2lxUHRaTWl4b05ydlZ3NXc5aGFSRElkTGsyOG9JSQ?oc=" TargetMode="External"/><Relationship Id="rId1493" Type="http://schemas.openxmlformats.org/officeDocument/2006/relationships/hyperlink" Target="https://news.google.com/rss/articles/CBMidkFVX3lxTE5ITEY2Z3cyTWJVQmpjTlpRMXZXcW9qQjlsU01QQmctVmwxSUhkVWo5OWlrVkotcGc0eFZVOWo1cUxfcUhpcVh2UURjajhWajdaaEotNXNUUEZZMDQ0OVNRVWhLTFZ2U1ZZMTlramtvazRQSnV3Tnc?oc=5" TargetMode="External"/><Relationship Id="rId1494" Type="http://schemas.openxmlformats.org/officeDocument/2006/relationships/hyperlink" Target="https://news.google.com/rss/articles/CBMi1gFBVV95cUxQb0JrU09Bd3Y0ZFVIWEJzRjNBbGc0VndkYmE5WE5KLWZRc29ONEp4VXF4NFZEdl85WWhrbXJiSEtudjktb3d6dTJ5elE3Wkx4MGMwOFQ2Z3RnYjlYY0JiQWNtS3Fhby1jMkozU0FMNDZjdGZoaXhCM2RfU0hab0FraHljRU5rSFpuM0wwVm05NEVkR2pGTGEzTUxEQURWYk" TargetMode="External"/><Relationship Id="rId1495" Type="http://schemas.openxmlformats.org/officeDocument/2006/relationships/hyperlink" Target="https://news.google.com/rss/articles/CBMiYEFVX3lxTE4wOU1kQ05uMjJHakJtTDV4WXBhQ1ROemZlSmlMRGhxMy01LTBOM0hZWm1odno5cmo0VkltTU9HYjhCdEMwV0phNTVkdXpvZ1M1bGExWEp2YmxqTUdaYVRvcQ?oc=5" TargetMode="External"/><Relationship Id="rId1496" Type="http://schemas.openxmlformats.org/officeDocument/2006/relationships/hyperlink" Target="https://news.google.com/rss/articles/CBMi0AFBVV95cUxQQTVvaDdLdkdhekdLcUZPeFpTYW0xbEFYdndzemZDdU12SS1SaVpTMWQyTHpHVVk2R2RfMWJCeGZWN00tcFZGeWkwVGtjLTJod0h3LUV1V1Exd3FwZ0pWWEozWmJlanRLc2ItOUQ3YXhoN3dUMG9yb1kwX0tYZFAzS2Y2NEZ3ZlVyOU5EdVJNd3pKanB5Wm9tUWt2SFlvNG" TargetMode="External"/><Relationship Id="rId1497" Type="http://schemas.openxmlformats.org/officeDocument/2006/relationships/hyperlink" Target="https://news.google.com/rss/articles/CBMiXEFVX3lxTE9WSkNwYnJjQ2QtWDZBdVJMVW9mWWZLRzlpb2ozN0FyZ2lJcnRSdjdhUjlNSkc0blJnd0NSVVNYRDZ6NFNhNEN3Umw5bzB0cnM2NTdZNk1rS3Z6TUFP?oc=5" TargetMode="External"/><Relationship Id="rId1498" Type="http://schemas.openxmlformats.org/officeDocument/2006/relationships/hyperlink" Target="https://news.google.com/rss/articles/CBMidEFVX3lxTFBma3hfZzlsbjF2VGE3dTItaFpaY010WV8yeUNkVmJqb05OWU9va0h0OU0xSWhpSTlpS0xoMmM5VWxtS295XzBmZ05hV2FtdXpaQmRTT0NqRUF0cEk1VUIyelU1VHlWVU5vODlmWXBfNFR6T1pz?oc=5" TargetMode="External"/><Relationship Id="rId1499" Type="http://schemas.openxmlformats.org/officeDocument/2006/relationships/hyperlink" Target="https://news.google.com/rss/articles/CBMiZEFVX3lxTE5BQnUwSTNuam9YR3ZqRm1CcGNIUVl4Yy1rZy1YTTAwS19WWENTZ29MWlNUSWZMN0w1Tk1ucTdwSVZONWlBeG5xX2pKaG9OVVpGVUh5WnFEMkc3VzJMV3NLLXpKUXQ?oc=5" TargetMode="External"/><Relationship Id="rId1500" Type="http://schemas.openxmlformats.org/officeDocument/2006/relationships/hyperlink" Target="https://news.google.com/rss/articles/CBMibEFVX3lxTE1EV2s4MjBhYlkwRGtJNHZHRVNVVkxrZm5waXYwV1NsOHBwNUdwTWgxa0lIallkTTBTVlZ4ME5yOE1sVlZqTnFDOEwwS2sxOUZNNTNEMDEtaVFNX01MLWtrdHVHaERuVDV3elRhMQ?oc=5" TargetMode="External"/><Relationship Id="rId1501" Type="http://schemas.openxmlformats.org/officeDocument/2006/relationships/hyperlink" Target="https://news.google.com/rss/articles/CBMiVkFVX3lxTE5ZQ003bFFHU2FhdmxFX2htRDlKRGk3OEJzd0NEZDBtcGQwbE5ZZ19YQy0tVk5VeFVEOFJNTUZQWmpmMDFQcmhoeGNNc2RaeF9oUE9UUDFn?oc=5" TargetMode="External"/><Relationship Id="rId1502" Type="http://schemas.openxmlformats.org/officeDocument/2006/relationships/hyperlink" Target="https://news.google.com/rss/articles/CBMiUEFVX3lxTE9FYmlLQWU2Tkk5WDM2S2tuUTRkTnRqSGNKdnB4ZDNyMVVZN0JVQXFDOU9wS29vcl8zUW5OdHJVZG14cXFyaEhCRUc3WXNEcU1z?oc=5" TargetMode="External"/><Relationship Id="rId1503" Type="http://schemas.openxmlformats.org/officeDocument/2006/relationships/hyperlink" Target="https://news.google.com/rss/articles/CBMigwFBVV95cUxOUm1qYXdqNWJ3VVhobkdNaGxaOFBkbVR6YVduaUhOSUtiNF8tUUtOTXR6RGVBeFRzeWw2R0J3SEFOYldLRDJBcC1Kb2xFN1lJbGEwWXRBNEhfWER1eGp6WTV6dHZvakI0QXJhVzNyMWV3OEJjNDhMWjdNc2dyTGtjYWZ3bw?oc=5" TargetMode="External"/><Relationship Id="rId1504" Type="http://schemas.openxmlformats.org/officeDocument/2006/relationships/hyperlink" Target="https://news.google.com/rss/articles/CBMiZkFVX3lxTFBjNXp3ajNSN180bnl4enEyVjR6WkxnMmZOb2VPeUZEUno3djN5Ymd3ci1zUFB2T0twTGdFUktWWTg3ZzhaSmdUTkk5VngzN001WmZSSEtrWVBCT2dwVDZ0SUt4SF8xUQ?oc=5" TargetMode="External"/><Relationship Id="rId1505" Type="http://schemas.openxmlformats.org/officeDocument/2006/relationships/hyperlink" Target="https://news.google.com/rss/articles/CBMiZEFVX3lxTFBCRHctZmlDVHpHeVRyaVREbTV3TFNsdFBVOGpMVTlveXNLVzk0M2QweXBGQWJTODh6d2ZFSGpBdXNNcUVMbDR5MVEwQ2ZHaXRGXzBuVjcyRGw1M1lZRXN5WlF4blQ?oc=5" TargetMode="External"/><Relationship Id="rId1506" Type="http://schemas.openxmlformats.org/officeDocument/2006/relationships/hyperlink" Target="https://news.google.com/rss/articles/CBMidEFVX3lxTFBpa1M3MEJaeEJsWUREc1NZcUE1VXV2RC1tak1CU3A4YklpSXctTVdXcVdyMlFTNTRUZ2pQMHBjeUk5Y2d3OW5wNFdrSjg2bFNQa0RvYThrQXNLU1hjekc2d054YlkyVDM4NWY3WGQtbVVkSTFk?oc=5" TargetMode="External"/><Relationship Id="rId1507" Type="http://schemas.openxmlformats.org/officeDocument/2006/relationships/hyperlink" Target="https://news.google.com/rss/articles/CBMidkFVX3lxTE9nVFBpdE1pbFFrcDZyTkFSTEw2OHpPR294U3RQTXhjMnlVWHVSMEUtTUl5eTZFejduT2JNOXZrRW5UMjVMaTROQ1RPQ21OR0NUZjlfTzdpcUhMUEwzb0t2RUdabWR5ZjhlZHZzYVFjaVRmLS0tcXc?oc=5" TargetMode="External"/><Relationship Id="rId1508" Type="http://schemas.openxmlformats.org/officeDocument/2006/relationships/hyperlink" Target="https://news.google.com/rss/articles/CBMiZkFVX3lxTE9VZkVvancwT19yMHprY3ZZekxnNm83UGlQY1BfZFY4dy00R3JIQWsyRVJTaExfVDA3dEwxaEpTSTVUWk0zQ1kyOV92UkhITjhDZkNlaFFFNzdIZThkSHIzemZ2SlR6QQ?oc=5" TargetMode="External"/><Relationship Id="rId1509" Type="http://schemas.openxmlformats.org/officeDocument/2006/relationships/hyperlink" Target="https://news.google.com/rss/articles/CBMiZEFVX3lxTE44NGgxb24xQWJyMWx3Ulp4YTJJZl9wZFRFWG9TMnVGUjNPdDNvcFRTVGdLZGtxenkxT3JDRmRtdUZJS212c2NaN2JPTFlBenE0NXRfZUtUeFNEV1JsVFBRbjBFMVU?oc=5" TargetMode="External"/><Relationship Id="rId1510" Type="http://schemas.openxmlformats.org/officeDocument/2006/relationships/hyperlink" Target="https://news.google.com/rss/articles/CBMid0FVX3lxTE50QV9OUC1nWlRxcUhSdnNyd2NaTEdSSWJqeG4zdjZjZzU2VHBTaVFjOWxzcnNudktCd3pKcmNHMDgyWGxUMUl1Y3hVR05URTg1SlFpb3A3Xy1FNXByZzhHM2hZVDVwRDdNMTBiaXkyWVVLSkdGclJN?oc=5" TargetMode="External"/><Relationship Id="rId1511" Type="http://schemas.openxmlformats.org/officeDocument/2006/relationships/hyperlink" Target="https://news.google.com/rss/articles/CBMi1gFBVV95cUxPVkdudXBZOTRVa0xIZjdqdmdORHNmR2hNQWQyM1pieTNpc2lDR3JfdU5YOGVmUkY4LVJYU1k3R0ZmVXpWYWFZNGFqcWwwcWM1endpZURydEYtM25UZ3pWZTA3eDJTU1VWT0loMUw1RnZDNVZNZjhkNC1sSWw4anE5Rk9uaTZ3VFNQQmVpUGNKVUY2S0o3dnVuWmlFMnRjLU" TargetMode="External"/><Relationship Id="rId1512" Type="http://schemas.openxmlformats.org/officeDocument/2006/relationships/hyperlink" Target="https://news.google.com/rss/articles/CBMib0FVX3lxTE1NdWd3aWlKcHdhdTFHSy1tNlRrZjBsMEMzNzZFdF92Ujg3YXU0R3REb3ZCaDhKek9XYmJzcW9HeExmUTFkOExGblN0aXhTaHhzOGpOZVhmZ1NmMS0yZE9naXF1Zk5zMXZ6M1JnUkNLTQ?oc=5" TargetMode="External"/><Relationship Id="rId1513" Type="http://schemas.openxmlformats.org/officeDocument/2006/relationships/hyperlink" Target="https://news.google.com/rss/articles/CBMirgFBVV95cUxQeS02TlR5SnlyTVlSVnlPSTRxYXY1dm03ZnFNbksyenJlVzlENWg0ZXh6bTFxQnVHdjhBV3hrSUtocWxrRWNyZFBsem16LUl0TnBiNDVGb2dwYWh2ZGNDVjdzSEluWWROa19wbVVjV3RPelhpZGtObVhjTVNYS1lMeTdXRVJoeVJlLW9Da2FpV1N2ZmU3eHRLNTZnQndUT2" TargetMode="External"/><Relationship Id="rId1514" Type="http://schemas.openxmlformats.org/officeDocument/2006/relationships/hyperlink" Target="https://news.google.com/rss/articles/CBMirAFBVV95cUxOb2owN3I5elZzbl9hemNTSU5QbjRoU0ZwNEpjQkxUTVZVdHhROVlGVE5QQlR1RFlhdVB6REg3bmlEU2tiLU81MVlTUlpucEY4T0s3dHgwMTdNRUNDSjlwSWpYaHVJcWMycUgtY2k4NWpET3doUDhRYmU1bGZJSTFrUzhfWlIydDNXZ2NKcUlZaFZEenB1Ml9fcjBZdHY4NT" TargetMode="External"/><Relationship Id="rId1515" Type="http://schemas.openxmlformats.org/officeDocument/2006/relationships/hyperlink" Target="https://news.google.com/rss/articles/CBMiVkFVX3lxTE5ZQ003bFFHU2FhdmxFX2htRDlKRGk3OEJzd0NEZDBtcGQwbE5ZZ19YQy0tVk5VeFVEOFJNTUZQWmpmMDFQcmhoeGNNc2RaeF9oUE9UUDFn?oc=5" TargetMode="External"/><Relationship Id="rId1516" Type="http://schemas.openxmlformats.org/officeDocument/2006/relationships/hyperlink" Target="https://news.google.com/rss/articles/CBMibkFVX3lxTE1Wa3ZLR2w4TUZ5eFQyZzRVLXdZSHhkQzV0dlMwWmpaelAwZ1RsVFdTWG1lX0VSZTd3M0JnVnB3NElhRnFRdU80Yll6TENQVzRpa2ludENtbV94MTJPSVRTOWtWQlNFMTdCaHZ2Q2NR?oc=5" TargetMode="External"/><Relationship Id="rId1517" Type="http://schemas.openxmlformats.org/officeDocument/2006/relationships/hyperlink" Target="https://news.google.com/rss/articles/CBMi1gFBVV95cUxPblpWaHYtZlpyLVFyTFMyaC05ZXRIZmRlQk0xUklLdGlRRC1HUElYZTdiWFJrZ3NMazNGVE5MbDd1WmQ4Sm5XbUZPek9Bb240ZEs0bzJuMnh6Y0pCdV9NS0FDMmJCM0ZOeXBjem4zQlVmTHhVVTJMSVFNRmk4ZE9wRGt4czJvTDRBUGR6R0FpRjlleHpib1hMSGN3ZWVhbl" TargetMode="External"/><Relationship Id="rId1518" Type="http://schemas.openxmlformats.org/officeDocument/2006/relationships/hyperlink" Target="https://news.google.com/rss/articles/CBMikAFBVV95cUxPTTI1RGQ0WnMtY0VQbEdhaDBZNy1LVUpTWWloa05FOWE4SWJnazlMS1l3UzF2UEhCdFJtdW41WVZEZ08wWUtLNGVQcmR3SVF3QzJmMFdoaVROM0NDbVk3aEphLTYzOUVsY2JnYU1zWFZJUU5KVC0xV3dwem1HSlVZN25WaUY5c25hNTRZdFJ6Q1k?oc=5" TargetMode="External"/><Relationship Id="rId1519" Type="http://schemas.openxmlformats.org/officeDocument/2006/relationships/hyperlink" Target="https://news.google.com/rss/articles/CBMiVEFVX3lxTE1JMldGbkg3MU9ya25FcFM2a2Y1bGJKSE1hcGFMUHJya1M5VU5lQ2tzOGY5cXExNl9pcGU4ZHB5RUlreEFPMHg0VVF3akxMcGRRR3Q3dw?oc=5" TargetMode="External"/><Relationship Id="rId1520" Type="http://schemas.openxmlformats.org/officeDocument/2006/relationships/hyperlink" Target="https://news.google.com/rss/articles/CBMiUkFVX3lxTE1FNFU1anl5RWJjNDJtM1UyMlRULUFPQm1xbl9Mc2lmcDJLbUM2cmZZNGpHRE1MSzFnb0ZyWUd4T0hybGZRNmtpazg0Wkp1blh2aGc?oc=5" TargetMode="External"/><Relationship Id="rId1521" Type="http://schemas.openxmlformats.org/officeDocument/2006/relationships/hyperlink" Target="https://news.google.com/rss/articles/CBMiZEFVX3lxTFBFMnoyQURkc1NhODQ2VkZsLWVLR3dNajhMV0FBYlNpZUpSTzk2U1Jjb183M2hoNVFPX3hLcG9aM0JkZWZBNlJBaUxVRG1VVHVQeXA0alZ1TmtkMmdvcFltdENQSV8?oc=5" TargetMode="External"/><Relationship Id="rId1522" Type="http://schemas.openxmlformats.org/officeDocument/2006/relationships/hyperlink" Target="https://news.google.com/rss/articles/CBMib0FVX3lxTE9DSnVqU1dRZWZGQ24xQ3QtMGM3OGJGN0dEbS11SlRTcm1WSF9xUHc2Y3V5WmZZSk5XaThfV1dPX0Exd2JoY0NWR09rTmVLRlB6dG1NeXlTS0VpXzNkTms4SHExa3lBNVU3SC1kOVpydw?oc=5" TargetMode="External"/><Relationship Id="rId1523" Type="http://schemas.openxmlformats.org/officeDocument/2006/relationships/hyperlink" Target="https://news.google.com/rss/articles/CBMiqgFBVV95cUxPXzNkdkg4ZjJ3VloySE04Y1pBZkx6YmxsYUg1b0dfMWNzXzZ3ZWpqSUo3aWI4RUppSk5JUVJRODU3MV9jZ29KNnBLVkdmWVdsNGxDMUI4UWczSXBqRGpvXzFiM24zUUpTYlBCaTFYcS1rWmtWTmJ0QjlzM3RmTGhObk5SODlHdUp3OUhyTHVPOXlSb2U5LWRjZldNVk1FZj" TargetMode="External"/><Relationship Id="rId1524" Type="http://schemas.openxmlformats.org/officeDocument/2006/relationships/hyperlink" Target="https://news.google.com/rss/articles/CBMiYEFVX3lxTE8tSFZQaERhU2twVlU5cXJzX3lWamV4ZE5zeUlyVTk2M1hXYi1WZGZtd2VIUWdhdU55eGNkV0dyTERacTZMUnB6aE5tNk9icFBmYVVxeUU2S3lJNGhLMmlfdA?oc=5" TargetMode="External"/><Relationship Id="rId1525" Type="http://schemas.openxmlformats.org/officeDocument/2006/relationships/hyperlink" Target="https://news.google.com/rss/articles/CBMivgFBVV95cUxNb0lYdGxtb0xhLTkxWFBvMXZTcFJ2WmJTb25PNnJkbERJNHBkQmw4T1FQODE1cWF5NXhTOUJlbUhfUk9aRnR2VEpyb1NxMWRjMzEwY0pHYnRBUTdERnZ0Qm1yWW0wS00wQWU5N05lSmc2Y3QxZlBuVmhLZE90Q3Y0N0E2bUpHaThtaktadklwVmtVbDlGd1F1Q3plR0lSZE" TargetMode="External"/><Relationship Id="rId1526" Type="http://schemas.openxmlformats.org/officeDocument/2006/relationships/hyperlink" Target="https://news.google.com/rss/articles/CBMibkFVX3lxTFAxVWkxSFU3S3VmUkZnQm1KenVIQllHOEFDLXJBRml2OVR2Y0FOY0oxbG9QMW85WmlPa3dCdDgzR056dlg4Y3RPNy11MlBDbHNTaDVDYnFSV1QxbUNWczlzMlZybXZRQ0dYeHdwdVJB?oc=5" TargetMode="External"/><Relationship Id="rId1527" Type="http://schemas.openxmlformats.org/officeDocument/2006/relationships/hyperlink" Target="https://news.google.com/rss/articles/CBMivAFBVV95cUxOMGwweHNNYUVieG1sY0doLXF0ZURhU0tidk1oUi11R2VTdFcwSWVmelZYRXBSR184LXdWU190aGFqWTVuS1B1OGQtSzRQVy1fZHBiWUktVHltM0pWUnJnOXdGdURoQy0xbUFIYUQ4MlFVTHUtLUQ2OTh2d1kwTWZMYl9YX2ZJNWpoLTdkcTBzbldxSVkwR1FZVDFUZHYtYl" TargetMode="External"/><Relationship Id="rId1528" Type="http://schemas.openxmlformats.org/officeDocument/2006/relationships/hyperlink" Target="https://news.google.com/rss/articles/CBMibEFVX3lxTFB4ZXB1T1dtVDExVEJfWjVxQVpkWXRGa3JlM0NqeWxqWlRHSS1vekM2ZkVPdk5LRmp5azRIMk04UHNGWTluUGJESTF1dzAzS1NaeFhSNDluV010VExJVGRlQTdwZlY0bWg1N3JHTw?oc=5" TargetMode="External"/><Relationship Id="rId1529" Type="http://schemas.openxmlformats.org/officeDocument/2006/relationships/hyperlink" Target="https://news.google.com/rss/articles/CBMibkFVX3lxTFB3SkJ2TzBVYUYzdG9jTFhBd2VGY05lQUZhaHFMMzNBb3l6dW9hNi1XelhoU1dTUTdPdklxWVREUHNFSWVEdW9sVGpEYm5XdHUyUkRQVjFjZ2F1NXFCSTdKRFRoT3d6TzlFOGQxeW5R?oc=5" TargetMode="External"/><Relationship Id="rId1530" Type="http://schemas.openxmlformats.org/officeDocument/2006/relationships/hyperlink" Target="https://news.google.com/rss/articles/CBMic0FVX3lxTE1vR3ZxaXJ5OWpkYXlra21NYUQ5R0tOM3lhQjU0MFVmUGs0dGFvM0l0bkQ1NGM0bDRJdTBnaTNSX3JOQmFJaFo5SW5EN0NnWWxIeXZjUFMzdUVrV1puSlp0cUZ5Rmt6RXhBbHF0Q25qdjJXN3M?oc=5" TargetMode="External"/><Relationship Id="rId1531" Type="http://schemas.openxmlformats.org/officeDocument/2006/relationships/hyperlink" Target="https://news.google.com/rss/articles/CBMifEFVX3lxTE40ekhJcllpWlhVUlI3MlVqa05ha2FzNFFuR2RIenVRd2djUTRjTUhFMm5ZYlZ3Zk1IWUV3bE1NRGxMYTU0UFNBbTBRQ0NOaG9vMDdyZEkzWXQwbURUbXY2S3FFUDZocVhLUFdPcGlneTlHX2NEVkthWXNhN1E?oc=5" TargetMode="External"/><Relationship Id="rId1532" Type="http://schemas.openxmlformats.org/officeDocument/2006/relationships/hyperlink" Target="https://news.google.com/rss/articles/CBMiUEFVX3lxTFB0UFR6czNTNmhKdnBmWXFCeHFFeXFjdDFBempJaGUwVDJHekkwUUgxeUZodVdfV2drb0pFVEtpdkNseENGTndNcGdXczg1NUVH?oc=5" TargetMode="External"/><Relationship Id="rId1533" Type="http://schemas.openxmlformats.org/officeDocument/2006/relationships/hyperlink" Target="https://news.google.com/rss/articles/CBMiuAFBVV95cUxNR3QyMWRaRy1uUmRsYnNVZ09RQVBvTWIyb3hfVEdTR0NlR1NJcWsyVXgxNC1ScEtGTVdBeGVXWE8wUXdwSGlILXZrU3l5UEY5Z1d3eGFnZ0hrMVNtT2xNSEJmN1VHSk5Sc1pDU1YxZjJKOFlKWUFOdmpNSHI5ZGJsb2VxYkZHVWt0YWxoR2JmREF4MGluLUJZc0V5bnNscF" TargetMode="External"/><Relationship Id="rId1534" Type="http://schemas.openxmlformats.org/officeDocument/2006/relationships/hyperlink" Target="https://news.google.com/rss/articles/CBMiUkFVX3lxTE5hX1M1ZGhGano5MWhSNlJsem9wNHV3M1B6NkE2LVNJOUZlU1hVLVRyYVhvbkljV0RGaWpPOGMya3VyTjVpc014dFphektOS1gzcHc?oc=5" TargetMode="External"/><Relationship Id="rId1535" Type="http://schemas.openxmlformats.org/officeDocument/2006/relationships/hyperlink" Target="https://news.google.com/rss/articles/CBMirAFBVV95cUxNeURnTUd0cWF3dFJWa3ZubUFXODRLTTIyT0xhMzZMSlFRR1ZkWHhqckF3ZzhqY2p3VHItZEZ3aC0xZWl5TENOeF80anZhSWdQeHhBenBFTWJDcjNrRlBuMWlGNUQyTy1IcmY2MTNOOTJjQ0pXU0RRcnRLZlo3Y0RITEFyUVhhTWxvZmZNQ0lvaXZtTGJVckg2QS1HOW5Waj" TargetMode="External"/><Relationship Id="rId1536" Type="http://schemas.openxmlformats.org/officeDocument/2006/relationships/hyperlink" Target="https://news.google.com/rss/articles/CBMiYEFVX3lxTFBuZjNrWjNzUnhRWktsLUxnZ0N0RUxfSngwSU1QbC1nZUU0YkdrcXVydnRjMkRHSWV1VTRJZHZuaUhxNm9hWUE4QmRtR2dCMTQxRS1hUzR3V1NLN05qT0VzbA?oc=5" TargetMode="External"/><Relationship Id="rId1537" Type="http://schemas.openxmlformats.org/officeDocument/2006/relationships/hyperlink" Target="https://news.google.com/rss/articles/CBMikwFBVV95cUxPWlYwVloxWmFCSy1UNC1CcWF5YnFFTG5ucDRWTHlBZGNQXzZfZkkwSDctcHg5ejFGOGFDMUJTcVZBRHYwYmQ1MFdVaC1UN1laTl9PSXByY0hfY0szcVdDbDhIazdxMjlDWW5jczNaVkZnN25CYnlIcU8tZnVDYWJUV0xkN0NWTEtkRFU5RDI2eEdZYnM?oc=5" TargetMode="External"/><Relationship Id="rId1538" Type="http://schemas.openxmlformats.org/officeDocument/2006/relationships/hyperlink" Target="https://news.google.com/rss/articles/CBMibEFVX3lxTE9aSmtNZ1ZVZ3R2b0dXQURNVHo5RGxqME00ZkRtN0pYa2JiYXhIZ1JZTHlLWXFURTQyY2NaUmhMeW93ZmF2Z0ozTGZaMmhoYklCM01yRkNpQlNvaE1TRVczdVc1eHFzUVc1WWxxVg?oc=5" TargetMode="External"/><Relationship Id="rId1539" Type="http://schemas.openxmlformats.org/officeDocument/2006/relationships/hyperlink" Target="https://news.google.com/rss/articles/CBMirAFBVV95cUxPN2hOUDZoUlV0a1diU3JyNDU3dWxHLUliVjhTS1cwUzZxcl9KUXRJWUxPQTVibTM3UDZYVTlVQi1MYjRZRU1ZdzdEVTl6OE1sUXp2MnVYU2VFUXpZcWw2QUZjcGpfUUFmMUdIQlk0dklrWFVGT0ZOb0poRmxhcnFqNXBtVmgwZU1kampOVFQ1REhkZV9wV2FlRC1wSUY1VD" TargetMode="External"/><Relationship Id="rId1540" Type="http://schemas.openxmlformats.org/officeDocument/2006/relationships/hyperlink" Target="https://news.google.com/rss/articles/CBMijAFBVV95cUxONDJpVkVUTGJsLU9tVEVzWmxDQ25WcG85N0NydDdOQURLY3Z4aVpmZ3VTTllzdkoyQi1YUkFJbGpTS2N5S2pUN3hpZW5lNzNWa2pxczRRZHAycGc5Nm5hTkNVUlNtdUFhN3hMemk0eUxtZlBKejh1bVpCSzQ1eXJ5UlZVWWdYVWdhRlpDTA?oc=5" TargetMode="External"/><Relationship Id="rId1541" Type="http://schemas.openxmlformats.org/officeDocument/2006/relationships/hyperlink" Target="https://news.google.com/rss/articles/CBMiqAFBVV95cUxPWmpuUHRuOXN3elRQR3ZSVDdWUVFLdWNGS0VCTVktbHEzUlg5RGhXQVdpUExjelE0Z2ZveWF3c1psSEU2ZHBXckNXRHMwMjFyTHdHeUxrVG4xbFFKZ2J3RUNaV3hxQ3ZnQzFrU0xzMWNQdENUUzVxQUVydExqTGNaLU1XaEZXQzZsY1F0VElpUmtOeWxqbjZ2OUVONmtZUU" TargetMode="External"/><Relationship Id="rId1542" Type="http://schemas.openxmlformats.org/officeDocument/2006/relationships/hyperlink" Target="https://news.google.com/rss/articles/CBMi3gFBVV95cUxOd3dZZnh0dHpwUUNTQ1Q4LXlVRi1yR1lfNDRUaUtlOW96RDd3VVVrQW16OWtXM2M2WGJQT1FoTjJlbjVGWDBOcVFheVFtWk1wLXZjVy1hX1FzYm9OZUF5Z09tUmZ2MnZvV0UxaktmUVZIVldmX0dvUXdtc2Z3QUIzQXpzUXh4WU4xMVZWVmdmOGRzalI3UWJ3WHV1SXVlMU" TargetMode="External"/><Relationship Id="rId1543" Type="http://schemas.openxmlformats.org/officeDocument/2006/relationships/hyperlink" Target="https://news.google.com/rss/articles/CBMixgFBVV95cUxQTTRPREN5Zy0tTWhXemUwTERyOUpJX2RoR1VVaHFTbU02dU82d3RfQ2I0d0VSZ2pxaURlSG5ma0VWT1dGaW1iU24zNW9ieTRpTHF0MGlyc3JqTjdtRENWbG1KZ1EzOUZGdy10N1FrbHVEWGJnY0FyQWplYkxJU1lRY2NoTlJjUkN6Y180cHhJSGpKNi00Y1BpYWhpWVUtd3" TargetMode="External"/><Relationship Id="rId1544" Type="http://schemas.openxmlformats.org/officeDocument/2006/relationships/hyperlink" Target="https://news.google.com/rss/articles/CBMi0wFBVV95cUxOS2R1eURZaTdFOG5fdkV0VkNDSk5jUmt4VzFQbWxIWFdQZ002YlFsbjJvbVpWMXA1Z0J0bUQ5aUk4NmpXNjcyZl95RnpjcWxpWVZOQUd1QS1WczA0MVVQTkNSMGlKdlV1MEVnbWd3TlBhXzFEMmNOeHdhN0xwbU95ZFg1c09WNFV4ZDVjbXl5UVo1TXFFS0h0Y2xqZUYtSD" TargetMode="External"/><Relationship Id="rId1545" Type="http://schemas.openxmlformats.org/officeDocument/2006/relationships/hyperlink" Target="https://news.google.com/rss/articles/CBMiuAFBVV95cUxPSWlvZXRINDItQV9DQ1ZBcE1rMVlQTlE5RXRJV3RJdk9oTW9ZNnNqWm10dU5OaVFvWnJOeGxBMGtyemFkS2QwQTVGU000Yy13cWd3enpvZ2h6emRuRUZZaGZQQ2FaN3dzdkIwMTRJeWZnVm8zQ3NlLTNvU2dDWktLbzlIdlQ4OHZvSnF6b2kwV0xmTGh6M193WTBSb3U1Zn" TargetMode="External"/><Relationship Id="rId1546" Type="http://schemas.openxmlformats.org/officeDocument/2006/relationships/hyperlink" Target="https://news.google.com/rss/articles/CBMiV0FVX3lxTFBRQk1vLVRGQi1rSHB5U1dDTUFlaFN5X0t1VXBHRGJFSlh4TjdZY2p3ZUhHYkpYbTNYaFBlNmQyaV9JaDlsSU9jRnZac0xkUWwzeDVrYXJlaw?oc=5" TargetMode="External"/><Relationship Id="rId1547" Type="http://schemas.openxmlformats.org/officeDocument/2006/relationships/hyperlink" Target="https://news.google.com/rss/articles/CBMibEFVX3lxTE0xREptMXFKN0hUc2NsSzZMQ0M3XzFkS0J5WnZ0ZlRSZEpGc1l0RTN6N2tTbVkza2RtTHBCVkZfLURvbnpIZ25KYWxiYkRXc0ZKbWdnTHdxYndrdHpIcWdKVEhwLU0zWnlaU0xOaw?oc=5" TargetMode="External"/><Relationship Id="rId1548" Type="http://schemas.openxmlformats.org/officeDocument/2006/relationships/hyperlink" Target="https://news.google.com/rss/articles/CBMivgFBVV95cUxOYUhRVkFHclJEY2VOd0VDVTI1eEZ5Tkt4Z2RVVXhrV3dzNFBHZnBNb3BubkpXSzZjc0xpX0ZnSlBidlJhcHY2Nkt2MERkQlk4bGFxVTlBR0s3X2RHd0QxVk5PdHpjcnNKWWtFOGp2WS1HUzFRQml5NXdvRXluNTRYNzQtY0NULWVCQW0zLS1yMDAwaUdOUmtEc3pZZkI2Qm" TargetMode="External"/><Relationship Id="rId1549" Type="http://schemas.openxmlformats.org/officeDocument/2006/relationships/hyperlink" Target="https://news.google.com/rss/articles/CBMibEFVX3lxTFBmUWlHZUZjZ1FQdnZ6N0ZLSTZwdV9xdjlnVmdyM3dlMzUxM3M1S0tXdUNPeXZGekpfR0dZUWp5VDVUdHZlVkxnV0hCd0tMMEFfSmRUX2YtamNveWhJdFBfTzloSE5hN1luUllBOQ?oc=5" TargetMode="External"/><Relationship Id="rId1550" Type="http://schemas.openxmlformats.org/officeDocument/2006/relationships/hyperlink" Target="https://news.google.com/rss/articles/CBMijgFBVV95cUxNYjFMd3lQM244RkFfaFA2SGZBRERPMks0NkkydGlCdFMzMF9iZ3BTV01VeTNReEFlcDFLQkc5LWNfeW9ienFMWElVbnllWnJsR1U4WDZtUWJzODA4bmgxYl9jSmpjd3BvbXpRd2U5d0pDQTBjT0NzTTd3elJYbEppSUZhenRvTFdpREZkNW9n?oc=5" TargetMode="External"/><Relationship Id="rId1551" Type="http://schemas.openxmlformats.org/officeDocument/2006/relationships/hyperlink" Target="https://news.google.com/rss/articles/CBMibkFVX3lxTE1uTWVTaFJZWHh2NTMyeHAtclNyRjNfU1BfSDhNOVNEMUpYcXVGS1lNcmFScG5wN1YydmJMckhTeWFicXFxQ29wMEFRTEh6c3Iwb3BXc2RsZU53ZE53SVR3WjhLbFVQdEExc0g2V0p3?oc=5" TargetMode="External"/><Relationship Id="rId1552" Type="http://schemas.openxmlformats.org/officeDocument/2006/relationships/hyperlink" Target="https://news.google.com/rss/articles/CBMiZkFVX3lxTE1fc0JaWTRlUTFYdkVqQlFhQVM3aHJ1bDVaWG9WaEJkT0c1Q2lGU2Z0VVhRMUJiT0hILWlHcGdsd3ZfQ0MyRkJxOXdYUHE5cVJVX0xTWGFsLTZFaS04bGdiRXZEOUotZw?oc=5" TargetMode="External"/><Relationship Id="rId1553" Type="http://schemas.openxmlformats.org/officeDocument/2006/relationships/hyperlink" Target="https://news.google.com/rss/articles/CBMie0FVX3lxTE05UmJya2QtT3puMWNDOFZaN2x1LUlseU96LXdGc2ExNEgtcFJjRThGbDhGUXozNXFHYlpINmNvQ3ZSckV1YUUyNjhkTFVPZFdUQTFUM01wMjZVWGJpN3JYQ1M5dWQyTXloUlVlSUQ1dFV4bjZNaTlXZlZmZw?oc=5" TargetMode="External"/><Relationship Id="rId1554" Type="http://schemas.openxmlformats.org/officeDocument/2006/relationships/hyperlink" Target="https://news.google.com/rss/articles/CBMiyAFBVV95cUxPVUNIVFR3V0FJWWw1R0NNVVJfUlRLVE5qRGViZlJSVy1Lb3BUNjlSNE4yTVZQdWsyWW1hQ2VmM19lSzRVMVBkWTNONVdabjl2bzE2b2FOdUkzTXV5LXd5dWZqdFB0ai1Mb2d3bjd0dllxVm5YZHQ4d3AwU0pGcXVsMWpWWThPVERoT0RGaXM3TWlXZkotNXh3UzN5cUloRU" TargetMode="External"/><Relationship Id="rId1555" Type="http://schemas.openxmlformats.org/officeDocument/2006/relationships/hyperlink" Target="https://news.google.com/rss/articles/CBMitwFBVV95cUxQYmthdldhQUJBeXpncWxGZWFQQ1BrLUJJbDdqREtDTXhROFpuTmNHNjFQcmNMLTVPNC1VcGFBYmlNWWpTcV95OEs3d3VzZWRXb2pENGdTcFcxT2RWaDFMeHRuVWRrNnBOY1JybDczNHBhMmJGQnQ0YUNIY0dBeHZoX3NHYWhCQjJxSEJna3hHTTU5TE5ZaTdxdVhzVTVwOH" TargetMode="External"/><Relationship Id="rId1556" Type="http://schemas.openxmlformats.org/officeDocument/2006/relationships/hyperlink" Target="https://news.google.com/rss/articles/CBMiyAFBVV95cUxPTzVYX0VDS1RhczliY1M3UEJzTGZka0l5dXZxTzc3RVY1ZXJCY1I5ZzA2RWZDalhMMFhwTU9BbXdxMnh0dVUtNWJhNnJrcTg5OGlGbF9NRUwzOWRMNmNWOTlRSFNsWmZ2UlVrdExWa3AxMUFLWU9faG0wVDhuc1F4MS1UMkl0bmo4LXNva0hPblpJRVd5S1JSNnVVellBcV" TargetMode="External"/><Relationship Id="rId1557" Type="http://schemas.openxmlformats.org/officeDocument/2006/relationships/hyperlink" Target="https://news.google.com/rss/articles/CBMifkFVX3lxTFBfVjktVm5LQU52dWdvRDloSUtZWjdQeVU5d2UwYnNVejk5T0g0RFk0MXl5NlNnUFdMUWZzQzZ0cFAzcVZwZVFHYkVCcmVqTFYzN250MWlib29jYUV4ZEk4M0FScmRtcExnYTh3RG1oS2xEemFMdTdMOEw4bmpZdw?oc=5" TargetMode="External"/><Relationship Id="rId1558" Type="http://schemas.openxmlformats.org/officeDocument/2006/relationships/hyperlink" Target="https://news.google.com/rss/articles/CBMiWkFVX3lxTE1qZlhrb3F2Uk1sOHhTcTJIcDlKb1hmVkkxREhCck8xVFpINmFTanRvcDlheUptREJYSUpvQU5mQUJLUDM1eVV4V0M0aU1EcVU5aTEzTDVCMld4dw?oc=5" TargetMode="External"/><Relationship Id="rId1559" Type="http://schemas.openxmlformats.org/officeDocument/2006/relationships/hyperlink" Target="https://news.google.com/rss/articles/CBMidEFVX3lxTE04NGxWQVYwMVI5YVZNVUFzM1pKS3pjMVRwSmRGZlhPNEFUYV9keVFvMm9WVkZMX2E0cHp4eXJlQ0xhd0tFV3JwT1FCa0dTT2xMOTZHaVRueHpqQVI3QWlqaWVzUEFKR3hyZ3YtdG1OV3liRWZQ?oc=5" TargetMode="External"/><Relationship Id="rId1560" Type="http://schemas.openxmlformats.org/officeDocument/2006/relationships/hyperlink" Target="https://news.google.com/rss/articles/CBMinwFBVV95cUxOSGIwdDdfRXBLMDNiVzl6RUliZnAyWS05c0VGazFERnl0ZDFpT0F2bTRBUXdiLVg3UDhzMWtxcHFRNFpxZ3IzRHBVZ0xibENueHF4YjBMeVBPT180a3BQRTFOX0Q2RnlUNjlhWjRqeWxzdzhSUXo5eEh1cUttQ294dFJzWWpfcWoyRUw3Nm11aWlBNVZMY25DcDFDeHlySF" TargetMode="External"/><Relationship Id="rId1561" Type="http://schemas.openxmlformats.org/officeDocument/2006/relationships/hyperlink" Target="https://news.google.com/rss/articles/CBMidEFVX3lxTE5NTk1mc2hienV3a3dieklCdG56SjltVzNmM0NEVnR4UEtWMHBmZTVOX2gtelg3LXZLazIwY195SW5JemhyVEoteWZnV25fd0N0NFQ4WDdaMDNGa0hUWFFSQnd0c3BpUUt2dWRYZXlWTjVBc3Zv?oc=5" TargetMode="External"/><Relationship Id="rId1562" Type="http://schemas.openxmlformats.org/officeDocument/2006/relationships/hyperlink" Target="https://news.google.com/rss/articles/CBMiYkFVX3lxTE5hdThnMUxOWnAwa0dEcVJfODNZVGo1aGthenlXOGRadms3emZfUEZqaGkyVHVEUzFDZFRTdGxxQ1FLRHVLMUg2OVVzbTN0QzZ3cGVnRnpDLWFDMm00bEF6V2JB?oc=5" TargetMode="External"/><Relationship Id="rId1563" Type="http://schemas.openxmlformats.org/officeDocument/2006/relationships/hyperlink" Target="https://news.google.com/rss/articles/CBMingFBVV95cUxPcjg1SmlsX3ctbGU4SkliQnNIakEzTks1RU9KYVdBemVia0lXT3VDR1A3akROaUJrM3JiVnRZZ1pOY3VjOHJQUy1fMzlVS2NmemplV2haQndMQkZ1QW9vVFV3Vmo2eHpTZkRteS1aY0dRRWRtWUVQclBRWVBGZjlCQ1JRV25ncVVrZjNWNEJSbVppWFZZaDRLS1lsVHY4dw" TargetMode="External"/><Relationship Id="rId1564" Type="http://schemas.openxmlformats.org/officeDocument/2006/relationships/hyperlink" Target="https://news.google.com/rss/articles/CBMinwFBVV95cUxOSGIwdDdfRXBLMDNiVzl6RUliZnAyWS05c0VGazFERnl0ZDFpT0F2bTRBUXdiLVg3UDhzMWtxcHFRNFpxZ3IzRHBVZ0xibENueHF4YjBMeVBPT180a3BQRTFOX0Q2RnlUNjlhWjRqeWxzdzhSUXo5eEh1cUttQ294dFJzWWpfcWoyRUw3Nm11aWlBNVZMY25DcDFDeHlySF" TargetMode="External"/><Relationship Id="rId1565" Type="http://schemas.openxmlformats.org/officeDocument/2006/relationships/hyperlink" Target="https://news.google.com/rss/articles/CBMieEFVX3lxTE9samMxTmNJZ0dCU1ZHQzZVbWJLQkZZeVhxZjgwZDgzT09SRG5pRVNLMjNDYkx6alZFVVBmdVZzc1l0U2ZIcjdURVRzOC1fdUhOSFplbUNrVXYyQ2lJUFQ5ZEwtbUs1N0U3TnYzX0l5YXY1Y2FiWlRzcg?oc=5" TargetMode="External"/><Relationship Id="rId1566" Type="http://schemas.openxmlformats.org/officeDocument/2006/relationships/hyperlink" Target="https://news.google.com/rss/articles/CBMidEFVX3lxTFB2WkdwQ0tLUFpuSWszbFpMWjVFYWNLZmIwYVRPRUxpdTNtQnctM3VRdzhWbmNSY1p0Q25lNlRGeUdCS1p0VFhfbEVhMmRVZEhvajliRF9KcnVkT2hvMklPbWFkck5fWUpjcWFDRVUzLU5vUVpB?oc=5" TargetMode="External"/><Relationship Id="rId1567" Type="http://schemas.openxmlformats.org/officeDocument/2006/relationships/hyperlink" Target="https://news.google.com/rss/articles/CBMigAJBVV95cUxPU25GUnlkelA3NXB2eDJZNGt4RllfSkFMUVFwYTQ0ZzhGUDc1UmswN0FveUZKSEJzSmZ2V0VOT1ZyWjNBeEU4VnlIWjhnM3U5UXkzMFlrdGJtam10NS1sY3dLSVVMTHJyU1AybWlpTEZfVmxmZ1gtZnNPdDBLMHB3cllJR3BYel9ES3RZckprOUIzSHJRLVNLaTB2X085bE" TargetMode="External"/><Relationship Id="rId1568" Type="http://schemas.openxmlformats.org/officeDocument/2006/relationships/hyperlink" Target="https://news.google.com/rss/articles/CBMibkFVX3lxTE9rUzV3RTlEVU5lUlZ5YzRudmZpT2xxRmVIY01BRG9VcnhvandDY0RwdV9icGlTSGlPcXZkUjF4eko0ckJocndiNkloSWxGeU5iVTBpanozTlRkQ3lSLVNmRGtudXVVcnNwSGt2d0pR?oc=5" TargetMode="External"/><Relationship Id="rId1569" Type="http://schemas.openxmlformats.org/officeDocument/2006/relationships/hyperlink" Target="https://news.google.com/rss/articles/CBMibEFVX3lxTE9VRmFCSFZtVTBNUjRwSHJRYm9aeTJBM1JIaDk1aXNyX0hRUmJGMGtWSzVlNFhVbEJfSmx5Wmtpcjd0QzdxN3p4cVJjdW0yQWczanpVeXl5X3M4ejNBdk15ZmF6aHdiQndORmhjaw?oc=5" TargetMode="External"/><Relationship Id="rId1570" Type="http://schemas.openxmlformats.org/officeDocument/2006/relationships/hyperlink" Target="https://news.google.com/rss/articles/CBMid0FVX3lxTE1sSU0wU050XzVtZUFORzItMFF3MDZMZjhJZ01raUZiUXVncU8wWVlqNV90TmlMdDZPU2p1QzYwYW5ianM1SW5xUXR2SEM2ajRYVkM0akNSVGpKY2lWcEg5dnluVDNqMjNya1Rub1lyX1BqQW14bnRR?oc=5" TargetMode="External"/><Relationship Id="rId1571" Type="http://schemas.openxmlformats.org/officeDocument/2006/relationships/hyperlink" Target="https://news.google.com/rss/articles/CBMivgFBVV95cUxNdXZrakRsS3A2cTMzdW9wQ01LV3BHQUllTUQycFpwYWFZSFJ5VUo3X21MQ3FpTlZmUnc0TW40UVF6WUlmYmtHVXBCUHZEdkM1VWJkdHBuSV81Y3ZCcF9ZTDJadTJSS2hGU0gzZlBZR1pxbklCUlpuWFlRVHZDVGRZSXR5bHNnMTk4MnlsSmNNVUZEeTZ4UWNjRjlHbXBNTV" TargetMode="External"/><Relationship Id="rId1572" Type="http://schemas.openxmlformats.org/officeDocument/2006/relationships/hyperlink" Target="https://news.google.com/rss/articles/CBMijAFBVV95cUxQWVBqM3FrTE9QSEJPd3RGT3RsZy1teFhPVFU5VW1aNE1EblhuV0lnNlhLR2htMW5OVk9wWFVCS1FLTW5OcFQyNGdibW95N0ZJc3dLcFRHanN1VnpUSXVodUhjSzl2VGM1X19DbjVDRTZHWDNSNHFQUTVvaDBPenJmbDZwZTVlNFVKak1teg?oc=5" TargetMode="External"/><Relationship Id="rId1573" Type="http://schemas.openxmlformats.org/officeDocument/2006/relationships/hyperlink" Target="https://news.google.com/rss/articles/CBMingFBVV95cUxObndUNVdfSXQyN1J1SndMR1FEb1AtTE1fVFJkaTIya1htZm1xN3k4ZGIySlZTS1dWQ2k3UjhMSk1TZ1lHTVhzNF9sNGZ1NGpGaHl3Z19RWml0NjJveDN1SUdWaHB0Nl84ZmdiUVlmcWlaVGhOUU5iZ0FMQ25mT0c4YTBVSnlKd0tGNlRBeTdQdVBlMmJfODhVZjFIX3c0dw" TargetMode="External"/><Relationship Id="rId1574" Type="http://schemas.openxmlformats.org/officeDocument/2006/relationships/hyperlink" Target="https://news.google.com/rss/articles/CBMiZkFVX3lxTE5fUVFfOGlvbmhFamY1UTB5YWVfRllSZ254WXR3X3h1bDVXbDg2SFp1Rmk1ZFlPQzJwY1dsdkFpQXktekpUTFJtSlZNejNCU3lpU2VzYnc3dHVkVkNfZERGT1FqM2JQUQ?oc=5" TargetMode="External"/><Relationship Id="rId1575" Type="http://schemas.openxmlformats.org/officeDocument/2006/relationships/hyperlink" Target="https://news.google.com/rss/articles/CBMiY0FVX3lxTE4yTHpjRnF0eXpMT0ZHUjNtcWxFeHRCVUZ5Y3NWM3BBZDJHNUNMTV9XNkI5SGdaTy14WGJzU0pQRi1wNllfV0MwNE4wa3Fua2xBckwwYldkdE5hZXVRb2p6d3ZhMA?oc=5" TargetMode="External"/><Relationship Id="rId1576" Type="http://schemas.openxmlformats.org/officeDocument/2006/relationships/hyperlink" Target="https://news.google.com/rss/articles/CBMibEFVX3lxTE1iNEZEbHcxcDl6OU9tYndYWWFEZ0RkWVlORkZaUW83a0NpRjVIRVcxM3ZCRXNJbWE1cGZHdlhiNUloREdNcFRFbnhrTUlENkJuQTNMbmNQaDd3c3ZNUEsxUzBnOGFidjlBek5RZw?oc=5" TargetMode="External"/><Relationship Id="rId1577" Type="http://schemas.openxmlformats.org/officeDocument/2006/relationships/hyperlink" Target="https://news.google.com/rss/articles/CBMivAFBVV95cUxNUVB6Qnp5OEEtX2pBYkFrVW1YaEdLbmJQbERmQWJlajlsMWRWVDBMWk5IcGdJYk9yS0RyblV3UVN5Y2J1a3lXRTNWb3dDa0cwRDQ4Y0RNY3FJRTYtWFZtSXNQUkJiWWhmMHJCdERnN2xNaXNTTlllUzVJSno2SldlT1NrR0Flb2tPSC1WLTNzbHZTUUVyVU1wbVpCQWJmV2" TargetMode="External"/><Relationship Id="rId1578" Type="http://schemas.openxmlformats.org/officeDocument/2006/relationships/hyperlink" Target="https://news.google.com/rss/articles/CBMiYEFVX3lxTE43ZTFHaEEyN25kSC1WSUdidlZLLThnVmlPdnlNajhHcElreVQ0bkc1ZlFqMms0ay03UEdHbVJRQUxfMjhHalVVQ0V4THhxQTBaakh3UTRkVWJHQlRjd01FLQ?oc=5" TargetMode="External"/><Relationship Id="rId1579" Type="http://schemas.openxmlformats.org/officeDocument/2006/relationships/hyperlink" Target="https://news.google.com/rss/articles/CBMiW0FVX3lxTFBVQkhJeER5QnhXVGxHOFVLWmMwamRWUGF3N2Z0YmwzWDcxS0RfamRQSF9aczR6SGZiSVVwenpUZFY3cVZFZV90T1prV0VTRmZWQmdnODhGMDhGbjA?oc=5" TargetMode="External"/><Relationship Id="rId1580" Type="http://schemas.openxmlformats.org/officeDocument/2006/relationships/hyperlink" Target="https://news.google.com/rss/articles/CBMirwFBVV95cUxOVlFXbHBTU19HYkxsUkZnREd6cHlRMHBUcU45UF90SjFuaksxcDAyYjJ3YlAxbXMteWl0V1BTd1AyUUtmOEVkN3gzRlFSNERnZXM5al9QY0g0ZUM2cEpzWFl2aEQtRDI4SlltbDRFdjFrbDJtRkFCckZIaDhoa0h2eER3WWkxcVg1b3ZFeVZIVDU5ZlducDNoanJSamNaQm" TargetMode="External"/><Relationship Id="rId1581" Type="http://schemas.openxmlformats.org/officeDocument/2006/relationships/hyperlink" Target="https://news.google.com/rss/articles/CBMiV0FVX3lxTE1uNlhZd1lXNXNleVhZQ2NkSEo5Z3kzQXlWNlhDQzRmeWhTc2JaQTVVNWNqc1VfLVBibEZvTmNlSmZqNVVmTGJqd2k4UThSWGdFeXRMN19ROA?oc=5" TargetMode="External"/><Relationship Id="rId1582" Type="http://schemas.openxmlformats.org/officeDocument/2006/relationships/hyperlink" Target="https://news.google.com/rss/articles/CBMidkFVX3lxTE9vRjlPaEVWdk15ZXA4Z0pHT0FGT1l0c0RHWHBDaVQwNHp0ck1XMlRDTnJKT3ZKeEt0OF9MWW9XWmZjYi1UaFNZRWJMUWFhZ0phMGxfNExMelRUTWN4ekhHQ094Mnc2ZGJWNFgwM2RfMTUzbjVwNUE?oc=5" TargetMode="External"/><Relationship Id="rId1583" Type="http://schemas.openxmlformats.org/officeDocument/2006/relationships/hyperlink" Target="https://news.google.com/rss/articles/CBMikAFBVV95cUxNd0IxM0pRYVlKREhKSjdMNVNydGY5bVNBOEE0MjlIZ0ZwOEd3anU3Szl0WGdsQjlmRFRlOHdkODBzaUZRdnRvOTQ5ZFI2akZSWDR3RlVVY1d1dFFpd1pKUjZUYi1jOFM3SDB6YTlDeUNNcVYxbkpoU2d1Wk02QnhHY1liSDVIVFZHMWJncnFQUzg?oc=5" TargetMode="External"/><Relationship Id="rId1584" Type="http://schemas.openxmlformats.org/officeDocument/2006/relationships/hyperlink" Target="https://news.google.com/rss/articles/CBMi6gFBVV95cUxNUFlWcGwxdklaN01adERBSHNZWnN3RHJHcGk5LVRNWkdvS29yZ3N4WjFndXRaMWJWWDIxZGt5Mk1ZYXJPcHZ6TE1mX0VoRXF3NmM2Y3dya1lHekl5Z0llZkR0a3NBMjlqX1ExVFYzZDNsLUo1djJWZEpDa25HRlBkaHMzZE9IWG9MZG03dnZ4XzM1Sk0wSWtRZ1JrcXQzZU" TargetMode="External"/><Relationship Id="rId1585" Type="http://schemas.openxmlformats.org/officeDocument/2006/relationships/hyperlink" Target="https://news.google.com/rss/articles/CBMixwFBVV95cUxQcWlaZEx1bm1RcWFRM2dqaXJpRUJfRXpkMXhjbGpycGhnaG9sckdTUEt2cnBiOTdqTGNJWlFxTDBzUlZTbk1uVDdiQUlWLUNMWWNTLUVHTXhCVk5ua1dQZ2xicTlrSldBTDlTQ1BYNlJsTnFHa3BZYy1xSlJIVFJKQmw5UXhSMlZXWkozY2xTQ3JsU1hRNlc5Rm9kRXFtdF" TargetMode="External"/><Relationship Id="rId1586" Type="http://schemas.openxmlformats.org/officeDocument/2006/relationships/hyperlink" Target="https://news.google.com/rss/articles/CBMiuwFBVV95cUxPbzFLOXh0bEd5aXY5c1AxTDRQSEhveEhjcV9MeEFYbk1TUHpIQVZQZVRMSjNXS2hmQ2xrb2pwTWoyUVpWOTB4SVVya0pLQ1A2cmsyRGJWbHdDdXZNd0VFbk4zY3BQYTZUZXlfSXg2cVdFMVI1RGx2V05tbzhpYkVvUzc5UVlzdlZCeEJ2LVJIVTVsNFBJOHhIX0xhdm54SF" TargetMode="External"/><Relationship Id="rId1587" Type="http://schemas.openxmlformats.org/officeDocument/2006/relationships/hyperlink" Target="https://news.google.com/rss/articles/CBMiXkFVX3lxTE5rV1BVWjlqWGlGRHpwYWh0eG0xZHo2ZGJaMWxfR28yT3B2T0w4dDdwNnhFOHVIVEhPLUU0d3JsOUc4bko0V2MwZUlJMEJJWXZsTHhjU1BZN243dlNvaWc?oc=5" TargetMode="External"/><Relationship Id="rId1588" Type="http://schemas.openxmlformats.org/officeDocument/2006/relationships/hyperlink" Target="https://news.google.com/rss/articles/CBMigAFBVV95cUxPQ1BnQ0htRkR6dkdBZzZMUTV0RDV4ZHdublFuQ1pkRVRMUklOTi1tMEpVaWN2MHNxeHpMbU96UDlSWHdlY2FpQmRBN25pa0RzVFgwWUVNOVA2elp5ODk4YWU0WjFiUGU3Zk53bWJZZDNSMzhucWNhR055SzRwWmRrYg?oc=5" TargetMode="External"/><Relationship Id="rId1589" Type="http://schemas.openxmlformats.org/officeDocument/2006/relationships/hyperlink" Target="https://news.google.com/rss/articles/CBMidkFVX3lxTFBZTFN5a3RVMmFlV3B3Qmt5Ni02REhBbF90Z2pfWExKTUNnU0ktTjg4dnlSeVdTSnFvaDRsYk10cXNXSUJkRm9LM0xMTEptOS04R3ZOUmdpSXpFY09wWS1wcW1HbF9QbXpibzlITnV0RnNVZjdtcUE?oc=5" TargetMode="External"/><Relationship Id="rId1590" Type="http://schemas.openxmlformats.org/officeDocument/2006/relationships/hyperlink" Target="https://news.google.com/rss/articles/CBMijgFBVV95cUxNZTVobU5VN2IwVnRBMC14Nm8xaE9uTVBwOGhhbnV6Z2pFdnZnUVVYZnUzNTJRMG1MbnQ2MExJR08wQXVIcWZCY2YwRUpXNEFwaXQ2RktPeTJtUVFtY3FFbUFIbDgxZ1pyUERJZUNJOEhkUHZJM0VJM09SMk1ZWUpOTkg1SmRrQWhmRG1tRmJ3?oc=5" TargetMode="External"/><Relationship Id="rId1591" Type="http://schemas.openxmlformats.org/officeDocument/2006/relationships/hyperlink" Target="https://news.google.com/rss/articles/CBMiY0FVX3lxTE42dEdSb291amlFLUVKQ1hhUjJJd0ZvM3k5SGJHd3NjVFcxNm5qRWRkRUpRRnJRN1BWZHEzek82SnAtUnFkUm1UZU85emhYS3c2eU12VDJmRGpNeWxSdE94bnFiMA?oc=5" TargetMode="External"/><Relationship Id="rId1592" Type="http://schemas.openxmlformats.org/officeDocument/2006/relationships/hyperlink" Target="https://news.google.com/rss/articles/CBMitgFBVV95cUxQVnlzc013bW5SVU1VeGlCdjdTRk9NdFJTMU4xU1Qza25kUWtXU0ZJQndPLUYyelhqc3N5a196TnBLbkdMX29DcjNyOFctcF9zX0R0alRiZW5kUzZSaG1Fb3BNLW13RnF1ZGR4aU1UUUVhemFBUS1vZ2NXZmVzSnFrUHZSdDdWSzR5S1pROFU2WktJSTZMSDdJZmNXT3FOV1" TargetMode="External"/><Relationship Id="rId1593" Type="http://schemas.openxmlformats.org/officeDocument/2006/relationships/hyperlink" Target="https://news.google.com/rss/articles/CBMi0gJBVV95cUxQdmRmT2RYSmNIYlduZGJrOHcyeTJpb3ZYdUo5dHk5aV9wbFZaTE9xRjR6UWxNbVR1SUc0SklTakhNUkxNZHBQUEM0QUJNaUZiVW1pMEw4YUVhNmZIUHhLSEVJZE1Ua1I3U1FhcU5fb0ZkaHpNb0NEX2pUSVNCS0piUUZUYnpsWkY2a0ZFTEJSY3JSaGRjZzNGUzE2R0drWX" TargetMode="External"/><Relationship Id="rId1594" Type="http://schemas.openxmlformats.org/officeDocument/2006/relationships/hyperlink" Target="https://news.google.com/rss/articles/CBMibEFVX3lxTE9nQ3F2MlpIejlybDlnNmhUNWRsenJ0U0M3amVqUk1jaE1DUUJIeHFvT1p0bVRPaEV6R3JqUTBYY040YmNHNUJUU19KdWRQWTZmNUlReHBoYm83RUdFMUR6NDZ2a1ZyeHFsRkFoNQ?oc=5" TargetMode="External"/><Relationship Id="rId1595" Type="http://schemas.openxmlformats.org/officeDocument/2006/relationships/hyperlink" Target="https://news.google.com/rss/articles/CBMi0wFBVV95cUxPdXBrVTZoSzVubmtfRHhSdnNiUl9SRkRWSmtlcFpScWpxeTIzQWp1OGZUQ0ZqclFoeHhPbjdHcFpUOGZMZzFyZjF1czV2RE5yZ0pGcEo3V2JlQUwyem9Pb3ZfODZIVUdoNExXMTJCQkVDUFVWaWRmODkzRmVyV2JaNW8wTnd3T3lXbHFfb0xfMzBIVWxNdmRxM2tTVm5Hcz" TargetMode="External"/><Relationship Id="rId1596" Type="http://schemas.openxmlformats.org/officeDocument/2006/relationships/hyperlink" Target="https://news.google.com/rss/articles/CBMibEFVX3lxTE5jRUQ1RHloU1VNVGlLdTRDU21BckFZV0pRc3BmVDUyc3dvRWpHNUprcVVjQ1BGXzNocEk4NEpMVnlZRnU2clYwTVdYSjROZWpXeWFkOXF2U0VhZVpTY0FYMDY1OGN5MkN0OVJNeQ?oc=5" TargetMode="External"/><Relationship Id="rId1597" Type="http://schemas.openxmlformats.org/officeDocument/2006/relationships/hyperlink" Target="https://news.google.com/rss/articles/CBMikwFBVV95cUxNX3JnLVBHTWZXY2pmTHNnLXdHWElwb0lNdW9Wa1EzMjMyZmpJTWNzMk1Xa3N5TnB0VURyS0pFT2p4azFHYkc5NE1SQjYwTnQ3VzAtR2dyRW9VRWhCT3hORkktYThuSml5ZEZpaFdqR0J1VlY0QkRoX3M4VUY2bW5pOVlZNm9CS1BiZTNNTXdYN2dWTlk?oc=5" TargetMode="External"/><Relationship Id="rId1598" Type="http://schemas.openxmlformats.org/officeDocument/2006/relationships/hyperlink" Target="https://news.google.com/rss/articles/CBMiYEFVX3lxTFA5SGxwU3ljeWhDM0lQMFlyZGdOWmxpYnhPWEhkbW5TdGMtMkVPVXo1MUp0VFJjNV9ZbTlRUXpiVDk0eEhRVF9kbXE3cHpVQ2c1WXhhRGFTQjB6bXhSUmZGZA?oc=5" TargetMode="External"/><Relationship Id="rId1599" Type="http://schemas.openxmlformats.org/officeDocument/2006/relationships/hyperlink" Target="https://news.google.com/rss/articles/CBMid0FVX3lxTE8yU0JVNWc3WlN2STdzSE1LR0ppN05DMWdHWkdIVkVZUU9nY2FkS0otX0lDM3FvemFHNW9QdUwwOC10bVVoNlFteDU1bXZORGlJR0d5eFlvcy1rZEpMTmdBTEFRdEhseWlWejkzNllKSi1DOUs3elVn?oc=5" TargetMode="External"/><Relationship Id="rId1600" Type="http://schemas.openxmlformats.org/officeDocument/2006/relationships/hyperlink" Target="https://news.google.com/rss/articles/CBMibkFVX3lxTFB3cEtDcWl4dkxTVkJrVzJHMXk3TlMzODBIdVhVdG5fQTVYWHR6UVNza0ZZU1NCN093b19HN25hLU9FZ2hjcF9iREptT1dLZjFsMXpUZnhHSGNqa3c0U2hzRmcwLWFmVTZqbFZwQlRn?oc=5" TargetMode="External"/><Relationship Id="rId1601" Type="http://schemas.openxmlformats.org/officeDocument/2006/relationships/hyperlink" Target="https://news.google.com/rss/articles/CBMiZkFVX3lxTFBRZ19abzdYWUk2QzB2RFB1Uk0tdmx6RVc4TVg1dWNzV1VwNG8zQjh4RXZzbmdvNE9PcXFhc2ZxeHVSREw2TnY1OHdFV2pYU0tObjN4akpJN0d5UllUV28ya3RjWVJPZw?oc=5" TargetMode="External"/><Relationship Id="rId1602" Type="http://schemas.openxmlformats.org/officeDocument/2006/relationships/hyperlink" Target="https://news.google.com/rss/articles/CBMiWkFVX3lxTFBYZmRfRk5ILUpUM2N4OXA4UmJfaG5kclhZN3JCYnBVV1p2UEpyOUZlT2FJbnNHeW9KN2dVeGlWN2hOTWVfNWpralg3OEF5QWFJRGNGSng1N2otQQ?oc=5" TargetMode="External"/><Relationship Id="rId1603" Type="http://schemas.openxmlformats.org/officeDocument/2006/relationships/hyperlink" Target="https://news.google.com/rss/articles/CBMizwFBVV95cUxNLUdzVDIxd2IzRnJrT1p5Mm9UcmlFR29HRFoxdDdvcGNRNXRFQ3RLVVlCRFVVSnhWZVlRZkJISFE4Um1iV21mZWEwa0VYeUtMdnNFR2JaWjVmNjc2SkhqMkNMTzVscnl2S1RUYW5qWWRIbDBhRWE2Rjkwck5aQ1ZXRzlGVkNvRDBRYWNaUEI2ZkpublhkTkdWZEp5U0J4ZD" TargetMode="External"/><Relationship Id="rId1604" Type="http://schemas.openxmlformats.org/officeDocument/2006/relationships/hyperlink" Target="https://news.google.com/rss/articles/CBMiY0FVX3lxTE9qTmNYUEd3aUl4bC1SN1NkbTdRaWtJMUdGaE1kd252d0VGS0g0cEYtU1poRnRKdGVhZTdtWFdmUUFqVG1wd3IxQ3ROSXBhUTI5RlFEV2ZuYkdfaEJ6QVZvN3dLZw?oc=5" TargetMode="External"/><Relationship Id="rId1605" Type="http://schemas.openxmlformats.org/officeDocument/2006/relationships/hyperlink" Target="https://news.google.com/rss/articles/CBMivwFBVV95cUxOYTZXbEdTNGYtMFROVVpuUmNiN1JtTFFCckNuRC1nX1lkZE9ia2hwMjY4UGZBVDdvQUl6MEJQN3VXOF9zNnNRQ0ZMeU1TcEJiMFZTa2duZzdoYWNoT2dqZzh5QjNGTkJqckNpRWdHdGdYZjJVUzZJR2NDVllMcTdWeHBmaVp0WXk0V1ROVzB5TEpxeXRWQ2lMcjRGU01vWm" TargetMode="External"/><Relationship Id="rId1606" Type="http://schemas.openxmlformats.org/officeDocument/2006/relationships/hyperlink" Target="https://news.google.com/rss/articles/CBMiZEFVX3lxTFBEdFJSNDBfSE5JazI2ZGtQRGV5ZDBIWUtTaUxMSUVlTlk2UEF3OVZhdm1xX211aXlFSjFteE5aQ0xCdEhPa1A1ZXBwdVV3TjJKLXFPQlVrM2dVai1uc01kbmhvc08?oc=5" TargetMode="External"/><Relationship Id="rId1607" Type="http://schemas.openxmlformats.org/officeDocument/2006/relationships/hyperlink" Target="https://news.google.com/rss/articles/CBMiuAFBVV95cUxOdkpFQkJWRU5nU1hSRUotZlI1a1h6YTdQNF9WNnhWUkRwVDlMVTRtSmNlRzRzeWk3dHpPQzhCQ19odzNXbXlMTDY2dzVOOHJaSUlOQ1draW5CWEJEUVJTN0Zna0xOOGdTTWJSR094NEp3MnRTcUMwWXB4bHNYNXhsT3c4U1dybGlYRXBTaEQwSXk0UFRtcFc2MEpzVHJFVV" TargetMode="External"/><Relationship Id="rId1608" Type="http://schemas.openxmlformats.org/officeDocument/2006/relationships/hyperlink" Target="https://news.google.com/rss/articles/CBMiZEFVX3lxTE04Rmg1NFNzM3NuYVRObmhQdHkzMnh3b1JlV0xsOFVrUlJSWkVUR1UzT2FfampQNGltaFNOMUJRTk8zUGZKZWMycFk0YWY3VDVaUEJQTGFHVVZwcmVNWDkwSWpibUU?oc=5" TargetMode="External"/><Relationship Id="rId1609" Type="http://schemas.openxmlformats.org/officeDocument/2006/relationships/hyperlink" Target="https://news.google.com/rss/articles/CBMif0FVX3lxTE5NdVBqT3Q1dUZaNXVnYklfRXREMDhvVGZBZU5oUVZQUF9mLXJqVl9WU2hhRHdBVTJrNFBqN1NFNzZ4ZzdNdHdqd1EtZnR2VDJ5eGc3YTRncFlGT05lM01BekY0Q01pTU5CNG5jS0lLTGJsZzBmSWVTSWM4OGpodXc?oc=5" TargetMode="External"/><Relationship Id="rId1610" Type="http://schemas.openxmlformats.org/officeDocument/2006/relationships/hyperlink" Target="https://news.google.com/rss/articles/CBMiwAFBVV95cUxPN25tNE9Tdk1Fd1ZBaDFpZjBsWXVwMV9uZVJjdnEwY3AwS2JScVlNNmU3eDIyVVFUeFZORDFVTGV4UUFldTFwOVFzWVpoUFl1LUhseGZZTVdHeVJvOVVpMGNvRmxwSXE5OEV6cTJ6dnZiMTJnVkd4QXBYN3JRbm5FbllvR0plWFNPSnNGdWRDNjhERTZtYnloRDg1YTVXcU" TargetMode="External"/><Relationship Id="rId1611" Type="http://schemas.openxmlformats.org/officeDocument/2006/relationships/hyperlink" Target="https://news.google.com/rss/articles/CBMisgFBVV95cUxQcnlQaFljZjY4YVNuVy1oMVFCYnVSRkhCVUlrSG1OMHZvWkJlSkJaOFBPOGl3U0pLNE1YWURvQ1FQRVBUU3B2QlphLVJyeThmalZ6RFhoaHI0SjZxOWg5b2ZFWWdlZDBybjBKeWRKU3hnT3JvSDhqMjZhN0JNVDg5ZHpxRC1jQTB2SVZ5cWsyMWZWemJka2F4TEIyYVlJME" TargetMode="External"/><Relationship Id="rId1612" Type="http://schemas.openxmlformats.org/officeDocument/2006/relationships/hyperlink" Target="https://news.google.com/rss/articles/CBMizAFBVV95cUxOTlBUWC1sc3RkdHoxV0dZRjlid19zaGtuNURxUV9wVDRfbkxNMzJyTXhQTmR1bF9qWmY2aE42TkxUbmVycGhyZm9xeGdCRDJ4M2FSb3FIZGdmT2JBdnladWMwVlNyNGdyX1RMejVlM0hKZWlDRklIaDhJN19BNG1CQkZXNXBtMXRNbG8zcl9UbUJ4V1dpSFpkTl9salpBMT" TargetMode="External"/><Relationship Id="rId1613" Type="http://schemas.openxmlformats.org/officeDocument/2006/relationships/hyperlink" Target="https://news.google.com/rss/articles/CBMibkFVX3lxTE1oTVlVdjJPQktJOVNSTk9rRmxxczNoemJGMEVZeGZKdXJHSGpvVnpFSnh5X2E0c2RZVFNJVlRvc1A2ZEduQlhVZEEzTTFGYXJ5Rk1xdEN4dktCSG1BWThUMEZiS19HYjZfekY1Q193?oc=5" TargetMode="External"/><Relationship Id="rId1614" Type="http://schemas.openxmlformats.org/officeDocument/2006/relationships/hyperlink" Target="https://news.google.com/rss/articles/CBMiyAFBVV95cUxPaUhrUVRRVHpHR3hLejZOMWhibWNNY0liUHFBd3JQZVhHczJyWjhjMTNTT04yTndkb2ZreWRSOGh4bTFDeEdPUVVCRDV0T3VLYUN3RkdMamhjVkJHeDI4YzBJRVhTRFFJeXRDQUJwS3pqc0Z4TEk2YjdlZnVXRVFDWWpnSC11TnRINDFUTjM4NGlnc04zaXA0bDZ4aHdMNH" TargetMode="External"/><Relationship Id="rId1615" Type="http://schemas.openxmlformats.org/officeDocument/2006/relationships/hyperlink" Target="https://news.google.com/rss/articles/CBMidEFVX3lxTE0zRXBMM2RwaWtXREFQeXNPUFFEc0NLTnlYdUxiMzZQcDk3MXh3SWpUTFlzM2h6LXp1WUxtVnJFQTRPdlZpR2N3Z2ZGUUx2WlNPRG8zUGFSdjQxRF9tOHlWd29ObWpXdGlpVENaSmtNbm0wVUtz?oc=5" TargetMode="External"/><Relationship Id="rId1616" Type="http://schemas.openxmlformats.org/officeDocument/2006/relationships/hyperlink" Target="https://news.google.com/rss/articles/CBMiY0FVX3lxTE9MbVRTMU1BbGt2VWE1TS1HT0lkV2dkSGF6eXpjeWc4X3lmTFF4M3ZUUG1YTVg2anVENG4tV3pSQ2N2OHJ3MUhFSGpVcHg1eklsVGttR3Znc1RSSzZmYVlGdWJoQQ?oc=5" TargetMode="External"/><Relationship Id="rId1617" Type="http://schemas.openxmlformats.org/officeDocument/2006/relationships/hyperlink" Target="https://news.google.com/rss/articles/CBMiY0FVX3lxTE5hMjBTdk9iSlMwQ2VmWU8yRngtcXMxd2Zqd2pFSXZuM0tKcWFQR09YNC1odHp0TnFCUHJPTHpPaXM0SFJkZEJIY0hESTVyOU5fS1JDUnBPRXhwQjdzUUxHdUhwRQ?oc=5" TargetMode="External"/><Relationship Id="rId1618" Type="http://schemas.openxmlformats.org/officeDocument/2006/relationships/hyperlink" Target="https://news.google.com/rss/articles/CBMiywFBVV95cUxNNXR1Q1RRTEhBbUVocjR4LVRFVzdicDV2MVZGQXRzRi11VWszVFNkdks0QWFveG4xTnc4UTFLa1RWT28wUjA2VlVUZXdSLWZNTzltWUx1Tnc0emx5ZkN4M2ZtWWo1Rjl1dnN3ZlZRQlZIYlM3ekNsV0p4My1MY2J3QUZobG0yd2pQWnJRVFExOUY3VW1ZSXZGdnVER1pTX2" TargetMode="External"/><Relationship Id="rId1619" Type="http://schemas.openxmlformats.org/officeDocument/2006/relationships/hyperlink" Target="https://news.google.com/rss/articles/CBMilgFBVV95cUxPRjRBX1JMS3VxWndQMW5MVGpNZVJDNnI2M1o3LS1yeHItNkx6UzdVR3BpTE1pYUhOZThmbE8tazNsbDhoTUJPZFhjMWljWTVqcEVWZXFPeE4tUUxvdGJmTXZmOXlBM0lJc1pHU3NHMF8xQmZUVE12TlhsWHVwOExjaDRGX1l3Q1NrUUk2SFZRNE5Ua1A3VEE?oc=5" TargetMode="External"/><Relationship Id="rId1620" Type="http://schemas.openxmlformats.org/officeDocument/2006/relationships/hyperlink" Target="https://news.google.com/rss/articles/CBMibEFVX3lxTFA1eHUwZFMxYWd0WW9FREhXdnI4Sk8zaXYyVTNyM0R0a3ViMXU5V0x3MG9EWVlsWjhuemhVdDBxOHhNcTAxZTV1dlhDZG4wcG1pSVplU1FpOXRLVndfYjZNczJndEl2UzVLNFYwYg?oc=5" TargetMode="External"/><Relationship Id="rId1621" Type="http://schemas.openxmlformats.org/officeDocument/2006/relationships/hyperlink" Target="https://news.google.com/rss/articles/CBMibEFVX3lxTE9aRE02b20zQVlwTWdPZ2s1MktpTHBvSmRkdHJLb2tvbXpZal9XMm1iMFJISDYtQXYwVzVjNUtsTi1yd0RtNmNiVmkyN2pESWRFWVlVLWpQUHE2NjR3dGRPazVna3Z1WEFZUVItNQ?oc=5" TargetMode="External"/><Relationship Id="rId1622" Type="http://schemas.openxmlformats.org/officeDocument/2006/relationships/hyperlink" Target="https://news.google.com/rss/articles/CBMixAFBVV95cUxPVXpsa2w2VDA1VXFROHE4cDBhd0drOUgwWGdONW45eUd6ZEpBQ3VYMFNjRzlxN2xSN3kyX3daNllGNUxHSElzeVNqN3ZEMmlKd0Nuam9PTGdzMV9BdUk5TUk0TUxPdC0yXy1WTVBkWTlKc1c3VWx6cnBPT09LcHI4Y3dPRF9scGhSSmlxWWRsbTZoclRfV1dDeDg1dEhrbF" TargetMode="External"/><Relationship Id="rId1623" Type="http://schemas.openxmlformats.org/officeDocument/2006/relationships/hyperlink" Target="https://news.google.com/rss/articles/CBMitwFBVV95cUxOSE83a01IakV0TV9tQmYtQ3p4d2xmMnAwUUtJVUdiYXRlaEhGbGpmSUdnV1FieW5Yd1kzQ3NucWhWUmE2UTJDaU9saXpYejBMeFVYUG9MZXpPeGd5SzdjNmFrdmVzV0l5alZLZlhFRmxLRHRSZks4ZlQ2R0NDa001MVdSd0FoVUF6bGRRb1BBMWxSVWdaZERqbnJkcG4xRl" TargetMode="External"/><Relationship Id="rId1624" Type="http://schemas.openxmlformats.org/officeDocument/2006/relationships/hyperlink" Target="https://news.google.com/rss/articles/CBMiUEFVX3lxTE01ai1nLXAxZ3ZLanl5c1dLWThTa2U3TW5fX2M3WFRwLVJMdmk2RVN0LWI1bWdXZGdsdlRRZzROam40clFfRGMyMFNyb0E1akdy?oc=5" TargetMode="External"/><Relationship Id="rId1625" Type="http://schemas.openxmlformats.org/officeDocument/2006/relationships/hyperlink" Target="https://news.google.com/rss/articles/CBMiwwFBVV95cUxQc3JLeXlRTWJ4QUs5QXYzUHdLaHduSEwzMjBWRXVHSm5mUjlsSkxfc3l4bm94dDJaeFVwTXdrME5QbWRJRl8yamtjY0tqb052QXhLRmk2a3F6S1U5ZVVoNjhGZFk5MFMxQVJtTmdBSmlHOVhzZGtDV0Mzd0NWRi1nOEtBTEFza2cyTkpVOWpiUjE4Q0tOTkdIbkxLODhHVX" TargetMode="External"/><Relationship Id="rId1626" Type="http://schemas.openxmlformats.org/officeDocument/2006/relationships/hyperlink" Target="https://news.google.com/rss/articles/CBMibEFVX3lxTE9mQ1NJLUZNT0szbUNBRkt5VWVfVlVpOWRBMnJGMFVWS1J6WUVCWktFalZPOWlCSWJnSjEzU1RhYkdhMjEyNmplRGNrMmwxbl93OVhYNTlNSmdqZFRuc3dsVWhQLW1CdUJzekFVQg?oc=5" TargetMode="External"/><Relationship Id="rId1627" Type="http://schemas.openxmlformats.org/officeDocument/2006/relationships/hyperlink" Target="https://news.google.com/rss/articles/CBMidEFVX3lxTE1oVWtMZS1CVEo4VjFxQVVzaVNETnVfbmlCMFJ0eHBQLWxtdC1uanA1eFNmV0d1bTNnRUYyTWRJc2IxUUVxbFRqM3ZiLXFqQ210NHhHcGt5dnFzVGRTU2ZTTHlwVUZQUVhzdHFtcEZyOTliR0Vs?oc=5" TargetMode="External"/><Relationship Id="rId1628" Type="http://schemas.openxmlformats.org/officeDocument/2006/relationships/hyperlink" Target="https://news.google.com/rss/articles/CBMibEFVX3lxTE1kd3Noa2dqNE13ejhYbWJ3SVFRM1JGN0VLYWd2SmZQcmtjYkZ6dTllNHhITThOcGVfZU1YclNDUWR4VmVRaTc1UG1hQUdLdlBmb0pvVEplMlpSMnFJR1kwZExxMGx6Mnp4c3R2Zw?oc=5" TargetMode="External"/><Relationship Id="rId1629" Type="http://schemas.openxmlformats.org/officeDocument/2006/relationships/hyperlink" Target="https://news.google.com/rss/articles/CBMiV0FVX3lxTFA3WE12T0puRWtiRVhLV1B2YnljZjNsaTZSQ0pjY2luVTBUdWxUd2pBM3d4VFRUM2RkclFPWG5WeVEzWUN1dnpIa3ZySlJqc3V5cXJHTHhNVQ?oc=5" TargetMode="External"/><Relationship Id="rId1630" Type="http://schemas.openxmlformats.org/officeDocument/2006/relationships/hyperlink" Target="https://news.google.com/rss/articles/CBMiV0FVX3lxTFA3WE12T0puRWtiRVhLV1B2YnljZjNsaTZSQ0pjY2luVTBUdWxUd2pBM3d4VFRUM2RkclFPWG5WeVEzWUN1dnpIa3ZySlJqc3V5cXJHTHhNVQ?oc=5" TargetMode="External"/><Relationship Id="rId1631" Type="http://schemas.openxmlformats.org/officeDocument/2006/relationships/hyperlink" Target="https://news.google.com/rss/articles/CBMiWkFVX3lxTE5pLWcyLVJNYjcta1A5V0lPV285MXhaWGQ3aFZsbzRUMkpVTFA2c1ZDZll6S1FVeGdGUHZYYTBmQVRDVk1vNk9rdDUyY0ExU2t1M2VHOFh5aEdYdw?oc=5" TargetMode="External"/><Relationship Id="rId1632" Type="http://schemas.openxmlformats.org/officeDocument/2006/relationships/hyperlink" Target="https://news.google.com/rss/articles/CBMiY0FVX3lxTE41TWlnek9Oa3ptUEJ5aWZGRkdwMmNZUjN1bmdrdkN0RzVMdlVMUUs0cjNPOE1MSDZOalZ5eWVJeU5uVV9IRm9xSG5KdlJRdHpublRJSmFoaEtUdjVzdmxGbjNCMA?oc=5" TargetMode="External"/><Relationship Id="rId1633" Type="http://schemas.openxmlformats.org/officeDocument/2006/relationships/hyperlink" Target="https://news.google.com/rss/articles/CBMiWkFVX3lxTE5pLWcyLVJNYjcta1A5V0lPV285MXhaWGQ3aFZsbzRUMkpVTFA2c1ZDZll6S1FVeGdGUHZYYTBmQVRDVk1vNk9rdDUyY0ExU2t1M2VHOFh5aEdYdw?oc=5" TargetMode="External"/><Relationship Id="rId1634" Type="http://schemas.openxmlformats.org/officeDocument/2006/relationships/hyperlink" Target="https://news.google.com/rss/articles/CBMiekFVX3lxTE1ELU92X3R2ZDVfUnoyeVBQU2dCTldMVGtxOXJReDl0bEF3Y1ZVQk1uaDNUNnZWUlBTVFpVOTNRY0Z3aDY3RjJZRVg3WVpfNnZRZmoxZzY5T0M2SUVVYnZBUDhCM25mWXU3RG95d0hGUmZKa0tTbFY4MUd3?oc=5" TargetMode="External"/><Relationship Id="rId1635" Type="http://schemas.openxmlformats.org/officeDocument/2006/relationships/hyperlink" Target="https://news.google.com/rss/articles/CBMiV0FVX3lxTE90VUN3cUhqSkpQR0NPZ1pfSXZPakNXcDc1UklCZFI0TGZmbXRTX3ZPbmxraG04aXB4NUVlS2xScU03MkhhY0FadElVN1NwaEpsYVhMN3BDQQ?oc=5" TargetMode="External"/><Relationship Id="rId1636" Type="http://schemas.openxmlformats.org/officeDocument/2006/relationships/hyperlink" Target="https://news.google.com/rss/articles/CBMifEFVX3lxTE52bTVsaERDMExBUDFubFMtYnZhNGcwRFplTHNfMExVdGFIX2xpaUVyRlJ6RWZhOXR0RDVPRVo2MTZPM2pHSnVGeFFvQnhaMVBKdHlVdkNESE5uVWYxSlFYMmJjWk5kTW9peHphVVhab1MtQUxTQk1vaktjMG0?oc=5" TargetMode="External"/><Relationship Id="rId1637" Type="http://schemas.openxmlformats.org/officeDocument/2006/relationships/hyperlink" Target="https://news.google.com/rss/articles/CBMic0FVX3lxTE5GVFItNFl4V2JGREw5WXIyMVV1VU9TektQSHRMMV9sYUQ3dk5iN2I5V1JaZGs3NFVvcTUtbkdId1B2c25UbFFUVEw3TkNOX0NreEFEUXRER2lrUU1Cb2cxLVNQLWhSSncyU1ktTDE2ZG84Snc?oc=5" TargetMode="External"/><Relationship Id="rId1638" Type="http://schemas.openxmlformats.org/officeDocument/2006/relationships/hyperlink" Target="https://news.google.com/rss/articles/CBMi3AFBVV95cUxOWFhJQjY0WG5CTlppZGg4QnZzV1c1ZVE4TUI0dDNiOUpGUjJhYmZTajByTmhVYkVqVnFwX3ZoUXFjY25tUXVBSHh5ZUZmNFBjN00xcFZNSzhONkViaFZFX2RfTGxBdzhYRFJvczNhRUJodkEwQ1g1bXdBY3A1WVo0cGtxUkNLRi1UYTE3SlZhbk9WY2xFNkhidXV0b096NG" TargetMode="External"/><Relationship Id="rId1639" Type="http://schemas.openxmlformats.org/officeDocument/2006/relationships/hyperlink" Target="https://news.google.com/rss/articles/CBMicEFVX3lxTFBDeTR1b3BYMjVjMDRVVWdqZVU1RU9HU09reG1VRk8wRnhURmdXNVZIYkhCZzRpVzMwb1U5MnhtSG50NkNVR2JYT2ZEYTQycnpzSkFPaEE5SER6Q3hud3p6S2c1Zk12RnJxSlFVN0V0YVM?oc=5" TargetMode="External"/><Relationship Id="rId1640" Type="http://schemas.openxmlformats.org/officeDocument/2006/relationships/hyperlink" Target="https://news.google.com/rss/articles/CBMipwFBVV95cUxQUkdxYlNZYkVOc3ZWSG5rRm9NN19uT3l6aW8zd0NsUVlxaW1Ra3h6WHA4Rm90RFRSeTdPaXM1UWhEYzVfekRkVUVOWlFva05OZ0w3eFVoWVFUSnVUdUlCV0otRnFhQWF2S21WZXRzbnZUQVNOcEFjLVR6Qm5VOER2cmVYcHBKSkNhaXdWN0xWUzhla0c5TGszVDZTSC14WU" TargetMode="External"/><Relationship Id="rId1641" Type="http://schemas.openxmlformats.org/officeDocument/2006/relationships/hyperlink" Target="https://news.google.com/rss/articles/CBMiYEFVX3lxTE9NLVNMVDBVRWxmS2k5bzNVSkdIRnBqaFcxMmxxMllJVzc5UEx4eXMxSmFHUXdMMjZPRklzdldfaUFDX2ZiYzVsR0FJVlFfVnlrc3NnTUJ0UG1QYm9NcU9rTg?oc=5" TargetMode="External"/><Relationship Id="rId1642" Type="http://schemas.openxmlformats.org/officeDocument/2006/relationships/hyperlink" Target="https://news.google.com/rss/articles/CBMiogFBVV95cUxPTUFuaW5sZ21CVXBzVURWandpODRBTFhJT3hLMHFIcFJRUlNCNml5V1J0dlN4cjZzN0pUZHp1QUkzVXBaZFNwZ0JQdWtCMGpldWM5M2xEQWJmS1JqLWZfYjdIa1RxQldSTTZwUElEVWJqZUxLampqZUFQVXA0c0FFSWJ3UXFEZHhjNVYyc1cxOTZJS1oxaHJsRjVrWHVXRV" TargetMode="External"/><Relationship Id="rId1643" Type="http://schemas.openxmlformats.org/officeDocument/2006/relationships/hyperlink" Target="https://news.google.com/rss/articles/CBMiwgFBVV95cUxNRk9sUWgtS3NEb2Yxc3pfNkhPdW8xcVlJQzdVLWdoUDFEVlV1SlVSYXg4QTYtb2UwTkZnNGFNZXlLdU5lSHo3d2N4TGtvNEJVZ05vTVNvdm94NXhCR3pxbEw2SVktVFQzWk9IY09WOWZSRnBpVEFSbTg1SUtScEh5X0MySVRBZ205SkJsUGgwdnlLc1hnUlpaanJwRVVXeE" TargetMode="External"/><Relationship Id="rId1644" Type="http://schemas.openxmlformats.org/officeDocument/2006/relationships/hyperlink" Target="https://news.google.com/rss/articles/CBMisgFBVV95cUxPQXJNbW5WX1JsT1M3VU9BcFJ1LWthaXlWdkd4UlRwME5nOWJYaU5xZ1FNQzdfZHdVOUsxOWJIbHhUd2Jac3g5T0hfS2paV0FGdFZ0VTlxOEt6VF9sU2diYnVoMWhEVVFMb2VDX2FfY2x3YzlFRkRLaDI0elZZN3RRN0hIVUFDN1NTOFN2M0tZMU5OMVg3d3pFZmw4elg0QW" TargetMode="External"/><Relationship Id="rId1645" Type="http://schemas.openxmlformats.org/officeDocument/2006/relationships/hyperlink" Target="https://news.google.com/rss/articles/CBMic0FVX3lxTE92djIwMlJnaFRtTE1pVXFQUXUyZTdTY053SDAtSWZETTNpMkpsR05oTUFoS1B2UWlDSTRCNmZEdVg5U0lyWk5kR25iaWRtOWRIOVhqZFRtc1BlTlZieDc1cGU4Y2dROUQ0X2FnSVF3MGhpbFE?oc=5" TargetMode="External"/><Relationship Id="rId1646" Type="http://schemas.openxmlformats.org/officeDocument/2006/relationships/hyperlink" Target="https://news.google.com/rss/articles/CBMidkFVX3lxTFBZb3o4bkZLQzkzc2twemJtOTZoNWZYWVdaeDd1MGpNdzBucV9xeWxVQkdtUkN6Sk82a3o4eW92RS0zN3NrT3Q2UEpZNHVGOFdXSkI5SlJoZVowS2t4Y1JlNUlsXzVrbzdEYy14d19PSm1YSEc3eUE?oc=5" TargetMode="External"/><Relationship Id="rId1647" Type="http://schemas.openxmlformats.org/officeDocument/2006/relationships/hyperlink" Target="https://news.google.com/rss/articles/CBMisgFBVV95cUxPQXJNbW5WX1JsT1M3VU9BcFJ1LWthaXlWdkd4UlRwME5nOWJYaU5xZ1FNQzdfZHdVOUsxOWJIbHhUd2Jac3g5T0hfS2paV0FGdFZ0VTlxOEt6VF9sU2diYnVoMWhEVVFMb2VDX2FfY2x3YzlFRkRLaDI0elZZN3RRN0hIVUFDN1NTOFN2M0tZMU5OMVg3d3pFZmw4elg0QW" TargetMode="External"/><Relationship Id="rId1648" Type="http://schemas.openxmlformats.org/officeDocument/2006/relationships/hyperlink" Target="https://news.google.com/rss/articles/CBMisgFBVV95cUxPQXJNbW5WX1JsT1M3VU9BcFJ1LWthaXlWdkd4UlRwME5nOWJYaU5xZ1FNQzdfZHdVOUsxOWJIbHhUd2Jac3g5T0hfS2paV0FGdFZ0VTlxOEt6VF9sU2diYnVoMWhEVVFMb2VDX2FfY2x3YzlFRkRLaDI0elZZN3RRN0hIVUFDN1NTOFN2M0tZMU5OMVg3d3pFZmw4elg0QW" TargetMode="External"/><Relationship Id="rId1649" Type="http://schemas.openxmlformats.org/officeDocument/2006/relationships/hyperlink" Target="https://news.google.com/rss/articles/CBMieEFVX3lxTE5xbDc3bnMxZ0NwWHdyRUVYeW9wdXZOWHM0T0dEdFVzY0tYMWQ2b284eldyVFB1SE5UdzJLdGpKMzM0SGlIdTNobGl0bVVfNVdqS0pfbmxmUE9SS3VUQVlnam1nRW84a2p6Wl8zaHFfaXI2cjBoS2VCMQ?oc=5" TargetMode="External"/><Relationship Id="rId1650" Type="http://schemas.openxmlformats.org/officeDocument/2006/relationships/hyperlink" Target="https://news.google.com/rss/articles/CBMibkFVX3lxTFBDbmphMmswU2VhY3lkd3k5eWFPX0VhUzFsSHRsZTE0cG5ac0JCVFVuS2c3Rko0NzNmWnluZm0zUmNkSmlCV1M3S3BqaDhVVDFVU0pDdmhtV1lsVWRuYkx0UjF2OGlXZGdJa2lxZDBn?oc=5" TargetMode="External"/><Relationship Id="rId1651" Type="http://schemas.openxmlformats.org/officeDocument/2006/relationships/hyperlink" Target="https://news.google.com/rss/articles/CBMiqwFBVV95cUxQV3VlNUtRYWo5NG11QXVqb3JhZUZCUi10WDMzMzBBZXRMbUJqb25DUTVBVnFSdmFnb0s4M1gwdlJoSlM3Y25mTzFRcWRqTm9FRUxiYjZ3VmxkZHhWY2xkeUdxelNGWE1NdU5JVHZ4c1g4YjNienJ3Z1RnemFxdlJYSV9XaFR2cHRWV2FLR3JGOE1GbWtTcExzRXJGS3NMSV" TargetMode="External"/><Relationship Id="rId1652" Type="http://schemas.openxmlformats.org/officeDocument/2006/relationships/hyperlink" Target="https://news.google.com/rss/articles/CBMiYEFVX3lxTE1YdGd0VExpUU9ESmxDRXNabjA2ZDVTb1JjWFYyak9MX1VKUHppZm5BN2JYVmc1aXZ1OFZEcnVFSHRBbFNBMERzV1RrbWhwcVczZEdTbF9uMjNzSFJoYm1oSA?oc=5" TargetMode="External"/><Relationship Id="rId1653" Type="http://schemas.openxmlformats.org/officeDocument/2006/relationships/hyperlink" Target="https://news.google.com/rss/articles/CBMivAFBVV95cUxObjQ1TllaaWc2dERxSzRnRkxHcTUtaWROZU9HaW9ZUm9udWxDbGMzTW1ySENyWE5HQk1nZkExek4wT2FyWi1RdnI2WmJQek5LT1FSeEhnSTlPLXBNVFpSMUdybXBYR19YaUQxNFJRSGdXcXcxY2w3S2YtXzBsbEFXaDVPWVUyWl9RV3EtMWFKdWh5WkE2NUdPeGRUOW5mUE" TargetMode="External"/><Relationship Id="rId1654" Type="http://schemas.openxmlformats.org/officeDocument/2006/relationships/hyperlink" Target="https://news.google.com/rss/articles/CBMigwFBVV95cUxQalZvbGMzVzY1RzE4R280aGdlUzMxR25FamFfVjdWM1p5aGxMNFdSUnlKVF81UkxhT1ZuYllPbDdJcFVoQWJZYlVBU2w5VHV4cDdBWjM0d2dqNUJOLWJLSGZOOTh6cm1EbjhKT2ZJU04wMlNKZmJhZF91Ri12QTdNVDFSMA?oc=5" TargetMode="External"/><Relationship Id="rId1655" Type="http://schemas.openxmlformats.org/officeDocument/2006/relationships/hyperlink" Target="https://news.google.com/rss/articles/CBMieEFVX3lxTE13WTR1QzBhdGkyRFJoTlVXZnFLcFM4dVJKZUNiTXpGZ3FKRUM4V0pHNGFfd3puYjJKOGhWUy1mYUVkYkh0MXByNjJXRW9iX1ZJdkxURUk3SmkzSkN6RmJKLTRac0dXUmFURkhsT0MxaFFlcDc2R2tJSw?oc=5" TargetMode="External"/><Relationship Id="rId1656" Type="http://schemas.openxmlformats.org/officeDocument/2006/relationships/hyperlink" Target="https://news.google.com/rss/articles/CBMikAJBVV95cUxQVnNOTTE1SXhrdVZ2aURaSDZhSTJrdG05SnBoVS1femlDNnRRTnJaQ3FZbF9yY3dkSk93cE12UlBUZ3JrVGxZYlppVlJXRzhPcl9Nd1BiZmE0dmtoY1dvNWp2OGNOVmpXaUFfVzJrVnVZeVBiSHMwZjJfZ0E5OTB6QkFfZURSVGVtallKNW5ZaEdjN2QtQXdsZm85aTVfTk" TargetMode="External"/><Relationship Id="rId1657" Type="http://schemas.openxmlformats.org/officeDocument/2006/relationships/hyperlink" Target="https://news.google.com/rss/articles/CBMiigFBVV95cUxQaVVrNXR3SkxKUEEwRUZ3anJHLWFLTDR0TXJWaHZtazRKSXNCWjA3WDZQZG1nQk9sYXJ5R0JTMnIzLXJtckNyOS1hMmd3YmlCZEJzM0tycGl0UHd3NEhlRXkxclRfd04wTm80dFJXN2FpeURZNE5zYno0VWYwM0cyWDRaazJSR1dJR2c?oc=5" TargetMode="External"/><Relationship Id="rId1658" Type="http://schemas.openxmlformats.org/officeDocument/2006/relationships/hyperlink" Target="https://news.google.com/rss/articles/CBMilwFBVV95cUxQWmJURXJ0U0diNGszU21JQnVsZjRNZEZRY2xjLXlxeVliVk5FbFdISDZBQkhXbllaX1BNNkNuRGhNbnRpYjdGYkFhOXEteVQyay12b0NoVURvVnZzNDV3dW9PVXN1VUNDU003YVN3SS0wem11MWhlb0lOM1diMlNRNXpLUWw0d2JuQjRqWVl2S2hmQ3MtSm5B?oc=5" TargetMode="External"/><Relationship Id="rId1659" Type="http://schemas.openxmlformats.org/officeDocument/2006/relationships/hyperlink" Target="https://news.google.com/rss/articles/CBMitAFBVV95cUxQOU85dll0QXBWVFpCWUZXeEpVZUNraG1iNHFPUzhjbjZoWThLOHBVU1ByczB5cl9haWpqOWlERGtiUjNQVDJUU1h1Sl9FbGQ1NldTZUY4a3V2U3ZpbG5Qc0VjY2lLWDlzMkFDUlY2RDlMTktBWTY4MTZXZU9qZF8wWVJfamRLb0dyUENRS21IWDk0M3kydUJfMWtRcC1JbF" TargetMode="External"/><Relationship Id="rId1660" Type="http://schemas.openxmlformats.org/officeDocument/2006/relationships/hyperlink" Target="https://news.google.com/rss/articles/CBMiygFBVV95cUxQNU11ZFVjaXVMeVdlLXY3MzR5QmkzdXVFTnBxSl9JV0czZzg1RzBOb3NFbDlRWHJaVEpCa1M1VW84ajFWR1dHUlpVaUt1ZkxPekJza3dzWDNzcVRJajQ1b0Z5Mmh6TXIzQWVHZ3h0emJndTJtM21JT09aU2xVWU9GdjZiQTNoZUZvWGMwUGZEV0NXQnhXS21RdDZHMjVqU3" TargetMode="External"/><Relationship Id="rId1661" Type="http://schemas.openxmlformats.org/officeDocument/2006/relationships/hyperlink" Target="https://news.google.com/rss/articles/CBMibEFVX3lxTFB0WnQ3dFdNSDlNWldQZ1pLcTNJWXh2d0w4RDVxOTJqV2ZWRDBQNC1EVmNvajhpaU14WlVnMTRDUjZvOFpSZldPRDRwODVTZlNKMnoybXZpaVIyUnliR3gwV1ZwcnAtc1NQS21xTA?oc=5" TargetMode="External"/><Relationship Id="rId1662" Type="http://schemas.openxmlformats.org/officeDocument/2006/relationships/hyperlink" Target="https://news.google.com/rss/articles/CBMiZkFVX3lxTFBPMG1mN2MxVjl3RTVrZGhEbHg1Y1NWSGtqRnAySkpkZlBXbmEtN24zSFliRmdUVkRKUC1QVlhoelVhR19Ta3JKazlHZlFiSTkxdEJJbEI3NXNIT1RpbEVDTmhkZklXdw?oc=5" TargetMode="External"/><Relationship Id="rId1663" Type="http://schemas.openxmlformats.org/officeDocument/2006/relationships/hyperlink" Target="https://news.google.com/rss/articles/CBMibEFVX3lxTE1wcTYxSXF0NVNSV0ZIX1FweWhFWVVIU1Jyd2NRc3ZtblVGa0FZZWdPcWU3N1N4SUFOSWRON2lESks3RDZiaGlyWkl3UnZoSVBSbU50M2hadG8tdjNmRHhybzVpajlnLWNNa2E5MQ?oc=5" TargetMode="External"/><Relationship Id="rId1664" Type="http://schemas.openxmlformats.org/officeDocument/2006/relationships/hyperlink" Target="https://news.google.com/rss/articles/CBMibEFVX3lxTE05b2JxOU9EbFFQRzEzZmFWZGdNWElMVktkcWJ6VkhLbkF1Q3Z0dFFGZkNqcFUxV1VyTEFCY1ZpYjJqbDYwY19hOVVSQ2dUcnZWRkxCY0hfemFzZjlFNzJoNHNuZVJUUWlZcmEzag?oc=5" TargetMode="External"/><Relationship Id="rId1665" Type="http://schemas.openxmlformats.org/officeDocument/2006/relationships/hyperlink" Target="https://news.google.com/rss/articles/CBMic0FVX3lxTE9SZFV6Wjl5R1JYQ0d0VEtFcGZ5Z3ExX1dhSjV1WGQ5UlRFaVQzVnhjQW9QVkxHTzRyOHpnOGlDTC1vQ2xZLWxGTmkwdkl3ZWZsOUZlZ2pKNV9xUE83ZHM1Vm9sNDNWMW9jRVNuQmdxd0dodHM?oc=5" TargetMode="External"/><Relationship Id="rId1666" Type="http://schemas.openxmlformats.org/officeDocument/2006/relationships/hyperlink" Target="https://news.google.com/rss/articles/CBMibEFVX3lxTE8zZkRBbk0xbkZFRTk3RFlzSlJoQ095aTdRbFg5dFlJbWhibXZuZDlUUTd5S3M0a0dDb0Z6OGRCUUtKSjdZLWNhejZhTFp3NHI2cVFzeTlkZWx5b09RQVNMRzZJM0Rtal9oRG1Ycw?oc=5" TargetMode="External"/><Relationship Id="rId1667" Type="http://schemas.openxmlformats.org/officeDocument/2006/relationships/hyperlink" Target="https://news.google.com/rss/articles/CBMigwFBVV95cUxQalZvbGMzVzY1RzE4R280aGdlUzMxR25FamFfVjdWM1p5aGxMNFdSUnlKVF81UkxhT1ZuYllPbDdJcFVoQWJZYlVBU2w5VHV4cDdBWjM0d2dqNUJOLWJLSGZOOTh6cm1EbjhKT2ZJU04wMlNKZmJhZF91Ri12QTdNVDFSMA?oc=5" TargetMode="External"/><Relationship Id="rId1668" Type="http://schemas.openxmlformats.org/officeDocument/2006/relationships/hyperlink" Target="https://news.google.com/rss/articles/CBMivAFBVV95cUxQTnRJeDU3VGJyZWhrSWdOQVVVX1pLdVdjeUpDUlhsVWVjYjhIcWFBQ0RGUWtVU0ZKc0FtalBaSnRFNG9rdGRHUTNEUk11bkxQVmZRUkszUHl6WUM5X3htUVlxVUVnOExQUDZGU0puM1paVUthVU5wNkV1NGp3aHFsUDJ6RUxlemVDbWpLZHdzTHdVUjhnbHJmVUZCWE5EVk" TargetMode="External"/><Relationship Id="rId1669" Type="http://schemas.openxmlformats.org/officeDocument/2006/relationships/hyperlink" Target="https://news.google.com/rss/articles/CBMipAFBVV95cUxOdVdHYjlFck9ycEs2VG1WT3duVUItQldOS29MNnNnT3NaNDl0QTdLN0xLZG9uM0prT1NVWnh0SnpsaS1QWWNTRXFYTmQxVV9FbUR2TzYtbkFyNlR2dDd2eHN4aVlad3duaFREZzhJbkJpM0hQWmRNWEZoOVMwdGkxQWY0RGlZRGtFalJTbVRKM2lCd0tWTVBEbVpTaElZan" TargetMode="External"/><Relationship Id="rId1670" Type="http://schemas.openxmlformats.org/officeDocument/2006/relationships/hyperlink" Target="https://news.google.com/rss/articles/CBMiYkFVX3lxTE8zanpVWXJHXzdkVjJVS1pBei1Kc2tlM1VVQ0pmOTZDdFRORlRFY2VibmRKQjhXT3JzZElhZmJOMmJWVjdWRTUyN3JGV3U0a3pZNnlfVjBPd1dkYWpDYTdJRk9B?oc=5" TargetMode="External"/><Relationship Id="rId1671" Type="http://schemas.openxmlformats.org/officeDocument/2006/relationships/hyperlink" Target="https://news.google.com/rss/articles/CBMibkFVX3lxTE5yRWh1dTdUVVJkTE5zb2hoX3JvTVgtMEVtTERpck5vVlhvUEVTSUd0UnlfUjd3QUYxVVh3ZjdlOS1FVkUteHFUNktnM2MweGxKWW5RaFVsVmIyZHNPV0Z5cENEeFdPbjV1SWtiU0dn?oc=5" TargetMode="External"/><Relationship Id="rId1672" Type="http://schemas.openxmlformats.org/officeDocument/2006/relationships/hyperlink" Target="https://news.google.com/rss/articles/CBMibEFVX3lxTE1xZ1k2VHpwVzhBbkxRbnpZeHgzTkh3VDUyUWMybkRpeVJtMnh4Y1dMUmh1dGV4ZzNLQUF3bTJ6bzFUaWp4bGRtc3FXcG1aNzhidnY1YVRlaDJFbjNXOV9aQlRMWVBlNEhPRHlaVg?oc=5" TargetMode="External"/><Relationship Id="rId1673" Type="http://schemas.openxmlformats.org/officeDocument/2006/relationships/hyperlink" Target="https://news.google.com/rss/articles/CBMijAFBVV95cUxPMEhWT3hKSVZaQ0RWQlJlTTBIWGVPVE9iMnZLdTVhd2U2Q0Z1RUxjTE9GemcwYngxd0xoWGR4X21XQmJXUEFNeFFPR0ZLZzZvMDQ3aHRyNS1McHpjaEE2YmZHMXg2QmdCUVlTN2pKak5RZ09adjlkeXVncW9jTXB5Zm9uNmMya3RMakw0NQ?oc=5" TargetMode="External"/><Relationship Id="rId1674" Type="http://schemas.openxmlformats.org/officeDocument/2006/relationships/hyperlink" Target="https://news.google.com/rss/articles/CBMiWkFVX3lxTE5fRjZhRTJUR0lTeGRVTF84MDVwVXVJZ1hmMEY5Q20zRzU0SzR5X3JMa19xamJybnVzT3ZuWXlPZGZPMWhDNW5WUExCVXFVVVh1MUJYOGxlZHNDUQ?oc=5" TargetMode="External"/><Relationship Id="rId1675" Type="http://schemas.openxmlformats.org/officeDocument/2006/relationships/hyperlink" Target="https://news.google.com/rss/articles/CBMikAFBVV95cUxNWW1tQnRGeXQ2bWpWbHlDZXIwdmU2WmpGbGpLTzF2c1hmUFduaU9rYVhVVksxbGlBQkU3QzJGU1kxMF9Xck1LT0dadVF4WUNwbkgxVVB4OGFhdDZXd1JDZmNGbGItWm4zYndVdzZ5bXpkWTBjN2hEMHFwdzdSVWs1OEVQX1FNR0d2QmJnWU56RUM?oc=5" TargetMode="External"/><Relationship Id="rId1676" Type="http://schemas.openxmlformats.org/officeDocument/2006/relationships/hyperlink" Target="https://news.google.com/rss/articles/CBMikwFBVV95cUxOaWhMWGRKcExJYlhobWlpZEVUNW5HYkg5N3BqS2JVazRqNlpWV1d1ZlhUWkJ2cjg1cll5VmVIY2NBbFJuaDlNOU51T1hGZzRHVzlGMWFzcS1QSGxXSXRYTGdHNFJaS05HRzVvN1I1a0RGTFI2TUFjeS0zT0dNVGhWWG9BblJQSTM0bnp6YXQtcDdMeWc?oc=5" TargetMode="External"/><Relationship Id="rId1677" Type="http://schemas.openxmlformats.org/officeDocument/2006/relationships/hyperlink" Target="https://news.google.com/rss/articles/CBMidEFVX3lxTFBvanZESURxMkE4VzVpRjExeXpXVVdWamtsQjlLOXM3V0JYVUlScjdKRGlKNlBtYzEzRDY5ekhqUWxCZHRHOHcwSUluQWtheWJ3TnI5cGh4TTFlUFFaRGtHQ2hXbEoydkQtNzRZcy1rMnZWdi1N?oc=5" TargetMode="External"/><Relationship Id="rId1678" Type="http://schemas.openxmlformats.org/officeDocument/2006/relationships/hyperlink" Target="https://news.google.com/rss/articles/CBMibEFVX3lxTE1IYmVCUDV5Y0s0SnA4U1Z3UEdKck9lNVY2Q0U4RWllRG1WREE1NXI3LTJiZm1hYmM0R3B2eUxqUW8yQzBnQVJVRkxLS2M0bEpMTG1rNlpzNFFES040QjZfenY1LWFSRjZBR3c5UQ?oc=5" TargetMode="External"/><Relationship Id="rId1679" Type="http://schemas.openxmlformats.org/officeDocument/2006/relationships/hyperlink" Target="https://news.google.com/rss/articles/CBMigwFBVV95cUxQalZvbGMzVzY1RzE4R280aGdlUzMxR25FamFfVjdWM1p5aGxMNFdSUnlKVF81UkxhT1ZuYllPbDdJcFVoQWJZYlVBU2w5VHV4cDdBWjM0d2dqNUJOLWJLSGZOOTh6cm1EbjhKT2ZJU04wMlNKZmJhZF91Ri12QTdNVDFSMA?oc=5" TargetMode="External"/><Relationship Id="rId1680" Type="http://schemas.openxmlformats.org/officeDocument/2006/relationships/hyperlink" Target="https://news.google.com/rss/articles/CBMibEFVX3lxTE1VQTdVanp0T05KZ0hISlVvX2x0YmFIMXZLNV9oaGRTQWUzNnZHZ3VsVmhsNy1BMHA0blJVZy00cFEteEN2WlNod1VKNV8zQTRYSjY3SE9UWTVVbkN2M05CazZscktuSkNRN0ZaLQ?oc=5" TargetMode="External"/><Relationship Id="rId1681" Type="http://schemas.openxmlformats.org/officeDocument/2006/relationships/hyperlink" Target="https://news.google.com/rss/articles/CBMiwgFBVV95cUxQaDJjWlhqeUVrcno3SlF4bkhEMFFzY2lwaFZmZ0w0YVlOUXlrQjdmTTNWSW9GYVFWM0ZISEZUMDlhR05ydFlrYUxLd1hRZTE2YnZCcFpZelRxc0hjalc5b2poQmxsREtId3dKaVpBS1J3YjJLZ1UwUmJkLXFNQVhLYk1KYVpCVEJJNVBMWGdZTU1senY2aFlHX2xKdHc5SF" TargetMode="External"/><Relationship Id="rId1682" Type="http://schemas.openxmlformats.org/officeDocument/2006/relationships/hyperlink" Target="https://news.google.com/rss/articles/CBMibkFVX3lxTE8yRVo0cGhEOWlCb2U3UVBnWlRaN2cwNnFoMXNhVDNJbldjVkFpeXk4aUw4bFVKdXVPWnB1ZXBRblBoQVB3VG5TM3dRZURQUTRHd1N6b2wyeHU1ODVqU09nMm9telcwRkFzbDIyS05B?oc=5" TargetMode="External"/><Relationship Id="rId1683" Type="http://schemas.openxmlformats.org/officeDocument/2006/relationships/hyperlink" Target="https://news.google.com/rss/articles/CBMibEFVX3lxTFB3ekFSeTFxLXVOdnVlQzA4MHpBWk1XdFVfNlZFZlFDWVhBMFQ2UDI0OGM5Q1UzdndKR1NCV0xQZW9EYWNKT1RGUEZ1M1NGYWw4bmE5OUt3bHp4enNmdkFPTWZlX2dsQmV0ZEMySw?oc=5" TargetMode="External"/><Relationship Id="rId1684" Type="http://schemas.openxmlformats.org/officeDocument/2006/relationships/hyperlink" Target="https://news.google.com/rss/articles/CBMizAFBVV95cUxOVmk0WHpfWHlZZi1EVHhrRmVIenUzbTFmTklWemNvMTVTMzlzWHljRXgtQzdFTUZ4VE80bHRjU3pCM1F6cXRzOUdrSXJ3cU9ha3BXMmo4WmpnckNQMVUyU1dhOERUTDRjYmphQjlZbnFhZTlCdGJrVk5hWnhLZkF6dkp2ei1WNk1DYjR5Wk1IUWxuZUpibzBXSVdldURDV0" TargetMode="External"/><Relationship Id="rId1685" Type="http://schemas.openxmlformats.org/officeDocument/2006/relationships/hyperlink" Target="https://news.google.com/rss/articles/CBMikwFBVV95cUxOV2hKdXNNQWZ4d0szbmdaTGRzbVJ0Zm9CU0NYTE14ZWdZR25pb2ozcWlLZ0tMRXhFLVdTeVM5ZUxRU0h4cE4xSkt6ZnNTTFo3eFhsNkdZYzg0Z0pRNFNpZWhYX0NBNVJ5WnZxVGRqM3Y1cXNKYS1rZm9fU3NkZnZibGVpb0VQanhsWkkzMFJEakpVZEk?oc=5" TargetMode="External"/><Relationship Id="rId1686" Type="http://schemas.openxmlformats.org/officeDocument/2006/relationships/hyperlink" Target="https://news.google.com/rss/articles/CBMibkFVX3lxTE52Y2tvXzlWV0laSEhmdkFKclZ5R21NX05xRTVfdnotX19GM0NlSFdHTTdfMUtFWHNUNVQ1amk1N052ZmQ3NGtfN0RVZXRFRk9fVTlidFNndGw0Unlfbzh3MFkwTEZqbnRhTlBidmR3?oc=5" TargetMode="External"/><Relationship Id="rId1687" Type="http://schemas.openxmlformats.org/officeDocument/2006/relationships/hyperlink" Target="https://news.google.com/rss/articles/CBMiV0FVX3lxTE9IbUpEQm1NdEJmekk3TGY2d1VXS2I0VFlXbmhmWHg5aDI1LWVkc2lwb1BVYmZqSnE3enpkMDBqNGJ6ZC1fQTc0SWl3VE5YbG1kbE9TYjBDRQ?oc=5" TargetMode="External"/><Relationship Id="rId1688" Type="http://schemas.openxmlformats.org/officeDocument/2006/relationships/hyperlink" Target="https://news.google.com/rss/articles/CBMiY0FVX3lxTE5iOUhvZGJ0anoySUlLa0x0VUl4Rkd6TDBVRFc3NzV1SjFOdndYTHNrd1N4cE1ZWDlkNmVWM2EzR0swQ1NXTGg3N0habExrc3ZzQm10Vk1IR1ltZXU4SkY4ZWh5NA?oc=5" TargetMode="External"/><Relationship Id="rId1689" Type="http://schemas.openxmlformats.org/officeDocument/2006/relationships/hyperlink" Target="https://news.google.com/rss/articles/CBMiZkFVX3lxTE5NSi1FT2M1MmRLdzlLUFJTalQxblBTQ2E1OXI0Vjdwcy02RllkR1ZHYU8xaVdtazlmRlk5U3VYblFtcDZhdWVuYmlReHRFQk9TMENSR3ZJQWpWSkFqVFNqNmZZTGFPdw?oc=5" TargetMode="External"/><Relationship Id="rId1690" Type="http://schemas.openxmlformats.org/officeDocument/2006/relationships/hyperlink" Target="https://news.google.com/rss/articles/CBMiZkFVX3lxTFB5VXRhSjRiUGh6TU5adzVzakNrcEJCcmdoRldnc05wcUYyaVBFbHBOMHltMXhIRDRJTHhmWEhTMS1QV0x4OXVKa2MtWFd6WEJTTVZKcmNtQ1FKbUtwSENHWUdfRXRkdw?oc=5" TargetMode="External"/><Relationship Id="rId1691" Type="http://schemas.openxmlformats.org/officeDocument/2006/relationships/hyperlink" Target="https://news.google.com/rss/articles/CBMibEFVX3lxTFBFQTYxM3U5Ukk5cVNjSXJxb1I4U1l0N1ZpT1VRQXlOV21DeDdHY2duY01LSHZlY0JXZjNQbVpQSFAxUmx5UUt4ZzZxTE55TDFQQWRKQmZUWEk0Q0daRWpIX20wWjhNcmJ2eGY4QQ?oc=5" TargetMode="External"/><Relationship Id="rId1692" Type="http://schemas.openxmlformats.org/officeDocument/2006/relationships/hyperlink" Target="https://news.google.com/rss/articles/CBMiUkFVX3lxTE5laFFHODBZdnQ2RXFpTHotaXhLVGc0dzN5WGVyM0daQ2dleXE0dUNkRFE3V0E5SmM3WXJhTWRUUFhrQk9tVHM3RjFILWxMLUhhOWc?oc=5" TargetMode="External"/><Relationship Id="rId1693" Type="http://schemas.openxmlformats.org/officeDocument/2006/relationships/hyperlink" Target="https://news.google.com/rss/articles/CBMiUEFVX3lxTFBaMDdXdVVRSnQ4czk3WjV0Z2pMSjRYVjJ6ZUIwMGdCeHh6dkN5M19OS2V0bFRRZURVb1gyM3M4eG0zMDE5b2p5R2ZZZy1Kd2Jq?oc=5" TargetMode="External"/><Relationship Id="rId1694" Type="http://schemas.openxmlformats.org/officeDocument/2006/relationships/hyperlink" Target="https://news.google.com/rss/articles/CBMikwFBVV95cUxONXlmbEhjYTZNeWRIT0w4UlBGQUZrM3hMNDAwUk9hYjQ4eGliVkZUb3NqMGV0TEJBblRNbEJKV1N5bkRIX19ZZVBOUkpaTGNVSnU4dHVRY2JiZm5RLUtrbUt0SDFkSVFPTk5BSF9fV0pVMkU2OUJtNmQzUld2V2hmUWRFOHp5TWRqdUQwekoyREFBZ1U?oc=5" TargetMode="External"/><Relationship Id="rId1695" Type="http://schemas.openxmlformats.org/officeDocument/2006/relationships/hyperlink" Target="https://news.google.com/rss/articles/CBMiW0FVX3lxTE1ia2tfc1lGMW12S19sdGk0NmlSUzlUQ1dWM0ItRnRJek14YzJzZnVZOWhNam1ESFY1UUtqMDZsX0RMMG1iaG41SEJUUXVMQlljek1hZlgyODlxcjQ?oc=5" TargetMode="External"/><Relationship Id="rId1696" Type="http://schemas.openxmlformats.org/officeDocument/2006/relationships/hyperlink" Target="https://news.google.com/rss/articles/CBMizAFBVV95cUxPVHJYMEVtM1A2MkJCYjQxeDVPdlRNOWNycDcyQS1ORnhRd0tkcGlQYVV3OWlxS1o1alIyNWJUc29iTGFUZE82NXpsTDE2NkRHeEVHd3dURkJNdGEzdl81ZHVzcTkyREtvSFNDMS1la1lDa3ZEZjNzZFY5QXNrV2lBTDJjc2tpNlM5aGstNU9FaUJpNXJWS3c0cjVid2NWZW" TargetMode="External"/><Relationship Id="rId1697" Type="http://schemas.openxmlformats.org/officeDocument/2006/relationships/hyperlink" Target="https://news.google.com/rss/articles/CBMiwAFBVV95cUxNcmJjaHRNel9PU2lOeDcwcW84LXBFa3pVMDJ2MXR2UmZPdTJYUFA5WkdVcnpuclhjR2JLd29Oc0NzeUNzVHEyZmQ1elBsNDdFRkYtVl8yZkphaG5NT082eFZsNUctb0tqTS05UGhsVWMxQnVJSDZnNnA1QWVaeno0MHJvT3pyMUg3TVZ2ZU96RndxWEJUb1k4OHBFTE5hNz" TargetMode="External"/><Relationship Id="rId1698" Type="http://schemas.openxmlformats.org/officeDocument/2006/relationships/hyperlink" Target="https://news.google.com/rss/articles/CBMiW0FVX3lxTE1ia2tfc1lGMW12S19sdGk0NmlSUzlUQ1dWM0ItRnRJek14YzJzZnVZOWhNam1ESFY1UUtqMDZsX0RMMG1iaG41SEJUUXVMQlljek1hZlgyODlxcjQ?oc=5" TargetMode="External"/><Relationship Id="rId1699" Type="http://schemas.openxmlformats.org/officeDocument/2006/relationships/hyperlink" Target="https://news.google.com/rss/articles/CBMingFBVV95cUxPVkU0NTNtV3NCMThLRkZsay0xRnMyM0FfbGVhbldjcW0wS2Mydjd3b1Z6bUlEREJUMVBha2tMaDYxdHdoR08wQzdxVXFfNkFoaW50QkRadVU1Mnl2SHRULVRLdW1SaEJJSWJ3UnN0bGNzNUVXQi1hQTd5TUhyMWpIUDRCVjdjNXZtQkd1UzRZS0M1Mnc5R1VObVBxRlI1UQ" TargetMode="External"/><Relationship Id="rId1700" Type="http://schemas.openxmlformats.org/officeDocument/2006/relationships/hyperlink" Target="https://news.google.com/rss/articles/CBMibEFVX3lxTFBodDBtdzBjWk04RVJTWkF6LU84aFBiQ3Nvbjg3UVl6eGhRSjcxN0dCY0lfUTJxR3Q2cTUtbXNsZ3BWZDZNZ20xc0o3eTk1V3V6SlJmdDJZMmhwZERVR2hPcHZZaVVmWEF4cnVlOA?oc=5" TargetMode="External"/><Relationship Id="rId1701" Type="http://schemas.openxmlformats.org/officeDocument/2006/relationships/hyperlink" Target="https://news.google.com/rss/articles/CBMizwFBVV95cUxPYXpEMFZwZTRfNlJad0lURjFNclU3VkdYUGxPZ0llWjZNTFpTakl2aEc3a3JoX3BvMU0td2pMd0t0ZTRwNXh5dnoxVVpidjJxUnVwWlFoWDkwZU5EeVVDOE5SLW14dFg0ejAzUEgyeGdIbVU2ZG9JN2Zrd0haSUIzcVNvVEFVYVZ2YThWcGxoYlBxRFJLcFpJMUtVLWdnU2" TargetMode="External"/><Relationship Id="rId1702" Type="http://schemas.openxmlformats.org/officeDocument/2006/relationships/hyperlink" Target="https://news.google.com/rss/articles/CBMi4gFBVV95cUxOUzh2OUZsTEpldThYeXl3bXJ4cDB5d0JiSUpYMW51MGpTVS1fMTBxS3BfYWo2MFplSjluQlhUd3pFcWJ3YW11XzR6Ym1VMjNMN1hQZFhGa1hKc0tzRDJyYWlHU25pcTFYWU05UjBmZ2xVVDQwMUhILWdQNzFpNmQ5X2I4RDItc3piN3F2UE9vMjhyNGZvdTFTQ2RBUEsyTX" TargetMode="External"/><Relationship Id="rId1703" Type="http://schemas.openxmlformats.org/officeDocument/2006/relationships/hyperlink" Target="https://news.google.com/rss/articles/CBMidkFVX3lxTE1qemtqSXF2TUdDdHVfeFAxNVduMFk0djdPZkZpdWM2SFVlYVpQMFJnLTY3dmRkQUlYUDMyTnoydkhQWHNaalFJbG55cGp2SWVCSUxWMDJzNXVJemtwTkxzWWpuOTVtbk1oNXFHMDVoTUptSm0wLXc?oc=5" TargetMode="External"/><Relationship Id="rId1704" Type="http://schemas.openxmlformats.org/officeDocument/2006/relationships/hyperlink" Target="https://news.google.com/rss/articles/CBMivwFBVV95cUxPZEIweGRaNG5RMDBycUtlaUxBd2JRQi1hNGZveGpEQ1RuTkpZT3dkdDRWVVdmVUJuelZMMUt5MWQydS1IcFhXRlRkQnVqVW16SC1kUmNVajRMaXB4emRVRklHbFhqVmd6ZmRPbXVYX21lRVMzVGFFOEd2bWlfb3JDTFpiVTJiTVRkclhpUVBVNk9oSGRYM3NranRMQjU4Wm" TargetMode="External"/><Relationship Id="rId1705" Type="http://schemas.openxmlformats.org/officeDocument/2006/relationships/hyperlink" Target="https://news.google.com/rss/articles/CBMiYkFVX3lxTE9PYXpWVWtKb2VUOWZBUWVQWjVOSUw3eTk1d2pyTThsbENhWFRaNEp5WWk5TmZiZUNRWDdNSEN2NHFtN1VTTnM1dUpnVTZTei1TMDlkN3NRdElBWFlkaGhTRmVB?oc=5" TargetMode="External"/><Relationship Id="rId1706" Type="http://schemas.openxmlformats.org/officeDocument/2006/relationships/hyperlink" Target="https://news.google.com/rss/articles/CBMibEFVX3lxTE0yMVRWWDR6VnAzd3Rocnlmcmo5QzJKZUJQSU5LNlRNLVlQSzlyX2NwdXg5eU5vYmpzd0hwMEtSd0xEMFlreWdVM0stb1hiZlYwUkdMYnJ6Q1hMb2t1dm83aDFoMmdkZlJwOE9FRQ?oc=5" TargetMode="External"/><Relationship Id="rId1707" Type="http://schemas.openxmlformats.org/officeDocument/2006/relationships/hyperlink" Target="https://news.google.com/rss/articles/CBMiZkFVX3lxTE5QTXJoSXFROGwxNzhYaEJFWXd2WDBaVnFnY0IwaUlEbGxoRjJRZThFM3ZBckt1RjJkbVU2QWNqWkxVanhNMzlLdlVQWXhaeWpfVlpjaU9UbzQ1dHhfNFVHMkNVSmcxQQ?oc=5" TargetMode="External"/><Relationship Id="rId1708" Type="http://schemas.openxmlformats.org/officeDocument/2006/relationships/hyperlink" Target="https://news.google.com/rss/articles/CBMibEFVX3lxTE5zMDRCOEExbG56Y1ZCZFRzTmZ5ODhZR2VrY1lOZTZsXzBwREtOSzc0cjVIcEo2UlNENHVFMWNyY3hxMlhIR3BaOGFHNk5BRHZoSG4ySGt3RDNuU2JvcnJOR1Z3U08wNzY1d0czNg?oc=5" TargetMode="External"/><Relationship Id="rId1709" Type="http://schemas.openxmlformats.org/officeDocument/2006/relationships/hyperlink" Target="https://news.google.com/rss/articles/CBMibEFVX3lxTE1LRWFEeTZGTklxZzBlNGNiRHRSR2F2a2hhTTM2LXFIUjdiNEl6b3ZGQ21BSGR3S2ZSUjUxQV8tQllxcG9fMkVrSjhFRzVBdmxGc01MdjFWLVlTTW16WTBqVl9rNEh1VUFZa2tVcQ?oc=5" TargetMode="External"/><Relationship Id="rId1710" Type="http://schemas.openxmlformats.org/officeDocument/2006/relationships/hyperlink" Target="https://news.google.com/rss/articles/CBMilgFBVV95cUxOc0d1a1RnM1RZcG9KbTBMbVFwbWR6NnM5OENXVHZJTTFWd0FFUzRUMk1YT25Yc3NvU2RFWVk4cG5icElteEhOZTZHWm5RZDVvYlV0dzM0SzE0NGhmTUMxMzBDWGJCRk9sVEtHUmlsT0FiLWJ4SXNUQkVOcW5uZW9mQU95V2dxS0ZCaTRjemRleTRyM1RZZFE?oc=5" TargetMode="External"/><Relationship Id="rId1711" Type="http://schemas.openxmlformats.org/officeDocument/2006/relationships/hyperlink" Target="https://news.google.com/rss/articles/CBMixgFBVV95cUxOenAyNEVBWlV0R0RLREIxckpOazRabkNIOTNzX054N1J1Rjk1NUdoN3FzSkdZRElJMWdZdXBDOFM0cXhWWHZZRUltTkZHYXhlbF84dTRTdGo2TEs2OVB2bVpkcmcyRXZPcWZYQ0xsdWEwV3NhZ2d2X1VEZk5iU1pHTjkwTDN2VVZMQVhNSFBkcmZ1aHIzMmRoalpoUkRzVU" TargetMode="External"/><Relationship Id="rId1712" Type="http://schemas.openxmlformats.org/officeDocument/2006/relationships/hyperlink" Target="https://news.google.com/rss/articles/CBMidkFVX3lxTE5lR09tSDJLWENQQVJqRUg2X0xmbkhXOUVwLVdFUkhyRXpKNGlDWFpGVE1WRGl2VkgzX3doSEpnWmN2UWFSSXVLZENQSU9tVHJWUFVGcURiN0RhNUFPLTZuNE1STlZqSHZ3NklPYlJIUVpWbVA5Z0E?oc=5" TargetMode="External"/><Relationship Id="rId1713" Type="http://schemas.openxmlformats.org/officeDocument/2006/relationships/hyperlink" Target="https://news.google.com/rss/articles/CBMirwFBVV95cUxOQ3JBXzhoN1NkamdCeTdMUW9ub2RBVW16VjluRDNkVXM3N24wRGVFSThXMUk5MDNQdTlhSTA5ell2Q0o4cG5SYkdfM0ZEWUdDREpMMXdKOThBQVVDU19pX1N3UlBIcWEtMjUwZVItTV92WHM0TDRnWjlZZXkydS1JNkVPU0F4c2FWQ29DY3lhLTJRMlpWcGhGa0hGQWR4aF" TargetMode="External"/><Relationship Id="rId1714" Type="http://schemas.openxmlformats.org/officeDocument/2006/relationships/hyperlink" Target="https://news.google.com/rss/articles/CBMiwwFBVV95cUxOV0dKMEtjRVEybktOWkRNdFZ1NEFCUXp2a281MjdsYjZRVkVSLXp6TGNwMkxBSkVRZkhUNmV4TXFJQXI1aFAzX0FfczM4TkVJX3RUdzMyYllnVEZSOUJaTmJwS25vd3FTY1BUb2QxR0VoMldEWmZxMzFNcjZ5VjF6VFVOTkVzVC1na0poY1JpcWRlWVlTNWRVS2I0ZElJQS" TargetMode="External"/><Relationship Id="rId1715" Type="http://schemas.openxmlformats.org/officeDocument/2006/relationships/hyperlink" Target="https://news.google.com/rss/articles/CBMibkFVX3lxTE03Q2tIQmVvby13a2xjT1NqdndQbXMxQUxqVXlUZTJYbV9STFlwSDBXS2pXZEM2TF81LUNlbG9SYnVOaGdNVHB1NWVoR0ZYVUFqazFpMVROMFF6blVvd0laLWZOQ0tlQXIyck9TY2xB?oc=5" TargetMode="External"/><Relationship Id="rId1716" Type="http://schemas.openxmlformats.org/officeDocument/2006/relationships/hyperlink" Target="https://news.google.com/rss/articles/CBMiY0FVX3lxTE9tZi1yNlhsYU5OZjljOTVPdkZBNGtFLTdhUm84M0p0Q0dKcmJ3TGJ2ZkpsRmx5MjItc1M2UjF6dEdMcGduMk1QdWVVNG52cmVBcG5rNU41S1BHQ18xV0M4bnpiNA?oc=5" TargetMode="External"/><Relationship Id="rId1717" Type="http://schemas.openxmlformats.org/officeDocument/2006/relationships/hyperlink" Target="https://news.google.com/rss/articles/CBMibkFVX3lxTFBhNmRndENQZ0d3TTlYNHhtQWFESk9FQnExTUd2TzM0QjJEenhnQ2FleDZoMUxndFkzX2EtZnplUm1TS2FwMml4d1ZfaTZQOEZaRDk5RDh6SE1Bazc3Q0NRX2p1dEJhZXE1QWI3QW1n?oc=5" TargetMode="External"/><Relationship Id="rId1718" Type="http://schemas.openxmlformats.org/officeDocument/2006/relationships/hyperlink" Target="https://news.google.com/rss/articles/CBMidEFVX3lxTFBBOE1GNlg3d05GcGdXdnpNUG8tT0dnd3h0YzREQTQzQ0ZPQW1rRTZkSzRXaHNGa0NtaVNZN1lJaS15bGJSZXRsSi1iRURGTEttQ3FWajlQVjFWQ3ZRMVpkWjgwUlNqRGVISXVSc2FVWV96RWw5?oc=5" TargetMode="External"/><Relationship Id="rId1719" Type="http://schemas.openxmlformats.org/officeDocument/2006/relationships/hyperlink" Target="https://news.google.com/rss/articles/CBMibkFVX3lxTE5EWUp3ejVwa1NTajUzYWZTSThUTmpORWFMZ3EtOHVtMXVwNjlvTTRKSGJZTjRUMlg2c2hwWDRPTF9yZ3p0SW5PYmJMZmRBMGZNQ2pIbk1hM0RGQk1RbU1scnlXcllRZndNa1pTMmxn?oc=5" TargetMode="External"/><Relationship Id="rId1720" Type="http://schemas.openxmlformats.org/officeDocument/2006/relationships/hyperlink" Target="https://news.google.com/rss/articles/CBMiekFVX3lxTE1SQ2RRZEE5M1FuaTlxZzlSbElRcjhhZElWWF8yTElnZGU3Rkw0YXg0b0RWdVhoSFhVZlk2dG13N0lXR0FkNTh0RzdxZ3hRYXNWTjlxaC1jdlhRdFpBLUVDTnR5dkJHQzlKTTVNbXFsekFfZlB4T1lXSUZn?oc=5" TargetMode="External"/><Relationship Id="rId1721" Type="http://schemas.openxmlformats.org/officeDocument/2006/relationships/hyperlink" Target="https://news.google.com/rss/articles/CBMiZkFVX3lxTFBCc2FvUkZwdmphMnNmamhobjB6M1IwOTYwbTRvQzNsZUFDT0lFelBrUkNmcUNzTm9FaDg0Q1BnMzB5YWVWWDA5Rm5ocFRJWGdCaG5sUWh3MDFnQ1d3R3RkYWRTTm84Zw?oc=5" TargetMode="External"/><Relationship Id="rId1722" Type="http://schemas.openxmlformats.org/officeDocument/2006/relationships/hyperlink" Target="https://news.google.com/rss/articles/CBMibEFVX3lxTE9VcTItSk1iMW9oUldyUmszNVBBRnFrVDFBa2t6d1NDZDI0RTE4clppeUpnZk5tWldoZzQ5cE1GTXhzYWdQV1o5bUQ0bjJQQWdzMnRSbGhJTUI5dU40eW1BWVZjY1R3b0t0b0JQcg?oc=5" TargetMode="External"/><Relationship Id="rId1723" Type="http://schemas.openxmlformats.org/officeDocument/2006/relationships/hyperlink" Target="https://news.google.com/rss/articles/CBMi3wFBVV95cUxOVWtQWHlQeHc2Zl83cEwzS0Q0bmJSdnowSnRRUXZLbkJfZTBveGVtV3FlV1pYbjk0V1B5NVM4Rk9KeGZQaTNkbVlSZGdPN1pkUkY0U1FNXzJfYmZYUm12cWJrYkdPUlprU0J5Y2JVbVlTTnQxVjBwdnlpSjZHSUpxRThFbE16djRYcmxld0hQOUlsYUxNcDBWMHEyaGtGSn" TargetMode="External"/><Relationship Id="rId1724" Type="http://schemas.openxmlformats.org/officeDocument/2006/relationships/hyperlink" Target="https://news.google.com/rss/articles/CBMi4AFBVV95cUxPci1ZX1lTM0VyNHFkaVRmV2hUR09NREQyMjVkZUFnVFhSQ1ViT0xYZ2JTaEZBTUpNN0JDU3Yza1hLcGU3bENDenZaelJnVnZCbWhiazlCZ04zNUY4bGhEZ0lGVng2VlhsNDJTZ19HejBRR2hCcWZ4WVRPZGtzSUxxdzlGUlh1TkxvR1ZGUnhsMTZ4MGtBa1RWdWNRSE9kc2" TargetMode="External"/><Relationship Id="rId1725" Type="http://schemas.openxmlformats.org/officeDocument/2006/relationships/hyperlink" Target="https://news.google.com/rss/articles/CBMiXEFVX3lxTE9UcnB4WkkwN1RYM0dzYzc2Rmk3OXFwNENBR056bXRlRW1LUFNOZTJCUEEweGZ0eENGUUtLTkp6c0FIanBBUlk0NUtjSFRYQ2FnODJTa1o1VW83eUNS?oc=5" TargetMode="External"/><Relationship Id="rId1726" Type="http://schemas.openxmlformats.org/officeDocument/2006/relationships/hyperlink" Target="https://news.google.com/rss/articles/CBMi3AFBVV95cUxQWnJvbUZxeU1EQk9rQ2FfdnNLNnBtMmhYRUxBSkpGYmhXRDZmWnpwRXJ1UUtsajFSRmhNZXcwaVJ6amVtcjNudTdWdWlsR1NxRkxaRDNPWjl4ZE85aGNCY3otaTF3MF9OWWVQdlhZOFRYVjU0eDc1WVFxX3VTaUY0YW5SRFVucFJickxSNzA4UVhMZWVWN2RlVGtFN0k0UG" TargetMode="External"/><Relationship Id="rId1727" Type="http://schemas.openxmlformats.org/officeDocument/2006/relationships/hyperlink" Target="https://news.google.com/rss/articles/CBMibEFVX3lxTE5uMTd6YTJocVl2ZEFjcjFPX2JqdHdjdVR4bmoyVF83T1ctX1NzZ1lGX3llWmpQN1NCcHEwZWVtMXpGM0dxd0lwYnBkQUZSSG1CTmEyUzRWZ0F2OGd1V3JFMy03X1ZZZ2d2X3hGMA?oc=5" TargetMode="External"/><Relationship Id="rId1728" Type="http://schemas.openxmlformats.org/officeDocument/2006/relationships/hyperlink" Target="https://news.google.com/rss/articles/CBMiZEFVX3lxTE1PN2JhLURLQmRZSVFwdHpXLXZ3bEVfVjhSZjlIZDRPVGJWRVBabzM1dlA0VXNqWlJjR1ByTGJ5dVg1dExTbkN0Mm0yZ3JWQ3dNTWw0dFVpbXFZTDNOdnEzR1JzRHM?oc=5" TargetMode="External"/><Relationship Id="rId1729" Type="http://schemas.openxmlformats.org/officeDocument/2006/relationships/hyperlink" Target="https://news.google.com/rss/articles/CBMi1wFBVV95cUxOVlBUblhCaUZ3dXplRG93Y3NRSXpfV041WXJ6MG13cElYcXVTeUdpRm50SkVoaTc5OFV4akNSdFktcnd3dzVVY2NKN2lVa0xrRWQ3ZmhIcXMwazN4OEY4UlBpQlluYUFxajFJVFRWLVJXdXloV2hEZFNXSEtMSFd2ZlNnNGZ0NmhfRzZkcjdMZWI0NWJsOWhpUTIzcm5WSj" TargetMode="External"/><Relationship Id="rId1730" Type="http://schemas.openxmlformats.org/officeDocument/2006/relationships/hyperlink" Target="https://news.google.com/rss/articles/CBMisgFBVV95cUxOMUhpNW16Yy1vZUhmOUU2RThCejVoRF80VVkzN2hSZ2ZHczVOdzJ5WnQ4Mm4ycGEwZExXc1ZXQkNJX3huTlNYdUpsVnpWeUFfczJTWGpON3ZpazdMVlFFVzNORzJ1OE9fTFFVMWpzLTFQRW04MFJxT3l1MmFzRTJrUjUzMlREYmdqOTVaSXZGT3hKSGFwTm5qdUdlc3RyR3" TargetMode="External"/><Relationship Id="rId1731" Type="http://schemas.openxmlformats.org/officeDocument/2006/relationships/hyperlink" Target="https://news.google.com/rss/articles/CBMibkFVX3lxTE1zeU9majR6OUViNHhFcHI3TXJUamZGTG4zcGJWLU9RUzljdjNxeHBUVFNQNmZWUV9mSXdmb0dhdl9CS0Ftb2szeUxxYTNfTWRXUmxZQUxvQlNjWElwemljaDBSMjhVYjg1NE5xSDZB?oc=5" TargetMode="External"/><Relationship Id="rId1732" Type="http://schemas.openxmlformats.org/officeDocument/2006/relationships/hyperlink" Target="https://news.google.com/rss/articles/CBMibkFVX3lxTE4zYlpOT3FaeHlsTjk4aGo2bXQ4M1hxbnJJcG1FRFY4WmlmZlhEYlpqN05uVUI4QkdDVldHQllEWnpCdHNtZHprOExnZkZyWUFRLVNzTTliWEJkZjM0UGl0bzdtV2Fpdm9CNS1CWVRB?oc=5" TargetMode="External"/><Relationship Id="rId1733" Type="http://schemas.openxmlformats.org/officeDocument/2006/relationships/hyperlink" Target="https://news.google.com/rss/articles/CBMisgFBVV95cUxOMUhpNW16Yy1vZUhmOUU2RThCejVoRF80VVkzN2hSZ2ZHczVOdzJ5WnQ4Mm4ycGEwZExXc1ZXQkNJX3huTlNYdUpsVnpWeUFfczJTWGpON3ZpazdMVlFFVzNORzJ1OE9fTFFVMWpzLTFQRW04MFJxT3l1MmFzRTJrUjUzMlREYmdqOTVaSXZGT3hKSGFwTm5qdUdlc3RyR3" TargetMode="External"/><Relationship Id="rId1734" Type="http://schemas.openxmlformats.org/officeDocument/2006/relationships/hyperlink" Target="https://news.google.com/rss/articles/CBMirwFBVV95cUxNSmdwMUJ6WXZFWU9lQVdiSThNOXBiYzI4TnhfVXRWR3ZKV2VUaE8wNVM3TFZzdUZBd3NjQkJFaThCQzNTVGFwWFUzOTI4YTRmeGRNNXo1NlYyQWJ6cFotaUFUZWtIMWFPTlhPdzEyS1l3RUZEWHFwX0l2Sk8zXzhiQWplVUpKVFROdnp5TzNCTGZzbEZPSHhuWnN6V1FlZT" TargetMode="External"/><Relationship Id="rId1735" Type="http://schemas.openxmlformats.org/officeDocument/2006/relationships/hyperlink" Target="https://news.google.com/rss/articles/CBMivAFBVV95cUxNeTctQXFFbzNHbDdkdlFDRlNUUzN2a2RSZ3Jwd18wYlNTU0NpZTFxUUw2TElhTTd2QUZLT0NCdG9zTWQyS2NPSG9EQ1BPYWxlTlhra3RQUi1fd0VlZkxZa2dHQlpOSUVyTVBISUlOR2FZeGhLcEdxbmJzakFUWFdwLWxpWnE1UW15c01JN0w5cEl5dl9VQkNmc19vWDN0UT" TargetMode="External"/><Relationship Id="rId1736" Type="http://schemas.openxmlformats.org/officeDocument/2006/relationships/hyperlink" Target="https://news.google.com/rss/articles/CBMidkFVX3lxTFBxdEVEd3N1MHlZVGhxb0w5SGpHOFgza21CVXBkMWNCUHZVcVBSakgzT0o3eWVnUnpxVnNqR1d1STBiTnVLY0M4V2hINGEzdlh3WWpxdms1R1VZSkczZXZVS2UybkE4ZDNGV3BzUmVnczduclhEM3c?oc=5" TargetMode="External"/><Relationship Id="rId1737" Type="http://schemas.openxmlformats.org/officeDocument/2006/relationships/hyperlink" Target="https://news.google.com/rss/articles/CBMisgFBVV95cUxOMUhpNW16Yy1vZUhmOUU2RThCejVoRF80VVkzN2hSZ2ZHczVOdzJ5WnQ4Mm4ycGEwZExXc1ZXQkNJX3huTlNYdUpsVnpWeUFfczJTWGpON3ZpazdMVlFFVzNORzJ1OE9fTFFVMWpzLTFQRW04MFJxT3l1MmFzRTJrUjUzMlREYmdqOTVaSXZGT3hKSGFwTm5qdUdlc3RyR3" TargetMode="External"/><Relationship Id="rId1738" Type="http://schemas.openxmlformats.org/officeDocument/2006/relationships/hyperlink" Target="https://news.google.com/rss/articles/CBMisgFBVV95cUxOMUhpNW16Yy1vZUhmOUU2RThCejVoRF80VVkzN2hSZ2ZHczVOdzJ5WnQ4Mm4ycGEwZExXc1ZXQkNJX3huTlNYdUpsVnpWeUFfczJTWGpON3ZpazdMVlFFVzNORzJ1OE9fTFFVMWpzLTFQRW04MFJxT3l1MmFzRTJrUjUzMlREYmdqOTVaSXZGT3hKSGFwTm5qdUdlc3RyR3" TargetMode="External"/><Relationship Id="rId1739" Type="http://schemas.openxmlformats.org/officeDocument/2006/relationships/hyperlink" Target="https://news.google.com/rss/articles/CBMi1wFBVV95cUxNTHdDUkRmX3dGU3pYcG9BQ3FaVWFOTW1wZ1JzRGViaFRfalZHdHU3cktfcmRydURUdzRJYmdac2lvSEhHUGJYb3FBUUU5SVNVNmFvbzlScDZnSHJ4WVpUYzdEbjRtTjYyRWtQc2xpd0VpOTgwV2VjaEU0bkdQeGFQaW0xVlYwNDdWQzhkcFVKWHJSRC1QQkJxTW1QWThfd3" TargetMode="External"/><Relationship Id="rId1740" Type="http://schemas.openxmlformats.org/officeDocument/2006/relationships/hyperlink" Target="https://news.google.com/rss/articles/CBMibkFVX3lxTE9oNVZYTzl1TFBlcmVrLWZyVXJhV0hVbFJGdTduZ1RvUHUyNVZ2NWV0VzhhOUotbjJtN0ptb2NKaXFXMXhJdjhkRXlqOFM4SGlob3R4V1BQR09wTUR0TUwzdnNLZXpQZ0tZbHo1bGR3?oc=5" TargetMode="External"/><Relationship Id="rId1741" Type="http://schemas.openxmlformats.org/officeDocument/2006/relationships/hyperlink" Target="https://news.google.com/rss/articles/CBMingFBVV95cUxNTlBwdzd2NWRyUVdqVHpMNUlzekRDUUxWMF94RzdUbk9EZ0pMSzFMaFB4dXdxbHppN01fdEU3US1NeTFtdmJrUXhmb2k5d0JEUXUyMWFPdC1VMGZJVE00M1BUMW01MGtiOG9XZm9ub0ZtYll3RUpLZjNMOEhPdlRyb2Z3YTN0SDZGblRZNE1zVElzdlNUSHBkV29mUmlOdw" TargetMode="External"/><Relationship Id="rId1742" Type="http://schemas.openxmlformats.org/officeDocument/2006/relationships/hyperlink" Target="https://news.google.com/rss/articles/CBMibEFVX3lxTE0wZk1jaktZWUlVNUN5R2JFaXNncWlqLXlhVXpGVWtfZXZ6UUtTdVZEeE1sR0o0T1dyVGp4ZldyRTJqbzhpSDFZUGNLUldaMmx2aWlLR04xeVdzVGxLMDFZYTIwUUtZVFk2Z0c0SA?oc=5" TargetMode="External"/><Relationship Id="rId1743" Type="http://schemas.openxmlformats.org/officeDocument/2006/relationships/hyperlink" Target="https://news.google.com/rss/articles/CBMirwFBVV95cUxOQ3JBXzhoN1NkamdCeTdMUW9ub2RBVW16VjluRDNkVXM3N24wRGVFSThXMUk5MDNQdTlhSTA5ell2Q0o4cG5SYkdfM0ZEWUdDREpMMXdKOThBQVVDU19pX1N3UlBIcWEtMjUwZVItTV92WHM0TDRnWjlZZXkydS1JNkVPU0F4c2FWQ29DY3lhLTJRMlpWcGhGa0hGQWR4aF" TargetMode="External"/><Relationship Id="rId1744" Type="http://schemas.openxmlformats.org/officeDocument/2006/relationships/hyperlink" Target="https://news.google.com/rss/articles/CBMidkFVX3lxTE1DUTk5cUY2QVA1dzFRNUI5NTF5YkJWNXA3US1jcVE5TnFjOGZwOERicmVzVHFNczlrTU5fbVE2ajZhMW0yZ0g3dmxuM2RqbDhONkg3SkZTTEZCZVI4UkZHc3FBSVBXdlozV1czMEtydzgtX09jcWc?oc=5" TargetMode="External"/><Relationship Id="rId1745" Type="http://schemas.openxmlformats.org/officeDocument/2006/relationships/hyperlink" Target="https://news.google.com/rss/articles/CBMi3AFBVV95cUxOOElIYTVHYXhGM2x0MjJjWm1YRHljX0V6emRQMkZ1bThmaFJIdGg4MGFlaGhNakRDbXRoVUJ2MDU3QXFKZlRxdkdsd0Njay05V2RmYW1vY1dIb245YldtcnpfdkZtVS1pZnJfUUZ0Y1Juc2NvNTdMVmZCTjVLQm51ZWt4aHR6T2NQbFVMaHQ1UmxhdTFlOVhIZ2d5Y29tMF" TargetMode="External"/><Relationship Id="rId1746" Type="http://schemas.openxmlformats.org/officeDocument/2006/relationships/hyperlink" Target="https://news.google.com/rss/articles/CBMibkFVX3lxTE5HTDgzM3JTdnR2aS0zUGlwdWJBbVp5VVpFbjgyWU1QaHItOHhrMGthYllCOFN5Z3lQc2ZVbXgwQVVTMDRMRmV4RW1GQVJrWXQ1VnFjRFloM0dzV1ptOHc5UWwyclBpSEdqWktJS3ln?oc=5" TargetMode="External"/><Relationship Id="rId1747" Type="http://schemas.openxmlformats.org/officeDocument/2006/relationships/hyperlink" Target="https://news.google.com/rss/articles/CBMiZEFVX3lxTE1mSGU1ZllQQzF5b1VSelg1cnZUTVBfWDQ1V0EyWmVVVjBUbFZ3Rk5CVWFqdWdMbVZFWDlzWDdMcl9OS01CZjVTUVdoOXVnNHJNTnBnMml3NW1OR3NyLUhOaXZDUEU?oc=5" TargetMode="External"/><Relationship Id="rId1748" Type="http://schemas.openxmlformats.org/officeDocument/2006/relationships/hyperlink" Target="https://news.google.com/rss/articles/CBMi6gFBVV95cUxOSXVBMXAyTGdIQzRhaFNEQWgzSnlTUFlQU0w5SGZMdUVYeFdLcXJjSGdtTVY3bGhZUV9TMTVSZzZtSDVtVHJqWkZFR3NuYk53RV81RTQ4V3hDQVhIRkRLajROQmpLUE9ZdzZTVmFncjF0ZHEtLXFVZEIyQXZjbFBHQzRmRzJmbVlMTUdpNmhQSlRzRldUeE9PN1AyQWtNeV" TargetMode="External"/><Relationship Id="rId1749" Type="http://schemas.openxmlformats.org/officeDocument/2006/relationships/hyperlink" Target="https://news.google.com/rss/articles/CBMiZEFVX3lxTE40Y2hCRldJeV9fVmxSZXVIRWI3MTlUMFliWWVSU0pKTmFxZ1MyR0pTd3RYdzlKR0NHVmE5NE1LZzVGc1VFSDE5RkZrSm9sdFc0UE8tUGQtU0JqTGZqMHRacmNld3Q?oc=5" TargetMode="External"/><Relationship Id="rId1750" Type="http://schemas.openxmlformats.org/officeDocument/2006/relationships/hyperlink" Target="https://news.google.com/rss/articles/CBMivgFBVV95cUxPZmxqRXA1OFBQLVFfQWk4dTBORUMxMERuQTRLa25aZTU1bXdOYWRHa1Z0LVExUE9GdElBbV9yZWU2WFl1dEttbXg4eTZ0S1pVM2FGaWNhOHdGUHphei1BOUV5eHplRmVtRnNlczFxOF94bWE5dXZ0dHpDNnBWdU0tWXpZRkhHY3N5UjBRc3phNjhLa0p1YVZnS0U3TnIwUk" TargetMode="External"/><Relationship Id="rId1751" Type="http://schemas.openxmlformats.org/officeDocument/2006/relationships/hyperlink" Target="https://news.google.com/rss/articles/CBMia0FVX3lxTE04cGU4R09CWjFYa0w0SmNMejVCM0RVZTFDV213ZGVybUpwUDRQbzVtSEdiRDhWN2d0ZTY2Qlo2RndyYUtTRHpPNkdhNUFmQXZvT2FYMUJlTWxabHJIS3hWRThLV3hxTDJudGsw?oc=5" TargetMode="External"/><Relationship Id="rId1752" Type="http://schemas.openxmlformats.org/officeDocument/2006/relationships/hyperlink" Target="https://news.google.com/rss/articles/CBMigAFBVV95cUxQZUhmMW9HUmVPQjduYnFkQ2JwWmUtUW9HNU5zQ2liR0F3eU9JbzBaSGEwaVk5N3FBZVE1cjdyUUpidTl6VDNoQ2ZITWhUTC1NYnlnMkpGUlNqaXBObVJFOTVSUFhhTU1NdzZYcUFvWTZBV0lTX041OUJQSGFsSF9qWA?oc=5" TargetMode="External"/><Relationship Id="rId1753" Type="http://schemas.openxmlformats.org/officeDocument/2006/relationships/hyperlink" Target="https://news.google.com/rss/articles/CBMiYkFVX3lxTE9HRWxOamlWVXBuejhyaGxZLXk3S1RoMW14dl9vMnZXWHdibWtEN19zOFZ4RXNiVW82d2xRbVhzQXpKcXZpNWFja1hSLTYyZUdHYkFPM1hqZS1MeEo5VnFGUmdB?oc=5" TargetMode="External"/><Relationship Id="rId1754" Type="http://schemas.openxmlformats.org/officeDocument/2006/relationships/hyperlink" Target="https://news.google.com/rss/articles/CBMi1AFBVV95cUxNekotWXd4ai1faldfVmdwcDZYTklZT0YwSVlvNG5ycWlkd0NNeHpkTVpSODQ5V2lJX0JIcTRMY1NWam5tb2tzczloaklweXNyMkdBWno4TklzQzlYSnhRM25VZG5NR2VFV0VSUEpqUU9UNU54cFVlMGtqVjdWQU1JaFFDNzk5Q1dkT1BIQTBaQlZNN0x0N0xCUUNHM253Uz" TargetMode="External"/><Relationship Id="rId1755" Type="http://schemas.openxmlformats.org/officeDocument/2006/relationships/hyperlink" Target="https://news.google.com/rss/articles/CBMitwFBVV95cUxPRk5GeFJXSXF1aDliN0R3Rk80S0dNQm5sM3RDUW1mZ0c1NFVWVGlWMUpOSGpPSTBxS1B2cWlfNXlxX2ppZ1V1ajJHZlQ3OWtVcU90R2R0ZkFfaElIRU1VYkg4dk5ZbF9GNEpHMENQbm53c01iaE4zMkJ5eVpoX3FOV1BXakVKVkhKMG03R1lDUWtaT082NG1vZDhNckh5R3" TargetMode="External"/><Relationship Id="rId1756" Type="http://schemas.openxmlformats.org/officeDocument/2006/relationships/hyperlink" Target="https://news.google.com/rss/articles/CBMidEFVX3lxTE12N1dMVWxKNFIzamtVX24zR2lWelgzS09pd0pIV2FhbFgyVElfaUdCYkFWeDljWjJRbzN0bTZaak93aEl5RUpxc2Nmb2FFZTgtRHU0bHF4blc2TGFvM0JnQTFqOU1RR2VEX25mMnRUX1FmWUl4?oc=5" TargetMode="External"/><Relationship Id="rId1757" Type="http://schemas.openxmlformats.org/officeDocument/2006/relationships/hyperlink" Target="https://www.gelonghui.com/live/2728188" TargetMode="External"/><Relationship Id="rId1758" Type="http://schemas.openxmlformats.org/officeDocument/2006/relationships/hyperlink" Target="https://news.google.com/rss/articles/CBMibkFVX3lxTFA2QjNLcXlsR0JDV0hkd0Iwd3AxdzBOeFBTLU1wZGV6MWpzcVFBQV9wdDF1R0lOQnFXRlRVVTZRTkstNTl4REYzZWdTX0xGOENsbjd6NVZRU0g3WnpjV0lMT291Q012OXN0b3RxVTh3?oc=5" TargetMode="External"/><Relationship Id="rId1759" Type="http://schemas.openxmlformats.org/officeDocument/2006/relationships/hyperlink" Target="https://news.google.com/rss/articles/CBMimAFBVV95cUxNRnoyU2h0Nnk2TS1NaGJnQU5ZWVlDVzJhV283TkpreTVSbTZnUldidzlqVzRseUxWcTl0VHhwUFowZWhmMHpsUDZ0eGZkQzhsNTA2Z19hcHdoNTZ0TUk3azBCeXZlaW5pekhXWG4wNlRDUUJ6LU8wbGJzaU1VQ0xrZVZ0dlBBcldJZkNoeXRMMGNyZ0NvRXNETA?oc=5" TargetMode="External"/><Relationship Id="rId1760" Type="http://schemas.openxmlformats.org/officeDocument/2006/relationships/hyperlink" Target="https://news.google.com/rss/articles/CBMiYEFVX3lxTFBKR09USWJuNXJwSGRsTHhvV2VsbVpLaGRSMjdvZm1iNzAtSzhTbmp1YTZaVFRqM0hPRThIZGlUeEQyYTNZRVNIS3g2Y1lONXNTTVQ5R2ZwMzE2SVZ1OXRpNw?oc=5" TargetMode="External"/><Relationship Id="rId1761" Type="http://schemas.openxmlformats.org/officeDocument/2006/relationships/hyperlink" Target="https://news.google.com/rss/articles/CBMi5wJBVV95cUxPcG5zeDFIWGhaMlV5cW5LZ29GdW9vZ19LdGQ3Mm4xNTVGOG1YbnJxRlpZV3g5djU3YzNBdC05aWh5cV9zc3VXcUJscGgzdkZEYTE1Sm5CRnB4RHNhdkR5QWdQZmdoUE1UV2RCUUtNaURhUUd5c1pLbm9qX2Uxa1FNa0F4dFJyQUZ3cHJneXdDcmp4SDF2U0xoZUthd0E2V1" TargetMode="External"/><Relationship Id="rId1762" Type="http://schemas.openxmlformats.org/officeDocument/2006/relationships/hyperlink" Target="https://news.google.com/rss/articles/CBMinwFBVV95cUxNSXdBWEZIZFEtT0loOGw4WDNib25WOTZEY3hXU01MY2wzRHBhTHB2ckZvS0lCNDNKRS16eEhvNHhzQ1htSnVFQzF6aV93bTBWNHc2U2VmMW44a1p3VjFzX3NOTGdiODR3NTlxdjJXQ3JQNWg1clJBSjR4M3I4dV80UnJVOWdtWGlUMmZtU3dYcnllVFQ1cDN1bUFtRmJ5Nm" TargetMode="External"/><Relationship Id="rId1763" Type="http://schemas.openxmlformats.org/officeDocument/2006/relationships/hyperlink" Target="https://news.google.com/rss/articles/CBMibkFVX3lxTE5DZmFUVVprQlppdHZkNDRMcVpjZlhzWUszUGozSEpWeDd6NGlENkRvUElzM0g1TXMtM3d3QjhoZ0U4dDd4eV9vWFh6LTdCRzN3cUExVE11OWhaazZWNWdVcHZialNZdTZwSG5ZZlN3?oc=5" TargetMode="External"/><Relationship Id="rId1764" Type="http://schemas.openxmlformats.org/officeDocument/2006/relationships/hyperlink" Target="https://news.google.com/rss/articles/CBMipAFBVV95cUxPc1JGcEJHRUhLcElPYTlOQ2Vaa3VkcTYzZThza0s5djIxd2ZFSDNONTVZX1l6Q2tDZEtac1lva2VDT3RhWFVnVU1FTUZvRTBPTk8wWmhiZ081RzRLU0FqX2ZUUEgxLVQ2bEpJLU1hWU9zVnhvbk8yclZFS0lURUx2T295NnFzZF9mUHFVbGFUS0w4ZXROR1gwMDNtRUZZRz" TargetMode="External"/><Relationship Id="rId1765" Type="http://schemas.openxmlformats.org/officeDocument/2006/relationships/hyperlink" Target="https://news.google.com/rss/articles/CBMibEFVX3lxTE04LXhQQU5jRVJFQks3RkVCUE8yVWFEeDdtTi1CYjNqZXIwNm5QRVRRemwzUk1fYnJkZDdKSTloN3RMUlg5OE5Id1V2a1lsaHRqZ3dQdmVPUEstNVVoaVVtWEo5OHlES0pURjhXVg?oc=5" TargetMode="External"/><Relationship Id="rId1766" Type="http://schemas.openxmlformats.org/officeDocument/2006/relationships/hyperlink" Target="https://news.google.com/rss/articles/CBMifEFVX3lxTE0ydDd0ZFJyQkJhcUVyMklES29mU3ZkeEZ5TmtnZl9zYnBOWDRFMHZhdldacW53bUdIZ0V6c25jZHBfT1QzdDZvNW9kSndhUlI0dW9QVE1INTJDRTlFMGVsUkIteVllQ1lub1l2aDJlWHBhY0lfenJ2dXd2MVg?oc=5" TargetMode="External"/><Relationship Id="rId1767" Type="http://schemas.openxmlformats.org/officeDocument/2006/relationships/hyperlink" Target="https://news.google.com/rss/articles/CBMiywFBVV95cUxPZlZmcVoyVnI3N2l6Y09LeWdab1NYMWxKanVMdG8xQUZDUTVzMWJHSHhkakRDeGJDbzBQdnEyaWMxNVVXT2w5OW91aGdwZWNkb3ExeW9uckdMZEJ3VVZlMWVCZ3hxVXpnbGpyTDV0d0paUl9kNGRkNW9nczV4Y3FnaENNLU9Ma2RPY1NhYzNLQkdDc2I1RExYODJKdEU0NH" TargetMode="External"/><Relationship Id="rId1768" Type="http://schemas.openxmlformats.org/officeDocument/2006/relationships/hyperlink" Target="https://www.gelonghui.com/live/2728188" TargetMode="External"/><Relationship Id="rId1769" Type="http://schemas.openxmlformats.org/officeDocument/2006/relationships/hyperlink" Target="https://news.google.com/rss/articles/CBMizwFBVV95cUxNWWx3X1U3NXZiekQ5bklCd2hrZTBIczJZaWZfY0h1MUlENzh5MW5WUzBHRXFBTmp5aEhsMHRoOEExbXRjYUZaQXFfbzB1bElrbElLLXluWXJCS2NxVHJHVjBRQ1YzSEN0dU5VeXR0cVI0bkdKUnM5NExqUklLZzZlOXdreHRyTEJnY250YXNJejBuOXFRUlRSY2FZS1FDS0" TargetMode="External"/><Relationship Id="rId1770" Type="http://schemas.openxmlformats.org/officeDocument/2006/relationships/hyperlink" Target="https://news.google.com/rss/articles/CBMixgFBVV95cUxQU29qNkw1VlpqWG5fTkx3ODRMZFVxT2JqTi1hZGRzU1RuTHcwdU9tR24yWjNuZ2ppZ04xSzliU1ptbXdMLWZUZWJVRmFVbm5NNWc4WFlQd0lNNEdlNWlydk5GYnkwbWZYRU0xUDFpTDZ6SFphR3RNYkhGd212QWotV0U3Z1otRExUSlZyeU5PcExHRV9wZ19YdzFldXJlQ2" TargetMode="External"/><Relationship Id="rId1771" Type="http://schemas.openxmlformats.org/officeDocument/2006/relationships/hyperlink" Target="https://news.google.com/rss/articles/CBMi0AFBVV95cUxQTDhwQzA1UXhSM21reE1jN0VGNTlaZkthR2ZkZnVMV0JIZ2hXQ3JTSE9SSWg5bUFaOC1lMkpQbzBieVBlem84bi1oZUdfeDBSUUJqXzJTUHl1Vzc1V2xRUDk4SDdRTUlsWVpNUHFFTXhvTmVyM0w4dWFMeThHM3ZHRGlKckJtWGhHN2JZRDFEVENYWjRweW9yWWNDX2szOX" TargetMode="External"/><Relationship Id="rId1772" Type="http://schemas.openxmlformats.org/officeDocument/2006/relationships/hyperlink" Target="https://news.google.com/rss/articles/CBMixwFBVV95cUxNM2t0SVZ1a1FDbUlPOEtvWFhMZ1V3VnFGZEdMY1p5dEx6U0RUdkxSOURiUmdWakRnTmIxRHpiVFprTDhZM00ycmZCVWpPTFlfNE1wb1ZiZE1fM2tJamg3NGlxd0ljSXd3YlNfVGVHRGpSZFo5RlpVVW9YTTFERzFhTU5DNS1RQWUyS0FCQVB3c1ZLMUZzU05vNE9oOUh6Vl" TargetMode="External"/><Relationship Id="rId1773" Type="http://schemas.openxmlformats.org/officeDocument/2006/relationships/hyperlink" Target="https://news.google.com/rss/articles/CBMidkFVX3lxTFBMbEJqSERmaDZQbFFZX0JlS3pnWV8yeERRQVE3UFh5XzNEeXoxb2RrMnVJVHdjMGNaOFBzLUIyMldYQ2N5LU5PaTZWcGVSYXBjZlgyUk5rMDNTQlNLNlNReXBaRXZoZ3lLU1JLQ3ZEeHBhMWlZUHc?oc=5" TargetMode="External"/><Relationship Id="rId1774" Type="http://schemas.openxmlformats.org/officeDocument/2006/relationships/hyperlink" Target="https://news.google.com/rss/articles/CBMiXEFVX3lxTE9vR05iTHQyZExWTVVPUE1zZERRd05pTHhLaFNCMnJSdDIyT2QtNGdTUGhSbGJEQjNoWHlLcW02bkk4Y0l6T0pBZFZ4R0wwYzFLSDMtaVRRRFg3WHdM?oc=5" TargetMode="External"/><Relationship Id="rId1775" Type="http://schemas.openxmlformats.org/officeDocument/2006/relationships/hyperlink" Target="https://news.google.com/rss/articles/CBMiZEFVX3lxTFBqMHM4SnpNdUZ2NGxMbGM1TU5XV0FmUWRLMWFiQlM3NUdNc21HSUJJZkZtdkJ0OGEwMkR6bzZLcWM3WVVuc0Y3R3pKbGxYNV9YcjZUNUhGZmY2WDFMRHU1QlRaQWY?oc=5" TargetMode="External"/><Relationship Id="rId1776" Type="http://schemas.openxmlformats.org/officeDocument/2006/relationships/hyperlink" Target="https://news.google.com/rss/articles/CBMiX0FVX3lxTFA0YkRTM3VBTXpwbnNQSHQ3dlZURWc4T1pHQXBjVU1LWll1UXY5S04wTEMzeW82R29kTlc5aXJhcGZTVWdzWHloUGM1Nk5GNVU1RnVtd2hWaWhlUVk0WHdj?oc=5" TargetMode="External"/><Relationship Id="rId1777" Type="http://schemas.openxmlformats.org/officeDocument/2006/relationships/hyperlink" Target="https://news.google.com/rss/articles/CBMibEFVX3lxTE96NFFtYkJHU0dtR09KV1dBXzdBTHVaU19QTjFSemNtVzFsaEE4T2JCTGtseExoOUxQN09peXIxc0NxNDNxUVFXNUZGRDUtYWJUR2hQTTkyVUpNb2FvMmcyZllfb09TNkhqQVZCeg?oc=5" TargetMode="External"/><Relationship Id="rId1778" Type="http://schemas.openxmlformats.org/officeDocument/2006/relationships/hyperlink" Target="https://news.google.com/rss/articles/CBMibEFVX3lxTE55cnY4eDNDaHZXbXhYaFMyNTRZb2xiSnBfbWZsa3hkWnJFdERVdVczbmZMRU4takp2OC16Y0xYdll3ZEk3b09maXRRVzRvRm9CeFRXM1VBcF9wcHY3bG43cHFKdXYwQTA2N19TWA?oc=5" TargetMode="External"/><Relationship Id="rId1779" Type="http://schemas.openxmlformats.org/officeDocument/2006/relationships/hyperlink" Target="https://news.google.com/rss/articles/CBMiwAFBVV95cUxQZldRbl9XR0dmalFYbExKNWlNblNmMk9PQUtKczh5RDlYdGg3TlJ0dnF5UVJJSFJ2R3pVYXVjTWNpZXQwUzZFT3cxV3VNWUtsdzBicU4xdWgyWnViemxGVUZmb3RqUUZjVFd6QkpwdEx4M2ZQbFlhTVhIOVpKeURjTEExdjlHRklYY21KTHZYVi1hcEk1UDh6cVczLWFzTj" TargetMode="External"/><Relationship Id="rId1780" Type="http://schemas.openxmlformats.org/officeDocument/2006/relationships/hyperlink" Target="https://news.google.com/rss/articles/CBMiakFVX3lxTE5oQzczMEVqSDlXUDNtN2JoMVRKZlJiWFJqc1pmMnpNMjVhWXlGUE1HMklxRTk2cmg3c29TYXZXLUhBMzdtbnlSaHo4UFZDOFh5bUt1c2VVRW1KME9KTWhxOXRPMXlUQTVFZVE?oc=5" TargetMode="External"/><Relationship Id="rId1781" Type="http://schemas.openxmlformats.org/officeDocument/2006/relationships/hyperlink" Target="https://news.google.com/rss/articles/CBMiZkFVX3lxTE85bkVUZVNMUWQ4bXhqRmxPVjhuLTgzUzVidG1uR0RpRHFUN3c4Q0hDZi1SZVd6c1JuRlBOTm52MU5FUVRtNEloTndxSnROM3Fud1B3aHBHM0hlT1FOZEpLTGJ3VnU1dw?oc=5" TargetMode="External"/><Relationship Id="rId1782" Type="http://schemas.openxmlformats.org/officeDocument/2006/relationships/hyperlink" Target="https://news.google.com/rss/articles/CBMikwFBVV95cUxOVXVMREdtWk9pSkRHZEs5M1FIa2d4SjRCS2hjMGtORkRwY1o0VUR6aTM2ZUNDbkZyT0ZoMGprakNQX3R1bWYydVppTXF5NDZWcUhMWW8zMkRDdm43ZHcwdnB6ckJiSlhTZE1YZTVrdC1xM0lCak1femFPNXR2Rm8xQ0MxWGhjRWgxa0tMZmNCeDVOZDQ?oc=5" TargetMode="External"/><Relationship Id="rId1783" Type="http://schemas.openxmlformats.org/officeDocument/2006/relationships/hyperlink" Target="https://news.google.com/rss/articles/CBMivAFBVV95cUxObWtJV1k4NEJwZGh5ZV83ZGFYdEJORHNrTXVTMHZRMjB6c1JrR0swY2pTLVBfYk5DMXpKSUhZaG9Cbzc4TmJUd0dYQnZRUEMyR3Rsam9EUVBmN0JNNzZsVVROTnF2WlBCNzJudnprUU91cTVFeFNOVGtvU1hyT0tzTTZNRGJka2FfNEtrQXZzS1RmbE8tX3NBamRlU3psb0" TargetMode="External"/><Relationship Id="rId1784" Type="http://schemas.openxmlformats.org/officeDocument/2006/relationships/hyperlink" Target="https://news.google.com/rss/articles/CBMimAFBVV95cUxQM0hESkVJVVA4aFpQUTFZbF9LbDFzejJjdU1ma1doY0prMm43UG92Yk1zaVVyNDhualF5VTVGTXgzMkZnWFVrNXN4WUNKcDZwMUgxdm43SXVnX1k0MmFyWTVQNy1PWHVCV08wb1F2NExGNVR5ckZOTU1KTmJBY2FtcFQxYXF3eUFkTTM4WEFPVFJ3R1BWZENSRQ?oc=5" TargetMode="External"/><Relationship Id="rId1785" Type="http://schemas.openxmlformats.org/officeDocument/2006/relationships/hyperlink" Target="https://news.google.com/rss/articles/CBMibkFVX3lxTE54SDdhVW5DaWJlTlBiaGdlMTRLanVrNGtfeDl0c3prUkxtTHR6RUxvbUFvMXVUZUIxVjBkV3FWTDFuTmJnQ1Y5T0JMOFZIU0xtNzQ0emxWZVQ5ZTl6V1oteDBaLXBwT1phQWNwcl9B?oc=5" TargetMode="External"/><Relationship Id="rId1786" Type="http://schemas.openxmlformats.org/officeDocument/2006/relationships/hyperlink" Target="https://news.google.com/rss/articles/CBMibEFVX3lxTE1LQmxUdHFfamFScHpnU1J6Vk0tN1pFbXNSQ3RLVlhNR1JadUhWUUh3bU1QMGVzQTFyRmhZR04wUkZtZlNwaGJHSVp0aWZwaFVRdlNrRFJUVk5WLW5Bc3pfY3VkTFZaMmh5Mnlmeg?oc=5" TargetMode="External"/><Relationship Id="rId1787" Type="http://schemas.openxmlformats.org/officeDocument/2006/relationships/hyperlink" Target="https://news.google.com/rss/articles/CBMivgFBVV95cUxPOTFvMHNBR0Y4RGdMZl9PWnYwZGc4dzlpdmxiNkZpbTM3QjVMSXJEdVhuUURGLXQ2M2hRRHY0RHd2YWpleDRMUTFIdFlINnFzcjVVUTNXOTZ3R21xdkRJOUNNdnRBQnpWekxTUGdoT2I2Z0ZncERLaTJ5eEllb2pBTTVycVpIcHdjdFJCdkpQQUZYV0lhYXppNDgwcTVmR2" TargetMode="External"/><Relationship Id="rId1788" Type="http://schemas.openxmlformats.org/officeDocument/2006/relationships/hyperlink" Target="https://news.google.com/rss/articles/CBMizgFBVV95cUxPcDBwZ1pXdml1ek9WM1QyaGhrQVM5UTU3QjRneVktZExKM2ZnOVNiYUVLdEk1RWtEVlFBSzFLTnhpOXNqR0pUMW9WUEVqSVMyN1A5UmowNzVTQVlnQ1QwRU9zZFdwZDYxbHdmTHR3X2lHR3BtOHBqVVV5RldYYnFfakxjWUdiYmlicHpya0g1anh0aDBJMDBMNTAtbVM4TD" TargetMode="External"/><Relationship Id="rId1789" Type="http://schemas.openxmlformats.org/officeDocument/2006/relationships/hyperlink" Target="https://news.google.com/rss/articles/CBMizAFBVV95cUxPUi1KTVNBMGJBWTc3dHF6QXFKZEVTbG96M1pBQndDeGE1NjBkWGpyX2QySWgtVU16TUMxcFRreF9xMmxUcGdDUDVDQ0I0Z1MtTkpPR0pxN1VubWhmZFMxZWJMUkdRZVJOZW52TEpFRW5nOUhHeHpod0o3MlpYNEUxb3N1WlFldzVUNlM0UHdOV3dsNnNRdUJYQTVTc0ZpV3" TargetMode="External"/><Relationship Id="rId1790" Type="http://schemas.openxmlformats.org/officeDocument/2006/relationships/hyperlink" Target="https://news.google.com/rss/articles/CBMimwFBVV95cUxNOFJnbFM4aXZxZnJ3bEI4V0xHWl8xYjh4SFZqZWhDNElWdnR4WkpPUW1HcGprNWJtSERLX0gxYUNYekhic1FOS0l4aXd3WlFWdDNIdGh3VlBNQ2VzVEVsaHlFWi0xcnRIS2xleDBnOUpwQkZxMWY2ZmhDY3Q0OTR4MDdNQVNOZGxjdm43cXl5M2dkbnhzUTlzeGJUdw?oc=" TargetMode="External"/><Relationship Id="rId1791" Type="http://schemas.openxmlformats.org/officeDocument/2006/relationships/hyperlink" Target="https://news.google.com/rss/articles/CBMi9gFBVV95cUxON21yLWR0Z09wV0xVN1h2R1JuVi16a2FjaHRQNXpHTG9CVjFEbnJRbGd4dHpZdk1TWklmY3NHZDFycU45YllTTjlFREFSMk1GZ3J0bWlPT2RHTmtiX213Y0ZodEVGanJrY0NrbHVEQm9XcGZtMmFnUkVvT0JORXRzZzBiVkhSWUxPSFg4LUNYU29IUVE1V05JRnVIbFBoU3" TargetMode="External"/><Relationship Id="rId1792" Type="http://schemas.openxmlformats.org/officeDocument/2006/relationships/hyperlink" Target="https://news.google.com/rss/articles/CBMijgFBVV95cUxPTWt3MWtPWVlMT1Y3OWxSS21rY19yb2NxaHl2T3M2akJWc2xsWUZvekZzUnpfMDAyTWdmZlZHRGhkSFBmRThram5pcG1SRFFlRFRVemVuMW9RQldROFphR21yb3ZlUl9DQzdCeUFrZDJLdk9OeWRja2JRMnBnd0l2bDN6UFZ2ZEVtMDdYX1JB?oc=5" TargetMode="External"/><Relationship Id="rId1793" Type="http://schemas.openxmlformats.org/officeDocument/2006/relationships/hyperlink" Target="https://news.google.com/rss/articles/CBMiyAFBVV95cUxOanpXVGQwUWxwTTR1Ul9rTlNaalM5RTY1aWFqb01raWljcGVoX05kTWNsVklkQU5sWmtVeXMyd21qcTV4TzNrbE44ajhTbXMwVGlMU0U4NEZhWjRTNXczdDVsb2N3VG16SlY2ZkpFM05nYXZNblpfUjJSVTJzWUpES1E2WERWNm5JTWZ0dk45cFBBc1FsVTlqUDNMZmFQS3" TargetMode="External"/><Relationship Id="rId1794" Type="http://schemas.openxmlformats.org/officeDocument/2006/relationships/hyperlink" Target="https://news.google.com/rss/articles/CBMi3AFBVV95cUxObkNwZlo0RGNOUExpRjF6a3o1Ym9OOTN5bFBWbHl0Nk1oODF1NjYwSmxFdV9jemJSbzJYdHgwa2xicG9hMEoxeE1xTDZnV2R4SVdSU0lfcWFmOXMzUEhBQjdLbDZQbzJLazN5cmVJOWllZXlUdlVBVEJnWUc3VW43dk1Wb0pWUHR6Vl8taXp5SFFiMTBMZFV4T05PTG5IbU" TargetMode="External"/><Relationship Id="rId1795" Type="http://schemas.openxmlformats.org/officeDocument/2006/relationships/hyperlink" Target="https://news.google.com/rss/articles/CBMirwFBVV95cUxNaVZ5V2ZSd19GMGw5RFF4T01DN1g5TVZiWnVrdzdtd3Q2MUYyOUx3dG9mMF9kbldNNDJkSzZ1SldWeEtfd3BLbXhTYzNVQlJ5OEZ6Vml0Zzh1b2JWX2drcGJOT0FOS1RyQ2plbDVQZHo4ODR0VGdKSnpOYTFBcDlrOHNGaFB5bk1HY1UycDAtWFBSUENYNWtkaGgzU1dnaV" TargetMode="External"/><Relationship Id="rId1796" Type="http://schemas.openxmlformats.org/officeDocument/2006/relationships/hyperlink" Target="https://news.google.com/rss/articles/CBMizwFBVV95cUxQbDZndjA0U3NUN2RtRUlJVGRoNE5IMlZ0UDlYdmRRb2o4US1MZmtybnpXTW9mNnpOSkVrRGJrVy0zSm9jcldMWVdlV0FKUHpEandDYjE0YTJ1RmtzLU9QT2dyN3JOZ2JiWGczOWp0cmhGMUI5MjRodEdoZDZPU2ZNOHJlQUtqX0pyTjVLamtYOTUyRXkwYnlpRWF2VmUzdE" TargetMode="External"/><Relationship Id="rId1797" Type="http://schemas.openxmlformats.org/officeDocument/2006/relationships/hyperlink" Target="https://news.google.com/rss/articles/CBMibkFVX3lxTE54VHpWUFlKRXlxVHFhYWFEUkRKNXVzQ1dmUnNURnZ4emxLVE0xLUFybWxOM2FEcEtmVlo2d1o1c2lzbnJ4TEd3X1BQREVCbmN1WHBhckZNSm5Id01HdUlCRl9LZUV6ekJtXzJrOTZn?oc=5" TargetMode="External"/><Relationship Id="rId1798" Type="http://schemas.openxmlformats.org/officeDocument/2006/relationships/hyperlink" Target="https://news.google.com/rss/articles/CBMiuAFBVV95cUxPaWd0N05GZFNkMUE3TWhnMi1OSnFVYUtuMEVyT2gzcWRxNnRhSkFWMG8tbGtuSG03Z080bTFfYTBHZFFrVF9ra2R5bUYwWEZRZVNqWVRiRDNIZ3RHZlA1b243bmdGS2g4NUgzYzJjeVZEcXVOZU0tMVpyVFRaYzdVcnU0REUyTG1MODVEU1ZHN19KNE03UlVVa0VVcFlKbG" TargetMode="External"/><Relationship Id="rId1799" Type="http://schemas.openxmlformats.org/officeDocument/2006/relationships/hyperlink" Target="https://news.google.com/rss/articles/CBMiygFBVV95cUxNaTJKSXktd3NZcjNUeVNKZjk3dEVqYW56NkpLVFpzRW43QkE1NzFEcnUwSWdFbFJyYlRXYUUzUHdQT1BtWnVYX3V0bFBIaFU1Qmo2TE9hbEM2cnc2QlI3UWNFRXFEYVV5dWgxazl1WFNLVHpOTDZJb0R4SmhMMEtieVJ3SFJkc2VpcWZ1alZhVVhmUnpCMlhTblNVVEJHTn" TargetMode="External"/><Relationship Id="rId1800" Type="http://schemas.openxmlformats.org/officeDocument/2006/relationships/hyperlink" Target="https://news.google.com/rss/articles/CBMi0AFBVV95cUxPOVZMTjBjR29lVmM4cUdwTVRLckZCY2hBVVpDdW42VWNKb2ZGYTVhdWVtbnNjOEx0X253TXVjZEV4Z3VZSjZkVUNnenVOczdIcGZha003Vm81SHZWQkRVTGVzVnpTa0w0QThPN1JYX0w4dXQ0RGNCZ2tkaDBBRHdpOVNUNUJZMklCWGZaWVVlZUlhdkhuYVFIanRWRGRxMF" TargetMode="External"/><Relationship Id="rId1801" Type="http://schemas.openxmlformats.org/officeDocument/2006/relationships/hyperlink" Target="https://news.google.com/rss/articles/CBMioAFBVV95cUxOM25VT0JQYXIzdEZhQ2V5RTIyT21mLTd1VzYwMTZ3eVdQSEQ0Sm54N1FoNFpienhLZ0Rnb0JrYVdhSGRJcFpnQ3k3NGd4RUczS0JLT0hUT0NidkgzQmdlWk1IMXlDSVpuSFowU2lQZmFNT3VmT1VhbXRVZWVUd3VuV0F3VFdKb3liUVJFYVM1OEZvdlZZRVJrRjJtT3lnam" TargetMode="External"/><Relationship Id="rId1802" Type="http://schemas.openxmlformats.org/officeDocument/2006/relationships/hyperlink" Target="https://news.google.com/rss/articles/CBMiZ0FVX3lxTE5BNi1mM1lyNnh6MlpMa1A2c3NKSFozT0stalRkalE3QTZkZ0U3TWJaRFZhMC16Q0VOWTNjZXNZT21CNmlCd2N4S1VyZ1JJRVhGcEZndWwxeDBOaGRkQTFXVHlzVk9KMkE?oc=5" TargetMode="External"/><Relationship Id="rId1803" Type="http://schemas.openxmlformats.org/officeDocument/2006/relationships/hyperlink" Target="https://news.google.com/rss/articles/CBMisgFBVV95cUxPc3Rubk5CeDhvUGRjQTZ6SWVfQjNBaHZrZ0E4ZlV2ZFcxanBjVGdkTVpOanYtMjFzeDctN1I0MkJoNEs2a08tRjVTWHUtemRDLWtzWnpfRWZQcjk2ZmtPbnVwc2kzVGFpZXdmNXl4VDhvb3VTS0I3NUVqWFFLZlNBLVFDRFVxWHNPdERPZXk3N2FmUWduXzFjaDNiZ2xscH" TargetMode="External"/><Relationship Id="rId1804" Type="http://schemas.openxmlformats.org/officeDocument/2006/relationships/hyperlink" Target="https://news.google.com/rss/articles/CBMiWkFVX3lxTE54N25valBUZi1xX2FaMmt3OUp4bmZGQngtVjk3TU9IT09JYTZZS1RNUTlzM3o4eE9yV2FsbjdFM0hpWDhVWWRjYUJ1UkFqRDdMUGQwbG1jUGVjUQ?oc=5" TargetMode="External"/><Relationship Id="rId1805" Type="http://schemas.openxmlformats.org/officeDocument/2006/relationships/hyperlink" Target="https://news.google.com/rss/articles/CBMickFVX3lxTE5PaGl1M0s2LXJrOTBnMTdRaXU3WU9heWZxdUJwTHJrZ3ZpQ1hvSGltRlk2MHNuT2JQWkZpSllaVnZreDhjbjNNZ2RfNlNQcDQwQlB4VW0xaHJyb2pQOGVDM0JxSlRCSjd4R2lNRjloV0ZvQQ?oc=5" TargetMode="External"/><Relationship Id="rId1806" Type="http://schemas.openxmlformats.org/officeDocument/2006/relationships/hyperlink" Target="https://news.google.com/rss/articles/CBMingFBVV95cUxPajZhWjhtVUhRZnJaTHFHVlZFanpocjBoamdEcjBYSmtGOEhYWWVUUDNDcXVacjZXb0Vpd2pyUVdmZVByYk1odmFXY2lwVFlhSy1YYUhZelRCVGpZbFlRTkp2MENsSXhBMHVNRm5aU3psOFBSUnh3NUNRSjBzNnFTT1BWSjY2SnYtdmwzRnlMb3daeUxpM2NvNzExV1NCZw" TargetMode="External"/><Relationship Id="rId1807" Type="http://schemas.openxmlformats.org/officeDocument/2006/relationships/hyperlink" Target="https://news.google.com/rss/articles/CBMibkFVX3lxTE5Teks3WFZZTm5jQklTUkVubWpRQzR3S01kaHA3X0F5VlhRbV9OS1hhN3JRNF9td1N6NWlRdGNNMlM1UlJRNFJZZTMwaDE5akZFMjFZQVJhcmlRVWtkeE9OMi1JRkVUdGFHZTZWSTB3?oc=5" TargetMode="External"/><Relationship Id="rId1808" Type="http://schemas.openxmlformats.org/officeDocument/2006/relationships/hyperlink" Target="https://news.google.com/rss/articles/CBMi0AFBVV95cUxPOVZMTjBjR29lVmM4cUdwTVRLckZCY2hBVVpDdW42VWNKb2ZGYTVhdWVtbnNjOEx0X253TXVjZEV4Z3VZSjZkVUNnenVOczdIcGZha003Vm81SHZWQkRVTGVzVnpTa0w0QThPN1JYX0w4dXQ0RGNCZ2tkaDBBRHdpOVNUNUJZMklCWGZaWVVlZUlhdkhuYVFIanRWRGRxMF" TargetMode="External"/><Relationship Id="rId1809" Type="http://schemas.openxmlformats.org/officeDocument/2006/relationships/hyperlink" Target="https://news.google.com/rss/articles/CBMihwFBVV95cUxQT05XVEZWdkg0N2lFS213NzdNQTdaNVNRNFNLN25CT3BRdWxtbW5aVG1YNzFzaXpfWm9idjJkVk9xM3ctUFJUWFpzLTRSYXVMS1ZveDFGZWg4WElkaWFHREZVTElqaS03aEkzVGhkSzZVcnQtWkVBdndxOHdnc09YTzRlbDczQWs?oc=5" TargetMode="External"/><Relationship Id="rId1810" Type="http://schemas.openxmlformats.org/officeDocument/2006/relationships/hyperlink" Target="https://news.google.com/rss/articles/CBMipAFBVV95cUxPM3BhMU54MWJ6R0kxcXVlN2tZZTVMel9mbm9qdjJWdGhUSFFTVDBvbmg3MVBBbUFNUlJtUUlZTG9vWjF1QWs1RkZ3TW1mS3g1OGtoOVQ2WFo2WVVuVEpBMUxqcjhhTDVwX3dCbFNZY2lRRVpscFoxM1JUNlNTYkIxRWJ1b1JjUWNuNVlsMjE3LWFpcWx2TWNEQ3F0V1l1cj" TargetMode="External"/><Relationship Id="rId1811" Type="http://schemas.openxmlformats.org/officeDocument/2006/relationships/hyperlink" Target="https://news.google.com/rss/articles/CBMizAFBVV95cUxQSDA4WVdaLVdNanRGdTU2eUhWSkU2MERfYUI1M3ptck94SDVnazNnN0E2R2dJQU9GNEdTRy1KbUtEWEtKTk13MTZfM3ozWWh5VnpHZVBkYUl0bzB6Y0lGWFpRNWFkaThWMXFEVWFBdjE4QnBfM21xc3prR1d0UlZUOEp2QWZpQ1JCUklta0pEZGJRWFQ5cDViU0IwdTBrd2" TargetMode="External"/><Relationship Id="rId1812" Type="http://schemas.openxmlformats.org/officeDocument/2006/relationships/hyperlink" Target="https://news.google.com/rss/articles/CBMipgFBVV95cUxPRDhpbTVrM19mbWxSNi0yV1Z1LXRwanJFOEtZSW9Nd3kzbzRFT0dDakNNX0dfcklQOC1iZnRWTFdEVzB5SWo2MlgyTXZZQ2xmWWZnT2hfejdqeV9BUXM4amJSdFYzblZacVNIVE1yc2NEMlpmMGxvTEhrUUE4Wm5xcGI1d0MtWWN4RTlRMW9BUi1KX0N2MlVCTmkyM3lkM2" TargetMode="External"/><Relationship Id="rId1813" Type="http://schemas.openxmlformats.org/officeDocument/2006/relationships/hyperlink" Target="https://news.google.com/rss/articles/CBMi2AFBVV95cUxQN0Z0N2loRnFZei1JTzdFQnlqXzkxNTdEQ0dUUGtielMwbUhQbUJlWmVHeld5RlFSYnVKVXRydUFZdjNaRFJKdGVDcjZpaVF0NDNkVFVEX2FzSE5qdmtZbEt1aW8tb3lIeUIzZjM3Z2U1al94ZmVRRmtZTGsteE9ZdG1PbUw5SlRkbnp1T3ZPRjhSaW1zTi14WkVmN1Q0aX" TargetMode="External"/><Relationship Id="rId1814" Type="http://schemas.openxmlformats.org/officeDocument/2006/relationships/hyperlink" Target="https://news.google.com/rss/articles/CBMitgFBVV95cUxQUEphRjJJUjFqOG1XcWlDRHVDcmFEcGlQZUlXbDdoa3BRMHBZTTg5ckRDQm1NTXRWNGktOVlfZDhvOEJzWkVTcnNvXzZPb1lTeE1MTFZ0V1ZuNkN3Y3Q5X0JKOE1qeW5ZclFhcjZWOGdVN3lERlJ4MklMck14Zm9tdmo3NmdaNWVqdk0tOUpIMmNaeEFiOWs2YUVPb0tvOU" TargetMode="External"/><Relationship Id="rId1815" Type="http://schemas.openxmlformats.org/officeDocument/2006/relationships/hyperlink" Target="https://news.google.com/rss/articles/CBMi1AFBVV95cUxQMEJsRFF0dUp5amRmNm03aXNtLVBFQ3IweEwzQWsyNjFYOFdhV3QzbWc3YmlHNlhyOEJsbWRyOENjZDVBTW1jR21tazJJRlhSUFdiWjFzeDNpTkRIUTVvY3NRV3lkYWFKRmdId2sybW5XamVvVjNGUXpfU0czdGlnZmZIMkZheFZWOS0wYmxwTXAwMEptOVVwTVhRcWpYTX" TargetMode="External"/><Relationship Id="rId1816" Type="http://schemas.openxmlformats.org/officeDocument/2006/relationships/hyperlink" Target="https://news.google.com/rss/articles/CBMi2AFBVV95cUxNbU5KY0V0RV9vQ3lMcUdKQlo3MTNBbkhkM1pOQzg0Zk4tNjhqRW5pWkY5RVBKZFY3dDd3SlVPUElyZU5jb013QnJCOVIyeDBCbVU1aEJJeVVPcVhKSzJseDJpQmpwbHcxSG40ZTFFQk9FeGwtRHVWcVJNWXpWbVluakZCcDEwM0pTY3ljX0ZhcEN1ampWMzBGZEVnUmlCaX" TargetMode="External"/><Relationship Id="rId1817" Type="http://schemas.openxmlformats.org/officeDocument/2006/relationships/hyperlink" Target="https://news.google.com/rss/articles/CBMiugFBVV95cUxNVk5jWFVQbjR0M1BReWgwNV9ublk0UTJzT01GQUw4WlBfNW9RZlZWVGpCN29vUTh3QWU5VzR4MUV1YTFFTjVqd0JwdDhwRVZ0SjVMZG1jMXZYSVQ3QnlBdVFuRUE3cEluc2tncEJVV1dGV0lPX3dVd040SXQ2ZUNYREozYVg2OXAzWjVjN3JMZWdNdzZOblNMdWlCbGpFX2" TargetMode="External"/><Relationship Id="rId1818" Type="http://schemas.openxmlformats.org/officeDocument/2006/relationships/hyperlink" Target="https://news.google.com/rss/articles/CBMibEFVX3lxTE1IQ2lhNlMwbGVBUW5VMWQwaXBpNGVKc3hMY2lBMV81bG9HY2o3aDR0WXpWUTdTaWI2VVZ5RHBUOXlWbkRGcndVRm44enUwbTl1czk4YlRuSjIyVGpONkFNNnlHRkJJMm81UXQtQw?oc=5" TargetMode="External"/><Relationship Id="rId1819" Type="http://schemas.openxmlformats.org/officeDocument/2006/relationships/hyperlink" Target="https://news.google.com/rss/articles/CBMibkFVX3lxTFBYRmFSYzlSZmFUSURpcEVDUXMwWlZSRjVFZUY2OVNWLTZ3VlJrWEs1MTNJT3U4WE9zZDJXNVV0LVYteDBOSkliRlpiQjBMazdIcDhSZ0Z4RWhfeFRhTmVCdlNDeFFGRk85ZG4wakhn?oc=5" TargetMode="External"/><Relationship Id="rId1820" Type="http://schemas.openxmlformats.org/officeDocument/2006/relationships/hyperlink" Target="https://news.google.com/rss/articles/CBMizwFBVV95cUxQb0phQk95eVFId3BjakpKd21LTnRILUMwRlpyRzVsRlJwOWtXNExXRnRUbzlVaEdPeW5MampsdVdxX1dYWnlYSzhySVpZTHZfMFdqMkR5bllpT2RvejhpMUZ2WlpqVVM2ZVAxTEFnN1hhYkVwT1dvSmstTjdMT0JHRGZMMlpERmRRelMxY3N2VnlkdUdndV9uN0M4T3VIY0" TargetMode="External"/><Relationship Id="rId1821" Type="http://schemas.openxmlformats.org/officeDocument/2006/relationships/hyperlink" Target="https://news.google.com/rss/articles/CBMiwAFBVV95cUxNREFTTFpiYjV2N3AzSFNBVEJ4aVhNSGJDbmx0ckEyUF80eUN5RzlVejE2TU5zZnMxekpHeFQ4bEtlbVNkZzJMNzg3ZVJVSHQ0a2dCSkM5Qkp2UUx4WmpXVHQzNVg2XzZWMFBfWHR5b05SMjg5dF85aS1QZWZUNHA5dWhBVGZlSmkwMkM1dW1XQWFFZFc2TlZjUUFUdVZpUm" TargetMode="External"/><Relationship Id="rId1822" Type="http://schemas.openxmlformats.org/officeDocument/2006/relationships/hyperlink" Target="https://news.google.com/rss/articles/CBMipgFBVV95cUxQNnhDMU0xancyVzRFd2trTkpFSTdqblhtQUg4c3V4dlp5SlFGd1piTXdvZU12TGt1RzhCR3pxbGh6Wlg1UXVSZ0RmVmhST2M2QXNxQUZxcHpDdjI2bi1PQTJQcXRPYW1qTWR2dDdZeTV5WG5KQTFfcFRuQzBCRVJzZmx0QWF4MTkwTmZjTDJ1MVl5c0t1V3FDU1N3MlF6Vm" TargetMode="External"/><Relationship Id="rId1823" Type="http://schemas.openxmlformats.org/officeDocument/2006/relationships/hyperlink" Target="https://news.google.com/rss/articles/CBMimwNBVV95cUxPaldqZ3VHQXMtYnJveFF4T1lqU0EyQThmZThiVWdWSWtsdUg3aTk4bmVPSTE2VFlzTTNuWHJLbHF0R3ZqRGh5aGpyUVk1VGJSNl93WUJ6M2tOVEd5Vll6T3hHbHk2bnFBbWN6bm0yU0s2dTF4Q3VUVGJ0bGxiNGZERm1aRXE1aUxONkFUQzJNcTQxLWQ1YXlEZlJGTG1QZG" TargetMode="External"/><Relationship Id="rId1824" Type="http://schemas.openxmlformats.org/officeDocument/2006/relationships/hyperlink" Target="https://news.google.com/rss/articles/CBMiwAFBVV95cUxQMkpaUTFTTVhIdFljLW1PYlhDS01rdEtrRnNzdkhNYkVQR0ZwRkE1QXlyY3J0TVJWRkRFRjQ1SE1PcXFpQktFTlUxX1lwNE5ucThENjIxNllZS0ZfWjVuREx2czdtdnJ2VUo5eEJ0OUFRbHVCaDFhNnF6U3lpQmJkSHk2dk16LVBkX2FXR3pXMWVBMkJadDI3UW9NQ3ZOTk" TargetMode="External"/><Relationship Id="rId1825" Type="http://schemas.openxmlformats.org/officeDocument/2006/relationships/hyperlink" Target="https://news.google.com/rss/articles/CBMilwFBVV95cUxNRkoxOTlZWEp0MWpzQ1VMYmQyVnZnZHJ1Vjdub09ULWtPLTJKMUdzSlVuTE51UU82WnRWQUtxYWl5VVEtMG15V1pjQUlaN0VIRDBEVkpJbk80NnNNcjlrVXQzcjRGRW05QWV5bVNmNTRyd3BRNmVUT3k3R2Fvd091bm54SGlDYVJjRmtvd1l2TkM0SXV5TVkw?oc=5" TargetMode="External"/><Relationship Id="rId1826" Type="http://schemas.openxmlformats.org/officeDocument/2006/relationships/hyperlink" Target="https://news.google.com/rss/articles/CBMiuwFBVV95cUxOSS1IclF4UkUzU0RHNG5IOXAyT0ZQeVVxdFpxTmFkdW1ZOHE4SUNjNnh3RVBXcXJfcTJmT3FYMy1CZkZYMnFpelQxV09lNHQ2WkdKRkg5RWRUSHdIa0tBc1NIRUJrN2NTQUJfODNZRjJHSEd3ZmRyQlJKOURKNkx6dFFvcTZBOEdlSVlwNW9ITmRrbjRVZUIyZnFnQXdjcj" TargetMode="External"/><Relationship Id="rId1827" Type="http://schemas.openxmlformats.org/officeDocument/2006/relationships/hyperlink" Target="https://news.google.com/rss/articles/CBMic0FVX3lxTFBCZXVIaklsUkFSNXFONm50SHpMd2k0SFEwbnNkc3g4N0hVR0g1YUNPZjNLeUhaNzVsT0o4QTNncmdWNHRRMmttc1V5Q0NDbjhNdDl2QkVWd3hHZ0dTTzZEbVdwVEFlcm1FUXI1Y21sVHo5R3M?oc=5" TargetMode="External"/><Relationship Id="rId1828" Type="http://schemas.openxmlformats.org/officeDocument/2006/relationships/hyperlink" Target="https://news.google.com/rss/articles/CBMiuwFBVV95cUxNd3FqM2pTZ1lFRnVhOF9uVE1scFJUSGJIeUZDekxTWHlGVTRUT3hnMHRmTlEzaUpURG8yQ0hfbENveUx0Ri1YNC1XaHNEREk3Sm1kZGVRbmhYdHNlaFpDdkM2M3ZqT3dwblEtZU9CcUVNSXVFWUZ3RHpHSnM2dldHajJkWlFrcmZqX19LbjBXZ0ZCVERQSW4zVU9yeFpYUm" TargetMode="External"/><Relationship Id="rId1829" Type="http://schemas.openxmlformats.org/officeDocument/2006/relationships/hyperlink" Target="https://news.google.com/rss/articles/CBMizwFBVV95cUxQT3Y0aHdVbmpQM21zZXZ3VDIwOXBvekVjdnotUms1eVRWVEUwby1sdUZlM0FaNmE5VDMzY19MSUZYZGpmZVQzaG9YaExvWWxKX3hKUW5ycC1LQ1dDeXROU0o5Z3JhN1pYT2hGNU40ZGhFZmpCNXBLUkFaMlh5U2M2cGNLQm53bFA1ZGU1UUphR0Y0RC1pczdQckNNWFFlZH" TargetMode="External"/><Relationship Id="rId1830" Type="http://schemas.openxmlformats.org/officeDocument/2006/relationships/hyperlink" Target="https://news.google.com/rss/articles/CBMibEFVX3lxTE12ZGtiMVRpaUdQRG9NcTEybFlZc2NHdnNpSzc2NGJrcUtTbm9JelpXbjY1U3pvOXJ3bTNvU3pzYXZFT3FaVUZJNFJnMXZvODc2eFI5MWdLN1k1MmxtaGd5bVJZaS1hczRsYUFESw?oc=5" TargetMode="External"/><Relationship Id="rId1831" Type="http://schemas.openxmlformats.org/officeDocument/2006/relationships/hyperlink" Target="https://news.google.com/rss/articles/CBMi6wJBVV95cUxQN3psZmJkQ0YzNWlqaXJTaDNSMUp6THRtWHVnSGdHWmhoeUVBNElTTm1ndFU2YmRpQmdFbkRCQTd0aFRObF9qSl9uWXZjYUVLSDg1ZkViUWpNN3BNcWVIYm10ZFdIclFXU3hfNmlOdjdqSjNxTVlTdWlzMnBVWGZVNXlJS3J4dml6cEQ1SklzMFVFVjFrU2FUQWp6WXlLTk" TargetMode="External"/><Relationship Id="rId1832" Type="http://schemas.openxmlformats.org/officeDocument/2006/relationships/hyperlink" Target="https://news.google.com/rss/articles/CBMibEFVX3lxTE1FR1NINExhcGM0dlh5VXhmQUpLOGtHZlNDbXBKbXN1OUt6cnFMSENQNEVEYnZlNU9MVHk1R0tkblNoZ2lkMGhBUkdJZnpjRGVZcDJOaU54UC0ybDhxajh3R0pTNWhtOXNwSS1CSQ?oc=5" TargetMode="External"/><Relationship Id="rId1833" Type="http://schemas.openxmlformats.org/officeDocument/2006/relationships/hyperlink" Target="https://news.google.com/rss/articles/CBMibkFVX3lxTFBlT0lraDlmdGMzMkJlazlKUG9QaWVjZlpVREttS0lfVk5YaEVnakJZMVR4dm1TcGR1ODdjX3g3NE9ET1RIS2V0RVBBX09DaGVfVDlhaWZzMkU1RGVmZDBSU3NUUFR0Tlk2QWluMVBR?oc=5" TargetMode="External"/><Relationship Id="rId1834" Type="http://schemas.openxmlformats.org/officeDocument/2006/relationships/hyperlink" Target="https://news.google.com/rss/articles/CBMimAFBVV95cUxQMk1rMGVMNHVoVDJGSjBhS21WM0J6cnlybFFqMmFSR2hsR2ZuM3FZYnlYdXNBTzJzN0R5QkFqbVktTmQwc3g0ZHU1cXJ5eFYzTzN0bXJKNUJ0NzNEU0V1S01STVBzcjlkbHJURmdocjQ4SjVkdjBOVzF6Rkp0aWxzbEQtZzNScXNUSUY4WFM2dGpEdFJBY3FnVw?oc=5" TargetMode="External"/><Relationship Id="rId1835" Type="http://schemas.openxmlformats.org/officeDocument/2006/relationships/hyperlink" Target="https://news.google.com/rss/articles/CBMiYEFVX3lxTFBrN2JrSjlSa1VSTlZ5S092TGJ6SERSbVg3TzQxazI1R2I5ZE1lTi1qT1hObXVJM0xtZ01Yb0lKRF9ZSUJtb215bERSUGFXTHFFVnpRTUY4MlItcElVZklSZQ?oc=5" TargetMode="External"/><Relationship Id="rId1836" Type="http://schemas.openxmlformats.org/officeDocument/2006/relationships/hyperlink" Target="https://news.google.com/rss/articles/CBMibkFVX3lxTE5NVkNBdm1WaDlVVFdvX3R0RjJxa2N2N0VaSnJaSlZReV9yLUY3V0hKWUZHQnhRRVRraXJHRGFXUU5xWG5zVGdCRnhQRDF1QzBZczhQSXJkSUFCZVN5TmFVZ0Vra3dkWW9QQk9DbGRB?oc=5" TargetMode="External"/><Relationship Id="rId1837" Type="http://schemas.openxmlformats.org/officeDocument/2006/relationships/hyperlink" Target="https://news.google.com/rss/articles/CBMipgFBVV95cUxOVUxHQlZoTEVYWkNVQU0tbW1jUy1GZHJja25uUGxlOUVVUXJvdXNvS2tMcmt1UWJWNmx4UjluVWlvZXJMUHlLUm5fd3piLUJFSERCeG1LMGNTT094aGRTbnB0WlF4aHBoUUlja3JvSF9wRC1YS1hzQUhpM3VlaEZoMzEyaUR3WkV2eDQ3a0kzTHV1cjF4dER4dnZmMzJhbH" TargetMode="External"/><Relationship Id="rId1838" Type="http://schemas.openxmlformats.org/officeDocument/2006/relationships/hyperlink" Target="https://news.google.com/rss/articles/CBMimAFBVV95cUxNd3BzSGdsdXBaNkpGSlA3Z0lqV1FDM0QyM2VaZks5M3ZvcnlnTHE5SzV0czhSYTVyTDItY19kYng4Z1JUcWtUWUFpWkZPQjNxX2YwSUFxN2l3VjQyODlaTWJPTUFPTUdVamlVajRXdTFKYjdDR2tGUVNUVWFDUlFBNjBPdk5pZ1NXMjByWUNRT3pnVVdYR2ZCRw?oc=5" TargetMode="External"/><Relationship Id="rId1839" Type="http://schemas.openxmlformats.org/officeDocument/2006/relationships/hyperlink" Target="https://news.google.com/rss/articles/CBMibkFVX3lxTE9PelJVRmFTOU9CWEQyUDA0X3JoMXhOa2I5QTM1QTNqc2N1dEtXREFHaVhkTGZ1TjNEQk9SZThfekNCc0NWaWVrTWJhc0tVNlJaVzZBMkpZTUZWbjdzdXdfY3lZZ2ljY1B1MzJsLVFR?oc=5" TargetMode="External"/><Relationship Id="rId1840" Type="http://schemas.openxmlformats.org/officeDocument/2006/relationships/hyperlink" Target="https://news.google.com/rss/articles/CBMidEFVX3lxTE9HcFEzU1ZzY0tPOGVGNEFBdnF6NnAzWlBSNmNQRXVMZUFMSlNCSTdRWFFZUENWZUZSU2kzMWxEbXN3RFE0MzhXU2cyeVV3d0JOblBGZlBKM056VjR4T0FYN09kaHlYbmJkWWxpSlZVUng4VWd0?oc=5" TargetMode="External"/><Relationship Id="rId1841" Type="http://schemas.openxmlformats.org/officeDocument/2006/relationships/hyperlink" Target="https://news.google.com/rss/articles/CBMibEFVX3lxTFA4ekh3V0lrck9ZM2VKaWtTZnRCUjNOQm9JQTYzeWFzeE1WZTBjNV9LbWFhazJPcmJQNzVTVzB5dWl5WERDbjBidXJmbGE1SUoyVWlBT1hsT3B4Qkw1RHBJMDlJNVk0dnItTlZyUg?oc=5" TargetMode="External"/><Relationship Id="rId1842" Type="http://schemas.openxmlformats.org/officeDocument/2006/relationships/hyperlink" Target="https://news.google.com/rss/articles/CBMixwFBVV95cUxPdloxZWtfeXl5S2ZZRzAwMktaMzNOcGFpamFUMldmNlByaXQ5empQZzAzb0VoNm1qaXdKb2ZiSFR4bnhIS1Jkb01JWG9sWjl2R2syWjBLOVJVSzJmSjhfQkY1SGNnWXJfaE9hblFyS2hEWG1iR1dSZHFlR19UeG13d2FWajkzY3VrRnhzM3dhS0U3N1NXRlZwakloU01FWk" TargetMode="External"/><Relationship Id="rId1843" Type="http://schemas.openxmlformats.org/officeDocument/2006/relationships/hyperlink" Target="https://www.gelonghui.com/live/2727473" TargetMode="External"/><Relationship Id="rId1844" Type="http://schemas.openxmlformats.org/officeDocument/2006/relationships/hyperlink" Target="https://news.google.com/rss/articles/CBMibkFVX3lxTE9FZnRIYkJIYVBhSGVod0hXZjBCWXJOX2lONHVnSzgwLWptQmhqaGp1MXBmZFB6X2hvQUtyV0c0NHY0NHEzTlRod25VVmEwb1VyT1M3SnBtUklMZldVWHdyTVVqei1XUzlubEtYQnRR?oc=5" TargetMode="External"/><Relationship Id="rId1845" Type="http://schemas.openxmlformats.org/officeDocument/2006/relationships/hyperlink" Target="https://news.google.com/rss/articles/CBMi1wFBVV95cUxOQTViTmdOZmdlOEpGbk1IOTBPaFZvbUExSWtDYnl1TVNnT3VzSE1UWENCODZscXpVekdSX1BNVWJ3M0dmcHdIVW1FbXRIYS1CVUtCN3ByQTFsTWpud0RXRW1ZNUFqRktfaThKcHQ4eEV0UUhlR01TUHl4aFB2Z2N0MGVDcE1QdmFNWGtsR0NvWUZ1MFd0VFliV0dLUFM2Q1" TargetMode="External"/><Relationship Id="rId1846" Type="http://schemas.openxmlformats.org/officeDocument/2006/relationships/hyperlink" Target="https://news.google.com/rss/articles/CBMinAFBVV95cUxNdl80S1lFdTJQNXg2OGRuSURWU2xHRmNGVC1USzJpWnU2aXlWX084Y0hJQmpialFjbVE0emtwTlpSV0xsTFd3UDBFS3BNZ1N0UllWemkwWUx1eXFfeklpUzFVbHVJRjRQN0g3eGxHM2N6ZzJ2RDBJdlpPZTluaHFRSnE3eDdja0paWVZzY19VeklSY0ZzWFduLVhfTzQ?oc" TargetMode="External"/><Relationship Id="rId1847" Type="http://schemas.openxmlformats.org/officeDocument/2006/relationships/hyperlink" Target="https://news.google.com/rss/articles/CBMi4gFBVV95cUxONFI5TUZCbllfaDBia2ZsVm5oQTc3amVqVXlBd1VGRlc3eHlqWC1HN1VPTS02cnI2ZEJVVFZvLW1MSUU4TVFwNmFPNkR6czlCLWwzV2hMVDV3eVJaUi1RcEgyVUh1M3gxeHFLOTA3S0V0OWJ6MDJjWE4zQjVPa192T3l2dHZaMVIzZXlLM2dTZ2JVckRIclBlbm5tZFA5Sm" TargetMode="External"/><Relationship Id="rId1848" Type="http://schemas.openxmlformats.org/officeDocument/2006/relationships/hyperlink" Target="https://news.google.com/rss/articles/CBMikAFBVV95cUxQMTVmQVFJaW8zRjdoRHd2RHl6VGlHREl4ZmRXVHZuV092NWFxTjRmODlPSm5PWGdjeFMtOWVmaFotb3htTS1JbEliQkVEM2FDcHI3X3JpTU5VQmt0ZVRXSFk5azdtb2dKcXlnbWRJeFk0a2lmc0dkck5JS0FBbXk3ZVBGb2xxWGpfMWRVOG1DYWU?oc=5" TargetMode="External"/><Relationship Id="rId1849" Type="http://schemas.openxmlformats.org/officeDocument/2006/relationships/hyperlink" Target="https://news.google.com/rss/articles/CBMi2gFBVV95cUxQaHhnNHQwMGl6b3lhR2F4TUVLYmFxaFhDQnR0bk9ockJIVXJvNnBVLVFwX24wM1lQMlJxUzJSbzhNa0VZQngtXzIzLU1aU25NSDZHb3g0VS1lZzVWRVRZejBQTldHVjhNejFveENLZHZrUjc3eWFzMmJwLU90N1R2ai00bFZIM2dFNXZ1c24tWlNXbUlsSHJGMlNWdm9jdH" TargetMode="External"/><Relationship Id="rId1850" Type="http://schemas.openxmlformats.org/officeDocument/2006/relationships/hyperlink" Target="https://news.google.com/rss/articles/CBMic0FVX3lxTE9DM1p4UTBkZ21mN1RLcEtUbkt1LWd1LWtWdF9waGZwemlBd1JiN1RSWGJjaWMyTG10MUpDbFM2M3FUdzhwY1lMaDRNd2ZoV1VlVlVPODJSRmxwTmFKQlFqbUlCR2o3VV9ENER2RjdLTmJpcjA?oc=5" TargetMode="External"/><Relationship Id="rId1851" Type="http://schemas.openxmlformats.org/officeDocument/2006/relationships/hyperlink" Target="https://news.google.com/rss/articles/CBMiXkFVX3lxTE1NVlA5X1VtZkpsMHdqSUN2bm1IWm1lcmFLVjZqaWFMOEd1X2FpRVoxQ05WOUc2VWV0QVZONE5aazJuLWZSTHNNcHlDSHJKcnhtS3dmaUZhU2tGY29JNWc?oc=5" TargetMode="External"/><Relationship Id="rId1852" Type="http://schemas.openxmlformats.org/officeDocument/2006/relationships/hyperlink" Target="https://news.google.com/rss/articles/CBMipwFBVV95cUxPalRnT0QwRnF2ODhucmljM2RzM1RKZzBuUEpUUlR0cE5PeEpWVWN0TDNXNWlYUVR6S0tUblR1SVdKSlFPX3JwZnJlNWJUeWlsT0E1OEd1MERGbFhFZ3hHNDB6TGZtVGI1cmVvN25fVkZyV0RHN1Zuc3VYUHc5TWVua0tKenlEdFdvS0laS3VndjFZWDJDS1l3SElwOUkzbV" TargetMode="External"/><Relationship Id="rId1853" Type="http://schemas.openxmlformats.org/officeDocument/2006/relationships/hyperlink" Target="https://news.google.com/rss/articles/CBMipgFBVV95cUxPTHE0blRYbDh0N2xTblZ0ZDNTVnR1YV9vUnVXd0ltVGNTQ0JLVjJIcW8wWG1ZTWh5cUl3UGxoek9nTVh3QzExajROMkwyNEgzR1BDOEowSXcxNFRDZHFFd3dMVzFOVDU2TXpMdlkxb19QTG1ZQmlXQW1oLWJ3VEw1bDdxb0ZmbE9MMVoxZzY1TkVjWXkwbVB0SGl5UjRzN2" TargetMode="External"/><Relationship Id="rId1854" Type="http://schemas.openxmlformats.org/officeDocument/2006/relationships/hyperlink" Target="https://news.google.com/rss/articles/CBMidkFVX3lxTE5PdE5VT3M0SUdMREhjbXV0OWt2U3phdHBZNXZlVWItX05MN2M3Y1JGVjQ5MjhpanhNdFByQS1YejFhSmU2RElIbEdveERXVlZXTE9tUDRNaXBvcHVMNHpoUkRrUVNrT0dNbWtXZlBKM3pzMGRfVHc?oc=5" TargetMode="External"/><Relationship Id="rId1855" Type="http://schemas.openxmlformats.org/officeDocument/2006/relationships/hyperlink" Target="https://news.google.com/rss/articles/CBMibkFVX3lxTE9rNkktTGwtdUUwanNnWjlNTDR6aUpqSU9ERG1BZF8yZ0dRZWNKeGZRSkJnajUwWU1uSldvLTVXNFRBbnI3ZTUtT1FYQUVCeWJ3ZzQtQk9MbzFYRjRDOTJ6YVlFeVFyTVRMc2R6MXNB?oc=5" TargetMode="External"/><Relationship Id="rId1856" Type="http://schemas.openxmlformats.org/officeDocument/2006/relationships/hyperlink" Target="https://news.google.com/rss/articles/CBMiiwFBVV95cUxOYUJYUlJ1UE9jNzAySFlnOTJQQlVoUlJ1MUZWUlVrQzM1R1c4RHE0TlpJckxVTExKSUdCc29PcENIOUN1bDlhcm9oNDh3TldMbEZ4dzMtaEFaSjJ1aldBQXpZdF9fUVZCd1dVbnpOTi1UYkF4LTgyREJnZ1Y2T3pRM1hya0hhRFZmSmpn?oc=5" TargetMode="External"/><Relationship Id="rId1857" Type="http://schemas.openxmlformats.org/officeDocument/2006/relationships/hyperlink" Target="https://news.google.com/rss/articles/CBMipAFBVV95cUxQR3IwWFdtWHl1THhkd1B3a080aHBjb251cGhSaE1fQkhBN1dNWm9fT0RodVRybmdtdXlQQng3UVUtVWdTZk5TcXhzZTlETS1adndvdUgtaUNiUjRnSWhpZFlmTmlYU0d2M0paQzZycEpCSUdkdWRtVEZYN0dVM2dGNmR2UWVTVTQxQTZ3R0dyUUVWNkJfU0x4eXdGeUlhMW" TargetMode="External"/><Relationship Id="rId1858" Type="http://schemas.openxmlformats.org/officeDocument/2006/relationships/hyperlink" Target="https://news.google.com/rss/articles/CBMiZkFVX3lxTFBUazBJazladHYwVU9MSXBSLWtOMEpJTXFVbDhodzRHMDY4NmRvLTZ6V21CWk1STFFySHJXeUhZaUF1TkdEMUJKV19WN1RTZm9ReVctRkpEeGJsa2Vvbk5PNEV4czVKdw?oc=5" TargetMode="External"/><Relationship Id="rId1859" Type="http://schemas.openxmlformats.org/officeDocument/2006/relationships/hyperlink" Target="https://news.google.com/rss/articles/CBMizwJBVV95cUxOUVJWTFJ2MHFJSVRMdFlFTzB5ei1ZVUpNV2NKVGE0NXczRzIxVzJWRzZad2hWdHpxVmkyTzBRWVlQNU9GLTdwWWpVN3p2eWZrU2lfUTA4VTljMnRXeXR5M3NueG4zeFJteUxya1dkUDlhNnNxM3VTMUJOZmd1cjBnVG1JaHVzclk5S1B5dzROcWE2R3hOeFBubUxzYklQMV" TargetMode="External"/><Relationship Id="rId1860" Type="http://schemas.openxmlformats.org/officeDocument/2006/relationships/hyperlink" Target="https://news.google.com/rss/articles/CBMibEFVX3lxTE0zdlIwVDg1LU5wQ1hqYm0yS0MyUVRfNWdzZktzWVlWTTdlNWF3OVc4amZRcGpHVV81VnpqWExWUWFMZzM4ZnBaOU9sS1M4VDgxbFpXXzMzQmJ2Vk9kUU5WUmhlVy1mM2k1MlQzQg?oc=5" TargetMode="External"/><Relationship Id="rId1861" Type="http://schemas.openxmlformats.org/officeDocument/2006/relationships/hyperlink" Target="https://news.google.com/rss/articles/CBMiuwFBVV95cUxObElEOGRvWS1HdFM0N1VPU25lTHFTY05XZTQtb0trN2VsOTRoOWxsUGh0Sl83d25NcDhDQy1xUWVBRFBZZ29wVXI1d0hnX0EtUWh6WUZuV2JoNDh5cFVTRWF4Sk1tNHJqeWFGMHlLSmFBRmN4UHNESVRPWTlrcUlOZk5YQWNqNmhObmdOUDR6amF2U1VEUGgzRmQ0S0djWG" TargetMode="External"/><Relationship Id="rId1862" Type="http://schemas.openxmlformats.org/officeDocument/2006/relationships/hyperlink" Target="https://news.google.com/rss/articles/CBMibEFVX3lxTFBROGI1U3VJMFhNTDRGVmp2S2JMdWFoWVZTZURoRHVqcGlab1ZRaE4xemxVVW1ZTld3QUYtRVdDYklxX0podnZIekFlU3pubHpCS3ZLb0RTNDRIMW9mcHRKclV3cmlzV2RLSlRtdg?oc=5" TargetMode="External"/><Relationship Id="rId1863" Type="http://schemas.openxmlformats.org/officeDocument/2006/relationships/hyperlink" Target="https://news.google.com/rss/articles/CBMiZEFVX3lxTE53Y3FHN0FUR3g5UnpfZl9hU0EzTVRfcE5oTFlxUHR5SmhpZGRYa2ZWUzdKMmRKTXlMelpRYVdub3dIamd0SjZHRFlraDRyX1pFQ1Z6WWFOTFRZWVNWU3U3UkJRRk8?oc=5" TargetMode="External"/><Relationship Id="rId1864" Type="http://schemas.openxmlformats.org/officeDocument/2006/relationships/hyperlink" Target="https://news.google.com/rss/articles/CBMiygFBVV95cUxQeXNDbURiX19Gb3FTaUxNZi1KTmF1UjN0WWY5aEJMSDVORDJ5aUlEeG1tUElUNEpjUWtia091a2pteHRWeDduNlF5YU5mUjBDMUprM1UyVEVPMWtQMnBwa0owMktOQTlOV3g1dUMyR21sdUpXdU95MDljd01nakFhOG9rbzlid0Z4bVVRWGp5RXB5YkN0TDVTdHJhbEpTZV" TargetMode="External"/><Relationship Id="rId1865" Type="http://schemas.openxmlformats.org/officeDocument/2006/relationships/hyperlink" Target="https://news.google.com/rss/articles/CBMimwFBVV95cUxOX1J6akFqaXBiS0E4cVhsejAweUU1UnpvaV9xLVBETWc3d0RUOXkzVmozVk1pem1taG1jbGUzVzJZc19CR3pfd3hRTE5GQmhRM3M4aHhnWlJSb05FcW9vdUZxZUJ0YVl4b1EySmctRTVTSWtxYzdPd1NaYjV2dDRaUmZWQjI1eTNBbVdjUEppLWZydmdCblZvOFpVOA?oc=" TargetMode="External"/><Relationship Id="rId1866" Type="http://schemas.openxmlformats.org/officeDocument/2006/relationships/hyperlink" Target="https://news.google.com/rss/articles/CBMifkFVX3lxTFA4V2ZoVFhYM2hpaDBIa180V29vd2NTSzBXSDNZdnJVWElwcWFncDZaOG9zMFpZdVliUExnR2dsTHNNVS1pVzlpbTZQSDZJcFNVdUVGVnpIVUl5c25haDJIRWM2dUx5Mi1ERnZuakZjTGswOHhqUW1Cc0F0aXhIZw?oc=5" TargetMode="External"/><Relationship Id="rId1867" Type="http://schemas.openxmlformats.org/officeDocument/2006/relationships/hyperlink" Target="https://news.google.com/rss/articles/CBMiwgFBVV95cUxPMTBjY1JHWUFVUFdUcFNycVMtUmVFYWVLN1p4Q3hnTlZiYjgta3ZEcDdPc2VZeGFKZi1mblBoZW5oLVNpNjYyaWl1LW8xMS1XZVg1WUt0YU1tNl9DUUhzWnZVUUVzS0FuWU9lSWZuY3I0LUZhUUZ3RFMzZlZ6cDR6Smdpd1BBaTBZRjVKVHhGS3JrMmQ1ZFhOanRlOTRmcW" TargetMode="External"/><Relationship Id="rId1868" Type="http://schemas.openxmlformats.org/officeDocument/2006/relationships/hyperlink" Target="https://news.google.com/rss/articles/CBMiyAFBVV95cUxQMXZzQlpLb2JWTGhYaEluc3ZkbDZLLXh3MFpiN2RGRVBHeWEwMjJiaHBWRW9FUGMzVGRleGM0cmZFQjg2em5QdWJzcUVNb213Zk1TNGlzbEpIMEJ1SnN1Zlg1Z3dQajFBNkZqUnZxVTZkT0dMUG1JcVdvRGJjMmp1Tm9lRTRDRjl0Nk54UmNrRW5nVU1lbzNNUkFNNEMzTD" TargetMode="External"/><Relationship Id="rId1869" Type="http://schemas.openxmlformats.org/officeDocument/2006/relationships/hyperlink" Target="https://news.google.com/rss/articles/CBMiygFBVV95cUxOZGdXWTZzWG55QnBBY3pEVlhwUXlHZFdGTXRJaXVERWtDNlVMNXcxeUMwOVBQRGlUUDB3NGt0Slh5XzFtRWx6U0Fjam1HOTNrQlhhdXB3Q3AydTMzd0J5RWdWVXB5azl3UE1aNmREaC13OUt4TkEzSl9UQXBUdHZYTFc2NE51bmdvRzM0eGJCVGxMMDZsTG91ZGhCUzU4UF" TargetMode="External"/><Relationship Id="rId1870" Type="http://schemas.openxmlformats.org/officeDocument/2006/relationships/hyperlink" Target="https://news.google.com/rss/articles/CBMivwFBVV95cUxPZWctTVJmeUFMcmF1M2JreWdZVnlEWHV3bWxFQUhNM3NUbVJRNzl5RnRwaWllLW0wcEFuR2xJLTB2UlozZC1Ic2ZMM2dKa3BPcU9XRjZfeE8wTEowUmNuNFJ2LS1EWC1hcXRWc0RDQzc2bTBIaGo0UmxFVVMzQXZxeUwzbVktVENWaC14QlNqUzNNRjA1bWFKSDR2OS1DNH" TargetMode="External"/><Relationship Id="rId1871" Type="http://schemas.openxmlformats.org/officeDocument/2006/relationships/hyperlink" Target="https://news.google.com/rss/articles/CBMiVkFVX3lxTE9CLTJSRkd6LWxNVnRWUmdsV1hLNndwTVEybWM5WUM3d2U1TTJEMG9MMkF0LTV4QzZNWFlFSXowMFg2ZXRTTVlRVTdIaXRlNFF6dWpWdUJB?oc=5" TargetMode="External"/><Relationship Id="rId1872" Type="http://schemas.openxmlformats.org/officeDocument/2006/relationships/hyperlink" Target="https://news.google.com/rss/articles/CBMimwFBVV95cUxQd1RZM2kwMlFYdnluM2paUzFndnE4a3Iwd0xlYnQ3TzRQWWdKLW11bHdleVJGRWVPeHVIWVFtdUZ5TDgwY1hXdDJkVEpZRlBtd09EcW51bHVTbjdjLVFoSnhwdDYxSXVpdGdkZ2JtZTdadzF2VDFfV3lMcnpHTjNkS0tFa1VkMlFUakIzVGgxQlEzMEw1NU50VVRYRQ?oc=" TargetMode="External"/><Relationship Id="rId1873" Type="http://schemas.openxmlformats.org/officeDocument/2006/relationships/hyperlink" Target="https://news.google.com/rss/articles/CBMiYEFVX3lxTFBEQjBlS2JUcW9wSWlyRjc4bmNjY0NWVGhPb0lYTWp1ZU1FbFM5UVVZXzJMXzNyUzNOTGlCQTFjZWdfdTNFQ3RGWVNRakhBYnBOY21mSDJqandwVVhST3dicA?oc=5" TargetMode="External"/><Relationship Id="rId1874" Type="http://schemas.openxmlformats.org/officeDocument/2006/relationships/hyperlink" Target="https://news.google.com/rss/articles/CBMinwFBVV95cUxPOE9HRHRKbEFGRHRmWVBBT200am5VaVVNeVh0ODF0dmFVamhITkJEdjZTajVqUjBNTWtsYWQybHlnU1hUZGZTNUxKR3pDNGFDeEx6MGxldXRFekt2NDJGWE1FeGhrbm41TEtwRGNqWDV6WHNGT0RWVEJoajAxNTM3UUc3akVjSWMzbElUcUJNZGhHZnNCMkpUWEd0N0t5VU" TargetMode="External"/><Relationship Id="rId1875" Type="http://schemas.openxmlformats.org/officeDocument/2006/relationships/hyperlink" Target="https://news.google.com/rss/articles/CBMibEFVX3lxTE9jMVVXNEFwZW9OVWR1WVF6U1Njd3pLdTMzcDJhN25sX0FyTzlTYnRKbDBBN204M09vQ19HRjA0RDFKcHhzMjM1RFg3cEdkUUhKb3ZJRlB3ZlJJWXlUTHRLbnY5WGExRVQxOXMtQw?oc=5" TargetMode="External"/><Relationship Id="rId1876" Type="http://schemas.openxmlformats.org/officeDocument/2006/relationships/hyperlink" Target="https://news.google.com/rss/articles/CBMipAFBVV95cUxOeEpyalFPaURUUW9yamJWLUFaeElmN21vX2ZwRHdHTk5RbWF6ODZtUXZYM0pLbjNFNzJ4ZlhSVTlON0FYSUZYbG1ST1RwT0UycGVva3lBUVJ1UGVhWlFRNTJVODZVc01RUHdGbEtKUmQxV2M2eldnQTNHNy13em9tdG9LR3Z0UG9nalVKQVlFZTYtQ2JRNDU5d3hkY3NOZG" TargetMode="External"/><Relationship Id="rId1877" Type="http://schemas.openxmlformats.org/officeDocument/2006/relationships/hyperlink" Target="https://news.google.com/rss/articles/CBMiekFVX3lxTE1ZNWVVV3lYWWdWNnduZ3hJd3VyZDVQWFg5dUpsWnMwaDBPejNoRXVPd19JS2toZVZYeFdVRzgwN0hmU1JWUXFIVXcxbUhmMmJDellwWUFvSDYtNl93MWtkNFgySnFWUE1tQ1NvX0E1Qy1SUWFSSDd4bmZB?oc=5" TargetMode="External"/><Relationship Id="rId1878" Type="http://schemas.openxmlformats.org/officeDocument/2006/relationships/hyperlink" Target="https://news.google.com/rss/articles/CBMiaEFVX3lxTE8tLWlXN1F3dTRIbjFuOVZqX1o4a0M0RHlvaWVUaElHajNGQjRRa1IySm9tZ2tpNWdsOHNQcGp2YlZaSS1WYWtydUZhMDZNbnNSOEhTc1hjVFJhalNJNzJQQXhqNGFlQ0I1?oc=5" TargetMode="External"/><Relationship Id="rId1879" Type="http://schemas.openxmlformats.org/officeDocument/2006/relationships/hyperlink" Target="https://news.google.com/rss/articles/CBMiuAFBVV95cUxQODFuLWF5b0dMOXMtWXN2TFVCOGl4M08zYzg1MVU2QWNrS1FHcEZINmIyMkQ1dzV4WW5yVHV0YWZYOHUtdy1oSWp0cE1xN1lQNDk3XzBaZEtsTXdRY2dwaGhYcmJPN1pQWkRaMDBNRkoxMUlDWFo2Ymp3VDNuNVBtMkgxZ3VxalVwa1N5aDV6bm5YVWRCZTY2dE9fU2IzVH" TargetMode="External"/><Relationship Id="rId1880" Type="http://schemas.openxmlformats.org/officeDocument/2006/relationships/hyperlink" Target="https://news.google.com/rss/articles/CBMiYkFVX3lxTE9fdVh2eDJPdUxybXlYSWRqYWpUSkZKSC1sY2NvRkc3N2RxUkdGOXgzS1A5SlZSaXBaelk3NmpKdDBiQ0NEdWc1Tnh0aUFFd185VlhlRUlGTE9ZcWltYTdidnNn?oc=5" TargetMode="External"/><Relationship Id="rId1881" Type="http://schemas.openxmlformats.org/officeDocument/2006/relationships/hyperlink" Target="https://news.google.com/rss/articles/CBMixAFBVV95cUxPZVRib3liSFJYbGNwSjd1UEd1ek4yU0I4SlF1cmVTZF94Q1kwUmVkYk4wQzJRNFpDUzFFUWR3VDFEeVdOcXcxYTVPcE5Xc3NoeWp5dVRzQWlYTHUzbzNtZFl2M1YzTUxMSS1QajNpOVRPbXhkal80NzBFblFUSzI4Q2dCNUo0dnhua0JERC01LVJhM1RqVVFTX0hzZXNkMU" TargetMode="External"/><Relationship Id="rId1882" Type="http://schemas.openxmlformats.org/officeDocument/2006/relationships/hyperlink" Target="https://news.google.com/rss/articles/CBMiXkFVX3lxTE95VWhvaHpyYWI2MVpoYVlHQndJUHBKckc1MVVXaXplS0luR2xIeFlGbmFRMzRkQ2d0b3VkaUZ2c2k4N0UtN3BtN2s5UHdQeTNnbzhxZEdRcmw3ekdWcWc?oc=5" TargetMode="External"/><Relationship Id="rId1883" Type="http://schemas.openxmlformats.org/officeDocument/2006/relationships/hyperlink" Target="https://news.google.com/rss/articles/CBMieEFVX3lxTE95RWFRQ05NWXd1bXdtWWNYMXc1TDV4bVNfQ3BIR0lZdllkWWRzellVaXlaY2dNdDVPM3VCbjRhNU9Kcm5qWkFfV0FFenEyb1VKUm9rcV8yWTFIbjVUYm5kc2NEbE9vRHhHemZoTkQyQTNESFk3RnRXcw?oc=5" TargetMode="External"/><Relationship Id="rId1884" Type="http://schemas.openxmlformats.org/officeDocument/2006/relationships/hyperlink" Target="https://news.google.com/rss/articles/CBMidEFVX3lxTFBvSk5DbjM2MDhjcG9iTlBxTS1PN1ZsN0VFTTRRRDVyYUZSTDJHSTk2X21TOE9NOXdBMEh4ZzI5UGp6Mi10MkdqeXBSQ3RrbEFvQ1RVdVdfNkxuUklxSEJkYXJod0hTMGR4UzZLYXlpYU05eEVl?oc=5" TargetMode="External"/><Relationship Id="rId1885" Type="http://schemas.openxmlformats.org/officeDocument/2006/relationships/hyperlink" Target="https://news.google.com/rss/articles/CBMickFVX3lxTFBFTXFHYTQ5eDE3SEVBTkVTUkxKUWU1Tk5zTGRra0FRTzRxZ0NsaVQ4RTZVZmZ6ZGNIV2wtYUxFZzBuVWs1dHZ0bTVZdE5JaTNGZ2pJdzZNMzljNjQwTXpJSXIycnRXWXRtazhqN1BMa1I0QQ?oc=5" TargetMode="External"/><Relationship Id="rId1886" Type="http://schemas.openxmlformats.org/officeDocument/2006/relationships/hyperlink" Target="https://news.google.com/rss/articles/CBMimwFBVV95cUxPWWwxV1ljc29JZXViSlNmOHBDeVdEcU5IXzlEam5WMnZ6Tmp2VExJNUszbVp6ZUZTNS1LLVotRXVjN3QzSnk2d0dQTFR1ME9uZDF3dW5OWk9lXzYycjdhMXc2Ny1KUnF3Zm1vUGFhNzNWZGtaVVRtZWM4aURkbUdzVU44RnV4SGg5OEFVREp0ODI0Q0ZJMDBRMTByVQ?oc=" TargetMode="External"/><Relationship Id="rId1887" Type="http://schemas.openxmlformats.org/officeDocument/2006/relationships/hyperlink" Target="https://news.google.com/rss/articles/CBMibEFVX3lxTE4xR0JVVHFBZVdrakxKVjVDaFNpR2l5UDBia0tRQlFudmlJMzloUWxwNXAwT3NKX3ZPTFNsdmcyX0xVVlBYeUJpVFlScFU4cmNCNWE0VThOZ0dWN0dqa2p3OWZMUU9kRGpVeHp1SQ?oc=5" TargetMode="External"/><Relationship Id="rId1888" Type="http://schemas.openxmlformats.org/officeDocument/2006/relationships/hyperlink" Target="https://news.google.com/rss/articles/CBMiwwFBVV95cUxPY1IyYVRJX1Vlemd2UTZ5OHpUS2ZYU3A2eHpIel9JOHdrUy1sNG40Mlp6M3h4dDhiZmRnMFR0UU5fSGx0SkdPdTVYU2t4NUxFOW9uZTBEbTNZN1RvZVdfajRXbzRrc2xiVXlZRzNvYVdqWjBtd1NaNjVwVzZnQ1QzVVk3aFhGdk9EWkJZcjdndVlIZXNBd1ZUeWlQVEo0S3" TargetMode="External"/><Relationship Id="rId1889" Type="http://schemas.openxmlformats.org/officeDocument/2006/relationships/hyperlink" Target="https://news.google.com/rss/articles/CBMivgFBVV95cUxQd1NRMExFN2M1Ry12bFgtVS1uYVhFcW83UjZ2QmFRTHMxQjlCODZ3QzE1SHBUOGFIUG9RcVRPQU5iNFotYjNEdkdCS29ZODN5V3Z2d1pMR29XRE5rejd0YmZVTEVrczRza0U1WFVCQmxuZk5BbnlSLXNycmUtQ25lQm5FYmwxR2REQUh3ZXNPaTdRZUl5Yk1iYjF6Z2o0b3" TargetMode="External"/><Relationship Id="rId1890" Type="http://schemas.openxmlformats.org/officeDocument/2006/relationships/hyperlink" Target="https://news.google.com/rss/articles/CBMiaEFVX3lxTE8tLWlXN1F3dTRIbjFuOVZqX1o4a0M0RHlvaWVUaElHajNGQjRRa1IySm9tZ2tpNWdsOHNQcGp2YlZaSS1WYWtydUZhMDZNbnNSOEhTc1hjVFJhalNJNzJQQXhqNGFlQ0I1?oc=5" TargetMode="External"/><Relationship Id="rId1891" Type="http://schemas.openxmlformats.org/officeDocument/2006/relationships/hyperlink" Target="https://news.google.com/rss/articles/CBMibEFVX3lxTE00cUNrVnVCLXFvZk9LMmpWYTRGYk1JM1Fnb2NianVfQzQ5aV9sTHBsVnU2b1JiLV9ZZWxVUWhWQ0JBMVBXRzVWMVFJTW1EU1MzWUIweVA2X25QOFktTGlSeWhoS01tRVk5NjNUZw?oc=5" TargetMode="External"/><Relationship Id="rId1892" Type="http://schemas.openxmlformats.org/officeDocument/2006/relationships/hyperlink" Target="https://news.google.com/rss/articles/CBMiWkFVX3lxTE9OOVpNVzJwc3FucmJ3UWlOU2t3NnpFb1VDMnVpUWViamliYTYydGt4aUgxSHNNX2x2TFhhQXV5ZnU4aHQ5Y1lNT3lkak0xS19OSExVMEJ0OXhjQQ?oc=5" TargetMode="External"/><Relationship Id="rId1893" Type="http://schemas.openxmlformats.org/officeDocument/2006/relationships/hyperlink" Target="https://news.google.com/rss/articles/CBMiXkFVX3lxTE95VWhvaHpyYWI2MVpoYVlHQndJUHBKckc1MVVXaXplS0luR2xIeFlGbmFRMzRkQ2d0b3VkaUZ2c2k4N0UtN3BtN2s5UHdQeTNnbzhxZEdRcmw3ekdWcWc?oc=5" TargetMode="External"/><Relationship Id="rId1894" Type="http://schemas.openxmlformats.org/officeDocument/2006/relationships/hyperlink" Target="https://news.google.com/rss/articles/CBMivAFBVV95cUxNM1ZCZENiOGFQMzRiQmdFS0J0MFNaUDdzQnRSeWJCRC1td3BsbFdFZmdneG1oQXRGa3hqUThDTzRyV19BemdBMFV1YmR5M2xtX21TbDN3cnZCYlAxUkdHWk1SVU0yQzgyR1JDd0NWQkFvaFdxVER5cTNySG5JNFp1bG9KYUFIWDFzbTd3UGpWa0EzSmhfWlNFODd3a2RwQ3" TargetMode="External"/><Relationship Id="rId1895" Type="http://schemas.openxmlformats.org/officeDocument/2006/relationships/hyperlink" Target="https://news.google.com/rss/articles/CBMi1wFBVV95cUxNU3pQVE53aHRMdXhlYm5nVlRmc2wyMWxXQV93VElsVlJ2MUhvZl9ObUZfLVdqRzdCZ2tBdjJpSGJnRWxoMUVVeDVaVFNDR1lHRTA0c1ozZ1VzaFBxWE9rZlAxQTJlS3JkRHpoZkxxOWMteWlkYU5yb0FaUVhsamdsUmpWcXowNThwTTg1bENfRmZMOF9JdkZYYjJxOHBaSH" TargetMode="External"/><Relationship Id="rId1896" Type="http://schemas.openxmlformats.org/officeDocument/2006/relationships/hyperlink" Target="https://news.google.com/rss/articles/CBMizgFBVV95cUxNcllRQlhWRWZsZ1AyMG05NGZVbVpkWnpqNWRSb0FPVjZibWxfLWU4ZHFMNlJSZnE5LUFKQWpOS05BUkZwcXg1aVVqRHBSdUVQWkRvQkZZWUNBRFVyQVUxQXptOExObzNidllvQ0R0TktnOVNMU0syRkVFVV96NmY2QkpjNTJvT0VjRHhmOVFudHpnanVIMGxuTl9ZTG9xR3" TargetMode="External"/><Relationship Id="rId1897" Type="http://schemas.openxmlformats.org/officeDocument/2006/relationships/hyperlink" Target="https://news.google.com/rss/articles/CBMi1gFBVV95cUxOWWJVWjA2bWt3eDYyYTJEdlkxVkM1Ql9hdTJwUUUyR0NkWmpiMm9iUFRYa2hEQlhPenpsUEJCbFc2WVRnd3Jvc1RacF9ibC1SMXZKUVJ2YTZkMDdpU240MENzd2luV3h5REhOMGhaMGgzOGxROTk1VVZvc2VNSERpNG1WZEFfVDlhTUMzQXlsUDhHa2ptTmtkbkl2bm9rSG" TargetMode="External"/><Relationship Id="rId1898" Type="http://schemas.openxmlformats.org/officeDocument/2006/relationships/hyperlink" Target="https://news.google.com/rss/articles/CBMidkFVX3lxTE1QNGZodTQ0bHFKQ2VHaXpMNUlmYmRuZzdyc2N2QjR3X2ZPbU5rVEphNUhUVDZOa3dHMG4xbjhSNnBMWVQ1VlNHZ2d6a0NtS1lucXN1MkQzMmQ1NXJLSXBUalRpM19zd0VLYlVjdGVwQ1RheFhRMnc?oc=5" TargetMode="External"/><Relationship Id="rId1899" Type="http://schemas.openxmlformats.org/officeDocument/2006/relationships/hyperlink" Target="https://news.google.com/rss/articles/CBMic0FVX3lxTE1za2RaVmdPYkVWMWwybkJaSDAxYUhwdnJFakEzMEhqbU5EWXd4LXFWdnVKS3JOdy15U1NNVmZkN21SQlNiUHFWNlpncFBfdHJmdDRLa0QwZTQ2ajltTWEyU254U3N5NUo2UkVVNENlUFRZd1k?oc=5" TargetMode="External"/><Relationship Id="rId1900" Type="http://schemas.openxmlformats.org/officeDocument/2006/relationships/hyperlink" Target="https://news.google.com/rss/articles/CBMiwwFBVV95cUxNZmRydjl1TmRUa3VFLW5QTlJxM1lvbkdueHo1enR0TUxRbGhaQ0NwTVQ2TkZuRHFjWExpY1JnZ3JRUk4weHhpYVVPeG1jOXV5U0MxaENIdFZTblVHNUs1OU81M1pVZFoybmNNckxUa3FsbEJFTGtyLW1ZUUs5X05UU2ZyUk5VTzEzamhSVmgtVDBYRkpDM09mQnlaR1BqdT" TargetMode="External"/><Relationship Id="rId1901" Type="http://schemas.openxmlformats.org/officeDocument/2006/relationships/hyperlink" Target="https://news.google.com/rss/articles/CBMiywFBVV95cUxNQk1iTkFNNlY2T2RHTDJHajBSSkpNRGRsT2JoTWh4RGNrTEU5QmhEa042YzViS2pPX3hqc1B4THhEYVdiT1M4c3BlZlZIR2NqRFRJT2NSSUx1ak14d1gtbUlRYTU2NHoxS2lhTEZnYmVJNXJkLTRoaWUwSjRqU1ZLWl95QklRUEttZkhYTDY0WFA0ZksyWHRKX2JHZG13Mj" TargetMode="External"/><Relationship Id="rId1902" Type="http://schemas.openxmlformats.org/officeDocument/2006/relationships/hyperlink" Target="https://news.google.com/rss/articles/CBMitgFBVV95cUxNYnctaWFabWx2NUMxM29VOU5CUUoweWZ5Y0dOWDJXNkh2aDFZbzJIUlRTMlZlRXZFVFBYam10STk3eXY2TXNuM2FjWUZ2U2ZnXzVsTFFzX1dQZFFoamdPWnIwZ2FfWEZaTVZzcWp0YXpfV0RaSDE1VlZYUHg5TDRWVkpremU5TENFaWRENUhZNjVnN1Q4YTlXM2hwa0l1RW" TargetMode="External"/><Relationship Id="rId1903" Type="http://schemas.openxmlformats.org/officeDocument/2006/relationships/hyperlink" Target="https://news.google.com/rss/articles/CBMi1wFBVV95cUxNU3pQVE53aHRMdXhlYm5nVlRmc2wyMWxXQV93VElsVlJ2MUhvZl9ObUZfLVdqRzdCZ2tBdjJpSGJnRWxoMUVVeDVaVFNDR1lHRTA0c1ozZ1VzaFBxWE9rZlAxQTJlS3JkRHpoZkxxOWMteWlkYU5yb0FaUVhsamdsUmpWcXowNThwTTg1bENfRmZMOF9JdkZYYjJxOHBaSH" TargetMode="External"/><Relationship Id="rId1904" Type="http://schemas.openxmlformats.org/officeDocument/2006/relationships/hyperlink" Target="https://news.google.com/rss/articles/CBMi9gFBVV95cUxNQ19rTFRtS3puQk1DWHNwWGJrMEgzRnoyY0Y1SU42SjNKal9KQ1Z2ckhqNkwzRFdRODBNRDdMbG1HbThjb3hMazJ6b0NMM3VqWnZ0dlFyV0ctR2x5MlloZE00UXBCV0FCNEZ3dVVZSHRLRXF0Skp6ZmZwZ1dCb3pmbExINlBCVnBBX2N1N3VrT0tXaTd2bjZFSjdWS21Jbj" TargetMode="External"/><Relationship Id="rId1905" Type="http://schemas.openxmlformats.org/officeDocument/2006/relationships/hyperlink" Target="https://news.google.com/rss/articles/CBMiugFBVV95cUxNN1pLbVVDUWp0dkNHV0d4SmRsYUxVRzRmT0FOWUl4ay1ablRCV0NVbE55QzN6LXRQU21NN3IxWjhTMFBHY0J0N0ZjM2FlSkRjbndJS3NyNEV3X1laUzgyaGdLUy1aZm93SW1Pb1NsZmpVUU5iMEdmUDNRWVhEM2VCRWl0ZjduNEZkS0dpU21GN19MWFRSdG5XLTdKTGJSbT" TargetMode="External"/><Relationship Id="rId1906" Type="http://schemas.openxmlformats.org/officeDocument/2006/relationships/hyperlink" Target="https://news.google.com/rss/articles/CBMirwFBVV95cUxPSEVWaDNVdFBBZ0lQUXJWZFZlN2ljUFpicUZYd3VzZ0UxVGNrajgtSWJwemFVQ3M0aFRUTHZvR2dpenBRWnVIQ2hlMWNoOUh0UVJpa0xfd3plczZabE00NllTT2RBZkdwMkUyRERwWUJ3RzlwSjA4MWJDQmVwZ3RfR0hZVDJ0TjU5b2FUamF5YzV6YkMyTUdKX3Jpc3Axb3" TargetMode="External"/><Relationship Id="rId1907" Type="http://schemas.openxmlformats.org/officeDocument/2006/relationships/hyperlink" Target="https://news.google.com/rss/articles/CBMixgFBVV95cUxQSjF2azRYMkxZRWk1eEhJOEsyNmZPOGxmNHRwN2gyekJzZmZPM1FncjQxRlBySEFyTWhyNXZXUXRMd0s4VmQtRnJmdlFiZUxtdmRSV0pUdFBuYXpENjg5OEpxQkVqNlNnbEJWRE1ubE5xdmRmOGx5R3Z0Szgxamh0V1BEV0RtY013Nlp1d0VRVFlPMlpYYmx4NUVmMUxuWE" TargetMode="External"/><Relationship Id="rId1908" Type="http://schemas.openxmlformats.org/officeDocument/2006/relationships/hyperlink" Target="https://news.google.com/rss/articles/CBMiyAFBVV95cUxONWZnajBTX3M1T05mS01zMjZib3Izd2dOaTlnYi16Ynd1LXRVbks3ck9haXAyczB1aGdNWUQ3ejEyal9ndDZEc053UkxRcDVvN1lYZHhoQkVxYXdBRFpUNnFsaVNfT1ZwTnh1RVFhQVgwZ3B0R3lkcXBhSGFmMUdNTXVpODVmS2dMeGgxU3htTjNHZmVzWGtEeXo5bS11OC" TargetMode="External"/><Relationship Id="rId1909" Type="http://schemas.openxmlformats.org/officeDocument/2006/relationships/hyperlink" Target="https://news.google.com/rss/articles/CBMiwgFBVV95cUxQVGZvUkxETkpDYTZfbVNQdHlHdXdZbWVoR0pwVjVmSUFZVk03Y3dnMHBsbHc0cEdQdzJmZ0VGaHRVVE13Z0psUkR0V25oN2NJMnBPSk9KRkNPeFhhX1JCXzV3X1BOTDBOdFNfVXdvVGxVaVo3MFh6VTVZQ1lhbmlRLVJaaHhPeUZGcTJTMVE5dGpTTjNXS2tWM3VVTXlQZn" TargetMode="External"/><Relationship Id="rId1910" Type="http://schemas.openxmlformats.org/officeDocument/2006/relationships/hyperlink" Target="https://news.google.com/rss/articles/CBMiwwFBVV95cUxPY1IyYVRJX1Vlemd2UTZ5OHpUS2ZYU3A2eHpIel9JOHdrUy1sNG40Mlp6M3h4dDhiZmRnMFR0UU5fSGx0SkdPdTVYU2t4NUxFOW9uZTBEbTNZN1RvZVdfajRXbzRrc2xiVXlZRzNvYVdqWjBtd1NaNjVwVzZnQ1QzVVk3aFhGdk9EWkJZcjdndVlIZXNBd1ZUeWlQVEo0S3" TargetMode="External"/><Relationship Id="rId1911" Type="http://schemas.openxmlformats.org/officeDocument/2006/relationships/hyperlink" Target="https://news.google.com/rss/articles/CBMiWkFVX3lxTE9OOVpNVzJwc3FucmJ3UWlOU2t3NnpFb1VDMnVpUWViamliYTYydGt4aUgxSHNNX2x2TFhhQXV5ZnU4aHQ5Y1lNT3lkak0xS19OSExVMEJ0OXhjQQ?oc=5" TargetMode="External"/><Relationship Id="rId1912" Type="http://schemas.openxmlformats.org/officeDocument/2006/relationships/hyperlink" Target="https://news.google.com/rss/articles/CBMi2gFBVV95cUxQOFVhdTN2RG51M1c4TmNmVXowZHo0VkZrQzNHWVdKV25OUkthdzRnYnY5dUJqNFFXYmFvVURUa3dzLURrY0ZhMkdHMHp6NVhmRkRIRVpXM1gxanh6RUo2bzQ3Vks1VUd4T2ZIQTg3NjF2ZkwzVy02aGp1dko1V1hfSXRpaDZIWDVjazdsbFhfdUNGazQ4d2tuSmlVYkE4Qm" TargetMode="External"/><Relationship Id="rId1913" Type="http://schemas.openxmlformats.org/officeDocument/2006/relationships/hyperlink" Target="https://news.google.com/rss/articles/CBMibkFVX3lxTE1RSk5RRUM2N2d5Wnl3TEVneEh0TFNCVm1LVWdYem5hR1JVM1NESVNwSW4zZE10Sml1YklmbHZ3bHduTWUta0laRXIyTEROUkRJZVJqUUg5V3lmTENfVDJnamgxRWx3VlJtMG9sQmdn?oc=5" TargetMode="External"/><Relationship Id="rId1914" Type="http://schemas.openxmlformats.org/officeDocument/2006/relationships/hyperlink" Target="https://news.google.com/rss/articles/CBMibEFVX3lxTE13amxkX0dWenlRcl8yNFZQVmtCOGJNZVVWdEViYlYtZ19TMFB6RVNrRTQ5LTdvM3N6dElxNTVHQlNlbk5KV2g3dVFqRko1aXJoNjduSGJ4TV9iZXBiYWo2bnk3R1l6b251UWZPMw?oc=5" TargetMode="External"/><Relationship Id="rId1915" Type="http://schemas.openxmlformats.org/officeDocument/2006/relationships/hyperlink" Target="https://news.google.com/rss/articles/CBMiowFBVV95cUxQRU9TY0IyOTRsRmdCUm4wYW9RMG1MZTBxSy1uSldORXlPRmFOd3B2bzFGNm1hbmptR004Z0xqV0dJaWxPUkVkZ1RENk0xeFplVUZmWkFmRnQ5Z3F2ZjlldzMyMDVMWTV4OHREVVZQMG1nMllpTVZPMkV1VmcxclBUVmpTREw4aTIxNXA1TnlNMkV2X0NCSVpkMFVoVEVZSF" TargetMode="External"/><Relationship Id="rId1916" Type="http://schemas.openxmlformats.org/officeDocument/2006/relationships/hyperlink" Target="https://news.google.com/rss/articles/CBMilAFBVV95cUxPWVIxbTNOczJHakJIZEVFTHppVW5xWUtxTjdqLU1LOC04TllUQ0lHZVQ3ZzFzb0FKMW9RUW5UOTZwUFJueE92bkstdlUwb09KV0FYU3lqOGRJMllvN211Yml5SWtNeHFBbWRkQWMyZjZDT0FLdDN6eEo2ODRzdU1nN19nY3NIcl84WjNBdW9RSWl3WHR0?oc=5" TargetMode="External"/><Relationship Id="rId1917" Type="http://schemas.openxmlformats.org/officeDocument/2006/relationships/hyperlink" Target="https://news.google.com/rss/articles/CBMinwFBVV95cUxPQk84WnZIRnBZTkQtYnBOQ3lubDFmdFVINzk2QWFZbmVEV016UnBGWlRLUlI5a3lYaFFUeFJsNm9PLTFzTFVtQTdON3BLYm1VVTZWM1NUV1VPRWRwQ3dQd3JqeWRhWl9Vem1seDhFQUR6anA3QnJ6MG93OUhoeDkzaENKM2NRYno4QWVpNzc0NTh5VnJvNjZScF9EakpUOG" TargetMode="External"/><Relationship Id="rId1918" Type="http://schemas.openxmlformats.org/officeDocument/2006/relationships/hyperlink" Target="https://news.google.com/rss/articles/CBMibkFVX3lxTE51T1A1UXZvZll3OWJpbVVDYVFjbWgyWGhtRWstRlN6LXc0N1pIMS1pbG03cVhlV0JWYVJUSk94Z0pfTW9BekNuX25CVDhiUFNEOUxlU3c5andYX1JZLTZuajVMb3BFVmZpOEd6S2RB?oc=5" TargetMode="External"/><Relationship Id="rId1919" Type="http://schemas.openxmlformats.org/officeDocument/2006/relationships/hyperlink" Target="https://news.google.com/rss/articles/CBMiqwFBVV95cUxNX1MxYTlKbnBQRFBveml2Ri0wd1hSV2hMblYyLUMzWVBxUnlzWF9BOHJJSFFReG9Uc3poelQ0UTZUV1BjS1ZmNHd3VzZTYlo0cEM2bnVPMEZQbElsZVpSNkNNeS1rcVlCbGt2aXNmNmdvRFV2WGVzTGxaR1YzQS16eTJMV2stcTl0X3lfNHhpTXktbXF0VlRzN1hCTmVuOW" TargetMode="External"/><Relationship Id="rId1920" Type="http://schemas.openxmlformats.org/officeDocument/2006/relationships/hyperlink" Target="https://news.google.com/rss/articles/CBMibEFVX3lxTE5PRVE3YVBrYzJiOGo1RUhhRUIyRVVzNWJnaEd6M014S2NKQktRUnlYRzl4QjhrUGN6Tm9NbjZaNUFfbWtHXy1HbS0wcmVIa3JqUDRWOVV6dzE2OG1YNTdjLS1yZDNjMVE3S1RsRQ?oc=5" TargetMode="External"/><Relationship Id="rId1921" Type="http://schemas.openxmlformats.org/officeDocument/2006/relationships/hyperlink" Target="https://news.google.com/rss/articles/CBMibkFVX3lxTE81dzBxRk5rZ3k0dC0xYi1WRTBLa2VyZF9aS3gwTHNQVE5YdmlKT3VJN0hzUzY5SmhUOVV0dmdqcWxwWXBvVDRYVFZneUp5Y1VSTzNCXzhia3BRYWZUWEN3VHI2eXFnQXJfZXVBRld3?oc=5" TargetMode="External"/><Relationship Id="rId1922" Type="http://schemas.openxmlformats.org/officeDocument/2006/relationships/hyperlink" Target="https://news.google.com/rss/articles/CBMibkFVX3lxTE5uOGNpb2hFaDlVUFdnYnRrX1FsLTFleGpBYjVVWHVwUVpKMzRaTXZIS3BuUkVwWTMyQzM3czZxQzRHQW1KcTh2cWNEbFNCMm1WZXg3S210VGk4UUYwZTRwd0xNS2l6T1YtNEJzOXln?oc=5" TargetMode="External"/><Relationship Id="rId1923" Type="http://schemas.openxmlformats.org/officeDocument/2006/relationships/hyperlink" Target="https://news.google.com/rss/articles/CBMi0wFBVV95cUxQcC1VRjNDdlpEQXdzbnluZ0t4RWxVa3VfYmlkQW9WUGVXV3BDVkdQdllpZVBBdWF4blZnZ1luSFdkbC1uQjNqc3h3RjBMT29ER2htSEx3MzBIeW9SWm9wQWZsZmFhb01QMWM4X1VWYU9CNmhJNVQ5RVlaVjNCYVhqdURaMFM2WXl2aDJVaHN4MEQtNUJFWFgzZXZuSDNEWW" TargetMode="External"/><Relationship Id="rId1924" Type="http://schemas.openxmlformats.org/officeDocument/2006/relationships/hyperlink" Target="https://news.google.com/rss/articles/CBMidkFVX3lxTFBvNUZyYmtsYWtKZ0RSQUd2VVBnMTNhUG5meDVlSEctdWJiVTd4SEc1dlBzQkFiRjBaZ2EyUEs4N3Z5Y0tqdmh0ekxCSmREWlFsMzNnOXAxRHNaOHJNcGJQeHZBTlZvNGhqS051UldwQ1FucEFueXc?oc=5" TargetMode="External"/><Relationship Id="rId1925" Type="http://schemas.openxmlformats.org/officeDocument/2006/relationships/hyperlink" Target="https://news.google.com/rss/articles/CBMibEFVX3lxTFBQTzlFV3h4N1RtVHBScWNlWGwwRVdVUzJland0OEFVTDB3MjZJb05YNy1TdXhVRWdkTzc0OHVuWHRvX214ejh5a2Zmb3dPVFNFR2JraU8wenpFeGNzOEZsMXNvY3NqZGYybDhGNw?oc=5" TargetMode="External"/><Relationship Id="rId1926" Type="http://schemas.openxmlformats.org/officeDocument/2006/relationships/hyperlink" Target="https://news.google.com/rss/articles/CBMibkFVX3lxTE04azQyUzlSRzlmeHFkQm5FTFA5THRwOWFpTnZFdDRibUREYmFKUDB4RXdITWZCQkxSdk5VandfSmtuR3N3d09obFBMNUdZVUhmN0lxc3VpYkFXRVZ5Z01VZnhNekVZSDVXclNHVGZn?oc=5" TargetMode="External"/><Relationship Id="rId1927" Type="http://schemas.openxmlformats.org/officeDocument/2006/relationships/hyperlink" Target="https://news.google.com/rss/articles/CBMibEFVX3lxTE1tSFFnQjNta2V1eV9lN1lwM3JRTHZwQXQ4cmZKSUI3ejQ2aDBYWW43VmRWMGZnOFRTT2xWdTRMbm1tcTFVdHFlbUI2Y0ZIVFpuTGhtUFlfQWFYOEVMZzBCNWhJODRXYzVOM0tfaQ?oc=5" TargetMode="External"/><Relationship Id="rId1928" Type="http://schemas.openxmlformats.org/officeDocument/2006/relationships/hyperlink" Target="https://news.google.com/rss/articles/CBMivwFBVV95cUxNNHFmcFM5YTZWUzhzWjlEdDdmLVZkQzZRNGU2cXFQRndYTGtsVzE3ZWlOd1c0WFJ0SHdvNE45dU04b1VlYW9pS052OHlKWVNpazJjUGwxNnVMeWxqYXJ6d2ZSX2J6VFY0TTFxU281QXNleld0eW9Va1BzQUhwaDdDSGJ3d2huRGMwd2lBOWtvRWtDZW9Qa0MxU2JZV2lCbX" TargetMode="External"/><Relationship Id="rId1929" Type="http://schemas.openxmlformats.org/officeDocument/2006/relationships/hyperlink" Target="https://news.google.com/rss/articles/CBMiX0FVX3lxTE1MMktHbFhIYm03dVNWallqUUltZVVuZkxMZlFZYUQ0V09ZaGlJRGFadmNCYUlkSEtaT1RNb3BDeTh4ZkM4WXpGMDVjcnZZdU5aR0hWLUtCUGtJQXpKVExN?oc=5" TargetMode="External"/><Relationship Id="rId1930" Type="http://schemas.openxmlformats.org/officeDocument/2006/relationships/hyperlink" Target="https://news.google.com/rss/articles/CBMiygFBVV95cUxOVXBubGs4VXhmaG90b2IwWXFKQXdoLWVKYmdKZTdUbVpzT2VfNnBZNl85YmxnTlh3NkxUQ0pTOFJ3bS11Q0huUndXcXJHWW9SRWN6bDItTXRGc1ROT1BsZXRoMTg4empNZHlNNHpuRWlxeUkzd3lrbDF0STByZk9HMHEyWkVvcnB3QjJ1eUFzemlnbW15dkw0ckM4NGxUY3" TargetMode="External"/><Relationship Id="rId1931" Type="http://schemas.openxmlformats.org/officeDocument/2006/relationships/hyperlink" Target="https://news.google.com/rss/articles/CBMiygFBVV95cUxObzVJU01WcVprUlpJQmRpbERtV2JhaGFpOTByWmhFOEdvY3hHMGtyTHMzRDlJMlVwdXRxeFNPbllJakRpaGtDaFZxeVFHZFRfRkpuQTdYdzNodERFbzV0UlYxVHEzOTFWNTJnTlJnWlNPbVM2MnVBRmVfYkxUdjNSeGxLZDlYajZGcFhnZ00zZWNNLTNnNTg4SnBnNkR6Un" TargetMode="External"/><Relationship Id="rId1932" Type="http://schemas.openxmlformats.org/officeDocument/2006/relationships/hyperlink" Target="https://news.google.com/rss/articles/CBMibkFVX3lxTE1zTXpKNVh2WWdqci1jZUtlQVlwZ2RVYU9MaUlISHdmdTJYWEJKNkN0bXBtaFI5RE1pRG9JQmpQWGtreTZ6Q0hIRF85Um1GNngyRmFsb3dVbF9ZaGRzUm1WTTlVc2FTdmRsQklzd1l3?oc=5" TargetMode="External"/><Relationship Id="rId1933" Type="http://schemas.openxmlformats.org/officeDocument/2006/relationships/hyperlink" Target="https://news.google.com/rss/articles/CBMiY0FVX3lxTE50SmRaZUZaNjUwS1hwODdRZTBqdnlqODZRWkxBb1Y4M3NnS3doQ0hZdTYxSjFEcGh6ZkhEeUs0OUR0RVhtTk40VnRtREx4Ti1ZZ3Y2Z3BhMXlZUUVmZmNTZ0tsVQ?oc=5" TargetMode="External"/><Relationship Id="rId1934" Type="http://schemas.openxmlformats.org/officeDocument/2006/relationships/hyperlink" Target="https://news.google.com/rss/articles/CBMiWkFVX3lxTE93VXFRZEFyeGVLUk5YYzFaOWMtRVo2SF9kZUcyYTdGbGdNM1haeXM1NFJNXy1mQWhjSl8yLVVJZWNOcFJNc2JPZ0NsN1pUOHZRbDM2Ulhva1NKZw?oc=5" TargetMode="External"/><Relationship Id="rId1935" Type="http://schemas.openxmlformats.org/officeDocument/2006/relationships/hyperlink" Target="https://news.google.com/rss/articles/CBMiZkFVX3lxTE16MTdzeFVxUGJWbzNyd01Vc19TMTEwRUpvQnAxOGp5RjhaMDNWM2VzbHlBdEFFWkRPZDU4b2pnZjlLMjluZkV5VjdpUUVOZlJmNGJlQkMxSV8wUkxrYko2N1dId1pSZw?oc=5" TargetMode="External"/><Relationship Id="rId1936" Type="http://schemas.openxmlformats.org/officeDocument/2006/relationships/hyperlink" Target="https://news.google.com/rss/articles/CBMiuAFBVV95cUxOekhmOFlLTmF5ejR6MHl3QUdUY0l6Z3dENGVBRlZPZ3Y2bVBBdUhtN0lmZlgwRU8yTkh2ZGNzdTR1NVVvVHhPSVJJdlA5RUQtb2V4aDZzc2M4ZEFsNlk5MDE0QmhQOTJIUS1IVHZJNzBxZ0YtRGNKV1U5dmdmUkVoY3Q4eHpQNms5MkhmNDM3UnNBWDBrYmdUdFRNcDc3Qz" TargetMode="External"/><Relationship Id="rId1937" Type="http://schemas.openxmlformats.org/officeDocument/2006/relationships/hyperlink" Target="https://news.google.com/rss/articles/CBMibkFVX3lxTE5tbzZjWC1QR3RRd1pBNDRGZnN0U2dBU2VaS08tR1Z0TGZHNkNpQzIwd3h6djd2aVdOLUxqZ0tDX3B4SlN3WVRPOFk3SzBVWWJBa0VmNkh2N3BudXd3a0V3Mk1QZ0p6OVhhSlQ4S1JB?oc=5" TargetMode="External"/><Relationship Id="rId1938" Type="http://schemas.openxmlformats.org/officeDocument/2006/relationships/hyperlink" Target="https://news.google.com/rss/articles/CBMibkFVX3lxTFBEdlNITjVmSTltSmExellFbXJnZXNta3FOMjFWcWJxYWZYRWlWdXZkLTU0bjhzbXdlQjlySlQ5cVJXS3dXYkR0VWd4U0hqTU9VRjFhTTlXWGhMX0xobHd3VlVRY25wcUs3aHZLejZB?oc=5" TargetMode="External"/><Relationship Id="rId1939" Type="http://schemas.openxmlformats.org/officeDocument/2006/relationships/hyperlink" Target="https://news.google.com/rss/articles/CBMibEFVX3lxTE15WjdvYmdXWFMyZFRJZURCTzZSRE5vMV90S2pqNU9DdlozNXZaa09OVkJlOThJRkhiaFd1OGptY2V6aHBQTUtIbG5XVTQ3RDYwRERRNVBGcjFOWC1qYmZDcjlSU0NQQzJtV2tqdQ?oc=5" TargetMode="External"/><Relationship Id="rId1940" Type="http://schemas.openxmlformats.org/officeDocument/2006/relationships/hyperlink" Target="https://news.google.com/rss/articles/CBMidEFVX3lxTE9Id2lLY3pkd2lsR0ZXYkpzNl9tRUt3T2VERU1vdkhIV2c0bDlGNU0wZHQ3S2RoUWd0dHM3TjlwOVJtQjF6VDJJOWtlb1BYVUZCSXRmZEZOUnpaYkN6bHpEWDdGcVcxbWU3R0JVR2RWcTZ4VEJ2?oc=5" TargetMode="External"/><Relationship Id="rId1941" Type="http://schemas.openxmlformats.org/officeDocument/2006/relationships/hyperlink" Target="https://news.google.com/rss/articles/CBMixAFBVV95cUxQSkFJV3BTNVBBVmlQVUszMGFMN1prSVZNNVVFeVhjWXY4bWJFZHBZNlpsUTU0OUZUQTI1eXhZT0VGcjZjbkF1V0xPdEMxVWE2MGxfakRRZG5VUG1jdnpJUHlaeTB5TVpTQjNwTXJlbjlwVU9RakJJQU9iVWMzQ3VLZzBBLTFUSEtURUlTbWZhTGdEd3VudEdWUEhmSWdNal" TargetMode="External"/><Relationship Id="rId1942" Type="http://schemas.openxmlformats.org/officeDocument/2006/relationships/hyperlink" Target="https://news.google.com/rss/articles/CBMieEFVX3lxTE5TOENJMEFFbExwM1ExdjNlVWxwRXpzMXBaUll0bHZIbEt6cWJvUnc5SWJGcGZKZkExV3ZOSWJkUGJNWlRYNm9NRVBOYVc0UlhXQlJ5bHdyWUdJZ0NIa01TbU4tb3FlVW5qNUh6VGpCWF90a2o3ckU1ZA?oc=5" TargetMode="External"/><Relationship Id="rId1943" Type="http://schemas.openxmlformats.org/officeDocument/2006/relationships/hyperlink" Target="https://news.google.com/rss/articles/CBMiSEFVX3lxTE1VLUlTZVpUY3lVNDVveEVtYkptZllCOXpsVTVQTEk5bDJfX29LR01WS2hrTEVhMlp2QlNEQXpFRXZNWFNEMjAwbw?oc=5" TargetMode="External"/><Relationship Id="rId1944" Type="http://schemas.openxmlformats.org/officeDocument/2006/relationships/hyperlink" Target="https://news.google.com/rss/articles/CBMivwFBVV95cUxOc1lCZDk4aGJWMVc0eGp0dzUwMF9SZS1QbXZVaE9nTVNQWDBsejZITmlJcUdmM2N6TUNFY25mLUVZNlVsVW5zMlNPd3ZNU1Q3UHJiUkNJdzZRSGJ2bmgyOXJzdFhZTjdreXVNM29FVXBwWUNnVXVMMGNBaFFKMXpibDZPZXY5Y2NtTEpTNzIzaDNsdmF6OWVzTEVPeFRVa0" TargetMode="External"/><Relationship Id="rId1945" Type="http://schemas.openxmlformats.org/officeDocument/2006/relationships/hyperlink" Target="https://news.google.com/rss/articles/CBMiqwFBVV95cUxPWTNQVUxEcW9EaDJ0bHQtNUpWSE9vYkhYUVlBcGNvT3RrWDVHR0h6LWJOTTdSU1dUSGJMSmllZ2xKcEREZ2pmaTBsWEIyNHFsNVlqLWJBSVZSNjFxWlc0Ulk4OWpfNl9Edl9hdFo2YVd3RGswNkNCNVBUQzBaNkFRMEVwTEdjMkZKWjdzTGNORFBQdFBhbTEwVkZkLWgwOG" TargetMode="External"/><Relationship Id="rId1946" Type="http://schemas.openxmlformats.org/officeDocument/2006/relationships/hyperlink" Target="https://news.google.com/rss/articles/CBMivwFBVV95cUxPNXV6RlM3U2dxMXJXb21yZ0JIelJRcEFacFZuZTlWMGRWNWc0dWNhUnRFSUdmVG9OQkVHd01IWlVpOHBPbG5QM2cteXoxY1lWTFBBNHBvSzNEVVdJLUppUHp1TEZiVVFxbGNkb0lSaXNGQmhxWUtDZVl0SUpoYlh6MlF2c1E5azhMYS00VzBZNURkbjRKLXF2VmNMcGJYbD" TargetMode="External"/><Relationship Id="rId1947" Type="http://schemas.openxmlformats.org/officeDocument/2006/relationships/hyperlink" Target="https://news.google.com/rss/articles/CBMiakFVX3lxTE1ROFJuV1MzNFBZZmlXRVE5ck9aMXlvemR4NDA1VUg2RTFWcFdXMFFybkR5TFNqOGNhTl92RHdncnJSSGY2Zm1SOTU3YnpmUDJBVHp0MjUxNmI3ODFFT0ZJM0tnSmVDZFc0dUE?oc=5" TargetMode="External"/><Relationship Id="rId1948" Type="http://schemas.openxmlformats.org/officeDocument/2006/relationships/hyperlink" Target="https://news.google.com/rss/articles/CBMilgFBVV95cUxNLTVyUFI4WDJaamhSek5FcURnUDVrbmp1MVc2QjZRMFE3NnN5bEF1ZHk5NzFGZ19EZHdYTGJrTGN2Y1FLbkZOd0FXRkdMcjdkenFHb01zdW15RmxKVk1DNjJmaFNjT2lZUjlJY0Z2T2JwMTRwUnpmbjhEYnU1MWktbGd6cTV5UWFLSXBtM1YxRnowYW92aWc?oc=5" TargetMode="External"/><Relationship Id="rId1949" Type="http://schemas.openxmlformats.org/officeDocument/2006/relationships/hyperlink" Target="https://news.google.com/rss/articles/CBMikwFBVV95cUxQQnhJMVFONEZKZmR0YzNrSUsxZlF2VHkzX0N6N0dDTGg2NXVmOGlScnhwXzhWMXZESUUxaElKdnJ3OTJMQmk5X2tDaldKM2UwNXpWbDF0YkpfdzQtY2V4ZUNYUEFWMWVQaFZqQXV4djd5bzF5U3VGZjVnbi16SGREWnNVUjBjYWxjSkxpUzRrT05kcE0?oc=5" TargetMode="External"/><Relationship Id="rId1950" Type="http://schemas.openxmlformats.org/officeDocument/2006/relationships/hyperlink" Target="https://news.google.com/rss/articles/CBMiwAFBVV95cUxPVlFMRWxNcjd3YlpQSjF3eGs0elB3Q1VySFdkc2VTclEzWVVpUVlhekw5OGR6aGcycWsyZFlHdl8xVm1RYy1yN2tWVnpKTXVoUjlYU3lxZlp4WFk5VGthWUVLVUsyRVItTTV1dGp1QXVjOWRfQzBkc05YcnpwLVNXZVo0RTFPWW1YQ2V5UFliMVdQLW5WT2JBeTR0Z21FY3" TargetMode="External"/><Relationship Id="rId1951" Type="http://schemas.openxmlformats.org/officeDocument/2006/relationships/hyperlink" Target="https://news.google.com/rss/articles/CBMieEFVX3lxTFA0S1pidkNRVVRUTlJmVTBEV01CdGc0cTd5MXUzcE04ZGlWNFlmNHBsbkFQLWVCSEx0YTdHRV9lSHVLVW9HRm5OSjZZYjVpTHRzdFUzVHlJUHdORXpoMWw4OGp5a3JIT3k3ckZ4Sl9LN3FHc09QczY1ZQ?oc=5" TargetMode="External"/><Relationship Id="rId1952" Type="http://schemas.openxmlformats.org/officeDocument/2006/relationships/hyperlink" Target="https://news.google.com/rss/articles/CBMi1gFBVV95cUxQaUpwTmc4Tnl1TlB6QUJ2X29qRm9nekNqSnNlTUkyVHVPbHI0UVp0MjU1bGk0QXltbkIta1pFR0RBSjlGeWVxWFVZZ2IzNXllQzl3aFBFMFMtdjl6Z1NzRlRhUEZoLWtNWENiaTZRTC1NbjR4SUNTWENSbUJJSE0tTG9aWEVoRVMyNnB4MVNPcmxMTUphdHJxcmFFc2hfZD" TargetMode="External"/><Relationship Id="rId1953" Type="http://schemas.openxmlformats.org/officeDocument/2006/relationships/hyperlink" Target="https://news.google.com/rss/articles/CBMivAFBVV95cUxPZENuTjA2bkxtcUFka3RVWVZaa1F3QkhWY0VPVmtLUjl1a1k0LXBOVGNqNHpxcHQ3eGtYS0tlQVA5RVJzVGd3a2VSemkzbVd6eVdxd2VXQS1wd1RYb0NvX1NZaXhUVXFZSlA4ZzVoQVpRTmtPQ2xPRDIwXzNYbEZTVUFrTmx5bXNtYi1BYTl4Q2hhUmRsRTNHTzFCOU1nbG" TargetMode="External"/><Relationship Id="rId1954" Type="http://schemas.openxmlformats.org/officeDocument/2006/relationships/hyperlink" Target="https://news.google.com/rss/articles/CBMi1AFBVV95cUxNQ1h2YThrU0ZDV1lnVkxIa3dMa3MyT0hEMWczTnhyNmF5TkJGVkxZZFpnWkJ2X21sWjV4N0pOZ09KZ0FaLWQ5MnpTWE11REZSOENtc3pOcDZjeWhnakNXa0kxUkVVMno3czlFOE9EbEVXc3NzeGZidm13Q09CTWxhOVJCdjB0emFaY2YzQ0dUZldPOXhPaldsWHJiZG9CQn" TargetMode="External"/><Relationship Id="rId1955" Type="http://schemas.openxmlformats.org/officeDocument/2006/relationships/hyperlink" Target="https://news.google.com/rss/articles/CBMibkFVX3lxTE90ZkxhQUphaU5faXYyQ2N4N0Vza1FSZ216eS1RWWpVaXp2T2xDVkFsTU5XNnhfM3VBZmRhYVFQVWpHR2d2UTFwUkhPeHF2c1RocGMtSkZGaEhKRGVBdmlrQWJ6dGR2SXFqN1FVWnVR?oc=5" TargetMode="External"/><Relationship Id="rId1956" Type="http://schemas.openxmlformats.org/officeDocument/2006/relationships/hyperlink" Target="https://news.google.com/rss/articles/CBMi2wFBVV95cUxQOTFQaVdHWm44akx3clAyM2VDcW96NEFSbmdnUXM4MGFCRU9qQWNnT195X1hFSmZ5Z0ZFMk1qWjhaeG5kSXNKWlJ6Q3ZVQjJiRms4WV9xSndSSHkyaFpLaGRhUGg3ZHJMSXhtVnJhLXQyaWNBT0RrTVZfSG5pdXFWdXpsWGFuVVN6MXY3ZjdHdlFrRWJJQnlid1JzNjVjbk" TargetMode="External"/><Relationship Id="rId1957" Type="http://schemas.openxmlformats.org/officeDocument/2006/relationships/hyperlink" Target="https://news.google.com/rss/articles/CBMiZEFVX3lxTE1hcTU5UkJ1MVdxUlJOZzRFajJOY0V3TmNSZ1A2b21FWGtJY3BuQlpOQzQ5YXJPSmZqSHBCLU1KSWFLYXJxR3NfbWtpajZ5ZGtxRi1nb2M3RDVwNEQxYkRJMTU2OTc?oc=5" TargetMode="External"/><Relationship Id="rId1958" Type="http://schemas.openxmlformats.org/officeDocument/2006/relationships/hyperlink" Target="https://news.google.com/rss/articles/CBMiwAFBVV95cUxQRE5aUkFZdl9sMHo1NXR1aEpwaENJTE56dmx6b0VtTEVyY201bUZqQUdic2dUbkJKMnF1U1RBMmJhQ3lKaEFUQU5RX0dvdjh3WkNVMXo2VkJPR3J0amJQVVpMbkYxbFlHdmY1ZTVTbmRWT2dGMkNXakR0VzFPRm9YMDYxQlowVUR0UWhFSXkzQVpVQ2l6YUxldmFjN25zR0" TargetMode="External"/><Relationship Id="rId1959" Type="http://schemas.openxmlformats.org/officeDocument/2006/relationships/hyperlink" Target="https://news.google.com/rss/articles/CBMi2wFBVV95cUxQOTFQaVdHWm44akx3clAyM2VDcW96NEFSbmdnUXM4MGFCRU9qQWNnT195X1hFSmZ5Z0ZFMk1qWjhaeG5kSXNKWlJ6Q3ZVQjJiRms4WV9xSndSSHkyaFpLaGRhUGg3ZHJMSXhtVnJhLXQyaWNBT0RrTVZfSG5pdXFWdXpsWGFuVVN6MXY3ZjdHdlFrRWJJQnlid1JzNjVjbk" TargetMode="External"/><Relationship Id="rId1960" Type="http://schemas.openxmlformats.org/officeDocument/2006/relationships/hyperlink" Target="https://news.google.com/rss/articles/CBMiekFVX3lxTE4ySUxNUFdrd053SGo1V1g2U1dQV1M0R3N4NW1vQ1JBUndkVHBVWV8wSzVBUWxzTFdZSXpuSVFWY0Rpbm9ZSlV2ODVwWlRUVkFrNmZkMmhROHpTS0ZyUGdDX0VZMkhfaXZ2eklmRXNHXzNaSm5sckVoQzdn?oc=5" TargetMode="External"/><Relationship Id="rId1961" Type="http://schemas.openxmlformats.org/officeDocument/2006/relationships/hyperlink" Target="https://news.google.com/rss/articles/CBMisAFBVV95cUxNVTQxRVlCOE1XbVRYeWhSb2FtWHA3MHhpYU9pMDQ2X2x2bFIzVndRZElSN0NXM2xTQlZ2VmYtSl9kS0ZJUkRjLXhGajR4LVlPY2ludHRWUmpoNE9WMTNKeUNuZ0o2MExZWGRaNlV0LWY0SU5NVENrN2poUFFTUlc5MXNtRkhxTDhDQlVKQUpXdHJFSllBZnFUNldxZTFmZV" TargetMode="External"/><Relationship Id="rId1962" Type="http://schemas.openxmlformats.org/officeDocument/2006/relationships/hyperlink" Target="https://news.google.com/rss/articles/CBMixAFBVV95cUxPZTZFMHExcjFwcWZ0VnJ1U0h5Z1pFSWROY3Nyd29tYS14RXF2d2M0LXM2RjBRbDlHWGZDUTAzcmRUd2FMRFFXOHZOTE1DNU00QnVLdl84T2ZzckgyLVN4OVlUTWM4UkhiRS1ZamxsMXlaVVVjRndXdWVud2NOclVWanJBRGpwYzNNSWhMUWYtVUZwb0g3NFJsNzU5YnpMV0" TargetMode="External"/><Relationship Id="rId1963" Type="http://schemas.openxmlformats.org/officeDocument/2006/relationships/hyperlink" Target="https://news.google.com/rss/articles/CBMibEFVX3lxTE9PQWJJZW9nQlhBU3RMbVR3R2l0SjFQVDRWcTl0NE1rWDJscGh3TTdTZXJ6ZXBDOEZEQlljS0R4N3pvTGM4MThEYnNkdjc3WWJmUU9YUjM5MER4Y2dVQkt4eE96RklNR0lXcDVoXw?oc=5" TargetMode="External"/><Relationship Id="rId1964" Type="http://schemas.openxmlformats.org/officeDocument/2006/relationships/hyperlink" Target="https://news.google.com/rss/articles/CBMiigFBVV95cUxNR1FqM202R0tPVUYzdFVwelRaOEgxVmp5UElfWVRkQUdERlNrM1lHWGsyUEduVEtEbHR0Y0lnYWpKYkJXTGRLVTNJRS13VVVuTzBja0NCVW5tcHBwUWVzTk5BSFhqY2NRLWJvNkJNYWZTaUJpMUQtQXJYNmYzd01NN052enhRZEJkREE?oc=5" TargetMode="External"/><Relationship Id="rId1965" Type="http://schemas.openxmlformats.org/officeDocument/2006/relationships/hyperlink" Target="https://news.google.com/rss/articles/CBMi7wFBVV95cUxNVTRuTWNOQ2ZKcUJ1cG9jYUE3MlN0RjJTTHVwWEhGaHFORjROWU9pcF8ybkl5bFZjeWFzV3pfWll3dXBTcmVLSENITTFwdWJBSHJXS1Q0b2lQVVZOclBOREI1OVN0Um9qaW5qMWJlbV9fM29FQk5nemVwSTh2Q2VmNG9nSmFDQy1ETXRXckRIU1JNVUxGam0zNWpGcHU1cl" TargetMode="External"/><Relationship Id="rId1966" Type="http://schemas.openxmlformats.org/officeDocument/2006/relationships/hyperlink" Target="https://news.google.com/rss/articles/CBMiYkFVX3lxTFBmWXlMTWJEcWFHZmN1UGhWMTVGdVVnWjRJMTdoSzVCSDVLUWN1MjRTUjNHYlpHdDNKMmxYMHotWXVlajVJNjBwRUFUTXBYam9xMGZqZFN0YU1iRWU0RlFWM0NR?oc=5" TargetMode="External"/><Relationship Id="rId1967" Type="http://schemas.openxmlformats.org/officeDocument/2006/relationships/hyperlink" Target="https://news.google.com/rss/articles/CBMibEFVX3lxTE00WHh6MktSekhTTnVzeE5jaUYtU3V6YXhMbHh6cTM2cXpEMWl0b2pVeVQwYlBlVEE5WGp1c2NKU0NmdmxQTHRpRkE1UDZySmJDcTBTdU5RR2s5Z1pzMFVCMGwtLVJTdlJiaTZXWA?oc=5" TargetMode="External"/><Relationship Id="rId1968" Type="http://schemas.openxmlformats.org/officeDocument/2006/relationships/hyperlink" Target="https://news.google.com/rss/articles/CBMi5gFBVV95cUxPQnZmOXFZRjFNUi1QN1VtMVJuRW1CUk5IX0pkemt0OWZJS1ZPWkppYktUNUY4ZWsyckcxcjlTUS1hSG5ZUzhMX2RVcXd0T3R0cnBkM2hwQ0llRzMxeV8ydDhZNDRkODhyZjBnUEhxc1RyRGpxZGtOTVppY2VtM1Y5bXdwOGtOd2tZeE9GLTdxQU5kREJobkp2UG9NekVTUD" TargetMode="External"/><Relationship Id="rId1969" Type="http://schemas.openxmlformats.org/officeDocument/2006/relationships/hyperlink" Target="https://news.google.com/rss/articles/CBMi0gFBVV95cUxQdy1OM2NWMDR2T0x5cEt6VVlSekRaWFAya1g1a1ZkUk5HOTlfWENSRDlJN2RaWl9UVVdSNHdySGd1SzFxUzRBOFB5Sm56NEFXU014U3FnZEtHMzk4alBJSWQxOHhNVFRpM2EzbXdVZ3BXRFR5TDFGNFRrZGpPOGU0RUl2OHI2czVYZXdoME0wTnZQQkhFLWF6X19WbGJkdk" TargetMode="External"/><Relationship Id="rId1970" Type="http://schemas.openxmlformats.org/officeDocument/2006/relationships/hyperlink" Target="https://news.google.com/rss/articles/CBMibkFVX3lxTE1XXzh1OW9JaFZqN3RiNmZiQUdSSXZYak42WlFRZTlVcEU3ejhGRlZRZXNMWjlYdjhqM1JLMmZXbzJna0xRVi1XSGREZ1gydF9YcEt1emhNQXV3b2tOY2dCUFdsSjRhbG1sYWVlUGpB?oc=5" TargetMode="External"/><Relationship Id="rId1971" Type="http://schemas.openxmlformats.org/officeDocument/2006/relationships/hyperlink" Target="https://news.google.com/rss/articles/CBMibEFVX3lxTE5LQTkwS0hEdUlheFc2aUV5WVVfQW9qdU1BeXZGUWRVSTJPb3o4dG1YVlU3MU1QRmNQSlBKQXRCRUxyNzdFWDNVUTJSc19KN051TU1DLThuQ3phdTV6Vl9OUVltaXBjYjZIRlp1dQ?oc=5" TargetMode="External"/><Relationship Id="rId1972" Type="http://schemas.openxmlformats.org/officeDocument/2006/relationships/hyperlink" Target="https://news.google.com/rss/articles/CBMijwFBVV95cUxNTDJPVkRuVi1FQ0hQcnB5S21MMzhhRjBYV09rZ19kRG5zSXg1ZkxYc091ZHpIWHh0ZFhKaTByWHJ1RGFpY1NWNGJsdnhld0JSUkhDRjBuN0ExQm5xb0FTNUx0cWxnSzB5UW15cW5zdUZrVC1GZVV1eDZuQ3VwRjEtOW84dlZRLWE2S0ExV0NzOA?oc=5" TargetMode="External"/><Relationship Id="rId1973" Type="http://schemas.openxmlformats.org/officeDocument/2006/relationships/hyperlink" Target="https://news.google.com/rss/articles/CBMibkFVX3lxTE11OE1PX2VndlQxbUs4ZDd6ZDNoUlV0dTB2ZzlZMnJaWHBOUzJoaUhwMU5OdGh6YlA0MGdsc1NIWmNRMGw0QzdrVDd4MEdWalFvNU9XbE80Qzl4N3pEc01kbElhaDg0bkdadlVJemtR?oc=5" TargetMode="External"/><Relationship Id="rId1974" Type="http://schemas.openxmlformats.org/officeDocument/2006/relationships/hyperlink" Target="https://news.google.com/rss/articles/CBMi0wFBVV95cUxORGV3UWxLc0RYbzFCZlo2ajhxS0JuZHNKSS1zMHRjQ0JpSk80SXRnRFZfTFVCc2NXcUpWbEdicURoRzlCUmlrdXhzZm5qNlBnOENYUWJOY3BIaDY0MHJnY3JIQ1NGcEphTG5sWFpScUNNRkJxQ1BzWTZYdmZFMktsdnMtLTJHOWJnSzNKNmdOOGlOa3FfLW1HNXF4RS13SX" TargetMode="External"/><Relationship Id="rId1975" Type="http://schemas.openxmlformats.org/officeDocument/2006/relationships/hyperlink" Target="https://news.google.com/rss/articles/CBMimgFBVV95cUxQcndaTjgwLXlLOC1QcTc2NnU2Q1phUkNTTG9TZlVZTVlZbklDc0N2d3pSTFExelNHeV9iMXdwZ2ItR0sxSlJrR3ZhUW44SVBSTzZGN1F3TXRPMFUzbklKWEtabVRKVEZBbnVpa0dtTWI1THR1cEhsYTQ5bGlrMDFHTTlBdlZxek0wQ2lfS1Uzd2VhTW1vS1YtQUNB?oc=5" TargetMode="External"/><Relationship Id="rId1976" Type="http://schemas.openxmlformats.org/officeDocument/2006/relationships/hyperlink" Target="https://news.google.com/rss/articles/CBMizAFBVV95cUxNd3FlWDl5c25zQnBucTFmRVpiaXpGZFZSRWdoSnREUk1hZEZ3eTk0S1pmU21udXNTckZaWFlSYnI2ZlJYQ0pWZEFVM2E2b29GQkNVT3VZNXpIWEM5X21WOVVEUWF0bU5OM3RsWlVTTGhVSXNiUEZaWnVaS2lyQnNKYjhJdWNjUExmSUh0SjljWmlMdkZ0V0VFNVFvQW1WQ3" TargetMode="External"/><Relationship Id="rId1977" Type="http://schemas.openxmlformats.org/officeDocument/2006/relationships/hyperlink" Target="https://news.google.com/rss/articles/CBMihAFBVV95cUxPMG8tbW5xWTRoN3h2cGlqWVBhYWYzdTBQaml2aWZNZFY3WHR2OXI5UkJMb0FpZ1kwcGdLcVRIbm1MY3RjZllfbV9rRE9td2h2MG92dDM2WDZYOXB1RnNBZlAzbFVVVG5ONGFWaW1mOUV0M1VNTHZjV0JueEJNRkNZRk03ZVo?oc=5" TargetMode="External"/><Relationship Id="rId1978" Type="http://schemas.openxmlformats.org/officeDocument/2006/relationships/hyperlink" Target="https://news.google.com/rss/articles/CBMibEFVX3lxTE9nZmM5SFhESUV1RUtjSmNVcm85QVhuWnlIakFlMEsyOVBHWHljb29UZ2JoWlJqZnRPNk1ybU9sc19OYWgzOW52Q2xpSlBZNFhrUW5tUHJJa2xXVXY2VG9leEloeWw2dnlNS0JkRg?oc=5" TargetMode="External"/><Relationship Id="rId1979" Type="http://schemas.openxmlformats.org/officeDocument/2006/relationships/hyperlink" Target="https://news.google.com/rss/articles/CBMibEFVX3lxTFBFbkJVT05DOHNkYWozdzkwSkpqWW0tejAzQXpqMkRFWm9ZdmJyOTRjVXYxQ3d5bjVMYVktcUJ5Qm5EUUROdzU0UEkwcUtiaXZhZFdGQjA3TGNxQmE2dElOS19jQkNidk9LRkh0Qg?oc=5" TargetMode="External"/><Relationship Id="rId1980" Type="http://schemas.openxmlformats.org/officeDocument/2006/relationships/hyperlink" Target="https://news.google.com/rss/articles/CBMivwFBVV95cUxNUVlxeUFZbUd4ZHVpOHYyWHJmZ2xmTTdGaTMzQjl4SXRtaWxEaFBzOTJkYWMxS3F1ZE9aU3VfODFOaU96ZkhOWjNCVVczN2JoejI0ellZdkh1RldjNEtVMUxOYTdaczMyQ0Z4TVZib0pFZlZNODBnYUlTTGJNYWJWV1VzbDZGcmxBTmttZHBWSl9wR3AzN2xtV0lmMzNNVk" TargetMode="External"/><Relationship Id="rId1981" Type="http://schemas.openxmlformats.org/officeDocument/2006/relationships/hyperlink" Target="https://news.google.com/rss/articles/CBMiZEFVX3lxTE51TVVRbEg5NXJIczBDdkh5dFVONUNFQkdpWEYyNVJPN0VDc2tMYWRTa3VNOHY5dWtBVU53YzlmNzlwWjF2VmJLampoRDVNbkw1b0o5dmpEQWFmOHJILVRISlktR1M?oc=5" TargetMode="External"/><Relationship Id="rId1982" Type="http://schemas.openxmlformats.org/officeDocument/2006/relationships/hyperlink" Target="https://news.google.com/rss/articles/CBMiV0FVX3lxTE9nWktDTmYxOVFwTEpaT1B5ZVZ1RUxzbEsyQ1o2ZUk5N1BzZUtwUHl0Ty1JNkM1dTVmVUViUm1tTW5TMFlZVGw3VVRpUzVJY2V6YjRGblBPWQ?oc=5" TargetMode="External"/><Relationship Id="rId1983" Type="http://schemas.openxmlformats.org/officeDocument/2006/relationships/hyperlink" Target="https://news.google.com/rss/articles/CBMi1wFBVV95cUxQanJTZFZjMERmVVhhWThfVkRwbldCQnVLYktyWjlyc0N6QTRzX0Fqbk94OTdaYXo0eVNhanVtd2RuZ3ppSXgwLWZES0dXcV8wWWlTTTcwVDdJZVRHdUpwTmJ4RXBXcWNHcXdDMko0MnBreFZuS0lZT2hoQWVSeE1sYjF5eS1XTC1PVGlwcUdsSHkwTHVPU3BQMnFVS2V4b0" TargetMode="External"/><Relationship Id="rId1984" Type="http://schemas.openxmlformats.org/officeDocument/2006/relationships/hyperlink" Target="https://news.google.com/rss/articles/CBMiuAFBVV95cUxQUTJHNGtwUk0xbHlFanNiWHNSRlQtdDQtU3k1VURmOU9LQkNlaWlhRzFTVElzUzZ3c2hkZm9PTDQxQTBoYzFBV3JMVFd5Tl80dFVKTnBUdnJkeEN5ZmpnS0tnYVI3Ti0xSzRSRWN1WmpfcFJWbHZ5dUZQQmJjQnl5YW1ibnJVY2huMGdxTXdSZFZMSk1XbEM3ZUVtZng0aX" TargetMode="External"/><Relationship Id="rId1985" Type="http://schemas.openxmlformats.org/officeDocument/2006/relationships/hyperlink" Target="https://news.google.com/rss/articles/CBMiygFBVV95cUxQcmkySVdSZGxmLWZ6QjViZUN4dHhOc1NmZ2dPa1E2RWhlNW56NE9PWEp0R1hseVZMZHZab1AtanBNUUdxTld1enZUa3pyX25wbkdrN3p6alNxWHVMNmdrdkxIcGxzb29VdjdsMzlDZ0N1WW80R0NZMG9odFo0OVBYMHBUcFNNb2JDTEl1dHZkbnM0UzRZUDVfUFloWEhtX0" TargetMode="External"/><Relationship Id="rId1986" Type="http://schemas.openxmlformats.org/officeDocument/2006/relationships/hyperlink" Target="https://news.google.com/rss/articles/CBMiyAFBVV95cUxQVExULXVDbVRqdEZNRHZ2OVoyRnRaQ0VrZ0VHb1pfZ1J0a21CX3NQdTFEcXQwZW1WVEQ2X3hHbm9GV1ctOEVobFFvOHdEVGNuMVBQMU9fWVRlWG5CblEyeVhTOTlROGpmSm02MWw1TDV4SjROQzJZeC0zd0lIdDlrMlZKZ1lZU3Y2ZlU3Q3c0aWJYUWxfMlRHWVExWDRYT2" TargetMode="External"/><Relationship Id="rId1987" Type="http://schemas.openxmlformats.org/officeDocument/2006/relationships/hyperlink" Target="https://news.google.com/rss/articles/CBMibEFVX3lxTE1xTTYtcXNyekN4ZDJ4V3VlSVRDTGc3YWhXQkNVN0swLTBCU2pSOUZVc0VsTjBGUzJEMHVKc0xUYVB6UzNnalNTMHJIeXVNLUp0RHVSTE1jNDNRX182SVNESVdhaUVPSVRBTEV1QQ?oc=5" TargetMode="External"/><Relationship Id="rId1988" Type="http://schemas.openxmlformats.org/officeDocument/2006/relationships/hyperlink" Target="https://news.google.com/rss/articles/CBMibkFVX3lxTE40TEFHVV90M3ZIM0gwVEE3MjdJZzFKRzNFSmlKUkpnQWtUSkJTeDFDZW1OYWZuY3JBdXFYTUtXdFktQndGaXlRa2dmTEhsVTNmcFRMcF9mRmxHUGp3YmZoT3RlT21SZjZ4SHdWM193?oc=5" TargetMode="External"/><Relationship Id="rId1989" Type="http://schemas.openxmlformats.org/officeDocument/2006/relationships/hyperlink" Target="https://news.google.com/rss/articles/CBMibEFVX3lxTE8yZkRwdXpKX3lGclZBZ2lZYnQwV1Y3RlRvNnp0VFJIeEZUTFl4ZlBhSTVITkpZRC1TLVNFUmpDdV9BdmhHUUh4OERSbmM0elhzWXNpTnlKQVdBbHVoZWtGd0I1amN3TEQzTkxPcg?oc=5" TargetMode="External"/><Relationship Id="rId1990" Type="http://schemas.openxmlformats.org/officeDocument/2006/relationships/hyperlink" Target="https://news.google.com/rss/articles/CBMiZEFVX3lxTFBCdDdOZzA1aTViZUVXQmlxVTQydTdqaGliaVVSOThuYV9qLWREdXF5SkNmUkdybGIyS0hxMmJGRmtwNEQtbVBWNnN5a01ncF9BX2FXMU5VNzN6clpRTXdrTjNJaDc?oc=5" TargetMode="External"/><Relationship Id="rId1991" Type="http://schemas.openxmlformats.org/officeDocument/2006/relationships/hyperlink" Target="https://news.google.com/rss/articles/CBMibkFVX3lxTE9SQk1nblZVXzhDaEVUam1SSUotSVhiRWdGZlFnd19ncHNHX1BGYzgxamtuU2wyUEtmWXpWSlNucXJrY1doRnhpeUF1QlJPdzd2WUh2QXY5OVJtNzM0eTVJMGdqZ0FEanNWRFVNT3Fn?oc=5" TargetMode="External"/><Relationship Id="rId1992" Type="http://schemas.openxmlformats.org/officeDocument/2006/relationships/hyperlink" Target="https://news.google.com/rss/articles/CBMid0FVX3lxTE9KOWRPcHlJeGloQUJ0Zk1BWlBwN3NEbTlLWTdtWnF4VGd6QjFJb3JKSUFHcW1qZkRGZzJySTl4RlhyMVFNNFI0ZFBDQnNtOWhxNEMwdUxwVTVDaEM4QnJkSVhjelJlQ0dvUlJyR2JDSy02SUFLYkNn?oc=5" TargetMode="External"/><Relationship Id="rId1993" Type="http://schemas.openxmlformats.org/officeDocument/2006/relationships/hyperlink" Target="https://news.google.com/rss/articles/CBMilwFBVV95cUxPcGlPMDZSbGE0a3BoaE5hbVpTQlVERklHaUtCblZDV0s0SXg5c3RPYWgxT1QwZjl5VDJOUWZNT2tSWnAycGtGQi1IbTc5NS1uNV9RWUx2dkxEY1VMRUItTDFlZTVHZlhhOXZWY2dKb3BuZVBaTk9UZTNZZ1lEa3RSS2lIczNCWHJlSUJUVWU4RUVNcndtQXNN?oc=5" TargetMode="External"/><Relationship Id="rId1994" Type="http://schemas.openxmlformats.org/officeDocument/2006/relationships/hyperlink" Target="https://news.google.com/rss/articles/CBMibEFVX3lxTE5KV2xMSnJoQW9oZ3pmVXFHTUFweEZDUlFFYkdrSVNVUVd5Q0x2Q1B3cElTblh3cFI1OUFMS3dBMXBoSU1tc2xJT2MxMEhrUm1kMHhQUG9PNVpQSnVfMVRyWE5KT2V5c01xTFJnbQ?oc=5" TargetMode="External"/><Relationship Id="rId1995" Type="http://schemas.openxmlformats.org/officeDocument/2006/relationships/hyperlink" Target="https://news.google.com/rss/articles/CBMikwFBVV95cUxNcFM4WEZ5a0l1dV9OYUozT25jaGduUldabm1zNVZQSjNLSVBZT2ZqTUlWOTlmNi1haG5wc0JRSk85YWE3TGZ4Zk9SZE9NSjNKV2RCYVdZaEpzSVVqb05FNkNKQzNQLTZEbWRFbUdWQWViTElkZjlSWm1qeGNzTF84cWhCWFNOWDQ4ME91WjJlV3FHLUU?oc=5" TargetMode="External"/><Relationship Id="rId1996" Type="http://schemas.openxmlformats.org/officeDocument/2006/relationships/hyperlink" Target="https://news.google.com/rss/articles/CBMibEFVX3lxTE80SFg4Ni1MNWZJaWVlQlhNWC1kQWMtbWxZUzVVZEhaSXZNUWh4YkNXLWhwTGJiQmo2dWkyVEVlUkswSWhjNjhidUx3VUpDSG5YUDhnNEo5TjZ0ODAtc2FqektUbmZTSG5oQ3dJMg?oc=5" TargetMode="External"/><Relationship Id="rId1997" Type="http://schemas.openxmlformats.org/officeDocument/2006/relationships/hyperlink" Target="https://news.google.com/rss/articles/CBMiyAFBVV95cUxONHBQTXBmbnFRZnY5VDJPemdJREpOcjBYQUNja1BYeUJQZVBzUXdxMzh3aE1GakJCMDQ2MWdHb01Da01zUXA1MzM3R2tINllHRnpUelpfZVdtRG9SdTNhb1otVEREeHdva0FBRmNERXhGNFFRelpGYktvMWRWd01Td2MyS080b2t4NERFcnJiUEZ2ZnBsZXVpbmRYcmZ6cE" TargetMode="External"/><Relationship Id="rId1998" Type="http://schemas.openxmlformats.org/officeDocument/2006/relationships/hyperlink" Target="https://news.google.com/rss/articles/CBMifkFVX3lxTE1uemctcGRNaGdQSGdGQVBZTjJ6bjNaMWYwSDVVSlo5WlpFMjl3aHBiY3R0aktQVWk4SS1JVnluRVNtYm1hYkVuWWFxdUdPbjdhUm1mYXNTMmFMdmJfX1JIUjZLT1k5YkhnQkV5cTE0TXZreV92cUlBTmQxZU01UQ?oc=5" TargetMode="External"/><Relationship Id="rId1999" Type="http://schemas.openxmlformats.org/officeDocument/2006/relationships/hyperlink" Target="https://news.google.com/rss/articles/CBMi2AFBVV95cUxOWXJ4NXFzRmExbzVqbjRBblB4NEpLVE8tMXVUTUk1c1FBRFE0WkJ2dHNIeTJmTXVwX2VzNldTUEFnXzU2WVp2WXU3RHlCSGJxNU52OHRfRW5ZclJ0S1E1VHJ2bVdjeXBxTXVNdmkwUVVXT3NoaEJFVFVaaGZiVUdSUGozdC1yNE9oYkVTSTZieHVzN24teTc1U2oyOHFMNF" TargetMode="External"/><Relationship Id="rId2000" Type="http://schemas.openxmlformats.org/officeDocument/2006/relationships/hyperlink" Target="https://news.google.com/rss/articles/CBMi1AFBVV95cUxQdUNqeUx0cXlXN1k0Zk13dkRXNy1nc2FIdEJNbXBqUUtGZ2dwcUtfSmx0a3hxRW1YenZPR243MEdpOGVRcFFoYldlZzg4Q3M2dlpQcFB4TTRKdUdSa21fUkJFdGlvWUJoSUxnc0NiOTRhM0luNDBrUWNHZUNLc3RKaTRkVXhQSnBUUm83bWkxU2tSTWx3VzQwaUNzYUtnVF" TargetMode="External"/><Relationship Id="rId2001" Type="http://schemas.openxmlformats.org/officeDocument/2006/relationships/hyperlink" Target="https://news.google.com/rss/articles/CBMibEFVX3lxTE8wVWJkTFZGLUt2Tzd0RHczUTJQcXBIRi1PUDkzUDdzSlFMbWZMQ1NhTE9GaFpEd1RIX0cyR0thbGoxNk9hUlctUFc2c1I5YjlsMWIxdURCOUpTZlRPLW1qWnFFOXUzVXJpR1VxWg?oc=5" TargetMode="External"/><Relationship Id="rId2002" Type="http://schemas.openxmlformats.org/officeDocument/2006/relationships/hyperlink" Target="https://news.google.com/rss/articles/CBMiqgFBVV95cUxNZUtuUzc4NWJMbmxSYVh1dWVBSVlrNHRVcHhQMjZHR09TZG5kaElyWUY2QWZRNU52UGx5RHgwOEVLSVlUSzZ3UmsyU1kwc0xlV2hwMGxiZ2JZUXRFRmRycWJKcmRQQ295d0JoSjVvV3ZTUzV2TFgtcUxWWDc4OWhISXlORGtGVXRXS2JFTG56ckM1enRxMFAwbEtGQmdWNC" TargetMode="External"/><Relationship Id="rId2003" Type="http://schemas.openxmlformats.org/officeDocument/2006/relationships/hyperlink" Target="https://news.google.com/rss/articles/CBMivAFBVV95cUxPTmhlNVJ0YV9DNlJaTWlBcG1XRjJwVi1IU3pyX0x3ZXQ4aWtSWVIxdnlMcjhIQmlwZ1Jfa0txWUJobWRULXdJT0lPTmxfR25zMVdHc3M2RmhCMHMtTGE4MzFUYWxlMDlFRjBRR3piZ1ktWnlsY1RsN1ZVQkFnajV1TTFFa090Ni1oM3pQd1gwX21ZWXZ3dUpsWDdkSElTMV" TargetMode="External"/><Relationship Id="rId2004" Type="http://schemas.openxmlformats.org/officeDocument/2006/relationships/hyperlink" Target="https://news.google.com/rss/articles/CBMiowFBVV95cUxQY1lSLWE2eHdFNGNGc21vbWJESUpfd3lOSHZDYkZmcUE4dFp6ZU53eGRtbVJxa3J5cy1IREpEc1BpdWVXRF9OR2tuT2FmNmZOa2hyS21idnhxNm1uYWEzbGFLdVZacXV1dnMyenVzQVk4cDRlZ3NXUVpqMmNlQVRVVGZXb1VUVkxrUkZlR1NzcWVtaWZLZFJrSzNTYlZsYX" TargetMode="External"/><Relationship Id="rId2005" Type="http://schemas.openxmlformats.org/officeDocument/2006/relationships/hyperlink" Target="https://news.google.com/rss/articles/CBMiuwFBVV95cUxNOFotYWpYS1REaTg1dlVWa2JDNmU4ZzBocFRXM1V3YXFHWHprb0c4ZVBWY2lVanJYSFRKRFVVRzh4MktDZDhNcHh0b18xTWtIVmV2bEJGbjBrUXhNeE1Dd1NRVzBUYXJUSjZYVDBJTHZ2WFhuYWlzazlsTDZXLUxBcll5VVRFM2xYamI4WG4tdDc4Y3ZBQ2lVMjVONGgtb2" TargetMode="External"/><Relationship Id="rId2006" Type="http://schemas.openxmlformats.org/officeDocument/2006/relationships/hyperlink" Target="https://news.google.com/rss/articles/CBMiuAFBVV95cUxNTmdIU0w2ekpYbVhFMG1YcjBUVGJpUEJ1OU4tejROenkxNTJQc0JaLUI1Y0VJTjJ5c2l3dkZmM1hWZEQyb1R6X0Q3R3VzQjhOUnNEaU9fa3MxUnExTmxrQWRIenpJcnVEMmZKVDdvbldCSDVtS0ZqYzN4M1REcmJFOXUwVF8tMlFYYW1MUUlaTUNacldXNExZTmFmVzc2NE" TargetMode="External"/><Relationship Id="rId2007" Type="http://schemas.openxmlformats.org/officeDocument/2006/relationships/hyperlink" Target="https://news.google.com/rss/articles/CBMieEFVX3lxTE0yTWw0NzdWWmJKeDlyT0h1aUNlME9mbThNWEtnMS1xbXdnRUc1cnMtc2xmN3NIendxYnd0NEVrR3dPV3lvSF9NU2VMSWxTdnYtSzBwNVRQck05cDYtM1d4ZXcyWEVnYk5MSUVSOGxLSXJDSHFWaHV3Qg?oc=5" TargetMode="External"/><Relationship Id="rId2008" Type="http://schemas.openxmlformats.org/officeDocument/2006/relationships/hyperlink" Target="https://news.google.com/rss/articles/CBMi7wFBVV95cUxPLVREQ3dLcTlTZ0hpc1lWYWxrbEJjTlZ5NndyMDlCbEhLNDh0dnk3YXozd0tGdmV1TEdpX1lyM3dCRkFxdy1JaXdKNm83VFFDMUlVSWVZZ2FTNGZCallueklxY21jYURDaTYyT2FUQkNKeDhNVXV6WjBNRXl0RHZZMnBJVlRSb3pYLVhxNmtONTVZamk1U2FNTlltaFIzQX" TargetMode="External"/><Relationship Id="rId2009" Type="http://schemas.openxmlformats.org/officeDocument/2006/relationships/hyperlink" Target="https://news.google.com/rss/articles/CBMibkFVX3lxTE5YMjg2ZkpQTnFSTERDdGYtUnhobDVzQTVncXVQSVpMNlB1dk05UFBJNUZtVU5jU2J0bU5OcDk2cVdUX0oxdkFydEczZnZYZGZWTkxadlJFTWRWT1NVMmRWN05OZUFDelU3UFh6V1h3?oc=5" TargetMode="External"/><Relationship Id="rId2010" Type="http://schemas.openxmlformats.org/officeDocument/2006/relationships/hyperlink" Target="https://news.google.com/rss/articles/CBMiyAFBVV95cUxPT2lKS0FkR1V3NWM3WkVEZHZwNmdXZnUwZ3NYc0EtX3pFSHlxMXJGU1NiUm0yUW5GdXZZSUlMamdGMFJYVURXMURUaVA2OW10U1hGLUxkUHloWjNUNGh1bVo5VWQza2lIeUkzUVQ1QjZQbHRpZEpYMXZRUE1MVllBMkZJM0ZleWl2dHBpWmVuWEpaUFdRaTFwM2NQYUVEUE" TargetMode="External"/><Relationship Id="rId2011" Type="http://schemas.openxmlformats.org/officeDocument/2006/relationships/hyperlink" Target="https://news.google.com/rss/articles/CBMivgFBVV95cUxPODd6clduYkpKZXpZdW5TbFNENF9JQkFYQWVubjlQZU9OWmRiTUwwQzN6MXZhM0ozREx0Q1lTTjViQUhsTkw5ZUdaVHVaQm9wb1lQOWxOVWpjWmdwWDJCck5neVlqMGpUS1pyZjNPelotU2RMSDdvYURxVnY3SmNQLVJjV3J3azhwSVFwTElMV2RjLTRTdFgwVm05OWRpX0" TargetMode="External"/><Relationship Id="rId2012" Type="http://schemas.openxmlformats.org/officeDocument/2006/relationships/hyperlink" Target="https://news.google.com/rss/articles/CBMifkFVX3lxTE1USWh3SzVYbEhRR0p5UFRzUFlZVjRWbEdWRmJDN1YtcEJ0SUpzd1JWaGNqZUU1WTJJZGx3UXdWVFRiaWlMaThVTkpPWU9BcHFpYmlhTmRVdDRPWkhsd25SS3p5b20tVHh0MlEteVViZjQzODJZX24tZmJpOHlqZw?oc=5" TargetMode="External"/><Relationship Id="rId2013" Type="http://schemas.openxmlformats.org/officeDocument/2006/relationships/hyperlink" Target="https://news.google.com/rss/articles/CBMi0wFBVV95cUxPMUNKVngyaUtRSlVkbHJjOVZxVVFQYkN3VGs2Qkw4azdKeGx2WmJBRWlBbVhVZC1QeGdRdkgzZGRWcVF1Um1pTG43ZFVURkoya1E2c2tON1lPQ2M2clpBSFF5NzVfdFBaMFd4X2ZEQjlYMlBGS2M2YkNueGRPMm9JU1dxTjJOdlFHaXo1WlBKcFV3eVF4aWczeE1BTDJRQ0" TargetMode="External"/><Relationship Id="rId2014" Type="http://schemas.openxmlformats.org/officeDocument/2006/relationships/hyperlink" Target="https://news.google.com/rss/articles/CBMipAFBVV95cUxOR25WNFhCNkx5cGg4UnRzSmw0Z0tDeEM3UmpKbTBQaU9xM1RidzQyTEZfajFoZWZsSmExdElwTi1IRE5DVHZxUW9wRl9QRWR3UEFmMENCZ3c3SnFoQUl2UVlDZk9IazJ3R3FKeHNmQ1ZPeGZEUU9PYy0xczlMLTFoOHJsblZySkdjanR2RWFzZkZWcktmSGlVZHFqNjhYOU" TargetMode="External"/><Relationship Id="rId2015" Type="http://schemas.openxmlformats.org/officeDocument/2006/relationships/hyperlink" Target="https://news.google.com/rss/articles/CBMieEFVX3lxTE5yLUJLdENJQW9VUUV2V1VHNGJpSGNZVGtqeE1ucENZUXVhZFU2NmZMQjY0Smc5VVU1aUt2TUZmOTctaHJodTdCaG1QaEdRaU5zWG01blVWcm52cUI5ZnhHN3AzS1JmbEliVmtHSUpBVmxZZXJEcjg1cg?oc=5" TargetMode="External"/><Relationship Id="rId2016" Type="http://schemas.openxmlformats.org/officeDocument/2006/relationships/hyperlink" Target="https://news.google.com/rss/articles/CBMibEFVX3lxTFBrTW1GcUlpMERCbXdFdVhSVnNyUzJhTWF4WXJYOTBTNGNzZXRsQTltcjMwRGVCQ1dVRXEtYVJqNGJWMUhibFFjOXZMdHpLRndoN0NuRWl0SWVfOHdpYm80UWx0dlJ6b1ZhTGtpTQ?oc=5" TargetMode="External"/><Relationship Id="rId2017" Type="http://schemas.openxmlformats.org/officeDocument/2006/relationships/hyperlink" Target="https://news.google.com/rss/articles/CBMibEFVX3lxTE00RzJTVDlNd01KOTRpc04xRmtlVEZmYXJoeU5mZHN5MG9PYXJsekNNZkphVGZLeGZQRnRrZElpcGVldzZNdnV4T3Z6em51WjNsRzR3U0lOTEgtZWF4QVNQODZibDdwbGo5WkhsZQ?oc=5" TargetMode="External"/><Relationship Id="rId2018" Type="http://schemas.openxmlformats.org/officeDocument/2006/relationships/hyperlink" Target="https://news.google.com/rss/articles/CBMibkFVX3lxTFA5NHY2YXFpU2hjTXFnTm5lbU1yMlU0RDc2cDZUUW9QdnhpWXItM2dGRGtmZnYzakJtU0JiblZCdWFRbzIxcmF6OGx2OGd0RXBwTmg2X1ZEQWUyY0dVclZoajgwUjNtWHlWRVhCZWJB?oc=5" TargetMode="External"/><Relationship Id="rId2019" Type="http://schemas.openxmlformats.org/officeDocument/2006/relationships/hyperlink" Target="https://news.google.com/rss/articles/CBMiswFBVV95cUxQY3lRTG5OV29HTzFIMFF5cm1nazZ0Z3ZUWkhmQ3U4N1B2U0t1NUluTlBFUWNoWS1nT3JEUHV3Qm5iMkZDY3NaUl9OS2hmWXlJOVBfTjgtQllNYlFHOFdVOU5pa29ObGFfN1dNcGJVNXRIS1hJU0dsTjJmV09yNG95YlVBVDRienVMYVJoQkh5V09pUHVCaTljanl5SmJIV1" TargetMode="External"/><Relationship Id="rId2020" Type="http://schemas.openxmlformats.org/officeDocument/2006/relationships/hyperlink" Target="https://news.google.com/rss/articles/CBMi7AFBVV95cUxPSEVzTHFHbVdUODJMX1I0dVQzQ1BvVUdZWkRLWjVUX1Y0YlRmdncxQ1laekY5bjR3Z2J1WVRYeWhjY3o0b01UTFdZOFU4SkU3eHNyVGJDZFotMjdjdm4yZUxaRjVWTTZUZ21OQVh3NHQzdlVyUDJIMTBMcDdMNkpzdGZvTWhNbF8xN3ZqY3JsbGVqR0hFbTVrRUZ1MUpJbz" TargetMode="External"/><Relationship Id="rId2021" Type="http://schemas.openxmlformats.org/officeDocument/2006/relationships/hyperlink" Target="https://news.google.com/rss/articles/CBMibEFVX3lxTE05Y1E4YXhoc18xdzhmVUc2eVkxdFRuYzZibzFfRndod2F3dGlGeWxfUWR4LVdpTU1JYnd0NzBwMjliT3VWbmhTcVVlLTZXRXVkTHp0RDhnQUM2TzlrTGRlZHpZNjNfdDVCaHRIMw?oc=5" TargetMode="External"/><Relationship Id="rId2022" Type="http://schemas.openxmlformats.org/officeDocument/2006/relationships/hyperlink" Target="https://news.google.com/rss/articles/CBMizgFBVV95cUxOSkNWRjNvbV94WGwtb3RJMFpvUFJlSlNEVDM3UGxUV1padzJmdFZVbUlCcExUanA4UUZKSzhEdGlQTXduc1UxcVczSXQzMnM3VEI0bXpEUVgxOFM0ODVoOGxHUU9XcEx3Z0tmbjV3ZzV1VGtfTkdWdkJSX1M1V0lSMEtGdnphNkhLQzZ4X242d2lnekpTLUdzdGRMcmt3NE" TargetMode="External"/><Relationship Id="rId2023" Type="http://schemas.openxmlformats.org/officeDocument/2006/relationships/hyperlink" Target="https://news.google.com/rss/articles/CBMibkFVX3lxTE9FVFpZY1hMdUxjTWJTMWd0WUdmU0h4cjdJTkhaMVB6b1Azc01yTjllX0hDNFVKam1oeGluUzRYMXJBLVNJaVo0b2NyMkgzTHdUZlRZdWpGdFpDcXNldlh4eng3UDNoU2pOdGxsWHJ3?oc=5" TargetMode="External"/><Relationship Id="rId2024" Type="http://schemas.openxmlformats.org/officeDocument/2006/relationships/hyperlink" Target="https://news.google.com/rss/articles/CBMiwAFBVV95cUxPbDROVXF1RlVkZmJ0aEpzNEZrbjZKdm5Kc1RFM19TSmhMdU12UmhRQVhjeGtQVjFjMkk0UGd0cXcwYVpSZUNRZktLM3lxVnNVNXRTcC0yLWJpOGZvWWtKS2FNSnZPaTJTT1VLVFJDbmpnSHBsWEZtN0xkOWotVDFYcHJJZTF3OXlSM0JKclg2Y0JUd0pLYUdrN0F6TW55MG" TargetMode="External"/><Relationship Id="rId2025" Type="http://schemas.openxmlformats.org/officeDocument/2006/relationships/hyperlink" Target="https://news.google.com/rss/articles/CBMinAFBVV95cUxPYUpLd29jN1BsMEoxXzNKZ2Z3N1lqSnJPV3I3cmpydnpzQWRNMk14N1dqU3hWTUJQSnVHWWVMZUlHbzlxOTd1ZzdfY1pPVzZmWjVYbDc1Y0tmbTRiM0x1cnpSN0F3UERfbk5USDBtcGxXQ21td2YtZlppZndLQUhqczNaSnpXTVNOemlJNUdIZG45V2VGREVobG8tWnk?oc" TargetMode="External"/><Relationship Id="rId2026" Type="http://schemas.openxmlformats.org/officeDocument/2006/relationships/hyperlink" Target="https://news.google.com/rss/articles/CBMibkFVX3lxTE1BZ24yaVQxRlNTeVBFbDkxSmRpOXItTlZPR3o2Y09nNmV6ZWdQZ0JaNVc1cHZvUHZuUmItVTRyYVFWSDdqWkJpQ1dQaTJSYWNlS0c2VkVnLWVxUkZEUG14bVpweGZEZjdmaE5QRjhn?oc=5" TargetMode="External"/><Relationship Id="rId2027" Type="http://schemas.openxmlformats.org/officeDocument/2006/relationships/hyperlink" Target="https://news.google.com/rss/articles/CBMiZEFVX3lxTE12YlB0LU9YRXhSYXN5UkNaVUpMVDVSbkhQeFlWcmZsRWZhSjlfRG9LRlk5aFVHZHJEcU56dHlXUEtaVF9uZ3U3Rl9XMmNpYVRrNFQxYVNOclh1aXVPeUdfQXpzNEc?oc=5" TargetMode="External"/><Relationship Id="rId2028" Type="http://schemas.openxmlformats.org/officeDocument/2006/relationships/hyperlink" Target="https://news.google.com/rss/articles/CBMibEFVX3lxTE84cnl3WUpxb1lsSjNoYUx6NWlWTHdpNGdVMXdSS3V4TldmMzdSUXlSbDdmajZKc2dERW5BS3BPM0pHNWdIVmg3OFM0NlI1MjJxdGdsdTZNaDZTZnBUX3poZ3dNTlZnbzdnSFpwSA?oc=5" TargetMode="External"/><Relationship Id="rId2029" Type="http://schemas.openxmlformats.org/officeDocument/2006/relationships/hyperlink" Target="https://news.google.com/rss/articles/CBMibEFVX3lxTE5xU0VtTXBYQkgxcmtlUlYwaWwzZU1rUTVOajdlSW9kOEMtVjdZdmExcnRKSFVqclk1WVpWZVp3LUtJQTFjRkhwb2NVS3NiLXdGYmcyR2szQlFWdTJWVENMY1VlbUJJY0ZQYk9kMw?oc=5" TargetMode="External"/><Relationship Id="rId2030" Type="http://schemas.openxmlformats.org/officeDocument/2006/relationships/hyperlink" Target="https://news.google.com/rss/articles/CBMijAFBVV95cUxPeVhWQzhEaEpMOWMycXBPWkNEOUhaTXpfTzF0ZFNXRXR0THlxZUhWSHRzNnVMODhyUHZKQ0daX3lEQk1BNC0wd3V0Q0JvNlpkdHBJVXBBbzhES2pGenNQcFNZdDhmZ2Rob2k0YTY1ekFhSDlMb0VkTFdjZVRlcTIzWlJCN2I0UmpRV1R0Rw?oc=5" TargetMode="External"/><Relationship Id="rId2031" Type="http://schemas.openxmlformats.org/officeDocument/2006/relationships/hyperlink" Target="https://news.google.com/rss/articles/CBMibEFVX3lxTFBRNnNCSDlfVVU5bUM3T3MxdkJLZTd1Ukt3djN6cnp5M2NBZUtReVg5SXJtdVRZZXNudVhOMV9fU2sxYjd6azZJdmxpQWtVYmJTdjR4NWdfQ0tJRVdFUXVWTDV0VWFEUENTcXhFQw?oc=5" TargetMode="External"/><Relationship Id="rId2032" Type="http://schemas.openxmlformats.org/officeDocument/2006/relationships/hyperlink" Target="https://news.google.com/rss/articles/CBMiuwFBVV95cUxPdFZUNGhzaVJxMVNPdGVRMTF2ZHVyUzliYWx6ZWhlWEtZOFZSVHRwT041aWZYRVdrQ0RFMzJ1MFdsNGlZek1Xemp1QzNUNmQ0Q3lUZWlwVmwzRVVCcTFxa3JnanRnTmpGUk9SYmdFb0NzNGhpZzJNOFpXTTdzMWhXMGVUNTdsbEFzTDl1bWVPMVQxWlBrOXhFekZiMEFTZl" TargetMode="External"/><Relationship Id="rId2033" Type="http://schemas.openxmlformats.org/officeDocument/2006/relationships/hyperlink" Target="https://news.google.com/rss/articles/CBMibEFVX3lxTE4wSHV0VVhRYktGSmRTcEVXMzlneFNfQ1JBNVQySlYwNWlQdFQwakNmbkF3R0xQRGR3dUNIWXdELS13OWMydnNxQWJLOGxhNjRnOHk5ODJzeldkRU5tTjE5dU1MTkxqWm1FTmw4bQ?oc=5" TargetMode="External"/><Relationship Id="rId2034" Type="http://schemas.openxmlformats.org/officeDocument/2006/relationships/hyperlink" Target="https://news.google.com/rss/articles/CBMibEFVX3lxTFA2c1dSSFFSazB6NWs1UEN1TzlxZE9HcHZzbUptVnZ5MDExMFVpYWp1Wlh6RWFtSDJVTVpDTjFhcDNqNm9IMElkbE9IbFZ6ZXRfV3dSZnJRSDhRNU9YVzdrU2lydXJlZjM0d19rcA?oc=5" TargetMode="External"/><Relationship Id="rId2035" Type="http://schemas.openxmlformats.org/officeDocument/2006/relationships/hyperlink" Target="https://news.google.com/rss/articles/CBMivwFBVV95cUxPUlBiZ1kyWS03cUhLQ1JhLXFleFJRcmxnaENLVTNybW9WaC1CZVhzNEkyMEZJQ0F0cmhBTVp2dWZqY0Qyd3h2OElSR2dJQkI1Mm9DeEx5VlRMSFFKRTBlLVg1eldmMTJDSDhmWm95SmxiNE1YR1RTU0hiUXhQWWZ3Wk5PMUE0clFpV05WalRWOU1zeDhaUEpBVG1pQW1UUy" TargetMode="External"/><Relationship Id="rId2036" Type="http://schemas.openxmlformats.org/officeDocument/2006/relationships/hyperlink" Target="https://news.google.com/rss/articles/CBMibkFVX3lxTE5OajRmdUJwSzl1TEFtMWgwaDZwbWxLaFFmbTBRRUF3S2dfTHRhYk5PMjVnMFAwTkc0UXRldTFqOVMwTEI5OUFneVN6cVNxOHFuVzRvZ3BmOFdLZ1JVaG1ETFRtLUxzQmlBTDlIdlZR?oc=5" TargetMode="External"/><Relationship Id="rId2037" Type="http://schemas.openxmlformats.org/officeDocument/2006/relationships/hyperlink" Target="https://news.google.com/rss/articles/CBMilwFBVV95cUxQRDQzQVIwUTd2enpXdkVoWHBnaWctT29Oa3lJQXM3UDZYeHVoOUJRSXlJR3VVWjRMdnlYR1V3QkJXWEFlOEM3eFpoZk5tMTlqcVhDTEhWUTdvMHVkMTNiWHE4QmVEQl9hTU1VYVFhamNkWWJ2QW9VU1BySWM0cmVRLVdSZ2RhYXVyZ2JKMXRiYlN6M2QyX1dj?oc=5" TargetMode="External"/><Relationship Id="rId2038" Type="http://schemas.openxmlformats.org/officeDocument/2006/relationships/hyperlink" Target="https://news.google.com/rss/articles/CBMi1AFBVV95cUxPNTM1aENrdmJxOUVZN2M4YWZGbFdYOW9pX0hINFNtU21jekxqWVEwRFRtMmJvaGxsSmpLRllSa1IyZkVtOGRKM3k4VHBOaEJyU1Z5ZTEwOVo4UGhTbWxUbnI3ZDBoRktKYUZUODltaWVibm9zSkZ0Uk9fNEdoSFpiVU0xV1hwZzYzMEt3U2o0MG1MMHZRaE5DQW5PRlRmZ2" TargetMode="External"/><Relationship Id="rId2039" Type="http://schemas.openxmlformats.org/officeDocument/2006/relationships/hyperlink" Target="https://news.google.com/rss/articles/CBMiWkFVX3lxTE1kTnRXM0JvSDBvM1ZwTVRXdGdlVVFCeFlOOThoQ0czMTdZOFdvQmFCMGJuRTFuWG5VQ253WWRIb3lRSnBZYjdjUk51aVZ5Q1owQTdlWXJhU05HQQ?oc=5" TargetMode="External"/><Relationship Id="rId2040" Type="http://schemas.openxmlformats.org/officeDocument/2006/relationships/hyperlink" Target="https://news.google.com/rss/articles/CBMiyAJBVV95cUxNTFo5YWhaTm1JOW9tQnJwVVcwRkhpQ0RMa2c2dHI2R2tJNVVadmZEY1BKejNUa21xb0MwZlVPb3dEWDBpc0lldTMwQmM4SVF1MG5iQWM4Y1BfTE1XdXhrM0w1TG9USEdjbDNDNzlFS1FyUm5iMXlmQkh5Q21rTWZIQ0pHY1psV0sxeUpJbExkbklnZzZmWmJ5Nk5Bem84bn" TargetMode="External"/><Relationship Id="rId2041" Type="http://schemas.openxmlformats.org/officeDocument/2006/relationships/hyperlink" Target="https://news.google.com/rss/articles/CBMikAFBVV95cUxNVnJnQUZnRVdNRE83Ul91dmx0YXEteEhyLTZIWk5WSWo3MkQ5TUpzdXFkOTMxX1A3d2FPdHgzMDNnbFNvZUlyVWdRODdtX3dmTGdIOUFXVnNKbXpBdGQ5MktSOUE0UU1iR2xmTmhROWxLYjV6cW42TjZxWFIzSlRBMEM4eWtPNVBvTHJhX20wTlQ?oc=5" TargetMode="External"/><Relationship Id="rId2042" Type="http://schemas.openxmlformats.org/officeDocument/2006/relationships/hyperlink" Target="https://news.google.com/rss/articles/CBMiqAFBVV95cUxQRkh6Ty1HVHRjdEZVSWFwb1ZHWUFUX1p6a19GdU9ZaDNsNnZhOG9fUmxTcGRJQ2xaUWZIX0Y3cHB0VVYtZlFhRVBCWnk4T3Z6NllJUEdGdWhUeHJOUFV4UXBSUXdvaE9CQWROMk9MYWxXNWdnRzc2MUVZTmpMS09UZUNsNUplRmFoSFJOMTlLalJYdHFpd1Z6WUlQRlNQT1" TargetMode="External"/><Relationship Id="rId2043" Type="http://schemas.openxmlformats.org/officeDocument/2006/relationships/hyperlink" Target="https://news.google.com/rss/articles/CBMi0wFBVV95cUxPc1ROMms3VVBwdjhYSVJIU0FNQjhacnQ0TmpLWnpzb2VqTHcwbVI5RkdPdXZyVlZkSGYtQzg0S1BGRFdtYXRNMDRLaS1vN3BSLWRKelZpVWo5Rk5GeUZSWEVPbG4zWUdtQmhjZ29GM2U2cXdxd0RNNmZGZDlGb2dOWVFLdFhHbmJ0aGY3blRlbEpyd0R1U3R2TndiSldPVk" TargetMode="External"/><Relationship Id="rId2044" Type="http://schemas.openxmlformats.org/officeDocument/2006/relationships/hyperlink" Target="https://news.google.com/rss/articles/CBMipgFBVV95cUxQOXR5UTE4VXNpUWJzMG1halM0RDVqR3VHUnRDNkNJXzV0aHZxeUhjUDJ4TXlKdU5WVmc1NnJwY3NlSjB1LVFXMDltNmhNYUkxT0psS0RIWjU2LTlCZlFJVTFITnZVREY2TExfdDBVNUJualpsTy16cGlCM0lWYXNockV4aWJ4NHV5V3RmYlpwMmhISENGanF3WTl4Qk4zWU" TargetMode="External"/><Relationship Id="rId2045" Type="http://schemas.openxmlformats.org/officeDocument/2006/relationships/hyperlink" Target="https://news.google.com/rss/articles/CBMizgFBVV95cUxPVzVFVnFub0drU2FuZGxaamhIV1d5SnNKM0p3YllQTGRhbk9kT1BqVVd2NWFNdDBrZE1STS1VUGJvdVV1NVdVaVFlRk5WSU41ZksydEFFLUVkUWV6NURtWWVGOWZBTkR3REU0WG5LbHJtT084Q2tnZncyekRJWlMtMjZJNlk1blBsZm0zbjJSTGlaZHFsZ3N1N0tQQUh2Yk" TargetMode="External"/><Relationship Id="rId2046" Type="http://schemas.openxmlformats.org/officeDocument/2006/relationships/hyperlink" Target="https://news.google.com/rss/articles/CBMibEFVX3lxTE0zQm9oMExWbTdSRzBoX2NKWklHZV96bmJXTjkyUnlhcmt2UjRrU2tlOFVVTWdlbG9OTExWaXZTTldXaE92ZHdVSXFzZHRucVRKNkhhQ2NGNWttRC0wZWpxQlJTbjZFRHlGUUJmag?oc=5" TargetMode="External"/><Relationship Id="rId2047" Type="http://schemas.openxmlformats.org/officeDocument/2006/relationships/hyperlink" Target="https://news.google.com/rss/articles/CBMiwAFBVV95cUxOeTk3LW56cmVPZHloUEQyRlRoVmJvWnhVOWpmTlhiRmRuQVVsOTZWb0xsRDFyMDgtblhpRUJER3pwczQtU0NwYThiRFNiMl9NOHJOLWgwNml6YmpPYkpTLUFYSllsWkhZd3J3MTlaOFdwb0RoTlRnLUNPYkdnM250N3gwT2NxdDBOZ0NBN3BTZG5iUk5GVGFWVWpVUDRGSm" TargetMode="External"/><Relationship Id="rId2048" Type="http://schemas.openxmlformats.org/officeDocument/2006/relationships/hyperlink" Target="https://news.google.com/rss/articles/CBMiekFVX3lxTFAyVEVxYllvTzV4WEtod2l2OUVTNzk0RUpZdl9mNmlVaXRsVmt5T0JLSFIwSkNlemtKTUppbVJ5NmlvS2RNTmhLTUcxZHdMdWFOUFY4RkY3WUZPdmFyN0QxN3cyMl9rRmUydWk0azdyejkyT3VwV2lpNERn?oc=5" TargetMode="External"/><Relationship Id="rId2049" Type="http://schemas.openxmlformats.org/officeDocument/2006/relationships/hyperlink" Target="https://news.google.com/rss/articles/CBMibkFVX3lxTFBSMjdfU3ZwRGJDOE9YRm4wTnF2QWgzMkl3M0tDeHpRSFZSMWJsd2U4M1cyaVBWTHZCSWpCV3pGZFhMU2daYzB0TnRaQXFZa0VJUU1aTmhtZEhPTkMtX0U3WTlaR2pqc2stUGR2eC13?oc=5" TargetMode="External"/><Relationship Id="rId2050" Type="http://schemas.openxmlformats.org/officeDocument/2006/relationships/hyperlink" Target="https://news.google.com/rss/articles/CBMinAFBVV95cUxNLWZ6Z3VFa0QweWw4WGhEVWpWbnN2XzlPQnhacmpEYW5jZTFuYnF2OVctazV5eU9Zb0pXbGMzeHRZTmE0bkF6a1QxTUQ2OTRGU055dGY2TW14TFNBalVJMUpDbExzN0hUYndkNEUzMlBEOVRySDZzUTFrX1MwUWthckVWQlk0UVpyaUU2REw3R2dkLTB1TW5FMnZ0UUg?oc" TargetMode="External"/><Relationship Id="rId2051" Type="http://schemas.openxmlformats.org/officeDocument/2006/relationships/hyperlink" Target="https://news.google.com/rss/articles/CBMibEFVX3lxTE1fSkVSNVdLZzZoZDQwY1pqOU1LbFlSVVpCNFFTREQxRWpEdnJtZlRkM0JzN05YRGVZU3QxSFdOV0ZEdVZnR1c2SWZRNjh5a096c2pidEdyWFJRZlo1WGZOajZJdkQtMmg1UTZjUw?oc=5" TargetMode="External"/><Relationship Id="rId2052" Type="http://schemas.openxmlformats.org/officeDocument/2006/relationships/hyperlink" Target="https://news.google.com/rss/articles/CBMiuAFBVV95cUxQcW5NTk02eHlERHJJalZaQUlfOEZoVTBiUXFjVXdWR1hfTXhEaW5QS1RuTnZqMzB1U0luT3l4eHZxZmlVaUZ4N21leUktNE04VDlxTkhBSXJlQ3lxdktFUXBPNXdEeWltcjhlNHdMb1RTZVZnTG5GalJONGtmWHFIOFVqYzZuNFZFeEFTTXRGQ25ZTlBubjQ3dzdZRFRONH" TargetMode="External"/><Relationship Id="rId2053" Type="http://schemas.openxmlformats.org/officeDocument/2006/relationships/hyperlink" Target="https://news.google.com/rss/articles/CBMi8AFBVV95cUxNSG5nYzNONWJvR2RINVNRNmtLNlFmbVphc0hpTDJLYkE4YWt0dWpjdXJWWlJMVjJjVThxdWRKd19tQ3FyMVZDcEZsYm1HeEFHQW9KVHFGMERwUzY1b2JTVk5faTI2MmZBTDBYZTIyd3lSWmlhNEk2ZWNQakJtMm5qUDBJZ2FESHBBNlRLU3FZdXdlZ3RKM0VZTFB1VldhOF" TargetMode="External"/><Relationship Id="rId2054" Type="http://schemas.openxmlformats.org/officeDocument/2006/relationships/hyperlink" Target="https://news.google.com/rss/articles/CBMirAFBVV95cUxNN2RmclhIWkhSd0hKNUNUMkZfTTB0ellBaTNXZTVVV0FXYmlLQnNidzBjcURkNmtheWZDNVFUOGZ3NkJtb3JMSkZrdXlNLXY4TDVmQTVBMW45M3NLemdVajBjX19BN2NZYnJwMF83dkxDU3N2NlQ3RnRDMExBWGlJVTZKLWJsU2dCc3J6OGJndmZRRURXbGJDVTZXMkFOS3" TargetMode="External"/><Relationship Id="rId2055" Type="http://schemas.openxmlformats.org/officeDocument/2006/relationships/hyperlink" Target="https://news.google.com/rss/articles/CBMiWkFVX3lxTE5YUUhwUDcxUlRZcDljcm5WSDc5Q1RUTGtEdjA0TnlnbkJMczk3ZDF1djVOS0tWZm1wSnZiUUdZcmg2dnQwOGhfaG1sQzZwUzZMdXJBeXJhbWNMZw?oc=5" TargetMode="External"/><Relationship Id="rId2056" Type="http://schemas.openxmlformats.org/officeDocument/2006/relationships/hyperlink" Target="https://news.google.com/rss/articles/CBMibkFVX3lxTFBkZFVfdzVDYVNYa2YwUG9kem91dXdsR1h5VjFCbE5lZ0NpMjBENkRWYkl6V2RNS2dlS0RxSFdldWlDbWYxb2o2bmotQUppMjNPZDREajNyT2xucDlKMXA3T09BU2podXRnYzFRV293?oc=5" TargetMode="External"/><Relationship Id="rId2057" Type="http://schemas.openxmlformats.org/officeDocument/2006/relationships/hyperlink" Target="https://news.google.com/rss/articles/CBMibEFVX3lxTE9xMDd0V2dOTDZTRDNzb0R5U1FNNlFaNHgtTGplRTdGTFllZjZldDR3RGVSOXJMR0lsdUQ1NVkwYzAyanlYc25nRzFmd2lxdFBOWS1zcnl4S1kwdy1faWVkdDE1aEI2UWVlb3l4aA?oc=5" TargetMode="External"/><Relationship Id="rId2058" Type="http://schemas.openxmlformats.org/officeDocument/2006/relationships/hyperlink" Target="https://news.google.com/rss/articles/CBMibEFVX3lxTFBGZm85RTBWVmZ6MEh3WkJweE5TX1FoMVByaTg0b21uV2FoUnVjZUxiOXZhdzdOMkdPT0JxMGV1bDF4dUMyS2pFMllzVEhnWHdOSEstRTVRZE9Ud1B1MDVLNGlmbVYyS0gyN2FmWQ?oc=5" TargetMode="External"/><Relationship Id="rId2059" Type="http://schemas.openxmlformats.org/officeDocument/2006/relationships/hyperlink" Target="https://news.google.com/rss/articles/CBMi7AFBVV95cUxOQl96X3JERFhpU200bE5TbXlMQUJ1OXU0dHBlclJTSnpKWHd3MHVpSU5ERUd1SFo4elpydDNCZjFDaVNuN2dTdF9HZFczcUpERkRmVml4ZFJUbVg1VGZaSHpIT0RPR2x2TV9WaUFuNjM4b2g4VTJtOTVjeENadFZMMEh0Q29CdEIxVE10Rm00cmtrZE1KQktkcVo1Z2tkUG" TargetMode="External"/><Relationship Id="rId2060" Type="http://schemas.openxmlformats.org/officeDocument/2006/relationships/hyperlink" Target="https://news.google.com/rss/articles/CBMipAFBVV95cUxOOEJGRGFnd0dyUnVKajYwZHFJVnlLX29OOXdlWWYzWEVsYm81a2FhNHkwWTVrU25QTl9YWWs4c0lHdV81a0lReUoxZi1UZWFxSkFobUlicE85c1c5MG5iT1VOdFNCaGtTc0VxZHcxV3B0bHo4MlVsYUZ6UXowOFkyTmQ4WG5ZS0pNSXJZdVVEZmtYWlZtcmRnV3VhbTJvcW" TargetMode="External"/><Relationship Id="rId2061" Type="http://schemas.openxmlformats.org/officeDocument/2006/relationships/hyperlink" Target="https://news.google.com/rss/articles/CBMixgFBVV95cUxOOWJ5eURDbU9qUjRPZFNfdlVMaVRyczZBWmlTSENpNlR3QlVSam44WHF3NEZZWjVGSzNRRmNGOUNHWXpwb2xibE1wckQtNjhiYU16RFZSU0EwUFQ5NmVXMW5NSGU2N2VPd3lNNG5DY3NRb1FXcldFbkUyTWVQUEZDRUdqTW9DQlRJWWFEX2Y5STZWaWJuVFQ1aGRrUGVwQk" TargetMode="External"/><Relationship Id="rId2062" Type="http://schemas.openxmlformats.org/officeDocument/2006/relationships/hyperlink" Target="https://news.google.com/rss/articles/CBMibkFVX3lxTE9KaVpyVDltZlVPV0pKVFJKVFZUNmhqMkQ0R2gtS3hueU9aYVZYVGNqX25Tc2lVbktZY1VpZ3BUcnJsTUluYi0wRXJ6RmV3dlJXcEZ4SGJDUlZWMUIyRGZPQTZpZWVpdHlhdHRlVzJn?oc=5" TargetMode="External"/><Relationship Id="rId2063" Type="http://schemas.openxmlformats.org/officeDocument/2006/relationships/hyperlink" Target="https://news.google.com/rss/articles/CBMibEFVX3lxTFA1ODRVRXMwWHR4ZnlYcEdLSTNLcGRVNkNSeWY4T25Xd3pjNkdFcUpPV0JXVF9CYWVGeHMwcWl6aHJDZS1hcWM4LUhuOGNoVjIyX1h0Q05BXzVXUWlINWloX0tjUUJnU2hrTzRXdg?oc=5" TargetMode="External"/><Relationship Id="rId2064" Type="http://schemas.openxmlformats.org/officeDocument/2006/relationships/hyperlink" Target="https://news.google.com/rss/articles/CBMibkFVX3lxTE5TNm96a3lsYlluM1ExMExiUE9ncVFBMGd0NWk1NDlyMTVMaDkwNzlCSmRGYk54S1RRU2FmSWZWRUhVeVFaSEtZQ0R3UGVTQ3FrWVFRSnhoNDFva00yLVk5REsyUlNjbTRzR0ZXbEtn?oc=5" TargetMode="External"/><Relationship Id="rId2065" Type="http://schemas.openxmlformats.org/officeDocument/2006/relationships/hyperlink" Target="https://news.google.com/rss/articles/CBMizAFBVV95cUxOOTZuY2g0T1NyMTJGY2dnNk9VMWpxNTVYaVI1WTBmMWZpLU5Tbk5KX2ctcENRbjBFeXZoZUZGVGo5SkVEVFdEOHB6NWhoZUE2b1g4S3JjSkxNRUhqb0g3a0Foek1NT3c0NmlxQUFDbzhFTWdSZDZXR2VrVXI2dVUxNGxCb1ctSFRjcU1yUW9zRXVYUmJpTUpwOFB5MVNYRn" TargetMode="External"/><Relationship Id="rId2066" Type="http://schemas.openxmlformats.org/officeDocument/2006/relationships/hyperlink" Target="https://news.google.com/rss/articles/CBMiwwFBVV95cUxNVUZBUkFLVGRJNm1vcmlsSFp4X3RCbHhSaG9zUmg2OVJybkxHc012RVVyZ2pCdUdNeGxSSFFiQ0RmbGZramJQYy1VMGdjMklUbFVyWkxxS09mUWk4QnJjdVliZjQ2OHlvUzcwZ19NRks3Y0l4UFRDb3FZREpxZ2I2bXgzUFdjdk1HUmlqM3RwTG1pa2FEalZfZFZpRHh4bS" TargetMode="External"/><Relationship Id="rId2067" Type="http://schemas.openxmlformats.org/officeDocument/2006/relationships/hyperlink" Target="https://news.google.com/rss/articles/CBMiWkFVX3lxTE5YUUhwUDcxUlRZcDljcm5WSDc5Q1RUTGtEdjA0TnlnbkJMczk3ZDF1djVOS0tWZm1wSnZiUUdZcmg2dnQwOGhfaG1sQzZwUzZMdXJBeXJhbWNMZw?oc=5" TargetMode="External"/><Relationship Id="rId2068" Type="http://schemas.openxmlformats.org/officeDocument/2006/relationships/hyperlink" Target="https://news.google.com/rss/articles/CBMinAFBVV95cUxOYVFSaDlTb2NaOHZmWUtPZHJHSUI0X1d4WEdXbjJ2RGtLYjZiTUdCZDI1amZteDhQRlAzVm9fZ24zU3lQNnVzcHZXX0JSbG5PdkRxdkNnbG1qU1RWQUtRa083LUduaG1Ed2w2YjJ0UFlPbXFzU2lfRll3azVmUl9IcXJMS3puTHZFeHJTb3d6YkFRRE43d3RFN2tkVGU?oc" TargetMode="External"/><Relationship Id="rId2069" Type="http://schemas.openxmlformats.org/officeDocument/2006/relationships/hyperlink" Target="https://news.google.com/rss/articles/CBMilAFBVV95cUxQeWwzT05qZGNwS1U3N2pqcDFlc1pZcDJKSlpYTDRud2FwejVvMXI4d1lra3dkblZDM2lNZTl0TzZtdlFOQUh6bUFnS1FUcENpbzlhYi1MTmdIVmw1cVdySzdPeVJmRnFjN2xjSGdVSk9feTl1eXQwLVNlclRiUjVVNEVuUzVJMzltd2t1cExoanAzWGI2?oc=5" TargetMode="External"/><Relationship Id="rId2070" Type="http://schemas.openxmlformats.org/officeDocument/2006/relationships/hyperlink" Target="https://news.google.com/rss/articles/CBMi1gFBVV95cUxOa3lzcEJnMzI3LXBwcVg0SDFVVUdSeEVTdk92YXdiVDJOUjN4OTNxSEJ3Z0NNY200d29wQzVscHg3eTYwVXZfWGVrZlRpcktLVFhGcG1GM00xd0Rpc1g1dlNBaWZpdTI5SjB3aGlsWHg3cDByUUN6WWMtU1M3bVZHOUNCNWFVS0NkdnNjMUNXdlkyTEJYaVZueEhrcUhEc2" TargetMode="External"/><Relationship Id="rId2071" Type="http://schemas.openxmlformats.org/officeDocument/2006/relationships/hyperlink" Target="https://news.google.com/rss/articles/CBMi0wFBVV95cUxOS0dxbHNNa09KaWJJNTJVSDRfdmV5c2dJVlJhcUQ1X2VBdEJLYWQwU3ZLQkdJTGV5S3N3ZHd1SzJMVHJsQzA0NWg0OHEzV2Y4WmpPd0paQjJ0TVREWDZMby1rWDJHbmZZdXFvRnhkWm1wOEdGMGNqZ1VaTUdqRFQtUEFSODd3ck9Pd0NocXVhZ2RvQVI5N0t5eFl2NmNMVF" TargetMode="External"/><Relationship Id="rId2072" Type="http://schemas.openxmlformats.org/officeDocument/2006/relationships/hyperlink" Target="https://news.google.com/rss/articles/CBMibEFVX3lxTFAwU2dyQUx4Z1BNNjZEcXNBWXptbnh4eS02UmZRTlFEVTNvRzg2VWpZVFpuSDRVRDdibjIyQWo4YVE4RUFVaTJUaDRXMmZTQ1IxeGtFLVpqNEhDSGRuaDZ5YlM4NGdpUWN0WEpwMw?oc=5" TargetMode="External"/><Relationship Id="rId2073" Type="http://schemas.openxmlformats.org/officeDocument/2006/relationships/hyperlink" Target="https://news.google.com/rss/articles/CBMibEFVX3lxTE9heEREU1ZickItblllbHN1T3R1UHp0TXpHeFY2QXBKeElNOHRuOHNCNS1neXlUanhaa3VBY0ZrQ0NDOE9Rb2ZuRmpMT25QMk1CV2Q4V2VJd2FhU3g0YjRhamd2WTJ2ekpnSGt0Mw?oc=5" TargetMode="External"/><Relationship Id="rId2074" Type="http://schemas.openxmlformats.org/officeDocument/2006/relationships/hyperlink" Target="https://news.google.com/rss/articles/CBMieEFVX3lxTE56bXN0aC1ieDVTeHQyUnJMWWNXcWVfYlAwU3pYcGx4N3RJeGxZaUNBSEJaRTNOMXBlcWlRS0FMZ3pOWDZJMWl0dlRrUmtwZzJaRFdLMktIcVI0MDQ3TW9oSFlvekJPbUpTUlE1MlpmRi0tT1QwMVRiSg?oc=5" TargetMode="External"/><Relationship Id="rId2075" Type="http://schemas.openxmlformats.org/officeDocument/2006/relationships/hyperlink" Target="https://news.google.com/rss/articles/CBMibEFVX3lxTE92VjFISXVOeVc1Qkk0SktwMXNRZ3J1YlFnR1JlV3RJQTJzamFrejlCc2JOaTRwOFRPXzYxalpOVHlsR0dYc21PTUliZGxkQUl0VmxydklZVkZGZWxKSVcyV1JSdElyQU44Q053WQ?oc=5" TargetMode="External"/><Relationship Id="rId2076" Type="http://schemas.openxmlformats.org/officeDocument/2006/relationships/hyperlink" Target="https://news.google.com/rss/articles/CBMimgFBVV95cUxQbDh0ZDZXRl85MERZRkcyMndhNDhDTGNZcHJUM3pRTnNOcFFuOTJDM0ExbzJDUm93ZU5NTEtaYXNtSDNaR05yT3hWdnhQd0VDd0d3VWhYY3BLSUJUbEJPM2U0VnF6YVdFa0tNWXR2T1lONVlIc25qVFFYZ1M4amw3V1lZVzJWOFBiUWlCeWYzRXhyRkxRMGJuUzJ3?oc=5" TargetMode="External"/><Relationship Id="rId2077" Type="http://schemas.openxmlformats.org/officeDocument/2006/relationships/hyperlink" Target="https://news.google.com/rss/articles/CBMibEFVX3lxTFBRZGl5MHdZV3pkTktpM1kzWVpPRm5Gc3c2eFFnZmJyd05ycmFHSmF0S3JZQ2ktNnl5U3BBVmFwMTdoei1MZXNMUXRIak56U3V1SlBPZ1c1eFlmMVpHcnNhU2xwSHlxSWs4c3lZVw?oc=5" TargetMode="External"/><Relationship Id="rId2078" Type="http://schemas.openxmlformats.org/officeDocument/2006/relationships/hyperlink" Target="https://news.google.com/rss/articles/CBMiiwFBVV95cUxPeXMyd1lnN1I5REpFZUJpbmxXM0ViR2hPbTNFbXZYbzl5OFA4VVEyakNFeU8xUXFpRklLRUhhX3lkSF8wTGpQT1pTck9IN3NvNjBoTnNTdXV5OVZQRVVCc3JRcUd2eThpekxwalMwUHZDOEVFMDZ3M19GRkdpTjAzZGdIT0xWblRqS3Vj?oc=5" TargetMode="External"/><Relationship Id="rId2079" Type="http://schemas.openxmlformats.org/officeDocument/2006/relationships/hyperlink" Target="https://news.google.com/rss/articles/CBMi1wFBVV95cUxPT1plSThScFFvcWF1NTRtM2ZtanJVaVJNaHlpYW12WURURjc3WEl3OXNKaWxoY2FjaUdHNEZOS2dMVmlUWXNhamlqQjNySG9iRm1zSTZMRUFEdE1qSXdUbUdMNmQzNHpqWDAzSUxfOGczRzlTODI4Sml3Q204Sm0tUUxoVzB3anpYZFZodTNKY0FWdHA5TTQtbjZmSW84U3" TargetMode="External"/><Relationship Id="rId2080" Type="http://schemas.openxmlformats.org/officeDocument/2006/relationships/hyperlink" Target="https://news.google.com/rss/articles/CBMi0wFBVV95cUxOS0dxbHNNa09KaWJJNTJVSDRfdmV5c2dJVlJhcUQ1X2VBdEJLYWQwU3ZLQkdJTGV5S3N3ZHd1SzJMVHJsQzA0NWg0OHEzV2Y4WmpPd0paQjJ0TVREWDZMby1rWDJHbmZZdXFvRnhkWm1wOEdGMGNqZ1VaTUdqRFQtUEFSODd3ck9Pd0NocXVhZ2RvQVI5N0t5eFl2NmNMVF" TargetMode="External"/><Relationship Id="rId2081" Type="http://schemas.openxmlformats.org/officeDocument/2006/relationships/hyperlink" Target="https://news.google.com/rss/articles/CBMi0gFBVV95cUxNV3pvQmIxMEdWVURBNHQ3cXRobW9QVXc2Y2M3eXdJQ2JhQjNfa0lNTWhxdWdfZE1wOHlyLVkwdzQxYVpaeTlEZWNkR1dZakttT05FcWRCd2ZBZzdkWjZMVm8zZEtsSGFMTTFTLWFWaTJnQ0ozVWlHUEwyYVNVS1Nva3h4YlZwSHl5UzNoNW04OG9zRXhGNkZ2bVpsNWprRU" TargetMode="External"/><Relationship Id="rId2082" Type="http://schemas.openxmlformats.org/officeDocument/2006/relationships/hyperlink" Target="https://news.google.com/rss/articles/CBMipwFBVV95cUxQNjFvNWFCWllRQ2h6WG51WHRaR3FnY3c0SV9FMXJJbkg2cmtpYlZvaXBIbmp3dkNYb2xyWm1lbFFmYW5sUHZ6NkdPQXFiZE1hd3I1UmFFQjZscFJPeHdIbkJ0MjVWTUxtY0Q2Sm9PZWlVMm5jZEVLbUZUZV9hR0NvbnZTclJYOXdkQmpuQTBaTndLNHlCREhseFhMMzVUcU" TargetMode="External"/><Relationship Id="rId2083" Type="http://schemas.openxmlformats.org/officeDocument/2006/relationships/hyperlink" Target="https://news.google.com/rss/articles/CBMid0FVX3lxTFAyTmVRcHdFa056WmV1ci12Znh4c0xsQkRQVlVfSWtFUTM5ejR0X0tmd2hJX09VSl9nRmhuRlJzMFhwQnlQYWNQMi00cUt5Y0stR0pUYktja04yRTlmREpqRmh5UlN4N1hDU2VRMVQ0anhPT2FYRUtF?oc=5" TargetMode="External"/><Relationship Id="rId2084" Type="http://schemas.openxmlformats.org/officeDocument/2006/relationships/hyperlink" Target="https://news.google.com/rss/articles/CBMickFVX3lxTE1uT2xKdFZwM2tOWm1kcGRXS2NfZi1PQWRSVTNfM2JuQ1lQY3prbktVQ2lYOWN1T2NLdUc1SERhX29LVzFRbEFqOHVLY28zU3dyV0w0WUxDXzJTcXhLS0FxT3ZYUHpMSmFaeGRrMnRYem4tQQ?oc=5" TargetMode="External"/><Relationship Id="rId2085" Type="http://schemas.openxmlformats.org/officeDocument/2006/relationships/hyperlink" Target="https://news.google.com/rss/articles/CBMibEFVX3lxTE83ZXlKclZVX0RKUl9mZ24xWTJMMVBIVmVWbXBGNG04aF9xbHJEcEVYWFRLZm5VRi13bTY3dHdJTk4zTkJWQ3RqX0plTGhXOE5LLU5lRElOd2ZGaDBSSzVYR3h6c0swMGVsRFoyTA?oc=5" TargetMode="External"/><Relationship Id="rId2086" Type="http://schemas.openxmlformats.org/officeDocument/2006/relationships/hyperlink" Target="https://news.google.com/rss/articles/CBMirAFBVV95cUxNZ0pYN1lrejgwRDFPeXM4SlpmbG4zdzZBeHBlNEhvZWVBVVMwUVh3dERDNHZvQ1VYQjJ6QXNvTEplM2ZWcUpDbjNjcGFRMkZxSmxOVmllSGdLQ283NGZKVmtmYUNrQlM0M2RMYkNDNFQ5d3pNTE51V2R1TVVHUDRydVp1WG05LUQ4eEc1VEJVNEhKa1lrd09SRExSMVg4QX" TargetMode="External"/><Relationship Id="rId2087" Type="http://schemas.openxmlformats.org/officeDocument/2006/relationships/hyperlink" Target="https://news.google.com/rss/articles/CBMibkFVX3lxTE1Tb1NLdWo0ZW5KdF9ycVlDS3Z5MlFPaG1DOVpJMnFGOTlOLVlXamhZaVBiSWdGcThWQ0RYZ2xKMGl6bUIyd2NxakI1ZkJWUW55aGRBb0RzVHFDNWthYmVHRkxMdmhNT1luSHR6RjF3?oc=5" TargetMode="External"/><Relationship Id="rId2088" Type="http://schemas.openxmlformats.org/officeDocument/2006/relationships/hyperlink" Target="https://news.google.com/rss/articles/CBMingFBVV95cUxOSHE0N0NUazliZmktUDVWT2IxUnJDdDgyQTRyTXZ6U0IwcEMxdzNlWnNNWXBXRlNoTThXSzFFVHpOU05IbGcwUy13Zkk3eHhMRW9uTzFBT1hpekRoTnN3VnZPazR1U01ReXdKT0dtV05SQTR5dmxvdTNqczdGbkhxSlpmWTdCRnNxV3kxaVZ3LWN4OXRxREx0UUlGLW5lQQ" TargetMode="External"/><Relationship Id="rId2089" Type="http://schemas.openxmlformats.org/officeDocument/2006/relationships/hyperlink" Target="https://news.google.com/rss/articles/CBMic0FVX3lxTE1jQkVrdTlIdzc2Y2lpLU5NQXVkaFlTZ0wxbEZCTEE1Uy1GOXRyVW1rd1h3Q1lJYTZwZDRHMjc2dWlTeXZVdm5HamU2QWVGNVdnY1lwUEQ5NVNrQTBOTXRKOGZnbjZPRnVCUTlUaUtadmliRm8?oc=5" TargetMode="External"/><Relationship Id="rId2090" Type="http://schemas.openxmlformats.org/officeDocument/2006/relationships/hyperlink" Target="https://news.google.com/rss/articles/CBMinANBVV95cUxQMVk2NERpc21zWnNBYV9uUDVtbG9SYjYwWmxVRjN0MFZLQ3dMY3ZCak1PQWwwZHVvaVpnVFNjZ0lEYzdFQjNod0o4YTkwX25JaG9lMHZzX1hVR0FseHZRbkowazN2QUN2R0FzWHRZZXNLd29ZcmptWU9DTVR1RndIR2xydEozb0xKVjVRV0NqQXFBaTlOblRiUG5LUTJnbX" TargetMode="External"/><Relationship Id="rId2091" Type="http://schemas.openxmlformats.org/officeDocument/2006/relationships/hyperlink" Target="https://news.google.com/rss/articles/CBMibEFVX3lxTFB6T2RqV1BMRnp2ZHVTdjd4bldmY08xTVN5eWJsdnZQcXZSaldld2puTzV2b1k3OGI4am5GZ0NFY2pmelpZN1djRWVpM25TQ1RaQTJWeXRnNHNNUVloQXJiMGFPY0twSlhKLTBUTQ?oc=5" TargetMode="External"/><Relationship Id="rId2092" Type="http://schemas.openxmlformats.org/officeDocument/2006/relationships/hyperlink" Target="https://news.google.com/rss/articles/CBMiqwFBVV95cUxNUllTVzliSk5JZXBEVjZXLXVESGdZNm9FbXQwZXE2NTlzdWtZMF8xN1Bkak5sNXY3ZDhocHZDdFNQcF9yZ2Zja0Zvamc1S2JSM0N3Y0dJb2RkMjhqbkxUTkRkNnR1cjV1TTVLTnpfQkhudkRUYngxQkFBN1ZiRmhFQUMzMmZydTBJX3J5TjYzR3R2eEt6YzU3VHZkaF9CYU" TargetMode="External"/><Relationship Id="rId2093" Type="http://schemas.openxmlformats.org/officeDocument/2006/relationships/hyperlink" Target="https://news.google.com/rss/articles/CBMibEFVX3lxTE9LRk9hcU5BdUNRcndYVGhmT2g3bGtIOHROdU9CLVR5X0llQ0M4NFhCZ0EzZURPd2ZnS0tJWTdqMzFPM3pvbTMxbmhwNGZQcHhwNW9lZzI2WHRzN0VmQkY0dmZEWE5hTVA2MEQyRg?oc=5" TargetMode="External"/><Relationship Id="rId2094" Type="http://schemas.openxmlformats.org/officeDocument/2006/relationships/hyperlink" Target="https://news.google.com/rss/articles/CBMidEFVX3lxTE9ucjVFdjI4cFEydnRkUzFXVy1IeEh1UVdNYzE5TGtOVjN2cE8yVmgzSHVEY2MtZi1QMk1tT3dNTEdib2w1eEVMb25TUHA2NGhCMmlwYjVjYXJpLU9aN2pDM01aYWRVR2tGWExibUNHcVd3c3B4?oc=5" TargetMode="External"/><Relationship Id="rId2095" Type="http://schemas.openxmlformats.org/officeDocument/2006/relationships/hyperlink" Target="https://news.google.com/rss/articles/CBMibkFVX3lxTE9yR0tIV2xYbVJUcEhFYlhlR0RhblNVSVktVG52c1Y1S2JFSHVRVFVnMjlpQjVYZTB6N3hMWVUyaC10VWdIVHVTS2RJRXdMZ1ViOHRfa0xtdDJGN09VelBuUl9qd1ZwMkE0YlNlUHhR?oc=5" TargetMode="External"/><Relationship Id="rId2096" Type="http://schemas.openxmlformats.org/officeDocument/2006/relationships/hyperlink" Target="https://news.google.com/rss/articles/CBMijAFBVV95cUxPNldGTnBfUU5JTkd4VjBORlVfN1FSaDFTSW1fNlVLYzhmS1VyeWYtcVRiRW1oQkJDclJNS2NYMkJCVFBJNkV0WndMQk5paEEyMDdsOEhlbEpVTEF0VEhSaDlDNnN0bGNsQnYzY1QyZGtWalVpeEhrNEZlWUFKY1drNngyUURjaWZ6MlVMedIBoAFBVV95cUxQT2xRRGNESU" TargetMode="External"/><Relationship Id="rId2097" Type="http://schemas.openxmlformats.org/officeDocument/2006/relationships/hyperlink" Target="https://news.google.com/rss/articles/CBMilAFBVV95cUxQQThhWlM0TnNsME10czFUdXhnUzRGR0RZbUlUUGxTY1dtX1ZOb05wLWJyMVViTzFsbDFIRkFlakNzSDY0TUZuNGhZNHhjYW84bW1fdXducWVTYVlvVVQxSlhRSUJtbTBvYUdUWGJfVHctRklDV2ZkdnJXS0NtQzdLWHFvWTB2UHoydkZDRTBxS2dvMDZz?oc=5" TargetMode="External"/><Relationship Id="rId2098" Type="http://schemas.openxmlformats.org/officeDocument/2006/relationships/hyperlink" Target="https://news.google.com/rss/articles/CBMipAFBVV95cUxQSmRPT3pGNGVOa2s2VTNSaU9jZUU1WU1QTTQyaHhmaDBGYWZsVlRONXU0aFd2X1JRQWZzTl9KRlg4bVVlOHY3WnQ0STh4TWlQck9heHRWYnFRX29uc3o2c2p5R3lqQ09WVEpHdDk2R19fcHVwUzFJYzY1anZVZzczeG9OdjFlcXdJRkFjT1VBdl8xVEc5OUp0Z2lUUncwY2" TargetMode="External"/><Relationship Id="rId2099" Type="http://schemas.openxmlformats.org/officeDocument/2006/relationships/hyperlink" Target="https://news.google.com/rss/articles/CBMizgFBVV95cUxOTGxPUnV5UnkyMlFzUGJSSmlWbGJPMUVWaG5fOEhrU2lSWmU4RUswQkJHRzg0TGpiRmhmVWMxaGJhcENvem05YlZlSmI4TTBoc3g2cU9KNE5ER1FtVzBxYVNRMXQ1Z2pyQWdxMFpGODhWUk95OUowRmRHUVpydGpNWFczRHNzNUdnRTZud3ZtVjBYU3F2WW5uTTA5TTdPZU" TargetMode="External"/><Relationship Id="rId2100" Type="http://schemas.openxmlformats.org/officeDocument/2006/relationships/hyperlink" Target="https://news.google.com/rss/articles/CBMibkFVX3lxTE1SRHN3M2VvOE4wdjZYdXBGLUtTT0lNT2NEQWRkcjUyaC1WWFdNQXNNQURlajVVaUVwSUJVbHhhRW5EdEl3MkdFVC1EbXJtMFBSb05vQW1DeUkwN3dROGw4VjZfZ0NZUVFmUGEtcVhn?oc=5" TargetMode="External"/><Relationship Id="rId2101" Type="http://schemas.openxmlformats.org/officeDocument/2006/relationships/hyperlink" Target="https://news.google.com/rss/articles/CBMi1AFBVV95cUxOV1ZVMUYyRGxBY19jWEx1WmxhT0VDWXRmT3ZrNllITzl3bDNsQ19uemsxR1lWNVluNktsUWxhWERVclZSSWtzUmNFVHQ3R0FJbFlxZTdYeExMTFZiOWxkaWFpTHhUcGVXc1NQbzNJd0VfUjJ3bi01aXc5WVdjWDlIVHFkaVRKVmFDblZRWWwwR21QUGdrMEhqQzlzOWJIR3" TargetMode="External"/><Relationship Id="rId2102" Type="http://schemas.openxmlformats.org/officeDocument/2006/relationships/hyperlink" Target="https://news.google.com/rss/articles/CBMiyAFBVV95cUxOaTF3eHJEOWQxa19zeHlRWFdtU0l6Y0p1eklMd094bXlaX3A2VXY3ajZ0VTYzQjEwZUwxTW5ZeUpsSWJ6SkhnVzJ0cTk3am1MbDRBaXdsWFFtdEhnY19SdDE2RVBZeXVUcW5VNlM0X0dNMVVpcE9PYzdZc1ZYTWk1R1VZWlg1RjhqVllRaU8zcTNmb1hrUS1MaDV2TE42NV" TargetMode="External"/><Relationship Id="rId2103" Type="http://schemas.openxmlformats.org/officeDocument/2006/relationships/hyperlink" Target="https://news.google.com/rss/articles/CBMiowFBVV95cUxNcFhTVk1jWUd3RUdIdEtiQWJMa0FjbGs2V0FJVkpvWEZVRGEtU3B4eXBrNFFYWnFrdmUwS3N4WlFZOTkwWDlISjBmcHdVMDFNNUpBcjVnazZJOF9sMG10UjZid0JudDY3V0lVdEN3UjB1VldWRUVXREVhblBSR0dlZTRmaVZJMTQwVm9TdU4ycE9FNlFyd05sR2NLMVIzOG" TargetMode="External"/><Relationship Id="rId2104" Type="http://schemas.openxmlformats.org/officeDocument/2006/relationships/hyperlink" Target="https://news.google.com/rss/articles/CBMinAFBVV95cUxQNWM2cnFYdkgyTnlYUWM2QkRTc0JURnVMcWhUcHkwZFY1RDFnQTRQaFdyZFlHdG8wY3o1LUFPcW9ZUUJfMVg1dHRwNUtIZkI3cDlydnl0bW5nSDI1WURHYXgwS0V1T3J4S2NYTUVTRkpSa1RMWnljSFVKTWFzNjZRYVJaQ0Jvem9zcDh5UlhyeS02bHdsZW5CZWxEZnE?oc" TargetMode="External"/><Relationship Id="rId2105" Type="http://schemas.openxmlformats.org/officeDocument/2006/relationships/hyperlink" Target="https://news.google.com/rss/articles/CBMi2wFBVV95cUxQNC1SbWw4elBtWXNoQ29VS1E5MGN2LUdITVNadlZENkY5dGxKdVhMWGNzLVJ1djk1djlIVTZqS3VwT25GSS1XX04yVnNjMHdaTE1FS1ZVRDE2bmFudVdfbGFvNDQzMHhNRmxmdFZQMHZ3ODNaNFBoTjBVYjRzd2tEZXNDTTlqRFdwMjVYY0owYXVzd0VRbUx1QTdBb2lHd1" TargetMode="External"/><Relationship Id="rId2106" Type="http://schemas.openxmlformats.org/officeDocument/2006/relationships/hyperlink" Target="https://news.google.com/rss/articles/CBMizAFBVV95cUxOYnFmNTZjT1VKX0ZDY0U5YmtkREFTekVucS00elFJV0pTU0dMa1l3RnBpRnFUeWZIQUdUUHdNTmtOYWlQMmhDSm1nV3dJaXFWNXJHNk5NcEVIcHM3MVJMUmtQWXptZFFLeGdRYldsU1I2SlpRWGgwUzNDNm84VHZQR2djMW9yMFV5QkdrLXBNcF9xM0Z0VFJKQWk1Ql9DMl" TargetMode="External"/><Relationship Id="rId2107" Type="http://schemas.openxmlformats.org/officeDocument/2006/relationships/hyperlink" Target="https://news.google.com/rss/articles/CBMiuAFBVV95cUxQNWtYUVhSR0xrbWRtNnBOejRxbWNsQ282UVRwcGRncXhnTnFmTTJQVUZ5Z1NTSTh4TlV2TjNYcnFzcjVKNzRxUU5Ob1VDMUtYWlBzYVZqQ0FzaF9YeTdTNDhQX2owT0FBeWx5WFZydkpjRjNqbW0xSnQ2SkllamtBcGxoTzBqYVBuMnlwUzQyT1JJTm8zaENoVzE5N1ppc3" TargetMode="External"/><Relationship Id="rId2108" Type="http://schemas.openxmlformats.org/officeDocument/2006/relationships/hyperlink" Target="https://news.google.com/rss/articles/CBMi2AFBVV95cUxPemVfd0VsQjVyejhEeFdoUDJxRXVienZlbkJ0S1FYX3JhenVmV2R3Q1ZOaTdhVVc0a1FVemh6WUhHNmFrOXBJeWs2d1E1UnZBWWxhcVhzZ19lWnpKaW9tWklKaWE3cVJqc2xFVGpHWnpweFJtdzR0VDkwOWFuU0hGcEJQT19KLW1oRTRHRkF4Y0FkQ1ZyZXhBbkc1Z0xTX3" TargetMode="External"/><Relationship Id="rId2109" Type="http://schemas.openxmlformats.org/officeDocument/2006/relationships/hyperlink" Target="https://news.google.com/rss/articles/CBMi6wFBVV95cUxPNUg1TGVMZkxydE5OSFhMU0hhckY5ckFTeGVNbk9SYVJ2a2tuUkZnS3hTWUJoTmxGVVBCY1dMT1ExWEdoZ3R0V0lJVGxjVDZYNWZfVlhUOHQ5R0xDV3o5QUliTUJPSHdqMU9jVW4yNkIySi1KUkU5RlVHOGNGYmVEeHNZekMyS2NXYmZwWTQzSVNhM1ZmU3ROUDBHeHEwQ3" TargetMode="External"/><Relationship Id="rId2110" Type="http://schemas.openxmlformats.org/officeDocument/2006/relationships/hyperlink" Target="https://news.google.com/rss/articles/CBMibEFVX3lxTFB0bG1XT3RIYWN3NVFxWDRCT0RQeWJzS19GVHZUQzFJUVh4MnI0SzJUaFpCSTJSXzJLamtXX1Fta2pvTThGYkhDYklnNktSVXBCemFpUTJCY3ZqM3FJQ21VeUxyVlFRLXVKbVcwZw?oc=5" TargetMode="External"/><Relationship Id="rId2111" Type="http://schemas.openxmlformats.org/officeDocument/2006/relationships/hyperlink" Target="https://news.google.com/rss/articles/CBMiugFBVV95cUxPQmNIb19fbWo1Uk5aSmJNUEVWajRQWFlucVVlM2hPaEUwQ2dNM19KcGhsRFNLTzZqUHg1NDYxS2dJVmFYV3MtWXJWTGtQbkhlMzNBdFROX3N0eE1fLU5VREg0Yk1jbEFqaUI4ZnA1bjJidHVMM3pjZ3NNcUp6VWlpRWxPVWdRVmdISHBDZ0NhZEhXWGV5UFBwNjNWc1R1RT" TargetMode="External"/><Relationship Id="rId2112" Type="http://schemas.openxmlformats.org/officeDocument/2006/relationships/hyperlink" Target="https://news.google.com/rss/articles/CBMihwFBVV95cUxQeU0wWnFIV1dvVnhfQlBWYUc1VHFjOXNrMzgtNFVEbTFRWk54WC12bktrRVpqTUZhV2RnZll2dnhaYnQ3dXl2Uy02Nm9JakxuRXE1ZjhrdDFUY05KMlpQUDJSTF9DMWt2TERraUFEYjFZd1MyZHphNHhxWFR2bk9HZW5UZF84Q1U?oc=5" TargetMode="External"/><Relationship Id="rId2113" Type="http://schemas.openxmlformats.org/officeDocument/2006/relationships/hyperlink" Target="https://news.google.com/rss/articles/CBMibEFVX3lxTE80NlduSTF6ZlNJeE9GZEQ1dkhWRV9jWnpYS2Y4MnpySkdaR1hUTG1YMWRwcDFkZklMNGVhb2tVSURsOEhud0tSTEFZLXk3UzZZdlZmR1JyY2tDZWZQNE94ckhyRG1hTzBwRlMydw?oc=5" TargetMode="External"/><Relationship Id="rId2114" Type="http://schemas.openxmlformats.org/officeDocument/2006/relationships/hyperlink" Target="https://news.google.com/rss/articles/CBMibkFVX3lxTE5VLUszeU5Dc3BXSTZMY281S2VWZk4wcUpmXzctanlvYXQ2dWthcTd2ZHVON19CQWVoYmp4S3QxLWJ4b0toM19CTXZMWUNudnVPYVZWZ1Z2RDc0VktUWVJFa3dnUmllQ0h5bkpvZHN3?oc=5" TargetMode="External"/><Relationship Id="rId2115" Type="http://schemas.openxmlformats.org/officeDocument/2006/relationships/hyperlink" Target="https://news.google.com/rss/articles/CBMibkFVX3lxTE93VHBuOUNDOHpDSlRfRW5JVDBUVnVpQjNLU3FWcXRKVEQ4ZW45Q0psSU4zSmhTdGpCQktqaTF5VmptRnd0VTYyZWJFc0pJOEl4bUswWWIzQXZiMEtoTVZVUXo2a2FzQ0dtVE9kT1J3?oc=5" TargetMode="External"/><Relationship Id="rId2116" Type="http://schemas.openxmlformats.org/officeDocument/2006/relationships/hyperlink" Target="https://news.google.com/rss/articles/CBMid0FVX3lxTFBuUTdpU1BBdllTWE1xTXZ0WVE5YThlQ3dST2VQM3NvUFROSDFGRURvNXgtdmc4dEo1aFAwVTUxX3kxME10TFhhRzlmWno1TFRhYVRvSmNkaEpQNmlFc3g1MGJSbXFSMWsyTUhubFlFVUU1NkEyRUtF?oc=5" TargetMode="External"/><Relationship Id="rId2117" Type="http://schemas.openxmlformats.org/officeDocument/2006/relationships/hyperlink" Target="https://news.google.com/rss/articles/CBMidkFVX3lxTE9mZVdySU1FdGpCbnZ0MWoxNDZMQm1taDJ2b182bmh6Z255QUplYi13TlBMbmdyMElaQ2dQZG5iVXFCVVhLcTBjNXdYUnVUeDFkazhDNzR3X1ZST21iQ1lXcTJFdlhNcHAyS3pjUXp6VEJhT0pNR2c?oc=5" TargetMode="External"/><Relationship Id="rId2118" Type="http://schemas.openxmlformats.org/officeDocument/2006/relationships/hyperlink" Target="https://news.google.com/rss/articles/CBMibEFVX3lxTE1lUTFWSnR3MFU1MC1BX09ta3hDRlVWQUtIaTNuYkVURGxPckdBTTQyNHNOU0dYQ3VMWkpaQm9KS1BMYXBuRHhBTXN4djRUbDBqZUMxOEVwTlh0SW1QYkQxN0hKbVRDQUlTa3JIdg?oc=5" TargetMode="External"/><Relationship Id="rId2119" Type="http://schemas.openxmlformats.org/officeDocument/2006/relationships/hyperlink" Target="https://news.google.com/rss/articles/CBMinwFBVV95cUxPSnhxS3F5S1BxS1NRRVV1eFRrNFdETE82UWFQRmxwZGNUdm40d3VLVFNTNF9BdVI3S3E4ZVdES1FlRmlZbVN2c19oeVVsbUREZDdfMTlUY3lyM1hLemlGdmhlc18yUXNidTNaM01fQ1hOWTVrNzVLMWoyY3BxOHhBblNZc2l2dGw4NFQxVUl1TlRoeWJocnFSVjlLSGNFcm" TargetMode="External"/><Relationship Id="rId2120" Type="http://schemas.openxmlformats.org/officeDocument/2006/relationships/hyperlink" Target="https://news.google.com/rss/articles/CBMibEFVX3lxTE9SbXg4R1FuMDBlZUktb2V2X0xfTFFLaDAtYy1wdDRNTnZ5Z2pPRkpxZ1dqN3JnamxPVDlEUmtqNmNpRTZqa3hNcmlsMGRiOWxKS3FWQ2xFcVJsTU9yNXJFMktLYU45bkxXNEZDUw?oc=5" TargetMode="External"/><Relationship Id="rId2121" Type="http://schemas.openxmlformats.org/officeDocument/2006/relationships/hyperlink" Target="https://news.google.com/rss/articles/CBMibEFVX3lxTE5oWERJLVBhUVFILVIzMlJ0TjlhM2x2YXhzNlQyTGlQTU9jTEs5UXRlaEJKNTFzeE9ieG1uaDJZaHNLTnN0dTdxVURwZno0LVRtS1BIdFBLTEZrMTVmQ0hfa1NOazRwZ3J6VkI3YQ?oc=5" TargetMode="External"/><Relationship Id="rId2122" Type="http://schemas.openxmlformats.org/officeDocument/2006/relationships/hyperlink" Target="https://news.google.com/rss/articles/CBMibEFVX3lxTE5yeWp3eTNjeGJ2dmxjNm5oajBaZVBQTHNNS0lwV0sydloxR2w4SEM2ODd0elFQN2txN0hONUkyYTRzYVBCVXdKRGNOTkZrcDRLOEZ0NWZneURWVkE1SXh0M2Z5V3FtaG9KRFltRw?oc=5" TargetMode="External"/><Relationship Id="rId2123" Type="http://schemas.openxmlformats.org/officeDocument/2006/relationships/hyperlink" Target="https://news.google.com/rss/articles/CBMibEFVX3lxTE9uN0d4TUt1UUlGNTNzalk1SFNVZUludXVZU1FyUDVkdlIwUFhDdXRpVjRxRnJHbnlQVkc5VW5ock5MV25HZjRPOFgzb3FzYWFYSTV0aTJ5UU4zN0ptTWlUaUJaOU1KaGZpMHF5MQ?oc=5" TargetMode="External"/><Relationship Id="rId2124" Type="http://schemas.openxmlformats.org/officeDocument/2006/relationships/hyperlink" Target="https://news.google.com/rss/articles/CBMibkFVX3lxTE5sc1RRYzFNcVdlTzU1VVZBVm1OazZGTVU3dzAxYTBZSTdxZmdNWUpnQ3k5Zzg0cUl0a0hwT25uazNPcVdMX1RzbGN5elB4Um43LXd0cW1ybWV6Y04zSnVCaktEdkhsOE4zVmlaaS13?oc=5" TargetMode="External"/><Relationship Id="rId2125" Type="http://schemas.openxmlformats.org/officeDocument/2006/relationships/hyperlink" Target="https://news.google.com/rss/articles/CBMibEFVX3lxTFB0aUZmWmZjNkhtN0xjMDgydXVpVGJrRWNyNExUVWZXOWt2ZjBqOTZqS184OURMMHQ3ZWZxWjA3Ny1QSC01dHNESWtiT1BQUWVLc214TFUxYTVXT1doZ2dRV1BvZ3FuVm02S1BsRw?oc=5" TargetMode="External"/><Relationship Id="rId2126" Type="http://schemas.openxmlformats.org/officeDocument/2006/relationships/hyperlink" Target="https://news.google.com/rss/articles/CBMixAFBVV95cUxOdEgweTIzemMxdHhJejg5VkFWQUJwd3RSV0hWMnV0T0ZsLS13LXREUGRSd2xpNjFQRzJ2MG1aU29ZRFM4SlZ6YV9MV3VFOFhuUEhlU1BCSzdiUngyMUdwbnprMV96QkFzbm41dzNwcTdQaHhYTE1QT29WWUdiZkJYdHBaRE5aT3o3VzAtS0dvZlBURVczRHAxZ1dBdUR1N1" TargetMode="External"/><Relationship Id="rId2127" Type="http://schemas.openxmlformats.org/officeDocument/2006/relationships/hyperlink" Target="https://news.google.com/rss/articles/CBMieEFVX3lxTE00ajd1T0RobllMNldURWVpMGdueFhwNVFrcDlmczgyRkdfQk8zOUN2TW5XU1MwRW5tMmh0OXQ2SUlxekFNWWxmck55X3dtUFNxY2lnQlk1VktVRmE5REx6anQwZG5lR0lqNVN4aTh3dllYNnBVZU84Ng?oc=5" TargetMode="External"/><Relationship Id="rId2128" Type="http://schemas.openxmlformats.org/officeDocument/2006/relationships/hyperlink" Target="https://news.google.com/rss/articles/CBMibkFVX3lxTFBOeUY1c1VURXBWRW9GNThXNWFuczAydHFHQzhTbzFnSXFweDhQX0tlLWQxWEp0b25VT3dPTXdMRS05cF9nc2IySmNLbnhKZkE2RGJyS1cwZUVVcWc1RWVWSmR0Z3lGMGZmeTNHZ1pR?oc=5" TargetMode="External"/><Relationship Id="rId2129" Type="http://schemas.openxmlformats.org/officeDocument/2006/relationships/hyperlink" Target="https://news.google.com/rss/articles/CBMibEFVX3lxTFBxYl9rRmljZVo4eER5bV9GT3U1N1FuNnFiR2lhMjBZT0RaNUZfbTNKd0pFOXVQVnBxRFl0c0cxTjVMc3Y5NnFrUDdUUDlZSFFzd0pzajdxUFFja1BiLVNOUHB0dEc5aGctS25yUA?oc=5" TargetMode="External"/><Relationship Id="rId2130" Type="http://schemas.openxmlformats.org/officeDocument/2006/relationships/hyperlink" Target="https://news.google.com/rss/articles/CBMixgFBVV95cUxOWkZic0NwS1BiMEJsbWxwTzY0Qm1BNE9Zajk4ZVFFTEdPMDlfMWlqMTEzRmFBVDJRX0s5dHRsN2hMX3hkZ18zaXNfVmVralZVbjBPcjFfVU10OHVDb0w1eG5MaUhPOFVBS3BmSUY1M2FUcDJkMXJFQ21IUU1JcGZzeWxrQ0pIYzFmb3pOU1NmczZaRHh2Q0lzb1cwaFROOU" TargetMode="External"/><Relationship Id="rId2131" Type="http://schemas.openxmlformats.org/officeDocument/2006/relationships/hyperlink" Target="https://news.google.com/rss/articles/CBMibEFVX3lxTFAtdENjM3ROWm5XOHNKSEg4RFBISGdkeEFqYlhvNVVYVzgzbkZlMlo2NF9lWnJrMlpUa0lNWDExSWQwdV9jUkFMSUpWVUNqS1hSSzFqdHBPOVlRQzN5Y0x5WGNweHlLZjhjOHhGRQ?oc=5" TargetMode="External"/><Relationship Id="rId2132" Type="http://schemas.openxmlformats.org/officeDocument/2006/relationships/hyperlink" Target="https://news.google.com/rss/articles/CBMibkFVX3lxTE4tcGxabVRONEU3YmhnMTVMSElrOU80dHBKTVlwU1FKSnJyWlVhdXJBaFVIT1VCa0ZsLWI3b3dZRDN0LUZKaUgzR21BUU1PNVc4eHViNU5sYl9EX3FabENFeFNWM1hzVXFmdkk3SDZB?oc=5" TargetMode="External"/><Relationship Id="rId2133" Type="http://schemas.openxmlformats.org/officeDocument/2006/relationships/hyperlink" Target="https://news.google.com/rss/articles/CBMigAFBVV95cUxNV29Ma1RxT2RSU3VLZzNJX1BlTTdhbUUyZlVrRVBGcVhzdXdvWE8yRzNUdGg3dm1yTGRWLWE1YTVZUk10OXhiQWlOYXZ5b1huTURsNmM1OU1OTWprOHp5Ukh2VGctTXhkMmVxREhsamJlSThJWlZLX1FfSlJXVXQ0Vw?oc=5" TargetMode="External"/><Relationship Id="rId2134" Type="http://schemas.openxmlformats.org/officeDocument/2006/relationships/hyperlink" Target="https://news.google.com/rss/articles/CBMibEFVX3lxTE9yOEtULTQ0aFpwbFpJUk9rQ1kxRnVXMDJLRFhDM0ZuQkx6TVV0MUoxUjRIa1JMbHVjYjlIMTZUS0daLVp3el9FQlRKUzRLdDNWTE9zbC1UQkMxWkhEb1RheHhIYkJ0YllvcDM0dw?oc=5" TargetMode="External"/><Relationship Id="rId2135" Type="http://schemas.openxmlformats.org/officeDocument/2006/relationships/hyperlink" Target="https://news.google.com/rss/articles/CBMibkFVX3lxTFBTcjctOW1UZFZ0WHdFWUNKdHZsUnVyb1FWM2pmdDNQb3Rxa2ZxbWhPa0hHLTkwQjJObWZGb3dBR1p1WlpobWp0dWNCaDE5cFZ0UXdadWdUS3JpckJCcEI2U3FhVFVjbXhFbl85RmNR?oc=5" TargetMode="External"/><Relationship Id="rId2136" Type="http://schemas.openxmlformats.org/officeDocument/2006/relationships/hyperlink" Target="https://news.google.com/rss/articles/CBMipgFBVV95cUxPbFJISjI5OHlsNWxwQ2JFR0lIMjludWpMUUtIVEs4NTlwX3N5OE50dkJma1pjdmNCaEt2Tm1YTlRBbXJIOHlpU2dwUGhydkdCMEhnd1lpaU5WOHotRXdQajZ2WkZPTnFwZE11ZjBUQVR3MUg4Vl9fQ1RmcVF1QXY5cWd5VzBTN3FpVmtvdG1MenpTV2U2WThrX3JuV1E4U0" TargetMode="External"/><Relationship Id="rId2137" Type="http://schemas.openxmlformats.org/officeDocument/2006/relationships/hyperlink" Target="https://news.google.com/rss/articles/CBMibkFVX3lxTE00VnE1QmU3bTEzREc4eUNuWHVQOElleDNwanZqemlZNEpCSm1KZGJuaW12MVplUlR5anlYOW1GYU9tTmc3TXV4XzVrTEJ0cXhCZzRBbHkxb1dpQ3luc0dNU2x5NENGdTVvdHpKMXpB?oc=5" TargetMode="External"/><Relationship Id="rId2138" Type="http://schemas.openxmlformats.org/officeDocument/2006/relationships/hyperlink" Target="https://news.google.com/rss/articles/CBMibEFVX3lxTE12QmpTd1NpSFJHU1JjMWpoUmppRjQ4aUVqU19nYjhtMVFEVE44OW9ydk5tYmZDUmZsT3JpOEF3TkNiZUtaUC1LUHlQQnBocXMxMlhpNk5UX3ZNbmdjRFpCdmhLRGd1ZVlnUEtaZw?oc=5" TargetMode="External"/><Relationship Id="rId2139" Type="http://schemas.openxmlformats.org/officeDocument/2006/relationships/hyperlink" Target="https://news.google.com/rss/articles/CBMisgFBVV95cUxQSTFCblllNlpMbU1XOUJ3YXFfamwxc3NtQjJnUUdydGZOYUYzNkQ5M3gxdlFUbk55ZWhWbVg4YzBKclFWTFFuazktMmhoU05ScG9uMU1FUkxRbE44OW5JWEtfdHVHV0t6VGJDdjJLUk44LUlyVmU2blZBZ1FXLUFZamstTVBJZ1dSODdYb0FDckozZXRubXNlcEI0MnJxMT" TargetMode="External"/><Relationship Id="rId2140" Type="http://schemas.openxmlformats.org/officeDocument/2006/relationships/hyperlink" Target="https://news.google.com/rss/articles/CBMieEFVX3lxTFAwX1drNnZ5c0JOWGJKb3VYd2VFV0VYTWJneEoyeUtGZm14SmRkd1EyV3ZROWVTQS12cGlZX2MtLW5VaHhrU2xaNFZxSWgxMm9RcENxanptRXBNa3VXZnU0NXVDNW95UVJwVVM2TGRGWGd2VktKZjFpdg?oc=5" TargetMode="External"/><Relationship Id="rId2141" Type="http://schemas.openxmlformats.org/officeDocument/2006/relationships/hyperlink" Target="https://news.google.com/rss/articles/CBMibEFVX3lxTE5hSk82bW9TeGZ1VlF5ZnIyLU9maEdiZXZUQ05RbzF4N19FSlU1ajQxdEVjN0hoRnZ2Z1hWQWJ4SXFvTTY0QlFUSEdpb0J1Snk1VGdxRy1jZ2piMmdESHNyU0JsRnFyX0NSWmp1VQ?oc=5" TargetMode="External"/><Relationship Id="rId2142" Type="http://schemas.openxmlformats.org/officeDocument/2006/relationships/hyperlink" Target="https://news.google.com/rss/articles/CBMibEFVX3lxTE12aGdCdnBQcFNsZ1hjOERGQlJjdVdqdjJVQWZkQXJNdjA5VjB6b2c0RWYyVEdLZ2l1R0VnOFlXdUZDU1Y2SjE3UFNCRDl0bFFma3NDNjU1blhMcDJsdnRkdFdNdzUwMmhSN1dDQw?oc=5" TargetMode="External"/><Relationship Id="rId2143" Type="http://schemas.openxmlformats.org/officeDocument/2006/relationships/hyperlink" Target="https://news.google.com/rss/articles/CBMinAFBVV95cUxNQm1iZW81ZnNtYm5lT2R6WjdvV2hPV2ppR2U0NEJtWldHMU94cWU3Mk5LV2VQdzZlcWRYXzlreGd5R185YVIzYklqVGl1WV9wSzRuTHZVVGM0MVVDeGJ5U1BFZzNiX3VobTNGTl9uTVJ0THUtQXdJVzJPbDVEdWNKV2RDRE1BbnQ3STNEc2R4WkxWbXBvcUFuVDNLbUM?oc" TargetMode="External"/><Relationship Id="rId2144" Type="http://schemas.openxmlformats.org/officeDocument/2006/relationships/hyperlink" Target="https://news.google.com/rss/articles/CBMidEFVX3lxTE5BbVdNNmpfbFR4Y3RhbDR5LUo5V3c3dmJpRHpzRmpDYlM3c2p5WWI1MVNtekRyRGEyYjl6QW9idk5TUXN6YnlvQ0VEU3ozTzhreEJTQ2hnOEhIV0dfWlJNRmF6QV8xQVNqX1l0NVBZenVENUI5?oc=5" TargetMode="External"/><Relationship Id="rId2145" Type="http://schemas.openxmlformats.org/officeDocument/2006/relationships/hyperlink" Target="https://news.google.com/rss/articles/CBMibkFVX3lxTE1BNllTMU50bXQ2aXlLc0QxNjJ6ajl2V05jaTB4RUpRb3Nod1FlTTZkQ2JCd0ZHSzJaNGU5VTVkU2JDVEhtLTYtLVdDdXJadjc5RFcwcnFkOXBGOXYyMW5Jd1pYRUIyQ0Z6eWcxY2FB?oc=5" TargetMode="External"/><Relationship Id="rId2146" Type="http://schemas.openxmlformats.org/officeDocument/2006/relationships/hyperlink" Target="https://news.google.com/rss/articles/CBMi5AFBVV95cUxNcEQtc2lhLW9VZnY1ZlFkbTNjcmxCWTBCQi0zZGdtSnE3WVZtdFRTcnZZYjNnSnZUWjRxUnlZWkNJOXlDYWtuZWhLdnNKX195cWlwU3c5dlpaZm9vaGZCam10SlZ6a3pxcUhsQzV2aEVfdF9DZDJIZGlFMnlGQWdNcGtqY3BpeTQyM0MxWVNnZ3NXNVhPcF81OFVuVUFSdm" TargetMode="External"/><Relationship Id="rId2147" Type="http://schemas.openxmlformats.org/officeDocument/2006/relationships/hyperlink" Target="https://news.google.com/rss/articles/CBMixwFBVV95cUxPR0pUVXI2RGRtZ0prbnRndHZONlpwR2trTVo1Y193Y2QwamZseW1wa19oNEtLRksxTW1LcnVyRGNLTWROak1oS29FUmNJOG9FZ2RGblM2V0Roekt4ZmYwRGZBUVJKMVppMzJteVlZMjAyQ1BaS2RYTEx1UzNUbnYwTTZ0U2xySFZTSnpnSkNVME90VFJjWWVwM1J4bFhEYT" TargetMode="External"/><Relationship Id="rId2148" Type="http://schemas.openxmlformats.org/officeDocument/2006/relationships/hyperlink" Target="https://news.google.com/rss/articles/CBMibkFVX3lxTE5pQTVZZ3p6b2k4c0c0MExYQWZXZUtJd3E2ZXh1bEhkQ1dpTDVjRGIwWmtqTklvRlk4a2ltdW5uN2x3ZWRuOEduNE4ybnFXVVlCWXN3bkVxSG1wN0JkcG5YMTNZQ1Z0TmRrc25TWF93?oc=5" TargetMode="External"/><Relationship Id="rId2149" Type="http://schemas.openxmlformats.org/officeDocument/2006/relationships/hyperlink" Target="https://news.google.com/rss/articles/CBMi5wFBVV95cUxPUkF6RVJnOTZjQ3RuN0xxMFhjOXRMazlOTnFURE1yMXQyYnROMWxiTnJiemU4YWdpenF2NU1ZQkFDQVRSWW5BMEZkRFBFMk1FMkFqOHBYUUxxdnpDODNaRmZqMnlyX01SUm5iQ3BPVUZGQmdiMDFGWFQ5b0E3cnlMQ09tM09xdzRyR3czdi1BRHk3a0d0Nm5aOFF0UWQ5Wk" TargetMode="External"/><Relationship Id="rId2150" Type="http://schemas.openxmlformats.org/officeDocument/2006/relationships/hyperlink" Target="https://news.google.com/rss/articles/CBMi5AFBVV95cUxQeE5KdVRHOFEyLTJjeVhYQURiWHZ4ZEVMdHpRTzFEWkRWR3hpY3J1S1JtUjZRcFg3WGE4ajNiVjV4c2k5TXJrNVRHNzdITjlCU0N1MTdNVzFvMFpMTDI0dmI5V3JEX3FIYkZZajlLZ1ZUNEJPZjlzTk1rWWoyUlVVWGpwY3MwdVlVcmR3LVc3ZUlaU1Z6Rzcxd0t1UUNCQ2" TargetMode="External"/><Relationship Id="rId2151" Type="http://schemas.openxmlformats.org/officeDocument/2006/relationships/hyperlink" Target="https://news.google.com/rss/articles/CBMiO0FVX3lxTE9fMGtLXzJ4aU5WUnp2dWFDQXRqbU5SXzJqbGhIU0xXZFhVQzhIcEc5UU9uTExSM1llVzk0?oc=5" TargetMode="External"/><Relationship Id="rId2152" Type="http://schemas.openxmlformats.org/officeDocument/2006/relationships/hyperlink" Target="https://news.google.com/rss/articles/CBMi1wFBVV95cUxNeGt1c3l6NDNuWG1PMkVxcHEtaDBvbUNPMzNHb21aQnlSVFdKdFczMzFrMHhCWTY3Q2pBWmFPTXN4OExiZEhkdGpnT1VWQWhvNFZfdGlXSW1mdVFkVURuR1ZISWZxcy0xQ2x1eW5sQTFxRmt3RDE3ZC1jVWFFZ09rWHR6STVnXzRfLWYwLW1QSUxtSTlRVXdtSnZMLXlHa2" TargetMode="External"/><Relationship Id="rId2153" Type="http://schemas.openxmlformats.org/officeDocument/2006/relationships/hyperlink" Target="https://news.google.com/rss/articles/CBMibkFVX3lxTFBtV3J2MVQ1b3JORV81b0V4RjJwdU5qN2VnUFR2TUEwbmpFRU5qN3JrdXNzUWc0WUdCOFhaQjBpTHJ3QjZhQ3hsMEtRbW1Ebzh0ajJnOWVhUzBnQVJNTnJRU295Q0xqV3BfWXdZcHhn?oc=5" TargetMode="External"/><Relationship Id="rId2154" Type="http://schemas.openxmlformats.org/officeDocument/2006/relationships/hyperlink" Target="https://news.google.com/rss/articles/CBMibkFVX3lxTE1adzdQMVJrLWVmMnlWTDlkOGRmTVlOamc1T2RSN3VQWXZHQXlQRUJOU05KRWZlb0EtVEdmUl91NVJVY09qQVlWMWtYeDBSRFFzRzBxLXphMzRseHFvN2xKaUJpOXhSeEhDZl8wd3V3?oc=5" TargetMode="External"/><Relationship Id="rId2155" Type="http://schemas.openxmlformats.org/officeDocument/2006/relationships/hyperlink" Target="https://news.google.com/rss/articles/CBMibkFVX3lxTFB1TEpMbU1JbW83U0REcUtnZ1VUbkc1NVFPcWp3Q1lXbnFxMTVmWVpRLUlSaE8yMWhienVkTlh6U0FaT21veTdTTUJ0RHRlejNXUHQtVDNmUUNHbVNzcTh6OGV0ZzJ5RkFSNi1vWWFR?oc=5" TargetMode="External"/><Relationship Id="rId2156" Type="http://schemas.openxmlformats.org/officeDocument/2006/relationships/hyperlink" Target="https://news.google.com/rss/articles/CBMibkFVX3lxTE1HdEVhTUw4WWx6TUY2aUgtOWItZnliZlNGci1GWjhkdE1ESVVzRkJmdF83OHFRTUJUVVYwQjd0UmtpQ3Vyelc4WGVGQ3o3VzNHMkc1SDZpU0NTNDcxcTVpTTROZVMwOW1TVlhWS2RB?oc=5" TargetMode="External"/><Relationship Id="rId2157" Type="http://schemas.openxmlformats.org/officeDocument/2006/relationships/hyperlink" Target="https://news.google.com/rss/articles/CBMi1AFBVV95cUxQTjFDT3lna29oUmdsaU4xd1RhZW5yNmlGRU1CTmN3a25zLWdKUVh4YU1teS1OQktHSkNReWhfcGhZenlTeDVVaGZra1N1WF9JTURXQjFEX09WdW93QVFNbnByN09aWnZHTEhjRnh0cWN2Y19XUm9RRnVsU0ZyS243OVZhT1lCWDZvQ083SXFZRVpCMmdLUXptaWY3bFVjSH" TargetMode="External"/><Relationship Id="rId2158" Type="http://schemas.openxmlformats.org/officeDocument/2006/relationships/hyperlink" Target="https://news.google.com/rss/articles/CBMilwFBVV95cUxNUkpXTHZPZnltSm9LbkgtRm5nT1BtREVDQlNNd3Y0b2dNeGl3ODRzd0d6czRhZWs4VW9HU0NwSWNJRkNiWkNvSkRmdThPYTZuTHpUYWpWbC1adkladlJ3TDFtdVpYV2VhendXYjRLMkdrclBReXJjTlZJWEVDWDBZRmNEblF0NjFfTkdKTmVvTldseHNFNjVZ?oc=5" TargetMode="External"/><Relationship Id="rId2159" Type="http://schemas.openxmlformats.org/officeDocument/2006/relationships/hyperlink" Target="https://news.google.com/rss/articles/CBMidkFVX3lxTE5DcndVWlg2QWE2Z3ZKWnF0amxmeUl0TGlJRGJZeER2MnMzc3pQeER6SXZHZUdkRXozMTV1MWJxVTFISHRVaFJvYnBZUEF5SnAyMDlvZEF1eE96SkhUOG9CemVWMmVnVWpydXh1bnFoa2FvMFNDVkE?oc=5" TargetMode="External"/><Relationship Id="rId2160" Type="http://schemas.openxmlformats.org/officeDocument/2006/relationships/hyperlink" Target="https://news.google.com/rss/articles/CBMipwFBVV95cUxPcVBNUi00bElqTktVc1NxNmtKNWV3YlFxR2FLSXo3TXAwbFhjeWM2ZkV2UDVIWlhzbGdwREthQ0ZxX040TFowLWNCTTlfWDN5SE0xbEZkQVBpM0dCNlZkLS1tR2VKLUNwRzNKVWdYNEJ0cktLRnYzLWVoajNnZXA0SFZDWHVqNkoweHAyc3MtZnhTWjNzRFU1VlVuRzJpcz" TargetMode="External"/><Relationship Id="rId2161" Type="http://schemas.openxmlformats.org/officeDocument/2006/relationships/hyperlink" Target="https://news.google.com/rss/articles/CBMiWEFVX3lxTE9ENlhKa1F5NFMtMzZkT2pMN3dUTk9PMmx1ZmJWYldwZDYtSGE4QlFwZTAxUXhhX0V2Q042VGE3QjItckJIWGNTMXpPMXNuSGdfZnJmVHQ4NFQ?oc=5" TargetMode="External"/><Relationship Id="rId2162" Type="http://schemas.openxmlformats.org/officeDocument/2006/relationships/hyperlink" Target="https://news.google.com/rss/articles/CBMibEFVX3lxTFBsNldFZmh3Nm1IQURWSDBub2NoNl9RN2xxOTF0OEZNbUtmRUtqTGczMjZRckJ2ODBFbDljZWJEVC1lWloxOUpfODh2S3lzbFFRMEFKNGpyYlg0aEZPY0pEdXJ2em92UlFfakRkNw?oc=5" TargetMode="External"/><Relationship Id="rId2163" Type="http://schemas.openxmlformats.org/officeDocument/2006/relationships/hyperlink" Target="https://news.google.com/rss/articles/CBMiywFBVV95cUxPYW9LcjFxMmwteU1vTUQ1bGFKQWtCcFBjZ21ILUNtVmlNWXFOY3Vnc2VRWG5neUhtelc5eTUxVjZIeVZieC0xaGFIOXFoak5HX2VNZ0JaUzdwN3pMTktBOV9LYUpaMGJTM2ZSNFJ5WUxqdmtveHFQd3I1NVhIeTNsWW5tZXJGdmNicVZFTlNnNjVrczlERTFYbU1Dc0Jvdk" TargetMode="External"/><Relationship Id="rId2164" Type="http://schemas.openxmlformats.org/officeDocument/2006/relationships/hyperlink" Target="https://news.google.com/rss/articles/CBMi1AFBVV95cUxOMkVhV2poeWxlcDVNVFhIOWxfYmcyMHVzRjNfNFZBeVMtVDluTzZfQ2ZFdHl6WU9QUEp2cHRWWDJ1T2w3STktYlNZSnphbEFKMkZHbTdOdzg4VU1fQ085aGczaXJ6NlppeTFsVEhraHZjUUpYNG1kT3Zjc1pSd2dqQ1F5NnV0VDFzOTF6QXUtSWZWdHM3S09UX1l5dVV2Mn" TargetMode="External"/><Relationship Id="rId2165" Type="http://schemas.openxmlformats.org/officeDocument/2006/relationships/hyperlink" Target="https://news.google.com/rss/articles/CBMikgFBVV95cUxNdVBsQ1VmSURJVXduMksyazBoLXl6RXNWejRxZUhEZ3pZV21USGVQWDk1NUF0azM0ZkJNMVMzU2pGUGhrR1JzZFhQSjR2Z2hDbDBjblREZkRPanN4TjQ2b3lLQmwwQjd4NnNpOXVqZDNOcnFucFBrcjlRbmY2clNYWm90VWZuY21sNl9fMXNpb1ltQQ?oc=5" TargetMode="External"/><Relationship Id="rId2166" Type="http://schemas.openxmlformats.org/officeDocument/2006/relationships/hyperlink" Target="https://news.google.com/rss/articles/CBMibkFVX3lxTE0tSlpkNVBOaXRkWjdSaE5Xd0ZWQ28zWkpjWVJvWmI4SV85Rk9LSWIzdDBheTRGaTNUbzJCdVRFcTI2RWdOS29IMXZlVmgzaGRUa0tKQ2RJRG9Fb25oUWlHYXpHcTRMTjJmMXMyaGVn?oc=5" TargetMode="External"/><Relationship Id="rId2167" Type="http://schemas.openxmlformats.org/officeDocument/2006/relationships/hyperlink" Target="https://news.google.com/rss/articles/CBMic0FVX3lxTE1NLWV2b1BMbW5qLXN2ZE0wZWJCTFM0b1Y1bFRjZnhHQ3ZVRTJ0eXA1NDQ1QzdJR1VKUlZJaDhQU2NFYXJ0RTA3N1lZaGVVTjloaU5UZS14M2o2eng4SlVMTzFNZjJmT0NLUnRXZ1BzeWRYOVU?oc=5" TargetMode="External"/><Relationship Id="rId2168" Type="http://schemas.openxmlformats.org/officeDocument/2006/relationships/hyperlink" Target="https://news.google.com/rss/articles/CBMinANBVV95cUxQazdkejEtdjZlVXJSUjFwNzhON3I5YVBOZXhDYlAyaF90dFhlbVJRbzhlMHJ6SGpwd29OcEo1WkR4VFlMOUYzRG1BU21DZEQ5S0VRQkZRQ2RXM09rTnkwZkpObmFvN1c3TXpLZFVlbDVrcU5MWXZ3WWlVeWhYU1RkTDZPa1g0d3U4X2Z6QjBmN0hVNm9Hc0xyWEp3ZXlSdz" TargetMode="External"/><Relationship Id="rId2169" Type="http://schemas.openxmlformats.org/officeDocument/2006/relationships/hyperlink" Target="https://news.google.com/rss/articles/CBMiiAFBVV95cUxOZGFOeldQRlk4SGdvVW9OUFFaT1FiQU9LVktYYmNmWXpjLU1YSjljMkE4Sndodk5hdFVZZmdqYnRTTGtTRlFuV0t3VXBsb0VUcmpaSS15emRyQXhrMGlwQ0tYSmJBLXQ0UVJtNWlEQXpXeWJwUmw0VVVHMmdGV19haUtsQi0wb1NN?oc=5" TargetMode="External"/><Relationship Id="rId2170" Type="http://schemas.openxmlformats.org/officeDocument/2006/relationships/hyperlink" Target="https://news.google.com/rss/articles/CBMiiAFBVV95cUxOZGFOeldQRlk4SGdvVW9OUFFaT1FiQU9LVktYYmNmWXpjLU1YSjljMkE4Sndodk5hdFVZZmdqYnRTTGtTRlFuV0t3VXBsb0VUcmpaSS15emRyQXhrMGlwQ0tYSmJBLXQ0UVJtNWlEQXpXeWJwUmw0VVVHMmdGV19haUtsQi0wb1NN?oc=5" TargetMode="External"/><Relationship Id="rId2171" Type="http://schemas.openxmlformats.org/officeDocument/2006/relationships/hyperlink" Target="https://news.google.com/rss/articles/CBMic0FVX3lxTE5ac0RhS3BINTFTZVU3YWdrM3cwT0Z5R0FrZ1JaQkRxSDNJUmVQMGV2RHBMSnFsN1p4dExSdWVlTFlvMC1sLWpFMTBmVHFtanBxNEh1TExJaTZzejdOb2lWV1hnU0xqcm42TlBPdnVoQWdXeVU?oc=5" TargetMode="External"/><Relationship Id="rId2172" Type="http://schemas.openxmlformats.org/officeDocument/2006/relationships/hyperlink" Target="https://news.google.com/rss/articles/CBMimAFBVV95cUxPRGxzbzNQR2paU3JyR0VUZURlZktNZzZWbFd5b3FUWE53anhja2pXZFR6c3Y3N2dKckpoMXhGRlJ3aC1sbWNYWjRqaUdONWNDaW1odTJkR09tNDF4blBDdHNpUV9WOG1uNUl4Y29BVFBRSFRHY2pOV0hXRHNkSjVJc2YxOW5vSENIWXJrREVockdUOWEzR0hoUA?oc=5" TargetMode="External"/><Relationship Id="rId2173" Type="http://schemas.openxmlformats.org/officeDocument/2006/relationships/hyperlink" Target="https://news.google.com/rss/articles/CBMi5gFBVV95cUxObC0wZnY1UFJ0YzJCNnQxbzNpRXNvUndlQ0JnYm4wY3VJSV9uT1gxWGRTaWlJZFU3UzBUU2RIZXFLc213NmljSXEwblN2REo2akZnRER5WFhWY19IR1JxUHRPUnB1cVI5OWlrNmpINUppQnAxbnN0WnpoSU9ULTloeVoxUFlwRE1odjRHNmRmWEhVcUlYSUNib1pzQzNuOW" TargetMode="External"/><Relationship Id="rId2174" Type="http://schemas.openxmlformats.org/officeDocument/2006/relationships/hyperlink" Target="https://news.google.com/rss/articles/CBMi2AJBVV95cUxNVk05MlZHZHJjTUd1dkVxZmxPZjVVbUxzVUVxOHE5NFpwUm9lVTd1aUhuUVgwZWpRY3YtZ0hFbGh0cHh6bjZVWXRLYW9aSUNLak1DY3Q4dGhCMTJHeXlDLUhwUTQ1dm9fYlY1SG52QUFNU01BQllsbUtZZ1FQc05BSVh0d3FGM2NGQ1lmRUt2OGxMa3Q5dDVYRHd6a2JWen" TargetMode="External"/><Relationship Id="rId2175" Type="http://schemas.openxmlformats.org/officeDocument/2006/relationships/hyperlink" Target="https://news.google.com/rss/articles/CBMibEFVX3lxTE1mZGJqdUk2QkYwREl3dzJSZktnV3EwVGwxdUFXRnJDaUJ3cVhiZG5qTThNTEZHcmVjMVJScjNNeWdzbzF0YU5vcDJjNzdLczVvV1VUWUdpWW9GQmtnTmNLSWZ5bDBTS0V2X1JxRQ?oc=5" TargetMode="External"/><Relationship Id="rId2176" Type="http://schemas.openxmlformats.org/officeDocument/2006/relationships/hyperlink" Target="https://news.google.com/rss/articles/CBMi5gFBVV95cUxNSlVSUHhUQTJSRnl4bGh5cFhVN0JyTVkwOVJfQnRwamVCc1JMYTFFZmZBMmlGMVV0Um13WExRcFI3TmdVa3RJVkNtNmVjX3QzTllXdi1YRy1uWEE4WFJKYkp1SV9BQ2VMMDJxOG90SXF0TXpGMVNiQ0xGRnBNODhxTjVlVUZrdVBFR0hmZjFFR19pVlMzODhJOFlnTzM4bz" TargetMode="External"/><Relationship Id="rId2177" Type="http://schemas.openxmlformats.org/officeDocument/2006/relationships/hyperlink" Target="https://news.google.com/rss/articles/CBMibEFVX3lxTE9Ib0pPWUxIcHh3VnNBX1ZmRnN5QmV1VkFJWVlZWGZPRXRIQk9lQmE2QUxvaElaN3FYY1VuNHRIbFdVeWRsSnc2MWVHMVZpT29DVXVDUHR4b202cFkxNDJyYW80Vi1qRFVPbkRLNw?oc=5" TargetMode="External"/><Relationship Id="rId2178" Type="http://schemas.openxmlformats.org/officeDocument/2006/relationships/hyperlink" Target="https://news.google.com/rss/articles/CBMivwFBVV95cUxOSlpvUVRZS1p2S3pkM0dta0haaHV2YkpJRkZZYmJ6T1ZqbWIxQUxGUkR6bUJnLW9rWDVkbFo2OENYSHZDYlZyQ0pTNXlkeUs4Qmg0WGk4OXlxeVo4bUgzQzdzVFAyNFBGZmpZT0hINDRqOVlqb20yXzRqUkpDQWFnZkZaQzFCQ0xKV2Frbko5YmhSQndWTkN0dWdMMjJ6aW" TargetMode="External"/><Relationship Id="rId2179" Type="http://schemas.openxmlformats.org/officeDocument/2006/relationships/hyperlink" Target="https://news.google.com/rss/articles/CBMirwFBVV95cUxPV2FjajlvamJJSlM4Z0tnM0YzR2ptWTJJZUFkdG9jZ1J4VERDUDMtOTR3Qlk1cHIxYlo4RmZsV3JnU1hJcFlEU3JFUmt1NWllZW4xMHlrQWJ2MnZDRzdlOUVud3JJcTdfWWxZc1ZDcVJpODZrLUhDMkc5emU5bGczVjdSMUFaWmEzOE5rRU5OeDgtMU1hekxsUENxQzlDck" TargetMode="External"/><Relationship Id="rId2180" Type="http://schemas.openxmlformats.org/officeDocument/2006/relationships/hyperlink" Target="https://news.google.com/rss/articles/CBMibEFVX3lxTFB1QldJamF4cHdsNGxpZ2xoOGdyU1BNXzlFeklfR1dPbks3XzNTVTNuUDdQVksxSk9HU1RfRWp3ZkpxWUJ0YksxcUpFcmIxNU5oZ0VVTjQ5bXk1YTdVbV9uMmZMeFlHSWhKRUNhUw?oc=5" TargetMode="External"/><Relationship Id="rId2181" Type="http://schemas.openxmlformats.org/officeDocument/2006/relationships/hyperlink" Target="https://news.google.com/rss/articles/CBMibEFVX3lxTE50Z0VnLW5pTVpKZ256RkhPZnZydDItNnJPWXRLUHNHeUo3eGJRbUF1RjNYWnU0VUZUX2tSb0lDV0RzUFhNR2RWTmFoMkZZTlVIVEhJZ3M4dmRJVGo1REUyX0lBa0d4Q1dNV0h3aA?oc=5" TargetMode="External"/><Relationship Id="rId2182" Type="http://schemas.openxmlformats.org/officeDocument/2006/relationships/hyperlink" Target="https://news.google.com/rss/articles/CBMibEFVX3lxTE1fWWR0YjZlNE5PZjJxYUVvRTJtQ1JwaXc1NzgxaEgxZll5dUxrVTd1SWptZThzaWNONkJSX1VHZDZlRVpFbERfX3c4RHFSWmQ2UHpjblNoVWJBVHYwWmZnZ3lMQjVULUxfRGthSQ?oc=5" TargetMode="External"/><Relationship Id="rId2183" Type="http://schemas.openxmlformats.org/officeDocument/2006/relationships/hyperlink" Target="https://news.google.com/rss/articles/CBMiggFBVV95cUxNVDU4OEZVRkRmQUViZlJSNWlUODFJTko5bHVFa0dHX1NDRUxXUS1wNjJuaXJnc0hjdUJNNGJZTnA0dGJTOFpHN2JqVkROckdRVnQyYktXcFhZVzBlYVNZYkF5c0tWeGpYUmw1M1dFZHdFaEp6WDdBRnh6ME01Zl95QVp3?oc=5" TargetMode="External"/><Relationship Id="rId2184" Type="http://schemas.openxmlformats.org/officeDocument/2006/relationships/hyperlink" Target="https://news.google.com/rss/articles/CBMixAFBVV95cUxOM1lpUEU5ZkRSaFZMaXFseWhwWHpXN3JieWVnbEZ6TnhRaGlGYzlNWkluVGdtYjA2MXRCLTc0Vkg0RDZ3T1ZqTVpRWHVsRjVyaXZkT3M3X2JXMlQ4OFlrVU9OTUdKQ0s2b2ZhV3V1dE9oeTRDVWdrMUxERHctelV4MWtxbXRZNFNsZEgyWkhVYmJPUjJ4WUtDZ2FNTWVycS" TargetMode="External"/><Relationship Id="rId2185" Type="http://schemas.openxmlformats.org/officeDocument/2006/relationships/hyperlink" Target="https://news.google.com/rss/articles/CBMiogFBVV95cUxOcWtXU1YtZlAwbW00bHhUNTQ5RWZtcGZNOXF2M1RfZV9PM3NLaktrX2xES3ludnI3VHhTU1RUWXdPbWQ1eE1vR1lqV2lyUDhfNkRXQzB4MFRDc3RJUGwwajgxc1VhcF9mcFpRZG9fZmV1aUNGU2NIZkk4SEtLR3RWQUR6dnl4a19kRUNWZFNiQXVhbzBuLTRUTW9ENXc1a1" TargetMode="External"/><Relationship Id="rId2186" Type="http://schemas.openxmlformats.org/officeDocument/2006/relationships/hyperlink" Target="https://news.google.com/rss/articles/CBMibEFVX3lxTFBBUXEzaGhqRFBrRzNybzJSNVRQLU9PU0MtRkNVU2F0aE1KMzFLLTlObG1RY0VFdzExXzFhWEpXZ3VkakNQUmdTamZ4UUgwMFNHeGQ5WXA4VlQ1TnZKajdrMjVEN28wX250NU1ESQ?oc=5" TargetMode="External"/><Relationship Id="rId2187" Type="http://schemas.openxmlformats.org/officeDocument/2006/relationships/hyperlink" Target="https://news.google.com/rss/articles/CBMi7wFBVV95cUxQQi1Jd2R3NjNGOWxCb2hBVU9hakQ3XzNGNEJZWVhVOUdQUjItYzJSZlowSDJ0M0xxdmplZ21vVktERGxTZHZIRFZVam5WSVJKbEF6UWpWZ1k3M2p0VEJOOXRUTzVXclMwZHlqYVo1empJUFl5eEt6YzA2TlF1SC1kdFROV0toeUdKMl9pZFJXZTQtT3hJRHJLdEsxRGVsNF" TargetMode="External"/><Relationship Id="rId2188" Type="http://schemas.openxmlformats.org/officeDocument/2006/relationships/hyperlink" Target="https://news.google.com/rss/articles/CBMiywFBVV95cUxPeGZsd0xZZWEzZjRhOFo3UDZNM1FXcnFldlhkMEFYYmdqRElBSXQzcTY4LTJtMWNvWWJ6TF92eEhQb2FHQUdLdTIyT25YOW9hbXRYRzcwUGhpelhzLWlUSVBqMmJXQURMSEF3ZC1qOWNlYVBTYkNRZEJ6bnpyZ3BaWjhNRWdCN3VJVW13OXN6ZFZBdnp6T0VhaHV5REk0d0" TargetMode="External"/><Relationship Id="rId2189" Type="http://schemas.openxmlformats.org/officeDocument/2006/relationships/hyperlink" Target="https://news.google.com/rss/articles/CBMibkFVX3lxTFB0ODE0Y2tJejFkcXkyZjRydFd1Q1ZJVXpMM3FKMUV4QjRqbXAwWVU1bXZQM3dNUnItUnZQUDRZOG1Wa3hjejlDdXF0WWFhbzBISGNFbk1KczBSMTZxaVVDRTlqWkpiYVFuNTR1N0dB?oc=5" TargetMode="External"/><Relationship Id="rId2190" Type="http://schemas.openxmlformats.org/officeDocument/2006/relationships/hyperlink" Target="https://news.google.com/rss/articles/CBMivAFBVV95cUxNNDRIRHRtQmxwUFA0Sy1mWEJkTGhzbEp2YmN2WXF0b1dCZS1DUkJtSldNLXhNWWpKaUp0U25aMWZXdnJVN1pOMm1XWDlrdjJkMldaNW5BQnk5VFEySGd2ZnFnNVJmbnJuWW5MQVlMOFUtYmM4c3d5OXdqMmN0QTJmQTMtdVVoT295NVhxTHlYZGcyM3F2WnJ5WVBma2RXSG" TargetMode="External"/><Relationship Id="rId2191" Type="http://schemas.openxmlformats.org/officeDocument/2006/relationships/hyperlink" Target="https://news.google.com/rss/articles/CBMibkFVX3lxTE5PUXJyZ1NVbGJEOXI3S04yTEprR0w2bmFWNzVLQW8xREc4cTRIR3BCSUNxWlY3S3p6QURRRDBob1o1ZjFsTmZVTEE4M2VKQzVyOUU1TXFfQjVCTU82bkJyRmVOWWhLVl9YcnpiNkhR?oc=5" TargetMode="External"/><Relationship Id="rId2192" Type="http://schemas.openxmlformats.org/officeDocument/2006/relationships/hyperlink" Target="https://news.google.com/rss/articles/CBMi6gFBVV95cUxQYmpCeUM4NG1CRThCRGRNOFo3NllhUC1rVW1BRUdkVG9GRzBJdU5OcS1HOWhjcmExdWZHSk05YXpMSkkzME5yWk9icWtCMm1YT1ktdTFLSUlPaTN2MzFuUldvdWYwNDBGTElMSWRVZTlROFphdU1sZ3RudmFMamdRUHpXS1pVTkhkLWtjdmR6LU0tUmM5Rjl3V1FLdkRybm" TargetMode="External"/><Relationship Id="rId2193" Type="http://schemas.openxmlformats.org/officeDocument/2006/relationships/hyperlink" Target="https://news.google.com/rss/articles/CBMibkFVX3lxTFBRN0dETjBCME5VQ0xXUVVnM2lpbHN2eEZEbDcyRkZJWTc3dkJ6OGRaNjVxUjJsU1E5Y1R3Wk1mRVV6R25GM2lYbUpCTWFJUC1sUHdXdlNlWlM3TklQZUN3dXpTdVFvbkRKZlhZdnhB?oc=5" TargetMode="External"/><Relationship Id="rId2194" Type="http://schemas.openxmlformats.org/officeDocument/2006/relationships/hyperlink" Target="https://news.google.com/rss/articles/CBMitwFBVV95cUxPTTdvVmNja1dITEhiSmxSN2s4ZXZzMlprX2V1Vnh3OElfZGg2X0RGcnFGR2x6M1gzOHFYbVFsVWFTejF0REszZmYtQ3FuWkhVcmxZX0FKMl8wV0J2NUl5WXVQc3VZcGZpVkhXeHpiS2xyWDdWTlBLOU1CWGJYOHhzWlIyZ2VNdTNsVmgwQkdsOFc2dFl4dnpRR1pWUlVxbX" TargetMode="External"/><Relationship Id="rId2195" Type="http://schemas.openxmlformats.org/officeDocument/2006/relationships/hyperlink" Target="https://news.google.com/rss/articles/CBMi0AFBVV95cUxNamZYX2pORFplX3QyY1JhMWlrd2J2cnJRLWU2ZEJ1ODBMMWYwM1F6RU56LTNPR1BLd2lsSjRtT3JMWVd4VmpwMkRaNVBOUllST3BfXzltYWhJWHRYeVdfMTBIOGlFMVZ2d0VPbW1CN2QyRFZVLXpBT2tDWW9rYmZ0V0VPSlIteVV1WEp5aW5CSm9EY0hCVnNlNmlDU1hXVT" TargetMode="External"/><Relationship Id="rId2196" Type="http://schemas.openxmlformats.org/officeDocument/2006/relationships/hyperlink" Target="https://news.google.com/rss/articles/CBMibEFVX3lxTE9GZ0ZTT1JneDh3NnB4UkZCZTdaMWIwWGhIVE1KRl9PdnF6cnZlbzlVNi01bHl3MHNxNV9fTmo2anczSjJJaWdhdEwyXzhHbUpRaHNiRzhUaFFtelJpRnNKWnJpLWp4LUNncmd0aQ?oc=5" TargetMode="External"/><Relationship Id="rId2197" Type="http://schemas.openxmlformats.org/officeDocument/2006/relationships/hyperlink" Target="https://news.google.com/rss/articles/CBMipwFBVV95cUxQOWpXNks0RnFENU04S1RBMm52Z09jTGNoZktKYVlLbzFEaFpqTmtqZXVkNHVjNVhoTm1fNEFPLVpqSEw5UGVDUEQ5LVljYk9xck5sTU9QNzdqY3JtckFSQlA5QzQwLTBNbnpORXlDdnlLcC13cUdzZURyUHI5Y2o0RXJRTUhvS0tJcHRuMmE4Q2txbF8yaTF0LUZHWXg0YV" TargetMode="External"/><Relationship Id="rId2198" Type="http://schemas.openxmlformats.org/officeDocument/2006/relationships/hyperlink" Target="https://news.google.com/rss/articles/CBMidkFVX3lxTE9UVE9vTDM1YVZkRWMwMS1PU3Z2ZUoyUEVGY3JJcXd3QzJyOWpvcUphcnhkMjlGdkNaMXllY0tQNGtTVjk4enRUUDlJTHZEamhyckh6LV9Ua2hrVTVINkZIc1RXZkp1ZkQ1bkJBdDNzcWhlc183dWc?oc=5" TargetMode="External"/><Relationship Id="rId2199" Type="http://schemas.openxmlformats.org/officeDocument/2006/relationships/hyperlink" Target="https://news.google.com/rss/articles/CBMinAFBVV95cUxOd2hsVGR0NEg2LVpackRRNDBaOVpUeTlaSU03eGx1eVB1T1h1aGtEUk1GbG9UbTN3MXYtSU16eTd1bGdOYzk4ekk5aWt5SlU5dVczTEg5S19sZGtVUnBHRVRNM2dzM2FaRWVoRnZRMHEzeE5Lbm9LV3ZBcEJjWTlodjYyY0dCWlNGSi1pU2dYNWptSDBGY2FnY29MZnc?oc" TargetMode="External"/><Relationship Id="rId2200" Type="http://schemas.openxmlformats.org/officeDocument/2006/relationships/hyperlink" Target="https://news.google.com/rss/articles/CBMigAFBVV95cUxNS1NNT3JRV2NHRXNyLXg2RUZrc21aTWZVZGEtUEdCQjdFWTNueUIwa2RwTEVySVNkb3JvdHVaLXhOQUxpU0tZUkVxMDZESmZXeEtYa1NxNkFZejItLUZfb3dsMW9hN1dlVVhrZTlVODA0RjMxa0dycm9Ecm8tZGhpMA?oc=5" TargetMode="External"/><Relationship Id="rId2201" Type="http://schemas.openxmlformats.org/officeDocument/2006/relationships/hyperlink" Target="https://news.google.com/rss/articles/CBMibkFVX3lxTE1lUVNEZmdqd0ZIUEhaZHFBbGw1RTFaUGtJdzVoZWlpYjk2NmN6bkdES0VoRHVlU0xpWVg0NFhvU2Q1bnFtQlh1ejhMdXZwSWh4NUI3ajRnS0hMUDVVWHlpQTdRU2swNkNIV2g1cEVn?oc=5" TargetMode="External"/><Relationship Id="rId2202" Type="http://schemas.openxmlformats.org/officeDocument/2006/relationships/hyperlink" Target="https://news.google.com/rss/articles/CBMijwFBVV95cUxOVXZvcW42eDkyZl9wRGpYY2t6Y2ZWOGFPY3BnU2FTSlc3UEpHS0pGRkRQcFdNa01ybml6UlI5TUQyMmlrRVY1Z2dhbTVZT0hQOGZVeHFqZC05QWU0a0xHV0RaYml2UGxMckZlbUFJTk1tT2JPaFhLaFFSOFFJNWRXVS11WWJlRjh2bGlVUDcyRQ?oc=5" TargetMode="External"/><Relationship Id="rId2203" Type="http://schemas.openxmlformats.org/officeDocument/2006/relationships/hyperlink" Target="https://news.google.com/rss/articles/CBMimwFBVV95cUxNYlQ1TUJiWjVpTFI0TlRMeTdzQkdpNGpTNGlmOFg4NERnT1liUkRtY3lzX1FlWHAxOEExOUxuREowOTA4a3A3bmZ5TWVsR2R3NF9BeWs3OGUtd2tVLUlkd0FNdTFtSFlTTDJiOFI5WGFwS29xTWJLWDVZTXVHSkZjeGlYcjM4ckZpUlYwZ2duSTFsZUxWUGxRX092QQ?oc=" TargetMode="External"/><Relationship Id="rId2204" Type="http://schemas.openxmlformats.org/officeDocument/2006/relationships/hyperlink" Target="https://news.google.com/rss/articles/CBMiqwFBVV95cUxOWmdscDZmT0tfU1FyclJyN1hORDRZcGZiWVhEeTZtN3JQWGNBaEpFNnFpcUtYSlJENlRiSFNacjJTRk5DRi1NaXR3SmRRMGEzYmJuYzJQdHc3LWVGRWc1WlZrTEltN2lBMlhMLXV6MG1nZXN6NF9wTmlyMThJV2pBc1VjRHhJaDlXQUtOTGQ4VktjVXI3U1h2Q0hYcExGOV" TargetMode="External"/><Relationship Id="rId2205" Type="http://schemas.openxmlformats.org/officeDocument/2006/relationships/hyperlink" Target="https://news.google.com/rss/articles/CBMic0FVX3lxTE55eW1XVmptVDVWWkF4NHRUcW9ibHo1TTVyVnFyU2tsaDFZVEhzQktoMWJzOFFRbU1GcjRpNURSd1FyWVhfT3AwYVVnTmZ5b3JpQkpJLTdPU0ZfRGc4UFJ5T2ZEclRTODduZHQwVFdlUHlkejg?oc=5" TargetMode="External"/><Relationship Id="rId2206" Type="http://schemas.openxmlformats.org/officeDocument/2006/relationships/hyperlink" Target="https://news.google.com/rss/articles/CBMibEFVX3lxTFAyQzdVUngyWVJLX1pFU0ItTTZzMkJ3RzYxd0lZajNQYWdPcGJFZDVVUnBBZzZIZlh6ZkpJeUhXMDZQSmczOHdNSk9BNkNtVTcya2RHR1VvdkxBM182NW16ODI0MWRoYzJ5cG9ncg?oc=5" TargetMode="External"/><Relationship Id="rId2207" Type="http://schemas.openxmlformats.org/officeDocument/2006/relationships/hyperlink" Target="https://news.google.com/rss/articles/CBMiZEFVX3lxTE4wVFNJekVGVHpiVWJkaXlDbTNrZHZ3dUVocTVlenZ3b2hkR205VWloQm9PNkJXNDNaS3VYUl94N2doRDM5cl9jSmYxQ0thSnN5cmVhSlV1QXl0dkxmcGx4Tnp3OHc?oc=5" TargetMode="External"/><Relationship Id="rId2208" Type="http://schemas.openxmlformats.org/officeDocument/2006/relationships/hyperlink" Target="https://news.google.com/rss/articles/CBMibkFVX3lxTFBzenNSd0djdGROQU5qWW5SajdWRW1oT0NwU2M2TnBUcGtsQnNPT2xRTUFGdi1XU3BERzVucFZnQ0tjdV96UGtoQW5pc295S0tIR1JibEREX2gtaldCVnFKSU1LQ1ZYbjlHWGRDN2Rn?oc=5" TargetMode="External"/><Relationship Id="rId2209" Type="http://schemas.openxmlformats.org/officeDocument/2006/relationships/hyperlink" Target="https://news.google.com/rss/articles/CBMiekFVX3lxTE9KazBDbFRHUkZkVm83VmJqOXlIVXlMaDhjdldmUzBKMGRwVUVqMUV4ODRYQkdLWFBZYlRDRTdGSXYwTFRWcmdRcVJ0VWN3aktkNlp2SEw0elY4RS1FYXk1d0FEYnJTdzNyMk1CX3k1ZDNQR2hldFhWdWFB?oc=5" TargetMode="External"/><Relationship Id="rId2210" Type="http://schemas.openxmlformats.org/officeDocument/2006/relationships/hyperlink" Target="https://news.google.com/rss/articles/CBMizAFBVV95cUxQcnhUV21IVkl0aHFYODdWc1V3NWpYYXBFVDFxUkNjaWxKbW5xYXJEVXdtY1B2eXA1ZVhFTmRpc2c2QnJYd1FJUDhoZlJwRUF4cXYzbkZUeVpvM2FQa2R3VVFyZUtlTXM2cnRacHA5RVVpSHd3OUo5ZDByQmpUWV8tNjd0RDljaGZKS18xTUNOZW1qYzU0UWVoWEQtQUF2an" TargetMode="External"/><Relationship Id="rId2211" Type="http://schemas.openxmlformats.org/officeDocument/2006/relationships/hyperlink" Target="https://news.google.com/rss/articles/CBMihgFBVV95cUxOMkhzcWRqTmJIeGVNZzZ5ZklXV0JMSkZnOXNOSV95azlZTkpUN1ZaVC1wOVRnNi1UdjlHcldlNk1zY2VhTDF5eEtaWGVxVjBaN1RCQnFMUm1seU4ybG1WVC1XR094OWZqVXI1UnZwc18yWGJielVFNHVrQ0lCdmY2SlM2NzI5QQ?oc=5" TargetMode="External"/><Relationship Id="rId2212" Type="http://schemas.openxmlformats.org/officeDocument/2006/relationships/hyperlink" Target="https://news.google.com/rss/articles/CBMi2gFBVV95cUxPM3pPdkVqakxSdmtxVzFIdlVYSU5oUWp3NE93UEpTSFRSY1ZqTkJRYVZGX1VPVmpXZzBiVWRnMmNMNE1TV1pzUTlCWGhuOHlMZE1XUFJrdk4yeWZvd0Fid2o4LU5XeVNoeFVxTGlZLTdva0Y0UVZId1RmMDRpeFExUzFzbHJ4OXZMbGhNZXUwVDBhdTdYajRPTWF2ZkxpUl" TargetMode="External"/><Relationship Id="rId2213" Type="http://schemas.openxmlformats.org/officeDocument/2006/relationships/hyperlink" Target="https://news.google.com/rss/articles/CBMi3AFBVV95cUxOWlE5TmlDVm1rakw3RXQwNW90OHpCaHFueVhfcl9ObzVoeVoxUFQwN2lnSlNPeUhZcDJrNXdFMTIwb0ROT0RSNndJdmZuUEg5SDJxcnZmTlZzSDh0MWtpMmdYQWZKWV9fVGZWWjhvc05ob1JodzNJRlhyTVpWQXJWX19DRkdCbHczNURBQ0RUelY5Z0cxSjMyckJZaXZ6bn" TargetMode="External"/><Relationship Id="rId2214" Type="http://schemas.openxmlformats.org/officeDocument/2006/relationships/hyperlink" Target="https://news.google.com/rss/articles/CBMieEFVX3lxTE9FRFoyc1pWbU84VXNEaFZVZ2wxSm5ZN21QV0J1bEE2TkxfUUdEZjdPdzBLMnVkSU5sWDQ3YXdBRWw0YTlWZ2ZiTDJnU3lSODA4RTJfOHViRGo4d1FLU0ozSVNJbXUtNUZmb1RlY2NOMWFJR2pxZTNVeQ?oc=5" TargetMode="External"/><Relationship Id="rId2215" Type="http://schemas.openxmlformats.org/officeDocument/2006/relationships/hyperlink" Target="https://news.google.com/rss/articles/CBMiywFBVV95cUxPeGZsd0xZZWEzZjRhOFo3UDZNM1FXcnFldlhkMEFYYmdqRElBSXQzcTY4LTJtMWNvWWJ6TF92eEhQb2FHQUdLdTIyT25YOW9hbXRYRzcwUGhpelhzLWlUSVBqMmJXQURMSEF3ZC1qOWNlYVBTYkNRZEJ6bnpyZ3BaWjhNRWdCN3VJVW13OXN6ZFZBdnp6T0VhaHV5REk0d0" TargetMode="External"/><Relationship Id="rId2216" Type="http://schemas.openxmlformats.org/officeDocument/2006/relationships/hyperlink" Target="https://news.google.com/rss/articles/CBMidEFVX3lxTFBsNE1FeXpzS18wM1NLRGNkaHhkMWdQb29OSGw2SzBkYk94ZTFmY0ZLVHJ0N0VPd2NfRWZRTWQtTC1GOWNCazVFaXhVMks3RV9mM1Y1b2hrM0dDaFBzcG1KQ1czSHhuXzlOQjRpNnVZRlJ2Z3pT?oc=5" TargetMode="External"/><Relationship Id="rId2217" Type="http://schemas.openxmlformats.org/officeDocument/2006/relationships/hyperlink" Target="https://news.google.com/rss/articles/CBMiiwFBVV95cUxPOEc4TFVUTi1ISnFneXlHM09VTE1CdGRhRkM0bm0tMGNzS1FSX004NnFFMi0zUHljdDBLRzRMUENIcl9nWWFoM2tWNHFkbFpoZ2YwX1ZzU3JzT2VqaUt4US1FQ2tyTU1GYnlNNC1BcFJlVF9MQkZlY3NmNGIyMkhpYlBqMDkxbjRQWDFr?oc=5" TargetMode="External"/><Relationship Id="rId2218" Type="http://schemas.openxmlformats.org/officeDocument/2006/relationships/hyperlink" Target="https://news.google.com/rss/articles/CBMipwFBVV95cUxNVy1fZTFLanF3NnlqdDZiVC1DOTdMemljcFcxUldPbjIwNDFrSFVJTm9uLWxXYzBZZ0xJeUVHYVFfb3pzZGdteDEwWFNuOUtmYW4zU08yTm84VXBzYWFqZ2NWMW02MFZBTTBMMHJTS2VfUTlJeHJwNnVUTkt1dnprUlJaRk5ZYTVnS1lzUDhIbmE3MjFfXzRjVkRMaDJNNz" TargetMode="External"/><Relationship Id="rId2219" Type="http://schemas.openxmlformats.org/officeDocument/2006/relationships/hyperlink" Target="https://news.google.com/rss/articles/CBMiugFBVV95cUxNdGM3YmxGbVVuZG9mV2FYVHFwZnBneS15M29sMEhYWUk4eWxDZVh1SnlLYmlEekFqU0xRNXJtV0V5djFsdkI4RmJZRFlZREhXQ0V0Z2tTN2xKdUQzaVprSVRXZS1Ncy1TQVljenJZT3YtUzBZNVQxbjZZeGdWZTNaTVdzdmVZRk5lQ05acFU2dDRBUTJGUEVsQUdSOFl0YV" TargetMode="External"/><Relationship Id="rId2220" Type="http://schemas.openxmlformats.org/officeDocument/2006/relationships/hyperlink" Target="https://news.google.com/rss/articles/CBMitgFBVV95cUxNaUQ0LUUxMnA4ZEd2bzRhNkxfMzktWkR0WlVJZmZjakFidUR1b3c5am1RM1V3eHlRQ2lCOTFWVjUyVWM0Z1ZWV0tWOVFzYU96bkZyR3BKelpZRHBuMmJsaHFadlEydHYxaWx0MGFSVmdLVFRxNnZKd0txQ09maFhRV01WUVpXQUVIZk5VbHp2cG9ldUtWWlByeUdMXzRkWk" TargetMode="External"/><Relationship Id="rId2221" Type="http://schemas.openxmlformats.org/officeDocument/2006/relationships/hyperlink" Target="https://news.google.com/rss/articles/CBMi2gFBVV95cUxOVS1mdkJiYllZSkhzb19lbFF5RXdseTEzWXlCd3ZBa1dtRWNjbFpuRzNPQk5qc3JCczdndGNqTUdKQ0FEUExkZ3dZdHpzS2xPdEowdEZadnJWRlRrRFRfSzRvUk5HZDFFalMxUmZmQTR1bkpwVWE3bVNRUERHN2IwSmxSVDVMdE9idC1MdkJaeTc1dmotMFFHcHFtSk9raV" TargetMode="External"/><Relationship Id="rId2222" Type="http://schemas.openxmlformats.org/officeDocument/2006/relationships/hyperlink" Target="https://news.google.com/rss/articles/CBMiywFBVV95cUxNLTlwVWNsQ1lOdV91WUNkT1ZZWDVLT0UyWVFLbGZvVkVPT0dYN1lUWE9pNzljOU81c0pWeTNrQnlnaHF2VjZSbk9hQzJkcVVTSjBCcTZIa0h0MDBBcE54RF9LNHFzQVphX3BKcHU2M21ZM2FxLVFHb3ZldG02Nm52YkV1eUhzS2lsNV9MNlNlYTRZYXNQZW51WFozdUJxdT" TargetMode="External"/><Relationship Id="rId2223" Type="http://schemas.openxmlformats.org/officeDocument/2006/relationships/hyperlink" Target="https://news.google.com/rss/articles/CBMibEFVX3lxTE1vcGJrQkRtZlcxUXVVSjFkdUNKXzNhQkhrVjZRNlZfeWpkME9oMGVzNEVMVXBySkNwMF9GMlBTdTRKb21iTGlTd194dkV0MEYwSkRJSDVKU2puM1F1WUNVUEdxOW5wak9sakNJcg?oc=5" TargetMode="External"/><Relationship Id="rId2224" Type="http://schemas.openxmlformats.org/officeDocument/2006/relationships/hyperlink" Target="https://news.google.com/rss/articles/CBMisAFBVV95cUxOQUZJWG9adF85MF9NX1FCX253cUlvXzJSU1VNMi1HYkRJR3JYN0Vnd1Atc21mRVozeW5HYWtoTnh3R3pwWGhpbWw1b0w5Z3JJUm9CTHhCUE85bngzNGcwcWtuN0l3TEd5OG1qaWphRkxpRE9PYTZTekEzZWg1ejVYVVByYmoxX25vUFdPU2d6UEE0RXlBZ2NSQ1RlUEFrXz" TargetMode="External"/><Relationship Id="rId2225" Type="http://schemas.openxmlformats.org/officeDocument/2006/relationships/hyperlink" Target="https://news.google.com/rss/articles/CBMitAFBVV95cUxPV2RZaWEwaWtuYlFVVFRZMWc4bXdDREFGak0zN0ExY0xfQk5waC1lU3pkdzZ3TW1WaXYwTUNXcV8yS3NYeHRnV0J3Q1lhdEVjY1hCcE5kQjR4dUxaeHpQYVAyaGlpWGFxSkNYSGwtS1JFQUwtZFo3ZGFSa2lNdFlhb3FLREg1TkdabEhxTXlyenFycDZ2amtRQ21zRzBpQX" TargetMode="External"/><Relationship Id="rId2226" Type="http://schemas.openxmlformats.org/officeDocument/2006/relationships/hyperlink" Target="https://news.google.com/rss/articles/CBMibkFVX3lxTFBzaEdwdkdUQ1h3TmZtekcybW5YLUZ1UUpvZm5UNnRMa1o3cTE5ZkRzMGNaX1ZIMHd6eWczQXdITlFfZTJMVFpoRjF2LVNaTUY1RHo1dUlhOEE3cVQ3c1ZfVWRWNnFHYWJ5VjNNV3dR?oc=5" TargetMode="External"/><Relationship Id="rId2227" Type="http://schemas.openxmlformats.org/officeDocument/2006/relationships/hyperlink" Target="https://news.google.com/rss/articles/CBMibEFVX3lxTE41NEttZHFGX0NWRFg1QnlVdUR5LVlHcXA4NEtzREVMV3hXSUtQRnV0R2RPc0hDZ091RkR3Q3paMENWQ25sbnhKZVNSeU4wWjQzWUU4aDM1NmlvMHFFT3Jhd3N3R3M1elZTSTRJUA?oc=5" TargetMode="External"/><Relationship Id="rId2228" Type="http://schemas.openxmlformats.org/officeDocument/2006/relationships/hyperlink" Target="https://news.google.com/rss/articles/CBMitwFBVV95cUxOaTZyTEtEY1ZFbjVob2ZhSVRnWld2eDFJWnZDQ2tUY25relFBb3BZM3ZkZjhORW12VDlBTHROSFZaTXlES2dZLWZ1WGtfclNJWnV2Z1RlMmVhWFRRT3NOa1VZSG5kcmM0RlVKeGVMbE5oUzZFSllxOS1TMzd2YXVPWW5SUEdscjRrVkkybVE0ZUduMjB2S0g1SXN6a09Hem" TargetMode="External"/><Relationship Id="rId2229" Type="http://schemas.openxmlformats.org/officeDocument/2006/relationships/hyperlink" Target="https://news.google.com/rss/articles/CBMihwFBVV95cUxPd1FfRDU1U0gyMGhMOThycEdZMXpodU1jZEw5R3BQa3gtVTRlWTMyMXhsU3Y3bnd1ZG9ibTExZW1uYXVTbVFmVUg4VTVRdVJSbHEzbTRrYXdCN0Y3TmV6eXhMZ2JZUzg5Tlp1SDJ1LUNqM0JCRU5QS3RxUVpEQUVXSm5zNWMtUVk?oc=5" TargetMode="External"/><Relationship Id="rId2230" Type="http://schemas.openxmlformats.org/officeDocument/2006/relationships/hyperlink" Target="https://news.google.com/rss/articles/CBMibEFVX3lxTE5pc0tYRTB0UmwyUGtLc1BvczV1LXZxdk0zdUdTWmc3cjN0a2tlelNWU2V4OUtTQjJ6Y2lONC1LTjc5VEVHOV91OG4xZ3ZVcHFtWHRjSXQ4YlFJLXkzdHdid2k3U0NYeFJjdk8xdQ?oc=5" TargetMode="External"/><Relationship Id="rId2231" Type="http://schemas.openxmlformats.org/officeDocument/2006/relationships/hyperlink" Target="https://news.google.com/rss/articles/CBMiswJBVV95cUxOcEQ5STh2SnNMczkyc2F5eUVEUmpEb0FaOUxyOEV6akdodm1LdVQzcno4YkYzZm16Z1laVDFVTUZxUkRfdElEVzVLdnFlSFB4M09xdG5lMDlpZVJuWUwxWmtuLWhOZnptMnpOWVhWUVBHZzBfZjNFSGZSRi1KU1g5RkNnRmlXa3RLSzhGQjViWUpRSExlcnpxSFRiQnpleE" TargetMode="External"/><Relationship Id="rId2232" Type="http://schemas.openxmlformats.org/officeDocument/2006/relationships/hyperlink" Target="https://news.google.com/rss/articles/CBMipAFBVV95cUxPREJnVC1TeGYtLWY2WkJZUDNoQ2dwWUVBWHJlcktMdWFZWFQxSkswZmhYYU5taEJYVTNEbUd4WnFmdjJHdGNGT3dOZnprSVhEWjE4d21SLUNJRXJJYTM1VmMwemRZcm1zQTdUalVQTlliR0lYNTVGUkZ6QnlSMXUwcnhrRjdKU19OY3M3MnJkWVNnVmQ4eWkwQ3VheWV1bD" TargetMode="External"/><Relationship Id="rId2233" Type="http://schemas.openxmlformats.org/officeDocument/2006/relationships/hyperlink" Target="https://news.google.com/rss/articles/CBMivgFBVV95cUxQcUdIbXhZcFVwRE1uU3E4WUFyZFplUDNneTNhYm0yRElnWFRiZEhvRUJZUldNU3NDMmRDYkx5ZXFzTHNuQ2dRbTBlVjFtbGFQd1RxM3JlSzFMaXJJek9XUUVsNG4tNFQtcE9vVXZySDROV0lnd3o0bDFnRTFjR1FuZkRVZjF4WHlMWGdKRURiOTZVTy0xenpua2NIdEVIN2" TargetMode="External"/><Relationship Id="rId2234" Type="http://schemas.openxmlformats.org/officeDocument/2006/relationships/hyperlink" Target="https://news.google.com/rss/articles/CBMizAJBVV95cUxOWjI3SFNybmVHdzFqM3RKMjFQeVJlR3ZWYVRwZUNrVU5mZnotS0JNbzY1VDhpRmVPdjFxdDlJZzlMY1ZsekVMb3F1SHdGUlNabGFadVVERnpsQW5oVVh0RVEwX2h6NlRjbnVzQ3ZNem5BUzhSREZGMVl0WVBzVTNMdGNhOHpWN28weEJkM3FlNjVBbklCWDVVTHlXa0pvRV" TargetMode="External"/><Relationship Id="rId2235" Type="http://schemas.openxmlformats.org/officeDocument/2006/relationships/hyperlink" Target="https://news.google.com/rss/articles/CBMic0FVX3lxTE5mNW5MSWlXaXJ4Yk1PZGtBVk9RNUNjTHZ5elU3X3YySFdsU0VsX1FtbVRJN3R3ZXVXUjFZMjlUclo2OEJ4czQzekpVZlYtZzVyZ2lEVS1HU2pLc3RMTGpTYnhnQ2pzNVlhczlGd1gteVVwdlE?oc=5" TargetMode="External"/><Relationship Id="rId2236" Type="http://schemas.openxmlformats.org/officeDocument/2006/relationships/hyperlink" Target="https://news.google.com/rss/articles/CBMilgFBVV95cUxPMHlNNmNJRnI1c3dlM1dzazA1WGhRdy1UV3EwT1ZmVFFubkZfVnNJZEhVdjJDd3lFRVRzUnZKQ0s5MkRyUktxN1MtT0M0NDVvZ3VLekpkZHdfU1VwTXBKd3dkZ2IxUlg2LUFYdDVxSHRQRnljeTRqU2RuckliWTQwbzVaa0hMYU92WWJCNHpWRFdNa2I5YkE?oc=5" TargetMode="External"/><Relationship Id="rId2237" Type="http://schemas.openxmlformats.org/officeDocument/2006/relationships/hyperlink" Target="https://news.google.com/rss/articles/CBMiuAFBVV95cUxNZk5fSXVHSWVHRDBKUGtyUnRVSEVvZGhxWnl2UVJ1SjRJYi1QcVNrWmhiUDZQUklvMFlmeHczbUVPZnZHZjlfTHpEYUhZY0FlaV91TDV0TDVIWDNwMFJBWE13MDVkOFBHWXNlcXM4UG1lUllUWFRNM0RuWmp1T1dxWUYwWWl2YUtYaHFkY0lOMm5EcGJTTEJRT0V2NWlSZj" TargetMode="External"/><Relationship Id="rId2238" Type="http://schemas.openxmlformats.org/officeDocument/2006/relationships/hyperlink" Target="https://news.google.com/rss/articles/CBMiuAFBVV95cUxPYkxrcG5UUzRsR3N2NGx3Z2RYLXNoZy01dWIweDVXWWhma3gtX1ktMEpFRnB3Y3lTbGlCbzJtYnljSFVXZlVDZ2QyV2w1UHNIUVg1ZlQyRV9saFItYlVVeWdCdWE3UVh6NGszMnpIRTd5dTQ5Z1UwelNuSkNGbUNhZnN2Q1hFUXpEQ2tSemFFLUdMbEhQTS1GYXlmS0NRWl" TargetMode="External"/><Relationship Id="rId2239" Type="http://schemas.openxmlformats.org/officeDocument/2006/relationships/hyperlink" Target="https://news.google.com/rss/articles/CBMiWkFVX3lxTFB1UVliYmI4RjFDMjNDUkZFWXR3Z0FxazVUdk5sbGliSlNVVkFyX2VaX19YVXl2bkEtWjVZOHlEVHVEU2dseC11eUpxejl5R2xoLW1JVERWdU15QQ?oc=5" TargetMode="External"/><Relationship Id="rId2240" Type="http://schemas.openxmlformats.org/officeDocument/2006/relationships/hyperlink" Target="https://news.google.com/rss/articles/CBMiugFBVV95cUxQdjlQX2FyYkY0VGRIU20yY1Bsc3ZqT01tMUNmQzNIT1VzVUFlcWpzZUt4RWFFNXpWS25KTElIS0c5blZUR0l1SW41dnJtSXp4blBJa2dGRThIaDIxTGYwMDBjVm1xSURTNEhvWTI3UEo2WVQ0bVpjaWNiTGFScVhoY0RmWmhzLVFqN0otanFYUHluU193Q0E1TzRLWk0tSX" TargetMode="External"/><Relationship Id="rId2241" Type="http://schemas.openxmlformats.org/officeDocument/2006/relationships/hyperlink" Target="https://news.google.com/rss/articles/CBMiekFVX3lxTE1NZGtZOFoydUlkcXJXV0kxSU5Da2N0eHQtOGMydlRxQS0wMWdxX1RMbWVOb2o0Q1NJYVRqRjBqMHVYVzItUXF0dURBcGMxZzRYMGFITElkcG12ZVdDZEdLWEY3QlIzY2Vnd2I1VEI0NGstMWNDMS14SWFR?oc=5" TargetMode="External"/><Relationship Id="rId2242" Type="http://schemas.openxmlformats.org/officeDocument/2006/relationships/hyperlink" Target="https://news.google.com/rss/articles/CBMibEFVX3lxTE95VFdnMXlEWXNibWpyWFduYVBYeVltWnctbTJ0ZjVQR0dlTmV0NU9vb0pnaXhLeU9qYUlNbWx0UVYyNHRQcmFGQWxydHhucDR4UnYxcGM0VUp3NUdkeXVsd2pPSmEtSnJHTkQ5eA?oc=5" TargetMode="External"/><Relationship Id="rId2243" Type="http://schemas.openxmlformats.org/officeDocument/2006/relationships/hyperlink" Target="https://news.google.com/rss/articles/CBMibkFVX3lxTE9YOVV5Wl8wLXBYRlMzbnpMeEdxZlNIWVp3TUZoRmNYWWg5ZjktblZ2Z2RvZUxESV9QOU9MTU92SVZfWTVsYVFTN3NNR1VGZTBWNldNbjE1b1kteC1GZFpQQ0pWa3h1S09DcXZyeXR3?oc=5" TargetMode="External"/><Relationship Id="rId2244" Type="http://schemas.openxmlformats.org/officeDocument/2006/relationships/hyperlink" Target="https://news.google.com/rss/articles/CBMibkFVX3lxTE5zQmZSYk9nWHBYaGRRX05Ia2RvS2NTMFk4eWRkcngxLTZvNVNXUzZzR1ExQ3ZMOFBCcGpzWkplQ1B5akRKX1lGYVUxeWRYc0FRTDdWQU41M2Y4cnhBSDVzeTdSVWQyemZ1RXM0bTNR?oc=5" TargetMode="External"/><Relationship Id="rId2245" Type="http://schemas.openxmlformats.org/officeDocument/2006/relationships/hyperlink" Target="https://news.google.com/rss/articles/CBMigwFBVV95cUxPVHllOHR0cDdoekhUYXJHeUJ1aUNQS3UzcUJ0eWgzSmNvN3VzTGpEUnBMbEJybExzRFNWT3NwOC1YcWliSnNVSENTZzdXNFBDSE13eUhUUTlMRFE4aTFjaVJRRHFlNjhYRXkyTGZ5d3llWUZJNTJiM2JYcEZ4eXZKcVRQYw?oc=5" TargetMode="External"/><Relationship Id="rId2246" Type="http://schemas.openxmlformats.org/officeDocument/2006/relationships/hyperlink" Target="https://news.google.com/rss/articles/CBMibEFVX3lxTE5TOFpCcFpqMUlCS0dQUWNYWGhYN3VTcExCVnUtc0lVMmlFVFFoSW1JY0lfV1hQNnRWSDFhbkxzNC10X0w5cVZsWlBuUl92MlItc3p4VE9kdmFXeVpBbDBZT19GVEszVGxaQTlXQQ?oc=5" TargetMode="External"/><Relationship Id="rId2247" Type="http://schemas.openxmlformats.org/officeDocument/2006/relationships/hyperlink" Target="https://news.google.com/rss/articles/CBMiWkFVX3lxTFB1UVliYmI4RjFDMjNDUkZFWXR3Z0FxazVUdk5sbGliSlNVVkFyX2VaX19YVXl2bkEtWjVZOHlEVHVEU2dseC11eUpxejl5R2xoLW1JVERWdU15QQ?oc=5" TargetMode="External"/><Relationship Id="rId2248" Type="http://schemas.openxmlformats.org/officeDocument/2006/relationships/hyperlink" Target="https://news.google.com/rss/articles/CBMibkFVX3lxTE1HTXA2LUtzeXh1dkVxRVp0bVgwNi1WUnpnVlg5N1JPU0h3emdqWEVmSmR1R0xqdzlOU2plUEF5QWlISUE0T3ZPSVFST09BRkh0dUpGWTdlZXpOc3Q0MHlPWWVUSHpmYm92UllVeE93?oc=5" TargetMode="External"/><Relationship Id="rId2249" Type="http://schemas.openxmlformats.org/officeDocument/2006/relationships/hyperlink" Target="https://news.google.com/rss/articles/CBMiY0FVX3lxTE5KckhBMFF1NTk2a2dTR2tobTlZc3VDYy11bk56NDZFaHJycVlQZjhtWTlrMjJUNjNhcU9WU01hRnlETW14RUwtM1pfWEdsckg1RXphcFJqdDFScjhnWnJXSDZsTQ?oc=5" TargetMode="External"/><Relationship Id="rId2250" Type="http://schemas.openxmlformats.org/officeDocument/2006/relationships/hyperlink" Target="https://news.google.com/rss/articles/CBMinAFBVV95cUxPcW1oUzdCRjBCXzRkbWFNam94VU9FNEdVc0tlOFgxYktzRW9TZE0xNlMzX25Wd1d2UDdFWUtUdnBUOWtoZ2pYMDFTOEpjX0UycVdvVFY2Z0Yzd2dNaUVpWU01NXRZTzhDeE9kUWhGYWZRdzJIUXpJbXNtYmdLSDdrTm5zd0hNSmhSRXY5dTJMZGppb3pqRnA3SnpRckw?oc" TargetMode="External"/><Relationship Id="rId2251" Type="http://schemas.openxmlformats.org/officeDocument/2006/relationships/hyperlink" Target="https://news.google.com/rss/articles/CBMilgFBVV95cUxQb0t6MEdFTkwxMHo0NXN6bnJiUHR0dS1iQTVwUjNLU3laOVVPNE5ic2NZcUdJanMtb3FxYXZhZUhneFlJa01GRWZWNVpWTEJkemROMmt1ckt4TWRYWHQ5SlJ0bU5reUZRWTJKcmFmN2kyVGhXTngzQ29Zc296LWJmaDB0OHkxNFpIUlVCci1MM0VOQUVWMHc?oc=5" TargetMode="External"/><Relationship Id="rId2252" Type="http://schemas.openxmlformats.org/officeDocument/2006/relationships/hyperlink" Target="https://news.google.com/rss/articles/CBMivwFBVV95cUxNcjdTRGZEUXBVSnp2VDBfbllwY1p2OXE4RzRLZDFKRGhhZ3A2RjhQTTdHU0JPMFZVMFdfQjMtQ1FJOGNraG0tSWlkMEZhOEZLNFRCd2ZJcnlDUGctdTVhcXRxVlFqWWZWUG5LZmVsRGNYTkRvb28wal81al90eUNqZlRldlFzUFhQTmdCUzN0WE9pUEo5RzdJbDcwY3pSck" TargetMode="External"/><Relationship Id="rId2253" Type="http://schemas.openxmlformats.org/officeDocument/2006/relationships/hyperlink" Target="https://news.google.com/rss/articles/CBMiX0FVX3lxTFBZOFIwNGVJYVliT3NnLTY1MUd3SGhScV9xYUZUZnFxendOc1Q4eHBJb25aYTh5YmZkWEJLNE5JTUV6aU1EUHZMSGVSNzlYNTV2RThTdS02YVdCUVRoazIw?oc=5" TargetMode="External"/><Relationship Id="rId2254" Type="http://schemas.openxmlformats.org/officeDocument/2006/relationships/hyperlink" Target="https://news.google.com/rss/articles/CBMiyAFBVV95cUxOYmZPSDJzRnNuVGQxLXN6clJsajYtdUt0VVc0MGhyUlRIUm5TQ0Z3cU9VMURKa2JiOTlEMGh5Q3AzNEJIODc0UmNua1RDSFBGcGM0a2FnY1dLM2h5M0x2SVRyT29HTjJZSjk4YmlLRlc1TzJ1cmpaRmhJYThpa0g3NFB0QWR0OVRFZ2VSVTVUSWVDS0NsSlRWV3czZGZsSD" TargetMode="External"/><Relationship Id="rId2255" Type="http://schemas.openxmlformats.org/officeDocument/2006/relationships/hyperlink" Target="https://news.google.com/rss/articles/CBMibEFVX3lxTE9JRFhGRGpGS0M1ME94VnFGWV93TVdFZFRCQVVWNjVzY1d1NTRBNVZCRG51YzQzR2Fra1R6YnZWM2xvUzBGai1lc3JPTGJ2MFU3Tld2U2Z3Ym1haE5Zdy05MjgxSHdCLTJKVkFQNg?oc=5" TargetMode="External"/><Relationship Id="rId2256" Type="http://schemas.openxmlformats.org/officeDocument/2006/relationships/hyperlink" Target="https://news.google.com/rss/articles/CBMib0FVX3lxTE5Ea1hrWTBFSWVEZS1ud0xTbndvTVRKTmNkcEtsaDVKZXdXR0FjUUM1XzhURjJ3YXBrV0dVLTd4NUw2aC1CYlJ2aDU1eXlvNHVDZ3F5ckViWDlCbHg0N0Z6VlZGWG5nRFVCbXU4T0hZbw?oc=5" TargetMode="External"/><Relationship Id="rId2257" Type="http://schemas.openxmlformats.org/officeDocument/2006/relationships/hyperlink" Target="https://news.google.com/rss/articles/CBMixAFBVV95cUxPcXhSMnVzb1JTR1JmSWIxbk1WTFJWaElVLXkwa0dDYmdMeDRHY0hqcmJJOUxxQzJOSVVMeTItT1Y4RnJZM3lyZjFuOXpWcFp2WEE3eE96OGtjSmI2ZlFGNldXX0dZTTc4Nzh0cUJxYjVMS3BXWkpfTVlTcURWTFJDc0ZfSVA5NnIyVmJaYnBVSmxpMEM5NHpxYlQtcmdRWD" TargetMode="External"/><Relationship Id="rId2258" Type="http://schemas.openxmlformats.org/officeDocument/2006/relationships/hyperlink" Target="https://news.google.com/rss/articles/CBMinwFBVV95cUxOazU0cUdsZzZkOERxcVJxNi14LWdNbTF4U192R3RwMGk5d0xGVnNETUs0V1ZKTmg0TmFUVDNkaVoxUkUzX1dmdnJ6SkFoOTAtX25vel9uRGtwVlZJRF9BWnFrd28yZUdUcjczLVdkWVNRNzlnN0tsb3FiWkpsZVl6eTQ2Yi1IeU9RTUpMOUx0Q3lKMVFlODdQUlJIMkwxVz" TargetMode="External"/><Relationship Id="rId2259" Type="http://schemas.openxmlformats.org/officeDocument/2006/relationships/hyperlink" Target="https://news.google.com/rss/articles/CBMiiwJBVV95cUxNOWE2NFVCODJyZ2VQcGJCOVZ2Z2JHM01IWjB2X3FHalhDdWxPSGp4MkhqSVZWVkFKZ3BIbkZZb0RMa0JaNTY5dzRjZ1lmWjVPenhtWE5fdnM5UjRkSmx2YVc3VGRJUjNVd3plWTQ1SDFlVDM1SUpXX1VvMGstM0pVbGwzZlQ4ejVZRE9VeDdCdEh0WlNTQThsMnY0SjlOc1" TargetMode="External"/><Relationship Id="rId2260" Type="http://schemas.openxmlformats.org/officeDocument/2006/relationships/hyperlink" Target="https://news.google.com/rss/articles/CBMibEFVX3lxTE01clNabW9ZOWJ4VkdzZjZ5S0RFb1A1V1RuN0pGblFMc3p1SjR0aW1Zdlh4WkU3VDNTd19yQ1p1M3c3VzBxTTJDNnlUaHI5dUpMQnNpYkV5REc3N2dCeGxNaGo3WFg2YzVfcjZIVw?oc=5" TargetMode="External"/><Relationship Id="rId2261" Type="http://schemas.openxmlformats.org/officeDocument/2006/relationships/hyperlink" Target="https://news.google.com/rss/articles/CBMipwFBVV95cUxOa05EcXpLZFFwVlJoUnhOLTNNajN5TGczVEpWbkVfeWVYNDJ5d3h4bkI0cDlxbzk3ZVRUY3pwWmJRbHVSTmdTR1FTZWo1WjlzVXQxY2lEbURzbzg0ellFVXBTaXdkeVVBUjM2bTZVTXZLLWtaMFhralVmZ0N0ZkhlYU43TzVuVk9QZktvaGZuUEhRbllqZ2tiMmZheVNReD" TargetMode="External"/><Relationship Id="rId2262" Type="http://schemas.openxmlformats.org/officeDocument/2006/relationships/hyperlink" Target="https://news.google.com/rss/articles/CBMieEFVX3lxTFBHdVZCOWtaYmdRc0RydWVlQ2hvZ0gwdkRobFcyaVJCZjlDUzBxeng4YTlkZF9YMk9Oa3N1YzFTY28ydWRpT3NDVWNiUDI4OUlhTHlVMllYcmRiOFlFd3B4ZllEUHhOczRBR240RXlGVWhmZzFtSVF6VQ?oc=5" TargetMode="External"/><Relationship Id="rId2263" Type="http://schemas.openxmlformats.org/officeDocument/2006/relationships/hyperlink" Target="https://news.google.com/rss/articles/CBMibkFVX3lxTE5LSDl6cmI1SFJpTkxNaUJwUElHNTduZUhjNVZoM05xSkwyVGdSa1l1VEV5RXN1bVFuNjg5a3BwUURQT3phRlJaZXhTS2xYZmRWcV83Z3NtSWQ3UkpPMTI4SXJaSE9Bdm9nNlExNWRB?oc=5" TargetMode="External"/><Relationship Id="rId2264" Type="http://schemas.openxmlformats.org/officeDocument/2006/relationships/hyperlink" Target="https://news.google.com/rss/articles/CBMijgFBVV95cUxNSm83LVp1NGxvMHJSUUJrMEpsR2NoR2J5Ynp5WnA2SW0zMUQzQzJVVmtkcFdFemoxdVhwSm44bUVvbGkzS2xfbUxySklVWU1jUmlwd2xiU1J0Tl9CdmVMU1NBLTBPOTFFYkREcF96Um5fRzB6VGkzX0d0NVJJb1FEMWM0SndmT1lwYTdfaldn?oc=5" TargetMode="External"/><Relationship Id="rId2265" Type="http://schemas.openxmlformats.org/officeDocument/2006/relationships/hyperlink" Target="https://news.google.com/rss/articles/CBMibEFVX3lxTE1pZ3lnOUo0amY1ZjNZTUo4bEMzSFdXTUVPUlZjUFFUTzI3OEY1d0J3LUR3QjVxRC0wbGxVcGVJam9kOVNiWHFEaGtfY2VISG5kVTdJT19NMy1va1NTdC1FM1FubEJfZ2FiLU9ESQ?oc=5" TargetMode="External"/><Relationship Id="rId2266" Type="http://schemas.openxmlformats.org/officeDocument/2006/relationships/hyperlink" Target="https://news.google.com/rss/articles/CBMi4gFBVV95cUxQdDk1T014Vmh5Q0hXQkdELTNJSmlwZWlmWUJVQ0paNktSblNQVl9sWDd1UWNJWExRM0dMQ0hnN3ZCU3NadEhsMnJaNTNFQTdqV2l2QkJnWmpIQkJtT2JMaW1Zakxkbk5CZlFLSU84TGNiLTJGZHdrbHVDTm5HcUlqZGkwS05KRGd4MTlkczlqRlIybnlIbkNhd2hDek5WN0" TargetMode="External"/><Relationship Id="rId2267" Type="http://schemas.openxmlformats.org/officeDocument/2006/relationships/hyperlink" Target="https://news.google.com/rss/articles/CBMipAFBVV95cUxQc3JHV2lOd0NiMlduYndCSmdndmZ5cDg4ZDdkSVBPZ3pndEY2SEg3UTBSMUFOeFBjZ3FvYmZPWERRVDdyYUhwWGhOVktmLVIzcE54UEhPUjEzRHdVaDlHYUNmSnV4bFhWbXVnYTAyVFV0WkM4UHpkYWItWmV3UEJ5QzQ2T0Q4Vkg3ZU5zbHdOWTFBZG5Ia01ZSXVFRnBiUX" TargetMode="External"/><Relationship Id="rId2268" Type="http://schemas.openxmlformats.org/officeDocument/2006/relationships/hyperlink" Target="https://news.google.com/rss/articles/CBMibkFVX3lxTE80YWJsWEpRc0staUxTYm42X1dhUWU3bThObC1SQndINFZXRlFIZERlYkJnNWg2VDctNG5iQXc3T2g3RFpmblRkaGJpNUNEaVRGRXdIa3J0RzI5UmI3Z2ljSkZSRWR1X3Rzb0FDazN3?oc=5" TargetMode="External"/><Relationship Id="rId2269" Type="http://schemas.openxmlformats.org/officeDocument/2006/relationships/hyperlink" Target="https://news.google.com/rss/articles/CBMibkFVX3lxTFBXMjdUVVQwQmNXUlFRZWFvUHZUMFRodEtEeEpVNlNBRW45V3ZvbzA0QVh3NEJETXJGZkpTR3NvQXZxNEdMYzJic3pqWkNqZFEzcmk3T19FTWN1UlU3dnJ3dkVSVVBuMlk0b2NlalNB?oc=5" TargetMode="External"/><Relationship Id="rId2270" Type="http://schemas.openxmlformats.org/officeDocument/2006/relationships/hyperlink" Target="https://news.google.com/rss/articles/CBMiugFBVV95cUxOSEhSc2pqbzNLZVNMczhlUmY5eUl2STJNbks2YUUyNWlTanlKREJnS0E5a3VCc2M4czV5WktBLXlMMVRVRzZ6RUhraFgzWC1UdGVkWmViWjcwWlhIWTU2cVN3VTNveEtmeGcwLVpJbXZ3R2VWNWp1TENLTHBPQWtQTV9JMkd2c2pYeFl1eEtTR3RyTllGdmtFU2ExaGJyOE" TargetMode="External"/><Relationship Id="rId2271" Type="http://schemas.openxmlformats.org/officeDocument/2006/relationships/hyperlink" Target="https://news.google.com/rss/articles/CBMiwAFBVV95cUxQVTdsb3BJM3pWN2twUE9rcVQwWWRna3hOYnZKeDVmVU5qUGtyUWk5djhaOUpQTmFmLV9JVDRxMjNVU3gzd040bjRJY1Mzd2E2ODVOUWV0QmpPVjJQRGFTZTNaQjVrbHJCUnV6TFRfLWFoYUlrZjI2WFRvanAxenpBRjVHZXNvNncya3l5V1R2bU0xWW5DaWRKUWhObk05RF" TargetMode="External"/><Relationship Id="rId2272" Type="http://schemas.openxmlformats.org/officeDocument/2006/relationships/hyperlink" Target="https://news.google.com/rss/articles/CBMiwAFBVV95cUxPaUc3bkk3WU9MNUk2Z3NkNXVORmRUWmU5XzdVSFJkTzVfNm1pYV9ESmFNTzJ0TXB5M0txLWE4akhUZ21OOWF3VzdCSVQtSUJmLVI0UDVrRVZTZGRKOHlCTlROcWpDeHlmRDAwSjZhT2x4ZmM1Nll4TkstTlN0ZFU0ZTlsdlVZU0V3dk1EZ2NtRUZjSnBQS25wRUx0M1NKbj" TargetMode="External"/><Relationship Id="rId2273" Type="http://schemas.openxmlformats.org/officeDocument/2006/relationships/hyperlink" Target="https://news.google.com/rss/articles/CBMiuAFBVV95cUxQV3ZFNlRWUWE4U2dGVUtSeVJGd0RSbENaTFRRV0dUSl9SaFhoMjl2YTBhRFpXTjE2eTBJRmJ6UVMxdzdSUGw1TnhXMm9vM1EzZGZqNF9PcWRqbnQ4cTJVWjBBMzdFWmVXRG5TMnhZZXp3aHEyZFVVZG84MW5QdWRET0VRNG5ub1hEUnpwbU1xT0JyOFlCUmhXQ0hpOTNrbT" TargetMode="External"/><Relationship Id="rId2274" Type="http://schemas.openxmlformats.org/officeDocument/2006/relationships/hyperlink" Target="https://news.google.com/rss/articles/CBMibkFVX3lxTE1VbWQtazRqZnVBdzBCdG9oV2R0dnFkYmUwUEFZSTdBY2RfYjNpX2EyWHlDR1FyQ2NmTHA5eUlsQndORU5wcUxsakVodWFqYzlld3JZUkExMENjTXlZSkpRLUx3RXRieFFkS1dJM0RB?oc=5" TargetMode="External"/><Relationship Id="rId2275" Type="http://schemas.openxmlformats.org/officeDocument/2006/relationships/hyperlink" Target="https://news.google.com/rss/articles/CBMi1wFBVV95cUxOclc0QkNUaWstLWR2MWZRVm5NV09XQkdURWJxV00xSXVCandGUENzbjlEX0h2UXRnQlRKS0R6ckQxbHpVMzhHQTJtM2dZNDNkM09iX2hMeEFRWTR6RTlmQ1FoTjh3Z3JYLXRuLU5hOWhqdDQwTXc1XzBRNVVFa1JvcVZ1QjN2aWl2ZTRsUUtURkhyajkxSzZ3V1huQnVwbn" TargetMode="External"/><Relationship Id="rId2276" Type="http://schemas.openxmlformats.org/officeDocument/2006/relationships/hyperlink" Target="https://news.google.com/rss/articles/CBMisgFBVV95cUxNc084Vk5tRlJiUy1wOUt2a0tEZzh0SW94c1BLNW9wcTNuV3RpT2F6UGZmbllTX082T2FuRUJFMW5QNnppWndETERHZjR0VEgxUHBpYk5wbXVOUkFsSmJwVmU2MW9rVTFfLXR0WWx4aFJmQ2JuR3FQSUh1bk40QXRhWC1iY2UxbUk3OVlkbkVka21XUGxjc2lYX2NVNnJjVE" TargetMode="External"/><Relationship Id="rId2277" Type="http://schemas.openxmlformats.org/officeDocument/2006/relationships/hyperlink" Target="https://news.google.com/rss/articles/CBMiywFBVV95cUxOWTdCUGNPRTFqN0pPYzlZZlROd3RGOGpUaFBJZmNvVUhrSjRwNTJwVUdmc0lrUWwyUmVsZWdTcm10aTdJRkVHSDVsR1cxOWZab3dXc3dSVEhENXMyMElQUUhSOUM0elNLZVBTRkJfRzJCcFdYMHVJSnVCS0pkQWVCTUxDY2d5OGFzM3VYd3kzRy1WV0dZcGVTWV9uM1VKWV" TargetMode="External"/><Relationship Id="rId2278" Type="http://schemas.openxmlformats.org/officeDocument/2006/relationships/hyperlink" Target="https://news.google.com/rss/articles/CBMiwwFBVV95cUxNYlpTRXFlY01ueG5uOURYWFl2dzk1ckoxdWJtNms2eUVaTlpreFJEWUVhajdyR3ZldjlHOVp1LTVZUkNOaVp2a0Nkckg5bFh6em9EbExyQjB3TFJQaG1Jc1NYWmJsZkdjSXlVTkE3QldhbEVVZW53OUVkZThzdEZ1WkRha0Rwek5ZR0NWSS1mU04tTm11ellUNy1YWGJlOV" TargetMode="External"/><Relationship Id="rId2279" Type="http://schemas.openxmlformats.org/officeDocument/2006/relationships/hyperlink" Target="https://news.google.com/rss/articles/CBMi1wFBVV95cUxQTWFsOVA5cHFSRnFmQjFOTERSSmhDUEV6Y2lDSXowMmJUZnJSaDNucmFXYkh2Ym1YLTN5RE9rOWV1ZEd4eUlZZHE2MEtNMURkMUZuTjVrQkNWTmdfV04wSWloNEYzX25IYTk5YV90VFNEbVRmWlVFZzRlT0lRWEVmQWpqaHpOWHVqa0Y0NV9CcDdVRUMtUjZJMTN0djhVSz" TargetMode="External"/><Relationship Id="rId2280" Type="http://schemas.openxmlformats.org/officeDocument/2006/relationships/hyperlink" Target="https://news.google.com/rss/articles/CBMibEFVX3lxTE1Cdk9aVFNQbjJBTHlBaDdBVlltT2p3bnRnUDBZbVJTVzhJeGtyX2hpVGx6T09UeWowZktKOF9CZGU5clZveXlKVDVRTkRMWnpva0xjcWd2c3Ntc28ycEU4SjY3cm9aMUVrQWxFMQ?oc=5" TargetMode="External"/><Relationship Id="rId2281" Type="http://schemas.openxmlformats.org/officeDocument/2006/relationships/hyperlink" Target="https://news.google.com/rss/articles/CBMimAFBVV95cUxOamNhOEVaWjQwV2RoZ3JZcTdUN2c2amVUVl9VZFFpU2trSkdZcmtfdXhBOXlQTmViOV8xTFhTR09xZmI3cVN5dmFubTB2V0NQeUkxZHNiRkdSYmtpVUN0aHlWOXoxcjlyeGpqZlkxOW1MdjBMTUxDeS1TSS1VMGtMWWYyUHR5cDdQaVV4bXJxd2VLbTEzYlROaQ?oc=5" TargetMode="External"/><Relationship Id="rId2282" Type="http://schemas.openxmlformats.org/officeDocument/2006/relationships/hyperlink" Target="https://news.google.com/rss/articles/CBMi1wFBVV95cUxOaE9fYnhzdEpHc0NqU1RJME11SFctc3h4aTY3NzBfWGJLbEJfNE5nYXpvX29nMXlGZElhUk5FcDBad1d5QkxvTHNXNEJYQ0JZblllbjNkZEdRQ3FTZkRiYlpBRW0yRW55emY0bkZOLTRYZUNBN21KRVVndXY2cVdGZHEwVHJSTXlnU0l1b3VZOWhFOXRkQ1RWVE9iOVB5Xz" TargetMode="External"/><Relationship Id="rId2283" Type="http://schemas.openxmlformats.org/officeDocument/2006/relationships/hyperlink" Target="https://news.google.com/rss/articles/CBMibEFVX3lxTE82TWlRcndFNkRTR3FJUWtmLWVFNC1TQTVLOFJfSExTdlF2Q2toVkt2QnY1LUZuRUFMckV2bWI1VUdqZmhRUVdjSGQwOV9lZWhYVkhEbzd1Yml5a3g2V2hOd3lfZWt6VXR0QVk1UA?oc=5" TargetMode="External"/><Relationship Id="rId2284" Type="http://schemas.openxmlformats.org/officeDocument/2006/relationships/hyperlink" Target="https://news.google.com/rss/articles/CBMibkFVX3lxTE9oYlNjQnhQdTBDSW83dmlWS2dQandrenhYY0VhTFY4Mjk2RDI3THZNWEZBdFRocTNKLUQ5TF9NZEkwWlNoNUVoN25QVk9zQ0dmR1dqWEVGbnVJc01NZ2F2T3Y0Z0NHQ0U1ckE3RWxR?oc=5" TargetMode="External"/><Relationship Id="rId2285" Type="http://schemas.openxmlformats.org/officeDocument/2006/relationships/hyperlink" Target="https://news.google.com/rss/articles/CBMiekFVX3lxTFB0aEVaT0NEM1c0MXA2aHFPcUl0NE5oUFBrbWpEU2JTWW9vdFdESTN1UFZyOURmM05XbkdnRXNXdFhoT1plcGdFeG1PUlN6Wld3YnNaRzVaODNBNTdjOG4xSktoNk0ybWtsc0ZzdGsydVVHY25Xb2tlcGhn?oc=5" TargetMode="External"/><Relationship Id="rId2286" Type="http://schemas.openxmlformats.org/officeDocument/2006/relationships/hyperlink" Target="https://news.google.com/rss/articles/CBMiqwFBVV95cUxQSVRrZ1YtRU5BdmF4NkhUTHpMUWhQVkc3YldJQ1c3NlVaS1ViUV90dTBnVFgxYmlQT1hlTm1XcUtnM1pwaTRoWGlLRzJMNi1SZVZnWWgtTUdLRExralZmYWpYbGdodTI5dHAtSEJJeEZXYm0wYy1QNU9sOW9GT1BENmFpMEd0aWI2NjhSWDhxc0g3ck5pbG92aE9MeXBXWF" TargetMode="External"/><Relationship Id="rId2287" Type="http://schemas.openxmlformats.org/officeDocument/2006/relationships/hyperlink" Target="https://news.google.com/rss/articles/CBMiqAFBVV95cUxNQUR5eUcyV1JGXzhoTkJqbmRNZmlwZV9ndm14aVAyVld5V2gtNFRwRWZKSS1hbXNrenNndEJzN2F2NGZ5TE9RRTNTekpreTZKbnBuVmVSYURCQzBkckdaOGVlTkFFZnUtNUwyWXNCRlZWbVRMTHBXUWpFcVBHaW1XRFpoVWtDMG1nOGc0bHRJQ0lWd1FTZTJMbFFDRFg4cF" TargetMode="External"/><Relationship Id="rId2288" Type="http://schemas.openxmlformats.org/officeDocument/2006/relationships/hyperlink" Target="https://news.google.com/rss/articles/CBMizAFBVV95cUxPYzdzTG00bWFfeWhaM241MUhRdkRlcW9XRVF2cU1ucEJqcWVybUZ5bkpqQldVZUhoaW1ESkVDX1VtUEJvWklmZk9paFpLTXhtQ0k3NTZvTTBvOTlhZVU3b19ua1dETHZLc3Y1d2hlazhRS2JkNlR5WXJGUzJlZy1Gb0NLRVBHa2NWN05wcFJ6cGtZblpUaDljRTY1X2UwQX" TargetMode="External"/><Relationship Id="rId2289" Type="http://schemas.openxmlformats.org/officeDocument/2006/relationships/hyperlink" Target="https://news.google.com/rss/articles/CBMiywFBVV95cUxNQjg2N3hFeHlaUzE3WDRXemViYjNDRlhabG5DQk9PX1V1X0xTeTNpSWhnQlhkSU9ZNXVwMmhzOElXSjl0N0NUYkplRldFTDg3amVEREgxblk2anZwLS1wa2xlNS1pUlpnQUpXcm1CT3NQVUVlT1dOS1l2eVEySnIySmREZnN4Tkk4SUstSFBhNHBDNFA5a1doQTZEODA2OW" TargetMode="External"/><Relationship Id="rId2290" Type="http://schemas.openxmlformats.org/officeDocument/2006/relationships/hyperlink" Target="https://news.google.com/rss/articles/CBMingFBVV95cUxNemdfWnNqaFpWZWJ1dlJLMk11ejZnQm1qZUpGTzh4SlFPS3lMbkhKc2RRNDZHNnRHdzF1Y3NNZEhSaUNkVkUzRVowSjEtTEdld0dvWjJ2WVhwel9xWjFJcmQ5WWkydjRDTTUyQkhObE4xaTdOTHNpWi1sVXh3eHcxZmp2OTBRUkZLUlRPN0NheEcxNjhGUHpyaXc2aUNldw" TargetMode="External"/><Relationship Id="rId2291" Type="http://schemas.openxmlformats.org/officeDocument/2006/relationships/hyperlink" Target="https://news.google.com/rss/articles/CBMiyAFBVV95cUxNMTF3X1V2YUVOVlZlbFFKVkNjUkkwN011RFEtT2lxdUpzVXVCUzdiT1ZzRmxwQWd4RFN6VDFCc25KZ1QyTTBrVnFON3RjY0dvTE5GeTZ1NW1PbUhtT185Q0xuYkVSd1RFODR0QmRUeGVkbE9FS0F4cW4yRTV2ajZScDlxYlpfa0EtTkNvM1FJeVVicm9VdUhLRkhONWpCRD" TargetMode="External"/><Relationship Id="rId2292" Type="http://schemas.openxmlformats.org/officeDocument/2006/relationships/hyperlink" Target="https://news.google.com/rss/articles/CBMipAJBVV95cUxNcXhTM1RZNHhCeV96WDc1ZTZBUGxDeEdmV0lSbW5wemxkTWR2WnNKRUU0c0lsUVJ1anVwNWc0dDNyT1dYRHI4NVNlMUNhRjlPYm5MMXh3a1Bjdm1LUkI2dUd6cmU0LWx2Yzd6WWNHcEdSM1JNQThHN2duTDV6UXVvZl9wZFV5TEs3Qm5lTFBjVUZVektZQk9jd1NlT0VsVk" TargetMode="External"/><Relationship Id="rId2293" Type="http://schemas.openxmlformats.org/officeDocument/2006/relationships/hyperlink" Target="https://news.google.com/rss/articles/CBMiV0FVX3lxTE5LWEg3eXBCRkE0TExrVlVCaXJuSzU4Z0JZcjV2NTlqWjVaNERvQXYteHhocmh3SXdHOTRYc0pJTzRWUUZSbmpGOVdIMEFDdl9lUl84MGs1aw?oc=5" TargetMode="External"/><Relationship Id="rId2294" Type="http://schemas.openxmlformats.org/officeDocument/2006/relationships/hyperlink" Target="https://news.google.com/rss/articles/CBMipwFBVV95cUxPNFltVEYwWHNDeU11VkxJVkZacXU2ek02dm4wZGNCOE5uNFZHdzZkZ3NIaEZNcWE4eW9HWXpvcjYtTzFNU2FWTFVKbEN0d0hKQ2FZNHpoMGR3eVVCRDhfczRIaW1zRXJMMW9CU2M3SlB1YVVaNHhDLTk3a0xDQUdKaE9aNmtpb1FqNmlzMGQyQUxTVGlxSl9ZTjB6ZXFRWF" TargetMode="External"/><Relationship Id="rId2295" Type="http://schemas.openxmlformats.org/officeDocument/2006/relationships/hyperlink" Target="https://news.google.com/rss/articles/CBMibkFVX3lxTE9ucW5wOUJXa2JESG1zWmtueGlQQzQ1eElKeFk4X21rd2VNc3lnWm9PYWlyWkpwQThjZnlPamZ6czFnQ2VhU1hJTkNjLUJzVm9WQ0RISXM1RjVlOTNDZ215ME9DZU1PZW9jU0U4VW1B?oc=5" TargetMode="External"/><Relationship Id="rId2296" Type="http://schemas.openxmlformats.org/officeDocument/2006/relationships/hyperlink" Target="https://news.google.com/rss/articles/CBMibkFVX3lxTE5WQjE4OHdLNGRlc0o3dnpiNkl6MTNTYmtqNzA2bEk0aW1QUFhweFlSMjgxZUxQNnFycmdnd2tmYVhfOWtTS1F1eUVVSkp5T2VTNVhhbXp0SzJJbXEtRnJ6RFF6eFlJZkJjaUQxMnJn?oc=5" TargetMode="External"/><Relationship Id="rId2297" Type="http://schemas.openxmlformats.org/officeDocument/2006/relationships/hyperlink" Target="https://news.google.com/rss/articles/CBMitwFBVV95cUxNVFYzdnEzdzduM0dHVjRqOVhfbERCb3FMRGc5UlYxNUtoMDl2U1luWW1TeWZkbDl1ekRwNXBjNUVJRS1YRDlLc05sZmFQOHRrZ1hTMmx1U3IycUkzcmJoa09tdFAxNC1EUVBTZnFxYVVncnp3aEdTT1JRa3JTcnhFekswY0dQcGdLRk5Jc285dnZrd0xCM3RBRWZobXQtNm" TargetMode="External"/><Relationship Id="rId2298" Type="http://schemas.openxmlformats.org/officeDocument/2006/relationships/hyperlink" Target="https://news.google.com/rss/articles/CBMieEFVX3lxTE8wZEJTR1RuQy13UVZmcFVJbjBjWDFuTVRUbnVsWlBxTlktTndKZi1wTTdZSXJFMzk1S1ctYkhfa2FsUzBXN2ZDeXN0STY0Y19xQWp0MVVKR3hIN2NENGRkOExMaEF1LTdXeThhVUFld2VLcndVRzQ4cA?oc=5" TargetMode="External"/><Relationship Id="rId2299" Type="http://schemas.openxmlformats.org/officeDocument/2006/relationships/hyperlink" Target="https://news.google.com/rss/articles/CBMiqAFBVV95cUxNMGF6U0hXQlNyODJkSEZqUHcxdXhNS256ZVRKNVVraWI4UV9rdmJsT19ySW1wem5SaDRIaFY5WGJVcEVZdUQwUlFGYkdLbVJpR3FqOWxHUTdnMXpFZ2JTMXJfb3pzZTFsM2p4cHFmNWhsR2dYV0haWFhJbWVkMFBaQ2pJc1o4NS1RRWg2bUlYYTJ1TzZHOUlOcUFrTklKZ0" TargetMode="External"/><Relationship Id="rId2300" Type="http://schemas.openxmlformats.org/officeDocument/2006/relationships/hyperlink" Target="https://news.google.com/rss/articles/CBMibEFVX3lxTE56M1RyRnNxUFY4MUtmcEdEakk3RDFPTDNWODVBX19ObVMyRzcweldJSFdRMUxFalVfdTNYUjlCamZ4TjdyRFVQSzdRMXdOTHpnMThJU3Q4Z2Vld2JKMmhoRThDZHA2U21YSlZXdA?oc=5" TargetMode="External"/><Relationship Id="rId2301" Type="http://schemas.openxmlformats.org/officeDocument/2006/relationships/hyperlink" Target="https://news.google.com/rss/articles/CBMiywFBVV95cUxQa05rT0otVzBUVWkwV1p2LURCNnBNMVVfVTNoZTkwWnBhaWhGUkZkMWRweHNQWXFydkd1V25fVTB0aHpEM0xvNF92d1ZjUDNkRGQyWWpPNU9XMEUya2tTQi1ldnhWT3h1Smt4bUlOeUxGNWRneEpRYTlHUzdnUi1sS1JVWE5kcmQ3RGk5elZpTDVpdmw3RmdyOTdsWG8wVH" TargetMode="External"/><Relationship Id="rId2302" Type="http://schemas.openxmlformats.org/officeDocument/2006/relationships/hyperlink" Target="https://news.google.com/rss/articles/CBMixgFBVV95cUxOZzZZQUU0dW50UGhiVlpMZGFzQ3ZjblVNOFFTeWxiM1VTbm9pSjN5MHNzY0NyeU8tMll6dnlMTWNQRUtsTmlMTGxLN3p0b3VFV0NDTmx1dUxRRFR0SUJzcmJBelUyX0tMd3JrUUxHaktxTnhqZDh5UHBVeVR4WlE4d1oyakY2VmhJbnRnT20tR25ocUNfTkV1RDNuVWhTSU" TargetMode="External"/><Relationship Id="rId2303" Type="http://schemas.openxmlformats.org/officeDocument/2006/relationships/hyperlink" Target="https://news.google.com/rss/articles/CBMiuwFBVV95cUxQUmtGVG1FcnN2bFhrQS0yU1J3aHJUVk1FZk10bEtPX1ZMczV1U0RvcmktMFA4VGFhV1ZNd054aVRPaXlfOU1Ed1BHT2JmZUVIRDJPa3JMMmhfeGx0TDA3MjhIeGRMd3FtV3RqMDFpYWhTMlNmQ3pmRUVlbWZ2bVU4bk5zUGV5eHFRSk9vS0dIRlJzWWN5c2ZSMklyVnFVdW" TargetMode="External"/><Relationship Id="rId2304" Type="http://schemas.openxmlformats.org/officeDocument/2006/relationships/hyperlink" Target="https://news.google.com/rss/articles/CBMibkFVX3lxTE5HWDZiU2dSZ2VNd0VYTk5XMl9rblI4dWk2YVUxZzRncWhHYkFjU3E2d0lBdllRRVV0SVFkeG9fU3l5c2FSc0VVUzNUc2U1MmVYZElUMkNKMjJ2ZGtmN0dXTEd4YnZ2eW95UjVJV2Vn?oc=5" TargetMode="External"/><Relationship Id="rId2305" Type="http://schemas.openxmlformats.org/officeDocument/2006/relationships/hyperlink" Target="https://news.google.com/rss/articles/CBMi4wFBVV95cUxOWGxJcEhxS3VJQ2lxSHdtVVZGLW9MWFlPRGU3N18xUkIzcHFEWUdkLXJNalppWmFHQWMyNW5GNE9EbFZpdnVkZ0xqeUVhdUdPYThzLWpWWDhDc2RRMmpDd2p4Vm16VVZJLXdxVnBQWXR2V2xaTVg0Q2FWTkcxS0hNalJ4cV9yRGpwV19uZXFHbGVOUHlvOTlrdVl5Wkx1Vk" TargetMode="External"/><Relationship Id="rId2306" Type="http://schemas.openxmlformats.org/officeDocument/2006/relationships/hyperlink" Target="https://news.google.com/rss/articles/CBMingFBVV95cUxOc3JaZU9QblhuOVMxUC1rT1lXd1FJLVpDclpDWFFxT3NwekZET2tEdVJRdm0yZjJwLWRnNGFFaWlRTHNjLV85Y2lPRFJGVGk1NVFJQWNfRU5NQWk2S1c2aVVDd20wSmptejA2NFNvaWNFSi0tdUlZS1dkbVFmZkx2aV93WTVTVTZIU0dnamhFSkZneDVhUnVmbnduVDhSdw" TargetMode="External"/><Relationship Id="rId2307" Type="http://schemas.openxmlformats.org/officeDocument/2006/relationships/hyperlink" Target="https://news.google.com/rss/articles/CBMihwFBVV95cUxPS3NaM2JiRmVseEE1djYwN3RHcHFhODVrTWk4VDVXVkhtQm5uYTVPWnUxUmJtOFRYSWEtaVpuRXE1RnhVN2F6dEpJcTkxLVBYdU53Rkd3UlZCTUdjSkpVVlMzZWtjTjltd1BVS2ZuN0h5TGRVaGpfR21jUXdURDR5R2Npb2dhdUE?oc=5" TargetMode="External"/><Relationship Id="rId2308" Type="http://schemas.openxmlformats.org/officeDocument/2006/relationships/hyperlink" Target="https://news.google.com/rss/articles/CBMiekFVX3lxTE1ycXE5UmpocnpGalZPOEdob0sxOVhCUEFnOW9CMUtoTmwwQjQ3a0w2d3N0dUdjN2dtNldVN2ZiYUN2amFhaUx6S1FWdkg3VVlmbGdDdTU3UXdKY1REbDZrOEpUbGJWQ24zeXQybTJkM0xqVTdXSTdRTTlB?oc=5" TargetMode="External"/><Relationship Id="rId2309" Type="http://schemas.openxmlformats.org/officeDocument/2006/relationships/hyperlink" Target="https://news.google.com/rss/articles/CBMibEFVX3lxTE5aOGpsdXhyVzNTYkZYQjczRkJ2OTRRTWRzSkxTX3BQcXdZdU8yRWlCTWUxUUZEU2gtQ1hpR3JWckc4QmpfYndDTzVIc2xZWTZ5RC1XM2JuS3I2U0pTOHlNZkw4SWZOakVtb3QxSQ?oc=5" TargetMode="External"/><Relationship Id="rId2310" Type="http://schemas.openxmlformats.org/officeDocument/2006/relationships/hyperlink" Target="https://news.google.com/rss/articles/CBMibkFVX3lxTFBJTnYzVGdfZFhMWXBLOUZfMWhiQUZkeWtsRzhtUWdPc2FPd0doR19lNWg2U3NNc1BWazJfQmZXM1lvdTVDVnhtb29tbU9UZG1sTnpnTl9yN2xaQ3JuMTcxWEFyblFhUEd4MmVNTkdB?oc=5" TargetMode="External"/><Relationship Id="rId2311" Type="http://schemas.openxmlformats.org/officeDocument/2006/relationships/hyperlink" Target="https://news.google.com/rss/articles/CBMi0wFBVV95cUxOWjctMEllZFh2dzlVVF9BWjlJYVFiS2NXT1hjYVpNN0hwRmZZOWVkS1lrOUY2elkyeV9nZGp2LXlwd1VJZTdVaXNtZ2tnUUZiazNFY2FTcjc0SXJ3YnpsTDNXaGtJRkRUb29zbXZGcTFkMmF6d19SYUstWW1xTHdwN3RjWEJtSTN4SzVNa2R0UXBlLTZMRmc0RlByWmlfMF" TargetMode="External"/><Relationship Id="rId2312" Type="http://schemas.openxmlformats.org/officeDocument/2006/relationships/hyperlink" Target="https://news.google.com/rss/articles/CBMibkFVX3lxTE55YWlJNVF5MENxdEY2SXlFT0JZZ2RvLUZabVc0Z0hrTkhCUEFrdTNLbjM3cEV5WlVyc0JlaTNpU1hRUEJyMWFnMVZqOFNCMjJha1gzU3cxMUE4bmhpbEVjOWtsZ1RzdmhRTzZiNmRB?oc=5" TargetMode="External"/><Relationship Id="rId2313" Type="http://schemas.openxmlformats.org/officeDocument/2006/relationships/hyperlink" Target="https://news.google.com/rss/articles/CBMibEFVX3lxTE5rRGtLaHI0a2JsaTdiemIzSkdwMjl2ZHhfVzFQbGNLMGxzcjZrblM5aGZWU25JbkFFYWw0Si1QczgwSWxwOGxCMFRnTlhLaWR2WXJITHRraHU0U2tJVG91UnhaM0hrcW0tdXNzaw?oc=5" TargetMode="External"/><Relationship Id="rId2314" Type="http://schemas.openxmlformats.org/officeDocument/2006/relationships/hyperlink" Target="https://news.google.com/rss/articles/CBMitAFBVV95cUxPemdDRll4OGh2Vms0NHBuZUNkS3dNd1JoOTdLN2JiMDVWOWhJZXI0NThyektuSVJxVk16MlNWWlNvRXl3SThZNjJGSUNlOTFkWWMydWhxdk1VQnJENXBlZnpGMUxuVWc3N1lEV1I2ZTh1TFpXTDBwaUNfeDhnR1BNR25MS09JMUtMS2gwOVRiRlJjVGdZb0dwY2w3Q0kyLX" TargetMode="External"/><Relationship Id="rId2315" Type="http://schemas.openxmlformats.org/officeDocument/2006/relationships/hyperlink" Target="https://news.google.com/rss/articles/CBMiygFBVV95cUxQdzdQUzE4RnM1LV9PRDA4QlBtVkZYVG1KM3ZYV3puYmhyUGxYc0k2MkFIWW54WU1Pa1M0TjNlOVcyZERTN01XOFlsRVQya3I3aHZMZjRFclFmMGZrM0Q3eFlJMkZCWXhraXIxNnNZLV9Cb0dISDZtNzViV2NPUUtzcW5RNjhUMVE4S1ZPUXRzcHp4NXZvU0pqQ1JWbUU1Sk" TargetMode="External"/><Relationship Id="rId2316" Type="http://schemas.openxmlformats.org/officeDocument/2006/relationships/hyperlink" Target="https://news.google.com/rss/articles/CBMibkFVX3lxTFBERlVYVmJhVjBDRTR2TS1VaGZ6NGhSWFFaOWJqb3pEdXRyQzQwMzEzQ3JnNmxxTlBzZWxnUXBjUEY4cFZaNGVyR2dTUzFiOVRRODMwcE9veFQyV3laTVhxeDJrQmltRG9EclZRWDVn?oc=5" TargetMode="External"/><Relationship Id="rId2317" Type="http://schemas.openxmlformats.org/officeDocument/2006/relationships/hyperlink" Target="https://news.google.com/rss/articles/CBMiwAFBVV95cUxQNERWbk9nSWd0d2xYbWdKWnAzaWN4ekl0eF9MQ1JPSG4zQXEwcklIOWsyQjJucFQyNHBPZnFoZy1VekJqVkJsOTNKbW9UdHNhZnJ0MVREM3B3RHZwaUtYdzdGSTU2RGhCa3RUZURJUmlXQm5fNThxNDlQOW9PM2ZuNkVlT1M0MFN2TXlxcldOVjk0OVAwR2FmdklSNXJ3bG" TargetMode="External"/><Relationship Id="rId2318" Type="http://schemas.openxmlformats.org/officeDocument/2006/relationships/hyperlink" Target="https://news.google.com/rss/articles/CBMibEFVX3lxTE9LLWdtNU9iWjlPakNIWHZJWnlkN0l4ZVVUSnNhT2lzWEwzM19Ob1p5Y28zVlhvTnNLMUJVVG14dk5ScHczSE13TDlGeUE5blE2S3hzcUN4N05aQzZFbDRIckR2SUJhV3dGNGY1Yw?oc=5" TargetMode="External"/><Relationship Id="rId2319" Type="http://schemas.openxmlformats.org/officeDocument/2006/relationships/hyperlink" Target="https://news.google.com/rss/articles/CBMibkFVX3lxTFA2U2stMjdXa0I0eU8xbFh2Q0JWZlFULS11WndIaXBUMDdFeEFTVDNhVVUyV0NLS3pHSXNhQWE3dzFNVmk5WjdqNHJBRnhtN0huVjBZNlM1b0FNUjcwbzJxVHBnbTFlamlENHVkaU1B?oc=5" TargetMode="External"/><Relationship Id="rId2320" Type="http://schemas.openxmlformats.org/officeDocument/2006/relationships/hyperlink" Target="https://news.google.com/rss/articles/CBMi1wFBVV95cUxNT2ZJTHdrakkyOHBFLWd2a2k4dVgxazhQSGJleFlQYl9OQkJqOFFxWmdEOC1fdmg2QWphbml2a015bDZGYVN5OXFmMEpJX2ViZlBoNmRnVGRyVTNoZlBRb25uRXYxRGd4TXVJUEhaLXBwV3g5SUIwV3JDbkY1ZkJOaHhrX2lMQndRVFE4emdwaTB3Qi1VTUpFTGNSWUtUaV" TargetMode="External"/><Relationship Id="rId2321" Type="http://schemas.openxmlformats.org/officeDocument/2006/relationships/hyperlink" Target="https://news.google.com/rss/articles/CBMic0FVX3lxTE91dlpYd0VQTktyaHFzM3pUcTcxTlVOT1ZvWHFIWnV6MElOVk5qbWFSLVJyY2pzOHN5R0ZUZVVVbnFrMDZLZXRHdWctLXBnTnZhN3ZHNy15VkpybDlYTXNOc3JSVWJFOVVraTk1U3ZPa0p2X2c?oc=5" TargetMode="External"/><Relationship Id="rId2322" Type="http://schemas.openxmlformats.org/officeDocument/2006/relationships/hyperlink" Target="https://news.google.com/rss/articles/CBMikgFBVV95cUxOc2NIbWlvTG41WUNnQWNPUjRHNHZ2RzZjX0xleWZxbnh3dnI5WGJTU016YVBUUE9tUlNERHhpTHh5T3R3TldrVHV0TzFYdGZlV2ttRG51a0VMUW44Yk9VSFZLRkRNdDZ2ejBOOGhIN2lScVQ5b2NIRjF5OEIxV2UyN0tIOTROVEJ6UlpkYzNpZFZuQQ?oc=5" TargetMode="External"/><Relationship Id="rId2323" Type="http://schemas.openxmlformats.org/officeDocument/2006/relationships/hyperlink" Target="https://news.google.com/rss/articles/CBMibEFVX3lxTE1Ia0ZRM3FzODhDVTJsUnFWRmE2aWlEUlRsb1Q0VmZ6M0lHWlNNNWxmMTFHeVVjanMzWGtEUlhPYVhFaTA5eTVxOWFvMzdtcHJUc3FlcGFSTE53emNhLWtRSXYxeUZybkZhdnpwbw?oc=5" TargetMode="External"/><Relationship Id="rId2324" Type="http://schemas.openxmlformats.org/officeDocument/2006/relationships/hyperlink" Target="https://news.google.com/rss/articles/CBMiqwFBVV95cUxQSE5tRzFsa1JzSjVsOXJ1Tk5zVmVfU3RxN2dJYzd2ZXM3Qkc5djNtaHZTVUx5bGp3UlBhUVh4bkFiMHNiQUF4Y1Z3dWlGV2ZZc21zMy1WUVRKckdhTGVvckFsZG1RNkZQVjJJT0FQbzF6SnNYSVdmRThSdnQ4NUtaYzFxMF9EcUpuRFFFWFlEQ0NzWWZWMEpoS3BZQmVMdl" TargetMode="External"/><Relationship Id="rId2325" Type="http://schemas.openxmlformats.org/officeDocument/2006/relationships/hyperlink" Target="https://news.google.com/rss/articles/CBMixwJBVV95cUxPRXJxWmMtRmNtTjFpd2xtanZlLXZVM19EbTlzY09kcTNGcEMyZTJvdG05RmhuN2hnekRTcTlVU3RlMmJGOTZuYmNHZGVCbUtvMGRuaDZ0eHFMNDVBdFBXMGVja0xWdTEwOVMwQUVrVnk5UjVZRHdaZFBMSUowTUg0MlVKUFlScXVsSzR6RGRPXzh3UFVqSG9Vb3g2VVo3ak" TargetMode="External"/><Relationship Id="rId2326" Type="http://schemas.openxmlformats.org/officeDocument/2006/relationships/hyperlink" Target="https://news.google.com/rss/articles/CBMiigFBVV95cUxOWVdWbTh2SlltUHZHTFRNM1hJM2lKUlZtOTdTNU1LamlwbGdpSERseXdUNGhWaXJkbDZ2TFc3ZzZsU1pBN3ZmRE1fOE5ibmFOZndteTVxYlBOcXRFTGo4eDUwZ2ZqbVI1SUlmVU9SVGJ3SVdOS19aOE9DNE53OEJQRnZPN3RaQXdramc?oc=5" TargetMode="External"/><Relationship Id="rId2327" Type="http://schemas.openxmlformats.org/officeDocument/2006/relationships/hyperlink" Target="https://news.google.com/rss/articles/CBMibkFVX3lxTFBLYTJqZGpTVmJBY0NXRW0zVWZ1S3hLZGZJdjBjTU13QjAtV09iNmNla3lCdnctUUpTejdVUVJBeU1nSHhOWkgwTXJQVFpvVl9VMjVXdmZNa2xRSUJ4d3ZqcjVRWEpXTVlfd1YxZHl3?oc=5" TargetMode="External"/><Relationship Id="rId2328" Type="http://schemas.openxmlformats.org/officeDocument/2006/relationships/hyperlink" Target="https://news.google.com/rss/articles/CBMibEFVX3lxTE5OTjZPdzVDMWRETTl1NjBRNTZBVE1WRGYxMVJyU0lxVGk0QTc3TnhTb3Eya0d6VDBGRzRWQWhxd3FhTVItRFdhc2JiYlo4d2RCeHIyUnZDS3JmM20zZ2NDWWZpLW1rcTZvaWVIVQ?oc=5" TargetMode="External"/><Relationship Id="rId2329" Type="http://schemas.openxmlformats.org/officeDocument/2006/relationships/hyperlink" Target="https://news.google.com/rss/articles/CBMigwFBVV95cUxPVVZwT0p1WHpnNmVlMkxYb3FNYXNWdEhIWl8tUmVhd24tM0RoQmcwXzBqdWl1RU8tUTZ4anItdlQ3ZF9SRDUxb21SOWc3MlFjdVU3alBjOHl4SzNGaV9HSC13Q01aZnhNbF9nMEN2RjNRTC1jX3dXaEJ6Y09QQWpCM3JLVQ?oc=5" TargetMode="External"/><Relationship Id="rId2330" Type="http://schemas.openxmlformats.org/officeDocument/2006/relationships/hyperlink" Target="https://news.google.com/rss/articles/CBMidEFVX3lxTE10S29rYXJXLWR6MlVLdzVUb2FfNnFoTlNENWl6al9jOGxhUnNjcjl0QmlYaWhJeVpBVXgyVWZONEdMbjc0dUdySzB1TURaN0ZGOGY3RFBBQmY3bmo2Tk55Ym5IeVpvUTgwUE9tS1Vvakxxa2Fk?oc=5" TargetMode="External"/><Relationship Id="rId2331" Type="http://schemas.openxmlformats.org/officeDocument/2006/relationships/hyperlink" Target="https://news.google.com/rss/articles/CBMinAFBVV95cUxPVFRVazNiTkE1Y2N5MFhSS0liNV9MZlVlVFhXMjhUOWFsWFFWVUhCQTNEQnBYdFRuMHpFZFJtNlQtbF9ZaEFXZ2ZkcnRxUjVzMElZOThSLTRTWjJ5ZkZnbkJVT3ZmYUV6VWlJenZMTzV3dW8weExXbENYRzBERFQzMXh3NVRYMUs3dm1vbjNYcVhmMU5fNm9aMFdRSW8?oc" TargetMode="External"/><Relationship Id="rId2332" Type="http://schemas.openxmlformats.org/officeDocument/2006/relationships/hyperlink" Target="https://news.google.com/rss/articles/CBMirgFBVV95cUxOUTRrc05Yend0X05PWm1Wem5DTEM0aENBUExxc0tNTmFiN1ppWHAza2tIYUlNd0NkWTBJUU9ESVBpNDZLanZhQ1hVNTRBanl4aXJ1dlFtblhxVE5vbkZtZHE0eEFGUTYyRFZJVUl1bVZlejFmSURWcVN6cng4NlFlQWVxVUFxTVhMeUhPWkRRY2laRFVSRy1OYVp2aTNiYX" TargetMode="External"/><Relationship Id="rId2333" Type="http://schemas.openxmlformats.org/officeDocument/2006/relationships/hyperlink" Target="https://news.google.com/rss/articles/CBMibEFVX3lxTFBtLUJIY1JJZnFRaTlCbU5OTGpEMV9QSUFwd2RtTDJIZ0lDc0xUd1IxU2pBU3lmeGhqdWJ4RHQ2WVM1RElTY2M0dWVqMFo3Vm1pN1VQd1JWX3hLSVJsRXRrS2pNSU9KNmNzQ1ViSA?oc=5" TargetMode="External"/><Relationship Id="rId2334" Type="http://schemas.openxmlformats.org/officeDocument/2006/relationships/hyperlink" Target="https://news.google.com/rss/articles/CBMi-AFBVV95cUxQejZpNVV0R3A2ZDVoYjd2dlItUEc2T3AteDRhRlVRdmN4UExlN2FzRF9pNmp3andaVzdRdG42T1RLSUdtS19fQ0NzcWU3SDcxd0htT1hwb1Z0aUlmWnhuS2tkZGFYQ3pFYWE0QmpwcDlpeHE5bkJfX3oyT1lNMHFUd0hDa2RaUnhFY0xIaGYyaWdyU0t5blFCeFFTZjRZel" TargetMode="External"/><Relationship Id="rId2335" Type="http://schemas.openxmlformats.org/officeDocument/2006/relationships/hyperlink" Target="https://news.google.com/rss/articles/CBMickFVX3lxTE1mVUg5OXMyYjhwMmpmaDFhMjFPWkh1UEQ4SUR5UDNrVkd5OEo4bTE1aTM2cTNFU0JxNjJBOW4xRjFMZ2I4WmtuVXV5VHZuc3k4Y1dPeGE2bG5nYTBteWVuZ1BOWEVoeGF1TkVyeTlnR0VkUQ?oc=5" TargetMode="External"/><Relationship Id="rId2336" Type="http://schemas.openxmlformats.org/officeDocument/2006/relationships/hyperlink" Target="https://news.google.com/rss/articles/CBMimgFBVV95cUxNWVJjb3l0R2R1c3R2UjZXcldPLVVEZmlpaGxDdEs0OGE2N0twRXF5MUNwYjNJaXpybHNVNUphZGp2X2VNLTllYjNjSmpNSllJYU5wX3pmNEUxQlM2ZTQ3WTdySXUwZXNmaUQ5akRHcnd6TXpGMUNsczFBSEJ1ZDlRcDFKRVoxMmZ6eWhHV2ltVm5BOHNyWG03YUdB?oc=5" TargetMode="External"/><Relationship Id="rId2337" Type="http://schemas.openxmlformats.org/officeDocument/2006/relationships/hyperlink" Target="https://news.google.com/rss/articles/CBMivwFBVV95cUxQR0lHYXh6RVpkNVpaYWRkaHlNWVNheXA4NUd4TGp5SGtmZUFCM09XZllXT3FPUXlrbXRiQm5xVFlJazRBeDJsM2c4bGszb2dPLTUwVDRIN2NGdmNscVcyQnkxYkNxRTFIR3V1dXc5MmoyNzhwblNCNnIzZnEySy00dzlTck4wcmk4N09jeDF1SVRVRk1nM2dNNHV5SFJNRX" TargetMode="External"/><Relationship Id="rId2338" Type="http://schemas.openxmlformats.org/officeDocument/2006/relationships/hyperlink" Target="https://news.google.com/rss/articles/CBMiswFBVV95cUxOZW5fUUEycmlBQWljVndWVnY5WTQxSVFqWnF1T1Vlb09FeVVLMUJxemhXeXNOa2VvTHlETHBqREtMNERGdVZ3OEVRN1BMRkNSSXBpQTNWV0pXQjkyczdOVlhja2djcjZwVVNwQmZyTzJxamlWQ1pGWDVZX1VBRDAzU1ZuT2U4YmxiSmpkQlVxRGlQUEtYZ1FobjBnWmdzZW" TargetMode="External"/><Relationship Id="rId2339" Type="http://schemas.openxmlformats.org/officeDocument/2006/relationships/hyperlink" Target="https://news.google.com/rss/articles/CBMibEFVX3lxTFBiTFpmOHBvcGRwZUVUMUZmTU9KZEZ2TEFrNFk0N0NPOXZIQmlZOFVOVXcwelhtRm5NajFlVmFUdXdiOWE4eUFpMFJ0b2JrWVFGeFlUSUwzek01OFQ5Zk9STlFJRW1pVnBHTlB2ag?oc=5" TargetMode="External"/><Relationship Id="rId2340" Type="http://schemas.openxmlformats.org/officeDocument/2006/relationships/hyperlink" Target="https://news.google.com/rss/articles/CBMi3wFBVV95cUxON3B1YXBBRjd1ZnhfR1pvTlVaM3RNdEVfczN0NEp5QnEzY1NHa0dJX0JxTHZRZ1RXU1hwT3VQTmh2bkx6SDJUVF9tR0poTktPWExsdFJTWmt2M2lmek1HWU9CdkRpTGZWMUdfQzIzVGpJSU9HZHk3Qm1JQTI1NmxBbkJjckY1bnM1T2tSdk83Y0J4bEp4UEt6WHZNVGxxSD" TargetMode="External"/><Relationship Id="rId2341" Type="http://schemas.openxmlformats.org/officeDocument/2006/relationships/hyperlink" Target="https://news.google.com/rss/articles/CBMibEFVX3lxTE9hbVRhSmk5c0JDS0Z6SjhZQ2dMLUxFWHhhOXRWTzdNOG9HaTZVOFBnc3YxVERpVDNac3ROTjVnQ1BseUF4WDBnSHNfNjZyLTY3SVdLNmlfWldmWnBlT1RWNGN1T0NXNTROX09nYw?oc=5" TargetMode="External"/><Relationship Id="rId2342" Type="http://schemas.openxmlformats.org/officeDocument/2006/relationships/hyperlink" Target="https://news.google.com/rss/articles/CBMi3AFBVV95cUxNeHJYRm9EdkcwS3h6SXplcEthTl9tX2NDRmZDcEQ0UUVDcnE2OFRjSkVSaFVjNWh3cjVzQTdlQm42Y05kLVZLSzUwbHRZazhmLVF3Y3gwQmlWZ3RvYzVLUnA4TUQwSzlMWmt4LVJ6VmlxR1RySkRDVGJ6ZlVjbnplaTVqRzlId0VFZGRCTXhnOTVGWnpEbEJwY0MxSmRiTz" TargetMode="External"/><Relationship Id="rId2343" Type="http://schemas.openxmlformats.org/officeDocument/2006/relationships/hyperlink" Target="https://news.google.com/rss/articles/CBMijgFBVV95cUxPWkFLNlM2clVvbHlfc3hjNTFPMjR4eVI1SGZud3I1Q0d2Q0U5LV85cjY3dDlNZ1ZILS12UllWZ2ZHcENPSGliTzZsM2NuTXZIRGVJRlN1OWprdkRZUWZES2U4N0JxSng0TEtnYnJUMDJQZ18tam9FdUdUVFpIMTUtekZrWHE0V1hBbmhZYXF3?oc=5" TargetMode="External"/><Relationship Id="rId2344" Type="http://schemas.openxmlformats.org/officeDocument/2006/relationships/hyperlink" Target="https://news.google.com/rss/articles/CBMibkFVX3lxTFBBcEE0WGJOZ3lsVmlsVFU4SGFpWGtlakkwRlFIWV93dXp0ZVdOMEZyWDk3cDkwVkRnaG5PSlpfdkxHaXRXRXBOd0QxczUwMTFaSTZXcURlVE82V3hpWjNfWEVadG02ZDJueXZweFV3?oc=5" TargetMode="External"/><Relationship Id="rId2345" Type="http://schemas.openxmlformats.org/officeDocument/2006/relationships/hyperlink" Target="https://news.google.com/rss/articles/CBMivAFBVV95cUxPUGJQUUhFZ3NQZkNQM0lrcFY0X2Z2RUMzWlRxSmF4dWVhbDhfaW9qTWN6b2xIWVlNSjBkUWQ2bHBST2lMbnVGb3h3R21Bck51cFFFWVR5c2d2YjdZbVA2UHMwUm9ySnFPUHh0WGI4Mm5RTzVWQTVSRzFXMHFPc3ZvakpOUXVHQzRCcVJTbUdBekJKYXdqcG4wdTNXNnNRbE" TargetMode="External"/><Relationship Id="rId2346" Type="http://schemas.openxmlformats.org/officeDocument/2006/relationships/hyperlink" Target="https://news.google.com/rss/articles/CBMi0AFBVV95cUxQYlNtRXhNdGplMXZFbDJ0SGh3cldRbk1xQXUtX2pKRm9GZ25TdFIwNWJxWVZTZTE4TzExQnViclhQMHU1clQ5WTdkeGp4RC1hOWg3NE4xQUpSTTRtU0ZteDViZWp0c1RiSzBpWnh6VHVFZnZQYnByV0t0WExtMkMxWXhSMDA0bVpZQTdvNm9Yb0U0ZW94VWg1djZmSVJHbm" TargetMode="External"/><Relationship Id="rId2347" Type="http://schemas.openxmlformats.org/officeDocument/2006/relationships/hyperlink" Target="https://news.google.com/rss/articles/CBMiZEFVX3lxTE14dUxuYW9Cd1RNbHFWbFNURjhQdHZZanZsV29wQV9IYTJiLVZoNFpyOWIweF8xb01IY2hnd0pBdmp1R0JCeTV5RTlYQi1TdmEwbHVUTVZlRTZQOHltS0dwSWFmSWc?oc=5" TargetMode="External"/><Relationship Id="rId2348" Type="http://schemas.openxmlformats.org/officeDocument/2006/relationships/hyperlink" Target="https://news.google.com/rss/articles/CBMid0FVX3lxTE55VTJsWHhBT0tFQTBnZ2J1bHY0OVdJaG5nWlA2Q3p5Z0hxS2p6b1RUZmhRQjJhUVpMUmR4VHhKM2lmWUlKdV85NXRkMlczR05JQURWdnVJNHBvak9OX1pvYXpTUzRlcTg0YlpEVkJDRFpEUVVVSk5N?oc=5" TargetMode="External"/><Relationship Id="rId2349" Type="http://schemas.openxmlformats.org/officeDocument/2006/relationships/hyperlink" Target="https://news.google.com/rss/articles/CBMikwFBVV95cUxPWWtsLTZndDF1cklsMUczOU11Y3ZqcFptMTJUUGd2cHhKY1pxakNVRzc5VHpfd2tVTHF3am14c05Ka0NDaWxFdHBqZndSR0Nac1F4S2k4RzhRdTFVcFNrbkgxQjhIRDZSS1Z0TXB1M2lNcjhWS1VfcXViSWhXbnNZenI3UC1RODRfV3FFS3l4WXNPZzQ?oc=5" TargetMode="External"/><Relationship Id="rId2350" Type="http://schemas.openxmlformats.org/officeDocument/2006/relationships/hyperlink" Target="https://news.google.com/rss/articles/CBMi0wFBVV95cUxOT1ZRWU5Rckl6SlhXZEJFTkdmRWNCWHV3Q3lFdTlKUVBPZWZLZWgycVpKYmx2OUx0dWtNN0QzNlY0NzBxVHp6bVdRdlhDWDE4ZHNYYk9qOExBX0VjOTJFLXUyY01hNGRHNWUtMVRBcElWNHMySUFXWndlZ2N6UUhrZG5ZdGp0dURlV0VTOVVBYmJPN2NLeEhmVU9sRTlEcG" TargetMode="External"/><Relationship Id="rId2351" Type="http://schemas.openxmlformats.org/officeDocument/2006/relationships/hyperlink" Target="https://news.google.com/rss/articles/CBMisgFBVV95cUxPVW1vWjBBMlNJVGJ0ZWhITmNQdHNRN3R2OTY0VXJnY3prWEhOY2g3MnljNVlHRGt5alNpeU9vRk5oZFVOWDA0dXBzLTNGQk5qeTJ0Z3BnZ2JVYlloS2xxRzIyUWdWS3Y4RElDUkRLekFNSVJkTjVZOE1RX1QzSnR4RDFfSktaZEY3LWhBb3ViYjFBaDBaT0FPZU92ckFHNl" TargetMode="External"/><Relationship Id="rId2352" Type="http://schemas.openxmlformats.org/officeDocument/2006/relationships/hyperlink" Target="https://news.google.com/rss/articles/CBMimwFBVV95cUxNNDZpLTE1Ti1WVjlRVjVHU3NDY2lhQTVnVU1kZEdjV1VBaU9VY1pTZ0MzUDE2cFZSUmw4Rk1YejQ0M1FhQUJvcFpHM2cyS01FSG5iYmh4WlYzbUFFMjJ0a3VXQ1E2LXNWUGRvenRuTUVIZkNoekhvbjAxNmhNdWFsVmJQOUJGQTNqaG9DbldfUE41OHpyeTFjV2VyZw?oc=" TargetMode="External"/><Relationship Id="rId2353" Type="http://schemas.openxmlformats.org/officeDocument/2006/relationships/hyperlink" Target="https://news.google.com/rss/articles/CBMi3AFBVV95cUxOU3RJYmpxU29nSE56SUh6UEN1c2xMN2xZQ0w4ak4zbk9KeDg2VkZlMkRQX0diSXNEcExSNTl6cDViNVg3MEJOQ2dUYnhSMFhOMUdEVENvNE1CcWs2OUVodU1yZmEzMDI0U3ZhX2ktTmt3N3RBNi1hbmQtU0R0STVaQkZIUkQzcXQwSmtIUXdFZlAzVFlHR2g0QlVNaU9ITF" TargetMode="External"/><Relationship Id="rId2354" Type="http://schemas.openxmlformats.org/officeDocument/2006/relationships/hyperlink" Target="https://news.google.com/rss/articles/CBMisgFBVV95cUxPVW1vWjBBMlNJVGJ0ZWhITmNQdHNRN3R2OTY0VXJnY3prWEhOY2g3MnljNVlHRGt5alNpeU9vRk5oZFVOWDA0dXBzLTNGQk5qeTJ0Z3BnZ2JVYlloS2xxRzIyUWdWS3Y4RElDUkRLekFNSVJkTjVZOE1RX1QzSnR4RDFfSktaZEY3LWhBb3ViYjFBaDBaT0FPZU92ckFHNl" TargetMode="External"/><Relationship Id="rId2355" Type="http://schemas.openxmlformats.org/officeDocument/2006/relationships/hyperlink" Target="https://news.google.com/rss/articles/CBMidkFVX3lxTFBzbUdLYXN5OHVnNlFLWTQxQkVVQXk1SmU5cS1aa3FtVGVZOVUzakdXMWhzVEpXZHktOG12d3diaWFjdl8xS3haUFNxOGg5M3dieE5seFpmSXVGaUNpa3VmVXNKTTdqcEZTN3FrSDlVVlJaVjM2ZlE?oc=5" TargetMode="External"/><Relationship Id="rId2356" Type="http://schemas.openxmlformats.org/officeDocument/2006/relationships/hyperlink" Target="https://news.google.com/rss/articles/CBMilwFBVV95cUxNT1llTDlpdWRnSVVRTUZYYXpYcHptNGdpZXhmMWlGX1I4WTJ4T3NkWEhUV3VOUElvRWFkT3pUeFhhOWIzMWlUXzJTdUZNdHA4UTBlVkpoRG8xbGpXVVd5dG9Nc2dSN0E1azJYU1RRYkx1NXJHeVhyd1A0U3YzWFBoLTlQMFNpVmFSYzJ4a0JFZ0t1UmRscVBV?oc=5" TargetMode="External"/><Relationship Id="rId2357" Type="http://schemas.openxmlformats.org/officeDocument/2006/relationships/hyperlink" Target="https://news.google.com/rss/articles/CBMibEFVX3lxTE5MV2FPbmt2RldybUZEaWFpcXhweDZnU3h2czUzYXVRZXN0ZDctUWQ2bzZneS1wY2lWOWw2d0tQWEg0VzJzUURBN1VQMnRwRTlGanhsZWpVeUZDbjZtaVA1Y21jU000NGhUTGRjTA?oc=5" TargetMode="External"/><Relationship Id="rId2358" Type="http://schemas.openxmlformats.org/officeDocument/2006/relationships/hyperlink" Target="https://news.google.com/rss/articles/CBMibkFVX3lxTE1mdURPTWVfV0YxZ0I3RjJhdzNla3RpRnFjMnRfWjZzMDRNM3hCbVNTV1VQWVhUeExXNHpxR0x5aHBueTFKQ0lhQUVLMFBfNy12T3JEVkd5WmNaSkd4QjJOaUZWbGk5dHMzc2Q1LVZn?oc=5" TargetMode="External"/><Relationship Id="rId2359" Type="http://schemas.openxmlformats.org/officeDocument/2006/relationships/hyperlink" Target="https://news.google.com/rss/articles/CBMibkFVX3lxTFBNc0pWYXhINV8tT20xYTBDeDkzYUswY2NEYnMtaTh5ZWEyMFFLc1BfYk8ydXV2V2FVcnQ4TklJaHN5bmFuYklTU3hTRVZZZXZrY0dnM1p0d1dXc1ZGT0xjbElxMV8tV2ItbThFYTJR?oc=5" TargetMode="External"/><Relationship Id="rId2360" Type="http://schemas.openxmlformats.org/officeDocument/2006/relationships/hyperlink" Target="https://news.google.com/rss/articles/CBMiZ0FVX3lxTE91Z01KZThESzJYaW14a0E0OWdkLUxWcDlLNWNkX0ZWR2JNcW0wd0xTcEtmM2Z0ZGtEbHZiSEI0aWJlb3h4SGxnLUs1S2N5bFNuQW16MS1NOEpaQzgtOGtxMnNWYXNqQWM?oc=5" TargetMode="External"/><Relationship Id="rId2361" Type="http://schemas.openxmlformats.org/officeDocument/2006/relationships/hyperlink" Target="https://news.google.com/rss/articles/CBMijAFBVV95cUxPMVdEY3ViSjN0NGYtVjdrMHlkZ21sVGNiU085VGdnd08zU21CU21PSlJhVEgwRWQ1dldaWk43R0dHREpWNU5CMGUxd0xxQTR5OTBhOGpZRXhXVExCQWFxY1ZQWGtVbjN3Y3R0V255NFdEZWl0X0FHb2tYWTV6M1pDMXlfT1NhWFQyVXl4dg?oc=5" TargetMode="External"/><Relationship Id="rId2362" Type="http://schemas.openxmlformats.org/officeDocument/2006/relationships/hyperlink" Target="https://news.google.com/rss/articles/CBMiqAFBVV95cUxPQUNCenN5MWhsT1lOejRwSW1FWE9NMWNMbWw5a0NFeThIemk4WW9iSEpxWEd3bEZkTkdhZTg4cGlGdFVQQUhLX1NLY2Nrek0tUDQ5TnNNWTk4RHVuUlB3VlprNHM2LVlFckZLYm9ISjh1RE84b3dIWWNOQ3o5VmE3Sl9XdHdkWVBvb25heXQwYnY3MnA2WTVxZ3lIOTd3dm" TargetMode="External"/><Relationship Id="rId2363" Type="http://schemas.openxmlformats.org/officeDocument/2006/relationships/hyperlink" Target="https://news.google.com/rss/articles/CBMibEFVX3lxTFBNem5LZGtLVGd4c3lLRUdBcl9fT0lYZXRMNjRVVEdEZ0FDSkhKRnktblRUUjFkeF9tMU1LSmF2endraGtXRHBWQU1FMGhRMUdhcEpyd0FuSWJlMk9ETGlIeEJZWmpuUjlSZG1OLQ?oc=5" TargetMode="External"/><Relationship Id="rId2364" Type="http://schemas.openxmlformats.org/officeDocument/2006/relationships/hyperlink" Target="https://news.google.com/rss/articles/CBMisgFBVV95cUxPVW1vWjBBMlNJVGJ0ZWhITmNQdHNRN3R2OTY0VXJnY3prWEhOY2g3MnljNVlHRGt5alNpeU9vRk5oZFVOWDA0dXBzLTNGQk5qeTJ0Z3BnZ2JVYlloS2xxRzIyUWdWS3Y4RElDUkRLekFNSVJkTjVZOE1RX1QzSnR4RDFfSktaZEY3LWhBb3ViYjFBaDBaT0FPZU92ckFHNl" TargetMode="External"/><Relationship Id="rId2365" Type="http://schemas.openxmlformats.org/officeDocument/2006/relationships/hyperlink" Target="https://news.google.com/rss/articles/CBMidkFVX3lxTFBiOGJXd1FjVjh0S1k5LVliZWJDVWFBTHJSZ2ZUd2h5NktFejRZZU54ZlZ6MmZDUzg4OEx3ZlU2dFFDRTk0UG9fVzNhSENtd1U2b3dsNVR2OGRBOXF3NGNrUjN6R00xWkN5LW5uNHNpOHJBbkZNdlE?oc=5" TargetMode="External"/><Relationship Id="rId2366" Type="http://schemas.openxmlformats.org/officeDocument/2006/relationships/hyperlink" Target="https://news.google.com/rss/articles/CBMilgFBVV95cUxPX245ZzBFVHk3eHhQdUNWUEtsNW4wd2otVGNUZzBjTkJONzJZRHhtNmZoOXVQVkpRaXdlNWFYNDNqT2NOUDFCTlFKR29LelVYV21uVWY0RG1QcDVUU3hwcldqSk1iNmtMVlBnUjhZb3lpWWEzdDV3dHZIUGdWV2diaXBrYUNtT19yZmdhemdCT0VJaFZyT1E?oc=5" TargetMode="External"/><Relationship Id="rId2367" Type="http://schemas.openxmlformats.org/officeDocument/2006/relationships/hyperlink" Target="https://news.google.com/rss/articles/CBMiW0FVX3lxTFBsUDZ6ajJPZDhKTFNTZlVqYmUwbUl1M1NlVnpsaHF0MVhWVnBKUGE4NjAyUXlNQlE0RFZKWmNCTUd6Q2EyS3phZjBObEl3MTlta3JxeTVwSEhRMDQ?oc=5" TargetMode="External"/><Relationship Id="rId2368" Type="http://schemas.openxmlformats.org/officeDocument/2006/relationships/hyperlink" Target="https://news.google.com/rss/articles/CBMibkFVX3lxTE1xSXdUc3JPMTU5RjhXQ3ZEdTVPZEpDa01CNGQzLURfdXZONGkzazRrb3hQenlBUVRjNV9hbnhjZmxRemxMZ2gxdkVwdGdaZlZmV0tpZEoxNXFCWVF4MjZHTHFfQVd3X0VLVlNHUWJn?oc=5" TargetMode="External"/><Relationship Id="rId2369" Type="http://schemas.openxmlformats.org/officeDocument/2006/relationships/hyperlink" Target="https://news.google.com/rss/articles/CBMibkFVX3lxTE1CUDZLdFoyT3ExRDNINmprcVZydERQMGhPOFRxaWtUTlhBbWNVNGU3M0hrcV9KV3I5X21SVVVUVHExWEVjZWpKUEw4MzU3V241SlEwVV83SXQ2ZVpmQmwwTGc3WGxPdTFRVVF6LXR3?oc=5" TargetMode="External"/><Relationship Id="rId2370" Type="http://schemas.openxmlformats.org/officeDocument/2006/relationships/hyperlink" Target="https://news.google.com/rss/articles/CBMibEFVX3lxTE96MmNYaEI0TGo1X01XX180RzdEeUh5a2tLNFBfaTdGOGhiQ25HX2pDODZvZU5aWjAxa2lMWERDQ3pSam16R3FBQUtjcmNzQThYNC15NmRyWW01QXprUDVVRDh6YnRqUXpMTjA4eA?oc=5" TargetMode="External"/><Relationship Id="rId2371" Type="http://schemas.openxmlformats.org/officeDocument/2006/relationships/hyperlink" Target="https://news.google.com/rss/articles/CBMiogFBVV95cUxPV1hJZDUwQi1YaUVFNVpNdHdManpaYjQxM2xMeVE0RlF0Ulo3QjRPallZQkZ1NWgzR3ZYV1hiX3gxMTN1TTFzblFrOGh2TDZYTl9XMkVpY3BweEdkOW9SclJxTk93MTFfYWF2akVrU0FYSVp2OXZuWm9TbEo5dmpVcW91aks0VDFpanc4ZW9UYUphVkplaGQ1SktyRFhYTm" TargetMode="External"/><Relationship Id="rId2372" Type="http://schemas.openxmlformats.org/officeDocument/2006/relationships/hyperlink" Target="https://news.google.com/rss/articles/CBMingFBVV95cUxOZDFXMkZlUnp5azBlZThvM25hOTBFeHdDaUlkTlNoUmt5c3ZmYjJQLUhqNnllUHQ3XzZrbUQyVHhCUjNYemdpN3BrcmliRElqaU5FSWw2aWZIdVdmTFpSd1NiOE9LZU95bW1ua05uZ0FtRlBXd3gtWlkydVYtU3JNd2hHT3RxN19VZVNlXzFIcGhrTzNuaWdvWldEa3VVUQ" TargetMode="External"/><Relationship Id="rId2373" Type="http://schemas.openxmlformats.org/officeDocument/2006/relationships/hyperlink" Target="https://news.google.com/rss/articles/CBMizwFBVV95cUxPQXJDMGRCNUY1VGRCZjZmbVhmU2lreGVzRWYwUXQtMGtFUXRnUXdHT2RFNF9XdUdZcmkxX0NjeWlDbjN5b1NPenc1RGRwM2c1Vno3ZG9hVDBUZ1FrQWV3QTFlRU4wRlJLOER1LVNZZFhybGJCVUxTdW1TRzFwbDBRWm5YTXhfZW9ZOGNVODZZcEhELUpmQTZmbVAtTm1tQm" TargetMode="External"/><Relationship Id="rId2374" Type="http://schemas.openxmlformats.org/officeDocument/2006/relationships/hyperlink" Target="https://news.google.com/rss/articles/CBMibkFVX3lxTE1ZNTV5c0Q5YTlUUzVndXZXamlObWJic2dxdDMwUVNaNFVTVE5CZDBzZG5zMTRoVXBlaDlMUVdURzdWdGkwZVJ5dnBZQ3Y5cXNDTWl0cHJWTDVxdm1Nd0FQMlMxdnV1WE56Wm9XRDlB?oc=5" TargetMode="External"/><Relationship Id="rId2375" Type="http://schemas.openxmlformats.org/officeDocument/2006/relationships/hyperlink" Target="https://news.google.com/rss/articles/CBMidkFVX3lxTE11dU5ZdTkxd3ZMOTFpYkpaazc5NFVUUl96TjMyZXBVYmNCUUxjWDJBSExKa01udnhVSWpwZ1FaeTFQSWdPSHkxdlI2SmhXSExwTGRQNy1XTDBpOEpEemdvR0JWVGVlRnczRUZub1A1dFpLUzlLcFE?oc=5" TargetMode="External"/><Relationship Id="rId2376" Type="http://schemas.openxmlformats.org/officeDocument/2006/relationships/hyperlink" Target="https://news.google.com/rss/articles/CBMifkFVX3lxTFBseGlDSnR0OEgtVlhxcHdOZXR5ZWZKdWIzVmJCTk10ZExQaFFrNG96eHQ1WkFBUG5EcWE0QnEwUFhVQlhwelFnNmZtZjVKX1lSU1IzU29ISFIxZ3YzYXRwbGZnZmpfTGVOVjlWc0VkSFFJa3hGVDFySHR0U19IUQ?oc=5" TargetMode="External"/><Relationship Id="rId2377" Type="http://schemas.openxmlformats.org/officeDocument/2006/relationships/hyperlink" Target="https://news.google.com/rss/articles/CBMivgFBVV95cUxOX3dzSEhYTHpZR0JoUHh4dmtKY2Y0Y2JEM2czLXRBMXdWcXJ0WkpLNWJpTGM5UFlSajZsUC1GNmVQWUlzMkNxQi1Cbk8teGVSN1JuNjUzV0pwMGpJZzU0R2VtUUFxXzFNYWp0c183c0hyOV9CWHBJR081akYxN29USzdPaFlmSlNyV0tNcWlvcmhoaDJ6eFhfZ1BJNGNpVG" TargetMode="External"/><Relationship Id="rId2378" Type="http://schemas.openxmlformats.org/officeDocument/2006/relationships/hyperlink" Target="https://news.google.com/rss/articles/CBMilAFBVV95cUxORG44RjdKRDRYOTVGckJZNG14cXAycDhCNUVPZ2E0bE55WWR4eWV2dXJnWVhIaHNVcTBZUUpYUHNBZDRia1U0NXJUaEhqRU00ZkZjaTdCQ2M3aUQyWG5FTVdTVlJTbTlQSUVQcTNQMUxOVFZwcDF4ZnQ1aV9FMjM0SlhpcU14Y1JzaGpwUVBuclZkVGxq?oc=5" TargetMode="External"/><Relationship Id="rId2379" Type="http://schemas.openxmlformats.org/officeDocument/2006/relationships/hyperlink" Target="https://news.google.com/rss/articles/CBMisgFBVV95cUxNN2JIcVZ5RmRkOTg4MGJOZkJPeVFTN0NmdmlEUEZoc0VUaDI1azFUVXdPMEN3T2RVdzRSSmdzSVlYZkc4ZEs5OWJHNXppOUlycjBELV9ra2JydXpReUttcWpreWJSdmRqek45SzhTMjZMRjNtazRVRWR5T3VYdjRwRXk0cGM2WmNDdjktV2stbUJrZlBiMTlPeGR2MTBmMT" TargetMode="External"/><Relationship Id="rId2380" Type="http://schemas.openxmlformats.org/officeDocument/2006/relationships/hyperlink" Target="https://news.google.com/rss/articles/CBMibkFVX3lxTE5QMVdmcHVIN2VjNDJ0R3VheW0xYnFWbmEtMmxmUVRiMUhYUWZ2UDIyeFlXS0FuY0k5SU9DUjd0dWxYYXBLaDhsQXRBQzczVnQtVXl5OUoxanNEVmQyaHZBeVRKMnFDbE94WXdybWR3?oc=5" TargetMode="External"/><Relationship Id="rId2381" Type="http://schemas.openxmlformats.org/officeDocument/2006/relationships/hyperlink" Target="https://news.google.com/rss/articles/CBMic0FVX3lxTE5KUVI5OW9MeElSc1V0UUpCcUI3LTJsRVRSZFg3N0lOWUFTdXVqa2pZMUtTNXZNcFpZOFdJc1pXaXVPdkpiQTZYNXFoS01GNnBOeVJkZ1cwTmhSdnJ5Qk5fLUFWaExETXhHX1drR3I2dWtQTlU?oc=5" TargetMode="External"/><Relationship Id="rId2382" Type="http://schemas.openxmlformats.org/officeDocument/2006/relationships/hyperlink" Target="https://news.google.com/rss/articles/CBMimgFBVV95cUxOdEV3V3k3cWNueFdaRzhvWjJNeVdlSnU1SWZtYVdEVzJDdWVOemx1SmNrazJObGRBWWFLaEFEZHNRZVU3ZHI2c0xrbmlqTTF1d0VnT0JoV3g4dDFiOTd6Qmx6eTd1cXUxZnlVYnIwaVp2RlVCSzhxWlRnYW96T0I3dGRxNXBSSWJKVVlIa2FaY2NnWFJ0OGVkdWln?oc=5" TargetMode="External"/><Relationship Id="rId2383" Type="http://schemas.openxmlformats.org/officeDocument/2006/relationships/hyperlink" Target="https://news.google.com/rss/articles/CBMizAFBVV95cUxNSzFkeks1M1I0ZHM3RGEtOHJyQkZlaVZRb1lZOHFIUl8yb0duWk12cHRTSWExV3pUX2RDSk1lcnpwUGNUdWxxTm1PcTYtRTRyandMU09XRWViNlBpVllQY3ZUbklLV1Nzbjdwd3M5bzc0NE16V29GYThBRTZBbTVBUmZZMWtSSmdBZ3cweHI1cVpPRTVhSnhnQlZFb0hhZU" TargetMode="External"/><Relationship Id="rId2384" Type="http://schemas.openxmlformats.org/officeDocument/2006/relationships/hyperlink" Target="https://news.google.com/rss/articles/CBMibkFVX3lxTE1ycE5uM3Z4STViZVRMTTJzTWprWjhZczNIT2E3cDlQZXBhS01lTlBkNERYNVF5a2dWOTFFRUVuTEVqWnRSbkVfRUVENzE1RUJJZEJwOS1qRlMxYzN5bHhDTlQxTnZMSGJCbHIwajRn?oc=5" TargetMode="External"/><Relationship Id="rId2385" Type="http://schemas.openxmlformats.org/officeDocument/2006/relationships/hyperlink" Target="https://news.google.com/rss/articles/CBMiuwFBVV95cUxPeExLdWZjV1VwYnVZU0o4eHN6Znp5SW1nbHBOc2xMeTJwcHRrYWhxZmd0Z05FLURpTWJOQ245ZzcwLUIwMGhlSGxYeXFzeTNObWhXdDBib2RnTWo3OG9vZ3laRGU0WGtlZ3RSZ1JEeDF6OVJWYVhMUHVVa01lTmV1ZHhIUHRIRW9Ha0lWN2YtWEo0NUIxVDBmaFRtQi1jWT" TargetMode="External"/><Relationship Id="rId2386" Type="http://schemas.openxmlformats.org/officeDocument/2006/relationships/hyperlink" Target="https://news.google.com/rss/articles/CBMisgFBVV95cUxPVW1vWjBBMlNJVGJ0ZWhITmNQdHNRN3R2OTY0VXJnY3prWEhOY2g3MnljNVlHRGt5alNpeU9vRk5oZFVOWDA0dXBzLTNGQk5qeTJ0Z3BnZ2JVYlloS2xxRzIyUWdWS3Y4RElDUkRLekFNSVJkTjVZOE1RX1QzSnR4RDFfSktaZEY3LWhBb3ViYjFBaDBaT0FPZU92ckFHNl" TargetMode="External"/><Relationship Id="rId2387" Type="http://schemas.openxmlformats.org/officeDocument/2006/relationships/hyperlink" Target="https://news.google.com/rss/articles/CBMibEFVX3lxTE1tVVBSQThfbTBXdHN3NHQzOGFocm1DRndHdmhjSS1TRnNfLUtQd29HRUoxTVRxdGVlbXBqYUgtTncwN1NCWUdTek1GZE9FdVZyc2phbEYxZ3ZjYjFMOGZNUkRMWDNldkVQN2taSw?oc=5" TargetMode="External"/><Relationship Id="rId2388" Type="http://schemas.openxmlformats.org/officeDocument/2006/relationships/hyperlink" Target="https://news.google.com/rss/articles/CBMi9wFBVV95cUxQTWdLSzlwcVZOZlIwTGRlaUVFUFpfMEQ5ZGZHdWh6Qm51ZU5SY1FRcExtZk5HMHVVY1UxYm91NzFNelgtZjNmOXJKUnp2dk9tWk5CaE85cTUybnJ4ZVpfNnNZelB5OVR6X2lTNWplN3JFb29wUHMya2ZZX2Z0RkRFR0F3MTR6VU1aVkE3OUZCTVR5NVZUaF9nZ2x3eFZHQU" TargetMode="External"/><Relationship Id="rId2389" Type="http://schemas.openxmlformats.org/officeDocument/2006/relationships/hyperlink" Target="https://news.google.com/rss/articles/CBMizAFBVV95cUxNSzFkeks1M1I0ZHM3RGEtOHJyQkZlaVZRb1lZOHFIUl8yb0duWk12cHRTSWExV3pUX2RDSk1lcnpwUGNUdWxxTm1PcTYtRTRyandMU09XRWViNlBpVllQY3ZUbklLV1Nzbjdwd3M5bzc0NE16V29GYThBRTZBbTVBUmZZMWtSSmdBZ3cweHI1cVpPRTVhSnhnQlZFb0hhZU" TargetMode="External"/><Relationship Id="rId2390" Type="http://schemas.openxmlformats.org/officeDocument/2006/relationships/hyperlink" Target="https://news.google.com/rss/articles/CBMi3AFBVV95cUxPTWZQLVdIZElqMW43SXZUY2I0RFk5d0dqZ1h2SnZ0Wjh1S0dGdEExMnZlY2lHbm9oOElydDBTYlZGN0o4SVBFM2Frd1lzcjZ5aEM0V19Wa0xkSkFYZGRQcFR6SUgwZGJPdm5UdFhvcTNIQjU4QnhTYzdSb0VxME1MZmFrT25vU0dsc1pBVUltUjJpWDA4bDRxT3pGcDg0Ml" TargetMode="External"/><Relationship Id="rId2391" Type="http://schemas.openxmlformats.org/officeDocument/2006/relationships/hyperlink" Target="https://news.google.com/rss/articles/CBMibkFVX3lxTE9NazBMajA3NmhTb0dpOHRGX2VDZ0RGU3hIRWREMEllU3JrVmxDWFZLY3kxTm1UWUJhSUNUS2FiLXpBSlRqZmJLdzM5VkVibmtSanJIR1ZKUDJQaVJmY05RZnU0Z0JGTWNPR1RuZmFR?oc=5" TargetMode="External"/><Relationship Id="rId2392" Type="http://schemas.openxmlformats.org/officeDocument/2006/relationships/hyperlink" Target="https://news.google.com/rss/articles/CBMisgFBVV95cUxPVW1vWjBBMlNJVGJ0ZWhITmNQdHNRN3R2OTY0VXJnY3prWEhOY2g3MnljNVlHRGt5alNpeU9vRk5oZFVOWDA0dXBzLTNGQk5qeTJ0Z3BnZ2JVYlloS2xxRzIyUWdWS3Y4RElDUkRLekFNSVJkTjVZOE1RX1QzSnR4RDFfSktaZEY3LWhBb3ViYjFBaDBaT0FPZU92ckFHNl" TargetMode="External"/><Relationship Id="rId2393" Type="http://schemas.openxmlformats.org/officeDocument/2006/relationships/hyperlink" Target="https://news.google.com/rss/articles/CBMisgFBVV95cUxPVW1vWjBBMlNJVGJ0ZWhITmNQdHNRN3R2OTY0VXJnY3prWEhOY2g3MnljNVlHRGt5alNpeU9vRk5oZFVOWDA0dXBzLTNGQk5qeTJ0Z3BnZ2JVYlloS2xxRzIyUWdWS3Y4RElDUkRLekFNSVJkTjVZOE1RX1QzSnR4RDFfSktaZEY3LWhBb3ViYjFBaDBaT0FPZU92ckFHNl" TargetMode="External"/><Relationship Id="rId2394" Type="http://schemas.openxmlformats.org/officeDocument/2006/relationships/hyperlink" Target="https://news.google.com/rss/articles/CBMidEFVX3lxTE00QjA2b2E0UlN6T1FkbWY4RjR5cVZhaUVBM1FBMW5TOXdFblRwYVBCbG9FOFFCMWl3ZzAtWGp6ekFYT0pZLUtXUnpZRDFJRGZvOXg5NlhBWWtEaU4ya0NfN0RDRnNKejFMbk8ybXlwbl9HYmdK?oc=5" TargetMode="External"/><Relationship Id="rId2395" Type="http://schemas.openxmlformats.org/officeDocument/2006/relationships/hyperlink" Target="https://news.google.com/rss/articles/CBMibkFVX3lxTE1wNnJwdjNoZ29hLTJhQmdxNC1mQks0WGp1c3B3bHhHMWNRYWY3cnQ2cUJ4WmFaemprZjgtVU9GYWNfLUZpeG1XWjZNWUlzMFMtVnJTbW1KRlNlZzQxaGhaMkdUWEFLQUprdTM4dlV3?oc=5" TargetMode="External"/><Relationship Id="rId2396" Type="http://schemas.openxmlformats.org/officeDocument/2006/relationships/hyperlink" Target="https://news.google.com/rss/articles/CBMilAFBVV95cUxNMVBkQkNkc3BZd0ptU2dSdkl6dkprUjlhcEktOU0yeW1YeEdRS1l3SC1WaWpoWXNEclE0WThUSGxLaGEzZm1RU01zSEtPVUFwRUNQZFloc2duWFBTWVpaeGVXYnVLVjdUUGFUZ3JXUzlIOFkwNlpRM3JocjBEQ2R4QlE3Q29CdUphSGl1ZlA0QU13RFV0?oc=5" TargetMode="External"/><Relationship Id="rId2397" Type="http://schemas.openxmlformats.org/officeDocument/2006/relationships/hyperlink" Target="https://news.google.com/rss/articles/CBMiowFBVV95cUxQaTRlTXA2a0hKN2tpNEJXYWxyYjN2RlotSkRtNEJZcVhoU2k1bmY2YVdWX0RocDNfcWQ2Tk0zZlFodVRvdkl5dlZlSnpzUWxDbWQ4cTNYeS0wT21nWTJ5UkNPS0tHa2xfeDJrUDduempVY01XcHlCUmlWelBud2dSSW91eGdzU2R1QUkzeUhTdU9GMGVBWW1UNkwwMUR0U3" TargetMode="External"/><Relationship Id="rId2398" Type="http://schemas.openxmlformats.org/officeDocument/2006/relationships/hyperlink" Target="https://news.google.com/rss/articles/CBMif0FVX3lxTE8xWVhjLVk2U3hpdEFpbjRXQzhPVEh6OVZVeHNra00wR01WSm01a3ZkWUxJTm9JeGlqVndrUFlhYjRFR1R6SnNOdHY1MlVyWFJ1cV94endVQnZIRjBKQzRZcElHNmFWdG9ScllZOUhRYm1JT3U5QzBZbXYtWXNma3c?oc=5" TargetMode="External"/><Relationship Id="rId2399" Type="http://schemas.openxmlformats.org/officeDocument/2006/relationships/hyperlink" Target="https://news.google.com/rss/articles/CBMid0FVX3lxTFBOU1QzZnVNaUd3UHY0TXZDNWtEc19nSEtNanFBbTdDRERoS1d1Vm43WHFFSVBsRVd3cEJkM1VIZ3U1YnhIczVCajQyUHEweW9LT24wMXVmV3JpWmpiem5XQWs4TkdHSlFDVnMxWDVTeWdkand1X3NJ?oc=5" TargetMode="External"/><Relationship Id="rId2400" Type="http://schemas.openxmlformats.org/officeDocument/2006/relationships/hyperlink" Target="https://news.google.com/rss/articles/CBMiwgFBVV95cUxQMkdxYUpMZHM5aHdBSUM2NUxvcWVDT2haSW9pUUxYckpVUWVJbnl4ajdlWTR0YkxHVUhPSEFXaUpScFJNTHZxWm1NckZZMUFEWF96QWRqNUFOc0hMU3ZKdjlpeFFaVTdWdXJBSDNfb0V2OG9hWG9DdmdoR1VYaUJXRXFsN3p6UXpXQmtiWXg2UXJqUlRkaUpDTmhnRm9jVm" TargetMode="External"/><Relationship Id="rId2401" Type="http://schemas.openxmlformats.org/officeDocument/2006/relationships/hyperlink" Target="https://news.google.com/rss/articles/CBMibkFVX3lxTE1YN0ZwaWRXdXFHWEk4czhrQVhfNUV5dkl3cTI5Y0pBYjZpdXRTYnltTEVDX1lSMjRHQjhSejNsb3NHVVJINE9tX3p1cnY0RFl6cldRakVGalFub2RIbXFSWGtwMlRYak9INUcyT0p3?oc=5" TargetMode="External"/><Relationship Id="rId2402" Type="http://schemas.openxmlformats.org/officeDocument/2006/relationships/hyperlink" Target="https://news.google.com/rss/articles/CBMibEFVX3lxTFA2dlN3bXdVU1N6OUdxTkxaemFMSVg2R2p0bkhnQzg2RTg3UHF0WG9kR1lPaFJoc3h0elQ2OWppWVdMWWRtTEdBSUxKeGhEdGc4RUdVWEhaei04dUVYRUdLVlA3OXVKck5CYmpidQ?oc=5" TargetMode="External"/><Relationship Id="rId2403" Type="http://schemas.openxmlformats.org/officeDocument/2006/relationships/hyperlink" Target="https://news.google.com/rss/articles/CBMibkFVX3lxTE5Rckh4REx3LWR0NEFlNTN0UURZZDVmZWQ1QTByMmdNbDV5Vlc3OWFxU3RBUlB5d3JDSDlkUy1MTGt5N1ZHNHA3eFRXU1N3eWR3UlFEeTJMYWhMdVNxMk0ybnh3c1pQam5pM0FzSnpR?oc=5" TargetMode="External"/><Relationship Id="rId2404" Type="http://schemas.openxmlformats.org/officeDocument/2006/relationships/hyperlink" Target="https://news.google.com/rss/articles/CBMiowFBVV95cUxOUzI4dkFQWHF1RHJaMHhSZEtLVUZUdV8zbnJiZzdRZllZSVRXX2lXV2UzbjNTZ1hqTzZFbFZ3U0ZxWHdhQWVLQmFHemNPWVhCaUVWUEQ2S1ZzY0JZV2tCd2lKVmFTeXFrT2JEaks0TmlJWWxNTV81ZjhQNUZjZkJEaG9PZ0QycFIxaWFBVzlWYmwzcjhIcUFsVEtMcnB0SE" TargetMode="External"/><Relationship Id="rId2405" Type="http://schemas.openxmlformats.org/officeDocument/2006/relationships/hyperlink" Target="https://news.google.com/rss/articles/CBMiogFBVV95cUxQWDlMdi1BQ0lncUs4WGl2bmxwcWhILWVpM0VUanI3YWpyUjhmeWtBVHM3dFd0Z2FWejktaC02M0s1VjBkYlI2aUVfcnpRNDJFYjV5SDkxWjQ3cGRxZ3hnRlBRWVVIRkMtSzEzNXAydS1McUEtdGZ5MXFLeEQwLUMxdWszNXZqTHJEY2ctbWhPVEtoRlFXMDNnRlRyR0tPSU" TargetMode="External"/><Relationship Id="rId2406" Type="http://schemas.openxmlformats.org/officeDocument/2006/relationships/hyperlink" Target="https://news.google.com/rss/articles/CBMibEFVX3lxTE9nbzJSaWQyOE1nUDUwc3VIOEMxXzJveVRrSG03cUE2UHJaWjNYMHd6OC1rOUQ5OTdMSVA0enFPaVl4cVNKc01pZUx4clp6eXY2YW1CbnZPUGVYOU0zTFI5ZUVLUW1IUEMxSVY5WQ?oc=5" TargetMode="External"/><Relationship Id="rId2407"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0"/>
  </cols>
  <sheetData>
    <row r="1" customFormat="false" ht="19.4" hidden="false" customHeight="false" outlineLevel="0" collapsed="false">
      <c r="A1" s="1" t="s">
        <v>0</v>
      </c>
    </row>
    <row r="2" customFormat="false" ht="29.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9.85" hidden="false" customHeight="false" outlineLevel="0" collapsed="false">
      <c r="A5" s="4" t="s">
        <v>3</v>
      </c>
    </row>
    <row r="6" customFormat="false" ht="15" hidden="false" customHeight="false" outlineLevel="0" collapsed="false">
      <c r="A6" s="4" t="s">
        <v>4</v>
      </c>
    </row>
    <row r="7" customFormat="false" ht="29.8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t="s">
        <v>9</v>
      </c>
    </row>
    <row r="12" customFormat="false" ht="15" hidden="false" customHeight="false" outlineLevel="0" collapsed="false">
      <c r="A12" s="4" t="s">
        <v>10</v>
      </c>
    </row>
    <row r="13" customFormat="false" ht="15" hidden="false" customHeight="false" outlineLevel="0" collapsed="false">
      <c r="A13" s="2"/>
    </row>
    <row r="14" customFormat="false" ht="15" hidden="false" customHeight="false" outlineLevel="0" collapsed="false">
      <c r="A14" s="3" t="s">
        <v>11</v>
      </c>
    </row>
    <row r="15" customFormat="false" ht="15" hidden="false" customHeight="false" outlineLevel="0" collapsed="false">
      <c r="A15" s="5" t="s">
        <v>12</v>
      </c>
      <c r="B15" s="5" t="n">
        <f aca="false">COUNTIF(覆核!$M$2:$M$2407,"維持")</f>
        <v>0</v>
      </c>
    </row>
    <row r="16" customFormat="false" ht="15" hidden="false" customHeight="false" outlineLevel="0" collapsed="false">
      <c r="A16" s="5" t="s">
        <v>13</v>
      </c>
      <c r="B16" s="5" t="n">
        <f aca="false">COUNTIF(覆核!$M$2:$M$2407,"修改")</f>
        <v>32</v>
      </c>
    </row>
    <row r="17" customFormat="false" ht="15" hidden="false" customHeight="false" outlineLevel="0" collapsed="false">
      <c r="A17" s="5" t="s">
        <v>14</v>
      </c>
      <c r="B17" s="5" t="n">
        <f aca="false">COUNTIF(覆核!$M$2:$M$2407,"排除")</f>
        <v>2374</v>
      </c>
    </row>
    <row r="18" customFormat="false" ht="15" hidden="false" customHeight="false" outlineLevel="0" collapsed="false">
      <c r="A18" s="5" t="s">
        <v>15</v>
      </c>
      <c r="B18" s="5" t="n">
        <f aca="false">COUNTBLANK(覆核!$R$2:$R$2407)</f>
        <v>0</v>
      </c>
    </row>
    <row r="20" customFormat="false" ht="15" hidden="false" customHeight="false" outlineLevel="0" collapsed="false">
      <c r="A20" s="5"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4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8"/>
    <col collapsed="false" customWidth="true" hidden="false" outlineLevel="0" max="4" min="4" style="0" width="18"/>
    <col collapsed="false" customWidth="true" hidden="false" outlineLevel="0" max="5" min="5" style="0" width="42"/>
    <col collapsed="false" customWidth="true" hidden="false" outlineLevel="0" max="6" min="6" style="0" width="34"/>
    <col collapsed="false" customWidth="true" hidden="false" outlineLevel="0" max="7" min="7" style="0" width="16"/>
    <col collapsed="false" customWidth="true" hidden="false" outlineLevel="0" max="8" min="8" style="0" width="8"/>
    <col collapsed="false" customWidth="true" hidden="false" outlineLevel="0" max="9" min="9" style="0" width="22"/>
    <col collapsed="false" customWidth="true" hidden="false" outlineLevel="0" max="10" min="10" style="0" width="14"/>
    <col collapsed="false" customWidth="true" hidden="false" outlineLevel="0" max="11" min="11" style="0" width="8"/>
    <col collapsed="false" customWidth="true" hidden="false" outlineLevel="0" max="12" min="12" style="0" width="10"/>
    <col collapsed="false" customWidth="true" hidden="false" outlineLevel="0" max="13" min="13" style="0" width="8"/>
    <col collapsed="false" customWidth="true" hidden="false" outlineLevel="0" max="14" min="14" style="0" width="22"/>
    <col collapsed="false" customWidth="true" hidden="false" outlineLevel="0" max="15" min="15" style="0" width="8"/>
    <col collapsed="false" customWidth="true" hidden="false" outlineLevel="0" max="16" min="16" style="0" width="48"/>
    <col collapsed="false" customWidth="true" hidden="false" outlineLevel="0" max="17" min="17" style="0" width="8"/>
    <col collapsed="false" customWidth="true" hidden="false" outlineLevel="0" max="18" min="18" style="0" width="10"/>
    <col collapsed="false" customWidth="true" hidden="false" outlineLevel="0" max="19" min="19" style="0" width="22"/>
    <col collapsed="false" customWidth="true" hidden="false" outlineLevel="0" max="20" min="20" style="0" width="16"/>
    <col collapsed="false" customWidth="true" hidden="false" outlineLevel="0" max="21" min="21" style="0" width="8"/>
    <col collapsed="false" customWidth="true" hidden="false" outlineLevel="0" max="22" min="22" style="0" width="20"/>
    <col collapsed="false" customWidth="true" hidden="false" outlineLevel="0" max="23" min="23" style="0" width="10"/>
    <col collapsed="false" customWidth="true" hidden="false" outlineLevel="0" max="24" min="24" style="0" width="16"/>
    <col collapsed="false" customWidth="true" hidden="false" outlineLevel="0" max="25" min="25" style="0" width="22"/>
    <col collapsed="false" customWidth="true" hidden="false" outlineLevel="0" max="26" min="26" style="0" width="10"/>
    <col collapsed="false" customWidth="true" hidden="false" outlineLevel="0" max="27" min="27" style="0" width="26"/>
    <col collapsed="false" customWidth="true" hidden="false" outlineLevel="0" max="28" min="28" style="0" width="10"/>
  </cols>
  <sheetData>
    <row r="1" customFormat="false" ht="31.5" hidden="false" customHeight="true" outlineLevel="0" collapsed="false">
      <c r="A1" s="6" t="s">
        <v>17</v>
      </c>
      <c r="B1" s="6" t="s">
        <v>18</v>
      </c>
      <c r="C1" s="7" t="s">
        <v>19</v>
      </c>
      <c r="D1" s="6" t="s">
        <v>20</v>
      </c>
      <c r="E1" s="6" t="s">
        <v>21</v>
      </c>
      <c r="F1" s="6" t="s">
        <v>22</v>
      </c>
      <c r="G1" s="6" t="s">
        <v>23</v>
      </c>
      <c r="H1" s="7" t="s">
        <v>24</v>
      </c>
      <c r="I1" s="6" t="s">
        <v>25</v>
      </c>
      <c r="J1" s="6" t="s">
        <v>26</v>
      </c>
      <c r="K1" s="6" t="s">
        <v>27</v>
      </c>
      <c r="L1" s="6" t="s">
        <v>28</v>
      </c>
      <c r="M1" s="6" t="s">
        <v>29</v>
      </c>
      <c r="N1" s="6" t="s">
        <v>30</v>
      </c>
      <c r="O1" s="6" t="s">
        <v>31</v>
      </c>
      <c r="P1" s="6" t="s">
        <v>32</v>
      </c>
      <c r="Q1" s="6" t="s">
        <v>33</v>
      </c>
      <c r="R1" s="8" t="s">
        <v>34</v>
      </c>
      <c r="S1" s="8" t="s">
        <v>35</v>
      </c>
      <c r="T1" s="6" t="s">
        <v>36</v>
      </c>
      <c r="U1" s="6" t="s">
        <v>37</v>
      </c>
      <c r="V1" s="8" t="s">
        <v>38</v>
      </c>
      <c r="W1" s="8" t="s">
        <v>39</v>
      </c>
      <c r="X1" s="6" t="s">
        <v>40</v>
      </c>
      <c r="Y1" s="8" t="s">
        <v>41</v>
      </c>
      <c r="Z1" s="8" t="s">
        <v>42</v>
      </c>
      <c r="AA1" s="7" t="s">
        <v>43</v>
      </c>
      <c r="AB1" s="6" t="s">
        <v>44</v>
      </c>
    </row>
    <row r="2" customFormat="false" ht="29.85" hidden="false" customHeight="false" outlineLevel="0" collapsed="false">
      <c r="A2" s="9" t="n">
        <v>1</v>
      </c>
      <c r="B2" s="9" t="s">
        <v>45</v>
      </c>
      <c r="C2" s="9" t="s">
        <v>46</v>
      </c>
      <c r="D2" s="10" t="s">
        <v>47</v>
      </c>
      <c r="E2" s="11" t="s">
        <v>48</v>
      </c>
      <c r="F2" s="10"/>
      <c r="G2" s="12" t="s">
        <v>49</v>
      </c>
      <c r="H2" s="13" t="n">
        <v>-0.499</v>
      </c>
      <c r="I2" s="14"/>
      <c r="J2" s="10"/>
      <c r="K2" s="9"/>
      <c r="L2" s="15" t="s">
        <v>50</v>
      </c>
      <c r="M2" s="16" t="s">
        <v>51</v>
      </c>
      <c r="N2" s="14"/>
      <c r="O2" s="15" t="s">
        <v>52</v>
      </c>
      <c r="P2" s="17" t="s">
        <v>53</v>
      </c>
      <c r="Q2" s="9"/>
      <c r="R2" s="18" t="s">
        <v>51</v>
      </c>
      <c r="S2" s="19"/>
      <c r="T2" s="17" t="str">
        <f aca="false">IF(R2="維持",J2,IF(R2="排除","無關新聞事件",IFERROR(INDEX(事件規則!$B$2:$B$53,MATCH(S2,事件規則!$A$2:$A$53,0)),"")))</f>
        <v>無關新聞事件</v>
      </c>
      <c r="U2" s="20" t="n">
        <f aca="false">IF(R2="維持",K2,IF(R2="排除",0,IFERROR(INDEX(事件規則!$C$2:$C$53,MATCH(S2,事件規則!$A$2:$A$53,0)),"")))</f>
        <v>0</v>
      </c>
      <c r="V2" s="21"/>
      <c r="W2" s="22"/>
      <c r="X2" s="10" t="str">
        <f aca="false">IF(AND(R2="修改",S2=""),"請選新事件代碼",IF(AND(R2&lt;&gt;"修改",S2&lt;&gt;""),"只有「修改」才需填代碼",""))</f>
        <v/>
      </c>
      <c r="Y2" s="21"/>
      <c r="Z2" s="22"/>
      <c r="AA2" s="12" t="s">
        <v>54</v>
      </c>
      <c r="AB2" s="12"/>
    </row>
    <row r="3" customFormat="false" ht="29.85" hidden="false" customHeight="false" outlineLevel="0" collapsed="false">
      <c r="A3" s="15" t="n">
        <v>2</v>
      </c>
      <c r="B3" s="9" t="s">
        <v>55</v>
      </c>
      <c r="C3" s="9" t="s">
        <v>56</v>
      </c>
      <c r="D3" s="10" t="s">
        <v>57</v>
      </c>
      <c r="E3" s="11" t="s">
        <v>58</v>
      </c>
      <c r="F3" s="17"/>
      <c r="G3" s="12" t="s">
        <v>59</v>
      </c>
      <c r="H3" s="13" t="n">
        <v>-0.497</v>
      </c>
      <c r="I3" s="14"/>
      <c r="J3" s="17"/>
      <c r="K3" s="9"/>
      <c r="L3" s="15" t="s">
        <v>50</v>
      </c>
      <c r="M3" s="16" t="s">
        <v>51</v>
      </c>
      <c r="N3" s="14"/>
      <c r="O3" s="15" t="s">
        <v>52</v>
      </c>
      <c r="P3" s="17" t="s">
        <v>53</v>
      </c>
      <c r="Q3" s="9"/>
      <c r="R3" s="18" t="s">
        <v>51</v>
      </c>
      <c r="S3" s="19"/>
      <c r="T3" s="17" t="str">
        <f aca="false">IF(R3="維持",J3,IF(R3="排除","無關新聞事件",IFERROR(INDEX(事件規則!$B$2:$B$53,MATCH(S3,事件規則!$A$2:$A$53,0)),"")))</f>
        <v>無關新聞事件</v>
      </c>
      <c r="U3" s="20" t="n">
        <f aca="false">IF(R3="維持",K3,IF(R3="排除",0,IFERROR(INDEX(事件規則!$C$2:$C$53,MATCH(S3,事件規則!$A$2:$A$53,0)),"")))</f>
        <v>0</v>
      </c>
      <c r="V3" s="21"/>
      <c r="W3" s="22"/>
      <c r="X3" s="10" t="str">
        <f aca="false">IF(AND(R3="修改",S3=""),"請選新事件代碼",IF(AND(R3&lt;&gt;"修改",S3&lt;&gt;""),"只有「修改」才需填代碼",""))</f>
        <v/>
      </c>
      <c r="Y3" s="21"/>
      <c r="Z3" s="22"/>
      <c r="AA3" s="12" t="s">
        <v>60</v>
      </c>
      <c r="AB3" s="12"/>
    </row>
    <row r="4" customFormat="false" ht="29.85" hidden="false" customHeight="false" outlineLevel="0" collapsed="false">
      <c r="A4" s="15" t="n">
        <v>3</v>
      </c>
      <c r="B4" s="9" t="s">
        <v>55</v>
      </c>
      <c r="C4" s="9" t="s">
        <v>61</v>
      </c>
      <c r="D4" s="10" t="s">
        <v>62</v>
      </c>
      <c r="E4" s="11" t="s">
        <v>63</v>
      </c>
      <c r="F4" s="17"/>
      <c r="G4" s="12" t="s">
        <v>64</v>
      </c>
      <c r="H4" s="13" t="n">
        <v>-0.496</v>
      </c>
      <c r="I4" s="14"/>
      <c r="J4" s="17"/>
      <c r="K4" s="9"/>
      <c r="L4" s="15" t="s">
        <v>50</v>
      </c>
      <c r="M4" s="16" t="s">
        <v>51</v>
      </c>
      <c r="N4" s="14"/>
      <c r="O4" s="15" t="s">
        <v>52</v>
      </c>
      <c r="P4" s="17" t="s">
        <v>53</v>
      </c>
      <c r="Q4" s="9"/>
      <c r="R4" s="18" t="s">
        <v>51</v>
      </c>
      <c r="S4" s="19"/>
      <c r="T4" s="17" t="str">
        <f aca="false">IF(R4="維持",J4,IF(R4="排除","無關新聞事件",IFERROR(INDEX(事件規則!$B$2:$B$53,MATCH(S4,事件規則!$A$2:$A$53,0)),"")))</f>
        <v>無關新聞事件</v>
      </c>
      <c r="U4" s="20" t="n">
        <f aca="false">IF(R4="維持",K4,IF(R4="排除",0,IFERROR(INDEX(事件規則!$C$2:$C$53,MATCH(S4,事件規則!$A$2:$A$53,0)),"")))</f>
        <v>0</v>
      </c>
      <c r="V4" s="21"/>
      <c r="W4" s="22"/>
      <c r="X4" s="10" t="str">
        <f aca="false">IF(AND(R4="修改",S4=""),"請選新事件代碼",IF(AND(R4&lt;&gt;"修改",S4&lt;&gt;""),"只有「修改」才需填代碼",""))</f>
        <v/>
      </c>
      <c r="Y4" s="21"/>
      <c r="Z4" s="22"/>
      <c r="AA4" s="12" t="s">
        <v>65</v>
      </c>
      <c r="AB4" s="12"/>
    </row>
    <row r="5" customFormat="false" ht="29.85" hidden="false" customHeight="false" outlineLevel="0" collapsed="false">
      <c r="A5" s="15" t="n">
        <v>4</v>
      </c>
      <c r="B5" s="9" t="s">
        <v>45</v>
      </c>
      <c r="C5" s="9" t="s">
        <v>61</v>
      </c>
      <c r="D5" s="10" t="s">
        <v>62</v>
      </c>
      <c r="E5" s="11" t="s">
        <v>63</v>
      </c>
      <c r="F5" s="17"/>
      <c r="G5" s="12" t="s">
        <v>64</v>
      </c>
      <c r="H5" s="13" t="n">
        <v>-0.496</v>
      </c>
      <c r="I5" s="14"/>
      <c r="J5" s="17"/>
      <c r="K5" s="9"/>
      <c r="L5" s="15" t="s">
        <v>50</v>
      </c>
      <c r="M5" s="16" t="s">
        <v>51</v>
      </c>
      <c r="N5" s="14"/>
      <c r="O5" s="15" t="s">
        <v>52</v>
      </c>
      <c r="P5" s="17" t="s">
        <v>53</v>
      </c>
      <c r="Q5" s="9"/>
      <c r="R5" s="18" t="s">
        <v>51</v>
      </c>
      <c r="S5" s="19"/>
      <c r="T5" s="17" t="str">
        <f aca="false">IF(R5="維持",J5,IF(R5="排除","無關新聞事件",IFERROR(INDEX(事件規則!$B$2:$B$53,MATCH(S5,事件規則!$A$2:$A$53,0)),"")))</f>
        <v>無關新聞事件</v>
      </c>
      <c r="U5" s="20" t="n">
        <f aca="false">IF(R5="維持",K5,IF(R5="排除",0,IFERROR(INDEX(事件規則!$C$2:$C$53,MATCH(S5,事件規則!$A$2:$A$53,0)),"")))</f>
        <v>0</v>
      </c>
      <c r="V5" s="21"/>
      <c r="W5" s="22"/>
      <c r="X5" s="10" t="str">
        <f aca="false">IF(AND(R5="修改",S5=""),"請選新事件代碼",IF(AND(R5&lt;&gt;"修改",S5&lt;&gt;""),"只有「修改」才需填代碼",""))</f>
        <v/>
      </c>
      <c r="Y5" s="21"/>
      <c r="Z5" s="22"/>
      <c r="AA5" s="12" t="s">
        <v>65</v>
      </c>
      <c r="AB5" s="12"/>
    </row>
    <row r="6" customFormat="false" ht="29.85" hidden="false" customHeight="false" outlineLevel="0" collapsed="false">
      <c r="A6" s="15" t="n">
        <v>5</v>
      </c>
      <c r="B6" s="9" t="s">
        <v>45</v>
      </c>
      <c r="C6" s="9" t="s">
        <v>66</v>
      </c>
      <c r="D6" s="10" t="s">
        <v>67</v>
      </c>
      <c r="E6" s="11" t="s">
        <v>68</v>
      </c>
      <c r="F6" s="17"/>
      <c r="G6" s="12" t="s">
        <v>69</v>
      </c>
      <c r="H6" s="13" t="n">
        <v>-0.496</v>
      </c>
      <c r="I6" s="14"/>
      <c r="J6" s="17"/>
      <c r="K6" s="9"/>
      <c r="L6" s="15" t="s">
        <v>50</v>
      </c>
      <c r="M6" s="16" t="s">
        <v>51</v>
      </c>
      <c r="N6" s="14"/>
      <c r="O6" s="15" t="s">
        <v>52</v>
      </c>
      <c r="P6" s="17" t="s">
        <v>53</v>
      </c>
      <c r="Q6" s="9"/>
      <c r="R6" s="18" t="s">
        <v>51</v>
      </c>
      <c r="S6" s="19"/>
      <c r="T6" s="17" t="str">
        <f aca="false">IF(R6="維持",J6,IF(R6="排除","無關新聞事件",IFERROR(INDEX(事件規則!$B$2:$B$53,MATCH(S6,事件規則!$A$2:$A$53,0)),"")))</f>
        <v>無關新聞事件</v>
      </c>
      <c r="U6" s="20" t="n">
        <f aca="false">IF(R6="維持",K6,IF(R6="排除",0,IFERROR(INDEX(事件規則!$C$2:$C$53,MATCH(S6,事件規則!$A$2:$A$53,0)),"")))</f>
        <v>0</v>
      </c>
      <c r="V6" s="21"/>
      <c r="W6" s="22"/>
      <c r="X6" s="10" t="str">
        <f aca="false">IF(AND(R6="修改",S6=""),"請選新事件代碼",IF(AND(R6&lt;&gt;"修改",S6&lt;&gt;""),"只有「修改」才需填代碼",""))</f>
        <v/>
      </c>
      <c r="Y6" s="21"/>
      <c r="Z6" s="22"/>
      <c r="AA6" s="12" t="s">
        <v>70</v>
      </c>
      <c r="AB6" s="12"/>
    </row>
    <row r="7" customFormat="false" ht="29.85" hidden="false" customHeight="false" outlineLevel="0" collapsed="false">
      <c r="A7" s="15" t="n">
        <v>6</v>
      </c>
      <c r="B7" s="9" t="s">
        <v>55</v>
      </c>
      <c r="C7" s="9" t="s">
        <v>71</v>
      </c>
      <c r="D7" s="10" t="s">
        <v>72</v>
      </c>
      <c r="E7" s="11" t="s">
        <v>73</v>
      </c>
      <c r="F7" s="17"/>
      <c r="G7" s="12" t="s">
        <v>74</v>
      </c>
      <c r="H7" s="13" t="n">
        <v>-0.495</v>
      </c>
      <c r="I7" s="14"/>
      <c r="J7" s="17"/>
      <c r="K7" s="9"/>
      <c r="L7" s="15" t="s">
        <v>50</v>
      </c>
      <c r="M7" s="16" t="s">
        <v>51</v>
      </c>
      <c r="N7" s="14"/>
      <c r="O7" s="15" t="s">
        <v>52</v>
      </c>
      <c r="P7" s="17" t="s">
        <v>53</v>
      </c>
      <c r="Q7" s="9"/>
      <c r="R7" s="18" t="s">
        <v>51</v>
      </c>
      <c r="S7" s="19"/>
      <c r="T7" s="17" t="str">
        <f aca="false">IF(R7="維持",J7,IF(R7="排除","無關新聞事件",IFERROR(INDEX(事件規則!$B$2:$B$53,MATCH(S7,事件規則!$A$2:$A$53,0)),"")))</f>
        <v>無關新聞事件</v>
      </c>
      <c r="U7" s="20" t="n">
        <f aca="false">IF(R7="維持",K7,IF(R7="排除",0,IFERROR(INDEX(事件規則!$C$2:$C$53,MATCH(S7,事件規則!$A$2:$A$53,0)),"")))</f>
        <v>0</v>
      </c>
      <c r="V7" s="21"/>
      <c r="W7" s="22"/>
      <c r="X7" s="10" t="str">
        <f aca="false">IF(AND(R7="修改",S7=""),"請選新事件代碼",IF(AND(R7&lt;&gt;"修改",S7&lt;&gt;""),"只有「修改」才需填代碼",""))</f>
        <v/>
      </c>
      <c r="Y7" s="21"/>
      <c r="Z7" s="22"/>
      <c r="AA7" s="12" t="s">
        <v>75</v>
      </c>
      <c r="AB7" s="12"/>
    </row>
    <row r="8" customFormat="false" ht="29.85" hidden="false" customHeight="false" outlineLevel="0" collapsed="false">
      <c r="A8" s="15" t="n">
        <v>7</v>
      </c>
      <c r="B8" s="9" t="s">
        <v>45</v>
      </c>
      <c r="C8" s="9" t="s">
        <v>76</v>
      </c>
      <c r="D8" s="10" t="s">
        <v>77</v>
      </c>
      <c r="E8" s="11" t="s">
        <v>78</v>
      </c>
      <c r="F8" s="17"/>
      <c r="G8" s="12" t="s">
        <v>79</v>
      </c>
      <c r="H8" s="13" t="n">
        <v>-0.492</v>
      </c>
      <c r="I8" s="14"/>
      <c r="J8" s="17"/>
      <c r="K8" s="9"/>
      <c r="L8" s="15" t="s">
        <v>50</v>
      </c>
      <c r="M8" s="16" t="s">
        <v>51</v>
      </c>
      <c r="N8" s="14"/>
      <c r="O8" s="15" t="s">
        <v>52</v>
      </c>
      <c r="P8" s="17" t="s">
        <v>53</v>
      </c>
      <c r="Q8" s="9"/>
      <c r="R8" s="18" t="s">
        <v>51</v>
      </c>
      <c r="S8" s="19"/>
      <c r="T8" s="17" t="str">
        <f aca="false">IF(R8="維持",J8,IF(R8="排除","無關新聞事件",IFERROR(INDEX(事件規則!$B$2:$B$53,MATCH(S8,事件規則!$A$2:$A$53,0)),"")))</f>
        <v>無關新聞事件</v>
      </c>
      <c r="U8" s="20" t="n">
        <f aca="false">IF(R8="維持",K8,IF(R8="排除",0,IFERROR(INDEX(事件規則!$C$2:$C$53,MATCH(S8,事件規則!$A$2:$A$53,0)),"")))</f>
        <v>0</v>
      </c>
      <c r="V8" s="21"/>
      <c r="W8" s="22"/>
      <c r="X8" s="10" t="str">
        <f aca="false">IF(AND(R8="修改",S8=""),"請選新事件代碼",IF(AND(R8&lt;&gt;"修改",S8&lt;&gt;""),"只有「修改」才需填代碼",""))</f>
        <v/>
      </c>
      <c r="Y8" s="21"/>
      <c r="Z8" s="22"/>
      <c r="AA8" s="12" t="s">
        <v>80</v>
      </c>
      <c r="AB8" s="12"/>
    </row>
    <row r="9" customFormat="false" ht="29.85" hidden="false" customHeight="false" outlineLevel="0" collapsed="false">
      <c r="A9" s="15" t="n">
        <v>8</v>
      </c>
      <c r="B9" s="9" t="s">
        <v>81</v>
      </c>
      <c r="C9" s="9" t="s">
        <v>76</v>
      </c>
      <c r="D9" s="10" t="s">
        <v>77</v>
      </c>
      <c r="E9" s="11" t="s">
        <v>82</v>
      </c>
      <c r="F9" s="17"/>
      <c r="G9" s="12" t="s">
        <v>83</v>
      </c>
      <c r="H9" s="13" t="n">
        <v>-0.487</v>
      </c>
      <c r="I9" s="14"/>
      <c r="J9" s="17"/>
      <c r="K9" s="9"/>
      <c r="L9" s="15" t="s">
        <v>50</v>
      </c>
      <c r="M9" s="16" t="s">
        <v>51</v>
      </c>
      <c r="N9" s="14"/>
      <c r="O9" s="15" t="s">
        <v>52</v>
      </c>
      <c r="P9" s="17" t="s">
        <v>53</v>
      </c>
      <c r="Q9" s="9"/>
      <c r="R9" s="18" t="s">
        <v>51</v>
      </c>
      <c r="S9" s="19"/>
      <c r="T9" s="17" t="str">
        <f aca="false">IF(R9="維持",J9,IF(R9="排除","無關新聞事件",IFERROR(INDEX(事件規則!$B$2:$B$53,MATCH(S9,事件規則!$A$2:$A$53,0)),"")))</f>
        <v>無關新聞事件</v>
      </c>
      <c r="U9" s="20" t="n">
        <f aca="false">IF(R9="維持",K9,IF(R9="排除",0,IFERROR(INDEX(事件規則!$C$2:$C$53,MATCH(S9,事件規則!$A$2:$A$53,0)),"")))</f>
        <v>0</v>
      </c>
      <c r="V9" s="21"/>
      <c r="W9" s="22"/>
      <c r="X9" s="10" t="str">
        <f aca="false">IF(AND(R9="修改",S9=""),"請選新事件代碼",IF(AND(R9&lt;&gt;"修改",S9&lt;&gt;""),"只有「修改」才需填代碼",""))</f>
        <v/>
      </c>
      <c r="Y9" s="21"/>
      <c r="Z9" s="22"/>
      <c r="AA9" s="12" t="s">
        <v>84</v>
      </c>
      <c r="AB9" s="12"/>
    </row>
    <row r="10" customFormat="false" ht="29.85" hidden="false" customHeight="false" outlineLevel="0" collapsed="false">
      <c r="A10" s="15" t="n">
        <v>9</v>
      </c>
      <c r="B10" s="9" t="s">
        <v>45</v>
      </c>
      <c r="C10" s="9" t="s">
        <v>85</v>
      </c>
      <c r="D10" s="10" t="s">
        <v>86</v>
      </c>
      <c r="E10" s="11" t="s">
        <v>87</v>
      </c>
      <c r="F10" s="17"/>
      <c r="G10" s="12" t="s">
        <v>69</v>
      </c>
      <c r="H10" s="13" t="n">
        <v>-0.486</v>
      </c>
      <c r="I10" s="14"/>
      <c r="J10" s="17"/>
      <c r="K10" s="9"/>
      <c r="L10" s="15" t="s">
        <v>50</v>
      </c>
      <c r="M10" s="16" t="s">
        <v>51</v>
      </c>
      <c r="N10" s="14"/>
      <c r="O10" s="15" t="s">
        <v>52</v>
      </c>
      <c r="P10" s="17" t="s">
        <v>53</v>
      </c>
      <c r="Q10" s="9"/>
      <c r="R10" s="18" t="s">
        <v>51</v>
      </c>
      <c r="S10" s="19"/>
      <c r="T10" s="17" t="str">
        <f aca="false">IF(R10="維持",J10,IF(R10="排除","無關新聞事件",IFERROR(INDEX(事件規則!$B$2:$B$53,MATCH(S10,事件規則!$A$2:$A$53,0)),"")))</f>
        <v>無關新聞事件</v>
      </c>
      <c r="U10" s="20" t="n">
        <f aca="false">IF(R10="維持",K10,IF(R10="排除",0,IFERROR(INDEX(事件規則!$C$2:$C$53,MATCH(S10,事件規則!$A$2:$A$53,0)),"")))</f>
        <v>0</v>
      </c>
      <c r="V10" s="21"/>
      <c r="W10" s="22"/>
      <c r="X10" s="10" t="str">
        <f aca="false">IF(AND(R10="修改",S10=""),"請選新事件代碼",IF(AND(R10&lt;&gt;"修改",S10&lt;&gt;""),"只有「修改」才需填代碼",""))</f>
        <v/>
      </c>
      <c r="Y10" s="21"/>
      <c r="Z10" s="22"/>
      <c r="AA10" s="12" t="s">
        <v>88</v>
      </c>
      <c r="AB10" s="12"/>
    </row>
    <row r="11" customFormat="false" ht="29.85" hidden="false" customHeight="false" outlineLevel="0" collapsed="false">
      <c r="A11" s="15" t="n">
        <v>10</v>
      </c>
      <c r="B11" s="9" t="s">
        <v>55</v>
      </c>
      <c r="C11" s="9" t="s">
        <v>76</v>
      </c>
      <c r="D11" s="10" t="s">
        <v>77</v>
      </c>
      <c r="E11" s="11" t="s">
        <v>89</v>
      </c>
      <c r="F11" s="17"/>
      <c r="G11" s="12" t="s">
        <v>90</v>
      </c>
      <c r="H11" s="13" t="n">
        <v>-0.486</v>
      </c>
      <c r="I11" s="14"/>
      <c r="J11" s="17"/>
      <c r="K11" s="9"/>
      <c r="L11" s="15" t="s">
        <v>50</v>
      </c>
      <c r="M11" s="16" t="s">
        <v>51</v>
      </c>
      <c r="N11" s="14"/>
      <c r="O11" s="15" t="s">
        <v>52</v>
      </c>
      <c r="P11" s="17" t="s">
        <v>53</v>
      </c>
      <c r="Q11" s="9"/>
      <c r="R11" s="18" t="s">
        <v>51</v>
      </c>
      <c r="S11" s="19"/>
      <c r="T11" s="17" t="str">
        <f aca="false">IF(R11="維持",J11,IF(R11="排除","無關新聞事件",IFERROR(INDEX(事件規則!$B$2:$B$53,MATCH(S11,事件規則!$A$2:$A$53,0)),"")))</f>
        <v>無關新聞事件</v>
      </c>
      <c r="U11" s="20" t="n">
        <f aca="false">IF(R11="維持",K11,IF(R11="排除",0,IFERROR(INDEX(事件規則!$C$2:$C$53,MATCH(S11,事件規則!$A$2:$A$53,0)),"")))</f>
        <v>0</v>
      </c>
      <c r="V11" s="21"/>
      <c r="W11" s="22"/>
      <c r="X11" s="10" t="str">
        <f aca="false">IF(AND(R11="修改",S11=""),"請選新事件代碼",IF(AND(R11&lt;&gt;"修改",S11&lt;&gt;""),"只有「修改」才需填代碼",""))</f>
        <v/>
      </c>
      <c r="Y11" s="21"/>
      <c r="Z11" s="22"/>
      <c r="AA11" s="12" t="s">
        <v>91</v>
      </c>
      <c r="AB11" s="12"/>
    </row>
    <row r="12" customFormat="false" ht="29.85" hidden="false" customHeight="false" outlineLevel="0" collapsed="false">
      <c r="A12" s="15" t="n">
        <v>11</v>
      </c>
      <c r="B12" s="9" t="s">
        <v>45</v>
      </c>
      <c r="C12" s="9" t="s">
        <v>92</v>
      </c>
      <c r="D12" s="10" t="s">
        <v>93</v>
      </c>
      <c r="E12" s="11" t="s">
        <v>94</v>
      </c>
      <c r="F12" s="17"/>
      <c r="G12" s="12" t="s">
        <v>95</v>
      </c>
      <c r="H12" s="13" t="n">
        <v>-0.483</v>
      </c>
      <c r="I12" s="14"/>
      <c r="J12" s="17"/>
      <c r="K12" s="9"/>
      <c r="L12" s="15" t="s">
        <v>50</v>
      </c>
      <c r="M12" s="16" t="s">
        <v>51</v>
      </c>
      <c r="N12" s="14"/>
      <c r="O12" s="15" t="s">
        <v>52</v>
      </c>
      <c r="P12" s="17" t="s">
        <v>53</v>
      </c>
      <c r="Q12" s="9"/>
      <c r="R12" s="18" t="s">
        <v>51</v>
      </c>
      <c r="S12" s="19"/>
      <c r="T12" s="17" t="str">
        <f aca="false">IF(R12="維持",J12,IF(R12="排除","無關新聞事件",IFERROR(INDEX(事件規則!$B$2:$B$53,MATCH(S12,事件規則!$A$2:$A$53,0)),"")))</f>
        <v>無關新聞事件</v>
      </c>
      <c r="U12" s="20" t="n">
        <f aca="false">IF(R12="維持",K12,IF(R12="排除",0,IFERROR(INDEX(事件規則!$C$2:$C$53,MATCH(S12,事件規則!$A$2:$A$53,0)),"")))</f>
        <v>0</v>
      </c>
      <c r="V12" s="21"/>
      <c r="W12" s="22"/>
      <c r="X12" s="10" t="str">
        <f aca="false">IF(AND(R12="修改",S12=""),"請選新事件代碼",IF(AND(R12&lt;&gt;"修改",S12&lt;&gt;""),"只有「修改」才需填代碼",""))</f>
        <v/>
      </c>
      <c r="Y12" s="21"/>
      <c r="Z12" s="22"/>
      <c r="AA12" s="12" t="s">
        <v>96</v>
      </c>
      <c r="AB12" s="12"/>
    </row>
    <row r="13" customFormat="false" ht="29.85" hidden="false" customHeight="false" outlineLevel="0" collapsed="false">
      <c r="A13" s="15" t="n">
        <v>12</v>
      </c>
      <c r="B13" s="9" t="s">
        <v>45</v>
      </c>
      <c r="C13" s="9" t="s">
        <v>97</v>
      </c>
      <c r="D13" s="10" t="s">
        <v>98</v>
      </c>
      <c r="E13" s="11" t="s">
        <v>99</v>
      </c>
      <c r="F13" s="17"/>
      <c r="G13" s="12" t="s">
        <v>100</v>
      </c>
      <c r="H13" s="13" t="n">
        <v>-0.48</v>
      </c>
      <c r="I13" s="14"/>
      <c r="J13" s="17"/>
      <c r="K13" s="9"/>
      <c r="L13" s="15" t="s">
        <v>50</v>
      </c>
      <c r="M13" s="16" t="s">
        <v>51</v>
      </c>
      <c r="N13" s="14"/>
      <c r="O13" s="15" t="s">
        <v>52</v>
      </c>
      <c r="P13" s="17" t="s">
        <v>53</v>
      </c>
      <c r="Q13" s="9"/>
      <c r="R13" s="18" t="s">
        <v>51</v>
      </c>
      <c r="S13" s="19"/>
      <c r="T13" s="17" t="str">
        <f aca="false">IF(R13="維持",J13,IF(R13="排除","無關新聞事件",IFERROR(INDEX(事件規則!$B$2:$B$53,MATCH(S13,事件規則!$A$2:$A$53,0)),"")))</f>
        <v>無關新聞事件</v>
      </c>
      <c r="U13" s="20" t="n">
        <f aca="false">IF(R13="維持",K13,IF(R13="排除",0,IFERROR(INDEX(事件規則!$C$2:$C$53,MATCH(S13,事件規則!$A$2:$A$53,0)),"")))</f>
        <v>0</v>
      </c>
      <c r="V13" s="21"/>
      <c r="W13" s="22"/>
      <c r="X13" s="10" t="str">
        <f aca="false">IF(AND(R13="修改",S13=""),"請選新事件代碼",IF(AND(R13&lt;&gt;"修改",S13&lt;&gt;""),"只有「修改」才需填代碼",""))</f>
        <v/>
      </c>
      <c r="Y13" s="21"/>
      <c r="Z13" s="22"/>
      <c r="AA13" s="12" t="s">
        <v>101</v>
      </c>
      <c r="AB13" s="12"/>
    </row>
    <row r="14" customFormat="false" ht="29.85" hidden="false" customHeight="false" outlineLevel="0" collapsed="false">
      <c r="A14" s="15" t="n">
        <v>13</v>
      </c>
      <c r="B14" s="9" t="s">
        <v>45</v>
      </c>
      <c r="C14" s="9" t="s">
        <v>102</v>
      </c>
      <c r="D14" s="10" t="s">
        <v>103</v>
      </c>
      <c r="E14" s="11" t="s">
        <v>104</v>
      </c>
      <c r="F14" s="17"/>
      <c r="G14" s="12" t="s">
        <v>105</v>
      </c>
      <c r="H14" s="13" t="n">
        <v>-0.48</v>
      </c>
      <c r="I14" s="14"/>
      <c r="J14" s="17"/>
      <c r="K14" s="9"/>
      <c r="L14" s="15" t="s">
        <v>50</v>
      </c>
      <c r="M14" s="16" t="s">
        <v>51</v>
      </c>
      <c r="N14" s="14"/>
      <c r="O14" s="15" t="s">
        <v>52</v>
      </c>
      <c r="P14" s="17" t="s">
        <v>53</v>
      </c>
      <c r="Q14" s="9"/>
      <c r="R14" s="18" t="s">
        <v>51</v>
      </c>
      <c r="S14" s="19"/>
      <c r="T14" s="17" t="str">
        <f aca="false">IF(R14="維持",J14,IF(R14="排除","無關新聞事件",IFERROR(INDEX(事件規則!$B$2:$B$53,MATCH(S14,事件規則!$A$2:$A$53,0)),"")))</f>
        <v>無關新聞事件</v>
      </c>
      <c r="U14" s="20" t="n">
        <f aca="false">IF(R14="維持",K14,IF(R14="排除",0,IFERROR(INDEX(事件規則!$C$2:$C$53,MATCH(S14,事件規則!$A$2:$A$53,0)),"")))</f>
        <v>0</v>
      </c>
      <c r="V14" s="21"/>
      <c r="W14" s="22"/>
      <c r="X14" s="10" t="str">
        <f aca="false">IF(AND(R14="修改",S14=""),"請選新事件代碼",IF(AND(R14&lt;&gt;"修改",S14&lt;&gt;""),"只有「修改」才需填代碼",""))</f>
        <v/>
      </c>
      <c r="Y14" s="21"/>
      <c r="Z14" s="22"/>
      <c r="AA14" s="12" t="s">
        <v>106</v>
      </c>
      <c r="AB14" s="12"/>
    </row>
    <row r="15" customFormat="false" ht="29.85" hidden="false" customHeight="false" outlineLevel="0" collapsed="false">
      <c r="A15" s="15" t="n">
        <v>14</v>
      </c>
      <c r="B15" s="9" t="s">
        <v>81</v>
      </c>
      <c r="C15" s="9" t="s">
        <v>107</v>
      </c>
      <c r="D15" s="10" t="s">
        <v>108</v>
      </c>
      <c r="E15" s="11" t="s">
        <v>109</v>
      </c>
      <c r="F15" s="17"/>
      <c r="G15" s="12" t="s">
        <v>110</v>
      </c>
      <c r="H15" s="13" t="n">
        <v>-0.478</v>
      </c>
      <c r="I15" s="14"/>
      <c r="J15" s="17"/>
      <c r="K15" s="9"/>
      <c r="L15" s="15" t="s">
        <v>50</v>
      </c>
      <c r="M15" s="16" t="s">
        <v>51</v>
      </c>
      <c r="N15" s="14"/>
      <c r="O15" s="15" t="s">
        <v>52</v>
      </c>
      <c r="P15" s="17" t="s">
        <v>53</v>
      </c>
      <c r="Q15" s="9"/>
      <c r="R15" s="18" t="s">
        <v>51</v>
      </c>
      <c r="S15" s="19"/>
      <c r="T15" s="17" t="str">
        <f aca="false">IF(R15="維持",J15,IF(R15="排除","無關新聞事件",IFERROR(INDEX(事件規則!$B$2:$B$53,MATCH(S15,事件規則!$A$2:$A$53,0)),"")))</f>
        <v>無關新聞事件</v>
      </c>
      <c r="U15" s="20" t="n">
        <f aca="false">IF(R15="維持",K15,IF(R15="排除",0,IFERROR(INDEX(事件規則!$C$2:$C$53,MATCH(S15,事件規則!$A$2:$A$53,0)),"")))</f>
        <v>0</v>
      </c>
      <c r="V15" s="21"/>
      <c r="W15" s="22"/>
      <c r="X15" s="10" t="str">
        <f aca="false">IF(AND(R15="修改",S15=""),"請選新事件代碼",IF(AND(R15&lt;&gt;"修改",S15&lt;&gt;""),"只有「修改」才需填代碼",""))</f>
        <v/>
      </c>
      <c r="Y15" s="21"/>
      <c r="Z15" s="22"/>
      <c r="AA15" s="12" t="s">
        <v>111</v>
      </c>
      <c r="AB15" s="12"/>
    </row>
    <row r="16" customFormat="false" ht="29.85" hidden="false" customHeight="false" outlineLevel="0" collapsed="false">
      <c r="A16" s="15" t="n">
        <v>15</v>
      </c>
      <c r="B16" s="9" t="s">
        <v>112</v>
      </c>
      <c r="C16" s="9" t="s">
        <v>113</v>
      </c>
      <c r="D16" s="10" t="s">
        <v>114</v>
      </c>
      <c r="E16" s="11" t="s">
        <v>115</v>
      </c>
      <c r="F16" s="17"/>
      <c r="G16" s="12" t="s">
        <v>116</v>
      </c>
      <c r="H16" s="13" t="n">
        <v>-0.477</v>
      </c>
      <c r="I16" s="14"/>
      <c r="J16" s="17"/>
      <c r="K16" s="9"/>
      <c r="L16" s="15" t="s">
        <v>50</v>
      </c>
      <c r="M16" s="16" t="s">
        <v>51</v>
      </c>
      <c r="N16" s="14"/>
      <c r="O16" s="15" t="s">
        <v>52</v>
      </c>
      <c r="P16" s="17" t="s">
        <v>53</v>
      </c>
      <c r="Q16" s="9"/>
      <c r="R16" s="18" t="s">
        <v>51</v>
      </c>
      <c r="S16" s="19"/>
      <c r="T16" s="17" t="str">
        <f aca="false">IF(R16="維持",J16,IF(R16="排除","無關新聞事件",IFERROR(INDEX(事件規則!$B$2:$B$53,MATCH(S16,事件規則!$A$2:$A$53,0)),"")))</f>
        <v>無關新聞事件</v>
      </c>
      <c r="U16" s="20" t="n">
        <f aca="false">IF(R16="維持",K16,IF(R16="排除",0,IFERROR(INDEX(事件規則!$C$2:$C$53,MATCH(S16,事件規則!$A$2:$A$53,0)),"")))</f>
        <v>0</v>
      </c>
      <c r="V16" s="21"/>
      <c r="W16" s="22"/>
      <c r="X16" s="10" t="str">
        <f aca="false">IF(AND(R16="修改",S16=""),"請選新事件代碼",IF(AND(R16&lt;&gt;"修改",S16&lt;&gt;""),"只有「修改」才需填代碼",""))</f>
        <v/>
      </c>
      <c r="Y16" s="21"/>
      <c r="Z16" s="22"/>
      <c r="AA16" s="12" t="s">
        <v>117</v>
      </c>
      <c r="AB16" s="12"/>
    </row>
    <row r="17" customFormat="false" ht="29.85" hidden="false" customHeight="false" outlineLevel="0" collapsed="false">
      <c r="A17" s="15" t="n">
        <v>16</v>
      </c>
      <c r="B17" s="9" t="s">
        <v>55</v>
      </c>
      <c r="C17" s="9" t="s">
        <v>118</v>
      </c>
      <c r="D17" s="10" t="s">
        <v>119</v>
      </c>
      <c r="E17" s="11" t="s">
        <v>120</v>
      </c>
      <c r="F17" s="17"/>
      <c r="G17" s="12" t="s">
        <v>121</v>
      </c>
      <c r="H17" s="13" t="n">
        <v>-0.475</v>
      </c>
      <c r="I17" s="14"/>
      <c r="J17" s="17"/>
      <c r="K17" s="9"/>
      <c r="L17" s="15" t="s">
        <v>50</v>
      </c>
      <c r="M17" s="16" t="s">
        <v>51</v>
      </c>
      <c r="N17" s="14"/>
      <c r="O17" s="15" t="s">
        <v>52</v>
      </c>
      <c r="P17" s="17" t="s">
        <v>53</v>
      </c>
      <c r="Q17" s="9"/>
      <c r="R17" s="18" t="s">
        <v>51</v>
      </c>
      <c r="S17" s="19"/>
      <c r="T17" s="17" t="str">
        <f aca="false">IF(R17="維持",J17,IF(R17="排除","無關新聞事件",IFERROR(INDEX(事件規則!$B$2:$B$53,MATCH(S17,事件規則!$A$2:$A$53,0)),"")))</f>
        <v>無關新聞事件</v>
      </c>
      <c r="U17" s="20" t="n">
        <f aca="false">IF(R17="維持",K17,IF(R17="排除",0,IFERROR(INDEX(事件規則!$C$2:$C$53,MATCH(S17,事件規則!$A$2:$A$53,0)),"")))</f>
        <v>0</v>
      </c>
      <c r="V17" s="21"/>
      <c r="W17" s="22"/>
      <c r="X17" s="10" t="str">
        <f aca="false">IF(AND(R17="修改",S17=""),"請選新事件代碼",IF(AND(R17&lt;&gt;"修改",S17&lt;&gt;""),"只有「修改」才需填代碼",""))</f>
        <v/>
      </c>
      <c r="Y17" s="21"/>
      <c r="Z17" s="22"/>
      <c r="AA17" s="12" t="s">
        <v>122</v>
      </c>
      <c r="AB17" s="12"/>
    </row>
    <row r="18" customFormat="false" ht="29.85" hidden="false" customHeight="false" outlineLevel="0" collapsed="false">
      <c r="A18" s="15" t="n">
        <v>17</v>
      </c>
      <c r="B18" s="9" t="s">
        <v>81</v>
      </c>
      <c r="C18" s="9" t="s">
        <v>123</v>
      </c>
      <c r="D18" s="10" t="s">
        <v>124</v>
      </c>
      <c r="E18" s="11" t="s">
        <v>125</v>
      </c>
      <c r="F18" s="17"/>
      <c r="G18" s="12" t="s">
        <v>59</v>
      </c>
      <c r="H18" s="13" t="n">
        <v>-0.473</v>
      </c>
      <c r="I18" s="14"/>
      <c r="J18" s="17"/>
      <c r="K18" s="9"/>
      <c r="L18" s="15" t="s">
        <v>50</v>
      </c>
      <c r="M18" s="16" t="s">
        <v>51</v>
      </c>
      <c r="N18" s="14"/>
      <c r="O18" s="15" t="s">
        <v>52</v>
      </c>
      <c r="P18" s="17" t="s">
        <v>53</v>
      </c>
      <c r="Q18" s="9"/>
      <c r="R18" s="18" t="s">
        <v>51</v>
      </c>
      <c r="S18" s="19"/>
      <c r="T18" s="17" t="str">
        <f aca="false">IF(R18="維持",J18,IF(R18="排除","無關新聞事件",IFERROR(INDEX(事件規則!$B$2:$B$53,MATCH(S18,事件規則!$A$2:$A$53,0)),"")))</f>
        <v>無關新聞事件</v>
      </c>
      <c r="U18" s="20" t="n">
        <f aca="false">IF(R18="維持",K18,IF(R18="排除",0,IFERROR(INDEX(事件規則!$C$2:$C$53,MATCH(S18,事件規則!$A$2:$A$53,0)),"")))</f>
        <v>0</v>
      </c>
      <c r="V18" s="21"/>
      <c r="W18" s="22"/>
      <c r="X18" s="10" t="str">
        <f aca="false">IF(AND(R18="修改",S18=""),"請選新事件代碼",IF(AND(R18&lt;&gt;"修改",S18&lt;&gt;""),"只有「修改」才需填代碼",""))</f>
        <v/>
      </c>
      <c r="Y18" s="21"/>
      <c r="Z18" s="22"/>
      <c r="AA18" s="12" t="s">
        <v>126</v>
      </c>
      <c r="AB18" s="12"/>
    </row>
    <row r="19" customFormat="false" ht="29.85" hidden="false" customHeight="false" outlineLevel="0" collapsed="false">
      <c r="A19" s="15" t="n">
        <v>18</v>
      </c>
      <c r="B19" s="9" t="s">
        <v>81</v>
      </c>
      <c r="C19" s="9" t="s">
        <v>127</v>
      </c>
      <c r="D19" s="10" t="s">
        <v>128</v>
      </c>
      <c r="E19" s="11" t="s">
        <v>129</v>
      </c>
      <c r="F19" s="17"/>
      <c r="G19" s="12" t="s">
        <v>130</v>
      </c>
      <c r="H19" s="13" t="n">
        <v>-0.472</v>
      </c>
      <c r="I19" s="14"/>
      <c r="J19" s="17"/>
      <c r="K19" s="9"/>
      <c r="L19" s="15" t="s">
        <v>50</v>
      </c>
      <c r="M19" s="16" t="s">
        <v>131</v>
      </c>
      <c r="N19" s="14" t="s">
        <v>132</v>
      </c>
      <c r="O19" s="15" t="s">
        <v>52</v>
      </c>
      <c r="P19" s="17" t="s">
        <v>133</v>
      </c>
      <c r="Q19" s="9"/>
      <c r="R19" s="18" t="s">
        <v>131</v>
      </c>
      <c r="S19" s="19" t="s">
        <v>132</v>
      </c>
      <c r="T19" s="17" t="str">
        <f aca="false">IF(R19="維持",J19,IF(R19="排除","無關新聞事件",IFERROR(INDEX(事件規則!$B$2:$B$53,MATCH(S19,事件規則!$A$2:$A$53,0)),"")))</f>
        <v>重大訴訟</v>
      </c>
      <c r="U19" s="20" t="n">
        <f aca="false">IF(R19="維持",K19,IF(R19="排除",0,IFERROR(INDEX(事件規則!$C$2:$C$53,MATCH(S19,事件規則!$A$2:$A$53,0)),"")))</f>
        <v>4</v>
      </c>
      <c r="V19" s="21"/>
      <c r="W19" s="22"/>
      <c r="X19" s="10" t="str">
        <f aca="false">IF(AND(R19="修改",S19=""),"請選新事件代碼",IF(AND(R19&lt;&gt;"修改",S19&lt;&gt;""),"只有「修改」才需填代碼",""))</f>
        <v/>
      </c>
      <c r="Y19" s="21"/>
      <c r="Z19" s="22"/>
      <c r="AA19" s="12" t="s">
        <v>134</v>
      </c>
      <c r="AB19" s="12"/>
    </row>
    <row r="20" customFormat="false" ht="29.85" hidden="false" customHeight="false" outlineLevel="0" collapsed="false">
      <c r="A20" s="15" t="n">
        <v>19</v>
      </c>
      <c r="B20" s="9" t="s">
        <v>55</v>
      </c>
      <c r="C20" s="9" t="s">
        <v>135</v>
      </c>
      <c r="D20" s="10" t="s">
        <v>136</v>
      </c>
      <c r="E20" s="11" t="s">
        <v>137</v>
      </c>
      <c r="F20" s="17"/>
      <c r="G20" s="12" t="s">
        <v>59</v>
      </c>
      <c r="H20" s="13" t="n">
        <v>-0.471</v>
      </c>
      <c r="I20" s="14"/>
      <c r="J20" s="17"/>
      <c r="K20" s="9"/>
      <c r="L20" s="15" t="s">
        <v>50</v>
      </c>
      <c r="M20" s="16" t="s">
        <v>51</v>
      </c>
      <c r="N20" s="14"/>
      <c r="O20" s="15" t="s">
        <v>52</v>
      </c>
      <c r="P20" s="17" t="s">
        <v>53</v>
      </c>
      <c r="Q20" s="9"/>
      <c r="R20" s="18" t="s">
        <v>51</v>
      </c>
      <c r="S20" s="19"/>
      <c r="T20" s="17" t="str">
        <f aca="false">IF(R20="維持",J20,IF(R20="排除","無關新聞事件",IFERROR(INDEX(事件規則!$B$2:$B$53,MATCH(S20,事件規則!$A$2:$A$53,0)),"")))</f>
        <v>無關新聞事件</v>
      </c>
      <c r="U20" s="20" t="n">
        <f aca="false">IF(R20="維持",K20,IF(R20="排除",0,IFERROR(INDEX(事件規則!$C$2:$C$53,MATCH(S20,事件規則!$A$2:$A$53,0)),"")))</f>
        <v>0</v>
      </c>
      <c r="V20" s="21"/>
      <c r="W20" s="22"/>
      <c r="X20" s="10" t="str">
        <f aca="false">IF(AND(R20="修改",S20=""),"請選新事件代碼",IF(AND(R20&lt;&gt;"修改",S20&lt;&gt;""),"只有「修改」才需填代碼",""))</f>
        <v/>
      </c>
      <c r="Y20" s="21"/>
      <c r="Z20" s="22"/>
      <c r="AA20" s="12" t="s">
        <v>138</v>
      </c>
      <c r="AB20" s="12"/>
    </row>
    <row r="21" customFormat="false" ht="29.85" hidden="false" customHeight="false" outlineLevel="0" collapsed="false">
      <c r="A21" s="15" t="n">
        <v>20</v>
      </c>
      <c r="B21" s="9" t="s">
        <v>81</v>
      </c>
      <c r="C21" s="9" t="s">
        <v>139</v>
      </c>
      <c r="D21" s="10" t="s">
        <v>140</v>
      </c>
      <c r="E21" s="11" t="s">
        <v>141</v>
      </c>
      <c r="F21" s="17"/>
      <c r="G21" s="12" t="s">
        <v>142</v>
      </c>
      <c r="H21" s="13" t="n">
        <v>-0.47</v>
      </c>
      <c r="I21" s="14"/>
      <c r="J21" s="17"/>
      <c r="K21" s="9"/>
      <c r="L21" s="15" t="s">
        <v>50</v>
      </c>
      <c r="M21" s="16" t="s">
        <v>51</v>
      </c>
      <c r="N21" s="14"/>
      <c r="O21" s="15" t="s">
        <v>52</v>
      </c>
      <c r="P21" s="17" t="s">
        <v>53</v>
      </c>
      <c r="Q21" s="9"/>
      <c r="R21" s="18" t="s">
        <v>51</v>
      </c>
      <c r="S21" s="19"/>
      <c r="T21" s="17" t="str">
        <f aca="false">IF(R21="維持",J21,IF(R21="排除","無關新聞事件",IFERROR(INDEX(事件規則!$B$2:$B$53,MATCH(S21,事件規則!$A$2:$A$53,0)),"")))</f>
        <v>無關新聞事件</v>
      </c>
      <c r="U21" s="20" t="n">
        <f aca="false">IF(R21="維持",K21,IF(R21="排除",0,IFERROR(INDEX(事件規則!$C$2:$C$53,MATCH(S21,事件規則!$A$2:$A$53,0)),"")))</f>
        <v>0</v>
      </c>
      <c r="V21" s="21"/>
      <c r="W21" s="22"/>
      <c r="X21" s="10" t="str">
        <f aca="false">IF(AND(R21="修改",S21=""),"請選新事件代碼",IF(AND(R21&lt;&gt;"修改",S21&lt;&gt;""),"只有「修改」才需填代碼",""))</f>
        <v/>
      </c>
      <c r="Y21" s="21"/>
      <c r="Z21" s="22"/>
      <c r="AA21" s="12" t="s">
        <v>143</v>
      </c>
      <c r="AB21" s="12"/>
    </row>
    <row r="22" customFormat="false" ht="23.85" hidden="false" customHeight="false" outlineLevel="0" collapsed="false">
      <c r="A22" s="15" t="n">
        <v>21</v>
      </c>
      <c r="B22" s="9" t="s">
        <v>112</v>
      </c>
      <c r="C22" s="9" t="s">
        <v>144</v>
      </c>
      <c r="D22" s="10" t="s">
        <v>145</v>
      </c>
      <c r="E22" s="11" t="s">
        <v>146</v>
      </c>
      <c r="F22" s="17"/>
      <c r="G22" s="12" t="s">
        <v>147</v>
      </c>
      <c r="H22" s="13" t="n">
        <v>-0.47</v>
      </c>
      <c r="I22" s="14"/>
      <c r="J22" s="17"/>
      <c r="K22" s="9"/>
      <c r="L22" s="15" t="s">
        <v>50</v>
      </c>
      <c r="M22" s="16" t="s">
        <v>131</v>
      </c>
      <c r="N22" s="14" t="s">
        <v>148</v>
      </c>
      <c r="O22" s="15" t="s">
        <v>52</v>
      </c>
      <c r="P22" s="17" t="s">
        <v>149</v>
      </c>
      <c r="Q22" s="9"/>
      <c r="R22" s="18" t="s">
        <v>131</v>
      </c>
      <c r="S22" s="19" t="s">
        <v>148</v>
      </c>
      <c r="T22" s="17" t="str">
        <f aca="false">IF(R22="維持",J22,IF(R22="排除","無關新聞事件",IFERROR(INDEX(事件規則!$B$2:$B$53,MATCH(S22,事件規則!$A$2:$A$53,0)),"")))</f>
        <v>裁員或人力縮減</v>
      </c>
      <c r="U22" s="20" t="n">
        <f aca="false">IF(R22="維持",K22,IF(R22="排除",0,IFERROR(INDEX(事件規則!$C$2:$C$53,MATCH(S22,事件規則!$A$2:$A$53,0)),"")))</f>
        <v>3</v>
      </c>
      <c r="V22" s="21"/>
      <c r="W22" s="22"/>
      <c r="X22" s="10" t="str">
        <f aca="false">IF(AND(R22="修改",S22=""),"請選新事件代碼",IF(AND(R22&lt;&gt;"修改",S22&lt;&gt;""),"只有「修改」才需填代碼",""))</f>
        <v/>
      </c>
      <c r="Y22" s="21"/>
      <c r="Z22" s="22"/>
      <c r="AA22" s="12" t="s">
        <v>150</v>
      </c>
      <c r="AB22" s="12"/>
    </row>
    <row r="23" customFormat="false" ht="29.85" hidden="false" customHeight="false" outlineLevel="0" collapsed="false">
      <c r="A23" s="15" t="n">
        <v>22</v>
      </c>
      <c r="B23" s="9" t="s">
        <v>45</v>
      </c>
      <c r="C23" s="9" t="s">
        <v>151</v>
      </c>
      <c r="D23" s="10" t="s">
        <v>152</v>
      </c>
      <c r="E23" s="11" t="s">
        <v>153</v>
      </c>
      <c r="F23" s="17"/>
      <c r="G23" s="12" t="s">
        <v>154</v>
      </c>
      <c r="H23" s="13" t="n">
        <v>-0.469</v>
      </c>
      <c r="I23" s="14"/>
      <c r="J23" s="17"/>
      <c r="K23" s="9"/>
      <c r="L23" s="15" t="s">
        <v>50</v>
      </c>
      <c r="M23" s="16" t="s">
        <v>51</v>
      </c>
      <c r="N23" s="14"/>
      <c r="O23" s="15" t="s">
        <v>52</v>
      </c>
      <c r="P23" s="17" t="s">
        <v>53</v>
      </c>
      <c r="Q23" s="9"/>
      <c r="R23" s="18" t="s">
        <v>51</v>
      </c>
      <c r="S23" s="19"/>
      <c r="T23" s="17" t="str">
        <f aca="false">IF(R23="維持",J23,IF(R23="排除","無關新聞事件",IFERROR(INDEX(事件規則!$B$2:$B$53,MATCH(S23,事件規則!$A$2:$A$53,0)),"")))</f>
        <v>無關新聞事件</v>
      </c>
      <c r="U23" s="20" t="n">
        <f aca="false">IF(R23="維持",K23,IF(R23="排除",0,IFERROR(INDEX(事件規則!$C$2:$C$53,MATCH(S23,事件規則!$A$2:$A$53,0)),"")))</f>
        <v>0</v>
      </c>
      <c r="V23" s="21"/>
      <c r="W23" s="22"/>
      <c r="X23" s="10" t="str">
        <f aca="false">IF(AND(R23="修改",S23=""),"請選新事件代碼",IF(AND(R23&lt;&gt;"修改",S23&lt;&gt;""),"只有「修改」才需填代碼",""))</f>
        <v/>
      </c>
      <c r="Y23" s="21"/>
      <c r="Z23" s="22"/>
      <c r="AA23" s="12" t="s">
        <v>155</v>
      </c>
      <c r="AB23" s="12"/>
    </row>
    <row r="24" customFormat="false" ht="29.85" hidden="false" customHeight="false" outlineLevel="0" collapsed="false">
      <c r="A24" s="15" t="n">
        <v>23</v>
      </c>
      <c r="B24" s="9" t="s">
        <v>55</v>
      </c>
      <c r="C24" s="9" t="s">
        <v>156</v>
      </c>
      <c r="D24" s="10" t="s">
        <v>157</v>
      </c>
      <c r="E24" s="11" t="s">
        <v>158</v>
      </c>
      <c r="F24" s="17"/>
      <c r="G24" s="12" t="s">
        <v>159</v>
      </c>
      <c r="H24" s="13" t="n">
        <v>-0.469</v>
      </c>
      <c r="I24" s="14"/>
      <c r="J24" s="17"/>
      <c r="K24" s="9"/>
      <c r="L24" s="15" t="s">
        <v>50</v>
      </c>
      <c r="M24" s="16" t="s">
        <v>51</v>
      </c>
      <c r="N24" s="14"/>
      <c r="O24" s="15" t="s">
        <v>52</v>
      </c>
      <c r="P24" s="17" t="s">
        <v>53</v>
      </c>
      <c r="Q24" s="9"/>
      <c r="R24" s="18" t="s">
        <v>51</v>
      </c>
      <c r="S24" s="19"/>
      <c r="T24" s="17" t="str">
        <f aca="false">IF(R24="維持",J24,IF(R24="排除","無關新聞事件",IFERROR(INDEX(事件規則!$B$2:$B$53,MATCH(S24,事件規則!$A$2:$A$53,0)),"")))</f>
        <v>無關新聞事件</v>
      </c>
      <c r="U24" s="20" t="n">
        <f aca="false">IF(R24="維持",K24,IF(R24="排除",0,IFERROR(INDEX(事件規則!$C$2:$C$53,MATCH(S24,事件規則!$A$2:$A$53,0)),"")))</f>
        <v>0</v>
      </c>
      <c r="V24" s="21"/>
      <c r="W24" s="22"/>
      <c r="X24" s="10" t="str">
        <f aca="false">IF(AND(R24="修改",S24=""),"請選新事件代碼",IF(AND(R24&lt;&gt;"修改",S24&lt;&gt;""),"只有「修改」才需填代碼",""))</f>
        <v/>
      </c>
      <c r="Y24" s="21"/>
      <c r="Z24" s="22"/>
      <c r="AA24" s="12" t="s">
        <v>160</v>
      </c>
      <c r="AB24" s="12"/>
    </row>
    <row r="25" customFormat="false" ht="29.85" hidden="false" customHeight="false" outlineLevel="0" collapsed="false">
      <c r="A25" s="15" t="n">
        <v>24</v>
      </c>
      <c r="B25" s="9" t="s">
        <v>112</v>
      </c>
      <c r="C25" s="9" t="s">
        <v>161</v>
      </c>
      <c r="D25" s="10" t="s">
        <v>162</v>
      </c>
      <c r="E25" s="11" t="s">
        <v>163</v>
      </c>
      <c r="F25" s="17"/>
      <c r="G25" s="12" t="s">
        <v>164</v>
      </c>
      <c r="H25" s="13" t="n">
        <v>-0.468</v>
      </c>
      <c r="I25" s="14"/>
      <c r="J25" s="17"/>
      <c r="K25" s="9"/>
      <c r="L25" s="15" t="s">
        <v>50</v>
      </c>
      <c r="M25" s="16" t="s">
        <v>51</v>
      </c>
      <c r="N25" s="14"/>
      <c r="O25" s="15" t="s">
        <v>52</v>
      </c>
      <c r="P25" s="17" t="s">
        <v>53</v>
      </c>
      <c r="Q25" s="9"/>
      <c r="R25" s="18" t="s">
        <v>51</v>
      </c>
      <c r="S25" s="19"/>
      <c r="T25" s="17" t="str">
        <f aca="false">IF(R25="維持",J25,IF(R25="排除","無關新聞事件",IFERROR(INDEX(事件規則!$B$2:$B$53,MATCH(S25,事件規則!$A$2:$A$53,0)),"")))</f>
        <v>無關新聞事件</v>
      </c>
      <c r="U25" s="20" t="n">
        <f aca="false">IF(R25="維持",K25,IF(R25="排除",0,IFERROR(INDEX(事件規則!$C$2:$C$53,MATCH(S25,事件規則!$A$2:$A$53,0)),"")))</f>
        <v>0</v>
      </c>
      <c r="V25" s="21"/>
      <c r="W25" s="22"/>
      <c r="X25" s="10" t="str">
        <f aca="false">IF(AND(R25="修改",S25=""),"請選新事件代碼",IF(AND(R25&lt;&gt;"修改",S25&lt;&gt;""),"只有「修改」才需填代碼",""))</f>
        <v/>
      </c>
      <c r="Y25" s="21"/>
      <c r="Z25" s="22"/>
      <c r="AA25" s="12" t="s">
        <v>165</v>
      </c>
      <c r="AB25" s="12"/>
    </row>
    <row r="26" customFormat="false" ht="29.85" hidden="false" customHeight="false" outlineLevel="0" collapsed="false">
      <c r="A26" s="15" t="n">
        <v>25</v>
      </c>
      <c r="B26" s="9" t="s">
        <v>112</v>
      </c>
      <c r="C26" s="9" t="s">
        <v>166</v>
      </c>
      <c r="D26" s="10" t="s">
        <v>167</v>
      </c>
      <c r="E26" s="11" t="s">
        <v>168</v>
      </c>
      <c r="F26" s="17"/>
      <c r="G26" s="12" t="s">
        <v>169</v>
      </c>
      <c r="H26" s="13" t="n">
        <v>-0.468</v>
      </c>
      <c r="I26" s="14"/>
      <c r="J26" s="17"/>
      <c r="K26" s="9"/>
      <c r="L26" s="15" t="s">
        <v>50</v>
      </c>
      <c r="M26" s="16" t="s">
        <v>51</v>
      </c>
      <c r="N26" s="14"/>
      <c r="O26" s="15" t="s">
        <v>52</v>
      </c>
      <c r="P26" s="17" t="s">
        <v>53</v>
      </c>
      <c r="Q26" s="9"/>
      <c r="R26" s="18" t="s">
        <v>51</v>
      </c>
      <c r="S26" s="19"/>
      <c r="T26" s="17" t="str">
        <f aca="false">IF(R26="維持",J26,IF(R26="排除","無關新聞事件",IFERROR(INDEX(事件規則!$B$2:$B$53,MATCH(S26,事件規則!$A$2:$A$53,0)),"")))</f>
        <v>無關新聞事件</v>
      </c>
      <c r="U26" s="20" t="n">
        <f aca="false">IF(R26="維持",K26,IF(R26="排除",0,IFERROR(INDEX(事件規則!$C$2:$C$53,MATCH(S26,事件規則!$A$2:$A$53,0)),"")))</f>
        <v>0</v>
      </c>
      <c r="V26" s="21"/>
      <c r="W26" s="22"/>
      <c r="X26" s="10" t="str">
        <f aca="false">IF(AND(R26="修改",S26=""),"請選新事件代碼",IF(AND(R26&lt;&gt;"修改",S26&lt;&gt;""),"只有「修改」才需填代碼",""))</f>
        <v/>
      </c>
      <c r="Y26" s="21"/>
      <c r="Z26" s="22"/>
      <c r="AA26" s="12" t="s">
        <v>170</v>
      </c>
      <c r="AB26" s="12"/>
    </row>
    <row r="27" customFormat="false" ht="29.85" hidden="false" customHeight="false" outlineLevel="0" collapsed="false">
      <c r="A27" s="15" t="n">
        <v>26</v>
      </c>
      <c r="B27" s="9" t="s">
        <v>55</v>
      </c>
      <c r="C27" s="9" t="s">
        <v>171</v>
      </c>
      <c r="D27" s="10" t="s">
        <v>172</v>
      </c>
      <c r="E27" s="11" t="s">
        <v>173</v>
      </c>
      <c r="F27" s="17"/>
      <c r="G27" s="12" t="s">
        <v>49</v>
      </c>
      <c r="H27" s="13" t="n">
        <v>-0.467</v>
      </c>
      <c r="I27" s="14"/>
      <c r="J27" s="17"/>
      <c r="K27" s="9"/>
      <c r="L27" s="15" t="s">
        <v>50</v>
      </c>
      <c r="M27" s="16" t="s">
        <v>51</v>
      </c>
      <c r="N27" s="14"/>
      <c r="O27" s="15" t="s">
        <v>52</v>
      </c>
      <c r="P27" s="17" t="s">
        <v>53</v>
      </c>
      <c r="Q27" s="9"/>
      <c r="R27" s="18" t="s">
        <v>51</v>
      </c>
      <c r="S27" s="19"/>
      <c r="T27" s="17" t="str">
        <f aca="false">IF(R27="維持",J27,IF(R27="排除","無關新聞事件",IFERROR(INDEX(事件規則!$B$2:$B$53,MATCH(S27,事件規則!$A$2:$A$53,0)),"")))</f>
        <v>無關新聞事件</v>
      </c>
      <c r="U27" s="20" t="n">
        <f aca="false">IF(R27="維持",K27,IF(R27="排除",0,IFERROR(INDEX(事件規則!$C$2:$C$53,MATCH(S27,事件規則!$A$2:$A$53,0)),"")))</f>
        <v>0</v>
      </c>
      <c r="V27" s="21"/>
      <c r="W27" s="22"/>
      <c r="X27" s="10" t="str">
        <f aca="false">IF(AND(R27="修改",S27=""),"請選新事件代碼",IF(AND(R27&lt;&gt;"修改",S27&lt;&gt;""),"只有「修改」才需填代碼",""))</f>
        <v/>
      </c>
      <c r="Y27" s="21"/>
      <c r="Z27" s="22"/>
      <c r="AA27" s="12" t="s">
        <v>174</v>
      </c>
      <c r="AB27" s="12"/>
    </row>
    <row r="28" customFormat="false" ht="29.85" hidden="false" customHeight="false" outlineLevel="0" collapsed="false">
      <c r="A28" s="15" t="n">
        <v>27</v>
      </c>
      <c r="B28" s="9" t="s">
        <v>112</v>
      </c>
      <c r="C28" s="9" t="s">
        <v>123</v>
      </c>
      <c r="D28" s="10" t="s">
        <v>124</v>
      </c>
      <c r="E28" s="11" t="s">
        <v>175</v>
      </c>
      <c r="F28" s="17"/>
      <c r="G28" s="12" t="s">
        <v>176</v>
      </c>
      <c r="H28" s="13" t="n">
        <v>-0.466</v>
      </c>
      <c r="I28" s="14"/>
      <c r="J28" s="17"/>
      <c r="K28" s="9"/>
      <c r="L28" s="15" t="s">
        <v>50</v>
      </c>
      <c r="M28" s="16" t="s">
        <v>51</v>
      </c>
      <c r="N28" s="14"/>
      <c r="O28" s="15" t="s">
        <v>52</v>
      </c>
      <c r="P28" s="17" t="s">
        <v>53</v>
      </c>
      <c r="Q28" s="9"/>
      <c r="R28" s="18" t="s">
        <v>51</v>
      </c>
      <c r="S28" s="19"/>
      <c r="T28" s="17" t="str">
        <f aca="false">IF(R28="維持",J28,IF(R28="排除","無關新聞事件",IFERROR(INDEX(事件規則!$B$2:$B$53,MATCH(S28,事件規則!$A$2:$A$53,0)),"")))</f>
        <v>無關新聞事件</v>
      </c>
      <c r="U28" s="20" t="n">
        <f aca="false">IF(R28="維持",K28,IF(R28="排除",0,IFERROR(INDEX(事件規則!$C$2:$C$53,MATCH(S28,事件規則!$A$2:$A$53,0)),"")))</f>
        <v>0</v>
      </c>
      <c r="V28" s="21"/>
      <c r="W28" s="22"/>
      <c r="X28" s="10" t="str">
        <f aca="false">IF(AND(R28="修改",S28=""),"請選新事件代碼",IF(AND(R28&lt;&gt;"修改",S28&lt;&gt;""),"只有「修改」才需填代碼",""))</f>
        <v/>
      </c>
      <c r="Y28" s="21"/>
      <c r="Z28" s="22"/>
      <c r="AA28" s="12" t="s">
        <v>177</v>
      </c>
      <c r="AB28" s="12"/>
    </row>
    <row r="29" customFormat="false" ht="15" hidden="false" customHeight="false" outlineLevel="0" collapsed="false">
      <c r="A29" s="15" t="n">
        <v>28</v>
      </c>
      <c r="B29" s="9" t="s">
        <v>112</v>
      </c>
      <c r="C29" s="9" t="s">
        <v>178</v>
      </c>
      <c r="D29" s="10" t="s">
        <v>179</v>
      </c>
      <c r="E29" s="11" t="s">
        <v>180</v>
      </c>
      <c r="F29" s="17"/>
      <c r="G29" s="12" t="s">
        <v>49</v>
      </c>
      <c r="H29" s="13" t="n">
        <v>-0.465</v>
      </c>
      <c r="I29" s="14"/>
      <c r="J29" s="17"/>
      <c r="K29" s="9"/>
      <c r="L29" s="15" t="s">
        <v>50</v>
      </c>
      <c r="M29" s="16" t="s">
        <v>131</v>
      </c>
      <c r="N29" s="14" t="s">
        <v>181</v>
      </c>
      <c r="O29" s="15" t="s">
        <v>52</v>
      </c>
      <c r="P29" s="10" t="s">
        <v>182</v>
      </c>
      <c r="Q29" s="9"/>
      <c r="R29" s="18" t="s">
        <v>131</v>
      </c>
      <c r="S29" s="19" t="s">
        <v>181</v>
      </c>
      <c r="T29" s="17" t="str">
        <f aca="false">IF(R29="維持",J29,IF(R29="排除","無關新聞事件",IFERROR(INDEX(事件規則!$B$2:$B$53,MATCH(S29,事件規則!$A$2:$A$53,0)),"")))</f>
        <v>股價下跌</v>
      </c>
      <c r="U29" s="20" t="n">
        <f aca="false">IF(R29="維持",K29,IF(R29="排除",0,IFERROR(INDEX(事件規則!$C$2:$C$53,MATCH(S29,事件規則!$A$2:$A$53,0)),"")))</f>
        <v>1</v>
      </c>
      <c r="V29" s="21"/>
      <c r="W29" s="22"/>
      <c r="X29" s="10" t="str">
        <f aca="false">IF(AND(R29="修改",S29=""),"請選新事件代碼",IF(AND(R29&lt;&gt;"修改",S29&lt;&gt;""),"只有「修改」才需填代碼",""))</f>
        <v/>
      </c>
      <c r="Y29" s="21"/>
      <c r="Z29" s="22"/>
      <c r="AA29" s="12" t="s">
        <v>183</v>
      </c>
      <c r="AB29" s="12"/>
    </row>
    <row r="30" customFormat="false" ht="29.85" hidden="false" customHeight="false" outlineLevel="0" collapsed="false">
      <c r="A30" s="15" t="n">
        <v>29</v>
      </c>
      <c r="B30" s="9" t="s">
        <v>81</v>
      </c>
      <c r="C30" s="9" t="s">
        <v>184</v>
      </c>
      <c r="D30" s="10" t="s">
        <v>185</v>
      </c>
      <c r="E30" s="11" t="s">
        <v>186</v>
      </c>
      <c r="F30" s="17"/>
      <c r="G30" s="12" t="s">
        <v>59</v>
      </c>
      <c r="H30" s="13" t="n">
        <v>-0.463</v>
      </c>
      <c r="I30" s="14"/>
      <c r="J30" s="17"/>
      <c r="K30" s="9"/>
      <c r="L30" s="15" t="s">
        <v>50</v>
      </c>
      <c r="M30" s="16" t="s">
        <v>51</v>
      </c>
      <c r="N30" s="14"/>
      <c r="O30" s="15" t="s">
        <v>52</v>
      </c>
      <c r="P30" s="17" t="s">
        <v>53</v>
      </c>
      <c r="Q30" s="9"/>
      <c r="R30" s="18" t="s">
        <v>51</v>
      </c>
      <c r="S30" s="19"/>
      <c r="T30" s="17" t="str">
        <f aca="false">IF(R30="維持",J30,IF(R30="排除","無關新聞事件",IFERROR(INDEX(事件規則!$B$2:$B$53,MATCH(S30,事件規則!$A$2:$A$53,0)),"")))</f>
        <v>無關新聞事件</v>
      </c>
      <c r="U30" s="20" t="n">
        <f aca="false">IF(R30="維持",K30,IF(R30="排除",0,IFERROR(INDEX(事件規則!$C$2:$C$53,MATCH(S30,事件規則!$A$2:$A$53,0)),"")))</f>
        <v>0</v>
      </c>
      <c r="V30" s="21"/>
      <c r="W30" s="22"/>
      <c r="X30" s="10" t="str">
        <f aca="false">IF(AND(R30="修改",S30=""),"請選新事件代碼",IF(AND(R30&lt;&gt;"修改",S30&lt;&gt;""),"只有「修改」才需填代碼",""))</f>
        <v/>
      </c>
      <c r="Y30" s="21"/>
      <c r="Z30" s="22"/>
      <c r="AA30" s="12" t="s">
        <v>187</v>
      </c>
      <c r="AB30" s="12"/>
    </row>
    <row r="31" customFormat="false" ht="23.85" hidden="false" customHeight="false" outlineLevel="0" collapsed="false">
      <c r="A31" s="15" t="n">
        <v>30</v>
      </c>
      <c r="B31" s="9" t="s">
        <v>112</v>
      </c>
      <c r="C31" s="9" t="s">
        <v>188</v>
      </c>
      <c r="D31" s="10" t="s">
        <v>189</v>
      </c>
      <c r="E31" s="11" t="s">
        <v>190</v>
      </c>
      <c r="F31" s="17"/>
      <c r="G31" s="12" t="s">
        <v>191</v>
      </c>
      <c r="H31" s="13" t="n">
        <v>-0.459</v>
      </c>
      <c r="I31" s="14"/>
      <c r="J31" s="17"/>
      <c r="K31" s="9"/>
      <c r="L31" s="15" t="s">
        <v>50</v>
      </c>
      <c r="M31" s="16" t="s">
        <v>131</v>
      </c>
      <c r="N31" s="14" t="s">
        <v>192</v>
      </c>
      <c r="O31" s="15" t="s">
        <v>193</v>
      </c>
      <c r="P31" s="10" t="s">
        <v>194</v>
      </c>
      <c r="Q31" s="9"/>
      <c r="R31" s="18" t="s">
        <v>131</v>
      </c>
      <c r="S31" s="19" t="s">
        <v>192</v>
      </c>
      <c r="T31" s="17" t="str">
        <f aca="false">IF(R31="維持",J31,IF(R31="排除","無關新聞事件",IFERROR(INDEX(事件規則!$B$2:$B$53,MATCH(S31,事件規則!$A$2:$A$53,0)),"")))</f>
        <v>監管裁罰</v>
      </c>
      <c r="U31" s="20" t="n">
        <f aca="false">IF(R31="維持",K31,IF(R31="排除",0,IFERROR(INDEX(事件規則!$C$2:$C$53,MATCH(S31,事件規則!$A$2:$A$53,0)),"")))</f>
        <v>4</v>
      </c>
      <c r="V31" s="21"/>
      <c r="W31" s="22"/>
      <c r="X31" s="10" t="str">
        <f aca="false">IF(AND(R31="修改",S31=""),"請選新事件代碼",IF(AND(R31&lt;&gt;"修改",S31&lt;&gt;""),"只有「修改」才需填代碼",""))</f>
        <v/>
      </c>
      <c r="Y31" s="21"/>
      <c r="Z31" s="22"/>
      <c r="AA31" s="12" t="s">
        <v>195</v>
      </c>
      <c r="AB31" s="12"/>
    </row>
    <row r="32" customFormat="false" ht="29.85" hidden="false" customHeight="false" outlineLevel="0" collapsed="false">
      <c r="A32" s="15" t="n">
        <v>31</v>
      </c>
      <c r="B32" s="9" t="s">
        <v>112</v>
      </c>
      <c r="C32" s="9" t="s">
        <v>196</v>
      </c>
      <c r="D32" s="10" t="s">
        <v>197</v>
      </c>
      <c r="E32" s="11" t="s">
        <v>198</v>
      </c>
      <c r="F32" s="17"/>
      <c r="G32" s="12" t="s">
        <v>95</v>
      </c>
      <c r="H32" s="13" t="n">
        <v>-0.458</v>
      </c>
      <c r="I32" s="14"/>
      <c r="J32" s="17"/>
      <c r="K32" s="9"/>
      <c r="L32" s="15" t="s">
        <v>50</v>
      </c>
      <c r="M32" s="16" t="s">
        <v>51</v>
      </c>
      <c r="N32" s="14"/>
      <c r="O32" s="15" t="s">
        <v>52</v>
      </c>
      <c r="P32" s="17" t="s">
        <v>53</v>
      </c>
      <c r="Q32" s="9"/>
      <c r="R32" s="18" t="s">
        <v>51</v>
      </c>
      <c r="S32" s="19"/>
      <c r="T32" s="17" t="str">
        <f aca="false">IF(R32="維持",J32,IF(R32="排除","無關新聞事件",IFERROR(INDEX(事件規則!$B$2:$B$53,MATCH(S32,事件規則!$A$2:$A$53,0)),"")))</f>
        <v>無關新聞事件</v>
      </c>
      <c r="U32" s="20" t="n">
        <f aca="false">IF(R32="維持",K32,IF(R32="排除",0,IFERROR(INDEX(事件規則!$C$2:$C$53,MATCH(S32,事件規則!$A$2:$A$53,0)),"")))</f>
        <v>0</v>
      </c>
      <c r="V32" s="21"/>
      <c r="W32" s="22"/>
      <c r="X32" s="10" t="str">
        <f aca="false">IF(AND(R32="修改",S32=""),"請選新事件代碼",IF(AND(R32&lt;&gt;"修改",S32&lt;&gt;""),"只有「修改」才需填代碼",""))</f>
        <v/>
      </c>
      <c r="Y32" s="21"/>
      <c r="Z32" s="22"/>
      <c r="AA32" s="12" t="s">
        <v>199</v>
      </c>
      <c r="AB32" s="12"/>
    </row>
    <row r="33" customFormat="false" ht="29.85" hidden="false" customHeight="false" outlineLevel="0" collapsed="false">
      <c r="A33" s="15" t="n">
        <v>32</v>
      </c>
      <c r="B33" s="9" t="s">
        <v>112</v>
      </c>
      <c r="C33" s="9" t="s">
        <v>144</v>
      </c>
      <c r="D33" s="10" t="s">
        <v>145</v>
      </c>
      <c r="E33" s="11" t="s">
        <v>200</v>
      </c>
      <c r="F33" s="17"/>
      <c r="G33" s="12" t="s">
        <v>116</v>
      </c>
      <c r="H33" s="13" t="n">
        <v>-0.457</v>
      </c>
      <c r="I33" s="14"/>
      <c r="J33" s="17"/>
      <c r="K33" s="9"/>
      <c r="L33" s="15" t="s">
        <v>50</v>
      </c>
      <c r="M33" s="16" t="s">
        <v>51</v>
      </c>
      <c r="N33" s="14"/>
      <c r="O33" s="15" t="s">
        <v>52</v>
      </c>
      <c r="P33" s="17" t="s">
        <v>53</v>
      </c>
      <c r="Q33" s="9"/>
      <c r="R33" s="18" t="s">
        <v>51</v>
      </c>
      <c r="S33" s="19"/>
      <c r="T33" s="17" t="str">
        <f aca="false">IF(R33="維持",J33,IF(R33="排除","無關新聞事件",IFERROR(INDEX(事件規則!$B$2:$B$53,MATCH(S33,事件規則!$A$2:$A$53,0)),"")))</f>
        <v>無關新聞事件</v>
      </c>
      <c r="U33" s="20" t="n">
        <f aca="false">IF(R33="維持",K33,IF(R33="排除",0,IFERROR(INDEX(事件規則!$C$2:$C$53,MATCH(S33,事件規則!$A$2:$A$53,0)),"")))</f>
        <v>0</v>
      </c>
      <c r="V33" s="21"/>
      <c r="W33" s="22"/>
      <c r="X33" s="10" t="str">
        <f aca="false">IF(AND(R33="修改",S33=""),"請選新事件代碼",IF(AND(R33&lt;&gt;"修改",S33&lt;&gt;""),"只有「修改」才需填代碼",""))</f>
        <v/>
      </c>
      <c r="Y33" s="21"/>
      <c r="Z33" s="22"/>
      <c r="AA33" s="12" t="s">
        <v>201</v>
      </c>
      <c r="AB33" s="12"/>
    </row>
    <row r="34" customFormat="false" ht="29.85" hidden="false" customHeight="false" outlineLevel="0" collapsed="false">
      <c r="A34" s="15" t="n">
        <v>33</v>
      </c>
      <c r="B34" s="9" t="s">
        <v>81</v>
      </c>
      <c r="C34" s="9" t="s">
        <v>202</v>
      </c>
      <c r="D34" s="10" t="s">
        <v>203</v>
      </c>
      <c r="E34" s="11" t="s">
        <v>204</v>
      </c>
      <c r="F34" s="17"/>
      <c r="G34" s="12" t="s">
        <v>205</v>
      </c>
      <c r="H34" s="13" t="n">
        <v>-0.454</v>
      </c>
      <c r="I34" s="14"/>
      <c r="J34" s="17"/>
      <c r="K34" s="9"/>
      <c r="L34" s="15" t="s">
        <v>50</v>
      </c>
      <c r="M34" s="16" t="s">
        <v>51</v>
      </c>
      <c r="N34" s="14"/>
      <c r="O34" s="15" t="s">
        <v>52</v>
      </c>
      <c r="P34" s="17" t="s">
        <v>53</v>
      </c>
      <c r="Q34" s="9"/>
      <c r="R34" s="18" t="s">
        <v>51</v>
      </c>
      <c r="S34" s="19"/>
      <c r="T34" s="17" t="str">
        <f aca="false">IF(R34="維持",J34,IF(R34="排除","無關新聞事件",IFERROR(INDEX(事件規則!$B$2:$B$53,MATCH(S34,事件規則!$A$2:$A$53,0)),"")))</f>
        <v>無關新聞事件</v>
      </c>
      <c r="U34" s="20" t="n">
        <f aca="false">IF(R34="維持",K34,IF(R34="排除",0,IFERROR(INDEX(事件規則!$C$2:$C$53,MATCH(S34,事件規則!$A$2:$A$53,0)),"")))</f>
        <v>0</v>
      </c>
      <c r="V34" s="21"/>
      <c r="W34" s="22"/>
      <c r="X34" s="10" t="str">
        <f aca="false">IF(AND(R34="修改",S34=""),"請選新事件代碼",IF(AND(R34&lt;&gt;"修改",S34&lt;&gt;""),"只有「修改」才需填代碼",""))</f>
        <v/>
      </c>
      <c r="Y34" s="21"/>
      <c r="Z34" s="22"/>
      <c r="AA34" s="12" t="s">
        <v>206</v>
      </c>
      <c r="AB34" s="12"/>
    </row>
    <row r="35" customFormat="false" ht="29.85" hidden="false" customHeight="false" outlineLevel="0" collapsed="false">
      <c r="A35" s="15" t="n">
        <v>34</v>
      </c>
      <c r="B35" s="9" t="s">
        <v>81</v>
      </c>
      <c r="C35" s="9" t="s">
        <v>207</v>
      </c>
      <c r="D35" s="10" t="s">
        <v>208</v>
      </c>
      <c r="E35" s="11" t="s">
        <v>209</v>
      </c>
      <c r="F35" s="17"/>
      <c r="G35" s="12" t="s">
        <v>210</v>
      </c>
      <c r="H35" s="13" t="n">
        <v>-0.454</v>
      </c>
      <c r="I35" s="14"/>
      <c r="J35" s="17"/>
      <c r="K35" s="9"/>
      <c r="L35" s="15" t="s">
        <v>50</v>
      </c>
      <c r="M35" s="16" t="s">
        <v>51</v>
      </c>
      <c r="N35" s="14"/>
      <c r="O35" s="15" t="s">
        <v>52</v>
      </c>
      <c r="P35" s="17" t="s">
        <v>53</v>
      </c>
      <c r="Q35" s="9"/>
      <c r="R35" s="18" t="s">
        <v>51</v>
      </c>
      <c r="S35" s="19"/>
      <c r="T35" s="17" t="str">
        <f aca="false">IF(R35="維持",J35,IF(R35="排除","無關新聞事件",IFERROR(INDEX(事件規則!$B$2:$B$53,MATCH(S35,事件規則!$A$2:$A$53,0)),"")))</f>
        <v>無關新聞事件</v>
      </c>
      <c r="U35" s="20" t="n">
        <f aca="false">IF(R35="維持",K35,IF(R35="排除",0,IFERROR(INDEX(事件規則!$C$2:$C$53,MATCH(S35,事件規則!$A$2:$A$53,0)),"")))</f>
        <v>0</v>
      </c>
      <c r="V35" s="21"/>
      <c r="W35" s="22"/>
      <c r="X35" s="10" t="str">
        <f aca="false">IF(AND(R35="修改",S35=""),"請選新事件代碼",IF(AND(R35&lt;&gt;"修改",S35&lt;&gt;""),"只有「修改」才需填代碼",""))</f>
        <v/>
      </c>
      <c r="Y35" s="21"/>
      <c r="Z35" s="22"/>
      <c r="AA35" s="12" t="s">
        <v>211</v>
      </c>
      <c r="AB35" s="12"/>
    </row>
    <row r="36" customFormat="false" ht="29.85" hidden="false" customHeight="false" outlineLevel="0" collapsed="false">
      <c r="A36" s="15" t="n">
        <v>35</v>
      </c>
      <c r="B36" s="9" t="s">
        <v>45</v>
      </c>
      <c r="C36" s="9" t="s">
        <v>212</v>
      </c>
      <c r="D36" s="10" t="s">
        <v>213</v>
      </c>
      <c r="E36" s="11" t="s">
        <v>214</v>
      </c>
      <c r="F36" s="17"/>
      <c r="G36" s="12" t="s">
        <v>49</v>
      </c>
      <c r="H36" s="13" t="n">
        <v>-0.453</v>
      </c>
      <c r="I36" s="14"/>
      <c r="J36" s="17"/>
      <c r="K36" s="9"/>
      <c r="L36" s="15" t="s">
        <v>50</v>
      </c>
      <c r="M36" s="16" t="s">
        <v>51</v>
      </c>
      <c r="N36" s="14"/>
      <c r="O36" s="15" t="s">
        <v>52</v>
      </c>
      <c r="P36" s="17" t="s">
        <v>53</v>
      </c>
      <c r="Q36" s="9"/>
      <c r="R36" s="18" t="s">
        <v>51</v>
      </c>
      <c r="S36" s="19"/>
      <c r="T36" s="17" t="str">
        <f aca="false">IF(R36="維持",J36,IF(R36="排除","無關新聞事件",IFERROR(INDEX(事件規則!$B$2:$B$53,MATCH(S36,事件規則!$A$2:$A$53,0)),"")))</f>
        <v>無關新聞事件</v>
      </c>
      <c r="U36" s="20" t="n">
        <f aca="false">IF(R36="維持",K36,IF(R36="排除",0,IFERROR(INDEX(事件規則!$C$2:$C$53,MATCH(S36,事件規則!$A$2:$A$53,0)),"")))</f>
        <v>0</v>
      </c>
      <c r="V36" s="21"/>
      <c r="W36" s="22"/>
      <c r="X36" s="10" t="str">
        <f aca="false">IF(AND(R36="修改",S36=""),"請選新事件代碼",IF(AND(R36&lt;&gt;"修改",S36&lt;&gt;""),"只有「修改」才需填代碼",""))</f>
        <v/>
      </c>
      <c r="Y36" s="21"/>
      <c r="Z36" s="22"/>
      <c r="AA36" s="12" t="s">
        <v>215</v>
      </c>
      <c r="AB36" s="12"/>
    </row>
    <row r="37" customFormat="false" ht="29.85" hidden="false" customHeight="false" outlineLevel="0" collapsed="false">
      <c r="A37" s="15" t="n">
        <v>36</v>
      </c>
      <c r="B37" s="9" t="s">
        <v>81</v>
      </c>
      <c r="C37" s="9" t="s">
        <v>178</v>
      </c>
      <c r="D37" s="10" t="s">
        <v>179</v>
      </c>
      <c r="E37" s="11" t="s">
        <v>216</v>
      </c>
      <c r="F37" s="17"/>
      <c r="G37" s="12" t="s">
        <v>217</v>
      </c>
      <c r="H37" s="13" t="n">
        <v>-0.451</v>
      </c>
      <c r="I37" s="14"/>
      <c r="J37" s="17"/>
      <c r="K37" s="9"/>
      <c r="L37" s="15" t="s">
        <v>50</v>
      </c>
      <c r="M37" s="16" t="s">
        <v>51</v>
      </c>
      <c r="N37" s="14"/>
      <c r="O37" s="15" t="s">
        <v>52</v>
      </c>
      <c r="P37" s="17" t="s">
        <v>53</v>
      </c>
      <c r="Q37" s="9"/>
      <c r="R37" s="18" t="s">
        <v>51</v>
      </c>
      <c r="S37" s="19"/>
      <c r="T37" s="17" t="str">
        <f aca="false">IF(R37="維持",J37,IF(R37="排除","無關新聞事件",IFERROR(INDEX(事件規則!$B$2:$B$53,MATCH(S37,事件規則!$A$2:$A$53,0)),"")))</f>
        <v>無關新聞事件</v>
      </c>
      <c r="U37" s="20" t="n">
        <f aca="false">IF(R37="維持",K37,IF(R37="排除",0,IFERROR(INDEX(事件規則!$C$2:$C$53,MATCH(S37,事件規則!$A$2:$A$53,0)),"")))</f>
        <v>0</v>
      </c>
      <c r="V37" s="21"/>
      <c r="W37" s="22"/>
      <c r="X37" s="10" t="str">
        <f aca="false">IF(AND(R37="修改",S37=""),"請選新事件代碼",IF(AND(R37&lt;&gt;"修改",S37&lt;&gt;""),"只有「修改」才需填代碼",""))</f>
        <v/>
      </c>
      <c r="Y37" s="21"/>
      <c r="Z37" s="22"/>
      <c r="AA37" s="12" t="s">
        <v>218</v>
      </c>
      <c r="AB37" s="12"/>
    </row>
    <row r="38" customFormat="false" ht="29.85" hidden="false" customHeight="false" outlineLevel="0" collapsed="false">
      <c r="A38" s="15" t="n">
        <v>37</v>
      </c>
      <c r="B38" s="9" t="s">
        <v>45</v>
      </c>
      <c r="C38" s="9" t="s">
        <v>219</v>
      </c>
      <c r="D38" s="10" t="s">
        <v>220</v>
      </c>
      <c r="E38" s="11" t="s">
        <v>221</v>
      </c>
      <c r="F38" s="17"/>
      <c r="G38" s="12" t="s">
        <v>95</v>
      </c>
      <c r="H38" s="13" t="n">
        <v>-0.451</v>
      </c>
      <c r="I38" s="14"/>
      <c r="J38" s="17"/>
      <c r="K38" s="9"/>
      <c r="L38" s="15" t="s">
        <v>50</v>
      </c>
      <c r="M38" s="16" t="s">
        <v>51</v>
      </c>
      <c r="N38" s="14"/>
      <c r="O38" s="15" t="s">
        <v>52</v>
      </c>
      <c r="P38" s="17" t="s">
        <v>53</v>
      </c>
      <c r="Q38" s="9"/>
      <c r="R38" s="18" t="s">
        <v>51</v>
      </c>
      <c r="S38" s="19"/>
      <c r="T38" s="17" t="str">
        <f aca="false">IF(R38="維持",J38,IF(R38="排除","無關新聞事件",IFERROR(INDEX(事件規則!$B$2:$B$53,MATCH(S38,事件規則!$A$2:$A$53,0)),"")))</f>
        <v>無關新聞事件</v>
      </c>
      <c r="U38" s="20" t="n">
        <f aca="false">IF(R38="維持",K38,IF(R38="排除",0,IFERROR(INDEX(事件規則!$C$2:$C$53,MATCH(S38,事件規則!$A$2:$A$53,0)),"")))</f>
        <v>0</v>
      </c>
      <c r="V38" s="21"/>
      <c r="W38" s="22"/>
      <c r="X38" s="10" t="str">
        <f aca="false">IF(AND(R38="修改",S38=""),"請選新事件代碼",IF(AND(R38&lt;&gt;"修改",S38&lt;&gt;""),"只有「修改」才需填代碼",""))</f>
        <v/>
      </c>
      <c r="Y38" s="21"/>
      <c r="Z38" s="22"/>
      <c r="AA38" s="12" t="s">
        <v>222</v>
      </c>
      <c r="AB38" s="12"/>
    </row>
    <row r="39" customFormat="false" ht="29.85" hidden="false" customHeight="false" outlineLevel="0" collapsed="false">
      <c r="A39" s="15" t="n">
        <v>38</v>
      </c>
      <c r="B39" s="9" t="s">
        <v>55</v>
      </c>
      <c r="C39" s="9" t="s">
        <v>223</v>
      </c>
      <c r="D39" s="10" t="s">
        <v>224</v>
      </c>
      <c r="E39" s="11" t="s">
        <v>225</v>
      </c>
      <c r="F39" s="17"/>
      <c r="G39" s="12" t="s">
        <v>49</v>
      </c>
      <c r="H39" s="13" t="n">
        <v>-0.449</v>
      </c>
      <c r="I39" s="14"/>
      <c r="J39" s="17"/>
      <c r="K39" s="9"/>
      <c r="L39" s="15" t="s">
        <v>50</v>
      </c>
      <c r="M39" s="16" t="s">
        <v>51</v>
      </c>
      <c r="N39" s="14"/>
      <c r="O39" s="15" t="s">
        <v>52</v>
      </c>
      <c r="P39" s="17" t="s">
        <v>53</v>
      </c>
      <c r="Q39" s="9"/>
      <c r="R39" s="18" t="s">
        <v>51</v>
      </c>
      <c r="S39" s="19"/>
      <c r="T39" s="17" t="str">
        <f aca="false">IF(R39="維持",J39,IF(R39="排除","無關新聞事件",IFERROR(INDEX(事件規則!$B$2:$B$53,MATCH(S39,事件規則!$A$2:$A$53,0)),"")))</f>
        <v>無關新聞事件</v>
      </c>
      <c r="U39" s="20" t="n">
        <f aca="false">IF(R39="維持",K39,IF(R39="排除",0,IFERROR(INDEX(事件規則!$C$2:$C$53,MATCH(S39,事件規則!$A$2:$A$53,0)),"")))</f>
        <v>0</v>
      </c>
      <c r="V39" s="21"/>
      <c r="W39" s="22"/>
      <c r="X39" s="10" t="str">
        <f aca="false">IF(AND(R39="修改",S39=""),"請選新事件代碼",IF(AND(R39&lt;&gt;"修改",S39&lt;&gt;""),"只有「修改」才需填代碼",""))</f>
        <v/>
      </c>
      <c r="Y39" s="21"/>
      <c r="Z39" s="22"/>
      <c r="AA39" s="12" t="s">
        <v>226</v>
      </c>
      <c r="AB39" s="12"/>
    </row>
    <row r="40" customFormat="false" ht="29.85" hidden="false" customHeight="false" outlineLevel="0" collapsed="false">
      <c r="A40" s="15" t="n">
        <v>39</v>
      </c>
      <c r="B40" s="9" t="s">
        <v>112</v>
      </c>
      <c r="C40" s="9" t="s">
        <v>227</v>
      </c>
      <c r="D40" s="10" t="s">
        <v>228</v>
      </c>
      <c r="E40" s="11" t="s">
        <v>229</v>
      </c>
      <c r="F40" s="17"/>
      <c r="G40" s="12" t="s">
        <v>230</v>
      </c>
      <c r="H40" s="13" t="n">
        <v>-0.449</v>
      </c>
      <c r="I40" s="14"/>
      <c r="J40" s="17"/>
      <c r="K40" s="9"/>
      <c r="L40" s="15" t="s">
        <v>50</v>
      </c>
      <c r="M40" s="16" t="s">
        <v>51</v>
      </c>
      <c r="N40" s="14"/>
      <c r="O40" s="15" t="s">
        <v>52</v>
      </c>
      <c r="P40" s="17" t="s">
        <v>53</v>
      </c>
      <c r="Q40" s="9"/>
      <c r="R40" s="18" t="s">
        <v>51</v>
      </c>
      <c r="S40" s="19"/>
      <c r="T40" s="17" t="str">
        <f aca="false">IF(R40="維持",J40,IF(R40="排除","無關新聞事件",IFERROR(INDEX(事件規則!$B$2:$B$53,MATCH(S40,事件規則!$A$2:$A$53,0)),"")))</f>
        <v>無關新聞事件</v>
      </c>
      <c r="U40" s="20" t="n">
        <f aca="false">IF(R40="維持",K40,IF(R40="排除",0,IFERROR(INDEX(事件規則!$C$2:$C$53,MATCH(S40,事件規則!$A$2:$A$53,0)),"")))</f>
        <v>0</v>
      </c>
      <c r="V40" s="21"/>
      <c r="W40" s="22"/>
      <c r="X40" s="10" t="str">
        <f aca="false">IF(AND(R40="修改",S40=""),"請選新事件代碼",IF(AND(R40&lt;&gt;"修改",S40&lt;&gt;""),"只有「修改」才需填代碼",""))</f>
        <v/>
      </c>
      <c r="Y40" s="21"/>
      <c r="Z40" s="22"/>
      <c r="AA40" s="12" t="s">
        <v>231</v>
      </c>
      <c r="AB40" s="12"/>
    </row>
    <row r="41" customFormat="false" ht="29.85" hidden="false" customHeight="false" outlineLevel="0" collapsed="false">
      <c r="A41" s="15" t="n">
        <v>40</v>
      </c>
      <c r="B41" s="9" t="s">
        <v>45</v>
      </c>
      <c r="C41" s="9" t="s">
        <v>232</v>
      </c>
      <c r="D41" s="10" t="s">
        <v>233</v>
      </c>
      <c r="E41" s="11" t="s">
        <v>234</v>
      </c>
      <c r="F41" s="17"/>
      <c r="G41" s="12" t="s">
        <v>235</v>
      </c>
      <c r="H41" s="13" t="n">
        <v>-0.445</v>
      </c>
      <c r="I41" s="14"/>
      <c r="J41" s="17"/>
      <c r="K41" s="9"/>
      <c r="L41" s="15" t="s">
        <v>50</v>
      </c>
      <c r="M41" s="16" t="s">
        <v>51</v>
      </c>
      <c r="N41" s="14"/>
      <c r="O41" s="15" t="s">
        <v>52</v>
      </c>
      <c r="P41" s="17" t="s">
        <v>53</v>
      </c>
      <c r="Q41" s="9"/>
      <c r="R41" s="18" t="s">
        <v>51</v>
      </c>
      <c r="S41" s="19"/>
      <c r="T41" s="17" t="str">
        <f aca="false">IF(R41="維持",J41,IF(R41="排除","無關新聞事件",IFERROR(INDEX(事件規則!$B$2:$B$53,MATCH(S41,事件規則!$A$2:$A$53,0)),"")))</f>
        <v>無關新聞事件</v>
      </c>
      <c r="U41" s="20" t="n">
        <f aca="false">IF(R41="維持",K41,IF(R41="排除",0,IFERROR(INDEX(事件規則!$C$2:$C$53,MATCH(S41,事件規則!$A$2:$A$53,0)),"")))</f>
        <v>0</v>
      </c>
      <c r="V41" s="21"/>
      <c r="W41" s="22"/>
      <c r="X41" s="10" t="str">
        <f aca="false">IF(AND(R41="修改",S41=""),"請選新事件代碼",IF(AND(R41&lt;&gt;"修改",S41&lt;&gt;""),"只有「修改」才需填代碼",""))</f>
        <v/>
      </c>
      <c r="Y41" s="21"/>
      <c r="Z41" s="22"/>
      <c r="AA41" s="12" t="s">
        <v>236</v>
      </c>
      <c r="AB41" s="12"/>
    </row>
    <row r="42" customFormat="false" ht="29.85" hidden="false" customHeight="false" outlineLevel="0" collapsed="false">
      <c r="A42" s="15" t="n">
        <v>41</v>
      </c>
      <c r="B42" s="9" t="s">
        <v>45</v>
      </c>
      <c r="C42" s="9" t="s">
        <v>46</v>
      </c>
      <c r="D42" s="10" t="s">
        <v>47</v>
      </c>
      <c r="E42" s="11" t="s">
        <v>237</v>
      </c>
      <c r="F42" s="17"/>
      <c r="G42" s="12" t="s">
        <v>238</v>
      </c>
      <c r="H42" s="13" t="n">
        <v>-0.445</v>
      </c>
      <c r="I42" s="14"/>
      <c r="J42" s="17"/>
      <c r="K42" s="9"/>
      <c r="L42" s="15" t="s">
        <v>50</v>
      </c>
      <c r="M42" s="16" t="s">
        <v>51</v>
      </c>
      <c r="N42" s="14"/>
      <c r="O42" s="15" t="s">
        <v>52</v>
      </c>
      <c r="P42" s="17" t="s">
        <v>53</v>
      </c>
      <c r="Q42" s="9"/>
      <c r="R42" s="18" t="s">
        <v>51</v>
      </c>
      <c r="S42" s="19"/>
      <c r="T42" s="17" t="str">
        <f aca="false">IF(R42="維持",J42,IF(R42="排除","無關新聞事件",IFERROR(INDEX(事件規則!$B$2:$B$53,MATCH(S42,事件規則!$A$2:$A$53,0)),"")))</f>
        <v>無關新聞事件</v>
      </c>
      <c r="U42" s="20" t="n">
        <f aca="false">IF(R42="維持",K42,IF(R42="排除",0,IFERROR(INDEX(事件規則!$C$2:$C$53,MATCH(S42,事件規則!$A$2:$A$53,0)),"")))</f>
        <v>0</v>
      </c>
      <c r="V42" s="21"/>
      <c r="W42" s="22"/>
      <c r="X42" s="10" t="str">
        <f aca="false">IF(AND(R42="修改",S42=""),"請選新事件代碼",IF(AND(R42&lt;&gt;"修改",S42&lt;&gt;""),"只有「修改」才需填代碼",""))</f>
        <v/>
      </c>
      <c r="Y42" s="21"/>
      <c r="Z42" s="22"/>
      <c r="AA42" s="12" t="s">
        <v>239</v>
      </c>
      <c r="AB42" s="12"/>
    </row>
    <row r="43" customFormat="false" ht="29.85" hidden="false" customHeight="false" outlineLevel="0" collapsed="false">
      <c r="A43" s="15" t="n">
        <v>42</v>
      </c>
      <c r="B43" s="9" t="s">
        <v>45</v>
      </c>
      <c r="C43" s="9" t="s">
        <v>71</v>
      </c>
      <c r="D43" s="10" t="s">
        <v>72</v>
      </c>
      <c r="E43" s="11" t="s">
        <v>240</v>
      </c>
      <c r="F43" s="17"/>
      <c r="G43" s="12" t="s">
        <v>49</v>
      </c>
      <c r="H43" s="13" t="n">
        <v>-0.441</v>
      </c>
      <c r="I43" s="14"/>
      <c r="J43" s="17"/>
      <c r="K43" s="9"/>
      <c r="L43" s="15" t="s">
        <v>50</v>
      </c>
      <c r="M43" s="16" t="s">
        <v>51</v>
      </c>
      <c r="N43" s="14"/>
      <c r="O43" s="15" t="s">
        <v>52</v>
      </c>
      <c r="P43" s="17" t="s">
        <v>53</v>
      </c>
      <c r="Q43" s="9"/>
      <c r="R43" s="18" t="s">
        <v>51</v>
      </c>
      <c r="S43" s="19"/>
      <c r="T43" s="17" t="str">
        <f aca="false">IF(R43="維持",J43,IF(R43="排除","無關新聞事件",IFERROR(INDEX(事件規則!$B$2:$B$53,MATCH(S43,事件規則!$A$2:$A$53,0)),"")))</f>
        <v>無關新聞事件</v>
      </c>
      <c r="U43" s="20" t="n">
        <f aca="false">IF(R43="維持",K43,IF(R43="排除",0,IFERROR(INDEX(事件規則!$C$2:$C$53,MATCH(S43,事件規則!$A$2:$A$53,0)),"")))</f>
        <v>0</v>
      </c>
      <c r="V43" s="21"/>
      <c r="W43" s="22"/>
      <c r="X43" s="10" t="str">
        <f aca="false">IF(AND(R43="修改",S43=""),"請選新事件代碼",IF(AND(R43&lt;&gt;"修改",S43&lt;&gt;""),"只有「修改」才需填代碼",""))</f>
        <v/>
      </c>
      <c r="Y43" s="21"/>
      <c r="Z43" s="22"/>
      <c r="AA43" s="12" t="s">
        <v>241</v>
      </c>
      <c r="AB43" s="12"/>
    </row>
    <row r="44" customFormat="false" ht="29.85" hidden="false" customHeight="false" outlineLevel="0" collapsed="false">
      <c r="A44" s="15" t="n">
        <v>43</v>
      </c>
      <c r="B44" s="9" t="s">
        <v>81</v>
      </c>
      <c r="C44" s="9" t="s">
        <v>242</v>
      </c>
      <c r="D44" s="10" t="s">
        <v>243</v>
      </c>
      <c r="E44" s="11" t="s">
        <v>244</v>
      </c>
      <c r="F44" s="17"/>
      <c r="G44" s="12" t="s">
        <v>245</v>
      </c>
      <c r="H44" s="13" t="n">
        <v>-0.439</v>
      </c>
      <c r="I44" s="14"/>
      <c r="J44" s="17"/>
      <c r="K44" s="9"/>
      <c r="L44" s="15" t="s">
        <v>50</v>
      </c>
      <c r="M44" s="16" t="s">
        <v>51</v>
      </c>
      <c r="N44" s="14"/>
      <c r="O44" s="15" t="s">
        <v>52</v>
      </c>
      <c r="P44" s="17" t="s">
        <v>53</v>
      </c>
      <c r="Q44" s="9"/>
      <c r="R44" s="18" t="s">
        <v>51</v>
      </c>
      <c r="S44" s="19"/>
      <c r="T44" s="17" t="str">
        <f aca="false">IF(R44="維持",J44,IF(R44="排除","無關新聞事件",IFERROR(INDEX(事件規則!$B$2:$B$53,MATCH(S44,事件規則!$A$2:$A$53,0)),"")))</f>
        <v>無關新聞事件</v>
      </c>
      <c r="U44" s="20" t="n">
        <f aca="false">IF(R44="維持",K44,IF(R44="排除",0,IFERROR(INDEX(事件規則!$C$2:$C$53,MATCH(S44,事件規則!$A$2:$A$53,0)),"")))</f>
        <v>0</v>
      </c>
      <c r="V44" s="21"/>
      <c r="W44" s="22"/>
      <c r="X44" s="10" t="str">
        <f aca="false">IF(AND(R44="修改",S44=""),"請選新事件代碼",IF(AND(R44&lt;&gt;"修改",S44&lt;&gt;""),"只有「修改」才需填代碼",""))</f>
        <v/>
      </c>
      <c r="Y44" s="21"/>
      <c r="Z44" s="22"/>
      <c r="AA44" s="12" t="s">
        <v>246</v>
      </c>
      <c r="AB44" s="12"/>
    </row>
    <row r="45" customFormat="false" ht="29.85" hidden="false" customHeight="false" outlineLevel="0" collapsed="false">
      <c r="A45" s="15" t="n">
        <v>44</v>
      </c>
      <c r="B45" s="9" t="s">
        <v>45</v>
      </c>
      <c r="C45" s="9" t="s">
        <v>46</v>
      </c>
      <c r="D45" s="10" t="s">
        <v>47</v>
      </c>
      <c r="E45" s="11" t="s">
        <v>247</v>
      </c>
      <c r="F45" s="17"/>
      <c r="G45" s="12" t="s">
        <v>248</v>
      </c>
      <c r="H45" s="13" t="n">
        <v>-0.438</v>
      </c>
      <c r="I45" s="14"/>
      <c r="J45" s="17"/>
      <c r="K45" s="9"/>
      <c r="L45" s="15" t="s">
        <v>50</v>
      </c>
      <c r="M45" s="16" t="s">
        <v>51</v>
      </c>
      <c r="N45" s="14"/>
      <c r="O45" s="15" t="s">
        <v>52</v>
      </c>
      <c r="P45" s="17" t="s">
        <v>53</v>
      </c>
      <c r="Q45" s="9"/>
      <c r="R45" s="18" t="s">
        <v>51</v>
      </c>
      <c r="S45" s="19"/>
      <c r="T45" s="17" t="str">
        <f aca="false">IF(R45="維持",J45,IF(R45="排除","無關新聞事件",IFERROR(INDEX(事件規則!$B$2:$B$53,MATCH(S45,事件規則!$A$2:$A$53,0)),"")))</f>
        <v>無關新聞事件</v>
      </c>
      <c r="U45" s="20" t="n">
        <f aca="false">IF(R45="維持",K45,IF(R45="排除",0,IFERROR(INDEX(事件規則!$C$2:$C$53,MATCH(S45,事件規則!$A$2:$A$53,0)),"")))</f>
        <v>0</v>
      </c>
      <c r="V45" s="21"/>
      <c r="W45" s="22"/>
      <c r="X45" s="10" t="str">
        <f aca="false">IF(AND(R45="修改",S45=""),"請選新事件代碼",IF(AND(R45&lt;&gt;"修改",S45&lt;&gt;""),"只有「修改」才需填代碼",""))</f>
        <v/>
      </c>
      <c r="Y45" s="21"/>
      <c r="Z45" s="22"/>
      <c r="AA45" s="12" t="s">
        <v>249</v>
      </c>
      <c r="AB45" s="12"/>
    </row>
    <row r="46" customFormat="false" ht="29.85" hidden="false" customHeight="false" outlineLevel="0" collapsed="false">
      <c r="A46" s="15" t="n">
        <v>45</v>
      </c>
      <c r="B46" s="9" t="s">
        <v>81</v>
      </c>
      <c r="C46" s="9" t="s">
        <v>250</v>
      </c>
      <c r="D46" s="10" t="s">
        <v>251</v>
      </c>
      <c r="E46" s="11" t="s">
        <v>252</v>
      </c>
      <c r="F46" s="17"/>
      <c r="G46" s="12" t="s">
        <v>49</v>
      </c>
      <c r="H46" s="13" t="n">
        <v>-0.438</v>
      </c>
      <c r="I46" s="14"/>
      <c r="J46" s="17"/>
      <c r="K46" s="9"/>
      <c r="L46" s="15" t="s">
        <v>50</v>
      </c>
      <c r="M46" s="16" t="s">
        <v>51</v>
      </c>
      <c r="N46" s="14"/>
      <c r="O46" s="15" t="s">
        <v>52</v>
      </c>
      <c r="P46" s="17" t="s">
        <v>53</v>
      </c>
      <c r="Q46" s="9"/>
      <c r="R46" s="18" t="s">
        <v>51</v>
      </c>
      <c r="S46" s="19"/>
      <c r="T46" s="17" t="str">
        <f aca="false">IF(R46="維持",J46,IF(R46="排除","無關新聞事件",IFERROR(INDEX(事件規則!$B$2:$B$53,MATCH(S46,事件規則!$A$2:$A$53,0)),"")))</f>
        <v>無關新聞事件</v>
      </c>
      <c r="U46" s="20" t="n">
        <f aca="false">IF(R46="維持",K46,IF(R46="排除",0,IFERROR(INDEX(事件規則!$C$2:$C$53,MATCH(S46,事件規則!$A$2:$A$53,0)),"")))</f>
        <v>0</v>
      </c>
      <c r="V46" s="21"/>
      <c r="W46" s="22"/>
      <c r="X46" s="10" t="str">
        <f aca="false">IF(AND(R46="修改",S46=""),"請選新事件代碼",IF(AND(R46&lt;&gt;"修改",S46&lt;&gt;""),"只有「修改」才需填代碼",""))</f>
        <v/>
      </c>
      <c r="Y46" s="21"/>
      <c r="Z46" s="22"/>
      <c r="AA46" s="12" t="s">
        <v>253</v>
      </c>
      <c r="AB46" s="12"/>
    </row>
    <row r="47" customFormat="false" ht="29.85" hidden="false" customHeight="false" outlineLevel="0" collapsed="false">
      <c r="A47" s="15" t="n">
        <v>46</v>
      </c>
      <c r="B47" s="9" t="s">
        <v>45</v>
      </c>
      <c r="C47" s="9" t="s">
        <v>254</v>
      </c>
      <c r="D47" s="10" t="s">
        <v>255</v>
      </c>
      <c r="E47" s="11" t="s">
        <v>256</v>
      </c>
      <c r="F47" s="17"/>
      <c r="G47" s="12" t="s">
        <v>69</v>
      </c>
      <c r="H47" s="13" t="n">
        <v>-0.437</v>
      </c>
      <c r="I47" s="14"/>
      <c r="J47" s="17"/>
      <c r="K47" s="9"/>
      <c r="L47" s="15" t="s">
        <v>50</v>
      </c>
      <c r="M47" s="16" t="s">
        <v>51</v>
      </c>
      <c r="N47" s="14"/>
      <c r="O47" s="15" t="s">
        <v>52</v>
      </c>
      <c r="P47" s="17" t="s">
        <v>53</v>
      </c>
      <c r="Q47" s="9"/>
      <c r="R47" s="18" t="s">
        <v>51</v>
      </c>
      <c r="S47" s="19"/>
      <c r="T47" s="17" t="str">
        <f aca="false">IF(R47="維持",J47,IF(R47="排除","無關新聞事件",IFERROR(INDEX(事件規則!$B$2:$B$53,MATCH(S47,事件規則!$A$2:$A$53,0)),"")))</f>
        <v>無關新聞事件</v>
      </c>
      <c r="U47" s="20" t="n">
        <f aca="false">IF(R47="維持",K47,IF(R47="排除",0,IFERROR(INDEX(事件規則!$C$2:$C$53,MATCH(S47,事件規則!$A$2:$A$53,0)),"")))</f>
        <v>0</v>
      </c>
      <c r="V47" s="21"/>
      <c r="W47" s="22"/>
      <c r="X47" s="10" t="str">
        <f aca="false">IF(AND(R47="修改",S47=""),"請選新事件代碼",IF(AND(R47&lt;&gt;"修改",S47&lt;&gt;""),"只有「修改」才需填代碼",""))</f>
        <v/>
      </c>
      <c r="Y47" s="21"/>
      <c r="Z47" s="22"/>
      <c r="AA47" s="12" t="s">
        <v>257</v>
      </c>
      <c r="AB47" s="12"/>
    </row>
    <row r="48" customFormat="false" ht="29.85" hidden="false" customHeight="false" outlineLevel="0" collapsed="false">
      <c r="A48" s="15" t="n">
        <v>47</v>
      </c>
      <c r="B48" s="9" t="s">
        <v>45</v>
      </c>
      <c r="C48" s="9" t="s">
        <v>227</v>
      </c>
      <c r="D48" s="10" t="s">
        <v>228</v>
      </c>
      <c r="E48" s="11" t="s">
        <v>258</v>
      </c>
      <c r="F48" s="17"/>
      <c r="G48" s="12" t="s">
        <v>69</v>
      </c>
      <c r="H48" s="13" t="n">
        <v>-0.437</v>
      </c>
      <c r="I48" s="14"/>
      <c r="J48" s="17"/>
      <c r="K48" s="9"/>
      <c r="L48" s="15" t="s">
        <v>50</v>
      </c>
      <c r="M48" s="16" t="s">
        <v>51</v>
      </c>
      <c r="N48" s="14"/>
      <c r="O48" s="15" t="s">
        <v>52</v>
      </c>
      <c r="P48" s="17" t="s">
        <v>53</v>
      </c>
      <c r="Q48" s="9"/>
      <c r="R48" s="18" t="s">
        <v>51</v>
      </c>
      <c r="S48" s="19"/>
      <c r="T48" s="17" t="str">
        <f aca="false">IF(R48="維持",J48,IF(R48="排除","無關新聞事件",IFERROR(INDEX(事件規則!$B$2:$B$53,MATCH(S48,事件規則!$A$2:$A$53,0)),"")))</f>
        <v>無關新聞事件</v>
      </c>
      <c r="U48" s="20" t="n">
        <f aca="false">IF(R48="維持",K48,IF(R48="排除",0,IFERROR(INDEX(事件規則!$C$2:$C$53,MATCH(S48,事件規則!$A$2:$A$53,0)),"")))</f>
        <v>0</v>
      </c>
      <c r="V48" s="21"/>
      <c r="W48" s="22"/>
      <c r="X48" s="10" t="str">
        <f aca="false">IF(AND(R48="修改",S48=""),"請選新事件代碼",IF(AND(R48&lt;&gt;"修改",S48&lt;&gt;""),"只有「修改」才需填代碼",""))</f>
        <v/>
      </c>
      <c r="Y48" s="21"/>
      <c r="Z48" s="22"/>
      <c r="AA48" s="12" t="s">
        <v>259</v>
      </c>
      <c r="AB48" s="12"/>
    </row>
    <row r="49" customFormat="false" ht="29.85" hidden="false" customHeight="false" outlineLevel="0" collapsed="false">
      <c r="A49" s="15" t="n">
        <v>48</v>
      </c>
      <c r="B49" s="9" t="s">
        <v>112</v>
      </c>
      <c r="C49" s="9" t="s">
        <v>260</v>
      </c>
      <c r="D49" s="10" t="s">
        <v>261</v>
      </c>
      <c r="E49" s="11" t="s">
        <v>262</v>
      </c>
      <c r="F49" s="17"/>
      <c r="G49" s="12" t="s">
        <v>164</v>
      </c>
      <c r="H49" s="13" t="n">
        <v>-0.435</v>
      </c>
      <c r="I49" s="14"/>
      <c r="J49" s="17"/>
      <c r="K49" s="9"/>
      <c r="L49" s="15" t="s">
        <v>50</v>
      </c>
      <c r="M49" s="16" t="s">
        <v>51</v>
      </c>
      <c r="N49" s="14"/>
      <c r="O49" s="15" t="s">
        <v>52</v>
      </c>
      <c r="P49" s="17" t="s">
        <v>53</v>
      </c>
      <c r="Q49" s="9"/>
      <c r="R49" s="18" t="s">
        <v>51</v>
      </c>
      <c r="S49" s="19"/>
      <c r="T49" s="17" t="str">
        <f aca="false">IF(R49="維持",J49,IF(R49="排除","無關新聞事件",IFERROR(INDEX(事件規則!$B$2:$B$53,MATCH(S49,事件規則!$A$2:$A$53,0)),"")))</f>
        <v>無關新聞事件</v>
      </c>
      <c r="U49" s="20" t="n">
        <f aca="false">IF(R49="維持",K49,IF(R49="排除",0,IFERROR(INDEX(事件規則!$C$2:$C$53,MATCH(S49,事件規則!$A$2:$A$53,0)),"")))</f>
        <v>0</v>
      </c>
      <c r="V49" s="21"/>
      <c r="W49" s="22"/>
      <c r="X49" s="10" t="str">
        <f aca="false">IF(AND(R49="修改",S49=""),"請選新事件代碼",IF(AND(R49&lt;&gt;"修改",S49&lt;&gt;""),"只有「修改」才需填代碼",""))</f>
        <v/>
      </c>
      <c r="Y49" s="21"/>
      <c r="Z49" s="22"/>
      <c r="AA49" s="12" t="s">
        <v>263</v>
      </c>
      <c r="AB49" s="12"/>
    </row>
    <row r="50" customFormat="false" ht="29.85" hidden="false" customHeight="false" outlineLevel="0" collapsed="false">
      <c r="A50" s="15" t="n">
        <v>49</v>
      </c>
      <c r="B50" s="9" t="s">
        <v>112</v>
      </c>
      <c r="C50" s="9" t="s">
        <v>264</v>
      </c>
      <c r="D50" s="10" t="s">
        <v>265</v>
      </c>
      <c r="E50" s="11" t="s">
        <v>266</v>
      </c>
      <c r="F50" s="17"/>
      <c r="G50" s="12" t="s">
        <v>49</v>
      </c>
      <c r="H50" s="13" t="n">
        <v>-0.435</v>
      </c>
      <c r="I50" s="14"/>
      <c r="J50" s="17"/>
      <c r="K50" s="9"/>
      <c r="L50" s="15" t="s">
        <v>50</v>
      </c>
      <c r="M50" s="16" t="s">
        <v>51</v>
      </c>
      <c r="N50" s="14"/>
      <c r="O50" s="15" t="s">
        <v>52</v>
      </c>
      <c r="P50" s="17" t="s">
        <v>53</v>
      </c>
      <c r="Q50" s="9"/>
      <c r="R50" s="18" t="s">
        <v>51</v>
      </c>
      <c r="S50" s="19"/>
      <c r="T50" s="17" t="str">
        <f aca="false">IF(R50="維持",J50,IF(R50="排除","無關新聞事件",IFERROR(INDEX(事件規則!$B$2:$B$53,MATCH(S50,事件規則!$A$2:$A$53,0)),"")))</f>
        <v>無關新聞事件</v>
      </c>
      <c r="U50" s="20" t="n">
        <f aca="false">IF(R50="維持",K50,IF(R50="排除",0,IFERROR(INDEX(事件規則!$C$2:$C$53,MATCH(S50,事件規則!$A$2:$A$53,0)),"")))</f>
        <v>0</v>
      </c>
      <c r="V50" s="21"/>
      <c r="W50" s="22"/>
      <c r="X50" s="10" t="str">
        <f aca="false">IF(AND(R50="修改",S50=""),"請選新事件代碼",IF(AND(R50&lt;&gt;"修改",S50&lt;&gt;""),"只有「修改」才需填代碼",""))</f>
        <v/>
      </c>
      <c r="Y50" s="21"/>
      <c r="Z50" s="22"/>
      <c r="AA50" s="12" t="s">
        <v>267</v>
      </c>
      <c r="AB50" s="12"/>
    </row>
    <row r="51" customFormat="false" ht="29.85" hidden="false" customHeight="false" outlineLevel="0" collapsed="false">
      <c r="A51" s="15" t="n">
        <v>50</v>
      </c>
      <c r="B51" s="9" t="s">
        <v>45</v>
      </c>
      <c r="C51" s="9" t="s">
        <v>268</v>
      </c>
      <c r="D51" s="10" t="s">
        <v>269</v>
      </c>
      <c r="E51" s="11" t="s">
        <v>270</v>
      </c>
      <c r="F51" s="17"/>
      <c r="G51" s="12" t="s">
        <v>271</v>
      </c>
      <c r="H51" s="13" t="n">
        <v>-0.435</v>
      </c>
      <c r="I51" s="14"/>
      <c r="J51" s="17"/>
      <c r="K51" s="9"/>
      <c r="L51" s="15" t="s">
        <v>50</v>
      </c>
      <c r="M51" s="16" t="s">
        <v>51</v>
      </c>
      <c r="N51" s="14"/>
      <c r="O51" s="15" t="s">
        <v>52</v>
      </c>
      <c r="P51" s="17" t="s">
        <v>53</v>
      </c>
      <c r="Q51" s="9"/>
      <c r="R51" s="18" t="s">
        <v>51</v>
      </c>
      <c r="S51" s="19"/>
      <c r="T51" s="17" t="str">
        <f aca="false">IF(R51="維持",J51,IF(R51="排除","無關新聞事件",IFERROR(INDEX(事件規則!$B$2:$B$53,MATCH(S51,事件規則!$A$2:$A$53,0)),"")))</f>
        <v>無關新聞事件</v>
      </c>
      <c r="U51" s="20" t="n">
        <f aca="false">IF(R51="維持",K51,IF(R51="排除",0,IFERROR(INDEX(事件規則!$C$2:$C$53,MATCH(S51,事件規則!$A$2:$A$53,0)),"")))</f>
        <v>0</v>
      </c>
      <c r="V51" s="21"/>
      <c r="W51" s="22"/>
      <c r="X51" s="10" t="str">
        <f aca="false">IF(AND(R51="修改",S51=""),"請選新事件代碼",IF(AND(R51&lt;&gt;"修改",S51&lt;&gt;""),"只有「修改」才需填代碼",""))</f>
        <v/>
      </c>
      <c r="Y51" s="21"/>
      <c r="Z51" s="22"/>
      <c r="AA51" s="12" t="s">
        <v>272</v>
      </c>
      <c r="AB51" s="12"/>
    </row>
    <row r="52" customFormat="false" ht="29.85" hidden="false" customHeight="false" outlineLevel="0" collapsed="false">
      <c r="A52" s="15" t="n">
        <v>51</v>
      </c>
      <c r="B52" s="9" t="s">
        <v>45</v>
      </c>
      <c r="C52" s="9" t="s">
        <v>273</v>
      </c>
      <c r="D52" s="10" t="s">
        <v>274</v>
      </c>
      <c r="E52" s="11" t="s">
        <v>275</v>
      </c>
      <c r="F52" s="17"/>
      <c r="G52" s="12" t="s">
        <v>235</v>
      </c>
      <c r="H52" s="13" t="n">
        <v>-0.433</v>
      </c>
      <c r="I52" s="14"/>
      <c r="J52" s="17"/>
      <c r="K52" s="9"/>
      <c r="L52" s="15" t="s">
        <v>50</v>
      </c>
      <c r="M52" s="16" t="s">
        <v>51</v>
      </c>
      <c r="N52" s="14"/>
      <c r="O52" s="15" t="s">
        <v>52</v>
      </c>
      <c r="P52" s="17" t="s">
        <v>53</v>
      </c>
      <c r="Q52" s="9"/>
      <c r="R52" s="18" t="s">
        <v>51</v>
      </c>
      <c r="S52" s="19"/>
      <c r="T52" s="17" t="str">
        <f aca="false">IF(R52="維持",J52,IF(R52="排除","無關新聞事件",IFERROR(INDEX(事件規則!$B$2:$B$53,MATCH(S52,事件規則!$A$2:$A$53,0)),"")))</f>
        <v>無關新聞事件</v>
      </c>
      <c r="U52" s="20" t="n">
        <f aca="false">IF(R52="維持",K52,IF(R52="排除",0,IFERROR(INDEX(事件規則!$C$2:$C$53,MATCH(S52,事件規則!$A$2:$A$53,0)),"")))</f>
        <v>0</v>
      </c>
      <c r="V52" s="21"/>
      <c r="W52" s="22"/>
      <c r="X52" s="10" t="str">
        <f aca="false">IF(AND(R52="修改",S52=""),"請選新事件代碼",IF(AND(R52&lt;&gt;"修改",S52&lt;&gt;""),"只有「修改」才需填代碼",""))</f>
        <v/>
      </c>
      <c r="Y52" s="21"/>
      <c r="Z52" s="22"/>
      <c r="AA52" s="12" t="s">
        <v>276</v>
      </c>
      <c r="AB52" s="12"/>
    </row>
    <row r="53" customFormat="false" ht="29.85" hidden="false" customHeight="false" outlineLevel="0" collapsed="false">
      <c r="A53" s="15" t="n">
        <v>52</v>
      </c>
      <c r="B53" s="9" t="s">
        <v>112</v>
      </c>
      <c r="C53" s="15"/>
      <c r="D53" s="10" t="s">
        <v>277</v>
      </c>
      <c r="E53" s="11" t="s">
        <v>278</v>
      </c>
      <c r="F53" s="17"/>
      <c r="G53" s="12" t="s">
        <v>49</v>
      </c>
      <c r="H53" s="13" t="n">
        <v>-0.432</v>
      </c>
      <c r="I53" s="14"/>
      <c r="J53" s="17"/>
      <c r="K53" s="9"/>
      <c r="L53" s="15" t="s">
        <v>50</v>
      </c>
      <c r="M53" s="16" t="s">
        <v>51</v>
      </c>
      <c r="N53" s="14"/>
      <c r="O53" s="15" t="s">
        <v>52</v>
      </c>
      <c r="P53" s="17" t="s">
        <v>53</v>
      </c>
      <c r="Q53" s="9"/>
      <c r="R53" s="18" t="s">
        <v>51</v>
      </c>
      <c r="S53" s="19"/>
      <c r="T53" s="17" t="str">
        <f aca="false">IF(R53="維持",J53,IF(R53="排除","無關新聞事件",IFERROR(INDEX(事件規則!$B$2:$B$53,MATCH(S53,事件規則!$A$2:$A$53,0)),"")))</f>
        <v>無關新聞事件</v>
      </c>
      <c r="U53" s="20" t="n">
        <f aca="false">IF(R53="維持",K53,IF(R53="排除",0,IFERROR(INDEX(事件規則!$C$2:$C$53,MATCH(S53,事件規則!$A$2:$A$53,0)),"")))</f>
        <v>0</v>
      </c>
      <c r="V53" s="21"/>
      <c r="W53" s="22"/>
      <c r="X53" s="10" t="str">
        <f aca="false">IF(AND(R53="修改",S53=""),"請選新事件代碼",IF(AND(R53&lt;&gt;"修改",S53&lt;&gt;""),"只有「修改」才需填代碼",""))</f>
        <v/>
      </c>
      <c r="Y53" s="21"/>
      <c r="Z53" s="22"/>
      <c r="AA53" s="12" t="s">
        <v>279</v>
      </c>
      <c r="AB53" s="12"/>
    </row>
    <row r="54" customFormat="false" ht="29.85" hidden="false" customHeight="false" outlineLevel="0" collapsed="false">
      <c r="A54" s="15" t="n">
        <v>53</v>
      </c>
      <c r="B54" s="9" t="s">
        <v>112</v>
      </c>
      <c r="C54" s="15"/>
      <c r="D54" s="10" t="s">
        <v>280</v>
      </c>
      <c r="E54" s="11" t="s">
        <v>281</v>
      </c>
      <c r="F54" s="10" t="s">
        <v>282</v>
      </c>
      <c r="G54" s="12" t="s">
        <v>176</v>
      </c>
      <c r="H54" s="13" t="n">
        <v>-0.432</v>
      </c>
      <c r="I54" s="14"/>
      <c r="J54" s="17"/>
      <c r="K54" s="9"/>
      <c r="L54" s="15" t="s">
        <v>50</v>
      </c>
      <c r="M54" s="16" t="s">
        <v>51</v>
      </c>
      <c r="N54" s="14"/>
      <c r="O54" s="15" t="s">
        <v>52</v>
      </c>
      <c r="P54" s="17" t="s">
        <v>53</v>
      </c>
      <c r="Q54" s="9"/>
      <c r="R54" s="18" t="s">
        <v>51</v>
      </c>
      <c r="S54" s="19"/>
      <c r="T54" s="17" t="str">
        <f aca="false">IF(R54="維持",J54,IF(R54="排除","無關新聞事件",IFERROR(INDEX(事件規則!$B$2:$B$53,MATCH(S54,事件規則!$A$2:$A$53,0)),"")))</f>
        <v>無關新聞事件</v>
      </c>
      <c r="U54" s="20" t="n">
        <f aca="false">IF(R54="維持",K54,IF(R54="排除",0,IFERROR(INDEX(事件規則!$C$2:$C$53,MATCH(S54,事件規則!$A$2:$A$53,0)),"")))</f>
        <v>0</v>
      </c>
      <c r="V54" s="21"/>
      <c r="W54" s="22"/>
      <c r="X54" s="10" t="str">
        <f aca="false">IF(AND(R54="修改",S54=""),"請選新事件代碼",IF(AND(R54&lt;&gt;"修改",S54&lt;&gt;""),"只有「修改」才需填代碼",""))</f>
        <v/>
      </c>
      <c r="Y54" s="21"/>
      <c r="Z54" s="22"/>
      <c r="AA54" s="12" t="s">
        <v>283</v>
      </c>
      <c r="AB54" s="12"/>
    </row>
    <row r="55" customFormat="false" ht="29.85" hidden="false" customHeight="false" outlineLevel="0" collapsed="false">
      <c r="A55" s="15" t="n">
        <v>54</v>
      </c>
      <c r="B55" s="9" t="s">
        <v>55</v>
      </c>
      <c r="C55" s="9" t="s">
        <v>284</v>
      </c>
      <c r="D55" s="10" t="s">
        <v>285</v>
      </c>
      <c r="E55" s="11" t="s">
        <v>286</v>
      </c>
      <c r="F55" s="17"/>
      <c r="G55" s="12" t="s">
        <v>287</v>
      </c>
      <c r="H55" s="13" t="n">
        <v>-0.429</v>
      </c>
      <c r="I55" s="14"/>
      <c r="J55" s="17"/>
      <c r="K55" s="9"/>
      <c r="L55" s="15" t="s">
        <v>50</v>
      </c>
      <c r="M55" s="16" t="s">
        <v>51</v>
      </c>
      <c r="N55" s="14"/>
      <c r="O55" s="15" t="s">
        <v>52</v>
      </c>
      <c r="P55" s="17" t="s">
        <v>53</v>
      </c>
      <c r="Q55" s="9"/>
      <c r="R55" s="18" t="s">
        <v>51</v>
      </c>
      <c r="S55" s="19"/>
      <c r="T55" s="17" t="str">
        <f aca="false">IF(R55="維持",J55,IF(R55="排除","無關新聞事件",IFERROR(INDEX(事件規則!$B$2:$B$53,MATCH(S55,事件規則!$A$2:$A$53,0)),"")))</f>
        <v>無關新聞事件</v>
      </c>
      <c r="U55" s="20" t="n">
        <f aca="false">IF(R55="維持",K55,IF(R55="排除",0,IFERROR(INDEX(事件規則!$C$2:$C$53,MATCH(S55,事件規則!$A$2:$A$53,0)),"")))</f>
        <v>0</v>
      </c>
      <c r="V55" s="21"/>
      <c r="W55" s="22"/>
      <c r="X55" s="10" t="str">
        <f aca="false">IF(AND(R55="修改",S55=""),"請選新事件代碼",IF(AND(R55&lt;&gt;"修改",S55&lt;&gt;""),"只有「修改」才需填代碼",""))</f>
        <v/>
      </c>
      <c r="Y55" s="21"/>
      <c r="Z55" s="22"/>
      <c r="AA55" s="12" t="s">
        <v>288</v>
      </c>
      <c r="AB55" s="12"/>
    </row>
    <row r="56" customFormat="false" ht="29.85" hidden="false" customHeight="false" outlineLevel="0" collapsed="false">
      <c r="A56" s="15" t="n">
        <v>55</v>
      </c>
      <c r="B56" s="9" t="s">
        <v>81</v>
      </c>
      <c r="C56" s="9" t="s">
        <v>289</v>
      </c>
      <c r="D56" s="10" t="s">
        <v>290</v>
      </c>
      <c r="E56" s="11" t="s">
        <v>291</v>
      </c>
      <c r="F56" s="17"/>
      <c r="G56" s="12" t="s">
        <v>292</v>
      </c>
      <c r="H56" s="13" t="n">
        <v>-0.428</v>
      </c>
      <c r="I56" s="14"/>
      <c r="J56" s="17"/>
      <c r="K56" s="9"/>
      <c r="L56" s="15" t="s">
        <v>50</v>
      </c>
      <c r="M56" s="16" t="s">
        <v>51</v>
      </c>
      <c r="N56" s="14"/>
      <c r="O56" s="15" t="s">
        <v>52</v>
      </c>
      <c r="P56" s="17" t="s">
        <v>53</v>
      </c>
      <c r="Q56" s="9"/>
      <c r="R56" s="18" t="s">
        <v>51</v>
      </c>
      <c r="S56" s="19"/>
      <c r="T56" s="17" t="str">
        <f aca="false">IF(R56="維持",J56,IF(R56="排除","無關新聞事件",IFERROR(INDEX(事件規則!$B$2:$B$53,MATCH(S56,事件規則!$A$2:$A$53,0)),"")))</f>
        <v>無關新聞事件</v>
      </c>
      <c r="U56" s="20" t="n">
        <f aca="false">IF(R56="維持",K56,IF(R56="排除",0,IFERROR(INDEX(事件規則!$C$2:$C$53,MATCH(S56,事件規則!$A$2:$A$53,0)),"")))</f>
        <v>0</v>
      </c>
      <c r="V56" s="21"/>
      <c r="W56" s="22"/>
      <c r="X56" s="10" t="str">
        <f aca="false">IF(AND(R56="修改",S56=""),"請選新事件代碼",IF(AND(R56&lt;&gt;"修改",S56&lt;&gt;""),"只有「修改」才需填代碼",""))</f>
        <v/>
      </c>
      <c r="Y56" s="21"/>
      <c r="Z56" s="22"/>
      <c r="AA56" s="12" t="s">
        <v>293</v>
      </c>
      <c r="AB56" s="12"/>
    </row>
    <row r="57" customFormat="false" ht="29.85" hidden="false" customHeight="false" outlineLevel="0" collapsed="false">
      <c r="A57" s="15" t="n">
        <v>56</v>
      </c>
      <c r="B57" s="9" t="s">
        <v>55</v>
      </c>
      <c r="C57" s="9" t="s">
        <v>294</v>
      </c>
      <c r="D57" s="10" t="s">
        <v>295</v>
      </c>
      <c r="E57" s="11" t="s">
        <v>296</v>
      </c>
      <c r="F57" s="17"/>
      <c r="G57" s="12" t="s">
        <v>297</v>
      </c>
      <c r="H57" s="13" t="n">
        <v>-0.427</v>
      </c>
      <c r="I57" s="14"/>
      <c r="J57" s="17"/>
      <c r="K57" s="9"/>
      <c r="L57" s="15" t="s">
        <v>50</v>
      </c>
      <c r="M57" s="16" t="s">
        <v>51</v>
      </c>
      <c r="N57" s="14"/>
      <c r="O57" s="15" t="s">
        <v>52</v>
      </c>
      <c r="P57" s="17" t="s">
        <v>53</v>
      </c>
      <c r="Q57" s="9"/>
      <c r="R57" s="18" t="s">
        <v>51</v>
      </c>
      <c r="S57" s="19"/>
      <c r="T57" s="17" t="str">
        <f aca="false">IF(R57="維持",J57,IF(R57="排除","無關新聞事件",IFERROR(INDEX(事件規則!$B$2:$B$53,MATCH(S57,事件規則!$A$2:$A$53,0)),"")))</f>
        <v>無關新聞事件</v>
      </c>
      <c r="U57" s="20" t="n">
        <f aca="false">IF(R57="維持",K57,IF(R57="排除",0,IFERROR(INDEX(事件規則!$C$2:$C$53,MATCH(S57,事件規則!$A$2:$A$53,0)),"")))</f>
        <v>0</v>
      </c>
      <c r="V57" s="21"/>
      <c r="W57" s="22"/>
      <c r="X57" s="10" t="str">
        <f aca="false">IF(AND(R57="修改",S57=""),"請選新事件代碼",IF(AND(R57&lt;&gt;"修改",S57&lt;&gt;""),"只有「修改」才需填代碼",""))</f>
        <v/>
      </c>
      <c r="Y57" s="21"/>
      <c r="Z57" s="22"/>
      <c r="AA57" s="12" t="s">
        <v>298</v>
      </c>
      <c r="AB57" s="12"/>
    </row>
    <row r="58" customFormat="false" ht="29.85" hidden="false" customHeight="false" outlineLevel="0" collapsed="false">
      <c r="A58" s="15" t="n">
        <v>57</v>
      </c>
      <c r="B58" s="9" t="s">
        <v>45</v>
      </c>
      <c r="C58" s="9" t="s">
        <v>299</v>
      </c>
      <c r="D58" s="10" t="s">
        <v>300</v>
      </c>
      <c r="E58" s="11" t="s">
        <v>301</v>
      </c>
      <c r="F58" s="17"/>
      <c r="G58" s="12" t="s">
        <v>59</v>
      </c>
      <c r="H58" s="13" t="n">
        <v>-0.426</v>
      </c>
      <c r="I58" s="14"/>
      <c r="J58" s="17"/>
      <c r="K58" s="9"/>
      <c r="L58" s="15" t="s">
        <v>50</v>
      </c>
      <c r="M58" s="16" t="s">
        <v>51</v>
      </c>
      <c r="N58" s="14"/>
      <c r="O58" s="15" t="s">
        <v>52</v>
      </c>
      <c r="P58" s="17" t="s">
        <v>53</v>
      </c>
      <c r="Q58" s="9"/>
      <c r="R58" s="18" t="s">
        <v>51</v>
      </c>
      <c r="S58" s="19"/>
      <c r="T58" s="17" t="str">
        <f aca="false">IF(R58="維持",J58,IF(R58="排除","無關新聞事件",IFERROR(INDEX(事件規則!$B$2:$B$53,MATCH(S58,事件規則!$A$2:$A$53,0)),"")))</f>
        <v>無關新聞事件</v>
      </c>
      <c r="U58" s="20" t="n">
        <f aca="false">IF(R58="維持",K58,IF(R58="排除",0,IFERROR(INDEX(事件規則!$C$2:$C$53,MATCH(S58,事件規則!$A$2:$A$53,0)),"")))</f>
        <v>0</v>
      </c>
      <c r="V58" s="21"/>
      <c r="W58" s="22"/>
      <c r="X58" s="10" t="str">
        <f aca="false">IF(AND(R58="修改",S58=""),"請選新事件代碼",IF(AND(R58&lt;&gt;"修改",S58&lt;&gt;""),"只有「修改」才需填代碼",""))</f>
        <v/>
      </c>
      <c r="Y58" s="21"/>
      <c r="Z58" s="22"/>
      <c r="AA58" s="12" t="s">
        <v>302</v>
      </c>
      <c r="AB58" s="12"/>
    </row>
    <row r="59" customFormat="false" ht="15" hidden="false" customHeight="false" outlineLevel="0" collapsed="false">
      <c r="A59" s="15" t="n">
        <v>58</v>
      </c>
      <c r="B59" s="9" t="s">
        <v>45</v>
      </c>
      <c r="C59" s="9" t="s">
        <v>303</v>
      </c>
      <c r="D59" s="10" t="s">
        <v>304</v>
      </c>
      <c r="E59" s="11" t="s">
        <v>305</v>
      </c>
      <c r="F59" s="17"/>
      <c r="G59" s="12" t="s">
        <v>306</v>
      </c>
      <c r="H59" s="13" t="n">
        <v>-0.422</v>
      </c>
      <c r="I59" s="14"/>
      <c r="J59" s="17"/>
      <c r="K59" s="9"/>
      <c r="L59" s="15" t="s">
        <v>50</v>
      </c>
      <c r="M59" s="16" t="s">
        <v>131</v>
      </c>
      <c r="N59" s="14" t="s">
        <v>307</v>
      </c>
      <c r="O59" s="15" t="s">
        <v>52</v>
      </c>
      <c r="P59" s="17" t="s">
        <v>308</v>
      </c>
      <c r="Q59" s="9"/>
      <c r="R59" s="18" t="s">
        <v>131</v>
      </c>
      <c r="S59" s="19" t="s">
        <v>307</v>
      </c>
      <c r="T59" s="17" t="str">
        <f aca="false">IF(R59="維持",J59,IF(R59="排除","無關新聞事件",IFERROR(INDEX(事件規則!$B$2:$B$53,MATCH(S59,事件規則!$A$2:$A$53,0)),"")))</f>
        <v>資安攻擊</v>
      </c>
      <c r="U59" s="20" t="n">
        <f aca="false">IF(R59="維持",K59,IF(R59="排除",0,IFERROR(INDEX(事件規則!$C$2:$C$53,MATCH(S59,事件規則!$A$2:$A$53,0)),"")))</f>
        <v>3</v>
      </c>
      <c r="V59" s="21"/>
      <c r="W59" s="22"/>
      <c r="X59" s="10" t="str">
        <f aca="false">IF(AND(R59="修改",S59=""),"請選新事件代碼",IF(AND(R59&lt;&gt;"修改",S59&lt;&gt;""),"只有「修改」才需填代碼",""))</f>
        <v/>
      </c>
      <c r="Y59" s="21"/>
      <c r="Z59" s="22"/>
      <c r="AA59" s="12" t="s">
        <v>309</v>
      </c>
      <c r="AB59" s="12"/>
    </row>
    <row r="60" customFormat="false" ht="15" hidden="false" customHeight="false" outlineLevel="0" collapsed="false">
      <c r="A60" s="15" t="n">
        <v>59</v>
      </c>
      <c r="B60" s="9" t="s">
        <v>45</v>
      </c>
      <c r="C60" s="9" t="s">
        <v>202</v>
      </c>
      <c r="D60" s="10" t="s">
        <v>203</v>
      </c>
      <c r="E60" s="11" t="s">
        <v>310</v>
      </c>
      <c r="F60" s="17"/>
      <c r="G60" s="12" t="s">
        <v>311</v>
      </c>
      <c r="H60" s="13" t="n">
        <v>-0.422</v>
      </c>
      <c r="I60" s="14"/>
      <c r="J60" s="17"/>
      <c r="K60" s="9"/>
      <c r="L60" s="15" t="s">
        <v>50</v>
      </c>
      <c r="M60" s="16" t="s">
        <v>131</v>
      </c>
      <c r="N60" s="14" t="s">
        <v>312</v>
      </c>
      <c r="O60" s="15" t="s">
        <v>193</v>
      </c>
      <c r="P60" s="10" t="s">
        <v>313</v>
      </c>
      <c r="Q60" s="9"/>
      <c r="R60" s="18" t="s">
        <v>131</v>
      </c>
      <c r="S60" s="19" t="s">
        <v>312</v>
      </c>
      <c r="T60" s="17" t="str">
        <f aca="false">IF(R60="維持",J60,IF(R60="排除","無關新聞事件",IFERROR(INDEX(事件規則!$B$2:$B$53,MATCH(S60,事件規則!$A$2:$A$53,0)),"")))</f>
        <v>重大產品瑕疵</v>
      </c>
      <c r="U60" s="20" t="n">
        <f aca="false">IF(R60="維持",K60,IF(R60="排除",0,IFERROR(INDEX(事件規則!$C$2:$C$53,MATCH(S60,事件規則!$A$2:$A$53,0)),"")))</f>
        <v>3</v>
      </c>
      <c r="V60" s="21"/>
      <c r="W60" s="22"/>
      <c r="X60" s="10" t="str">
        <f aca="false">IF(AND(R60="修改",S60=""),"請選新事件代碼",IF(AND(R60&lt;&gt;"修改",S60&lt;&gt;""),"只有「修改」才需填代碼",""))</f>
        <v/>
      </c>
      <c r="Y60" s="21"/>
      <c r="Z60" s="22"/>
      <c r="AA60" s="12" t="s">
        <v>314</v>
      </c>
      <c r="AB60" s="12"/>
    </row>
    <row r="61" customFormat="false" ht="29.85" hidden="false" customHeight="false" outlineLevel="0" collapsed="false">
      <c r="A61" s="15" t="n">
        <v>60</v>
      </c>
      <c r="B61" s="9" t="s">
        <v>55</v>
      </c>
      <c r="C61" s="9" t="s">
        <v>315</v>
      </c>
      <c r="D61" s="10" t="s">
        <v>316</v>
      </c>
      <c r="E61" s="11" t="s">
        <v>317</v>
      </c>
      <c r="F61" s="17"/>
      <c r="G61" s="12" t="s">
        <v>95</v>
      </c>
      <c r="H61" s="13" t="n">
        <v>-0.421</v>
      </c>
      <c r="I61" s="14"/>
      <c r="J61" s="17"/>
      <c r="K61" s="9"/>
      <c r="L61" s="15" t="s">
        <v>50</v>
      </c>
      <c r="M61" s="16" t="s">
        <v>51</v>
      </c>
      <c r="N61" s="14"/>
      <c r="O61" s="15" t="s">
        <v>52</v>
      </c>
      <c r="P61" s="17" t="s">
        <v>53</v>
      </c>
      <c r="Q61" s="9"/>
      <c r="R61" s="18" t="s">
        <v>51</v>
      </c>
      <c r="S61" s="19"/>
      <c r="T61" s="17" t="str">
        <f aca="false">IF(R61="維持",J61,IF(R61="排除","無關新聞事件",IFERROR(INDEX(事件規則!$B$2:$B$53,MATCH(S61,事件規則!$A$2:$A$53,0)),"")))</f>
        <v>無關新聞事件</v>
      </c>
      <c r="U61" s="20" t="n">
        <f aca="false">IF(R61="維持",K61,IF(R61="排除",0,IFERROR(INDEX(事件規則!$C$2:$C$53,MATCH(S61,事件規則!$A$2:$A$53,0)),"")))</f>
        <v>0</v>
      </c>
      <c r="V61" s="21"/>
      <c r="W61" s="22"/>
      <c r="X61" s="10" t="str">
        <f aca="false">IF(AND(R61="修改",S61=""),"請選新事件代碼",IF(AND(R61&lt;&gt;"修改",S61&lt;&gt;""),"只有「修改」才需填代碼",""))</f>
        <v/>
      </c>
      <c r="Y61" s="21"/>
      <c r="Z61" s="22"/>
      <c r="AA61" s="12" t="s">
        <v>318</v>
      </c>
      <c r="AB61" s="12"/>
    </row>
    <row r="62" customFormat="false" ht="29.85" hidden="false" customHeight="false" outlineLevel="0" collapsed="false">
      <c r="A62" s="15" t="n">
        <v>61</v>
      </c>
      <c r="B62" s="9" t="s">
        <v>112</v>
      </c>
      <c r="C62" s="9" t="s">
        <v>66</v>
      </c>
      <c r="D62" s="10" t="s">
        <v>67</v>
      </c>
      <c r="E62" s="11" t="s">
        <v>319</v>
      </c>
      <c r="F62" s="17"/>
      <c r="G62" s="12" t="s">
        <v>116</v>
      </c>
      <c r="H62" s="13" t="n">
        <v>-0.42</v>
      </c>
      <c r="I62" s="14"/>
      <c r="J62" s="17"/>
      <c r="K62" s="9"/>
      <c r="L62" s="15" t="s">
        <v>50</v>
      </c>
      <c r="M62" s="16" t="s">
        <v>51</v>
      </c>
      <c r="N62" s="14"/>
      <c r="O62" s="15" t="s">
        <v>52</v>
      </c>
      <c r="P62" s="17" t="s">
        <v>53</v>
      </c>
      <c r="Q62" s="9"/>
      <c r="R62" s="18" t="s">
        <v>51</v>
      </c>
      <c r="S62" s="19"/>
      <c r="T62" s="17" t="str">
        <f aca="false">IF(R62="維持",J62,IF(R62="排除","無關新聞事件",IFERROR(INDEX(事件規則!$B$2:$B$53,MATCH(S62,事件規則!$A$2:$A$53,0)),"")))</f>
        <v>無關新聞事件</v>
      </c>
      <c r="U62" s="20" t="n">
        <f aca="false">IF(R62="維持",K62,IF(R62="排除",0,IFERROR(INDEX(事件規則!$C$2:$C$53,MATCH(S62,事件規則!$A$2:$A$53,0)),"")))</f>
        <v>0</v>
      </c>
      <c r="V62" s="21"/>
      <c r="W62" s="22"/>
      <c r="X62" s="10" t="str">
        <f aca="false">IF(AND(R62="修改",S62=""),"請選新事件代碼",IF(AND(R62&lt;&gt;"修改",S62&lt;&gt;""),"只有「修改」才需填代碼",""))</f>
        <v/>
      </c>
      <c r="Y62" s="21"/>
      <c r="Z62" s="22"/>
      <c r="AA62" s="12" t="s">
        <v>320</v>
      </c>
      <c r="AB62" s="12"/>
    </row>
    <row r="63" customFormat="false" ht="29.85" hidden="false" customHeight="false" outlineLevel="0" collapsed="false">
      <c r="A63" s="15" t="n">
        <v>62</v>
      </c>
      <c r="B63" s="9" t="s">
        <v>112</v>
      </c>
      <c r="C63" s="9" t="s">
        <v>321</v>
      </c>
      <c r="D63" s="10" t="s">
        <v>322</v>
      </c>
      <c r="E63" s="11" t="s">
        <v>323</v>
      </c>
      <c r="F63" s="17"/>
      <c r="G63" s="12" t="s">
        <v>324</v>
      </c>
      <c r="H63" s="13" t="n">
        <v>-0.42</v>
      </c>
      <c r="I63" s="14"/>
      <c r="J63" s="17"/>
      <c r="K63" s="9"/>
      <c r="L63" s="15" t="s">
        <v>50</v>
      </c>
      <c r="M63" s="16" t="s">
        <v>51</v>
      </c>
      <c r="N63" s="14"/>
      <c r="O63" s="15" t="s">
        <v>52</v>
      </c>
      <c r="P63" s="17" t="s">
        <v>53</v>
      </c>
      <c r="Q63" s="9"/>
      <c r="R63" s="18" t="s">
        <v>51</v>
      </c>
      <c r="S63" s="19"/>
      <c r="T63" s="17" t="str">
        <f aca="false">IF(R63="維持",J63,IF(R63="排除","無關新聞事件",IFERROR(INDEX(事件規則!$B$2:$B$53,MATCH(S63,事件規則!$A$2:$A$53,0)),"")))</f>
        <v>無關新聞事件</v>
      </c>
      <c r="U63" s="20" t="n">
        <f aca="false">IF(R63="維持",K63,IF(R63="排除",0,IFERROR(INDEX(事件規則!$C$2:$C$53,MATCH(S63,事件規則!$A$2:$A$53,0)),"")))</f>
        <v>0</v>
      </c>
      <c r="V63" s="21"/>
      <c r="W63" s="22"/>
      <c r="X63" s="10" t="str">
        <f aca="false">IF(AND(R63="修改",S63=""),"請選新事件代碼",IF(AND(R63&lt;&gt;"修改",S63&lt;&gt;""),"只有「修改」才需填代碼",""))</f>
        <v/>
      </c>
      <c r="Y63" s="21"/>
      <c r="Z63" s="22"/>
      <c r="AA63" s="12" t="s">
        <v>325</v>
      </c>
      <c r="AB63" s="12"/>
    </row>
    <row r="64" customFormat="false" ht="29.85" hidden="false" customHeight="false" outlineLevel="0" collapsed="false">
      <c r="A64" s="15" t="n">
        <v>63</v>
      </c>
      <c r="B64" s="9" t="s">
        <v>45</v>
      </c>
      <c r="C64" s="9" t="s">
        <v>326</v>
      </c>
      <c r="D64" s="10" t="s">
        <v>326</v>
      </c>
      <c r="E64" s="11" t="s">
        <v>327</v>
      </c>
      <c r="F64" s="17"/>
      <c r="G64" s="12" t="s">
        <v>176</v>
      </c>
      <c r="H64" s="13" t="n">
        <v>-0.419</v>
      </c>
      <c r="I64" s="14"/>
      <c r="J64" s="17"/>
      <c r="K64" s="9"/>
      <c r="L64" s="15" t="s">
        <v>50</v>
      </c>
      <c r="M64" s="16" t="s">
        <v>51</v>
      </c>
      <c r="N64" s="14"/>
      <c r="O64" s="15" t="s">
        <v>52</v>
      </c>
      <c r="P64" s="17" t="s">
        <v>53</v>
      </c>
      <c r="Q64" s="9"/>
      <c r="R64" s="18" t="s">
        <v>51</v>
      </c>
      <c r="S64" s="19"/>
      <c r="T64" s="17" t="str">
        <f aca="false">IF(R64="維持",J64,IF(R64="排除","無關新聞事件",IFERROR(INDEX(事件規則!$B$2:$B$53,MATCH(S64,事件規則!$A$2:$A$53,0)),"")))</f>
        <v>無關新聞事件</v>
      </c>
      <c r="U64" s="20" t="n">
        <f aca="false">IF(R64="維持",K64,IF(R64="排除",0,IFERROR(INDEX(事件規則!$C$2:$C$53,MATCH(S64,事件規則!$A$2:$A$53,0)),"")))</f>
        <v>0</v>
      </c>
      <c r="V64" s="21"/>
      <c r="W64" s="22"/>
      <c r="X64" s="10" t="str">
        <f aca="false">IF(AND(R64="修改",S64=""),"請選新事件代碼",IF(AND(R64&lt;&gt;"修改",S64&lt;&gt;""),"只有「修改」才需填代碼",""))</f>
        <v/>
      </c>
      <c r="Y64" s="21"/>
      <c r="Z64" s="22"/>
      <c r="AA64" s="12" t="s">
        <v>328</v>
      </c>
      <c r="AB64" s="12"/>
    </row>
    <row r="65" customFormat="false" ht="23.85" hidden="false" customHeight="false" outlineLevel="0" collapsed="false">
      <c r="A65" s="15" t="n">
        <v>64</v>
      </c>
      <c r="B65" s="9" t="s">
        <v>112</v>
      </c>
      <c r="C65" s="9" t="s">
        <v>329</v>
      </c>
      <c r="D65" s="10" t="s">
        <v>330</v>
      </c>
      <c r="E65" s="11" t="s">
        <v>331</v>
      </c>
      <c r="F65" s="17"/>
      <c r="G65" s="12" t="s">
        <v>332</v>
      </c>
      <c r="H65" s="13" t="n">
        <v>-0.418</v>
      </c>
      <c r="I65" s="14"/>
      <c r="J65" s="17"/>
      <c r="K65" s="9"/>
      <c r="L65" s="15" t="s">
        <v>50</v>
      </c>
      <c r="M65" s="16" t="s">
        <v>131</v>
      </c>
      <c r="N65" s="14" t="s">
        <v>312</v>
      </c>
      <c r="O65" s="15" t="s">
        <v>52</v>
      </c>
      <c r="P65" s="10" t="s">
        <v>333</v>
      </c>
      <c r="Q65" s="9"/>
      <c r="R65" s="18" t="s">
        <v>131</v>
      </c>
      <c r="S65" s="19" t="s">
        <v>312</v>
      </c>
      <c r="T65" s="17" t="str">
        <f aca="false">IF(R65="維持",J65,IF(R65="排除","無關新聞事件",IFERROR(INDEX(事件規則!$B$2:$B$53,MATCH(S65,事件規則!$A$2:$A$53,0)),"")))</f>
        <v>重大產品瑕疵</v>
      </c>
      <c r="U65" s="20" t="n">
        <f aca="false">IF(R65="維持",K65,IF(R65="排除",0,IFERROR(INDEX(事件規則!$C$2:$C$53,MATCH(S65,事件規則!$A$2:$A$53,0)),"")))</f>
        <v>3</v>
      </c>
      <c r="V65" s="21"/>
      <c r="W65" s="22"/>
      <c r="X65" s="10" t="str">
        <f aca="false">IF(AND(R65="修改",S65=""),"請選新事件代碼",IF(AND(R65&lt;&gt;"修改",S65&lt;&gt;""),"只有「修改」才需填代碼",""))</f>
        <v/>
      </c>
      <c r="Y65" s="21"/>
      <c r="Z65" s="22"/>
      <c r="AA65" s="12" t="s">
        <v>334</v>
      </c>
      <c r="AB65" s="12"/>
    </row>
    <row r="66" customFormat="false" ht="29.85" hidden="false" customHeight="false" outlineLevel="0" collapsed="false">
      <c r="A66" s="15" t="n">
        <v>65</v>
      </c>
      <c r="B66" s="9" t="s">
        <v>55</v>
      </c>
      <c r="C66" s="9" t="s">
        <v>46</v>
      </c>
      <c r="D66" s="10" t="s">
        <v>47</v>
      </c>
      <c r="E66" s="11" t="s">
        <v>335</v>
      </c>
      <c r="F66" s="17"/>
      <c r="G66" s="12" t="s">
        <v>59</v>
      </c>
      <c r="H66" s="13" t="n">
        <v>-0.418</v>
      </c>
      <c r="I66" s="14"/>
      <c r="J66" s="17"/>
      <c r="K66" s="9"/>
      <c r="L66" s="15" t="s">
        <v>50</v>
      </c>
      <c r="M66" s="16" t="s">
        <v>51</v>
      </c>
      <c r="N66" s="14"/>
      <c r="O66" s="15" t="s">
        <v>52</v>
      </c>
      <c r="P66" s="17" t="s">
        <v>53</v>
      </c>
      <c r="Q66" s="9"/>
      <c r="R66" s="18" t="s">
        <v>51</v>
      </c>
      <c r="S66" s="19"/>
      <c r="T66" s="17" t="str">
        <f aca="false">IF(R66="維持",J66,IF(R66="排除","無關新聞事件",IFERROR(INDEX(事件規則!$B$2:$B$53,MATCH(S66,事件規則!$A$2:$A$53,0)),"")))</f>
        <v>無關新聞事件</v>
      </c>
      <c r="U66" s="20" t="n">
        <f aca="false">IF(R66="維持",K66,IF(R66="排除",0,IFERROR(INDEX(事件規則!$C$2:$C$53,MATCH(S66,事件規則!$A$2:$A$53,0)),"")))</f>
        <v>0</v>
      </c>
      <c r="V66" s="21"/>
      <c r="W66" s="22"/>
      <c r="X66" s="10" t="str">
        <f aca="false">IF(AND(R66="修改",S66=""),"請選新事件代碼",IF(AND(R66&lt;&gt;"修改",S66&lt;&gt;""),"只有「修改」才需填代碼",""))</f>
        <v/>
      </c>
      <c r="Y66" s="21"/>
      <c r="Z66" s="22"/>
      <c r="AA66" s="12" t="s">
        <v>336</v>
      </c>
      <c r="AB66" s="12"/>
    </row>
    <row r="67" customFormat="false" ht="29.85" hidden="false" customHeight="false" outlineLevel="0" collapsed="false">
      <c r="A67" s="15" t="n">
        <v>66</v>
      </c>
      <c r="B67" s="9" t="s">
        <v>112</v>
      </c>
      <c r="C67" s="9" t="s">
        <v>284</v>
      </c>
      <c r="D67" s="10" t="s">
        <v>285</v>
      </c>
      <c r="E67" s="11" t="s">
        <v>337</v>
      </c>
      <c r="F67" s="17"/>
      <c r="G67" s="12" t="s">
        <v>338</v>
      </c>
      <c r="H67" s="13" t="n">
        <v>-0.418</v>
      </c>
      <c r="I67" s="14"/>
      <c r="J67" s="17"/>
      <c r="K67" s="9"/>
      <c r="L67" s="15" t="s">
        <v>50</v>
      </c>
      <c r="M67" s="16" t="s">
        <v>51</v>
      </c>
      <c r="N67" s="14"/>
      <c r="O67" s="15" t="s">
        <v>52</v>
      </c>
      <c r="P67" s="17" t="s">
        <v>53</v>
      </c>
      <c r="Q67" s="9"/>
      <c r="R67" s="18" t="s">
        <v>51</v>
      </c>
      <c r="S67" s="19"/>
      <c r="T67" s="17" t="str">
        <f aca="false">IF(R67="維持",J67,IF(R67="排除","無關新聞事件",IFERROR(INDEX(事件規則!$B$2:$B$53,MATCH(S67,事件規則!$A$2:$A$53,0)),"")))</f>
        <v>無關新聞事件</v>
      </c>
      <c r="U67" s="20" t="n">
        <f aca="false">IF(R67="維持",K67,IF(R67="排除",0,IFERROR(INDEX(事件規則!$C$2:$C$53,MATCH(S67,事件規則!$A$2:$A$53,0)),"")))</f>
        <v>0</v>
      </c>
      <c r="V67" s="21"/>
      <c r="W67" s="22"/>
      <c r="X67" s="10" t="str">
        <f aca="false">IF(AND(R67="修改",S67=""),"請選新事件代碼",IF(AND(R67&lt;&gt;"修改",S67&lt;&gt;""),"只有「修改」才需填代碼",""))</f>
        <v/>
      </c>
      <c r="Y67" s="21"/>
      <c r="Z67" s="22"/>
      <c r="AA67" s="12" t="s">
        <v>339</v>
      </c>
      <c r="AB67" s="12"/>
    </row>
    <row r="68" customFormat="false" ht="23.85" hidden="false" customHeight="false" outlineLevel="0" collapsed="false">
      <c r="A68" s="15" t="n">
        <v>67</v>
      </c>
      <c r="B68" s="9" t="s">
        <v>112</v>
      </c>
      <c r="C68" s="9" t="s">
        <v>340</v>
      </c>
      <c r="D68" s="10" t="s">
        <v>341</v>
      </c>
      <c r="E68" s="11" t="s">
        <v>331</v>
      </c>
      <c r="F68" s="17"/>
      <c r="G68" s="12" t="s">
        <v>332</v>
      </c>
      <c r="H68" s="13" t="n">
        <v>-0.418</v>
      </c>
      <c r="I68" s="14"/>
      <c r="J68" s="17"/>
      <c r="K68" s="9"/>
      <c r="L68" s="15" t="s">
        <v>50</v>
      </c>
      <c r="M68" s="16" t="s">
        <v>131</v>
      </c>
      <c r="N68" s="14" t="s">
        <v>312</v>
      </c>
      <c r="O68" s="15" t="s">
        <v>52</v>
      </c>
      <c r="P68" s="10" t="s">
        <v>333</v>
      </c>
      <c r="Q68" s="9"/>
      <c r="R68" s="18" t="s">
        <v>131</v>
      </c>
      <c r="S68" s="19" t="s">
        <v>312</v>
      </c>
      <c r="T68" s="17" t="str">
        <f aca="false">IF(R68="維持",J68,IF(R68="排除","無關新聞事件",IFERROR(INDEX(事件規則!$B$2:$B$53,MATCH(S68,事件規則!$A$2:$A$53,0)),"")))</f>
        <v>重大產品瑕疵</v>
      </c>
      <c r="U68" s="20" t="n">
        <f aca="false">IF(R68="維持",K68,IF(R68="排除",0,IFERROR(INDEX(事件規則!$C$2:$C$53,MATCH(S68,事件規則!$A$2:$A$53,0)),"")))</f>
        <v>3</v>
      </c>
      <c r="V68" s="21" t="s">
        <v>342</v>
      </c>
      <c r="W68" s="22" t="s">
        <v>329</v>
      </c>
      <c r="X68" s="10" t="str">
        <f aca="false">IF(AND(R68="修改",S68=""),"請選新事件代碼",IF(AND(R68&lt;&gt;"修改",S68&lt;&gt;""),"只有「修改」才需填代碼",""))</f>
        <v/>
      </c>
      <c r="Y68" s="21"/>
      <c r="Z68" s="22"/>
      <c r="AA68" s="12" t="s">
        <v>343</v>
      </c>
      <c r="AB68" s="12"/>
    </row>
    <row r="69" customFormat="false" ht="29.85" hidden="false" customHeight="false" outlineLevel="0" collapsed="false">
      <c r="A69" s="15" t="n">
        <v>68</v>
      </c>
      <c r="B69" s="9" t="s">
        <v>112</v>
      </c>
      <c r="C69" s="9" t="s">
        <v>344</v>
      </c>
      <c r="D69" s="10" t="s">
        <v>345</v>
      </c>
      <c r="E69" s="11" t="s">
        <v>346</v>
      </c>
      <c r="F69" s="17"/>
      <c r="G69" s="12" t="s">
        <v>347</v>
      </c>
      <c r="H69" s="13" t="n">
        <v>-0.418</v>
      </c>
      <c r="I69" s="14"/>
      <c r="J69" s="17"/>
      <c r="K69" s="9"/>
      <c r="L69" s="15" t="s">
        <v>50</v>
      </c>
      <c r="M69" s="16" t="s">
        <v>51</v>
      </c>
      <c r="N69" s="14"/>
      <c r="O69" s="15" t="s">
        <v>52</v>
      </c>
      <c r="P69" s="17" t="s">
        <v>53</v>
      </c>
      <c r="Q69" s="9"/>
      <c r="R69" s="18" t="s">
        <v>51</v>
      </c>
      <c r="S69" s="19"/>
      <c r="T69" s="17" t="str">
        <f aca="false">IF(R69="維持",J69,IF(R69="排除","無關新聞事件",IFERROR(INDEX(事件規則!$B$2:$B$53,MATCH(S69,事件規則!$A$2:$A$53,0)),"")))</f>
        <v>無關新聞事件</v>
      </c>
      <c r="U69" s="20" t="n">
        <f aca="false">IF(R69="維持",K69,IF(R69="排除",0,IFERROR(INDEX(事件規則!$C$2:$C$53,MATCH(S69,事件規則!$A$2:$A$53,0)),"")))</f>
        <v>0</v>
      </c>
      <c r="V69" s="21"/>
      <c r="W69" s="22"/>
      <c r="X69" s="10" t="str">
        <f aca="false">IF(AND(R69="修改",S69=""),"請選新事件代碼",IF(AND(R69&lt;&gt;"修改",S69&lt;&gt;""),"只有「修改」才需填代碼",""))</f>
        <v/>
      </c>
      <c r="Y69" s="21"/>
      <c r="Z69" s="22"/>
      <c r="AA69" s="12" t="s">
        <v>348</v>
      </c>
      <c r="AB69" s="12"/>
    </row>
    <row r="70" customFormat="false" ht="29.85" hidden="false" customHeight="false" outlineLevel="0" collapsed="false">
      <c r="A70" s="15" t="n">
        <v>69</v>
      </c>
      <c r="B70" s="9" t="s">
        <v>112</v>
      </c>
      <c r="C70" s="9" t="s">
        <v>349</v>
      </c>
      <c r="D70" s="10" t="s">
        <v>350</v>
      </c>
      <c r="E70" s="11" t="s">
        <v>351</v>
      </c>
      <c r="F70" s="17"/>
      <c r="G70" s="12" t="s">
        <v>49</v>
      </c>
      <c r="H70" s="13" t="n">
        <v>-0.414</v>
      </c>
      <c r="I70" s="14"/>
      <c r="J70" s="17"/>
      <c r="K70" s="9"/>
      <c r="L70" s="15" t="s">
        <v>50</v>
      </c>
      <c r="M70" s="16" t="s">
        <v>51</v>
      </c>
      <c r="N70" s="14"/>
      <c r="O70" s="15" t="s">
        <v>52</v>
      </c>
      <c r="P70" s="17" t="s">
        <v>53</v>
      </c>
      <c r="Q70" s="9"/>
      <c r="R70" s="18" t="s">
        <v>51</v>
      </c>
      <c r="S70" s="19"/>
      <c r="T70" s="17" t="str">
        <f aca="false">IF(R70="維持",J70,IF(R70="排除","無關新聞事件",IFERROR(INDEX(事件規則!$B$2:$B$53,MATCH(S70,事件規則!$A$2:$A$53,0)),"")))</f>
        <v>無關新聞事件</v>
      </c>
      <c r="U70" s="20" t="n">
        <f aca="false">IF(R70="維持",K70,IF(R70="排除",0,IFERROR(INDEX(事件規則!$C$2:$C$53,MATCH(S70,事件規則!$A$2:$A$53,0)),"")))</f>
        <v>0</v>
      </c>
      <c r="V70" s="21"/>
      <c r="W70" s="22"/>
      <c r="X70" s="10" t="str">
        <f aca="false">IF(AND(R70="修改",S70=""),"請選新事件代碼",IF(AND(R70&lt;&gt;"修改",S70&lt;&gt;""),"只有「修改」才需填代碼",""))</f>
        <v/>
      </c>
      <c r="Y70" s="21"/>
      <c r="Z70" s="22"/>
      <c r="AA70" s="12" t="s">
        <v>352</v>
      </c>
      <c r="AB70" s="12"/>
    </row>
    <row r="71" customFormat="false" ht="29.85" hidden="false" customHeight="false" outlineLevel="0" collapsed="false">
      <c r="A71" s="15" t="n">
        <v>70</v>
      </c>
      <c r="B71" s="9" t="s">
        <v>112</v>
      </c>
      <c r="C71" s="9" t="s">
        <v>294</v>
      </c>
      <c r="D71" s="10" t="s">
        <v>295</v>
      </c>
      <c r="E71" s="11" t="s">
        <v>353</v>
      </c>
      <c r="F71" s="17"/>
      <c r="G71" s="12" t="s">
        <v>297</v>
      </c>
      <c r="H71" s="13" t="n">
        <v>-0.414</v>
      </c>
      <c r="I71" s="14"/>
      <c r="J71" s="17"/>
      <c r="K71" s="9"/>
      <c r="L71" s="15" t="s">
        <v>50</v>
      </c>
      <c r="M71" s="16" t="s">
        <v>51</v>
      </c>
      <c r="N71" s="14"/>
      <c r="O71" s="15" t="s">
        <v>52</v>
      </c>
      <c r="P71" s="17" t="s">
        <v>53</v>
      </c>
      <c r="Q71" s="9"/>
      <c r="R71" s="18" t="s">
        <v>51</v>
      </c>
      <c r="S71" s="19"/>
      <c r="T71" s="17" t="str">
        <f aca="false">IF(R71="維持",J71,IF(R71="排除","無關新聞事件",IFERROR(INDEX(事件規則!$B$2:$B$53,MATCH(S71,事件規則!$A$2:$A$53,0)),"")))</f>
        <v>無關新聞事件</v>
      </c>
      <c r="U71" s="20" t="n">
        <f aca="false">IF(R71="維持",K71,IF(R71="排除",0,IFERROR(INDEX(事件規則!$C$2:$C$53,MATCH(S71,事件規則!$A$2:$A$53,0)),"")))</f>
        <v>0</v>
      </c>
      <c r="V71" s="21"/>
      <c r="W71" s="22"/>
      <c r="X71" s="10" t="str">
        <f aca="false">IF(AND(R71="修改",S71=""),"請選新事件代碼",IF(AND(R71&lt;&gt;"修改",S71&lt;&gt;""),"只有「修改」才需填代碼",""))</f>
        <v/>
      </c>
      <c r="Y71" s="21"/>
      <c r="Z71" s="22"/>
      <c r="AA71" s="12" t="s">
        <v>354</v>
      </c>
      <c r="AB71" s="12"/>
    </row>
    <row r="72" customFormat="false" ht="29.85" hidden="false" customHeight="false" outlineLevel="0" collapsed="false">
      <c r="A72" s="15" t="n">
        <v>71</v>
      </c>
      <c r="B72" s="9" t="s">
        <v>45</v>
      </c>
      <c r="C72" s="9" t="s">
        <v>355</v>
      </c>
      <c r="D72" s="10" t="s">
        <v>356</v>
      </c>
      <c r="E72" s="11" t="s">
        <v>357</v>
      </c>
      <c r="F72" s="17"/>
      <c r="G72" s="12" t="s">
        <v>358</v>
      </c>
      <c r="H72" s="13" t="n">
        <v>-0.413</v>
      </c>
      <c r="I72" s="14"/>
      <c r="J72" s="17"/>
      <c r="K72" s="9"/>
      <c r="L72" s="15" t="s">
        <v>50</v>
      </c>
      <c r="M72" s="16" t="s">
        <v>51</v>
      </c>
      <c r="N72" s="14"/>
      <c r="O72" s="15" t="s">
        <v>52</v>
      </c>
      <c r="P72" s="17" t="s">
        <v>53</v>
      </c>
      <c r="Q72" s="9"/>
      <c r="R72" s="18" t="s">
        <v>51</v>
      </c>
      <c r="S72" s="19"/>
      <c r="T72" s="17" t="str">
        <f aca="false">IF(R72="維持",J72,IF(R72="排除","無關新聞事件",IFERROR(INDEX(事件規則!$B$2:$B$53,MATCH(S72,事件規則!$A$2:$A$53,0)),"")))</f>
        <v>無關新聞事件</v>
      </c>
      <c r="U72" s="20" t="n">
        <f aca="false">IF(R72="維持",K72,IF(R72="排除",0,IFERROR(INDEX(事件規則!$C$2:$C$53,MATCH(S72,事件規則!$A$2:$A$53,0)),"")))</f>
        <v>0</v>
      </c>
      <c r="V72" s="21"/>
      <c r="W72" s="22"/>
      <c r="X72" s="10" t="str">
        <f aca="false">IF(AND(R72="修改",S72=""),"請選新事件代碼",IF(AND(R72&lt;&gt;"修改",S72&lt;&gt;""),"只有「修改」才需填代碼",""))</f>
        <v/>
      </c>
      <c r="Y72" s="21"/>
      <c r="Z72" s="22"/>
      <c r="AA72" s="12" t="s">
        <v>359</v>
      </c>
      <c r="AB72" s="12"/>
    </row>
    <row r="73" customFormat="false" ht="29.85" hidden="false" customHeight="false" outlineLevel="0" collapsed="false">
      <c r="A73" s="15" t="n">
        <v>72</v>
      </c>
      <c r="B73" s="9" t="s">
        <v>45</v>
      </c>
      <c r="C73" s="9" t="s">
        <v>360</v>
      </c>
      <c r="D73" s="10" t="s">
        <v>361</v>
      </c>
      <c r="E73" s="11" t="s">
        <v>362</v>
      </c>
      <c r="F73" s="17"/>
      <c r="G73" s="12" t="s">
        <v>238</v>
      </c>
      <c r="H73" s="13" t="n">
        <v>-0.402</v>
      </c>
      <c r="I73" s="14"/>
      <c r="J73" s="17"/>
      <c r="K73" s="9"/>
      <c r="L73" s="15" t="s">
        <v>50</v>
      </c>
      <c r="M73" s="16" t="s">
        <v>51</v>
      </c>
      <c r="N73" s="14"/>
      <c r="O73" s="15" t="s">
        <v>52</v>
      </c>
      <c r="P73" s="17" t="s">
        <v>53</v>
      </c>
      <c r="Q73" s="9"/>
      <c r="R73" s="18" t="s">
        <v>51</v>
      </c>
      <c r="S73" s="19"/>
      <c r="T73" s="17" t="str">
        <f aca="false">IF(R73="維持",J73,IF(R73="排除","無關新聞事件",IFERROR(INDEX(事件規則!$B$2:$B$53,MATCH(S73,事件規則!$A$2:$A$53,0)),"")))</f>
        <v>無關新聞事件</v>
      </c>
      <c r="U73" s="20" t="n">
        <f aca="false">IF(R73="維持",K73,IF(R73="排除",0,IFERROR(INDEX(事件規則!$C$2:$C$53,MATCH(S73,事件規則!$A$2:$A$53,0)),"")))</f>
        <v>0</v>
      </c>
      <c r="V73" s="21"/>
      <c r="W73" s="22"/>
      <c r="X73" s="10" t="str">
        <f aca="false">IF(AND(R73="修改",S73=""),"請選新事件代碼",IF(AND(R73&lt;&gt;"修改",S73&lt;&gt;""),"只有「修改」才需填代碼",""))</f>
        <v/>
      </c>
      <c r="Y73" s="21"/>
      <c r="Z73" s="22"/>
      <c r="AA73" s="12" t="s">
        <v>363</v>
      </c>
      <c r="AB73" s="12"/>
    </row>
    <row r="74" customFormat="false" ht="29.85" hidden="false" customHeight="false" outlineLevel="0" collapsed="false">
      <c r="A74" s="15" t="n">
        <v>73</v>
      </c>
      <c r="B74" s="9" t="s">
        <v>45</v>
      </c>
      <c r="C74" s="9" t="s">
        <v>76</v>
      </c>
      <c r="D74" s="10" t="s">
        <v>77</v>
      </c>
      <c r="E74" s="11" t="s">
        <v>364</v>
      </c>
      <c r="F74" s="17"/>
      <c r="G74" s="12" t="s">
        <v>365</v>
      </c>
      <c r="H74" s="13" t="n">
        <v>-0.401</v>
      </c>
      <c r="I74" s="14"/>
      <c r="J74" s="17"/>
      <c r="K74" s="9"/>
      <c r="L74" s="15" t="s">
        <v>50</v>
      </c>
      <c r="M74" s="16" t="s">
        <v>51</v>
      </c>
      <c r="N74" s="14"/>
      <c r="O74" s="15" t="s">
        <v>52</v>
      </c>
      <c r="P74" s="17" t="s">
        <v>53</v>
      </c>
      <c r="Q74" s="9"/>
      <c r="R74" s="18" t="s">
        <v>51</v>
      </c>
      <c r="S74" s="19"/>
      <c r="T74" s="17" t="str">
        <f aca="false">IF(R74="維持",J74,IF(R74="排除","無關新聞事件",IFERROR(INDEX(事件規則!$B$2:$B$53,MATCH(S74,事件規則!$A$2:$A$53,0)),"")))</f>
        <v>無關新聞事件</v>
      </c>
      <c r="U74" s="20" t="n">
        <f aca="false">IF(R74="維持",K74,IF(R74="排除",0,IFERROR(INDEX(事件規則!$C$2:$C$53,MATCH(S74,事件規則!$A$2:$A$53,0)),"")))</f>
        <v>0</v>
      </c>
      <c r="V74" s="21"/>
      <c r="W74" s="22"/>
      <c r="X74" s="10" t="str">
        <f aca="false">IF(AND(R74="修改",S74=""),"請選新事件代碼",IF(AND(R74&lt;&gt;"修改",S74&lt;&gt;""),"只有「修改」才需填代碼",""))</f>
        <v/>
      </c>
      <c r="Y74" s="21"/>
      <c r="Z74" s="22"/>
      <c r="AA74" s="12" t="s">
        <v>366</v>
      </c>
      <c r="AB74" s="12"/>
    </row>
    <row r="75" customFormat="false" ht="29.85" hidden="false" customHeight="false" outlineLevel="0" collapsed="false">
      <c r="A75" s="15" t="n">
        <v>74</v>
      </c>
      <c r="B75" s="9" t="s">
        <v>112</v>
      </c>
      <c r="C75" s="9" t="s">
        <v>46</v>
      </c>
      <c r="D75" s="10" t="s">
        <v>47</v>
      </c>
      <c r="E75" s="11" t="s">
        <v>367</v>
      </c>
      <c r="F75" s="17"/>
      <c r="G75" s="12" t="s">
        <v>368</v>
      </c>
      <c r="H75" s="13" t="n">
        <v>-0.4</v>
      </c>
      <c r="I75" s="14"/>
      <c r="J75" s="17"/>
      <c r="K75" s="9"/>
      <c r="L75" s="15" t="s">
        <v>50</v>
      </c>
      <c r="M75" s="16" t="s">
        <v>51</v>
      </c>
      <c r="N75" s="14"/>
      <c r="O75" s="15" t="s">
        <v>52</v>
      </c>
      <c r="P75" s="17" t="s">
        <v>53</v>
      </c>
      <c r="Q75" s="9"/>
      <c r="R75" s="18" t="s">
        <v>51</v>
      </c>
      <c r="S75" s="19"/>
      <c r="T75" s="17" t="str">
        <f aca="false">IF(R75="維持",J75,IF(R75="排除","無關新聞事件",IFERROR(INDEX(事件規則!$B$2:$B$53,MATCH(S75,事件規則!$A$2:$A$53,0)),"")))</f>
        <v>無關新聞事件</v>
      </c>
      <c r="U75" s="20" t="n">
        <f aca="false">IF(R75="維持",K75,IF(R75="排除",0,IFERROR(INDEX(事件規則!$C$2:$C$53,MATCH(S75,事件規則!$A$2:$A$53,0)),"")))</f>
        <v>0</v>
      </c>
      <c r="V75" s="21"/>
      <c r="W75" s="22"/>
      <c r="X75" s="10" t="str">
        <f aca="false">IF(AND(R75="修改",S75=""),"請選新事件代碼",IF(AND(R75&lt;&gt;"修改",S75&lt;&gt;""),"只有「修改」才需填代碼",""))</f>
        <v/>
      </c>
      <c r="Y75" s="21"/>
      <c r="Z75" s="22"/>
      <c r="AA75" s="12" t="s">
        <v>369</v>
      </c>
      <c r="AB75" s="12"/>
    </row>
    <row r="76" customFormat="false" ht="29.85" hidden="false" customHeight="false" outlineLevel="0" collapsed="false">
      <c r="A76" s="15" t="n">
        <v>75</v>
      </c>
      <c r="B76" s="9" t="s">
        <v>55</v>
      </c>
      <c r="C76" s="9" t="s">
        <v>92</v>
      </c>
      <c r="D76" s="10" t="s">
        <v>93</v>
      </c>
      <c r="E76" s="11" t="s">
        <v>370</v>
      </c>
      <c r="F76" s="17"/>
      <c r="G76" s="12" t="s">
        <v>371</v>
      </c>
      <c r="H76" s="13" t="n">
        <v>-0.4</v>
      </c>
      <c r="I76" s="14"/>
      <c r="J76" s="17"/>
      <c r="K76" s="9"/>
      <c r="L76" s="15" t="s">
        <v>50</v>
      </c>
      <c r="M76" s="16" t="s">
        <v>51</v>
      </c>
      <c r="N76" s="14"/>
      <c r="O76" s="15" t="s">
        <v>52</v>
      </c>
      <c r="P76" s="17" t="s">
        <v>53</v>
      </c>
      <c r="Q76" s="9"/>
      <c r="R76" s="18" t="s">
        <v>51</v>
      </c>
      <c r="S76" s="19"/>
      <c r="T76" s="17" t="str">
        <f aca="false">IF(R76="維持",J76,IF(R76="排除","無關新聞事件",IFERROR(INDEX(事件規則!$B$2:$B$53,MATCH(S76,事件規則!$A$2:$A$53,0)),"")))</f>
        <v>無關新聞事件</v>
      </c>
      <c r="U76" s="20" t="n">
        <f aca="false">IF(R76="維持",K76,IF(R76="排除",0,IFERROR(INDEX(事件規則!$C$2:$C$53,MATCH(S76,事件規則!$A$2:$A$53,0)),"")))</f>
        <v>0</v>
      </c>
      <c r="V76" s="21"/>
      <c r="W76" s="22"/>
      <c r="X76" s="10" t="str">
        <f aca="false">IF(AND(R76="修改",S76=""),"請選新事件代碼",IF(AND(R76&lt;&gt;"修改",S76&lt;&gt;""),"只有「修改」才需填代碼",""))</f>
        <v/>
      </c>
      <c r="Y76" s="21"/>
      <c r="Z76" s="22"/>
      <c r="AA76" s="12" t="s">
        <v>372</v>
      </c>
      <c r="AB76" s="12"/>
    </row>
    <row r="77" customFormat="false" ht="29.85" hidden="false" customHeight="false" outlineLevel="0" collapsed="false">
      <c r="A77" s="15" t="n">
        <v>76</v>
      </c>
      <c r="B77" s="9" t="s">
        <v>112</v>
      </c>
      <c r="C77" s="9" t="s">
        <v>76</v>
      </c>
      <c r="D77" s="10" t="s">
        <v>77</v>
      </c>
      <c r="E77" s="11" t="s">
        <v>373</v>
      </c>
      <c r="F77" s="17"/>
      <c r="G77" s="12" t="s">
        <v>374</v>
      </c>
      <c r="H77" s="13" t="n">
        <v>-0.4</v>
      </c>
      <c r="I77" s="14"/>
      <c r="J77" s="17"/>
      <c r="K77" s="9"/>
      <c r="L77" s="15" t="s">
        <v>50</v>
      </c>
      <c r="M77" s="16" t="s">
        <v>51</v>
      </c>
      <c r="N77" s="14"/>
      <c r="O77" s="15" t="s">
        <v>52</v>
      </c>
      <c r="P77" s="17" t="s">
        <v>53</v>
      </c>
      <c r="Q77" s="9"/>
      <c r="R77" s="18" t="s">
        <v>51</v>
      </c>
      <c r="S77" s="19"/>
      <c r="T77" s="17" t="str">
        <f aca="false">IF(R77="維持",J77,IF(R77="排除","無關新聞事件",IFERROR(INDEX(事件規則!$B$2:$B$53,MATCH(S77,事件規則!$A$2:$A$53,0)),"")))</f>
        <v>無關新聞事件</v>
      </c>
      <c r="U77" s="20" t="n">
        <f aca="false">IF(R77="維持",K77,IF(R77="排除",0,IFERROR(INDEX(事件規則!$C$2:$C$53,MATCH(S77,事件規則!$A$2:$A$53,0)),"")))</f>
        <v>0</v>
      </c>
      <c r="V77" s="21"/>
      <c r="W77" s="22"/>
      <c r="X77" s="10" t="str">
        <f aca="false">IF(AND(R77="修改",S77=""),"請選新事件代碼",IF(AND(R77&lt;&gt;"修改",S77&lt;&gt;""),"只有「修改」才需填代碼",""))</f>
        <v/>
      </c>
      <c r="Y77" s="21"/>
      <c r="Z77" s="22"/>
      <c r="AA77" s="12" t="s">
        <v>375</v>
      </c>
      <c r="AB77" s="12"/>
    </row>
    <row r="78" customFormat="false" ht="29.85" hidden="false" customHeight="false" outlineLevel="0" collapsed="false">
      <c r="A78" s="15" t="n">
        <v>77</v>
      </c>
      <c r="B78" s="9" t="s">
        <v>112</v>
      </c>
      <c r="C78" s="9" t="s">
        <v>268</v>
      </c>
      <c r="D78" s="10" t="s">
        <v>269</v>
      </c>
      <c r="E78" s="11" t="s">
        <v>376</v>
      </c>
      <c r="F78" s="17"/>
      <c r="G78" s="12" t="s">
        <v>377</v>
      </c>
      <c r="H78" s="13" t="n">
        <v>-0.398</v>
      </c>
      <c r="I78" s="14"/>
      <c r="J78" s="17"/>
      <c r="K78" s="9"/>
      <c r="L78" s="15" t="s">
        <v>50</v>
      </c>
      <c r="M78" s="16" t="s">
        <v>51</v>
      </c>
      <c r="N78" s="14"/>
      <c r="O78" s="15" t="s">
        <v>52</v>
      </c>
      <c r="P78" s="17" t="s">
        <v>53</v>
      </c>
      <c r="Q78" s="9"/>
      <c r="R78" s="18" t="s">
        <v>51</v>
      </c>
      <c r="S78" s="19"/>
      <c r="T78" s="17" t="str">
        <f aca="false">IF(R78="維持",J78,IF(R78="排除","無關新聞事件",IFERROR(INDEX(事件規則!$B$2:$B$53,MATCH(S78,事件規則!$A$2:$A$53,0)),"")))</f>
        <v>無關新聞事件</v>
      </c>
      <c r="U78" s="20" t="n">
        <f aca="false">IF(R78="維持",K78,IF(R78="排除",0,IFERROR(INDEX(事件規則!$C$2:$C$53,MATCH(S78,事件規則!$A$2:$A$53,0)),"")))</f>
        <v>0</v>
      </c>
      <c r="V78" s="21"/>
      <c r="W78" s="22"/>
      <c r="X78" s="10" t="str">
        <f aca="false">IF(AND(R78="修改",S78=""),"請選新事件代碼",IF(AND(R78&lt;&gt;"修改",S78&lt;&gt;""),"只有「修改」才需填代碼",""))</f>
        <v/>
      </c>
      <c r="Y78" s="21"/>
      <c r="Z78" s="22"/>
      <c r="AA78" s="12" t="s">
        <v>378</v>
      </c>
      <c r="AB78" s="12"/>
    </row>
    <row r="79" customFormat="false" ht="29.85" hidden="false" customHeight="false" outlineLevel="0" collapsed="false">
      <c r="A79" s="15" t="n">
        <v>78</v>
      </c>
      <c r="B79" s="9" t="s">
        <v>112</v>
      </c>
      <c r="C79" s="9" t="s">
        <v>379</v>
      </c>
      <c r="D79" s="10" t="s">
        <v>380</v>
      </c>
      <c r="E79" s="11" t="s">
        <v>381</v>
      </c>
      <c r="F79" s="17"/>
      <c r="G79" s="12" t="s">
        <v>382</v>
      </c>
      <c r="H79" s="13" t="n">
        <v>-0.395</v>
      </c>
      <c r="I79" s="14"/>
      <c r="J79" s="17"/>
      <c r="K79" s="9"/>
      <c r="L79" s="15" t="s">
        <v>50</v>
      </c>
      <c r="M79" s="16" t="s">
        <v>51</v>
      </c>
      <c r="N79" s="14"/>
      <c r="O79" s="15" t="s">
        <v>52</v>
      </c>
      <c r="P79" s="17" t="s">
        <v>53</v>
      </c>
      <c r="Q79" s="9"/>
      <c r="R79" s="18" t="s">
        <v>51</v>
      </c>
      <c r="S79" s="19"/>
      <c r="T79" s="17" t="str">
        <f aca="false">IF(R79="維持",J79,IF(R79="排除","無關新聞事件",IFERROR(INDEX(事件規則!$B$2:$B$53,MATCH(S79,事件規則!$A$2:$A$53,0)),"")))</f>
        <v>無關新聞事件</v>
      </c>
      <c r="U79" s="20" t="n">
        <f aca="false">IF(R79="維持",K79,IF(R79="排除",0,IFERROR(INDEX(事件規則!$C$2:$C$53,MATCH(S79,事件規則!$A$2:$A$53,0)),"")))</f>
        <v>0</v>
      </c>
      <c r="V79" s="21"/>
      <c r="W79" s="22"/>
      <c r="X79" s="10" t="str">
        <f aca="false">IF(AND(R79="修改",S79=""),"請選新事件代碼",IF(AND(R79&lt;&gt;"修改",S79&lt;&gt;""),"只有「修改」才需填代碼",""))</f>
        <v/>
      </c>
      <c r="Y79" s="21"/>
      <c r="Z79" s="22"/>
      <c r="AA79" s="12" t="s">
        <v>383</v>
      </c>
      <c r="AB79" s="12"/>
    </row>
    <row r="80" customFormat="false" ht="15" hidden="false" customHeight="false" outlineLevel="0" collapsed="false">
      <c r="A80" s="15" t="n">
        <v>79</v>
      </c>
      <c r="B80" s="9" t="s">
        <v>45</v>
      </c>
      <c r="C80" s="9" t="s">
        <v>232</v>
      </c>
      <c r="D80" s="10" t="s">
        <v>233</v>
      </c>
      <c r="E80" s="11" t="s">
        <v>384</v>
      </c>
      <c r="F80" s="17"/>
      <c r="G80" s="12" t="s">
        <v>385</v>
      </c>
      <c r="H80" s="13" t="n">
        <v>-0.393</v>
      </c>
      <c r="I80" s="14"/>
      <c r="J80" s="17"/>
      <c r="K80" s="9"/>
      <c r="L80" s="15" t="s">
        <v>50</v>
      </c>
      <c r="M80" s="16" t="s">
        <v>131</v>
      </c>
      <c r="N80" s="14" t="s">
        <v>312</v>
      </c>
      <c r="O80" s="15" t="s">
        <v>386</v>
      </c>
      <c r="P80" s="10" t="s">
        <v>387</v>
      </c>
      <c r="Q80" s="15" t="s">
        <v>388</v>
      </c>
      <c r="R80" s="18" t="s">
        <v>131</v>
      </c>
      <c r="S80" s="19" t="s">
        <v>312</v>
      </c>
      <c r="T80" s="17" t="str">
        <f aca="false">IF(R80="維持",J80,IF(R80="排除","無關新聞事件",IFERROR(INDEX(事件規則!$B$2:$B$53,MATCH(S80,事件規則!$A$2:$A$53,0)),"")))</f>
        <v>重大產品瑕疵</v>
      </c>
      <c r="U80" s="20" t="n">
        <f aca="false">IF(R80="維持",K80,IF(R80="排除",0,IFERROR(INDEX(事件規則!$C$2:$C$53,MATCH(S80,事件規則!$A$2:$A$53,0)),"")))</f>
        <v>3</v>
      </c>
      <c r="V80" s="21"/>
      <c r="W80" s="22"/>
      <c r="X80" s="10" t="str">
        <f aca="false">IF(AND(R80="修改",S80=""),"請選新事件代碼",IF(AND(R80&lt;&gt;"修改",S80&lt;&gt;""),"只有「修改」才需填代碼",""))</f>
        <v/>
      </c>
      <c r="Y80" s="21"/>
      <c r="Z80" s="22"/>
      <c r="AA80" s="12" t="s">
        <v>389</v>
      </c>
      <c r="AB80" s="12"/>
    </row>
    <row r="81" customFormat="false" ht="23.85" hidden="false" customHeight="false" outlineLevel="0" collapsed="false">
      <c r="A81" s="15" t="n">
        <v>80</v>
      </c>
      <c r="B81" s="9" t="s">
        <v>45</v>
      </c>
      <c r="C81" s="9" t="s">
        <v>344</v>
      </c>
      <c r="D81" s="10" t="s">
        <v>345</v>
      </c>
      <c r="E81" s="11" t="s">
        <v>390</v>
      </c>
      <c r="F81" s="17"/>
      <c r="G81" s="12" t="s">
        <v>49</v>
      </c>
      <c r="H81" s="13" t="n">
        <v>-0.393</v>
      </c>
      <c r="I81" s="14"/>
      <c r="J81" s="17"/>
      <c r="K81" s="9"/>
      <c r="L81" s="15" t="s">
        <v>50</v>
      </c>
      <c r="M81" s="16" t="s">
        <v>131</v>
      </c>
      <c r="N81" s="14" t="s">
        <v>148</v>
      </c>
      <c r="O81" s="15" t="s">
        <v>52</v>
      </c>
      <c r="P81" s="10" t="s">
        <v>391</v>
      </c>
      <c r="Q81" s="15"/>
      <c r="R81" s="18" t="s">
        <v>131</v>
      </c>
      <c r="S81" s="19" t="s">
        <v>148</v>
      </c>
      <c r="T81" s="17" t="str">
        <f aca="false">IF(R81="維持",J81,IF(R81="排除","無關新聞事件",IFERROR(INDEX(事件規則!$B$2:$B$53,MATCH(S81,事件規則!$A$2:$A$53,0)),"")))</f>
        <v>裁員或人力縮減</v>
      </c>
      <c r="U81" s="20" t="n">
        <f aca="false">IF(R81="維持",K81,IF(R81="排除",0,IFERROR(INDEX(事件規則!$C$2:$C$53,MATCH(S81,事件規則!$A$2:$A$53,0)),"")))</f>
        <v>3</v>
      </c>
      <c r="V81" s="21"/>
      <c r="W81" s="22"/>
      <c r="X81" s="10" t="str">
        <f aca="false">IF(AND(R81="修改",S81=""),"請選新事件代碼",IF(AND(R81&lt;&gt;"修改",S81&lt;&gt;""),"只有「修改」才需填代碼",""))</f>
        <v/>
      </c>
      <c r="Y81" s="21"/>
      <c r="Z81" s="22"/>
      <c r="AA81" s="12" t="s">
        <v>392</v>
      </c>
      <c r="AB81" s="12"/>
    </row>
    <row r="82" customFormat="false" ht="29.85" hidden="false" customHeight="false" outlineLevel="0" collapsed="false">
      <c r="A82" s="15" t="n">
        <v>81</v>
      </c>
      <c r="B82" s="9" t="s">
        <v>45</v>
      </c>
      <c r="C82" s="9" t="s">
        <v>242</v>
      </c>
      <c r="D82" s="10" t="s">
        <v>243</v>
      </c>
      <c r="E82" s="11" t="s">
        <v>393</v>
      </c>
      <c r="F82" s="17"/>
      <c r="G82" s="12" t="s">
        <v>394</v>
      </c>
      <c r="H82" s="13" t="n">
        <v>-0.392</v>
      </c>
      <c r="I82" s="14"/>
      <c r="J82" s="17"/>
      <c r="K82" s="9"/>
      <c r="L82" s="15" t="s">
        <v>50</v>
      </c>
      <c r="M82" s="16" t="s">
        <v>51</v>
      </c>
      <c r="N82" s="14"/>
      <c r="O82" s="15" t="s">
        <v>52</v>
      </c>
      <c r="P82" s="17" t="s">
        <v>53</v>
      </c>
      <c r="Q82" s="15"/>
      <c r="R82" s="18" t="s">
        <v>51</v>
      </c>
      <c r="S82" s="19"/>
      <c r="T82" s="17" t="str">
        <f aca="false">IF(R82="維持",J82,IF(R82="排除","無關新聞事件",IFERROR(INDEX(事件規則!$B$2:$B$53,MATCH(S82,事件規則!$A$2:$A$53,0)),"")))</f>
        <v>無關新聞事件</v>
      </c>
      <c r="U82" s="20" t="n">
        <f aca="false">IF(R82="維持",K82,IF(R82="排除",0,IFERROR(INDEX(事件規則!$C$2:$C$53,MATCH(S82,事件規則!$A$2:$A$53,0)),"")))</f>
        <v>0</v>
      </c>
      <c r="V82" s="21"/>
      <c r="W82" s="22"/>
      <c r="X82" s="10" t="str">
        <f aca="false">IF(AND(R82="修改",S82=""),"請選新事件代碼",IF(AND(R82&lt;&gt;"修改",S82&lt;&gt;""),"只有「修改」才需填代碼",""))</f>
        <v/>
      </c>
      <c r="Y82" s="21"/>
      <c r="Z82" s="22"/>
      <c r="AA82" s="12" t="s">
        <v>395</v>
      </c>
      <c r="AB82" s="12"/>
    </row>
    <row r="83" customFormat="false" ht="29.85" hidden="false" customHeight="false" outlineLevel="0" collapsed="false">
      <c r="A83" s="15" t="n">
        <v>82</v>
      </c>
      <c r="B83" s="9" t="s">
        <v>45</v>
      </c>
      <c r="C83" s="9" t="s">
        <v>178</v>
      </c>
      <c r="D83" s="10" t="s">
        <v>179</v>
      </c>
      <c r="E83" s="11" t="s">
        <v>396</v>
      </c>
      <c r="F83" s="17"/>
      <c r="G83" s="12" t="s">
        <v>397</v>
      </c>
      <c r="H83" s="13" t="n">
        <v>-0.391</v>
      </c>
      <c r="I83" s="14"/>
      <c r="J83" s="17"/>
      <c r="K83" s="9"/>
      <c r="L83" s="15" t="s">
        <v>50</v>
      </c>
      <c r="M83" s="16" t="s">
        <v>51</v>
      </c>
      <c r="N83" s="14"/>
      <c r="O83" s="15" t="s">
        <v>52</v>
      </c>
      <c r="P83" s="17" t="s">
        <v>53</v>
      </c>
      <c r="Q83" s="15"/>
      <c r="R83" s="18" t="s">
        <v>51</v>
      </c>
      <c r="S83" s="19"/>
      <c r="T83" s="17" t="str">
        <f aca="false">IF(R83="維持",J83,IF(R83="排除","無關新聞事件",IFERROR(INDEX(事件規則!$B$2:$B$53,MATCH(S83,事件規則!$A$2:$A$53,0)),"")))</f>
        <v>無關新聞事件</v>
      </c>
      <c r="U83" s="20" t="n">
        <f aca="false">IF(R83="維持",K83,IF(R83="排除",0,IFERROR(INDEX(事件規則!$C$2:$C$53,MATCH(S83,事件規則!$A$2:$A$53,0)),"")))</f>
        <v>0</v>
      </c>
      <c r="V83" s="21"/>
      <c r="W83" s="22"/>
      <c r="X83" s="10" t="str">
        <f aca="false">IF(AND(R83="修改",S83=""),"請選新事件代碼",IF(AND(R83&lt;&gt;"修改",S83&lt;&gt;""),"只有「修改」才需填代碼",""))</f>
        <v/>
      </c>
      <c r="Y83" s="21"/>
      <c r="Z83" s="22"/>
      <c r="AA83" s="12" t="s">
        <v>398</v>
      </c>
      <c r="AB83" s="12"/>
    </row>
    <row r="84" customFormat="false" ht="29.85" hidden="false" customHeight="false" outlineLevel="0" collapsed="false">
      <c r="A84" s="15" t="n">
        <v>83</v>
      </c>
      <c r="B84" s="9" t="s">
        <v>45</v>
      </c>
      <c r="C84" s="9" t="s">
        <v>289</v>
      </c>
      <c r="D84" s="10" t="s">
        <v>290</v>
      </c>
      <c r="E84" s="11" t="s">
        <v>399</v>
      </c>
      <c r="F84" s="17"/>
      <c r="G84" s="12" t="s">
        <v>176</v>
      </c>
      <c r="H84" s="13" t="n">
        <v>-0.391</v>
      </c>
      <c r="I84" s="14"/>
      <c r="J84" s="17"/>
      <c r="K84" s="9"/>
      <c r="L84" s="15" t="s">
        <v>50</v>
      </c>
      <c r="M84" s="16" t="s">
        <v>51</v>
      </c>
      <c r="N84" s="14"/>
      <c r="O84" s="15" t="s">
        <v>52</v>
      </c>
      <c r="P84" s="17" t="s">
        <v>53</v>
      </c>
      <c r="Q84" s="15"/>
      <c r="R84" s="18" t="s">
        <v>51</v>
      </c>
      <c r="S84" s="19"/>
      <c r="T84" s="17" t="str">
        <f aca="false">IF(R84="維持",J84,IF(R84="排除","無關新聞事件",IFERROR(INDEX(事件規則!$B$2:$B$53,MATCH(S84,事件規則!$A$2:$A$53,0)),"")))</f>
        <v>無關新聞事件</v>
      </c>
      <c r="U84" s="20" t="n">
        <f aca="false">IF(R84="維持",K84,IF(R84="排除",0,IFERROR(INDEX(事件規則!$C$2:$C$53,MATCH(S84,事件規則!$A$2:$A$53,0)),"")))</f>
        <v>0</v>
      </c>
      <c r="V84" s="21"/>
      <c r="W84" s="22"/>
      <c r="X84" s="10" t="str">
        <f aca="false">IF(AND(R84="修改",S84=""),"請選新事件代碼",IF(AND(R84&lt;&gt;"修改",S84&lt;&gt;""),"只有「修改」才需填代碼",""))</f>
        <v/>
      </c>
      <c r="Y84" s="21"/>
      <c r="Z84" s="22"/>
      <c r="AA84" s="12" t="s">
        <v>400</v>
      </c>
      <c r="AB84" s="12"/>
    </row>
    <row r="85" customFormat="false" ht="29.85" hidden="false" customHeight="false" outlineLevel="0" collapsed="false">
      <c r="A85" s="15" t="n">
        <v>84</v>
      </c>
      <c r="B85" s="9" t="s">
        <v>81</v>
      </c>
      <c r="C85" s="9" t="s">
        <v>289</v>
      </c>
      <c r="D85" s="10" t="s">
        <v>290</v>
      </c>
      <c r="E85" s="11" t="s">
        <v>401</v>
      </c>
      <c r="F85" s="17"/>
      <c r="G85" s="12" t="s">
        <v>402</v>
      </c>
      <c r="H85" s="13" t="n">
        <v>-0.391</v>
      </c>
      <c r="I85" s="14"/>
      <c r="J85" s="17"/>
      <c r="K85" s="9"/>
      <c r="L85" s="15" t="s">
        <v>50</v>
      </c>
      <c r="M85" s="16" t="s">
        <v>51</v>
      </c>
      <c r="N85" s="14"/>
      <c r="O85" s="15" t="s">
        <v>52</v>
      </c>
      <c r="P85" s="17" t="s">
        <v>53</v>
      </c>
      <c r="Q85" s="15"/>
      <c r="R85" s="18" t="s">
        <v>51</v>
      </c>
      <c r="S85" s="19"/>
      <c r="T85" s="17" t="str">
        <f aca="false">IF(R85="維持",J85,IF(R85="排除","無關新聞事件",IFERROR(INDEX(事件規則!$B$2:$B$53,MATCH(S85,事件規則!$A$2:$A$53,0)),"")))</f>
        <v>無關新聞事件</v>
      </c>
      <c r="U85" s="20" t="n">
        <f aca="false">IF(R85="維持",K85,IF(R85="排除",0,IFERROR(INDEX(事件規則!$C$2:$C$53,MATCH(S85,事件規則!$A$2:$A$53,0)),"")))</f>
        <v>0</v>
      </c>
      <c r="V85" s="21"/>
      <c r="W85" s="22"/>
      <c r="X85" s="10" t="str">
        <f aca="false">IF(AND(R85="修改",S85=""),"請選新事件代碼",IF(AND(R85&lt;&gt;"修改",S85&lt;&gt;""),"只有「修改」才需填代碼",""))</f>
        <v/>
      </c>
      <c r="Y85" s="21"/>
      <c r="Z85" s="22"/>
      <c r="AA85" s="12" t="s">
        <v>403</v>
      </c>
      <c r="AB85" s="12"/>
    </row>
    <row r="86" customFormat="false" ht="29.85" hidden="false" customHeight="false" outlineLevel="0" collapsed="false">
      <c r="A86" s="15" t="n">
        <v>85</v>
      </c>
      <c r="B86" s="9" t="s">
        <v>81</v>
      </c>
      <c r="C86" s="9" t="s">
        <v>404</v>
      </c>
      <c r="D86" s="10" t="s">
        <v>405</v>
      </c>
      <c r="E86" s="11" t="s">
        <v>406</v>
      </c>
      <c r="F86" s="17"/>
      <c r="G86" s="12" t="s">
        <v>407</v>
      </c>
      <c r="H86" s="13" t="n">
        <v>-0.39</v>
      </c>
      <c r="I86" s="14"/>
      <c r="J86" s="17"/>
      <c r="K86" s="9"/>
      <c r="L86" s="15" t="s">
        <v>50</v>
      </c>
      <c r="M86" s="16" t="s">
        <v>51</v>
      </c>
      <c r="N86" s="14"/>
      <c r="O86" s="15" t="s">
        <v>52</v>
      </c>
      <c r="P86" s="17" t="s">
        <v>53</v>
      </c>
      <c r="Q86" s="15"/>
      <c r="R86" s="18" t="s">
        <v>51</v>
      </c>
      <c r="S86" s="19"/>
      <c r="T86" s="17" t="str">
        <f aca="false">IF(R86="維持",J86,IF(R86="排除","無關新聞事件",IFERROR(INDEX(事件規則!$B$2:$B$53,MATCH(S86,事件規則!$A$2:$A$53,0)),"")))</f>
        <v>無關新聞事件</v>
      </c>
      <c r="U86" s="20" t="n">
        <f aca="false">IF(R86="維持",K86,IF(R86="排除",0,IFERROR(INDEX(事件規則!$C$2:$C$53,MATCH(S86,事件規則!$A$2:$A$53,0)),"")))</f>
        <v>0</v>
      </c>
      <c r="V86" s="21"/>
      <c r="W86" s="22"/>
      <c r="X86" s="10" t="str">
        <f aca="false">IF(AND(R86="修改",S86=""),"請選新事件代碼",IF(AND(R86&lt;&gt;"修改",S86&lt;&gt;""),"只有「修改」才需填代碼",""))</f>
        <v/>
      </c>
      <c r="Y86" s="21"/>
      <c r="Z86" s="22"/>
      <c r="AA86" s="12" t="s">
        <v>408</v>
      </c>
      <c r="AB86" s="12"/>
    </row>
    <row r="87" customFormat="false" ht="29.85" hidden="false" customHeight="false" outlineLevel="0" collapsed="false">
      <c r="A87" s="15" t="n">
        <v>86</v>
      </c>
      <c r="B87" s="9" t="s">
        <v>45</v>
      </c>
      <c r="C87" s="9" t="s">
        <v>303</v>
      </c>
      <c r="D87" s="10" t="s">
        <v>304</v>
      </c>
      <c r="E87" s="11" t="s">
        <v>409</v>
      </c>
      <c r="F87" s="17"/>
      <c r="G87" s="12" t="s">
        <v>410</v>
      </c>
      <c r="H87" s="13" t="n">
        <v>-0.388</v>
      </c>
      <c r="I87" s="14"/>
      <c r="J87" s="17"/>
      <c r="K87" s="9"/>
      <c r="L87" s="15" t="s">
        <v>50</v>
      </c>
      <c r="M87" s="16" t="s">
        <v>51</v>
      </c>
      <c r="N87" s="14"/>
      <c r="O87" s="15" t="s">
        <v>52</v>
      </c>
      <c r="P87" s="17" t="s">
        <v>53</v>
      </c>
      <c r="Q87" s="15"/>
      <c r="R87" s="18" t="s">
        <v>51</v>
      </c>
      <c r="S87" s="19"/>
      <c r="T87" s="17" t="str">
        <f aca="false">IF(R87="維持",J87,IF(R87="排除","無關新聞事件",IFERROR(INDEX(事件規則!$B$2:$B$53,MATCH(S87,事件規則!$A$2:$A$53,0)),"")))</f>
        <v>無關新聞事件</v>
      </c>
      <c r="U87" s="20" t="n">
        <f aca="false">IF(R87="維持",K87,IF(R87="排除",0,IFERROR(INDEX(事件規則!$C$2:$C$53,MATCH(S87,事件規則!$A$2:$A$53,0)),"")))</f>
        <v>0</v>
      </c>
      <c r="V87" s="21"/>
      <c r="W87" s="22"/>
      <c r="X87" s="10" t="str">
        <f aca="false">IF(AND(R87="修改",S87=""),"請選新事件代碼",IF(AND(R87&lt;&gt;"修改",S87&lt;&gt;""),"只有「修改」才需填代碼",""))</f>
        <v/>
      </c>
      <c r="Y87" s="21"/>
      <c r="Z87" s="22"/>
      <c r="AA87" s="12" t="s">
        <v>411</v>
      </c>
      <c r="AB87" s="12"/>
    </row>
    <row r="88" customFormat="false" ht="29.85" hidden="false" customHeight="false" outlineLevel="0" collapsed="false">
      <c r="A88" s="15" t="n">
        <v>87</v>
      </c>
      <c r="B88" s="9" t="s">
        <v>45</v>
      </c>
      <c r="C88" s="9" t="s">
        <v>118</v>
      </c>
      <c r="D88" s="10" t="s">
        <v>119</v>
      </c>
      <c r="E88" s="11" t="s">
        <v>412</v>
      </c>
      <c r="F88" s="17"/>
      <c r="G88" s="12" t="s">
        <v>235</v>
      </c>
      <c r="H88" s="13" t="n">
        <v>-0.388</v>
      </c>
      <c r="I88" s="14"/>
      <c r="J88" s="17"/>
      <c r="K88" s="9"/>
      <c r="L88" s="15" t="s">
        <v>50</v>
      </c>
      <c r="M88" s="16" t="s">
        <v>51</v>
      </c>
      <c r="N88" s="14"/>
      <c r="O88" s="15" t="s">
        <v>52</v>
      </c>
      <c r="P88" s="17" t="s">
        <v>53</v>
      </c>
      <c r="Q88" s="15"/>
      <c r="R88" s="18" t="s">
        <v>51</v>
      </c>
      <c r="S88" s="19"/>
      <c r="T88" s="17" t="str">
        <f aca="false">IF(R88="維持",J88,IF(R88="排除","無關新聞事件",IFERROR(INDEX(事件規則!$B$2:$B$53,MATCH(S88,事件規則!$A$2:$A$53,0)),"")))</f>
        <v>無關新聞事件</v>
      </c>
      <c r="U88" s="20" t="n">
        <f aca="false">IF(R88="維持",K88,IF(R88="排除",0,IFERROR(INDEX(事件規則!$C$2:$C$53,MATCH(S88,事件規則!$A$2:$A$53,0)),"")))</f>
        <v>0</v>
      </c>
      <c r="V88" s="21"/>
      <c r="W88" s="22"/>
      <c r="X88" s="10" t="str">
        <f aca="false">IF(AND(R88="修改",S88=""),"請選新事件代碼",IF(AND(R88&lt;&gt;"修改",S88&lt;&gt;""),"只有「修改」才需填代碼",""))</f>
        <v/>
      </c>
      <c r="Y88" s="21"/>
      <c r="Z88" s="22"/>
      <c r="AA88" s="12" t="s">
        <v>413</v>
      </c>
      <c r="AB88" s="12"/>
    </row>
    <row r="89" customFormat="false" ht="29.85" hidden="false" customHeight="false" outlineLevel="0" collapsed="false">
      <c r="A89" s="15" t="n">
        <v>88</v>
      </c>
      <c r="B89" s="9" t="s">
        <v>112</v>
      </c>
      <c r="C89" s="9" t="s">
        <v>414</v>
      </c>
      <c r="D89" s="10" t="s">
        <v>415</v>
      </c>
      <c r="E89" s="11" t="s">
        <v>416</v>
      </c>
      <c r="F89" s="17"/>
      <c r="G89" s="12" t="s">
        <v>417</v>
      </c>
      <c r="H89" s="13" t="n">
        <v>-0.386</v>
      </c>
      <c r="I89" s="14"/>
      <c r="J89" s="17"/>
      <c r="K89" s="9"/>
      <c r="L89" s="15" t="s">
        <v>50</v>
      </c>
      <c r="M89" s="16" t="s">
        <v>51</v>
      </c>
      <c r="N89" s="14"/>
      <c r="O89" s="15" t="s">
        <v>52</v>
      </c>
      <c r="P89" s="17" t="s">
        <v>53</v>
      </c>
      <c r="Q89" s="15"/>
      <c r="R89" s="18" t="s">
        <v>51</v>
      </c>
      <c r="S89" s="19"/>
      <c r="T89" s="17" t="str">
        <f aca="false">IF(R89="維持",J89,IF(R89="排除","無關新聞事件",IFERROR(INDEX(事件規則!$B$2:$B$53,MATCH(S89,事件規則!$A$2:$A$53,0)),"")))</f>
        <v>無關新聞事件</v>
      </c>
      <c r="U89" s="20" t="n">
        <f aca="false">IF(R89="維持",K89,IF(R89="排除",0,IFERROR(INDEX(事件規則!$C$2:$C$53,MATCH(S89,事件規則!$A$2:$A$53,0)),"")))</f>
        <v>0</v>
      </c>
      <c r="V89" s="21"/>
      <c r="W89" s="22"/>
      <c r="X89" s="10" t="str">
        <f aca="false">IF(AND(R89="修改",S89=""),"請選新事件代碼",IF(AND(R89&lt;&gt;"修改",S89&lt;&gt;""),"只有「修改」才需填代碼",""))</f>
        <v/>
      </c>
      <c r="Y89" s="21"/>
      <c r="Z89" s="22"/>
      <c r="AA89" s="12" t="s">
        <v>418</v>
      </c>
      <c r="AB89" s="12"/>
    </row>
    <row r="90" customFormat="false" ht="29.85" hidden="false" customHeight="false" outlineLevel="0" collapsed="false">
      <c r="A90" s="15" t="n">
        <v>89</v>
      </c>
      <c r="B90" s="9" t="s">
        <v>45</v>
      </c>
      <c r="C90" s="9" t="s">
        <v>419</v>
      </c>
      <c r="D90" s="10" t="s">
        <v>420</v>
      </c>
      <c r="E90" s="11" t="s">
        <v>421</v>
      </c>
      <c r="F90" s="17"/>
      <c r="G90" s="12" t="s">
        <v>422</v>
      </c>
      <c r="H90" s="13" t="n">
        <v>-0.386</v>
      </c>
      <c r="I90" s="14"/>
      <c r="J90" s="17"/>
      <c r="K90" s="9"/>
      <c r="L90" s="15" t="s">
        <v>50</v>
      </c>
      <c r="M90" s="16" t="s">
        <v>51</v>
      </c>
      <c r="N90" s="14"/>
      <c r="O90" s="15" t="s">
        <v>52</v>
      </c>
      <c r="P90" s="17" t="s">
        <v>53</v>
      </c>
      <c r="Q90" s="15"/>
      <c r="R90" s="18" t="s">
        <v>51</v>
      </c>
      <c r="S90" s="19"/>
      <c r="T90" s="17" t="str">
        <f aca="false">IF(R90="維持",J90,IF(R90="排除","無關新聞事件",IFERROR(INDEX(事件規則!$B$2:$B$53,MATCH(S90,事件規則!$A$2:$A$53,0)),"")))</f>
        <v>無關新聞事件</v>
      </c>
      <c r="U90" s="20" t="n">
        <f aca="false">IF(R90="維持",K90,IF(R90="排除",0,IFERROR(INDEX(事件規則!$C$2:$C$53,MATCH(S90,事件規則!$A$2:$A$53,0)),"")))</f>
        <v>0</v>
      </c>
      <c r="V90" s="21"/>
      <c r="W90" s="22"/>
      <c r="X90" s="10" t="str">
        <f aca="false">IF(AND(R90="修改",S90=""),"請選新事件代碼",IF(AND(R90&lt;&gt;"修改",S90&lt;&gt;""),"只有「修改」才需填代碼",""))</f>
        <v/>
      </c>
      <c r="Y90" s="21"/>
      <c r="Z90" s="22"/>
      <c r="AA90" s="12" t="s">
        <v>423</v>
      </c>
      <c r="AB90" s="12"/>
    </row>
    <row r="91" customFormat="false" ht="29.85" hidden="false" customHeight="false" outlineLevel="0" collapsed="false">
      <c r="A91" s="15" t="n">
        <v>90</v>
      </c>
      <c r="B91" s="9" t="s">
        <v>45</v>
      </c>
      <c r="C91" s="9" t="s">
        <v>71</v>
      </c>
      <c r="D91" s="10" t="s">
        <v>72</v>
      </c>
      <c r="E91" s="11" t="s">
        <v>424</v>
      </c>
      <c r="F91" s="17"/>
      <c r="G91" s="12" t="s">
        <v>425</v>
      </c>
      <c r="H91" s="13" t="n">
        <v>-0.385</v>
      </c>
      <c r="I91" s="14"/>
      <c r="J91" s="17"/>
      <c r="K91" s="9"/>
      <c r="L91" s="15" t="s">
        <v>50</v>
      </c>
      <c r="M91" s="16" t="s">
        <v>51</v>
      </c>
      <c r="N91" s="14"/>
      <c r="O91" s="15" t="s">
        <v>52</v>
      </c>
      <c r="P91" s="17" t="s">
        <v>53</v>
      </c>
      <c r="Q91" s="15"/>
      <c r="R91" s="18" t="s">
        <v>51</v>
      </c>
      <c r="S91" s="19"/>
      <c r="T91" s="17" t="str">
        <f aca="false">IF(R91="維持",J91,IF(R91="排除","無關新聞事件",IFERROR(INDEX(事件規則!$B$2:$B$53,MATCH(S91,事件規則!$A$2:$A$53,0)),"")))</f>
        <v>無關新聞事件</v>
      </c>
      <c r="U91" s="20" t="n">
        <f aca="false">IF(R91="維持",K91,IF(R91="排除",0,IFERROR(INDEX(事件規則!$C$2:$C$53,MATCH(S91,事件規則!$A$2:$A$53,0)),"")))</f>
        <v>0</v>
      </c>
      <c r="V91" s="21"/>
      <c r="W91" s="22"/>
      <c r="X91" s="10" t="str">
        <f aca="false">IF(AND(R91="修改",S91=""),"請選新事件代碼",IF(AND(R91&lt;&gt;"修改",S91&lt;&gt;""),"只有「修改」才需填代碼",""))</f>
        <v/>
      </c>
      <c r="Y91" s="21"/>
      <c r="Z91" s="22"/>
      <c r="AA91" s="12" t="s">
        <v>426</v>
      </c>
      <c r="AB91" s="12"/>
    </row>
    <row r="92" customFormat="false" ht="29.85" hidden="false" customHeight="false" outlineLevel="0" collapsed="false">
      <c r="A92" s="15" t="n">
        <v>91</v>
      </c>
      <c r="B92" s="9" t="s">
        <v>55</v>
      </c>
      <c r="C92" s="9" t="s">
        <v>427</v>
      </c>
      <c r="D92" s="10" t="s">
        <v>428</v>
      </c>
      <c r="E92" s="11" t="s">
        <v>429</v>
      </c>
      <c r="F92" s="17"/>
      <c r="G92" s="12" t="s">
        <v>430</v>
      </c>
      <c r="H92" s="13" t="n">
        <v>-0.382</v>
      </c>
      <c r="I92" s="14"/>
      <c r="J92" s="17"/>
      <c r="K92" s="9"/>
      <c r="L92" s="15" t="s">
        <v>50</v>
      </c>
      <c r="M92" s="16" t="s">
        <v>51</v>
      </c>
      <c r="N92" s="14"/>
      <c r="O92" s="15" t="s">
        <v>52</v>
      </c>
      <c r="P92" s="17" t="s">
        <v>53</v>
      </c>
      <c r="Q92" s="15"/>
      <c r="R92" s="18" t="s">
        <v>51</v>
      </c>
      <c r="S92" s="19"/>
      <c r="T92" s="17" t="str">
        <f aca="false">IF(R92="維持",J92,IF(R92="排除","無關新聞事件",IFERROR(INDEX(事件規則!$B$2:$B$53,MATCH(S92,事件規則!$A$2:$A$53,0)),"")))</f>
        <v>無關新聞事件</v>
      </c>
      <c r="U92" s="20" t="n">
        <f aca="false">IF(R92="維持",K92,IF(R92="排除",0,IFERROR(INDEX(事件規則!$C$2:$C$53,MATCH(S92,事件規則!$A$2:$A$53,0)),"")))</f>
        <v>0</v>
      </c>
      <c r="V92" s="21"/>
      <c r="W92" s="22"/>
      <c r="X92" s="10" t="str">
        <f aca="false">IF(AND(R92="修改",S92=""),"請選新事件代碼",IF(AND(R92&lt;&gt;"修改",S92&lt;&gt;""),"只有「修改」才需填代碼",""))</f>
        <v/>
      </c>
      <c r="Y92" s="21"/>
      <c r="Z92" s="22"/>
      <c r="AA92" s="12" t="s">
        <v>431</v>
      </c>
      <c r="AB92" s="12"/>
    </row>
    <row r="93" customFormat="false" ht="29.85" hidden="false" customHeight="false" outlineLevel="0" collapsed="false">
      <c r="A93" s="15" t="n">
        <v>92</v>
      </c>
      <c r="B93" s="9" t="s">
        <v>45</v>
      </c>
      <c r="C93" s="9" t="s">
        <v>76</v>
      </c>
      <c r="D93" s="10" t="s">
        <v>77</v>
      </c>
      <c r="E93" s="11" t="s">
        <v>432</v>
      </c>
      <c r="F93" s="17"/>
      <c r="G93" s="12" t="s">
        <v>433</v>
      </c>
      <c r="H93" s="13" t="n">
        <v>-0.382</v>
      </c>
      <c r="I93" s="14"/>
      <c r="J93" s="17"/>
      <c r="K93" s="9"/>
      <c r="L93" s="15" t="s">
        <v>50</v>
      </c>
      <c r="M93" s="16" t="s">
        <v>51</v>
      </c>
      <c r="N93" s="14"/>
      <c r="O93" s="15" t="s">
        <v>52</v>
      </c>
      <c r="P93" s="17" t="s">
        <v>53</v>
      </c>
      <c r="Q93" s="15"/>
      <c r="R93" s="18" t="s">
        <v>51</v>
      </c>
      <c r="S93" s="19"/>
      <c r="T93" s="17" t="str">
        <f aca="false">IF(R93="維持",J93,IF(R93="排除","無關新聞事件",IFERROR(INDEX(事件規則!$B$2:$B$53,MATCH(S93,事件規則!$A$2:$A$53,0)),"")))</f>
        <v>無關新聞事件</v>
      </c>
      <c r="U93" s="20" t="n">
        <f aca="false">IF(R93="維持",K93,IF(R93="排除",0,IFERROR(INDEX(事件規則!$C$2:$C$53,MATCH(S93,事件規則!$A$2:$A$53,0)),"")))</f>
        <v>0</v>
      </c>
      <c r="V93" s="21"/>
      <c r="W93" s="22"/>
      <c r="X93" s="10" t="str">
        <f aca="false">IF(AND(R93="修改",S93=""),"請選新事件代碼",IF(AND(R93&lt;&gt;"修改",S93&lt;&gt;""),"只有「修改」才需填代碼",""))</f>
        <v/>
      </c>
      <c r="Y93" s="21"/>
      <c r="Z93" s="22"/>
      <c r="AA93" s="12" t="s">
        <v>434</v>
      </c>
      <c r="AB93" s="12"/>
    </row>
    <row r="94" customFormat="false" ht="29.85" hidden="false" customHeight="false" outlineLevel="0" collapsed="false">
      <c r="A94" s="15" t="n">
        <v>93</v>
      </c>
      <c r="B94" s="9" t="s">
        <v>112</v>
      </c>
      <c r="C94" s="9" t="s">
        <v>66</v>
      </c>
      <c r="D94" s="10" t="s">
        <v>67</v>
      </c>
      <c r="E94" s="11" t="s">
        <v>435</v>
      </c>
      <c r="F94" s="17"/>
      <c r="G94" s="12" t="s">
        <v>49</v>
      </c>
      <c r="H94" s="13" t="n">
        <v>-0.378</v>
      </c>
      <c r="I94" s="14"/>
      <c r="J94" s="17"/>
      <c r="K94" s="9"/>
      <c r="L94" s="15" t="s">
        <v>50</v>
      </c>
      <c r="M94" s="16" t="s">
        <v>51</v>
      </c>
      <c r="N94" s="14"/>
      <c r="O94" s="15" t="s">
        <v>52</v>
      </c>
      <c r="P94" s="17" t="s">
        <v>53</v>
      </c>
      <c r="Q94" s="15"/>
      <c r="R94" s="18" t="s">
        <v>51</v>
      </c>
      <c r="S94" s="19"/>
      <c r="T94" s="17" t="str">
        <f aca="false">IF(R94="維持",J94,IF(R94="排除","無關新聞事件",IFERROR(INDEX(事件規則!$B$2:$B$53,MATCH(S94,事件規則!$A$2:$A$53,0)),"")))</f>
        <v>無關新聞事件</v>
      </c>
      <c r="U94" s="20" t="n">
        <f aca="false">IF(R94="維持",K94,IF(R94="排除",0,IFERROR(INDEX(事件規則!$C$2:$C$53,MATCH(S94,事件規則!$A$2:$A$53,0)),"")))</f>
        <v>0</v>
      </c>
      <c r="V94" s="21"/>
      <c r="W94" s="22"/>
      <c r="X94" s="10" t="str">
        <f aca="false">IF(AND(R94="修改",S94=""),"請選新事件代碼",IF(AND(R94&lt;&gt;"修改",S94&lt;&gt;""),"只有「修改」才需填代碼",""))</f>
        <v/>
      </c>
      <c r="Y94" s="21"/>
      <c r="Z94" s="22"/>
      <c r="AA94" s="12" t="s">
        <v>436</v>
      </c>
      <c r="AB94" s="12"/>
    </row>
    <row r="95" customFormat="false" ht="29.85" hidden="false" customHeight="false" outlineLevel="0" collapsed="false">
      <c r="A95" s="15" t="n">
        <v>94</v>
      </c>
      <c r="B95" s="9" t="s">
        <v>55</v>
      </c>
      <c r="C95" s="9" t="s">
        <v>66</v>
      </c>
      <c r="D95" s="10" t="s">
        <v>67</v>
      </c>
      <c r="E95" s="11" t="s">
        <v>437</v>
      </c>
      <c r="F95" s="17"/>
      <c r="G95" s="12" t="s">
        <v>438</v>
      </c>
      <c r="H95" s="13" t="n">
        <v>-0.377</v>
      </c>
      <c r="I95" s="14"/>
      <c r="J95" s="17"/>
      <c r="K95" s="9"/>
      <c r="L95" s="15" t="s">
        <v>50</v>
      </c>
      <c r="M95" s="16" t="s">
        <v>51</v>
      </c>
      <c r="N95" s="14"/>
      <c r="O95" s="15" t="s">
        <v>52</v>
      </c>
      <c r="P95" s="17" t="s">
        <v>53</v>
      </c>
      <c r="Q95" s="15"/>
      <c r="R95" s="18" t="s">
        <v>51</v>
      </c>
      <c r="S95" s="19"/>
      <c r="T95" s="17" t="str">
        <f aca="false">IF(R95="維持",J95,IF(R95="排除","無關新聞事件",IFERROR(INDEX(事件規則!$B$2:$B$53,MATCH(S95,事件規則!$A$2:$A$53,0)),"")))</f>
        <v>無關新聞事件</v>
      </c>
      <c r="U95" s="20" t="n">
        <f aca="false">IF(R95="維持",K95,IF(R95="排除",0,IFERROR(INDEX(事件規則!$C$2:$C$53,MATCH(S95,事件規則!$A$2:$A$53,0)),"")))</f>
        <v>0</v>
      </c>
      <c r="V95" s="21"/>
      <c r="W95" s="22"/>
      <c r="X95" s="10" t="str">
        <f aca="false">IF(AND(R95="修改",S95=""),"請選新事件代碼",IF(AND(R95&lt;&gt;"修改",S95&lt;&gt;""),"只有「修改」才需填代碼",""))</f>
        <v/>
      </c>
      <c r="Y95" s="21"/>
      <c r="Z95" s="22"/>
      <c r="AA95" s="12" t="s">
        <v>439</v>
      </c>
      <c r="AB95" s="12"/>
    </row>
    <row r="96" customFormat="false" ht="29.85" hidden="false" customHeight="false" outlineLevel="0" collapsed="false">
      <c r="A96" s="15" t="n">
        <v>95</v>
      </c>
      <c r="B96" s="9" t="s">
        <v>112</v>
      </c>
      <c r="C96" s="9" t="s">
        <v>440</v>
      </c>
      <c r="D96" s="10" t="s">
        <v>441</v>
      </c>
      <c r="E96" s="11" t="s">
        <v>442</v>
      </c>
      <c r="F96" s="17"/>
      <c r="G96" s="12" t="s">
        <v>443</v>
      </c>
      <c r="H96" s="13" t="n">
        <v>-0.376</v>
      </c>
      <c r="I96" s="14"/>
      <c r="J96" s="17"/>
      <c r="K96" s="9"/>
      <c r="L96" s="15" t="s">
        <v>50</v>
      </c>
      <c r="M96" s="16" t="s">
        <v>51</v>
      </c>
      <c r="N96" s="14"/>
      <c r="O96" s="15" t="s">
        <v>52</v>
      </c>
      <c r="P96" s="17" t="s">
        <v>53</v>
      </c>
      <c r="Q96" s="15"/>
      <c r="R96" s="18" t="s">
        <v>51</v>
      </c>
      <c r="S96" s="19"/>
      <c r="T96" s="17" t="str">
        <f aca="false">IF(R96="維持",J96,IF(R96="排除","無關新聞事件",IFERROR(INDEX(事件規則!$B$2:$B$53,MATCH(S96,事件規則!$A$2:$A$53,0)),"")))</f>
        <v>無關新聞事件</v>
      </c>
      <c r="U96" s="20" t="n">
        <f aca="false">IF(R96="維持",K96,IF(R96="排除",0,IFERROR(INDEX(事件規則!$C$2:$C$53,MATCH(S96,事件規則!$A$2:$A$53,0)),"")))</f>
        <v>0</v>
      </c>
      <c r="V96" s="21"/>
      <c r="W96" s="22"/>
      <c r="X96" s="10" t="str">
        <f aca="false">IF(AND(R96="修改",S96=""),"請選新事件代碼",IF(AND(R96&lt;&gt;"修改",S96&lt;&gt;""),"只有「修改」才需填代碼",""))</f>
        <v/>
      </c>
      <c r="Y96" s="21"/>
      <c r="Z96" s="22"/>
      <c r="AA96" s="12" t="s">
        <v>444</v>
      </c>
      <c r="AB96" s="12"/>
    </row>
    <row r="97" customFormat="false" ht="29.85" hidden="false" customHeight="false" outlineLevel="0" collapsed="false">
      <c r="A97" s="15" t="n">
        <v>96</v>
      </c>
      <c r="B97" s="9" t="s">
        <v>45</v>
      </c>
      <c r="C97" s="9" t="s">
        <v>445</v>
      </c>
      <c r="D97" s="10" t="s">
        <v>446</v>
      </c>
      <c r="E97" s="11" t="s">
        <v>447</v>
      </c>
      <c r="F97" s="17"/>
      <c r="G97" s="12" t="s">
        <v>69</v>
      </c>
      <c r="H97" s="13" t="n">
        <v>-0.375</v>
      </c>
      <c r="I97" s="14"/>
      <c r="J97" s="17"/>
      <c r="K97" s="9"/>
      <c r="L97" s="15" t="s">
        <v>50</v>
      </c>
      <c r="M97" s="16" t="s">
        <v>51</v>
      </c>
      <c r="N97" s="14"/>
      <c r="O97" s="15" t="s">
        <v>52</v>
      </c>
      <c r="P97" s="17" t="s">
        <v>53</v>
      </c>
      <c r="Q97" s="15"/>
      <c r="R97" s="18" t="s">
        <v>51</v>
      </c>
      <c r="S97" s="19"/>
      <c r="T97" s="17" t="str">
        <f aca="false">IF(R97="維持",J97,IF(R97="排除","無關新聞事件",IFERROR(INDEX(事件規則!$B$2:$B$53,MATCH(S97,事件規則!$A$2:$A$53,0)),"")))</f>
        <v>無關新聞事件</v>
      </c>
      <c r="U97" s="20" t="n">
        <f aca="false">IF(R97="維持",K97,IF(R97="排除",0,IFERROR(INDEX(事件規則!$C$2:$C$53,MATCH(S97,事件規則!$A$2:$A$53,0)),"")))</f>
        <v>0</v>
      </c>
      <c r="V97" s="21"/>
      <c r="W97" s="22"/>
      <c r="X97" s="10" t="str">
        <f aca="false">IF(AND(R97="修改",S97=""),"請選新事件代碼",IF(AND(R97&lt;&gt;"修改",S97&lt;&gt;""),"只有「修改」才需填代碼",""))</f>
        <v/>
      </c>
      <c r="Y97" s="21"/>
      <c r="Z97" s="22"/>
      <c r="AA97" s="12" t="s">
        <v>448</v>
      </c>
      <c r="AB97" s="12"/>
    </row>
    <row r="98" customFormat="false" ht="15" hidden="false" customHeight="false" outlineLevel="0" collapsed="false">
      <c r="A98" s="15" t="n">
        <v>97</v>
      </c>
      <c r="B98" s="9" t="s">
        <v>112</v>
      </c>
      <c r="C98" s="9" t="s">
        <v>449</v>
      </c>
      <c r="D98" s="10" t="s">
        <v>450</v>
      </c>
      <c r="E98" s="11" t="s">
        <v>451</v>
      </c>
      <c r="F98" s="17"/>
      <c r="G98" s="12" t="s">
        <v>452</v>
      </c>
      <c r="H98" s="13" t="n">
        <v>-0.374</v>
      </c>
      <c r="I98" s="14"/>
      <c r="J98" s="17"/>
      <c r="K98" s="9"/>
      <c r="L98" s="15" t="s">
        <v>50</v>
      </c>
      <c r="M98" s="16" t="s">
        <v>131</v>
      </c>
      <c r="N98" s="14" t="s">
        <v>181</v>
      </c>
      <c r="O98" s="15" t="s">
        <v>193</v>
      </c>
      <c r="P98" s="10" t="s">
        <v>453</v>
      </c>
      <c r="Q98" s="15"/>
      <c r="R98" s="18" t="s">
        <v>131</v>
      </c>
      <c r="S98" s="19" t="s">
        <v>181</v>
      </c>
      <c r="T98" s="17" t="str">
        <f aca="false">IF(R98="維持",J98,IF(R98="排除","無關新聞事件",IFERROR(INDEX(事件規則!$B$2:$B$53,MATCH(S98,事件規則!$A$2:$A$53,0)),"")))</f>
        <v>股價下跌</v>
      </c>
      <c r="U98" s="20" t="n">
        <f aca="false">IF(R98="維持",K98,IF(R98="排除",0,IFERROR(INDEX(事件規則!$C$2:$C$53,MATCH(S98,事件規則!$A$2:$A$53,0)),"")))</f>
        <v>1</v>
      </c>
      <c r="V98" s="21"/>
      <c r="W98" s="22"/>
      <c r="X98" s="10" t="str">
        <f aca="false">IF(AND(R98="修改",S98=""),"請選新事件代碼",IF(AND(R98&lt;&gt;"修改",S98&lt;&gt;""),"只有「修改」才需填代碼",""))</f>
        <v/>
      </c>
      <c r="Y98" s="21"/>
      <c r="Z98" s="22"/>
      <c r="AA98" s="12" t="s">
        <v>454</v>
      </c>
      <c r="AB98" s="12"/>
    </row>
    <row r="99" customFormat="false" ht="29.85" hidden="false" customHeight="false" outlineLevel="0" collapsed="false">
      <c r="A99" s="15" t="n">
        <v>98</v>
      </c>
      <c r="B99" s="9" t="s">
        <v>81</v>
      </c>
      <c r="C99" s="9" t="s">
        <v>303</v>
      </c>
      <c r="D99" s="10" t="s">
        <v>304</v>
      </c>
      <c r="E99" s="11" t="s">
        <v>455</v>
      </c>
      <c r="F99" s="17"/>
      <c r="G99" s="12" t="s">
        <v>456</v>
      </c>
      <c r="H99" s="13" t="n">
        <v>-0.373</v>
      </c>
      <c r="I99" s="14"/>
      <c r="J99" s="17"/>
      <c r="K99" s="9"/>
      <c r="L99" s="15" t="s">
        <v>50</v>
      </c>
      <c r="M99" s="16" t="s">
        <v>51</v>
      </c>
      <c r="N99" s="14"/>
      <c r="O99" s="15" t="s">
        <v>52</v>
      </c>
      <c r="P99" s="17" t="s">
        <v>53</v>
      </c>
      <c r="Q99" s="15"/>
      <c r="R99" s="18" t="s">
        <v>51</v>
      </c>
      <c r="S99" s="19"/>
      <c r="T99" s="17" t="str">
        <f aca="false">IF(R99="維持",J99,IF(R99="排除","無關新聞事件",IFERROR(INDEX(事件規則!$B$2:$B$53,MATCH(S99,事件規則!$A$2:$A$53,0)),"")))</f>
        <v>無關新聞事件</v>
      </c>
      <c r="U99" s="20" t="n">
        <f aca="false">IF(R99="維持",K99,IF(R99="排除",0,IFERROR(INDEX(事件規則!$C$2:$C$53,MATCH(S99,事件規則!$A$2:$A$53,0)),"")))</f>
        <v>0</v>
      </c>
      <c r="V99" s="21"/>
      <c r="W99" s="22"/>
      <c r="X99" s="10" t="str">
        <f aca="false">IF(AND(R99="修改",S99=""),"請選新事件代碼",IF(AND(R99&lt;&gt;"修改",S99&lt;&gt;""),"只有「修改」才需填代碼",""))</f>
        <v/>
      </c>
      <c r="Y99" s="21"/>
      <c r="Z99" s="22"/>
      <c r="AA99" s="12" t="s">
        <v>457</v>
      </c>
      <c r="AB99" s="12"/>
    </row>
    <row r="100" customFormat="false" ht="29.85" hidden="false" customHeight="false" outlineLevel="0" collapsed="false">
      <c r="A100" s="15" t="n">
        <v>99</v>
      </c>
      <c r="B100" s="9" t="s">
        <v>55</v>
      </c>
      <c r="C100" s="9" t="s">
        <v>458</v>
      </c>
      <c r="D100" s="10" t="s">
        <v>459</v>
      </c>
      <c r="E100" s="11" t="s">
        <v>460</v>
      </c>
      <c r="F100" s="17"/>
      <c r="G100" s="12" t="s">
        <v>461</v>
      </c>
      <c r="H100" s="13" t="n">
        <v>-0.368</v>
      </c>
      <c r="I100" s="14"/>
      <c r="J100" s="17"/>
      <c r="K100" s="9"/>
      <c r="L100" s="15" t="s">
        <v>50</v>
      </c>
      <c r="M100" s="16" t="s">
        <v>51</v>
      </c>
      <c r="N100" s="14"/>
      <c r="O100" s="15" t="s">
        <v>52</v>
      </c>
      <c r="P100" s="17" t="s">
        <v>53</v>
      </c>
      <c r="Q100" s="15"/>
      <c r="R100" s="18" t="s">
        <v>51</v>
      </c>
      <c r="S100" s="19"/>
      <c r="T100" s="17" t="str">
        <f aca="false">IF(R100="維持",J100,IF(R100="排除","無關新聞事件",IFERROR(INDEX(事件規則!$B$2:$B$53,MATCH(S100,事件規則!$A$2:$A$53,0)),"")))</f>
        <v>無關新聞事件</v>
      </c>
      <c r="U100" s="20" t="n">
        <f aca="false">IF(R100="維持",K100,IF(R100="排除",0,IFERROR(INDEX(事件規則!$C$2:$C$53,MATCH(S100,事件規則!$A$2:$A$53,0)),"")))</f>
        <v>0</v>
      </c>
      <c r="V100" s="21"/>
      <c r="W100" s="22"/>
      <c r="X100" s="10" t="str">
        <f aca="false">IF(AND(R100="修改",S100=""),"請選新事件代碼",IF(AND(R100&lt;&gt;"修改",S100&lt;&gt;""),"只有「修改」才需填代碼",""))</f>
        <v/>
      </c>
      <c r="Y100" s="21"/>
      <c r="Z100" s="22"/>
      <c r="AA100" s="12" t="s">
        <v>462</v>
      </c>
      <c r="AB100" s="12"/>
    </row>
    <row r="101" customFormat="false" ht="29.85" hidden="false" customHeight="false" outlineLevel="0" collapsed="false">
      <c r="A101" s="15" t="n">
        <v>100</v>
      </c>
      <c r="B101" s="9" t="s">
        <v>112</v>
      </c>
      <c r="C101" s="15"/>
      <c r="D101" s="10" t="s">
        <v>350</v>
      </c>
      <c r="E101" s="23" t="s">
        <v>463</v>
      </c>
      <c r="F101" s="17" t="s">
        <v>464</v>
      </c>
      <c r="G101" s="12" t="s">
        <v>176</v>
      </c>
      <c r="H101" s="13" t="n">
        <v>-0.366</v>
      </c>
      <c r="I101" s="14"/>
      <c r="J101" s="17"/>
      <c r="K101" s="9"/>
      <c r="L101" s="15" t="s">
        <v>50</v>
      </c>
      <c r="M101" s="16" t="s">
        <v>51</v>
      </c>
      <c r="N101" s="14"/>
      <c r="O101" s="15" t="s">
        <v>52</v>
      </c>
      <c r="P101" s="17" t="s">
        <v>53</v>
      </c>
      <c r="Q101" s="15"/>
      <c r="R101" s="18" t="s">
        <v>51</v>
      </c>
      <c r="S101" s="19"/>
      <c r="T101" s="17" t="str">
        <f aca="false">IF(R101="維持",J101,IF(R101="排除","無關新聞事件",IFERROR(INDEX(事件規則!$B$2:$B$53,MATCH(S101,事件規則!$A$2:$A$53,0)),"")))</f>
        <v>無關新聞事件</v>
      </c>
      <c r="U101" s="20" t="n">
        <f aca="false">IF(R101="維持",K101,IF(R101="排除",0,IFERROR(INDEX(事件規則!$C$2:$C$53,MATCH(S101,事件規則!$A$2:$A$53,0)),"")))</f>
        <v>0</v>
      </c>
      <c r="V101" s="21"/>
      <c r="W101" s="22"/>
      <c r="X101" s="10" t="str">
        <f aca="false">IF(AND(R101="修改",S101=""),"請選新事件代碼",IF(AND(R101&lt;&gt;"修改",S101&lt;&gt;""),"只有「修改」才需填代碼",""))</f>
        <v/>
      </c>
      <c r="Y101" s="21"/>
      <c r="Z101" s="22"/>
      <c r="AA101" s="12" t="s">
        <v>465</v>
      </c>
      <c r="AB101" s="12"/>
    </row>
    <row r="102" customFormat="false" ht="29.85" hidden="false" customHeight="false" outlineLevel="0" collapsed="false">
      <c r="A102" s="15" t="n">
        <v>101</v>
      </c>
      <c r="B102" s="9" t="s">
        <v>45</v>
      </c>
      <c r="C102" s="9" t="s">
        <v>97</v>
      </c>
      <c r="D102" s="10" t="s">
        <v>98</v>
      </c>
      <c r="E102" s="11" t="s">
        <v>466</v>
      </c>
      <c r="F102" s="17"/>
      <c r="G102" s="12" t="s">
        <v>467</v>
      </c>
      <c r="H102" s="13" t="n">
        <v>-0.364</v>
      </c>
      <c r="I102" s="14"/>
      <c r="J102" s="17"/>
      <c r="K102" s="9"/>
      <c r="L102" s="15" t="s">
        <v>50</v>
      </c>
      <c r="M102" s="16" t="s">
        <v>51</v>
      </c>
      <c r="N102" s="14"/>
      <c r="O102" s="15" t="s">
        <v>52</v>
      </c>
      <c r="P102" s="17" t="s">
        <v>53</v>
      </c>
      <c r="Q102" s="15"/>
      <c r="R102" s="18" t="s">
        <v>51</v>
      </c>
      <c r="S102" s="19"/>
      <c r="T102" s="17" t="str">
        <f aca="false">IF(R102="維持",J102,IF(R102="排除","無關新聞事件",IFERROR(INDEX(事件規則!$B$2:$B$53,MATCH(S102,事件規則!$A$2:$A$53,0)),"")))</f>
        <v>無關新聞事件</v>
      </c>
      <c r="U102" s="20" t="n">
        <f aca="false">IF(R102="維持",K102,IF(R102="排除",0,IFERROR(INDEX(事件規則!$C$2:$C$53,MATCH(S102,事件規則!$A$2:$A$53,0)),"")))</f>
        <v>0</v>
      </c>
      <c r="V102" s="21"/>
      <c r="W102" s="22"/>
      <c r="X102" s="10" t="str">
        <f aca="false">IF(AND(R102="修改",S102=""),"請選新事件代碼",IF(AND(R102&lt;&gt;"修改",S102&lt;&gt;""),"只有「修改」才需填代碼",""))</f>
        <v/>
      </c>
      <c r="Y102" s="21"/>
      <c r="Z102" s="22"/>
      <c r="AA102" s="12" t="s">
        <v>468</v>
      </c>
      <c r="AB102" s="12"/>
    </row>
    <row r="103" customFormat="false" ht="29.85" hidden="false" customHeight="false" outlineLevel="0" collapsed="false">
      <c r="A103" s="15" t="n">
        <v>102</v>
      </c>
      <c r="B103" s="9" t="s">
        <v>45</v>
      </c>
      <c r="C103" s="9" t="s">
        <v>469</v>
      </c>
      <c r="D103" s="10" t="s">
        <v>470</v>
      </c>
      <c r="E103" s="11" t="s">
        <v>471</v>
      </c>
      <c r="F103" s="17"/>
      <c r="G103" s="12" t="s">
        <v>69</v>
      </c>
      <c r="H103" s="13" t="n">
        <v>-0.362</v>
      </c>
      <c r="I103" s="14"/>
      <c r="J103" s="17"/>
      <c r="K103" s="9"/>
      <c r="L103" s="15" t="s">
        <v>50</v>
      </c>
      <c r="M103" s="16" t="s">
        <v>51</v>
      </c>
      <c r="N103" s="14"/>
      <c r="O103" s="15" t="s">
        <v>52</v>
      </c>
      <c r="P103" s="17" t="s">
        <v>53</v>
      </c>
      <c r="Q103" s="15"/>
      <c r="R103" s="18" t="s">
        <v>51</v>
      </c>
      <c r="S103" s="19"/>
      <c r="T103" s="17" t="str">
        <f aca="false">IF(R103="維持",J103,IF(R103="排除","無關新聞事件",IFERROR(INDEX(事件規則!$B$2:$B$53,MATCH(S103,事件規則!$A$2:$A$53,0)),"")))</f>
        <v>無關新聞事件</v>
      </c>
      <c r="U103" s="20" t="n">
        <f aca="false">IF(R103="維持",K103,IF(R103="排除",0,IFERROR(INDEX(事件規則!$C$2:$C$53,MATCH(S103,事件規則!$A$2:$A$53,0)),"")))</f>
        <v>0</v>
      </c>
      <c r="V103" s="21"/>
      <c r="W103" s="22"/>
      <c r="X103" s="10" t="str">
        <f aca="false">IF(AND(R103="修改",S103=""),"請選新事件代碼",IF(AND(R103&lt;&gt;"修改",S103&lt;&gt;""),"只有「修改」才需填代碼",""))</f>
        <v/>
      </c>
      <c r="Y103" s="21"/>
      <c r="Z103" s="22"/>
      <c r="AA103" s="12" t="s">
        <v>472</v>
      </c>
      <c r="AB103" s="12"/>
    </row>
    <row r="104" customFormat="false" ht="29.85" hidden="false" customHeight="false" outlineLevel="0" collapsed="false">
      <c r="A104" s="15" t="n">
        <v>103</v>
      </c>
      <c r="B104" s="9" t="s">
        <v>45</v>
      </c>
      <c r="C104" s="9" t="s">
        <v>178</v>
      </c>
      <c r="D104" s="10" t="s">
        <v>179</v>
      </c>
      <c r="E104" s="11" t="s">
        <v>473</v>
      </c>
      <c r="F104" s="17"/>
      <c r="G104" s="12" t="s">
        <v>474</v>
      </c>
      <c r="H104" s="13" t="n">
        <v>-0.361</v>
      </c>
      <c r="I104" s="14"/>
      <c r="J104" s="17"/>
      <c r="K104" s="9"/>
      <c r="L104" s="15" t="s">
        <v>50</v>
      </c>
      <c r="M104" s="16" t="s">
        <v>51</v>
      </c>
      <c r="N104" s="14"/>
      <c r="O104" s="15" t="s">
        <v>52</v>
      </c>
      <c r="P104" s="17" t="s">
        <v>53</v>
      </c>
      <c r="Q104" s="15"/>
      <c r="R104" s="18" t="s">
        <v>51</v>
      </c>
      <c r="S104" s="19"/>
      <c r="T104" s="17" t="str">
        <f aca="false">IF(R104="維持",J104,IF(R104="排除","無關新聞事件",IFERROR(INDEX(事件規則!$B$2:$B$53,MATCH(S104,事件規則!$A$2:$A$53,0)),"")))</f>
        <v>無關新聞事件</v>
      </c>
      <c r="U104" s="20" t="n">
        <f aca="false">IF(R104="維持",K104,IF(R104="排除",0,IFERROR(INDEX(事件規則!$C$2:$C$53,MATCH(S104,事件規則!$A$2:$A$53,0)),"")))</f>
        <v>0</v>
      </c>
      <c r="V104" s="21"/>
      <c r="W104" s="22"/>
      <c r="X104" s="10" t="str">
        <f aca="false">IF(AND(R104="修改",S104=""),"請選新事件代碼",IF(AND(R104&lt;&gt;"修改",S104&lt;&gt;""),"只有「修改」才需填代碼",""))</f>
        <v/>
      </c>
      <c r="Y104" s="21"/>
      <c r="Z104" s="22"/>
      <c r="AA104" s="12" t="s">
        <v>475</v>
      </c>
      <c r="AB104" s="12"/>
    </row>
    <row r="105" customFormat="false" ht="29.85" hidden="false" customHeight="false" outlineLevel="0" collapsed="false">
      <c r="A105" s="15" t="n">
        <v>104</v>
      </c>
      <c r="B105" s="9" t="s">
        <v>55</v>
      </c>
      <c r="C105" s="9" t="s">
        <v>476</v>
      </c>
      <c r="D105" s="10" t="s">
        <v>477</v>
      </c>
      <c r="E105" s="11" t="s">
        <v>478</v>
      </c>
      <c r="F105" s="17"/>
      <c r="G105" s="12" t="s">
        <v>479</v>
      </c>
      <c r="H105" s="13" t="n">
        <v>-0.36</v>
      </c>
      <c r="I105" s="14"/>
      <c r="J105" s="17"/>
      <c r="K105" s="9"/>
      <c r="L105" s="15" t="s">
        <v>50</v>
      </c>
      <c r="M105" s="16" t="s">
        <v>51</v>
      </c>
      <c r="N105" s="14"/>
      <c r="O105" s="15" t="s">
        <v>52</v>
      </c>
      <c r="P105" s="17" t="s">
        <v>53</v>
      </c>
      <c r="Q105" s="15"/>
      <c r="R105" s="18" t="s">
        <v>51</v>
      </c>
      <c r="S105" s="19"/>
      <c r="T105" s="17" t="str">
        <f aca="false">IF(R105="維持",J105,IF(R105="排除","無關新聞事件",IFERROR(INDEX(事件規則!$B$2:$B$53,MATCH(S105,事件規則!$A$2:$A$53,0)),"")))</f>
        <v>無關新聞事件</v>
      </c>
      <c r="U105" s="20" t="n">
        <f aca="false">IF(R105="維持",K105,IF(R105="排除",0,IFERROR(INDEX(事件規則!$C$2:$C$53,MATCH(S105,事件規則!$A$2:$A$53,0)),"")))</f>
        <v>0</v>
      </c>
      <c r="V105" s="21"/>
      <c r="W105" s="22"/>
      <c r="X105" s="10" t="str">
        <f aca="false">IF(AND(R105="修改",S105=""),"請選新事件代碼",IF(AND(R105&lt;&gt;"修改",S105&lt;&gt;""),"只有「修改」才需填代碼",""))</f>
        <v/>
      </c>
      <c r="Y105" s="21"/>
      <c r="Z105" s="22"/>
      <c r="AA105" s="12" t="s">
        <v>480</v>
      </c>
      <c r="AB105" s="12"/>
    </row>
    <row r="106" customFormat="false" ht="29.85" hidden="false" customHeight="false" outlineLevel="0" collapsed="false">
      <c r="A106" s="15" t="n">
        <v>105</v>
      </c>
      <c r="B106" s="9" t="s">
        <v>45</v>
      </c>
      <c r="C106" s="9" t="s">
        <v>188</v>
      </c>
      <c r="D106" s="10" t="s">
        <v>189</v>
      </c>
      <c r="E106" s="11" t="s">
        <v>481</v>
      </c>
      <c r="F106" s="17"/>
      <c r="G106" s="12" t="s">
        <v>482</v>
      </c>
      <c r="H106" s="13" t="n">
        <v>-0.359</v>
      </c>
      <c r="I106" s="14"/>
      <c r="J106" s="17"/>
      <c r="K106" s="9"/>
      <c r="L106" s="15" t="s">
        <v>50</v>
      </c>
      <c r="M106" s="16" t="s">
        <v>51</v>
      </c>
      <c r="N106" s="14"/>
      <c r="O106" s="15" t="s">
        <v>52</v>
      </c>
      <c r="P106" s="17" t="s">
        <v>53</v>
      </c>
      <c r="Q106" s="15"/>
      <c r="R106" s="18" t="s">
        <v>51</v>
      </c>
      <c r="S106" s="19"/>
      <c r="T106" s="17" t="str">
        <f aca="false">IF(R106="維持",J106,IF(R106="排除","無關新聞事件",IFERROR(INDEX(事件規則!$B$2:$B$53,MATCH(S106,事件規則!$A$2:$A$53,0)),"")))</f>
        <v>無關新聞事件</v>
      </c>
      <c r="U106" s="20" t="n">
        <f aca="false">IF(R106="維持",K106,IF(R106="排除",0,IFERROR(INDEX(事件規則!$C$2:$C$53,MATCH(S106,事件規則!$A$2:$A$53,0)),"")))</f>
        <v>0</v>
      </c>
      <c r="V106" s="21"/>
      <c r="W106" s="22"/>
      <c r="X106" s="10" t="str">
        <f aca="false">IF(AND(R106="修改",S106=""),"請選新事件代碼",IF(AND(R106&lt;&gt;"修改",S106&lt;&gt;""),"只有「修改」才需填代碼",""))</f>
        <v/>
      </c>
      <c r="Y106" s="21"/>
      <c r="Z106" s="22"/>
      <c r="AA106" s="12" t="s">
        <v>483</v>
      </c>
      <c r="AB106" s="12"/>
    </row>
    <row r="107" customFormat="false" ht="29.85" hidden="false" customHeight="false" outlineLevel="0" collapsed="false">
      <c r="A107" s="15" t="n">
        <v>106</v>
      </c>
      <c r="B107" s="9" t="s">
        <v>55</v>
      </c>
      <c r="C107" s="9" t="s">
        <v>484</v>
      </c>
      <c r="D107" s="10" t="s">
        <v>485</v>
      </c>
      <c r="E107" s="11" t="s">
        <v>486</v>
      </c>
      <c r="F107" s="17"/>
      <c r="G107" s="12" t="s">
        <v>487</v>
      </c>
      <c r="H107" s="13" t="n">
        <v>-0.358</v>
      </c>
      <c r="I107" s="14"/>
      <c r="J107" s="17"/>
      <c r="K107" s="9"/>
      <c r="L107" s="15" t="s">
        <v>50</v>
      </c>
      <c r="M107" s="16" t="s">
        <v>51</v>
      </c>
      <c r="N107" s="14"/>
      <c r="O107" s="15" t="s">
        <v>52</v>
      </c>
      <c r="P107" s="17" t="s">
        <v>53</v>
      </c>
      <c r="Q107" s="15"/>
      <c r="R107" s="18" t="s">
        <v>51</v>
      </c>
      <c r="S107" s="19"/>
      <c r="T107" s="17" t="str">
        <f aca="false">IF(R107="維持",J107,IF(R107="排除","無關新聞事件",IFERROR(INDEX(事件規則!$B$2:$B$53,MATCH(S107,事件規則!$A$2:$A$53,0)),"")))</f>
        <v>無關新聞事件</v>
      </c>
      <c r="U107" s="20" t="n">
        <f aca="false">IF(R107="維持",K107,IF(R107="排除",0,IFERROR(INDEX(事件規則!$C$2:$C$53,MATCH(S107,事件規則!$A$2:$A$53,0)),"")))</f>
        <v>0</v>
      </c>
      <c r="V107" s="21"/>
      <c r="W107" s="22"/>
      <c r="X107" s="10" t="str">
        <f aca="false">IF(AND(R107="修改",S107=""),"請選新事件代碼",IF(AND(R107&lt;&gt;"修改",S107&lt;&gt;""),"只有「修改」才需填代碼",""))</f>
        <v/>
      </c>
      <c r="Y107" s="21"/>
      <c r="Z107" s="22"/>
      <c r="AA107" s="12" t="s">
        <v>488</v>
      </c>
      <c r="AB107" s="12"/>
    </row>
    <row r="108" customFormat="false" ht="23.85" hidden="false" customHeight="false" outlineLevel="0" collapsed="false">
      <c r="A108" s="15" t="n">
        <v>107</v>
      </c>
      <c r="B108" s="9" t="s">
        <v>55</v>
      </c>
      <c r="C108" s="9" t="s">
        <v>489</v>
      </c>
      <c r="D108" s="10" t="s">
        <v>490</v>
      </c>
      <c r="E108" s="11" t="s">
        <v>491</v>
      </c>
      <c r="F108" s="17"/>
      <c r="G108" s="12" t="s">
        <v>492</v>
      </c>
      <c r="H108" s="13" t="n">
        <v>-0.357</v>
      </c>
      <c r="I108" s="14"/>
      <c r="J108" s="17"/>
      <c r="K108" s="9"/>
      <c r="L108" s="15" t="s">
        <v>50</v>
      </c>
      <c r="M108" s="16" t="s">
        <v>131</v>
      </c>
      <c r="N108" s="14" t="s">
        <v>493</v>
      </c>
      <c r="O108" s="15" t="s">
        <v>52</v>
      </c>
      <c r="P108" s="10" t="s">
        <v>494</v>
      </c>
      <c r="Q108" s="15"/>
      <c r="R108" s="18" t="s">
        <v>131</v>
      </c>
      <c r="S108" s="19" t="s">
        <v>493</v>
      </c>
      <c r="T108" s="17" t="str">
        <f aca="false">IF(R108="維持",J108,IF(R108="排除","無關新聞事件",IFERROR(INDEX(事件規則!$B$2:$B$53,MATCH(S108,事件規則!$A$2:$A$53,0)),"")))</f>
        <v>高管不當行為</v>
      </c>
      <c r="U108" s="20" t="n">
        <f aca="false">IF(R108="維持",K108,IF(R108="排除",0,IFERROR(INDEX(事件規則!$C$2:$C$53,MATCH(S108,事件規則!$A$2:$A$53,0)),"")))</f>
        <v>4</v>
      </c>
      <c r="V108" s="21"/>
      <c r="W108" s="22"/>
      <c r="X108" s="10" t="str">
        <f aca="false">IF(AND(R108="修改",S108=""),"請選新事件代碼",IF(AND(R108&lt;&gt;"修改",S108&lt;&gt;""),"只有「修改」才需填代碼",""))</f>
        <v/>
      </c>
      <c r="Y108" s="21"/>
      <c r="Z108" s="22"/>
      <c r="AA108" s="12" t="s">
        <v>495</v>
      </c>
      <c r="AB108" s="12"/>
    </row>
    <row r="109" customFormat="false" ht="29.85" hidden="false" customHeight="false" outlineLevel="0" collapsed="false">
      <c r="A109" s="15" t="n">
        <v>108</v>
      </c>
      <c r="B109" s="9" t="s">
        <v>45</v>
      </c>
      <c r="C109" s="9" t="s">
        <v>76</v>
      </c>
      <c r="D109" s="10" t="s">
        <v>77</v>
      </c>
      <c r="E109" s="11" t="s">
        <v>496</v>
      </c>
      <c r="F109" s="17"/>
      <c r="G109" s="12" t="s">
        <v>497</v>
      </c>
      <c r="H109" s="13" t="n">
        <v>-0.355</v>
      </c>
      <c r="I109" s="14"/>
      <c r="J109" s="17"/>
      <c r="K109" s="9"/>
      <c r="L109" s="15" t="s">
        <v>50</v>
      </c>
      <c r="M109" s="16" t="s">
        <v>51</v>
      </c>
      <c r="N109" s="14"/>
      <c r="O109" s="15" t="s">
        <v>52</v>
      </c>
      <c r="P109" s="17" t="s">
        <v>53</v>
      </c>
      <c r="Q109" s="15"/>
      <c r="R109" s="18" t="s">
        <v>51</v>
      </c>
      <c r="S109" s="19"/>
      <c r="T109" s="17" t="str">
        <f aca="false">IF(R109="維持",J109,IF(R109="排除","無關新聞事件",IFERROR(INDEX(事件規則!$B$2:$B$53,MATCH(S109,事件規則!$A$2:$A$53,0)),"")))</f>
        <v>無關新聞事件</v>
      </c>
      <c r="U109" s="20" t="n">
        <f aca="false">IF(R109="維持",K109,IF(R109="排除",0,IFERROR(INDEX(事件規則!$C$2:$C$53,MATCH(S109,事件規則!$A$2:$A$53,0)),"")))</f>
        <v>0</v>
      </c>
      <c r="V109" s="21"/>
      <c r="W109" s="22"/>
      <c r="X109" s="10" t="str">
        <f aca="false">IF(AND(R109="修改",S109=""),"請選新事件代碼",IF(AND(R109&lt;&gt;"修改",S109&lt;&gt;""),"只有「修改」才需填代碼",""))</f>
        <v/>
      </c>
      <c r="Y109" s="21"/>
      <c r="Z109" s="22"/>
      <c r="AA109" s="12" t="s">
        <v>498</v>
      </c>
      <c r="AB109" s="12"/>
    </row>
    <row r="110" customFormat="false" ht="29.85" hidden="false" customHeight="false" outlineLevel="0" collapsed="false">
      <c r="A110" s="15" t="n">
        <v>109</v>
      </c>
      <c r="B110" s="9" t="s">
        <v>112</v>
      </c>
      <c r="C110" s="9" t="s">
        <v>484</v>
      </c>
      <c r="D110" s="10" t="s">
        <v>485</v>
      </c>
      <c r="E110" s="11" t="s">
        <v>499</v>
      </c>
      <c r="F110" s="17"/>
      <c r="G110" s="12" t="s">
        <v>500</v>
      </c>
      <c r="H110" s="13" t="n">
        <v>-0.354</v>
      </c>
      <c r="I110" s="14"/>
      <c r="J110" s="17"/>
      <c r="K110" s="9"/>
      <c r="L110" s="15" t="s">
        <v>50</v>
      </c>
      <c r="M110" s="16" t="s">
        <v>51</v>
      </c>
      <c r="N110" s="14"/>
      <c r="O110" s="15" t="s">
        <v>52</v>
      </c>
      <c r="P110" s="17" t="s">
        <v>53</v>
      </c>
      <c r="Q110" s="15"/>
      <c r="R110" s="18" t="s">
        <v>51</v>
      </c>
      <c r="S110" s="19"/>
      <c r="T110" s="17" t="str">
        <f aca="false">IF(R110="維持",J110,IF(R110="排除","無關新聞事件",IFERROR(INDEX(事件規則!$B$2:$B$53,MATCH(S110,事件規則!$A$2:$A$53,0)),"")))</f>
        <v>無關新聞事件</v>
      </c>
      <c r="U110" s="20" t="n">
        <f aca="false">IF(R110="維持",K110,IF(R110="排除",0,IFERROR(INDEX(事件規則!$C$2:$C$53,MATCH(S110,事件規則!$A$2:$A$53,0)),"")))</f>
        <v>0</v>
      </c>
      <c r="V110" s="21"/>
      <c r="W110" s="22"/>
      <c r="X110" s="10" t="str">
        <f aca="false">IF(AND(R110="修改",S110=""),"請選新事件代碼",IF(AND(R110&lt;&gt;"修改",S110&lt;&gt;""),"只有「修改」才需填代碼",""))</f>
        <v/>
      </c>
      <c r="Y110" s="21"/>
      <c r="Z110" s="22"/>
      <c r="AA110" s="12" t="s">
        <v>501</v>
      </c>
      <c r="AB110" s="12"/>
    </row>
    <row r="111" customFormat="false" ht="29.85" hidden="false" customHeight="false" outlineLevel="0" collapsed="false">
      <c r="A111" s="15" t="n">
        <v>110</v>
      </c>
      <c r="B111" s="9" t="s">
        <v>112</v>
      </c>
      <c r="C111" s="9" t="s">
        <v>484</v>
      </c>
      <c r="D111" s="10" t="s">
        <v>485</v>
      </c>
      <c r="E111" s="11" t="s">
        <v>502</v>
      </c>
      <c r="F111" s="17"/>
      <c r="G111" s="12" t="s">
        <v>503</v>
      </c>
      <c r="H111" s="13" t="n">
        <v>-0.351</v>
      </c>
      <c r="I111" s="14"/>
      <c r="J111" s="17"/>
      <c r="K111" s="9"/>
      <c r="L111" s="15" t="s">
        <v>50</v>
      </c>
      <c r="M111" s="16" t="s">
        <v>51</v>
      </c>
      <c r="N111" s="14"/>
      <c r="O111" s="15" t="s">
        <v>52</v>
      </c>
      <c r="P111" s="17" t="s">
        <v>53</v>
      </c>
      <c r="Q111" s="15"/>
      <c r="R111" s="18" t="s">
        <v>51</v>
      </c>
      <c r="S111" s="19"/>
      <c r="T111" s="17" t="str">
        <f aca="false">IF(R111="維持",J111,IF(R111="排除","無關新聞事件",IFERROR(INDEX(事件規則!$B$2:$B$53,MATCH(S111,事件規則!$A$2:$A$53,0)),"")))</f>
        <v>無關新聞事件</v>
      </c>
      <c r="U111" s="20" t="n">
        <f aca="false">IF(R111="維持",K111,IF(R111="排除",0,IFERROR(INDEX(事件規則!$C$2:$C$53,MATCH(S111,事件規則!$A$2:$A$53,0)),"")))</f>
        <v>0</v>
      </c>
      <c r="V111" s="21"/>
      <c r="W111" s="22"/>
      <c r="X111" s="10" t="str">
        <f aca="false">IF(AND(R111="修改",S111=""),"請選新事件代碼",IF(AND(R111&lt;&gt;"修改",S111&lt;&gt;""),"只有「修改」才需填代碼",""))</f>
        <v/>
      </c>
      <c r="Y111" s="21"/>
      <c r="Z111" s="22"/>
      <c r="AA111" s="12" t="s">
        <v>504</v>
      </c>
      <c r="AB111" s="12"/>
    </row>
    <row r="112" customFormat="false" ht="29.85" hidden="false" customHeight="false" outlineLevel="0" collapsed="false">
      <c r="A112" s="15" t="n">
        <v>111</v>
      </c>
      <c r="B112" s="9" t="s">
        <v>55</v>
      </c>
      <c r="C112" s="9" t="s">
        <v>505</v>
      </c>
      <c r="D112" s="10" t="s">
        <v>506</v>
      </c>
      <c r="E112" s="11" t="s">
        <v>507</v>
      </c>
      <c r="F112" s="17"/>
      <c r="G112" s="12" t="s">
        <v>508</v>
      </c>
      <c r="H112" s="13" t="n">
        <v>-0.349</v>
      </c>
      <c r="I112" s="14"/>
      <c r="J112" s="17"/>
      <c r="K112" s="9"/>
      <c r="L112" s="15" t="s">
        <v>50</v>
      </c>
      <c r="M112" s="16" t="s">
        <v>51</v>
      </c>
      <c r="N112" s="14"/>
      <c r="O112" s="15" t="s">
        <v>52</v>
      </c>
      <c r="P112" s="17" t="s">
        <v>53</v>
      </c>
      <c r="Q112" s="15"/>
      <c r="R112" s="18" t="s">
        <v>51</v>
      </c>
      <c r="S112" s="19"/>
      <c r="T112" s="17" t="str">
        <f aca="false">IF(R112="維持",J112,IF(R112="排除","無關新聞事件",IFERROR(INDEX(事件規則!$B$2:$B$53,MATCH(S112,事件規則!$A$2:$A$53,0)),"")))</f>
        <v>無關新聞事件</v>
      </c>
      <c r="U112" s="20" t="n">
        <f aca="false">IF(R112="維持",K112,IF(R112="排除",0,IFERROR(INDEX(事件規則!$C$2:$C$53,MATCH(S112,事件規則!$A$2:$A$53,0)),"")))</f>
        <v>0</v>
      </c>
      <c r="V112" s="21"/>
      <c r="W112" s="22"/>
      <c r="X112" s="10" t="str">
        <f aca="false">IF(AND(R112="修改",S112=""),"請選新事件代碼",IF(AND(R112&lt;&gt;"修改",S112&lt;&gt;""),"只有「修改」才需填代碼",""))</f>
        <v/>
      </c>
      <c r="Y112" s="21"/>
      <c r="Z112" s="22"/>
      <c r="AA112" s="12" t="s">
        <v>509</v>
      </c>
      <c r="AB112" s="12"/>
    </row>
    <row r="113" customFormat="false" ht="29.85" hidden="false" customHeight="false" outlineLevel="0" collapsed="false">
      <c r="A113" s="15" t="n">
        <v>112</v>
      </c>
      <c r="B113" s="9" t="s">
        <v>45</v>
      </c>
      <c r="C113" s="9" t="s">
        <v>484</v>
      </c>
      <c r="D113" s="10" t="s">
        <v>485</v>
      </c>
      <c r="E113" s="11" t="s">
        <v>510</v>
      </c>
      <c r="F113" s="17"/>
      <c r="G113" s="12" t="s">
        <v>511</v>
      </c>
      <c r="H113" s="13" t="n">
        <v>-0.348</v>
      </c>
      <c r="I113" s="14"/>
      <c r="J113" s="17"/>
      <c r="K113" s="9"/>
      <c r="L113" s="15" t="s">
        <v>50</v>
      </c>
      <c r="M113" s="16" t="s">
        <v>51</v>
      </c>
      <c r="N113" s="14"/>
      <c r="O113" s="15" t="s">
        <v>52</v>
      </c>
      <c r="P113" s="17" t="s">
        <v>53</v>
      </c>
      <c r="Q113" s="15"/>
      <c r="R113" s="18" t="s">
        <v>51</v>
      </c>
      <c r="S113" s="19"/>
      <c r="T113" s="17" t="str">
        <f aca="false">IF(R113="維持",J113,IF(R113="排除","無關新聞事件",IFERROR(INDEX(事件規則!$B$2:$B$53,MATCH(S113,事件規則!$A$2:$A$53,0)),"")))</f>
        <v>無關新聞事件</v>
      </c>
      <c r="U113" s="20" t="n">
        <f aca="false">IF(R113="維持",K113,IF(R113="排除",0,IFERROR(INDEX(事件規則!$C$2:$C$53,MATCH(S113,事件規則!$A$2:$A$53,0)),"")))</f>
        <v>0</v>
      </c>
      <c r="V113" s="21"/>
      <c r="W113" s="22"/>
      <c r="X113" s="10" t="str">
        <f aca="false">IF(AND(R113="修改",S113=""),"請選新事件代碼",IF(AND(R113&lt;&gt;"修改",S113&lt;&gt;""),"只有「修改」才需填代碼",""))</f>
        <v/>
      </c>
      <c r="Y113" s="21"/>
      <c r="Z113" s="22"/>
      <c r="AA113" s="12" t="s">
        <v>512</v>
      </c>
      <c r="AB113" s="12"/>
    </row>
    <row r="114" customFormat="false" ht="29.85" hidden="false" customHeight="false" outlineLevel="0" collapsed="false">
      <c r="A114" s="15" t="n">
        <v>113</v>
      </c>
      <c r="B114" s="9" t="s">
        <v>81</v>
      </c>
      <c r="C114" s="9" t="s">
        <v>513</v>
      </c>
      <c r="D114" s="10" t="s">
        <v>514</v>
      </c>
      <c r="E114" s="11" t="s">
        <v>515</v>
      </c>
      <c r="F114" s="17"/>
      <c r="G114" s="12" t="s">
        <v>516</v>
      </c>
      <c r="H114" s="13" t="n">
        <v>-0.348</v>
      </c>
      <c r="I114" s="14"/>
      <c r="J114" s="17"/>
      <c r="K114" s="9"/>
      <c r="L114" s="15" t="s">
        <v>50</v>
      </c>
      <c r="M114" s="16" t="s">
        <v>131</v>
      </c>
      <c r="N114" s="14" t="s">
        <v>132</v>
      </c>
      <c r="O114" s="15" t="s">
        <v>52</v>
      </c>
      <c r="P114" s="17" t="s">
        <v>133</v>
      </c>
      <c r="Q114" s="15"/>
      <c r="R114" s="18" t="s">
        <v>131</v>
      </c>
      <c r="S114" s="19" t="s">
        <v>132</v>
      </c>
      <c r="T114" s="17" t="str">
        <f aca="false">IF(R114="維持",J114,IF(R114="排除","無關新聞事件",IFERROR(INDEX(事件規則!$B$2:$B$53,MATCH(S114,事件規則!$A$2:$A$53,0)),"")))</f>
        <v>重大訴訟</v>
      </c>
      <c r="U114" s="20" t="n">
        <f aca="false">IF(R114="維持",K114,IF(R114="排除",0,IFERROR(INDEX(事件規則!$C$2:$C$53,MATCH(S114,事件規則!$A$2:$A$53,0)),"")))</f>
        <v>4</v>
      </c>
      <c r="V114" s="21"/>
      <c r="W114" s="22"/>
      <c r="X114" s="10" t="str">
        <f aca="false">IF(AND(R114="修改",S114=""),"請選新事件代碼",IF(AND(R114&lt;&gt;"修改",S114&lt;&gt;""),"只有「修改」才需填代碼",""))</f>
        <v/>
      </c>
      <c r="Y114" s="21"/>
      <c r="Z114" s="22"/>
      <c r="AA114" s="12" t="s">
        <v>517</v>
      </c>
      <c r="AB114" s="12"/>
    </row>
    <row r="115" customFormat="false" ht="29.85" hidden="false" customHeight="false" outlineLevel="0" collapsed="false">
      <c r="A115" s="15" t="n">
        <v>114</v>
      </c>
      <c r="B115" s="9" t="s">
        <v>112</v>
      </c>
      <c r="C115" s="9" t="s">
        <v>518</v>
      </c>
      <c r="D115" s="10" t="s">
        <v>519</v>
      </c>
      <c r="E115" s="11" t="s">
        <v>520</v>
      </c>
      <c r="F115" s="17"/>
      <c r="G115" s="12" t="s">
        <v>176</v>
      </c>
      <c r="H115" s="13" t="n">
        <v>-0.348</v>
      </c>
      <c r="I115" s="14"/>
      <c r="J115" s="17"/>
      <c r="K115" s="9"/>
      <c r="L115" s="15" t="s">
        <v>50</v>
      </c>
      <c r="M115" s="16" t="s">
        <v>51</v>
      </c>
      <c r="N115" s="14"/>
      <c r="O115" s="15" t="s">
        <v>52</v>
      </c>
      <c r="P115" s="17" t="s">
        <v>53</v>
      </c>
      <c r="Q115" s="15"/>
      <c r="R115" s="18" t="s">
        <v>51</v>
      </c>
      <c r="S115" s="19"/>
      <c r="T115" s="17" t="str">
        <f aca="false">IF(R115="維持",J115,IF(R115="排除","無關新聞事件",IFERROR(INDEX(事件規則!$B$2:$B$53,MATCH(S115,事件規則!$A$2:$A$53,0)),"")))</f>
        <v>無關新聞事件</v>
      </c>
      <c r="U115" s="20" t="n">
        <f aca="false">IF(R115="維持",K115,IF(R115="排除",0,IFERROR(INDEX(事件規則!$C$2:$C$53,MATCH(S115,事件規則!$A$2:$A$53,0)),"")))</f>
        <v>0</v>
      </c>
      <c r="V115" s="21"/>
      <c r="W115" s="22"/>
      <c r="X115" s="10" t="str">
        <f aca="false">IF(AND(R115="修改",S115=""),"請選新事件代碼",IF(AND(R115&lt;&gt;"修改",S115&lt;&gt;""),"只有「修改」才需填代碼",""))</f>
        <v/>
      </c>
      <c r="Y115" s="21"/>
      <c r="Z115" s="22"/>
      <c r="AA115" s="12" t="s">
        <v>521</v>
      </c>
      <c r="AB115" s="12"/>
    </row>
    <row r="116" customFormat="false" ht="29.85" hidden="false" customHeight="false" outlineLevel="0" collapsed="false">
      <c r="A116" s="15" t="n">
        <v>115</v>
      </c>
      <c r="B116" s="9" t="s">
        <v>55</v>
      </c>
      <c r="C116" s="9" t="s">
        <v>303</v>
      </c>
      <c r="D116" s="10" t="s">
        <v>304</v>
      </c>
      <c r="E116" s="11" t="s">
        <v>522</v>
      </c>
      <c r="F116" s="17"/>
      <c r="G116" s="12" t="s">
        <v>425</v>
      </c>
      <c r="H116" s="13" t="n">
        <v>-0.344</v>
      </c>
      <c r="I116" s="14"/>
      <c r="J116" s="17"/>
      <c r="K116" s="9"/>
      <c r="L116" s="15" t="s">
        <v>50</v>
      </c>
      <c r="M116" s="16" t="s">
        <v>51</v>
      </c>
      <c r="N116" s="14"/>
      <c r="O116" s="15" t="s">
        <v>52</v>
      </c>
      <c r="P116" s="17" t="s">
        <v>53</v>
      </c>
      <c r="Q116" s="15"/>
      <c r="R116" s="18" t="s">
        <v>51</v>
      </c>
      <c r="S116" s="19"/>
      <c r="T116" s="17" t="str">
        <f aca="false">IF(R116="維持",J116,IF(R116="排除","無關新聞事件",IFERROR(INDEX(事件規則!$B$2:$B$53,MATCH(S116,事件規則!$A$2:$A$53,0)),"")))</f>
        <v>無關新聞事件</v>
      </c>
      <c r="U116" s="20" t="n">
        <f aca="false">IF(R116="維持",K116,IF(R116="排除",0,IFERROR(INDEX(事件規則!$C$2:$C$53,MATCH(S116,事件規則!$A$2:$A$53,0)),"")))</f>
        <v>0</v>
      </c>
      <c r="V116" s="21"/>
      <c r="W116" s="22"/>
      <c r="X116" s="10" t="str">
        <f aca="false">IF(AND(R116="修改",S116=""),"請選新事件代碼",IF(AND(R116&lt;&gt;"修改",S116&lt;&gt;""),"只有「修改」才需填代碼",""))</f>
        <v/>
      </c>
      <c r="Y116" s="21"/>
      <c r="Z116" s="22"/>
      <c r="AA116" s="12" t="s">
        <v>523</v>
      </c>
      <c r="AB116" s="12"/>
    </row>
    <row r="117" customFormat="false" ht="29.85" hidden="false" customHeight="false" outlineLevel="0" collapsed="false">
      <c r="A117" s="15" t="n">
        <v>116</v>
      </c>
      <c r="B117" s="9" t="s">
        <v>45</v>
      </c>
      <c r="C117" s="9" t="s">
        <v>524</v>
      </c>
      <c r="D117" s="10" t="s">
        <v>525</v>
      </c>
      <c r="E117" s="11" t="s">
        <v>526</v>
      </c>
      <c r="F117" s="17"/>
      <c r="G117" s="12" t="s">
        <v>64</v>
      </c>
      <c r="H117" s="13" t="n">
        <v>-0.341</v>
      </c>
      <c r="I117" s="14"/>
      <c r="J117" s="17"/>
      <c r="K117" s="9"/>
      <c r="L117" s="15" t="s">
        <v>50</v>
      </c>
      <c r="M117" s="16" t="s">
        <v>51</v>
      </c>
      <c r="N117" s="14"/>
      <c r="O117" s="15" t="s">
        <v>52</v>
      </c>
      <c r="P117" s="17" t="s">
        <v>53</v>
      </c>
      <c r="Q117" s="15"/>
      <c r="R117" s="18" t="s">
        <v>51</v>
      </c>
      <c r="S117" s="19"/>
      <c r="T117" s="17" t="str">
        <f aca="false">IF(R117="維持",J117,IF(R117="排除","無關新聞事件",IFERROR(INDEX(事件規則!$B$2:$B$53,MATCH(S117,事件規則!$A$2:$A$53,0)),"")))</f>
        <v>無關新聞事件</v>
      </c>
      <c r="U117" s="20" t="n">
        <f aca="false">IF(R117="維持",K117,IF(R117="排除",0,IFERROR(INDEX(事件規則!$C$2:$C$53,MATCH(S117,事件規則!$A$2:$A$53,0)),"")))</f>
        <v>0</v>
      </c>
      <c r="V117" s="21"/>
      <c r="W117" s="22"/>
      <c r="X117" s="10" t="str">
        <f aca="false">IF(AND(R117="修改",S117=""),"請選新事件代碼",IF(AND(R117&lt;&gt;"修改",S117&lt;&gt;""),"只有「修改」才需填代碼",""))</f>
        <v/>
      </c>
      <c r="Y117" s="21"/>
      <c r="Z117" s="22"/>
      <c r="AA117" s="12" t="s">
        <v>527</v>
      </c>
      <c r="AB117" s="12"/>
    </row>
    <row r="118" customFormat="false" ht="29.85" hidden="false" customHeight="false" outlineLevel="0" collapsed="false">
      <c r="A118" s="15" t="n">
        <v>117</v>
      </c>
      <c r="B118" s="9" t="s">
        <v>45</v>
      </c>
      <c r="C118" s="9" t="s">
        <v>139</v>
      </c>
      <c r="D118" s="10" t="s">
        <v>140</v>
      </c>
      <c r="E118" s="11" t="s">
        <v>528</v>
      </c>
      <c r="F118" s="17"/>
      <c r="G118" s="12" t="s">
        <v>529</v>
      </c>
      <c r="H118" s="13" t="n">
        <v>-0.34</v>
      </c>
      <c r="I118" s="14"/>
      <c r="J118" s="17"/>
      <c r="K118" s="9"/>
      <c r="L118" s="15" t="s">
        <v>50</v>
      </c>
      <c r="M118" s="16" t="s">
        <v>51</v>
      </c>
      <c r="N118" s="14"/>
      <c r="O118" s="15" t="s">
        <v>52</v>
      </c>
      <c r="P118" s="17" t="s">
        <v>53</v>
      </c>
      <c r="Q118" s="15"/>
      <c r="R118" s="18" t="s">
        <v>51</v>
      </c>
      <c r="S118" s="19"/>
      <c r="T118" s="17" t="str">
        <f aca="false">IF(R118="維持",J118,IF(R118="排除","無關新聞事件",IFERROR(INDEX(事件規則!$B$2:$B$53,MATCH(S118,事件規則!$A$2:$A$53,0)),"")))</f>
        <v>無關新聞事件</v>
      </c>
      <c r="U118" s="20" t="n">
        <f aca="false">IF(R118="維持",K118,IF(R118="排除",0,IFERROR(INDEX(事件規則!$C$2:$C$53,MATCH(S118,事件規則!$A$2:$A$53,0)),"")))</f>
        <v>0</v>
      </c>
      <c r="V118" s="21"/>
      <c r="W118" s="22"/>
      <c r="X118" s="10" t="str">
        <f aca="false">IF(AND(R118="修改",S118=""),"請選新事件代碼",IF(AND(R118&lt;&gt;"修改",S118&lt;&gt;""),"只有「修改」才需填代碼",""))</f>
        <v/>
      </c>
      <c r="Y118" s="21"/>
      <c r="Z118" s="22"/>
      <c r="AA118" s="12" t="s">
        <v>530</v>
      </c>
      <c r="AB118" s="12"/>
    </row>
    <row r="119" customFormat="false" ht="29.85" hidden="false" customHeight="false" outlineLevel="0" collapsed="false">
      <c r="A119" s="15" t="n">
        <v>118</v>
      </c>
      <c r="B119" s="9" t="s">
        <v>45</v>
      </c>
      <c r="C119" s="9" t="s">
        <v>531</v>
      </c>
      <c r="D119" s="10" t="s">
        <v>532</v>
      </c>
      <c r="E119" s="11" t="s">
        <v>533</v>
      </c>
      <c r="F119" s="17"/>
      <c r="G119" s="12" t="s">
        <v>49</v>
      </c>
      <c r="H119" s="13" t="n">
        <v>-0.339</v>
      </c>
      <c r="I119" s="14"/>
      <c r="J119" s="17"/>
      <c r="K119" s="9"/>
      <c r="L119" s="15" t="s">
        <v>50</v>
      </c>
      <c r="M119" s="16" t="s">
        <v>51</v>
      </c>
      <c r="N119" s="14"/>
      <c r="O119" s="15" t="s">
        <v>52</v>
      </c>
      <c r="P119" s="17" t="s">
        <v>53</v>
      </c>
      <c r="Q119" s="15"/>
      <c r="R119" s="18" t="s">
        <v>51</v>
      </c>
      <c r="S119" s="19"/>
      <c r="T119" s="17" t="str">
        <f aca="false">IF(R119="維持",J119,IF(R119="排除","無關新聞事件",IFERROR(INDEX(事件規則!$B$2:$B$53,MATCH(S119,事件規則!$A$2:$A$53,0)),"")))</f>
        <v>無關新聞事件</v>
      </c>
      <c r="U119" s="20" t="n">
        <f aca="false">IF(R119="維持",K119,IF(R119="排除",0,IFERROR(INDEX(事件規則!$C$2:$C$53,MATCH(S119,事件規則!$A$2:$A$53,0)),"")))</f>
        <v>0</v>
      </c>
      <c r="V119" s="21"/>
      <c r="W119" s="22"/>
      <c r="X119" s="10" t="str">
        <f aca="false">IF(AND(R119="修改",S119=""),"請選新事件代碼",IF(AND(R119&lt;&gt;"修改",S119&lt;&gt;""),"只有「修改」才需填代碼",""))</f>
        <v/>
      </c>
      <c r="Y119" s="21"/>
      <c r="Z119" s="22"/>
      <c r="AA119" s="12" t="s">
        <v>534</v>
      </c>
      <c r="AB119" s="12"/>
    </row>
    <row r="120" customFormat="false" ht="29.85" hidden="false" customHeight="false" outlineLevel="0" collapsed="false">
      <c r="A120" s="15" t="n">
        <v>119</v>
      </c>
      <c r="B120" s="9" t="s">
        <v>55</v>
      </c>
      <c r="C120" s="9" t="s">
        <v>535</v>
      </c>
      <c r="D120" s="10" t="s">
        <v>536</v>
      </c>
      <c r="E120" s="11" t="s">
        <v>537</v>
      </c>
      <c r="F120" s="17"/>
      <c r="G120" s="12" t="s">
        <v>538</v>
      </c>
      <c r="H120" s="13" t="n">
        <v>-0.339</v>
      </c>
      <c r="I120" s="14"/>
      <c r="J120" s="17"/>
      <c r="K120" s="9"/>
      <c r="L120" s="15" t="s">
        <v>50</v>
      </c>
      <c r="M120" s="16" t="s">
        <v>51</v>
      </c>
      <c r="N120" s="14"/>
      <c r="O120" s="15" t="s">
        <v>52</v>
      </c>
      <c r="P120" s="17" t="s">
        <v>53</v>
      </c>
      <c r="Q120" s="15"/>
      <c r="R120" s="18" t="s">
        <v>51</v>
      </c>
      <c r="S120" s="19"/>
      <c r="T120" s="17" t="str">
        <f aca="false">IF(R120="維持",J120,IF(R120="排除","無關新聞事件",IFERROR(INDEX(事件規則!$B$2:$B$53,MATCH(S120,事件規則!$A$2:$A$53,0)),"")))</f>
        <v>無關新聞事件</v>
      </c>
      <c r="U120" s="20" t="n">
        <f aca="false">IF(R120="維持",K120,IF(R120="排除",0,IFERROR(INDEX(事件規則!$C$2:$C$53,MATCH(S120,事件規則!$A$2:$A$53,0)),"")))</f>
        <v>0</v>
      </c>
      <c r="V120" s="21"/>
      <c r="W120" s="22"/>
      <c r="X120" s="10" t="str">
        <f aca="false">IF(AND(R120="修改",S120=""),"請選新事件代碼",IF(AND(R120&lt;&gt;"修改",S120&lt;&gt;""),"只有「修改」才需填代碼",""))</f>
        <v/>
      </c>
      <c r="Y120" s="21"/>
      <c r="Z120" s="22"/>
      <c r="AA120" s="12" t="s">
        <v>539</v>
      </c>
      <c r="AB120" s="12"/>
    </row>
    <row r="121" customFormat="false" ht="29.85" hidden="false" customHeight="false" outlineLevel="0" collapsed="false">
      <c r="A121" s="15" t="n">
        <v>120</v>
      </c>
      <c r="B121" s="9" t="s">
        <v>112</v>
      </c>
      <c r="C121" s="9" t="s">
        <v>540</v>
      </c>
      <c r="D121" s="10" t="s">
        <v>541</v>
      </c>
      <c r="E121" s="11" t="s">
        <v>542</v>
      </c>
      <c r="F121" s="17"/>
      <c r="G121" s="12" t="s">
        <v>49</v>
      </c>
      <c r="H121" s="13" t="n">
        <v>-0.338</v>
      </c>
      <c r="I121" s="14"/>
      <c r="J121" s="17"/>
      <c r="K121" s="9"/>
      <c r="L121" s="15" t="s">
        <v>50</v>
      </c>
      <c r="M121" s="16" t="s">
        <v>51</v>
      </c>
      <c r="N121" s="14"/>
      <c r="O121" s="15" t="s">
        <v>52</v>
      </c>
      <c r="P121" s="17" t="s">
        <v>53</v>
      </c>
      <c r="Q121" s="15"/>
      <c r="R121" s="18" t="s">
        <v>51</v>
      </c>
      <c r="S121" s="19"/>
      <c r="T121" s="17" t="str">
        <f aca="false">IF(R121="維持",J121,IF(R121="排除","無關新聞事件",IFERROR(INDEX(事件規則!$B$2:$B$53,MATCH(S121,事件規則!$A$2:$A$53,0)),"")))</f>
        <v>無關新聞事件</v>
      </c>
      <c r="U121" s="20" t="n">
        <f aca="false">IF(R121="維持",K121,IF(R121="排除",0,IFERROR(INDEX(事件規則!$C$2:$C$53,MATCH(S121,事件規則!$A$2:$A$53,0)),"")))</f>
        <v>0</v>
      </c>
      <c r="V121" s="21"/>
      <c r="W121" s="22"/>
      <c r="X121" s="10" t="str">
        <f aca="false">IF(AND(R121="修改",S121=""),"請選新事件代碼",IF(AND(R121&lt;&gt;"修改",S121&lt;&gt;""),"只有「修改」才需填代碼",""))</f>
        <v/>
      </c>
      <c r="Y121" s="21"/>
      <c r="Z121" s="22"/>
      <c r="AA121" s="12" t="s">
        <v>543</v>
      </c>
      <c r="AB121" s="12"/>
    </row>
    <row r="122" customFormat="false" ht="23.85" hidden="false" customHeight="false" outlineLevel="0" collapsed="false">
      <c r="A122" s="15" t="n">
        <v>121</v>
      </c>
      <c r="B122" s="9" t="s">
        <v>45</v>
      </c>
      <c r="C122" s="9" t="s">
        <v>178</v>
      </c>
      <c r="D122" s="10" t="s">
        <v>179</v>
      </c>
      <c r="E122" s="11" t="s">
        <v>544</v>
      </c>
      <c r="F122" s="17"/>
      <c r="G122" s="12" t="s">
        <v>545</v>
      </c>
      <c r="H122" s="13" t="n">
        <v>-0.338</v>
      </c>
      <c r="I122" s="14"/>
      <c r="J122" s="17"/>
      <c r="K122" s="9"/>
      <c r="L122" s="15" t="s">
        <v>50</v>
      </c>
      <c r="M122" s="16" t="s">
        <v>131</v>
      </c>
      <c r="N122" s="14" t="s">
        <v>148</v>
      </c>
      <c r="O122" s="15" t="s">
        <v>52</v>
      </c>
      <c r="P122" s="17" t="s">
        <v>149</v>
      </c>
      <c r="Q122" s="15"/>
      <c r="R122" s="18" t="s">
        <v>131</v>
      </c>
      <c r="S122" s="19" t="s">
        <v>148</v>
      </c>
      <c r="T122" s="17" t="str">
        <f aca="false">IF(R122="維持",J122,IF(R122="排除","無關新聞事件",IFERROR(INDEX(事件規則!$B$2:$B$53,MATCH(S122,事件規則!$A$2:$A$53,0)),"")))</f>
        <v>裁員或人力縮減</v>
      </c>
      <c r="U122" s="20" t="n">
        <f aca="false">IF(R122="維持",K122,IF(R122="排除",0,IFERROR(INDEX(事件規則!$C$2:$C$53,MATCH(S122,事件規則!$A$2:$A$53,0)),"")))</f>
        <v>3</v>
      </c>
      <c r="V122" s="21"/>
      <c r="W122" s="22"/>
      <c r="X122" s="10" t="str">
        <f aca="false">IF(AND(R122="修改",S122=""),"請選新事件代碼",IF(AND(R122&lt;&gt;"修改",S122&lt;&gt;""),"只有「修改」才需填代碼",""))</f>
        <v/>
      </c>
      <c r="Y122" s="21"/>
      <c r="Z122" s="22"/>
      <c r="AA122" s="12" t="s">
        <v>546</v>
      </c>
      <c r="AB122" s="12"/>
    </row>
    <row r="123" customFormat="false" ht="29.85" hidden="false" customHeight="false" outlineLevel="0" collapsed="false">
      <c r="A123" s="15" t="n">
        <v>122</v>
      </c>
      <c r="B123" s="9" t="s">
        <v>55</v>
      </c>
      <c r="C123" s="9" t="s">
        <v>76</v>
      </c>
      <c r="D123" s="10" t="s">
        <v>77</v>
      </c>
      <c r="E123" s="11" t="s">
        <v>547</v>
      </c>
      <c r="F123" s="17"/>
      <c r="G123" s="12" t="s">
        <v>548</v>
      </c>
      <c r="H123" s="13" t="n">
        <v>-0.338</v>
      </c>
      <c r="I123" s="14"/>
      <c r="J123" s="17"/>
      <c r="K123" s="9"/>
      <c r="L123" s="15" t="s">
        <v>50</v>
      </c>
      <c r="M123" s="16" t="s">
        <v>51</v>
      </c>
      <c r="N123" s="14"/>
      <c r="O123" s="15" t="s">
        <v>52</v>
      </c>
      <c r="P123" s="17" t="s">
        <v>53</v>
      </c>
      <c r="Q123" s="15"/>
      <c r="R123" s="18" t="s">
        <v>51</v>
      </c>
      <c r="S123" s="19"/>
      <c r="T123" s="17" t="str">
        <f aca="false">IF(R123="維持",J123,IF(R123="排除","無關新聞事件",IFERROR(INDEX(事件規則!$B$2:$B$53,MATCH(S123,事件規則!$A$2:$A$53,0)),"")))</f>
        <v>無關新聞事件</v>
      </c>
      <c r="U123" s="20" t="n">
        <f aca="false">IF(R123="維持",K123,IF(R123="排除",0,IFERROR(INDEX(事件規則!$C$2:$C$53,MATCH(S123,事件規則!$A$2:$A$53,0)),"")))</f>
        <v>0</v>
      </c>
      <c r="V123" s="21"/>
      <c r="W123" s="22"/>
      <c r="X123" s="10" t="str">
        <f aca="false">IF(AND(R123="修改",S123=""),"請選新事件代碼",IF(AND(R123&lt;&gt;"修改",S123&lt;&gt;""),"只有「修改」才需填代碼",""))</f>
        <v/>
      </c>
      <c r="Y123" s="21"/>
      <c r="Z123" s="22"/>
      <c r="AA123" s="12" t="s">
        <v>549</v>
      </c>
      <c r="AB123" s="12"/>
    </row>
    <row r="124" customFormat="false" ht="29.85" hidden="false" customHeight="false" outlineLevel="0" collapsed="false">
      <c r="A124" s="15" t="n">
        <v>123</v>
      </c>
      <c r="B124" s="9" t="s">
        <v>55</v>
      </c>
      <c r="C124" s="9" t="s">
        <v>550</v>
      </c>
      <c r="D124" s="10" t="s">
        <v>551</v>
      </c>
      <c r="E124" s="11" t="s">
        <v>552</v>
      </c>
      <c r="F124" s="17"/>
      <c r="G124" s="12" t="s">
        <v>553</v>
      </c>
      <c r="H124" s="13" t="n">
        <v>-0.337</v>
      </c>
      <c r="I124" s="14"/>
      <c r="J124" s="17"/>
      <c r="K124" s="9"/>
      <c r="L124" s="15" t="s">
        <v>50</v>
      </c>
      <c r="M124" s="16" t="s">
        <v>51</v>
      </c>
      <c r="N124" s="14"/>
      <c r="O124" s="15" t="s">
        <v>52</v>
      </c>
      <c r="P124" s="17" t="s">
        <v>53</v>
      </c>
      <c r="Q124" s="15"/>
      <c r="R124" s="18" t="s">
        <v>51</v>
      </c>
      <c r="S124" s="19"/>
      <c r="T124" s="17" t="str">
        <f aca="false">IF(R124="維持",J124,IF(R124="排除","無關新聞事件",IFERROR(INDEX(事件規則!$B$2:$B$53,MATCH(S124,事件規則!$A$2:$A$53,0)),"")))</f>
        <v>無關新聞事件</v>
      </c>
      <c r="U124" s="20" t="n">
        <f aca="false">IF(R124="維持",K124,IF(R124="排除",0,IFERROR(INDEX(事件規則!$C$2:$C$53,MATCH(S124,事件規則!$A$2:$A$53,0)),"")))</f>
        <v>0</v>
      </c>
      <c r="V124" s="21"/>
      <c r="W124" s="22"/>
      <c r="X124" s="10" t="str">
        <f aca="false">IF(AND(R124="修改",S124=""),"請選新事件代碼",IF(AND(R124&lt;&gt;"修改",S124&lt;&gt;""),"只有「修改」才需填代碼",""))</f>
        <v/>
      </c>
      <c r="Y124" s="21"/>
      <c r="Z124" s="22"/>
      <c r="AA124" s="12" t="s">
        <v>554</v>
      </c>
      <c r="AB124" s="12"/>
    </row>
    <row r="125" customFormat="false" ht="29.85" hidden="false" customHeight="false" outlineLevel="0" collapsed="false">
      <c r="A125" s="15" t="n">
        <v>124</v>
      </c>
      <c r="B125" s="9" t="s">
        <v>45</v>
      </c>
      <c r="C125" s="9" t="s">
        <v>555</v>
      </c>
      <c r="D125" s="10" t="s">
        <v>556</v>
      </c>
      <c r="E125" s="11" t="s">
        <v>557</v>
      </c>
      <c r="F125" s="17"/>
      <c r="G125" s="12" t="s">
        <v>95</v>
      </c>
      <c r="H125" s="13" t="n">
        <v>-0.336</v>
      </c>
      <c r="I125" s="14"/>
      <c r="J125" s="17"/>
      <c r="K125" s="9"/>
      <c r="L125" s="15" t="s">
        <v>50</v>
      </c>
      <c r="M125" s="16" t="s">
        <v>51</v>
      </c>
      <c r="N125" s="14"/>
      <c r="O125" s="15" t="s">
        <v>52</v>
      </c>
      <c r="P125" s="17" t="s">
        <v>53</v>
      </c>
      <c r="Q125" s="15"/>
      <c r="R125" s="18" t="s">
        <v>51</v>
      </c>
      <c r="S125" s="19"/>
      <c r="T125" s="17" t="str">
        <f aca="false">IF(R125="維持",J125,IF(R125="排除","無關新聞事件",IFERROR(INDEX(事件規則!$B$2:$B$53,MATCH(S125,事件規則!$A$2:$A$53,0)),"")))</f>
        <v>無關新聞事件</v>
      </c>
      <c r="U125" s="20" t="n">
        <f aca="false">IF(R125="維持",K125,IF(R125="排除",0,IFERROR(INDEX(事件規則!$C$2:$C$53,MATCH(S125,事件規則!$A$2:$A$53,0)),"")))</f>
        <v>0</v>
      </c>
      <c r="V125" s="21"/>
      <c r="W125" s="22"/>
      <c r="X125" s="10" t="str">
        <f aca="false">IF(AND(R125="修改",S125=""),"請選新事件代碼",IF(AND(R125&lt;&gt;"修改",S125&lt;&gt;""),"只有「修改」才需填代碼",""))</f>
        <v/>
      </c>
      <c r="Y125" s="21"/>
      <c r="Z125" s="22"/>
      <c r="AA125" s="12" t="s">
        <v>558</v>
      </c>
      <c r="AB125" s="12"/>
    </row>
    <row r="126" customFormat="false" ht="29.85" hidden="false" customHeight="false" outlineLevel="0" collapsed="false">
      <c r="A126" s="15" t="n">
        <v>125</v>
      </c>
      <c r="B126" s="9" t="s">
        <v>112</v>
      </c>
      <c r="C126" s="9" t="s">
        <v>559</v>
      </c>
      <c r="D126" s="10" t="s">
        <v>560</v>
      </c>
      <c r="E126" s="11" t="s">
        <v>561</v>
      </c>
      <c r="F126" s="17"/>
      <c r="G126" s="12" t="s">
        <v>116</v>
      </c>
      <c r="H126" s="13" t="n">
        <v>-0.335</v>
      </c>
      <c r="I126" s="14"/>
      <c r="J126" s="17"/>
      <c r="K126" s="9"/>
      <c r="L126" s="15" t="s">
        <v>50</v>
      </c>
      <c r="M126" s="16" t="s">
        <v>51</v>
      </c>
      <c r="N126" s="14"/>
      <c r="O126" s="15" t="s">
        <v>52</v>
      </c>
      <c r="P126" s="17" t="s">
        <v>53</v>
      </c>
      <c r="Q126" s="15"/>
      <c r="R126" s="18" t="s">
        <v>51</v>
      </c>
      <c r="S126" s="19"/>
      <c r="T126" s="17" t="str">
        <f aca="false">IF(R126="維持",J126,IF(R126="排除","無關新聞事件",IFERROR(INDEX(事件規則!$B$2:$B$53,MATCH(S126,事件規則!$A$2:$A$53,0)),"")))</f>
        <v>無關新聞事件</v>
      </c>
      <c r="U126" s="20" t="n">
        <f aca="false">IF(R126="維持",K126,IF(R126="排除",0,IFERROR(INDEX(事件規則!$C$2:$C$53,MATCH(S126,事件規則!$A$2:$A$53,0)),"")))</f>
        <v>0</v>
      </c>
      <c r="V126" s="21"/>
      <c r="W126" s="22"/>
      <c r="X126" s="10" t="str">
        <f aca="false">IF(AND(R126="修改",S126=""),"請選新事件代碼",IF(AND(R126&lt;&gt;"修改",S126&lt;&gt;""),"只有「修改」才需填代碼",""))</f>
        <v/>
      </c>
      <c r="Y126" s="21"/>
      <c r="Z126" s="22"/>
      <c r="AA126" s="12" t="s">
        <v>562</v>
      </c>
      <c r="AB126" s="12"/>
    </row>
    <row r="127" customFormat="false" ht="29.85" hidden="false" customHeight="false" outlineLevel="0" collapsed="false">
      <c r="A127" s="15" t="n">
        <v>126</v>
      </c>
      <c r="B127" s="9" t="s">
        <v>112</v>
      </c>
      <c r="C127" s="9" t="s">
        <v>563</v>
      </c>
      <c r="D127" s="10" t="s">
        <v>564</v>
      </c>
      <c r="E127" s="11" t="s">
        <v>565</v>
      </c>
      <c r="F127" s="17"/>
      <c r="G127" s="12" t="s">
        <v>566</v>
      </c>
      <c r="H127" s="13" t="n">
        <v>-0.334</v>
      </c>
      <c r="I127" s="14"/>
      <c r="J127" s="17"/>
      <c r="K127" s="9"/>
      <c r="L127" s="15" t="s">
        <v>50</v>
      </c>
      <c r="M127" s="16" t="s">
        <v>51</v>
      </c>
      <c r="N127" s="14"/>
      <c r="O127" s="15" t="s">
        <v>52</v>
      </c>
      <c r="P127" s="17" t="s">
        <v>53</v>
      </c>
      <c r="Q127" s="15"/>
      <c r="R127" s="18" t="s">
        <v>51</v>
      </c>
      <c r="S127" s="19"/>
      <c r="T127" s="17" t="str">
        <f aca="false">IF(R127="維持",J127,IF(R127="排除","無關新聞事件",IFERROR(INDEX(事件規則!$B$2:$B$53,MATCH(S127,事件規則!$A$2:$A$53,0)),"")))</f>
        <v>無關新聞事件</v>
      </c>
      <c r="U127" s="20" t="n">
        <f aca="false">IF(R127="維持",K127,IF(R127="排除",0,IFERROR(INDEX(事件規則!$C$2:$C$53,MATCH(S127,事件規則!$A$2:$A$53,0)),"")))</f>
        <v>0</v>
      </c>
      <c r="V127" s="21"/>
      <c r="W127" s="22"/>
      <c r="X127" s="10" t="str">
        <f aca="false">IF(AND(R127="修改",S127=""),"請選新事件代碼",IF(AND(R127&lt;&gt;"修改",S127&lt;&gt;""),"只有「修改」才需填代碼",""))</f>
        <v/>
      </c>
      <c r="Y127" s="21"/>
      <c r="Z127" s="22"/>
      <c r="AA127" s="12" t="s">
        <v>567</v>
      </c>
      <c r="AB127" s="12"/>
    </row>
    <row r="128" customFormat="false" ht="29.85" hidden="false" customHeight="false" outlineLevel="0" collapsed="false">
      <c r="A128" s="15" t="n">
        <v>127</v>
      </c>
      <c r="B128" s="9" t="s">
        <v>112</v>
      </c>
      <c r="C128" s="9" t="s">
        <v>326</v>
      </c>
      <c r="D128" s="10" t="s">
        <v>326</v>
      </c>
      <c r="E128" s="11" t="s">
        <v>565</v>
      </c>
      <c r="F128" s="17"/>
      <c r="G128" s="12" t="s">
        <v>566</v>
      </c>
      <c r="H128" s="13" t="n">
        <v>-0.334</v>
      </c>
      <c r="I128" s="14"/>
      <c r="J128" s="17"/>
      <c r="K128" s="9"/>
      <c r="L128" s="15" t="s">
        <v>50</v>
      </c>
      <c r="M128" s="16" t="s">
        <v>51</v>
      </c>
      <c r="N128" s="14"/>
      <c r="O128" s="15" t="s">
        <v>52</v>
      </c>
      <c r="P128" s="17" t="s">
        <v>53</v>
      </c>
      <c r="Q128" s="15"/>
      <c r="R128" s="18" t="s">
        <v>51</v>
      </c>
      <c r="S128" s="19"/>
      <c r="T128" s="17" t="str">
        <f aca="false">IF(R128="維持",J128,IF(R128="排除","無關新聞事件",IFERROR(INDEX(事件規則!$B$2:$B$53,MATCH(S128,事件規則!$A$2:$A$53,0)),"")))</f>
        <v>無關新聞事件</v>
      </c>
      <c r="U128" s="20" t="n">
        <f aca="false">IF(R128="維持",K128,IF(R128="排除",0,IFERROR(INDEX(事件規則!$C$2:$C$53,MATCH(S128,事件規則!$A$2:$A$53,0)),"")))</f>
        <v>0</v>
      </c>
      <c r="V128" s="21"/>
      <c r="W128" s="22"/>
      <c r="X128" s="10" t="str">
        <f aca="false">IF(AND(R128="修改",S128=""),"請選新事件代碼",IF(AND(R128&lt;&gt;"修改",S128&lt;&gt;""),"只有「修改」才需填代碼",""))</f>
        <v/>
      </c>
      <c r="Y128" s="21"/>
      <c r="Z128" s="22"/>
      <c r="AA128" s="12" t="s">
        <v>568</v>
      </c>
      <c r="AB128" s="12"/>
    </row>
    <row r="129" customFormat="false" ht="29.85" hidden="false" customHeight="false" outlineLevel="0" collapsed="false">
      <c r="A129" s="15" t="n">
        <v>128</v>
      </c>
      <c r="B129" s="9" t="s">
        <v>112</v>
      </c>
      <c r="C129" s="9" t="s">
        <v>569</v>
      </c>
      <c r="D129" s="10" t="s">
        <v>570</v>
      </c>
      <c r="E129" s="11" t="s">
        <v>571</v>
      </c>
      <c r="F129" s="17"/>
      <c r="G129" s="12" t="s">
        <v>572</v>
      </c>
      <c r="H129" s="13" t="n">
        <v>-0.331</v>
      </c>
      <c r="I129" s="14"/>
      <c r="J129" s="17"/>
      <c r="K129" s="9"/>
      <c r="L129" s="15" t="s">
        <v>50</v>
      </c>
      <c r="M129" s="16" t="s">
        <v>51</v>
      </c>
      <c r="N129" s="14"/>
      <c r="O129" s="15" t="s">
        <v>52</v>
      </c>
      <c r="P129" s="17" t="s">
        <v>53</v>
      </c>
      <c r="Q129" s="15"/>
      <c r="R129" s="18" t="s">
        <v>51</v>
      </c>
      <c r="S129" s="19"/>
      <c r="T129" s="17" t="str">
        <f aca="false">IF(R129="維持",J129,IF(R129="排除","無關新聞事件",IFERROR(INDEX(事件規則!$B$2:$B$53,MATCH(S129,事件規則!$A$2:$A$53,0)),"")))</f>
        <v>無關新聞事件</v>
      </c>
      <c r="U129" s="20" t="n">
        <f aca="false">IF(R129="維持",K129,IF(R129="排除",0,IFERROR(INDEX(事件規則!$C$2:$C$53,MATCH(S129,事件規則!$A$2:$A$53,0)),"")))</f>
        <v>0</v>
      </c>
      <c r="V129" s="21"/>
      <c r="W129" s="22"/>
      <c r="X129" s="10" t="str">
        <f aca="false">IF(AND(R129="修改",S129=""),"請選新事件代碼",IF(AND(R129&lt;&gt;"修改",S129&lt;&gt;""),"只有「修改」才需填代碼",""))</f>
        <v/>
      </c>
      <c r="Y129" s="21"/>
      <c r="Z129" s="22"/>
      <c r="AA129" s="12" t="s">
        <v>573</v>
      </c>
      <c r="AB129" s="12"/>
    </row>
    <row r="130" customFormat="false" ht="29.85" hidden="false" customHeight="false" outlineLevel="0" collapsed="false">
      <c r="A130" s="15" t="n">
        <v>129</v>
      </c>
      <c r="B130" s="9" t="s">
        <v>45</v>
      </c>
      <c r="C130" s="9" t="s">
        <v>202</v>
      </c>
      <c r="D130" s="10" t="s">
        <v>203</v>
      </c>
      <c r="E130" s="11" t="s">
        <v>574</v>
      </c>
      <c r="F130" s="17"/>
      <c r="G130" s="12" t="s">
        <v>205</v>
      </c>
      <c r="H130" s="13" t="n">
        <v>-0.331</v>
      </c>
      <c r="I130" s="14"/>
      <c r="J130" s="17"/>
      <c r="K130" s="9"/>
      <c r="L130" s="15" t="s">
        <v>50</v>
      </c>
      <c r="M130" s="16" t="s">
        <v>51</v>
      </c>
      <c r="N130" s="14"/>
      <c r="O130" s="15" t="s">
        <v>52</v>
      </c>
      <c r="P130" s="17" t="s">
        <v>53</v>
      </c>
      <c r="Q130" s="15"/>
      <c r="R130" s="18" t="s">
        <v>51</v>
      </c>
      <c r="S130" s="19"/>
      <c r="T130" s="17" t="str">
        <f aca="false">IF(R130="維持",J130,IF(R130="排除","無關新聞事件",IFERROR(INDEX(事件規則!$B$2:$B$53,MATCH(S130,事件規則!$A$2:$A$53,0)),"")))</f>
        <v>無關新聞事件</v>
      </c>
      <c r="U130" s="20" t="n">
        <f aca="false">IF(R130="維持",K130,IF(R130="排除",0,IFERROR(INDEX(事件規則!$C$2:$C$53,MATCH(S130,事件規則!$A$2:$A$53,0)),"")))</f>
        <v>0</v>
      </c>
      <c r="V130" s="21"/>
      <c r="W130" s="22"/>
      <c r="X130" s="10" t="str">
        <f aca="false">IF(AND(R130="修改",S130=""),"請選新事件代碼",IF(AND(R130&lt;&gt;"修改",S130&lt;&gt;""),"只有「修改」才需填代碼",""))</f>
        <v/>
      </c>
      <c r="Y130" s="21"/>
      <c r="Z130" s="22"/>
      <c r="AA130" s="12" t="s">
        <v>575</v>
      </c>
      <c r="AB130" s="12"/>
    </row>
    <row r="131" customFormat="false" ht="29.85" hidden="false" customHeight="false" outlineLevel="0" collapsed="false">
      <c r="A131" s="15" t="n">
        <v>130</v>
      </c>
      <c r="B131" s="9" t="s">
        <v>45</v>
      </c>
      <c r="C131" s="9" t="s">
        <v>576</v>
      </c>
      <c r="D131" s="10" t="s">
        <v>577</v>
      </c>
      <c r="E131" s="11" t="s">
        <v>578</v>
      </c>
      <c r="F131" s="17"/>
      <c r="G131" s="12" t="s">
        <v>59</v>
      </c>
      <c r="H131" s="13" t="n">
        <v>-0.33</v>
      </c>
      <c r="I131" s="14"/>
      <c r="J131" s="17"/>
      <c r="K131" s="9"/>
      <c r="L131" s="15" t="s">
        <v>50</v>
      </c>
      <c r="M131" s="16" t="s">
        <v>51</v>
      </c>
      <c r="N131" s="14"/>
      <c r="O131" s="15" t="s">
        <v>52</v>
      </c>
      <c r="P131" s="17" t="s">
        <v>53</v>
      </c>
      <c r="Q131" s="15"/>
      <c r="R131" s="18" t="s">
        <v>51</v>
      </c>
      <c r="S131" s="19"/>
      <c r="T131" s="17" t="str">
        <f aca="false">IF(R131="維持",J131,IF(R131="排除","無關新聞事件",IFERROR(INDEX(事件規則!$B$2:$B$53,MATCH(S131,事件規則!$A$2:$A$53,0)),"")))</f>
        <v>無關新聞事件</v>
      </c>
      <c r="U131" s="20" t="n">
        <f aca="false">IF(R131="維持",K131,IF(R131="排除",0,IFERROR(INDEX(事件規則!$C$2:$C$53,MATCH(S131,事件規則!$A$2:$A$53,0)),"")))</f>
        <v>0</v>
      </c>
      <c r="V131" s="21"/>
      <c r="W131" s="22"/>
      <c r="X131" s="10" t="str">
        <f aca="false">IF(AND(R131="修改",S131=""),"請選新事件代碼",IF(AND(R131&lt;&gt;"修改",S131&lt;&gt;""),"只有「修改」才需填代碼",""))</f>
        <v/>
      </c>
      <c r="Y131" s="21"/>
      <c r="Z131" s="22"/>
      <c r="AA131" s="12" t="s">
        <v>579</v>
      </c>
      <c r="AB131" s="12"/>
    </row>
    <row r="132" customFormat="false" ht="15" hidden="false" customHeight="false" outlineLevel="0" collapsed="false">
      <c r="A132" s="15" t="n">
        <v>131</v>
      </c>
      <c r="B132" s="9" t="s">
        <v>45</v>
      </c>
      <c r="C132" s="9" t="s">
        <v>580</v>
      </c>
      <c r="D132" s="10" t="s">
        <v>581</v>
      </c>
      <c r="E132" s="11" t="s">
        <v>582</v>
      </c>
      <c r="F132" s="17"/>
      <c r="G132" s="12" t="s">
        <v>95</v>
      </c>
      <c r="H132" s="13" t="n">
        <v>-0.329</v>
      </c>
      <c r="I132" s="14"/>
      <c r="J132" s="17"/>
      <c r="K132" s="9"/>
      <c r="L132" s="15" t="s">
        <v>50</v>
      </c>
      <c r="M132" s="16" t="s">
        <v>131</v>
      </c>
      <c r="N132" s="14" t="s">
        <v>181</v>
      </c>
      <c r="O132" s="15" t="s">
        <v>52</v>
      </c>
      <c r="P132" s="17" t="s">
        <v>583</v>
      </c>
      <c r="Q132" s="15"/>
      <c r="R132" s="18" t="s">
        <v>131</v>
      </c>
      <c r="S132" s="19" t="s">
        <v>181</v>
      </c>
      <c r="T132" s="17" t="str">
        <f aca="false">IF(R132="維持",J132,IF(R132="排除","無關新聞事件",IFERROR(INDEX(事件規則!$B$2:$B$53,MATCH(S132,事件規則!$A$2:$A$53,0)),"")))</f>
        <v>股價下跌</v>
      </c>
      <c r="U132" s="20" t="n">
        <f aca="false">IF(R132="維持",K132,IF(R132="排除",0,IFERROR(INDEX(事件規則!$C$2:$C$53,MATCH(S132,事件規則!$A$2:$A$53,0)),"")))</f>
        <v>1</v>
      </c>
      <c r="V132" s="21"/>
      <c r="W132" s="22"/>
      <c r="X132" s="10" t="str">
        <f aca="false">IF(AND(R132="修改",S132=""),"請選新事件代碼",IF(AND(R132&lt;&gt;"修改",S132&lt;&gt;""),"只有「修改」才需填代碼",""))</f>
        <v/>
      </c>
      <c r="Y132" s="21"/>
      <c r="Z132" s="22"/>
      <c r="AA132" s="12" t="s">
        <v>584</v>
      </c>
      <c r="AB132" s="12"/>
    </row>
    <row r="133" customFormat="false" ht="29.85" hidden="false" customHeight="false" outlineLevel="0" collapsed="false">
      <c r="A133" s="15" t="n">
        <v>132</v>
      </c>
      <c r="B133" s="9" t="s">
        <v>112</v>
      </c>
      <c r="C133" s="9" t="s">
        <v>585</v>
      </c>
      <c r="D133" s="10" t="s">
        <v>586</v>
      </c>
      <c r="E133" s="11" t="s">
        <v>587</v>
      </c>
      <c r="F133" s="17"/>
      <c r="G133" s="12" t="s">
        <v>49</v>
      </c>
      <c r="H133" s="13" t="n">
        <v>-0.327</v>
      </c>
      <c r="I133" s="14"/>
      <c r="J133" s="17"/>
      <c r="K133" s="9"/>
      <c r="L133" s="15" t="s">
        <v>50</v>
      </c>
      <c r="M133" s="16" t="s">
        <v>51</v>
      </c>
      <c r="N133" s="14"/>
      <c r="O133" s="15" t="s">
        <v>52</v>
      </c>
      <c r="P133" s="17" t="s">
        <v>53</v>
      </c>
      <c r="Q133" s="15"/>
      <c r="R133" s="18" t="s">
        <v>51</v>
      </c>
      <c r="S133" s="19"/>
      <c r="T133" s="17" t="str">
        <f aca="false">IF(R133="維持",J133,IF(R133="排除","無關新聞事件",IFERROR(INDEX(事件規則!$B$2:$B$53,MATCH(S133,事件規則!$A$2:$A$53,0)),"")))</f>
        <v>無關新聞事件</v>
      </c>
      <c r="U133" s="20" t="n">
        <f aca="false">IF(R133="維持",K133,IF(R133="排除",0,IFERROR(INDEX(事件規則!$C$2:$C$53,MATCH(S133,事件規則!$A$2:$A$53,0)),"")))</f>
        <v>0</v>
      </c>
      <c r="V133" s="21"/>
      <c r="W133" s="22"/>
      <c r="X133" s="10" t="str">
        <f aca="false">IF(AND(R133="修改",S133=""),"請選新事件代碼",IF(AND(R133&lt;&gt;"修改",S133&lt;&gt;""),"只有「修改」才需填代碼",""))</f>
        <v/>
      </c>
      <c r="Y133" s="21"/>
      <c r="Z133" s="22"/>
      <c r="AA133" s="12" t="s">
        <v>588</v>
      </c>
      <c r="AB133" s="12"/>
    </row>
    <row r="134" customFormat="false" ht="29.85" hidden="false" customHeight="false" outlineLevel="0" collapsed="false">
      <c r="A134" s="15" t="n">
        <v>133</v>
      </c>
      <c r="B134" s="9" t="s">
        <v>81</v>
      </c>
      <c r="C134" s="9" t="s">
        <v>476</v>
      </c>
      <c r="D134" s="10" t="s">
        <v>477</v>
      </c>
      <c r="E134" s="11" t="s">
        <v>589</v>
      </c>
      <c r="F134" s="17"/>
      <c r="G134" s="12" t="s">
        <v>590</v>
      </c>
      <c r="H134" s="13" t="n">
        <v>-0.327</v>
      </c>
      <c r="I134" s="14"/>
      <c r="J134" s="17"/>
      <c r="K134" s="9"/>
      <c r="L134" s="15" t="s">
        <v>50</v>
      </c>
      <c r="M134" s="16" t="s">
        <v>51</v>
      </c>
      <c r="N134" s="14"/>
      <c r="O134" s="15" t="s">
        <v>52</v>
      </c>
      <c r="P134" s="17" t="s">
        <v>53</v>
      </c>
      <c r="Q134" s="15"/>
      <c r="R134" s="18" t="s">
        <v>51</v>
      </c>
      <c r="S134" s="19"/>
      <c r="T134" s="17" t="str">
        <f aca="false">IF(R134="維持",J134,IF(R134="排除","無關新聞事件",IFERROR(INDEX(事件規則!$B$2:$B$53,MATCH(S134,事件規則!$A$2:$A$53,0)),"")))</f>
        <v>無關新聞事件</v>
      </c>
      <c r="U134" s="20" t="n">
        <f aca="false">IF(R134="維持",K134,IF(R134="排除",0,IFERROR(INDEX(事件規則!$C$2:$C$53,MATCH(S134,事件規則!$A$2:$A$53,0)),"")))</f>
        <v>0</v>
      </c>
      <c r="V134" s="21"/>
      <c r="W134" s="22"/>
      <c r="X134" s="10" t="str">
        <f aca="false">IF(AND(R134="修改",S134=""),"請選新事件代碼",IF(AND(R134&lt;&gt;"修改",S134&lt;&gt;""),"只有「修改」才需填代碼",""))</f>
        <v/>
      </c>
      <c r="Y134" s="21"/>
      <c r="Z134" s="22"/>
      <c r="AA134" s="12" t="s">
        <v>591</v>
      </c>
      <c r="AB134" s="12"/>
    </row>
    <row r="135" customFormat="false" ht="29.85" hidden="false" customHeight="false" outlineLevel="0" collapsed="false">
      <c r="A135" s="15" t="n">
        <v>134</v>
      </c>
      <c r="B135" s="9" t="s">
        <v>112</v>
      </c>
      <c r="C135" s="15"/>
      <c r="D135" s="10" t="s">
        <v>570</v>
      </c>
      <c r="E135" s="23" t="s">
        <v>592</v>
      </c>
      <c r="F135" s="17" t="s">
        <v>593</v>
      </c>
      <c r="G135" s="12" t="s">
        <v>176</v>
      </c>
      <c r="H135" s="13" t="n">
        <v>-0.323</v>
      </c>
      <c r="I135" s="14"/>
      <c r="J135" s="17"/>
      <c r="K135" s="9"/>
      <c r="L135" s="15" t="s">
        <v>50</v>
      </c>
      <c r="M135" s="16" t="s">
        <v>51</v>
      </c>
      <c r="N135" s="14"/>
      <c r="O135" s="15" t="s">
        <v>52</v>
      </c>
      <c r="P135" s="17" t="s">
        <v>53</v>
      </c>
      <c r="Q135" s="15"/>
      <c r="R135" s="18" t="s">
        <v>51</v>
      </c>
      <c r="S135" s="19"/>
      <c r="T135" s="17" t="str">
        <f aca="false">IF(R135="維持",J135,IF(R135="排除","無關新聞事件",IFERROR(INDEX(事件規則!$B$2:$B$53,MATCH(S135,事件規則!$A$2:$A$53,0)),"")))</f>
        <v>無關新聞事件</v>
      </c>
      <c r="U135" s="20" t="n">
        <f aca="false">IF(R135="維持",K135,IF(R135="排除",0,IFERROR(INDEX(事件規則!$C$2:$C$53,MATCH(S135,事件規則!$A$2:$A$53,0)),"")))</f>
        <v>0</v>
      </c>
      <c r="V135" s="21"/>
      <c r="W135" s="22"/>
      <c r="X135" s="10" t="str">
        <f aca="false">IF(AND(R135="修改",S135=""),"請選新事件代碼",IF(AND(R135&lt;&gt;"修改",S135&lt;&gt;""),"只有「修改」才需填代碼",""))</f>
        <v/>
      </c>
      <c r="Y135" s="21"/>
      <c r="Z135" s="22"/>
      <c r="AA135" s="12" t="s">
        <v>594</v>
      </c>
      <c r="AB135" s="12"/>
    </row>
    <row r="136" customFormat="false" ht="29.85" hidden="false" customHeight="false" outlineLevel="0" collapsed="false">
      <c r="A136" s="15" t="n">
        <v>135</v>
      </c>
      <c r="B136" s="9" t="s">
        <v>45</v>
      </c>
      <c r="C136" s="9" t="s">
        <v>595</v>
      </c>
      <c r="D136" s="10" t="s">
        <v>596</v>
      </c>
      <c r="E136" s="11" t="s">
        <v>597</v>
      </c>
      <c r="F136" s="17"/>
      <c r="G136" s="12" t="s">
        <v>548</v>
      </c>
      <c r="H136" s="13" t="n">
        <v>-0.323</v>
      </c>
      <c r="I136" s="14"/>
      <c r="J136" s="17"/>
      <c r="K136" s="9"/>
      <c r="L136" s="15" t="s">
        <v>50</v>
      </c>
      <c r="M136" s="16" t="s">
        <v>51</v>
      </c>
      <c r="N136" s="14"/>
      <c r="O136" s="15" t="s">
        <v>52</v>
      </c>
      <c r="P136" s="17" t="s">
        <v>53</v>
      </c>
      <c r="Q136" s="15"/>
      <c r="R136" s="18" t="s">
        <v>51</v>
      </c>
      <c r="S136" s="19"/>
      <c r="T136" s="17" t="str">
        <f aca="false">IF(R136="維持",J136,IF(R136="排除","無關新聞事件",IFERROR(INDEX(事件規則!$B$2:$B$53,MATCH(S136,事件規則!$A$2:$A$53,0)),"")))</f>
        <v>無關新聞事件</v>
      </c>
      <c r="U136" s="20" t="n">
        <f aca="false">IF(R136="維持",K136,IF(R136="排除",0,IFERROR(INDEX(事件規則!$C$2:$C$53,MATCH(S136,事件規則!$A$2:$A$53,0)),"")))</f>
        <v>0</v>
      </c>
      <c r="V136" s="21"/>
      <c r="W136" s="22"/>
      <c r="X136" s="10" t="str">
        <f aca="false">IF(AND(R136="修改",S136=""),"請選新事件代碼",IF(AND(R136&lt;&gt;"修改",S136&lt;&gt;""),"只有「修改」才需填代碼",""))</f>
        <v/>
      </c>
      <c r="Y136" s="21"/>
      <c r="Z136" s="22"/>
      <c r="AA136" s="12" t="s">
        <v>598</v>
      </c>
      <c r="AB136" s="12"/>
    </row>
    <row r="137" customFormat="false" ht="29.85" hidden="false" customHeight="false" outlineLevel="0" collapsed="false">
      <c r="A137" s="15" t="n">
        <v>136</v>
      </c>
      <c r="B137" s="9" t="s">
        <v>55</v>
      </c>
      <c r="C137" s="9" t="s">
        <v>476</v>
      </c>
      <c r="D137" s="10" t="s">
        <v>477</v>
      </c>
      <c r="E137" s="11" t="s">
        <v>599</v>
      </c>
      <c r="F137" s="17"/>
      <c r="G137" s="12" t="s">
        <v>600</v>
      </c>
      <c r="H137" s="13" t="n">
        <v>-0.319</v>
      </c>
      <c r="I137" s="14"/>
      <c r="J137" s="17"/>
      <c r="K137" s="9"/>
      <c r="L137" s="15" t="s">
        <v>50</v>
      </c>
      <c r="M137" s="16" t="s">
        <v>51</v>
      </c>
      <c r="N137" s="14"/>
      <c r="O137" s="15" t="s">
        <v>52</v>
      </c>
      <c r="P137" s="17" t="s">
        <v>53</v>
      </c>
      <c r="Q137" s="15"/>
      <c r="R137" s="18" t="s">
        <v>51</v>
      </c>
      <c r="S137" s="19"/>
      <c r="T137" s="17" t="str">
        <f aca="false">IF(R137="維持",J137,IF(R137="排除","無關新聞事件",IFERROR(INDEX(事件規則!$B$2:$B$53,MATCH(S137,事件規則!$A$2:$A$53,0)),"")))</f>
        <v>無關新聞事件</v>
      </c>
      <c r="U137" s="20" t="n">
        <f aca="false">IF(R137="維持",K137,IF(R137="排除",0,IFERROR(INDEX(事件規則!$C$2:$C$53,MATCH(S137,事件規則!$A$2:$A$53,0)),"")))</f>
        <v>0</v>
      </c>
      <c r="V137" s="21"/>
      <c r="W137" s="22"/>
      <c r="X137" s="10" t="str">
        <f aca="false">IF(AND(R137="修改",S137=""),"請選新事件代碼",IF(AND(R137&lt;&gt;"修改",S137&lt;&gt;""),"只有「修改」才需填代碼",""))</f>
        <v/>
      </c>
      <c r="Y137" s="21"/>
      <c r="Z137" s="22"/>
      <c r="AA137" s="12" t="s">
        <v>601</v>
      </c>
      <c r="AB137" s="12"/>
    </row>
    <row r="138" customFormat="false" ht="29.85" hidden="false" customHeight="false" outlineLevel="0" collapsed="false">
      <c r="A138" s="15" t="n">
        <v>137</v>
      </c>
      <c r="B138" s="9" t="s">
        <v>45</v>
      </c>
      <c r="C138" s="9" t="s">
        <v>602</v>
      </c>
      <c r="D138" s="10" t="s">
        <v>603</v>
      </c>
      <c r="E138" s="11" t="s">
        <v>604</v>
      </c>
      <c r="F138" s="17"/>
      <c r="G138" s="12" t="s">
        <v>605</v>
      </c>
      <c r="H138" s="13" t="n">
        <v>-0.318</v>
      </c>
      <c r="I138" s="14"/>
      <c r="J138" s="17"/>
      <c r="K138" s="9"/>
      <c r="L138" s="15" t="s">
        <v>50</v>
      </c>
      <c r="M138" s="16" t="s">
        <v>51</v>
      </c>
      <c r="N138" s="14"/>
      <c r="O138" s="15" t="s">
        <v>52</v>
      </c>
      <c r="P138" s="17" t="s">
        <v>53</v>
      </c>
      <c r="Q138" s="15"/>
      <c r="R138" s="18" t="s">
        <v>51</v>
      </c>
      <c r="S138" s="19"/>
      <c r="T138" s="17" t="str">
        <f aca="false">IF(R138="維持",J138,IF(R138="排除","無關新聞事件",IFERROR(INDEX(事件規則!$B$2:$B$53,MATCH(S138,事件規則!$A$2:$A$53,0)),"")))</f>
        <v>無關新聞事件</v>
      </c>
      <c r="U138" s="20" t="n">
        <f aca="false">IF(R138="維持",K138,IF(R138="排除",0,IFERROR(INDEX(事件規則!$C$2:$C$53,MATCH(S138,事件規則!$A$2:$A$53,0)),"")))</f>
        <v>0</v>
      </c>
      <c r="V138" s="21"/>
      <c r="W138" s="22"/>
      <c r="X138" s="10" t="str">
        <f aca="false">IF(AND(R138="修改",S138=""),"請選新事件代碼",IF(AND(R138&lt;&gt;"修改",S138&lt;&gt;""),"只有「修改」才需填代碼",""))</f>
        <v/>
      </c>
      <c r="Y138" s="21"/>
      <c r="Z138" s="22"/>
      <c r="AA138" s="12" t="s">
        <v>606</v>
      </c>
      <c r="AB138" s="12"/>
    </row>
    <row r="139" customFormat="false" ht="29.85" hidden="false" customHeight="false" outlineLevel="0" collapsed="false">
      <c r="A139" s="15" t="n">
        <v>138</v>
      </c>
      <c r="B139" s="9" t="s">
        <v>45</v>
      </c>
      <c r="C139" s="9" t="s">
        <v>607</v>
      </c>
      <c r="D139" s="10" t="s">
        <v>608</v>
      </c>
      <c r="E139" s="11" t="s">
        <v>609</v>
      </c>
      <c r="F139" s="17"/>
      <c r="G139" s="12" t="s">
        <v>610</v>
      </c>
      <c r="H139" s="13" t="n">
        <v>-0.307</v>
      </c>
      <c r="I139" s="14"/>
      <c r="J139" s="17"/>
      <c r="K139" s="9"/>
      <c r="L139" s="15" t="s">
        <v>50</v>
      </c>
      <c r="M139" s="16" t="s">
        <v>51</v>
      </c>
      <c r="N139" s="14"/>
      <c r="O139" s="15" t="s">
        <v>52</v>
      </c>
      <c r="P139" s="17" t="s">
        <v>53</v>
      </c>
      <c r="Q139" s="15"/>
      <c r="R139" s="18" t="s">
        <v>51</v>
      </c>
      <c r="S139" s="19"/>
      <c r="T139" s="17" t="str">
        <f aca="false">IF(R139="維持",J139,IF(R139="排除","無關新聞事件",IFERROR(INDEX(事件規則!$B$2:$B$53,MATCH(S139,事件規則!$A$2:$A$53,0)),"")))</f>
        <v>無關新聞事件</v>
      </c>
      <c r="U139" s="20" t="n">
        <f aca="false">IF(R139="維持",K139,IF(R139="排除",0,IFERROR(INDEX(事件規則!$C$2:$C$53,MATCH(S139,事件規則!$A$2:$A$53,0)),"")))</f>
        <v>0</v>
      </c>
      <c r="V139" s="21"/>
      <c r="W139" s="22"/>
      <c r="X139" s="10" t="str">
        <f aca="false">IF(AND(R139="修改",S139=""),"請選新事件代碼",IF(AND(R139&lt;&gt;"修改",S139&lt;&gt;""),"只有「修改」才需填代碼",""))</f>
        <v/>
      </c>
      <c r="Y139" s="21"/>
      <c r="Z139" s="22"/>
      <c r="AA139" s="12" t="s">
        <v>611</v>
      </c>
      <c r="AB139" s="12"/>
    </row>
    <row r="140" customFormat="false" ht="29.85" hidden="false" customHeight="false" outlineLevel="0" collapsed="false">
      <c r="A140" s="15" t="n">
        <v>139</v>
      </c>
      <c r="B140" s="9" t="s">
        <v>45</v>
      </c>
      <c r="C140" s="9" t="s">
        <v>612</v>
      </c>
      <c r="D140" s="10" t="s">
        <v>613</v>
      </c>
      <c r="E140" s="11" t="s">
        <v>614</v>
      </c>
      <c r="F140" s="17"/>
      <c r="G140" s="12" t="s">
        <v>49</v>
      </c>
      <c r="H140" s="13" t="n">
        <v>-0.303</v>
      </c>
      <c r="I140" s="14"/>
      <c r="J140" s="17"/>
      <c r="K140" s="9"/>
      <c r="L140" s="15" t="s">
        <v>50</v>
      </c>
      <c r="M140" s="16" t="s">
        <v>51</v>
      </c>
      <c r="N140" s="14"/>
      <c r="O140" s="15" t="s">
        <v>52</v>
      </c>
      <c r="P140" s="17" t="s">
        <v>53</v>
      </c>
      <c r="Q140" s="15"/>
      <c r="R140" s="18" t="s">
        <v>51</v>
      </c>
      <c r="S140" s="19"/>
      <c r="T140" s="17" t="str">
        <f aca="false">IF(R140="維持",J140,IF(R140="排除","無關新聞事件",IFERROR(INDEX(事件規則!$B$2:$B$53,MATCH(S140,事件規則!$A$2:$A$53,0)),"")))</f>
        <v>無關新聞事件</v>
      </c>
      <c r="U140" s="20" t="n">
        <f aca="false">IF(R140="維持",K140,IF(R140="排除",0,IFERROR(INDEX(事件規則!$C$2:$C$53,MATCH(S140,事件規則!$A$2:$A$53,0)),"")))</f>
        <v>0</v>
      </c>
      <c r="V140" s="21"/>
      <c r="W140" s="22"/>
      <c r="X140" s="10" t="str">
        <f aca="false">IF(AND(R140="修改",S140=""),"請選新事件代碼",IF(AND(R140&lt;&gt;"修改",S140&lt;&gt;""),"只有「修改」才需填代碼",""))</f>
        <v/>
      </c>
      <c r="Y140" s="21"/>
      <c r="Z140" s="22"/>
      <c r="AA140" s="12" t="s">
        <v>615</v>
      </c>
      <c r="AB140" s="12"/>
    </row>
    <row r="141" customFormat="false" ht="29.85" hidden="false" customHeight="false" outlineLevel="0" collapsed="false">
      <c r="A141" s="15" t="n">
        <v>140</v>
      </c>
      <c r="B141" s="9" t="s">
        <v>112</v>
      </c>
      <c r="C141" s="15"/>
      <c r="D141" s="10" t="s">
        <v>67</v>
      </c>
      <c r="E141" s="23" t="s">
        <v>616</v>
      </c>
      <c r="F141" s="17" t="s">
        <v>617</v>
      </c>
      <c r="G141" s="12" t="s">
        <v>176</v>
      </c>
      <c r="H141" s="13" t="n">
        <v>-0.301</v>
      </c>
      <c r="I141" s="14"/>
      <c r="J141" s="17"/>
      <c r="K141" s="9"/>
      <c r="L141" s="15" t="s">
        <v>50</v>
      </c>
      <c r="M141" s="16" t="s">
        <v>51</v>
      </c>
      <c r="N141" s="14"/>
      <c r="O141" s="15" t="s">
        <v>52</v>
      </c>
      <c r="P141" s="17" t="s">
        <v>53</v>
      </c>
      <c r="Q141" s="15"/>
      <c r="R141" s="18" t="s">
        <v>51</v>
      </c>
      <c r="S141" s="19"/>
      <c r="T141" s="17" t="str">
        <f aca="false">IF(R141="維持",J141,IF(R141="排除","無關新聞事件",IFERROR(INDEX(事件規則!$B$2:$B$53,MATCH(S141,事件規則!$A$2:$A$53,0)),"")))</f>
        <v>無關新聞事件</v>
      </c>
      <c r="U141" s="20" t="n">
        <f aca="false">IF(R141="維持",K141,IF(R141="排除",0,IFERROR(INDEX(事件規則!$C$2:$C$53,MATCH(S141,事件規則!$A$2:$A$53,0)),"")))</f>
        <v>0</v>
      </c>
      <c r="V141" s="21"/>
      <c r="W141" s="22"/>
      <c r="X141" s="10" t="str">
        <f aca="false">IF(AND(R141="修改",S141=""),"請選新事件代碼",IF(AND(R141&lt;&gt;"修改",S141&lt;&gt;""),"只有「修改」才需填代碼",""))</f>
        <v/>
      </c>
      <c r="Y141" s="21"/>
      <c r="Z141" s="22"/>
      <c r="AA141" s="12" t="s">
        <v>618</v>
      </c>
      <c r="AB141" s="12"/>
    </row>
    <row r="142" customFormat="false" ht="29.85" hidden="false" customHeight="false" outlineLevel="0" collapsed="false">
      <c r="A142" s="15" t="n">
        <v>141</v>
      </c>
      <c r="B142" s="9" t="s">
        <v>55</v>
      </c>
      <c r="C142" s="9" t="s">
        <v>207</v>
      </c>
      <c r="D142" s="10" t="s">
        <v>208</v>
      </c>
      <c r="E142" s="11" t="s">
        <v>619</v>
      </c>
      <c r="F142" s="17"/>
      <c r="G142" s="12" t="s">
        <v>620</v>
      </c>
      <c r="H142" s="13" t="n">
        <v>-0.3</v>
      </c>
      <c r="I142" s="14"/>
      <c r="J142" s="17"/>
      <c r="K142" s="9"/>
      <c r="L142" s="15" t="s">
        <v>50</v>
      </c>
      <c r="M142" s="16" t="s">
        <v>51</v>
      </c>
      <c r="N142" s="14"/>
      <c r="O142" s="15" t="s">
        <v>52</v>
      </c>
      <c r="P142" s="17" t="s">
        <v>53</v>
      </c>
      <c r="Q142" s="15"/>
      <c r="R142" s="18" t="s">
        <v>51</v>
      </c>
      <c r="S142" s="19"/>
      <c r="T142" s="17" t="str">
        <f aca="false">IF(R142="維持",J142,IF(R142="排除","無關新聞事件",IFERROR(INDEX(事件規則!$B$2:$B$53,MATCH(S142,事件規則!$A$2:$A$53,0)),"")))</f>
        <v>無關新聞事件</v>
      </c>
      <c r="U142" s="20" t="n">
        <f aca="false">IF(R142="維持",K142,IF(R142="排除",0,IFERROR(INDEX(事件規則!$C$2:$C$53,MATCH(S142,事件規則!$A$2:$A$53,0)),"")))</f>
        <v>0</v>
      </c>
      <c r="V142" s="21"/>
      <c r="W142" s="22"/>
      <c r="X142" s="10" t="str">
        <f aca="false">IF(AND(R142="修改",S142=""),"請選新事件代碼",IF(AND(R142&lt;&gt;"修改",S142&lt;&gt;""),"只有「修改」才需填代碼",""))</f>
        <v/>
      </c>
      <c r="Y142" s="21"/>
      <c r="Z142" s="22"/>
      <c r="AA142" s="12" t="s">
        <v>621</v>
      </c>
      <c r="AB142" s="12"/>
    </row>
    <row r="143" customFormat="false" ht="29.85" hidden="false" customHeight="false" outlineLevel="0" collapsed="false">
      <c r="A143" s="15" t="n">
        <v>142</v>
      </c>
      <c r="B143" s="9" t="s">
        <v>55</v>
      </c>
      <c r="C143" s="9" t="s">
        <v>303</v>
      </c>
      <c r="D143" s="10" t="s">
        <v>304</v>
      </c>
      <c r="E143" s="11" t="s">
        <v>622</v>
      </c>
      <c r="F143" s="17"/>
      <c r="G143" s="12" t="s">
        <v>623</v>
      </c>
      <c r="H143" s="13" t="n">
        <v>-0.3</v>
      </c>
      <c r="I143" s="14"/>
      <c r="J143" s="17"/>
      <c r="K143" s="9"/>
      <c r="L143" s="15" t="s">
        <v>50</v>
      </c>
      <c r="M143" s="16" t="s">
        <v>51</v>
      </c>
      <c r="N143" s="14"/>
      <c r="O143" s="15" t="s">
        <v>52</v>
      </c>
      <c r="P143" s="17" t="s">
        <v>53</v>
      </c>
      <c r="Q143" s="15"/>
      <c r="R143" s="18" t="s">
        <v>51</v>
      </c>
      <c r="S143" s="19"/>
      <c r="T143" s="17" t="str">
        <f aca="false">IF(R143="維持",J143,IF(R143="排除","無關新聞事件",IFERROR(INDEX(事件規則!$B$2:$B$53,MATCH(S143,事件規則!$A$2:$A$53,0)),"")))</f>
        <v>無關新聞事件</v>
      </c>
      <c r="U143" s="20" t="n">
        <f aca="false">IF(R143="維持",K143,IF(R143="排除",0,IFERROR(INDEX(事件規則!$C$2:$C$53,MATCH(S143,事件規則!$A$2:$A$53,0)),"")))</f>
        <v>0</v>
      </c>
      <c r="V143" s="21"/>
      <c r="W143" s="22"/>
      <c r="X143" s="10" t="str">
        <f aca="false">IF(AND(R143="修改",S143=""),"請選新事件代碼",IF(AND(R143&lt;&gt;"修改",S143&lt;&gt;""),"只有「修改」才需填代碼",""))</f>
        <v/>
      </c>
      <c r="Y143" s="21"/>
      <c r="Z143" s="22"/>
      <c r="AA143" s="12" t="s">
        <v>624</v>
      </c>
      <c r="AB143" s="12"/>
    </row>
    <row r="144" customFormat="false" ht="29.85" hidden="false" customHeight="false" outlineLevel="0" collapsed="false">
      <c r="A144" s="15" t="n">
        <v>143</v>
      </c>
      <c r="B144" s="9" t="s">
        <v>45</v>
      </c>
      <c r="C144" s="9" t="s">
        <v>625</v>
      </c>
      <c r="D144" s="10" t="s">
        <v>626</v>
      </c>
      <c r="E144" s="11" t="s">
        <v>627</v>
      </c>
      <c r="F144" s="17"/>
      <c r="G144" s="12" t="s">
        <v>49</v>
      </c>
      <c r="H144" s="13" t="n">
        <v>-0.298</v>
      </c>
      <c r="I144" s="14"/>
      <c r="J144" s="17"/>
      <c r="K144" s="9"/>
      <c r="L144" s="15" t="s">
        <v>50</v>
      </c>
      <c r="M144" s="16" t="s">
        <v>51</v>
      </c>
      <c r="N144" s="14"/>
      <c r="O144" s="15" t="s">
        <v>52</v>
      </c>
      <c r="P144" s="17" t="s">
        <v>53</v>
      </c>
      <c r="Q144" s="15"/>
      <c r="R144" s="18" t="s">
        <v>51</v>
      </c>
      <c r="S144" s="19"/>
      <c r="T144" s="17" t="str">
        <f aca="false">IF(R144="維持",J144,IF(R144="排除","無關新聞事件",IFERROR(INDEX(事件規則!$B$2:$B$53,MATCH(S144,事件規則!$A$2:$A$53,0)),"")))</f>
        <v>無關新聞事件</v>
      </c>
      <c r="U144" s="20" t="n">
        <f aca="false">IF(R144="維持",K144,IF(R144="排除",0,IFERROR(INDEX(事件規則!$C$2:$C$53,MATCH(S144,事件規則!$A$2:$A$53,0)),"")))</f>
        <v>0</v>
      </c>
      <c r="V144" s="21"/>
      <c r="W144" s="22"/>
      <c r="X144" s="10" t="str">
        <f aca="false">IF(AND(R144="修改",S144=""),"請選新事件代碼",IF(AND(R144&lt;&gt;"修改",S144&lt;&gt;""),"只有「修改」才需填代碼",""))</f>
        <v/>
      </c>
      <c r="Y144" s="21"/>
      <c r="Z144" s="22"/>
      <c r="AA144" s="12" t="s">
        <v>628</v>
      </c>
      <c r="AB144" s="12"/>
    </row>
    <row r="145" customFormat="false" ht="29.85" hidden="false" customHeight="false" outlineLevel="0" collapsed="false">
      <c r="A145" s="15" t="n">
        <v>144</v>
      </c>
      <c r="B145" s="9" t="s">
        <v>112</v>
      </c>
      <c r="C145" s="9" t="s">
        <v>144</v>
      </c>
      <c r="D145" s="10" t="s">
        <v>145</v>
      </c>
      <c r="E145" s="11" t="s">
        <v>629</v>
      </c>
      <c r="F145" s="17"/>
      <c r="G145" s="12" t="s">
        <v>49</v>
      </c>
      <c r="H145" s="13" t="n">
        <v>-0.297</v>
      </c>
      <c r="I145" s="14"/>
      <c r="J145" s="17"/>
      <c r="K145" s="9"/>
      <c r="L145" s="15" t="s">
        <v>50</v>
      </c>
      <c r="M145" s="16" t="s">
        <v>51</v>
      </c>
      <c r="N145" s="14"/>
      <c r="O145" s="15" t="s">
        <v>52</v>
      </c>
      <c r="P145" s="17" t="s">
        <v>53</v>
      </c>
      <c r="Q145" s="15"/>
      <c r="R145" s="18" t="s">
        <v>51</v>
      </c>
      <c r="S145" s="19"/>
      <c r="T145" s="17" t="str">
        <f aca="false">IF(R145="維持",J145,IF(R145="排除","無關新聞事件",IFERROR(INDEX(事件規則!$B$2:$B$53,MATCH(S145,事件規則!$A$2:$A$53,0)),"")))</f>
        <v>無關新聞事件</v>
      </c>
      <c r="U145" s="20" t="n">
        <f aca="false">IF(R145="維持",K145,IF(R145="排除",0,IFERROR(INDEX(事件規則!$C$2:$C$53,MATCH(S145,事件規則!$A$2:$A$53,0)),"")))</f>
        <v>0</v>
      </c>
      <c r="V145" s="21"/>
      <c r="W145" s="22"/>
      <c r="X145" s="10" t="str">
        <f aca="false">IF(AND(R145="修改",S145=""),"請選新事件代碼",IF(AND(R145&lt;&gt;"修改",S145&lt;&gt;""),"只有「修改」才需填代碼",""))</f>
        <v/>
      </c>
      <c r="Y145" s="21"/>
      <c r="Z145" s="22"/>
      <c r="AA145" s="12" t="s">
        <v>630</v>
      </c>
      <c r="AB145" s="12"/>
    </row>
    <row r="146" customFormat="false" ht="29.85" hidden="false" customHeight="false" outlineLevel="0" collapsed="false">
      <c r="A146" s="15" t="n">
        <v>145</v>
      </c>
      <c r="B146" s="9" t="s">
        <v>112</v>
      </c>
      <c r="C146" s="9" t="s">
        <v>118</v>
      </c>
      <c r="D146" s="10" t="s">
        <v>119</v>
      </c>
      <c r="E146" s="11" t="s">
        <v>631</v>
      </c>
      <c r="F146" s="17"/>
      <c r="G146" s="12" t="s">
        <v>482</v>
      </c>
      <c r="H146" s="13" t="n">
        <v>-0.295</v>
      </c>
      <c r="I146" s="14"/>
      <c r="J146" s="17"/>
      <c r="K146" s="9"/>
      <c r="L146" s="15" t="s">
        <v>50</v>
      </c>
      <c r="M146" s="16" t="s">
        <v>51</v>
      </c>
      <c r="N146" s="14"/>
      <c r="O146" s="15" t="s">
        <v>52</v>
      </c>
      <c r="P146" s="17" t="s">
        <v>53</v>
      </c>
      <c r="Q146" s="15"/>
      <c r="R146" s="18" t="s">
        <v>51</v>
      </c>
      <c r="S146" s="19"/>
      <c r="T146" s="17" t="str">
        <f aca="false">IF(R146="維持",J146,IF(R146="排除","無關新聞事件",IFERROR(INDEX(事件規則!$B$2:$B$53,MATCH(S146,事件規則!$A$2:$A$53,0)),"")))</f>
        <v>無關新聞事件</v>
      </c>
      <c r="U146" s="20" t="n">
        <f aca="false">IF(R146="維持",K146,IF(R146="排除",0,IFERROR(INDEX(事件規則!$C$2:$C$53,MATCH(S146,事件規則!$A$2:$A$53,0)),"")))</f>
        <v>0</v>
      </c>
      <c r="V146" s="21"/>
      <c r="W146" s="22"/>
      <c r="X146" s="10" t="str">
        <f aca="false">IF(AND(R146="修改",S146=""),"請選新事件代碼",IF(AND(R146&lt;&gt;"修改",S146&lt;&gt;""),"只有「修改」才需填代碼",""))</f>
        <v/>
      </c>
      <c r="Y146" s="21"/>
      <c r="Z146" s="22"/>
      <c r="AA146" s="12" t="s">
        <v>632</v>
      </c>
      <c r="AB146" s="12"/>
    </row>
    <row r="147" customFormat="false" ht="29.85" hidden="false" customHeight="false" outlineLevel="0" collapsed="false">
      <c r="A147" s="15" t="n">
        <v>146</v>
      </c>
      <c r="B147" s="9" t="s">
        <v>45</v>
      </c>
      <c r="C147" s="9" t="s">
        <v>227</v>
      </c>
      <c r="D147" s="10" t="s">
        <v>228</v>
      </c>
      <c r="E147" s="11" t="s">
        <v>633</v>
      </c>
      <c r="F147" s="17"/>
      <c r="G147" s="12" t="s">
        <v>69</v>
      </c>
      <c r="H147" s="13" t="n">
        <v>-0.294</v>
      </c>
      <c r="I147" s="14"/>
      <c r="J147" s="17"/>
      <c r="K147" s="9"/>
      <c r="L147" s="15" t="s">
        <v>50</v>
      </c>
      <c r="M147" s="16" t="s">
        <v>51</v>
      </c>
      <c r="N147" s="14"/>
      <c r="O147" s="15" t="s">
        <v>52</v>
      </c>
      <c r="P147" s="17" t="s">
        <v>53</v>
      </c>
      <c r="Q147" s="15"/>
      <c r="R147" s="18" t="s">
        <v>51</v>
      </c>
      <c r="S147" s="19"/>
      <c r="T147" s="17" t="str">
        <f aca="false">IF(R147="維持",J147,IF(R147="排除","無關新聞事件",IFERROR(INDEX(事件規則!$B$2:$B$53,MATCH(S147,事件規則!$A$2:$A$53,0)),"")))</f>
        <v>無關新聞事件</v>
      </c>
      <c r="U147" s="20" t="n">
        <f aca="false">IF(R147="維持",K147,IF(R147="排除",0,IFERROR(INDEX(事件規則!$C$2:$C$53,MATCH(S147,事件規則!$A$2:$A$53,0)),"")))</f>
        <v>0</v>
      </c>
      <c r="V147" s="21"/>
      <c r="W147" s="22"/>
      <c r="X147" s="10" t="str">
        <f aca="false">IF(AND(R147="修改",S147=""),"請選新事件代碼",IF(AND(R147&lt;&gt;"修改",S147&lt;&gt;""),"只有「修改」才需填代碼",""))</f>
        <v/>
      </c>
      <c r="Y147" s="21"/>
      <c r="Z147" s="22"/>
      <c r="AA147" s="12" t="s">
        <v>634</v>
      </c>
      <c r="AB147" s="12"/>
    </row>
    <row r="148" customFormat="false" ht="29.85" hidden="false" customHeight="false" outlineLevel="0" collapsed="false">
      <c r="A148" s="15" t="n">
        <v>147</v>
      </c>
      <c r="B148" s="9" t="s">
        <v>112</v>
      </c>
      <c r="C148" s="9" t="s">
        <v>635</v>
      </c>
      <c r="D148" s="10" t="s">
        <v>636</v>
      </c>
      <c r="E148" s="11" t="s">
        <v>637</v>
      </c>
      <c r="F148" s="17"/>
      <c r="G148" s="12" t="s">
        <v>176</v>
      </c>
      <c r="H148" s="13" t="n">
        <v>-0.294</v>
      </c>
      <c r="I148" s="14"/>
      <c r="J148" s="17"/>
      <c r="K148" s="9"/>
      <c r="L148" s="15" t="s">
        <v>50</v>
      </c>
      <c r="M148" s="16" t="s">
        <v>51</v>
      </c>
      <c r="N148" s="14"/>
      <c r="O148" s="15" t="s">
        <v>52</v>
      </c>
      <c r="P148" s="17" t="s">
        <v>53</v>
      </c>
      <c r="Q148" s="15"/>
      <c r="R148" s="18" t="s">
        <v>51</v>
      </c>
      <c r="S148" s="19"/>
      <c r="T148" s="17" t="str">
        <f aca="false">IF(R148="維持",J148,IF(R148="排除","無關新聞事件",IFERROR(INDEX(事件規則!$B$2:$B$53,MATCH(S148,事件規則!$A$2:$A$53,0)),"")))</f>
        <v>無關新聞事件</v>
      </c>
      <c r="U148" s="20" t="n">
        <f aca="false">IF(R148="維持",K148,IF(R148="排除",0,IFERROR(INDEX(事件規則!$C$2:$C$53,MATCH(S148,事件規則!$A$2:$A$53,0)),"")))</f>
        <v>0</v>
      </c>
      <c r="V148" s="21"/>
      <c r="W148" s="22"/>
      <c r="X148" s="10" t="str">
        <f aca="false">IF(AND(R148="修改",S148=""),"請選新事件代碼",IF(AND(R148&lt;&gt;"修改",S148&lt;&gt;""),"只有「修改」才需填代碼",""))</f>
        <v/>
      </c>
      <c r="Y148" s="21"/>
      <c r="Z148" s="22"/>
      <c r="AA148" s="12" t="s">
        <v>638</v>
      </c>
      <c r="AB148" s="12"/>
    </row>
    <row r="149" customFormat="false" ht="29.85" hidden="false" customHeight="false" outlineLevel="0" collapsed="false">
      <c r="A149" s="15" t="n">
        <v>148</v>
      </c>
      <c r="B149" s="9" t="s">
        <v>45</v>
      </c>
      <c r="C149" s="9" t="s">
        <v>639</v>
      </c>
      <c r="D149" s="10" t="s">
        <v>640</v>
      </c>
      <c r="E149" s="11" t="s">
        <v>641</v>
      </c>
      <c r="F149" s="17"/>
      <c r="G149" s="12" t="s">
        <v>642</v>
      </c>
      <c r="H149" s="13" t="n">
        <v>-0.292</v>
      </c>
      <c r="I149" s="14"/>
      <c r="J149" s="17"/>
      <c r="K149" s="9"/>
      <c r="L149" s="15" t="s">
        <v>50</v>
      </c>
      <c r="M149" s="16" t="s">
        <v>51</v>
      </c>
      <c r="N149" s="14"/>
      <c r="O149" s="15" t="s">
        <v>52</v>
      </c>
      <c r="P149" s="17" t="s">
        <v>53</v>
      </c>
      <c r="Q149" s="15"/>
      <c r="R149" s="18" t="s">
        <v>51</v>
      </c>
      <c r="S149" s="19"/>
      <c r="T149" s="17" t="str">
        <f aca="false">IF(R149="維持",J149,IF(R149="排除","無關新聞事件",IFERROR(INDEX(事件規則!$B$2:$B$53,MATCH(S149,事件規則!$A$2:$A$53,0)),"")))</f>
        <v>無關新聞事件</v>
      </c>
      <c r="U149" s="20" t="n">
        <f aca="false">IF(R149="維持",K149,IF(R149="排除",0,IFERROR(INDEX(事件規則!$C$2:$C$53,MATCH(S149,事件規則!$A$2:$A$53,0)),"")))</f>
        <v>0</v>
      </c>
      <c r="V149" s="21"/>
      <c r="W149" s="22"/>
      <c r="X149" s="10" t="str">
        <f aca="false">IF(AND(R149="修改",S149=""),"請選新事件代碼",IF(AND(R149&lt;&gt;"修改",S149&lt;&gt;""),"只有「修改」才需填代碼",""))</f>
        <v/>
      </c>
      <c r="Y149" s="21"/>
      <c r="Z149" s="22"/>
      <c r="AA149" s="12" t="s">
        <v>643</v>
      </c>
      <c r="AB149" s="12"/>
    </row>
    <row r="150" customFormat="false" ht="29.85" hidden="false" customHeight="false" outlineLevel="0" collapsed="false">
      <c r="A150" s="15" t="n">
        <v>149</v>
      </c>
      <c r="B150" s="9" t="s">
        <v>112</v>
      </c>
      <c r="C150" s="15"/>
      <c r="D150" s="10" t="s">
        <v>644</v>
      </c>
      <c r="E150" s="23" t="s">
        <v>645</v>
      </c>
      <c r="F150" s="17" t="s">
        <v>646</v>
      </c>
      <c r="G150" s="12" t="s">
        <v>176</v>
      </c>
      <c r="H150" s="13" t="n">
        <v>-0.291</v>
      </c>
      <c r="I150" s="14"/>
      <c r="J150" s="17"/>
      <c r="K150" s="9"/>
      <c r="L150" s="15" t="s">
        <v>50</v>
      </c>
      <c r="M150" s="16" t="s">
        <v>51</v>
      </c>
      <c r="N150" s="14"/>
      <c r="O150" s="15" t="s">
        <v>52</v>
      </c>
      <c r="P150" s="17" t="s">
        <v>53</v>
      </c>
      <c r="Q150" s="15"/>
      <c r="R150" s="18" t="s">
        <v>51</v>
      </c>
      <c r="S150" s="19"/>
      <c r="T150" s="17" t="str">
        <f aca="false">IF(R150="維持",J150,IF(R150="排除","無關新聞事件",IFERROR(INDEX(事件規則!$B$2:$B$53,MATCH(S150,事件規則!$A$2:$A$53,0)),"")))</f>
        <v>無關新聞事件</v>
      </c>
      <c r="U150" s="20" t="n">
        <f aca="false">IF(R150="維持",K150,IF(R150="排除",0,IFERROR(INDEX(事件規則!$C$2:$C$53,MATCH(S150,事件規則!$A$2:$A$53,0)),"")))</f>
        <v>0</v>
      </c>
      <c r="V150" s="21"/>
      <c r="W150" s="22"/>
      <c r="X150" s="10" t="str">
        <f aca="false">IF(AND(R150="修改",S150=""),"請選新事件代碼",IF(AND(R150&lt;&gt;"修改",S150&lt;&gt;""),"只有「修改」才需填代碼",""))</f>
        <v/>
      </c>
      <c r="Y150" s="21"/>
      <c r="Z150" s="22"/>
      <c r="AA150" s="12" t="s">
        <v>647</v>
      </c>
      <c r="AB150" s="12"/>
    </row>
    <row r="151" customFormat="false" ht="29.85" hidden="false" customHeight="false" outlineLevel="0" collapsed="false">
      <c r="A151" s="15" t="n">
        <v>150</v>
      </c>
      <c r="B151" s="9" t="s">
        <v>81</v>
      </c>
      <c r="C151" s="9" t="s">
        <v>607</v>
      </c>
      <c r="D151" s="10" t="s">
        <v>608</v>
      </c>
      <c r="E151" s="11" t="s">
        <v>648</v>
      </c>
      <c r="F151" s="17"/>
      <c r="G151" s="12" t="s">
        <v>649</v>
      </c>
      <c r="H151" s="13" t="n">
        <v>-0.29</v>
      </c>
      <c r="I151" s="14"/>
      <c r="J151" s="17"/>
      <c r="K151" s="9"/>
      <c r="L151" s="15" t="s">
        <v>50</v>
      </c>
      <c r="M151" s="16" t="s">
        <v>51</v>
      </c>
      <c r="N151" s="14"/>
      <c r="O151" s="15" t="s">
        <v>52</v>
      </c>
      <c r="P151" s="17" t="s">
        <v>53</v>
      </c>
      <c r="Q151" s="15"/>
      <c r="R151" s="18" t="s">
        <v>51</v>
      </c>
      <c r="S151" s="19"/>
      <c r="T151" s="17" t="str">
        <f aca="false">IF(R151="維持",J151,IF(R151="排除","無關新聞事件",IFERROR(INDEX(事件規則!$B$2:$B$53,MATCH(S151,事件規則!$A$2:$A$53,0)),"")))</f>
        <v>無關新聞事件</v>
      </c>
      <c r="U151" s="20" t="n">
        <f aca="false">IF(R151="維持",K151,IF(R151="排除",0,IFERROR(INDEX(事件規則!$C$2:$C$53,MATCH(S151,事件規則!$A$2:$A$53,0)),"")))</f>
        <v>0</v>
      </c>
      <c r="V151" s="21"/>
      <c r="W151" s="22"/>
      <c r="X151" s="10" t="str">
        <f aca="false">IF(AND(R151="修改",S151=""),"請選新事件代碼",IF(AND(R151&lt;&gt;"修改",S151&lt;&gt;""),"只有「修改」才需填代碼",""))</f>
        <v/>
      </c>
      <c r="Y151" s="21"/>
      <c r="Z151" s="22"/>
      <c r="AA151" s="12" t="s">
        <v>650</v>
      </c>
      <c r="AB151" s="12"/>
    </row>
    <row r="152" customFormat="false" ht="29.85" hidden="false" customHeight="false" outlineLevel="0" collapsed="false">
      <c r="A152" s="15" t="n">
        <v>151</v>
      </c>
      <c r="B152" s="9" t="s">
        <v>112</v>
      </c>
      <c r="C152" s="9" t="s">
        <v>71</v>
      </c>
      <c r="D152" s="10" t="s">
        <v>72</v>
      </c>
      <c r="E152" s="11" t="s">
        <v>651</v>
      </c>
      <c r="F152" s="17"/>
      <c r="G152" s="12" t="s">
        <v>652</v>
      </c>
      <c r="H152" s="13" t="n">
        <v>-0.289</v>
      </c>
      <c r="I152" s="14"/>
      <c r="J152" s="17"/>
      <c r="K152" s="9"/>
      <c r="L152" s="15" t="s">
        <v>50</v>
      </c>
      <c r="M152" s="16" t="s">
        <v>51</v>
      </c>
      <c r="N152" s="14"/>
      <c r="O152" s="15" t="s">
        <v>52</v>
      </c>
      <c r="P152" s="17" t="s">
        <v>53</v>
      </c>
      <c r="Q152" s="15"/>
      <c r="R152" s="18" t="s">
        <v>51</v>
      </c>
      <c r="S152" s="19"/>
      <c r="T152" s="17" t="str">
        <f aca="false">IF(R152="維持",J152,IF(R152="排除","無關新聞事件",IFERROR(INDEX(事件規則!$B$2:$B$53,MATCH(S152,事件規則!$A$2:$A$53,0)),"")))</f>
        <v>無關新聞事件</v>
      </c>
      <c r="U152" s="20" t="n">
        <f aca="false">IF(R152="維持",K152,IF(R152="排除",0,IFERROR(INDEX(事件規則!$C$2:$C$53,MATCH(S152,事件規則!$A$2:$A$53,0)),"")))</f>
        <v>0</v>
      </c>
      <c r="V152" s="21"/>
      <c r="W152" s="22"/>
      <c r="X152" s="10" t="str">
        <f aca="false">IF(AND(R152="修改",S152=""),"請選新事件代碼",IF(AND(R152&lt;&gt;"修改",S152&lt;&gt;""),"只有「修改」才需填代碼",""))</f>
        <v/>
      </c>
      <c r="Y152" s="21"/>
      <c r="Z152" s="22"/>
      <c r="AA152" s="12" t="s">
        <v>653</v>
      </c>
      <c r="AB152" s="12"/>
    </row>
    <row r="153" customFormat="false" ht="29.85" hidden="false" customHeight="false" outlineLevel="0" collapsed="false">
      <c r="A153" s="15" t="n">
        <v>152</v>
      </c>
      <c r="B153" s="9" t="s">
        <v>112</v>
      </c>
      <c r="C153" s="9" t="s">
        <v>654</v>
      </c>
      <c r="D153" s="10" t="s">
        <v>655</v>
      </c>
      <c r="E153" s="11" t="s">
        <v>656</v>
      </c>
      <c r="F153" s="17"/>
      <c r="G153" s="12" t="s">
        <v>566</v>
      </c>
      <c r="H153" s="13" t="n">
        <v>-0.289</v>
      </c>
      <c r="I153" s="14"/>
      <c r="J153" s="17"/>
      <c r="K153" s="9"/>
      <c r="L153" s="15" t="s">
        <v>50</v>
      </c>
      <c r="M153" s="16" t="s">
        <v>51</v>
      </c>
      <c r="N153" s="14"/>
      <c r="O153" s="15" t="s">
        <v>52</v>
      </c>
      <c r="P153" s="17" t="s">
        <v>53</v>
      </c>
      <c r="Q153" s="15"/>
      <c r="R153" s="18" t="s">
        <v>51</v>
      </c>
      <c r="S153" s="19"/>
      <c r="T153" s="17" t="str">
        <f aca="false">IF(R153="維持",J153,IF(R153="排除","無關新聞事件",IFERROR(INDEX(事件規則!$B$2:$B$53,MATCH(S153,事件規則!$A$2:$A$53,0)),"")))</f>
        <v>無關新聞事件</v>
      </c>
      <c r="U153" s="20" t="n">
        <f aca="false">IF(R153="維持",K153,IF(R153="排除",0,IFERROR(INDEX(事件規則!$C$2:$C$53,MATCH(S153,事件規則!$A$2:$A$53,0)),"")))</f>
        <v>0</v>
      </c>
      <c r="V153" s="21"/>
      <c r="W153" s="22"/>
      <c r="X153" s="10" t="str">
        <f aca="false">IF(AND(R153="修改",S153=""),"請選新事件代碼",IF(AND(R153&lt;&gt;"修改",S153&lt;&gt;""),"只有「修改」才需填代碼",""))</f>
        <v/>
      </c>
      <c r="Y153" s="21"/>
      <c r="Z153" s="22"/>
      <c r="AA153" s="12" t="s">
        <v>657</v>
      </c>
      <c r="AB153" s="12"/>
    </row>
    <row r="154" customFormat="false" ht="29.85" hidden="false" customHeight="false" outlineLevel="0" collapsed="false">
      <c r="A154" s="15" t="n">
        <v>153</v>
      </c>
      <c r="B154" s="9" t="s">
        <v>112</v>
      </c>
      <c r="C154" s="9" t="s">
        <v>156</v>
      </c>
      <c r="D154" s="10" t="s">
        <v>157</v>
      </c>
      <c r="E154" s="11" t="s">
        <v>658</v>
      </c>
      <c r="F154" s="17"/>
      <c r="G154" s="12" t="s">
        <v>59</v>
      </c>
      <c r="H154" s="13" t="n">
        <v>-0.289</v>
      </c>
      <c r="I154" s="14"/>
      <c r="J154" s="17"/>
      <c r="K154" s="9"/>
      <c r="L154" s="15" t="s">
        <v>50</v>
      </c>
      <c r="M154" s="16" t="s">
        <v>51</v>
      </c>
      <c r="N154" s="14"/>
      <c r="O154" s="15" t="s">
        <v>52</v>
      </c>
      <c r="P154" s="17" t="s">
        <v>53</v>
      </c>
      <c r="Q154" s="15"/>
      <c r="R154" s="18" t="s">
        <v>51</v>
      </c>
      <c r="S154" s="19"/>
      <c r="T154" s="17" t="str">
        <f aca="false">IF(R154="維持",J154,IF(R154="排除","無關新聞事件",IFERROR(INDEX(事件規則!$B$2:$B$53,MATCH(S154,事件規則!$A$2:$A$53,0)),"")))</f>
        <v>無關新聞事件</v>
      </c>
      <c r="U154" s="20" t="n">
        <f aca="false">IF(R154="維持",K154,IF(R154="排除",0,IFERROR(INDEX(事件規則!$C$2:$C$53,MATCH(S154,事件規則!$A$2:$A$53,0)),"")))</f>
        <v>0</v>
      </c>
      <c r="V154" s="21"/>
      <c r="W154" s="22"/>
      <c r="X154" s="10" t="str">
        <f aca="false">IF(AND(R154="修改",S154=""),"請選新事件代碼",IF(AND(R154&lt;&gt;"修改",S154&lt;&gt;""),"只有「修改」才需填代碼",""))</f>
        <v/>
      </c>
      <c r="Y154" s="21"/>
      <c r="Z154" s="22"/>
      <c r="AA154" s="12" t="s">
        <v>659</v>
      </c>
      <c r="AB154" s="12"/>
    </row>
    <row r="155" customFormat="false" ht="15" hidden="false" customHeight="false" outlineLevel="0" collapsed="false">
      <c r="A155" s="15" t="n">
        <v>154</v>
      </c>
      <c r="B155" s="9" t="s">
        <v>45</v>
      </c>
      <c r="C155" s="9" t="s">
        <v>580</v>
      </c>
      <c r="D155" s="10" t="s">
        <v>581</v>
      </c>
      <c r="E155" s="11" t="s">
        <v>660</v>
      </c>
      <c r="F155" s="17"/>
      <c r="G155" s="12" t="s">
        <v>661</v>
      </c>
      <c r="H155" s="13" t="n">
        <v>-0.288</v>
      </c>
      <c r="I155" s="14"/>
      <c r="J155" s="17"/>
      <c r="K155" s="9"/>
      <c r="L155" s="15" t="s">
        <v>50</v>
      </c>
      <c r="M155" s="16" t="s">
        <v>131</v>
      </c>
      <c r="N155" s="14" t="s">
        <v>181</v>
      </c>
      <c r="O155" s="15" t="s">
        <v>52</v>
      </c>
      <c r="P155" s="17" t="s">
        <v>583</v>
      </c>
      <c r="Q155" s="15"/>
      <c r="R155" s="18" t="s">
        <v>131</v>
      </c>
      <c r="S155" s="19" t="s">
        <v>181</v>
      </c>
      <c r="T155" s="17" t="str">
        <f aca="false">IF(R155="維持",J155,IF(R155="排除","無關新聞事件",IFERROR(INDEX(事件規則!$B$2:$B$53,MATCH(S155,事件規則!$A$2:$A$53,0)),"")))</f>
        <v>股價下跌</v>
      </c>
      <c r="U155" s="20" t="n">
        <f aca="false">IF(R155="維持",K155,IF(R155="排除",0,IFERROR(INDEX(事件規則!$C$2:$C$53,MATCH(S155,事件規則!$A$2:$A$53,0)),"")))</f>
        <v>1</v>
      </c>
      <c r="V155" s="21"/>
      <c r="W155" s="22"/>
      <c r="X155" s="10" t="str">
        <f aca="false">IF(AND(R155="修改",S155=""),"請選新事件代碼",IF(AND(R155&lt;&gt;"修改",S155&lt;&gt;""),"只有「修改」才需填代碼",""))</f>
        <v/>
      </c>
      <c r="Y155" s="21"/>
      <c r="Z155" s="22"/>
      <c r="AA155" s="12" t="s">
        <v>662</v>
      </c>
      <c r="AB155" s="12"/>
    </row>
    <row r="156" customFormat="false" ht="29.85" hidden="false" customHeight="false" outlineLevel="0" collapsed="false">
      <c r="A156" s="15" t="n">
        <v>155</v>
      </c>
      <c r="B156" s="9" t="s">
        <v>55</v>
      </c>
      <c r="C156" s="9" t="s">
        <v>663</v>
      </c>
      <c r="D156" s="10" t="s">
        <v>664</v>
      </c>
      <c r="E156" s="11" t="s">
        <v>665</v>
      </c>
      <c r="F156" s="17"/>
      <c r="G156" s="12" t="s">
        <v>666</v>
      </c>
      <c r="H156" s="13" t="n">
        <v>-0.287</v>
      </c>
      <c r="I156" s="14"/>
      <c r="J156" s="17"/>
      <c r="K156" s="9"/>
      <c r="L156" s="15" t="s">
        <v>50</v>
      </c>
      <c r="M156" s="16" t="s">
        <v>51</v>
      </c>
      <c r="N156" s="14"/>
      <c r="O156" s="15" t="s">
        <v>52</v>
      </c>
      <c r="P156" s="17" t="s">
        <v>53</v>
      </c>
      <c r="Q156" s="15"/>
      <c r="R156" s="18" t="s">
        <v>51</v>
      </c>
      <c r="S156" s="19"/>
      <c r="T156" s="17" t="str">
        <f aca="false">IF(R156="維持",J156,IF(R156="排除","無關新聞事件",IFERROR(INDEX(事件規則!$B$2:$B$53,MATCH(S156,事件規則!$A$2:$A$53,0)),"")))</f>
        <v>無關新聞事件</v>
      </c>
      <c r="U156" s="20" t="n">
        <f aca="false">IF(R156="維持",K156,IF(R156="排除",0,IFERROR(INDEX(事件規則!$C$2:$C$53,MATCH(S156,事件規則!$A$2:$A$53,0)),"")))</f>
        <v>0</v>
      </c>
      <c r="V156" s="21"/>
      <c r="W156" s="22"/>
      <c r="X156" s="10" t="str">
        <f aca="false">IF(AND(R156="修改",S156=""),"請選新事件代碼",IF(AND(R156&lt;&gt;"修改",S156&lt;&gt;""),"只有「修改」才需填代碼",""))</f>
        <v/>
      </c>
      <c r="Y156" s="21"/>
      <c r="Z156" s="22"/>
      <c r="AA156" s="12" t="s">
        <v>667</v>
      </c>
      <c r="AB156" s="12"/>
    </row>
    <row r="157" customFormat="false" ht="29.85" hidden="false" customHeight="false" outlineLevel="0" collapsed="false">
      <c r="A157" s="15" t="n">
        <v>156</v>
      </c>
      <c r="B157" s="9" t="s">
        <v>112</v>
      </c>
      <c r="C157" s="9" t="s">
        <v>668</v>
      </c>
      <c r="D157" s="10" t="s">
        <v>669</v>
      </c>
      <c r="E157" s="11" t="s">
        <v>670</v>
      </c>
      <c r="F157" s="17"/>
      <c r="G157" s="12" t="s">
        <v>69</v>
      </c>
      <c r="H157" s="13" t="n">
        <v>-0.28</v>
      </c>
      <c r="I157" s="14"/>
      <c r="J157" s="17"/>
      <c r="K157" s="9"/>
      <c r="L157" s="15" t="s">
        <v>50</v>
      </c>
      <c r="M157" s="16" t="s">
        <v>51</v>
      </c>
      <c r="N157" s="14"/>
      <c r="O157" s="15" t="s">
        <v>52</v>
      </c>
      <c r="P157" s="17" t="s">
        <v>53</v>
      </c>
      <c r="Q157" s="15"/>
      <c r="R157" s="18" t="s">
        <v>51</v>
      </c>
      <c r="S157" s="19"/>
      <c r="T157" s="17" t="str">
        <f aca="false">IF(R157="維持",J157,IF(R157="排除","無關新聞事件",IFERROR(INDEX(事件規則!$B$2:$B$53,MATCH(S157,事件規則!$A$2:$A$53,0)),"")))</f>
        <v>無關新聞事件</v>
      </c>
      <c r="U157" s="20" t="n">
        <f aca="false">IF(R157="維持",K157,IF(R157="排除",0,IFERROR(INDEX(事件規則!$C$2:$C$53,MATCH(S157,事件規則!$A$2:$A$53,0)),"")))</f>
        <v>0</v>
      </c>
      <c r="V157" s="21"/>
      <c r="W157" s="22"/>
      <c r="X157" s="10" t="str">
        <f aca="false">IF(AND(R157="修改",S157=""),"請選新事件代碼",IF(AND(R157&lt;&gt;"修改",S157&lt;&gt;""),"只有「修改」才需填代碼",""))</f>
        <v/>
      </c>
      <c r="Y157" s="21"/>
      <c r="Z157" s="22"/>
      <c r="AA157" s="12" t="s">
        <v>671</v>
      </c>
      <c r="AB157" s="12"/>
    </row>
    <row r="158" customFormat="false" ht="29.85" hidden="false" customHeight="false" outlineLevel="0" collapsed="false">
      <c r="A158" s="15" t="n">
        <v>157</v>
      </c>
      <c r="B158" s="9" t="s">
        <v>45</v>
      </c>
      <c r="C158" s="9" t="s">
        <v>672</v>
      </c>
      <c r="D158" s="10" t="s">
        <v>673</v>
      </c>
      <c r="E158" s="11" t="s">
        <v>674</v>
      </c>
      <c r="F158" s="17"/>
      <c r="G158" s="12" t="s">
        <v>49</v>
      </c>
      <c r="H158" s="13" t="n">
        <v>-0.279</v>
      </c>
      <c r="I158" s="14"/>
      <c r="J158" s="17"/>
      <c r="K158" s="9"/>
      <c r="L158" s="15" t="s">
        <v>50</v>
      </c>
      <c r="M158" s="16" t="s">
        <v>51</v>
      </c>
      <c r="N158" s="14"/>
      <c r="O158" s="15" t="s">
        <v>52</v>
      </c>
      <c r="P158" s="17" t="s">
        <v>53</v>
      </c>
      <c r="Q158" s="15"/>
      <c r="R158" s="18" t="s">
        <v>51</v>
      </c>
      <c r="S158" s="19"/>
      <c r="T158" s="17" t="str">
        <f aca="false">IF(R158="維持",J158,IF(R158="排除","無關新聞事件",IFERROR(INDEX(事件規則!$B$2:$B$53,MATCH(S158,事件規則!$A$2:$A$53,0)),"")))</f>
        <v>無關新聞事件</v>
      </c>
      <c r="U158" s="20" t="n">
        <f aca="false">IF(R158="維持",K158,IF(R158="排除",0,IFERROR(INDEX(事件規則!$C$2:$C$53,MATCH(S158,事件規則!$A$2:$A$53,0)),"")))</f>
        <v>0</v>
      </c>
      <c r="V158" s="21"/>
      <c r="W158" s="22"/>
      <c r="X158" s="10" t="str">
        <f aca="false">IF(AND(R158="修改",S158=""),"請選新事件代碼",IF(AND(R158&lt;&gt;"修改",S158&lt;&gt;""),"只有「修改」才需填代碼",""))</f>
        <v/>
      </c>
      <c r="Y158" s="21"/>
      <c r="Z158" s="22"/>
      <c r="AA158" s="12" t="s">
        <v>675</v>
      </c>
      <c r="AB158" s="12"/>
    </row>
    <row r="159" customFormat="false" ht="29.85" hidden="false" customHeight="false" outlineLevel="0" collapsed="false">
      <c r="A159" s="15" t="n">
        <v>158</v>
      </c>
      <c r="B159" s="9" t="s">
        <v>112</v>
      </c>
      <c r="C159" s="9" t="s">
        <v>66</v>
      </c>
      <c r="D159" s="10" t="s">
        <v>67</v>
      </c>
      <c r="E159" s="11" t="s">
        <v>676</v>
      </c>
      <c r="F159" s="17"/>
      <c r="G159" s="12" t="s">
        <v>116</v>
      </c>
      <c r="H159" s="13" t="n">
        <v>-0.277</v>
      </c>
      <c r="I159" s="14"/>
      <c r="J159" s="17"/>
      <c r="K159" s="9"/>
      <c r="L159" s="15" t="s">
        <v>50</v>
      </c>
      <c r="M159" s="16" t="s">
        <v>51</v>
      </c>
      <c r="N159" s="14"/>
      <c r="O159" s="15" t="s">
        <v>52</v>
      </c>
      <c r="P159" s="17" t="s">
        <v>53</v>
      </c>
      <c r="Q159" s="15"/>
      <c r="R159" s="18" t="s">
        <v>51</v>
      </c>
      <c r="S159" s="19"/>
      <c r="T159" s="17" t="str">
        <f aca="false">IF(R159="維持",J159,IF(R159="排除","無關新聞事件",IFERROR(INDEX(事件規則!$B$2:$B$53,MATCH(S159,事件規則!$A$2:$A$53,0)),"")))</f>
        <v>無關新聞事件</v>
      </c>
      <c r="U159" s="20" t="n">
        <f aca="false">IF(R159="維持",K159,IF(R159="排除",0,IFERROR(INDEX(事件規則!$C$2:$C$53,MATCH(S159,事件規則!$A$2:$A$53,0)),"")))</f>
        <v>0</v>
      </c>
      <c r="V159" s="21"/>
      <c r="W159" s="22"/>
      <c r="X159" s="10" t="str">
        <f aca="false">IF(AND(R159="修改",S159=""),"請選新事件代碼",IF(AND(R159&lt;&gt;"修改",S159&lt;&gt;""),"只有「修改」才需填代碼",""))</f>
        <v/>
      </c>
      <c r="Y159" s="21"/>
      <c r="Z159" s="22"/>
      <c r="AA159" s="12" t="s">
        <v>677</v>
      </c>
      <c r="AB159" s="12"/>
    </row>
    <row r="160" customFormat="false" ht="29.85" hidden="false" customHeight="false" outlineLevel="0" collapsed="false">
      <c r="A160" s="15" t="n">
        <v>159</v>
      </c>
      <c r="B160" s="9" t="s">
        <v>112</v>
      </c>
      <c r="C160" s="9" t="s">
        <v>678</v>
      </c>
      <c r="D160" s="10" t="s">
        <v>679</v>
      </c>
      <c r="E160" s="11" t="s">
        <v>680</v>
      </c>
      <c r="F160" s="17"/>
      <c r="G160" s="12" t="s">
        <v>49</v>
      </c>
      <c r="H160" s="13" t="n">
        <v>-0.276</v>
      </c>
      <c r="I160" s="14"/>
      <c r="J160" s="17"/>
      <c r="K160" s="9"/>
      <c r="L160" s="15" t="s">
        <v>50</v>
      </c>
      <c r="M160" s="16" t="s">
        <v>51</v>
      </c>
      <c r="N160" s="14"/>
      <c r="O160" s="15" t="s">
        <v>52</v>
      </c>
      <c r="P160" s="17" t="s">
        <v>53</v>
      </c>
      <c r="Q160" s="15"/>
      <c r="R160" s="18" t="s">
        <v>51</v>
      </c>
      <c r="S160" s="19"/>
      <c r="T160" s="17" t="str">
        <f aca="false">IF(R160="維持",J160,IF(R160="排除","無關新聞事件",IFERROR(INDEX(事件規則!$B$2:$B$53,MATCH(S160,事件規則!$A$2:$A$53,0)),"")))</f>
        <v>無關新聞事件</v>
      </c>
      <c r="U160" s="20" t="n">
        <f aca="false">IF(R160="維持",K160,IF(R160="排除",0,IFERROR(INDEX(事件規則!$C$2:$C$53,MATCH(S160,事件規則!$A$2:$A$53,0)),"")))</f>
        <v>0</v>
      </c>
      <c r="V160" s="21"/>
      <c r="W160" s="22"/>
      <c r="X160" s="10" t="str">
        <f aca="false">IF(AND(R160="修改",S160=""),"請選新事件代碼",IF(AND(R160&lt;&gt;"修改",S160&lt;&gt;""),"只有「修改」才需填代碼",""))</f>
        <v/>
      </c>
      <c r="Y160" s="21"/>
      <c r="Z160" s="22"/>
      <c r="AA160" s="12" t="s">
        <v>681</v>
      </c>
      <c r="AB160" s="12"/>
    </row>
    <row r="161" customFormat="false" ht="29.85" hidden="false" customHeight="false" outlineLevel="0" collapsed="false">
      <c r="A161" s="15" t="n">
        <v>160</v>
      </c>
      <c r="B161" s="9" t="s">
        <v>55</v>
      </c>
      <c r="C161" s="9" t="s">
        <v>682</v>
      </c>
      <c r="D161" s="10" t="s">
        <v>683</v>
      </c>
      <c r="E161" s="11" t="s">
        <v>684</v>
      </c>
      <c r="F161" s="17"/>
      <c r="G161" s="12" t="s">
        <v>685</v>
      </c>
      <c r="H161" s="13" t="n">
        <v>-0.275</v>
      </c>
      <c r="I161" s="14"/>
      <c r="J161" s="17"/>
      <c r="K161" s="9"/>
      <c r="L161" s="15" t="s">
        <v>50</v>
      </c>
      <c r="M161" s="16" t="s">
        <v>51</v>
      </c>
      <c r="N161" s="14"/>
      <c r="O161" s="15" t="s">
        <v>52</v>
      </c>
      <c r="P161" s="17" t="s">
        <v>53</v>
      </c>
      <c r="Q161" s="15"/>
      <c r="R161" s="18" t="s">
        <v>51</v>
      </c>
      <c r="S161" s="19"/>
      <c r="T161" s="17" t="str">
        <f aca="false">IF(R161="維持",J161,IF(R161="排除","無關新聞事件",IFERROR(INDEX(事件規則!$B$2:$B$53,MATCH(S161,事件規則!$A$2:$A$53,0)),"")))</f>
        <v>無關新聞事件</v>
      </c>
      <c r="U161" s="20" t="n">
        <f aca="false">IF(R161="維持",K161,IF(R161="排除",0,IFERROR(INDEX(事件規則!$C$2:$C$53,MATCH(S161,事件規則!$A$2:$A$53,0)),"")))</f>
        <v>0</v>
      </c>
      <c r="V161" s="21"/>
      <c r="W161" s="22"/>
      <c r="X161" s="10" t="str">
        <f aca="false">IF(AND(R161="修改",S161=""),"請選新事件代碼",IF(AND(R161&lt;&gt;"修改",S161&lt;&gt;""),"只有「修改」才需填代碼",""))</f>
        <v/>
      </c>
      <c r="Y161" s="21"/>
      <c r="Z161" s="22"/>
      <c r="AA161" s="12" t="s">
        <v>686</v>
      </c>
      <c r="AB161" s="12"/>
    </row>
    <row r="162" customFormat="false" ht="29.85" hidden="false" customHeight="false" outlineLevel="0" collapsed="false">
      <c r="A162" s="15" t="n">
        <v>161</v>
      </c>
      <c r="B162" s="9" t="s">
        <v>45</v>
      </c>
      <c r="C162" s="9" t="s">
        <v>178</v>
      </c>
      <c r="D162" s="10" t="s">
        <v>179</v>
      </c>
      <c r="E162" s="11" t="s">
        <v>687</v>
      </c>
      <c r="F162" s="17"/>
      <c r="G162" s="12" t="s">
        <v>210</v>
      </c>
      <c r="H162" s="13" t="n">
        <v>-0.274</v>
      </c>
      <c r="I162" s="14"/>
      <c r="J162" s="17"/>
      <c r="K162" s="9"/>
      <c r="L162" s="15" t="s">
        <v>50</v>
      </c>
      <c r="M162" s="16" t="s">
        <v>51</v>
      </c>
      <c r="N162" s="14"/>
      <c r="O162" s="15" t="s">
        <v>52</v>
      </c>
      <c r="P162" s="17" t="s">
        <v>53</v>
      </c>
      <c r="Q162" s="15"/>
      <c r="R162" s="18" t="s">
        <v>51</v>
      </c>
      <c r="S162" s="19"/>
      <c r="T162" s="17" t="str">
        <f aca="false">IF(R162="維持",J162,IF(R162="排除","無關新聞事件",IFERROR(INDEX(事件規則!$B$2:$B$53,MATCH(S162,事件規則!$A$2:$A$53,0)),"")))</f>
        <v>無關新聞事件</v>
      </c>
      <c r="U162" s="20" t="n">
        <f aca="false">IF(R162="維持",K162,IF(R162="排除",0,IFERROR(INDEX(事件規則!$C$2:$C$53,MATCH(S162,事件規則!$A$2:$A$53,0)),"")))</f>
        <v>0</v>
      </c>
      <c r="V162" s="21"/>
      <c r="W162" s="22"/>
      <c r="X162" s="10" t="str">
        <f aca="false">IF(AND(R162="修改",S162=""),"請選新事件代碼",IF(AND(R162&lt;&gt;"修改",S162&lt;&gt;""),"只有「修改」才需填代碼",""))</f>
        <v/>
      </c>
      <c r="Y162" s="21"/>
      <c r="Z162" s="22"/>
      <c r="AA162" s="12" t="s">
        <v>688</v>
      </c>
      <c r="AB162" s="12"/>
    </row>
    <row r="163" customFormat="false" ht="29.85" hidden="false" customHeight="false" outlineLevel="0" collapsed="false">
      <c r="A163" s="15" t="n">
        <v>162</v>
      </c>
      <c r="B163" s="9" t="s">
        <v>112</v>
      </c>
      <c r="C163" s="9" t="s">
        <v>66</v>
      </c>
      <c r="D163" s="10" t="s">
        <v>67</v>
      </c>
      <c r="E163" s="11" t="s">
        <v>689</v>
      </c>
      <c r="F163" s="17"/>
      <c r="G163" s="12" t="s">
        <v>690</v>
      </c>
      <c r="H163" s="13" t="n">
        <v>-0.274</v>
      </c>
      <c r="I163" s="14"/>
      <c r="J163" s="17"/>
      <c r="K163" s="9"/>
      <c r="L163" s="15" t="s">
        <v>50</v>
      </c>
      <c r="M163" s="16" t="s">
        <v>51</v>
      </c>
      <c r="N163" s="14"/>
      <c r="O163" s="15" t="s">
        <v>52</v>
      </c>
      <c r="P163" s="17" t="s">
        <v>53</v>
      </c>
      <c r="Q163" s="15"/>
      <c r="R163" s="18" t="s">
        <v>51</v>
      </c>
      <c r="S163" s="19"/>
      <c r="T163" s="17" t="str">
        <f aca="false">IF(R163="維持",J163,IF(R163="排除","無關新聞事件",IFERROR(INDEX(事件規則!$B$2:$B$53,MATCH(S163,事件規則!$A$2:$A$53,0)),"")))</f>
        <v>無關新聞事件</v>
      </c>
      <c r="U163" s="20" t="n">
        <f aca="false">IF(R163="維持",K163,IF(R163="排除",0,IFERROR(INDEX(事件規則!$C$2:$C$53,MATCH(S163,事件規則!$A$2:$A$53,0)),"")))</f>
        <v>0</v>
      </c>
      <c r="V163" s="21"/>
      <c r="W163" s="22"/>
      <c r="X163" s="10" t="str">
        <f aca="false">IF(AND(R163="修改",S163=""),"請選新事件代碼",IF(AND(R163&lt;&gt;"修改",S163&lt;&gt;""),"只有「修改」才需填代碼",""))</f>
        <v/>
      </c>
      <c r="Y163" s="21"/>
      <c r="Z163" s="22"/>
      <c r="AA163" s="12" t="s">
        <v>691</v>
      </c>
      <c r="AB163" s="12"/>
    </row>
    <row r="164" customFormat="false" ht="29.85" hidden="false" customHeight="false" outlineLevel="0" collapsed="false">
      <c r="A164" s="15" t="n">
        <v>163</v>
      </c>
      <c r="B164" s="9" t="s">
        <v>55</v>
      </c>
      <c r="C164" s="9" t="s">
        <v>484</v>
      </c>
      <c r="D164" s="10" t="s">
        <v>485</v>
      </c>
      <c r="E164" s="11" t="s">
        <v>692</v>
      </c>
      <c r="F164" s="17"/>
      <c r="G164" s="12" t="s">
        <v>210</v>
      </c>
      <c r="H164" s="13" t="n">
        <v>-0.272</v>
      </c>
      <c r="I164" s="14"/>
      <c r="J164" s="17"/>
      <c r="K164" s="9"/>
      <c r="L164" s="15" t="s">
        <v>50</v>
      </c>
      <c r="M164" s="16" t="s">
        <v>51</v>
      </c>
      <c r="N164" s="14"/>
      <c r="O164" s="15" t="s">
        <v>52</v>
      </c>
      <c r="P164" s="17" t="s">
        <v>53</v>
      </c>
      <c r="Q164" s="15"/>
      <c r="R164" s="18" t="s">
        <v>51</v>
      </c>
      <c r="S164" s="19"/>
      <c r="T164" s="17" t="str">
        <f aca="false">IF(R164="維持",J164,IF(R164="排除","無關新聞事件",IFERROR(INDEX(事件規則!$B$2:$B$53,MATCH(S164,事件規則!$A$2:$A$53,0)),"")))</f>
        <v>無關新聞事件</v>
      </c>
      <c r="U164" s="20" t="n">
        <f aca="false">IF(R164="維持",K164,IF(R164="排除",0,IFERROR(INDEX(事件規則!$C$2:$C$53,MATCH(S164,事件規則!$A$2:$A$53,0)),"")))</f>
        <v>0</v>
      </c>
      <c r="V164" s="21"/>
      <c r="W164" s="22"/>
      <c r="X164" s="10" t="str">
        <f aca="false">IF(AND(R164="修改",S164=""),"請選新事件代碼",IF(AND(R164&lt;&gt;"修改",S164&lt;&gt;""),"只有「修改」才需填代碼",""))</f>
        <v/>
      </c>
      <c r="Y164" s="21"/>
      <c r="Z164" s="22"/>
      <c r="AA164" s="12" t="s">
        <v>693</v>
      </c>
      <c r="AB164" s="12"/>
    </row>
    <row r="165" customFormat="false" ht="29.85" hidden="false" customHeight="false" outlineLevel="0" collapsed="false">
      <c r="A165" s="15" t="n">
        <v>164</v>
      </c>
      <c r="B165" s="9" t="s">
        <v>55</v>
      </c>
      <c r="C165" s="9" t="s">
        <v>178</v>
      </c>
      <c r="D165" s="10" t="s">
        <v>179</v>
      </c>
      <c r="E165" s="11" t="s">
        <v>694</v>
      </c>
      <c r="F165" s="17"/>
      <c r="G165" s="12" t="s">
        <v>649</v>
      </c>
      <c r="H165" s="13" t="n">
        <v>-0.269</v>
      </c>
      <c r="I165" s="14"/>
      <c r="J165" s="17"/>
      <c r="K165" s="9"/>
      <c r="L165" s="15" t="s">
        <v>50</v>
      </c>
      <c r="M165" s="16" t="s">
        <v>51</v>
      </c>
      <c r="N165" s="14"/>
      <c r="O165" s="15" t="s">
        <v>52</v>
      </c>
      <c r="P165" s="17" t="s">
        <v>53</v>
      </c>
      <c r="Q165" s="15"/>
      <c r="R165" s="18" t="s">
        <v>51</v>
      </c>
      <c r="S165" s="19"/>
      <c r="T165" s="17" t="str">
        <f aca="false">IF(R165="維持",J165,IF(R165="排除","無關新聞事件",IFERROR(INDEX(事件規則!$B$2:$B$53,MATCH(S165,事件規則!$A$2:$A$53,0)),"")))</f>
        <v>無關新聞事件</v>
      </c>
      <c r="U165" s="20" t="n">
        <f aca="false">IF(R165="維持",K165,IF(R165="排除",0,IFERROR(INDEX(事件規則!$C$2:$C$53,MATCH(S165,事件規則!$A$2:$A$53,0)),"")))</f>
        <v>0</v>
      </c>
      <c r="V165" s="21"/>
      <c r="W165" s="22"/>
      <c r="X165" s="10" t="str">
        <f aca="false">IF(AND(R165="修改",S165=""),"請選新事件代碼",IF(AND(R165&lt;&gt;"修改",S165&lt;&gt;""),"只有「修改」才需填代碼",""))</f>
        <v/>
      </c>
      <c r="Y165" s="21"/>
      <c r="Z165" s="22"/>
      <c r="AA165" s="12" t="s">
        <v>695</v>
      </c>
      <c r="AB165" s="12"/>
    </row>
    <row r="166" customFormat="false" ht="29.85" hidden="false" customHeight="false" outlineLevel="0" collapsed="false">
      <c r="A166" s="15" t="n">
        <v>165</v>
      </c>
      <c r="B166" s="9" t="s">
        <v>112</v>
      </c>
      <c r="C166" s="9" t="s">
        <v>540</v>
      </c>
      <c r="D166" s="10" t="s">
        <v>541</v>
      </c>
      <c r="E166" s="11" t="s">
        <v>696</v>
      </c>
      <c r="F166" s="17"/>
      <c r="G166" s="12" t="s">
        <v>443</v>
      </c>
      <c r="H166" s="13" t="n">
        <v>-0.269</v>
      </c>
      <c r="I166" s="14"/>
      <c r="J166" s="17"/>
      <c r="K166" s="9"/>
      <c r="L166" s="15" t="s">
        <v>50</v>
      </c>
      <c r="M166" s="16" t="s">
        <v>51</v>
      </c>
      <c r="N166" s="14"/>
      <c r="O166" s="15" t="s">
        <v>52</v>
      </c>
      <c r="P166" s="17" t="s">
        <v>53</v>
      </c>
      <c r="Q166" s="15"/>
      <c r="R166" s="18" t="s">
        <v>51</v>
      </c>
      <c r="S166" s="19"/>
      <c r="T166" s="17" t="str">
        <f aca="false">IF(R166="維持",J166,IF(R166="排除","無關新聞事件",IFERROR(INDEX(事件規則!$B$2:$B$53,MATCH(S166,事件規則!$A$2:$A$53,0)),"")))</f>
        <v>無關新聞事件</v>
      </c>
      <c r="U166" s="20" t="n">
        <f aca="false">IF(R166="維持",K166,IF(R166="排除",0,IFERROR(INDEX(事件規則!$C$2:$C$53,MATCH(S166,事件規則!$A$2:$A$53,0)),"")))</f>
        <v>0</v>
      </c>
      <c r="V166" s="21"/>
      <c r="W166" s="22"/>
      <c r="X166" s="10" t="str">
        <f aca="false">IF(AND(R166="修改",S166=""),"請選新事件代碼",IF(AND(R166&lt;&gt;"修改",S166&lt;&gt;""),"只有「修改」才需填代碼",""))</f>
        <v/>
      </c>
      <c r="Y166" s="21"/>
      <c r="Z166" s="22"/>
      <c r="AA166" s="12" t="s">
        <v>697</v>
      </c>
      <c r="AB166" s="12"/>
    </row>
    <row r="167" customFormat="false" ht="29.85" hidden="false" customHeight="false" outlineLevel="0" collapsed="false">
      <c r="A167" s="15" t="n">
        <v>166</v>
      </c>
      <c r="B167" s="9" t="s">
        <v>112</v>
      </c>
      <c r="C167" s="9" t="s">
        <v>698</v>
      </c>
      <c r="D167" s="10" t="s">
        <v>699</v>
      </c>
      <c r="E167" s="11" t="s">
        <v>700</v>
      </c>
      <c r="F167" s="17"/>
      <c r="G167" s="12" t="s">
        <v>701</v>
      </c>
      <c r="H167" s="13" t="n">
        <v>-0.268</v>
      </c>
      <c r="I167" s="14"/>
      <c r="J167" s="17"/>
      <c r="K167" s="9"/>
      <c r="L167" s="15" t="s">
        <v>50</v>
      </c>
      <c r="M167" s="16" t="s">
        <v>51</v>
      </c>
      <c r="N167" s="14"/>
      <c r="O167" s="15" t="s">
        <v>52</v>
      </c>
      <c r="P167" s="17" t="s">
        <v>53</v>
      </c>
      <c r="Q167" s="15"/>
      <c r="R167" s="18" t="s">
        <v>51</v>
      </c>
      <c r="S167" s="19"/>
      <c r="T167" s="17" t="str">
        <f aca="false">IF(R167="維持",J167,IF(R167="排除","無關新聞事件",IFERROR(INDEX(事件規則!$B$2:$B$53,MATCH(S167,事件規則!$A$2:$A$53,0)),"")))</f>
        <v>無關新聞事件</v>
      </c>
      <c r="U167" s="20" t="n">
        <f aca="false">IF(R167="維持",K167,IF(R167="排除",0,IFERROR(INDEX(事件規則!$C$2:$C$53,MATCH(S167,事件規則!$A$2:$A$53,0)),"")))</f>
        <v>0</v>
      </c>
      <c r="V167" s="21"/>
      <c r="W167" s="22"/>
      <c r="X167" s="10" t="str">
        <f aca="false">IF(AND(R167="修改",S167=""),"請選新事件代碼",IF(AND(R167&lt;&gt;"修改",S167&lt;&gt;""),"只有「修改」才需填代碼",""))</f>
        <v/>
      </c>
      <c r="Y167" s="21"/>
      <c r="Z167" s="22"/>
      <c r="AA167" s="12" t="s">
        <v>702</v>
      </c>
      <c r="AB167" s="12"/>
    </row>
    <row r="168" customFormat="false" ht="29.85" hidden="false" customHeight="false" outlineLevel="0" collapsed="false">
      <c r="A168" s="15" t="n">
        <v>167</v>
      </c>
      <c r="B168" s="9" t="s">
        <v>112</v>
      </c>
      <c r="C168" s="9" t="s">
        <v>178</v>
      </c>
      <c r="D168" s="10" t="s">
        <v>179</v>
      </c>
      <c r="E168" s="11" t="s">
        <v>703</v>
      </c>
      <c r="F168" s="17"/>
      <c r="G168" s="12" t="s">
        <v>545</v>
      </c>
      <c r="H168" s="13" t="n">
        <v>-0.268</v>
      </c>
      <c r="I168" s="14"/>
      <c r="J168" s="17"/>
      <c r="K168" s="9"/>
      <c r="L168" s="15" t="s">
        <v>50</v>
      </c>
      <c r="M168" s="16" t="s">
        <v>51</v>
      </c>
      <c r="N168" s="14"/>
      <c r="O168" s="15" t="s">
        <v>52</v>
      </c>
      <c r="P168" s="17" t="s">
        <v>53</v>
      </c>
      <c r="Q168" s="15"/>
      <c r="R168" s="18" t="s">
        <v>51</v>
      </c>
      <c r="S168" s="19"/>
      <c r="T168" s="17" t="str">
        <f aca="false">IF(R168="維持",J168,IF(R168="排除","無關新聞事件",IFERROR(INDEX(事件規則!$B$2:$B$53,MATCH(S168,事件規則!$A$2:$A$53,0)),"")))</f>
        <v>無關新聞事件</v>
      </c>
      <c r="U168" s="20" t="n">
        <f aca="false">IF(R168="維持",K168,IF(R168="排除",0,IFERROR(INDEX(事件規則!$C$2:$C$53,MATCH(S168,事件規則!$A$2:$A$53,0)),"")))</f>
        <v>0</v>
      </c>
      <c r="V168" s="21"/>
      <c r="W168" s="22"/>
      <c r="X168" s="10" t="str">
        <f aca="false">IF(AND(R168="修改",S168=""),"請選新事件代碼",IF(AND(R168&lt;&gt;"修改",S168&lt;&gt;""),"只有「修改」才需填代碼",""))</f>
        <v/>
      </c>
      <c r="Y168" s="21"/>
      <c r="Z168" s="22"/>
      <c r="AA168" s="12" t="s">
        <v>704</v>
      </c>
      <c r="AB168" s="12"/>
    </row>
    <row r="169" customFormat="false" ht="29.85" hidden="false" customHeight="false" outlineLevel="0" collapsed="false">
      <c r="A169" s="15" t="n">
        <v>168</v>
      </c>
      <c r="B169" s="9" t="s">
        <v>112</v>
      </c>
      <c r="C169" s="9" t="s">
        <v>66</v>
      </c>
      <c r="D169" s="10" t="s">
        <v>67</v>
      </c>
      <c r="E169" s="11" t="s">
        <v>705</v>
      </c>
      <c r="F169" s="17"/>
      <c r="G169" s="12" t="s">
        <v>706</v>
      </c>
      <c r="H169" s="13" t="n">
        <v>-0.267</v>
      </c>
      <c r="I169" s="14"/>
      <c r="J169" s="17"/>
      <c r="K169" s="9"/>
      <c r="L169" s="15" t="s">
        <v>50</v>
      </c>
      <c r="M169" s="16" t="s">
        <v>51</v>
      </c>
      <c r="N169" s="14"/>
      <c r="O169" s="15" t="s">
        <v>52</v>
      </c>
      <c r="P169" s="17" t="s">
        <v>53</v>
      </c>
      <c r="Q169" s="15"/>
      <c r="R169" s="18" t="s">
        <v>51</v>
      </c>
      <c r="S169" s="19"/>
      <c r="T169" s="17" t="str">
        <f aca="false">IF(R169="維持",J169,IF(R169="排除","無關新聞事件",IFERROR(INDEX(事件規則!$B$2:$B$53,MATCH(S169,事件規則!$A$2:$A$53,0)),"")))</f>
        <v>無關新聞事件</v>
      </c>
      <c r="U169" s="20" t="n">
        <f aca="false">IF(R169="維持",K169,IF(R169="排除",0,IFERROR(INDEX(事件規則!$C$2:$C$53,MATCH(S169,事件規則!$A$2:$A$53,0)),"")))</f>
        <v>0</v>
      </c>
      <c r="V169" s="21"/>
      <c r="W169" s="22"/>
      <c r="X169" s="10" t="str">
        <f aca="false">IF(AND(R169="修改",S169=""),"請選新事件代碼",IF(AND(R169&lt;&gt;"修改",S169&lt;&gt;""),"只有「修改」才需填代碼",""))</f>
        <v/>
      </c>
      <c r="Y169" s="21"/>
      <c r="Z169" s="22"/>
      <c r="AA169" s="12" t="s">
        <v>707</v>
      </c>
      <c r="AB169" s="12"/>
    </row>
    <row r="170" customFormat="false" ht="29.85" hidden="false" customHeight="false" outlineLevel="0" collapsed="false">
      <c r="A170" s="15" t="n">
        <v>169</v>
      </c>
      <c r="B170" s="9" t="s">
        <v>55</v>
      </c>
      <c r="C170" s="9" t="s">
        <v>476</v>
      </c>
      <c r="D170" s="10" t="s">
        <v>477</v>
      </c>
      <c r="E170" s="11" t="s">
        <v>708</v>
      </c>
      <c r="F170" s="17"/>
      <c r="G170" s="12" t="s">
        <v>623</v>
      </c>
      <c r="H170" s="13" t="n">
        <v>-0.266</v>
      </c>
      <c r="I170" s="14"/>
      <c r="J170" s="17"/>
      <c r="K170" s="9"/>
      <c r="L170" s="15" t="s">
        <v>50</v>
      </c>
      <c r="M170" s="16" t="s">
        <v>51</v>
      </c>
      <c r="N170" s="14"/>
      <c r="O170" s="15" t="s">
        <v>52</v>
      </c>
      <c r="P170" s="17" t="s">
        <v>53</v>
      </c>
      <c r="Q170" s="15"/>
      <c r="R170" s="18" t="s">
        <v>51</v>
      </c>
      <c r="S170" s="19"/>
      <c r="T170" s="17" t="str">
        <f aca="false">IF(R170="維持",J170,IF(R170="排除","無關新聞事件",IFERROR(INDEX(事件規則!$B$2:$B$53,MATCH(S170,事件規則!$A$2:$A$53,0)),"")))</f>
        <v>無關新聞事件</v>
      </c>
      <c r="U170" s="20" t="n">
        <f aca="false">IF(R170="維持",K170,IF(R170="排除",0,IFERROR(INDEX(事件規則!$C$2:$C$53,MATCH(S170,事件規則!$A$2:$A$53,0)),"")))</f>
        <v>0</v>
      </c>
      <c r="V170" s="21"/>
      <c r="W170" s="22"/>
      <c r="X170" s="10" t="str">
        <f aca="false">IF(AND(R170="修改",S170=""),"請選新事件代碼",IF(AND(R170&lt;&gt;"修改",S170&lt;&gt;""),"只有「修改」才需填代碼",""))</f>
        <v/>
      </c>
      <c r="Y170" s="21"/>
      <c r="Z170" s="22"/>
      <c r="AA170" s="12" t="s">
        <v>709</v>
      </c>
      <c r="AB170" s="12"/>
    </row>
    <row r="171" customFormat="false" ht="29.85" hidden="false" customHeight="false" outlineLevel="0" collapsed="false">
      <c r="A171" s="15" t="n">
        <v>170</v>
      </c>
      <c r="B171" s="9" t="s">
        <v>55</v>
      </c>
      <c r="C171" s="9" t="s">
        <v>710</v>
      </c>
      <c r="D171" s="10" t="s">
        <v>711</v>
      </c>
      <c r="E171" s="11" t="s">
        <v>712</v>
      </c>
      <c r="F171" s="17"/>
      <c r="G171" s="12" t="s">
        <v>142</v>
      </c>
      <c r="H171" s="13" t="n">
        <v>-0.266</v>
      </c>
      <c r="I171" s="14"/>
      <c r="J171" s="17"/>
      <c r="K171" s="9"/>
      <c r="L171" s="15" t="s">
        <v>50</v>
      </c>
      <c r="M171" s="16" t="s">
        <v>51</v>
      </c>
      <c r="N171" s="14"/>
      <c r="O171" s="15" t="s">
        <v>52</v>
      </c>
      <c r="P171" s="17" t="s">
        <v>53</v>
      </c>
      <c r="Q171" s="15"/>
      <c r="R171" s="18" t="s">
        <v>51</v>
      </c>
      <c r="S171" s="19"/>
      <c r="T171" s="17" t="str">
        <f aca="false">IF(R171="維持",J171,IF(R171="排除","無關新聞事件",IFERROR(INDEX(事件規則!$B$2:$B$53,MATCH(S171,事件規則!$A$2:$A$53,0)),"")))</f>
        <v>無關新聞事件</v>
      </c>
      <c r="U171" s="20" t="n">
        <f aca="false">IF(R171="維持",K171,IF(R171="排除",0,IFERROR(INDEX(事件規則!$C$2:$C$53,MATCH(S171,事件規則!$A$2:$A$53,0)),"")))</f>
        <v>0</v>
      </c>
      <c r="V171" s="21"/>
      <c r="W171" s="22"/>
      <c r="X171" s="10" t="str">
        <f aca="false">IF(AND(R171="修改",S171=""),"請選新事件代碼",IF(AND(R171&lt;&gt;"修改",S171&lt;&gt;""),"只有「修改」才需填代碼",""))</f>
        <v/>
      </c>
      <c r="Y171" s="21"/>
      <c r="Z171" s="22"/>
      <c r="AA171" s="12" t="s">
        <v>713</v>
      </c>
      <c r="AB171" s="12"/>
    </row>
    <row r="172" customFormat="false" ht="29.85" hidden="false" customHeight="false" outlineLevel="0" collapsed="false">
      <c r="A172" s="15" t="n">
        <v>171</v>
      </c>
      <c r="B172" s="9" t="s">
        <v>45</v>
      </c>
      <c r="C172" s="9" t="s">
        <v>71</v>
      </c>
      <c r="D172" s="10" t="s">
        <v>72</v>
      </c>
      <c r="E172" s="11" t="s">
        <v>714</v>
      </c>
      <c r="F172" s="17"/>
      <c r="G172" s="12" t="s">
        <v>176</v>
      </c>
      <c r="H172" s="13" t="n">
        <v>-0.264</v>
      </c>
      <c r="I172" s="14"/>
      <c r="J172" s="17"/>
      <c r="K172" s="9"/>
      <c r="L172" s="15" t="s">
        <v>50</v>
      </c>
      <c r="M172" s="16" t="s">
        <v>51</v>
      </c>
      <c r="N172" s="14"/>
      <c r="O172" s="15" t="s">
        <v>52</v>
      </c>
      <c r="P172" s="17" t="s">
        <v>53</v>
      </c>
      <c r="Q172" s="15"/>
      <c r="R172" s="18" t="s">
        <v>51</v>
      </c>
      <c r="S172" s="19"/>
      <c r="T172" s="17" t="str">
        <f aca="false">IF(R172="維持",J172,IF(R172="排除","無關新聞事件",IFERROR(INDEX(事件規則!$B$2:$B$53,MATCH(S172,事件規則!$A$2:$A$53,0)),"")))</f>
        <v>無關新聞事件</v>
      </c>
      <c r="U172" s="20" t="n">
        <f aca="false">IF(R172="維持",K172,IF(R172="排除",0,IFERROR(INDEX(事件規則!$C$2:$C$53,MATCH(S172,事件規則!$A$2:$A$53,0)),"")))</f>
        <v>0</v>
      </c>
      <c r="V172" s="21"/>
      <c r="W172" s="22"/>
      <c r="X172" s="10" t="str">
        <f aca="false">IF(AND(R172="修改",S172=""),"請選新事件代碼",IF(AND(R172&lt;&gt;"修改",S172&lt;&gt;""),"只有「修改」才需填代碼",""))</f>
        <v/>
      </c>
      <c r="Y172" s="21"/>
      <c r="Z172" s="22"/>
      <c r="AA172" s="12" t="s">
        <v>715</v>
      </c>
      <c r="AB172" s="12"/>
    </row>
    <row r="173" customFormat="false" ht="29.85" hidden="false" customHeight="false" outlineLevel="0" collapsed="false">
      <c r="A173" s="15" t="n">
        <v>172</v>
      </c>
      <c r="B173" s="9" t="s">
        <v>55</v>
      </c>
      <c r="C173" s="9" t="s">
        <v>716</v>
      </c>
      <c r="D173" s="10" t="s">
        <v>717</v>
      </c>
      <c r="E173" s="11" t="s">
        <v>718</v>
      </c>
      <c r="F173" s="17"/>
      <c r="G173" s="12" t="s">
        <v>49</v>
      </c>
      <c r="H173" s="13" t="n">
        <v>-0.263</v>
      </c>
      <c r="I173" s="14"/>
      <c r="J173" s="17"/>
      <c r="K173" s="9"/>
      <c r="L173" s="15" t="s">
        <v>50</v>
      </c>
      <c r="M173" s="16" t="s">
        <v>51</v>
      </c>
      <c r="N173" s="14"/>
      <c r="O173" s="15" t="s">
        <v>52</v>
      </c>
      <c r="P173" s="17" t="s">
        <v>53</v>
      </c>
      <c r="Q173" s="15"/>
      <c r="R173" s="18" t="s">
        <v>51</v>
      </c>
      <c r="S173" s="19"/>
      <c r="T173" s="17" t="str">
        <f aca="false">IF(R173="維持",J173,IF(R173="排除","無關新聞事件",IFERROR(INDEX(事件規則!$B$2:$B$53,MATCH(S173,事件規則!$A$2:$A$53,0)),"")))</f>
        <v>無關新聞事件</v>
      </c>
      <c r="U173" s="20" t="n">
        <f aca="false">IF(R173="維持",K173,IF(R173="排除",0,IFERROR(INDEX(事件規則!$C$2:$C$53,MATCH(S173,事件規則!$A$2:$A$53,0)),"")))</f>
        <v>0</v>
      </c>
      <c r="V173" s="21"/>
      <c r="W173" s="22"/>
      <c r="X173" s="10" t="str">
        <f aca="false">IF(AND(R173="修改",S173=""),"請選新事件代碼",IF(AND(R173&lt;&gt;"修改",S173&lt;&gt;""),"只有「修改」才需填代碼",""))</f>
        <v/>
      </c>
      <c r="Y173" s="21"/>
      <c r="Z173" s="22"/>
      <c r="AA173" s="12" t="s">
        <v>719</v>
      </c>
      <c r="AB173" s="12"/>
    </row>
    <row r="174" customFormat="false" ht="29.85" hidden="false" customHeight="false" outlineLevel="0" collapsed="false">
      <c r="A174" s="15" t="n">
        <v>173</v>
      </c>
      <c r="B174" s="9" t="s">
        <v>55</v>
      </c>
      <c r="C174" s="9" t="s">
        <v>720</v>
      </c>
      <c r="D174" s="10" t="s">
        <v>721</v>
      </c>
      <c r="E174" s="11" t="s">
        <v>722</v>
      </c>
      <c r="F174" s="17"/>
      <c r="G174" s="12" t="s">
        <v>95</v>
      </c>
      <c r="H174" s="13" t="n">
        <v>-0.261</v>
      </c>
      <c r="I174" s="14"/>
      <c r="J174" s="17"/>
      <c r="K174" s="9"/>
      <c r="L174" s="15" t="s">
        <v>50</v>
      </c>
      <c r="M174" s="16" t="s">
        <v>51</v>
      </c>
      <c r="N174" s="14"/>
      <c r="O174" s="15" t="s">
        <v>52</v>
      </c>
      <c r="P174" s="17" t="s">
        <v>53</v>
      </c>
      <c r="Q174" s="15"/>
      <c r="R174" s="18" t="s">
        <v>51</v>
      </c>
      <c r="S174" s="19"/>
      <c r="T174" s="17" t="str">
        <f aca="false">IF(R174="維持",J174,IF(R174="排除","無關新聞事件",IFERROR(INDEX(事件規則!$B$2:$B$53,MATCH(S174,事件規則!$A$2:$A$53,0)),"")))</f>
        <v>無關新聞事件</v>
      </c>
      <c r="U174" s="20" t="n">
        <f aca="false">IF(R174="維持",K174,IF(R174="排除",0,IFERROR(INDEX(事件規則!$C$2:$C$53,MATCH(S174,事件規則!$A$2:$A$53,0)),"")))</f>
        <v>0</v>
      </c>
      <c r="V174" s="21"/>
      <c r="W174" s="22"/>
      <c r="X174" s="10" t="str">
        <f aca="false">IF(AND(R174="修改",S174=""),"請選新事件代碼",IF(AND(R174&lt;&gt;"修改",S174&lt;&gt;""),"只有「修改」才需填代碼",""))</f>
        <v/>
      </c>
      <c r="Y174" s="21"/>
      <c r="Z174" s="22"/>
      <c r="AA174" s="12" t="s">
        <v>723</v>
      </c>
      <c r="AB174" s="12"/>
    </row>
    <row r="175" customFormat="false" ht="29.85" hidden="false" customHeight="false" outlineLevel="0" collapsed="false">
      <c r="A175" s="15" t="n">
        <v>174</v>
      </c>
      <c r="B175" s="9" t="s">
        <v>45</v>
      </c>
      <c r="C175" s="9" t="s">
        <v>76</v>
      </c>
      <c r="D175" s="10" t="s">
        <v>77</v>
      </c>
      <c r="E175" s="11" t="s">
        <v>724</v>
      </c>
      <c r="F175" s="17"/>
      <c r="G175" s="12" t="s">
        <v>725</v>
      </c>
      <c r="H175" s="13" t="n">
        <v>-0.26</v>
      </c>
      <c r="I175" s="14"/>
      <c r="J175" s="17"/>
      <c r="K175" s="9"/>
      <c r="L175" s="15" t="s">
        <v>50</v>
      </c>
      <c r="M175" s="16" t="s">
        <v>51</v>
      </c>
      <c r="N175" s="14"/>
      <c r="O175" s="15" t="s">
        <v>52</v>
      </c>
      <c r="P175" s="17" t="s">
        <v>53</v>
      </c>
      <c r="Q175" s="15"/>
      <c r="R175" s="18" t="s">
        <v>51</v>
      </c>
      <c r="S175" s="19"/>
      <c r="T175" s="17" t="str">
        <f aca="false">IF(R175="維持",J175,IF(R175="排除","無關新聞事件",IFERROR(INDEX(事件規則!$B$2:$B$53,MATCH(S175,事件規則!$A$2:$A$53,0)),"")))</f>
        <v>無關新聞事件</v>
      </c>
      <c r="U175" s="20" t="n">
        <f aca="false">IF(R175="維持",K175,IF(R175="排除",0,IFERROR(INDEX(事件規則!$C$2:$C$53,MATCH(S175,事件規則!$A$2:$A$53,0)),"")))</f>
        <v>0</v>
      </c>
      <c r="V175" s="21"/>
      <c r="W175" s="22"/>
      <c r="X175" s="10" t="str">
        <f aca="false">IF(AND(R175="修改",S175=""),"請選新事件代碼",IF(AND(R175&lt;&gt;"修改",S175&lt;&gt;""),"只有「修改」才需填代碼",""))</f>
        <v/>
      </c>
      <c r="Y175" s="21"/>
      <c r="Z175" s="22"/>
      <c r="AA175" s="12" t="s">
        <v>726</v>
      </c>
      <c r="AB175" s="12"/>
    </row>
    <row r="176" customFormat="false" ht="29.85" hidden="false" customHeight="false" outlineLevel="0" collapsed="false">
      <c r="A176" s="15" t="n">
        <v>175</v>
      </c>
      <c r="B176" s="9" t="s">
        <v>55</v>
      </c>
      <c r="C176" s="9" t="s">
        <v>118</v>
      </c>
      <c r="D176" s="10" t="s">
        <v>119</v>
      </c>
      <c r="E176" s="11" t="s">
        <v>727</v>
      </c>
      <c r="F176" s="17"/>
      <c r="G176" s="12" t="s">
        <v>728</v>
      </c>
      <c r="H176" s="13" t="n">
        <v>-0.259</v>
      </c>
      <c r="I176" s="14"/>
      <c r="J176" s="17"/>
      <c r="K176" s="9"/>
      <c r="L176" s="15" t="s">
        <v>50</v>
      </c>
      <c r="M176" s="16" t="s">
        <v>51</v>
      </c>
      <c r="N176" s="14"/>
      <c r="O176" s="15" t="s">
        <v>52</v>
      </c>
      <c r="P176" s="17" t="s">
        <v>53</v>
      </c>
      <c r="Q176" s="15"/>
      <c r="R176" s="18" t="s">
        <v>51</v>
      </c>
      <c r="S176" s="19"/>
      <c r="T176" s="17" t="str">
        <f aca="false">IF(R176="維持",J176,IF(R176="排除","無關新聞事件",IFERROR(INDEX(事件規則!$B$2:$B$53,MATCH(S176,事件規則!$A$2:$A$53,0)),"")))</f>
        <v>無關新聞事件</v>
      </c>
      <c r="U176" s="20" t="n">
        <f aca="false">IF(R176="維持",K176,IF(R176="排除",0,IFERROR(INDEX(事件規則!$C$2:$C$53,MATCH(S176,事件規則!$A$2:$A$53,0)),"")))</f>
        <v>0</v>
      </c>
      <c r="V176" s="21"/>
      <c r="W176" s="22"/>
      <c r="X176" s="10" t="str">
        <f aca="false">IF(AND(R176="修改",S176=""),"請選新事件代碼",IF(AND(R176&lt;&gt;"修改",S176&lt;&gt;""),"只有「修改」才需填代碼",""))</f>
        <v/>
      </c>
      <c r="Y176" s="21"/>
      <c r="Z176" s="22"/>
      <c r="AA176" s="12" t="s">
        <v>729</v>
      </c>
      <c r="AB176" s="12"/>
    </row>
    <row r="177" customFormat="false" ht="29.85" hidden="false" customHeight="false" outlineLevel="0" collapsed="false">
      <c r="A177" s="15" t="n">
        <v>176</v>
      </c>
      <c r="B177" s="9" t="s">
        <v>81</v>
      </c>
      <c r="C177" s="9" t="s">
        <v>730</v>
      </c>
      <c r="D177" s="10" t="s">
        <v>731</v>
      </c>
      <c r="E177" s="11" t="s">
        <v>732</v>
      </c>
      <c r="F177" s="17"/>
      <c r="G177" s="12" t="s">
        <v>733</v>
      </c>
      <c r="H177" s="13" t="n">
        <v>-0.259</v>
      </c>
      <c r="I177" s="14"/>
      <c r="J177" s="17"/>
      <c r="K177" s="9"/>
      <c r="L177" s="15" t="s">
        <v>50</v>
      </c>
      <c r="M177" s="16" t="s">
        <v>51</v>
      </c>
      <c r="N177" s="14"/>
      <c r="O177" s="15" t="s">
        <v>52</v>
      </c>
      <c r="P177" s="17" t="s">
        <v>53</v>
      </c>
      <c r="Q177" s="15"/>
      <c r="R177" s="18" t="s">
        <v>51</v>
      </c>
      <c r="S177" s="19"/>
      <c r="T177" s="17" t="str">
        <f aca="false">IF(R177="維持",J177,IF(R177="排除","無關新聞事件",IFERROR(INDEX(事件規則!$B$2:$B$53,MATCH(S177,事件規則!$A$2:$A$53,0)),"")))</f>
        <v>無關新聞事件</v>
      </c>
      <c r="U177" s="20" t="n">
        <f aca="false">IF(R177="維持",K177,IF(R177="排除",0,IFERROR(INDEX(事件規則!$C$2:$C$53,MATCH(S177,事件規則!$A$2:$A$53,0)),"")))</f>
        <v>0</v>
      </c>
      <c r="V177" s="21"/>
      <c r="W177" s="22"/>
      <c r="X177" s="10" t="str">
        <f aca="false">IF(AND(R177="修改",S177=""),"請選新事件代碼",IF(AND(R177&lt;&gt;"修改",S177&lt;&gt;""),"只有「修改」才需填代碼",""))</f>
        <v/>
      </c>
      <c r="Y177" s="21"/>
      <c r="Z177" s="22"/>
      <c r="AA177" s="12" t="s">
        <v>734</v>
      </c>
      <c r="AB177" s="12"/>
    </row>
    <row r="178" customFormat="false" ht="29.85" hidden="false" customHeight="false" outlineLevel="0" collapsed="false">
      <c r="A178" s="15" t="n">
        <v>177</v>
      </c>
      <c r="B178" s="9" t="s">
        <v>45</v>
      </c>
      <c r="C178" s="9" t="s">
        <v>535</v>
      </c>
      <c r="D178" s="10" t="s">
        <v>536</v>
      </c>
      <c r="E178" s="11" t="s">
        <v>735</v>
      </c>
      <c r="F178" s="17"/>
      <c r="G178" s="12" t="s">
        <v>538</v>
      </c>
      <c r="H178" s="13" t="n">
        <v>-0.258</v>
      </c>
      <c r="I178" s="14"/>
      <c r="J178" s="17"/>
      <c r="K178" s="9"/>
      <c r="L178" s="15" t="s">
        <v>50</v>
      </c>
      <c r="M178" s="16" t="s">
        <v>51</v>
      </c>
      <c r="N178" s="14"/>
      <c r="O178" s="15" t="s">
        <v>52</v>
      </c>
      <c r="P178" s="17" t="s">
        <v>53</v>
      </c>
      <c r="Q178" s="15"/>
      <c r="R178" s="18" t="s">
        <v>51</v>
      </c>
      <c r="S178" s="19"/>
      <c r="T178" s="17" t="str">
        <f aca="false">IF(R178="維持",J178,IF(R178="排除","無關新聞事件",IFERROR(INDEX(事件規則!$B$2:$B$53,MATCH(S178,事件規則!$A$2:$A$53,0)),"")))</f>
        <v>無關新聞事件</v>
      </c>
      <c r="U178" s="20" t="n">
        <f aca="false">IF(R178="維持",K178,IF(R178="排除",0,IFERROR(INDEX(事件規則!$C$2:$C$53,MATCH(S178,事件規則!$A$2:$A$53,0)),"")))</f>
        <v>0</v>
      </c>
      <c r="V178" s="21"/>
      <c r="W178" s="22"/>
      <c r="X178" s="10" t="str">
        <f aca="false">IF(AND(R178="修改",S178=""),"請選新事件代碼",IF(AND(R178&lt;&gt;"修改",S178&lt;&gt;""),"只有「修改」才需填代碼",""))</f>
        <v/>
      </c>
      <c r="Y178" s="21"/>
      <c r="Z178" s="22"/>
      <c r="AA178" s="12" t="s">
        <v>736</v>
      </c>
      <c r="AB178" s="12"/>
    </row>
    <row r="179" customFormat="false" ht="29.85" hidden="false" customHeight="false" outlineLevel="0" collapsed="false">
      <c r="A179" s="15" t="n">
        <v>178</v>
      </c>
      <c r="B179" s="9" t="s">
        <v>45</v>
      </c>
      <c r="C179" s="9" t="s">
        <v>476</v>
      </c>
      <c r="D179" s="10" t="s">
        <v>477</v>
      </c>
      <c r="E179" s="11" t="s">
        <v>737</v>
      </c>
      <c r="F179" s="17"/>
      <c r="G179" s="12" t="s">
        <v>738</v>
      </c>
      <c r="H179" s="13" t="n">
        <v>-0.258</v>
      </c>
      <c r="I179" s="14"/>
      <c r="J179" s="17"/>
      <c r="K179" s="9"/>
      <c r="L179" s="15" t="s">
        <v>50</v>
      </c>
      <c r="M179" s="16" t="s">
        <v>51</v>
      </c>
      <c r="N179" s="14"/>
      <c r="O179" s="15" t="s">
        <v>52</v>
      </c>
      <c r="P179" s="17" t="s">
        <v>53</v>
      </c>
      <c r="Q179" s="15"/>
      <c r="R179" s="18" t="s">
        <v>51</v>
      </c>
      <c r="S179" s="19"/>
      <c r="T179" s="17" t="str">
        <f aca="false">IF(R179="維持",J179,IF(R179="排除","無關新聞事件",IFERROR(INDEX(事件規則!$B$2:$B$53,MATCH(S179,事件規則!$A$2:$A$53,0)),"")))</f>
        <v>無關新聞事件</v>
      </c>
      <c r="U179" s="20" t="n">
        <f aca="false">IF(R179="維持",K179,IF(R179="排除",0,IFERROR(INDEX(事件規則!$C$2:$C$53,MATCH(S179,事件規則!$A$2:$A$53,0)),"")))</f>
        <v>0</v>
      </c>
      <c r="V179" s="21"/>
      <c r="W179" s="22"/>
      <c r="X179" s="10" t="str">
        <f aca="false">IF(AND(R179="修改",S179=""),"請選新事件代碼",IF(AND(R179&lt;&gt;"修改",S179&lt;&gt;""),"只有「修改」才需填代碼",""))</f>
        <v/>
      </c>
      <c r="Y179" s="21"/>
      <c r="Z179" s="22"/>
      <c r="AA179" s="12" t="s">
        <v>739</v>
      </c>
      <c r="AB179" s="12"/>
    </row>
    <row r="180" customFormat="false" ht="29.85" hidden="false" customHeight="false" outlineLevel="0" collapsed="false">
      <c r="A180" s="15" t="n">
        <v>179</v>
      </c>
      <c r="B180" s="9" t="s">
        <v>112</v>
      </c>
      <c r="C180" s="9" t="s">
        <v>740</v>
      </c>
      <c r="D180" s="10" t="s">
        <v>741</v>
      </c>
      <c r="E180" s="11" t="s">
        <v>742</v>
      </c>
      <c r="F180" s="17"/>
      <c r="G180" s="12" t="s">
        <v>49</v>
      </c>
      <c r="H180" s="13" t="n">
        <v>-0.257</v>
      </c>
      <c r="I180" s="14"/>
      <c r="J180" s="17"/>
      <c r="K180" s="9"/>
      <c r="L180" s="15" t="s">
        <v>50</v>
      </c>
      <c r="M180" s="16" t="s">
        <v>51</v>
      </c>
      <c r="N180" s="14"/>
      <c r="O180" s="15" t="s">
        <v>52</v>
      </c>
      <c r="P180" s="17" t="s">
        <v>53</v>
      </c>
      <c r="Q180" s="15"/>
      <c r="R180" s="18" t="s">
        <v>51</v>
      </c>
      <c r="S180" s="19"/>
      <c r="T180" s="17" t="str">
        <f aca="false">IF(R180="維持",J180,IF(R180="排除","無關新聞事件",IFERROR(INDEX(事件規則!$B$2:$B$53,MATCH(S180,事件規則!$A$2:$A$53,0)),"")))</f>
        <v>無關新聞事件</v>
      </c>
      <c r="U180" s="20" t="n">
        <f aca="false">IF(R180="維持",K180,IF(R180="排除",0,IFERROR(INDEX(事件規則!$C$2:$C$53,MATCH(S180,事件規則!$A$2:$A$53,0)),"")))</f>
        <v>0</v>
      </c>
      <c r="V180" s="21"/>
      <c r="W180" s="22"/>
      <c r="X180" s="10" t="str">
        <f aca="false">IF(AND(R180="修改",S180=""),"請選新事件代碼",IF(AND(R180&lt;&gt;"修改",S180&lt;&gt;""),"只有「修改」才需填代碼",""))</f>
        <v/>
      </c>
      <c r="Y180" s="21"/>
      <c r="Z180" s="22"/>
      <c r="AA180" s="12" t="s">
        <v>743</v>
      </c>
      <c r="AB180" s="12"/>
    </row>
    <row r="181" customFormat="false" ht="29.85" hidden="false" customHeight="false" outlineLevel="0" collapsed="false">
      <c r="A181" s="15" t="n">
        <v>180</v>
      </c>
      <c r="B181" s="9" t="s">
        <v>112</v>
      </c>
      <c r="C181" s="9" t="s">
        <v>744</v>
      </c>
      <c r="D181" s="10" t="s">
        <v>745</v>
      </c>
      <c r="E181" s="11" t="s">
        <v>746</v>
      </c>
      <c r="F181" s="17"/>
      <c r="G181" s="12" t="s">
        <v>49</v>
      </c>
      <c r="H181" s="13" t="n">
        <v>-0.256</v>
      </c>
      <c r="I181" s="14"/>
      <c r="J181" s="17"/>
      <c r="K181" s="9"/>
      <c r="L181" s="15" t="s">
        <v>50</v>
      </c>
      <c r="M181" s="16" t="s">
        <v>51</v>
      </c>
      <c r="N181" s="14"/>
      <c r="O181" s="15" t="s">
        <v>52</v>
      </c>
      <c r="P181" s="17" t="s">
        <v>53</v>
      </c>
      <c r="Q181" s="15"/>
      <c r="R181" s="18" t="s">
        <v>51</v>
      </c>
      <c r="S181" s="19"/>
      <c r="T181" s="17" t="str">
        <f aca="false">IF(R181="維持",J181,IF(R181="排除","無關新聞事件",IFERROR(INDEX(事件規則!$B$2:$B$53,MATCH(S181,事件規則!$A$2:$A$53,0)),"")))</f>
        <v>無關新聞事件</v>
      </c>
      <c r="U181" s="20" t="n">
        <f aca="false">IF(R181="維持",K181,IF(R181="排除",0,IFERROR(INDEX(事件規則!$C$2:$C$53,MATCH(S181,事件規則!$A$2:$A$53,0)),"")))</f>
        <v>0</v>
      </c>
      <c r="V181" s="21"/>
      <c r="W181" s="22"/>
      <c r="X181" s="10" t="str">
        <f aca="false">IF(AND(R181="修改",S181=""),"請選新事件代碼",IF(AND(R181&lt;&gt;"修改",S181&lt;&gt;""),"只有「修改」才需填代碼",""))</f>
        <v/>
      </c>
      <c r="Y181" s="21"/>
      <c r="Z181" s="22"/>
      <c r="AA181" s="12" t="s">
        <v>747</v>
      </c>
      <c r="AB181" s="12"/>
    </row>
    <row r="182" customFormat="false" ht="29.85" hidden="false" customHeight="false" outlineLevel="0" collapsed="false">
      <c r="A182" s="15" t="n">
        <v>181</v>
      </c>
      <c r="B182" s="9" t="s">
        <v>45</v>
      </c>
      <c r="C182" s="9" t="s">
        <v>476</v>
      </c>
      <c r="D182" s="10" t="s">
        <v>477</v>
      </c>
      <c r="E182" s="11" t="s">
        <v>748</v>
      </c>
      <c r="F182" s="17"/>
      <c r="G182" s="12" t="s">
        <v>749</v>
      </c>
      <c r="H182" s="13" t="n">
        <v>-0.255</v>
      </c>
      <c r="I182" s="14"/>
      <c r="J182" s="17"/>
      <c r="K182" s="9"/>
      <c r="L182" s="15" t="s">
        <v>50</v>
      </c>
      <c r="M182" s="16" t="s">
        <v>51</v>
      </c>
      <c r="N182" s="14"/>
      <c r="O182" s="15" t="s">
        <v>52</v>
      </c>
      <c r="P182" s="17" t="s">
        <v>53</v>
      </c>
      <c r="Q182" s="15"/>
      <c r="R182" s="18" t="s">
        <v>51</v>
      </c>
      <c r="S182" s="19"/>
      <c r="T182" s="17" t="str">
        <f aca="false">IF(R182="維持",J182,IF(R182="排除","無關新聞事件",IFERROR(INDEX(事件規則!$B$2:$B$53,MATCH(S182,事件規則!$A$2:$A$53,0)),"")))</f>
        <v>無關新聞事件</v>
      </c>
      <c r="U182" s="20" t="n">
        <f aca="false">IF(R182="維持",K182,IF(R182="排除",0,IFERROR(INDEX(事件規則!$C$2:$C$53,MATCH(S182,事件規則!$A$2:$A$53,0)),"")))</f>
        <v>0</v>
      </c>
      <c r="V182" s="21"/>
      <c r="W182" s="22"/>
      <c r="X182" s="10" t="str">
        <f aca="false">IF(AND(R182="修改",S182=""),"請選新事件代碼",IF(AND(R182&lt;&gt;"修改",S182&lt;&gt;""),"只有「修改」才需填代碼",""))</f>
        <v/>
      </c>
      <c r="Y182" s="21"/>
      <c r="Z182" s="22"/>
      <c r="AA182" s="12" t="s">
        <v>750</v>
      </c>
      <c r="AB182" s="12"/>
    </row>
    <row r="183" customFormat="false" ht="29.85" hidden="false" customHeight="false" outlineLevel="0" collapsed="false">
      <c r="A183" s="15" t="n">
        <v>182</v>
      </c>
      <c r="B183" s="9" t="s">
        <v>55</v>
      </c>
      <c r="C183" s="9" t="s">
        <v>751</v>
      </c>
      <c r="D183" s="10" t="s">
        <v>752</v>
      </c>
      <c r="E183" s="11" t="s">
        <v>753</v>
      </c>
      <c r="F183" s="17"/>
      <c r="G183" s="12" t="s">
        <v>553</v>
      </c>
      <c r="H183" s="13" t="n">
        <v>-0.255</v>
      </c>
      <c r="I183" s="14"/>
      <c r="J183" s="17"/>
      <c r="K183" s="9"/>
      <c r="L183" s="15" t="s">
        <v>50</v>
      </c>
      <c r="M183" s="16" t="s">
        <v>51</v>
      </c>
      <c r="N183" s="14"/>
      <c r="O183" s="15" t="s">
        <v>52</v>
      </c>
      <c r="P183" s="17" t="s">
        <v>53</v>
      </c>
      <c r="Q183" s="15"/>
      <c r="R183" s="18" t="s">
        <v>51</v>
      </c>
      <c r="S183" s="19"/>
      <c r="T183" s="17" t="str">
        <f aca="false">IF(R183="維持",J183,IF(R183="排除","無關新聞事件",IFERROR(INDEX(事件規則!$B$2:$B$53,MATCH(S183,事件規則!$A$2:$A$53,0)),"")))</f>
        <v>無關新聞事件</v>
      </c>
      <c r="U183" s="20" t="n">
        <f aca="false">IF(R183="維持",K183,IF(R183="排除",0,IFERROR(INDEX(事件規則!$C$2:$C$53,MATCH(S183,事件規則!$A$2:$A$53,0)),"")))</f>
        <v>0</v>
      </c>
      <c r="V183" s="21"/>
      <c r="W183" s="22"/>
      <c r="X183" s="10" t="str">
        <f aca="false">IF(AND(R183="修改",S183=""),"請選新事件代碼",IF(AND(R183&lt;&gt;"修改",S183&lt;&gt;""),"只有「修改」才需填代碼",""))</f>
        <v/>
      </c>
      <c r="Y183" s="21"/>
      <c r="Z183" s="22"/>
      <c r="AA183" s="12" t="s">
        <v>754</v>
      </c>
      <c r="AB183" s="12"/>
    </row>
    <row r="184" customFormat="false" ht="29.85" hidden="false" customHeight="false" outlineLevel="0" collapsed="false">
      <c r="A184" s="15" t="n">
        <v>183</v>
      </c>
      <c r="B184" s="9" t="s">
        <v>55</v>
      </c>
      <c r="C184" s="9" t="s">
        <v>755</v>
      </c>
      <c r="D184" s="10" t="s">
        <v>756</v>
      </c>
      <c r="E184" s="11" t="s">
        <v>757</v>
      </c>
      <c r="F184" s="17"/>
      <c r="G184" s="12" t="s">
        <v>95</v>
      </c>
      <c r="H184" s="13" t="n">
        <v>-0.255</v>
      </c>
      <c r="I184" s="14"/>
      <c r="J184" s="17"/>
      <c r="K184" s="9"/>
      <c r="L184" s="15" t="s">
        <v>50</v>
      </c>
      <c r="M184" s="16" t="s">
        <v>51</v>
      </c>
      <c r="N184" s="14"/>
      <c r="O184" s="15" t="s">
        <v>52</v>
      </c>
      <c r="P184" s="17" t="s">
        <v>53</v>
      </c>
      <c r="Q184" s="15"/>
      <c r="R184" s="18" t="s">
        <v>51</v>
      </c>
      <c r="S184" s="19"/>
      <c r="T184" s="17" t="str">
        <f aca="false">IF(R184="維持",J184,IF(R184="排除","無關新聞事件",IFERROR(INDEX(事件規則!$B$2:$B$53,MATCH(S184,事件規則!$A$2:$A$53,0)),"")))</f>
        <v>無關新聞事件</v>
      </c>
      <c r="U184" s="20" t="n">
        <f aca="false">IF(R184="維持",K184,IF(R184="排除",0,IFERROR(INDEX(事件規則!$C$2:$C$53,MATCH(S184,事件規則!$A$2:$A$53,0)),"")))</f>
        <v>0</v>
      </c>
      <c r="V184" s="21"/>
      <c r="W184" s="22"/>
      <c r="X184" s="10" t="str">
        <f aca="false">IF(AND(R184="修改",S184=""),"請選新事件代碼",IF(AND(R184&lt;&gt;"修改",S184&lt;&gt;""),"只有「修改」才需填代碼",""))</f>
        <v/>
      </c>
      <c r="Y184" s="21"/>
      <c r="Z184" s="22"/>
      <c r="AA184" s="12" t="s">
        <v>758</v>
      </c>
      <c r="AB184" s="12"/>
    </row>
    <row r="185" customFormat="false" ht="29.85" hidden="false" customHeight="false" outlineLevel="0" collapsed="false">
      <c r="A185" s="15" t="n">
        <v>184</v>
      </c>
      <c r="B185" s="9" t="s">
        <v>45</v>
      </c>
      <c r="C185" s="9" t="s">
        <v>668</v>
      </c>
      <c r="D185" s="10" t="s">
        <v>669</v>
      </c>
      <c r="E185" s="11" t="s">
        <v>759</v>
      </c>
      <c r="F185" s="17"/>
      <c r="G185" s="12" t="s">
        <v>121</v>
      </c>
      <c r="H185" s="13" t="n">
        <v>-0.253</v>
      </c>
      <c r="I185" s="14"/>
      <c r="J185" s="17"/>
      <c r="K185" s="9"/>
      <c r="L185" s="15" t="s">
        <v>50</v>
      </c>
      <c r="M185" s="16" t="s">
        <v>51</v>
      </c>
      <c r="N185" s="14"/>
      <c r="O185" s="15" t="s">
        <v>52</v>
      </c>
      <c r="P185" s="17" t="s">
        <v>53</v>
      </c>
      <c r="Q185" s="15"/>
      <c r="R185" s="18" t="s">
        <v>51</v>
      </c>
      <c r="S185" s="19"/>
      <c r="T185" s="17" t="str">
        <f aca="false">IF(R185="維持",J185,IF(R185="排除","無關新聞事件",IFERROR(INDEX(事件規則!$B$2:$B$53,MATCH(S185,事件規則!$A$2:$A$53,0)),"")))</f>
        <v>無關新聞事件</v>
      </c>
      <c r="U185" s="20" t="n">
        <f aca="false">IF(R185="維持",K185,IF(R185="排除",0,IFERROR(INDEX(事件規則!$C$2:$C$53,MATCH(S185,事件規則!$A$2:$A$53,0)),"")))</f>
        <v>0</v>
      </c>
      <c r="V185" s="21"/>
      <c r="W185" s="22"/>
      <c r="X185" s="10" t="str">
        <f aca="false">IF(AND(R185="修改",S185=""),"請選新事件代碼",IF(AND(R185&lt;&gt;"修改",S185&lt;&gt;""),"只有「修改」才需填代碼",""))</f>
        <v/>
      </c>
      <c r="Y185" s="21"/>
      <c r="Z185" s="22"/>
      <c r="AA185" s="12" t="s">
        <v>760</v>
      </c>
      <c r="AB185" s="12"/>
    </row>
    <row r="186" customFormat="false" ht="29.85" hidden="false" customHeight="false" outlineLevel="0" collapsed="false">
      <c r="A186" s="15" t="n">
        <v>185</v>
      </c>
      <c r="B186" s="9" t="s">
        <v>112</v>
      </c>
      <c r="C186" s="9" t="s">
        <v>761</v>
      </c>
      <c r="D186" s="10" t="s">
        <v>762</v>
      </c>
      <c r="E186" s="11" t="s">
        <v>763</v>
      </c>
      <c r="F186" s="17"/>
      <c r="G186" s="12" t="s">
        <v>443</v>
      </c>
      <c r="H186" s="13" t="n">
        <v>-0.252</v>
      </c>
      <c r="I186" s="14"/>
      <c r="J186" s="17"/>
      <c r="K186" s="9"/>
      <c r="L186" s="15" t="s">
        <v>50</v>
      </c>
      <c r="M186" s="16" t="s">
        <v>51</v>
      </c>
      <c r="N186" s="14"/>
      <c r="O186" s="15" t="s">
        <v>52</v>
      </c>
      <c r="P186" s="17" t="s">
        <v>53</v>
      </c>
      <c r="Q186" s="15"/>
      <c r="R186" s="18" t="s">
        <v>51</v>
      </c>
      <c r="S186" s="19"/>
      <c r="T186" s="17" t="str">
        <f aca="false">IF(R186="維持",J186,IF(R186="排除","無關新聞事件",IFERROR(INDEX(事件規則!$B$2:$B$53,MATCH(S186,事件規則!$A$2:$A$53,0)),"")))</f>
        <v>無關新聞事件</v>
      </c>
      <c r="U186" s="20" t="n">
        <f aca="false">IF(R186="維持",K186,IF(R186="排除",0,IFERROR(INDEX(事件規則!$C$2:$C$53,MATCH(S186,事件規則!$A$2:$A$53,0)),"")))</f>
        <v>0</v>
      </c>
      <c r="V186" s="21"/>
      <c r="W186" s="22"/>
      <c r="X186" s="10" t="str">
        <f aca="false">IF(AND(R186="修改",S186=""),"請選新事件代碼",IF(AND(R186&lt;&gt;"修改",S186&lt;&gt;""),"只有「修改」才需填代碼",""))</f>
        <v/>
      </c>
      <c r="Y186" s="21"/>
      <c r="Z186" s="22"/>
      <c r="AA186" s="12" t="s">
        <v>764</v>
      </c>
      <c r="AB186" s="12"/>
    </row>
    <row r="187" customFormat="false" ht="29.85" hidden="false" customHeight="false" outlineLevel="0" collapsed="false">
      <c r="A187" s="15" t="n">
        <v>186</v>
      </c>
      <c r="B187" s="9" t="s">
        <v>45</v>
      </c>
      <c r="C187" s="9" t="s">
        <v>118</v>
      </c>
      <c r="D187" s="10" t="s">
        <v>119</v>
      </c>
      <c r="E187" s="11" t="s">
        <v>765</v>
      </c>
      <c r="F187" s="17"/>
      <c r="G187" s="12" t="s">
        <v>766</v>
      </c>
      <c r="H187" s="13" t="n">
        <v>-0.251</v>
      </c>
      <c r="I187" s="14"/>
      <c r="J187" s="17"/>
      <c r="K187" s="9"/>
      <c r="L187" s="15" t="s">
        <v>50</v>
      </c>
      <c r="M187" s="16" t="s">
        <v>51</v>
      </c>
      <c r="N187" s="14"/>
      <c r="O187" s="15" t="s">
        <v>52</v>
      </c>
      <c r="P187" s="17" t="s">
        <v>53</v>
      </c>
      <c r="Q187" s="15"/>
      <c r="R187" s="18" t="s">
        <v>51</v>
      </c>
      <c r="S187" s="19"/>
      <c r="T187" s="17" t="str">
        <f aca="false">IF(R187="維持",J187,IF(R187="排除","無關新聞事件",IFERROR(INDEX(事件規則!$B$2:$B$53,MATCH(S187,事件規則!$A$2:$A$53,0)),"")))</f>
        <v>無關新聞事件</v>
      </c>
      <c r="U187" s="20" t="n">
        <f aca="false">IF(R187="維持",K187,IF(R187="排除",0,IFERROR(INDEX(事件規則!$C$2:$C$53,MATCH(S187,事件規則!$A$2:$A$53,0)),"")))</f>
        <v>0</v>
      </c>
      <c r="V187" s="21"/>
      <c r="W187" s="22"/>
      <c r="X187" s="10" t="str">
        <f aca="false">IF(AND(R187="修改",S187=""),"請選新事件代碼",IF(AND(R187&lt;&gt;"修改",S187&lt;&gt;""),"只有「修改」才需填代碼",""))</f>
        <v/>
      </c>
      <c r="Y187" s="21"/>
      <c r="Z187" s="22"/>
      <c r="AA187" s="12" t="s">
        <v>767</v>
      </c>
      <c r="AB187" s="12"/>
    </row>
    <row r="188" customFormat="false" ht="29.85" hidden="false" customHeight="false" outlineLevel="0" collapsed="false">
      <c r="A188" s="15" t="n">
        <v>187</v>
      </c>
      <c r="B188" s="9" t="s">
        <v>45</v>
      </c>
      <c r="C188" s="9" t="s">
        <v>720</v>
      </c>
      <c r="D188" s="10" t="s">
        <v>721</v>
      </c>
      <c r="E188" s="11" t="s">
        <v>768</v>
      </c>
      <c r="F188" s="17"/>
      <c r="G188" s="12" t="s">
        <v>69</v>
      </c>
      <c r="H188" s="13" t="n">
        <v>-0.25</v>
      </c>
      <c r="I188" s="14"/>
      <c r="J188" s="17"/>
      <c r="K188" s="9"/>
      <c r="L188" s="15" t="s">
        <v>50</v>
      </c>
      <c r="M188" s="16" t="s">
        <v>51</v>
      </c>
      <c r="N188" s="14"/>
      <c r="O188" s="15" t="s">
        <v>52</v>
      </c>
      <c r="P188" s="17" t="s">
        <v>53</v>
      </c>
      <c r="Q188" s="15"/>
      <c r="R188" s="18" t="s">
        <v>51</v>
      </c>
      <c r="S188" s="19"/>
      <c r="T188" s="17" t="str">
        <f aca="false">IF(R188="維持",J188,IF(R188="排除","無關新聞事件",IFERROR(INDEX(事件規則!$B$2:$B$53,MATCH(S188,事件規則!$A$2:$A$53,0)),"")))</f>
        <v>無關新聞事件</v>
      </c>
      <c r="U188" s="20" t="n">
        <f aca="false">IF(R188="維持",K188,IF(R188="排除",0,IFERROR(INDEX(事件規則!$C$2:$C$53,MATCH(S188,事件規則!$A$2:$A$53,0)),"")))</f>
        <v>0</v>
      </c>
      <c r="V188" s="21"/>
      <c r="W188" s="22"/>
      <c r="X188" s="10" t="str">
        <f aca="false">IF(AND(R188="修改",S188=""),"請選新事件代碼",IF(AND(R188&lt;&gt;"修改",S188&lt;&gt;""),"只有「修改」才需填代碼",""))</f>
        <v/>
      </c>
      <c r="Y188" s="21"/>
      <c r="Z188" s="22"/>
      <c r="AA188" s="12" t="s">
        <v>769</v>
      </c>
      <c r="AB188" s="12"/>
    </row>
    <row r="189" customFormat="false" ht="29.85" hidden="false" customHeight="false" outlineLevel="0" collapsed="false">
      <c r="A189" s="15" t="n">
        <v>188</v>
      </c>
      <c r="B189" s="9" t="s">
        <v>45</v>
      </c>
      <c r="C189" s="9" t="s">
        <v>97</v>
      </c>
      <c r="D189" s="10" t="s">
        <v>98</v>
      </c>
      <c r="E189" s="11" t="s">
        <v>770</v>
      </c>
      <c r="F189" s="17"/>
      <c r="G189" s="12" t="s">
        <v>59</v>
      </c>
      <c r="H189" s="13" t="n">
        <v>-0.249</v>
      </c>
      <c r="I189" s="14"/>
      <c r="J189" s="17"/>
      <c r="K189" s="9"/>
      <c r="L189" s="15" t="s">
        <v>50</v>
      </c>
      <c r="M189" s="16" t="s">
        <v>51</v>
      </c>
      <c r="N189" s="14"/>
      <c r="O189" s="15" t="s">
        <v>52</v>
      </c>
      <c r="P189" s="17" t="s">
        <v>53</v>
      </c>
      <c r="Q189" s="15"/>
      <c r="R189" s="18" t="s">
        <v>51</v>
      </c>
      <c r="S189" s="19"/>
      <c r="T189" s="17" t="str">
        <f aca="false">IF(R189="維持",J189,IF(R189="排除","無關新聞事件",IFERROR(INDEX(事件規則!$B$2:$B$53,MATCH(S189,事件規則!$A$2:$A$53,0)),"")))</f>
        <v>無關新聞事件</v>
      </c>
      <c r="U189" s="20" t="n">
        <f aca="false">IF(R189="維持",K189,IF(R189="排除",0,IFERROR(INDEX(事件規則!$C$2:$C$53,MATCH(S189,事件規則!$A$2:$A$53,0)),"")))</f>
        <v>0</v>
      </c>
      <c r="V189" s="21"/>
      <c r="W189" s="22"/>
      <c r="X189" s="10" t="str">
        <f aca="false">IF(AND(R189="修改",S189=""),"請選新事件代碼",IF(AND(R189&lt;&gt;"修改",S189&lt;&gt;""),"只有「修改」才需填代碼",""))</f>
        <v/>
      </c>
      <c r="Y189" s="21"/>
      <c r="Z189" s="22"/>
      <c r="AA189" s="12" t="s">
        <v>771</v>
      </c>
      <c r="AB189" s="12"/>
    </row>
    <row r="190" customFormat="false" ht="29.85" hidden="false" customHeight="false" outlineLevel="0" collapsed="false">
      <c r="A190" s="15" t="n">
        <v>189</v>
      </c>
      <c r="B190" s="9" t="s">
        <v>55</v>
      </c>
      <c r="C190" s="9" t="s">
        <v>404</v>
      </c>
      <c r="D190" s="10" t="s">
        <v>405</v>
      </c>
      <c r="E190" s="11" t="s">
        <v>772</v>
      </c>
      <c r="F190" s="17"/>
      <c r="G190" s="12" t="s">
        <v>773</v>
      </c>
      <c r="H190" s="13" t="n">
        <v>-0.246</v>
      </c>
      <c r="I190" s="14"/>
      <c r="J190" s="17"/>
      <c r="K190" s="9"/>
      <c r="L190" s="15" t="s">
        <v>50</v>
      </c>
      <c r="M190" s="16" t="s">
        <v>51</v>
      </c>
      <c r="N190" s="14"/>
      <c r="O190" s="15" t="s">
        <v>52</v>
      </c>
      <c r="P190" s="17" t="s">
        <v>53</v>
      </c>
      <c r="Q190" s="15"/>
      <c r="R190" s="18" t="s">
        <v>51</v>
      </c>
      <c r="S190" s="19"/>
      <c r="T190" s="17" t="str">
        <f aca="false">IF(R190="維持",J190,IF(R190="排除","無關新聞事件",IFERROR(INDEX(事件規則!$B$2:$B$53,MATCH(S190,事件規則!$A$2:$A$53,0)),"")))</f>
        <v>無關新聞事件</v>
      </c>
      <c r="U190" s="20" t="n">
        <f aca="false">IF(R190="維持",K190,IF(R190="排除",0,IFERROR(INDEX(事件規則!$C$2:$C$53,MATCH(S190,事件規則!$A$2:$A$53,0)),"")))</f>
        <v>0</v>
      </c>
      <c r="V190" s="21"/>
      <c r="W190" s="22"/>
      <c r="X190" s="10" t="str">
        <f aca="false">IF(AND(R190="修改",S190=""),"請選新事件代碼",IF(AND(R190&lt;&gt;"修改",S190&lt;&gt;""),"只有「修改」才需填代碼",""))</f>
        <v/>
      </c>
      <c r="Y190" s="21"/>
      <c r="Z190" s="22"/>
      <c r="AA190" s="12" t="s">
        <v>774</v>
      </c>
      <c r="AB190" s="12"/>
    </row>
    <row r="191" customFormat="false" ht="29.85" hidden="false" customHeight="false" outlineLevel="0" collapsed="false">
      <c r="A191" s="15" t="n">
        <v>190</v>
      </c>
      <c r="B191" s="9" t="s">
        <v>45</v>
      </c>
      <c r="C191" s="9" t="s">
        <v>775</v>
      </c>
      <c r="D191" s="10" t="s">
        <v>776</v>
      </c>
      <c r="E191" s="11" t="s">
        <v>777</v>
      </c>
      <c r="F191" s="17"/>
      <c r="G191" s="12" t="s">
        <v>169</v>
      </c>
      <c r="H191" s="13" t="n">
        <v>-0.246</v>
      </c>
      <c r="I191" s="14"/>
      <c r="J191" s="17"/>
      <c r="K191" s="9"/>
      <c r="L191" s="15" t="s">
        <v>50</v>
      </c>
      <c r="M191" s="16" t="s">
        <v>51</v>
      </c>
      <c r="N191" s="14"/>
      <c r="O191" s="15" t="s">
        <v>52</v>
      </c>
      <c r="P191" s="17" t="s">
        <v>53</v>
      </c>
      <c r="Q191" s="15"/>
      <c r="R191" s="18" t="s">
        <v>51</v>
      </c>
      <c r="S191" s="19"/>
      <c r="T191" s="17" t="str">
        <f aca="false">IF(R191="維持",J191,IF(R191="排除","無關新聞事件",IFERROR(INDEX(事件規則!$B$2:$B$53,MATCH(S191,事件規則!$A$2:$A$53,0)),"")))</f>
        <v>無關新聞事件</v>
      </c>
      <c r="U191" s="20" t="n">
        <f aca="false">IF(R191="維持",K191,IF(R191="排除",0,IFERROR(INDEX(事件規則!$C$2:$C$53,MATCH(S191,事件規則!$A$2:$A$53,0)),"")))</f>
        <v>0</v>
      </c>
      <c r="V191" s="21"/>
      <c r="W191" s="22"/>
      <c r="X191" s="10" t="str">
        <f aca="false">IF(AND(R191="修改",S191=""),"請選新事件代碼",IF(AND(R191&lt;&gt;"修改",S191&lt;&gt;""),"只有「修改」才需填代碼",""))</f>
        <v/>
      </c>
      <c r="Y191" s="21"/>
      <c r="Z191" s="22"/>
      <c r="AA191" s="12" t="s">
        <v>778</v>
      </c>
      <c r="AB191" s="12"/>
    </row>
    <row r="192" customFormat="false" ht="29.85" hidden="false" customHeight="false" outlineLevel="0" collapsed="false">
      <c r="A192" s="15" t="n">
        <v>191</v>
      </c>
      <c r="B192" s="9" t="s">
        <v>112</v>
      </c>
      <c r="C192" s="9" t="s">
        <v>672</v>
      </c>
      <c r="D192" s="10" t="s">
        <v>673</v>
      </c>
      <c r="E192" s="11" t="s">
        <v>779</v>
      </c>
      <c r="F192" s="17"/>
      <c r="G192" s="12" t="s">
        <v>95</v>
      </c>
      <c r="H192" s="13" t="n">
        <v>-0.245</v>
      </c>
      <c r="I192" s="14"/>
      <c r="J192" s="17"/>
      <c r="K192" s="9"/>
      <c r="L192" s="15" t="s">
        <v>50</v>
      </c>
      <c r="M192" s="16" t="s">
        <v>51</v>
      </c>
      <c r="N192" s="14"/>
      <c r="O192" s="15" t="s">
        <v>52</v>
      </c>
      <c r="P192" s="17" t="s">
        <v>53</v>
      </c>
      <c r="Q192" s="15"/>
      <c r="R192" s="18" t="s">
        <v>51</v>
      </c>
      <c r="S192" s="19"/>
      <c r="T192" s="17" t="str">
        <f aca="false">IF(R192="維持",J192,IF(R192="排除","無關新聞事件",IFERROR(INDEX(事件規則!$B$2:$B$53,MATCH(S192,事件規則!$A$2:$A$53,0)),"")))</f>
        <v>無關新聞事件</v>
      </c>
      <c r="U192" s="20" t="n">
        <f aca="false">IF(R192="維持",K192,IF(R192="排除",0,IFERROR(INDEX(事件規則!$C$2:$C$53,MATCH(S192,事件規則!$A$2:$A$53,0)),"")))</f>
        <v>0</v>
      </c>
      <c r="V192" s="21"/>
      <c r="W192" s="22"/>
      <c r="X192" s="10" t="str">
        <f aca="false">IF(AND(R192="修改",S192=""),"請選新事件代碼",IF(AND(R192&lt;&gt;"修改",S192&lt;&gt;""),"只有「修改」才需填代碼",""))</f>
        <v/>
      </c>
      <c r="Y192" s="21"/>
      <c r="Z192" s="22"/>
      <c r="AA192" s="12" t="s">
        <v>780</v>
      </c>
      <c r="AB192" s="12"/>
    </row>
    <row r="193" customFormat="false" ht="29.85" hidden="false" customHeight="false" outlineLevel="0" collapsed="false">
      <c r="A193" s="15" t="n">
        <v>192</v>
      </c>
      <c r="B193" s="9" t="s">
        <v>55</v>
      </c>
      <c r="C193" s="15"/>
      <c r="D193" s="10" t="s">
        <v>477</v>
      </c>
      <c r="E193" s="23" t="s">
        <v>781</v>
      </c>
      <c r="F193" s="17" t="s">
        <v>782</v>
      </c>
      <c r="G193" s="12" t="s">
        <v>176</v>
      </c>
      <c r="H193" s="13" t="n">
        <v>-0.244</v>
      </c>
      <c r="I193" s="14"/>
      <c r="J193" s="17"/>
      <c r="K193" s="9"/>
      <c r="L193" s="15" t="s">
        <v>50</v>
      </c>
      <c r="M193" s="16" t="s">
        <v>51</v>
      </c>
      <c r="N193" s="14"/>
      <c r="O193" s="15" t="s">
        <v>52</v>
      </c>
      <c r="P193" s="17" t="s">
        <v>53</v>
      </c>
      <c r="Q193" s="15"/>
      <c r="R193" s="18" t="s">
        <v>51</v>
      </c>
      <c r="S193" s="19"/>
      <c r="T193" s="17" t="str">
        <f aca="false">IF(R193="維持",J193,IF(R193="排除","無關新聞事件",IFERROR(INDEX(事件規則!$B$2:$B$53,MATCH(S193,事件規則!$A$2:$A$53,0)),"")))</f>
        <v>無關新聞事件</v>
      </c>
      <c r="U193" s="20" t="n">
        <f aca="false">IF(R193="維持",K193,IF(R193="排除",0,IFERROR(INDEX(事件規則!$C$2:$C$53,MATCH(S193,事件規則!$A$2:$A$53,0)),"")))</f>
        <v>0</v>
      </c>
      <c r="V193" s="21"/>
      <c r="W193" s="22"/>
      <c r="X193" s="10" t="str">
        <f aca="false">IF(AND(R193="修改",S193=""),"請選新事件代碼",IF(AND(R193&lt;&gt;"修改",S193&lt;&gt;""),"只有「修改」才需填代碼",""))</f>
        <v/>
      </c>
      <c r="Y193" s="21"/>
      <c r="Z193" s="22"/>
      <c r="AA193" s="12" t="s">
        <v>783</v>
      </c>
      <c r="AB193" s="12"/>
    </row>
    <row r="194" customFormat="false" ht="29.85" hidden="false" customHeight="false" outlineLevel="0" collapsed="false">
      <c r="A194" s="15" t="n">
        <v>193</v>
      </c>
      <c r="B194" s="9" t="s">
        <v>112</v>
      </c>
      <c r="C194" s="9" t="s">
        <v>744</v>
      </c>
      <c r="D194" s="10" t="s">
        <v>745</v>
      </c>
      <c r="E194" s="11" t="s">
        <v>784</v>
      </c>
      <c r="F194" s="17"/>
      <c r="G194" s="12" t="s">
        <v>49</v>
      </c>
      <c r="H194" s="13" t="n">
        <v>-0.244</v>
      </c>
      <c r="I194" s="14"/>
      <c r="J194" s="17"/>
      <c r="K194" s="9"/>
      <c r="L194" s="15" t="s">
        <v>50</v>
      </c>
      <c r="M194" s="16" t="s">
        <v>51</v>
      </c>
      <c r="N194" s="14"/>
      <c r="O194" s="15" t="s">
        <v>52</v>
      </c>
      <c r="P194" s="17" t="s">
        <v>53</v>
      </c>
      <c r="Q194" s="15"/>
      <c r="R194" s="18" t="s">
        <v>51</v>
      </c>
      <c r="S194" s="19"/>
      <c r="T194" s="17" t="str">
        <f aca="false">IF(R194="維持",J194,IF(R194="排除","無關新聞事件",IFERROR(INDEX(事件規則!$B$2:$B$53,MATCH(S194,事件規則!$A$2:$A$53,0)),"")))</f>
        <v>無關新聞事件</v>
      </c>
      <c r="U194" s="20" t="n">
        <f aca="false">IF(R194="維持",K194,IF(R194="排除",0,IFERROR(INDEX(事件規則!$C$2:$C$53,MATCH(S194,事件規則!$A$2:$A$53,0)),"")))</f>
        <v>0</v>
      </c>
      <c r="V194" s="21"/>
      <c r="W194" s="22"/>
      <c r="X194" s="10" t="str">
        <f aca="false">IF(AND(R194="修改",S194=""),"請選新事件代碼",IF(AND(R194&lt;&gt;"修改",S194&lt;&gt;""),"只有「修改」才需填代碼",""))</f>
        <v/>
      </c>
      <c r="Y194" s="21"/>
      <c r="Z194" s="22"/>
      <c r="AA194" s="12" t="s">
        <v>785</v>
      </c>
      <c r="AB194" s="12"/>
    </row>
    <row r="195" customFormat="false" ht="29.85" hidden="false" customHeight="false" outlineLevel="0" collapsed="false">
      <c r="A195" s="15" t="n">
        <v>194</v>
      </c>
      <c r="B195" s="9" t="s">
        <v>55</v>
      </c>
      <c r="C195" s="9" t="s">
        <v>268</v>
      </c>
      <c r="D195" s="10" t="s">
        <v>269</v>
      </c>
      <c r="E195" s="11" t="s">
        <v>786</v>
      </c>
      <c r="F195" s="17"/>
      <c r="G195" s="12" t="s">
        <v>74</v>
      </c>
      <c r="H195" s="13" t="n">
        <v>-0.244</v>
      </c>
      <c r="I195" s="14"/>
      <c r="J195" s="17"/>
      <c r="K195" s="9"/>
      <c r="L195" s="15" t="s">
        <v>50</v>
      </c>
      <c r="M195" s="16" t="s">
        <v>51</v>
      </c>
      <c r="N195" s="14"/>
      <c r="O195" s="15" t="s">
        <v>52</v>
      </c>
      <c r="P195" s="17" t="s">
        <v>53</v>
      </c>
      <c r="Q195" s="15"/>
      <c r="R195" s="18" t="s">
        <v>51</v>
      </c>
      <c r="S195" s="19"/>
      <c r="T195" s="17" t="str">
        <f aca="false">IF(R195="維持",J195,IF(R195="排除","無關新聞事件",IFERROR(INDEX(事件規則!$B$2:$B$53,MATCH(S195,事件規則!$A$2:$A$53,0)),"")))</f>
        <v>無關新聞事件</v>
      </c>
      <c r="U195" s="20" t="n">
        <f aca="false">IF(R195="維持",K195,IF(R195="排除",0,IFERROR(INDEX(事件規則!$C$2:$C$53,MATCH(S195,事件規則!$A$2:$A$53,0)),"")))</f>
        <v>0</v>
      </c>
      <c r="V195" s="21"/>
      <c r="W195" s="22"/>
      <c r="X195" s="10" t="str">
        <f aca="false">IF(AND(R195="修改",S195=""),"請選新事件代碼",IF(AND(R195&lt;&gt;"修改",S195&lt;&gt;""),"只有「修改」才需填代碼",""))</f>
        <v/>
      </c>
      <c r="Y195" s="21"/>
      <c r="Z195" s="22"/>
      <c r="AA195" s="12" t="s">
        <v>787</v>
      </c>
      <c r="AB195" s="12"/>
    </row>
    <row r="196" customFormat="false" ht="29.85" hidden="false" customHeight="false" outlineLevel="0" collapsed="false">
      <c r="A196" s="15" t="n">
        <v>195</v>
      </c>
      <c r="B196" s="9" t="s">
        <v>55</v>
      </c>
      <c r="C196" s="9" t="s">
        <v>788</v>
      </c>
      <c r="D196" s="10" t="s">
        <v>789</v>
      </c>
      <c r="E196" s="11" t="s">
        <v>790</v>
      </c>
      <c r="F196" s="17"/>
      <c r="G196" s="12" t="s">
        <v>49</v>
      </c>
      <c r="H196" s="13" t="n">
        <v>-0.242</v>
      </c>
      <c r="I196" s="14"/>
      <c r="J196" s="17"/>
      <c r="K196" s="9"/>
      <c r="L196" s="15" t="s">
        <v>50</v>
      </c>
      <c r="M196" s="16" t="s">
        <v>51</v>
      </c>
      <c r="N196" s="14"/>
      <c r="O196" s="15" t="s">
        <v>52</v>
      </c>
      <c r="P196" s="17" t="s">
        <v>53</v>
      </c>
      <c r="Q196" s="15"/>
      <c r="R196" s="18" t="s">
        <v>51</v>
      </c>
      <c r="S196" s="19"/>
      <c r="T196" s="17" t="str">
        <f aca="false">IF(R196="維持",J196,IF(R196="排除","無關新聞事件",IFERROR(INDEX(事件規則!$B$2:$B$53,MATCH(S196,事件規則!$A$2:$A$53,0)),"")))</f>
        <v>無關新聞事件</v>
      </c>
      <c r="U196" s="20" t="n">
        <f aca="false">IF(R196="維持",K196,IF(R196="排除",0,IFERROR(INDEX(事件規則!$C$2:$C$53,MATCH(S196,事件規則!$A$2:$A$53,0)),"")))</f>
        <v>0</v>
      </c>
      <c r="V196" s="21"/>
      <c r="W196" s="22"/>
      <c r="X196" s="10" t="str">
        <f aca="false">IF(AND(R196="修改",S196=""),"請選新事件代碼",IF(AND(R196&lt;&gt;"修改",S196&lt;&gt;""),"只有「修改」才需填代碼",""))</f>
        <v/>
      </c>
      <c r="Y196" s="21"/>
      <c r="Z196" s="22"/>
      <c r="AA196" s="12" t="s">
        <v>791</v>
      </c>
      <c r="AB196" s="12"/>
    </row>
    <row r="197" customFormat="false" ht="29.85" hidden="false" customHeight="false" outlineLevel="0" collapsed="false">
      <c r="A197" s="15" t="n">
        <v>196</v>
      </c>
      <c r="B197" s="9" t="s">
        <v>55</v>
      </c>
      <c r="C197" s="9" t="s">
        <v>639</v>
      </c>
      <c r="D197" s="10" t="s">
        <v>640</v>
      </c>
      <c r="E197" s="11" t="s">
        <v>792</v>
      </c>
      <c r="F197" s="17"/>
      <c r="G197" s="12" t="s">
        <v>164</v>
      </c>
      <c r="H197" s="13" t="n">
        <v>-0.242</v>
      </c>
      <c r="I197" s="14"/>
      <c r="J197" s="17"/>
      <c r="K197" s="9"/>
      <c r="L197" s="15" t="s">
        <v>50</v>
      </c>
      <c r="M197" s="16" t="s">
        <v>51</v>
      </c>
      <c r="N197" s="14"/>
      <c r="O197" s="15" t="s">
        <v>52</v>
      </c>
      <c r="P197" s="17" t="s">
        <v>53</v>
      </c>
      <c r="Q197" s="15"/>
      <c r="R197" s="18" t="s">
        <v>51</v>
      </c>
      <c r="S197" s="19"/>
      <c r="T197" s="17" t="str">
        <f aca="false">IF(R197="維持",J197,IF(R197="排除","無關新聞事件",IFERROR(INDEX(事件規則!$B$2:$B$53,MATCH(S197,事件規則!$A$2:$A$53,0)),"")))</f>
        <v>無關新聞事件</v>
      </c>
      <c r="U197" s="20" t="n">
        <f aca="false">IF(R197="維持",K197,IF(R197="排除",0,IFERROR(INDEX(事件規則!$C$2:$C$53,MATCH(S197,事件規則!$A$2:$A$53,0)),"")))</f>
        <v>0</v>
      </c>
      <c r="V197" s="21"/>
      <c r="W197" s="22"/>
      <c r="X197" s="10" t="str">
        <f aca="false">IF(AND(R197="修改",S197=""),"請選新事件代碼",IF(AND(R197&lt;&gt;"修改",S197&lt;&gt;""),"只有「修改」才需填代碼",""))</f>
        <v/>
      </c>
      <c r="Y197" s="21"/>
      <c r="Z197" s="22"/>
      <c r="AA197" s="12" t="s">
        <v>793</v>
      </c>
      <c r="AB197" s="12"/>
    </row>
    <row r="198" customFormat="false" ht="29.85" hidden="false" customHeight="false" outlineLevel="0" collapsed="false">
      <c r="A198" s="15" t="n">
        <v>197</v>
      </c>
      <c r="B198" s="9" t="s">
        <v>81</v>
      </c>
      <c r="C198" s="9" t="s">
        <v>166</v>
      </c>
      <c r="D198" s="10" t="s">
        <v>167</v>
      </c>
      <c r="E198" s="11" t="s">
        <v>794</v>
      </c>
      <c r="F198" s="17"/>
      <c r="G198" s="12" t="s">
        <v>324</v>
      </c>
      <c r="H198" s="13" t="n">
        <v>-0.242</v>
      </c>
      <c r="I198" s="14"/>
      <c r="J198" s="17"/>
      <c r="K198" s="9"/>
      <c r="L198" s="15" t="s">
        <v>50</v>
      </c>
      <c r="M198" s="16" t="s">
        <v>51</v>
      </c>
      <c r="N198" s="14"/>
      <c r="O198" s="15" t="s">
        <v>52</v>
      </c>
      <c r="P198" s="17" t="s">
        <v>53</v>
      </c>
      <c r="Q198" s="15"/>
      <c r="R198" s="18" t="s">
        <v>51</v>
      </c>
      <c r="S198" s="19"/>
      <c r="T198" s="17" t="str">
        <f aca="false">IF(R198="維持",J198,IF(R198="排除","無關新聞事件",IFERROR(INDEX(事件規則!$B$2:$B$53,MATCH(S198,事件規則!$A$2:$A$53,0)),"")))</f>
        <v>無關新聞事件</v>
      </c>
      <c r="U198" s="20" t="n">
        <f aca="false">IF(R198="維持",K198,IF(R198="排除",0,IFERROR(INDEX(事件規則!$C$2:$C$53,MATCH(S198,事件規則!$A$2:$A$53,0)),"")))</f>
        <v>0</v>
      </c>
      <c r="V198" s="21"/>
      <c r="W198" s="22"/>
      <c r="X198" s="10" t="str">
        <f aca="false">IF(AND(R198="修改",S198=""),"請選新事件代碼",IF(AND(R198&lt;&gt;"修改",S198&lt;&gt;""),"只有「修改」才需填代碼",""))</f>
        <v/>
      </c>
      <c r="Y198" s="21"/>
      <c r="Z198" s="22"/>
      <c r="AA198" s="12" t="s">
        <v>795</v>
      </c>
      <c r="AB198" s="12"/>
    </row>
    <row r="199" customFormat="false" ht="29.85" hidden="false" customHeight="false" outlineLevel="0" collapsed="false">
      <c r="A199" s="15" t="n">
        <v>198</v>
      </c>
      <c r="B199" s="9" t="s">
        <v>112</v>
      </c>
      <c r="C199" s="9" t="s">
        <v>796</v>
      </c>
      <c r="D199" s="10" t="s">
        <v>797</v>
      </c>
      <c r="E199" s="11" t="s">
        <v>798</v>
      </c>
      <c r="F199" s="17"/>
      <c r="G199" s="12" t="s">
        <v>49</v>
      </c>
      <c r="H199" s="13" t="n">
        <v>-0.242</v>
      </c>
      <c r="I199" s="14"/>
      <c r="J199" s="17"/>
      <c r="K199" s="9"/>
      <c r="L199" s="15" t="s">
        <v>50</v>
      </c>
      <c r="M199" s="16" t="s">
        <v>51</v>
      </c>
      <c r="N199" s="14"/>
      <c r="O199" s="15" t="s">
        <v>52</v>
      </c>
      <c r="P199" s="17" t="s">
        <v>53</v>
      </c>
      <c r="Q199" s="15"/>
      <c r="R199" s="18" t="s">
        <v>51</v>
      </c>
      <c r="S199" s="19"/>
      <c r="T199" s="17" t="str">
        <f aca="false">IF(R199="維持",J199,IF(R199="排除","無關新聞事件",IFERROR(INDEX(事件規則!$B$2:$B$53,MATCH(S199,事件規則!$A$2:$A$53,0)),"")))</f>
        <v>無關新聞事件</v>
      </c>
      <c r="U199" s="20" t="n">
        <f aca="false">IF(R199="維持",K199,IF(R199="排除",0,IFERROR(INDEX(事件規則!$C$2:$C$53,MATCH(S199,事件規則!$A$2:$A$53,0)),"")))</f>
        <v>0</v>
      </c>
      <c r="V199" s="21"/>
      <c r="W199" s="22"/>
      <c r="X199" s="10" t="str">
        <f aca="false">IF(AND(R199="修改",S199=""),"請選新事件代碼",IF(AND(R199&lt;&gt;"修改",S199&lt;&gt;""),"只有「修改」才需填代碼",""))</f>
        <v/>
      </c>
      <c r="Y199" s="21"/>
      <c r="Z199" s="22"/>
      <c r="AA199" s="12" t="s">
        <v>799</v>
      </c>
      <c r="AB199" s="12"/>
    </row>
    <row r="200" customFormat="false" ht="29.85" hidden="false" customHeight="false" outlineLevel="0" collapsed="false">
      <c r="A200" s="15" t="n">
        <v>199</v>
      </c>
      <c r="B200" s="9" t="s">
        <v>45</v>
      </c>
      <c r="C200" s="9" t="s">
        <v>76</v>
      </c>
      <c r="D200" s="10" t="s">
        <v>77</v>
      </c>
      <c r="E200" s="11" t="s">
        <v>800</v>
      </c>
      <c r="F200" s="17"/>
      <c r="G200" s="12" t="s">
        <v>90</v>
      </c>
      <c r="H200" s="13" t="n">
        <v>-0.241</v>
      </c>
      <c r="I200" s="14"/>
      <c r="J200" s="17"/>
      <c r="K200" s="9"/>
      <c r="L200" s="15" t="s">
        <v>50</v>
      </c>
      <c r="M200" s="16" t="s">
        <v>51</v>
      </c>
      <c r="N200" s="14"/>
      <c r="O200" s="15" t="s">
        <v>52</v>
      </c>
      <c r="P200" s="17" t="s">
        <v>53</v>
      </c>
      <c r="Q200" s="15"/>
      <c r="R200" s="18" t="s">
        <v>51</v>
      </c>
      <c r="S200" s="19"/>
      <c r="T200" s="17" t="str">
        <f aca="false">IF(R200="維持",J200,IF(R200="排除","無關新聞事件",IFERROR(INDEX(事件規則!$B$2:$B$53,MATCH(S200,事件規則!$A$2:$A$53,0)),"")))</f>
        <v>無關新聞事件</v>
      </c>
      <c r="U200" s="20" t="n">
        <f aca="false">IF(R200="維持",K200,IF(R200="排除",0,IFERROR(INDEX(事件規則!$C$2:$C$53,MATCH(S200,事件規則!$A$2:$A$53,0)),"")))</f>
        <v>0</v>
      </c>
      <c r="V200" s="21"/>
      <c r="W200" s="22"/>
      <c r="X200" s="10" t="str">
        <f aca="false">IF(AND(R200="修改",S200=""),"請選新事件代碼",IF(AND(R200&lt;&gt;"修改",S200&lt;&gt;""),"只有「修改」才需填代碼",""))</f>
        <v/>
      </c>
      <c r="Y200" s="21"/>
      <c r="Z200" s="22"/>
      <c r="AA200" s="12" t="s">
        <v>801</v>
      </c>
      <c r="AB200" s="12"/>
    </row>
    <row r="201" customFormat="false" ht="29.85" hidden="false" customHeight="false" outlineLevel="0" collapsed="false">
      <c r="A201" s="15" t="n">
        <v>200</v>
      </c>
      <c r="B201" s="9" t="s">
        <v>55</v>
      </c>
      <c r="C201" s="9" t="s">
        <v>639</v>
      </c>
      <c r="D201" s="10" t="s">
        <v>640</v>
      </c>
      <c r="E201" s="11" t="s">
        <v>802</v>
      </c>
      <c r="F201" s="17"/>
      <c r="G201" s="12" t="s">
        <v>803</v>
      </c>
      <c r="H201" s="13" t="n">
        <v>-0.237</v>
      </c>
      <c r="I201" s="14"/>
      <c r="J201" s="17"/>
      <c r="K201" s="9"/>
      <c r="L201" s="15" t="s">
        <v>50</v>
      </c>
      <c r="M201" s="16" t="s">
        <v>51</v>
      </c>
      <c r="N201" s="14"/>
      <c r="O201" s="15" t="s">
        <v>52</v>
      </c>
      <c r="P201" s="17" t="s">
        <v>53</v>
      </c>
      <c r="Q201" s="15"/>
      <c r="R201" s="18" t="s">
        <v>51</v>
      </c>
      <c r="S201" s="19"/>
      <c r="T201" s="17" t="str">
        <f aca="false">IF(R201="維持",J201,IF(R201="排除","無關新聞事件",IFERROR(INDEX(事件規則!$B$2:$B$53,MATCH(S201,事件規則!$A$2:$A$53,0)),"")))</f>
        <v>無關新聞事件</v>
      </c>
      <c r="U201" s="20" t="n">
        <f aca="false">IF(R201="維持",K201,IF(R201="排除",0,IFERROR(INDEX(事件規則!$C$2:$C$53,MATCH(S201,事件規則!$A$2:$A$53,0)),"")))</f>
        <v>0</v>
      </c>
      <c r="V201" s="21"/>
      <c r="W201" s="22"/>
      <c r="X201" s="10" t="str">
        <f aca="false">IF(AND(R201="修改",S201=""),"請選新事件代碼",IF(AND(R201&lt;&gt;"修改",S201&lt;&gt;""),"只有「修改」才需填代碼",""))</f>
        <v/>
      </c>
      <c r="Y201" s="21"/>
      <c r="Z201" s="22"/>
      <c r="AA201" s="12" t="s">
        <v>804</v>
      </c>
      <c r="AB201" s="12"/>
    </row>
    <row r="202" customFormat="false" ht="29.85" hidden="false" customHeight="false" outlineLevel="0" collapsed="false">
      <c r="A202" s="15" t="n">
        <v>201</v>
      </c>
      <c r="B202" s="9" t="s">
        <v>112</v>
      </c>
      <c r="C202" s="9" t="s">
        <v>242</v>
      </c>
      <c r="D202" s="10" t="s">
        <v>243</v>
      </c>
      <c r="E202" s="11" t="s">
        <v>805</v>
      </c>
      <c r="F202" s="17"/>
      <c r="G202" s="12" t="s">
        <v>642</v>
      </c>
      <c r="H202" s="13" t="n">
        <v>-0.237</v>
      </c>
      <c r="I202" s="14"/>
      <c r="J202" s="17"/>
      <c r="K202" s="9"/>
      <c r="L202" s="15" t="s">
        <v>50</v>
      </c>
      <c r="M202" s="16" t="s">
        <v>51</v>
      </c>
      <c r="N202" s="14"/>
      <c r="O202" s="15" t="s">
        <v>52</v>
      </c>
      <c r="P202" s="17" t="s">
        <v>53</v>
      </c>
      <c r="Q202" s="15"/>
      <c r="R202" s="18" t="s">
        <v>51</v>
      </c>
      <c r="S202" s="19"/>
      <c r="T202" s="17" t="str">
        <f aca="false">IF(R202="維持",J202,IF(R202="排除","無關新聞事件",IFERROR(INDEX(事件規則!$B$2:$B$53,MATCH(S202,事件規則!$A$2:$A$53,0)),"")))</f>
        <v>無關新聞事件</v>
      </c>
      <c r="U202" s="20" t="n">
        <f aca="false">IF(R202="維持",K202,IF(R202="排除",0,IFERROR(INDEX(事件規則!$C$2:$C$53,MATCH(S202,事件規則!$A$2:$A$53,0)),"")))</f>
        <v>0</v>
      </c>
      <c r="V202" s="21"/>
      <c r="W202" s="22"/>
      <c r="X202" s="10" t="str">
        <f aca="false">IF(AND(R202="修改",S202=""),"請選新事件代碼",IF(AND(R202&lt;&gt;"修改",S202&lt;&gt;""),"只有「修改」才需填代碼",""))</f>
        <v/>
      </c>
      <c r="Y202" s="21"/>
      <c r="Z202" s="22"/>
      <c r="AA202" s="12" t="s">
        <v>806</v>
      </c>
      <c r="AB202" s="12"/>
    </row>
    <row r="203" customFormat="false" ht="29.85" hidden="false" customHeight="false" outlineLevel="0" collapsed="false">
      <c r="A203" s="15" t="n">
        <v>202</v>
      </c>
      <c r="B203" s="9" t="s">
        <v>112</v>
      </c>
      <c r="C203" s="9" t="s">
        <v>379</v>
      </c>
      <c r="D203" s="10" t="s">
        <v>380</v>
      </c>
      <c r="E203" s="11" t="s">
        <v>807</v>
      </c>
      <c r="F203" s="17"/>
      <c r="G203" s="12" t="s">
        <v>49</v>
      </c>
      <c r="H203" s="13" t="n">
        <v>-0.234</v>
      </c>
      <c r="I203" s="14"/>
      <c r="J203" s="17"/>
      <c r="K203" s="9"/>
      <c r="L203" s="15" t="s">
        <v>50</v>
      </c>
      <c r="M203" s="16" t="s">
        <v>51</v>
      </c>
      <c r="N203" s="14"/>
      <c r="O203" s="15" t="s">
        <v>52</v>
      </c>
      <c r="P203" s="17" t="s">
        <v>53</v>
      </c>
      <c r="Q203" s="15"/>
      <c r="R203" s="18" t="s">
        <v>51</v>
      </c>
      <c r="S203" s="19"/>
      <c r="T203" s="17" t="str">
        <f aca="false">IF(R203="維持",J203,IF(R203="排除","無關新聞事件",IFERROR(INDEX(事件規則!$B$2:$B$53,MATCH(S203,事件規則!$A$2:$A$53,0)),"")))</f>
        <v>無關新聞事件</v>
      </c>
      <c r="U203" s="20" t="n">
        <f aca="false">IF(R203="維持",K203,IF(R203="排除",0,IFERROR(INDEX(事件規則!$C$2:$C$53,MATCH(S203,事件規則!$A$2:$A$53,0)),"")))</f>
        <v>0</v>
      </c>
      <c r="V203" s="21"/>
      <c r="W203" s="22"/>
      <c r="X203" s="10" t="str">
        <f aca="false">IF(AND(R203="修改",S203=""),"請選新事件代碼",IF(AND(R203&lt;&gt;"修改",S203&lt;&gt;""),"只有「修改」才需填代碼",""))</f>
        <v/>
      </c>
      <c r="Y203" s="21"/>
      <c r="Z203" s="22"/>
      <c r="AA203" s="12" t="s">
        <v>808</v>
      </c>
      <c r="AB203" s="12"/>
    </row>
    <row r="204" customFormat="false" ht="23.85" hidden="false" customHeight="false" outlineLevel="0" collapsed="false">
      <c r="A204" s="15" t="n">
        <v>203</v>
      </c>
      <c r="B204" s="9" t="s">
        <v>112</v>
      </c>
      <c r="C204" s="9" t="s">
        <v>166</v>
      </c>
      <c r="D204" s="10" t="s">
        <v>167</v>
      </c>
      <c r="E204" s="11" t="s">
        <v>809</v>
      </c>
      <c r="F204" s="17"/>
      <c r="G204" s="12" t="s">
        <v>810</v>
      </c>
      <c r="H204" s="13" t="n">
        <v>-0.234</v>
      </c>
      <c r="I204" s="14"/>
      <c r="J204" s="17"/>
      <c r="K204" s="9"/>
      <c r="L204" s="15" t="s">
        <v>50</v>
      </c>
      <c r="M204" s="16" t="s">
        <v>131</v>
      </c>
      <c r="N204" s="14" t="s">
        <v>811</v>
      </c>
      <c r="O204" s="15" t="s">
        <v>52</v>
      </c>
      <c r="P204" s="10" t="s">
        <v>812</v>
      </c>
      <c r="Q204" s="15"/>
      <c r="R204" s="18" t="s">
        <v>131</v>
      </c>
      <c r="S204" s="19" t="s">
        <v>811</v>
      </c>
      <c r="T204" s="17" t="str">
        <f aca="false">IF(R204="維持",J204,IF(R204="排除","無關新聞事件",IFERROR(INDEX(事件規則!$B$2:$B$53,MATCH(S204,事件規則!$A$2:$A$53,0)),"")))</f>
        <v>營運惡化</v>
      </c>
      <c r="U204" s="20" t="n">
        <f aca="false">IF(R204="維持",K204,IF(R204="排除",0,IFERROR(INDEX(事件規則!$C$2:$C$53,MATCH(S204,事件規則!$A$2:$A$53,0)),"")))</f>
        <v>3</v>
      </c>
      <c r="V204" s="21"/>
      <c r="W204" s="22"/>
      <c r="X204" s="10" t="str">
        <f aca="false">IF(AND(R204="修改",S204=""),"請選新事件代碼",IF(AND(R204&lt;&gt;"修改",S204&lt;&gt;""),"只有「修改」才需填代碼",""))</f>
        <v/>
      </c>
      <c r="Y204" s="21"/>
      <c r="Z204" s="22"/>
      <c r="AA204" s="12" t="s">
        <v>813</v>
      </c>
      <c r="AB204" s="12"/>
    </row>
    <row r="205" customFormat="false" ht="23.85" hidden="false" customHeight="false" outlineLevel="0" collapsed="false">
      <c r="A205" s="15" t="n">
        <v>204</v>
      </c>
      <c r="B205" s="9" t="s">
        <v>45</v>
      </c>
      <c r="C205" s="9" t="s">
        <v>144</v>
      </c>
      <c r="D205" s="10" t="s">
        <v>145</v>
      </c>
      <c r="E205" s="11" t="s">
        <v>814</v>
      </c>
      <c r="F205" s="17"/>
      <c r="G205" s="12" t="s">
        <v>176</v>
      </c>
      <c r="H205" s="13" t="n">
        <v>-0.234</v>
      </c>
      <c r="I205" s="14"/>
      <c r="J205" s="17"/>
      <c r="K205" s="9"/>
      <c r="L205" s="15" t="s">
        <v>50</v>
      </c>
      <c r="M205" s="16" t="s">
        <v>131</v>
      </c>
      <c r="N205" s="14" t="s">
        <v>148</v>
      </c>
      <c r="O205" s="15" t="s">
        <v>52</v>
      </c>
      <c r="P205" s="17" t="s">
        <v>149</v>
      </c>
      <c r="Q205" s="15"/>
      <c r="R205" s="18" t="s">
        <v>131</v>
      </c>
      <c r="S205" s="19" t="s">
        <v>148</v>
      </c>
      <c r="T205" s="17" t="str">
        <f aca="false">IF(R205="維持",J205,IF(R205="排除","無關新聞事件",IFERROR(INDEX(事件規則!$B$2:$B$53,MATCH(S205,事件規則!$A$2:$A$53,0)),"")))</f>
        <v>裁員或人力縮減</v>
      </c>
      <c r="U205" s="20" t="n">
        <f aca="false">IF(R205="維持",K205,IF(R205="排除",0,IFERROR(INDEX(事件規則!$C$2:$C$53,MATCH(S205,事件規則!$A$2:$A$53,0)),"")))</f>
        <v>3</v>
      </c>
      <c r="V205" s="21"/>
      <c r="W205" s="22"/>
      <c r="X205" s="10" t="str">
        <f aca="false">IF(AND(R205="修改",S205=""),"請選新事件代碼",IF(AND(R205&lt;&gt;"修改",S205&lt;&gt;""),"只有「修改」才需填代碼",""))</f>
        <v/>
      </c>
      <c r="Y205" s="21"/>
      <c r="Z205" s="22"/>
      <c r="AA205" s="12" t="s">
        <v>815</v>
      </c>
      <c r="AB205" s="12"/>
    </row>
    <row r="206" customFormat="false" ht="29.85" hidden="false" customHeight="false" outlineLevel="0" collapsed="false">
      <c r="A206" s="15" t="n">
        <v>205</v>
      </c>
      <c r="B206" s="9" t="s">
        <v>112</v>
      </c>
      <c r="C206" s="9" t="s">
        <v>555</v>
      </c>
      <c r="D206" s="10" t="s">
        <v>556</v>
      </c>
      <c r="E206" s="11" t="s">
        <v>816</v>
      </c>
      <c r="F206" s="17"/>
      <c r="G206" s="12" t="s">
        <v>142</v>
      </c>
      <c r="H206" s="13" t="n">
        <v>-0.233</v>
      </c>
      <c r="I206" s="14"/>
      <c r="J206" s="17"/>
      <c r="K206" s="9"/>
      <c r="L206" s="15" t="s">
        <v>50</v>
      </c>
      <c r="M206" s="16" t="s">
        <v>51</v>
      </c>
      <c r="N206" s="14"/>
      <c r="O206" s="15" t="s">
        <v>52</v>
      </c>
      <c r="P206" s="17" t="s">
        <v>53</v>
      </c>
      <c r="Q206" s="15"/>
      <c r="R206" s="18" t="s">
        <v>51</v>
      </c>
      <c r="S206" s="19"/>
      <c r="T206" s="17" t="str">
        <f aca="false">IF(R206="維持",J206,IF(R206="排除","無關新聞事件",IFERROR(INDEX(事件規則!$B$2:$B$53,MATCH(S206,事件規則!$A$2:$A$53,0)),"")))</f>
        <v>無關新聞事件</v>
      </c>
      <c r="U206" s="20" t="n">
        <f aca="false">IF(R206="維持",K206,IF(R206="排除",0,IFERROR(INDEX(事件規則!$C$2:$C$53,MATCH(S206,事件規則!$A$2:$A$53,0)),"")))</f>
        <v>0</v>
      </c>
      <c r="V206" s="21"/>
      <c r="W206" s="22"/>
      <c r="X206" s="10" t="str">
        <f aca="false">IF(AND(R206="修改",S206=""),"請選新事件代碼",IF(AND(R206&lt;&gt;"修改",S206&lt;&gt;""),"只有「修改」才需填代碼",""))</f>
        <v/>
      </c>
      <c r="Y206" s="21"/>
      <c r="Z206" s="22"/>
      <c r="AA206" s="12" t="s">
        <v>817</v>
      </c>
      <c r="AB206" s="12"/>
    </row>
    <row r="207" customFormat="false" ht="29.85" hidden="false" customHeight="false" outlineLevel="0" collapsed="false">
      <c r="A207" s="15" t="n">
        <v>206</v>
      </c>
      <c r="B207" s="9" t="s">
        <v>112</v>
      </c>
      <c r="C207" s="9" t="s">
        <v>531</v>
      </c>
      <c r="D207" s="10" t="s">
        <v>532</v>
      </c>
      <c r="E207" s="11" t="s">
        <v>818</v>
      </c>
      <c r="F207" s="17"/>
      <c r="G207" s="12" t="s">
        <v>95</v>
      </c>
      <c r="H207" s="13" t="n">
        <v>-0.233</v>
      </c>
      <c r="I207" s="14"/>
      <c r="J207" s="17"/>
      <c r="K207" s="9"/>
      <c r="L207" s="15" t="s">
        <v>50</v>
      </c>
      <c r="M207" s="16" t="s">
        <v>51</v>
      </c>
      <c r="N207" s="14"/>
      <c r="O207" s="15" t="s">
        <v>52</v>
      </c>
      <c r="P207" s="17" t="s">
        <v>53</v>
      </c>
      <c r="Q207" s="15"/>
      <c r="R207" s="18" t="s">
        <v>51</v>
      </c>
      <c r="S207" s="19"/>
      <c r="T207" s="17" t="str">
        <f aca="false">IF(R207="維持",J207,IF(R207="排除","無關新聞事件",IFERROR(INDEX(事件規則!$B$2:$B$53,MATCH(S207,事件規則!$A$2:$A$53,0)),"")))</f>
        <v>無關新聞事件</v>
      </c>
      <c r="U207" s="20" t="n">
        <f aca="false">IF(R207="維持",K207,IF(R207="排除",0,IFERROR(INDEX(事件規則!$C$2:$C$53,MATCH(S207,事件規則!$A$2:$A$53,0)),"")))</f>
        <v>0</v>
      </c>
      <c r="V207" s="21"/>
      <c r="W207" s="22"/>
      <c r="X207" s="10" t="str">
        <f aca="false">IF(AND(R207="修改",S207=""),"請選新事件代碼",IF(AND(R207&lt;&gt;"修改",S207&lt;&gt;""),"只有「修改」才需填代碼",""))</f>
        <v/>
      </c>
      <c r="Y207" s="21"/>
      <c r="Z207" s="22"/>
      <c r="AA207" s="12" t="s">
        <v>819</v>
      </c>
      <c r="AB207" s="12"/>
    </row>
    <row r="208" customFormat="false" ht="29.85" hidden="false" customHeight="false" outlineLevel="0" collapsed="false">
      <c r="A208" s="15" t="n">
        <v>207</v>
      </c>
      <c r="B208" s="9" t="s">
        <v>55</v>
      </c>
      <c r="C208" s="9" t="s">
        <v>484</v>
      </c>
      <c r="D208" s="10" t="s">
        <v>485</v>
      </c>
      <c r="E208" s="11" t="s">
        <v>820</v>
      </c>
      <c r="F208" s="17"/>
      <c r="G208" s="12" t="s">
        <v>821</v>
      </c>
      <c r="H208" s="13" t="n">
        <v>-0.232</v>
      </c>
      <c r="I208" s="14"/>
      <c r="J208" s="17"/>
      <c r="K208" s="9"/>
      <c r="L208" s="15" t="s">
        <v>50</v>
      </c>
      <c r="M208" s="16" t="s">
        <v>51</v>
      </c>
      <c r="N208" s="14"/>
      <c r="O208" s="15" t="s">
        <v>52</v>
      </c>
      <c r="P208" s="17" t="s">
        <v>53</v>
      </c>
      <c r="Q208" s="15"/>
      <c r="R208" s="18" t="s">
        <v>51</v>
      </c>
      <c r="S208" s="19"/>
      <c r="T208" s="17" t="str">
        <f aca="false">IF(R208="維持",J208,IF(R208="排除","無關新聞事件",IFERROR(INDEX(事件規則!$B$2:$B$53,MATCH(S208,事件規則!$A$2:$A$53,0)),"")))</f>
        <v>無關新聞事件</v>
      </c>
      <c r="U208" s="20" t="n">
        <f aca="false">IF(R208="維持",K208,IF(R208="排除",0,IFERROR(INDEX(事件規則!$C$2:$C$53,MATCH(S208,事件規則!$A$2:$A$53,0)),"")))</f>
        <v>0</v>
      </c>
      <c r="V208" s="21"/>
      <c r="W208" s="22"/>
      <c r="X208" s="10" t="str">
        <f aca="false">IF(AND(R208="修改",S208=""),"請選新事件代碼",IF(AND(R208&lt;&gt;"修改",S208&lt;&gt;""),"只有「修改」才需填代碼",""))</f>
        <v/>
      </c>
      <c r="Y208" s="21"/>
      <c r="Z208" s="22"/>
      <c r="AA208" s="12" t="s">
        <v>822</v>
      </c>
      <c r="AB208" s="12"/>
    </row>
    <row r="209" customFormat="false" ht="29.85" hidden="false" customHeight="false" outlineLevel="0" collapsed="false">
      <c r="A209" s="15" t="n">
        <v>208</v>
      </c>
      <c r="B209" s="9" t="s">
        <v>45</v>
      </c>
      <c r="C209" s="9" t="s">
        <v>202</v>
      </c>
      <c r="D209" s="10" t="s">
        <v>203</v>
      </c>
      <c r="E209" s="11" t="s">
        <v>823</v>
      </c>
      <c r="F209" s="17"/>
      <c r="G209" s="12" t="s">
        <v>410</v>
      </c>
      <c r="H209" s="13" t="n">
        <v>-0.231</v>
      </c>
      <c r="I209" s="14"/>
      <c r="J209" s="17"/>
      <c r="K209" s="9"/>
      <c r="L209" s="15" t="s">
        <v>50</v>
      </c>
      <c r="M209" s="16" t="s">
        <v>51</v>
      </c>
      <c r="N209" s="14"/>
      <c r="O209" s="15" t="s">
        <v>52</v>
      </c>
      <c r="P209" s="17" t="s">
        <v>53</v>
      </c>
      <c r="Q209" s="15"/>
      <c r="R209" s="18" t="s">
        <v>51</v>
      </c>
      <c r="S209" s="19"/>
      <c r="T209" s="17" t="str">
        <f aca="false">IF(R209="維持",J209,IF(R209="排除","無關新聞事件",IFERROR(INDEX(事件規則!$B$2:$B$53,MATCH(S209,事件規則!$A$2:$A$53,0)),"")))</f>
        <v>無關新聞事件</v>
      </c>
      <c r="U209" s="20" t="n">
        <f aca="false">IF(R209="維持",K209,IF(R209="排除",0,IFERROR(INDEX(事件規則!$C$2:$C$53,MATCH(S209,事件規則!$A$2:$A$53,0)),"")))</f>
        <v>0</v>
      </c>
      <c r="V209" s="21"/>
      <c r="W209" s="22"/>
      <c r="X209" s="10" t="str">
        <f aca="false">IF(AND(R209="修改",S209=""),"請選新事件代碼",IF(AND(R209&lt;&gt;"修改",S209&lt;&gt;""),"只有「修改」才需填代碼",""))</f>
        <v/>
      </c>
      <c r="Y209" s="21"/>
      <c r="Z209" s="22"/>
      <c r="AA209" s="12" t="s">
        <v>824</v>
      </c>
      <c r="AB209" s="12"/>
    </row>
    <row r="210" customFormat="false" ht="29.85" hidden="false" customHeight="false" outlineLevel="0" collapsed="false">
      <c r="A210" s="15" t="n">
        <v>209</v>
      </c>
      <c r="B210" s="9" t="s">
        <v>55</v>
      </c>
      <c r="C210" s="9" t="s">
        <v>825</v>
      </c>
      <c r="D210" s="10" t="s">
        <v>826</v>
      </c>
      <c r="E210" s="11" t="s">
        <v>827</v>
      </c>
      <c r="F210" s="17"/>
      <c r="G210" s="12" t="s">
        <v>164</v>
      </c>
      <c r="H210" s="13" t="n">
        <v>-0.231</v>
      </c>
      <c r="I210" s="14"/>
      <c r="J210" s="17"/>
      <c r="K210" s="9"/>
      <c r="L210" s="15" t="s">
        <v>50</v>
      </c>
      <c r="M210" s="16" t="s">
        <v>51</v>
      </c>
      <c r="N210" s="14"/>
      <c r="O210" s="15" t="s">
        <v>52</v>
      </c>
      <c r="P210" s="17" t="s">
        <v>53</v>
      </c>
      <c r="Q210" s="15"/>
      <c r="R210" s="18" t="s">
        <v>51</v>
      </c>
      <c r="S210" s="19"/>
      <c r="T210" s="17" t="str">
        <f aca="false">IF(R210="維持",J210,IF(R210="排除","無關新聞事件",IFERROR(INDEX(事件規則!$B$2:$B$53,MATCH(S210,事件規則!$A$2:$A$53,0)),"")))</f>
        <v>無關新聞事件</v>
      </c>
      <c r="U210" s="20" t="n">
        <f aca="false">IF(R210="維持",K210,IF(R210="排除",0,IFERROR(INDEX(事件規則!$C$2:$C$53,MATCH(S210,事件規則!$A$2:$A$53,0)),"")))</f>
        <v>0</v>
      </c>
      <c r="V210" s="21"/>
      <c r="W210" s="22"/>
      <c r="X210" s="10" t="str">
        <f aca="false">IF(AND(R210="修改",S210=""),"請選新事件代碼",IF(AND(R210&lt;&gt;"修改",S210&lt;&gt;""),"只有「修改」才需填代碼",""))</f>
        <v/>
      </c>
      <c r="Y210" s="21"/>
      <c r="Z210" s="22"/>
      <c r="AA210" s="12" t="s">
        <v>828</v>
      </c>
      <c r="AB210" s="12"/>
    </row>
    <row r="211" customFormat="false" ht="29.85" hidden="false" customHeight="false" outlineLevel="0" collapsed="false">
      <c r="A211" s="15" t="n">
        <v>210</v>
      </c>
      <c r="B211" s="9" t="s">
        <v>45</v>
      </c>
      <c r="C211" s="15"/>
      <c r="D211" s="10" t="s">
        <v>119</v>
      </c>
      <c r="E211" s="23" t="s">
        <v>829</v>
      </c>
      <c r="F211" s="17" t="s">
        <v>829</v>
      </c>
      <c r="G211" s="12" t="s">
        <v>176</v>
      </c>
      <c r="H211" s="13" t="n">
        <v>-0.23</v>
      </c>
      <c r="I211" s="14"/>
      <c r="J211" s="17"/>
      <c r="K211" s="9"/>
      <c r="L211" s="15" t="s">
        <v>50</v>
      </c>
      <c r="M211" s="16" t="s">
        <v>51</v>
      </c>
      <c r="N211" s="14"/>
      <c r="O211" s="15" t="s">
        <v>52</v>
      </c>
      <c r="P211" s="17" t="s">
        <v>53</v>
      </c>
      <c r="Q211" s="15"/>
      <c r="R211" s="18" t="s">
        <v>51</v>
      </c>
      <c r="S211" s="19"/>
      <c r="T211" s="17" t="str">
        <f aca="false">IF(R211="維持",J211,IF(R211="排除","無關新聞事件",IFERROR(INDEX(事件規則!$B$2:$B$53,MATCH(S211,事件規則!$A$2:$A$53,0)),"")))</f>
        <v>無關新聞事件</v>
      </c>
      <c r="U211" s="20" t="n">
        <f aca="false">IF(R211="維持",K211,IF(R211="排除",0,IFERROR(INDEX(事件規則!$C$2:$C$53,MATCH(S211,事件規則!$A$2:$A$53,0)),"")))</f>
        <v>0</v>
      </c>
      <c r="V211" s="21"/>
      <c r="W211" s="22"/>
      <c r="X211" s="10" t="str">
        <f aca="false">IF(AND(R211="修改",S211=""),"請選新事件代碼",IF(AND(R211&lt;&gt;"修改",S211&lt;&gt;""),"只有「修改」才需填代碼",""))</f>
        <v/>
      </c>
      <c r="Y211" s="21"/>
      <c r="Z211" s="22"/>
      <c r="AA211" s="12" t="s">
        <v>830</v>
      </c>
      <c r="AB211" s="12"/>
    </row>
    <row r="212" customFormat="false" ht="29.85" hidden="false" customHeight="false" outlineLevel="0" collapsed="false">
      <c r="A212" s="15" t="n">
        <v>211</v>
      </c>
      <c r="B212" s="9" t="s">
        <v>112</v>
      </c>
      <c r="C212" s="9" t="s">
        <v>831</v>
      </c>
      <c r="D212" s="10" t="s">
        <v>832</v>
      </c>
      <c r="E212" s="11" t="s">
        <v>833</v>
      </c>
      <c r="F212" s="17"/>
      <c r="G212" s="12" t="s">
        <v>701</v>
      </c>
      <c r="H212" s="13" t="n">
        <v>-0.229</v>
      </c>
      <c r="I212" s="14"/>
      <c r="J212" s="17"/>
      <c r="K212" s="9"/>
      <c r="L212" s="15" t="s">
        <v>50</v>
      </c>
      <c r="M212" s="16" t="s">
        <v>51</v>
      </c>
      <c r="N212" s="14"/>
      <c r="O212" s="15" t="s">
        <v>52</v>
      </c>
      <c r="P212" s="17" t="s">
        <v>53</v>
      </c>
      <c r="Q212" s="15"/>
      <c r="R212" s="18" t="s">
        <v>51</v>
      </c>
      <c r="S212" s="19"/>
      <c r="T212" s="17" t="str">
        <f aca="false">IF(R212="維持",J212,IF(R212="排除","無關新聞事件",IFERROR(INDEX(事件規則!$B$2:$B$53,MATCH(S212,事件規則!$A$2:$A$53,0)),"")))</f>
        <v>無關新聞事件</v>
      </c>
      <c r="U212" s="20" t="n">
        <f aca="false">IF(R212="維持",K212,IF(R212="排除",0,IFERROR(INDEX(事件規則!$C$2:$C$53,MATCH(S212,事件規則!$A$2:$A$53,0)),"")))</f>
        <v>0</v>
      </c>
      <c r="V212" s="21"/>
      <c r="W212" s="22"/>
      <c r="X212" s="10" t="str">
        <f aca="false">IF(AND(R212="修改",S212=""),"請選新事件代碼",IF(AND(R212&lt;&gt;"修改",S212&lt;&gt;""),"只有「修改」才需填代碼",""))</f>
        <v/>
      </c>
      <c r="Y212" s="21"/>
      <c r="Z212" s="22"/>
      <c r="AA212" s="12" t="s">
        <v>834</v>
      </c>
      <c r="AB212" s="12"/>
    </row>
    <row r="213" customFormat="false" ht="29.85" hidden="false" customHeight="false" outlineLevel="0" collapsed="false">
      <c r="A213" s="15" t="n">
        <v>212</v>
      </c>
      <c r="B213" s="9" t="s">
        <v>55</v>
      </c>
      <c r="C213" s="9" t="s">
        <v>202</v>
      </c>
      <c r="D213" s="10" t="s">
        <v>203</v>
      </c>
      <c r="E213" s="11" t="s">
        <v>835</v>
      </c>
      <c r="F213" s="17"/>
      <c r="G213" s="12" t="s">
        <v>836</v>
      </c>
      <c r="H213" s="13" t="n">
        <v>-0.229</v>
      </c>
      <c r="I213" s="14"/>
      <c r="J213" s="17"/>
      <c r="K213" s="9"/>
      <c r="L213" s="15" t="s">
        <v>50</v>
      </c>
      <c r="M213" s="16" t="s">
        <v>51</v>
      </c>
      <c r="N213" s="14"/>
      <c r="O213" s="15" t="s">
        <v>52</v>
      </c>
      <c r="P213" s="17" t="s">
        <v>53</v>
      </c>
      <c r="Q213" s="15"/>
      <c r="R213" s="18" t="s">
        <v>51</v>
      </c>
      <c r="S213" s="19"/>
      <c r="T213" s="17" t="str">
        <f aca="false">IF(R213="維持",J213,IF(R213="排除","無關新聞事件",IFERROR(INDEX(事件規則!$B$2:$B$53,MATCH(S213,事件規則!$A$2:$A$53,0)),"")))</f>
        <v>無關新聞事件</v>
      </c>
      <c r="U213" s="20" t="n">
        <f aca="false">IF(R213="維持",K213,IF(R213="排除",0,IFERROR(INDEX(事件規則!$C$2:$C$53,MATCH(S213,事件規則!$A$2:$A$53,0)),"")))</f>
        <v>0</v>
      </c>
      <c r="V213" s="21"/>
      <c r="W213" s="22"/>
      <c r="X213" s="10" t="str">
        <f aca="false">IF(AND(R213="修改",S213=""),"請選新事件代碼",IF(AND(R213&lt;&gt;"修改",S213&lt;&gt;""),"只有「修改」才需填代碼",""))</f>
        <v/>
      </c>
      <c r="Y213" s="21"/>
      <c r="Z213" s="22"/>
      <c r="AA213" s="12" t="s">
        <v>837</v>
      </c>
      <c r="AB213" s="12"/>
    </row>
    <row r="214" customFormat="false" ht="15" hidden="false" customHeight="false" outlineLevel="0" collapsed="false">
      <c r="A214" s="15" t="n">
        <v>213</v>
      </c>
      <c r="B214" s="9" t="s">
        <v>55</v>
      </c>
      <c r="C214" s="9" t="s">
        <v>202</v>
      </c>
      <c r="D214" s="10" t="s">
        <v>203</v>
      </c>
      <c r="E214" s="11" t="s">
        <v>838</v>
      </c>
      <c r="F214" s="17"/>
      <c r="G214" s="12" t="s">
        <v>49</v>
      </c>
      <c r="H214" s="13" t="n">
        <v>-0.229</v>
      </c>
      <c r="I214" s="14"/>
      <c r="J214" s="17"/>
      <c r="K214" s="9"/>
      <c r="L214" s="15" t="s">
        <v>50</v>
      </c>
      <c r="M214" s="16" t="s">
        <v>131</v>
      </c>
      <c r="N214" s="14" t="s">
        <v>839</v>
      </c>
      <c r="O214" s="15" t="s">
        <v>193</v>
      </c>
      <c r="P214" s="17" t="s">
        <v>840</v>
      </c>
      <c r="Q214" s="15"/>
      <c r="R214" s="18" t="s">
        <v>131</v>
      </c>
      <c r="S214" s="19" t="s">
        <v>839</v>
      </c>
      <c r="T214" s="17" t="str">
        <f aca="false">IF(R214="維持",J214,IF(R214="排除","無關新聞事件",IFERROR(INDEX(事件規則!$B$2:$B$53,MATCH(S214,事件規則!$A$2:$A$53,0)),"")))</f>
        <v>生產延遲</v>
      </c>
      <c r="U214" s="20" t="n">
        <f aca="false">IF(R214="維持",K214,IF(R214="排除",0,IFERROR(INDEX(事件規則!$C$2:$C$53,MATCH(S214,事件規則!$A$2:$A$53,0)),"")))</f>
        <v>2</v>
      </c>
      <c r="V214" s="21"/>
      <c r="W214" s="22"/>
      <c r="X214" s="10" t="str">
        <f aca="false">IF(AND(R214="修改",S214=""),"請選新事件代碼",IF(AND(R214&lt;&gt;"修改",S214&lt;&gt;""),"只有「修改」才需填代碼",""))</f>
        <v/>
      </c>
      <c r="Y214" s="21"/>
      <c r="Z214" s="22"/>
      <c r="AA214" s="12" t="s">
        <v>841</v>
      </c>
      <c r="AB214" s="12"/>
    </row>
    <row r="215" customFormat="false" ht="29.85" hidden="false" customHeight="false" outlineLevel="0" collapsed="false">
      <c r="A215" s="15" t="n">
        <v>214</v>
      </c>
      <c r="B215" s="9" t="s">
        <v>45</v>
      </c>
      <c r="C215" s="9" t="s">
        <v>178</v>
      </c>
      <c r="D215" s="10" t="s">
        <v>179</v>
      </c>
      <c r="E215" s="11" t="s">
        <v>842</v>
      </c>
      <c r="F215" s="17"/>
      <c r="G215" s="12" t="s">
        <v>843</v>
      </c>
      <c r="H215" s="13" t="n">
        <v>-0.229</v>
      </c>
      <c r="I215" s="14"/>
      <c r="J215" s="17"/>
      <c r="K215" s="9"/>
      <c r="L215" s="15" t="s">
        <v>50</v>
      </c>
      <c r="M215" s="16" t="s">
        <v>51</v>
      </c>
      <c r="N215" s="14"/>
      <c r="O215" s="15" t="s">
        <v>52</v>
      </c>
      <c r="P215" s="17" t="s">
        <v>53</v>
      </c>
      <c r="Q215" s="15"/>
      <c r="R215" s="18" t="s">
        <v>51</v>
      </c>
      <c r="S215" s="19"/>
      <c r="T215" s="17" t="str">
        <f aca="false">IF(R215="維持",J215,IF(R215="排除","無關新聞事件",IFERROR(INDEX(事件規則!$B$2:$B$53,MATCH(S215,事件規則!$A$2:$A$53,0)),"")))</f>
        <v>無關新聞事件</v>
      </c>
      <c r="U215" s="20" t="n">
        <f aca="false">IF(R215="維持",K215,IF(R215="排除",0,IFERROR(INDEX(事件規則!$C$2:$C$53,MATCH(S215,事件規則!$A$2:$A$53,0)),"")))</f>
        <v>0</v>
      </c>
      <c r="V215" s="21"/>
      <c r="W215" s="22"/>
      <c r="X215" s="10" t="str">
        <f aca="false">IF(AND(R215="修改",S215=""),"請選新事件代碼",IF(AND(R215&lt;&gt;"修改",S215&lt;&gt;""),"只有「修改」才需填代碼",""))</f>
        <v/>
      </c>
      <c r="Y215" s="21"/>
      <c r="Z215" s="22"/>
      <c r="AA215" s="12" t="s">
        <v>844</v>
      </c>
      <c r="AB215" s="12"/>
    </row>
    <row r="216" customFormat="false" ht="29.85" hidden="false" customHeight="false" outlineLevel="0" collapsed="false">
      <c r="A216" s="15" t="n">
        <v>215</v>
      </c>
      <c r="B216" s="9" t="s">
        <v>55</v>
      </c>
      <c r="C216" s="9" t="s">
        <v>118</v>
      </c>
      <c r="D216" s="10" t="s">
        <v>119</v>
      </c>
      <c r="E216" s="11" t="s">
        <v>845</v>
      </c>
      <c r="F216" s="17"/>
      <c r="G216" s="12" t="s">
        <v>600</v>
      </c>
      <c r="H216" s="13" t="n">
        <v>-0.228</v>
      </c>
      <c r="I216" s="14"/>
      <c r="J216" s="17"/>
      <c r="K216" s="9"/>
      <c r="L216" s="15" t="s">
        <v>50</v>
      </c>
      <c r="M216" s="16" t="s">
        <v>51</v>
      </c>
      <c r="N216" s="14"/>
      <c r="O216" s="15" t="s">
        <v>52</v>
      </c>
      <c r="P216" s="17" t="s">
        <v>53</v>
      </c>
      <c r="Q216" s="15"/>
      <c r="R216" s="18" t="s">
        <v>51</v>
      </c>
      <c r="S216" s="19"/>
      <c r="T216" s="17" t="str">
        <f aca="false">IF(R216="維持",J216,IF(R216="排除","無關新聞事件",IFERROR(INDEX(事件規則!$B$2:$B$53,MATCH(S216,事件規則!$A$2:$A$53,0)),"")))</f>
        <v>無關新聞事件</v>
      </c>
      <c r="U216" s="20" t="n">
        <f aca="false">IF(R216="維持",K216,IF(R216="排除",0,IFERROR(INDEX(事件規則!$C$2:$C$53,MATCH(S216,事件規則!$A$2:$A$53,0)),"")))</f>
        <v>0</v>
      </c>
      <c r="V216" s="21"/>
      <c r="W216" s="22"/>
      <c r="X216" s="10" t="str">
        <f aca="false">IF(AND(R216="修改",S216=""),"請選新事件代碼",IF(AND(R216&lt;&gt;"修改",S216&lt;&gt;""),"只有「修改」才需填代碼",""))</f>
        <v/>
      </c>
      <c r="Y216" s="21"/>
      <c r="Z216" s="22"/>
      <c r="AA216" s="12" t="s">
        <v>846</v>
      </c>
      <c r="AB216" s="12"/>
    </row>
    <row r="217" customFormat="false" ht="29.85" hidden="false" customHeight="false" outlineLevel="0" collapsed="false">
      <c r="A217" s="15" t="n">
        <v>216</v>
      </c>
      <c r="B217" s="9" t="s">
        <v>81</v>
      </c>
      <c r="C217" s="9" t="s">
        <v>178</v>
      </c>
      <c r="D217" s="10" t="s">
        <v>179</v>
      </c>
      <c r="E217" s="11" t="s">
        <v>847</v>
      </c>
      <c r="F217" s="17"/>
      <c r="G217" s="12" t="s">
        <v>649</v>
      </c>
      <c r="H217" s="13" t="n">
        <v>-0.226</v>
      </c>
      <c r="I217" s="14"/>
      <c r="J217" s="17"/>
      <c r="K217" s="9"/>
      <c r="L217" s="15" t="s">
        <v>50</v>
      </c>
      <c r="M217" s="16" t="s">
        <v>51</v>
      </c>
      <c r="N217" s="14"/>
      <c r="O217" s="15" t="s">
        <v>52</v>
      </c>
      <c r="P217" s="17" t="s">
        <v>53</v>
      </c>
      <c r="Q217" s="15"/>
      <c r="R217" s="18" t="s">
        <v>51</v>
      </c>
      <c r="S217" s="19"/>
      <c r="T217" s="17" t="str">
        <f aca="false">IF(R217="維持",J217,IF(R217="排除","無關新聞事件",IFERROR(INDEX(事件規則!$B$2:$B$53,MATCH(S217,事件規則!$A$2:$A$53,0)),"")))</f>
        <v>無關新聞事件</v>
      </c>
      <c r="U217" s="20" t="n">
        <f aca="false">IF(R217="維持",K217,IF(R217="排除",0,IFERROR(INDEX(事件規則!$C$2:$C$53,MATCH(S217,事件規則!$A$2:$A$53,0)),"")))</f>
        <v>0</v>
      </c>
      <c r="V217" s="21"/>
      <c r="W217" s="22"/>
      <c r="X217" s="10" t="str">
        <f aca="false">IF(AND(R217="修改",S217=""),"請選新事件代碼",IF(AND(R217&lt;&gt;"修改",S217&lt;&gt;""),"只有「修改」才需填代碼",""))</f>
        <v/>
      </c>
      <c r="Y217" s="21"/>
      <c r="Z217" s="22"/>
      <c r="AA217" s="12" t="s">
        <v>848</v>
      </c>
      <c r="AB217" s="12"/>
    </row>
    <row r="218" customFormat="false" ht="29.85" hidden="false" customHeight="false" outlineLevel="0" collapsed="false">
      <c r="A218" s="15" t="n">
        <v>217</v>
      </c>
      <c r="B218" s="9" t="s">
        <v>55</v>
      </c>
      <c r="C218" s="9" t="s">
        <v>166</v>
      </c>
      <c r="D218" s="10" t="s">
        <v>167</v>
      </c>
      <c r="E218" s="11" t="s">
        <v>849</v>
      </c>
      <c r="F218" s="17"/>
      <c r="G218" s="12" t="s">
        <v>95</v>
      </c>
      <c r="H218" s="13" t="n">
        <v>-0.226</v>
      </c>
      <c r="I218" s="14"/>
      <c r="J218" s="17"/>
      <c r="K218" s="9"/>
      <c r="L218" s="15" t="s">
        <v>50</v>
      </c>
      <c r="M218" s="16" t="s">
        <v>51</v>
      </c>
      <c r="N218" s="14"/>
      <c r="O218" s="15" t="s">
        <v>52</v>
      </c>
      <c r="P218" s="17" t="s">
        <v>53</v>
      </c>
      <c r="Q218" s="15"/>
      <c r="R218" s="18" t="s">
        <v>51</v>
      </c>
      <c r="S218" s="19"/>
      <c r="T218" s="17" t="str">
        <f aca="false">IF(R218="維持",J218,IF(R218="排除","無關新聞事件",IFERROR(INDEX(事件規則!$B$2:$B$53,MATCH(S218,事件規則!$A$2:$A$53,0)),"")))</f>
        <v>無關新聞事件</v>
      </c>
      <c r="U218" s="20" t="n">
        <f aca="false">IF(R218="維持",K218,IF(R218="排除",0,IFERROR(INDEX(事件規則!$C$2:$C$53,MATCH(S218,事件規則!$A$2:$A$53,0)),"")))</f>
        <v>0</v>
      </c>
      <c r="V218" s="21"/>
      <c r="W218" s="22"/>
      <c r="X218" s="10" t="str">
        <f aca="false">IF(AND(R218="修改",S218=""),"請選新事件代碼",IF(AND(R218&lt;&gt;"修改",S218&lt;&gt;""),"只有「修改」才需填代碼",""))</f>
        <v/>
      </c>
      <c r="Y218" s="21"/>
      <c r="Z218" s="22"/>
      <c r="AA218" s="12" t="s">
        <v>850</v>
      </c>
      <c r="AB218" s="12"/>
    </row>
    <row r="219" customFormat="false" ht="29.85" hidden="false" customHeight="false" outlineLevel="0" collapsed="false">
      <c r="A219" s="15" t="n">
        <v>218</v>
      </c>
      <c r="B219" s="9" t="s">
        <v>45</v>
      </c>
      <c r="C219" s="9" t="s">
        <v>851</v>
      </c>
      <c r="D219" s="10" t="s">
        <v>852</v>
      </c>
      <c r="E219" s="11" t="s">
        <v>853</v>
      </c>
      <c r="F219" s="17"/>
      <c r="G219" s="12" t="s">
        <v>169</v>
      </c>
      <c r="H219" s="13" t="n">
        <v>-0.225</v>
      </c>
      <c r="I219" s="14"/>
      <c r="J219" s="17"/>
      <c r="K219" s="9"/>
      <c r="L219" s="15" t="s">
        <v>50</v>
      </c>
      <c r="M219" s="16" t="s">
        <v>51</v>
      </c>
      <c r="N219" s="14"/>
      <c r="O219" s="15" t="s">
        <v>52</v>
      </c>
      <c r="P219" s="17" t="s">
        <v>53</v>
      </c>
      <c r="Q219" s="15"/>
      <c r="R219" s="18" t="s">
        <v>51</v>
      </c>
      <c r="S219" s="19"/>
      <c r="T219" s="17" t="str">
        <f aca="false">IF(R219="維持",J219,IF(R219="排除","無關新聞事件",IFERROR(INDEX(事件規則!$B$2:$B$53,MATCH(S219,事件規則!$A$2:$A$53,0)),"")))</f>
        <v>無關新聞事件</v>
      </c>
      <c r="U219" s="20" t="n">
        <f aca="false">IF(R219="維持",K219,IF(R219="排除",0,IFERROR(INDEX(事件規則!$C$2:$C$53,MATCH(S219,事件規則!$A$2:$A$53,0)),"")))</f>
        <v>0</v>
      </c>
      <c r="V219" s="21"/>
      <c r="W219" s="22"/>
      <c r="X219" s="10" t="str">
        <f aca="false">IF(AND(R219="修改",S219=""),"請選新事件代碼",IF(AND(R219&lt;&gt;"修改",S219&lt;&gt;""),"只有「修改」才需填代碼",""))</f>
        <v/>
      </c>
      <c r="Y219" s="21"/>
      <c r="Z219" s="22"/>
      <c r="AA219" s="12" t="s">
        <v>854</v>
      </c>
      <c r="AB219" s="12"/>
    </row>
    <row r="220" customFormat="false" ht="29.85" hidden="false" customHeight="false" outlineLevel="0" collapsed="false">
      <c r="A220" s="15" t="n">
        <v>219</v>
      </c>
      <c r="B220" s="9" t="s">
        <v>45</v>
      </c>
      <c r="C220" s="9" t="s">
        <v>476</v>
      </c>
      <c r="D220" s="10" t="s">
        <v>477</v>
      </c>
      <c r="E220" s="23" t="s">
        <v>855</v>
      </c>
      <c r="F220" s="17" t="s">
        <v>855</v>
      </c>
      <c r="G220" s="12" t="s">
        <v>176</v>
      </c>
      <c r="H220" s="13" t="n">
        <v>-0.223</v>
      </c>
      <c r="I220" s="14"/>
      <c r="J220" s="17"/>
      <c r="K220" s="9"/>
      <c r="L220" s="15" t="s">
        <v>50</v>
      </c>
      <c r="M220" s="16" t="s">
        <v>51</v>
      </c>
      <c r="N220" s="14"/>
      <c r="O220" s="15" t="s">
        <v>52</v>
      </c>
      <c r="P220" s="17" t="s">
        <v>53</v>
      </c>
      <c r="Q220" s="15"/>
      <c r="R220" s="18" t="s">
        <v>51</v>
      </c>
      <c r="S220" s="19"/>
      <c r="T220" s="17" t="str">
        <f aca="false">IF(R220="維持",J220,IF(R220="排除","無關新聞事件",IFERROR(INDEX(事件規則!$B$2:$B$53,MATCH(S220,事件規則!$A$2:$A$53,0)),"")))</f>
        <v>無關新聞事件</v>
      </c>
      <c r="U220" s="20" t="n">
        <f aca="false">IF(R220="維持",K220,IF(R220="排除",0,IFERROR(INDEX(事件規則!$C$2:$C$53,MATCH(S220,事件規則!$A$2:$A$53,0)),"")))</f>
        <v>0</v>
      </c>
      <c r="V220" s="21"/>
      <c r="W220" s="22"/>
      <c r="X220" s="10" t="str">
        <f aca="false">IF(AND(R220="修改",S220=""),"請選新事件代碼",IF(AND(R220&lt;&gt;"修改",S220&lt;&gt;""),"只有「修改」才需填代碼",""))</f>
        <v/>
      </c>
      <c r="Y220" s="21"/>
      <c r="Z220" s="22"/>
      <c r="AA220" s="12" t="s">
        <v>856</v>
      </c>
      <c r="AB220" s="12"/>
    </row>
    <row r="221" customFormat="false" ht="29.85" hidden="false" customHeight="false" outlineLevel="0" collapsed="false">
      <c r="A221" s="15" t="n">
        <v>220</v>
      </c>
      <c r="B221" s="9" t="s">
        <v>45</v>
      </c>
      <c r="C221" s="9" t="s">
        <v>857</v>
      </c>
      <c r="D221" s="10" t="s">
        <v>858</v>
      </c>
      <c r="E221" s="11" t="s">
        <v>859</v>
      </c>
      <c r="F221" s="17"/>
      <c r="G221" s="12" t="s">
        <v>49</v>
      </c>
      <c r="H221" s="13" t="n">
        <v>-0.222</v>
      </c>
      <c r="I221" s="14"/>
      <c r="J221" s="17"/>
      <c r="K221" s="9"/>
      <c r="L221" s="15" t="s">
        <v>50</v>
      </c>
      <c r="M221" s="16" t="s">
        <v>51</v>
      </c>
      <c r="N221" s="14"/>
      <c r="O221" s="15" t="s">
        <v>52</v>
      </c>
      <c r="P221" s="17" t="s">
        <v>53</v>
      </c>
      <c r="Q221" s="15"/>
      <c r="R221" s="18" t="s">
        <v>51</v>
      </c>
      <c r="S221" s="19"/>
      <c r="T221" s="17" t="str">
        <f aca="false">IF(R221="維持",J221,IF(R221="排除","無關新聞事件",IFERROR(INDEX(事件規則!$B$2:$B$53,MATCH(S221,事件規則!$A$2:$A$53,0)),"")))</f>
        <v>無關新聞事件</v>
      </c>
      <c r="U221" s="20" t="n">
        <f aca="false">IF(R221="維持",K221,IF(R221="排除",0,IFERROR(INDEX(事件規則!$C$2:$C$53,MATCH(S221,事件規則!$A$2:$A$53,0)),"")))</f>
        <v>0</v>
      </c>
      <c r="V221" s="21"/>
      <c r="W221" s="22"/>
      <c r="X221" s="10" t="str">
        <f aca="false">IF(AND(R221="修改",S221=""),"請選新事件代碼",IF(AND(R221&lt;&gt;"修改",S221&lt;&gt;""),"只有「修改」才需填代碼",""))</f>
        <v/>
      </c>
      <c r="Y221" s="21"/>
      <c r="Z221" s="22"/>
      <c r="AA221" s="12" t="s">
        <v>860</v>
      </c>
      <c r="AB221" s="12"/>
    </row>
    <row r="222" customFormat="false" ht="29.85" hidden="false" customHeight="false" outlineLevel="0" collapsed="false">
      <c r="A222" s="15" t="n">
        <v>221</v>
      </c>
      <c r="B222" s="9" t="s">
        <v>45</v>
      </c>
      <c r="C222" s="9" t="s">
        <v>861</v>
      </c>
      <c r="D222" s="10" t="s">
        <v>862</v>
      </c>
      <c r="E222" s="11" t="s">
        <v>863</v>
      </c>
      <c r="F222" s="17"/>
      <c r="G222" s="12" t="s">
        <v>169</v>
      </c>
      <c r="H222" s="13" t="n">
        <v>-0.221</v>
      </c>
      <c r="I222" s="14"/>
      <c r="J222" s="17"/>
      <c r="K222" s="9"/>
      <c r="L222" s="15" t="s">
        <v>50</v>
      </c>
      <c r="M222" s="16" t="s">
        <v>51</v>
      </c>
      <c r="N222" s="14"/>
      <c r="O222" s="15" t="s">
        <v>52</v>
      </c>
      <c r="P222" s="17" t="s">
        <v>53</v>
      </c>
      <c r="Q222" s="15"/>
      <c r="R222" s="18" t="s">
        <v>51</v>
      </c>
      <c r="S222" s="19"/>
      <c r="T222" s="17" t="str">
        <f aca="false">IF(R222="維持",J222,IF(R222="排除","無關新聞事件",IFERROR(INDEX(事件規則!$B$2:$B$53,MATCH(S222,事件規則!$A$2:$A$53,0)),"")))</f>
        <v>無關新聞事件</v>
      </c>
      <c r="U222" s="20" t="n">
        <f aca="false">IF(R222="維持",K222,IF(R222="排除",0,IFERROR(INDEX(事件規則!$C$2:$C$53,MATCH(S222,事件規則!$A$2:$A$53,0)),"")))</f>
        <v>0</v>
      </c>
      <c r="V222" s="21"/>
      <c r="W222" s="22"/>
      <c r="X222" s="10" t="str">
        <f aca="false">IF(AND(R222="修改",S222=""),"請選新事件代碼",IF(AND(R222&lt;&gt;"修改",S222&lt;&gt;""),"只有「修改」才需填代碼",""))</f>
        <v/>
      </c>
      <c r="Y222" s="21"/>
      <c r="Z222" s="22"/>
      <c r="AA222" s="12" t="s">
        <v>864</v>
      </c>
      <c r="AB222" s="12"/>
    </row>
    <row r="223" customFormat="false" ht="29.85" hidden="false" customHeight="false" outlineLevel="0" collapsed="false">
      <c r="A223" s="15" t="n">
        <v>222</v>
      </c>
      <c r="B223" s="9" t="s">
        <v>45</v>
      </c>
      <c r="C223" s="9" t="s">
        <v>865</v>
      </c>
      <c r="D223" s="10" t="s">
        <v>866</v>
      </c>
      <c r="E223" s="11" t="s">
        <v>867</v>
      </c>
      <c r="F223" s="17"/>
      <c r="G223" s="12" t="s">
        <v>105</v>
      </c>
      <c r="H223" s="13" t="n">
        <v>-0.22</v>
      </c>
      <c r="I223" s="14"/>
      <c r="J223" s="17"/>
      <c r="K223" s="9"/>
      <c r="L223" s="15" t="s">
        <v>50</v>
      </c>
      <c r="M223" s="16" t="s">
        <v>51</v>
      </c>
      <c r="N223" s="14"/>
      <c r="O223" s="15" t="s">
        <v>52</v>
      </c>
      <c r="P223" s="17" t="s">
        <v>53</v>
      </c>
      <c r="Q223" s="15"/>
      <c r="R223" s="18" t="s">
        <v>51</v>
      </c>
      <c r="S223" s="19"/>
      <c r="T223" s="17" t="str">
        <f aca="false">IF(R223="維持",J223,IF(R223="排除","無關新聞事件",IFERROR(INDEX(事件規則!$B$2:$B$53,MATCH(S223,事件規則!$A$2:$A$53,0)),"")))</f>
        <v>無關新聞事件</v>
      </c>
      <c r="U223" s="20" t="n">
        <f aca="false">IF(R223="維持",K223,IF(R223="排除",0,IFERROR(INDEX(事件規則!$C$2:$C$53,MATCH(S223,事件規則!$A$2:$A$53,0)),"")))</f>
        <v>0</v>
      </c>
      <c r="V223" s="21"/>
      <c r="W223" s="22"/>
      <c r="X223" s="10" t="str">
        <f aca="false">IF(AND(R223="修改",S223=""),"請選新事件代碼",IF(AND(R223&lt;&gt;"修改",S223&lt;&gt;""),"只有「修改」才需填代碼",""))</f>
        <v/>
      </c>
      <c r="Y223" s="21"/>
      <c r="Z223" s="22"/>
      <c r="AA223" s="12" t="s">
        <v>868</v>
      </c>
      <c r="AB223" s="12"/>
    </row>
    <row r="224" customFormat="false" ht="29.85" hidden="false" customHeight="false" outlineLevel="0" collapsed="false">
      <c r="A224" s="15" t="n">
        <v>223</v>
      </c>
      <c r="B224" s="9" t="s">
        <v>45</v>
      </c>
      <c r="C224" s="9" t="s">
        <v>869</v>
      </c>
      <c r="D224" s="10" t="s">
        <v>870</v>
      </c>
      <c r="E224" s="11" t="s">
        <v>871</v>
      </c>
      <c r="F224" s="17"/>
      <c r="G224" s="12" t="s">
        <v>164</v>
      </c>
      <c r="H224" s="13" t="n">
        <v>-0.219</v>
      </c>
      <c r="I224" s="14"/>
      <c r="J224" s="17"/>
      <c r="K224" s="9"/>
      <c r="L224" s="15" t="s">
        <v>50</v>
      </c>
      <c r="M224" s="16" t="s">
        <v>51</v>
      </c>
      <c r="N224" s="14"/>
      <c r="O224" s="15" t="s">
        <v>52</v>
      </c>
      <c r="P224" s="17" t="s">
        <v>53</v>
      </c>
      <c r="Q224" s="15"/>
      <c r="R224" s="18" t="s">
        <v>51</v>
      </c>
      <c r="S224" s="19"/>
      <c r="T224" s="17" t="str">
        <f aca="false">IF(R224="維持",J224,IF(R224="排除","無關新聞事件",IFERROR(INDEX(事件規則!$B$2:$B$53,MATCH(S224,事件規則!$A$2:$A$53,0)),"")))</f>
        <v>無關新聞事件</v>
      </c>
      <c r="U224" s="20" t="n">
        <f aca="false">IF(R224="維持",K224,IF(R224="排除",0,IFERROR(INDEX(事件規則!$C$2:$C$53,MATCH(S224,事件規則!$A$2:$A$53,0)),"")))</f>
        <v>0</v>
      </c>
      <c r="V224" s="21"/>
      <c r="W224" s="22"/>
      <c r="X224" s="10" t="str">
        <f aca="false">IF(AND(R224="修改",S224=""),"請選新事件代碼",IF(AND(R224&lt;&gt;"修改",S224&lt;&gt;""),"只有「修改」才需填代碼",""))</f>
        <v/>
      </c>
      <c r="Y224" s="21"/>
      <c r="Z224" s="22"/>
      <c r="AA224" s="12" t="s">
        <v>872</v>
      </c>
      <c r="AB224" s="12"/>
    </row>
    <row r="225" customFormat="false" ht="29.85" hidden="false" customHeight="false" outlineLevel="0" collapsed="false">
      <c r="A225" s="15" t="n">
        <v>224</v>
      </c>
      <c r="B225" s="9" t="s">
        <v>81</v>
      </c>
      <c r="C225" s="9" t="s">
        <v>873</v>
      </c>
      <c r="D225" s="10" t="s">
        <v>874</v>
      </c>
      <c r="E225" s="11" t="s">
        <v>875</v>
      </c>
      <c r="F225" s="17"/>
      <c r="G225" s="12" t="s">
        <v>876</v>
      </c>
      <c r="H225" s="13" t="n">
        <v>-0.218</v>
      </c>
      <c r="I225" s="14"/>
      <c r="J225" s="17"/>
      <c r="K225" s="9"/>
      <c r="L225" s="15" t="s">
        <v>50</v>
      </c>
      <c r="M225" s="16" t="s">
        <v>51</v>
      </c>
      <c r="N225" s="14"/>
      <c r="O225" s="15" t="s">
        <v>52</v>
      </c>
      <c r="P225" s="17" t="s">
        <v>53</v>
      </c>
      <c r="Q225" s="15"/>
      <c r="R225" s="18" t="s">
        <v>51</v>
      </c>
      <c r="S225" s="19"/>
      <c r="T225" s="17" t="str">
        <f aca="false">IF(R225="維持",J225,IF(R225="排除","無關新聞事件",IFERROR(INDEX(事件規則!$B$2:$B$53,MATCH(S225,事件規則!$A$2:$A$53,0)),"")))</f>
        <v>無關新聞事件</v>
      </c>
      <c r="U225" s="20" t="n">
        <f aca="false">IF(R225="維持",K225,IF(R225="排除",0,IFERROR(INDEX(事件規則!$C$2:$C$53,MATCH(S225,事件規則!$A$2:$A$53,0)),"")))</f>
        <v>0</v>
      </c>
      <c r="V225" s="21"/>
      <c r="W225" s="22"/>
      <c r="X225" s="10" t="str">
        <f aca="false">IF(AND(R225="修改",S225=""),"請選新事件代碼",IF(AND(R225&lt;&gt;"修改",S225&lt;&gt;""),"只有「修改」才需填代碼",""))</f>
        <v/>
      </c>
      <c r="Y225" s="21"/>
      <c r="Z225" s="22"/>
      <c r="AA225" s="12" t="s">
        <v>877</v>
      </c>
      <c r="AB225" s="12"/>
    </row>
    <row r="226" customFormat="false" ht="29.85" hidden="false" customHeight="false" outlineLevel="0" collapsed="false">
      <c r="A226" s="15" t="n">
        <v>225</v>
      </c>
      <c r="B226" s="9" t="s">
        <v>112</v>
      </c>
      <c r="C226" s="9" t="s">
        <v>878</v>
      </c>
      <c r="D226" s="10" t="s">
        <v>879</v>
      </c>
      <c r="E226" s="11" t="s">
        <v>880</v>
      </c>
      <c r="F226" s="17"/>
      <c r="G226" s="12" t="s">
        <v>164</v>
      </c>
      <c r="H226" s="13" t="n">
        <v>-0.218</v>
      </c>
      <c r="I226" s="14"/>
      <c r="J226" s="17"/>
      <c r="K226" s="9"/>
      <c r="L226" s="15" t="s">
        <v>50</v>
      </c>
      <c r="M226" s="16" t="s">
        <v>51</v>
      </c>
      <c r="N226" s="14"/>
      <c r="O226" s="15" t="s">
        <v>52</v>
      </c>
      <c r="P226" s="17" t="s">
        <v>53</v>
      </c>
      <c r="Q226" s="15"/>
      <c r="R226" s="18" t="s">
        <v>51</v>
      </c>
      <c r="S226" s="19"/>
      <c r="T226" s="17" t="str">
        <f aca="false">IF(R226="維持",J226,IF(R226="排除","無關新聞事件",IFERROR(INDEX(事件規則!$B$2:$B$53,MATCH(S226,事件規則!$A$2:$A$53,0)),"")))</f>
        <v>無關新聞事件</v>
      </c>
      <c r="U226" s="20" t="n">
        <f aca="false">IF(R226="維持",K226,IF(R226="排除",0,IFERROR(INDEX(事件規則!$C$2:$C$53,MATCH(S226,事件規則!$A$2:$A$53,0)),"")))</f>
        <v>0</v>
      </c>
      <c r="V226" s="21"/>
      <c r="W226" s="22"/>
      <c r="X226" s="10" t="str">
        <f aca="false">IF(AND(R226="修改",S226=""),"請選新事件代碼",IF(AND(R226&lt;&gt;"修改",S226&lt;&gt;""),"只有「修改」才需填代碼",""))</f>
        <v/>
      </c>
      <c r="Y226" s="21"/>
      <c r="Z226" s="22"/>
      <c r="AA226" s="12" t="s">
        <v>881</v>
      </c>
      <c r="AB226" s="12"/>
    </row>
    <row r="227" customFormat="false" ht="29.85" hidden="false" customHeight="false" outlineLevel="0" collapsed="false">
      <c r="A227" s="15" t="n">
        <v>226</v>
      </c>
      <c r="B227" s="9" t="s">
        <v>45</v>
      </c>
      <c r="C227" s="9" t="s">
        <v>595</v>
      </c>
      <c r="D227" s="10" t="s">
        <v>596</v>
      </c>
      <c r="E227" s="11" t="s">
        <v>882</v>
      </c>
      <c r="F227" s="17"/>
      <c r="G227" s="12" t="s">
        <v>883</v>
      </c>
      <c r="H227" s="13" t="n">
        <v>-0.218</v>
      </c>
      <c r="I227" s="14"/>
      <c r="J227" s="17"/>
      <c r="K227" s="9"/>
      <c r="L227" s="15" t="s">
        <v>50</v>
      </c>
      <c r="M227" s="16" t="s">
        <v>51</v>
      </c>
      <c r="N227" s="14"/>
      <c r="O227" s="15" t="s">
        <v>52</v>
      </c>
      <c r="P227" s="17" t="s">
        <v>53</v>
      </c>
      <c r="Q227" s="15"/>
      <c r="R227" s="18" t="s">
        <v>51</v>
      </c>
      <c r="S227" s="19"/>
      <c r="T227" s="17" t="str">
        <f aca="false">IF(R227="維持",J227,IF(R227="排除","無關新聞事件",IFERROR(INDEX(事件規則!$B$2:$B$53,MATCH(S227,事件規則!$A$2:$A$53,0)),"")))</f>
        <v>無關新聞事件</v>
      </c>
      <c r="U227" s="20" t="n">
        <f aca="false">IF(R227="維持",K227,IF(R227="排除",0,IFERROR(INDEX(事件規則!$C$2:$C$53,MATCH(S227,事件規則!$A$2:$A$53,0)),"")))</f>
        <v>0</v>
      </c>
      <c r="V227" s="21"/>
      <c r="W227" s="22"/>
      <c r="X227" s="10" t="str">
        <f aca="false">IF(AND(R227="修改",S227=""),"請選新事件代碼",IF(AND(R227&lt;&gt;"修改",S227&lt;&gt;""),"只有「修改」才需填代碼",""))</f>
        <v/>
      </c>
      <c r="Y227" s="21"/>
      <c r="Z227" s="22"/>
      <c r="AA227" s="12" t="s">
        <v>884</v>
      </c>
      <c r="AB227" s="12"/>
    </row>
    <row r="228" customFormat="false" ht="29.85" hidden="false" customHeight="false" outlineLevel="0" collapsed="false">
      <c r="A228" s="15" t="n">
        <v>227</v>
      </c>
      <c r="B228" s="9" t="s">
        <v>55</v>
      </c>
      <c r="C228" s="9" t="s">
        <v>885</v>
      </c>
      <c r="D228" s="10" t="s">
        <v>886</v>
      </c>
      <c r="E228" s="11" t="s">
        <v>887</v>
      </c>
      <c r="F228" s="17"/>
      <c r="G228" s="12" t="s">
        <v>95</v>
      </c>
      <c r="H228" s="13" t="n">
        <v>-0.216</v>
      </c>
      <c r="I228" s="14"/>
      <c r="J228" s="17"/>
      <c r="K228" s="9"/>
      <c r="L228" s="15" t="s">
        <v>50</v>
      </c>
      <c r="M228" s="16" t="s">
        <v>51</v>
      </c>
      <c r="N228" s="14"/>
      <c r="O228" s="15" t="s">
        <v>52</v>
      </c>
      <c r="P228" s="17" t="s">
        <v>53</v>
      </c>
      <c r="Q228" s="15"/>
      <c r="R228" s="18" t="s">
        <v>51</v>
      </c>
      <c r="S228" s="19"/>
      <c r="T228" s="17" t="str">
        <f aca="false">IF(R228="維持",J228,IF(R228="排除","無關新聞事件",IFERROR(INDEX(事件規則!$B$2:$B$53,MATCH(S228,事件規則!$A$2:$A$53,0)),"")))</f>
        <v>無關新聞事件</v>
      </c>
      <c r="U228" s="20" t="n">
        <f aca="false">IF(R228="維持",K228,IF(R228="排除",0,IFERROR(INDEX(事件規則!$C$2:$C$53,MATCH(S228,事件規則!$A$2:$A$53,0)),"")))</f>
        <v>0</v>
      </c>
      <c r="V228" s="21"/>
      <c r="W228" s="22"/>
      <c r="X228" s="10" t="str">
        <f aca="false">IF(AND(R228="修改",S228=""),"請選新事件代碼",IF(AND(R228&lt;&gt;"修改",S228&lt;&gt;""),"只有「修改」才需填代碼",""))</f>
        <v/>
      </c>
      <c r="Y228" s="21"/>
      <c r="Z228" s="22"/>
      <c r="AA228" s="12" t="s">
        <v>888</v>
      </c>
      <c r="AB228" s="12"/>
    </row>
    <row r="229" customFormat="false" ht="29.85" hidden="false" customHeight="false" outlineLevel="0" collapsed="false">
      <c r="A229" s="15" t="n">
        <v>228</v>
      </c>
      <c r="B229" s="9" t="s">
        <v>55</v>
      </c>
      <c r="C229" s="9" t="s">
        <v>889</v>
      </c>
      <c r="D229" s="10" t="s">
        <v>890</v>
      </c>
      <c r="E229" s="11" t="s">
        <v>891</v>
      </c>
      <c r="F229" s="17"/>
      <c r="G229" s="12" t="s">
        <v>49</v>
      </c>
      <c r="H229" s="13" t="n">
        <v>-0.213</v>
      </c>
      <c r="I229" s="14"/>
      <c r="J229" s="17"/>
      <c r="K229" s="9"/>
      <c r="L229" s="15" t="s">
        <v>50</v>
      </c>
      <c r="M229" s="16" t="s">
        <v>51</v>
      </c>
      <c r="N229" s="14"/>
      <c r="O229" s="15" t="s">
        <v>52</v>
      </c>
      <c r="P229" s="17" t="s">
        <v>53</v>
      </c>
      <c r="Q229" s="15"/>
      <c r="R229" s="18" t="s">
        <v>51</v>
      </c>
      <c r="S229" s="19"/>
      <c r="T229" s="17" t="str">
        <f aca="false">IF(R229="維持",J229,IF(R229="排除","無關新聞事件",IFERROR(INDEX(事件規則!$B$2:$B$53,MATCH(S229,事件規則!$A$2:$A$53,0)),"")))</f>
        <v>無關新聞事件</v>
      </c>
      <c r="U229" s="20" t="n">
        <f aca="false">IF(R229="維持",K229,IF(R229="排除",0,IFERROR(INDEX(事件規則!$C$2:$C$53,MATCH(S229,事件規則!$A$2:$A$53,0)),"")))</f>
        <v>0</v>
      </c>
      <c r="V229" s="21"/>
      <c r="W229" s="22"/>
      <c r="X229" s="10" t="str">
        <f aca="false">IF(AND(R229="修改",S229=""),"請選新事件代碼",IF(AND(R229&lt;&gt;"修改",S229&lt;&gt;""),"只有「修改」才需填代碼",""))</f>
        <v/>
      </c>
      <c r="Y229" s="21"/>
      <c r="Z229" s="22"/>
      <c r="AA229" s="12" t="s">
        <v>892</v>
      </c>
      <c r="AB229" s="12"/>
    </row>
    <row r="230" customFormat="false" ht="29.85" hidden="false" customHeight="false" outlineLevel="0" collapsed="false">
      <c r="A230" s="15" t="n">
        <v>229</v>
      </c>
      <c r="B230" s="9" t="s">
        <v>45</v>
      </c>
      <c r="C230" s="9" t="s">
        <v>893</v>
      </c>
      <c r="D230" s="10" t="s">
        <v>894</v>
      </c>
      <c r="E230" s="11" t="s">
        <v>895</v>
      </c>
      <c r="F230" s="17"/>
      <c r="G230" s="12" t="s">
        <v>896</v>
      </c>
      <c r="H230" s="13" t="n">
        <v>-0.212</v>
      </c>
      <c r="I230" s="14"/>
      <c r="J230" s="17"/>
      <c r="K230" s="9"/>
      <c r="L230" s="15" t="s">
        <v>50</v>
      </c>
      <c r="M230" s="16" t="s">
        <v>51</v>
      </c>
      <c r="N230" s="14"/>
      <c r="O230" s="15" t="s">
        <v>52</v>
      </c>
      <c r="P230" s="17" t="s">
        <v>53</v>
      </c>
      <c r="Q230" s="15"/>
      <c r="R230" s="18" t="s">
        <v>51</v>
      </c>
      <c r="S230" s="19"/>
      <c r="T230" s="17" t="str">
        <f aca="false">IF(R230="維持",J230,IF(R230="排除","無關新聞事件",IFERROR(INDEX(事件規則!$B$2:$B$53,MATCH(S230,事件規則!$A$2:$A$53,0)),"")))</f>
        <v>無關新聞事件</v>
      </c>
      <c r="U230" s="20" t="n">
        <f aca="false">IF(R230="維持",K230,IF(R230="排除",0,IFERROR(INDEX(事件規則!$C$2:$C$53,MATCH(S230,事件規則!$A$2:$A$53,0)),"")))</f>
        <v>0</v>
      </c>
      <c r="V230" s="21"/>
      <c r="W230" s="22"/>
      <c r="X230" s="10" t="str">
        <f aca="false">IF(AND(R230="修改",S230=""),"請選新事件代碼",IF(AND(R230&lt;&gt;"修改",S230&lt;&gt;""),"只有「修改」才需填代碼",""))</f>
        <v/>
      </c>
      <c r="Y230" s="21"/>
      <c r="Z230" s="22"/>
      <c r="AA230" s="12" t="s">
        <v>897</v>
      </c>
      <c r="AB230" s="12"/>
    </row>
    <row r="231" customFormat="false" ht="29.85" hidden="false" customHeight="false" outlineLevel="0" collapsed="false">
      <c r="A231" s="15" t="n">
        <v>230</v>
      </c>
      <c r="B231" s="9" t="s">
        <v>45</v>
      </c>
      <c r="C231" s="9" t="s">
        <v>898</v>
      </c>
      <c r="D231" s="10" t="s">
        <v>899</v>
      </c>
      <c r="E231" s="11" t="s">
        <v>900</v>
      </c>
      <c r="F231" s="17"/>
      <c r="G231" s="12" t="s">
        <v>49</v>
      </c>
      <c r="H231" s="13" t="n">
        <v>-0.211</v>
      </c>
      <c r="I231" s="14"/>
      <c r="J231" s="17"/>
      <c r="K231" s="9"/>
      <c r="L231" s="15" t="s">
        <v>50</v>
      </c>
      <c r="M231" s="16" t="s">
        <v>51</v>
      </c>
      <c r="N231" s="14"/>
      <c r="O231" s="15" t="s">
        <v>52</v>
      </c>
      <c r="P231" s="17" t="s">
        <v>53</v>
      </c>
      <c r="Q231" s="15"/>
      <c r="R231" s="18" t="s">
        <v>51</v>
      </c>
      <c r="S231" s="19"/>
      <c r="T231" s="17" t="str">
        <f aca="false">IF(R231="維持",J231,IF(R231="排除","無關新聞事件",IFERROR(INDEX(事件規則!$B$2:$B$53,MATCH(S231,事件規則!$A$2:$A$53,0)),"")))</f>
        <v>無關新聞事件</v>
      </c>
      <c r="U231" s="20" t="n">
        <f aca="false">IF(R231="維持",K231,IF(R231="排除",0,IFERROR(INDEX(事件規則!$C$2:$C$53,MATCH(S231,事件規則!$A$2:$A$53,0)),"")))</f>
        <v>0</v>
      </c>
      <c r="V231" s="21"/>
      <c r="W231" s="22"/>
      <c r="X231" s="10" t="str">
        <f aca="false">IF(AND(R231="修改",S231=""),"請選新事件代碼",IF(AND(R231&lt;&gt;"修改",S231&lt;&gt;""),"只有「修改」才需填代碼",""))</f>
        <v/>
      </c>
      <c r="Y231" s="21"/>
      <c r="Z231" s="22"/>
      <c r="AA231" s="12" t="s">
        <v>901</v>
      </c>
      <c r="AB231" s="12"/>
    </row>
    <row r="232" customFormat="false" ht="29.85" hidden="false" customHeight="false" outlineLevel="0" collapsed="false">
      <c r="A232" s="15" t="n">
        <v>231</v>
      </c>
      <c r="B232" s="9" t="s">
        <v>55</v>
      </c>
      <c r="C232" s="9" t="s">
        <v>166</v>
      </c>
      <c r="D232" s="10" t="s">
        <v>167</v>
      </c>
      <c r="E232" s="11" t="s">
        <v>902</v>
      </c>
      <c r="F232" s="17"/>
      <c r="G232" s="12" t="s">
        <v>49</v>
      </c>
      <c r="H232" s="13" t="n">
        <v>-0.211</v>
      </c>
      <c r="I232" s="14"/>
      <c r="J232" s="17"/>
      <c r="K232" s="9"/>
      <c r="L232" s="15" t="s">
        <v>50</v>
      </c>
      <c r="M232" s="16" t="s">
        <v>51</v>
      </c>
      <c r="N232" s="14"/>
      <c r="O232" s="15" t="s">
        <v>52</v>
      </c>
      <c r="P232" s="17" t="s">
        <v>53</v>
      </c>
      <c r="Q232" s="15"/>
      <c r="R232" s="18" t="s">
        <v>51</v>
      </c>
      <c r="S232" s="19"/>
      <c r="T232" s="17" t="str">
        <f aca="false">IF(R232="維持",J232,IF(R232="排除","無關新聞事件",IFERROR(INDEX(事件規則!$B$2:$B$53,MATCH(S232,事件規則!$A$2:$A$53,0)),"")))</f>
        <v>無關新聞事件</v>
      </c>
      <c r="U232" s="20" t="n">
        <f aca="false">IF(R232="維持",K232,IF(R232="排除",0,IFERROR(INDEX(事件規則!$C$2:$C$53,MATCH(S232,事件規則!$A$2:$A$53,0)),"")))</f>
        <v>0</v>
      </c>
      <c r="V232" s="21"/>
      <c r="W232" s="22"/>
      <c r="X232" s="10" t="str">
        <f aca="false">IF(AND(R232="修改",S232=""),"請選新事件代碼",IF(AND(R232&lt;&gt;"修改",S232&lt;&gt;""),"只有「修改」才需填代碼",""))</f>
        <v/>
      </c>
      <c r="Y232" s="21"/>
      <c r="Z232" s="22"/>
      <c r="AA232" s="12" t="s">
        <v>903</v>
      </c>
      <c r="AB232" s="12"/>
    </row>
    <row r="233" customFormat="false" ht="29.85" hidden="false" customHeight="false" outlineLevel="0" collapsed="false">
      <c r="A233" s="15" t="n">
        <v>232</v>
      </c>
      <c r="B233" s="9" t="s">
        <v>81</v>
      </c>
      <c r="C233" s="9" t="s">
        <v>113</v>
      </c>
      <c r="D233" s="10" t="s">
        <v>114</v>
      </c>
      <c r="E233" s="11" t="s">
        <v>904</v>
      </c>
      <c r="F233" s="17"/>
      <c r="G233" s="12" t="s">
        <v>482</v>
      </c>
      <c r="H233" s="13" t="n">
        <v>-0.211</v>
      </c>
      <c r="I233" s="14"/>
      <c r="J233" s="17"/>
      <c r="K233" s="9"/>
      <c r="L233" s="15" t="s">
        <v>50</v>
      </c>
      <c r="M233" s="16" t="s">
        <v>51</v>
      </c>
      <c r="N233" s="14"/>
      <c r="O233" s="15" t="s">
        <v>52</v>
      </c>
      <c r="P233" s="17" t="s">
        <v>53</v>
      </c>
      <c r="Q233" s="15"/>
      <c r="R233" s="18" t="s">
        <v>51</v>
      </c>
      <c r="S233" s="19"/>
      <c r="T233" s="17" t="str">
        <f aca="false">IF(R233="維持",J233,IF(R233="排除","無關新聞事件",IFERROR(INDEX(事件規則!$B$2:$B$53,MATCH(S233,事件規則!$A$2:$A$53,0)),"")))</f>
        <v>無關新聞事件</v>
      </c>
      <c r="U233" s="20" t="n">
        <f aca="false">IF(R233="維持",K233,IF(R233="排除",0,IFERROR(INDEX(事件規則!$C$2:$C$53,MATCH(S233,事件規則!$A$2:$A$53,0)),"")))</f>
        <v>0</v>
      </c>
      <c r="V233" s="21"/>
      <c r="W233" s="22"/>
      <c r="X233" s="10" t="str">
        <f aca="false">IF(AND(R233="修改",S233=""),"請選新事件代碼",IF(AND(R233&lt;&gt;"修改",S233&lt;&gt;""),"只有「修改」才需填代碼",""))</f>
        <v/>
      </c>
      <c r="Y233" s="21"/>
      <c r="Z233" s="22"/>
      <c r="AA233" s="12" t="s">
        <v>905</v>
      </c>
      <c r="AB233" s="12"/>
    </row>
    <row r="234" customFormat="false" ht="29.85" hidden="false" customHeight="false" outlineLevel="0" collapsed="false">
      <c r="A234" s="15" t="n">
        <v>233</v>
      </c>
      <c r="B234" s="9" t="s">
        <v>81</v>
      </c>
      <c r="C234" s="9" t="s">
        <v>535</v>
      </c>
      <c r="D234" s="10" t="s">
        <v>536</v>
      </c>
      <c r="E234" s="11" t="s">
        <v>906</v>
      </c>
      <c r="F234" s="17"/>
      <c r="G234" s="12" t="s">
        <v>907</v>
      </c>
      <c r="H234" s="13" t="n">
        <v>-0.211</v>
      </c>
      <c r="I234" s="14"/>
      <c r="J234" s="17"/>
      <c r="K234" s="9"/>
      <c r="L234" s="15" t="s">
        <v>50</v>
      </c>
      <c r="M234" s="16" t="s">
        <v>51</v>
      </c>
      <c r="N234" s="14"/>
      <c r="O234" s="15" t="s">
        <v>52</v>
      </c>
      <c r="P234" s="17" t="s">
        <v>53</v>
      </c>
      <c r="Q234" s="15"/>
      <c r="R234" s="18" t="s">
        <v>51</v>
      </c>
      <c r="S234" s="19"/>
      <c r="T234" s="17" t="str">
        <f aca="false">IF(R234="維持",J234,IF(R234="排除","無關新聞事件",IFERROR(INDEX(事件規則!$B$2:$B$53,MATCH(S234,事件規則!$A$2:$A$53,0)),"")))</f>
        <v>無關新聞事件</v>
      </c>
      <c r="U234" s="20" t="n">
        <f aca="false">IF(R234="維持",K234,IF(R234="排除",0,IFERROR(INDEX(事件規則!$C$2:$C$53,MATCH(S234,事件規則!$A$2:$A$53,0)),"")))</f>
        <v>0</v>
      </c>
      <c r="V234" s="21"/>
      <c r="W234" s="22"/>
      <c r="X234" s="10" t="str">
        <f aca="false">IF(AND(R234="修改",S234=""),"請選新事件代碼",IF(AND(R234&lt;&gt;"修改",S234&lt;&gt;""),"只有「修改」才需填代碼",""))</f>
        <v/>
      </c>
      <c r="Y234" s="21"/>
      <c r="Z234" s="22"/>
      <c r="AA234" s="12" t="s">
        <v>908</v>
      </c>
      <c r="AB234" s="12"/>
    </row>
    <row r="235" customFormat="false" ht="29.85" hidden="false" customHeight="false" outlineLevel="0" collapsed="false">
      <c r="A235" s="15" t="n">
        <v>234</v>
      </c>
      <c r="B235" s="9" t="s">
        <v>112</v>
      </c>
      <c r="C235" s="9" t="s">
        <v>360</v>
      </c>
      <c r="D235" s="10" t="s">
        <v>361</v>
      </c>
      <c r="E235" s="11" t="s">
        <v>909</v>
      </c>
      <c r="F235" s="17"/>
      <c r="G235" s="12" t="s">
        <v>116</v>
      </c>
      <c r="H235" s="13" t="n">
        <v>-0.21</v>
      </c>
      <c r="I235" s="14"/>
      <c r="J235" s="17"/>
      <c r="K235" s="9"/>
      <c r="L235" s="15" t="s">
        <v>50</v>
      </c>
      <c r="M235" s="16" t="s">
        <v>51</v>
      </c>
      <c r="N235" s="14"/>
      <c r="O235" s="15" t="s">
        <v>52</v>
      </c>
      <c r="P235" s="17" t="s">
        <v>53</v>
      </c>
      <c r="Q235" s="15"/>
      <c r="R235" s="18" t="s">
        <v>51</v>
      </c>
      <c r="S235" s="19"/>
      <c r="T235" s="17" t="str">
        <f aca="false">IF(R235="維持",J235,IF(R235="排除","無關新聞事件",IFERROR(INDEX(事件規則!$B$2:$B$53,MATCH(S235,事件規則!$A$2:$A$53,0)),"")))</f>
        <v>無關新聞事件</v>
      </c>
      <c r="U235" s="20" t="n">
        <f aca="false">IF(R235="維持",K235,IF(R235="排除",0,IFERROR(INDEX(事件規則!$C$2:$C$53,MATCH(S235,事件規則!$A$2:$A$53,0)),"")))</f>
        <v>0</v>
      </c>
      <c r="V235" s="21"/>
      <c r="W235" s="22"/>
      <c r="X235" s="10" t="str">
        <f aca="false">IF(AND(R235="修改",S235=""),"請選新事件代碼",IF(AND(R235&lt;&gt;"修改",S235&lt;&gt;""),"只有「修改」才需填代碼",""))</f>
        <v/>
      </c>
      <c r="Y235" s="21"/>
      <c r="Z235" s="22"/>
      <c r="AA235" s="12" t="s">
        <v>910</v>
      </c>
      <c r="AB235" s="12"/>
    </row>
    <row r="236" customFormat="false" ht="29.85" hidden="false" customHeight="false" outlineLevel="0" collapsed="false">
      <c r="A236" s="15" t="n">
        <v>235</v>
      </c>
      <c r="B236" s="9" t="s">
        <v>55</v>
      </c>
      <c r="C236" s="9" t="s">
        <v>188</v>
      </c>
      <c r="D236" s="10" t="s">
        <v>189</v>
      </c>
      <c r="E236" s="11" t="s">
        <v>911</v>
      </c>
      <c r="F236" s="17"/>
      <c r="G236" s="12" t="s">
        <v>49</v>
      </c>
      <c r="H236" s="13" t="n">
        <v>-0.21</v>
      </c>
      <c r="I236" s="14"/>
      <c r="J236" s="17"/>
      <c r="K236" s="9"/>
      <c r="L236" s="15" t="s">
        <v>50</v>
      </c>
      <c r="M236" s="16" t="s">
        <v>51</v>
      </c>
      <c r="N236" s="14"/>
      <c r="O236" s="15" t="s">
        <v>52</v>
      </c>
      <c r="P236" s="17" t="s">
        <v>53</v>
      </c>
      <c r="Q236" s="15"/>
      <c r="R236" s="18" t="s">
        <v>51</v>
      </c>
      <c r="S236" s="19"/>
      <c r="T236" s="17" t="str">
        <f aca="false">IF(R236="維持",J236,IF(R236="排除","無關新聞事件",IFERROR(INDEX(事件規則!$B$2:$B$53,MATCH(S236,事件規則!$A$2:$A$53,0)),"")))</f>
        <v>無關新聞事件</v>
      </c>
      <c r="U236" s="20" t="n">
        <f aca="false">IF(R236="維持",K236,IF(R236="排除",0,IFERROR(INDEX(事件規則!$C$2:$C$53,MATCH(S236,事件規則!$A$2:$A$53,0)),"")))</f>
        <v>0</v>
      </c>
      <c r="V236" s="21"/>
      <c r="W236" s="22"/>
      <c r="X236" s="10" t="str">
        <f aca="false">IF(AND(R236="修改",S236=""),"請選新事件代碼",IF(AND(R236&lt;&gt;"修改",S236&lt;&gt;""),"只有「修改」才需填代碼",""))</f>
        <v/>
      </c>
      <c r="Y236" s="21"/>
      <c r="Z236" s="22"/>
      <c r="AA236" s="12" t="s">
        <v>912</v>
      </c>
      <c r="AB236" s="12"/>
    </row>
    <row r="237" customFormat="false" ht="29.85" hidden="false" customHeight="false" outlineLevel="0" collapsed="false">
      <c r="A237" s="15" t="n">
        <v>236</v>
      </c>
      <c r="B237" s="9" t="s">
        <v>55</v>
      </c>
      <c r="C237" s="9" t="s">
        <v>913</v>
      </c>
      <c r="D237" s="10" t="s">
        <v>914</v>
      </c>
      <c r="E237" s="11" t="s">
        <v>915</v>
      </c>
      <c r="F237" s="17"/>
      <c r="G237" s="12" t="s">
        <v>164</v>
      </c>
      <c r="H237" s="13" t="n">
        <v>-0.21</v>
      </c>
      <c r="I237" s="14"/>
      <c r="J237" s="17"/>
      <c r="K237" s="9"/>
      <c r="L237" s="15" t="s">
        <v>50</v>
      </c>
      <c r="M237" s="16" t="s">
        <v>51</v>
      </c>
      <c r="N237" s="14"/>
      <c r="O237" s="15" t="s">
        <v>52</v>
      </c>
      <c r="P237" s="17" t="s">
        <v>53</v>
      </c>
      <c r="Q237" s="15"/>
      <c r="R237" s="18" t="s">
        <v>51</v>
      </c>
      <c r="S237" s="19"/>
      <c r="T237" s="17" t="str">
        <f aca="false">IF(R237="維持",J237,IF(R237="排除","無關新聞事件",IFERROR(INDEX(事件規則!$B$2:$B$53,MATCH(S237,事件規則!$A$2:$A$53,0)),"")))</f>
        <v>無關新聞事件</v>
      </c>
      <c r="U237" s="20" t="n">
        <f aca="false">IF(R237="維持",K237,IF(R237="排除",0,IFERROR(INDEX(事件規則!$C$2:$C$53,MATCH(S237,事件規則!$A$2:$A$53,0)),"")))</f>
        <v>0</v>
      </c>
      <c r="V237" s="21"/>
      <c r="W237" s="22"/>
      <c r="X237" s="10" t="str">
        <f aca="false">IF(AND(R237="修改",S237=""),"請選新事件代碼",IF(AND(R237&lt;&gt;"修改",S237&lt;&gt;""),"只有「修改」才需填代碼",""))</f>
        <v/>
      </c>
      <c r="Y237" s="21"/>
      <c r="Z237" s="22"/>
      <c r="AA237" s="12" t="s">
        <v>916</v>
      </c>
      <c r="AB237" s="12"/>
    </row>
    <row r="238" customFormat="false" ht="29.85" hidden="false" customHeight="false" outlineLevel="0" collapsed="false">
      <c r="A238" s="15" t="n">
        <v>237</v>
      </c>
      <c r="B238" s="9" t="s">
        <v>112</v>
      </c>
      <c r="C238" s="9" t="s">
        <v>917</v>
      </c>
      <c r="D238" s="10" t="s">
        <v>918</v>
      </c>
      <c r="E238" s="11" t="s">
        <v>919</v>
      </c>
      <c r="F238" s="17"/>
      <c r="G238" s="12" t="s">
        <v>164</v>
      </c>
      <c r="H238" s="13" t="n">
        <v>-0.209</v>
      </c>
      <c r="I238" s="14"/>
      <c r="J238" s="17"/>
      <c r="K238" s="9"/>
      <c r="L238" s="15" t="s">
        <v>50</v>
      </c>
      <c r="M238" s="16" t="s">
        <v>51</v>
      </c>
      <c r="N238" s="14"/>
      <c r="O238" s="15" t="s">
        <v>52</v>
      </c>
      <c r="P238" s="17" t="s">
        <v>53</v>
      </c>
      <c r="Q238" s="15"/>
      <c r="R238" s="18" t="s">
        <v>51</v>
      </c>
      <c r="S238" s="19"/>
      <c r="T238" s="17" t="str">
        <f aca="false">IF(R238="維持",J238,IF(R238="排除","無關新聞事件",IFERROR(INDEX(事件規則!$B$2:$B$53,MATCH(S238,事件規則!$A$2:$A$53,0)),"")))</f>
        <v>無關新聞事件</v>
      </c>
      <c r="U238" s="20" t="n">
        <f aca="false">IF(R238="維持",K238,IF(R238="排除",0,IFERROR(INDEX(事件規則!$C$2:$C$53,MATCH(S238,事件規則!$A$2:$A$53,0)),"")))</f>
        <v>0</v>
      </c>
      <c r="V238" s="21"/>
      <c r="W238" s="22"/>
      <c r="X238" s="10" t="str">
        <f aca="false">IF(AND(R238="修改",S238=""),"請選新事件代碼",IF(AND(R238&lt;&gt;"修改",S238&lt;&gt;""),"只有「修改」才需填代碼",""))</f>
        <v/>
      </c>
      <c r="Y238" s="21"/>
      <c r="Z238" s="22"/>
      <c r="AA238" s="12" t="s">
        <v>920</v>
      </c>
      <c r="AB238" s="12"/>
    </row>
    <row r="239" customFormat="false" ht="29.85" hidden="false" customHeight="false" outlineLevel="0" collapsed="false">
      <c r="A239" s="15" t="n">
        <v>238</v>
      </c>
      <c r="B239" s="9" t="s">
        <v>112</v>
      </c>
      <c r="C239" s="9" t="s">
        <v>921</v>
      </c>
      <c r="D239" s="10" t="s">
        <v>922</v>
      </c>
      <c r="E239" s="11" t="s">
        <v>923</v>
      </c>
      <c r="F239" s="17"/>
      <c r="G239" s="12" t="s">
        <v>59</v>
      </c>
      <c r="H239" s="13" t="n">
        <v>-0.208</v>
      </c>
      <c r="I239" s="14"/>
      <c r="J239" s="17"/>
      <c r="K239" s="9"/>
      <c r="L239" s="15" t="s">
        <v>50</v>
      </c>
      <c r="M239" s="16" t="s">
        <v>51</v>
      </c>
      <c r="N239" s="14"/>
      <c r="O239" s="15" t="s">
        <v>52</v>
      </c>
      <c r="P239" s="17" t="s">
        <v>53</v>
      </c>
      <c r="Q239" s="15"/>
      <c r="R239" s="18" t="s">
        <v>51</v>
      </c>
      <c r="S239" s="19"/>
      <c r="T239" s="17" t="str">
        <f aca="false">IF(R239="維持",J239,IF(R239="排除","無關新聞事件",IFERROR(INDEX(事件規則!$B$2:$B$53,MATCH(S239,事件規則!$A$2:$A$53,0)),"")))</f>
        <v>無關新聞事件</v>
      </c>
      <c r="U239" s="20" t="n">
        <f aca="false">IF(R239="維持",K239,IF(R239="排除",0,IFERROR(INDEX(事件規則!$C$2:$C$53,MATCH(S239,事件規則!$A$2:$A$53,0)),"")))</f>
        <v>0</v>
      </c>
      <c r="V239" s="21"/>
      <c r="W239" s="22"/>
      <c r="X239" s="10" t="str">
        <f aca="false">IF(AND(R239="修改",S239=""),"請選新事件代碼",IF(AND(R239&lt;&gt;"修改",S239&lt;&gt;""),"只有「修改」才需填代碼",""))</f>
        <v/>
      </c>
      <c r="Y239" s="21"/>
      <c r="Z239" s="22"/>
      <c r="AA239" s="12" t="s">
        <v>924</v>
      </c>
      <c r="AB239" s="12"/>
    </row>
    <row r="240" customFormat="false" ht="29.85" hidden="false" customHeight="false" outlineLevel="0" collapsed="false">
      <c r="A240" s="15" t="n">
        <v>239</v>
      </c>
      <c r="B240" s="9" t="s">
        <v>45</v>
      </c>
      <c r="C240" s="9" t="s">
        <v>76</v>
      </c>
      <c r="D240" s="10" t="s">
        <v>77</v>
      </c>
      <c r="E240" s="11" t="s">
        <v>925</v>
      </c>
      <c r="F240" s="17"/>
      <c r="G240" s="12" t="s">
        <v>121</v>
      </c>
      <c r="H240" s="13" t="n">
        <v>-0.208</v>
      </c>
      <c r="I240" s="14"/>
      <c r="J240" s="17"/>
      <c r="K240" s="9"/>
      <c r="L240" s="15" t="s">
        <v>50</v>
      </c>
      <c r="M240" s="16" t="s">
        <v>51</v>
      </c>
      <c r="N240" s="14"/>
      <c r="O240" s="15" t="s">
        <v>52</v>
      </c>
      <c r="P240" s="17" t="s">
        <v>53</v>
      </c>
      <c r="Q240" s="15"/>
      <c r="R240" s="18" t="s">
        <v>51</v>
      </c>
      <c r="S240" s="19"/>
      <c r="T240" s="17" t="str">
        <f aca="false">IF(R240="維持",J240,IF(R240="排除","無關新聞事件",IFERROR(INDEX(事件規則!$B$2:$B$53,MATCH(S240,事件規則!$A$2:$A$53,0)),"")))</f>
        <v>無關新聞事件</v>
      </c>
      <c r="U240" s="20" t="n">
        <f aca="false">IF(R240="維持",K240,IF(R240="排除",0,IFERROR(INDEX(事件規則!$C$2:$C$53,MATCH(S240,事件規則!$A$2:$A$53,0)),"")))</f>
        <v>0</v>
      </c>
      <c r="V240" s="21"/>
      <c r="W240" s="22"/>
      <c r="X240" s="10" t="str">
        <f aca="false">IF(AND(R240="修改",S240=""),"請選新事件代碼",IF(AND(R240&lt;&gt;"修改",S240&lt;&gt;""),"只有「修改」才需填代碼",""))</f>
        <v/>
      </c>
      <c r="Y240" s="21"/>
      <c r="Z240" s="22"/>
      <c r="AA240" s="12" t="s">
        <v>926</v>
      </c>
      <c r="AB240" s="12"/>
    </row>
    <row r="241" customFormat="false" ht="29.85" hidden="false" customHeight="false" outlineLevel="0" collapsed="false">
      <c r="A241" s="15" t="n">
        <v>240</v>
      </c>
      <c r="B241" s="9" t="s">
        <v>81</v>
      </c>
      <c r="C241" s="9" t="s">
        <v>602</v>
      </c>
      <c r="D241" s="10" t="s">
        <v>603</v>
      </c>
      <c r="E241" s="11" t="s">
        <v>927</v>
      </c>
      <c r="F241" s="17"/>
      <c r="G241" s="12" t="s">
        <v>59</v>
      </c>
      <c r="H241" s="13" t="n">
        <v>-0.207</v>
      </c>
      <c r="I241" s="14"/>
      <c r="J241" s="17"/>
      <c r="K241" s="9"/>
      <c r="L241" s="15" t="s">
        <v>50</v>
      </c>
      <c r="M241" s="16" t="s">
        <v>51</v>
      </c>
      <c r="N241" s="14"/>
      <c r="O241" s="15" t="s">
        <v>52</v>
      </c>
      <c r="P241" s="17" t="s">
        <v>53</v>
      </c>
      <c r="Q241" s="15"/>
      <c r="R241" s="18" t="s">
        <v>51</v>
      </c>
      <c r="S241" s="19"/>
      <c r="T241" s="17" t="str">
        <f aca="false">IF(R241="維持",J241,IF(R241="排除","無關新聞事件",IFERROR(INDEX(事件規則!$B$2:$B$53,MATCH(S241,事件規則!$A$2:$A$53,0)),"")))</f>
        <v>無關新聞事件</v>
      </c>
      <c r="U241" s="20" t="n">
        <f aca="false">IF(R241="維持",K241,IF(R241="排除",0,IFERROR(INDEX(事件規則!$C$2:$C$53,MATCH(S241,事件規則!$A$2:$A$53,0)),"")))</f>
        <v>0</v>
      </c>
      <c r="V241" s="21"/>
      <c r="W241" s="22"/>
      <c r="X241" s="10" t="str">
        <f aca="false">IF(AND(R241="修改",S241=""),"請選新事件代碼",IF(AND(R241&lt;&gt;"修改",S241&lt;&gt;""),"只有「修改」才需填代碼",""))</f>
        <v/>
      </c>
      <c r="Y241" s="21"/>
      <c r="Z241" s="22"/>
      <c r="AA241" s="12" t="s">
        <v>928</v>
      </c>
      <c r="AB241" s="12"/>
    </row>
    <row r="242" customFormat="false" ht="29.85" hidden="false" customHeight="false" outlineLevel="0" collapsed="false">
      <c r="A242" s="15" t="n">
        <v>241</v>
      </c>
      <c r="B242" s="9" t="s">
        <v>45</v>
      </c>
      <c r="C242" s="9" t="s">
        <v>929</v>
      </c>
      <c r="D242" s="10" t="s">
        <v>930</v>
      </c>
      <c r="E242" s="11" t="s">
        <v>931</v>
      </c>
      <c r="F242" s="17"/>
      <c r="G242" s="12" t="s">
        <v>176</v>
      </c>
      <c r="H242" s="13" t="n">
        <v>-0.206</v>
      </c>
      <c r="I242" s="14"/>
      <c r="J242" s="17"/>
      <c r="K242" s="9"/>
      <c r="L242" s="15" t="s">
        <v>50</v>
      </c>
      <c r="M242" s="16" t="s">
        <v>51</v>
      </c>
      <c r="N242" s="14"/>
      <c r="O242" s="15" t="s">
        <v>52</v>
      </c>
      <c r="P242" s="17" t="s">
        <v>53</v>
      </c>
      <c r="Q242" s="15"/>
      <c r="R242" s="18" t="s">
        <v>51</v>
      </c>
      <c r="S242" s="19"/>
      <c r="T242" s="17" t="str">
        <f aca="false">IF(R242="維持",J242,IF(R242="排除","無關新聞事件",IFERROR(INDEX(事件規則!$B$2:$B$53,MATCH(S242,事件規則!$A$2:$A$53,0)),"")))</f>
        <v>無關新聞事件</v>
      </c>
      <c r="U242" s="20" t="n">
        <f aca="false">IF(R242="維持",K242,IF(R242="排除",0,IFERROR(INDEX(事件規則!$C$2:$C$53,MATCH(S242,事件規則!$A$2:$A$53,0)),"")))</f>
        <v>0</v>
      </c>
      <c r="V242" s="21"/>
      <c r="W242" s="22"/>
      <c r="X242" s="10" t="str">
        <f aca="false">IF(AND(R242="修改",S242=""),"請選新事件代碼",IF(AND(R242&lt;&gt;"修改",S242&lt;&gt;""),"只有「修改」才需填代碼",""))</f>
        <v/>
      </c>
      <c r="Y242" s="21"/>
      <c r="Z242" s="22"/>
      <c r="AA242" s="12" t="s">
        <v>932</v>
      </c>
      <c r="AB242" s="12"/>
    </row>
    <row r="243" customFormat="false" ht="29.85" hidden="false" customHeight="false" outlineLevel="0" collapsed="false">
      <c r="A243" s="15" t="n">
        <v>242</v>
      </c>
      <c r="B243" s="9" t="s">
        <v>45</v>
      </c>
      <c r="C243" s="9" t="s">
        <v>476</v>
      </c>
      <c r="D243" s="10" t="s">
        <v>477</v>
      </c>
      <c r="E243" s="11" t="s">
        <v>933</v>
      </c>
      <c r="F243" s="17"/>
      <c r="G243" s="12" t="s">
        <v>934</v>
      </c>
      <c r="H243" s="13" t="n">
        <v>-0.206</v>
      </c>
      <c r="I243" s="14"/>
      <c r="J243" s="17"/>
      <c r="K243" s="9"/>
      <c r="L243" s="15" t="s">
        <v>50</v>
      </c>
      <c r="M243" s="16" t="s">
        <v>51</v>
      </c>
      <c r="N243" s="14"/>
      <c r="O243" s="15" t="s">
        <v>52</v>
      </c>
      <c r="P243" s="17" t="s">
        <v>53</v>
      </c>
      <c r="Q243" s="15"/>
      <c r="R243" s="18" t="s">
        <v>51</v>
      </c>
      <c r="S243" s="19"/>
      <c r="T243" s="17" t="str">
        <f aca="false">IF(R243="維持",J243,IF(R243="排除","無關新聞事件",IFERROR(INDEX(事件規則!$B$2:$B$53,MATCH(S243,事件規則!$A$2:$A$53,0)),"")))</f>
        <v>無關新聞事件</v>
      </c>
      <c r="U243" s="20" t="n">
        <f aca="false">IF(R243="維持",K243,IF(R243="排除",0,IFERROR(INDEX(事件規則!$C$2:$C$53,MATCH(S243,事件規則!$A$2:$A$53,0)),"")))</f>
        <v>0</v>
      </c>
      <c r="V243" s="21"/>
      <c r="W243" s="22"/>
      <c r="X243" s="10" t="str">
        <f aca="false">IF(AND(R243="修改",S243=""),"請選新事件代碼",IF(AND(R243&lt;&gt;"修改",S243&lt;&gt;""),"只有「修改」才需填代碼",""))</f>
        <v/>
      </c>
      <c r="Y243" s="21"/>
      <c r="Z243" s="22"/>
      <c r="AA243" s="12" t="s">
        <v>935</v>
      </c>
      <c r="AB243" s="12"/>
    </row>
    <row r="244" customFormat="false" ht="29.85" hidden="false" customHeight="false" outlineLevel="0" collapsed="false">
      <c r="A244" s="15" t="n">
        <v>243</v>
      </c>
      <c r="B244" s="9" t="s">
        <v>55</v>
      </c>
      <c r="C244" s="9" t="s">
        <v>936</v>
      </c>
      <c r="D244" s="10" t="s">
        <v>937</v>
      </c>
      <c r="E244" s="11" t="s">
        <v>938</v>
      </c>
      <c r="F244" s="17"/>
      <c r="G244" s="12" t="s">
        <v>939</v>
      </c>
      <c r="H244" s="13" t="n">
        <v>-0.204</v>
      </c>
      <c r="I244" s="14"/>
      <c r="J244" s="17"/>
      <c r="K244" s="9"/>
      <c r="L244" s="15" t="s">
        <v>50</v>
      </c>
      <c r="M244" s="16" t="s">
        <v>51</v>
      </c>
      <c r="N244" s="14"/>
      <c r="O244" s="15" t="s">
        <v>52</v>
      </c>
      <c r="P244" s="17" t="s">
        <v>53</v>
      </c>
      <c r="Q244" s="15"/>
      <c r="R244" s="18" t="s">
        <v>51</v>
      </c>
      <c r="S244" s="19"/>
      <c r="T244" s="17" t="str">
        <f aca="false">IF(R244="維持",J244,IF(R244="排除","無關新聞事件",IFERROR(INDEX(事件規則!$B$2:$B$53,MATCH(S244,事件規則!$A$2:$A$53,0)),"")))</f>
        <v>無關新聞事件</v>
      </c>
      <c r="U244" s="20" t="n">
        <f aca="false">IF(R244="維持",K244,IF(R244="排除",0,IFERROR(INDEX(事件規則!$C$2:$C$53,MATCH(S244,事件規則!$A$2:$A$53,0)),"")))</f>
        <v>0</v>
      </c>
      <c r="V244" s="21"/>
      <c r="W244" s="22"/>
      <c r="X244" s="10" t="str">
        <f aca="false">IF(AND(R244="修改",S244=""),"請選新事件代碼",IF(AND(R244&lt;&gt;"修改",S244&lt;&gt;""),"只有「修改」才需填代碼",""))</f>
        <v/>
      </c>
      <c r="Y244" s="21"/>
      <c r="Z244" s="22"/>
      <c r="AA244" s="12" t="s">
        <v>940</v>
      </c>
      <c r="AB244" s="12"/>
    </row>
    <row r="245" customFormat="false" ht="29.85" hidden="false" customHeight="false" outlineLevel="0" collapsed="false">
      <c r="A245" s="15" t="n">
        <v>244</v>
      </c>
      <c r="B245" s="9" t="s">
        <v>112</v>
      </c>
      <c r="C245" s="9" t="s">
        <v>484</v>
      </c>
      <c r="D245" s="10" t="s">
        <v>485</v>
      </c>
      <c r="E245" s="11" t="s">
        <v>941</v>
      </c>
      <c r="F245" s="17"/>
      <c r="G245" s="12" t="s">
        <v>942</v>
      </c>
      <c r="H245" s="13" t="n">
        <v>-0.204</v>
      </c>
      <c r="I245" s="14"/>
      <c r="J245" s="17"/>
      <c r="K245" s="9"/>
      <c r="L245" s="15" t="s">
        <v>50</v>
      </c>
      <c r="M245" s="16" t="s">
        <v>51</v>
      </c>
      <c r="N245" s="14"/>
      <c r="O245" s="15" t="s">
        <v>52</v>
      </c>
      <c r="P245" s="17" t="s">
        <v>53</v>
      </c>
      <c r="Q245" s="15"/>
      <c r="R245" s="18" t="s">
        <v>51</v>
      </c>
      <c r="S245" s="19"/>
      <c r="T245" s="17" t="str">
        <f aca="false">IF(R245="維持",J245,IF(R245="排除","無關新聞事件",IFERROR(INDEX(事件規則!$B$2:$B$53,MATCH(S245,事件規則!$A$2:$A$53,0)),"")))</f>
        <v>無關新聞事件</v>
      </c>
      <c r="U245" s="20" t="n">
        <f aca="false">IF(R245="維持",K245,IF(R245="排除",0,IFERROR(INDEX(事件規則!$C$2:$C$53,MATCH(S245,事件規則!$A$2:$A$53,0)),"")))</f>
        <v>0</v>
      </c>
      <c r="V245" s="21"/>
      <c r="W245" s="22"/>
      <c r="X245" s="10" t="str">
        <f aca="false">IF(AND(R245="修改",S245=""),"請選新事件代碼",IF(AND(R245&lt;&gt;"修改",S245&lt;&gt;""),"只有「修改」才需填代碼",""))</f>
        <v/>
      </c>
      <c r="Y245" s="21"/>
      <c r="Z245" s="22"/>
      <c r="AA245" s="12" t="s">
        <v>943</v>
      </c>
      <c r="AB245" s="12"/>
    </row>
    <row r="246" customFormat="false" ht="29.85" hidden="false" customHeight="false" outlineLevel="0" collapsed="false">
      <c r="A246" s="15" t="n">
        <v>245</v>
      </c>
      <c r="B246" s="9" t="s">
        <v>112</v>
      </c>
      <c r="C246" s="9" t="s">
        <v>326</v>
      </c>
      <c r="D246" s="10" t="s">
        <v>326</v>
      </c>
      <c r="E246" s="11" t="s">
        <v>944</v>
      </c>
      <c r="F246" s="17"/>
      <c r="G246" s="12" t="s">
        <v>95</v>
      </c>
      <c r="H246" s="13" t="n">
        <v>-0.204</v>
      </c>
      <c r="I246" s="14"/>
      <c r="J246" s="17"/>
      <c r="K246" s="9"/>
      <c r="L246" s="15" t="s">
        <v>50</v>
      </c>
      <c r="M246" s="16" t="s">
        <v>51</v>
      </c>
      <c r="N246" s="14"/>
      <c r="O246" s="15" t="s">
        <v>52</v>
      </c>
      <c r="P246" s="17" t="s">
        <v>53</v>
      </c>
      <c r="Q246" s="15"/>
      <c r="R246" s="18" t="s">
        <v>51</v>
      </c>
      <c r="S246" s="19"/>
      <c r="T246" s="17" t="str">
        <f aca="false">IF(R246="維持",J246,IF(R246="排除","無關新聞事件",IFERROR(INDEX(事件規則!$B$2:$B$53,MATCH(S246,事件規則!$A$2:$A$53,0)),"")))</f>
        <v>無關新聞事件</v>
      </c>
      <c r="U246" s="20" t="n">
        <f aca="false">IF(R246="維持",K246,IF(R246="排除",0,IFERROR(INDEX(事件規則!$C$2:$C$53,MATCH(S246,事件規則!$A$2:$A$53,0)),"")))</f>
        <v>0</v>
      </c>
      <c r="V246" s="21"/>
      <c r="W246" s="22"/>
      <c r="X246" s="10" t="str">
        <f aca="false">IF(AND(R246="修改",S246=""),"請選新事件代碼",IF(AND(R246&lt;&gt;"修改",S246&lt;&gt;""),"只有「修改」才需填代碼",""))</f>
        <v/>
      </c>
      <c r="Y246" s="21"/>
      <c r="Z246" s="22"/>
      <c r="AA246" s="12" t="s">
        <v>945</v>
      </c>
      <c r="AB246" s="12"/>
    </row>
    <row r="247" customFormat="false" ht="29.85" hidden="false" customHeight="false" outlineLevel="0" collapsed="false">
      <c r="A247" s="15" t="n">
        <v>246</v>
      </c>
      <c r="B247" s="9" t="s">
        <v>45</v>
      </c>
      <c r="C247" s="9" t="s">
        <v>85</v>
      </c>
      <c r="D247" s="10" t="s">
        <v>86</v>
      </c>
      <c r="E247" s="11" t="s">
        <v>946</v>
      </c>
      <c r="F247" s="17"/>
      <c r="G247" s="12" t="s">
        <v>69</v>
      </c>
      <c r="H247" s="13" t="n">
        <v>-0.203</v>
      </c>
      <c r="I247" s="14"/>
      <c r="J247" s="17"/>
      <c r="K247" s="9"/>
      <c r="L247" s="15" t="s">
        <v>50</v>
      </c>
      <c r="M247" s="16" t="s">
        <v>51</v>
      </c>
      <c r="N247" s="14"/>
      <c r="O247" s="15" t="s">
        <v>52</v>
      </c>
      <c r="P247" s="17" t="s">
        <v>53</v>
      </c>
      <c r="Q247" s="15"/>
      <c r="R247" s="18" t="s">
        <v>51</v>
      </c>
      <c r="S247" s="19"/>
      <c r="T247" s="17" t="str">
        <f aca="false">IF(R247="維持",J247,IF(R247="排除","無關新聞事件",IFERROR(INDEX(事件規則!$B$2:$B$53,MATCH(S247,事件規則!$A$2:$A$53,0)),"")))</f>
        <v>無關新聞事件</v>
      </c>
      <c r="U247" s="20" t="n">
        <f aca="false">IF(R247="維持",K247,IF(R247="排除",0,IFERROR(INDEX(事件規則!$C$2:$C$53,MATCH(S247,事件規則!$A$2:$A$53,0)),"")))</f>
        <v>0</v>
      </c>
      <c r="V247" s="21"/>
      <c r="W247" s="22"/>
      <c r="X247" s="10" t="str">
        <f aca="false">IF(AND(R247="修改",S247=""),"請選新事件代碼",IF(AND(R247&lt;&gt;"修改",S247&lt;&gt;""),"只有「修改」才需填代碼",""))</f>
        <v/>
      </c>
      <c r="Y247" s="21"/>
      <c r="Z247" s="22"/>
      <c r="AA247" s="12" t="s">
        <v>947</v>
      </c>
      <c r="AB247" s="12"/>
    </row>
    <row r="248" customFormat="false" ht="29.85" hidden="false" customHeight="false" outlineLevel="0" collapsed="false">
      <c r="A248" s="15" t="n">
        <v>247</v>
      </c>
      <c r="B248" s="9" t="s">
        <v>112</v>
      </c>
      <c r="C248" s="9" t="s">
        <v>71</v>
      </c>
      <c r="D248" s="10" t="s">
        <v>72</v>
      </c>
      <c r="E248" s="11" t="s">
        <v>948</v>
      </c>
      <c r="F248" s="17"/>
      <c r="G248" s="12" t="s">
        <v>949</v>
      </c>
      <c r="H248" s="13" t="n">
        <v>-0.203</v>
      </c>
      <c r="I248" s="14"/>
      <c r="J248" s="17"/>
      <c r="K248" s="9"/>
      <c r="L248" s="15" t="s">
        <v>50</v>
      </c>
      <c r="M248" s="16" t="s">
        <v>51</v>
      </c>
      <c r="N248" s="14"/>
      <c r="O248" s="15" t="s">
        <v>52</v>
      </c>
      <c r="P248" s="17" t="s">
        <v>53</v>
      </c>
      <c r="Q248" s="15"/>
      <c r="R248" s="18" t="s">
        <v>51</v>
      </c>
      <c r="S248" s="19"/>
      <c r="T248" s="17" t="str">
        <f aca="false">IF(R248="維持",J248,IF(R248="排除","無關新聞事件",IFERROR(INDEX(事件規則!$B$2:$B$53,MATCH(S248,事件規則!$A$2:$A$53,0)),"")))</f>
        <v>無關新聞事件</v>
      </c>
      <c r="U248" s="20" t="n">
        <f aca="false">IF(R248="維持",K248,IF(R248="排除",0,IFERROR(INDEX(事件規則!$C$2:$C$53,MATCH(S248,事件規則!$A$2:$A$53,0)),"")))</f>
        <v>0</v>
      </c>
      <c r="V248" s="21"/>
      <c r="W248" s="22"/>
      <c r="X248" s="10" t="str">
        <f aca="false">IF(AND(R248="修改",S248=""),"請選新事件代碼",IF(AND(R248&lt;&gt;"修改",S248&lt;&gt;""),"只有「修改」才需填代碼",""))</f>
        <v/>
      </c>
      <c r="Y248" s="21"/>
      <c r="Z248" s="22"/>
      <c r="AA248" s="12" t="s">
        <v>950</v>
      </c>
      <c r="AB248" s="12"/>
    </row>
    <row r="249" customFormat="false" ht="29.85" hidden="false" customHeight="false" outlineLevel="0" collapsed="false">
      <c r="A249" s="15" t="n">
        <v>248</v>
      </c>
      <c r="B249" s="9" t="s">
        <v>112</v>
      </c>
      <c r="C249" s="9" t="s">
        <v>113</v>
      </c>
      <c r="D249" s="10" t="s">
        <v>114</v>
      </c>
      <c r="E249" s="11" t="s">
        <v>951</v>
      </c>
      <c r="F249" s="17"/>
      <c r="G249" s="12" t="s">
        <v>176</v>
      </c>
      <c r="H249" s="13" t="n">
        <v>-0.202</v>
      </c>
      <c r="I249" s="14"/>
      <c r="J249" s="17"/>
      <c r="K249" s="9"/>
      <c r="L249" s="15" t="s">
        <v>50</v>
      </c>
      <c r="M249" s="16" t="s">
        <v>51</v>
      </c>
      <c r="N249" s="14"/>
      <c r="O249" s="15" t="s">
        <v>52</v>
      </c>
      <c r="P249" s="17" t="s">
        <v>53</v>
      </c>
      <c r="Q249" s="15"/>
      <c r="R249" s="18" t="s">
        <v>51</v>
      </c>
      <c r="S249" s="19"/>
      <c r="T249" s="17" t="str">
        <f aca="false">IF(R249="維持",J249,IF(R249="排除","無關新聞事件",IFERROR(INDEX(事件規則!$B$2:$B$53,MATCH(S249,事件規則!$A$2:$A$53,0)),"")))</f>
        <v>無關新聞事件</v>
      </c>
      <c r="U249" s="20" t="n">
        <f aca="false">IF(R249="維持",K249,IF(R249="排除",0,IFERROR(INDEX(事件規則!$C$2:$C$53,MATCH(S249,事件規則!$A$2:$A$53,0)),"")))</f>
        <v>0</v>
      </c>
      <c r="V249" s="21"/>
      <c r="W249" s="22"/>
      <c r="X249" s="10" t="str">
        <f aca="false">IF(AND(R249="修改",S249=""),"請選新事件代碼",IF(AND(R249&lt;&gt;"修改",S249&lt;&gt;""),"只有「修改」才需填代碼",""))</f>
        <v/>
      </c>
      <c r="Y249" s="21"/>
      <c r="Z249" s="22"/>
      <c r="AA249" s="12" t="s">
        <v>952</v>
      </c>
      <c r="AB249" s="12"/>
    </row>
    <row r="250" customFormat="false" ht="29.85" hidden="false" customHeight="false" outlineLevel="0" collapsed="false">
      <c r="A250" s="15" t="n">
        <v>249</v>
      </c>
      <c r="B250" s="9" t="s">
        <v>112</v>
      </c>
      <c r="C250" s="9" t="s">
        <v>953</v>
      </c>
      <c r="D250" s="10" t="s">
        <v>954</v>
      </c>
      <c r="E250" s="11" t="s">
        <v>955</v>
      </c>
      <c r="F250" s="17"/>
      <c r="G250" s="12" t="s">
        <v>443</v>
      </c>
      <c r="H250" s="13" t="n">
        <v>-0.201</v>
      </c>
      <c r="I250" s="14"/>
      <c r="J250" s="17"/>
      <c r="K250" s="9"/>
      <c r="L250" s="15" t="s">
        <v>50</v>
      </c>
      <c r="M250" s="16" t="s">
        <v>51</v>
      </c>
      <c r="N250" s="14"/>
      <c r="O250" s="15" t="s">
        <v>52</v>
      </c>
      <c r="P250" s="17" t="s">
        <v>53</v>
      </c>
      <c r="Q250" s="15"/>
      <c r="R250" s="18" t="s">
        <v>51</v>
      </c>
      <c r="S250" s="19"/>
      <c r="T250" s="17" t="str">
        <f aca="false">IF(R250="維持",J250,IF(R250="排除","無關新聞事件",IFERROR(INDEX(事件規則!$B$2:$B$53,MATCH(S250,事件規則!$A$2:$A$53,0)),"")))</f>
        <v>無關新聞事件</v>
      </c>
      <c r="U250" s="20" t="n">
        <f aca="false">IF(R250="維持",K250,IF(R250="排除",0,IFERROR(INDEX(事件規則!$C$2:$C$53,MATCH(S250,事件規則!$A$2:$A$53,0)),"")))</f>
        <v>0</v>
      </c>
      <c r="V250" s="21"/>
      <c r="W250" s="22"/>
      <c r="X250" s="10" t="str">
        <f aca="false">IF(AND(R250="修改",S250=""),"請選新事件代碼",IF(AND(R250&lt;&gt;"修改",S250&lt;&gt;""),"只有「修改」才需填代碼",""))</f>
        <v/>
      </c>
      <c r="Y250" s="21"/>
      <c r="Z250" s="22"/>
      <c r="AA250" s="12" t="s">
        <v>956</v>
      </c>
      <c r="AB250" s="12"/>
    </row>
    <row r="251" customFormat="false" ht="29.85" hidden="false" customHeight="false" outlineLevel="0" collapsed="false">
      <c r="A251" s="15" t="n">
        <v>250</v>
      </c>
      <c r="B251" s="9" t="s">
        <v>55</v>
      </c>
      <c r="C251" s="9" t="s">
        <v>957</v>
      </c>
      <c r="D251" s="10" t="s">
        <v>958</v>
      </c>
      <c r="E251" s="11" t="s">
        <v>959</v>
      </c>
      <c r="F251" s="17"/>
      <c r="G251" s="12" t="s">
        <v>960</v>
      </c>
      <c r="H251" s="13" t="n">
        <v>-0.2</v>
      </c>
      <c r="I251" s="14"/>
      <c r="J251" s="17"/>
      <c r="K251" s="9"/>
      <c r="L251" s="15" t="s">
        <v>50</v>
      </c>
      <c r="M251" s="16" t="s">
        <v>51</v>
      </c>
      <c r="N251" s="14"/>
      <c r="O251" s="15" t="s">
        <v>52</v>
      </c>
      <c r="P251" s="17" t="s">
        <v>53</v>
      </c>
      <c r="Q251" s="15"/>
      <c r="R251" s="18" t="s">
        <v>51</v>
      </c>
      <c r="S251" s="19"/>
      <c r="T251" s="17" t="str">
        <f aca="false">IF(R251="維持",J251,IF(R251="排除","無關新聞事件",IFERROR(INDEX(事件規則!$B$2:$B$53,MATCH(S251,事件規則!$A$2:$A$53,0)),"")))</f>
        <v>無關新聞事件</v>
      </c>
      <c r="U251" s="20" t="n">
        <f aca="false">IF(R251="維持",K251,IF(R251="排除",0,IFERROR(INDEX(事件規則!$C$2:$C$53,MATCH(S251,事件規則!$A$2:$A$53,0)),"")))</f>
        <v>0</v>
      </c>
      <c r="V251" s="21"/>
      <c r="W251" s="22"/>
      <c r="X251" s="10" t="str">
        <f aca="false">IF(AND(R251="修改",S251=""),"請選新事件代碼",IF(AND(R251&lt;&gt;"修改",S251&lt;&gt;""),"只有「修改」才需填代碼",""))</f>
        <v/>
      </c>
      <c r="Y251" s="21"/>
      <c r="Z251" s="22"/>
      <c r="AA251" s="12" t="s">
        <v>961</v>
      </c>
      <c r="AB251" s="12"/>
    </row>
    <row r="252" customFormat="false" ht="29.85" hidden="false" customHeight="false" outlineLevel="0" collapsed="false">
      <c r="A252" s="15" t="n">
        <v>251</v>
      </c>
      <c r="B252" s="9" t="s">
        <v>55</v>
      </c>
      <c r="C252" s="9" t="s">
        <v>284</v>
      </c>
      <c r="D252" s="10" t="s">
        <v>285</v>
      </c>
      <c r="E252" s="11" t="s">
        <v>962</v>
      </c>
      <c r="F252" s="17"/>
      <c r="G252" s="12" t="s">
        <v>287</v>
      </c>
      <c r="H252" s="13" t="n">
        <v>-0.2</v>
      </c>
      <c r="I252" s="14"/>
      <c r="J252" s="17"/>
      <c r="K252" s="9"/>
      <c r="L252" s="15" t="s">
        <v>50</v>
      </c>
      <c r="M252" s="16" t="s">
        <v>51</v>
      </c>
      <c r="N252" s="14"/>
      <c r="O252" s="15" t="s">
        <v>52</v>
      </c>
      <c r="P252" s="17" t="s">
        <v>53</v>
      </c>
      <c r="Q252" s="15"/>
      <c r="R252" s="18" t="s">
        <v>51</v>
      </c>
      <c r="S252" s="19"/>
      <c r="T252" s="17" t="str">
        <f aca="false">IF(R252="維持",J252,IF(R252="排除","無關新聞事件",IFERROR(INDEX(事件規則!$B$2:$B$53,MATCH(S252,事件規則!$A$2:$A$53,0)),"")))</f>
        <v>無關新聞事件</v>
      </c>
      <c r="U252" s="20" t="n">
        <f aca="false">IF(R252="維持",K252,IF(R252="排除",0,IFERROR(INDEX(事件規則!$C$2:$C$53,MATCH(S252,事件規則!$A$2:$A$53,0)),"")))</f>
        <v>0</v>
      </c>
      <c r="V252" s="21"/>
      <c r="W252" s="22"/>
      <c r="X252" s="10" t="str">
        <f aca="false">IF(AND(R252="修改",S252=""),"請選新事件代碼",IF(AND(R252&lt;&gt;"修改",S252&lt;&gt;""),"只有「修改」才需填代碼",""))</f>
        <v/>
      </c>
      <c r="Y252" s="21"/>
      <c r="Z252" s="22"/>
      <c r="AA252" s="12" t="s">
        <v>963</v>
      </c>
      <c r="AB252" s="12"/>
    </row>
    <row r="253" customFormat="false" ht="29.85" hidden="false" customHeight="false" outlineLevel="0" collapsed="false">
      <c r="A253" s="15" t="n">
        <v>252</v>
      </c>
      <c r="B253" s="9" t="s">
        <v>112</v>
      </c>
      <c r="C253" s="9" t="s">
        <v>964</v>
      </c>
      <c r="D253" s="10" t="s">
        <v>965</v>
      </c>
      <c r="E253" s="23" t="s">
        <v>966</v>
      </c>
      <c r="F253" s="17" t="s">
        <v>967</v>
      </c>
      <c r="G253" s="12" t="s">
        <v>176</v>
      </c>
      <c r="H253" s="13" t="n">
        <v>-0.197</v>
      </c>
      <c r="I253" s="14"/>
      <c r="J253" s="17"/>
      <c r="K253" s="9"/>
      <c r="L253" s="15" t="s">
        <v>50</v>
      </c>
      <c r="M253" s="16" t="s">
        <v>51</v>
      </c>
      <c r="N253" s="14"/>
      <c r="O253" s="15" t="s">
        <v>52</v>
      </c>
      <c r="P253" s="17" t="s">
        <v>53</v>
      </c>
      <c r="Q253" s="15"/>
      <c r="R253" s="18" t="s">
        <v>51</v>
      </c>
      <c r="S253" s="19"/>
      <c r="T253" s="17" t="str">
        <f aca="false">IF(R253="維持",J253,IF(R253="排除","無關新聞事件",IFERROR(INDEX(事件規則!$B$2:$B$53,MATCH(S253,事件規則!$A$2:$A$53,0)),"")))</f>
        <v>無關新聞事件</v>
      </c>
      <c r="U253" s="20" t="n">
        <f aca="false">IF(R253="維持",K253,IF(R253="排除",0,IFERROR(INDEX(事件規則!$C$2:$C$53,MATCH(S253,事件規則!$A$2:$A$53,0)),"")))</f>
        <v>0</v>
      </c>
      <c r="V253" s="21"/>
      <c r="W253" s="22"/>
      <c r="X253" s="10" t="str">
        <f aca="false">IF(AND(R253="修改",S253=""),"請選新事件代碼",IF(AND(R253&lt;&gt;"修改",S253&lt;&gt;""),"只有「修改」才需填代碼",""))</f>
        <v/>
      </c>
      <c r="Y253" s="21"/>
      <c r="Z253" s="22"/>
      <c r="AA253" s="12" t="s">
        <v>968</v>
      </c>
      <c r="AB253" s="12"/>
    </row>
    <row r="254" customFormat="false" ht="29.85" hidden="false" customHeight="false" outlineLevel="0" collapsed="false">
      <c r="A254" s="15" t="n">
        <v>253</v>
      </c>
      <c r="B254" s="9" t="s">
        <v>45</v>
      </c>
      <c r="C254" s="9" t="s">
        <v>969</v>
      </c>
      <c r="D254" s="10" t="s">
        <v>970</v>
      </c>
      <c r="E254" s="11" t="s">
        <v>971</v>
      </c>
      <c r="F254" s="17"/>
      <c r="G254" s="12" t="s">
        <v>69</v>
      </c>
      <c r="H254" s="13" t="n">
        <v>-0.194</v>
      </c>
      <c r="I254" s="14"/>
      <c r="J254" s="17"/>
      <c r="K254" s="9"/>
      <c r="L254" s="15" t="s">
        <v>50</v>
      </c>
      <c r="M254" s="16" t="s">
        <v>51</v>
      </c>
      <c r="N254" s="14"/>
      <c r="O254" s="15" t="s">
        <v>52</v>
      </c>
      <c r="P254" s="17" t="s">
        <v>53</v>
      </c>
      <c r="Q254" s="15"/>
      <c r="R254" s="18" t="s">
        <v>51</v>
      </c>
      <c r="S254" s="19"/>
      <c r="T254" s="17" t="str">
        <f aca="false">IF(R254="維持",J254,IF(R254="排除","無關新聞事件",IFERROR(INDEX(事件規則!$B$2:$B$53,MATCH(S254,事件規則!$A$2:$A$53,0)),"")))</f>
        <v>無關新聞事件</v>
      </c>
      <c r="U254" s="20" t="n">
        <f aca="false">IF(R254="維持",K254,IF(R254="排除",0,IFERROR(INDEX(事件規則!$C$2:$C$53,MATCH(S254,事件規則!$A$2:$A$53,0)),"")))</f>
        <v>0</v>
      </c>
      <c r="V254" s="21"/>
      <c r="W254" s="22"/>
      <c r="X254" s="10" t="str">
        <f aca="false">IF(AND(R254="修改",S254=""),"請選新事件代碼",IF(AND(R254&lt;&gt;"修改",S254&lt;&gt;""),"只有「修改」才需填代碼",""))</f>
        <v/>
      </c>
      <c r="Y254" s="21"/>
      <c r="Z254" s="22"/>
      <c r="AA254" s="12" t="s">
        <v>972</v>
      </c>
      <c r="AB254" s="12"/>
    </row>
    <row r="255" customFormat="false" ht="29.85" hidden="false" customHeight="false" outlineLevel="0" collapsed="false">
      <c r="A255" s="15" t="n">
        <v>254</v>
      </c>
      <c r="B255" s="9" t="s">
        <v>45</v>
      </c>
      <c r="C255" s="9" t="s">
        <v>973</v>
      </c>
      <c r="D255" s="10" t="s">
        <v>974</v>
      </c>
      <c r="E255" s="11" t="s">
        <v>975</v>
      </c>
      <c r="F255" s="17"/>
      <c r="G255" s="12" t="s">
        <v>169</v>
      </c>
      <c r="H255" s="13" t="n">
        <v>-0.193</v>
      </c>
      <c r="I255" s="14"/>
      <c r="J255" s="17"/>
      <c r="K255" s="9"/>
      <c r="L255" s="15" t="s">
        <v>50</v>
      </c>
      <c r="M255" s="16" t="s">
        <v>51</v>
      </c>
      <c r="N255" s="14"/>
      <c r="O255" s="15" t="s">
        <v>52</v>
      </c>
      <c r="P255" s="17" t="s">
        <v>53</v>
      </c>
      <c r="Q255" s="15"/>
      <c r="R255" s="18" t="s">
        <v>51</v>
      </c>
      <c r="S255" s="19"/>
      <c r="T255" s="17" t="str">
        <f aca="false">IF(R255="維持",J255,IF(R255="排除","無關新聞事件",IFERROR(INDEX(事件規則!$B$2:$B$53,MATCH(S255,事件規則!$A$2:$A$53,0)),"")))</f>
        <v>無關新聞事件</v>
      </c>
      <c r="U255" s="20" t="n">
        <f aca="false">IF(R255="維持",K255,IF(R255="排除",0,IFERROR(INDEX(事件規則!$C$2:$C$53,MATCH(S255,事件規則!$A$2:$A$53,0)),"")))</f>
        <v>0</v>
      </c>
      <c r="V255" s="21"/>
      <c r="W255" s="22"/>
      <c r="X255" s="10" t="str">
        <f aca="false">IF(AND(R255="修改",S255=""),"請選新事件代碼",IF(AND(R255&lt;&gt;"修改",S255&lt;&gt;""),"只有「修改」才需填代碼",""))</f>
        <v/>
      </c>
      <c r="Y255" s="21"/>
      <c r="Z255" s="22"/>
      <c r="AA255" s="12" t="s">
        <v>976</v>
      </c>
      <c r="AB255" s="12"/>
    </row>
    <row r="256" customFormat="false" ht="29.85" hidden="false" customHeight="false" outlineLevel="0" collapsed="false">
      <c r="A256" s="15" t="n">
        <v>255</v>
      </c>
      <c r="B256" s="9" t="s">
        <v>55</v>
      </c>
      <c r="C256" s="9" t="s">
        <v>977</v>
      </c>
      <c r="D256" s="10" t="s">
        <v>978</v>
      </c>
      <c r="E256" s="11" t="s">
        <v>979</v>
      </c>
      <c r="F256" s="17"/>
      <c r="G256" s="12" t="s">
        <v>59</v>
      </c>
      <c r="H256" s="13" t="n">
        <v>-0.193</v>
      </c>
      <c r="I256" s="14"/>
      <c r="J256" s="17"/>
      <c r="K256" s="9"/>
      <c r="L256" s="15" t="s">
        <v>50</v>
      </c>
      <c r="M256" s="16" t="s">
        <v>51</v>
      </c>
      <c r="N256" s="14"/>
      <c r="O256" s="15" t="s">
        <v>52</v>
      </c>
      <c r="P256" s="17" t="s">
        <v>53</v>
      </c>
      <c r="Q256" s="15"/>
      <c r="R256" s="18" t="s">
        <v>51</v>
      </c>
      <c r="S256" s="19"/>
      <c r="T256" s="17" t="str">
        <f aca="false">IF(R256="維持",J256,IF(R256="排除","無關新聞事件",IFERROR(INDEX(事件規則!$B$2:$B$53,MATCH(S256,事件規則!$A$2:$A$53,0)),"")))</f>
        <v>無關新聞事件</v>
      </c>
      <c r="U256" s="20" t="n">
        <f aca="false">IF(R256="維持",K256,IF(R256="排除",0,IFERROR(INDEX(事件規則!$C$2:$C$53,MATCH(S256,事件規則!$A$2:$A$53,0)),"")))</f>
        <v>0</v>
      </c>
      <c r="V256" s="21"/>
      <c r="W256" s="22"/>
      <c r="X256" s="10" t="str">
        <f aca="false">IF(AND(R256="修改",S256=""),"請選新事件代碼",IF(AND(R256&lt;&gt;"修改",S256&lt;&gt;""),"只有「修改」才需填代碼",""))</f>
        <v/>
      </c>
      <c r="Y256" s="21"/>
      <c r="Z256" s="22"/>
      <c r="AA256" s="12" t="s">
        <v>980</v>
      </c>
      <c r="AB256" s="12"/>
    </row>
    <row r="257" customFormat="false" ht="29.85" hidden="false" customHeight="false" outlineLevel="0" collapsed="false">
      <c r="A257" s="15" t="n">
        <v>256</v>
      </c>
      <c r="B257" s="9" t="s">
        <v>112</v>
      </c>
      <c r="C257" s="9" t="s">
        <v>981</v>
      </c>
      <c r="D257" s="10" t="s">
        <v>982</v>
      </c>
      <c r="E257" s="11" t="s">
        <v>983</v>
      </c>
      <c r="F257" s="17"/>
      <c r="G257" s="12" t="s">
        <v>176</v>
      </c>
      <c r="H257" s="13" t="n">
        <v>-0.192</v>
      </c>
      <c r="I257" s="14"/>
      <c r="J257" s="17"/>
      <c r="K257" s="9"/>
      <c r="L257" s="15" t="s">
        <v>50</v>
      </c>
      <c r="M257" s="16" t="s">
        <v>51</v>
      </c>
      <c r="N257" s="14"/>
      <c r="O257" s="15" t="s">
        <v>52</v>
      </c>
      <c r="P257" s="17" t="s">
        <v>53</v>
      </c>
      <c r="Q257" s="15"/>
      <c r="R257" s="18" t="s">
        <v>51</v>
      </c>
      <c r="S257" s="19"/>
      <c r="T257" s="17" t="str">
        <f aca="false">IF(R257="維持",J257,IF(R257="排除","無關新聞事件",IFERROR(INDEX(事件規則!$B$2:$B$53,MATCH(S257,事件規則!$A$2:$A$53,0)),"")))</f>
        <v>無關新聞事件</v>
      </c>
      <c r="U257" s="20" t="n">
        <f aca="false">IF(R257="維持",K257,IF(R257="排除",0,IFERROR(INDEX(事件規則!$C$2:$C$53,MATCH(S257,事件規則!$A$2:$A$53,0)),"")))</f>
        <v>0</v>
      </c>
      <c r="V257" s="21"/>
      <c r="W257" s="22"/>
      <c r="X257" s="10" t="str">
        <f aca="false">IF(AND(R257="修改",S257=""),"請選新事件代碼",IF(AND(R257&lt;&gt;"修改",S257&lt;&gt;""),"只有「修改」才需填代碼",""))</f>
        <v/>
      </c>
      <c r="Y257" s="21"/>
      <c r="Z257" s="22"/>
      <c r="AA257" s="12" t="s">
        <v>984</v>
      </c>
      <c r="AB257" s="12"/>
    </row>
    <row r="258" customFormat="false" ht="29.85" hidden="false" customHeight="false" outlineLevel="0" collapsed="false">
      <c r="A258" s="15" t="n">
        <v>257</v>
      </c>
      <c r="B258" s="9" t="s">
        <v>55</v>
      </c>
      <c r="C258" s="9" t="s">
        <v>535</v>
      </c>
      <c r="D258" s="10" t="s">
        <v>536</v>
      </c>
      <c r="E258" s="11" t="s">
        <v>985</v>
      </c>
      <c r="F258" s="17"/>
      <c r="G258" s="12" t="s">
        <v>49</v>
      </c>
      <c r="H258" s="13" t="n">
        <v>-0.191</v>
      </c>
      <c r="I258" s="14"/>
      <c r="J258" s="17"/>
      <c r="K258" s="9"/>
      <c r="L258" s="15" t="s">
        <v>50</v>
      </c>
      <c r="M258" s="16" t="s">
        <v>51</v>
      </c>
      <c r="N258" s="14"/>
      <c r="O258" s="15" t="s">
        <v>52</v>
      </c>
      <c r="P258" s="17" t="s">
        <v>53</v>
      </c>
      <c r="Q258" s="15"/>
      <c r="R258" s="18" t="s">
        <v>51</v>
      </c>
      <c r="S258" s="19"/>
      <c r="T258" s="17" t="str">
        <f aca="false">IF(R258="維持",J258,IF(R258="排除","無關新聞事件",IFERROR(INDEX(事件規則!$B$2:$B$53,MATCH(S258,事件規則!$A$2:$A$53,0)),"")))</f>
        <v>無關新聞事件</v>
      </c>
      <c r="U258" s="20" t="n">
        <f aca="false">IF(R258="維持",K258,IF(R258="排除",0,IFERROR(INDEX(事件規則!$C$2:$C$53,MATCH(S258,事件規則!$A$2:$A$53,0)),"")))</f>
        <v>0</v>
      </c>
      <c r="V258" s="21"/>
      <c r="W258" s="22"/>
      <c r="X258" s="10" t="str">
        <f aca="false">IF(AND(R258="修改",S258=""),"請選新事件代碼",IF(AND(R258&lt;&gt;"修改",S258&lt;&gt;""),"只有「修改」才需填代碼",""))</f>
        <v/>
      </c>
      <c r="Y258" s="21"/>
      <c r="Z258" s="22"/>
      <c r="AA258" s="12" t="s">
        <v>986</v>
      </c>
      <c r="AB258" s="12"/>
    </row>
    <row r="259" customFormat="false" ht="29.85" hidden="false" customHeight="false" outlineLevel="0" collapsed="false">
      <c r="A259" s="15" t="n">
        <v>258</v>
      </c>
      <c r="B259" s="9" t="s">
        <v>45</v>
      </c>
      <c r="C259" s="9" t="s">
        <v>987</v>
      </c>
      <c r="D259" s="10" t="s">
        <v>988</v>
      </c>
      <c r="E259" s="11" t="s">
        <v>989</v>
      </c>
      <c r="F259" s="17"/>
      <c r="G259" s="12" t="s">
        <v>49</v>
      </c>
      <c r="H259" s="13" t="n">
        <v>-0.191</v>
      </c>
      <c r="I259" s="14"/>
      <c r="J259" s="17"/>
      <c r="K259" s="9"/>
      <c r="L259" s="15" t="s">
        <v>50</v>
      </c>
      <c r="M259" s="16" t="s">
        <v>51</v>
      </c>
      <c r="N259" s="14"/>
      <c r="O259" s="15" t="s">
        <v>52</v>
      </c>
      <c r="P259" s="17" t="s">
        <v>53</v>
      </c>
      <c r="Q259" s="15"/>
      <c r="R259" s="18" t="s">
        <v>51</v>
      </c>
      <c r="S259" s="19"/>
      <c r="T259" s="17" t="str">
        <f aca="false">IF(R259="維持",J259,IF(R259="排除","無關新聞事件",IFERROR(INDEX(事件規則!$B$2:$B$53,MATCH(S259,事件規則!$A$2:$A$53,0)),"")))</f>
        <v>無關新聞事件</v>
      </c>
      <c r="U259" s="20" t="n">
        <f aca="false">IF(R259="維持",K259,IF(R259="排除",0,IFERROR(INDEX(事件規則!$C$2:$C$53,MATCH(S259,事件規則!$A$2:$A$53,0)),"")))</f>
        <v>0</v>
      </c>
      <c r="V259" s="21"/>
      <c r="W259" s="22"/>
      <c r="X259" s="10" t="str">
        <f aca="false">IF(AND(R259="修改",S259=""),"請選新事件代碼",IF(AND(R259&lt;&gt;"修改",S259&lt;&gt;""),"只有「修改」才需填代碼",""))</f>
        <v/>
      </c>
      <c r="Y259" s="21"/>
      <c r="Z259" s="22"/>
      <c r="AA259" s="12" t="s">
        <v>990</v>
      </c>
      <c r="AB259" s="12"/>
    </row>
    <row r="260" customFormat="false" ht="29.85" hidden="false" customHeight="false" outlineLevel="0" collapsed="false">
      <c r="A260" s="15" t="n">
        <v>259</v>
      </c>
      <c r="B260" s="9" t="s">
        <v>45</v>
      </c>
      <c r="C260" s="9" t="s">
        <v>71</v>
      </c>
      <c r="D260" s="10" t="s">
        <v>72</v>
      </c>
      <c r="E260" s="11" t="s">
        <v>991</v>
      </c>
      <c r="F260" s="17"/>
      <c r="G260" s="12" t="s">
        <v>992</v>
      </c>
      <c r="H260" s="13" t="n">
        <v>-0.19</v>
      </c>
      <c r="I260" s="14"/>
      <c r="J260" s="17"/>
      <c r="K260" s="9"/>
      <c r="L260" s="15" t="s">
        <v>50</v>
      </c>
      <c r="M260" s="16" t="s">
        <v>51</v>
      </c>
      <c r="N260" s="14"/>
      <c r="O260" s="15" t="s">
        <v>52</v>
      </c>
      <c r="P260" s="17" t="s">
        <v>53</v>
      </c>
      <c r="Q260" s="15"/>
      <c r="R260" s="18" t="s">
        <v>51</v>
      </c>
      <c r="S260" s="19"/>
      <c r="T260" s="17" t="str">
        <f aca="false">IF(R260="維持",J260,IF(R260="排除","無關新聞事件",IFERROR(INDEX(事件規則!$B$2:$B$53,MATCH(S260,事件規則!$A$2:$A$53,0)),"")))</f>
        <v>無關新聞事件</v>
      </c>
      <c r="U260" s="20" t="n">
        <f aca="false">IF(R260="維持",K260,IF(R260="排除",0,IFERROR(INDEX(事件規則!$C$2:$C$53,MATCH(S260,事件規則!$A$2:$A$53,0)),"")))</f>
        <v>0</v>
      </c>
      <c r="V260" s="21"/>
      <c r="W260" s="22"/>
      <c r="X260" s="10" t="str">
        <f aca="false">IF(AND(R260="修改",S260=""),"請選新事件代碼",IF(AND(R260&lt;&gt;"修改",S260&lt;&gt;""),"只有「修改」才需填代碼",""))</f>
        <v/>
      </c>
      <c r="Y260" s="21"/>
      <c r="Z260" s="22"/>
      <c r="AA260" s="12" t="s">
        <v>993</v>
      </c>
      <c r="AB260" s="12"/>
    </row>
    <row r="261" customFormat="false" ht="29.85" hidden="false" customHeight="false" outlineLevel="0" collapsed="false">
      <c r="A261" s="15" t="n">
        <v>260</v>
      </c>
      <c r="B261" s="9" t="s">
        <v>55</v>
      </c>
      <c r="C261" s="9" t="s">
        <v>639</v>
      </c>
      <c r="D261" s="10" t="s">
        <v>640</v>
      </c>
      <c r="E261" s="11" t="s">
        <v>994</v>
      </c>
      <c r="F261" s="17"/>
      <c r="G261" s="12" t="s">
        <v>995</v>
      </c>
      <c r="H261" s="13" t="n">
        <v>-0.189</v>
      </c>
      <c r="I261" s="14"/>
      <c r="J261" s="17"/>
      <c r="K261" s="9"/>
      <c r="L261" s="15" t="s">
        <v>50</v>
      </c>
      <c r="M261" s="16" t="s">
        <v>51</v>
      </c>
      <c r="N261" s="14"/>
      <c r="O261" s="15" t="s">
        <v>52</v>
      </c>
      <c r="P261" s="17" t="s">
        <v>53</v>
      </c>
      <c r="Q261" s="15"/>
      <c r="R261" s="18" t="s">
        <v>51</v>
      </c>
      <c r="S261" s="19"/>
      <c r="T261" s="17" t="str">
        <f aca="false">IF(R261="維持",J261,IF(R261="排除","無關新聞事件",IFERROR(INDEX(事件規則!$B$2:$B$53,MATCH(S261,事件規則!$A$2:$A$53,0)),"")))</f>
        <v>無關新聞事件</v>
      </c>
      <c r="U261" s="20" t="n">
        <f aca="false">IF(R261="維持",K261,IF(R261="排除",0,IFERROR(INDEX(事件規則!$C$2:$C$53,MATCH(S261,事件規則!$A$2:$A$53,0)),"")))</f>
        <v>0</v>
      </c>
      <c r="V261" s="21"/>
      <c r="W261" s="22"/>
      <c r="X261" s="10" t="str">
        <f aca="false">IF(AND(R261="修改",S261=""),"請選新事件代碼",IF(AND(R261&lt;&gt;"修改",S261&lt;&gt;""),"只有「修改」才需填代碼",""))</f>
        <v/>
      </c>
      <c r="Y261" s="21"/>
      <c r="Z261" s="22"/>
      <c r="AA261" s="12" t="s">
        <v>996</v>
      </c>
      <c r="AB261" s="12"/>
    </row>
    <row r="262" customFormat="false" ht="29.85" hidden="false" customHeight="false" outlineLevel="0" collapsed="false">
      <c r="A262" s="15" t="n">
        <v>261</v>
      </c>
      <c r="B262" s="9" t="s">
        <v>112</v>
      </c>
      <c r="C262" s="9" t="s">
        <v>997</v>
      </c>
      <c r="D262" s="10" t="s">
        <v>998</v>
      </c>
      <c r="E262" s="11" t="s">
        <v>999</v>
      </c>
      <c r="F262" s="17"/>
      <c r="G262" s="12" t="s">
        <v>706</v>
      </c>
      <c r="H262" s="13" t="n">
        <v>-0.189</v>
      </c>
      <c r="I262" s="14"/>
      <c r="J262" s="17"/>
      <c r="K262" s="9"/>
      <c r="L262" s="15" t="s">
        <v>50</v>
      </c>
      <c r="M262" s="16" t="s">
        <v>51</v>
      </c>
      <c r="N262" s="14"/>
      <c r="O262" s="15" t="s">
        <v>52</v>
      </c>
      <c r="P262" s="17" t="s">
        <v>53</v>
      </c>
      <c r="Q262" s="15"/>
      <c r="R262" s="18" t="s">
        <v>51</v>
      </c>
      <c r="S262" s="19"/>
      <c r="T262" s="17" t="str">
        <f aca="false">IF(R262="維持",J262,IF(R262="排除","無關新聞事件",IFERROR(INDEX(事件規則!$B$2:$B$53,MATCH(S262,事件規則!$A$2:$A$53,0)),"")))</f>
        <v>無關新聞事件</v>
      </c>
      <c r="U262" s="20" t="n">
        <f aca="false">IF(R262="維持",K262,IF(R262="排除",0,IFERROR(INDEX(事件規則!$C$2:$C$53,MATCH(S262,事件規則!$A$2:$A$53,0)),"")))</f>
        <v>0</v>
      </c>
      <c r="V262" s="21"/>
      <c r="W262" s="22"/>
      <c r="X262" s="10" t="str">
        <f aca="false">IF(AND(R262="修改",S262=""),"請選新事件代碼",IF(AND(R262&lt;&gt;"修改",S262&lt;&gt;""),"只有「修改」才需填代碼",""))</f>
        <v/>
      </c>
      <c r="Y262" s="21"/>
      <c r="Z262" s="22"/>
      <c r="AA262" s="12" t="s">
        <v>1000</v>
      </c>
      <c r="AB262" s="12"/>
    </row>
    <row r="263" customFormat="false" ht="29.85" hidden="false" customHeight="false" outlineLevel="0" collapsed="false">
      <c r="A263" s="15" t="n">
        <v>262</v>
      </c>
      <c r="B263" s="9" t="s">
        <v>112</v>
      </c>
      <c r="C263" s="9" t="s">
        <v>1001</v>
      </c>
      <c r="D263" s="10" t="s">
        <v>1002</v>
      </c>
      <c r="E263" s="11" t="s">
        <v>1003</v>
      </c>
      <c r="F263" s="17"/>
      <c r="G263" s="12" t="s">
        <v>49</v>
      </c>
      <c r="H263" s="13" t="n">
        <v>-0.187</v>
      </c>
      <c r="I263" s="14"/>
      <c r="J263" s="17"/>
      <c r="K263" s="9"/>
      <c r="L263" s="15" t="s">
        <v>50</v>
      </c>
      <c r="M263" s="16" t="s">
        <v>51</v>
      </c>
      <c r="N263" s="14"/>
      <c r="O263" s="15" t="s">
        <v>52</v>
      </c>
      <c r="P263" s="17" t="s">
        <v>53</v>
      </c>
      <c r="Q263" s="15"/>
      <c r="R263" s="18" t="s">
        <v>51</v>
      </c>
      <c r="S263" s="19"/>
      <c r="T263" s="17" t="str">
        <f aca="false">IF(R263="維持",J263,IF(R263="排除","無關新聞事件",IFERROR(INDEX(事件規則!$B$2:$B$53,MATCH(S263,事件規則!$A$2:$A$53,0)),"")))</f>
        <v>無關新聞事件</v>
      </c>
      <c r="U263" s="20" t="n">
        <f aca="false">IF(R263="維持",K263,IF(R263="排除",0,IFERROR(INDEX(事件規則!$C$2:$C$53,MATCH(S263,事件規則!$A$2:$A$53,0)),"")))</f>
        <v>0</v>
      </c>
      <c r="V263" s="21"/>
      <c r="W263" s="22"/>
      <c r="X263" s="10" t="str">
        <f aca="false">IF(AND(R263="修改",S263=""),"請選新事件代碼",IF(AND(R263&lt;&gt;"修改",S263&lt;&gt;""),"只有「修改」才需填代碼",""))</f>
        <v/>
      </c>
      <c r="Y263" s="21"/>
      <c r="Z263" s="22"/>
      <c r="AA263" s="12" t="s">
        <v>1004</v>
      </c>
      <c r="AB263" s="12"/>
    </row>
    <row r="264" customFormat="false" ht="29.85" hidden="false" customHeight="false" outlineLevel="0" collapsed="false">
      <c r="A264" s="15" t="n">
        <v>263</v>
      </c>
      <c r="B264" s="9" t="s">
        <v>55</v>
      </c>
      <c r="C264" s="9" t="s">
        <v>513</v>
      </c>
      <c r="D264" s="10" t="s">
        <v>514</v>
      </c>
      <c r="E264" s="11" t="s">
        <v>1005</v>
      </c>
      <c r="F264" s="17"/>
      <c r="G264" s="12" t="s">
        <v>1006</v>
      </c>
      <c r="H264" s="13" t="n">
        <v>-0.186</v>
      </c>
      <c r="I264" s="14"/>
      <c r="J264" s="17"/>
      <c r="K264" s="9"/>
      <c r="L264" s="15" t="s">
        <v>50</v>
      </c>
      <c r="M264" s="16" t="s">
        <v>51</v>
      </c>
      <c r="N264" s="14"/>
      <c r="O264" s="15" t="s">
        <v>52</v>
      </c>
      <c r="P264" s="17" t="s">
        <v>53</v>
      </c>
      <c r="Q264" s="15"/>
      <c r="R264" s="18" t="s">
        <v>51</v>
      </c>
      <c r="S264" s="19"/>
      <c r="T264" s="17" t="str">
        <f aca="false">IF(R264="維持",J264,IF(R264="排除","無關新聞事件",IFERROR(INDEX(事件規則!$B$2:$B$53,MATCH(S264,事件規則!$A$2:$A$53,0)),"")))</f>
        <v>無關新聞事件</v>
      </c>
      <c r="U264" s="20" t="n">
        <f aca="false">IF(R264="維持",K264,IF(R264="排除",0,IFERROR(INDEX(事件規則!$C$2:$C$53,MATCH(S264,事件規則!$A$2:$A$53,0)),"")))</f>
        <v>0</v>
      </c>
      <c r="V264" s="21"/>
      <c r="W264" s="22"/>
      <c r="X264" s="10" t="str">
        <f aca="false">IF(AND(R264="修改",S264=""),"請選新事件代碼",IF(AND(R264&lt;&gt;"修改",S264&lt;&gt;""),"只有「修改」才需填代碼",""))</f>
        <v/>
      </c>
      <c r="Y264" s="21"/>
      <c r="Z264" s="22"/>
      <c r="AA264" s="12" t="s">
        <v>1007</v>
      </c>
      <c r="AB264" s="12"/>
    </row>
    <row r="265" customFormat="false" ht="29.85" hidden="false" customHeight="false" outlineLevel="0" collapsed="false">
      <c r="A265" s="15" t="n">
        <v>264</v>
      </c>
      <c r="B265" s="9" t="s">
        <v>45</v>
      </c>
      <c r="C265" s="9" t="s">
        <v>1008</v>
      </c>
      <c r="D265" s="10" t="s">
        <v>1009</v>
      </c>
      <c r="E265" s="11" t="s">
        <v>1010</v>
      </c>
      <c r="F265" s="17"/>
      <c r="G265" s="12" t="s">
        <v>49</v>
      </c>
      <c r="H265" s="13" t="n">
        <v>-0.186</v>
      </c>
      <c r="I265" s="14"/>
      <c r="J265" s="17"/>
      <c r="K265" s="9"/>
      <c r="L265" s="15" t="s">
        <v>50</v>
      </c>
      <c r="M265" s="16" t="s">
        <v>51</v>
      </c>
      <c r="N265" s="14"/>
      <c r="O265" s="15" t="s">
        <v>52</v>
      </c>
      <c r="P265" s="17" t="s">
        <v>53</v>
      </c>
      <c r="Q265" s="15"/>
      <c r="R265" s="18" t="s">
        <v>51</v>
      </c>
      <c r="S265" s="19"/>
      <c r="T265" s="17" t="str">
        <f aca="false">IF(R265="維持",J265,IF(R265="排除","無關新聞事件",IFERROR(INDEX(事件規則!$B$2:$B$53,MATCH(S265,事件規則!$A$2:$A$53,0)),"")))</f>
        <v>無關新聞事件</v>
      </c>
      <c r="U265" s="20" t="n">
        <f aca="false">IF(R265="維持",K265,IF(R265="排除",0,IFERROR(INDEX(事件規則!$C$2:$C$53,MATCH(S265,事件規則!$A$2:$A$53,0)),"")))</f>
        <v>0</v>
      </c>
      <c r="V265" s="21"/>
      <c r="W265" s="22"/>
      <c r="X265" s="10" t="str">
        <f aca="false">IF(AND(R265="修改",S265=""),"請選新事件代碼",IF(AND(R265&lt;&gt;"修改",S265&lt;&gt;""),"只有「修改」才需填代碼",""))</f>
        <v/>
      </c>
      <c r="Y265" s="21"/>
      <c r="Z265" s="22"/>
      <c r="AA265" s="12" t="s">
        <v>1011</v>
      </c>
      <c r="AB265" s="12"/>
    </row>
    <row r="266" customFormat="false" ht="29.85" hidden="false" customHeight="false" outlineLevel="0" collapsed="false">
      <c r="A266" s="15" t="n">
        <v>265</v>
      </c>
      <c r="B266" s="9" t="s">
        <v>112</v>
      </c>
      <c r="C266" s="9" t="s">
        <v>427</v>
      </c>
      <c r="D266" s="10" t="s">
        <v>428</v>
      </c>
      <c r="E266" s="11" t="s">
        <v>1012</v>
      </c>
      <c r="F266" s="17"/>
      <c r="G266" s="12" t="s">
        <v>116</v>
      </c>
      <c r="H266" s="13" t="n">
        <v>-0.184</v>
      </c>
      <c r="I266" s="14"/>
      <c r="J266" s="17"/>
      <c r="K266" s="9"/>
      <c r="L266" s="15" t="s">
        <v>50</v>
      </c>
      <c r="M266" s="16" t="s">
        <v>51</v>
      </c>
      <c r="N266" s="14"/>
      <c r="O266" s="15" t="s">
        <v>52</v>
      </c>
      <c r="P266" s="17" t="s">
        <v>53</v>
      </c>
      <c r="Q266" s="15"/>
      <c r="R266" s="18" t="s">
        <v>51</v>
      </c>
      <c r="S266" s="19"/>
      <c r="T266" s="17" t="str">
        <f aca="false">IF(R266="維持",J266,IF(R266="排除","無關新聞事件",IFERROR(INDEX(事件規則!$B$2:$B$53,MATCH(S266,事件規則!$A$2:$A$53,0)),"")))</f>
        <v>無關新聞事件</v>
      </c>
      <c r="U266" s="20" t="n">
        <f aca="false">IF(R266="維持",K266,IF(R266="排除",0,IFERROR(INDEX(事件規則!$C$2:$C$53,MATCH(S266,事件規則!$A$2:$A$53,0)),"")))</f>
        <v>0</v>
      </c>
      <c r="V266" s="21"/>
      <c r="W266" s="22"/>
      <c r="X266" s="10" t="str">
        <f aca="false">IF(AND(R266="修改",S266=""),"請選新事件代碼",IF(AND(R266&lt;&gt;"修改",S266&lt;&gt;""),"只有「修改」才需填代碼",""))</f>
        <v/>
      </c>
      <c r="Y266" s="21"/>
      <c r="Z266" s="22"/>
      <c r="AA266" s="12" t="s">
        <v>1013</v>
      </c>
      <c r="AB266" s="12"/>
    </row>
    <row r="267" customFormat="false" ht="29.85" hidden="false" customHeight="false" outlineLevel="0" collapsed="false">
      <c r="A267" s="15" t="n">
        <v>266</v>
      </c>
      <c r="B267" s="9" t="s">
        <v>55</v>
      </c>
      <c r="C267" s="9" t="s">
        <v>178</v>
      </c>
      <c r="D267" s="10" t="s">
        <v>179</v>
      </c>
      <c r="E267" s="11" t="s">
        <v>1014</v>
      </c>
      <c r="F267" s="17"/>
      <c r="G267" s="12" t="s">
        <v>1015</v>
      </c>
      <c r="H267" s="13" t="n">
        <v>-0.183</v>
      </c>
      <c r="I267" s="14"/>
      <c r="J267" s="17"/>
      <c r="K267" s="9"/>
      <c r="L267" s="15" t="s">
        <v>50</v>
      </c>
      <c r="M267" s="16" t="s">
        <v>51</v>
      </c>
      <c r="N267" s="14"/>
      <c r="O267" s="15" t="s">
        <v>52</v>
      </c>
      <c r="P267" s="17" t="s">
        <v>53</v>
      </c>
      <c r="Q267" s="15"/>
      <c r="R267" s="18" t="s">
        <v>51</v>
      </c>
      <c r="S267" s="19"/>
      <c r="T267" s="17" t="str">
        <f aca="false">IF(R267="維持",J267,IF(R267="排除","無關新聞事件",IFERROR(INDEX(事件規則!$B$2:$B$53,MATCH(S267,事件規則!$A$2:$A$53,0)),"")))</f>
        <v>無關新聞事件</v>
      </c>
      <c r="U267" s="20" t="n">
        <f aca="false">IF(R267="維持",K267,IF(R267="排除",0,IFERROR(INDEX(事件規則!$C$2:$C$53,MATCH(S267,事件規則!$A$2:$A$53,0)),"")))</f>
        <v>0</v>
      </c>
      <c r="V267" s="21"/>
      <c r="W267" s="22"/>
      <c r="X267" s="10" t="str">
        <f aca="false">IF(AND(R267="修改",S267=""),"請選新事件代碼",IF(AND(R267&lt;&gt;"修改",S267&lt;&gt;""),"只有「修改」才需填代碼",""))</f>
        <v/>
      </c>
      <c r="Y267" s="21"/>
      <c r="Z267" s="22"/>
      <c r="AA267" s="12" t="s">
        <v>1016</v>
      </c>
      <c r="AB267" s="12"/>
    </row>
    <row r="268" customFormat="false" ht="29.85" hidden="false" customHeight="false" outlineLevel="0" collapsed="false">
      <c r="A268" s="15" t="n">
        <v>267</v>
      </c>
      <c r="B268" s="9" t="s">
        <v>55</v>
      </c>
      <c r="C268" s="9" t="s">
        <v>1017</v>
      </c>
      <c r="D268" s="10" t="s">
        <v>1018</v>
      </c>
      <c r="E268" s="11" t="s">
        <v>1019</v>
      </c>
      <c r="F268" s="17"/>
      <c r="G268" s="12" t="s">
        <v>59</v>
      </c>
      <c r="H268" s="13" t="n">
        <v>-0.182</v>
      </c>
      <c r="I268" s="14"/>
      <c r="J268" s="17"/>
      <c r="K268" s="9"/>
      <c r="L268" s="15" t="s">
        <v>50</v>
      </c>
      <c r="M268" s="16" t="s">
        <v>51</v>
      </c>
      <c r="N268" s="14"/>
      <c r="O268" s="15" t="s">
        <v>52</v>
      </c>
      <c r="P268" s="17" t="s">
        <v>53</v>
      </c>
      <c r="Q268" s="15"/>
      <c r="R268" s="18" t="s">
        <v>51</v>
      </c>
      <c r="S268" s="19"/>
      <c r="T268" s="17" t="str">
        <f aca="false">IF(R268="維持",J268,IF(R268="排除","無關新聞事件",IFERROR(INDEX(事件規則!$B$2:$B$53,MATCH(S268,事件規則!$A$2:$A$53,0)),"")))</f>
        <v>無關新聞事件</v>
      </c>
      <c r="U268" s="20" t="n">
        <f aca="false">IF(R268="維持",K268,IF(R268="排除",0,IFERROR(INDEX(事件規則!$C$2:$C$53,MATCH(S268,事件規則!$A$2:$A$53,0)),"")))</f>
        <v>0</v>
      </c>
      <c r="V268" s="21"/>
      <c r="W268" s="22"/>
      <c r="X268" s="10" t="str">
        <f aca="false">IF(AND(R268="修改",S268=""),"請選新事件代碼",IF(AND(R268&lt;&gt;"修改",S268&lt;&gt;""),"只有「修改」才需填代碼",""))</f>
        <v/>
      </c>
      <c r="Y268" s="21"/>
      <c r="Z268" s="22"/>
      <c r="AA268" s="12" t="s">
        <v>1020</v>
      </c>
      <c r="AB268" s="12"/>
    </row>
    <row r="269" customFormat="false" ht="29.85" hidden="false" customHeight="false" outlineLevel="0" collapsed="false">
      <c r="A269" s="15" t="n">
        <v>268</v>
      </c>
      <c r="B269" s="9" t="s">
        <v>112</v>
      </c>
      <c r="C269" s="9" t="s">
        <v>1021</v>
      </c>
      <c r="D269" s="10" t="s">
        <v>1022</v>
      </c>
      <c r="E269" s="11" t="s">
        <v>1023</v>
      </c>
      <c r="F269" s="17"/>
      <c r="G269" s="12" t="s">
        <v>1024</v>
      </c>
      <c r="H269" s="13" t="n">
        <v>-0.18</v>
      </c>
      <c r="I269" s="14"/>
      <c r="J269" s="17"/>
      <c r="K269" s="9"/>
      <c r="L269" s="15" t="s">
        <v>50</v>
      </c>
      <c r="M269" s="16" t="s">
        <v>51</v>
      </c>
      <c r="N269" s="14"/>
      <c r="O269" s="15" t="s">
        <v>52</v>
      </c>
      <c r="P269" s="17" t="s">
        <v>53</v>
      </c>
      <c r="Q269" s="15"/>
      <c r="R269" s="18" t="s">
        <v>51</v>
      </c>
      <c r="S269" s="19"/>
      <c r="T269" s="17" t="str">
        <f aca="false">IF(R269="維持",J269,IF(R269="排除","無關新聞事件",IFERROR(INDEX(事件規則!$B$2:$B$53,MATCH(S269,事件規則!$A$2:$A$53,0)),"")))</f>
        <v>無關新聞事件</v>
      </c>
      <c r="U269" s="20" t="n">
        <f aca="false">IF(R269="維持",K269,IF(R269="排除",0,IFERROR(INDEX(事件規則!$C$2:$C$53,MATCH(S269,事件規則!$A$2:$A$53,0)),"")))</f>
        <v>0</v>
      </c>
      <c r="V269" s="21"/>
      <c r="W269" s="22"/>
      <c r="X269" s="10" t="str">
        <f aca="false">IF(AND(R269="修改",S269=""),"請選新事件代碼",IF(AND(R269&lt;&gt;"修改",S269&lt;&gt;""),"只有「修改」才需填代碼",""))</f>
        <v/>
      </c>
      <c r="Y269" s="21"/>
      <c r="Z269" s="22"/>
      <c r="AA269" s="12" t="s">
        <v>1025</v>
      </c>
      <c r="AB269" s="12"/>
    </row>
    <row r="270" customFormat="false" ht="29.85" hidden="false" customHeight="false" outlineLevel="0" collapsed="false">
      <c r="A270" s="15" t="n">
        <v>269</v>
      </c>
      <c r="B270" s="9" t="s">
        <v>45</v>
      </c>
      <c r="C270" s="9" t="s">
        <v>46</v>
      </c>
      <c r="D270" s="10" t="s">
        <v>47</v>
      </c>
      <c r="E270" s="11" t="s">
        <v>1026</v>
      </c>
      <c r="F270" s="17"/>
      <c r="G270" s="12" t="s">
        <v>176</v>
      </c>
      <c r="H270" s="13" t="n">
        <v>-0.18</v>
      </c>
      <c r="I270" s="14"/>
      <c r="J270" s="17"/>
      <c r="K270" s="9"/>
      <c r="L270" s="15" t="s">
        <v>50</v>
      </c>
      <c r="M270" s="16" t="s">
        <v>51</v>
      </c>
      <c r="N270" s="14"/>
      <c r="O270" s="15" t="s">
        <v>52</v>
      </c>
      <c r="P270" s="17" t="s">
        <v>53</v>
      </c>
      <c r="Q270" s="15"/>
      <c r="R270" s="18" t="s">
        <v>51</v>
      </c>
      <c r="S270" s="19"/>
      <c r="T270" s="17" t="str">
        <f aca="false">IF(R270="維持",J270,IF(R270="排除","無關新聞事件",IFERROR(INDEX(事件規則!$B$2:$B$53,MATCH(S270,事件規則!$A$2:$A$53,0)),"")))</f>
        <v>無關新聞事件</v>
      </c>
      <c r="U270" s="20" t="n">
        <f aca="false">IF(R270="維持",K270,IF(R270="排除",0,IFERROR(INDEX(事件規則!$C$2:$C$53,MATCH(S270,事件規則!$A$2:$A$53,0)),"")))</f>
        <v>0</v>
      </c>
      <c r="V270" s="21"/>
      <c r="W270" s="22"/>
      <c r="X270" s="10" t="str">
        <f aca="false">IF(AND(R270="修改",S270=""),"請選新事件代碼",IF(AND(R270&lt;&gt;"修改",S270&lt;&gt;""),"只有「修改」才需填代碼",""))</f>
        <v/>
      </c>
      <c r="Y270" s="21"/>
      <c r="Z270" s="22"/>
      <c r="AA270" s="12" t="s">
        <v>1027</v>
      </c>
      <c r="AB270" s="12"/>
    </row>
    <row r="271" customFormat="false" ht="29.85" hidden="false" customHeight="false" outlineLevel="0" collapsed="false">
      <c r="A271" s="15" t="n">
        <v>270</v>
      </c>
      <c r="B271" s="9" t="s">
        <v>112</v>
      </c>
      <c r="C271" s="9" t="s">
        <v>1028</v>
      </c>
      <c r="D271" s="10" t="s">
        <v>1029</v>
      </c>
      <c r="E271" s="11" t="s">
        <v>1030</v>
      </c>
      <c r="F271" s="17"/>
      <c r="G271" s="12" t="s">
        <v>95</v>
      </c>
      <c r="H271" s="13" t="n">
        <v>-0.179</v>
      </c>
      <c r="I271" s="14"/>
      <c r="J271" s="17"/>
      <c r="K271" s="9"/>
      <c r="L271" s="15" t="s">
        <v>50</v>
      </c>
      <c r="M271" s="16" t="s">
        <v>51</v>
      </c>
      <c r="N271" s="14"/>
      <c r="O271" s="15" t="s">
        <v>52</v>
      </c>
      <c r="P271" s="17" t="s">
        <v>53</v>
      </c>
      <c r="Q271" s="15"/>
      <c r="R271" s="18" t="s">
        <v>51</v>
      </c>
      <c r="S271" s="19"/>
      <c r="T271" s="17" t="str">
        <f aca="false">IF(R271="維持",J271,IF(R271="排除","無關新聞事件",IFERROR(INDEX(事件規則!$B$2:$B$53,MATCH(S271,事件規則!$A$2:$A$53,0)),"")))</f>
        <v>無關新聞事件</v>
      </c>
      <c r="U271" s="20" t="n">
        <f aca="false">IF(R271="維持",K271,IF(R271="排除",0,IFERROR(INDEX(事件規則!$C$2:$C$53,MATCH(S271,事件規則!$A$2:$A$53,0)),"")))</f>
        <v>0</v>
      </c>
      <c r="V271" s="21"/>
      <c r="W271" s="22"/>
      <c r="X271" s="10" t="str">
        <f aca="false">IF(AND(R271="修改",S271=""),"請選新事件代碼",IF(AND(R271&lt;&gt;"修改",S271&lt;&gt;""),"只有「修改」才需填代碼",""))</f>
        <v/>
      </c>
      <c r="Y271" s="21"/>
      <c r="Z271" s="22"/>
      <c r="AA271" s="12" t="s">
        <v>1031</v>
      </c>
      <c r="AB271" s="12"/>
    </row>
    <row r="272" customFormat="false" ht="29.85" hidden="false" customHeight="false" outlineLevel="0" collapsed="false">
      <c r="A272" s="15" t="n">
        <v>271</v>
      </c>
      <c r="B272" s="9" t="s">
        <v>45</v>
      </c>
      <c r="C272" s="9" t="s">
        <v>1032</v>
      </c>
      <c r="D272" s="10" t="s">
        <v>1033</v>
      </c>
      <c r="E272" s="11" t="s">
        <v>1034</v>
      </c>
      <c r="F272" s="17"/>
      <c r="G272" s="12" t="s">
        <v>142</v>
      </c>
      <c r="H272" s="13" t="n">
        <v>-0.179</v>
      </c>
      <c r="I272" s="14"/>
      <c r="J272" s="17"/>
      <c r="K272" s="9"/>
      <c r="L272" s="15" t="s">
        <v>50</v>
      </c>
      <c r="M272" s="16" t="s">
        <v>51</v>
      </c>
      <c r="N272" s="14"/>
      <c r="O272" s="15" t="s">
        <v>52</v>
      </c>
      <c r="P272" s="17" t="s">
        <v>53</v>
      </c>
      <c r="Q272" s="15"/>
      <c r="R272" s="18" t="s">
        <v>51</v>
      </c>
      <c r="S272" s="19"/>
      <c r="T272" s="17" t="str">
        <f aca="false">IF(R272="維持",J272,IF(R272="排除","無關新聞事件",IFERROR(INDEX(事件規則!$B$2:$B$53,MATCH(S272,事件規則!$A$2:$A$53,0)),"")))</f>
        <v>無關新聞事件</v>
      </c>
      <c r="U272" s="20" t="n">
        <f aca="false">IF(R272="維持",K272,IF(R272="排除",0,IFERROR(INDEX(事件規則!$C$2:$C$53,MATCH(S272,事件規則!$A$2:$A$53,0)),"")))</f>
        <v>0</v>
      </c>
      <c r="V272" s="21"/>
      <c r="W272" s="22"/>
      <c r="X272" s="10" t="str">
        <f aca="false">IF(AND(R272="修改",S272=""),"請選新事件代碼",IF(AND(R272&lt;&gt;"修改",S272&lt;&gt;""),"只有「修改」才需填代碼",""))</f>
        <v/>
      </c>
      <c r="Y272" s="21"/>
      <c r="Z272" s="22"/>
      <c r="AA272" s="12" t="s">
        <v>1035</v>
      </c>
      <c r="AB272" s="12"/>
    </row>
    <row r="273" customFormat="false" ht="29.85" hidden="false" customHeight="false" outlineLevel="0" collapsed="false">
      <c r="A273" s="15" t="n">
        <v>272</v>
      </c>
      <c r="B273" s="9" t="s">
        <v>112</v>
      </c>
      <c r="C273" s="9" t="s">
        <v>1036</v>
      </c>
      <c r="D273" s="10" t="s">
        <v>1037</v>
      </c>
      <c r="E273" s="11" t="s">
        <v>1038</v>
      </c>
      <c r="F273" s="17"/>
      <c r="G273" s="12" t="s">
        <v>164</v>
      </c>
      <c r="H273" s="13" t="n">
        <v>-0.178</v>
      </c>
      <c r="I273" s="14"/>
      <c r="J273" s="17"/>
      <c r="K273" s="9"/>
      <c r="L273" s="15" t="s">
        <v>50</v>
      </c>
      <c r="M273" s="16" t="s">
        <v>51</v>
      </c>
      <c r="N273" s="14"/>
      <c r="O273" s="15" t="s">
        <v>52</v>
      </c>
      <c r="P273" s="17" t="s">
        <v>53</v>
      </c>
      <c r="Q273" s="15"/>
      <c r="R273" s="18" t="s">
        <v>51</v>
      </c>
      <c r="S273" s="19"/>
      <c r="T273" s="17" t="str">
        <f aca="false">IF(R273="維持",J273,IF(R273="排除","無關新聞事件",IFERROR(INDEX(事件規則!$B$2:$B$53,MATCH(S273,事件規則!$A$2:$A$53,0)),"")))</f>
        <v>無關新聞事件</v>
      </c>
      <c r="U273" s="20" t="n">
        <f aca="false">IF(R273="維持",K273,IF(R273="排除",0,IFERROR(INDEX(事件規則!$C$2:$C$53,MATCH(S273,事件規則!$A$2:$A$53,0)),"")))</f>
        <v>0</v>
      </c>
      <c r="V273" s="21"/>
      <c r="W273" s="22"/>
      <c r="X273" s="10" t="str">
        <f aca="false">IF(AND(R273="修改",S273=""),"請選新事件代碼",IF(AND(R273&lt;&gt;"修改",S273&lt;&gt;""),"只有「修改」才需填代碼",""))</f>
        <v/>
      </c>
      <c r="Y273" s="21"/>
      <c r="Z273" s="22"/>
      <c r="AA273" s="12" t="s">
        <v>1039</v>
      </c>
      <c r="AB273" s="12"/>
    </row>
    <row r="274" customFormat="false" ht="29.85" hidden="false" customHeight="false" outlineLevel="0" collapsed="false">
      <c r="A274" s="15" t="n">
        <v>273</v>
      </c>
      <c r="B274" s="9" t="s">
        <v>112</v>
      </c>
      <c r="C274" s="9" t="s">
        <v>1040</v>
      </c>
      <c r="D274" s="10" t="s">
        <v>1041</v>
      </c>
      <c r="E274" s="11" t="s">
        <v>1042</v>
      </c>
      <c r="F274" s="17"/>
      <c r="G274" s="12" t="s">
        <v>1043</v>
      </c>
      <c r="H274" s="13" t="n">
        <v>-0.178</v>
      </c>
      <c r="I274" s="14"/>
      <c r="J274" s="17"/>
      <c r="K274" s="9"/>
      <c r="L274" s="15" t="s">
        <v>50</v>
      </c>
      <c r="M274" s="16" t="s">
        <v>51</v>
      </c>
      <c r="N274" s="14"/>
      <c r="O274" s="15" t="s">
        <v>52</v>
      </c>
      <c r="P274" s="17" t="s">
        <v>53</v>
      </c>
      <c r="Q274" s="15"/>
      <c r="R274" s="18" t="s">
        <v>51</v>
      </c>
      <c r="S274" s="19"/>
      <c r="T274" s="17" t="str">
        <f aca="false">IF(R274="維持",J274,IF(R274="排除","無關新聞事件",IFERROR(INDEX(事件規則!$B$2:$B$53,MATCH(S274,事件規則!$A$2:$A$53,0)),"")))</f>
        <v>無關新聞事件</v>
      </c>
      <c r="U274" s="20" t="n">
        <f aca="false">IF(R274="維持",K274,IF(R274="排除",0,IFERROR(INDEX(事件規則!$C$2:$C$53,MATCH(S274,事件規則!$A$2:$A$53,0)),"")))</f>
        <v>0</v>
      </c>
      <c r="V274" s="21"/>
      <c r="W274" s="22"/>
      <c r="X274" s="10" t="str">
        <f aca="false">IF(AND(R274="修改",S274=""),"請選新事件代碼",IF(AND(R274&lt;&gt;"修改",S274&lt;&gt;""),"只有「修改」才需填代碼",""))</f>
        <v/>
      </c>
      <c r="Y274" s="21"/>
      <c r="Z274" s="22"/>
      <c r="AA274" s="12" t="s">
        <v>1044</v>
      </c>
      <c r="AB274" s="12"/>
    </row>
    <row r="275" customFormat="false" ht="29.85" hidden="false" customHeight="false" outlineLevel="0" collapsed="false">
      <c r="A275" s="15" t="n">
        <v>274</v>
      </c>
      <c r="B275" s="9" t="s">
        <v>45</v>
      </c>
      <c r="C275" s="9" t="s">
        <v>639</v>
      </c>
      <c r="D275" s="10" t="s">
        <v>640</v>
      </c>
      <c r="E275" s="11" t="s">
        <v>1045</v>
      </c>
      <c r="F275" s="17"/>
      <c r="G275" s="12" t="s">
        <v>803</v>
      </c>
      <c r="H275" s="13" t="n">
        <v>-0.178</v>
      </c>
      <c r="I275" s="14"/>
      <c r="J275" s="17"/>
      <c r="K275" s="9"/>
      <c r="L275" s="15" t="s">
        <v>50</v>
      </c>
      <c r="M275" s="16" t="s">
        <v>51</v>
      </c>
      <c r="N275" s="14"/>
      <c r="O275" s="15" t="s">
        <v>52</v>
      </c>
      <c r="P275" s="17" t="s">
        <v>53</v>
      </c>
      <c r="Q275" s="15"/>
      <c r="R275" s="18" t="s">
        <v>51</v>
      </c>
      <c r="S275" s="19"/>
      <c r="T275" s="17" t="str">
        <f aca="false">IF(R275="維持",J275,IF(R275="排除","無關新聞事件",IFERROR(INDEX(事件規則!$B$2:$B$53,MATCH(S275,事件規則!$A$2:$A$53,0)),"")))</f>
        <v>無關新聞事件</v>
      </c>
      <c r="U275" s="20" t="n">
        <f aca="false">IF(R275="維持",K275,IF(R275="排除",0,IFERROR(INDEX(事件規則!$C$2:$C$53,MATCH(S275,事件規則!$A$2:$A$53,0)),"")))</f>
        <v>0</v>
      </c>
      <c r="V275" s="21"/>
      <c r="W275" s="22"/>
      <c r="X275" s="10" t="str">
        <f aca="false">IF(AND(R275="修改",S275=""),"請選新事件代碼",IF(AND(R275&lt;&gt;"修改",S275&lt;&gt;""),"只有「修改」才需填代碼",""))</f>
        <v/>
      </c>
      <c r="Y275" s="21"/>
      <c r="Z275" s="22"/>
      <c r="AA275" s="12" t="s">
        <v>1046</v>
      </c>
      <c r="AB275" s="12"/>
    </row>
    <row r="276" customFormat="false" ht="29.85" hidden="false" customHeight="false" outlineLevel="0" collapsed="false">
      <c r="A276" s="15" t="n">
        <v>275</v>
      </c>
      <c r="B276" s="9" t="s">
        <v>45</v>
      </c>
      <c r="C276" s="15"/>
      <c r="D276" s="10" t="s">
        <v>477</v>
      </c>
      <c r="E276" s="23" t="s">
        <v>1047</v>
      </c>
      <c r="F276" s="17" t="s">
        <v>1048</v>
      </c>
      <c r="G276" s="12" t="s">
        <v>176</v>
      </c>
      <c r="H276" s="13" t="n">
        <v>-0.178</v>
      </c>
      <c r="I276" s="14"/>
      <c r="J276" s="17"/>
      <c r="K276" s="9"/>
      <c r="L276" s="15" t="s">
        <v>50</v>
      </c>
      <c r="M276" s="16" t="s">
        <v>51</v>
      </c>
      <c r="N276" s="14"/>
      <c r="O276" s="15" t="s">
        <v>52</v>
      </c>
      <c r="P276" s="17" t="s">
        <v>53</v>
      </c>
      <c r="Q276" s="15"/>
      <c r="R276" s="18" t="s">
        <v>51</v>
      </c>
      <c r="S276" s="19"/>
      <c r="T276" s="17" t="str">
        <f aca="false">IF(R276="維持",J276,IF(R276="排除","無關新聞事件",IFERROR(INDEX(事件規則!$B$2:$B$53,MATCH(S276,事件規則!$A$2:$A$53,0)),"")))</f>
        <v>無關新聞事件</v>
      </c>
      <c r="U276" s="20" t="n">
        <f aca="false">IF(R276="維持",K276,IF(R276="排除",0,IFERROR(INDEX(事件規則!$C$2:$C$53,MATCH(S276,事件規則!$A$2:$A$53,0)),"")))</f>
        <v>0</v>
      </c>
      <c r="V276" s="21"/>
      <c r="W276" s="22"/>
      <c r="X276" s="10" t="str">
        <f aca="false">IF(AND(R276="修改",S276=""),"請選新事件代碼",IF(AND(R276&lt;&gt;"修改",S276&lt;&gt;""),"只有「修改」才需填代碼",""))</f>
        <v/>
      </c>
      <c r="Y276" s="21"/>
      <c r="Z276" s="22"/>
      <c r="AA276" s="12" t="s">
        <v>1049</v>
      </c>
      <c r="AB276" s="12"/>
    </row>
    <row r="277" customFormat="false" ht="29.85" hidden="false" customHeight="false" outlineLevel="0" collapsed="false">
      <c r="A277" s="15" t="n">
        <v>276</v>
      </c>
      <c r="B277" s="9" t="s">
        <v>55</v>
      </c>
      <c r="C277" s="9" t="s">
        <v>761</v>
      </c>
      <c r="D277" s="10" t="s">
        <v>762</v>
      </c>
      <c r="E277" s="11" t="s">
        <v>1050</v>
      </c>
      <c r="F277" s="17"/>
      <c r="G277" s="12" t="s">
        <v>95</v>
      </c>
      <c r="H277" s="13" t="n">
        <v>-0.177</v>
      </c>
      <c r="I277" s="14"/>
      <c r="J277" s="17"/>
      <c r="K277" s="9"/>
      <c r="L277" s="15" t="s">
        <v>50</v>
      </c>
      <c r="M277" s="16" t="s">
        <v>51</v>
      </c>
      <c r="N277" s="14"/>
      <c r="O277" s="15" t="s">
        <v>52</v>
      </c>
      <c r="P277" s="17" t="s">
        <v>53</v>
      </c>
      <c r="Q277" s="15"/>
      <c r="R277" s="18" t="s">
        <v>51</v>
      </c>
      <c r="S277" s="19"/>
      <c r="T277" s="17" t="str">
        <f aca="false">IF(R277="維持",J277,IF(R277="排除","無關新聞事件",IFERROR(INDEX(事件規則!$B$2:$B$53,MATCH(S277,事件規則!$A$2:$A$53,0)),"")))</f>
        <v>無關新聞事件</v>
      </c>
      <c r="U277" s="20" t="n">
        <f aca="false">IF(R277="維持",K277,IF(R277="排除",0,IFERROR(INDEX(事件規則!$C$2:$C$53,MATCH(S277,事件規則!$A$2:$A$53,0)),"")))</f>
        <v>0</v>
      </c>
      <c r="V277" s="21"/>
      <c r="W277" s="22"/>
      <c r="X277" s="10" t="str">
        <f aca="false">IF(AND(R277="修改",S277=""),"請選新事件代碼",IF(AND(R277&lt;&gt;"修改",S277&lt;&gt;""),"只有「修改」才需填代碼",""))</f>
        <v/>
      </c>
      <c r="Y277" s="21"/>
      <c r="Z277" s="22"/>
      <c r="AA277" s="12" t="s">
        <v>1051</v>
      </c>
      <c r="AB277" s="12"/>
    </row>
    <row r="278" customFormat="false" ht="29.85" hidden="false" customHeight="false" outlineLevel="0" collapsed="false">
      <c r="A278" s="15" t="n">
        <v>277</v>
      </c>
      <c r="B278" s="9" t="s">
        <v>45</v>
      </c>
      <c r="C278" s="9" t="s">
        <v>268</v>
      </c>
      <c r="D278" s="10" t="s">
        <v>269</v>
      </c>
      <c r="E278" s="11" t="s">
        <v>1052</v>
      </c>
      <c r="F278" s="17"/>
      <c r="G278" s="12" t="s">
        <v>1053</v>
      </c>
      <c r="H278" s="13" t="n">
        <v>-0.177</v>
      </c>
      <c r="I278" s="14"/>
      <c r="J278" s="17"/>
      <c r="K278" s="9"/>
      <c r="L278" s="15" t="s">
        <v>50</v>
      </c>
      <c r="M278" s="16" t="s">
        <v>51</v>
      </c>
      <c r="N278" s="14"/>
      <c r="O278" s="15" t="s">
        <v>52</v>
      </c>
      <c r="P278" s="17" t="s">
        <v>53</v>
      </c>
      <c r="Q278" s="15"/>
      <c r="R278" s="18" t="s">
        <v>51</v>
      </c>
      <c r="S278" s="19"/>
      <c r="T278" s="17" t="str">
        <f aca="false">IF(R278="維持",J278,IF(R278="排除","無關新聞事件",IFERROR(INDEX(事件規則!$B$2:$B$53,MATCH(S278,事件規則!$A$2:$A$53,0)),"")))</f>
        <v>無關新聞事件</v>
      </c>
      <c r="U278" s="20" t="n">
        <f aca="false">IF(R278="維持",K278,IF(R278="排除",0,IFERROR(INDEX(事件規則!$C$2:$C$53,MATCH(S278,事件規則!$A$2:$A$53,0)),"")))</f>
        <v>0</v>
      </c>
      <c r="V278" s="21"/>
      <c r="W278" s="22"/>
      <c r="X278" s="10" t="str">
        <f aca="false">IF(AND(R278="修改",S278=""),"請選新事件代碼",IF(AND(R278&lt;&gt;"修改",S278&lt;&gt;""),"只有「修改」才需填代碼",""))</f>
        <v/>
      </c>
      <c r="Y278" s="21"/>
      <c r="Z278" s="22"/>
      <c r="AA278" s="12" t="s">
        <v>1054</v>
      </c>
      <c r="AB278" s="12"/>
    </row>
    <row r="279" customFormat="false" ht="29.85" hidden="false" customHeight="false" outlineLevel="0" collapsed="false">
      <c r="A279" s="15" t="n">
        <v>278</v>
      </c>
      <c r="B279" s="9" t="s">
        <v>81</v>
      </c>
      <c r="C279" s="9" t="s">
        <v>178</v>
      </c>
      <c r="D279" s="10" t="s">
        <v>179</v>
      </c>
      <c r="E279" s="11" t="s">
        <v>1055</v>
      </c>
      <c r="F279" s="17"/>
      <c r="G279" s="12" t="s">
        <v>1056</v>
      </c>
      <c r="H279" s="13" t="n">
        <v>-0.176</v>
      </c>
      <c r="I279" s="14"/>
      <c r="J279" s="17"/>
      <c r="K279" s="9"/>
      <c r="L279" s="15" t="s">
        <v>50</v>
      </c>
      <c r="M279" s="16" t="s">
        <v>51</v>
      </c>
      <c r="N279" s="14"/>
      <c r="O279" s="15" t="s">
        <v>52</v>
      </c>
      <c r="P279" s="17" t="s">
        <v>53</v>
      </c>
      <c r="Q279" s="15"/>
      <c r="R279" s="18" t="s">
        <v>51</v>
      </c>
      <c r="S279" s="19"/>
      <c r="T279" s="17" t="str">
        <f aca="false">IF(R279="維持",J279,IF(R279="排除","無關新聞事件",IFERROR(INDEX(事件規則!$B$2:$B$53,MATCH(S279,事件規則!$A$2:$A$53,0)),"")))</f>
        <v>無關新聞事件</v>
      </c>
      <c r="U279" s="20" t="n">
        <f aca="false">IF(R279="維持",K279,IF(R279="排除",0,IFERROR(INDEX(事件規則!$C$2:$C$53,MATCH(S279,事件規則!$A$2:$A$53,0)),"")))</f>
        <v>0</v>
      </c>
      <c r="V279" s="21"/>
      <c r="W279" s="22"/>
      <c r="X279" s="10" t="str">
        <f aca="false">IF(AND(R279="修改",S279=""),"請選新事件代碼",IF(AND(R279&lt;&gt;"修改",S279&lt;&gt;""),"只有「修改」才需填代碼",""))</f>
        <v/>
      </c>
      <c r="Y279" s="21"/>
      <c r="Z279" s="22"/>
      <c r="AA279" s="12" t="s">
        <v>1057</v>
      </c>
      <c r="AB279" s="12"/>
    </row>
    <row r="280" customFormat="false" ht="29.85" hidden="false" customHeight="false" outlineLevel="0" collapsed="false">
      <c r="A280" s="15" t="n">
        <v>279</v>
      </c>
      <c r="B280" s="9" t="s">
        <v>55</v>
      </c>
      <c r="C280" s="9" t="s">
        <v>202</v>
      </c>
      <c r="D280" s="10" t="s">
        <v>203</v>
      </c>
      <c r="E280" s="11" t="s">
        <v>1058</v>
      </c>
      <c r="F280" s="17"/>
      <c r="G280" s="12" t="s">
        <v>205</v>
      </c>
      <c r="H280" s="13" t="n">
        <v>-0.176</v>
      </c>
      <c r="I280" s="14"/>
      <c r="J280" s="17"/>
      <c r="K280" s="9"/>
      <c r="L280" s="15" t="s">
        <v>50</v>
      </c>
      <c r="M280" s="16" t="s">
        <v>51</v>
      </c>
      <c r="N280" s="14"/>
      <c r="O280" s="15" t="s">
        <v>52</v>
      </c>
      <c r="P280" s="17" t="s">
        <v>53</v>
      </c>
      <c r="Q280" s="15"/>
      <c r="R280" s="18" t="s">
        <v>51</v>
      </c>
      <c r="S280" s="19"/>
      <c r="T280" s="17" t="str">
        <f aca="false">IF(R280="維持",J280,IF(R280="排除","無關新聞事件",IFERROR(INDEX(事件規則!$B$2:$B$53,MATCH(S280,事件規則!$A$2:$A$53,0)),"")))</f>
        <v>無關新聞事件</v>
      </c>
      <c r="U280" s="20" t="n">
        <f aca="false">IF(R280="維持",K280,IF(R280="排除",0,IFERROR(INDEX(事件規則!$C$2:$C$53,MATCH(S280,事件規則!$A$2:$A$53,0)),"")))</f>
        <v>0</v>
      </c>
      <c r="V280" s="21"/>
      <c r="W280" s="22"/>
      <c r="X280" s="10" t="str">
        <f aca="false">IF(AND(R280="修改",S280=""),"請選新事件代碼",IF(AND(R280&lt;&gt;"修改",S280&lt;&gt;""),"只有「修改」才需填代碼",""))</f>
        <v/>
      </c>
      <c r="Y280" s="21"/>
      <c r="Z280" s="22"/>
      <c r="AA280" s="12" t="s">
        <v>1059</v>
      </c>
      <c r="AB280" s="12"/>
    </row>
    <row r="281" customFormat="false" ht="29.85" hidden="false" customHeight="false" outlineLevel="0" collapsed="false">
      <c r="A281" s="15" t="n">
        <v>280</v>
      </c>
      <c r="B281" s="9" t="s">
        <v>45</v>
      </c>
      <c r="C281" s="9" t="s">
        <v>1060</v>
      </c>
      <c r="D281" s="10" t="s">
        <v>1061</v>
      </c>
      <c r="E281" s="11" t="s">
        <v>1062</v>
      </c>
      <c r="F281" s="17"/>
      <c r="G281" s="12" t="s">
        <v>49</v>
      </c>
      <c r="H281" s="13" t="n">
        <v>-0.176</v>
      </c>
      <c r="I281" s="14"/>
      <c r="J281" s="17"/>
      <c r="K281" s="9"/>
      <c r="L281" s="15" t="s">
        <v>50</v>
      </c>
      <c r="M281" s="16" t="s">
        <v>51</v>
      </c>
      <c r="N281" s="14"/>
      <c r="O281" s="15" t="s">
        <v>52</v>
      </c>
      <c r="P281" s="17" t="s">
        <v>53</v>
      </c>
      <c r="Q281" s="15"/>
      <c r="R281" s="18" t="s">
        <v>51</v>
      </c>
      <c r="S281" s="19"/>
      <c r="T281" s="17" t="str">
        <f aca="false">IF(R281="維持",J281,IF(R281="排除","無關新聞事件",IFERROR(INDEX(事件規則!$B$2:$B$53,MATCH(S281,事件規則!$A$2:$A$53,0)),"")))</f>
        <v>無關新聞事件</v>
      </c>
      <c r="U281" s="20" t="n">
        <f aca="false">IF(R281="維持",K281,IF(R281="排除",0,IFERROR(INDEX(事件規則!$C$2:$C$53,MATCH(S281,事件規則!$A$2:$A$53,0)),"")))</f>
        <v>0</v>
      </c>
      <c r="V281" s="21"/>
      <c r="W281" s="22"/>
      <c r="X281" s="10" t="str">
        <f aca="false">IF(AND(R281="修改",S281=""),"請選新事件代碼",IF(AND(R281&lt;&gt;"修改",S281&lt;&gt;""),"只有「修改」才需填代碼",""))</f>
        <v/>
      </c>
      <c r="Y281" s="21"/>
      <c r="Z281" s="22"/>
      <c r="AA281" s="12" t="s">
        <v>1063</v>
      </c>
      <c r="AB281" s="12"/>
    </row>
    <row r="282" customFormat="false" ht="29.85" hidden="false" customHeight="false" outlineLevel="0" collapsed="false">
      <c r="A282" s="15" t="n">
        <v>281</v>
      </c>
      <c r="B282" s="9" t="s">
        <v>81</v>
      </c>
      <c r="C282" s="9" t="s">
        <v>118</v>
      </c>
      <c r="D282" s="10" t="s">
        <v>119</v>
      </c>
      <c r="E282" s="11" t="s">
        <v>1064</v>
      </c>
      <c r="F282" s="17"/>
      <c r="G282" s="12" t="s">
        <v>1065</v>
      </c>
      <c r="H282" s="13" t="n">
        <v>-0.175</v>
      </c>
      <c r="I282" s="14"/>
      <c r="J282" s="17"/>
      <c r="K282" s="9"/>
      <c r="L282" s="15" t="s">
        <v>50</v>
      </c>
      <c r="M282" s="16" t="s">
        <v>51</v>
      </c>
      <c r="N282" s="14"/>
      <c r="O282" s="15" t="s">
        <v>52</v>
      </c>
      <c r="P282" s="17" t="s">
        <v>53</v>
      </c>
      <c r="Q282" s="15"/>
      <c r="R282" s="18" t="s">
        <v>51</v>
      </c>
      <c r="S282" s="19"/>
      <c r="T282" s="17" t="str">
        <f aca="false">IF(R282="維持",J282,IF(R282="排除","無關新聞事件",IFERROR(INDEX(事件規則!$B$2:$B$53,MATCH(S282,事件規則!$A$2:$A$53,0)),"")))</f>
        <v>無關新聞事件</v>
      </c>
      <c r="U282" s="20" t="n">
        <f aca="false">IF(R282="維持",K282,IF(R282="排除",0,IFERROR(INDEX(事件規則!$C$2:$C$53,MATCH(S282,事件規則!$A$2:$A$53,0)),"")))</f>
        <v>0</v>
      </c>
      <c r="V282" s="21"/>
      <c r="W282" s="22"/>
      <c r="X282" s="10" t="str">
        <f aca="false">IF(AND(R282="修改",S282=""),"請選新事件代碼",IF(AND(R282&lt;&gt;"修改",S282&lt;&gt;""),"只有「修改」才需填代碼",""))</f>
        <v/>
      </c>
      <c r="Y282" s="21"/>
      <c r="Z282" s="22"/>
      <c r="AA282" s="12" t="s">
        <v>1066</v>
      </c>
      <c r="AB282" s="12"/>
    </row>
    <row r="283" customFormat="false" ht="29.85" hidden="false" customHeight="false" outlineLevel="0" collapsed="false">
      <c r="A283" s="15" t="n">
        <v>282</v>
      </c>
      <c r="B283" s="9" t="s">
        <v>55</v>
      </c>
      <c r="C283" s="9" t="s">
        <v>113</v>
      </c>
      <c r="D283" s="10" t="s">
        <v>114</v>
      </c>
      <c r="E283" s="11" t="s">
        <v>1067</v>
      </c>
      <c r="F283" s="17"/>
      <c r="G283" s="12" t="s">
        <v>1068</v>
      </c>
      <c r="H283" s="13" t="n">
        <v>-0.173</v>
      </c>
      <c r="I283" s="14"/>
      <c r="J283" s="17"/>
      <c r="K283" s="9"/>
      <c r="L283" s="15" t="s">
        <v>50</v>
      </c>
      <c r="M283" s="16" t="s">
        <v>51</v>
      </c>
      <c r="N283" s="14"/>
      <c r="O283" s="15" t="s">
        <v>52</v>
      </c>
      <c r="P283" s="17" t="s">
        <v>53</v>
      </c>
      <c r="Q283" s="15"/>
      <c r="R283" s="18" t="s">
        <v>51</v>
      </c>
      <c r="S283" s="19"/>
      <c r="T283" s="17" t="str">
        <f aca="false">IF(R283="維持",J283,IF(R283="排除","無關新聞事件",IFERROR(INDEX(事件規則!$B$2:$B$53,MATCH(S283,事件規則!$A$2:$A$53,0)),"")))</f>
        <v>無關新聞事件</v>
      </c>
      <c r="U283" s="20" t="n">
        <f aca="false">IF(R283="維持",K283,IF(R283="排除",0,IFERROR(INDEX(事件規則!$C$2:$C$53,MATCH(S283,事件規則!$A$2:$A$53,0)),"")))</f>
        <v>0</v>
      </c>
      <c r="V283" s="21"/>
      <c r="W283" s="22"/>
      <c r="X283" s="10" t="str">
        <f aca="false">IF(AND(R283="修改",S283=""),"請選新事件代碼",IF(AND(R283&lt;&gt;"修改",S283&lt;&gt;""),"只有「修改」才需填代碼",""))</f>
        <v/>
      </c>
      <c r="Y283" s="21"/>
      <c r="Z283" s="22"/>
      <c r="AA283" s="12" t="s">
        <v>1069</v>
      </c>
      <c r="AB283" s="12"/>
    </row>
    <row r="284" customFormat="false" ht="29.85" hidden="false" customHeight="false" outlineLevel="0" collapsed="false">
      <c r="A284" s="15" t="n">
        <v>283</v>
      </c>
      <c r="B284" s="9" t="s">
        <v>112</v>
      </c>
      <c r="C284" s="9" t="s">
        <v>1070</v>
      </c>
      <c r="D284" s="10" t="s">
        <v>1071</v>
      </c>
      <c r="E284" s="11" t="s">
        <v>1072</v>
      </c>
      <c r="F284" s="17"/>
      <c r="G284" s="12" t="s">
        <v>49</v>
      </c>
      <c r="H284" s="13" t="n">
        <v>-0.172</v>
      </c>
      <c r="I284" s="14"/>
      <c r="J284" s="17"/>
      <c r="K284" s="9"/>
      <c r="L284" s="15" t="s">
        <v>50</v>
      </c>
      <c r="M284" s="16" t="s">
        <v>51</v>
      </c>
      <c r="N284" s="14"/>
      <c r="O284" s="15" t="s">
        <v>52</v>
      </c>
      <c r="P284" s="17" t="s">
        <v>53</v>
      </c>
      <c r="Q284" s="15"/>
      <c r="R284" s="18" t="s">
        <v>51</v>
      </c>
      <c r="S284" s="19"/>
      <c r="T284" s="17" t="str">
        <f aca="false">IF(R284="維持",J284,IF(R284="排除","無關新聞事件",IFERROR(INDEX(事件規則!$B$2:$B$53,MATCH(S284,事件規則!$A$2:$A$53,0)),"")))</f>
        <v>無關新聞事件</v>
      </c>
      <c r="U284" s="20" t="n">
        <f aca="false">IF(R284="維持",K284,IF(R284="排除",0,IFERROR(INDEX(事件規則!$C$2:$C$53,MATCH(S284,事件規則!$A$2:$A$53,0)),"")))</f>
        <v>0</v>
      </c>
      <c r="V284" s="21"/>
      <c r="W284" s="22"/>
      <c r="X284" s="10" t="str">
        <f aca="false">IF(AND(R284="修改",S284=""),"請選新事件代碼",IF(AND(R284&lt;&gt;"修改",S284&lt;&gt;""),"只有「修改」才需填代碼",""))</f>
        <v/>
      </c>
      <c r="Y284" s="21"/>
      <c r="Z284" s="22"/>
      <c r="AA284" s="12" t="s">
        <v>1073</v>
      </c>
      <c r="AB284" s="12"/>
    </row>
    <row r="285" customFormat="false" ht="29.85" hidden="false" customHeight="false" outlineLevel="0" collapsed="false">
      <c r="A285" s="15" t="n">
        <v>284</v>
      </c>
      <c r="B285" s="9" t="s">
        <v>112</v>
      </c>
      <c r="C285" s="9" t="s">
        <v>1074</v>
      </c>
      <c r="D285" s="10" t="s">
        <v>1075</v>
      </c>
      <c r="E285" s="11" t="s">
        <v>1076</v>
      </c>
      <c r="F285" s="17"/>
      <c r="G285" s="12" t="s">
        <v>164</v>
      </c>
      <c r="H285" s="13" t="n">
        <v>-0.172</v>
      </c>
      <c r="I285" s="14"/>
      <c r="J285" s="17"/>
      <c r="K285" s="9"/>
      <c r="L285" s="15" t="s">
        <v>50</v>
      </c>
      <c r="M285" s="16" t="s">
        <v>51</v>
      </c>
      <c r="N285" s="14"/>
      <c r="O285" s="15" t="s">
        <v>52</v>
      </c>
      <c r="P285" s="17" t="s">
        <v>53</v>
      </c>
      <c r="Q285" s="15"/>
      <c r="R285" s="18" t="s">
        <v>51</v>
      </c>
      <c r="S285" s="19"/>
      <c r="T285" s="17" t="str">
        <f aca="false">IF(R285="維持",J285,IF(R285="排除","無關新聞事件",IFERROR(INDEX(事件規則!$B$2:$B$53,MATCH(S285,事件規則!$A$2:$A$53,0)),"")))</f>
        <v>無關新聞事件</v>
      </c>
      <c r="U285" s="20" t="n">
        <f aca="false">IF(R285="維持",K285,IF(R285="排除",0,IFERROR(INDEX(事件規則!$C$2:$C$53,MATCH(S285,事件規則!$A$2:$A$53,0)),"")))</f>
        <v>0</v>
      </c>
      <c r="V285" s="21"/>
      <c r="W285" s="22"/>
      <c r="X285" s="10" t="str">
        <f aca="false">IF(AND(R285="修改",S285=""),"請選新事件代碼",IF(AND(R285&lt;&gt;"修改",S285&lt;&gt;""),"只有「修改」才需填代碼",""))</f>
        <v/>
      </c>
      <c r="Y285" s="21"/>
      <c r="Z285" s="22"/>
      <c r="AA285" s="12" t="s">
        <v>1077</v>
      </c>
      <c r="AB285" s="12"/>
    </row>
    <row r="286" customFormat="false" ht="29.85" hidden="false" customHeight="false" outlineLevel="0" collapsed="false">
      <c r="A286" s="15" t="n">
        <v>285</v>
      </c>
      <c r="B286" s="9" t="s">
        <v>45</v>
      </c>
      <c r="C286" s="9" t="s">
        <v>1078</v>
      </c>
      <c r="D286" s="10" t="s">
        <v>1079</v>
      </c>
      <c r="E286" s="11" t="s">
        <v>1080</v>
      </c>
      <c r="F286" s="17"/>
      <c r="G286" s="12" t="s">
        <v>572</v>
      </c>
      <c r="H286" s="13" t="n">
        <v>-0.171</v>
      </c>
      <c r="I286" s="14"/>
      <c r="J286" s="17"/>
      <c r="K286" s="9"/>
      <c r="L286" s="15" t="s">
        <v>50</v>
      </c>
      <c r="M286" s="16" t="s">
        <v>51</v>
      </c>
      <c r="N286" s="14"/>
      <c r="O286" s="15" t="s">
        <v>52</v>
      </c>
      <c r="P286" s="17" t="s">
        <v>53</v>
      </c>
      <c r="Q286" s="15"/>
      <c r="R286" s="18" t="s">
        <v>51</v>
      </c>
      <c r="S286" s="19"/>
      <c r="T286" s="17" t="str">
        <f aca="false">IF(R286="維持",J286,IF(R286="排除","無關新聞事件",IFERROR(INDEX(事件規則!$B$2:$B$53,MATCH(S286,事件規則!$A$2:$A$53,0)),"")))</f>
        <v>無關新聞事件</v>
      </c>
      <c r="U286" s="20" t="n">
        <f aca="false">IF(R286="維持",K286,IF(R286="排除",0,IFERROR(INDEX(事件規則!$C$2:$C$53,MATCH(S286,事件規則!$A$2:$A$53,0)),"")))</f>
        <v>0</v>
      </c>
      <c r="V286" s="21"/>
      <c r="W286" s="22"/>
      <c r="X286" s="10" t="str">
        <f aca="false">IF(AND(R286="修改",S286=""),"請選新事件代碼",IF(AND(R286&lt;&gt;"修改",S286&lt;&gt;""),"只有「修改」才需填代碼",""))</f>
        <v/>
      </c>
      <c r="Y286" s="21"/>
      <c r="Z286" s="22"/>
      <c r="AA286" s="12" t="s">
        <v>1081</v>
      </c>
      <c r="AB286" s="12"/>
    </row>
    <row r="287" customFormat="false" ht="29.85" hidden="false" customHeight="false" outlineLevel="0" collapsed="false">
      <c r="A287" s="15" t="n">
        <v>286</v>
      </c>
      <c r="B287" s="9" t="s">
        <v>45</v>
      </c>
      <c r="C287" s="9" t="s">
        <v>1082</v>
      </c>
      <c r="D287" s="10" t="s">
        <v>1083</v>
      </c>
      <c r="E287" s="11" t="s">
        <v>1084</v>
      </c>
      <c r="F287" s="17"/>
      <c r="G287" s="12" t="s">
        <v>49</v>
      </c>
      <c r="H287" s="13" t="n">
        <v>-0.167</v>
      </c>
      <c r="I287" s="14"/>
      <c r="J287" s="17"/>
      <c r="K287" s="9"/>
      <c r="L287" s="15" t="s">
        <v>50</v>
      </c>
      <c r="M287" s="16" t="s">
        <v>51</v>
      </c>
      <c r="N287" s="14"/>
      <c r="O287" s="15" t="s">
        <v>52</v>
      </c>
      <c r="P287" s="17" t="s">
        <v>53</v>
      </c>
      <c r="Q287" s="15"/>
      <c r="R287" s="18" t="s">
        <v>51</v>
      </c>
      <c r="S287" s="19"/>
      <c r="T287" s="17" t="str">
        <f aca="false">IF(R287="維持",J287,IF(R287="排除","無關新聞事件",IFERROR(INDEX(事件規則!$B$2:$B$53,MATCH(S287,事件規則!$A$2:$A$53,0)),"")))</f>
        <v>無關新聞事件</v>
      </c>
      <c r="U287" s="20" t="n">
        <f aca="false">IF(R287="維持",K287,IF(R287="排除",0,IFERROR(INDEX(事件規則!$C$2:$C$53,MATCH(S287,事件規則!$A$2:$A$53,0)),"")))</f>
        <v>0</v>
      </c>
      <c r="V287" s="21"/>
      <c r="W287" s="22"/>
      <c r="X287" s="10" t="str">
        <f aca="false">IF(AND(R287="修改",S287=""),"請選新事件代碼",IF(AND(R287&lt;&gt;"修改",S287&lt;&gt;""),"只有「修改」才需填代碼",""))</f>
        <v/>
      </c>
      <c r="Y287" s="21"/>
      <c r="Z287" s="22"/>
      <c r="AA287" s="12" t="s">
        <v>1085</v>
      </c>
      <c r="AB287" s="12"/>
    </row>
    <row r="288" customFormat="false" ht="29.85" hidden="false" customHeight="false" outlineLevel="0" collapsed="false">
      <c r="A288" s="15" t="n">
        <v>287</v>
      </c>
      <c r="B288" s="9" t="s">
        <v>45</v>
      </c>
      <c r="C288" s="9" t="s">
        <v>1086</v>
      </c>
      <c r="D288" s="10" t="s">
        <v>1087</v>
      </c>
      <c r="E288" s="11" t="s">
        <v>1088</v>
      </c>
      <c r="F288" s="17"/>
      <c r="G288" s="12" t="s">
        <v>1089</v>
      </c>
      <c r="H288" s="13" t="n">
        <v>-0.167</v>
      </c>
      <c r="I288" s="14"/>
      <c r="J288" s="17"/>
      <c r="K288" s="9"/>
      <c r="L288" s="15" t="s">
        <v>50</v>
      </c>
      <c r="M288" s="16" t="s">
        <v>51</v>
      </c>
      <c r="N288" s="14"/>
      <c r="O288" s="15" t="s">
        <v>52</v>
      </c>
      <c r="P288" s="17" t="s">
        <v>53</v>
      </c>
      <c r="Q288" s="15"/>
      <c r="R288" s="18" t="s">
        <v>51</v>
      </c>
      <c r="S288" s="19"/>
      <c r="T288" s="17" t="str">
        <f aca="false">IF(R288="維持",J288,IF(R288="排除","無關新聞事件",IFERROR(INDEX(事件規則!$B$2:$B$53,MATCH(S288,事件規則!$A$2:$A$53,0)),"")))</f>
        <v>無關新聞事件</v>
      </c>
      <c r="U288" s="20" t="n">
        <f aca="false">IF(R288="維持",K288,IF(R288="排除",0,IFERROR(INDEX(事件規則!$C$2:$C$53,MATCH(S288,事件規則!$A$2:$A$53,0)),"")))</f>
        <v>0</v>
      </c>
      <c r="V288" s="21"/>
      <c r="W288" s="22"/>
      <c r="X288" s="10" t="str">
        <f aca="false">IF(AND(R288="修改",S288=""),"請選新事件代碼",IF(AND(R288&lt;&gt;"修改",S288&lt;&gt;""),"只有「修改」才需填代碼",""))</f>
        <v/>
      </c>
      <c r="Y288" s="21"/>
      <c r="Z288" s="22"/>
      <c r="AA288" s="12" t="s">
        <v>1090</v>
      </c>
      <c r="AB288" s="12"/>
    </row>
    <row r="289" customFormat="false" ht="29.85" hidden="false" customHeight="false" outlineLevel="0" collapsed="false">
      <c r="A289" s="15" t="n">
        <v>288</v>
      </c>
      <c r="B289" s="9" t="s">
        <v>55</v>
      </c>
      <c r="C289" s="9" t="s">
        <v>303</v>
      </c>
      <c r="D289" s="10" t="s">
        <v>304</v>
      </c>
      <c r="E289" s="11" t="s">
        <v>1091</v>
      </c>
      <c r="F289" s="17"/>
      <c r="G289" s="12" t="s">
        <v>1092</v>
      </c>
      <c r="H289" s="13" t="n">
        <v>-0.166</v>
      </c>
      <c r="I289" s="14"/>
      <c r="J289" s="17"/>
      <c r="K289" s="9"/>
      <c r="L289" s="15" t="s">
        <v>50</v>
      </c>
      <c r="M289" s="16" t="s">
        <v>51</v>
      </c>
      <c r="N289" s="14"/>
      <c r="O289" s="15" t="s">
        <v>52</v>
      </c>
      <c r="P289" s="17" t="s">
        <v>53</v>
      </c>
      <c r="Q289" s="15"/>
      <c r="R289" s="18" t="s">
        <v>51</v>
      </c>
      <c r="S289" s="19"/>
      <c r="T289" s="17" t="str">
        <f aca="false">IF(R289="維持",J289,IF(R289="排除","無關新聞事件",IFERROR(INDEX(事件規則!$B$2:$B$53,MATCH(S289,事件規則!$A$2:$A$53,0)),"")))</f>
        <v>無關新聞事件</v>
      </c>
      <c r="U289" s="20" t="n">
        <f aca="false">IF(R289="維持",K289,IF(R289="排除",0,IFERROR(INDEX(事件規則!$C$2:$C$53,MATCH(S289,事件規則!$A$2:$A$53,0)),"")))</f>
        <v>0</v>
      </c>
      <c r="V289" s="21"/>
      <c r="W289" s="22"/>
      <c r="X289" s="10" t="str">
        <f aca="false">IF(AND(R289="修改",S289=""),"請選新事件代碼",IF(AND(R289&lt;&gt;"修改",S289&lt;&gt;""),"只有「修改」才需填代碼",""))</f>
        <v/>
      </c>
      <c r="Y289" s="21"/>
      <c r="Z289" s="22"/>
      <c r="AA289" s="12" t="s">
        <v>1093</v>
      </c>
      <c r="AB289" s="12"/>
    </row>
    <row r="290" customFormat="false" ht="29.85" hidden="false" customHeight="false" outlineLevel="0" collapsed="false">
      <c r="A290" s="15" t="n">
        <v>289</v>
      </c>
      <c r="B290" s="9" t="s">
        <v>45</v>
      </c>
      <c r="C290" s="9" t="s">
        <v>663</v>
      </c>
      <c r="D290" s="10" t="s">
        <v>664</v>
      </c>
      <c r="E290" s="11" t="s">
        <v>1094</v>
      </c>
      <c r="F290" s="17"/>
      <c r="G290" s="12" t="s">
        <v>1095</v>
      </c>
      <c r="H290" s="13" t="n">
        <v>-0.166</v>
      </c>
      <c r="I290" s="14"/>
      <c r="J290" s="17"/>
      <c r="K290" s="9"/>
      <c r="L290" s="15" t="s">
        <v>50</v>
      </c>
      <c r="M290" s="16" t="s">
        <v>51</v>
      </c>
      <c r="N290" s="14"/>
      <c r="O290" s="15" t="s">
        <v>52</v>
      </c>
      <c r="P290" s="17" t="s">
        <v>53</v>
      </c>
      <c r="Q290" s="15"/>
      <c r="R290" s="18" t="s">
        <v>51</v>
      </c>
      <c r="S290" s="19"/>
      <c r="T290" s="17" t="str">
        <f aca="false">IF(R290="維持",J290,IF(R290="排除","無關新聞事件",IFERROR(INDEX(事件規則!$B$2:$B$53,MATCH(S290,事件規則!$A$2:$A$53,0)),"")))</f>
        <v>無關新聞事件</v>
      </c>
      <c r="U290" s="20" t="n">
        <f aca="false">IF(R290="維持",K290,IF(R290="排除",0,IFERROR(INDEX(事件規則!$C$2:$C$53,MATCH(S290,事件規則!$A$2:$A$53,0)),"")))</f>
        <v>0</v>
      </c>
      <c r="V290" s="21"/>
      <c r="W290" s="22"/>
      <c r="X290" s="10" t="str">
        <f aca="false">IF(AND(R290="修改",S290=""),"請選新事件代碼",IF(AND(R290&lt;&gt;"修改",S290&lt;&gt;""),"只有「修改」才需填代碼",""))</f>
        <v/>
      </c>
      <c r="Y290" s="21"/>
      <c r="Z290" s="22"/>
      <c r="AA290" s="12" t="s">
        <v>1096</v>
      </c>
      <c r="AB290" s="12"/>
    </row>
    <row r="291" customFormat="false" ht="29.85" hidden="false" customHeight="false" outlineLevel="0" collapsed="false">
      <c r="A291" s="15" t="n">
        <v>290</v>
      </c>
      <c r="B291" s="9" t="s">
        <v>55</v>
      </c>
      <c r="C291" s="9" t="s">
        <v>268</v>
      </c>
      <c r="D291" s="10" t="s">
        <v>269</v>
      </c>
      <c r="E291" s="11" t="s">
        <v>1097</v>
      </c>
      <c r="F291" s="17"/>
      <c r="G291" s="12" t="s">
        <v>169</v>
      </c>
      <c r="H291" s="13" t="n">
        <v>-0.166</v>
      </c>
      <c r="I291" s="14"/>
      <c r="J291" s="17"/>
      <c r="K291" s="9"/>
      <c r="L291" s="15" t="s">
        <v>50</v>
      </c>
      <c r="M291" s="16" t="s">
        <v>51</v>
      </c>
      <c r="N291" s="14"/>
      <c r="O291" s="15" t="s">
        <v>52</v>
      </c>
      <c r="P291" s="17" t="s">
        <v>53</v>
      </c>
      <c r="Q291" s="15"/>
      <c r="R291" s="18" t="s">
        <v>51</v>
      </c>
      <c r="S291" s="19"/>
      <c r="T291" s="17" t="str">
        <f aca="false">IF(R291="維持",J291,IF(R291="排除","無關新聞事件",IFERROR(INDEX(事件規則!$B$2:$B$53,MATCH(S291,事件規則!$A$2:$A$53,0)),"")))</f>
        <v>無關新聞事件</v>
      </c>
      <c r="U291" s="20" t="n">
        <f aca="false">IF(R291="維持",K291,IF(R291="排除",0,IFERROR(INDEX(事件規則!$C$2:$C$53,MATCH(S291,事件規則!$A$2:$A$53,0)),"")))</f>
        <v>0</v>
      </c>
      <c r="V291" s="21"/>
      <c r="W291" s="22"/>
      <c r="X291" s="10" t="str">
        <f aca="false">IF(AND(R291="修改",S291=""),"請選新事件代碼",IF(AND(R291&lt;&gt;"修改",S291&lt;&gt;""),"只有「修改」才需填代碼",""))</f>
        <v/>
      </c>
      <c r="Y291" s="21"/>
      <c r="Z291" s="22"/>
      <c r="AA291" s="12" t="s">
        <v>1098</v>
      </c>
      <c r="AB291" s="12"/>
    </row>
    <row r="292" customFormat="false" ht="29.85" hidden="false" customHeight="false" outlineLevel="0" collapsed="false">
      <c r="A292" s="15" t="n">
        <v>291</v>
      </c>
      <c r="B292" s="9" t="s">
        <v>55</v>
      </c>
      <c r="C292" s="9" t="s">
        <v>476</v>
      </c>
      <c r="D292" s="10" t="s">
        <v>477</v>
      </c>
      <c r="E292" s="11" t="s">
        <v>1091</v>
      </c>
      <c r="F292" s="17"/>
      <c r="G292" s="12" t="s">
        <v>1092</v>
      </c>
      <c r="H292" s="13" t="n">
        <v>-0.166</v>
      </c>
      <c r="I292" s="14"/>
      <c r="J292" s="17"/>
      <c r="K292" s="9"/>
      <c r="L292" s="15" t="s">
        <v>50</v>
      </c>
      <c r="M292" s="16" t="s">
        <v>51</v>
      </c>
      <c r="N292" s="14"/>
      <c r="O292" s="15" t="s">
        <v>52</v>
      </c>
      <c r="P292" s="17" t="s">
        <v>53</v>
      </c>
      <c r="Q292" s="15"/>
      <c r="R292" s="18" t="s">
        <v>51</v>
      </c>
      <c r="S292" s="19"/>
      <c r="T292" s="17" t="str">
        <f aca="false">IF(R292="維持",J292,IF(R292="排除","無關新聞事件",IFERROR(INDEX(事件規則!$B$2:$B$53,MATCH(S292,事件規則!$A$2:$A$53,0)),"")))</f>
        <v>無關新聞事件</v>
      </c>
      <c r="U292" s="20" t="n">
        <f aca="false">IF(R292="維持",K292,IF(R292="排除",0,IFERROR(INDEX(事件規則!$C$2:$C$53,MATCH(S292,事件規則!$A$2:$A$53,0)),"")))</f>
        <v>0</v>
      </c>
      <c r="V292" s="21"/>
      <c r="W292" s="22"/>
      <c r="X292" s="10" t="str">
        <f aca="false">IF(AND(R292="修改",S292=""),"請選新事件代碼",IF(AND(R292&lt;&gt;"修改",S292&lt;&gt;""),"只有「修改」才需填代碼",""))</f>
        <v/>
      </c>
      <c r="Y292" s="21"/>
      <c r="Z292" s="22"/>
      <c r="AA292" s="12" t="s">
        <v>1099</v>
      </c>
      <c r="AB292" s="12"/>
    </row>
    <row r="293" customFormat="false" ht="29.85" hidden="false" customHeight="false" outlineLevel="0" collapsed="false">
      <c r="A293" s="15" t="n">
        <v>292</v>
      </c>
      <c r="B293" s="9" t="s">
        <v>45</v>
      </c>
      <c r="C293" s="9" t="s">
        <v>755</v>
      </c>
      <c r="D293" s="10" t="s">
        <v>756</v>
      </c>
      <c r="E293" s="11" t="s">
        <v>1100</v>
      </c>
      <c r="F293" s="17"/>
      <c r="G293" s="12" t="s">
        <v>49</v>
      </c>
      <c r="H293" s="13" t="n">
        <v>-0.165</v>
      </c>
      <c r="I293" s="14"/>
      <c r="J293" s="17"/>
      <c r="K293" s="9"/>
      <c r="L293" s="15" t="s">
        <v>50</v>
      </c>
      <c r="M293" s="16" t="s">
        <v>51</v>
      </c>
      <c r="N293" s="14"/>
      <c r="O293" s="15" t="s">
        <v>52</v>
      </c>
      <c r="P293" s="17" t="s">
        <v>53</v>
      </c>
      <c r="Q293" s="15"/>
      <c r="R293" s="18" t="s">
        <v>51</v>
      </c>
      <c r="S293" s="19"/>
      <c r="T293" s="17" t="str">
        <f aca="false">IF(R293="維持",J293,IF(R293="排除","無關新聞事件",IFERROR(INDEX(事件規則!$B$2:$B$53,MATCH(S293,事件規則!$A$2:$A$53,0)),"")))</f>
        <v>無關新聞事件</v>
      </c>
      <c r="U293" s="20" t="n">
        <f aca="false">IF(R293="維持",K293,IF(R293="排除",0,IFERROR(INDEX(事件規則!$C$2:$C$53,MATCH(S293,事件規則!$A$2:$A$53,0)),"")))</f>
        <v>0</v>
      </c>
      <c r="V293" s="21"/>
      <c r="W293" s="22"/>
      <c r="X293" s="10" t="str">
        <f aca="false">IF(AND(R293="修改",S293=""),"請選新事件代碼",IF(AND(R293&lt;&gt;"修改",S293&lt;&gt;""),"只有「修改」才需填代碼",""))</f>
        <v/>
      </c>
      <c r="Y293" s="21"/>
      <c r="Z293" s="22"/>
      <c r="AA293" s="12" t="s">
        <v>1101</v>
      </c>
      <c r="AB293" s="12"/>
    </row>
    <row r="294" customFormat="false" ht="29.85" hidden="false" customHeight="false" outlineLevel="0" collapsed="false">
      <c r="A294" s="15" t="n">
        <v>293</v>
      </c>
      <c r="B294" s="9" t="s">
        <v>55</v>
      </c>
      <c r="C294" s="9" t="s">
        <v>1102</v>
      </c>
      <c r="D294" s="10" t="s">
        <v>1103</v>
      </c>
      <c r="E294" s="11" t="s">
        <v>1104</v>
      </c>
      <c r="F294" s="17"/>
      <c r="G294" s="12" t="s">
        <v>49</v>
      </c>
      <c r="H294" s="13" t="n">
        <v>-0.164</v>
      </c>
      <c r="I294" s="14"/>
      <c r="J294" s="17"/>
      <c r="K294" s="9"/>
      <c r="L294" s="15" t="s">
        <v>50</v>
      </c>
      <c r="M294" s="16" t="s">
        <v>51</v>
      </c>
      <c r="N294" s="14"/>
      <c r="O294" s="15" t="s">
        <v>52</v>
      </c>
      <c r="P294" s="17" t="s">
        <v>53</v>
      </c>
      <c r="Q294" s="15"/>
      <c r="R294" s="18" t="s">
        <v>51</v>
      </c>
      <c r="S294" s="19"/>
      <c r="T294" s="17" t="str">
        <f aca="false">IF(R294="維持",J294,IF(R294="排除","無關新聞事件",IFERROR(INDEX(事件規則!$B$2:$B$53,MATCH(S294,事件規則!$A$2:$A$53,0)),"")))</f>
        <v>無關新聞事件</v>
      </c>
      <c r="U294" s="20" t="n">
        <f aca="false">IF(R294="維持",K294,IF(R294="排除",0,IFERROR(INDEX(事件規則!$C$2:$C$53,MATCH(S294,事件規則!$A$2:$A$53,0)),"")))</f>
        <v>0</v>
      </c>
      <c r="V294" s="21"/>
      <c r="W294" s="22"/>
      <c r="X294" s="10" t="str">
        <f aca="false">IF(AND(R294="修改",S294=""),"請選新事件代碼",IF(AND(R294&lt;&gt;"修改",S294&lt;&gt;""),"只有「修改」才需填代碼",""))</f>
        <v/>
      </c>
      <c r="Y294" s="21"/>
      <c r="Z294" s="22"/>
      <c r="AA294" s="12" t="s">
        <v>1105</v>
      </c>
      <c r="AB294" s="12"/>
    </row>
    <row r="295" customFormat="false" ht="29.85" hidden="false" customHeight="false" outlineLevel="0" collapsed="false">
      <c r="A295" s="15" t="n">
        <v>294</v>
      </c>
      <c r="B295" s="9" t="s">
        <v>55</v>
      </c>
      <c r="C295" s="9" t="s">
        <v>303</v>
      </c>
      <c r="D295" s="10" t="s">
        <v>304</v>
      </c>
      <c r="E295" s="11" t="s">
        <v>1106</v>
      </c>
      <c r="F295" s="17"/>
      <c r="G295" s="12" t="s">
        <v>1107</v>
      </c>
      <c r="H295" s="13" t="n">
        <v>-0.163</v>
      </c>
      <c r="I295" s="14"/>
      <c r="J295" s="17"/>
      <c r="K295" s="9"/>
      <c r="L295" s="15" t="s">
        <v>50</v>
      </c>
      <c r="M295" s="16" t="s">
        <v>51</v>
      </c>
      <c r="N295" s="14"/>
      <c r="O295" s="15" t="s">
        <v>52</v>
      </c>
      <c r="P295" s="17" t="s">
        <v>53</v>
      </c>
      <c r="Q295" s="15"/>
      <c r="R295" s="18" t="s">
        <v>51</v>
      </c>
      <c r="S295" s="19"/>
      <c r="T295" s="17" t="str">
        <f aca="false">IF(R295="維持",J295,IF(R295="排除","無關新聞事件",IFERROR(INDEX(事件規則!$B$2:$B$53,MATCH(S295,事件規則!$A$2:$A$53,0)),"")))</f>
        <v>無關新聞事件</v>
      </c>
      <c r="U295" s="20" t="n">
        <f aca="false">IF(R295="維持",K295,IF(R295="排除",0,IFERROR(INDEX(事件規則!$C$2:$C$53,MATCH(S295,事件規則!$A$2:$A$53,0)),"")))</f>
        <v>0</v>
      </c>
      <c r="V295" s="21"/>
      <c r="W295" s="22"/>
      <c r="X295" s="10" t="str">
        <f aca="false">IF(AND(R295="修改",S295=""),"請選新事件代碼",IF(AND(R295&lt;&gt;"修改",S295&lt;&gt;""),"只有「修改」才需填代碼",""))</f>
        <v/>
      </c>
      <c r="Y295" s="21"/>
      <c r="Z295" s="22"/>
      <c r="AA295" s="12" t="s">
        <v>1108</v>
      </c>
      <c r="AB295" s="12"/>
    </row>
    <row r="296" customFormat="false" ht="15" hidden="false" customHeight="false" outlineLevel="0" collapsed="false">
      <c r="A296" s="15" t="n">
        <v>295</v>
      </c>
      <c r="B296" s="9" t="s">
        <v>45</v>
      </c>
      <c r="C296" s="9" t="s">
        <v>449</v>
      </c>
      <c r="D296" s="10" t="s">
        <v>450</v>
      </c>
      <c r="E296" s="11" t="s">
        <v>1109</v>
      </c>
      <c r="F296" s="17"/>
      <c r="G296" s="12" t="s">
        <v>1110</v>
      </c>
      <c r="H296" s="13" t="n">
        <v>-0.161</v>
      </c>
      <c r="I296" s="14"/>
      <c r="J296" s="17"/>
      <c r="K296" s="9"/>
      <c r="L296" s="15" t="s">
        <v>50</v>
      </c>
      <c r="M296" s="16" t="s">
        <v>131</v>
      </c>
      <c r="N296" s="14" t="s">
        <v>181</v>
      </c>
      <c r="O296" s="15" t="s">
        <v>193</v>
      </c>
      <c r="P296" s="10" t="s">
        <v>453</v>
      </c>
      <c r="Q296" s="15"/>
      <c r="R296" s="18" t="s">
        <v>131</v>
      </c>
      <c r="S296" s="19" t="s">
        <v>181</v>
      </c>
      <c r="T296" s="17" t="str">
        <f aca="false">IF(R296="維持",J296,IF(R296="排除","無關新聞事件",IFERROR(INDEX(事件規則!$B$2:$B$53,MATCH(S296,事件規則!$A$2:$A$53,0)),"")))</f>
        <v>股價下跌</v>
      </c>
      <c r="U296" s="20" t="n">
        <f aca="false">IF(R296="維持",K296,IF(R296="排除",0,IFERROR(INDEX(事件規則!$C$2:$C$53,MATCH(S296,事件規則!$A$2:$A$53,0)),"")))</f>
        <v>1</v>
      </c>
      <c r="V296" s="21"/>
      <c r="W296" s="22"/>
      <c r="X296" s="10" t="str">
        <f aca="false">IF(AND(R296="修改",S296=""),"請選新事件代碼",IF(AND(R296&lt;&gt;"修改",S296&lt;&gt;""),"只有「修改」才需填代碼",""))</f>
        <v/>
      </c>
      <c r="Y296" s="21"/>
      <c r="Z296" s="22"/>
      <c r="AA296" s="12" t="s">
        <v>1111</v>
      </c>
      <c r="AB296" s="12"/>
    </row>
    <row r="297" customFormat="false" ht="29.85" hidden="false" customHeight="false" outlineLevel="0" collapsed="false">
      <c r="A297" s="15" t="n">
        <v>296</v>
      </c>
      <c r="B297" s="9" t="s">
        <v>45</v>
      </c>
      <c r="C297" s="9" t="s">
        <v>1112</v>
      </c>
      <c r="D297" s="10" t="s">
        <v>1113</v>
      </c>
      <c r="E297" s="11" t="s">
        <v>1114</v>
      </c>
      <c r="F297" s="17"/>
      <c r="G297" s="12" t="s">
        <v>49</v>
      </c>
      <c r="H297" s="13" t="n">
        <v>-0.161</v>
      </c>
      <c r="I297" s="14"/>
      <c r="J297" s="17"/>
      <c r="K297" s="9"/>
      <c r="L297" s="15" t="s">
        <v>50</v>
      </c>
      <c r="M297" s="16" t="s">
        <v>51</v>
      </c>
      <c r="N297" s="14"/>
      <c r="O297" s="15" t="s">
        <v>52</v>
      </c>
      <c r="P297" s="17" t="s">
        <v>53</v>
      </c>
      <c r="Q297" s="15"/>
      <c r="R297" s="18" t="s">
        <v>51</v>
      </c>
      <c r="S297" s="19"/>
      <c r="T297" s="17" t="str">
        <f aca="false">IF(R297="維持",J297,IF(R297="排除","無關新聞事件",IFERROR(INDEX(事件規則!$B$2:$B$53,MATCH(S297,事件規則!$A$2:$A$53,0)),"")))</f>
        <v>無關新聞事件</v>
      </c>
      <c r="U297" s="20" t="n">
        <f aca="false">IF(R297="維持",K297,IF(R297="排除",0,IFERROR(INDEX(事件規則!$C$2:$C$53,MATCH(S297,事件規則!$A$2:$A$53,0)),"")))</f>
        <v>0</v>
      </c>
      <c r="V297" s="21"/>
      <c r="W297" s="22"/>
      <c r="X297" s="10" t="str">
        <f aca="false">IF(AND(R297="修改",S297=""),"請選新事件代碼",IF(AND(R297&lt;&gt;"修改",S297&lt;&gt;""),"只有「修改」才需填代碼",""))</f>
        <v/>
      </c>
      <c r="Y297" s="21"/>
      <c r="Z297" s="22"/>
      <c r="AA297" s="12" t="s">
        <v>1115</v>
      </c>
      <c r="AB297" s="12"/>
    </row>
    <row r="298" customFormat="false" ht="29.85" hidden="false" customHeight="false" outlineLevel="0" collapsed="false">
      <c r="A298" s="15" t="n">
        <v>297</v>
      </c>
      <c r="B298" s="9" t="s">
        <v>45</v>
      </c>
      <c r="C298" s="9" t="s">
        <v>1116</v>
      </c>
      <c r="D298" s="10" t="s">
        <v>1117</v>
      </c>
      <c r="E298" s="11" t="s">
        <v>1118</v>
      </c>
      <c r="F298" s="17"/>
      <c r="G298" s="12" t="s">
        <v>1119</v>
      </c>
      <c r="H298" s="13" t="n">
        <v>-0.159</v>
      </c>
      <c r="I298" s="14"/>
      <c r="J298" s="17"/>
      <c r="K298" s="9"/>
      <c r="L298" s="15" t="s">
        <v>50</v>
      </c>
      <c r="M298" s="16" t="s">
        <v>51</v>
      </c>
      <c r="N298" s="14"/>
      <c r="O298" s="15" t="s">
        <v>52</v>
      </c>
      <c r="P298" s="17" t="s">
        <v>53</v>
      </c>
      <c r="Q298" s="15"/>
      <c r="R298" s="18" t="s">
        <v>51</v>
      </c>
      <c r="S298" s="19"/>
      <c r="T298" s="17" t="str">
        <f aca="false">IF(R298="維持",J298,IF(R298="排除","無關新聞事件",IFERROR(INDEX(事件規則!$B$2:$B$53,MATCH(S298,事件規則!$A$2:$A$53,0)),"")))</f>
        <v>無關新聞事件</v>
      </c>
      <c r="U298" s="20" t="n">
        <f aca="false">IF(R298="維持",K298,IF(R298="排除",0,IFERROR(INDEX(事件規則!$C$2:$C$53,MATCH(S298,事件規則!$A$2:$A$53,0)),"")))</f>
        <v>0</v>
      </c>
      <c r="V298" s="21"/>
      <c r="W298" s="22"/>
      <c r="X298" s="10" t="str">
        <f aca="false">IF(AND(R298="修改",S298=""),"請選新事件代碼",IF(AND(R298&lt;&gt;"修改",S298&lt;&gt;""),"只有「修改」才需填代碼",""))</f>
        <v/>
      </c>
      <c r="Y298" s="21"/>
      <c r="Z298" s="22"/>
      <c r="AA298" s="12" t="s">
        <v>1120</v>
      </c>
      <c r="AB298" s="12"/>
    </row>
    <row r="299" customFormat="false" ht="29.85" hidden="false" customHeight="false" outlineLevel="0" collapsed="false">
      <c r="A299" s="15" t="n">
        <v>298</v>
      </c>
      <c r="B299" s="9" t="s">
        <v>55</v>
      </c>
      <c r="C299" s="9" t="s">
        <v>1121</v>
      </c>
      <c r="D299" s="10" t="s">
        <v>1122</v>
      </c>
      <c r="E299" s="11" t="s">
        <v>1123</v>
      </c>
      <c r="F299" s="17"/>
      <c r="G299" s="12" t="s">
        <v>1124</v>
      </c>
      <c r="H299" s="13" t="n">
        <v>-0.158</v>
      </c>
      <c r="I299" s="14"/>
      <c r="J299" s="17"/>
      <c r="K299" s="9"/>
      <c r="L299" s="15" t="s">
        <v>50</v>
      </c>
      <c r="M299" s="16" t="s">
        <v>51</v>
      </c>
      <c r="N299" s="14"/>
      <c r="O299" s="15" t="s">
        <v>52</v>
      </c>
      <c r="P299" s="17" t="s">
        <v>53</v>
      </c>
      <c r="Q299" s="15"/>
      <c r="R299" s="18" t="s">
        <v>51</v>
      </c>
      <c r="S299" s="19"/>
      <c r="T299" s="17" t="str">
        <f aca="false">IF(R299="維持",J299,IF(R299="排除","無關新聞事件",IFERROR(INDEX(事件規則!$B$2:$B$53,MATCH(S299,事件規則!$A$2:$A$53,0)),"")))</f>
        <v>無關新聞事件</v>
      </c>
      <c r="U299" s="20" t="n">
        <f aca="false">IF(R299="維持",K299,IF(R299="排除",0,IFERROR(INDEX(事件規則!$C$2:$C$53,MATCH(S299,事件規則!$A$2:$A$53,0)),"")))</f>
        <v>0</v>
      </c>
      <c r="V299" s="21"/>
      <c r="W299" s="22"/>
      <c r="X299" s="10" t="str">
        <f aca="false">IF(AND(R299="修改",S299=""),"請選新事件代碼",IF(AND(R299&lt;&gt;"修改",S299&lt;&gt;""),"只有「修改」才需填代碼",""))</f>
        <v/>
      </c>
      <c r="Y299" s="21"/>
      <c r="Z299" s="22"/>
      <c r="AA299" s="12" t="s">
        <v>1125</v>
      </c>
      <c r="AB299" s="12"/>
    </row>
    <row r="300" customFormat="false" ht="29.85" hidden="false" customHeight="false" outlineLevel="0" collapsed="false">
      <c r="A300" s="15" t="n">
        <v>299</v>
      </c>
      <c r="B300" s="9" t="s">
        <v>55</v>
      </c>
      <c r="C300" s="9" t="s">
        <v>178</v>
      </c>
      <c r="D300" s="10" t="s">
        <v>179</v>
      </c>
      <c r="E300" s="11" t="s">
        <v>1126</v>
      </c>
      <c r="F300" s="17"/>
      <c r="G300" s="12" t="s">
        <v>649</v>
      </c>
      <c r="H300" s="13" t="n">
        <v>-0.158</v>
      </c>
      <c r="I300" s="14"/>
      <c r="J300" s="17"/>
      <c r="K300" s="9"/>
      <c r="L300" s="15" t="s">
        <v>50</v>
      </c>
      <c r="M300" s="16" t="s">
        <v>51</v>
      </c>
      <c r="N300" s="14"/>
      <c r="O300" s="15" t="s">
        <v>52</v>
      </c>
      <c r="P300" s="17" t="s">
        <v>53</v>
      </c>
      <c r="Q300" s="15"/>
      <c r="R300" s="18" t="s">
        <v>51</v>
      </c>
      <c r="S300" s="19"/>
      <c r="T300" s="17" t="str">
        <f aca="false">IF(R300="維持",J300,IF(R300="排除","無關新聞事件",IFERROR(INDEX(事件規則!$B$2:$B$53,MATCH(S300,事件規則!$A$2:$A$53,0)),"")))</f>
        <v>無關新聞事件</v>
      </c>
      <c r="U300" s="20" t="n">
        <f aca="false">IF(R300="維持",K300,IF(R300="排除",0,IFERROR(INDEX(事件規則!$C$2:$C$53,MATCH(S300,事件規則!$A$2:$A$53,0)),"")))</f>
        <v>0</v>
      </c>
      <c r="V300" s="21"/>
      <c r="W300" s="22"/>
      <c r="X300" s="10" t="str">
        <f aca="false">IF(AND(R300="修改",S300=""),"請選新事件代碼",IF(AND(R300&lt;&gt;"修改",S300&lt;&gt;""),"只有「修改」才需填代碼",""))</f>
        <v/>
      </c>
      <c r="Y300" s="21"/>
      <c r="Z300" s="22"/>
      <c r="AA300" s="12" t="s">
        <v>1127</v>
      </c>
      <c r="AB300" s="12"/>
    </row>
    <row r="301" customFormat="false" ht="29.85" hidden="false" customHeight="false" outlineLevel="0" collapsed="false">
      <c r="A301" s="15" t="n">
        <v>300</v>
      </c>
      <c r="B301" s="9" t="s">
        <v>45</v>
      </c>
      <c r="C301" s="9" t="s">
        <v>607</v>
      </c>
      <c r="D301" s="10" t="s">
        <v>608</v>
      </c>
      <c r="E301" s="11" t="s">
        <v>1128</v>
      </c>
      <c r="F301" s="17"/>
      <c r="G301" s="12" t="s">
        <v>49</v>
      </c>
      <c r="H301" s="13" t="n">
        <v>-0.156</v>
      </c>
      <c r="I301" s="14"/>
      <c r="J301" s="17"/>
      <c r="K301" s="9"/>
      <c r="L301" s="15" t="s">
        <v>50</v>
      </c>
      <c r="M301" s="16" t="s">
        <v>51</v>
      </c>
      <c r="N301" s="14"/>
      <c r="O301" s="15" t="s">
        <v>52</v>
      </c>
      <c r="P301" s="17" t="s">
        <v>53</v>
      </c>
      <c r="Q301" s="15"/>
      <c r="R301" s="18" t="s">
        <v>51</v>
      </c>
      <c r="S301" s="19"/>
      <c r="T301" s="17" t="str">
        <f aca="false">IF(R301="維持",J301,IF(R301="排除","無關新聞事件",IFERROR(INDEX(事件規則!$B$2:$B$53,MATCH(S301,事件規則!$A$2:$A$53,0)),"")))</f>
        <v>無關新聞事件</v>
      </c>
      <c r="U301" s="20" t="n">
        <f aca="false">IF(R301="維持",K301,IF(R301="排除",0,IFERROR(INDEX(事件規則!$C$2:$C$53,MATCH(S301,事件規則!$A$2:$A$53,0)),"")))</f>
        <v>0</v>
      </c>
      <c r="V301" s="21"/>
      <c r="W301" s="22"/>
      <c r="X301" s="10" t="str">
        <f aca="false">IF(AND(R301="修改",S301=""),"請選新事件代碼",IF(AND(R301&lt;&gt;"修改",S301&lt;&gt;""),"只有「修改」才需填代碼",""))</f>
        <v/>
      </c>
      <c r="Y301" s="21"/>
      <c r="Z301" s="22"/>
      <c r="AA301" s="12" t="s">
        <v>1129</v>
      </c>
      <c r="AB301" s="12"/>
    </row>
    <row r="302" customFormat="false" ht="29.85" hidden="false" customHeight="false" outlineLevel="0" collapsed="false">
      <c r="A302" s="15" t="n">
        <v>301</v>
      </c>
      <c r="B302" s="9" t="s">
        <v>45</v>
      </c>
      <c r="C302" s="9" t="s">
        <v>635</v>
      </c>
      <c r="D302" s="10" t="s">
        <v>636</v>
      </c>
      <c r="E302" s="11" t="s">
        <v>1130</v>
      </c>
      <c r="F302" s="17"/>
      <c r="G302" s="12" t="s">
        <v>235</v>
      </c>
      <c r="H302" s="13" t="n">
        <v>-0.154</v>
      </c>
      <c r="I302" s="14"/>
      <c r="J302" s="17"/>
      <c r="K302" s="9"/>
      <c r="L302" s="15" t="s">
        <v>50</v>
      </c>
      <c r="M302" s="16" t="s">
        <v>51</v>
      </c>
      <c r="N302" s="14"/>
      <c r="O302" s="15" t="s">
        <v>52</v>
      </c>
      <c r="P302" s="17" t="s">
        <v>53</v>
      </c>
      <c r="Q302" s="15"/>
      <c r="R302" s="18" t="s">
        <v>51</v>
      </c>
      <c r="S302" s="19"/>
      <c r="T302" s="17" t="str">
        <f aca="false">IF(R302="維持",J302,IF(R302="排除","無關新聞事件",IFERROR(INDEX(事件規則!$B$2:$B$53,MATCH(S302,事件規則!$A$2:$A$53,0)),"")))</f>
        <v>無關新聞事件</v>
      </c>
      <c r="U302" s="20" t="n">
        <f aca="false">IF(R302="維持",K302,IF(R302="排除",0,IFERROR(INDEX(事件規則!$C$2:$C$53,MATCH(S302,事件規則!$A$2:$A$53,0)),"")))</f>
        <v>0</v>
      </c>
      <c r="V302" s="21"/>
      <c r="W302" s="22"/>
      <c r="X302" s="10" t="str">
        <f aca="false">IF(AND(R302="修改",S302=""),"請選新事件代碼",IF(AND(R302&lt;&gt;"修改",S302&lt;&gt;""),"只有「修改」才需填代碼",""))</f>
        <v/>
      </c>
      <c r="Y302" s="21"/>
      <c r="Z302" s="22"/>
      <c r="AA302" s="12" t="s">
        <v>1131</v>
      </c>
      <c r="AB302" s="12"/>
    </row>
    <row r="303" customFormat="false" ht="29.85" hidden="false" customHeight="false" outlineLevel="0" collapsed="false">
      <c r="A303" s="15" t="n">
        <v>302</v>
      </c>
      <c r="B303" s="9" t="s">
        <v>55</v>
      </c>
      <c r="C303" s="9" t="s">
        <v>484</v>
      </c>
      <c r="D303" s="10" t="s">
        <v>485</v>
      </c>
      <c r="E303" s="11" t="s">
        <v>1132</v>
      </c>
      <c r="F303" s="17"/>
      <c r="G303" s="12" t="s">
        <v>1133</v>
      </c>
      <c r="H303" s="13" t="n">
        <v>-0.154</v>
      </c>
      <c r="I303" s="14"/>
      <c r="J303" s="17"/>
      <c r="K303" s="9"/>
      <c r="L303" s="15" t="s">
        <v>50</v>
      </c>
      <c r="M303" s="16" t="s">
        <v>51</v>
      </c>
      <c r="N303" s="14"/>
      <c r="O303" s="15" t="s">
        <v>52</v>
      </c>
      <c r="P303" s="17" t="s">
        <v>53</v>
      </c>
      <c r="Q303" s="15"/>
      <c r="R303" s="18" t="s">
        <v>51</v>
      </c>
      <c r="S303" s="19"/>
      <c r="T303" s="17" t="str">
        <f aca="false">IF(R303="維持",J303,IF(R303="排除","無關新聞事件",IFERROR(INDEX(事件規則!$B$2:$B$53,MATCH(S303,事件規則!$A$2:$A$53,0)),"")))</f>
        <v>無關新聞事件</v>
      </c>
      <c r="U303" s="20" t="n">
        <f aca="false">IF(R303="維持",K303,IF(R303="排除",0,IFERROR(INDEX(事件規則!$C$2:$C$53,MATCH(S303,事件規則!$A$2:$A$53,0)),"")))</f>
        <v>0</v>
      </c>
      <c r="V303" s="21"/>
      <c r="W303" s="22"/>
      <c r="X303" s="10" t="str">
        <f aca="false">IF(AND(R303="修改",S303=""),"請選新事件代碼",IF(AND(R303&lt;&gt;"修改",S303&lt;&gt;""),"只有「修改」才需填代碼",""))</f>
        <v/>
      </c>
      <c r="Y303" s="21"/>
      <c r="Z303" s="22"/>
      <c r="AA303" s="12" t="s">
        <v>1134</v>
      </c>
      <c r="AB303" s="12"/>
    </row>
    <row r="304" customFormat="false" ht="29.85" hidden="false" customHeight="false" outlineLevel="0" collapsed="false">
      <c r="A304" s="15" t="n">
        <v>303</v>
      </c>
      <c r="B304" s="9" t="s">
        <v>45</v>
      </c>
      <c r="C304" s="9" t="s">
        <v>56</v>
      </c>
      <c r="D304" s="10" t="s">
        <v>57</v>
      </c>
      <c r="E304" s="11" t="s">
        <v>1135</v>
      </c>
      <c r="F304" s="17"/>
      <c r="G304" s="12" t="s">
        <v>1136</v>
      </c>
      <c r="H304" s="13" t="n">
        <v>-0.152</v>
      </c>
      <c r="I304" s="14"/>
      <c r="J304" s="17"/>
      <c r="K304" s="9"/>
      <c r="L304" s="15" t="s">
        <v>50</v>
      </c>
      <c r="M304" s="16" t="s">
        <v>51</v>
      </c>
      <c r="N304" s="14"/>
      <c r="O304" s="15" t="s">
        <v>52</v>
      </c>
      <c r="P304" s="17" t="s">
        <v>53</v>
      </c>
      <c r="Q304" s="15"/>
      <c r="R304" s="18" t="s">
        <v>51</v>
      </c>
      <c r="S304" s="19"/>
      <c r="T304" s="17" t="str">
        <f aca="false">IF(R304="維持",J304,IF(R304="排除","無關新聞事件",IFERROR(INDEX(事件規則!$B$2:$B$53,MATCH(S304,事件規則!$A$2:$A$53,0)),"")))</f>
        <v>無關新聞事件</v>
      </c>
      <c r="U304" s="20" t="n">
        <f aca="false">IF(R304="維持",K304,IF(R304="排除",0,IFERROR(INDEX(事件規則!$C$2:$C$53,MATCH(S304,事件規則!$A$2:$A$53,0)),"")))</f>
        <v>0</v>
      </c>
      <c r="V304" s="21"/>
      <c r="W304" s="22"/>
      <c r="X304" s="10" t="str">
        <f aca="false">IF(AND(R304="修改",S304=""),"請選新事件代碼",IF(AND(R304&lt;&gt;"修改",S304&lt;&gt;""),"只有「修改」才需填代碼",""))</f>
        <v/>
      </c>
      <c r="Y304" s="21"/>
      <c r="Z304" s="22"/>
      <c r="AA304" s="12" t="s">
        <v>1137</v>
      </c>
      <c r="AB304" s="12"/>
    </row>
    <row r="305" customFormat="false" ht="29.85" hidden="false" customHeight="false" outlineLevel="0" collapsed="false">
      <c r="A305" s="15" t="n">
        <v>304</v>
      </c>
      <c r="B305" s="9" t="s">
        <v>45</v>
      </c>
      <c r="C305" s="9" t="s">
        <v>1138</v>
      </c>
      <c r="D305" s="10" t="s">
        <v>1139</v>
      </c>
      <c r="E305" s="11" t="s">
        <v>1140</v>
      </c>
      <c r="F305" s="17"/>
      <c r="G305" s="12" t="s">
        <v>69</v>
      </c>
      <c r="H305" s="13" t="n">
        <v>-0.152</v>
      </c>
      <c r="I305" s="14"/>
      <c r="J305" s="17"/>
      <c r="K305" s="9"/>
      <c r="L305" s="15" t="s">
        <v>50</v>
      </c>
      <c r="M305" s="16" t="s">
        <v>51</v>
      </c>
      <c r="N305" s="14"/>
      <c r="O305" s="15" t="s">
        <v>52</v>
      </c>
      <c r="P305" s="17" t="s">
        <v>53</v>
      </c>
      <c r="Q305" s="15"/>
      <c r="R305" s="18" t="s">
        <v>51</v>
      </c>
      <c r="S305" s="19"/>
      <c r="T305" s="17" t="str">
        <f aca="false">IF(R305="維持",J305,IF(R305="排除","無關新聞事件",IFERROR(INDEX(事件規則!$B$2:$B$53,MATCH(S305,事件規則!$A$2:$A$53,0)),"")))</f>
        <v>無關新聞事件</v>
      </c>
      <c r="U305" s="20" t="n">
        <f aca="false">IF(R305="維持",K305,IF(R305="排除",0,IFERROR(INDEX(事件規則!$C$2:$C$53,MATCH(S305,事件規則!$A$2:$A$53,0)),"")))</f>
        <v>0</v>
      </c>
      <c r="V305" s="21"/>
      <c r="W305" s="22"/>
      <c r="X305" s="10" t="str">
        <f aca="false">IF(AND(R305="修改",S305=""),"請選新事件代碼",IF(AND(R305&lt;&gt;"修改",S305&lt;&gt;""),"只有「修改」才需填代碼",""))</f>
        <v/>
      </c>
      <c r="Y305" s="21"/>
      <c r="Z305" s="22"/>
      <c r="AA305" s="12" t="s">
        <v>1141</v>
      </c>
      <c r="AB305" s="12"/>
    </row>
    <row r="306" customFormat="false" ht="29.85" hidden="false" customHeight="false" outlineLevel="0" collapsed="false">
      <c r="A306" s="15" t="n">
        <v>305</v>
      </c>
      <c r="B306" s="9" t="s">
        <v>45</v>
      </c>
      <c r="C306" s="9" t="s">
        <v>1021</v>
      </c>
      <c r="D306" s="10" t="s">
        <v>1022</v>
      </c>
      <c r="E306" s="11" t="s">
        <v>1142</v>
      </c>
      <c r="F306" s="17"/>
      <c r="G306" s="12" t="s">
        <v>1143</v>
      </c>
      <c r="H306" s="13" t="n">
        <v>-0.15</v>
      </c>
      <c r="I306" s="14"/>
      <c r="J306" s="17"/>
      <c r="K306" s="9"/>
      <c r="L306" s="15" t="s">
        <v>50</v>
      </c>
      <c r="M306" s="16" t="s">
        <v>51</v>
      </c>
      <c r="N306" s="14"/>
      <c r="O306" s="15" t="s">
        <v>52</v>
      </c>
      <c r="P306" s="17" t="s">
        <v>53</v>
      </c>
      <c r="Q306" s="15"/>
      <c r="R306" s="18" t="s">
        <v>51</v>
      </c>
      <c r="S306" s="19"/>
      <c r="T306" s="17" t="str">
        <f aca="false">IF(R306="維持",J306,IF(R306="排除","無關新聞事件",IFERROR(INDEX(事件規則!$B$2:$B$53,MATCH(S306,事件規則!$A$2:$A$53,0)),"")))</f>
        <v>無關新聞事件</v>
      </c>
      <c r="U306" s="20" t="n">
        <f aca="false">IF(R306="維持",K306,IF(R306="排除",0,IFERROR(INDEX(事件規則!$C$2:$C$53,MATCH(S306,事件規則!$A$2:$A$53,0)),"")))</f>
        <v>0</v>
      </c>
      <c r="V306" s="21"/>
      <c r="W306" s="22"/>
      <c r="X306" s="10" t="str">
        <f aca="false">IF(AND(R306="修改",S306=""),"請選新事件代碼",IF(AND(R306&lt;&gt;"修改",S306&lt;&gt;""),"只有「修改」才需填代碼",""))</f>
        <v/>
      </c>
      <c r="Y306" s="21"/>
      <c r="Z306" s="22"/>
      <c r="AA306" s="12" t="s">
        <v>1144</v>
      </c>
      <c r="AB306" s="12"/>
    </row>
    <row r="307" customFormat="false" ht="29.85" hidden="false" customHeight="false" outlineLevel="0" collapsed="false">
      <c r="A307" s="15" t="n">
        <v>306</v>
      </c>
      <c r="B307" s="9" t="s">
        <v>45</v>
      </c>
      <c r="C307" s="9" t="s">
        <v>458</v>
      </c>
      <c r="D307" s="10" t="s">
        <v>459</v>
      </c>
      <c r="E307" s="11" t="s">
        <v>1145</v>
      </c>
      <c r="F307" s="17"/>
      <c r="G307" s="12" t="s">
        <v>49</v>
      </c>
      <c r="H307" s="13" t="n">
        <v>-0.149</v>
      </c>
      <c r="I307" s="14"/>
      <c r="J307" s="17"/>
      <c r="K307" s="9"/>
      <c r="L307" s="15" t="s">
        <v>50</v>
      </c>
      <c r="M307" s="16" t="s">
        <v>51</v>
      </c>
      <c r="N307" s="14"/>
      <c r="O307" s="15" t="s">
        <v>52</v>
      </c>
      <c r="P307" s="17" t="s">
        <v>53</v>
      </c>
      <c r="Q307" s="15"/>
      <c r="R307" s="18" t="s">
        <v>51</v>
      </c>
      <c r="S307" s="19"/>
      <c r="T307" s="17" t="str">
        <f aca="false">IF(R307="維持",J307,IF(R307="排除","無關新聞事件",IFERROR(INDEX(事件規則!$B$2:$B$53,MATCH(S307,事件規則!$A$2:$A$53,0)),"")))</f>
        <v>無關新聞事件</v>
      </c>
      <c r="U307" s="20" t="n">
        <f aca="false">IF(R307="維持",K307,IF(R307="排除",0,IFERROR(INDEX(事件規則!$C$2:$C$53,MATCH(S307,事件規則!$A$2:$A$53,0)),"")))</f>
        <v>0</v>
      </c>
      <c r="V307" s="21"/>
      <c r="W307" s="22"/>
      <c r="X307" s="10" t="str">
        <f aca="false">IF(AND(R307="修改",S307=""),"請選新事件代碼",IF(AND(R307&lt;&gt;"修改",S307&lt;&gt;""),"只有「修改」才需填代碼",""))</f>
        <v/>
      </c>
      <c r="Y307" s="21"/>
      <c r="Z307" s="22"/>
      <c r="AA307" s="12" t="s">
        <v>1146</v>
      </c>
      <c r="AB307" s="12"/>
    </row>
    <row r="308" customFormat="false" ht="29.85" hidden="false" customHeight="false" outlineLevel="0" collapsed="false">
      <c r="A308" s="15" t="n">
        <v>307</v>
      </c>
      <c r="B308" s="9" t="s">
        <v>55</v>
      </c>
      <c r="C308" s="9" t="s">
        <v>1147</v>
      </c>
      <c r="D308" s="10" t="s">
        <v>1148</v>
      </c>
      <c r="E308" s="11" t="s">
        <v>1149</v>
      </c>
      <c r="F308" s="17"/>
      <c r="G308" s="12" t="s">
        <v>95</v>
      </c>
      <c r="H308" s="13" t="n">
        <v>-0.149</v>
      </c>
      <c r="I308" s="14"/>
      <c r="J308" s="17"/>
      <c r="K308" s="9"/>
      <c r="L308" s="15" t="s">
        <v>50</v>
      </c>
      <c r="M308" s="16" t="s">
        <v>51</v>
      </c>
      <c r="N308" s="14"/>
      <c r="O308" s="15" t="s">
        <v>52</v>
      </c>
      <c r="P308" s="17" t="s">
        <v>53</v>
      </c>
      <c r="Q308" s="15"/>
      <c r="R308" s="18" t="s">
        <v>51</v>
      </c>
      <c r="S308" s="19"/>
      <c r="T308" s="17" t="str">
        <f aca="false">IF(R308="維持",J308,IF(R308="排除","無關新聞事件",IFERROR(INDEX(事件規則!$B$2:$B$53,MATCH(S308,事件規則!$A$2:$A$53,0)),"")))</f>
        <v>無關新聞事件</v>
      </c>
      <c r="U308" s="20" t="n">
        <f aca="false">IF(R308="維持",K308,IF(R308="排除",0,IFERROR(INDEX(事件規則!$C$2:$C$53,MATCH(S308,事件規則!$A$2:$A$53,0)),"")))</f>
        <v>0</v>
      </c>
      <c r="V308" s="21"/>
      <c r="W308" s="22"/>
      <c r="X308" s="10" t="str">
        <f aca="false">IF(AND(R308="修改",S308=""),"請選新事件代碼",IF(AND(R308&lt;&gt;"修改",S308&lt;&gt;""),"只有「修改」才需填代碼",""))</f>
        <v/>
      </c>
      <c r="Y308" s="21"/>
      <c r="Z308" s="22"/>
      <c r="AA308" s="12" t="s">
        <v>1150</v>
      </c>
      <c r="AB308" s="12"/>
    </row>
    <row r="309" customFormat="false" ht="29.85" hidden="false" customHeight="false" outlineLevel="0" collapsed="false">
      <c r="A309" s="15" t="n">
        <v>308</v>
      </c>
      <c r="B309" s="9" t="s">
        <v>55</v>
      </c>
      <c r="C309" s="9" t="s">
        <v>1151</v>
      </c>
      <c r="D309" s="10" t="s">
        <v>1152</v>
      </c>
      <c r="E309" s="11" t="s">
        <v>1153</v>
      </c>
      <c r="F309" s="17"/>
      <c r="G309" s="12" t="s">
        <v>142</v>
      </c>
      <c r="H309" s="13" t="n">
        <v>-0.149</v>
      </c>
      <c r="I309" s="14"/>
      <c r="J309" s="17"/>
      <c r="K309" s="9"/>
      <c r="L309" s="15" t="s">
        <v>50</v>
      </c>
      <c r="M309" s="16" t="s">
        <v>51</v>
      </c>
      <c r="N309" s="14"/>
      <c r="O309" s="15" t="s">
        <v>52</v>
      </c>
      <c r="P309" s="17" t="s">
        <v>53</v>
      </c>
      <c r="Q309" s="15"/>
      <c r="R309" s="18" t="s">
        <v>51</v>
      </c>
      <c r="S309" s="19"/>
      <c r="T309" s="17" t="str">
        <f aca="false">IF(R309="維持",J309,IF(R309="排除","無關新聞事件",IFERROR(INDEX(事件規則!$B$2:$B$53,MATCH(S309,事件規則!$A$2:$A$53,0)),"")))</f>
        <v>無關新聞事件</v>
      </c>
      <c r="U309" s="20" t="n">
        <f aca="false">IF(R309="維持",K309,IF(R309="排除",0,IFERROR(INDEX(事件規則!$C$2:$C$53,MATCH(S309,事件規則!$A$2:$A$53,0)),"")))</f>
        <v>0</v>
      </c>
      <c r="V309" s="21"/>
      <c r="W309" s="22"/>
      <c r="X309" s="10" t="str">
        <f aca="false">IF(AND(R309="修改",S309=""),"請選新事件代碼",IF(AND(R309&lt;&gt;"修改",S309&lt;&gt;""),"只有「修改」才需填代碼",""))</f>
        <v/>
      </c>
      <c r="Y309" s="21"/>
      <c r="Z309" s="22"/>
      <c r="AA309" s="12" t="s">
        <v>1154</v>
      </c>
      <c r="AB309" s="12"/>
    </row>
    <row r="310" customFormat="false" ht="29.85" hidden="false" customHeight="false" outlineLevel="0" collapsed="false">
      <c r="A310" s="15" t="n">
        <v>309</v>
      </c>
      <c r="B310" s="9" t="s">
        <v>112</v>
      </c>
      <c r="C310" s="9" t="s">
        <v>227</v>
      </c>
      <c r="D310" s="10" t="s">
        <v>228</v>
      </c>
      <c r="E310" s="11" t="s">
        <v>1155</v>
      </c>
      <c r="F310" s="17"/>
      <c r="G310" s="12" t="s">
        <v>95</v>
      </c>
      <c r="H310" s="13" t="n">
        <v>-0.148</v>
      </c>
      <c r="I310" s="14"/>
      <c r="J310" s="17"/>
      <c r="K310" s="9"/>
      <c r="L310" s="15" t="s">
        <v>50</v>
      </c>
      <c r="M310" s="16" t="s">
        <v>51</v>
      </c>
      <c r="N310" s="14"/>
      <c r="O310" s="15" t="s">
        <v>52</v>
      </c>
      <c r="P310" s="17" t="s">
        <v>53</v>
      </c>
      <c r="Q310" s="15"/>
      <c r="R310" s="18" t="s">
        <v>51</v>
      </c>
      <c r="S310" s="19"/>
      <c r="T310" s="17" t="str">
        <f aca="false">IF(R310="維持",J310,IF(R310="排除","無關新聞事件",IFERROR(INDEX(事件規則!$B$2:$B$53,MATCH(S310,事件規則!$A$2:$A$53,0)),"")))</f>
        <v>無關新聞事件</v>
      </c>
      <c r="U310" s="20" t="n">
        <f aca="false">IF(R310="維持",K310,IF(R310="排除",0,IFERROR(INDEX(事件規則!$C$2:$C$53,MATCH(S310,事件規則!$A$2:$A$53,0)),"")))</f>
        <v>0</v>
      </c>
      <c r="V310" s="21"/>
      <c r="W310" s="22"/>
      <c r="X310" s="10" t="str">
        <f aca="false">IF(AND(R310="修改",S310=""),"請選新事件代碼",IF(AND(R310&lt;&gt;"修改",S310&lt;&gt;""),"只有「修改」才需填代碼",""))</f>
        <v/>
      </c>
      <c r="Y310" s="21"/>
      <c r="Z310" s="22"/>
      <c r="AA310" s="12" t="s">
        <v>1156</v>
      </c>
      <c r="AB310" s="12"/>
    </row>
    <row r="311" customFormat="false" ht="29.85" hidden="false" customHeight="false" outlineLevel="0" collapsed="false">
      <c r="A311" s="15" t="n">
        <v>310</v>
      </c>
      <c r="B311" s="9" t="s">
        <v>45</v>
      </c>
      <c r="C311" s="9" t="s">
        <v>268</v>
      </c>
      <c r="D311" s="10" t="s">
        <v>269</v>
      </c>
      <c r="E311" s="11" t="s">
        <v>1157</v>
      </c>
      <c r="F311" s="17"/>
      <c r="G311" s="12" t="s">
        <v>1006</v>
      </c>
      <c r="H311" s="13" t="n">
        <v>-0.148</v>
      </c>
      <c r="I311" s="14"/>
      <c r="J311" s="17"/>
      <c r="K311" s="9"/>
      <c r="L311" s="15" t="s">
        <v>50</v>
      </c>
      <c r="M311" s="16" t="s">
        <v>51</v>
      </c>
      <c r="N311" s="14"/>
      <c r="O311" s="15" t="s">
        <v>52</v>
      </c>
      <c r="P311" s="17" t="s">
        <v>53</v>
      </c>
      <c r="Q311" s="15"/>
      <c r="R311" s="18" t="s">
        <v>51</v>
      </c>
      <c r="S311" s="19"/>
      <c r="T311" s="17" t="str">
        <f aca="false">IF(R311="維持",J311,IF(R311="排除","無關新聞事件",IFERROR(INDEX(事件規則!$B$2:$B$53,MATCH(S311,事件規則!$A$2:$A$53,0)),"")))</f>
        <v>無關新聞事件</v>
      </c>
      <c r="U311" s="20" t="n">
        <f aca="false">IF(R311="維持",K311,IF(R311="排除",0,IFERROR(INDEX(事件規則!$C$2:$C$53,MATCH(S311,事件規則!$A$2:$A$53,0)),"")))</f>
        <v>0</v>
      </c>
      <c r="V311" s="21"/>
      <c r="W311" s="22"/>
      <c r="X311" s="10" t="str">
        <f aca="false">IF(AND(R311="修改",S311=""),"請選新事件代碼",IF(AND(R311&lt;&gt;"修改",S311&lt;&gt;""),"只有「修改」才需填代碼",""))</f>
        <v/>
      </c>
      <c r="Y311" s="21"/>
      <c r="Z311" s="22"/>
      <c r="AA311" s="12" t="s">
        <v>1158</v>
      </c>
      <c r="AB311" s="12"/>
    </row>
    <row r="312" customFormat="false" ht="29.85" hidden="false" customHeight="false" outlineLevel="0" collapsed="false">
      <c r="A312" s="15" t="n">
        <v>311</v>
      </c>
      <c r="B312" s="9" t="s">
        <v>45</v>
      </c>
      <c r="C312" s="9" t="s">
        <v>419</v>
      </c>
      <c r="D312" s="10" t="s">
        <v>420</v>
      </c>
      <c r="E312" s="11" t="s">
        <v>1159</v>
      </c>
      <c r="F312" s="17"/>
      <c r="G312" s="24" t="s">
        <v>1160</v>
      </c>
      <c r="H312" s="13" t="n">
        <v>-0.147</v>
      </c>
      <c r="I312" s="14"/>
      <c r="J312" s="17"/>
      <c r="K312" s="9"/>
      <c r="L312" s="15" t="s">
        <v>50</v>
      </c>
      <c r="M312" s="16" t="s">
        <v>51</v>
      </c>
      <c r="N312" s="14"/>
      <c r="O312" s="15" t="s">
        <v>52</v>
      </c>
      <c r="P312" s="17" t="s">
        <v>53</v>
      </c>
      <c r="Q312" s="15"/>
      <c r="R312" s="18" t="s">
        <v>51</v>
      </c>
      <c r="S312" s="19"/>
      <c r="T312" s="17" t="str">
        <f aca="false">IF(R312="維持",J312,IF(R312="排除","無關新聞事件",IFERROR(INDEX(事件規則!$B$2:$B$53,MATCH(S312,事件規則!$A$2:$A$53,0)),"")))</f>
        <v>無關新聞事件</v>
      </c>
      <c r="U312" s="20" t="n">
        <f aca="false">IF(R312="維持",K312,IF(R312="排除",0,IFERROR(INDEX(事件規則!$C$2:$C$53,MATCH(S312,事件規則!$A$2:$A$53,0)),"")))</f>
        <v>0</v>
      </c>
      <c r="V312" s="21"/>
      <c r="W312" s="22"/>
      <c r="X312" s="10" t="str">
        <f aca="false">IF(AND(R312="修改",S312=""),"請選新事件代碼",IF(AND(R312&lt;&gt;"修改",S312&lt;&gt;""),"只有「修改」才需填代碼",""))</f>
        <v/>
      </c>
      <c r="Y312" s="21"/>
      <c r="Z312" s="22"/>
      <c r="AA312" s="12" t="s">
        <v>1161</v>
      </c>
      <c r="AB312" s="24"/>
    </row>
    <row r="313" customFormat="false" ht="29.85" hidden="false" customHeight="false" outlineLevel="0" collapsed="false">
      <c r="A313" s="15" t="n">
        <v>312</v>
      </c>
      <c r="B313" s="9" t="s">
        <v>55</v>
      </c>
      <c r="C313" s="9" t="s">
        <v>1162</v>
      </c>
      <c r="D313" s="10" t="s">
        <v>1163</v>
      </c>
      <c r="E313" s="11" t="s">
        <v>1164</v>
      </c>
      <c r="F313" s="17"/>
      <c r="G313" s="12" t="s">
        <v>1165</v>
      </c>
      <c r="H313" s="13" t="n">
        <v>-0.147</v>
      </c>
      <c r="I313" s="14"/>
      <c r="J313" s="17"/>
      <c r="K313" s="9"/>
      <c r="L313" s="15" t="s">
        <v>50</v>
      </c>
      <c r="M313" s="16" t="s">
        <v>51</v>
      </c>
      <c r="N313" s="14"/>
      <c r="O313" s="15" t="s">
        <v>52</v>
      </c>
      <c r="P313" s="17" t="s">
        <v>53</v>
      </c>
      <c r="Q313" s="15"/>
      <c r="R313" s="18" t="s">
        <v>51</v>
      </c>
      <c r="S313" s="19"/>
      <c r="T313" s="17" t="str">
        <f aca="false">IF(R313="維持",J313,IF(R313="排除","無關新聞事件",IFERROR(INDEX(事件規則!$B$2:$B$53,MATCH(S313,事件規則!$A$2:$A$53,0)),"")))</f>
        <v>無關新聞事件</v>
      </c>
      <c r="U313" s="20" t="n">
        <f aca="false">IF(R313="維持",K313,IF(R313="排除",0,IFERROR(INDEX(事件規則!$C$2:$C$53,MATCH(S313,事件規則!$A$2:$A$53,0)),"")))</f>
        <v>0</v>
      </c>
      <c r="V313" s="21"/>
      <c r="W313" s="22"/>
      <c r="X313" s="10" t="str">
        <f aca="false">IF(AND(R313="修改",S313=""),"請選新事件代碼",IF(AND(R313&lt;&gt;"修改",S313&lt;&gt;""),"只有「修改」才需填代碼",""))</f>
        <v/>
      </c>
      <c r="Y313" s="21"/>
      <c r="Z313" s="22"/>
      <c r="AA313" s="12" t="s">
        <v>1166</v>
      </c>
      <c r="AB313" s="24"/>
    </row>
    <row r="314" customFormat="false" ht="29.85" hidden="false" customHeight="false" outlineLevel="0" collapsed="false">
      <c r="A314" s="15" t="n">
        <v>313</v>
      </c>
      <c r="B314" s="9" t="s">
        <v>112</v>
      </c>
      <c r="C314" s="9" t="s">
        <v>672</v>
      </c>
      <c r="D314" s="10" t="s">
        <v>673</v>
      </c>
      <c r="E314" s="11" t="s">
        <v>1167</v>
      </c>
      <c r="F314" s="17"/>
      <c r="G314" s="12" t="s">
        <v>642</v>
      </c>
      <c r="H314" s="13" t="n">
        <v>-0.147</v>
      </c>
      <c r="I314" s="14"/>
      <c r="J314" s="17"/>
      <c r="K314" s="9"/>
      <c r="L314" s="15" t="s">
        <v>50</v>
      </c>
      <c r="M314" s="16" t="s">
        <v>51</v>
      </c>
      <c r="N314" s="14"/>
      <c r="O314" s="15" t="s">
        <v>52</v>
      </c>
      <c r="P314" s="17" t="s">
        <v>53</v>
      </c>
      <c r="Q314" s="15"/>
      <c r="R314" s="18" t="s">
        <v>51</v>
      </c>
      <c r="S314" s="19"/>
      <c r="T314" s="17" t="str">
        <f aca="false">IF(R314="維持",J314,IF(R314="排除","無關新聞事件",IFERROR(INDEX(事件規則!$B$2:$B$53,MATCH(S314,事件規則!$A$2:$A$53,0)),"")))</f>
        <v>無關新聞事件</v>
      </c>
      <c r="U314" s="20" t="n">
        <f aca="false">IF(R314="維持",K314,IF(R314="排除",0,IFERROR(INDEX(事件規則!$C$2:$C$53,MATCH(S314,事件規則!$A$2:$A$53,0)),"")))</f>
        <v>0</v>
      </c>
      <c r="V314" s="21"/>
      <c r="W314" s="22"/>
      <c r="X314" s="10" t="str">
        <f aca="false">IF(AND(R314="修改",S314=""),"請選新事件代碼",IF(AND(R314&lt;&gt;"修改",S314&lt;&gt;""),"只有「修改」才需填代碼",""))</f>
        <v/>
      </c>
      <c r="Y314" s="21"/>
      <c r="Z314" s="22"/>
      <c r="AA314" s="12" t="s">
        <v>1168</v>
      </c>
      <c r="AB314" s="24"/>
    </row>
    <row r="315" customFormat="false" ht="29.85" hidden="false" customHeight="false" outlineLevel="0" collapsed="false">
      <c r="A315" s="15" t="n">
        <v>314</v>
      </c>
      <c r="B315" s="9" t="s">
        <v>55</v>
      </c>
      <c r="C315" s="9" t="s">
        <v>476</v>
      </c>
      <c r="D315" s="10" t="s">
        <v>477</v>
      </c>
      <c r="E315" s="11" t="s">
        <v>1164</v>
      </c>
      <c r="F315" s="17"/>
      <c r="G315" s="12" t="s">
        <v>1165</v>
      </c>
      <c r="H315" s="13" t="n">
        <v>-0.147</v>
      </c>
      <c r="I315" s="14"/>
      <c r="J315" s="17"/>
      <c r="K315" s="9"/>
      <c r="L315" s="15" t="s">
        <v>50</v>
      </c>
      <c r="M315" s="16" t="s">
        <v>51</v>
      </c>
      <c r="N315" s="14"/>
      <c r="O315" s="15" t="s">
        <v>52</v>
      </c>
      <c r="P315" s="17" t="s">
        <v>53</v>
      </c>
      <c r="Q315" s="15"/>
      <c r="R315" s="18" t="s">
        <v>51</v>
      </c>
      <c r="S315" s="19"/>
      <c r="T315" s="17" t="str">
        <f aca="false">IF(R315="維持",J315,IF(R315="排除","無關新聞事件",IFERROR(INDEX(事件規則!$B$2:$B$53,MATCH(S315,事件規則!$A$2:$A$53,0)),"")))</f>
        <v>無關新聞事件</v>
      </c>
      <c r="U315" s="20" t="n">
        <f aca="false">IF(R315="維持",K315,IF(R315="排除",0,IFERROR(INDEX(事件規則!$C$2:$C$53,MATCH(S315,事件規則!$A$2:$A$53,0)),"")))</f>
        <v>0</v>
      </c>
      <c r="V315" s="21"/>
      <c r="W315" s="22"/>
      <c r="X315" s="10" t="str">
        <f aca="false">IF(AND(R315="修改",S315=""),"請選新事件代碼",IF(AND(R315&lt;&gt;"修改",S315&lt;&gt;""),"只有「修改」才需填代碼",""))</f>
        <v/>
      </c>
      <c r="Y315" s="21"/>
      <c r="Z315" s="22"/>
      <c r="AA315" s="12" t="s">
        <v>1169</v>
      </c>
      <c r="AB315" s="24"/>
    </row>
    <row r="316" customFormat="false" ht="29.85" hidden="false" customHeight="false" outlineLevel="0" collapsed="false">
      <c r="A316" s="15" t="n">
        <v>315</v>
      </c>
      <c r="B316" s="9" t="s">
        <v>45</v>
      </c>
      <c r="C316" s="9" t="s">
        <v>144</v>
      </c>
      <c r="D316" s="10" t="s">
        <v>145</v>
      </c>
      <c r="E316" s="11" t="s">
        <v>1170</v>
      </c>
      <c r="F316" s="17"/>
      <c r="G316" s="12" t="s">
        <v>49</v>
      </c>
      <c r="H316" s="13" t="n">
        <v>-0.146</v>
      </c>
      <c r="I316" s="14"/>
      <c r="J316" s="17"/>
      <c r="K316" s="9"/>
      <c r="L316" s="15" t="s">
        <v>50</v>
      </c>
      <c r="M316" s="16" t="s">
        <v>51</v>
      </c>
      <c r="N316" s="14"/>
      <c r="O316" s="15" t="s">
        <v>52</v>
      </c>
      <c r="P316" s="17" t="s">
        <v>53</v>
      </c>
      <c r="Q316" s="15"/>
      <c r="R316" s="18" t="s">
        <v>51</v>
      </c>
      <c r="S316" s="19"/>
      <c r="T316" s="17" t="str">
        <f aca="false">IF(R316="維持",J316,IF(R316="排除","無關新聞事件",IFERROR(INDEX(事件規則!$B$2:$B$53,MATCH(S316,事件規則!$A$2:$A$53,0)),"")))</f>
        <v>無關新聞事件</v>
      </c>
      <c r="U316" s="20" t="n">
        <f aca="false">IF(R316="維持",K316,IF(R316="排除",0,IFERROR(INDEX(事件規則!$C$2:$C$53,MATCH(S316,事件規則!$A$2:$A$53,0)),"")))</f>
        <v>0</v>
      </c>
      <c r="V316" s="21"/>
      <c r="W316" s="22"/>
      <c r="X316" s="10" t="str">
        <f aca="false">IF(AND(R316="修改",S316=""),"請選新事件代碼",IF(AND(R316&lt;&gt;"修改",S316&lt;&gt;""),"只有「修改」才需填代碼",""))</f>
        <v/>
      </c>
      <c r="Y316" s="21"/>
      <c r="Z316" s="22"/>
      <c r="AA316" s="12" t="s">
        <v>1171</v>
      </c>
      <c r="AB316" s="24"/>
    </row>
    <row r="317" customFormat="false" ht="29.85" hidden="false" customHeight="false" outlineLevel="0" collapsed="false">
      <c r="A317" s="15" t="n">
        <v>316</v>
      </c>
      <c r="B317" s="9" t="s">
        <v>112</v>
      </c>
      <c r="C317" s="9" t="s">
        <v>698</v>
      </c>
      <c r="D317" s="10" t="s">
        <v>699</v>
      </c>
      <c r="E317" s="11" t="s">
        <v>1172</v>
      </c>
      <c r="F317" s="17"/>
      <c r="G317" s="12" t="s">
        <v>701</v>
      </c>
      <c r="H317" s="13" t="n">
        <v>-0.146</v>
      </c>
      <c r="I317" s="14"/>
      <c r="J317" s="17"/>
      <c r="K317" s="9"/>
      <c r="L317" s="15" t="s">
        <v>50</v>
      </c>
      <c r="M317" s="16" t="s">
        <v>51</v>
      </c>
      <c r="N317" s="14"/>
      <c r="O317" s="15" t="s">
        <v>52</v>
      </c>
      <c r="P317" s="17" t="s">
        <v>53</v>
      </c>
      <c r="Q317" s="15"/>
      <c r="R317" s="18" t="s">
        <v>51</v>
      </c>
      <c r="S317" s="19"/>
      <c r="T317" s="17" t="str">
        <f aca="false">IF(R317="維持",J317,IF(R317="排除","無關新聞事件",IFERROR(INDEX(事件規則!$B$2:$B$53,MATCH(S317,事件規則!$A$2:$A$53,0)),"")))</f>
        <v>無關新聞事件</v>
      </c>
      <c r="U317" s="20" t="n">
        <f aca="false">IF(R317="維持",K317,IF(R317="排除",0,IFERROR(INDEX(事件規則!$C$2:$C$53,MATCH(S317,事件規則!$A$2:$A$53,0)),"")))</f>
        <v>0</v>
      </c>
      <c r="V317" s="21"/>
      <c r="W317" s="22"/>
      <c r="X317" s="10" t="str">
        <f aca="false">IF(AND(R317="修改",S317=""),"請選新事件代碼",IF(AND(R317&lt;&gt;"修改",S317&lt;&gt;""),"只有「修改」才需填代碼",""))</f>
        <v/>
      </c>
      <c r="Y317" s="21"/>
      <c r="Z317" s="22"/>
      <c r="AA317" s="12" t="s">
        <v>1173</v>
      </c>
      <c r="AB317" s="24"/>
    </row>
    <row r="318" customFormat="false" ht="29.85" hidden="false" customHeight="false" outlineLevel="0" collapsed="false">
      <c r="A318" s="15" t="n">
        <v>317</v>
      </c>
      <c r="B318" s="9" t="s">
        <v>112</v>
      </c>
      <c r="C318" s="9" t="s">
        <v>127</v>
      </c>
      <c r="D318" s="10" t="s">
        <v>128</v>
      </c>
      <c r="E318" s="11" t="s">
        <v>1174</v>
      </c>
      <c r="F318" s="17"/>
      <c r="G318" s="12" t="s">
        <v>417</v>
      </c>
      <c r="H318" s="13" t="n">
        <v>-0.146</v>
      </c>
      <c r="I318" s="14"/>
      <c r="J318" s="17"/>
      <c r="K318" s="9"/>
      <c r="L318" s="15" t="s">
        <v>50</v>
      </c>
      <c r="M318" s="16" t="s">
        <v>131</v>
      </c>
      <c r="N318" s="14" t="s">
        <v>132</v>
      </c>
      <c r="O318" s="15" t="s">
        <v>52</v>
      </c>
      <c r="P318" s="17" t="s">
        <v>1175</v>
      </c>
      <c r="Q318" s="15"/>
      <c r="R318" s="18" t="s">
        <v>131</v>
      </c>
      <c r="S318" s="19" t="s">
        <v>132</v>
      </c>
      <c r="T318" s="17" t="str">
        <f aca="false">IF(R318="維持",J318,IF(R318="排除","無關新聞事件",IFERROR(INDEX(事件規則!$B$2:$B$53,MATCH(S318,事件規則!$A$2:$A$53,0)),"")))</f>
        <v>重大訴訟</v>
      </c>
      <c r="U318" s="20" t="n">
        <f aca="false">IF(R318="維持",K318,IF(R318="排除",0,IFERROR(INDEX(事件規則!$C$2:$C$53,MATCH(S318,事件規則!$A$2:$A$53,0)),"")))</f>
        <v>4</v>
      </c>
      <c r="V318" s="21"/>
      <c r="W318" s="22"/>
      <c r="X318" s="10" t="str">
        <f aca="false">IF(AND(R318="修改",S318=""),"請選新事件代碼",IF(AND(R318&lt;&gt;"修改",S318&lt;&gt;""),"只有「修改」才需填代碼",""))</f>
        <v/>
      </c>
      <c r="Y318" s="21"/>
      <c r="Z318" s="22"/>
      <c r="AA318" s="12" t="s">
        <v>1176</v>
      </c>
      <c r="AB318" s="24"/>
    </row>
    <row r="319" customFormat="false" ht="29.85" hidden="false" customHeight="false" outlineLevel="0" collapsed="false">
      <c r="A319" s="15" t="n">
        <v>318</v>
      </c>
      <c r="B319" s="9" t="s">
        <v>55</v>
      </c>
      <c r="C319" s="9" t="s">
        <v>484</v>
      </c>
      <c r="D319" s="10" t="s">
        <v>485</v>
      </c>
      <c r="E319" s="11" t="s">
        <v>1177</v>
      </c>
      <c r="F319" s="17"/>
      <c r="G319" s="12" t="s">
        <v>1178</v>
      </c>
      <c r="H319" s="13" t="n">
        <v>-0.145</v>
      </c>
      <c r="I319" s="14"/>
      <c r="J319" s="17"/>
      <c r="K319" s="9"/>
      <c r="L319" s="15" t="s">
        <v>50</v>
      </c>
      <c r="M319" s="16" t="s">
        <v>51</v>
      </c>
      <c r="N319" s="14"/>
      <c r="O319" s="15" t="s">
        <v>52</v>
      </c>
      <c r="P319" s="17" t="s">
        <v>53</v>
      </c>
      <c r="Q319" s="15"/>
      <c r="R319" s="18" t="s">
        <v>51</v>
      </c>
      <c r="S319" s="19"/>
      <c r="T319" s="17" t="str">
        <f aca="false">IF(R319="維持",J319,IF(R319="排除","無關新聞事件",IFERROR(INDEX(事件規則!$B$2:$B$53,MATCH(S319,事件規則!$A$2:$A$53,0)),"")))</f>
        <v>無關新聞事件</v>
      </c>
      <c r="U319" s="20" t="n">
        <f aca="false">IF(R319="維持",K319,IF(R319="排除",0,IFERROR(INDEX(事件規則!$C$2:$C$53,MATCH(S319,事件規則!$A$2:$A$53,0)),"")))</f>
        <v>0</v>
      </c>
      <c r="V319" s="21"/>
      <c r="W319" s="22"/>
      <c r="X319" s="10" t="str">
        <f aca="false">IF(AND(R319="修改",S319=""),"請選新事件代碼",IF(AND(R319&lt;&gt;"修改",S319&lt;&gt;""),"只有「修改」才需填代碼",""))</f>
        <v/>
      </c>
      <c r="Y319" s="21"/>
      <c r="Z319" s="22"/>
      <c r="AA319" s="12" t="s">
        <v>1179</v>
      </c>
      <c r="AB319" s="24"/>
    </row>
    <row r="320" customFormat="false" ht="29.85" hidden="false" customHeight="false" outlineLevel="0" collapsed="false">
      <c r="A320" s="15" t="n">
        <v>319</v>
      </c>
      <c r="B320" s="9" t="s">
        <v>45</v>
      </c>
      <c r="C320" s="9" t="s">
        <v>1180</v>
      </c>
      <c r="D320" s="10" t="s">
        <v>1181</v>
      </c>
      <c r="E320" s="11" t="s">
        <v>1182</v>
      </c>
      <c r="F320" s="17"/>
      <c r="G320" s="12" t="s">
        <v>1183</v>
      </c>
      <c r="H320" s="13" t="n">
        <v>-0.144</v>
      </c>
      <c r="I320" s="14"/>
      <c r="J320" s="17"/>
      <c r="K320" s="9"/>
      <c r="L320" s="15" t="s">
        <v>50</v>
      </c>
      <c r="M320" s="16" t="s">
        <v>51</v>
      </c>
      <c r="N320" s="14"/>
      <c r="O320" s="15" t="s">
        <v>52</v>
      </c>
      <c r="P320" s="17" t="s">
        <v>53</v>
      </c>
      <c r="Q320" s="15"/>
      <c r="R320" s="18" t="s">
        <v>51</v>
      </c>
      <c r="S320" s="19"/>
      <c r="T320" s="17" t="str">
        <f aca="false">IF(R320="維持",J320,IF(R320="排除","無關新聞事件",IFERROR(INDEX(事件規則!$B$2:$B$53,MATCH(S320,事件規則!$A$2:$A$53,0)),"")))</f>
        <v>無關新聞事件</v>
      </c>
      <c r="U320" s="20" t="n">
        <f aca="false">IF(R320="維持",K320,IF(R320="排除",0,IFERROR(INDEX(事件規則!$C$2:$C$53,MATCH(S320,事件規則!$A$2:$A$53,0)),"")))</f>
        <v>0</v>
      </c>
      <c r="V320" s="21"/>
      <c r="W320" s="22"/>
      <c r="X320" s="10" t="str">
        <f aca="false">IF(AND(R320="修改",S320=""),"請選新事件代碼",IF(AND(R320&lt;&gt;"修改",S320&lt;&gt;""),"只有「修改」才需填代碼",""))</f>
        <v/>
      </c>
      <c r="Y320" s="21"/>
      <c r="Z320" s="22"/>
      <c r="AA320" s="12" t="s">
        <v>1184</v>
      </c>
      <c r="AB320" s="24"/>
    </row>
    <row r="321" customFormat="false" ht="29.85" hidden="false" customHeight="false" outlineLevel="0" collapsed="false">
      <c r="A321" s="15" t="n">
        <v>320</v>
      </c>
      <c r="B321" s="9" t="s">
        <v>45</v>
      </c>
      <c r="C321" s="9" t="s">
        <v>569</v>
      </c>
      <c r="D321" s="10" t="s">
        <v>570</v>
      </c>
      <c r="E321" s="11" t="s">
        <v>1185</v>
      </c>
      <c r="F321" s="17"/>
      <c r="G321" s="12" t="s">
        <v>1068</v>
      </c>
      <c r="H321" s="13" t="n">
        <v>-0.144</v>
      </c>
      <c r="I321" s="14"/>
      <c r="J321" s="17"/>
      <c r="K321" s="9"/>
      <c r="L321" s="15" t="s">
        <v>50</v>
      </c>
      <c r="M321" s="16" t="s">
        <v>51</v>
      </c>
      <c r="N321" s="14"/>
      <c r="O321" s="15" t="s">
        <v>52</v>
      </c>
      <c r="P321" s="17" t="s">
        <v>53</v>
      </c>
      <c r="Q321" s="15"/>
      <c r="R321" s="18" t="s">
        <v>51</v>
      </c>
      <c r="S321" s="19"/>
      <c r="T321" s="17" t="str">
        <f aca="false">IF(R321="維持",J321,IF(R321="排除","無關新聞事件",IFERROR(INDEX(事件規則!$B$2:$B$53,MATCH(S321,事件規則!$A$2:$A$53,0)),"")))</f>
        <v>無關新聞事件</v>
      </c>
      <c r="U321" s="20" t="n">
        <f aca="false">IF(R321="維持",K321,IF(R321="排除",0,IFERROR(INDEX(事件規則!$C$2:$C$53,MATCH(S321,事件規則!$A$2:$A$53,0)),"")))</f>
        <v>0</v>
      </c>
      <c r="V321" s="21"/>
      <c r="W321" s="22"/>
      <c r="X321" s="10" t="str">
        <f aca="false">IF(AND(R321="修改",S321=""),"請選新事件代碼",IF(AND(R321&lt;&gt;"修改",S321&lt;&gt;""),"只有「修改」才需填代碼",""))</f>
        <v/>
      </c>
      <c r="Y321" s="21"/>
      <c r="Z321" s="22"/>
      <c r="AA321" s="12" t="s">
        <v>1186</v>
      </c>
      <c r="AB321" s="24"/>
    </row>
    <row r="322" customFormat="false" ht="29.85" hidden="false" customHeight="false" outlineLevel="0" collapsed="false">
      <c r="A322" s="15" t="n">
        <v>321</v>
      </c>
      <c r="B322" s="9" t="s">
        <v>81</v>
      </c>
      <c r="C322" s="9" t="s">
        <v>202</v>
      </c>
      <c r="D322" s="10" t="s">
        <v>203</v>
      </c>
      <c r="E322" s="11" t="s">
        <v>1187</v>
      </c>
      <c r="F322" s="17"/>
      <c r="G322" s="12" t="s">
        <v>95</v>
      </c>
      <c r="H322" s="13" t="n">
        <v>-0.144</v>
      </c>
      <c r="I322" s="14"/>
      <c r="J322" s="17"/>
      <c r="K322" s="9"/>
      <c r="L322" s="15" t="s">
        <v>50</v>
      </c>
      <c r="M322" s="16" t="s">
        <v>51</v>
      </c>
      <c r="N322" s="14"/>
      <c r="O322" s="15" t="s">
        <v>52</v>
      </c>
      <c r="P322" s="17" t="s">
        <v>53</v>
      </c>
      <c r="Q322" s="15"/>
      <c r="R322" s="18" t="s">
        <v>51</v>
      </c>
      <c r="S322" s="19"/>
      <c r="T322" s="17" t="str">
        <f aca="false">IF(R322="維持",J322,IF(R322="排除","無關新聞事件",IFERROR(INDEX(事件規則!$B$2:$B$53,MATCH(S322,事件規則!$A$2:$A$53,0)),"")))</f>
        <v>無關新聞事件</v>
      </c>
      <c r="U322" s="20" t="n">
        <f aca="false">IF(R322="維持",K322,IF(R322="排除",0,IFERROR(INDEX(事件規則!$C$2:$C$53,MATCH(S322,事件規則!$A$2:$A$53,0)),"")))</f>
        <v>0</v>
      </c>
      <c r="V322" s="21"/>
      <c r="W322" s="22"/>
      <c r="X322" s="10" t="str">
        <f aca="false">IF(AND(R322="修改",S322=""),"請選新事件代碼",IF(AND(R322&lt;&gt;"修改",S322&lt;&gt;""),"只有「修改」才需填代碼",""))</f>
        <v/>
      </c>
      <c r="Y322" s="21"/>
      <c r="Z322" s="22"/>
      <c r="AA322" s="12" t="s">
        <v>1188</v>
      </c>
      <c r="AB322" s="24"/>
    </row>
    <row r="323" customFormat="false" ht="29.85" hidden="false" customHeight="false" outlineLevel="0" collapsed="false">
      <c r="A323" s="15" t="n">
        <v>322</v>
      </c>
      <c r="B323" s="9" t="s">
        <v>45</v>
      </c>
      <c r="C323" s="9" t="s">
        <v>92</v>
      </c>
      <c r="D323" s="10" t="s">
        <v>93</v>
      </c>
      <c r="E323" s="11" t="s">
        <v>1189</v>
      </c>
      <c r="F323" s="17"/>
      <c r="G323" s="12" t="s">
        <v>1190</v>
      </c>
      <c r="H323" s="13" t="n">
        <v>-0.144</v>
      </c>
      <c r="I323" s="14"/>
      <c r="J323" s="17"/>
      <c r="K323" s="9"/>
      <c r="L323" s="15" t="s">
        <v>50</v>
      </c>
      <c r="M323" s="16" t="s">
        <v>51</v>
      </c>
      <c r="N323" s="14"/>
      <c r="O323" s="15" t="s">
        <v>52</v>
      </c>
      <c r="P323" s="17" t="s">
        <v>53</v>
      </c>
      <c r="Q323" s="15"/>
      <c r="R323" s="18" t="s">
        <v>51</v>
      </c>
      <c r="S323" s="19"/>
      <c r="T323" s="17" t="str">
        <f aca="false">IF(R323="維持",J323,IF(R323="排除","無關新聞事件",IFERROR(INDEX(事件規則!$B$2:$B$53,MATCH(S323,事件規則!$A$2:$A$53,0)),"")))</f>
        <v>無關新聞事件</v>
      </c>
      <c r="U323" s="20" t="n">
        <f aca="false">IF(R323="維持",K323,IF(R323="排除",0,IFERROR(INDEX(事件規則!$C$2:$C$53,MATCH(S323,事件規則!$A$2:$A$53,0)),"")))</f>
        <v>0</v>
      </c>
      <c r="V323" s="21"/>
      <c r="W323" s="22"/>
      <c r="X323" s="10" t="str">
        <f aca="false">IF(AND(R323="修改",S323=""),"請選新事件代碼",IF(AND(R323&lt;&gt;"修改",S323&lt;&gt;""),"只有「修改」才需填代碼",""))</f>
        <v/>
      </c>
      <c r="Y323" s="21"/>
      <c r="Z323" s="22"/>
      <c r="AA323" s="12" t="s">
        <v>1191</v>
      </c>
      <c r="AB323" s="24"/>
    </row>
    <row r="324" customFormat="false" ht="29.85" hidden="false" customHeight="false" outlineLevel="0" collapsed="false">
      <c r="A324" s="15" t="n">
        <v>323</v>
      </c>
      <c r="B324" s="9" t="s">
        <v>112</v>
      </c>
      <c r="C324" s="9" t="s">
        <v>1151</v>
      </c>
      <c r="D324" s="10" t="s">
        <v>1152</v>
      </c>
      <c r="E324" s="11" t="s">
        <v>1192</v>
      </c>
      <c r="F324" s="17"/>
      <c r="G324" s="12" t="s">
        <v>59</v>
      </c>
      <c r="H324" s="13" t="n">
        <v>-0.143</v>
      </c>
      <c r="I324" s="14"/>
      <c r="J324" s="17"/>
      <c r="K324" s="9"/>
      <c r="L324" s="15" t="s">
        <v>50</v>
      </c>
      <c r="M324" s="16" t="s">
        <v>51</v>
      </c>
      <c r="N324" s="14"/>
      <c r="O324" s="15" t="s">
        <v>52</v>
      </c>
      <c r="P324" s="17" t="s">
        <v>53</v>
      </c>
      <c r="Q324" s="15"/>
      <c r="R324" s="18" t="s">
        <v>51</v>
      </c>
      <c r="S324" s="19"/>
      <c r="T324" s="17" t="str">
        <f aca="false">IF(R324="維持",J324,IF(R324="排除","無關新聞事件",IFERROR(INDEX(事件規則!$B$2:$B$53,MATCH(S324,事件規則!$A$2:$A$53,0)),"")))</f>
        <v>無關新聞事件</v>
      </c>
      <c r="U324" s="20" t="n">
        <f aca="false">IF(R324="維持",K324,IF(R324="排除",0,IFERROR(INDEX(事件規則!$C$2:$C$53,MATCH(S324,事件規則!$A$2:$A$53,0)),"")))</f>
        <v>0</v>
      </c>
      <c r="V324" s="21"/>
      <c r="W324" s="22"/>
      <c r="X324" s="10" t="str">
        <f aca="false">IF(AND(R324="修改",S324=""),"請選新事件代碼",IF(AND(R324&lt;&gt;"修改",S324&lt;&gt;""),"只有「修改」才需填代碼",""))</f>
        <v/>
      </c>
      <c r="Y324" s="21"/>
      <c r="Z324" s="22"/>
      <c r="AA324" s="12" t="s">
        <v>1193</v>
      </c>
      <c r="AB324" s="24"/>
    </row>
    <row r="325" customFormat="false" ht="29.85" hidden="false" customHeight="false" outlineLevel="0" collapsed="false">
      <c r="A325" s="15" t="n">
        <v>324</v>
      </c>
      <c r="B325" s="9" t="s">
        <v>45</v>
      </c>
      <c r="C325" s="9" t="s">
        <v>851</v>
      </c>
      <c r="D325" s="10" t="s">
        <v>852</v>
      </c>
      <c r="E325" s="11" t="s">
        <v>1194</v>
      </c>
      <c r="F325" s="17"/>
      <c r="G325" s="12" t="s">
        <v>49</v>
      </c>
      <c r="H325" s="13" t="n">
        <v>-0.142</v>
      </c>
      <c r="I325" s="14"/>
      <c r="J325" s="17"/>
      <c r="K325" s="9"/>
      <c r="L325" s="15" t="s">
        <v>50</v>
      </c>
      <c r="M325" s="16" t="s">
        <v>51</v>
      </c>
      <c r="N325" s="14"/>
      <c r="O325" s="15" t="s">
        <v>52</v>
      </c>
      <c r="P325" s="17" t="s">
        <v>53</v>
      </c>
      <c r="Q325" s="15"/>
      <c r="R325" s="18" t="s">
        <v>51</v>
      </c>
      <c r="S325" s="19"/>
      <c r="T325" s="17" t="str">
        <f aca="false">IF(R325="維持",J325,IF(R325="排除","無關新聞事件",IFERROR(INDEX(事件規則!$B$2:$B$53,MATCH(S325,事件規則!$A$2:$A$53,0)),"")))</f>
        <v>無關新聞事件</v>
      </c>
      <c r="U325" s="20" t="n">
        <f aca="false">IF(R325="維持",K325,IF(R325="排除",0,IFERROR(INDEX(事件規則!$C$2:$C$53,MATCH(S325,事件規則!$A$2:$A$53,0)),"")))</f>
        <v>0</v>
      </c>
      <c r="V325" s="21"/>
      <c r="W325" s="22"/>
      <c r="X325" s="10" t="str">
        <f aca="false">IF(AND(R325="修改",S325=""),"請選新事件代碼",IF(AND(R325&lt;&gt;"修改",S325&lt;&gt;""),"只有「修改」才需填代碼",""))</f>
        <v/>
      </c>
      <c r="Y325" s="21"/>
      <c r="Z325" s="22"/>
      <c r="AA325" s="12" t="s">
        <v>1195</v>
      </c>
      <c r="AB325" s="24"/>
    </row>
    <row r="326" customFormat="false" ht="29.85" hidden="false" customHeight="false" outlineLevel="0" collapsed="false">
      <c r="A326" s="15" t="n">
        <v>325</v>
      </c>
      <c r="B326" s="9" t="s">
        <v>55</v>
      </c>
      <c r="C326" s="9" t="s">
        <v>1196</v>
      </c>
      <c r="D326" s="10" t="s">
        <v>1197</v>
      </c>
      <c r="E326" s="11" t="s">
        <v>1198</v>
      </c>
      <c r="F326" s="17"/>
      <c r="G326" s="12" t="s">
        <v>803</v>
      </c>
      <c r="H326" s="13" t="n">
        <v>-0.142</v>
      </c>
      <c r="I326" s="14"/>
      <c r="J326" s="17"/>
      <c r="K326" s="9"/>
      <c r="L326" s="15" t="s">
        <v>50</v>
      </c>
      <c r="M326" s="16" t="s">
        <v>51</v>
      </c>
      <c r="N326" s="14"/>
      <c r="O326" s="15" t="s">
        <v>52</v>
      </c>
      <c r="P326" s="17" t="s">
        <v>53</v>
      </c>
      <c r="Q326" s="15"/>
      <c r="R326" s="18" t="s">
        <v>51</v>
      </c>
      <c r="S326" s="19"/>
      <c r="T326" s="17" t="str">
        <f aca="false">IF(R326="維持",J326,IF(R326="排除","無關新聞事件",IFERROR(INDEX(事件規則!$B$2:$B$53,MATCH(S326,事件規則!$A$2:$A$53,0)),"")))</f>
        <v>無關新聞事件</v>
      </c>
      <c r="U326" s="20" t="n">
        <f aca="false">IF(R326="維持",K326,IF(R326="排除",0,IFERROR(INDEX(事件規則!$C$2:$C$53,MATCH(S326,事件規則!$A$2:$A$53,0)),"")))</f>
        <v>0</v>
      </c>
      <c r="V326" s="21"/>
      <c r="W326" s="22"/>
      <c r="X326" s="10" t="str">
        <f aca="false">IF(AND(R326="修改",S326=""),"請選新事件代碼",IF(AND(R326&lt;&gt;"修改",S326&lt;&gt;""),"只有「修改」才需填代碼",""))</f>
        <v/>
      </c>
      <c r="Y326" s="21"/>
      <c r="Z326" s="22"/>
      <c r="AA326" s="12" t="s">
        <v>1199</v>
      </c>
      <c r="AB326" s="24"/>
    </row>
    <row r="327" customFormat="false" ht="29.85" hidden="false" customHeight="false" outlineLevel="0" collapsed="false">
      <c r="A327" s="15" t="n">
        <v>326</v>
      </c>
      <c r="B327" s="9" t="s">
        <v>45</v>
      </c>
      <c r="C327" s="9" t="s">
        <v>893</v>
      </c>
      <c r="D327" s="10" t="s">
        <v>894</v>
      </c>
      <c r="E327" s="11" t="s">
        <v>1200</v>
      </c>
      <c r="F327" s="17"/>
      <c r="G327" s="12" t="s">
        <v>1201</v>
      </c>
      <c r="H327" s="13" t="n">
        <v>-0.141</v>
      </c>
      <c r="I327" s="14"/>
      <c r="J327" s="17"/>
      <c r="K327" s="9"/>
      <c r="L327" s="15" t="s">
        <v>50</v>
      </c>
      <c r="M327" s="16" t="s">
        <v>51</v>
      </c>
      <c r="N327" s="14"/>
      <c r="O327" s="15" t="s">
        <v>52</v>
      </c>
      <c r="P327" s="17" t="s">
        <v>53</v>
      </c>
      <c r="Q327" s="15"/>
      <c r="R327" s="18" t="s">
        <v>51</v>
      </c>
      <c r="S327" s="19"/>
      <c r="T327" s="17" t="str">
        <f aca="false">IF(R327="維持",J327,IF(R327="排除","無關新聞事件",IFERROR(INDEX(事件規則!$B$2:$B$53,MATCH(S327,事件規則!$A$2:$A$53,0)),"")))</f>
        <v>無關新聞事件</v>
      </c>
      <c r="U327" s="20" t="n">
        <f aca="false">IF(R327="維持",K327,IF(R327="排除",0,IFERROR(INDEX(事件規則!$C$2:$C$53,MATCH(S327,事件規則!$A$2:$A$53,0)),"")))</f>
        <v>0</v>
      </c>
      <c r="V327" s="21"/>
      <c r="W327" s="22"/>
      <c r="X327" s="10" t="str">
        <f aca="false">IF(AND(R327="修改",S327=""),"請選新事件代碼",IF(AND(R327&lt;&gt;"修改",S327&lt;&gt;""),"只有「修改」才需填代碼",""))</f>
        <v/>
      </c>
      <c r="Y327" s="21"/>
      <c r="Z327" s="22"/>
      <c r="AA327" s="12" t="s">
        <v>1202</v>
      </c>
      <c r="AB327" s="24"/>
    </row>
    <row r="328" customFormat="false" ht="29.85" hidden="false" customHeight="false" outlineLevel="0" collapsed="false">
      <c r="A328" s="15" t="n">
        <v>327</v>
      </c>
      <c r="B328" s="9" t="s">
        <v>81</v>
      </c>
      <c r="C328" s="9" t="s">
        <v>1203</v>
      </c>
      <c r="D328" s="10" t="s">
        <v>1204</v>
      </c>
      <c r="E328" s="11" t="s">
        <v>1205</v>
      </c>
      <c r="F328" s="17"/>
      <c r="G328" s="12" t="s">
        <v>1206</v>
      </c>
      <c r="H328" s="13" t="n">
        <v>-0.141</v>
      </c>
      <c r="I328" s="14"/>
      <c r="J328" s="17"/>
      <c r="K328" s="9"/>
      <c r="L328" s="15" t="s">
        <v>50</v>
      </c>
      <c r="M328" s="16" t="s">
        <v>51</v>
      </c>
      <c r="N328" s="14"/>
      <c r="O328" s="15" t="s">
        <v>52</v>
      </c>
      <c r="P328" s="17" t="s">
        <v>53</v>
      </c>
      <c r="Q328" s="15"/>
      <c r="R328" s="18" t="s">
        <v>51</v>
      </c>
      <c r="S328" s="19"/>
      <c r="T328" s="17" t="str">
        <f aca="false">IF(R328="維持",J328,IF(R328="排除","無關新聞事件",IFERROR(INDEX(事件規則!$B$2:$B$53,MATCH(S328,事件規則!$A$2:$A$53,0)),"")))</f>
        <v>無關新聞事件</v>
      </c>
      <c r="U328" s="20" t="n">
        <f aca="false">IF(R328="維持",K328,IF(R328="排除",0,IFERROR(INDEX(事件規則!$C$2:$C$53,MATCH(S328,事件規則!$A$2:$A$53,0)),"")))</f>
        <v>0</v>
      </c>
      <c r="V328" s="21"/>
      <c r="W328" s="22"/>
      <c r="X328" s="10" t="str">
        <f aca="false">IF(AND(R328="修改",S328=""),"請選新事件代碼",IF(AND(R328&lt;&gt;"修改",S328&lt;&gt;""),"只有「修改」才需填代碼",""))</f>
        <v/>
      </c>
      <c r="Y328" s="21"/>
      <c r="Z328" s="22"/>
      <c r="AA328" s="12" t="s">
        <v>1207</v>
      </c>
      <c r="AB328" s="24"/>
    </row>
    <row r="329" customFormat="false" ht="29.85" hidden="false" customHeight="false" outlineLevel="0" collapsed="false">
      <c r="A329" s="15" t="n">
        <v>328</v>
      </c>
      <c r="B329" s="9" t="s">
        <v>112</v>
      </c>
      <c r="C329" s="9" t="s">
        <v>761</v>
      </c>
      <c r="D329" s="10" t="s">
        <v>762</v>
      </c>
      <c r="E329" s="11" t="s">
        <v>1208</v>
      </c>
      <c r="F329" s="17"/>
      <c r="G329" s="12" t="s">
        <v>1209</v>
      </c>
      <c r="H329" s="13" t="n">
        <v>-0.141</v>
      </c>
      <c r="I329" s="14"/>
      <c r="J329" s="17"/>
      <c r="K329" s="9"/>
      <c r="L329" s="15" t="s">
        <v>50</v>
      </c>
      <c r="M329" s="16" t="s">
        <v>51</v>
      </c>
      <c r="N329" s="14"/>
      <c r="O329" s="15" t="s">
        <v>52</v>
      </c>
      <c r="P329" s="17" t="s">
        <v>53</v>
      </c>
      <c r="Q329" s="15"/>
      <c r="R329" s="18" t="s">
        <v>51</v>
      </c>
      <c r="S329" s="19"/>
      <c r="T329" s="17" t="str">
        <f aca="false">IF(R329="維持",J329,IF(R329="排除","無關新聞事件",IFERROR(INDEX(事件規則!$B$2:$B$53,MATCH(S329,事件規則!$A$2:$A$53,0)),"")))</f>
        <v>無關新聞事件</v>
      </c>
      <c r="U329" s="20" t="n">
        <f aca="false">IF(R329="維持",K329,IF(R329="排除",0,IFERROR(INDEX(事件規則!$C$2:$C$53,MATCH(S329,事件規則!$A$2:$A$53,0)),"")))</f>
        <v>0</v>
      </c>
      <c r="V329" s="21"/>
      <c r="W329" s="22"/>
      <c r="X329" s="10" t="str">
        <f aca="false">IF(AND(R329="修改",S329=""),"請選新事件代碼",IF(AND(R329&lt;&gt;"修改",S329&lt;&gt;""),"只有「修改」才需填代碼",""))</f>
        <v/>
      </c>
      <c r="Y329" s="21"/>
      <c r="Z329" s="22"/>
      <c r="AA329" s="12" t="s">
        <v>1210</v>
      </c>
      <c r="AB329" s="24"/>
    </row>
    <row r="330" customFormat="false" ht="29.85" hidden="false" customHeight="false" outlineLevel="0" collapsed="false">
      <c r="A330" s="15" t="n">
        <v>329</v>
      </c>
      <c r="B330" s="9" t="s">
        <v>81</v>
      </c>
      <c r="C330" s="9" t="s">
        <v>761</v>
      </c>
      <c r="D330" s="10" t="s">
        <v>762</v>
      </c>
      <c r="E330" s="11" t="s">
        <v>1211</v>
      </c>
      <c r="F330" s="17"/>
      <c r="G330" s="12" t="s">
        <v>1212</v>
      </c>
      <c r="H330" s="13" t="n">
        <v>-0.14</v>
      </c>
      <c r="I330" s="14"/>
      <c r="J330" s="17"/>
      <c r="K330" s="9"/>
      <c r="L330" s="15" t="s">
        <v>50</v>
      </c>
      <c r="M330" s="16" t="s">
        <v>51</v>
      </c>
      <c r="N330" s="14"/>
      <c r="O330" s="15" t="s">
        <v>52</v>
      </c>
      <c r="P330" s="17" t="s">
        <v>53</v>
      </c>
      <c r="Q330" s="15"/>
      <c r="R330" s="18" t="s">
        <v>51</v>
      </c>
      <c r="S330" s="19"/>
      <c r="T330" s="17" t="str">
        <f aca="false">IF(R330="維持",J330,IF(R330="排除","無關新聞事件",IFERROR(INDEX(事件規則!$B$2:$B$53,MATCH(S330,事件規則!$A$2:$A$53,0)),"")))</f>
        <v>無關新聞事件</v>
      </c>
      <c r="U330" s="20" t="n">
        <f aca="false">IF(R330="維持",K330,IF(R330="排除",0,IFERROR(INDEX(事件規則!$C$2:$C$53,MATCH(S330,事件規則!$A$2:$A$53,0)),"")))</f>
        <v>0</v>
      </c>
      <c r="V330" s="21"/>
      <c r="W330" s="22"/>
      <c r="X330" s="10" t="str">
        <f aca="false">IF(AND(R330="修改",S330=""),"請選新事件代碼",IF(AND(R330&lt;&gt;"修改",S330&lt;&gt;""),"只有「修改」才需填代碼",""))</f>
        <v/>
      </c>
      <c r="Y330" s="21"/>
      <c r="Z330" s="22"/>
      <c r="AA330" s="12" t="s">
        <v>1213</v>
      </c>
      <c r="AB330" s="24"/>
    </row>
    <row r="331" customFormat="false" ht="29.85" hidden="false" customHeight="false" outlineLevel="0" collapsed="false">
      <c r="A331" s="15" t="n">
        <v>330</v>
      </c>
      <c r="B331" s="9" t="s">
        <v>112</v>
      </c>
      <c r="C331" s="9" t="s">
        <v>607</v>
      </c>
      <c r="D331" s="10" t="s">
        <v>608</v>
      </c>
      <c r="E331" s="11" t="s">
        <v>1214</v>
      </c>
      <c r="F331" s="17"/>
      <c r="G331" s="12" t="s">
        <v>482</v>
      </c>
      <c r="H331" s="13" t="n">
        <v>-0.139</v>
      </c>
      <c r="I331" s="14"/>
      <c r="J331" s="17"/>
      <c r="K331" s="9"/>
      <c r="L331" s="15" t="s">
        <v>50</v>
      </c>
      <c r="M331" s="16" t="s">
        <v>51</v>
      </c>
      <c r="N331" s="14"/>
      <c r="O331" s="15" t="s">
        <v>52</v>
      </c>
      <c r="P331" s="17" t="s">
        <v>53</v>
      </c>
      <c r="Q331" s="15"/>
      <c r="R331" s="18" t="s">
        <v>51</v>
      </c>
      <c r="S331" s="19"/>
      <c r="T331" s="17" t="str">
        <f aca="false">IF(R331="維持",J331,IF(R331="排除","無關新聞事件",IFERROR(INDEX(事件規則!$B$2:$B$53,MATCH(S331,事件規則!$A$2:$A$53,0)),"")))</f>
        <v>無關新聞事件</v>
      </c>
      <c r="U331" s="20" t="n">
        <f aca="false">IF(R331="維持",K331,IF(R331="排除",0,IFERROR(INDEX(事件規則!$C$2:$C$53,MATCH(S331,事件規則!$A$2:$A$53,0)),"")))</f>
        <v>0</v>
      </c>
      <c r="V331" s="21"/>
      <c r="W331" s="22"/>
      <c r="X331" s="10" t="str">
        <f aca="false">IF(AND(R331="修改",S331=""),"請選新事件代碼",IF(AND(R331&lt;&gt;"修改",S331&lt;&gt;""),"只有「修改」才需填代碼",""))</f>
        <v/>
      </c>
      <c r="Y331" s="21"/>
      <c r="Z331" s="22"/>
      <c r="AA331" s="12" t="s">
        <v>1215</v>
      </c>
      <c r="AB331" s="24"/>
    </row>
    <row r="332" customFormat="false" ht="29.85" hidden="false" customHeight="false" outlineLevel="0" collapsed="false">
      <c r="A332" s="15" t="n">
        <v>331</v>
      </c>
      <c r="B332" s="9" t="s">
        <v>45</v>
      </c>
      <c r="C332" s="9" t="s">
        <v>668</v>
      </c>
      <c r="D332" s="10" t="s">
        <v>669</v>
      </c>
      <c r="E332" s="11" t="s">
        <v>1216</v>
      </c>
      <c r="F332" s="17"/>
      <c r="G332" s="12" t="s">
        <v>59</v>
      </c>
      <c r="H332" s="13" t="n">
        <v>-0.137</v>
      </c>
      <c r="I332" s="14"/>
      <c r="J332" s="17"/>
      <c r="K332" s="9"/>
      <c r="L332" s="15" t="s">
        <v>50</v>
      </c>
      <c r="M332" s="16" t="s">
        <v>51</v>
      </c>
      <c r="N332" s="14"/>
      <c r="O332" s="15" t="s">
        <v>52</v>
      </c>
      <c r="P332" s="17" t="s">
        <v>53</v>
      </c>
      <c r="Q332" s="15"/>
      <c r="R332" s="18" t="s">
        <v>51</v>
      </c>
      <c r="S332" s="19"/>
      <c r="T332" s="17" t="str">
        <f aca="false">IF(R332="維持",J332,IF(R332="排除","無關新聞事件",IFERROR(INDEX(事件規則!$B$2:$B$53,MATCH(S332,事件規則!$A$2:$A$53,0)),"")))</f>
        <v>無關新聞事件</v>
      </c>
      <c r="U332" s="20" t="n">
        <f aca="false">IF(R332="維持",K332,IF(R332="排除",0,IFERROR(INDEX(事件規則!$C$2:$C$53,MATCH(S332,事件規則!$A$2:$A$53,0)),"")))</f>
        <v>0</v>
      </c>
      <c r="V332" s="21"/>
      <c r="W332" s="22"/>
      <c r="X332" s="10" t="str">
        <f aca="false">IF(AND(R332="修改",S332=""),"請選新事件代碼",IF(AND(R332&lt;&gt;"修改",S332&lt;&gt;""),"只有「修改」才需填代碼",""))</f>
        <v/>
      </c>
      <c r="Y332" s="21"/>
      <c r="Z332" s="22"/>
      <c r="AA332" s="12" t="s">
        <v>1217</v>
      </c>
      <c r="AB332" s="24"/>
    </row>
    <row r="333" customFormat="false" ht="29.85" hidden="false" customHeight="false" outlineLevel="0" collapsed="false">
      <c r="A333" s="15" t="n">
        <v>332</v>
      </c>
      <c r="B333" s="9" t="s">
        <v>45</v>
      </c>
      <c r="C333" s="9" t="s">
        <v>1218</v>
      </c>
      <c r="D333" s="10" t="s">
        <v>1219</v>
      </c>
      <c r="E333" s="11" t="s">
        <v>1220</v>
      </c>
      <c r="F333" s="17"/>
      <c r="G333" s="12" t="s">
        <v>49</v>
      </c>
      <c r="H333" s="13" t="n">
        <v>-0.136</v>
      </c>
      <c r="I333" s="14"/>
      <c r="J333" s="17"/>
      <c r="K333" s="9"/>
      <c r="L333" s="15" t="s">
        <v>50</v>
      </c>
      <c r="M333" s="16" t="s">
        <v>51</v>
      </c>
      <c r="N333" s="14"/>
      <c r="O333" s="15" t="s">
        <v>52</v>
      </c>
      <c r="P333" s="17" t="s">
        <v>53</v>
      </c>
      <c r="Q333" s="15"/>
      <c r="R333" s="18" t="s">
        <v>51</v>
      </c>
      <c r="S333" s="19"/>
      <c r="T333" s="17" t="str">
        <f aca="false">IF(R333="維持",J333,IF(R333="排除","無關新聞事件",IFERROR(INDEX(事件規則!$B$2:$B$53,MATCH(S333,事件規則!$A$2:$A$53,0)),"")))</f>
        <v>無關新聞事件</v>
      </c>
      <c r="U333" s="20" t="n">
        <f aca="false">IF(R333="維持",K333,IF(R333="排除",0,IFERROR(INDEX(事件規則!$C$2:$C$53,MATCH(S333,事件規則!$A$2:$A$53,0)),"")))</f>
        <v>0</v>
      </c>
      <c r="V333" s="21"/>
      <c r="W333" s="22"/>
      <c r="X333" s="10" t="str">
        <f aca="false">IF(AND(R333="修改",S333=""),"請選新事件代碼",IF(AND(R333&lt;&gt;"修改",S333&lt;&gt;""),"只有「修改」才需填代碼",""))</f>
        <v/>
      </c>
      <c r="Y333" s="21"/>
      <c r="Z333" s="22"/>
      <c r="AA333" s="12" t="s">
        <v>1221</v>
      </c>
      <c r="AB333" s="24"/>
    </row>
    <row r="334" customFormat="false" ht="29.85" hidden="false" customHeight="false" outlineLevel="0" collapsed="false">
      <c r="A334" s="15" t="n">
        <v>333</v>
      </c>
      <c r="B334" s="9" t="s">
        <v>81</v>
      </c>
      <c r="C334" s="9" t="s">
        <v>242</v>
      </c>
      <c r="D334" s="10" t="s">
        <v>243</v>
      </c>
      <c r="E334" s="11" t="s">
        <v>1222</v>
      </c>
      <c r="F334" s="17"/>
      <c r="G334" s="12" t="s">
        <v>1223</v>
      </c>
      <c r="H334" s="13" t="n">
        <v>-0.136</v>
      </c>
      <c r="I334" s="14"/>
      <c r="J334" s="17"/>
      <c r="K334" s="9"/>
      <c r="L334" s="15" t="s">
        <v>50</v>
      </c>
      <c r="M334" s="16" t="s">
        <v>51</v>
      </c>
      <c r="N334" s="14"/>
      <c r="O334" s="15" t="s">
        <v>52</v>
      </c>
      <c r="P334" s="17" t="s">
        <v>53</v>
      </c>
      <c r="Q334" s="15"/>
      <c r="R334" s="18" t="s">
        <v>51</v>
      </c>
      <c r="S334" s="19"/>
      <c r="T334" s="17" t="str">
        <f aca="false">IF(R334="維持",J334,IF(R334="排除","無關新聞事件",IFERROR(INDEX(事件規則!$B$2:$B$53,MATCH(S334,事件規則!$A$2:$A$53,0)),"")))</f>
        <v>無關新聞事件</v>
      </c>
      <c r="U334" s="20" t="n">
        <f aca="false">IF(R334="維持",K334,IF(R334="排除",0,IFERROR(INDEX(事件規則!$C$2:$C$53,MATCH(S334,事件規則!$A$2:$A$53,0)),"")))</f>
        <v>0</v>
      </c>
      <c r="V334" s="21"/>
      <c r="W334" s="22"/>
      <c r="X334" s="10" t="str">
        <f aca="false">IF(AND(R334="修改",S334=""),"請選新事件代碼",IF(AND(R334&lt;&gt;"修改",S334&lt;&gt;""),"只有「修改」才需填代碼",""))</f>
        <v/>
      </c>
      <c r="Y334" s="21"/>
      <c r="Z334" s="22"/>
      <c r="AA334" s="12" t="s">
        <v>1224</v>
      </c>
      <c r="AB334" s="24"/>
    </row>
    <row r="335" customFormat="false" ht="29.85" hidden="false" customHeight="false" outlineLevel="0" collapsed="false">
      <c r="A335" s="15" t="n">
        <v>334</v>
      </c>
      <c r="B335" s="9" t="s">
        <v>55</v>
      </c>
      <c r="C335" s="9" t="s">
        <v>489</v>
      </c>
      <c r="D335" s="10" t="s">
        <v>490</v>
      </c>
      <c r="E335" s="11" t="s">
        <v>1225</v>
      </c>
      <c r="F335" s="17"/>
      <c r="G335" s="12" t="s">
        <v>1226</v>
      </c>
      <c r="H335" s="13" t="n">
        <v>-0.134</v>
      </c>
      <c r="I335" s="14"/>
      <c r="J335" s="17"/>
      <c r="K335" s="9"/>
      <c r="L335" s="15" t="s">
        <v>50</v>
      </c>
      <c r="M335" s="16" t="s">
        <v>51</v>
      </c>
      <c r="N335" s="14"/>
      <c r="O335" s="15" t="s">
        <v>52</v>
      </c>
      <c r="P335" s="17" t="s">
        <v>53</v>
      </c>
      <c r="Q335" s="15"/>
      <c r="R335" s="18" t="s">
        <v>51</v>
      </c>
      <c r="S335" s="19"/>
      <c r="T335" s="17" t="str">
        <f aca="false">IF(R335="維持",J335,IF(R335="排除","無關新聞事件",IFERROR(INDEX(事件規則!$B$2:$B$53,MATCH(S335,事件規則!$A$2:$A$53,0)),"")))</f>
        <v>無關新聞事件</v>
      </c>
      <c r="U335" s="20" t="n">
        <f aca="false">IF(R335="維持",K335,IF(R335="排除",0,IFERROR(INDEX(事件規則!$C$2:$C$53,MATCH(S335,事件規則!$A$2:$A$53,0)),"")))</f>
        <v>0</v>
      </c>
      <c r="V335" s="21"/>
      <c r="W335" s="22"/>
      <c r="X335" s="10" t="str">
        <f aca="false">IF(AND(R335="修改",S335=""),"請選新事件代碼",IF(AND(R335&lt;&gt;"修改",S335&lt;&gt;""),"只有「修改」才需填代碼",""))</f>
        <v/>
      </c>
      <c r="Y335" s="21"/>
      <c r="Z335" s="22"/>
      <c r="AA335" s="12" t="s">
        <v>1227</v>
      </c>
      <c r="AB335" s="24"/>
    </row>
    <row r="336" customFormat="false" ht="29.85" hidden="false" customHeight="false" outlineLevel="0" collapsed="false">
      <c r="A336" s="15" t="n">
        <v>335</v>
      </c>
      <c r="B336" s="9" t="s">
        <v>81</v>
      </c>
      <c r="C336" s="9" t="s">
        <v>202</v>
      </c>
      <c r="D336" s="10" t="s">
        <v>203</v>
      </c>
      <c r="E336" s="11" t="s">
        <v>1228</v>
      </c>
      <c r="F336" s="17"/>
      <c r="G336" s="12" t="s">
        <v>1229</v>
      </c>
      <c r="H336" s="13" t="n">
        <v>-0.133</v>
      </c>
      <c r="I336" s="14"/>
      <c r="J336" s="17"/>
      <c r="K336" s="9"/>
      <c r="L336" s="15" t="s">
        <v>50</v>
      </c>
      <c r="M336" s="16" t="s">
        <v>51</v>
      </c>
      <c r="N336" s="14"/>
      <c r="O336" s="15" t="s">
        <v>52</v>
      </c>
      <c r="P336" s="17" t="s">
        <v>53</v>
      </c>
      <c r="Q336" s="15"/>
      <c r="R336" s="18" t="s">
        <v>51</v>
      </c>
      <c r="S336" s="19"/>
      <c r="T336" s="17" t="str">
        <f aca="false">IF(R336="維持",J336,IF(R336="排除","無關新聞事件",IFERROR(INDEX(事件規則!$B$2:$B$53,MATCH(S336,事件規則!$A$2:$A$53,0)),"")))</f>
        <v>無關新聞事件</v>
      </c>
      <c r="U336" s="20" t="n">
        <f aca="false">IF(R336="維持",K336,IF(R336="排除",0,IFERROR(INDEX(事件規則!$C$2:$C$53,MATCH(S336,事件規則!$A$2:$A$53,0)),"")))</f>
        <v>0</v>
      </c>
      <c r="V336" s="21"/>
      <c r="W336" s="22"/>
      <c r="X336" s="10" t="str">
        <f aca="false">IF(AND(R336="修改",S336=""),"請選新事件代碼",IF(AND(R336&lt;&gt;"修改",S336&lt;&gt;""),"只有「修改」才需填代碼",""))</f>
        <v/>
      </c>
      <c r="Y336" s="21"/>
      <c r="Z336" s="22"/>
      <c r="AA336" s="12" t="s">
        <v>1230</v>
      </c>
      <c r="AB336" s="24"/>
    </row>
    <row r="337" customFormat="false" ht="29.85" hidden="false" customHeight="false" outlineLevel="0" collapsed="false">
      <c r="A337" s="15" t="n">
        <v>336</v>
      </c>
      <c r="B337" s="9" t="s">
        <v>55</v>
      </c>
      <c r="C337" s="9" t="s">
        <v>1231</v>
      </c>
      <c r="D337" s="10" t="s">
        <v>1232</v>
      </c>
      <c r="E337" s="11" t="s">
        <v>1233</v>
      </c>
      <c r="F337" s="17"/>
      <c r="G337" s="12" t="s">
        <v>1234</v>
      </c>
      <c r="H337" s="13" t="n">
        <v>-0.132</v>
      </c>
      <c r="I337" s="14"/>
      <c r="J337" s="17"/>
      <c r="K337" s="9"/>
      <c r="L337" s="15" t="s">
        <v>50</v>
      </c>
      <c r="M337" s="16" t="s">
        <v>51</v>
      </c>
      <c r="N337" s="14"/>
      <c r="O337" s="15" t="s">
        <v>52</v>
      </c>
      <c r="P337" s="17" t="s">
        <v>53</v>
      </c>
      <c r="Q337" s="15"/>
      <c r="R337" s="18" t="s">
        <v>51</v>
      </c>
      <c r="S337" s="19"/>
      <c r="T337" s="17" t="str">
        <f aca="false">IF(R337="維持",J337,IF(R337="排除","無關新聞事件",IFERROR(INDEX(事件規則!$B$2:$B$53,MATCH(S337,事件規則!$A$2:$A$53,0)),"")))</f>
        <v>無關新聞事件</v>
      </c>
      <c r="U337" s="20" t="n">
        <f aca="false">IF(R337="維持",K337,IF(R337="排除",0,IFERROR(INDEX(事件規則!$C$2:$C$53,MATCH(S337,事件規則!$A$2:$A$53,0)),"")))</f>
        <v>0</v>
      </c>
      <c r="V337" s="21"/>
      <c r="W337" s="22"/>
      <c r="X337" s="10" t="str">
        <f aca="false">IF(AND(R337="修改",S337=""),"請選新事件代碼",IF(AND(R337&lt;&gt;"修改",S337&lt;&gt;""),"只有「修改」才需填代碼",""))</f>
        <v/>
      </c>
      <c r="Y337" s="21"/>
      <c r="Z337" s="22"/>
      <c r="AA337" s="12" t="s">
        <v>1235</v>
      </c>
      <c r="AB337" s="24"/>
    </row>
    <row r="338" customFormat="false" ht="29.85" hidden="false" customHeight="false" outlineLevel="0" collapsed="false">
      <c r="A338" s="15" t="n">
        <v>337</v>
      </c>
      <c r="B338" s="9" t="s">
        <v>45</v>
      </c>
      <c r="C338" s="9" t="s">
        <v>576</v>
      </c>
      <c r="D338" s="10" t="s">
        <v>577</v>
      </c>
      <c r="E338" s="11" t="s">
        <v>1236</v>
      </c>
      <c r="F338" s="17"/>
      <c r="G338" s="12" t="s">
        <v>1237</v>
      </c>
      <c r="H338" s="13" t="n">
        <v>-0.13</v>
      </c>
      <c r="I338" s="14"/>
      <c r="J338" s="17"/>
      <c r="K338" s="9"/>
      <c r="L338" s="15" t="s">
        <v>50</v>
      </c>
      <c r="M338" s="16" t="s">
        <v>51</v>
      </c>
      <c r="N338" s="14"/>
      <c r="O338" s="15" t="s">
        <v>52</v>
      </c>
      <c r="P338" s="17" t="s">
        <v>53</v>
      </c>
      <c r="Q338" s="15"/>
      <c r="R338" s="18" t="s">
        <v>51</v>
      </c>
      <c r="S338" s="19"/>
      <c r="T338" s="17" t="str">
        <f aca="false">IF(R338="維持",J338,IF(R338="排除","無關新聞事件",IFERROR(INDEX(事件規則!$B$2:$B$53,MATCH(S338,事件規則!$A$2:$A$53,0)),"")))</f>
        <v>無關新聞事件</v>
      </c>
      <c r="U338" s="20" t="n">
        <f aca="false">IF(R338="維持",K338,IF(R338="排除",0,IFERROR(INDEX(事件規則!$C$2:$C$53,MATCH(S338,事件規則!$A$2:$A$53,0)),"")))</f>
        <v>0</v>
      </c>
      <c r="V338" s="21"/>
      <c r="W338" s="22"/>
      <c r="X338" s="10" t="str">
        <f aca="false">IF(AND(R338="修改",S338=""),"請選新事件代碼",IF(AND(R338&lt;&gt;"修改",S338&lt;&gt;""),"只有「修改」才需填代碼",""))</f>
        <v/>
      </c>
      <c r="Y338" s="21"/>
      <c r="Z338" s="22"/>
      <c r="AA338" s="12" t="s">
        <v>1238</v>
      </c>
      <c r="AB338" s="24"/>
    </row>
    <row r="339" customFormat="false" ht="29.85" hidden="false" customHeight="false" outlineLevel="0" collapsed="false">
      <c r="A339" s="15" t="n">
        <v>338</v>
      </c>
      <c r="B339" s="9" t="s">
        <v>45</v>
      </c>
      <c r="C339" s="9" t="s">
        <v>936</v>
      </c>
      <c r="D339" s="10" t="s">
        <v>937</v>
      </c>
      <c r="E339" s="11" t="s">
        <v>1239</v>
      </c>
      <c r="F339" s="17"/>
      <c r="G339" s="12" t="s">
        <v>1240</v>
      </c>
      <c r="H339" s="13" t="n">
        <v>-0.13</v>
      </c>
      <c r="I339" s="14"/>
      <c r="J339" s="17"/>
      <c r="K339" s="9"/>
      <c r="L339" s="15" t="s">
        <v>50</v>
      </c>
      <c r="M339" s="16" t="s">
        <v>51</v>
      </c>
      <c r="N339" s="14"/>
      <c r="O339" s="15" t="s">
        <v>52</v>
      </c>
      <c r="P339" s="17" t="s">
        <v>53</v>
      </c>
      <c r="Q339" s="15"/>
      <c r="R339" s="18" t="s">
        <v>51</v>
      </c>
      <c r="S339" s="19"/>
      <c r="T339" s="17" t="str">
        <f aca="false">IF(R339="維持",J339,IF(R339="排除","無關新聞事件",IFERROR(INDEX(事件規則!$B$2:$B$53,MATCH(S339,事件規則!$A$2:$A$53,0)),"")))</f>
        <v>無關新聞事件</v>
      </c>
      <c r="U339" s="20" t="n">
        <f aca="false">IF(R339="維持",K339,IF(R339="排除",0,IFERROR(INDEX(事件規則!$C$2:$C$53,MATCH(S339,事件規則!$A$2:$A$53,0)),"")))</f>
        <v>0</v>
      </c>
      <c r="V339" s="21"/>
      <c r="W339" s="22"/>
      <c r="X339" s="10" t="str">
        <f aca="false">IF(AND(R339="修改",S339=""),"請選新事件代碼",IF(AND(R339&lt;&gt;"修改",S339&lt;&gt;""),"只有「修改」才需填代碼",""))</f>
        <v/>
      </c>
      <c r="Y339" s="21"/>
      <c r="Z339" s="22"/>
      <c r="AA339" s="12" t="s">
        <v>1241</v>
      </c>
      <c r="AB339" s="24"/>
    </row>
    <row r="340" customFormat="false" ht="15" hidden="false" customHeight="false" outlineLevel="0" collapsed="false">
      <c r="A340" s="15" t="n">
        <v>339</v>
      </c>
      <c r="B340" s="9" t="s">
        <v>55</v>
      </c>
      <c r="C340" s="9" t="s">
        <v>1242</v>
      </c>
      <c r="D340" s="10" t="s">
        <v>1243</v>
      </c>
      <c r="E340" s="11" t="s">
        <v>1244</v>
      </c>
      <c r="F340" s="17"/>
      <c r="G340" s="12" t="s">
        <v>1245</v>
      </c>
      <c r="H340" s="13" t="n">
        <v>-0.129</v>
      </c>
      <c r="I340" s="14"/>
      <c r="J340" s="17"/>
      <c r="K340" s="9"/>
      <c r="L340" s="15" t="s">
        <v>50</v>
      </c>
      <c r="M340" s="16" t="s">
        <v>131</v>
      </c>
      <c r="N340" s="14" t="s">
        <v>1246</v>
      </c>
      <c r="O340" s="15" t="s">
        <v>193</v>
      </c>
      <c r="P340" s="10" t="s">
        <v>1247</v>
      </c>
      <c r="Q340" s="15"/>
      <c r="R340" s="18" t="s">
        <v>131</v>
      </c>
      <c r="S340" s="19" t="s">
        <v>1246</v>
      </c>
      <c r="T340" s="17" t="str">
        <f aca="false">IF(R340="維持",J340,IF(R340="排除","無關新聞事件",IFERROR(INDEX(事件規則!$B$2:$B$53,MATCH(S340,事件規則!$A$2:$A$53,0)),"")))</f>
        <v>資料外洩</v>
      </c>
      <c r="U340" s="20" t="n">
        <f aca="false">IF(R340="維持",K340,IF(R340="排除",0,IFERROR(INDEX(事件規則!$C$2:$C$53,MATCH(S340,事件規則!$A$2:$A$53,0)),"")))</f>
        <v>3</v>
      </c>
      <c r="V340" s="21"/>
      <c r="W340" s="22"/>
      <c r="X340" s="10" t="str">
        <f aca="false">IF(AND(R340="修改",S340=""),"請選新事件代碼",IF(AND(R340&lt;&gt;"修改",S340&lt;&gt;""),"只有「修改」才需填代碼",""))</f>
        <v/>
      </c>
      <c r="Y340" s="21"/>
      <c r="Z340" s="22"/>
      <c r="AA340" s="12" t="s">
        <v>1248</v>
      </c>
      <c r="AB340" s="24"/>
    </row>
    <row r="341" customFormat="false" ht="29.85" hidden="false" customHeight="false" outlineLevel="0" collapsed="false">
      <c r="A341" s="15" t="n">
        <v>340</v>
      </c>
      <c r="B341" s="9" t="s">
        <v>112</v>
      </c>
      <c r="C341" s="15"/>
      <c r="D341" s="10" t="s">
        <v>67</v>
      </c>
      <c r="E341" s="23" t="s">
        <v>1249</v>
      </c>
      <c r="F341" s="17" t="s">
        <v>1250</v>
      </c>
      <c r="G341" s="12" t="s">
        <v>176</v>
      </c>
      <c r="H341" s="13" t="n">
        <v>-0.129</v>
      </c>
      <c r="I341" s="14"/>
      <c r="J341" s="17"/>
      <c r="K341" s="9"/>
      <c r="L341" s="15" t="s">
        <v>50</v>
      </c>
      <c r="M341" s="16" t="s">
        <v>51</v>
      </c>
      <c r="N341" s="14"/>
      <c r="O341" s="15" t="s">
        <v>52</v>
      </c>
      <c r="P341" s="17" t="s">
        <v>53</v>
      </c>
      <c r="Q341" s="15"/>
      <c r="R341" s="18" t="s">
        <v>51</v>
      </c>
      <c r="S341" s="19"/>
      <c r="T341" s="17" t="str">
        <f aca="false">IF(R341="維持",J341,IF(R341="排除","無關新聞事件",IFERROR(INDEX(事件規則!$B$2:$B$53,MATCH(S341,事件規則!$A$2:$A$53,0)),"")))</f>
        <v>無關新聞事件</v>
      </c>
      <c r="U341" s="20" t="n">
        <f aca="false">IF(R341="維持",K341,IF(R341="排除",0,IFERROR(INDEX(事件規則!$C$2:$C$53,MATCH(S341,事件規則!$A$2:$A$53,0)),"")))</f>
        <v>0</v>
      </c>
      <c r="V341" s="21"/>
      <c r="W341" s="22"/>
      <c r="X341" s="10" t="str">
        <f aca="false">IF(AND(R341="修改",S341=""),"請選新事件代碼",IF(AND(R341&lt;&gt;"修改",S341&lt;&gt;""),"只有「修改」才需填代碼",""))</f>
        <v/>
      </c>
      <c r="Y341" s="21"/>
      <c r="Z341" s="22"/>
      <c r="AA341" s="12" t="s">
        <v>1251</v>
      </c>
      <c r="AB341" s="24"/>
    </row>
    <row r="342" customFormat="false" ht="29.85" hidden="false" customHeight="false" outlineLevel="0" collapsed="false">
      <c r="A342" s="15" t="n">
        <v>341</v>
      </c>
      <c r="B342" s="9" t="s">
        <v>45</v>
      </c>
      <c r="C342" s="9" t="s">
        <v>744</v>
      </c>
      <c r="D342" s="10" t="s">
        <v>745</v>
      </c>
      <c r="E342" s="11" t="s">
        <v>1252</v>
      </c>
      <c r="F342" s="17"/>
      <c r="G342" s="12" t="s">
        <v>1253</v>
      </c>
      <c r="H342" s="13" t="n">
        <v>-0.129</v>
      </c>
      <c r="I342" s="14"/>
      <c r="J342" s="17"/>
      <c r="K342" s="9"/>
      <c r="L342" s="15" t="s">
        <v>50</v>
      </c>
      <c r="M342" s="16" t="s">
        <v>51</v>
      </c>
      <c r="N342" s="14"/>
      <c r="O342" s="15" t="s">
        <v>52</v>
      </c>
      <c r="P342" s="17" t="s">
        <v>53</v>
      </c>
      <c r="Q342" s="15"/>
      <c r="R342" s="18" t="s">
        <v>51</v>
      </c>
      <c r="S342" s="19"/>
      <c r="T342" s="17" t="str">
        <f aca="false">IF(R342="維持",J342,IF(R342="排除","無關新聞事件",IFERROR(INDEX(事件規則!$B$2:$B$53,MATCH(S342,事件規則!$A$2:$A$53,0)),"")))</f>
        <v>無關新聞事件</v>
      </c>
      <c r="U342" s="20" t="n">
        <f aca="false">IF(R342="維持",K342,IF(R342="排除",0,IFERROR(INDEX(事件規則!$C$2:$C$53,MATCH(S342,事件規則!$A$2:$A$53,0)),"")))</f>
        <v>0</v>
      </c>
      <c r="V342" s="21"/>
      <c r="W342" s="22"/>
      <c r="X342" s="10" t="str">
        <f aca="false">IF(AND(R342="修改",S342=""),"請選新事件代碼",IF(AND(R342&lt;&gt;"修改",S342&lt;&gt;""),"只有「修改」才需填代碼",""))</f>
        <v/>
      </c>
      <c r="Y342" s="21"/>
      <c r="Z342" s="22"/>
      <c r="AA342" s="12" t="s">
        <v>1254</v>
      </c>
      <c r="AB342" s="24"/>
    </row>
    <row r="343" customFormat="false" ht="29.85" hidden="false" customHeight="false" outlineLevel="0" collapsed="false">
      <c r="A343" s="15" t="n">
        <v>342</v>
      </c>
      <c r="B343" s="9" t="s">
        <v>112</v>
      </c>
      <c r="C343" s="9" t="s">
        <v>977</v>
      </c>
      <c r="D343" s="10" t="s">
        <v>978</v>
      </c>
      <c r="E343" s="11" t="s">
        <v>1255</v>
      </c>
      <c r="F343" s="17"/>
      <c r="G343" s="12" t="s">
        <v>1256</v>
      </c>
      <c r="H343" s="13" t="n">
        <v>-0.128</v>
      </c>
      <c r="I343" s="14"/>
      <c r="J343" s="17"/>
      <c r="K343" s="9"/>
      <c r="L343" s="15" t="s">
        <v>50</v>
      </c>
      <c r="M343" s="16" t="s">
        <v>51</v>
      </c>
      <c r="N343" s="14"/>
      <c r="O343" s="15" t="s">
        <v>52</v>
      </c>
      <c r="P343" s="17" t="s">
        <v>53</v>
      </c>
      <c r="Q343" s="15"/>
      <c r="R343" s="18" t="s">
        <v>51</v>
      </c>
      <c r="S343" s="19"/>
      <c r="T343" s="17" t="str">
        <f aca="false">IF(R343="維持",J343,IF(R343="排除","無關新聞事件",IFERROR(INDEX(事件規則!$B$2:$B$53,MATCH(S343,事件規則!$A$2:$A$53,0)),"")))</f>
        <v>無關新聞事件</v>
      </c>
      <c r="U343" s="20" t="n">
        <f aca="false">IF(R343="維持",K343,IF(R343="排除",0,IFERROR(INDEX(事件規則!$C$2:$C$53,MATCH(S343,事件規則!$A$2:$A$53,0)),"")))</f>
        <v>0</v>
      </c>
      <c r="V343" s="21"/>
      <c r="W343" s="22"/>
      <c r="X343" s="10" t="str">
        <f aca="false">IF(AND(R343="修改",S343=""),"請選新事件代碼",IF(AND(R343&lt;&gt;"修改",S343&lt;&gt;""),"只有「修改」才需填代碼",""))</f>
        <v/>
      </c>
      <c r="Y343" s="21"/>
      <c r="Z343" s="22"/>
      <c r="AA343" s="12" t="s">
        <v>1257</v>
      </c>
      <c r="AB343" s="24"/>
    </row>
    <row r="344" customFormat="false" ht="29.85" hidden="false" customHeight="false" outlineLevel="0" collapsed="false">
      <c r="A344" s="15" t="n">
        <v>343</v>
      </c>
      <c r="B344" s="9" t="s">
        <v>55</v>
      </c>
      <c r="C344" s="9" t="s">
        <v>484</v>
      </c>
      <c r="D344" s="10" t="s">
        <v>485</v>
      </c>
      <c r="E344" s="11" t="s">
        <v>1258</v>
      </c>
      <c r="F344" s="17"/>
      <c r="G344" s="12" t="s">
        <v>1259</v>
      </c>
      <c r="H344" s="13" t="n">
        <v>-0.128</v>
      </c>
      <c r="I344" s="14"/>
      <c r="J344" s="17"/>
      <c r="K344" s="9"/>
      <c r="L344" s="15" t="s">
        <v>50</v>
      </c>
      <c r="M344" s="16" t="s">
        <v>51</v>
      </c>
      <c r="N344" s="14"/>
      <c r="O344" s="15" t="s">
        <v>52</v>
      </c>
      <c r="P344" s="17" t="s">
        <v>53</v>
      </c>
      <c r="Q344" s="15"/>
      <c r="R344" s="18" t="s">
        <v>51</v>
      </c>
      <c r="S344" s="19"/>
      <c r="T344" s="17" t="str">
        <f aca="false">IF(R344="維持",J344,IF(R344="排除","無關新聞事件",IFERROR(INDEX(事件規則!$B$2:$B$53,MATCH(S344,事件規則!$A$2:$A$53,0)),"")))</f>
        <v>無關新聞事件</v>
      </c>
      <c r="U344" s="20" t="n">
        <f aca="false">IF(R344="維持",K344,IF(R344="排除",0,IFERROR(INDEX(事件規則!$C$2:$C$53,MATCH(S344,事件規則!$A$2:$A$53,0)),"")))</f>
        <v>0</v>
      </c>
      <c r="V344" s="21"/>
      <c r="W344" s="22"/>
      <c r="X344" s="10" t="str">
        <f aca="false">IF(AND(R344="修改",S344=""),"請選新事件代碼",IF(AND(R344&lt;&gt;"修改",S344&lt;&gt;""),"只有「修改」才需填代碼",""))</f>
        <v/>
      </c>
      <c r="Y344" s="21"/>
      <c r="Z344" s="22"/>
      <c r="AA344" s="12" t="s">
        <v>1260</v>
      </c>
      <c r="AB344" s="24"/>
    </row>
    <row r="345" customFormat="false" ht="29.85" hidden="false" customHeight="false" outlineLevel="0" collapsed="false">
      <c r="A345" s="15" t="n">
        <v>344</v>
      </c>
      <c r="B345" s="9" t="s">
        <v>45</v>
      </c>
      <c r="C345" s="9" t="s">
        <v>1261</v>
      </c>
      <c r="D345" s="10" t="s">
        <v>1262</v>
      </c>
      <c r="E345" s="11" t="s">
        <v>1263</v>
      </c>
      <c r="F345" s="17"/>
      <c r="G345" s="12" t="s">
        <v>59</v>
      </c>
      <c r="H345" s="13" t="n">
        <v>-0.127</v>
      </c>
      <c r="I345" s="14"/>
      <c r="J345" s="17"/>
      <c r="K345" s="9"/>
      <c r="L345" s="15" t="s">
        <v>50</v>
      </c>
      <c r="M345" s="16" t="s">
        <v>51</v>
      </c>
      <c r="N345" s="14"/>
      <c r="O345" s="15" t="s">
        <v>52</v>
      </c>
      <c r="P345" s="17" t="s">
        <v>53</v>
      </c>
      <c r="Q345" s="15"/>
      <c r="R345" s="18" t="s">
        <v>51</v>
      </c>
      <c r="S345" s="19"/>
      <c r="T345" s="17" t="str">
        <f aca="false">IF(R345="維持",J345,IF(R345="排除","無關新聞事件",IFERROR(INDEX(事件規則!$B$2:$B$53,MATCH(S345,事件規則!$A$2:$A$53,0)),"")))</f>
        <v>無關新聞事件</v>
      </c>
      <c r="U345" s="20" t="n">
        <f aca="false">IF(R345="維持",K345,IF(R345="排除",0,IFERROR(INDEX(事件規則!$C$2:$C$53,MATCH(S345,事件規則!$A$2:$A$53,0)),"")))</f>
        <v>0</v>
      </c>
      <c r="V345" s="21"/>
      <c r="W345" s="22"/>
      <c r="X345" s="10" t="str">
        <f aca="false">IF(AND(R345="修改",S345=""),"請選新事件代碼",IF(AND(R345&lt;&gt;"修改",S345&lt;&gt;""),"只有「修改」才需填代碼",""))</f>
        <v/>
      </c>
      <c r="Y345" s="21"/>
      <c r="Z345" s="22"/>
      <c r="AA345" s="12" t="s">
        <v>1264</v>
      </c>
      <c r="AB345" s="24"/>
    </row>
    <row r="346" customFormat="false" ht="29.85" hidden="false" customHeight="false" outlineLevel="0" collapsed="false">
      <c r="A346" s="15" t="n">
        <v>345</v>
      </c>
      <c r="B346" s="9" t="s">
        <v>55</v>
      </c>
      <c r="C346" s="9" t="s">
        <v>303</v>
      </c>
      <c r="D346" s="10" t="s">
        <v>304</v>
      </c>
      <c r="E346" s="11" t="s">
        <v>1265</v>
      </c>
      <c r="F346" s="17"/>
      <c r="G346" s="12" t="s">
        <v>1266</v>
      </c>
      <c r="H346" s="13" t="n">
        <v>-0.127</v>
      </c>
      <c r="I346" s="14"/>
      <c r="J346" s="17"/>
      <c r="K346" s="9"/>
      <c r="L346" s="15" t="s">
        <v>50</v>
      </c>
      <c r="M346" s="16" t="s">
        <v>51</v>
      </c>
      <c r="N346" s="14"/>
      <c r="O346" s="15" t="s">
        <v>52</v>
      </c>
      <c r="P346" s="17" t="s">
        <v>53</v>
      </c>
      <c r="Q346" s="15"/>
      <c r="R346" s="18" t="s">
        <v>51</v>
      </c>
      <c r="S346" s="19"/>
      <c r="T346" s="17" t="str">
        <f aca="false">IF(R346="維持",J346,IF(R346="排除","無關新聞事件",IFERROR(INDEX(事件規則!$B$2:$B$53,MATCH(S346,事件規則!$A$2:$A$53,0)),"")))</f>
        <v>無關新聞事件</v>
      </c>
      <c r="U346" s="20" t="n">
        <f aca="false">IF(R346="維持",K346,IF(R346="排除",0,IFERROR(INDEX(事件規則!$C$2:$C$53,MATCH(S346,事件規則!$A$2:$A$53,0)),"")))</f>
        <v>0</v>
      </c>
      <c r="V346" s="21"/>
      <c r="W346" s="22"/>
      <c r="X346" s="10" t="str">
        <f aca="false">IF(AND(R346="修改",S346=""),"請選新事件代碼",IF(AND(R346&lt;&gt;"修改",S346&lt;&gt;""),"只有「修改」才需填代碼",""))</f>
        <v/>
      </c>
      <c r="Y346" s="21"/>
      <c r="Z346" s="22"/>
      <c r="AA346" s="12" t="s">
        <v>1267</v>
      </c>
      <c r="AB346" s="24"/>
    </row>
    <row r="347" customFormat="false" ht="29.85" hidden="false" customHeight="false" outlineLevel="0" collapsed="false">
      <c r="A347" s="15" t="n">
        <v>346</v>
      </c>
      <c r="B347" s="9" t="s">
        <v>55</v>
      </c>
      <c r="C347" s="9" t="s">
        <v>639</v>
      </c>
      <c r="D347" s="10" t="s">
        <v>640</v>
      </c>
      <c r="E347" s="11" t="s">
        <v>1268</v>
      </c>
      <c r="F347" s="17"/>
      <c r="G347" s="12" t="s">
        <v>1269</v>
      </c>
      <c r="H347" s="13" t="n">
        <v>-0.126</v>
      </c>
      <c r="I347" s="14"/>
      <c r="J347" s="17"/>
      <c r="K347" s="9"/>
      <c r="L347" s="15" t="s">
        <v>50</v>
      </c>
      <c r="M347" s="16" t="s">
        <v>51</v>
      </c>
      <c r="N347" s="14"/>
      <c r="O347" s="15" t="s">
        <v>52</v>
      </c>
      <c r="P347" s="17" t="s">
        <v>53</v>
      </c>
      <c r="Q347" s="15"/>
      <c r="R347" s="18" t="s">
        <v>51</v>
      </c>
      <c r="S347" s="19"/>
      <c r="T347" s="17" t="str">
        <f aca="false">IF(R347="維持",J347,IF(R347="排除","無關新聞事件",IFERROR(INDEX(事件規則!$B$2:$B$53,MATCH(S347,事件規則!$A$2:$A$53,0)),"")))</f>
        <v>無關新聞事件</v>
      </c>
      <c r="U347" s="20" t="n">
        <f aca="false">IF(R347="維持",K347,IF(R347="排除",0,IFERROR(INDEX(事件規則!$C$2:$C$53,MATCH(S347,事件規則!$A$2:$A$53,0)),"")))</f>
        <v>0</v>
      </c>
      <c r="V347" s="21"/>
      <c r="W347" s="22"/>
      <c r="X347" s="10" t="str">
        <f aca="false">IF(AND(R347="修改",S347=""),"請選新事件代碼",IF(AND(R347&lt;&gt;"修改",S347&lt;&gt;""),"只有「修改」才需填代碼",""))</f>
        <v/>
      </c>
      <c r="Y347" s="21"/>
      <c r="Z347" s="22"/>
      <c r="AA347" s="12" t="s">
        <v>1270</v>
      </c>
      <c r="AB347" s="24"/>
    </row>
    <row r="348" customFormat="false" ht="29.85" hidden="false" customHeight="false" outlineLevel="0" collapsed="false">
      <c r="A348" s="15" t="n">
        <v>347</v>
      </c>
      <c r="B348" s="9" t="s">
        <v>112</v>
      </c>
      <c r="C348" s="9" t="s">
        <v>1001</v>
      </c>
      <c r="D348" s="10" t="s">
        <v>1002</v>
      </c>
      <c r="E348" s="11" t="s">
        <v>1271</v>
      </c>
      <c r="F348" s="17"/>
      <c r="G348" s="12" t="s">
        <v>49</v>
      </c>
      <c r="H348" s="13" t="n">
        <v>-0.125</v>
      </c>
      <c r="I348" s="14"/>
      <c r="J348" s="17"/>
      <c r="K348" s="9"/>
      <c r="L348" s="15" t="s">
        <v>50</v>
      </c>
      <c r="M348" s="16" t="s">
        <v>51</v>
      </c>
      <c r="N348" s="14"/>
      <c r="O348" s="15" t="s">
        <v>52</v>
      </c>
      <c r="P348" s="17" t="s">
        <v>53</v>
      </c>
      <c r="Q348" s="15"/>
      <c r="R348" s="18" t="s">
        <v>51</v>
      </c>
      <c r="S348" s="19"/>
      <c r="T348" s="17" t="str">
        <f aca="false">IF(R348="維持",J348,IF(R348="排除","無關新聞事件",IFERROR(INDEX(事件規則!$B$2:$B$53,MATCH(S348,事件規則!$A$2:$A$53,0)),"")))</f>
        <v>無關新聞事件</v>
      </c>
      <c r="U348" s="20" t="n">
        <f aca="false">IF(R348="維持",K348,IF(R348="排除",0,IFERROR(INDEX(事件規則!$C$2:$C$53,MATCH(S348,事件規則!$A$2:$A$53,0)),"")))</f>
        <v>0</v>
      </c>
      <c r="V348" s="21"/>
      <c r="W348" s="22"/>
      <c r="X348" s="10" t="str">
        <f aca="false">IF(AND(R348="修改",S348=""),"請選新事件代碼",IF(AND(R348&lt;&gt;"修改",S348&lt;&gt;""),"只有「修改」才需填代碼",""))</f>
        <v/>
      </c>
      <c r="Y348" s="21"/>
      <c r="Z348" s="22"/>
      <c r="AA348" s="12" t="s">
        <v>1272</v>
      </c>
      <c r="AB348" s="24"/>
    </row>
    <row r="349" customFormat="false" ht="29.85" hidden="false" customHeight="false" outlineLevel="0" collapsed="false">
      <c r="A349" s="15" t="n">
        <v>348</v>
      </c>
      <c r="B349" s="9" t="s">
        <v>112</v>
      </c>
      <c r="C349" s="9" t="s">
        <v>550</v>
      </c>
      <c r="D349" s="10" t="s">
        <v>551</v>
      </c>
      <c r="E349" s="11" t="s">
        <v>1273</v>
      </c>
      <c r="F349" s="17"/>
      <c r="G349" s="12" t="s">
        <v>1068</v>
      </c>
      <c r="H349" s="13" t="n">
        <v>-0.122</v>
      </c>
      <c r="I349" s="14"/>
      <c r="J349" s="17"/>
      <c r="K349" s="9"/>
      <c r="L349" s="15" t="s">
        <v>50</v>
      </c>
      <c r="M349" s="16" t="s">
        <v>51</v>
      </c>
      <c r="N349" s="14"/>
      <c r="O349" s="15" t="s">
        <v>52</v>
      </c>
      <c r="P349" s="17" t="s">
        <v>53</v>
      </c>
      <c r="Q349" s="15"/>
      <c r="R349" s="18" t="s">
        <v>51</v>
      </c>
      <c r="S349" s="19"/>
      <c r="T349" s="17" t="str">
        <f aca="false">IF(R349="維持",J349,IF(R349="排除","無關新聞事件",IFERROR(INDEX(事件規則!$B$2:$B$53,MATCH(S349,事件規則!$A$2:$A$53,0)),"")))</f>
        <v>無關新聞事件</v>
      </c>
      <c r="U349" s="20" t="n">
        <f aca="false">IF(R349="維持",K349,IF(R349="排除",0,IFERROR(INDEX(事件規則!$C$2:$C$53,MATCH(S349,事件規則!$A$2:$A$53,0)),"")))</f>
        <v>0</v>
      </c>
      <c r="V349" s="21"/>
      <c r="W349" s="22"/>
      <c r="X349" s="10" t="str">
        <f aca="false">IF(AND(R349="修改",S349=""),"請選新事件代碼",IF(AND(R349&lt;&gt;"修改",S349&lt;&gt;""),"只有「修改」才需填代碼",""))</f>
        <v/>
      </c>
      <c r="Y349" s="21"/>
      <c r="Z349" s="22"/>
      <c r="AA349" s="12" t="s">
        <v>1274</v>
      </c>
      <c r="AB349" s="24"/>
    </row>
    <row r="350" customFormat="false" ht="15" hidden="false" customHeight="false" outlineLevel="0" collapsed="false">
      <c r="A350" s="15" t="n">
        <v>349</v>
      </c>
      <c r="B350" s="9" t="s">
        <v>45</v>
      </c>
      <c r="C350" s="9" t="s">
        <v>1242</v>
      </c>
      <c r="D350" s="10" t="s">
        <v>1243</v>
      </c>
      <c r="E350" s="11" t="s">
        <v>1275</v>
      </c>
      <c r="F350" s="17"/>
      <c r="G350" s="12" t="s">
        <v>1276</v>
      </c>
      <c r="H350" s="13" t="n">
        <v>-0.122</v>
      </c>
      <c r="I350" s="14"/>
      <c r="J350" s="17"/>
      <c r="K350" s="9"/>
      <c r="L350" s="15" t="s">
        <v>50</v>
      </c>
      <c r="M350" s="16" t="s">
        <v>131</v>
      </c>
      <c r="N350" s="14" t="s">
        <v>1246</v>
      </c>
      <c r="O350" s="15" t="s">
        <v>193</v>
      </c>
      <c r="P350" s="10" t="s">
        <v>1247</v>
      </c>
      <c r="Q350" s="15"/>
      <c r="R350" s="18" t="s">
        <v>131</v>
      </c>
      <c r="S350" s="19" t="s">
        <v>1246</v>
      </c>
      <c r="T350" s="17" t="str">
        <f aca="false">IF(R350="維持",J350,IF(R350="排除","無關新聞事件",IFERROR(INDEX(事件規則!$B$2:$B$53,MATCH(S350,事件規則!$A$2:$A$53,0)),"")))</f>
        <v>資料外洩</v>
      </c>
      <c r="U350" s="20" t="n">
        <f aca="false">IF(R350="維持",K350,IF(R350="排除",0,IFERROR(INDEX(事件規則!$C$2:$C$53,MATCH(S350,事件規則!$A$2:$A$53,0)),"")))</f>
        <v>3</v>
      </c>
      <c r="V350" s="21"/>
      <c r="W350" s="22"/>
      <c r="X350" s="10" t="str">
        <f aca="false">IF(AND(R350="修改",S350=""),"請選新事件代碼",IF(AND(R350&lt;&gt;"修改",S350&lt;&gt;""),"只有「修改」才需填代碼",""))</f>
        <v/>
      </c>
      <c r="Y350" s="21"/>
      <c r="Z350" s="22"/>
      <c r="AA350" s="12" t="s">
        <v>1277</v>
      </c>
      <c r="AB350" s="24"/>
    </row>
    <row r="351" customFormat="false" ht="29.85" hidden="false" customHeight="false" outlineLevel="0" collapsed="false">
      <c r="A351" s="15" t="n">
        <v>350</v>
      </c>
      <c r="B351" s="9" t="s">
        <v>55</v>
      </c>
      <c r="C351" s="9" t="s">
        <v>654</v>
      </c>
      <c r="D351" s="10" t="s">
        <v>655</v>
      </c>
      <c r="E351" s="11" t="s">
        <v>1278</v>
      </c>
      <c r="F351" s="17"/>
      <c r="G351" s="12" t="s">
        <v>49</v>
      </c>
      <c r="H351" s="13" t="n">
        <v>-0.121</v>
      </c>
      <c r="I351" s="14"/>
      <c r="J351" s="17"/>
      <c r="K351" s="9"/>
      <c r="L351" s="15" t="s">
        <v>50</v>
      </c>
      <c r="M351" s="16" t="s">
        <v>51</v>
      </c>
      <c r="N351" s="14"/>
      <c r="O351" s="15" t="s">
        <v>52</v>
      </c>
      <c r="P351" s="17" t="s">
        <v>53</v>
      </c>
      <c r="Q351" s="15"/>
      <c r="R351" s="18" t="s">
        <v>51</v>
      </c>
      <c r="S351" s="19"/>
      <c r="T351" s="17" t="str">
        <f aca="false">IF(R351="維持",J351,IF(R351="排除","無關新聞事件",IFERROR(INDEX(事件規則!$B$2:$B$53,MATCH(S351,事件規則!$A$2:$A$53,0)),"")))</f>
        <v>無關新聞事件</v>
      </c>
      <c r="U351" s="20" t="n">
        <f aca="false">IF(R351="維持",K351,IF(R351="排除",0,IFERROR(INDEX(事件規則!$C$2:$C$53,MATCH(S351,事件規則!$A$2:$A$53,0)),"")))</f>
        <v>0</v>
      </c>
      <c r="V351" s="21"/>
      <c r="W351" s="22"/>
      <c r="X351" s="10" t="str">
        <f aca="false">IF(AND(R351="修改",S351=""),"請選新事件代碼",IF(AND(R351&lt;&gt;"修改",S351&lt;&gt;""),"只有「修改」才需填代碼",""))</f>
        <v/>
      </c>
      <c r="Y351" s="21"/>
      <c r="Z351" s="22"/>
      <c r="AA351" s="12" t="s">
        <v>1279</v>
      </c>
      <c r="AB351" s="24"/>
    </row>
    <row r="352" customFormat="false" ht="29.85" hidden="false" customHeight="false" outlineLevel="0" collapsed="false">
      <c r="A352" s="15" t="n">
        <v>351</v>
      </c>
      <c r="B352" s="9" t="s">
        <v>55</v>
      </c>
      <c r="C352" s="9" t="s">
        <v>831</v>
      </c>
      <c r="D352" s="10" t="s">
        <v>832</v>
      </c>
      <c r="E352" s="11" t="s">
        <v>1280</v>
      </c>
      <c r="F352" s="17"/>
      <c r="G352" s="12" t="s">
        <v>164</v>
      </c>
      <c r="H352" s="13" t="n">
        <v>-0.12</v>
      </c>
      <c r="I352" s="14"/>
      <c r="J352" s="17"/>
      <c r="K352" s="9"/>
      <c r="L352" s="15" t="s">
        <v>50</v>
      </c>
      <c r="M352" s="16" t="s">
        <v>51</v>
      </c>
      <c r="N352" s="14"/>
      <c r="O352" s="15" t="s">
        <v>52</v>
      </c>
      <c r="P352" s="17" t="s">
        <v>53</v>
      </c>
      <c r="Q352" s="15"/>
      <c r="R352" s="18" t="s">
        <v>51</v>
      </c>
      <c r="S352" s="19"/>
      <c r="T352" s="17" t="str">
        <f aca="false">IF(R352="維持",J352,IF(R352="排除","無關新聞事件",IFERROR(INDEX(事件規則!$B$2:$B$53,MATCH(S352,事件規則!$A$2:$A$53,0)),"")))</f>
        <v>無關新聞事件</v>
      </c>
      <c r="U352" s="20" t="n">
        <f aca="false">IF(R352="維持",K352,IF(R352="排除",0,IFERROR(INDEX(事件規則!$C$2:$C$53,MATCH(S352,事件規則!$A$2:$A$53,0)),"")))</f>
        <v>0</v>
      </c>
      <c r="V352" s="21"/>
      <c r="W352" s="22"/>
      <c r="X352" s="10" t="str">
        <f aca="false">IF(AND(R352="修改",S352=""),"請選新事件代碼",IF(AND(R352&lt;&gt;"修改",S352&lt;&gt;""),"只有「修改」才需填代碼",""))</f>
        <v/>
      </c>
      <c r="Y352" s="21"/>
      <c r="Z352" s="22"/>
      <c r="AA352" s="12" t="s">
        <v>1281</v>
      </c>
      <c r="AB352" s="24"/>
    </row>
    <row r="353" customFormat="false" ht="29.85" hidden="false" customHeight="false" outlineLevel="0" collapsed="false">
      <c r="A353" s="15" t="n">
        <v>352</v>
      </c>
      <c r="B353" s="9" t="s">
        <v>112</v>
      </c>
      <c r="C353" s="9" t="s">
        <v>144</v>
      </c>
      <c r="D353" s="10" t="s">
        <v>145</v>
      </c>
      <c r="E353" s="11" t="s">
        <v>1282</v>
      </c>
      <c r="F353" s="17"/>
      <c r="G353" s="12" t="s">
        <v>1283</v>
      </c>
      <c r="H353" s="13" t="n">
        <v>-0.12</v>
      </c>
      <c r="I353" s="14"/>
      <c r="J353" s="17"/>
      <c r="K353" s="9"/>
      <c r="L353" s="15" t="s">
        <v>50</v>
      </c>
      <c r="M353" s="16" t="s">
        <v>51</v>
      </c>
      <c r="N353" s="14"/>
      <c r="O353" s="15" t="s">
        <v>52</v>
      </c>
      <c r="P353" s="17" t="s">
        <v>53</v>
      </c>
      <c r="Q353" s="15"/>
      <c r="R353" s="18" t="s">
        <v>51</v>
      </c>
      <c r="S353" s="19"/>
      <c r="T353" s="17" t="str">
        <f aca="false">IF(R353="維持",J353,IF(R353="排除","無關新聞事件",IFERROR(INDEX(事件規則!$B$2:$B$53,MATCH(S353,事件規則!$A$2:$A$53,0)),"")))</f>
        <v>無關新聞事件</v>
      </c>
      <c r="U353" s="20" t="n">
        <f aca="false">IF(R353="維持",K353,IF(R353="排除",0,IFERROR(INDEX(事件規則!$C$2:$C$53,MATCH(S353,事件規則!$A$2:$A$53,0)),"")))</f>
        <v>0</v>
      </c>
      <c r="V353" s="21"/>
      <c r="W353" s="22"/>
      <c r="X353" s="10" t="str">
        <f aca="false">IF(AND(R353="修改",S353=""),"請選新事件代碼",IF(AND(R353&lt;&gt;"修改",S353&lt;&gt;""),"只有「修改」才需填代碼",""))</f>
        <v/>
      </c>
      <c r="Y353" s="21"/>
      <c r="Z353" s="22"/>
      <c r="AA353" s="12" t="s">
        <v>1284</v>
      </c>
      <c r="AB353" s="24"/>
    </row>
    <row r="354" customFormat="false" ht="29.85" hidden="false" customHeight="false" outlineLevel="0" collapsed="false">
      <c r="A354" s="15" t="n">
        <v>353</v>
      </c>
      <c r="B354" s="9" t="s">
        <v>112</v>
      </c>
      <c r="C354" s="9" t="s">
        <v>355</v>
      </c>
      <c r="D354" s="10" t="s">
        <v>356</v>
      </c>
      <c r="E354" s="11" t="s">
        <v>1285</v>
      </c>
      <c r="F354" s="17"/>
      <c r="G354" s="12" t="s">
        <v>1286</v>
      </c>
      <c r="H354" s="13" t="n">
        <v>-0.12</v>
      </c>
      <c r="I354" s="14"/>
      <c r="J354" s="17"/>
      <c r="K354" s="9"/>
      <c r="L354" s="15" t="s">
        <v>50</v>
      </c>
      <c r="M354" s="16" t="s">
        <v>51</v>
      </c>
      <c r="N354" s="14"/>
      <c r="O354" s="15" t="s">
        <v>52</v>
      </c>
      <c r="P354" s="17" t="s">
        <v>53</v>
      </c>
      <c r="Q354" s="15"/>
      <c r="R354" s="18" t="s">
        <v>51</v>
      </c>
      <c r="S354" s="19"/>
      <c r="T354" s="17" t="str">
        <f aca="false">IF(R354="維持",J354,IF(R354="排除","無關新聞事件",IFERROR(INDEX(事件規則!$B$2:$B$53,MATCH(S354,事件規則!$A$2:$A$53,0)),"")))</f>
        <v>無關新聞事件</v>
      </c>
      <c r="U354" s="20" t="n">
        <f aca="false">IF(R354="維持",K354,IF(R354="排除",0,IFERROR(INDEX(事件規則!$C$2:$C$53,MATCH(S354,事件規則!$A$2:$A$53,0)),"")))</f>
        <v>0</v>
      </c>
      <c r="V354" s="21"/>
      <c r="W354" s="22"/>
      <c r="X354" s="10" t="str">
        <f aca="false">IF(AND(R354="修改",S354=""),"請選新事件代碼",IF(AND(R354&lt;&gt;"修改",S354&lt;&gt;""),"只有「修改」才需填代碼",""))</f>
        <v/>
      </c>
      <c r="Y354" s="21"/>
      <c r="Z354" s="22"/>
      <c r="AA354" s="12" t="s">
        <v>1287</v>
      </c>
      <c r="AB354" s="24"/>
    </row>
    <row r="355" customFormat="false" ht="29.85" hidden="false" customHeight="false" outlineLevel="0" collapsed="false">
      <c r="A355" s="15" t="n">
        <v>354</v>
      </c>
      <c r="B355" s="9" t="s">
        <v>55</v>
      </c>
      <c r="C355" s="9" t="s">
        <v>469</v>
      </c>
      <c r="D355" s="10" t="s">
        <v>470</v>
      </c>
      <c r="E355" s="11" t="s">
        <v>1288</v>
      </c>
      <c r="F355" s="17"/>
      <c r="G355" s="12" t="s">
        <v>59</v>
      </c>
      <c r="H355" s="13" t="n">
        <v>-0.12</v>
      </c>
      <c r="I355" s="14"/>
      <c r="J355" s="17"/>
      <c r="K355" s="9"/>
      <c r="L355" s="15" t="s">
        <v>50</v>
      </c>
      <c r="M355" s="16" t="s">
        <v>51</v>
      </c>
      <c r="N355" s="14"/>
      <c r="O355" s="15" t="s">
        <v>52</v>
      </c>
      <c r="P355" s="17" t="s">
        <v>53</v>
      </c>
      <c r="Q355" s="15"/>
      <c r="R355" s="18" t="s">
        <v>51</v>
      </c>
      <c r="S355" s="19"/>
      <c r="T355" s="17" t="str">
        <f aca="false">IF(R355="維持",J355,IF(R355="排除","無關新聞事件",IFERROR(INDEX(事件規則!$B$2:$B$53,MATCH(S355,事件規則!$A$2:$A$53,0)),"")))</f>
        <v>無關新聞事件</v>
      </c>
      <c r="U355" s="20" t="n">
        <f aca="false">IF(R355="維持",K355,IF(R355="排除",0,IFERROR(INDEX(事件規則!$C$2:$C$53,MATCH(S355,事件規則!$A$2:$A$53,0)),"")))</f>
        <v>0</v>
      </c>
      <c r="V355" s="21"/>
      <c r="W355" s="22"/>
      <c r="X355" s="10" t="str">
        <f aca="false">IF(AND(R355="修改",S355=""),"請選新事件代碼",IF(AND(R355&lt;&gt;"修改",S355&lt;&gt;""),"只有「修改」才需填代碼",""))</f>
        <v/>
      </c>
      <c r="Y355" s="21"/>
      <c r="Z355" s="22"/>
      <c r="AA355" s="12" t="s">
        <v>1289</v>
      </c>
      <c r="AB355" s="24"/>
    </row>
    <row r="356" customFormat="false" ht="29.85" hidden="false" customHeight="false" outlineLevel="0" collapsed="false">
      <c r="A356" s="15" t="n">
        <v>355</v>
      </c>
      <c r="B356" s="9" t="s">
        <v>45</v>
      </c>
      <c r="C356" s="9" t="s">
        <v>118</v>
      </c>
      <c r="D356" s="10" t="s">
        <v>119</v>
      </c>
      <c r="E356" s="11" t="s">
        <v>1290</v>
      </c>
      <c r="F356" s="17"/>
      <c r="G356" s="12" t="s">
        <v>1291</v>
      </c>
      <c r="H356" s="13" t="n">
        <v>-0.118</v>
      </c>
      <c r="I356" s="14"/>
      <c r="J356" s="17"/>
      <c r="K356" s="9"/>
      <c r="L356" s="15" t="s">
        <v>50</v>
      </c>
      <c r="M356" s="16" t="s">
        <v>51</v>
      </c>
      <c r="N356" s="14"/>
      <c r="O356" s="15" t="s">
        <v>52</v>
      </c>
      <c r="P356" s="17" t="s">
        <v>53</v>
      </c>
      <c r="Q356" s="15"/>
      <c r="R356" s="18" t="s">
        <v>51</v>
      </c>
      <c r="S356" s="19"/>
      <c r="T356" s="17" t="str">
        <f aca="false">IF(R356="維持",J356,IF(R356="排除","無關新聞事件",IFERROR(INDEX(事件規則!$B$2:$B$53,MATCH(S356,事件規則!$A$2:$A$53,0)),"")))</f>
        <v>無關新聞事件</v>
      </c>
      <c r="U356" s="20" t="n">
        <f aca="false">IF(R356="維持",K356,IF(R356="排除",0,IFERROR(INDEX(事件規則!$C$2:$C$53,MATCH(S356,事件規則!$A$2:$A$53,0)),"")))</f>
        <v>0</v>
      </c>
      <c r="V356" s="21"/>
      <c r="W356" s="22"/>
      <c r="X356" s="10" t="str">
        <f aca="false">IF(AND(R356="修改",S356=""),"請選新事件代碼",IF(AND(R356&lt;&gt;"修改",S356&lt;&gt;""),"只有「修改」才需填代碼",""))</f>
        <v/>
      </c>
      <c r="Y356" s="21"/>
      <c r="Z356" s="22"/>
      <c r="AA356" s="12" t="s">
        <v>1292</v>
      </c>
      <c r="AB356" s="24"/>
    </row>
    <row r="357" customFormat="false" ht="29.85" hidden="false" customHeight="false" outlineLevel="0" collapsed="false">
      <c r="A357" s="15" t="n">
        <v>356</v>
      </c>
      <c r="B357" s="9" t="s">
        <v>55</v>
      </c>
      <c r="C357" s="9" t="s">
        <v>987</v>
      </c>
      <c r="D357" s="10" t="s">
        <v>988</v>
      </c>
      <c r="E357" s="11" t="s">
        <v>1293</v>
      </c>
      <c r="F357" s="17"/>
      <c r="G357" s="12" t="s">
        <v>59</v>
      </c>
      <c r="H357" s="13" t="n">
        <v>-0.117</v>
      </c>
      <c r="I357" s="14"/>
      <c r="J357" s="17"/>
      <c r="K357" s="9"/>
      <c r="L357" s="15" t="s">
        <v>50</v>
      </c>
      <c r="M357" s="16" t="s">
        <v>51</v>
      </c>
      <c r="N357" s="14"/>
      <c r="O357" s="15" t="s">
        <v>52</v>
      </c>
      <c r="P357" s="17" t="s">
        <v>53</v>
      </c>
      <c r="Q357" s="15"/>
      <c r="R357" s="18" t="s">
        <v>51</v>
      </c>
      <c r="S357" s="19"/>
      <c r="T357" s="17" t="str">
        <f aca="false">IF(R357="維持",J357,IF(R357="排除","無關新聞事件",IFERROR(INDEX(事件規則!$B$2:$B$53,MATCH(S357,事件規則!$A$2:$A$53,0)),"")))</f>
        <v>無關新聞事件</v>
      </c>
      <c r="U357" s="20" t="n">
        <f aca="false">IF(R357="維持",K357,IF(R357="排除",0,IFERROR(INDEX(事件規則!$C$2:$C$53,MATCH(S357,事件規則!$A$2:$A$53,0)),"")))</f>
        <v>0</v>
      </c>
      <c r="V357" s="21"/>
      <c r="W357" s="22"/>
      <c r="X357" s="10" t="str">
        <f aca="false">IF(AND(R357="修改",S357=""),"請選新事件代碼",IF(AND(R357&lt;&gt;"修改",S357&lt;&gt;""),"只有「修改」才需填代碼",""))</f>
        <v/>
      </c>
      <c r="Y357" s="21"/>
      <c r="Z357" s="22"/>
      <c r="AA357" s="12" t="s">
        <v>1294</v>
      </c>
      <c r="AB357" s="24"/>
    </row>
    <row r="358" customFormat="false" ht="29.85" hidden="false" customHeight="false" outlineLevel="0" collapsed="false">
      <c r="A358" s="15" t="n">
        <v>357</v>
      </c>
      <c r="B358" s="9" t="s">
        <v>81</v>
      </c>
      <c r="C358" s="9" t="s">
        <v>118</v>
      </c>
      <c r="D358" s="10" t="s">
        <v>119</v>
      </c>
      <c r="E358" s="11" t="s">
        <v>1295</v>
      </c>
      <c r="F358" s="17"/>
      <c r="G358" s="12" t="s">
        <v>725</v>
      </c>
      <c r="H358" s="13" t="n">
        <v>-0.117</v>
      </c>
      <c r="I358" s="14"/>
      <c r="J358" s="17"/>
      <c r="K358" s="9"/>
      <c r="L358" s="15" t="s">
        <v>50</v>
      </c>
      <c r="M358" s="16" t="s">
        <v>51</v>
      </c>
      <c r="N358" s="14"/>
      <c r="O358" s="15" t="s">
        <v>52</v>
      </c>
      <c r="P358" s="17" t="s">
        <v>53</v>
      </c>
      <c r="Q358" s="15"/>
      <c r="R358" s="18" t="s">
        <v>51</v>
      </c>
      <c r="S358" s="19"/>
      <c r="T358" s="17" t="str">
        <f aca="false">IF(R358="維持",J358,IF(R358="排除","無關新聞事件",IFERROR(INDEX(事件規則!$B$2:$B$53,MATCH(S358,事件規則!$A$2:$A$53,0)),"")))</f>
        <v>無關新聞事件</v>
      </c>
      <c r="U358" s="20" t="n">
        <f aca="false">IF(R358="維持",K358,IF(R358="排除",0,IFERROR(INDEX(事件規則!$C$2:$C$53,MATCH(S358,事件規則!$A$2:$A$53,0)),"")))</f>
        <v>0</v>
      </c>
      <c r="V358" s="21"/>
      <c r="W358" s="22"/>
      <c r="X358" s="10" t="str">
        <f aca="false">IF(AND(R358="修改",S358=""),"請選新事件代碼",IF(AND(R358&lt;&gt;"修改",S358&lt;&gt;""),"只有「修改」才需填代碼",""))</f>
        <v/>
      </c>
      <c r="Y358" s="21"/>
      <c r="Z358" s="22"/>
      <c r="AA358" s="12" t="s">
        <v>1296</v>
      </c>
      <c r="AB358" s="24"/>
    </row>
    <row r="359" customFormat="false" ht="29.85" hidden="false" customHeight="false" outlineLevel="0" collapsed="false">
      <c r="A359" s="15" t="n">
        <v>358</v>
      </c>
      <c r="B359" s="9" t="s">
        <v>112</v>
      </c>
      <c r="C359" s="9" t="s">
        <v>144</v>
      </c>
      <c r="D359" s="10" t="s">
        <v>145</v>
      </c>
      <c r="E359" s="11" t="s">
        <v>1297</v>
      </c>
      <c r="F359" s="17"/>
      <c r="G359" s="12" t="s">
        <v>145</v>
      </c>
      <c r="H359" s="13" t="n">
        <v>-0.117</v>
      </c>
      <c r="I359" s="14"/>
      <c r="J359" s="17"/>
      <c r="K359" s="9"/>
      <c r="L359" s="15" t="s">
        <v>50</v>
      </c>
      <c r="M359" s="16" t="s">
        <v>51</v>
      </c>
      <c r="N359" s="14"/>
      <c r="O359" s="15" t="s">
        <v>52</v>
      </c>
      <c r="P359" s="17" t="s">
        <v>53</v>
      </c>
      <c r="Q359" s="15"/>
      <c r="R359" s="18" t="s">
        <v>51</v>
      </c>
      <c r="S359" s="19"/>
      <c r="T359" s="17" t="str">
        <f aca="false">IF(R359="維持",J359,IF(R359="排除","無關新聞事件",IFERROR(INDEX(事件規則!$B$2:$B$53,MATCH(S359,事件規則!$A$2:$A$53,0)),"")))</f>
        <v>無關新聞事件</v>
      </c>
      <c r="U359" s="20" t="n">
        <f aca="false">IF(R359="維持",K359,IF(R359="排除",0,IFERROR(INDEX(事件規則!$C$2:$C$53,MATCH(S359,事件規則!$A$2:$A$53,0)),"")))</f>
        <v>0</v>
      </c>
      <c r="V359" s="21"/>
      <c r="W359" s="22"/>
      <c r="X359" s="10" t="str">
        <f aca="false">IF(AND(R359="修改",S359=""),"請選新事件代碼",IF(AND(R359&lt;&gt;"修改",S359&lt;&gt;""),"只有「修改」才需填代碼",""))</f>
        <v/>
      </c>
      <c r="Y359" s="21"/>
      <c r="Z359" s="22"/>
      <c r="AA359" s="12" t="s">
        <v>1298</v>
      </c>
      <c r="AB359" s="24"/>
    </row>
    <row r="360" customFormat="false" ht="29.85" hidden="false" customHeight="false" outlineLevel="0" collapsed="false">
      <c r="A360" s="15" t="n">
        <v>359</v>
      </c>
      <c r="B360" s="9" t="s">
        <v>55</v>
      </c>
      <c r="C360" s="9" t="s">
        <v>321</v>
      </c>
      <c r="D360" s="10" t="s">
        <v>322</v>
      </c>
      <c r="E360" s="11" t="s">
        <v>1299</v>
      </c>
      <c r="F360" s="17"/>
      <c r="G360" s="12" t="s">
        <v>59</v>
      </c>
      <c r="H360" s="13" t="n">
        <v>-0.116</v>
      </c>
      <c r="I360" s="14"/>
      <c r="J360" s="17"/>
      <c r="K360" s="9"/>
      <c r="L360" s="15" t="s">
        <v>50</v>
      </c>
      <c r="M360" s="16" t="s">
        <v>51</v>
      </c>
      <c r="N360" s="14"/>
      <c r="O360" s="15" t="s">
        <v>52</v>
      </c>
      <c r="P360" s="17" t="s">
        <v>53</v>
      </c>
      <c r="Q360" s="15"/>
      <c r="R360" s="18" t="s">
        <v>51</v>
      </c>
      <c r="S360" s="19"/>
      <c r="T360" s="17" t="str">
        <f aca="false">IF(R360="維持",J360,IF(R360="排除","無關新聞事件",IFERROR(INDEX(事件規則!$B$2:$B$53,MATCH(S360,事件規則!$A$2:$A$53,0)),"")))</f>
        <v>無關新聞事件</v>
      </c>
      <c r="U360" s="20" t="n">
        <f aca="false">IF(R360="維持",K360,IF(R360="排除",0,IFERROR(INDEX(事件規則!$C$2:$C$53,MATCH(S360,事件規則!$A$2:$A$53,0)),"")))</f>
        <v>0</v>
      </c>
      <c r="V360" s="21"/>
      <c r="W360" s="22"/>
      <c r="X360" s="10" t="str">
        <f aca="false">IF(AND(R360="修改",S360=""),"請選新事件代碼",IF(AND(R360&lt;&gt;"修改",S360&lt;&gt;""),"只有「修改」才需填代碼",""))</f>
        <v/>
      </c>
      <c r="Y360" s="21"/>
      <c r="Z360" s="22"/>
      <c r="AA360" s="12" t="s">
        <v>1300</v>
      </c>
      <c r="AB360" s="24"/>
    </row>
    <row r="361" customFormat="false" ht="29.85" hidden="false" customHeight="false" outlineLevel="0" collapsed="false">
      <c r="A361" s="15" t="n">
        <v>360</v>
      </c>
      <c r="B361" s="9" t="s">
        <v>55</v>
      </c>
      <c r="C361" s="9" t="s">
        <v>289</v>
      </c>
      <c r="D361" s="10" t="s">
        <v>290</v>
      </c>
      <c r="E361" s="11" t="s">
        <v>1301</v>
      </c>
      <c r="F361" s="17"/>
      <c r="G361" s="12" t="s">
        <v>176</v>
      </c>
      <c r="H361" s="13" t="n">
        <v>-0.116</v>
      </c>
      <c r="I361" s="14"/>
      <c r="J361" s="17"/>
      <c r="K361" s="9"/>
      <c r="L361" s="15" t="s">
        <v>50</v>
      </c>
      <c r="M361" s="16" t="s">
        <v>51</v>
      </c>
      <c r="N361" s="14"/>
      <c r="O361" s="15" t="s">
        <v>52</v>
      </c>
      <c r="P361" s="17" t="s">
        <v>53</v>
      </c>
      <c r="Q361" s="15"/>
      <c r="R361" s="18" t="s">
        <v>51</v>
      </c>
      <c r="S361" s="19"/>
      <c r="T361" s="17" t="str">
        <f aca="false">IF(R361="維持",J361,IF(R361="排除","無關新聞事件",IFERROR(INDEX(事件規則!$B$2:$B$53,MATCH(S361,事件規則!$A$2:$A$53,0)),"")))</f>
        <v>無關新聞事件</v>
      </c>
      <c r="U361" s="20" t="n">
        <f aca="false">IF(R361="維持",K361,IF(R361="排除",0,IFERROR(INDEX(事件規則!$C$2:$C$53,MATCH(S361,事件規則!$A$2:$A$53,0)),"")))</f>
        <v>0</v>
      </c>
      <c r="V361" s="21"/>
      <c r="W361" s="22"/>
      <c r="X361" s="10" t="str">
        <f aca="false">IF(AND(R361="修改",S361=""),"請選新事件代碼",IF(AND(R361&lt;&gt;"修改",S361&lt;&gt;""),"只有「修改」才需填代碼",""))</f>
        <v/>
      </c>
      <c r="Y361" s="21"/>
      <c r="Z361" s="22"/>
      <c r="AA361" s="12" t="s">
        <v>1302</v>
      </c>
      <c r="AB361" s="24"/>
    </row>
    <row r="362" customFormat="false" ht="29.85" hidden="false" customHeight="false" outlineLevel="0" collapsed="false">
      <c r="A362" s="15" t="n">
        <v>361</v>
      </c>
      <c r="B362" s="9" t="s">
        <v>112</v>
      </c>
      <c r="C362" s="9" t="s">
        <v>1303</v>
      </c>
      <c r="D362" s="10" t="s">
        <v>1304</v>
      </c>
      <c r="E362" s="11" t="s">
        <v>1305</v>
      </c>
      <c r="F362" s="17"/>
      <c r="G362" s="12" t="s">
        <v>95</v>
      </c>
      <c r="H362" s="13" t="n">
        <v>-0.115</v>
      </c>
      <c r="I362" s="14"/>
      <c r="J362" s="17"/>
      <c r="K362" s="9"/>
      <c r="L362" s="15" t="s">
        <v>50</v>
      </c>
      <c r="M362" s="16" t="s">
        <v>51</v>
      </c>
      <c r="N362" s="14"/>
      <c r="O362" s="15" t="s">
        <v>52</v>
      </c>
      <c r="P362" s="17" t="s">
        <v>53</v>
      </c>
      <c r="Q362" s="15"/>
      <c r="R362" s="18" t="s">
        <v>51</v>
      </c>
      <c r="S362" s="19"/>
      <c r="T362" s="17" t="str">
        <f aca="false">IF(R362="維持",J362,IF(R362="排除","無關新聞事件",IFERROR(INDEX(事件規則!$B$2:$B$53,MATCH(S362,事件規則!$A$2:$A$53,0)),"")))</f>
        <v>無關新聞事件</v>
      </c>
      <c r="U362" s="20" t="n">
        <f aca="false">IF(R362="維持",K362,IF(R362="排除",0,IFERROR(INDEX(事件規則!$C$2:$C$53,MATCH(S362,事件規則!$A$2:$A$53,0)),"")))</f>
        <v>0</v>
      </c>
      <c r="V362" s="21"/>
      <c r="W362" s="22"/>
      <c r="X362" s="10" t="str">
        <f aca="false">IF(AND(R362="修改",S362=""),"請選新事件代碼",IF(AND(R362&lt;&gt;"修改",S362&lt;&gt;""),"只有「修改」才需填代碼",""))</f>
        <v/>
      </c>
      <c r="Y362" s="21"/>
      <c r="Z362" s="22"/>
      <c r="AA362" s="12" t="s">
        <v>1306</v>
      </c>
      <c r="AB362" s="24"/>
    </row>
    <row r="363" customFormat="false" ht="29.85" hidden="false" customHeight="false" outlineLevel="0" collapsed="false">
      <c r="A363" s="15" t="n">
        <v>362</v>
      </c>
      <c r="B363" s="9" t="s">
        <v>45</v>
      </c>
      <c r="C363" s="9" t="s">
        <v>242</v>
      </c>
      <c r="D363" s="10" t="s">
        <v>243</v>
      </c>
      <c r="E363" s="11" t="s">
        <v>1307</v>
      </c>
      <c r="F363" s="17"/>
      <c r="G363" s="12" t="s">
        <v>1308</v>
      </c>
      <c r="H363" s="13" t="n">
        <v>-0.114</v>
      </c>
      <c r="I363" s="14"/>
      <c r="J363" s="17"/>
      <c r="K363" s="9"/>
      <c r="L363" s="15" t="s">
        <v>50</v>
      </c>
      <c r="M363" s="16" t="s">
        <v>51</v>
      </c>
      <c r="N363" s="14"/>
      <c r="O363" s="15" t="s">
        <v>52</v>
      </c>
      <c r="P363" s="17" t="s">
        <v>53</v>
      </c>
      <c r="Q363" s="15"/>
      <c r="R363" s="18" t="s">
        <v>51</v>
      </c>
      <c r="S363" s="19"/>
      <c r="T363" s="17" t="str">
        <f aca="false">IF(R363="維持",J363,IF(R363="排除","無關新聞事件",IFERROR(INDEX(事件規則!$B$2:$B$53,MATCH(S363,事件規則!$A$2:$A$53,0)),"")))</f>
        <v>無關新聞事件</v>
      </c>
      <c r="U363" s="20" t="n">
        <f aca="false">IF(R363="維持",K363,IF(R363="排除",0,IFERROR(INDEX(事件規則!$C$2:$C$53,MATCH(S363,事件規則!$A$2:$A$53,0)),"")))</f>
        <v>0</v>
      </c>
      <c r="V363" s="21"/>
      <c r="W363" s="22"/>
      <c r="X363" s="10" t="str">
        <f aca="false">IF(AND(R363="修改",S363=""),"請選新事件代碼",IF(AND(R363&lt;&gt;"修改",S363&lt;&gt;""),"只有「修改」才需填代碼",""))</f>
        <v/>
      </c>
      <c r="Y363" s="21"/>
      <c r="Z363" s="22"/>
      <c r="AA363" s="12" t="s">
        <v>1309</v>
      </c>
      <c r="AB363" s="24"/>
    </row>
    <row r="364" customFormat="false" ht="29.85" hidden="false" customHeight="false" outlineLevel="0" collapsed="false">
      <c r="A364" s="15" t="n">
        <v>363</v>
      </c>
      <c r="B364" s="9" t="s">
        <v>81</v>
      </c>
      <c r="C364" s="9" t="s">
        <v>1310</v>
      </c>
      <c r="D364" s="10" t="s">
        <v>1311</v>
      </c>
      <c r="E364" s="11" t="s">
        <v>1312</v>
      </c>
      <c r="F364" s="17"/>
      <c r="G364" s="12" t="s">
        <v>142</v>
      </c>
      <c r="H364" s="13" t="n">
        <v>-0.114</v>
      </c>
      <c r="I364" s="14"/>
      <c r="J364" s="17"/>
      <c r="K364" s="9"/>
      <c r="L364" s="15" t="s">
        <v>50</v>
      </c>
      <c r="M364" s="16" t="s">
        <v>51</v>
      </c>
      <c r="N364" s="14"/>
      <c r="O364" s="15" t="s">
        <v>52</v>
      </c>
      <c r="P364" s="17" t="s">
        <v>53</v>
      </c>
      <c r="Q364" s="15"/>
      <c r="R364" s="18" t="s">
        <v>51</v>
      </c>
      <c r="S364" s="19"/>
      <c r="T364" s="17" t="str">
        <f aca="false">IF(R364="維持",J364,IF(R364="排除","無關新聞事件",IFERROR(INDEX(事件規則!$B$2:$B$53,MATCH(S364,事件規則!$A$2:$A$53,0)),"")))</f>
        <v>無關新聞事件</v>
      </c>
      <c r="U364" s="20" t="n">
        <f aca="false">IF(R364="維持",K364,IF(R364="排除",0,IFERROR(INDEX(事件規則!$C$2:$C$53,MATCH(S364,事件規則!$A$2:$A$53,0)),"")))</f>
        <v>0</v>
      </c>
      <c r="V364" s="21"/>
      <c r="W364" s="22"/>
      <c r="X364" s="10" t="str">
        <f aca="false">IF(AND(R364="修改",S364=""),"請選新事件代碼",IF(AND(R364&lt;&gt;"修改",S364&lt;&gt;""),"只有「修改」才需填代碼",""))</f>
        <v/>
      </c>
      <c r="Y364" s="21"/>
      <c r="Z364" s="22"/>
      <c r="AA364" s="12" t="s">
        <v>1313</v>
      </c>
      <c r="AB364" s="24"/>
    </row>
    <row r="365" customFormat="false" ht="29.85" hidden="false" customHeight="false" outlineLevel="0" collapsed="false">
      <c r="A365" s="15" t="n">
        <v>364</v>
      </c>
      <c r="B365" s="9" t="s">
        <v>112</v>
      </c>
      <c r="C365" s="9" t="s">
        <v>1314</v>
      </c>
      <c r="D365" s="10" t="s">
        <v>1315</v>
      </c>
      <c r="E365" s="11" t="s">
        <v>1316</v>
      </c>
      <c r="F365" s="17"/>
      <c r="G365" s="12" t="s">
        <v>95</v>
      </c>
      <c r="H365" s="13" t="n">
        <v>-0.114</v>
      </c>
      <c r="I365" s="14"/>
      <c r="J365" s="17"/>
      <c r="K365" s="9"/>
      <c r="L365" s="15" t="s">
        <v>50</v>
      </c>
      <c r="M365" s="16" t="s">
        <v>51</v>
      </c>
      <c r="N365" s="14"/>
      <c r="O365" s="15" t="s">
        <v>52</v>
      </c>
      <c r="P365" s="17" t="s">
        <v>53</v>
      </c>
      <c r="Q365" s="15"/>
      <c r="R365" s="18" t="s">
        <v>51</v>
      </c>
      <c r="S365" s="19"/>
      <c r="T365" s="17" t="str">
        <f aca="false">IF(R365="維持",J365,IF(R365="排除","無關新聞事件",IFERROR(INDEX(事件規則!$B$2:$B$53,MATCH(S365,事件規則!$A$2:$A$53,0)),"")))</f>
        <v>無關新聞事件</v>
      </c>
      <c r="U365" s="20" t="n">
        <f aca="false">IF(R365="維持",K365,IF(R365="排除",0,IFERROR(INDEX(事件規則!$C$2:$C$53,MATCH(S365,事件規則!$A$2:$A$53,0)),"")))</f>
        <v>0</v>
      </c>
      <c r="V365" s="21"/>
      <c r="W365" s="22"/>
      <c r="X365" s="10" t="str">
        <f aca="false">IF(AND(R365="修改",S365=""),"請選新事件代碼",IF(AND(R365&lt;&gt;"修改",S365&lt;&gt;""),"只有「修改」才需填代碼",""))</f>
        <v/>
      </c>
      <c r="Y365" s="21"/>
      <c r="Z365" s="22"/>
      <c r="AA365" s="12" t="s">
        <v>1317</v>
      </c>
      <c r="AB365" s="24"/>
    </row>
    <row r="366" customFormat="false" ht="29.85" hidden="false" customHeight="false" outlineLevel="0" collapsed="false">
      <c r="A366" s="15" t="n">
        <v>365</v>
      </c>
      <c r="B366" s="9" t="s">
        <v>81</v>
      </c>
      <c r="C366" s="9" t="s">
        <v>1318</v>
      </c>
      <c r="D366" s="10" t="s">
        <v>1319</v>
      </c>
      <c r="E366" s="11" t="s">
        <v>1320</v>
      </c>
      <c r="F366" s="17"/>
      <c r="G366" s="12" t="s">
        <v>142</v>
      </c>
      <c r="H366" s="13" t="n">
        <v>-0.114</v>
      </c>
      <c r="I366" s="14"/>
      <c r="J366" s="17"/>
      <c r="K366" s="9"/>
      <c r="L366" s="15" t="s">
        <v>50</v>
      </c>
      <c r="M366" s="16" t="s">
        <v>51</v>
      </c>
      <c r="N366" s="14"/>
      <c r="O366" s="15" t="s">
        <v>52</v>
      </c>
      <c r="P366" s="17" t="s">
        <v>53</v>
      </c>
      <c r="Q366" s="15"/>
      <c r="R366" s="18" t="s">
        <v>51</v>
      </c>
      <c r="S366" s="19"/>
      <c r="T366" s="17" t="str">
        <f aca="false">IF(R366="維持",J366,IF(R366="排除","無關新聞事件",IFERROR(INDEX(事件規則!$B$2:$B$53,MATCH(S366,事件規則!$A$2:$A$53,0)),"")))</f>
        <v>無關新聞事件</v>
      </c>
      <c r="U366" s="20" t="n">
        <f aca="false">IF(R366="維持",K366,IF(R366="排除",0,IFERROR(INDEX(事件規則!$C$2:$C$53,MATCH(S366,事件規則!$A$2:$A$53,0)),"")))</f>
        <v>0</v>
      </c>
      <c r="V366" s="21"/>
      <c r="W366" s="22"/>
      <c r="X366" s="10" t="str">
        <f aca="false">IF(AND(R366="修改",S366=""),"請選新事件代碼",IF(AND(R366&lt;&gt;"修改",S366&lt;&gt;""),"只有「修改」才需填代碼",""))</f>
        <v/>
      </c>
      <c r="Y366" s="21"/>
      <c r="Z366" s="22"/>
      <c r="AA366" s="12" t="s">
        <v>1321</v>
      </c>
      <c r="AB366" s="24"/>
    </row>
    <row r="367" customFormat="false" ht="29.85" hidden="false" customHeight="false" outlineLevel="0" collapsed="false">
      <c r="A367" s="15" t="n">
        <v>366</v>
      </c>
      <c r="B367" s="9" t="s">
        <v>45</v>
      </c>
      <c r="C367" s="9" t="s">
        <v>144</v>
      </c>
      <c r="D367" s="10" t="s">
        <v>145</v>
      </c>
      <c r="E367" s="11" t="s">
        <v>1322</v>
      </c>
      <c r="F367" s="17"/>
      <c r="G367" s="12" t="s">
        <v>49</v>
      </c>
      <c r="H367" s="13" t="n">
        <v>-0.113</v>
      </c>
      <c r="I367" s="14"/>
      <c r="J367" s="17"/>
      <c r="K367" s="9"/>
      <c r="L367" s="15" t="s">
        <v>50</v>
      </c>
      <c r="M367" s="16" t="s">
        <v>51</v>
      </c>
      <c r="N367" s="14"/>
      <c r="O367" s="15" t="s">
        <v>52</v>
      </c>
      <c r="P367" s="17" t="s">
        <v>53</v>
      </c>
      <c r="Q367" s="15"/>
      <c r="R367" s="18" t="s">
        <v>51</v>
      </c>
      <c r="S367" s="19"/>
      <c r="T367" s="17" t="str">
        <f aca="false">IF(R367="維持",J367,IF(R367="排除","無關新聞事件",IFERROR(INDEX(事件規則!$B$2:$B$53,MATCH(S367,事件規則!$A$2:$A$53,0)),"")))</f>
        <v>無關新聞事件</v>
      </c>
      <c r="U367" s="20" t="n">
        <f aca="false">IF(R367="維持",K367,IF(R367="排除",0,IFERROR(INDEX(事件規則!$C$2:$C$53,MATCH(S367,事件規則!$A$2:$A$53,0)),"")))</f>
        <v>0</v>
      </c>
      <c r="V367" s="21"/>
      <c r="W367" s="22"/>
      <c r="X367" s="10" t="str">
        <f aca="false">IF(AND(R367="修改",S367=""),"請選新事件代碼",IF(AND(R367&lt;&gt;"修改",S367&lt;&gt;""),"只有「修改」才需填代碼",""))</f>
        <v/>
      </c>
      <c r="Y367" s="21"/>
      <c r="Z367" s="22"/>
      <c r="AA367" s="12" t="s">
        <v>1323</v>
      </c>
      <c r="AB367" s="24"/>
    </row>
    <row r="368" customFormat="false" ht="29.85" hidden="false" customHeight="false" outlineLevel="0" collapsed="false">
      <c r="A368" s="15" t="n">
        <v>367</v>
      </c>
      <c r="B368" s="9" t="s">
        <v>112</v>
      </c>
      <c r="C368" s="9" t="s">
        <v>1086</v>
      </c>
      <c r="D368" s="10" t="s">
        <v>1087</v>
      </c>
      <c r="E368" s="11" t="s">
        <v>1324</v>
      </c>
      <c r="F368" s="17"/>
      <c r="G368" s="12" t="s">
        <v>1325</v>
      </c>
      <c r="H368" s="13" t="n">
        <v>-0.112</v>
      </c>
      <c r="I368" s="14"/>
      <c r="J368" s="17"/>
      <c r="K368" s="9"/>
      <c r="L368" s="15" t="s">
        <v>50</v>
      </c>
      <c r="M368" s="16" t="s">
        <v>51</v>
      </c>
      <c r="N368" s="14"/>
      <c r="O368" s="15" t="s">
        <v>52</v>
      </c>
      <c r="P368" s="17" t="s">
        <v>53</v>
      </c>
      <c r="Q368" s="15"/>
      <c r="R368" s="18" t="s">
        <v>51</v>
      </c>
      <c r="S368" s="19"/>
      <c r="T368" s="17" t="str">
        <f aca="false">IF(R368="維持",J368,IF(R368="排除","無關新聞事件",IFERROR(INDEX(事件規則!$B$2:$B$53,MATCH(S368,事件規則!$A$2:$A$53,0)),"")))</f>
        <v>無關新聞事件</v>
      </c>
      <c r="U368" s="20" t="n">
        <f aca="false">IF(R368="維持",K368,IF(R368="排除",0,IFERROR(INDEX(事件規則!$C$2:$C$53,MATCH(S368,事件規則!$A$2:$A$53,0)),"")))</f>
        <v>0</v>
      </c>
      <c r="V368" s="21"/>
      <c r="W368" s="22"/>
      <c r="X368" s="10" t="str">
        <f aca="false">IF(AND(R368="修改",S368=""),"請選新事件代碼",IF(AND(R368&lt;&gt;"修改",S368&lt;&gt;""),"只有「修改」才需填代碼",""))</f>
        <v/>
      </c>
      <c r="Y368" s="21"/>
      <c r="Z368" s="22"/>
      <c r="AA368" s="12" t="s">
        <v>1326</v>
      </c>
      <c r="AB368" s="24"/>
    </row>
    <row r="369" customFormat="false" ht="29.85" hidden="false" customHeight="false" outlineLevel="0" collapsed="false">
      <c r="A369" s="15" t="n">
        <v>368</v>
      </c>
      <c r="B369" s="9" t="s">
        <v>45</v>
      </c>
      <c r="C369" s="9" t="s">
        <v>166</v>
      </c>
      <c r="D369" s="10" t="s">
        <v>167</v>
      </c>
      <c r="E369" s="11" t="s">
        <v>1327</v>
      </c>
      <c r="F369" s="17"/>
      <c r="G369" s="12" t="s">
        <v>706</v>
      </c>
      <c r="H369" s="13" t="n">
        <v>-0.112</v>
      </c>
      <c r="I369" s="14"/>
      <c r="J369" s="17"/>
      <c r="K369" s="9"/>
      <c r="L369" s="15" t="s">
        <v>50</v>
      </c>
      <c r="M369" s="16" t="s">
        <v>51</v>
      </c>
      <c r="N369" s="14"/>
      <c r="O369" s="15" t="s">
        <v>52</v>
      </c>
      <c r="P369" s="17" t="s">
        <v>53</v>
      </c>
      <c r="Q369" s="15"/>
      <c r="R369" s="18" t="s">
        <v>51</v>
      </c>
      <c r="S369" s="19"/>
      <c r="T369" s="17" t="str">
        <f aca="false">IF(R369="維持",J369,IF(R369="排除","無關新聞事件",IFERROR(INDEX(事件規則!$B$2:$B$53,MATCH(S369,事件規則!$A$2:$A$53,0)),"")))</f>
        <v>無關新聞事件</v>
      </c>
      <c r="U369" s="20" t="n">
        <f aca="false">IF(R369="維持",K369,IF(R369="排除",0,IFERROR(INDEX(事件規則!$C$2:$C$53,MATCH(S369,事件規則!$A$2:$A$53,0)),"")))</f>
        <v>0</v>
      </c>
      <c r="V369" s="21"/>
      <c r="W369" s="22"/>
      <c r="X369" s="10" t="str">
        <f aca="false">IF(AND(R369="修改",S369=""),"請選新事件代碼",IF(AND(R369&lt;&gt;"修改",S369&lt;&gt;""),"只有「修改」才需填代碼",""))</f>
        <v/>
      </c>
      <c r="Y369" s="21"/>
      <c r="Z369" s="22"/>
      <c r="AA369" s="12" t="s">
        <v>1328</v>
      </c>
      <c r="AB369" s="24"/>
    </row>
    <row r="370" customFormat="false" ht="29.85" hidden="false" customHeight="false" outlineLevel="0" collapsed="false">
      <c r="A370" s="15" t="n">
        <v>369</v>
      </c>
      <c r="B370" s="9" t="s">
        <v>112</v>
      </c>
      <c r="C370" s="9" t="s">
        <v>97</v>
      </c>
      <c r="D370" s="10" t="s">
        <v>98</v>
      </c>
      <c r="E370" s="11" t="s">
        <v>1329</v>
      </c>
      <c r="F370" s="17"/>
      <c r="G370" s="12" t="s">
        <v>1330</v>
      </c>
      <c r="H370" s="13" t="n">
        <v>-0.112</v>
      </c>
      <c r="I370" s="14"/>
      <c r="J370" s="17"/>
      <c r="K370" s="9"/>
      <c r="L370" s="15" t="s">
        <v>50</v>
      </c>
      <c r="M370" s="16" t="s">
        <v>51</v>
      </c>
      <c r="N370" s="14"/>
      <c r="O370" s="15" t="s">
        <v>52</v>
      </c>
      <c r="P370" s="17" t="s">
        <v>53</v>
      </c>
      <c r="Q370" s="15"/>
      <c r="R370" s="18" t="s">
        <v>51</v>
      </c>
      <c r="S370" s="19"/>
      <c r="T370" s="17" t="str">
        <f aca="false">IF(R370="維持",J370,IF(R370="排除","無關新聞事件",IFERROR(INDEX(事件規則!$B$2:$B$53,MATCH(S370,事件規則!$A$2:$A$53,0)),"")))</f>
        <v>無關新聞事件</v>
      </c>
      <c r="U370" s="20" t="n">
        <f aca="false">IF(R370="維持",K370,IF(R370="排除",0,IFERROR(INDEX(事件規則!$C$2:$C$53,MATCH(S370,事件規則!$A$2:$A$53,0)),"")))</f>
        <v>0</v>
      </c>
      <c r="V370" s="21"/>
      <c r="W370" s="22"/>
      <c r="X370" s="10" t="str">
        <f aca="false">IF(AND(R370="修改",S370=""),"請選新事件代碼",IF(AND(R370&lt;&gt;"修改",S370&lt;&gt;""),"只有「修改」才需填代碼",""))</f>
        <v/>
      </c>
      <c r="Y370" s="21"/>
      <c r="Z370" s="22"/>
      <c r="AA370" s="12" t="s">
        <v>1331</v>
      </c>
      <c r="AB370" s="24"/>
    </row>
    <row r="371" customFormat="false" ht="29.85" hidden="false" customHeight="false" outlineLevel="0" collapsed="false">
      <c r="A371" s="15" t="n">
        <v>370</v>
      </c>
      <c r="B371" s="9" t="s">
        <v>112</v>
      </c>
      <c r="C371" s="9" t="s">
        <v>118</v>
      </c>
      <c r="D371" s="10" t="s">
        <v>119</v>
      </c>
      <c r="E371" s="11" t="s">
        <v>1332</v>
      </c>
      <c r="F371" s="17"/>
      <c r="G371" s="12" t="s">
        <v>452</v>
      </c>
      <c r="H371" s="13" t="n">
        <v>-0.111</v>
      </c>
      <c r="I371" s="14"/>
      <c r="J371" s="17"/>
      <c r="K371" s="9"/>
      <c r="L371" s="15" t="s">
        <v>50</v>
      </c>
      <c r="M371" s="16" t="s">
        <v>51</v>
      </c>
      <c r="N371" s="14"/>
      <c r="O371" s="15" t="s">
        <v>52</v>
      </c>
      <c r="P371" s="17" t="s">
        <v>53</v>
      </c>
      <c r="Q371" s="15"/>
      <c r="R371" s="18" t="s">
        <v>51</v>
      </c>
      <c r="S371" s="19"/>
      <c r="T371" s="17" t="str">
        <f aca="false">IF(R371="維持",J371,IF(R371="排除","無關新聞事件",IFERROR(INDEX(事件規則!$B$2:$B$53,MATCH(S371,事件規則!$A$2:$A$53,0)),"")))</f>
        <v>無關新聞事件</v>
      </c>
      <c r="U371" s="20" t="n">
        <f aca="false">IF(R371="維持",K371,IF(R371="排除",0,IFERROR(INDEX(事件規則!$C$2:$C$53,MATCH(S371,事件規則!$A$2:$A$53,0)),"")))</f>
        <v>0</v>
      </c>
      <c r="V371" s="21"/>
      <c r="W371" s="22"/>
      <c r="X371" s="10" t="str">
        <f aca="false">IF(AND(R371="修改",S371=""),"請選新事件代碼",IF(AND(R371&lt;&gt;"修改",S371&lt;&gt;""),"只有「修改」才需填代碼",""))</f>
        <v/>
      </c>
      <c r="Y371" s="21"/>
      <c r="Z371" s="22"/>
      <c r="AA371" s="12" t="s">
        <v>1333</v>
      </c>
      <c r="AB371" s="24"/>
    </row>
    <row r="372" customFormat="false" ht="29.85" hidden="false" customHeight="false" outlineLevel="0" collapsed="false">
      <c r="A372" s="15" t="n">
        <v>371</v>
      </c>
      <c r="B372" s="9" t="s">
        <v>55</v>
      </c>
      <c r="C372" s="9" t="s">
        <v>1334</v>
      </c>
      <c r="D372" s="10" t="s">
        <v>1335</v>
      </c>
      <c r="E372" s="11" t="s">
        <v>1336</v>
      </c>
      <c r="F372" s="17"/>
      <c r="G372" s="12" t="s">
        <v>164</v>
      </c>
      <c r="H372" s="13" t="n">
        <v>-0.111</v>
      </c>
      <c r="I372" s="14"/>
      <c r="J372" s="17"/>
      <c r="K372" s="9"/>
      <c r="L372" s="15" t="s">
        <v>50</v>
      </c>
      <c r="M372" s="16" t="s">
        <v>51</v>
      </c>
      <c r="N372" s="14"/>
      <c r="O372" s="15" t="s">
        <v>52</v>
      </c>
      <c r="P372" s="17" t="s">
        <v>53</v>
      </c>
      <c r="Q372" s="15"/>
      <c r="R372" s="18" t="s">
        <v>51</v>
      </c>
      <c r="S372" s="19"/>
      <c r="T372" s="17" t="str">
        <f aca="false">IF(R372="維持",J372,IF(R372="排除","無關新聞事件",IFERROR(INDEX(事件規則!$B$2:$B$53,MATCH(S372,事件規則!$A$2:$A$53,0)),"")))</f>
        <v>無關新聞事件</v>
      </c>
      <c r="U372" s="20" t="n">
        <f aca="false">IF(R372="維持",K372,IF(R372="排除",0,IFERROR(INDEX(事件規則!$C$2:$C$53,MATCH(S372,事件規則!$A$2:$A$53,0)),"")))</f>
        <v>0</v>
      </c>
      <c r="V372" s="21"/>
      <c r="W372" s="22"/>
      <c r="X372" s="10" t="str">
        <f aca="false">IF(AND(R372="修改",S372=""),"請選新事件代碼",IF(AND(R372&lt;&gt;"修改",S372&lt;&gt;""),"只有「修改」才需填代碼",""))</f>
        <v/>
      </c>
      <c r="Y372" s="21"/>
      <c r="Z372" s="22"/>
      <c r="AA372" s="12" t="s">
        <v>1337</v>
      </c>
      <c r="AB372" s="24"/>
    </row>
    <row r="373" customFormat="false" ht="29.85" hidden="false" customHeight="false" outlineLevel="0" collapsed="false">
      <c r="A373" s="15" t="n">
        <v>372</v>
      </c>
      <c r="B373" s="9" t="s">
        <v>81</v>
      </c>
      <c r="C373" s="9" t="s">
        <v>178</v>
      </c>
      <c r="D373" s="10" t="s">
        <v>179</v>
      </c>
      <c r="E373" s="11" t="s">
        <v>1338</v>
      </c>
      <c r="F373" s="17"/>
      <c r="G373" s="12" t="s">
        <v>649</v>
      </c>
      <c r="H373" s="13" t="n">
        <v>-0.111</v>
      </c>
      <c r="I373" s="14"/>
      <c r="J373" s="17"/>
      <c r="K373" s="9"/>
      <c r="L373" s="15" t="s">
        <v>50</v>
      </c>
      <c r="M373" s="16" t="s">
        <v>51</v>
      </c>
      <c r="N373" s="14"/>
      <c r="O373" s="15" t="s">
        <v>52</v>
      </c>
      <c r="P373" s="17" t="s">
        <v>53</v>
      </c>
      <c r="Q373" s="15"/>
      <c r="R373" s="18" t="s">
        <v>51</v>
      </c>
      <c r="S373" s="19"/>
      <c r="T373" s="17" t="str">
        <f aca="false">IF(R373="維持",J373,IF(R373="排除","無關新聞事件",IFERROR(INDEX(事件規則!$B$2:$B$53,MATCH(S373,事件規則!$A$2:$A$53,0)),"")))</f>
        <v>無關新聞事件</v>
      </c>
      <c r="U373" s="20" t="n">
        <f aca="false">IF(R373="維持",K373,IF(R373="排除",0,IFERROR(INDEX(事件規則!$C$2:$C$53,MATCH(S373,事件規則!$A$2:$A$53,0)),"")))</f>
        <v>0</v>
      </c>
      <c r="V373" s="21"/>
      <c r="W373" s="22"/>
      <c r="X373" s="10" t="str">
        <f aca="false">IF(AND(R373="修改",S373=""),"請選新事件代碼",IF(AND(R373&lt;&gt;"修改",S373&lt;&gt;""),"只有「修改」才需填代碼",""))</f>
        <v/>
      </c>
      <c r="Y373" s="21"/>
      <c r="Z373" s="22"/>
      <c r="AA373" s="12" t="s">
        <v>1339</v>
      </c>
      <c r="AB373" s="24"/>
    </row>
    <row r="374" customFormat="false" ht="29.85" hidden="false" customHeight="false" outlineLevel="0" collapsed="false">
      <c r="A374" s="15" t="n">
        <v>373</v>
      </c>
      <c r="B374" s="9" t="s">
        <v>45</v>
      </c>
      <c r="C374" s="9" t="s">
        <v>1303</v>
      </c>
      <c r="D374" s="10" t="s">
        <v>1304</v>
      </c>
      <c r="E374" s="11" t="s">
        <v>1340</v>
      </c>
      <c r="F374" s="17"/>
      <c r="G374" s="12" t="s">
        <v>49</v>
      </c>
      <c r="H374" s="13" t="n">
        <v>-0.11</v>
      </c>
      <c r="I374" s="14"/>
      <c r="J374" s="17"/>
      <c r="K374" s="9"/>
      <c r="L374" s="15" t="s">
        <v>50</v>
      </c>
      <c r="M374" s="16" t="s">
        <v>51</v>
      </c>
      <c r="N374" s="14"/>
      <c r="O374" s="15" t="s">
        <v>52</v>
      </c>
      <c r="P374" s="17" t="s">
        <v>53</v>
      </c>
      <c r="Q374" s="15"/>
      <c r="R374" s="18" t="s">
        <v>51</v>
      </c>
      <c r="S374" s="19"/>
      <c r="T374" s="17" t="str">
        <f aca="false">IF(R374="維持",J374,IF(R374="排除","無關新聞事件",IFERROR(INDEX(事件規則!$B$2:$B$53,MATCH(S374,事件規則!$A$2:$A$53,0)),"")))</f>
        <v>無關新聞事件</v>
      </c>
      <c r="U374" s="20" t="n">
        <f aca="false">IF(R374="維持",K374,IF(R374="排除",0,IFERROR(INDEX(事件規則!$C$2:$C$53,MATCH(S374,事件規則!$A$2:$A$53,0)),"")))</f>
        <v>0</v>
      </c>
      <c r="V374" s="21"/>
      <c r="W374" s="22"/>
      <c r="X374" s="10" t="str">
        <f aca="false">IF(AND(R374="修改",S374=""),"請選新事件代碼",IF(AND(R374&lt;&gt;"修改",S374&lt;&gt;""),"只有「修改」才需填代碼",""))</f>
        <v/>
      </c>
      <c r="Y374" s="21"/>
      <c r="Z374" s="22"/>
      <c r="AA374" s="12" t="s">
        <v>1341</v>
      </c>
      <c r="AB374" s="24"/>
    </row>
    <row r="375" customFormat="false" ht="29.85" hidden="false" customHeight="false" outlineLevel="0" collapsed="false">
      <c r="A375" s="15" t="n">
        <v>374</v>
      </c>
      <c r="B375" s="9" t="s">
        <v>112</v>
      </c>
      <c r="C375" s="9" t="s">
        <v>1342</v>
      </c>
      <c r="D375" s="10" t="s">
        <v>1343</v>
      </c>
      <c r="E375" s="11" t="s">
        <v>1344</v>
      </c>
      <c r="F375" s="17"/>
      <c r="G375" s="12" t="s">
        <v>1345</v>
      </c>
      <c r="H375" s="13" t="n">
        <v>-0.11</v>
      </c>
      <c r="I375" s="14"/>
      <c r="J375" s="17"/>
      <c r="K375" s="9"/>
      <c r="L375" s="15" t="s">
        <v>50</v>
      </c>
      <c r="M375" s="16" t="s">
        <v>51</v>
      </c>
      <c r="N375" s="14"/>
      <c r="O375" s="15" t="s">
        <v>52</v>
      </c>
      <c r="P375" s="17" t="s">
        <v>53</v>
      </c>
      <c r="Q375" s="15"/>
      <c r="R375" s="18" t="s">
        <v>51</v>
      </c>
      <c r="S375" s="19"/>
      <c r="T375" s="17" t="str">
        <f aca="false">IF(R375="維持",J375,IF(R375="排除","無關新聞事件",IFERROR(INDEX(事件規則!$B$2:$B$53,MATCH(S375,事件規則!$A$2:$A$53,0)),"")))</f>
        <v>無關新聞事件</v>
      </c>
      <c r="U375" s="20" t="n">
        <f aca="false">IF(R375="維持",K375,IF(R375="排除",0,IFERROR(INDEX(事件規則!$C$2:$C$53,MATCH(S375,事件規則!$A$2:$A$53,0)),"")))</f>
        <v>0</v>
      </c>
      <c r="V375" s="21"/>
      <c r="W375" s="22"/>
      <c r="X375" s="10" t="str">
        <f aca="false">IF(AND(R375="修改",S375=""),"請選新事件代碼",IF(AND(R375&lt;&gt;"修改",S375&lt;&gt;""),"只有「修改」才需填代碼",""))</f>
        <v/>
      </c>
      <c r="Y375" s="21"/>
      <c r="Z375" s="22"/>
      <c r="AA375" s="12" t="s">
        <v>1346</v>
      </c>
      <c r="AB375" s="24"/>
    </row>
    <row r="376" customFormat="false" ht="29.85" hidden="false" customHeight="false" outlineLevel="0" collapsed="false">
      <c r="A376" s="15" t="n">
        <v>375</v>
      </c>
      <c r="B376" s="9" t="s">
        <v>81</v>
      </c>
      <c r="C376" s="9" t="s">
        <v>242</v>
      </c>
      <c r="D376" s="10" t="s">
        <v>243</v>
      </c>
      <c r="E376" s="11" t="s">
        <v>1347</v>
      </c>
      <c r="F376" s="17"/>
      <c r="G376" s="12" t="s">
        <v>1056</v>
      </c>
      <c r="H376" s="13" t="n">
        <v>-0.109</v>
      </c>
      <c r="I376" s="14"/>
      <c r="J376" s="17"/>
      <c r="K376" s="9"/>
      <c r="L376" s="15" t="s">
        <v>50</v>
      </c>
      <c r="M376" s="16" t="s">
        <v>51</v>
      </c>
      <c r="N376" s="14"/>
      <c r="O376" s="15" t="s">
        <v>52</v>
      </c>
      <c r="P376" s="17" t="s">
        <v>53</v>
      </c>
      <c r="Q376" s="15"/>
      <c r="R376" s="18" t="s">
        <v>51</v>
      </c>
      <c r="S376" s="19"/>
      <c r="T376" s="17" t="str">
        <f aca="false">IF(R376="維持",J376,IF(R376="排除","無關新聞事件",IFERROR(INDEX(事件規則!$B$2:$B$53,MATCH(S376,事件規則!$A$2:$A$53,0)),"")))</f>
        <v>無關新聞事件</v>
      </c>
      <c r="U376" s="20" t="n">
        <f aca="false">IF(R376="維持",K376,IF(R376="排除",0,IFERROR(INDEX(事件規則!$C$2:$C$53,MATCH(S376,事件規則!$A$2:$A$53,0)),"")))</f>
        <v>0</v>
      </c>
      <c r="V376" s="21"/>
      <c r="W376" s="22"/>
      <c r="X376" s="10" t="str">
        <f aca="false">IF(AND(R376="修改",S376=""),"請選新事件代碼",IF(AND(R376&lt;&gt;"修改",S376&lt;&gt;""),"只有「修改」才需填代碼",""))</f>
        <v/>
      </c>
      <c r="Y376" s="21"/>
      <c r="Z376" s="22"/>
      <c r="AA376" s="12" t="s">
        <v>1348</v>
      </c>
      <c r="AB376" s="24"/>
    </row>
    <row r="377" customFormat="false" ht="29.85" hidden="false" customHeight="false" outlineLevel="0" collapsed="false">
      <c r="A377" s="15" t="n">
        <v>376</v>
      </c>
      <c r="B377" s="9" t="s">
        <v>81</v>
      </c>
      <c r="C377" s="9" t="s">
        <v>639</v>
      </c>
      <c r="D377" s="10" t="s">
        <v>640</v>
      </c>
      <c r="E377" s="11" t="s">
        <v>1347</v>
      </c>
      <c r="F377" s="17"/>
      <c r="G377" s="12" t="s">
        <v>1056</v>
      </c>
      <c r="H377" s="13" t="n">
        <v>-0.109</v>
      </c>
      <c r="I377" s="14"/>
      <c r="J377" s="17"/>
      <c r="K377" s="9"/>
      <c r="L377" s="15" t="s">
        <v>50</v>
      </c>
      <c r="M377" s="16" t="s">
        <v>51</v>
      </c>
      <c r="N377" s="14"/>
      <c r="O377" s="15" t="s">
        <v>52</v>
      </c>
      <c r="P377" s="17" t="s">
        <v>53</v>
      </c>
      <c r="Q377" s="15"/>
      <c r="R377" s="18" t="s">
        <v>51</v>
      </c>
      <c r="S377" s="19"/>
      <c r="T377" s="17" t="str">
        <f aca="false">IF(R377="維持",J377,IF(R377="排除","無關新聞事件",IFERROR(INDEX(事件規則!$B$2:$B$53,MATCH(S377,事件規則!$A$2:$A$53,0)),"")))</f>
        <v>無關新聞事件</v>
      </c>
      <c r="U377" s="20" t="n">
        <f aca="false">IF(R377="維持",K377,IF(R377="排除",0,IFERROR(INDEX(事件規則!$C$2:$C$53,MATCH(S377,事件規則!$A$2:$A$53,0)),"")))</f>
        <v>0</v>
      </c>
      <c r="V377" s="21"/>
      <c r="W377" s="22"/>
      <c r="X377" s="10" t="str">
        <f aca="false">IF(AND(R377="修改",S377=""),"請選新事件代碼",IF(AND(R377&lt;&gt;"修改",S377&lt;&gt;""),"只有「修改」才需填代碼",""))</f>
        <v/>
      </c>
      <c r="Y377" s="21"/>
      <c r="Z377" s="22"/>
      <c r="AA377" s="12" t="s">
        <v>1349</v>
      </c>
      <c r="AB377" s="24"/>
    </row>
    <row r="378" customFormat="false" ht="29.85" hidden="false" customHeight="false" outlineLevel="0" collapsed="false">
      <c r="A378" s="15" t="n">
        <v>377</v>
      </c>
      <c r="B378" s="9" t="s">
        <v>55</v>
      </c>
      <c r="C378" s="9" t="s">
        <v>1350</v>
      </c>
      <c r="D378" s="10" t="s">
        <v>1351</v>
      </c>
      <c r="E378" s="11" t="s">
        <v>1352</v>
      </c>
      <c r="F378" s="17"/>
      <c r="G378" s="12" t="s">
        <v>324</v>
      </c>
      <c r="H378" s="13" t="n">
        <v>-0.109</v>
      </c>
      <c r="I378" s="14"/>
      <c r="J378" s="17"/>
      <c r="K378" s="9"/>
      <c r="L378" s="15" t="s">
        <v>50</v>
      </c>
      <c r="M378" s="16" t="s">
        <v>51</v>
      </c>
      <c r="N378" s="14"/>
      <c r="O378" s="15" t="s">
        <v>52</v>
      </c>
      <c r="P378" s="17" t="s">
        <v>53</v>
      </c>
      <c r="Q378" s="15"/>
      <c r="R378" s="18" t="s">
        <v>51</v>
      </c>
      <c r="S378" s="19"/>
      <c r="T378" s="17" t="str">
        <f aca="false">IF(R378="維持",J378,IF(R378="排除","無關新聞事件",IFERROR(INDEX(事件規則!$B$2:$B$53,MATCH(S378,事件規則!$A$2:$A$53,0)),"")))</f>
        <v>無關新聞事件</v>
      </c>
      <c r="U378" s="20" t="n">
        <f aca="false">IF(R378="維持",K378,IF(R378="排除",0,IFERROR(INDEX(事件規則!$C$2:$C$53,MATCH(S378,事件規則!$A$2:$A$53,0)),"")))</f>
        <v>0</v>
      </c>
      <c r="V378" s="21"/>
      <c r="W378" s="22"/>
      <c r="X378" s="10" t="str">
        <f aca="false">IF(AND(R378="修改",S378=""),"請選新事件代碼",IF(AND(R378&lt;&gt;"修改",S378&lt;&gt;""),"只有「修改」才需填代碼",""))</f>
        <v/>
      </c>
      <c r="Y378" s="21"/>
      <c r="Z378" s="22"/>
      <c r="AA378" s="12" t="s">
        <v>1353</v>
      </c>
      <c r="AB378" s="24"/>
    </row>
    <row r="379" customFormat="false" ht="29.85" hidden="false" customHeight="false" outlineLevel="0" collapsed="false">
      <c r="A379" s="15" t="n">
        <v>378</v>
      </c>
      <c r="B379" s="9" t="s">
        <v>55</v>
      </c>
      <c r="C379" s="9" t="s">
        <v>969</v>
      </c>
      <c r="D379" s="10" t="s">
        <v>970</v>
      </c>
      <c r="E379" s="11" t="s">
        <v>1354</v>
      </c>
      <c r="F379" s="17"/>
      <c r="G379" s="12" t="s">
        <v>142</v>
      </c>
      <c r="H379" s="13" t="n">
        <v>-0.107</v>
      </c>
      <c r="I379" s="14"/>
      <c r="J379" s="17"/>
      <c r="K379" s="9"/>
      <c r="L379" s="15" t="s">
        <v>50</v>
      </c>
      <c r="M379" s="16" t="s">
        <v>51</v>
      </c>
      <c r="N379" s="14"/>
      <c r="O379" s="15" t="s">
        <v>52</v>
      </c>
      <c r="P379" s="17" t="s">
        <v>53</v>
      </c>
      <c r="Q379" s="15"/>
      <c r="R379" s="18" t="s">
        <v>51</v>
      </c>
      <c r="S379" s="19"/>
      <c r="T379" s="17" t="str">
        <f aca="false">IF(R379="維持",J379,IF(R379="排除","無關新聞事件",IFERROR(INDEX(事件規則!$B$2:$B$53,MATCH(S379,事件規則!$A$2:$A$53,0)),"")))</f>
        <v>無關新聞事件</v>
      </c>
      <c r="U379" s="20" t="n">
        <f aca="false">IF(R379="維持",K379,IF(R379="排除",0,IFERROR(INDEX(事件規則!$C$2:$C$53,MATCH(S379,事件規則!$A$2:$A$53,0)),"")))</f>
        <v>0</v>
      </c>
      <c r="V379" s="21"/>
      <c r="W379" s="22"/>
      <c r="X379" s="10" t="str">
        <f aca="false">IF(AND(R379="修改",S379=""),"請選新事件代碼",IF(AND(R379&lt;&gt;"修改",S379&lt;&gt;""),"只有「修改」才需填代碼",""))</f>
        <v/>
      </c>
      <c r="Y379" s="21"/>
      <c r="Z379" s="22"/>
      <c r="AA379" s="12" t="s">
        <v>1355</v>
      </c>
      <c r="AB379" s="24"/>
    </row>
    <row r="380" customFormat="false" ht="29.85" hidden="false" customHeight="false" outlineLevel="0" collapsed="false">
      <c r="A380" s="15" t="n">
        <v>379</v>
      </c>
      <c r="B380" s="9" t="s">
        <v>55</v>
      </c>
      <c r="C380" s="9" t="s">
        <v>178</v>
      </c>
      <c r="D380" s="10" t="s">
        <v>179</v>
      </c>
      <c r="E380" s="11" t="s">
        <v>1356</v>
      </c>
      <c r="F380" s="17"/>
      <c r="G380" s="12" t="s">
        <v>49</v>
      </c>
      <c r="H380" s="13" t="n">
        <v>-0.107</v>
      </c>
      <c r="I380" s="14"/>
      <c r="J380" s="17"/>
      <c r="K380" s="9"/>
      <c r="L380" s="15" t="s">
        <v>50</v>
      </c>
      <c r="M380" s="16" t="s">
        <v>51</v>
      </c>
      <c r="N380" s="14"/>
      <c r="O380" s="15" t="s">
        <v>52</v>
      </c>
      <c r="P380" s="17" t="s">
        <v>53</v>
      </c>
      <c r="Q380" s="15"/>
      <c r="R380" s="18" t="s">
        <v>51</v>
      </c>
      <c r="S380" s="19"/>
      <c r="T380" s="17" t="str">
        <f aca="false">IF(R380="維持",J380,IF(R380="排除","無關新聞事件",IFERROR(INDEX(事件規則!$B$2:$B$53,MATCH(S380,事件規則!$A$2:$A$53,0)),"")))</f>
        <v>無關新聞事件</v>
      </c>
      <c r="U380" s="20" t="n">
        <f aca="false">IF(R380="維持",K380,IF(R380="排除",0,IFERROR(INDEX(事件規則!$C$2:$C$53,MATCH(S380,事件規則!$A$2:$A$53,0)),"")))</f>
        <v>0</v>
      </c>
      <c r="V380" s="21"/>
      <c r="W380" s="22"/>
      <c r="X380" s="10" t="str">
        <f aca="false">IF(AND(R380="修改",S380=""),"請選新事件代碼",IF(AND(R380&lt;&gt;"修改",S380&lt;&gt;""),"只有「修改」才需填代碼",""))</f>
        <v/>
      </c>
      <c r="Y380" s="21"/>
      <c r="Z380" s="22"/>
      <c r="AA380" s="12" t="s">
        <v>1357</v>
      </c>
      <c r="AB380" s="24"/>
    </row>
    <row r="381" customFormat="false" ht="29.85" hidden="false" customHeight="false" outlineLevel="0" collapsed="false">
      <c r="A381" s="15" t="n">
        <v>380</v>
      </c>
      <c r="B381" s="9" t="s">
        <v>45</v>
      </c>
      <c r="C381" s="9" t="s">
        <v>540</v>
      </c>
      <c r="D381" s="10" t="s">
        <v>541</v>
      </c>
      <c r="E381" s="11" t="s">
        <v>1358</v>
      </c>
      <c r="F381" s="17"/>
      <c r="G381" s="12" t="s">
        <v>49</v>
      </c>
      <c r="H381" s="13" t="n">
        <v>-0.106</v>
      </c>
      <c r="I381" s="14"/>
      <c r="J381" s="17"/>
      <c r="K381" s="9"/>
      <c r="L381" s="15" t="s">
        <v>50</v>
      </c>
      <c r="M381" s="16" t="s">
        <v>51</v>
      </c>
      <c r="N381" s="14"/>
      <c r="O381" s="15" t="s">
        <v>52</v>
      </c>
      <c r="P381" s="17" t="s">
        <v>53</v>
      </c>
      <c r="Q381" s="15"/>
      <c r="R381" s="18" t="s">
        <v>51</v>
      </c>
      <c r="S381" s="19"/>
      <c r="T381" s="17" t="str">
        <f aca="false">IF(R381="維持",J381,IF(R381="排除","無關新聞事件",IFERROR(INDEX(事件規則!$B$2:$B$53,MATCH(S381,事件規則!$A$2:$A$53,0)),"")))</f>
        <v>無關新聞事件</v>
      </c>
      <c r="U381" s="20" t="n">
        <f aca="false">IF(R381="維持",K381,IF(R381="排除",0,IFERROR(INDEX(事件規則!$C$2:$C$53,MATCH(S381,事件規則!$A$2:$A$53,0)),"")))</f>
        <v>0</v>
      </c>
      <c r="V381" s="21"/>
      <c r="W381" s="22"/>
      <c r="X381" s="10" t="str">
        <f aca="false">IF(AND(R381="修改",S381=""),"請選新事件代碼",IF(AND(R381&lt;&gt;"修改",S381&lt;&gt;""),"只有「修改」才需填代碼",""))</f>
        <v/>
      </c>
      <c r="Y381" s="21"/>
      <c r="Z381" s="22"/>
      <c r="AA381" s="12" t="s">
        <v>1359</v>
      </c>
      <c r="AB381" s="24"/>
    </row>
    <row r="382" customFormat="false" ht="29.85" hidden="false" customHeight="false" outlineLevel="0" collapsed="false">
      <c r="A382" s="15" t="n">
        <v>381</v>
      </c>
      <c r="B382" s="9" t="s">
        <v>45</v>
      </c>
      <c r="C382" s="9" t="s">
        <v>61</v>
      </c>
      <c r="D382" s="10" t="s">
        <v>62</v>
      </c>
      <c r="E382" s="11" t="s">
        <v>1360</v>
      </c>
      <c r="F382" s="17"/>
      <c r="G382" s="12" t="s">
        <v>1361</v>
      </c>
      <c r="H382" s="13" t="n">
        <v>-0.105</v>
      </c>
      <c r="I382" s="14"/>
      <c r="J382" s="17"/>
      <c r="K382" s="9"/>
      <c r="L382" s="15" t="s">
        <v>50</v>
      </c>
      <c r="M382" s="16" t="s">
        <v>131</v>
      </c>
      <c r="N382" s="14" t="s">
        <v>132</v>
      </c>
      <c r="O382" s="15" t="s">
        <v>52</v>
      </c>
      <c r="P382" s="17" t="s">
        <v>1175</v>
      </c>
      <c r="Q382" s="15"/>
      <c r="R382" s="18" t="s">
        <v>131</v>
      </c>
      <c r="S382" s="19" t="s">
        <v>132</v>
      </c>
      <c r="T382" s="17" t="str">
        <f aca="false">IF(R382="維持",J382,IF(R382="排除","無關新聞事件",IFERROR(INDEX(事件規則!$B$2:$B$53,MATCH(S382,事件規則!$A$2:$A$53,0)),"")))</f>
        <v>重大訴訟</v>
      </c>
      <c r="U382" s="20" t="n">
        <f aca="false">IF(R382="維持",K382,IF(R382="排除",0,IFERROR(INDEX(事件規則!$C$2:$C$53,MATCH(S382,事件規則!$A$2:$A$53,0)),"")))</f>
        <v>4</v>
      </c>
      <c r="V382" s="21"/>
      <c r="W382" s="22"/>
      <c r="X382" s="10" t="str">
        <f aca="false">IF(AND(R382="修改",S382=""),"請選新事件代碼",IF(AND(R382&lt;&gt;"修改",S382&lt;&gt;""),"只有「修改」才需填代碼",""))</f>
        <v/>
      </c>
      <c r="Y382" s="21"/>
      <c r="Z382" s="22"/>
      <c r="AA382" s="12" t="s">
        <v>1362</v>
      </c>
      <c r="AB382" s="24"/>
    </row>
    <row r="383" customFormat="false" ht="29.85" hidden="false" customHeight="false" outlineLevel="0" collapsed="false">
      <c r="A383" s="15" t="n">
        <v>382</v>
      </c>
      <c r="B383" s="9" t="s">
        <v>55</v>
      </c>
      <c r="C383" s="9" t="s">
        <v>1363</v>
      </c>
      <c r="D383" s="10" t="s">
        <v>1364</v>
      </c>
      <c r="E383" s="11" t="s">
        <v>1365</v>
      </c>
      <c r="F383" s="17"/>
      <c r="G383" s="12" t="s">
        <v>422</v>
      </c>
      <c r="H383" s="13" t="n">
        <v>-0.105</v>
      </c>
      <c r="I383" s="14"/>
      <c r="J383" s="17"/>
      <c r="K383" s="9"/>
      <c r="L383" s="15" t="s">
        <v>50</v>
      </c>
      <c r="M383" s="16" t="s">
        <v>51</v>
      </c>
      <c r="N383" s="14"/>
      <c r="O383" s="15" t="s">
        <v>52</v>
      </c>
      <c r="P383" s="17" t="s">
        <v>53</v>
      </c>
      <c r="Q383" s="15"/>
      <c r="R383" s="18" t="s">
        <v>51</v>
      </c>
      <c r="S383" s="19"/>
      <c r="T383" s="17" t="str">
        <f aca="false">IF(R383="維持",J383,IF(R383="排除","無關新聞事件",IFERROR(INDEX(事件規則!$B$2:$B$53,MATCH(S383,事件規則!$A$2:$A$53,0)),"")))</f>
        <v>無關新聞事件</v>
      </c>
      <c r="U383" s="20" t="n">
        <f aca="false">IF(R383="維持",K383,IF(R383="排除",0,IFERROR(INDEX(事件規則!$C$2:$C$53,MATCH(S383,事件規則!$A$2:$A$53,0)),"")))</f>
        <v>0</v>
      </c>
      <c r="V383" s="21"/>
      <c r="W383" s="22"/>
      <c r="X383" s="10" t="str">
        <f aca="false">IF(AND(R383="修改",S383=""),"請選新事件代碼",IF(AND(R383&lt;&gt;"修改",S383&lt;&gt;""),"只有「修改」才需填代碼",""))</f>
        <v/>
      </c>
      <c r="Y383" s="21"/>
      <c r="Z383" s="22"/>
      <c r="AA383" s="12" t="s">
        <v>1366</v>
      </c>
      <c r="AB383" s="24"/>
    </row>
    <row r="384" customFormat="false" ht="29.85" hidden="false" customHeight="false" outlineLevel="0" collapsed="false">
      <c r="A384" s="15" t="n">
        <v>383</v>
      </c>
      <c r="B384" s="9" t="s">
        <v>55</v>
      </c>
      <c r="C384" s="9" t="s">
        <v>484</v>
      </c>
      <c r="D384" s="10" t="s">
        <v>485</v>
      </c>
      <c r="E384" s="11" t="s">
        <v>1367</v>
      </c>
      <c r="F384" s="17"/>
      <c r="G384" s="12" t="s">
        <v>1368</v>
      </c>
      <c r="H384" s="13" t="n">
        <v>-0.105</v>
      </c>
      <c r="I384" s="14"/>
      <c r="J384" s="17"/>
      <c r="K384" s="9"/>
      <c r="L384" s="15" t="s">
        <v>50</v>
      </c>
      <c r="M384" s="16" t="s">
        <v>51</v>
      </c>
      <c r="N384" s="14"/>
      <c r="O384" s="15" t="s">
        <v>52</v>
      </c>
      <c r="P384" s="17" t="s">
        <v>53</v>
      </c>
      <c r="Q384" s="15"/>
      <c r="R384" s="18" t="s">
        <v>51</v>
      </c>
      <c r="S384" s="19"/>
      <c r="T384" s="17" t="str">
        <f aca="false">IF(R384="維持",J384,IF(R384="排除","無關新聞事件",IFERROR(INDEX(事件規則!$B$2:$B$53,MATCH(S384,事件規則!$A$2:$A$53,0)),"")))</f>
        <v>無關新聞事件</v>
      </c>
      <c r="U384" s="20" t="n">
        <f aca="false">IF(R384="維持",K384,IF(R384="排除",0,IFERROR(INDEX(事件規則!$C$2:$C$53,MATCH(S384,事件規則!$A$2:$A$53,0)),"")))</f>
        <v>0</v>
      </c>
      <c r="V384" s="21"/>
      <c r="W384" s="22"/>
      <c r="X384" s="10" t="str">
        <f aca="false">IF(AND(R384="修改",S384=""),"請選新事件代碼",IF(AND(R384&lt;&gt;"修改",S384&lt;&gt;""),"只有「修改」才需填代碼",""))</f>
        <v/>
      </c>
      <c r="Y384" s="21"/>
      <c r="Z384" s="22"/>
      <c r="AA384" s="12" t="s">
        <v>1369</v>
      </c>
      <c r="AB384" s="24"/>
    </row>
    <row r="385" customFormat="false" ht="29.85" hidden="false" customHeight="false" outlineLevel="0" collapsed="false">
      <c r="A385" s="15" t="n">
        <v>384</v>
      </c>
      <c r="B385" s="9" t="s">
        <v>45</v>
      </c>
      <c r="C385" s="9" t="s">
        <v>1370</v>
      </c>
      <c r="D385" s="10" t="s">
        <v>1371</v>
      </c>
      <c r="E385" s="11" t="s">
        <v>1372</v>
      </c>
      <c r="F385" s="17"/>
      <c r="G385" s="12" t="s">
        <v>69</v>
      </c>
      <c r="H385" s="13" t="n">
        <v>-0.103</v>
      </c>
      <c r="I385" s="14"/>
      <c r="J385" s="17"/>
      <c r="K385" s="9"/>
      <c r="L385" s="15" t="s">
        <v>50</v>
      </c>
      <c r="M385" s="16" t="s">
        <v>51</v>
      </c>
      <c r="N385" s="14"/>
      <c r="O385" s="15" t="s">
        <v>52</v>
      </c>
      <c r="P385" s="17" t="s">
        <v>53</v>
      </c>
      <c r="Q385" s="15"/>
      <c r="R385" s="18" t="s">
        <v>51</v>
      </c>
      <c r="S385" s="19"/>
      <c r="T385" s="17" t="str">
        <f aca="false">IF(R385="維持",J385,IF(R385="排除","無關新聞事件",IFERROR(INDEX(事件規則!$B$2:$B$53,MATCH(S385,事件規則!$A$2:$A$53,0)),"")))</f>
        <v>無關新聞事件</v>
      </c>
      <c r="U385" s="20" t="n">
        <f aca="false">IF(R385="維持",K385,IF(R385="排除",0,IFERROR(INDEX(事件規則!$C$2:$C$53,MATCH(S385,事件規則!$A$2:$A$53,0)),"")))</f>
        <v>0</v>
      </c>
      <c r="V385" s="21"/>
      <c r="W385" s="22"/>
      <c r="X385" s="10" t="str">
        <f aca="false">IF(AND(R385="修改",S385=""),"請選新事件代碼",IF(AND(R385&lt;&gt;"修改",S385&lt;&gt;""),"只有「修改」才需填代碼",""))</f>
        <v/>
      </c>
      <c r="Y385" s="21"/>
      <c r="Z385" s="22"/>
      <c r="AA385" s="12" t="s">
        <v>1373</v>
      </c>
      <c r="AB385" s="24"/>
    </row>
    <row r="386" customFormat="false" ht="29.85" hidden="false" customHeight="false" outlineLevel="0" collapsed="false">
      <c r="A386" s="15" t="n">
        <v>385</v>
      </c>
      <c r="B386" s="9" t="s">
        <v>55</v>
      </c>
      <c r="C386" s="9" t="s">
        <v>118</v>
      </c>
      <c r="D386" s="10" t="s">
        <v>119</v>
      </c>
      <c r="E386" s="11" t="s">
        <v>1374</v>
      </c>
      <c r="F386" s="17"/>
      <c r="G386" s="12" t="s">
        <v>1375</v>
      </c>
      <c r="H386" s="13" t="n">
        <v>-0.103</v>
      </c>
      <c r="I386" s="14"/>
      <c r="J386" s="17"/>
      <c r="K386" s="9"/>
      <c r="L386" s="15" t="s">
        <v>50</v>
      </c>
      <c r="M386" s="16" t="s">
        <v>51</v>
      </c>
      <c r="N386" s="14"/>
      <c r="O386" s="15" t="s">
        <v>52</v>
      </c>
      <c r="P386" s="17" t="s">
        <v>53</v>
      </c>
      <c r="Q386" s="15"/>
      <c r="R386" s="18" t="s">
        <v>51</v>
      </c>
      <c r="S386" s="19"/>
      <c r="T386" s="17" t="str">
        <f aca="false">IF(R386="維持",J386,IF(R386="排除","無關新聞事件",IFERROR(INDEX(事件規則!$B$2:$B$53,MATCH(S386,事件規則!$A$2:$A$53,0)),"")))</f>
        <v>無關新聞事件</v>
      </c>
      <c r="U386" s="20" t="n">
        <f aca="false">IF(R386="維持",K386,IF(R386="排除",0,IFERROR(INDEX(事件規則!$C$2:$C$53,MATCH(S386,事件規則!$A$2:$A$53,0)),"")))</f>
        <v>0</v>
      </c>
      <c r="V386" s="21"/>
      <c r="W386" s="22"/>
      <c r="X386" s="10" t="str">
        <f aca="false">IF(AND(R386="修改",S386=""),"請選新事件代碼",IF(AND(R386&lt;&gt;"修改",S386&lt;&gt;""),"只有「修改」才需填代碼",""))</f>
        <v/>
      </c>
      <c r="Y386" s="21"/>
      <c r="Z386" s="22"/>
      <c r="AA386" s="12" t="s">
        <v>1376</v>
      </c>
      <c r="AB386" s="24"/>
    </row>
    <row r="387" customFormat="false" ht="29.85" hidden="false" customHeight="false" outlineLevel="0" collapsed="false">
      <c r="A387" s="15" t="n">
        <v>386</v>
      </c>
      <c r="B387" s="9" t="s">
        <v>45</v>
      </c>
      <c r="C387" s="9" t="s">
        <v>268</v>
      </c>
      <c r="D387" s="10" t="s">
        <v>269</v>
      </c>
      <c r="E387" s="11" t="s">
        <v>1377</v>
      </c>
      <c r="F387" s="17"/>
      <c r="G387" s="12" t="s">
        <v>176</v>
      </c>
      <c r="H387" s="13" t="n">
        <v>-0.102</v>
      </c>
      <c r="I387" s="14"/>
      <c r="J387" s="17"/>
      <c r="K387" s="9"/>
      <c r="L387" s="15" t="s">
        <v>50</v>
      </c>
      <c r="M387" s="16" t="s">
        <v>51</v>
      </c>
      <c r="N387" s="14"/>
      <c r="O387" s="15" t="s">
        <v>52</v>
      </c>
      <c r="P387" s="17" t="s">
        <v>53</v>
      </c>
      <c r="Q387" s="15"/>
      <c r="R387" s="18" t="s">
        <v>51</v>
      </c>
      <c r="S387" s="19"/>
      <c r="T387" s="17" t="str">
        <f aca="false">IF(R387="維持",J387,IF(R387="排除","無關新聞事件",IFERROR(INDEX(事件規則!$B$2:$B$53,MATCH(S387,事件規則!$A$2:$A$53,0)),"")))</f>
        <v>無關新聞事件</v>
      </c>
      <c r="U387" s="20" t="n">
        <f aca="false">IF(R387="維持",K387,IF(R387="排除",0,IFERROR(INDEX(事件規則!$C$2:$C$53,MATCH(S387,事件規則!$A$2:$A$53,0)),"")))</f>
        <v>0</v>
      </c>
      <c r="V387" s="21"/>
      <c r="W387" s="22"/>
      <c r="X387" s="10" t="str">
        <f aca="false">IF(AND(R387="修改",S387=""),"請選新事件代碼",IF(AND(R387&lt;&gt;"修改",S387&lt;&gt;""),"只有「修改」才需填代碼",""))</f>
        <v/>
      </c>
      <c r="Y387" s="21"/>
      <c r="Z387" s="22"/>
      <c r="AA387" s="12" t="s">
        <v>1378</v>
      </c>
      <c r="AB387" s="24"/>
    </row>
    <row r="388" customFormat="false" ht="29.85" hidden="false" customHeight="false" outlineLevel="0" collapsed="false">
      <c r="A388" s="15" t="n">
        <v>387</v>
      </c>
      <c r="B388" s="9" t="s">
        <v>55</v>
      </c>
      <c r="C388" s="9" t="s">
        <v>977</v>
      </c>
      <c r="D388" s="10" t="s">
        <v>978</v>
      </c>
      <c r="E388" s="11" t="s">
        <v>1379</v>
      </c>
      <c r="F388" s="17"/>
      <c r="G388" s="12" t="s">
        <v>934</v>
      </c>
      <c r="H388" s="13" t="n">
        <v>-0.102</v>
      </c>
      <c r="I388" s="14"/>
      <c r="J388" s="17"/>
      <c r="K388" s="9"/>
      <c r="L388" s="15" t="s">
        <v>50</v>
      </c>
      <c r="M388" s="16" t="s">
        <v>51</v>
      </c>
      <c r="N388" s="14"/>
      <c r="O388" s="15" t="s">
        <v>52</v>
      </c>
      <c r="P388" s="17" t="s">
        <v>53</v>
      </c>
      <c r="Q388" s="15"/>
      <c r="R388" s="18" t="s">
        <v>51</v>
      </c>
      <c r="S388" s="19"/>
      <c r="T388" s="17" t="str">
        <f aca="false">IF(R388="維持",J388,IF(R388="排除","無關新聞事件",IFERROR(INDEX(事件規則!$B$2:$B$53,MATCH(S388,事件規則!$A$2:$A$53,0)),"")))</f>
        <v>無關新聞事件</v>
      </c>
      <c r="U388" s="20" t="n">
        <f aca="false">IF(R388="維持",K388,IF(R388="排除",0,IFERROR(INDEX(事件規則!$C$2:$C$53,MATCH(S388,事件規則!$A$2:$A$53,0)),"")))</f>
        <v>0</v>
      </c>
      <c r="V388" s="21"/>
      <c r="W388" s="22"/>
      <c r="X388" s="10" t="str">
        <f aca="false">IF(AND(R388="修改",S388=""),"請選新事件代碼",IF(AND(R388&lt;&gt;"修改",S388&lt;&gt;""),"只有「修改」才需填代碼",""))</f>
        <v/>
      </c>
      <c r="Y388" s="21"/>
      <c r="Z388" s="22"/>
      <c r="AA388" s="12" t="s">
        <v>1380</v>
      </c>
      <c r="AB388" s="24"/>
    </row>
    <row r="389" customFormat="false" ht="29.85" hidden="false" customHeight="false" outlineLevel="0" collapsed="false">
      <c r="A389" s="15" t="n">
        <v>388</v>
      </c>
      <c r="B389" s="9" t="s">
        <v>55</v>
      </c>
      <c r="C389" s="9" t="s">
        <v>223</v>
      </c>
      <c r="D389" s="10" t="s">
        <v>224</v>
      </c>
      <c r="E389" s="11" t="s">
        <v>1381</v>
      </c>
      <c r="F389" s="17"/>
      <c r="G389" s="12" t="s">
        <v>1382</v>
      </c>
      <c r="H389" s="13" t="n">
        <v>-0.102</v>
      </c>
      <c r="I389" s="14"/>
      <c r="J389" s="17"/>
      <c r="K389" s="9"/>
      <c r="L389" s="15" t="s">
        <v>50</v>
      </c>
      <c r="M389" s="16" t="s">
        <v>131</v>
      </c>
      <c r="N389" s="14" t="s">
        <v>132</v>
      </c>
      <c r="O389" s="15" t="s">
        <v>52</v>
      </c>
      <c r="P389" s="17" t="s">
        <v>1175</v>
      </c>
      <c r="Q389" s="15"/>
      <c r="R389" s="18" t="s">
        <v>131</v>
      </c>
      <c r="S389" s="19" t="s">
        <v>132</v>
      </c>
      <c r="T389" s="17" t="str">
        <f aca="false">IF(R389="維持",J389,IF(R389="排除","無關新聞事件",IFERROR(INDEX(事件規則!$B$2:$B$53,MATCH(S389,事件規則!$A$2:$A$53,0)),"")))</f>
        <v>重大訴訟</v>
      </c>
      <c r="U389" s="20" t="n">
        <f aca="false">IF(R389="維持",K389,IF(R389="排除",0,IFERROR(INDEX(事件規則!$C$2:$C$53,MATCH(S389,事件規則!$A$2:$A$53,0)),"")))</f>
        <v>4</v>
      </c>
      <c r="V389" s="21"/>
      <c r="W389" s="22"/>
      <c r="X389" s="10" t="str">
        <f aca="false">IF(AND(R389="修改",S389=""),"請選新事件代碼",IF(AND(R389&lt;&gt;"修改",S389&lt;&gt;""),"只有「修改」才需填代碼",""))</f>
        <v/>
      </c>
      <c r="Y389" s="21"/>
      <c r="Z389" s="22"/>
      <c r="AA389" s="12" t="s">
        <v>1383</v>
      </c>
      <c r="AB389" s="24"/>
    </row>
    <row r="390" customFormat="false" ht="29.85" hidden="false" customHeight="false" outlineLevel="0" collapsed="false">
      <c r="A390" s="15" t="n">
        <v>389</v>
      </c>
      <c r="B390" s="9" t="s">
        <v>55</v>
      </c>
      <c r="C390" s="9" t="s">
        <v>294</v>
      </c>
      <c r="D390" s="10" t="s">
        <v>295</v>
      </c>
      <c r="E390" s="11" t="s">
        <v>1384</v>
      </c>
      <c r="F390" s="17"/>
      <c r="G390" s="12" t="s">
        <v>59</v>
      </c>
      <c r="H390" s="13" t="n">
        <v>-0.101</v>
      </c>
      <c r="I390" s="14"/>
      <c r="J390" s="17"/>
      <c r="K390" s="9"/>
      <c r="L390" s="15" t="s">
        <v>50</v>
      </c>
      <c r="M390" s="16" t="s">
        <v>51</v>
      </c>
      <c r="N390" s="14"/>
      <c r="O390" s="15" t="s">
        <v>52</v>
      </c>
      <c r="P390" s="17" t="s">
        <v>53</v>
      </c>
      <c r="Q390" s="15"/>
      <c r="R390" s="18" t="s">
        <v>51</v>
      </c>
      <c r="S390" s="19"/>
      <c r="T390" s="17" t="str">
        <f aca="false">IF(R390="維持",J390,IF(R390="排除","無關新聞事件",IFERROR(INDEX(事件規則!$B$2:$B$53,MATCH(S390,事件規則!$A$2:$A$53,0)),"")))</f>
        <v>無關新聞事件</v>
      </c>
      <c r="U390" s="20" t="n">
        <f aca="false">IF(R390="維持",K390,IF(R390="排除",0,IFERROR(INDEX(事件規則!$C$2:$C$53,MATCH(S390,事件規則!$A$2:$A$53,0)),"")))</f>
        <v>0</v>
      </c>
      <c r="V390" s="21"/>
      <c r="W390" s="22"/>
      <c r="X390" s="10" t="str">
        <f aca="false">IF(AND(R390="修改",S390=""),"請選新事件代碼",IF(AND(R390&lt;&gt;"修改",S390&lt;&gt;""),"只有「修改」才需填代碼",""))</f>
        <v/>
      </c>
      <c r="Y390" s="21"/>
      <c r="Z390" s="22"/>
      <c r="AA390" s="12" t="s">
        <v>1385</v>
      </c>
      <c r="AB390" s="24"/>
    </row>
    <row r="391" customFormat="false" ht="29.85" hidden="false" customHeight="false" outlineLevel="0" collapsed="false">
      <c r="A391" s="15" t="n">
        <v>390</v>
      </c>
      <c r="B391" s="9" t="s">
        <v>45</v>
      </c>
      <c r="C391" s="9" t="s">
        <v>419</v>
      </c>
      <c r="D391" s="10" t="s">
        <v>420</v>
      </c>
      <c r="E391" s="11" t="s">
        <v>1386</v>
      </c>
      <c r="F391" s="17"/>
      <c r="G391" s="12" t="s">
        <v>419</v>
      </c>
      <c r="H391" s="13" t="n">
        <v>-0.101</v>
      </c>
      <c r="I391" s="14"/>
      <c r="J391" s="17"/>
      <c r="K391" s="9"/>
      <c r="L391" s="15" t="s">
        <v>50</v>
      </c>
      <c r="M391" s="16" t="s">
        <v>51</v>
      </c>
      <c r="N391" s="14"/>
      <c r="O391" s="15" t="s">
        <v>52</v>
      </c>
      <c r="P391" s="17" t="s">
        <v>53</v>
      </c>
      <c r="Q391" s="15"/>
      <c r="R391" s="18" t="s">
        <v>51</v>
      </c>
      <c r="S391" s="19"/>
      <c r="T391" s="17" t="str">
        <f aca="false">IF(R391="維持",J391,IF(R391="排除","無關新聞事件",IFERROR(INDEX(事件規則!$B$2:$B$53,MATCH(S391,事件規則!$A$2:$A$53,0)),"")))</f>
        <v>無關新聞事件</v>
      </c>
      <c r="U391" s="20" t="n">
        <f aca="false">IF(R391="維持",K391,IF(R391="排除",0,IFERROR(INDEX(事件規則!$C$2:$C$53,MATCH(S391,事件規則!$A$2:$A$53,0)),"")))</f>
        <v>0</v>
      </c>
      <c r="V391" s="21"/>
      <c r="W391" s="22"/>
      <c r="X391" s="10" t="str">
        <f aca="false">IF(AND(R391="修改",S391=""),"請選新事件代碼",IF(AND(R391&lt;&gt;"修改",S391&lt;&gt;""),"只有「修改」才需填代碼",""))</f>
        <v/>
      </c>
      <c r="Y391" s="21"/>
      <c r="Z391" s="22"/>
      <c r="AA391" s="12" t="s">
        <v>1387</v>
      </c>
      <c r="AB391" s="24"/>
    </row>
    <row r="392" customFormat="false" ht="29.85" hidden="false" customHeight="false" outlineLevel="0" collapsed="false">
      <c r="A392" s="15" t="n">
        <v>391</v>
      </c>
      <c r="B392" s="9" t="s">
        <v>55</v>
      </c>
      <c r="C392" s="9" t="s">
        <v>484</v>
      </c>
      <c r="D392" s="10" t="s">
        <v>485</v>
      </c>
      <c r="E392" s="11" t="s">
        <v>1388</v>
      </c>
      <c r="F392" s="17"/>
      <c r="G392" s="12" t="s">
        <v>1389</v>
      </c>
      <c r="H392" s="13" t="n">
        <v>-0.101</v>
      </c>
      <c r="I392" s="14"/>
      <c r="J392" s="17"/>
      <c r="K392" s="9"/>
      <c r="L392" s="15" t="s">
        <v>50</v>
      </c>
      <c r="M392" s="16" t="s">
        <v>51</v>
      </c>
      <c r="N392" s="14"/>
      <c r="O392" s="15" t="s">
        <v>52</v>
      </c>
      <c r="P392" s="17" t="s">
        <v>53</v>
      </c>
      <c r="Q392" s="15"/>
      <c r="R392" s="18" t="s">
        <v>51</v>
      </c>
      <c r="S392" s="19"/>
      <c r="T392" s="17" t="str">
        <f aca="false">IF(R392="維持",J392,IF(R392="排除","無關新聞事件",IFERROR(INDEX(事件規則!$B$2:$B$53,MATCH(S392,事件規則!$A$2:$A$53,0)),"")))</f>
        <v>無關新聞事件</v>
      </c>
      <c r="U392" s="20" t="n">
        <f aca="false">IF(R392="維持",K392,IF(R392="排除",0,IFERROR(INDEX(事件規則!$C$2:$C$53,MATCH(S392,事件規則!$A$2:$A$53,0)),"")))</f>
        <v>0</v>
      </c>
      <c r="V392" s="21"/>
      <c r="W392" s="22"/>
      <c r="X392" s="10" t="str">
        <f aca="false">IF(AND(R392="修改",S392=""),"請選新事件代碼",IF(AND(R392&lt;&gt;"修改",S392&lt;&gt;""),"只有「修改」才需填代碼",""))</f>
        <v/>
      </c>
      <c r="Y392" s="21"/>
      <c r="Z392" s="22"/>
      <c r="AA392" s="12" t="s">
        <v>1390</v>
      </c>
      <c r="AB392" s="24"/>
    </row>
    <row r="393" customFormat="false" ht="29.85" hidden="false" customHeight="false" outlineLevel="0" collapsed="false">
      <c r="A393" s="15" t="n">
        <v>392</v>
      </c>
      <c r="B393" s="9" t="s">
        <v>55</v>
      </c>
      <c r="C393" s="9" t="s">
        <v>1391</v>
      </c>
      <c r="D393" s="10" t="s">
        <v>1392</v>
      </c>
      <c r="E393" s="11" t="s">
        <v>1393</v>
      </c>
      <c r="F393" s="17"/>
      <c r="G393" s="12" t="s">
        <v>49</v>
      </c>
      <c r="H393" s="13" t="n">
        <v>-0.1</v>
      </c>
      <c r="I393" s="14"/>
      <c r="J393" s="17"/>
      <c r="K393" s="9"/>
      <c r="L393" s="15" t="s">
        <v>50</v>
      </c>
      <c r="M393" s="16" t="s">
        <v>51</v>
      </c>
      <c r="N393" s="14"/>
      <c r="O393" s="15" t="s">
        <v>52</v>
      </c>
      <c r="P393" s="17" t="s">
        <v>53</v>
      </c>
      <c r="Q393" s="15"/>
      <c r="R393" s="18" t="s">
        <v>51</v>
      </c>
      <c r="S393" s="19"/>
      <c r="T393" s="17" t="str">
        <f aca="false">IF(R393="維持",J393,IF(R393="排除","無關新聞事件",IFERROR(INDEX(事件規則!$B$2:$B$53,MATCH(S393,事件規則!$A$2:$A$53,0)),"")))</f>
        <v>無關新聞事件</v>
      </c>
      <c r="U393" s="20" t="n">
        <f aca="false">IF(R393="維持",K393,IF(R393="排除",0,IFERROR(INDEX(事件規則!$C$2:$C$53,MATCH(S393,事件規則!$A$2:$A$53,0)),"")))</f>
        <v>0</v>
      </c>
      <c r="V393" s="21"/>
      <c r="W393" s="22"/>
      <c r="X393" s="10" t="str">
        <f aca="false">IF(AND(R393="修改",S393=""),"請選新事件代碼",IF(AND(R393&lt;&gt;"修改",S393&lt;&gt;""),"只有「修改」才需填代碼",""))</f>
        <v/>
      </c>
      <c r="Y393" s="21"/>
      <c r="Z393" s="22"/>
      <c r="AA393" s="12" t="s">
        <v>1394</v>
      </c>
      <c r="AB393" s="24"/>
    </row>
    <row r="394" customFormat="false" ht="29.85" hidden="false" customHeight="false" outlineLevel="0" collapsed="false">
      <c r="A394" s="15" t="n">
        <v>393</v>
      </c>
      <c r="B394" s="9" t="s">
        <v>112</v>
      </c>
      <c r="C394" s="9" t="s">
        <v>379</v>
      </c>
      <c r="D394" s="10" t="s">
        <v>380</v>
      </c>
      <c r="E394" s="11" t="s">
        <v>1395</v>
      </c>
      <c r="F394" s="17"/>
      <c r="G394" s="12" t="s">
        <v>1396</v>
      </c>
      <c r="H394" s="13" t="n">
        <v>-0.1</v>
      </c>
      <c r="I394" s="14"/>
      <c r="J394" s="17"/>
      <c r="K394" s="9"/>
      <c r="L394" s="15" t="s">
        <v>50</v>
      </c>
      <c r="M394" s="16" t="s">
        <v>51</v>
      </c>
      <c r="N394" s="14"/>
      <c r="O394" s="15" t="s">
        <v>52</v>
      </c>
      <c r="P394" s="17" t="s">
        <v>53</v>
      </c>
      <c r="Q394" s="15"/>
      <c r="R394" s="18" t="s">
        <v>51</v>
      </c>
      <c r="S394" s="19"/>
      <c r="T394" s="17" t="str">
        <f aca="false">IF(R394="維持",J394,IF(R394="排除","無關新聞事件",IFERROR(INDEX(事件規則!$B$2:$B$53,MATCH(S394,事件規則!$A$2:$A$53,0)),"")))</f>
        <v>無關新聞事件</v>
      </c>
      <c r="U394" s="20" t="n">
        <f aca="false">IF(R394="維持",K394,IF(R394="排除",0,IFERROR(INDEX(事件規則!$C$2:$C$53,MATCH(S394,事件規則!$A$2:$A$53,0)),"")))</f>
        <v>0</v>
      </c>
      <c r="V394" s="21"/>
      <c r="W394" s="22"/>
      <c r="X394" s="10" t="str">
        <f aca="false">IF(AND(R394="修改",S394=""),"請選新事件代碼",IF(AND(R394&lt;&gt;"修改",S394&lt;&gt;""),"只有「修改」才需填代碼",""))</f>
        <v/>
      </c>
      <c r="Y394" s="21"/>
      <c r="Z394" s="22"/>
      <c r="AA394" s="12" t="s">
        <v>1397</v>
      </c>
      <c r="AB394" s="24"/>
    </row>
    <row r="395" customFormat="false" ht="29.85" hidden="false" customHeight="false" outlineLevel="0" collapsed="false">
      <c r="A395" s="15" t="n">
        <v>394</v>
      </c>
      <c r="B395" s="9" t="s">
        <v>55</v>
      </c>
      <c r="C395" s="9" t="s">
        <v>242</v>
      </c>
      <c r="D395" s="10" t="s">
        <v>243</v>
      </c>
      <c r="E395" s="11" t="s">
        <v>1398</v>
      </c>
      <c r="F395" s="17"/>
      <c r="G395" s="12" t="s">
        <v>548</v>
      </c>
      <c r="H395" s="13" t="n">
        <v>-0.1</v>
      </c>
      <c r="I395" s="14"/>
      <c r="J395" s="17"/>
      <c r="K395" s="9"/>
      <c r="L395" s="15" t="s">
        <v>50</v>
      </c>
      <c r="M395" s="16" t="s">
        <v>51</v>
      </c>
      <c r="N395" s="14"/>
      <c r="O395" s="15" t="s">
        <v>52</v>
      </c>
      <c r="P395" s="17" t="s">
        <v>53</v>
      </c>
      <c r="Q395" s="15"/>
      <c r="R395" s="18" t="s">
        <v>51</v>
      </c>
      <c r="S395" s="19"/>
      <c r="T395" s="17" t="str">
        <f aca="false">IF(R395="維持",J395,IF(R395="排除","無關新聞事件",IFERROR(INDEX(事件規則!$B$2:$B$53,MATCH(S395,事件規則!$A$2:$A$53,0)),"")))</f>
        <v>無關新聞事件</v>
      </c>
      <c r="U395" s="20" t="n">
        <f aca="false">IF(R395="維持",K395,IF(R395="排除",0,IFERROR(INDEX(事件規則!$C$2:$C$53,MATCH(S395,事件規則!$A$2:$A$53,0)),"")))</f>
        <v>0</v>
      </c>
      <c r="V395" s="21"/>
      <c r="W395" s="22"/>
      <c r="X395" s="10" t="str">
        <f aca="false">IF(AND(R395="修改",S395=""),"請選新事件代碼",IF(AND(R395&lt;&gt;"修改",S395&lt;&gt;""),"只有「修改」才需填代碼",""))</f>
        <v/>
      </c>
      <c r="Y395" s="21"/>
      <c r="Z395" s="22"/>
      <c r="AA395" s="12" t="s">
        <v>1399</v>
      </c>
      <c r="AB395" s="24"/>
    </row>
    <row r="396" customFormat="false" ht="29.85" hidden="false" customHeight="false" outlineLevel="0" collapsed="false">
      <c r="A396" s="15" t="n">
        <v>395</v>
      </c>
      <c r="B396" s="9" t="s">
        <v>55</v>
      </c>
      <c r="C396" s="9" t="s">
        <v>355</v>
      </c>
      <c r="D396" s="10" t="s">
        <v>356</v>
      </c>
      <c r="E396" s="11" t="s">
        <v>1400</v>
      </c>
      <c r="F396" s="17"/>
      <c r="G396" s="12" t="s">
        <v>1401</v>
      </c>
      <c r="H396" s="13" t="n">
        <v>-0.1</v>
      </c>
      <c r="I396" s="14"/>
      <c r="J396" s="17"/>
      <c r="K396" s="9"/>
      <c r="L396" s="15" t="s">
        <v>50</v>
      </c>
      <c r="M396" s="16" t="s">
        <v>51</v>
      </c>
      <c r="N396" s="14"/>
      <c r="O396" s="15" t="s">
        <v>52</v>
      </c>
      <c r="P396" s="17" t="s">
        <v>53</v>
      </c>
      <c r="Q396" s="15"/>
      <c r="R396" s="18" t="s">
        <v>51</v>
      </c>
      <c r="S396" s="19"/>
      <c r="T396" s="17" t="str">
        <f aca="false">IF(R396="維持",J396,IF(R396="排除","無關新聞事件",IFERROR(INDEX(事件規則!$B$2:$B$53,MATCH(S396,事件規則!$A$2:$A$53,0)),"")))</f>
        <v>無關新聞事件</v>
      </c>
      <c r="U396" s="20" t="n">
        <f aca="false">IF(R396="維持",K396,IF(R396="排除",0,IFERROR(INDEX(事件規則!$C$2:$C$53,MATCH(S396,事件規則!$A$2:$A$53,0)),"")))</f>
        <v>0</v>
      </c>
      <c r="V396" s="21"/>
      <c r="W396" s="22"/>
      <c r="X396" s="10" t="str">
        <f aca="false">IF(AND(R396="修改",S396=""),"請選新事件代碼",IF(AND(R396&lt;&gt;"修改",S396&lt;&gt;""),"只有「修改」才需填代碼",""))</f>
        <v/>
      </c>
      <c r="Y396" s="21"/>
      <c r="Z396" s="22"/>
      <c r="AA396" s="12" t="s">
        <v>1402</v>
      </c>
      <c r="AB396" s="24"/>
    </row>
    <row r="397" customFormat="false" ht="29.85" hidden="false" customHeight="false" outlineLevel="0" collapsed="false">
      <c r="A397" s="15" t="n">
        <v>396</v>
      </c>
      <c r="B397" s="9" t="s">
        <v>45</v>
      </c>
      <c r="C397" s="9" t="s">
        <v>178</v>
      </c>
      <c r="D397" s="10" t="s">
        <v>179</v>
      </c>
      <c r="E397" s="11" t="s">
        <v>1403</v>
      </c>
      <c r="F397" s="17"/>
      <c r="G397" s="12" t="s">
        <v>1404</v>
      </c>
      <c r="H397" s="13" t="n">
        <v>-0.099</v>
      </c>
      <c r="I397" s="14"/>
      <c r="J397" s="17"/>
      <c r="K397" s="9"/>
      <c r="L397" s="15" t="s">
        <v>50</v>
      </c>
      <c r="M397" s="16" t="s">
        <v>51</v>
      </c>
      <c r="N397" s="14"/>
      <c r="O397" s="15" t="s">
        <v>52</v>
      </c>
      <c r="P397" s="17" t="s">
        <v>53</v>
      </c>
      <c r="Q397" s="15"/>
      <c r="R397" s="18" t="s">
        <v>51</v>
      </c>
      <c r="S397" s="19"/>
      <c r="T397" s="17" t="str">
        <f aca="false">IF(R397="維持",J397,IF(R397="排除","無關新聞事件",IFERROR(INDEX(事件規則!$B$2:$B$53,MATCH(S397,事件規則!$A$2:$A$53,0)),"")))</f>
        <v>無關新聞事件</v>
      </c>
      <c r="U397" s="20" t="n">
        <f aca="false">IF(R397="維持",K397,IF(R397="排除",0,IFERROR(INDEX(事件規則!$C$2:$C$53,MATCH(S397,事件規則!$A$2:$A$53,0)),"")))</f>
        <v>0</v>
      </c>
      <c r="V397" s="21"/>
      <c r="W397" s="22"/>
      <c r="X397" s="10" t="str">
        <f aca="false">IF(AND(R397="修改",S397=""),"請選新事件代碼",IF(AND(R397&lt;&gt;"修改",S397&lt;&gt;""),"只有「修改」才需填代碼",""))</f>
        <v/>
      </c>
      <c r="Y397" s="21"/>
      <c r="Z397" s="22"/>
      <c r="AA397" s="12" t="s">
        <v>1405</v>
      </c>
      <c r="AB397" s="24"/>
    </row>
    <row r="398" customFormat="false" ht="29.85" hidden="false" customHeight="false" outlineLevel="0" collapsed="false">
      <c r="A398" s="15" t="n">
        <v>397</v>
      </c>
      <c r="B398" s="9" t="s">
        <v>112</v>
      </c>
      <c r="C398" s="9" t="s">
        <v>1406</v>
      </c>
      <c r="D398" s="10" t="s">
        <v>1407</v>
      </c>
      <c r="E398" s="11" t="s">
        <v>1408</v>
      </c>
      <c r="F398" s="17"/>
      <c r="G398" s="12" t="s">
        <v>1409</v>
      </c>
      <c r="H398" s="13" t="n">
        <v>-0.099</v>
      </c>
      <c r="I398" s="14"/>
      <c r="J398" s="17"/>
      <c r="K398" s="9"/>
      <c r="L398" s="15" t="s">
        <v>50</v>
      </c>
      <c r="M398" s="16" t="s">
        <v>51</v>
      </c>
      <c r="N398" s="14"/>
      <c r="O398" s="15" t="s">
        <v>52</v>
      </c>
      <c r="P398" s="17" t="s">
        <v>53</v>
      </c>
      <c r="Q398" s="15"/>
      <c r="R398" s="18" t="s">
        <v>51</v>
      </c>
      <c r="S398" s="19"/>
      <c r="T398" s="17" t="str">
        <f aca="false">IF(R398="維持",J398,IF(R398="排除","無關新聞事件",IFERROR(INDEX(事件規則!$B$2:$B$53,MATCH(S398,事件規則!$A$2:$A$53,0)),"")))</f>
        <v>無關新聞事件</v>
      </c>
      <c r="U398" s="20" t="n">
        <f aca="false">IF(R398="維持",K398,IF(R398="排除",0,IFERROR(INDEX(事件規則!$C$2:$C$53,MATCH(S398,事件規則!$A$2:$A$53,0)),"")))</f>
        <v>0</v>
      </c>
      <c r="V398" s="21"/>
      <c r="W398" s="22"/>
      <c r="X398" s="10" t="str">
        <f aca="false">IF(AND(R398="修改",S398=""),"請選新事件代碼",IF(AND(R398&lt;&gt;"修改",S398&lt;&gt;""),"只有「修改」才需填代碼",""))</f>
        <v/>
      </c>
      <c r="Y398" s="21"/>
      <c r="Z398" s="22"/>
      <c r="AA398" s="12" t="s">
        <v>1410</v>
      </c>
      <c r="AB398" s="24"/>
    </row>
    <row r="399" customFormat="false" ht="29.85" hidden="false" customHeight="false" outlineLevel="0" collapsed="false">
      <c r="A399" s="15" t="n">
        <v>398</v>
      </c>
      <c r="B399" s="9" t="s">
        <v>112</v>
      </c>
      <c r="C399" s="9" t="s">
        <v>698</v>
      </c>
      <c r="D399" s="10" t="s">
        <v>699</v>
      </c>
      <c r="E399" s="11" t="s">
        <v>1411</v>
      </c>
      <c r="F399" s="17"/>
      <c r="G399" s="12" t="s">
        <v>169</v>
      </c>
      <c r="H399" s="13" t="n">
        <v>-0.098</v>
      </c>
      <c r="I399" s="14"/>
      <c r="J399" s="17"/>
      <c r="K399" s="9"/>
      <c r="L399" s="15" t="s">
        <v>50</v>
      </c>
      <c r="M399" s="16" t="s">
        <v>51</v>
      </c>
      <c r="N399" s="14"/>
      <c r="O399" s="15" t="s">
        <v>52</v>
      </c>
      <c r="P399" s="17" t="s">
        <v>53</v>
      </c>
      <c r="Q399" s="15"/>
      <c r="R399" s="18" t="s">
        <v>51</v>
      </c>
      <c r="S399" s="19"/>
      <c r="T399" s="17" t="str">
        <f aca="false">IF(R399="維持",J399,IF(R399="排除","無關新聞事件",IFERROR(INDEX(事件規則!$B$2:$B$53,MATCH(S399,事件規則!$A$2:$A$53,0)),"")))</f>
        <v>無關新聞事件</v>
      </c>
      <c r="U399" s="20" t="n">
        <f aca="false">IF(R399="維持",K399,IF(R399="排除",0,IFERROR(INDEX(事件規則!$C$2:$C$53,MATCH(S399,事件規則!$A$2:$A$53,0)),"")))</f>
        <v>0</v>
      </c>
      <c r="V399" s="21"/>
      <c r="W399" s="22"/>
      <c r="X399" s="10" t="str">
        <f aca="false">IF(AND(R399="修改",S399=""),"請選新事件代碼",IF(AND(R399&lt;&gt;"修改",S399&lt;&gt;""),"只有「修改」才需填代碼",""))</f>
        <v/>
      </c>
      <c r="Y399" s="21"/>
      <c r="Z399" s="22"/>
      <c r="AA399" s="12" t="s">
        <v>1412</v>
      </c>
      <c r="AB399" s="24"/>
    </row>
    <row r="400" customFormat="false" ht="29.85" hidden="false" customHeight="false" outlineLevel="0" collapsed="false">
      <c r="A400" s="15" t="n">
        <v>399</v>
      </c>
      <c r="B400" s="9" t="s">
        <v>55</v>
      </c>
      <c r="C400" s="9" t="s">
        <v>92</v>
      </c>
      <c r="D400" s="10" t="s">
        <v>93</v>
      </c>
      <c r="E400" s="11" t="s">
        <v>1413</v>
      </c>
      <c r="F400" s="17"/>
      <c r="G400" s="12" t="s">
        <v>95</v>
      </c>
      <c r="H400" s="13" t="n">
        <v>-0.098</v>
      </c>
      <c r="I400" s="14"/>
      <c r="J400" s="17"/>
      <c r="K400" s="9"/>
      <c r="L400" s="15" t="s">
        <v>50</v>
      </c>
      <c r="M400" s="16" t="s">
        <v>51</v>
      </c>
      <c r="N400" s="14"/>
      <c r="O400" s="15" t="s">
        <v>52</v>
      </c>
      <c r="P400" s="17" t="s">
        <v>53</v>
      </c>
      <c r="Q400" s="15"/>
      <c r="R400" s="18" t="s">
        <v>51</v>
      </c>
      <c r="S400" s="19"/>
      <c r="T400" s="17" t="str">
        <f aca="false">IF(R400="維持",J400,IF(R400="排除","無關新聞事件",IFERROR(INDEX(事件規則!$B$2:$B$53,MATCH(S400,事件規則!$A$2:$A$53,0)),"")))</f>
        <v>無關新聞事件</v>
      </c>
      <c r="U400" s="20" t="n">
        <f aca="false">IF(R400="維持",K400,IF(R400="排除",0,IFERROR(INDEX(事件規則!$C$2:$C$53,MATCH(S400,事件規則!$A$2:$A$53,0)),"")))</f>
        <v>0</v>
      </c>
      <c r="V400" s="21"/>
      <c r="W400" s="22"/>
      <c r="X400" s="10" t="str">
        <f aca="false">IF(AND(R400="修改",S400=""),"請選新事件代碼",IF(AND(R400&lt;&gt;"修改",S400&lt;&gt;""),"只有「修改」才需填代碼",""))</f>
        <v/>
      </c>
      <c r="Y400" s="21"/>
      <c r="Z400" s="22"/>
      <c r="AA400" s="12" t="s">
        <v>1414</v>
      </c>
      <c r="AB400" s="24"/>
    </row>
    <row r="401" customFormat="false" ht="29.85" hidden="false" customHeight="false" outlineLevel="0" collapsed="false">
      <c r="A401" s="15" t="n">
        <v>400</v>
      </c>
      <c r="B401" s="9" t="s">
        <v>45</v>
      </c>
      <c r="C401" s="9" t="s">
        <v>1415</v>
      </c>
      <c r="D401" s="10" t="s">
        <v>1416</v>
      </c>
      <c r="E401" s="11" t="s">
        <v>1417</v>
      </c>
      <c r="F401" s="17"/>
      <c r="G401" s="12" t="s">
        <v>116</v>
      </c>
      <c r="H401" s="13" t="n">
        <v>-0.097</v>
      </c>
      <c r="I401" s="14"/>
      <c r="J401" s="17"/>
      <c r="K401" s="9"/>
      <c r="L401" s="15" t="s">
        <v>50</v>
      </c>
      <c r="M401" s="16" t="s">
        <v>51</v>
      </c>
      <c r="N401" s="14"/>
      <c r="O401" s="15" t="s">
        <v>52</v>
      </c>
      <c r="P401" s="17" t="s">
        <v>53</v>
      </c>
      <c r="Q401" s="15"/>
      <c r="R401" s="18" t="s">
        <v>51</v>
      </c>
      <c r="S401" s="19"/>
      <c r="T401" s="17" t="str">
        <f aca="false">IF(R401="維持",J401,IF(R401="排除","無關新聞事件",IFERROR(INDEX(事件規則!$B$2:$B$53,MATCH(S401,事件規則!$A$2:$A$53,0)),"")))</f>
        <v>無關新聞事件</v>
      </c>
      <c r="U401" s="20" t="n">
        <f aca="false">IF(R401="維持",K401,IF(R401="排除",0,IFERROR(INDEX(事件規則!$C$2:$C$53,MATCH(S401,事件規則!$A$2:$A$53,0)),"")))</f>
        <v>0</v>
      </c>
      <c r="V401" s="21"/>
      <c r="W401" s="22"/>
      <c r="X401" s="10" t="str">
        <f aca="false">IF(AND(R401="修改",S401=""),"請選新事件代碼",IF(AND(R401&lt;&gt;"修改",S401&lt;&gt;""),"只有「修改」才需填代碼",""))</f>
        <v/>
      </c>
      <c r="Y401" s="21"/>
      <c r="Z401" s="22"/>
      <c r="AA401" s="12" t="s">
        <v>1418</v>
      </c>
      <c r="AB401" s="24"/>
    </row>
    <row r="402" customFormat="false" ht="29.85" hidden="false" customHeight="false" outlineLevel="0" collapsed="false">
      <c r="A402" s="15" t="n">
        <v>401</v>
      </c>
      <c r="B402" s="9" t="s">
        <v>81</v>
      </c>
      <c r="C402" s="9" t="s">
        <v>476</v>
      </c>
      <c r="D402" s="10" t="s">
        <v>477</v>
      </c>
      <c r="E402" s="11" t="s">
        <v>1419</v>
      </c>
      <c r="F402" s="17"/>
      <c r="G402" s="12" t="s">
        <v>1420</v>
      </c>
      <c r="H402" s="13" t="n">
        <v>-0.097</v>
      </c>
      <c r="I402" s="14"/>
      <c r="J402" s="17"/>
      <c r="K402" s="9"/>
      <c r="L402" s="15" t="s">
        <v>50</v>
      </c>
      <c r="M402" s="16" t="s">
        <v>51</v>
      </c>
      <c r="N402" s="14"/>
      <c r="O402" s="15" t="s">
        <v>52</v>
      </c>
      <c r="P402" s="17" t="s">
        <v>53</v>
      </c>
      <c r="Q402" s="15"/>
      <c r="R402" s="18" t="s">
        <v>51</v>
      </c>
      <c r="S402" s="19"/>
      <c r="T402" s="17" t="str">
        <f aca="false">IF(R402="維持",J402,IF(R402="排除","無關新聞事件",IFERROR(INDEX(事件規則!$B$2:$B$53,MATCH(S402,事件規則!$A$2:$A$53,0)),"")))</f>
        <v>無關新聞事件</v>
      </c>
      <c r="U402" s="20" t="n">
        <f aca="false">IF(R402="維持",K402,IF(R402="排除",0,IFERROR(INDEX(事件規則!$C$2:$C$53,MATCH(S402,事件規則!$A$2:$A$53,0)),"")))</f>
        <v>0</v>
      </c>
      <c r="V402" s="21"/>
      <c r="W402" s="22"/>
      <c r="X402" s="10" t="str">
        <f aca="false">IF(AND(R402="修改",S402=""),"請選新事件代碼",IF(AND(R402&lt;&gt;"修改",S402&lt;&gt;""),"只有「修改」才需填代碼",""))</f>
        <v/>
      </c>
      <c r="Y402" s="21"/>
      <c r="Z402" s="22"/>
      <c r="AA402" s="12" t="s">
        <v>1421</v>
      </c>
      <c r="AB402" s="24"/>
    </row>
    <row r="403" customFormat="false" ht="29.85" hidden="false" customHeight="false" outlineLevel="0" collapsed="false">
      <c r="A403" s="15" t="n">
        <v>402</v>
      </c>
      <c r="B403" s="9" t="s">
        <v>45</v>
      </c>
      <c r="C403" s="9" t="s">
        <v>1422</v>
      </c>
      <c r="D403" s="10" t="s">
        <v>1423</v>
      </c>
      <c r="E403" s="11" t="s">
        <v>1424</v>
      </c>
      <c r="F403" s="17"/>
      <c r="G403" s="12" t="s">
        <v>49</v>
      </c>
      <c r="H403" s="13" t="n">
        <v>-0.096</v>
      </c>
      <c r="I403" s="14"/>
      <c r="J403" s="17"/>
      <c r="K403" s="9"/>
      <c r="L403" s="15" t="s">
        <v>50</v>
      </c>
      <c r="M403" s="16" t="s">
        <v>51</v>
      </c>
      <c r="N403" s="14"/>
      <c r="O403" s="15" t="s">
        <v>52</v>
      </c>
      <c r="P403" s="17" t="s">
        <v>53</v>
      </c>
      <c r="Q403" s="15"/>
      <c r="R403" s="18" t="s">
        <v>51</v>
      </c>
      <c r="S403" s="19"/>
      <c r="T403" s="17" t="str">
        <f aca="false">IF(R403="維持",J403,IF(R403="排除","無關新聞事件",IFERROR(INDEX(事件規則!$B$2:$B$53,MATCH(S403,事件規則!$A$2:$A$53,0)),"")))</f>
        <v>無關新聞事件</v>
      </c>
      <c r="U403" s="20" t="n">
        <f aca="false">IF(R403="維持",K403,IF(R403="排除",0,IFERROR(INDEX(事件規則!$C$2:$C$53,MATCH(S403,事件規則!$A$2:$A$53,0)),"")))</f>
        <v>0</v>
      </c>
      <c r="V403" s="21"/>
      <c r="W403" s="22"/>
      <c r="X403" s="10" t="str">
        <f aca="false">IF(AND(R403="修改",S403=""),"請選新事件代碼",IF(AND(R403&lt;&gt;"修改",S403&lt;&gt;""),"只有「修改」才需填代碼",""))</f>
        <v/>
      </c>
      <c r="Y403" s="21"/>
      <c r="Z403" s="22"/>
      <c r="AA403" s="12" t="s">
        <v>1425</v>
      </c>
      <c r="AB403" s="24"/>
    </row>
    <row r="404" customFormat="false" ht="15" hidden="false" customHeight="false" outlineLevel="0" collapsed="false">
      <c r="A404" s="15" t="n">
        <v>403</v>
      </c>
      <c r="B404" s="9" t="s">
        <v>112</v>
      </c>
      <c r="C404" s="9" t="s">
        <v>56</v>
      </c>
      <c r="D404" s="10" t="s">
        <v>57</v>
      </c>
      <c r="E404" s="11" t="s">
        <v>1426</v>
      </c>
      <c r="F404" s="17"/>
      <c r="G404" s="12" t="s">
        <v>121</v>
      </c>
      <c r="H404" s="13" t="n">
        <v>-0.096</v>
      </c>
      <c r="I404" s="14"/>
      <c r="J404" s="17"/>
      <c r="K404" s="9"/>
      <c r="L404" s="15" t="s">
        <v>50</v>
      </c>
      <c r="M404" s="16" t="s">
        <v>131</v>
      </c>
      <c r="N404" s="14" t="s">
        <v>1427</v>
      </c>
      <c r="O404" s="15" t="s">
        <v>52</v>
      </c>
      <c r="P404" s="10" t="s">
        <v>1428</v>
      </c>
      <c r="Q404" s="15"/>
      <c r="R404" s="18" t="s">
        <v>131</v>
      </c>
      <c r="S404" s="19" t="s">
        <v>1427</v>
      </c>
      <c r="T404" s="17" t="str">
        <f aca="false">IF(R404="維持",J404,IF(R404="排除","無關新聞事件",IFERROR(INDEX(事件規則!$B$2:$B$53,MATCH(S404,事件規則!$A$2:$A$53,0)),"")))</f>
        <v>分析師降評</v>
      </c>
      <c r="U404" s="20" t="n">
        <f aca="false">IF(R404="維持",K404,IF(R404="排除",0,IFERROR(INDEX(事件規則!$C$2:$C$53,MATCH(S404,事件規則!$A$2:$A$53,0)),"")))</f>
        <v>2</v>
      </c>
      <c r="V404" s="21"/>
      <c r="W404" s="22"/>
      <c r="X404" s="10" t="str">
        <f aca="false">IF(AND(R404="修改",S404=""),"請選新事件代碼",IF(AND(R404&lt;&gt;"修改",S404&lt;&gt;""),"只有「修改」才需填代碼",""))</f>
        <v/>
      </c>
      <c r="Y404" s="21"/>
      <c r="Z404" s="22"/>
      <c r="AA404" s="12" t="s">
        <v>1429</v>
      </c>
      <c r="AB404" s="24"/>
    </row>
    <row r="405" customFormat="false" ht="29.85" hidden="false" customHeight="false" outlineLevel="0" collapsed="false">
      <c r="A405" s="15" t="n">
        <v>404</v>
      </c>
      <c r="B405" s="9" t="s">
        <v>112</v>
      </c>
      <c r="C405" s="9" t="s">
        <v>540</v>
      </c>
      <c r="D405" s="10" t="s">
        <v>541</v>
      </c>
      <c r="E405" s="11" t="s">
        <v>1430</v>
      </c>
      <c r="F405" s="17"/>
      <c r="G405" s="12" t="s">
        <v>443</v>
      </c>
      <c r="H405" s="13" t="n">
        <v>-0.096</v>
      </c>
      <c r="I405" s="14"/>
      <c r="J405" s="17"/>
      <c r="K405" s="9"/>
      <c r="L405" s="15" t="s">
        <v>50</v>
      </c>
      <c r="M405" s="16" t="s">
        <v>51</v>
      </c>
      <c r="N405" s="14"/>
      <c r="O405" s="15" t="s">
        <v>52</v>
      </c>
      <c r="P405" s="17" t="s">
        <v>53</v>
      </c>
      <c r="Q405" s="15"/>
      <c r="R405" s="18" t="s">
        <v>51</v>
      </c>
      <c r="S405" s="19"/>
      <c r="T405" s="17" t="str">
        <f aca="false">IF(R405="維持",J405,IF(R405="排除","無關新聞事件",IFERROR(INDEX(事件規則!$B$2:$B$53,MATCH(S405,事件規則!$A$2:$A$53,0)),"")))</f>
        <v>無關新聞事件</v>
      </c>
      <c r="U405" s="20" t="n">
        <f aca="false">IF(R405="維持",K405,IF(R405="排除",0,IFERROR(INDEX(事件規則!$C$2:$C$53,MATCH(S405,事件規則!$A$2:$A$53,0)),"")))</f>
        <v>0</v>
      </c>
      <c r="V405" s="21"/>
      <c r="W405" s="22"/>
      <c r="X405" s="10" t="str">
        <f aca="false">IF(AND(R405="修改",S405=""),"請選新事件代碼",IF(AND(R405&lt;&gt;"修改",S405&lt;&gt;""),"只有「修改」才需填代碼",""))</f>
        <v/>
      </c>
      <c r="Y405" s="21"/>
      <c r="Z405" s="22"/>
      <c r="AA405" s="12" t="s">
        <v>1431</v>
      </c>
      <c r="AB405" s="24"/>
    </row>
    <row r="406" customFormat="false" ht="29.85" hidden="false" customHeight="false" outlineLevel="0" collapsed="false">
      <c r="A406" s="15" t="n">
        <v>405</v>
      </c>
      <c r="B406" s="9" t="s">
        <v>81</v>
      </c>
      <c r="C406" s="9" t="s">
        <v>476</v>
      </c>
      <c r="D406" s="10" t="s">
        <v>477</v>
      </c>
      <c r="E406" s="11" t="s">
        <v>1432</v>
      </c>
      <c r="F406" s="17"/>
      <c r="G406" s="12" t="s">
        <v>1433</v>
      </c>
      <c r="H406" s="13" t="n">
        <v>-0.094</v>
      </c>
      <c r="I406" s="14"/>
      <c r="J406" s="17"/>
      <c r="K406" s="9"/>
      <c r="L406" s="15" t="s">
        <v>50</v>
      </c>
      <c r="M406" s="16" t="s">
        <v>51</v>
      </c>
      <c r="N406" s="14"/>
      <c r="O406" s="15" t="s">
        <v>52</v>
      </c>
      <c r="P406" s="17" t="s">
        <v>53</v>
      </c>
      <c r="Q406" s="15"/>
      <c r="R406" s="18" t="s">
        <v>51</v>
      </c>
      <c r="S406" s="19"/>
      <c r="T406" s="17" t="str">
        <f aca="false">IF(R406="維持",J406,IF(R406="排除","無關新聞事件",IFERROR(INDEX(事件規則!$B$2:$B$53,MATCH(S406,事件規則!$A$2:$A$53,0)),"")))</f>
        <v>無關新聞事件</v>
      </c>
      <c r="U406" s="20" t="n">
        <f aca="false">IF(R406="維持",K406,IF(R406="排除",0,IFERROR(INDEX(事件規則!$C$2:$C$53,MATCH(S406,事件規則!$A$2:$A$53,0)),"")))</f>
        <v>0</v>
      </c>
      <c r="V406" s="21"/>
      <c r="W406" s="22"/>
      <c r="X406" s="10" t="str">
        <f aca="false">IF(AND(R406="修改",S406=""),"請選新事件代碼",IF(AND(R406&lt;&gt;"修改",S406&lt;&gt;""),"只有「修改」才需填代碼",""))</f>
        <v/>
      </c>
      <c r="Y406" s="21"/>
      <c r="Z406" s="22"/>
      <c r="AA406" s="12" t="s">
        <v>1434</v>
      </c>
      <c r="AB406" s="24"/>
    </row>
    <row r="407" customFormat="false" ht="29.85" hidden="false" customHeight="false" outlineLevel="0" collapsed="false">
      <c r="A407" s="15" t="n">
        <v>406</v>
      </c>
      <c r="B407" s="9" t="s">
        <v>45</v>
      </c>
      <c r="C407" s="9" t="s">
        <v>1435</v>
      </c>
      <c r="D407" s="10" t="s">
        <v>1436</v>
      </c>
      <c r="E407" s="11" t="s">
        <v>1437</v>
      </c>
      <c r="F407" s="17"/>
      <c r="G407" s="12" t="s">
        <v>142</v>
      </c>
      <c r="H407" s="13" t="n">
        <v>-0.094</v>
      </c>
      <c r="I407" s="14"/>
      <c r="J407" s="17"/>
      <c r="K407" s="9"/>
      <c r="L407" s="15" t="s">
        <v>50</v>
      </c>
      <c r="M407" s="16" t="s">
        <v>51</v>
      </c>
      <c r="N407" s="14"/>
      <c r="O407" s="15" t="s">
        <v>52</v>
      </c>
      <c r="P407" s="17" t="s">
        <v>53</v>
      </c>
      <c r="Q407" s="15"/>
      <c r="R407" s="18" t="s">
        <v>51</v>
      </c>
      <c r="S407" s="19"/>
      <c r="T407" s="17" t="str">
        <f aca="false">IF(R407="維持",J407,IF(R407="排除","無關新聞事件",IFERROR(INDEX(事件規則!$B$2:$B$53,MATCH(S407,事件規則!$A$2:$A$53,0)),"")))</f>
        <v>無關新聞事件</v>
      </c>
      <c r="U407" s="20" t="n">
        <f aca="false">IF(R407="維持",K407,IF(R407="排除",0,IFERROR(INDEX(事件規則!$C$2:$C$53,MATCH(S407,事件規則!$A$2:$A$53,0)),"")))</f>
        <v>0</v>
      </c>
      <c r="V407" s="21"/>
      <c r="W407" s="22"/>
      <c r="X407" s="10" t="str">
        <f aca="false">IF(AND(R407="修改",S407=""),"請選新事件代碼",IF(AND(R407&lt;&gt;"修改",S407&lt;&gt;""),"只有「修改」才需填代碼",""))</f>
        <v/>
      </c>
      <c r="Y407" s="21"/>
      <c r="Z407" s="22"/>
      <c r="AA407" s="12" t="s">
        <v>1438</v>
      </c>
      <c r="AB407" s="24"/>
    </row>
    <row r="408" customFormat="false" ht="29.85" hidden="false" customHeight="false" outlineLevel="0" collapsed="false">
      <c r="A408" s="15" t="n">
        <v>407</v>
      </c>
      <c r="B408" s="9" t="s">
        <v>112</v>
      </c>
      <c r="C408" s="9" t="s">
        <v>123</v>
      </c>
      <c r="D408" s="10" t="s">
        <v>124</v>
      </c>
      <c r="E408" s="11" t="s">
        <v>1439</v>
      </c>
      <c r="F408" s="17"/>
      <c r="G408" s="12" t="s">
        <v>176</v>
      </c>
      <c r="H408" s="13" t="n">
        <v>-0.093</v>
      </c>
      <c r="I408" s="14"/>
      <c r="J408" s="17"/>
      <c r="K408" s="9"/>
      <c r="L408" s="15" t="s">
        <v>50</v>
      </c>
      <c r="M408" s="16" t="s">
        <v>51</v>
      </c>
      <c r="N408" s="14"/>
      <c r="O408" s="15" t="s">
        <v>52</v>
      </c>
      <c r="P408" s="17" t="s">
        <v>53</v>
      </c>
      <c r="Q408" s="15"/>
      <c r="R408" s="18" t="s">
        <v>51</v>
      </c>
      <c r="S408" s="19"/>
      <c r="T408" s="17" t="str">
        <f aca="false">IF(R408="維持",J408,IF(R408="排除","無關新聞事件",IFERROR(INDEX(事件規則!$B$2:$B$53,MATCH(S408,事件規則!$A$2:$A$53,0)),"")))</f>
        <v>無關新聞事件</v>
      </c>
      <c r="U408" s="20" t="n">
        <f aca="false">IF(R408="維持",K408,IF(R408="排除",0,IFERROR(INDEX(事件規則!$C$2:$C$53,MATCH(S408,事件規則!$A$2:$A$53,0)),"")))</f>
        <v>0</v>
      </c>
      <c r="V408" s="21"/>
      <c r="W408" s="22"/>
      <c r="X408" s="10" t="str">
        <f aca="false">IF(AND(R408="修改",S408=""),"請選新事件代碼",IF(AND(R408&lt;&gt;"修改",S408&lt;&gt;""),"只有「修改」才需填代碼",""))</f>
        <v/>
      </c>
      <c r="Y408" s="21"/>
      <c r="Z408" s="22"/>
      <c r="AA408" s="12" t="s">
        <v>1440</v>
      </c>
      <c r="AB408" s="24"/>
    </row>
    <row r="409" customFormat="false" ht="29.85" hidden="false" customHeight="false" outlineLevel="0" collapsed="false">
      <c r="A409" s="15" t="n">
        <v>408</v>
      </c>
      <c r="B409" s="9" t="s">
        <v>112</v>
      </c>
      <c r="C409" s="9" t="s">
        <v>1441</v>
      </c>
      <c r="D409" s="10" t="s">
        <v>1442</v>
      </c>
      <c r="E409" s="11" t="s">
        <v>1443</v>
      </c>
      <c r="F409" s="17"/>
      <c r="G409" s="12" t="s">
        <v>1444</v>
      </c>
      <c r="H409" s="13" t="n">
        <v>-0.093</v>
      </c>
      <c r="I409" s="14"/>
      <c r="J409" s="17"/>
      <c r="K409" s="9"/>
      <c r="L409" s="15" t="s">
        <v>50</v>
      </c>
      <c r="M409" s="16" t="s">
        <v>51</v>
      </c>
      <c r="N409" s="14"/>
      <c r="O409" s="15" t="s">
        <v>52</v>
      </c>
      <c r="P409" s="17" t="s">
        <v>53</v>
      </c>
      <c r="Q409" s="15"/>
      <c r="R409" s="18" t="s">
        <v>51</v>
      </c>
      <c r="S409" s="19"/>
      <c r="T409" s="17" t="str">
        <f aca="false">IF(R409="維持",J409,IF(R409="排除","無關新聞事件",IFERROR(INDEX(事件規則!$B$2:$B$53,MATCH(S409,事件規則!$A$2:$A$53,0)),"")))</f>
        <v>無關新聞事件</v>
      </c>
      <c r="U409" s="20" t="n">
        <f aca="false">IF(R409="維持",K409,IF(R409="排除",0,IFERROR(INDEX(事件規則!$C$2:$C$53,MATCH(S409,事件規則!$A$2:$A$53,0)),"")))</f>
        <v>0</v>
      </c>
      <c r="V409" s="21"/>
      <c r="W409" s="22"/>
      <c r="X409" s="10" t="str">
        <f aca="false">IF(AND(R409="修改",S409=""),"請選新事件代碼",IF(AND(R409&lt;&gt;"修改",S409&lt;&gt;""),"只有「修改」才需填代碼",""))</f>
        <v/>
      </c>
      <c r="Y409" s="21"/>
      <c r="Z409" s="22"/>
      <c r="AA409" s="12" t="s">
        <v>1445</v>
      </c>
      <c r="AB409" s="24"/>
    </row>
    <row r="410" customFormat="false" ht="29.85" hidden="false" customHeight="false" outlineLevel="0" collapsed="false">
      <c r="A410" s="15" t="n">
        <v>409</v>
      </c>
      <c r="B410" s="9" t="s">
        <v>112</v>
      </c>
      <c r="C410" s="9" t="s">
        <v>1446</v>
      </c>
      <c r="D410" s="10" t="s">
        <v>1447</v>
      </c>
      <c r="E410" s="11" t="s">
        <v>1448</v>
      </c>
      <c r="F410" s="17"/>
      <c r="G410" s="12" t="s">
        <v>176</v>
      </c>
      <c r="H410" s="13" t="n">
        <v>-0.092</v>
      </c>
      <c r="I410" s="14"/>
      <c r="J410" s="17"/>
      <c r="K410" s="9"/>
      <c r="L410" s="15" t="s">
        <v>50</v>
      </c>
      <c r="M410" s="16" t="s">
        <v>51</v>
      </c>
      <c r="N410" s="14"/>
      <c r="O410" s="15" t="s">
        <v>52</v>
      </c>
      <c r="P410" s="17" t="s">
        <v>53</v>
      </c>
      <c r="Q410" s="15"/>
      <c r="R410" s="18" t="s">
        <v>51</v>
      </c>
      <c r="S410" s="19"/>
      <c r="T410" s="17" t="str">
        <f aca="false">IF(R410="維持",J410,IF(R410="排除","無關新聞事件",IFERROR(INDEX(事件規則!$B$2:$B$53,MATCH(S410,事件規則!$A$2:$A$53,0)),"")))</f>
        <v>無關新聞事件</v>
      </c>
      <c r="U410" s="20" t="n">
        <f aca="false">IF(R410="維持",K410,IF(R410="排除",0,IFERROR(INDEX(事件規則!$C$2:$C$53,MATCH(S410,事件規則!$A$2:$A$53,0)),"")))</f>
        <v>0</v>
      </c>
      <c r="V410" s="21"/>
      <c r="W410" s="22"/>
      <c r="X410" s="10" t="str">
        <f aca="false">IF(AND(R410="修改",S410=""),"請選新事件代碼",IF(AND(R410&lt;&gt;"修改",S410&lt;&gt;""),"只有「修改」才需填代碼",""))</f>
        <v/>
      </c>
      <c r="Y410" s="21"/>
      <c r="Z410" s="22"/>
      <c r="AA410" s="12" t="s">
        <v>1449</v>
      </c>
      <c r="AB410" s="24"/>
    </row>
    <row r="411" customFormat="false" ht="29.85" hidden="false" customHeight="false" outlineLevel="0" collapsed="false">
      <c r="A411" s="15" t="n">
        <v>410</v>
      </c>
      <c r="B411" s="9" t="s">
        <v>81</v>
      </c>
      <c r="C411" s="9" t="s">
        <v>97</v>
      </c>
      <c r="D411" s="10" t="s">
        <v>98</v>
      </c>
      <c r="E411" s="11" t="s">
        <v>1450</v>
      </c>
      <c r="F411" s="17"/>
      <c r="G411" s="12" t="s">
        <v>1451</v>
      </c>
      <c r="H411" s="13" t="n">
        <v>-0.092</v>
      </c>
      <c r="I411" s="14"/>
      <c r="J411" s="17"/>
      <c r="K411" s="9"/>
      <c r="L411" s="15" t="s">
        <v>50</v>
      </c>
      <c r="M411" s="16" t="s">
        <v>51</v>
      </c>
      <c r="N411" s="14"/>
      <c r="O411" s="15" t="s">
        <v>52</v>
      </c>
      <c r="P411" s="17" t="s">
        <v>53</v>
      </c>
      <c r="Q411" s="15"/>
      <c r="R411" s="18" t="s">
        <v>51</v>
      </c>
      <c r="S411" s="19"/>
      <c r="T411" s="17" t="str">
        <f aca="false">IF(R411="維持",J411,IF(R411="排除","無關新聞事件",IFERROR(INDEX(事件規則!$B$2:$B$53,MATCH(S411,事件規則!$A$2:$A$53,0)),"")))</f>
        <v>無關新聞事件</v>
      </c>
      <c r="U411" s="20" t="n">
        <f aca="false">IF(R411="維持",K411,IF(R411="排除",0,IFERROR(INDEX(事件規則!$C$2:$C$53,MATCH(S411,事件規則!$A$2:$A$53,0)),"")))</f>
        <v>0</v>
      </c>
      <c r="V411" s="21"/>
      <c r="W411" s="22"/>
      <c r="X411" s="10" t="str">
        <f aca="false">IF(AND(R411="修改",S411=""),"請選新事件代碼",IF(AND(R411&lt;&gt;"修改",S411&lt;&gt;""),"只有「修改」才需填代碼",""))</f>
        <v/>
      </c>
      <c r="Y411" s="21"/>
      <c r="Z411" s="22"/>
      <c r="AA411" s="12" t="s">
        <v>1452</v>
      </c>
      <c r="AB411" s="24"/>
    </row>
    <row r="412" customFormat="false" ht="29.85" hidden="false" customHeight="false" outlineLevel="0" collapsed="false">
      <c r="A412" s="15" t="n">
        <v>411</v>
      </c>
      <c r="B412" s="9" t="s">
        <v>45</v>
      </c>
      <c r="C412" s="9" t="s">
        <v>92</v>
      </c>
      <c r="D412" s="10" t="s">
        <v>93</v>
      </c>
      <c r="E412" s="11" t="s">
        <v>1453</v>
      </c>
      <c r="F412" s="17"/>
      <c r="G412" s="12" t="s">
        <v>95</v>
      </c>
      <c r="H412" s="13" t="n">
        <v>-0.092</v>
      </c>
      <c r="I412" s="14"/>
      <c r="J412" s="17"/>
      <c r="K412" s="9"/>
      <c r="L412" s="15" t="s">
        <v>50</v>
      </c>
      <c r="M412" s="16" t="s">
        <v>51</v>
      </c>
      <c r="N412" s="14"/>
      <c r="O412" s="15" t="s">
        <v>52</v>
      </c>
      <c r="P412" s="17" t="s">
        <v>53</v>
      </c>
      <c r="Q412" s="15"/>
      <c r="R412" s="18" t="s">
        <v>51</v>
      </c>
      <c r="S412" s="19"/>
      <c r="T412" s="17" t="str">
        <f aca="false">IF(R412="維持",J412,IF(R412="排除","無關新聞事件",IFERROR(INDEX(事件規則!$B$2:$B$53,MATCH(S412,事件規則!$A$2:$A$53,0)),"")))</f>
        <v>無關新聞事件</v>
      </c>
      <c r="U412" s="20" t="n">
        <f aca="false">IF(R412="維持",K412,IF(R412="排除",0,IFERROR(INDEX(事件規則!$C$2:$C$53,MATCH(S412,事件規則!$A$2:$A$53,0)),"")))</f>
        <v>0</v>
      </c>
      <c r="V412" s="21"/>
      <c r="W412" s="22"/>
      <c r="X412" s="10" t="str">
        <f aca="false">IF(AND(R412="修改",S412=""),"請選新事件代碼",IF(AND(R412&lt;&gt;"修改",S412&lt;&gt;""),"只有「修改」才需填代碼",""))</f>
        <v/>
      </c>
      <c r="Y412" s="21"/>
      <c r="Z412" s="22"/>
      <c r="AA412" s="12" t="s">
        <v>1454</v>
      </c>
      <c r="AB412" s="24"/>
    </row>
    <row r="413" customFormat="false" ht="29.85" hidden="false" customHeight="false" outlineLevel="0" collapsed="false">
      <c r="A413" s="15" t="n">
        <v>412</v>
      </c>
      <c r="B413" s="9" t="s">
        <v>55</v>
      </c>
      <c r="C413" s="9" t="s">
        <v>639</v>
      </c>
      <c r="D413" s="10" t="s">
        <v>640</v>
      </c>
      <c r="E413" s="11" t="s">
        <v>1455</v>
      </c>
      <c r="F413" s="17"/>
      <c r="G413" s="12" t="s">
        <v>1456</v>
      </c>
      <c r="H413" s="13" t="n">
        <v>-0.092</v>
      </c>
      <c r="I413" s="14"/>
      <c r="J413" s="17"/>
      <c r="K413" s="9"/>
      <c r="L413" s="15" t="s">
        <v>50</v>
      </c>
      <c r="M413" s="16" t="s">
        <v>51</v>
      </c>
      <c r="N413" s="14"/>
      <c r="O413" s="15" t="s">
        <v>52</v>
      </c>
      <c r="P413" s="17" t="s">
        <v>53</v>
      </c>
      <c r="Q413" s="15"/>
      <c r="R413" s="18" t="s">
        <v>51</v>
      </c>
      <c r="S413" s="19"/>
      <c r="T413" s="17" t="str">
        <f aca="false">IF(R413="維持",J413,IF(R413="排除","無關新聞事件",IFERROR(INDEX(事件規則!$B$2:$B$53,MATCH(S413,事件規則!$A$2:$A$53,0)),"")))</f>
        <v>無關新聞事件</v>
      </c>
      <c r="U413" s="20" t="n">
        <f aca="false">IF(R413="維持",K413,IF(R413="排除",0,IFERROR(INDEX(事件規則!$C$2:$C$53,MATCH(S413,事件規則!$A$2:$A$53,0)),"")))</f>
        <v>0</v>
      </c>
      <c r="V413" s="21"/>
      <c r="W413" s="22"/>
      <c r="X413" s="10" t="str">
        <f aca="false">IF(AND(R413="修改",S413=""),"請選新事件代碼",IF(AND(R413&lt;&gt;"修改",S413&lt;&gt;""),"只有「修改」才需填代碼",""))</f>
        <v/>
      </c>
      <c r="Y413" s="21"/>
      <c r="Z413" s="22"/>
      <c r="AA413" s="12" t="s">
        <v>1457</v>
      </c>
      <c r="AB413" s="24"/>
    </row>
    <row r="414" customFormat="false" ht="15" hidden="false" customHeight="false" outlineLevel="0" collapsed="false">
      <c r="A414" s="15" t="n">
        <v>413</v>
      </c>
      <c r="B414" s="9" t="s">
        <v>55</v>
      </c>
      <c r="C414" s="15"/>
      <c r="D414" s="17"/>
      <c r="E414" s="11" t="s">
        <v>1458</v>
      </c>
      <c r="F414" s="17"/>
      <c r="G414" s="12" t="s">
        <v>49</v>
      </c>
      <c r="H414" s="13" t="n">
        <v>-0.089</v>
      </c>
      <c r="I414" s="14"/>
      <c r="J414" s="17"/>
      <c r="K414" s="9"/>
      <c r="L414" s="15" t="s">
        <v>50</v>
      </c>
      <c r="M414" s="16" t="s">
        <v>131</v>
      </c>
      <c r="N414" s="14" t="s">
        <v>1459</v>
      </c>
      <c r="O414" s="15" t="s">
        <v>386</v>
      </c>
      <c r="P414" s="10" t="s">
        <v>1460</v>
      </c>
      <c r="Q414" s="15" t="s">
        <v>388</v>
      </c>
      <c r="R414" s="18" t="s">
        <v>131</v>
      </c>
      <c r="S414" s="19" t="s">
        <v>1459</v>
      </c>
      <c r="T414" s="17" t="str">
        <f aca="false">IF(R414="維持",J414,IF(R414="排除","無關新聞事件",IFERROR(INDEX(事件規則!$B$2:$B$53,MATCH(S414,事件規則!$A$2:$A$53,0)),"")))</f>
        <v>財報不如預期</v>
      </c>
      <c r="U414" s="20" t="n">
        <f aca="false">IF(R414="維持",K414,IF(R414="排除",0,IFERROR(INDEX(事件規則!$C$2:$C$53,MATCH(S414,事件規則!$A$2:$A$53,0)),"")))</f>
        <v>3</v>
      </c>
      <c r="V414" s="21"/>
      <c r="W414" s="22"/>
      <c r="X414" s="10" t="str">
        <f aca="false">IF(AND(R414="修改",S414=""),"請選新事件代碼",IF(AND(R414&lt;&gt;"修改",S414&lt;&gt;""),"只有「修改」才需填代碼",""))</f>
        <v/>
      </c>
      <c r="Y414" s="21"/>
      <c r="Z414" s="22"/>
      <c r="AA414" s="12" t="s">
        <v>1461</v>
      </c>
      <c r="AB414" s="24"/>
    </row>
    <row r="415" customFormat="false" ht="29.85" hidden="false" customHeight="false" outlineLevel="0" collapsed="false">
      <c r="A415" s="15" t="n">
        <v>414</v>
      </c>
      <c r="B415" s="9" t="s">
        <v>45</v>
      </c>
      <c r="C415" s="9" t="s">
        <v>540</v>
      </c>
      <c r="D415" s="10" t="s">
        <v>541</v>
      </c>
      <c r="E415" s="11" t="s">
        <v>1462</v>
      </c>
      <c r="F415" s="17"/>
      <c r="G415" s="12" t="s">
        <v>142</v>
      </c>
      <c r="H415" s="13" t="n">
        <v>-0.089</v>
      </c>
      <c r="I415" s="14"/>
      <c r="J415" s="17"/>
      <c r="K415" s="9"/>
      <c r="L415" s="15" t="s">
        <v>50</v>
      </c>
      <c r="M415" s="16" t="s">
        <v>51</v>
      </c>
      <c r="N415" s="14"/>
      <c r="O415" s="15" t="s">
        <v>52</v>
      </c>
      <c r="P415" s="17" t="s">
        <v>53</v>
      </c>
      <c r="Q415" s="15"/>
      <c r="R415" s="18" t="s">
        <v>51</v>
      </c>
      <c r="S415" s="19"/>
      <c r="T415" s="17" t="str">
        <f aca="false">IF(R415="維持",J415,IF(R415="排除","無關新聞事件",IFERROR(INDEX(事件規則!$B$2:$B$53,MATCH(S415,事件規則!$A$2:$A$53,0)),"")))</f>
        <v>無關新聞事件</v>
      </c>
      <c r="U415" s="20" t="n">
        <f aca="false">IF(R415="維持",K415,IF(R415="排除",0,IFERROR(INDEX(事件規則!$C$2:$C$53,MATCH(S415,事件規則!$A$2:$A$53,0)),"")))</f>
        <v>0</v>
      </c>
      <c r="V415" s="21"/>
      <c r="W415" s="22"/>
      <c r="X415" s="10" t="str">
        <f aca="false">IF(AND(R415="修改",S415=""),"請選新事件代碼",IF(AND(R415&lt;&gt;"修改",S415&lt;&gt;""),"只有「修改」才需填代碼",""))</f>
        <v/>
      </c>
      <c r="Y415" s="21"/>
      <c r="Z415" s="22"/>
      <c r="AA415" s="12" t="s">
        <v>1463</v>
      </c>
      <c r="AB415" s="24"/>
    </row>
    <row r="416" customFormat="false" ht="29.85" hidden="false" customHeight="false" outlineLevel="0" collapsed="false">
      <c r="A416" s="15" t="n">
        <v>415</v>
      </c>
      <c r="B416" s="9" t="s">
        <v>81</v>
      </c>
      <c r="C416" s="9" t="s">
        <v>540</v>
      </c>
      <c r="D416" s="10" t="s">
        <v>541</v>
      </c>
      <c r="E416" s="11" t="s">
        <v>1462</v>
      </c>
      <c r="F416" s="17"/>
      <c r="G416" s="12" t="s">
        <v>142</v>
      </c>
      <c r="H416" s="13" t="n">
        <v>-0.089</v>
      </c>
      <c r="I416" s="14"/>
      <c r="J416" s="17"/>
      <c r="K416" s="9"/>
      <c r="L416" s="15" t="s">
        <v>50</v>
      </c>
      <c r="M416" s="16" t="s">
        <v>51</v>
      </c>
      <c r="N416" s="14"/>
      <c r="O416" s="15" t="s">
        <v>52</v>
      </c>
      <c r="P416" s="17" t="s">
        <v>53</v>
      </c>
      <c r="Q416" s="15"/>
      <c r="R416" s="18" t="s">
        <v>51</v>
      </c>
      <c r="S416" s="19"/>
      <c r="T416" s="17" t="str">
        <f aca="false">IF(R416="維持",J416,IF(R416="排除","無關新聞事件",IFERROR(INDEX(事件規則!$B$2:$B$53,MATCH(S416,事件規則!$A$2:$A$53,0)),"")))</f>
        <v>無關新聞事件</v>
      </c>
      <c r="U416" s="20" t="n">
        <f aca="false">IF(R416="維持",K416,IF(R416="排除",0,IFERROR(INDEX(事件規則!$C$2:$C$53,MATCH(S416,事件規則!$A$2:$A$53,0)),"")))</f>
        <v>0</v>
      </c>
      <c r="V416" s="21"/>
      <c r="W416" s="22"/>
      <c r="X416" s="10" t="str">
        <f aca="false">IF(AND(R416="修改",S416=""),"請選新事件代碼",IF(AND(R416&lt;&gt;"修改",S416&lt;&gt;""),"只有「修改」才需填代碼",""))</f>
        <v/>
      </c>
      <c r="Y416" s="21"/>
      <c r="Z416" s="22"/>
      <c r="AA416" s="12" t="s">
        <v>1464</v>
      </c>
      <c r="AB416" s="24"/>
    </row>
    <row r="417" customFormat="false" ht="29.85" hidden="false" customHeight="false" outlineLevel="0" collapsed="false">
      <c r="A417" s="15" t="n">
        <v>416</v>
      </c>
      <c r="B417" s="9" t="s">
        <v>45</v>
      </c>
      <c r="C417" s="9" t="s">
        <v>1406</v>
      </c>
      <c r="D417" s="10" t="s">
        <v>1407</v>
      </c>
      <c r="E417" s="11" t="s">
        <v>1465</v>
      </c>
      <c r="F417" s="17"/>
      <c r="G417" s="12" t="s">
        <v>1466</v>
      </c>
      <c r="H417" s="13" t="n">
        <v>-0.089</v>
      </c>
      <c r="I417" s="14"/>
      <c r="J417" s="17"/>
      <c r="K417" s="9"/>
      <c r="L417" s="15" t="s">
        <v>50</v>
      </c>
      <c r="M417" s="16" t="s">
        <v>51</v>
      </c>
      <c r="N417" s="14"/>
      <c r="O417" s="15" t="s">
        <v>52</v>
      </c>
      <c r="P417" s="17" t="s">
        <v>53</v>
      </c>
      <c r="Q417" s="15"/>
      <c r="R417" s="18" t="s">
        <v>51</v>
      </c>
      <c r="S417" s="19"/>
      <c r="T417" s="17" t="str">
        <f aca="false">IF(R417="維持",J417,IF(R417="排除","無關新聞事件",IFERROR(INDEX(事件規則!$B$2:$B$53,MATCH(S417,事件規則!$A$2:$A$53,0)),"")))</f>
        <v>無關新聞事件</v>
      </c>
      <c r="U417" s="20" t="n">
        <f aca="false">IF(R417="維持",K417,IF(R417="排除",0,IFERROR(INDEX(事件規則!$C$2:$C$53,MATCH(S417,事件規則!$A$2:$A$53,0)),"")))</f>
        <v>0</v>
      </c>
      <c r="V417" s="21"/>
      <c r="W417" s="22"/>
      <c r="X417" s="10" t="str">
        <f aca="false">IF(AND(R417="修改",S417=""),"請選新事件代碼",IF(AND(R417&lt;&gt;"修改",S417&lt;&gt;""),"只有「修改」才需填代碼",""))</f>
        <v/>
      </c>
      <c r="Y417" s="21"/>
      <c r="Z417" s="22"/>
      <c r="AA417" s="12" t="s">
        <v>1467</v>
      </c>
      <c r="AB417" s="24"/>
    </row>
    <row r="418" customFormat="false" ht="29.85" hidden="false" customHeight="false" outlineLevel="0" collapsed="false">
      <c r="A418" s="15" t="n">
        <v>417</v>
      </c>
      <c r="B418" s="9" t="s">
        <v>55</v>
      </c>
      <c r="C418" s="9" t="s">
        <v>1310</v>
      </c>
      <c r="D418" s="10" t="s">
        <v>1311</v>
      </c>
      <c r="E418" s="11" t="s">
        <v>1468</v>
      </c>
      <c r="F418" s="17"/>
      <c r="G418" s="12" t="s">
        <v>1469</v>
      </c>
      <c r="H418" s="13" t="n">
        <v>-0.088</v>
      </c>
      <c r="I418" s="14"/>
      <c r="J418" s="17"/>
      <c r="K418" s="9"/>
      <c r="L418" s="15" t="s">
        <v>50</v>
      </c>
      <c r="M418" s="16" t="s">
        <v>51</v>
      </c>
      <c r="N418" s="14"/>
      <c r="O418" s="15" t="s">
        <v>52</v>
      </c>
      <c r="P418" s="17" t="s">
        <v>53</v>
      </c>
      <c r="Q418" s="15"/>
      <c r="R418" s="18" t="s">
        <v>51</v>
      </c>
      <c r="S418" s="19"/>
      <c r="T418" s="17" t="str">
        <f aca="false">IF(R418="維持",J418,IF(R418="排除","無關新聞事件",IFERROR(INDEX(事件規則!$B$2:$B$53,MATCH(S418,事件規則!$A$2:$A$53,0)),"")))</f>
        <v>無關新聞事件</v>
      </c>
      <c r="U418" s="20" t="n">
        <f aca="false">IF(R418="維持",K418,IF(R418="排除",0,IFERROR(INDEX(事件規則!$C$2:$C$53,MATCH(S418,事件規則!$A$2:$A$53,0)),"")))</f>
        <v>0</v>
      </c>
      <c r="V418" s="21"/>
      <c r="W418" s="22"/>
      <c r="X418" s="10" t="str">
        <f aca="false">IF(AND(R418="修改",S418=""),"請選新事件代碼",IF(AND(R418&lt;&gt;"修改",S418&lt;&gt;""),"只有「修改」才需填代碼",""))</f>
        <v/>
      </c>
      <c r="Y418" s="21"/>
      <c r="Z418" s="22"/>
      <c r="AA418" s="12" t="s">
        <v>1470</v>
      </c>
      <c r="AB418" s="24"/>
    </row>
    <row r="419" customFormat="false" ht="29.85" hidden="false" customHeight="false" outlineLevel="0" collapsed="false">
      <c r="A419" s="15" t="n">
        <v>418</v>
      </c>
      <c r="B419" s="9" t="s">
        <v>81</v>
      </c>
      <c r="C419" s="9" t="s">
        <v>1471</v>
      </c>
      <c r="D419" s="10" t="s">
        <v>1472</v>
      </c>
      <c r="E419" s="11" t="s">
        <v>1473</v>
      </c>
      <c r="F419" s="17"/>
      <c r="G419" s="12" t="s">
        <v>59</v>
      </c>
      <c r="H419" s="13" t="n">
        <v>-0.088</v>
      </c>
      <c r="I419" s="14"/>
      <c r="J419" s="17"/>
      <c r="K419" s="9"/>
      <c r="L419" s="15" t="s">
        <v>50</v>
      </c>
      <c r="M419" s="16" t="s">
        <v>51</v>
      </c>
      <c r="N419" s="14"/>
      <c r="O419" s="15" t="s">
        <v>52</v>
      </c>
      <c r="P419" s="17" t="s">
        <v>53</v>
      </c>
      <c r="Q419" s="15"/>
      <c r="R419" s="18" t="s">
        <v>51</v>
      </c>
      <c r="S419" s="19"/>
      <c r="T419" s="17" t="str">
        <f aca="false">IF(R419="維持",J419,IF(R419="排除","無關新聞事件",IFERROR(INDEX(事件規則!$B$2:$B$53,MATCH(S419,事件規則!$A$2:$A$53,0)),"")))</f>
        <v>無關新聞事件</v>
      </c>
      <c r="U419" s="20" t="n">
        <f aca="false">IF(R419="維持",K419,IF(R419="排除",0,IFERROR(INDEX(事件規則!$C$2:$C$53,MATCH(S419,事件規則!$A$2:$A$53,0)),"")))</f>
        <v>0</v>
      </c>
      <c r="V419" s="21"/>
      <c r="W419" s="22"/>
      <c r="X419" s="10" t="str">
        <f aca="false">IF(AND(R419="修改",S419=""),"請選新事件代碼",IF(AND(R419&lt;&gt;"修改",S419&lt;&gt;""),"只有「修改」才需填代碼",""))</f>
        <v/>
      </c>
      <c r="Y419" s="21"/>
      <c r="Z419" s="22"/>
      <c r="AA419" s="12" t="s">
        <v>1474</v>
      </c>
      <c r="AB419" s="24"/>
    </row>
    <row r="420" customFormat="false" ht="29.85" hidden="false" customHeight="false" outlineLevel="0" collapsed="false">
      <c r="A420" s="15" t="n">
        <v>419</v>
      </c>
      <c r="B420" s="9" t="s">
        <v>55</v>
      </c>
      <c r="C420" s="9" t="s">
        <v>761</v>
      </c>
      <c r="D420" s="10" t="s">
        <v>762</v>
      </c>
      <c r="E420" s="11" t="s">
        <v>1475</v>
      </c>
      <c r="F420" s="17"/>
      <c r="G420" s="12" t="s">
        <v>1476</v>
      </c>
      <c r="H420" s="13" t="n">
        <v>-0.088</v>
      </c>
      <c r="I420" s="14"/>
      <c r="J420" s="17"/>
      <c r="K420" s="9"/>
      <c r="L420" s="15" t="s">
        <v>50</v>
      </c>
      <c r="M420" s="16" t="s">
        <v>51</v>
      </c>
      <c r="N420" s="14"/>
      <c r="O420" s="15" t="s">
        <v>52</v>
      </c>
      <c r="P420" s="17" t="s">
        <v>53</v>
      </c>
      <c r="Q420" s="15"/>
      <c r="R420" s="18" t="s">
        <v>51</v>
      </c>
      <c r="S420" s="19"/>
      <c r="T420" s="17" t="str">
        <f aca="false">IF(R420="維持",J420,IF(R420="排除","無關新聞事件",IFERROR(INDEX(事件規則!$B$2:$B$53,MATCH(S420,事件規則!$A$2:$A$53,0)),"")))</f>
        <v>無關新聞事件</v>
      </c>
      <c r="U420" s="20" t="n">
        <f aca="false">IF(R420="維持",K420,IF(R420="排除",0,IFERROR(INDEX(事件規則!$C$2:$C$53,MATCH(S420,事件規則!$A$2:$A$53,0)),"")))</f>
        <v>0</v>
      </c>
      <c r="V420" s="21"/>
      <c r="W420" s="22"/>
      <c r="X420" s="10" t="str">
        <f aca="false">IF(AND(R420="修改",S420=""),"請選新事件代碼",IF(AND(R420&lt;&gt;"修改",S420&lt;&gt;""),"只有「修改」才需填代碼",""))</f>
        <v/>
      </c>
      <c r="Y420" s="21"/>
      <c r="Z420" s="22"/>
      <c r="AA420" s="12" t="s">
        <v>1477</v>
      </c>
      <c r="AB420" s="24"/>
    </row>
    <row r="421" customFormat="false" ht="29.85" hidden="false" customHeight="false" outlineLevel="0" collapsed="false">
      <c r="A421" s="15" t="n">
        <v>420</v>
      </c>
      <c r="B421" s="9" t="s">
        <v>45</v>
      </c>
      <c r="C421" s="9" t="s">
        <v>1478</v>
      </c>
      <c r="D421" s="10" t="s">
        <v>1479</v>
      </c>
      <c r="E421" s="11" t="s">
        <v>1480</v>
      </c>
      <c r="F421" s="17"/>
      <c r="G421" s="12" t="s">
        <v>142</v>
      </c>
      <c r="H421" s="13" t="n">
        <v>-0.087</v>
      </c>
      <c r="I421" s="14"/>
      <c r="J421" s="17"/>
      <c r="K421" s="9"/>
      <c r="L421" s="15" t="s">
        <v>50</v>
      </c>
      <c r="M421" s="16" t="s">
        <v>51</v>
      </c>
      <c r="N421" s="14"/>
      <c r="O421" s="15" t="s">
        <v>52</v>
      </c>
      <c r="P421" s="17" t="s">
        <v>53</v>
      </c>
      <c r="Q421" s="15"/>
      <c r="R421" s="18" t="s">
        <v>51</v>
      </c>
      <c r="S421" s="19"/>
      <c r="T421" s="17" t="str">
        <f aca="false">IF(R421="維持",J421,IF(R421="排除","無關新聞事件",IFERROR(INDEX(事件規則!$B$2:$B$53,MATCH(S421,事件規則!$A$2:$A$53,0)),"")))</f>
        <v>無關新聞事件</v>
      </c>
      <c r="U421" s="20" t="n">
        <f aca="false">IF(R421="維持",K421,IF(R421="排除",0,IFERROR(INDEX(事件規則!$C$2:$C$53,MATCH(S421,事件規則!$A$2:$A$53,0)),"")))</f>
        <v>0</v>
      </c>
      <c r="V421" s="21"/>
      <c r="W421" s="22"/>
      <c r="X421" s="10" t="str">
        <f aca="false">IF(AND(R421="修改",S421=""),"請選新事件代碼",IF(AND(R421&lt;&gt;"修改",S421&lt;&gt;""),"只有「修改」才需填代碼",""))</f>
        <v/>
      </c>
      <c r="Y421" s="21"/>
      <c r="Z421" s="22"/>
      <c r="AA421" s="12" t="s">
        <v>1481</v>
      </c>
      <c r="AB421" s="24"/>
    </row>
    <row r="422" customFormat="false" ht="29.85" hidden="false" customHeight="false" outlineLevel="0" collapsed="false">
      <c r="A422" s="15" t="n">
        <v>421</v>
      </c>
      <c r="B422" s="9" t="s">
        <v>81</v>
      </c>
      <c r="C422" s="9" t="s">
        <v>607</v>
      </c>
      <c r="D422" s="10" t="s">
        <v>608</v>
      </c>
      <c r="E422" s="11" t="s">
        <v>1482</v>
      </c>
      <c r="F422" s="17"/>
      <c r="G422" s="12" t="s">
        <v>1483</v>
      </c>
      <c r="H422" s="13" t="n">
        <v>-0.087</v>
      </c>
      <c r="I422" s="14"/>
      <c r="J422" s="17"/>
      <c r="K422" s="9"/>
      <c r="L422" s="15" t="s">
        <v>50</v>
      </c>
      <c r="M422" s="16" t="s">
        <v>51</v>
      </c>
      <c r="N422" s="14"/>
      <c r="O422" s="15" t="s">
        <v>52</v>
      </c>
      <c r="P422" s="17" t="s">
        <v>53</v>
      </c>
      <c r="Q422" s="15"/>
      <c r="R422" s="18" t="s">
        <v>51</v>
      </c>
      <c r="S422" s="19"/>
      <c r="T422" s="17" t="str">
        <f aca="false">IF(R422="維持",J422,IF(R422="排除","無關新聞事件",IFERROR(INDEX(事件規則!$B$2:$B$53,MATCH(S422,事件規則!$A$2:$A$53,0)),"")))</f>
        <v>無關新聞事件</v>
      </c>
      <c r="U422" s="20" t="n">
        <f aca="false">IF(R422="維持",K422,IF(R422="排除",0,IFERROR(INDEX(事件規則!$C$2:$C$53,MATCH(S422,事件規則!$A$2:$A$53,0)),"")))</f>
        <v>0</v>
      </c>
      <c r="V422" s="21"/>
      <c r="W422" s="22"/>
      <c r="X422" s="10" t="str">
        <f aca="false">IF(AND(R422="修改",S422=""),"請選新事件代碼",IF(AND(R422&lt;&gt;"修改",S422&lt;&gt;""),"只有「修改」才需填代碼",""))</f>
        <v/>
      </c>
      <c r="Y422" s="21"/>
      <c r="Z422" s="22"/>
      <c r="AA422" s="12" t="s">
        <v>1484</v>
      </c>
      <c r="AB422" s="24"/>
    </row>
    <row r="423" customFormat="false" ht="29.85" hidden="false" customHeight="false" outlineLevel="0" collapsed="false">
      <c r="A423" s="15" t="n">
        <v>422</v>
      </c>
      <c r="B423" s="9" t="s">
        <v>45</v>
      </c>
      <c r="C423" s="9" t="s">
        <v>178</v>
      </c>
      <c r="D423" s="10" t="s">
        <v>179</v>
      </c>
      <c r="E423" s="11" t="s">
        <v>1485</v>
      </c>
      <c r="F423" s="17"/>
      <c r="G423" s="12" t="s">
        <v>1486</v>
      </c>
      <c r="H423" s="13" t="n">
        <v>-0.086</v>
      </c>
      <c r="I423" s="14"/>
      <c r="J423" s="17"/>
      <c r="K423" s="9"/>
      <c r="L423" s="15" t="s">
        <v>50</v>
      </c>
      <c r="M423" s="16" t="s">
        <v>51</v>
      </c>
      <c r="N423" s="14"/>
      <c r="O423" s="15" t="s">
        <v>52</v>
      </c>
      <c r="P423" s="17" t="s">
        <v>53</v>
      </c>
      <c r="Q423" s="15"/>
      <c r="R423" s="18" t="s">
        <v>51</v>
      </c>
      <c r="S423" s="19"/>
      <c r="T423" s="17" t="str">
        <f aca="false">IF(R423="維持",J423,IF(R423="排除","無關新聞事件",IFERROR(INDEX(事件規則!$B$2:$B$53,MATCH(S423,事件規則!$A$2:$A$53,0)),"")))</f>
        <v>無關新聞事件</v>
      </c>
      <c r="U423" s="20" t="n">
        <f aca="false">IF(R423="維持",K423,IF(R423="排除",0,IFERROR(INDEX(事件規則!$C$2:$C$53,MATCH(S423,事件規則!$A$2:$A$53,0)),"")))</f>
        <v>0</v>
      </c>
      <c r="V423" s="21"/>
      <c r="W423" s="22"/>
      <c r="X423" s="10" t="str">
        <f aca="false">IF(AND(R423="修改",S423=""),"請選新事件代碼",IF(AND(R423&lt;&gt;"修改",S423&lt;&gt;""),"只有「修改」才需填代碼",""))</f>
        <v/>
      </c>
      <c r="Y423" s="21"/>
      <c r="Z423" s="22"/>
      <c r="AA423" s="12" t="s">
        <v>1487</v>
      </c>
      <c r="AB423" s="24"/>
    </row>
    <row r="424" customFormat="false" ht="29.85" hidden="false" customHeight="false" outlineLevel="0" collapsed="false">
      <c r="A424" s="15" t="n">
        <v>423</v>
      </c>
      <c r="B424" s="9" t="s">
        <v>81</v>
      </c>
      <c r="C424" s="9" t="s">
        <v>355</v>
      </c>
      <c r="D424" s="10" t="s">
        <v>356</v>
      </c>
      <c r="E424" s="11" t="s">
        <v>1488</v>
      </c>
      <c r="F424" s="17"/>
      <c r="G424" s="12" t="s">
        <v>1489</v>
      </c>
      <c r="H424" s="13" t="n">
        <v>-0.085</v>
      </c>
      <c r="I424" s="14"/>
      <c r="J424" s="17"/>
      <c r="K424" s="9"/>
      <c r="L424" s="15" t="s">
        <v>50</v>
      </c>
      <c r="M424" s="16" t="s">
        <v>51</v>
      </c>
      <c r="N424" s="14"/>
      <c r="O424" s="15" t="s">
        <v>52</v>
      </c>
      <c r="P424" s="17" t="s">
        <v>53</v>
      </c>
      <c r="Q424" s="15"/>
      <c r="R424" s="18" t="s">
        <v>51</v>
      </c>
      <c r="S424" s="19"/>
      <c r="T424" s="17" t="str">
        <f aca="false">IF(R424="維持",J424,IF(R424="排除","無關新聞事件",IFERROR(INDEX(事件規則!$B$2:$B$53,MATCH(S424,事件規則!$A$2:$A$53,0)),"")))</f>
        <v>無關新聞事件</v>
      </c>
      <c r="U424" s="20" t="n">
        <f aca="false">IF(R424="維持",K424,IF(R424="排除",0,IFERROR(INDEX(事件規則!$C$2:$C$53,MATCH(S424,事件規則!$A$2:$A$53,0)),"")))</f>
        <v>0</v>
      </c>
      <c r="V424" s="21"/>
      <c r="W424" s="22"/>
      <c r="X424" s="10" t="str">
        <f aca="false">IF(AND(R424="修改",S424=""),"請選新事件代碼",IF(AND(R424&lt;&gt;"修改",S424&lt;&gt;""),"只有「修改」才需填代碼",""))</f>
        <v/>
      </c>
      <c r="Y424" s="21"/>
      <c r="Z424" s="22"/>
      <c r="AA424" s="12" t="s">
        <v>1490</v>
      </c>
      <c r="AB424" s="24"/>
    </row>
    <row r="425" customFormat="false" ht="29.85" hidden="false" customHeight="false" outlineLevel="0" collapsed="false">
      <c r="A425" s="15" t="n">
        <v>424</v>
      </c>
      <c r="B425" s="9" t="s">
        <v>45</v>
      </c>
      <c r="C425" s="9" t="s">
        <v>76</v>
      </c>
      <c r="D425" s="10" t="s">
        <v>77</v>
      </c>
      <c r="E425" s="11" t="s">
        <v>1491</v>
      </c>
      <c r="F425" s="17"/>
      <c r="G425" s="12" t="s">
        <v>1492</v>
      </c>
      <c r="H425" s="13" t="n">
        <v>-0.085</v>
      </c>
      <c r="I425" s="14"/>
      <c r="J425" s="17"/>
      <c r="K425" s="9"/>
      <c r="L425" s="15" t="s">
        <v>50</v>
      </c>
      <c r="M425" s="16" t="s">
        <v>51</v>
      </c>
      <c r="N425" s="14"/>
      <c r="O425" s="15" t="s">
        <v>52</v>
      </c>
      <c r="P425" s="17" t="s">
        <v>53</v>
      </c>
      <c r="Q425" s="15"/>
      <c r="R425" s="18" t="s">
        <v>51</v>
      </c>
      <c r="S425" s="19"/>
      <c r="T425" s="17" t="str">
        <f aca="false">IF(R425="維持",J425,IF(R425="排除","無關新聞事件",IFERROR(INDEX(事件規則!$B$2:$B$53,MATCH(S425,事件規則!$A$2:$A$53,0)),"")))</f>
        <v>無關新聞事件</v>
      </c>
      <c r="U425" s="20" t="n">
        <f aca="false">IF(R425="維持",K425,IF(R425="排除",0,IFERROR(INDEX(事件規則!$C$2:$C$53,MATCH(S425,事件規則!$A$2:$A$53,0)),"")))</f>
        <v>0</v>
      </c>
      <c r="V425" s="21"/>
      <c r="W425" s="22"/>
      <c r="X425" s="10" t="str">
        <f aca="false">IF(AND(R425="修改",S425=""),"請選新事件代碼",IF(AND(R425&lt;&gt;"修改",S425&lt;&gt;""),"只有「修改」才需填代碼",""))</f>
        <v/>
      </c>
      <c r="Y425" s="21"/>
      <c r="Z425" s="22"/>
      <c r="AA425" s="12" t="s">
        <v>1493</v>
      </c>
      <c r="AB425" s="24"/>
    </row>
    <row r="426" customFormat="false" ht="29.85" hidden="false" customHeight="false" outlineLevel="0" collapsed="false">
      <c r="A426" s="15" t="n">
        <v>425</v>
      </c>
      <c r="B426" s="9" t="s">
        <v>45</v>
      </c>
      <c r="C426" s="9" t="s">
        <v>449</v>
      </c>
      <c r="D426" s="10" t="s">
        <v>450</v>
      </c>
      <c r="E426" s="11" t="s">
        <v>1494</v>
      </c>
      <c r="F426" s="17"/>
      <c r="G426" s="12" t="s">
        <v>1495</v>
      </c>
      <c r="H426" s="13" t="n">
        <v>-0.085</v>
      </c>
      <c r="I426" s="14"/>
      <c r="J426" s="17"/>
      <c r="K426" s="9"/>
      <c r="L426" s="15" t="s">
        <v>50</v>
      </c>
      <c r="M426" s="16" t="s">
        <v>51</v>
      </c>
      <c r="N426" s="14"/>
      <c r="O426" s="15" t="s">
        <v>52</v>
      </c>
      <c r="P426" s="17" t="s">
        <v>53</v>
      </c>
      <c r="Q426" s="15"/>
      <c r="R426" s="18" t="s">
        <v>51</v>
      </c>
      <c r="S426" s="19"/>
      <c r="T426" s="17" t="str">
        <f aca="false">IF(R426="維持",J426,IF(R426="排除","無關新聞事件",IFERROR(INDEX(事件規則!$B$2:$B$53,MATCH(S426,事件規則!$A$2:$A$53,0)),"")))</f>
        <v>無關新聞事件</v>
      </c>
      <c r="U426" s="20" t="n">
        <f aca="false">IF(R426="維持",K426,IF(R426="排除",0,IFERROR(INDEX(事件規則!$C$2:$C$53,MATCH(S426,事件規則!$A$2:$A$53,0)),"")))</f>
        <v>0</v>
      </c>
      <c r="V426" s="21"/>
      <c r="W426" s="22"/>
      <c r="X426" s="10" t="str">
        <f aca="false">IF(AND(R426="修改",S426=""),"請選新事件代碼",IF(AND(R426&lt;&gt;"修改",S426&lt;&gt;""),"只有「修改」才需填代碼",""))</f>
        <v/>
      </c>
      <c r="Y426" s="21"/>
      <c r="Z426" s="22"/>
      <c r="AA426" s="12" t="s">
        <v>1496</v>
      </c>
      <c r="AB426" s="24"/>
    </row>
    <row r="427" customFormat="false" ht="29.85" hidden="false" customHeight="false" outlineLevel="0" collapsed="false">
      <c r="A427" s="15" t="n">
        <v>426</v>
      </c>
      <c r="B427" s="9" t="s">
        <v>112</v>
      </c>
      <c r="C427" s="9" t="s">
        <v>118</v>
      </c>
      <c r="D427" s="10" t="s">
        <v>119</v>
      </c>
      <c r="E427" s="11" t="s">
        <v>1497</v>
      </c>
      <c r="F427" s="17"/>
      <c r="G427" s="12" t="s">
        <v>49</v>
      </c>
      <c r="H427" s="13" t="n">
        <v>-0.084</v>
      </c>
      <c r="I427" s="14"/>
      <c r="J427" s="17"/>
      <c r="K427" s="9"/>
      <c r="L427" s="15" t="s">
        <v>50</v>
      </c>
      <c r="M427" s="16" t="s">
        <v>51</v>
      </c>
      <c r="N427" s="14"/>
      <c r="O427" s="15" t="s">
        <v>52</v>
      </c>
      <c r="P427" s="17" t="s">
        <v>53</v>
      </c>
      <c r="Q427" s="15"/>
      <c r="R427" s="18" t="s">
        <v>51</v>
      </c>
      <c r="S427" s="19"/>
      <c r="T427" s="17" t="str">
        <f aca="false">IF(R427="維持",J427,IF(R427="排除","無關新聞事件",IFERROR(INDEX(事件規則!$B$2:$B$53,MATCH(S427,事件規則!$A$2:$A$53,0)),"")))</f>
        <v>無關新聞事件</v>
      </c>
      <c r="U427" s="20" t="n">
        <f aca="false">IF(R427="維持",K427,IF(R427="排除",0,IFERROR(INDEX(事件規則!$C$2:$C$53,MATCH(S427,事件規則!$A$2:$A$53,0)),"")))</f>
        <v>0</v>
      </c>
      <c r="V427" s="21"/>
      <c r="W427" s="22"/>
      <c r="X427" s="10" t="str">
        <f aca="false">IF(AND(R427="修改",S427=""),"請選新事件代碼",IF(AND(R427&lt;&gt;"修改",S427&lt;&gt;""),"只有「修改」才需填代碼",""))</f>
        <v/>
      </c>
      <c r="Y427" s="21"/>
      <c r="Z427" s="22"/>
      <c r="AA427" s="12" t="s">
        <v>1498</v>
      </c>
      <c r="AB427" s="24"/>
    </row>
    <row r="428" customFormat="false" ht="29.85" hidden="false" customHeight="false" outlineLevel="0" collapsed="false">
      <c r="A428" s="15" t="n">
        <v>427</v>
      </c>
      <c r="B428" s="9" t="s">
        <v>45</v>
      </c>
      <c r="C428" s="9" t="s">
        <v>326</v>
      </c>
      <c r="D428" s="10" t="s">
        <v>326</v>
      </c>
      <c r="E428" s="11" t="s">
        <v>1499</v>
      </c>
      <c r="F428" s="17"/>
      <c r="G428" s="12" t="s">
        <v>169</v>
      </c>
      <c r="H428" s="13" t="n">
        <v>-0.083</v>
      </c>
      <c r="I428" s="14"/>
      <c r="J428" s="17"/>
      <c r="K428" s="9"/>
      <c r="L428" s="15" t="s">
        <v>50</v>
      </c>
      <c r="M428" s="16" t="s">
        <v>51</v>
      </c>
      <c r="N428" s="14"/>
      <c r="O428" s="15" t="s">
        <v>52</v>
      </c>
      <c r="P428" s="17" t="s">
        <v>53</v>
      </c>
      <c r="Q428" s="15"/>
      <c r="R428" s="18" t="s">
        <v>51</v>
      </c>
      <c r="S428" s="19"/>
      <c r="T428" s="17" t="str">
        <f aca="false">IF(R428="維持",J428,IF(R428="排除","無關新聞事件",IFERROR(INDEX(事件規則!$B$2:$B$53,MATCH(S428,事件規則!$A$2:$A$53,0)),"")))</f>
        <v>無關新聞事件</v>
      </c>
      <c r="U428" s="20" t="n">
        <f aca="false">IF(R428="維持",K428,IF(R428="排除",0,IFERROR(INDEX(事件規則!$C$2:$C$53,MATCH(S428,事件規則!$A$2:$A$53,0)),"")))</f>
        <v>0</v>
      </c>
      <c r="V428" s="21"/>
      <c r="W428" s="22"/>
      <c r="X428" s="10" t="str">
        <f aca="false">IF(AND(R428="修改",S428=""),"請選新事件代碼",IF(AND(R428&lt;&gt;"修改",S428&lt;&gt;""),"只有「修改」才需填代碼",""))</f>
        <v/>
      </c>
      <c r="Y428" s="21"/>
      <c r="Z428" s="22"/>
      <c r="AA428" s="12" t="s">
        <v>1500</v>
      </c>
      <c r="AB428" s="24"/>
    </row>
    <row r="429" customFormat="false" ht="29.85" hidden="false" customHeight="false" outlineLevel="0" collapsed="false">
      <c r="A429" s="15" t="n">
        <v>428</v>
      </c>
      <c r="B429" s="9" t="s">
        <v>45</v>
      </c>
      <c r="C429" s="9" t="s">
        <v>355</v>
      </c>
      <c r="D429" s="10" t="s">
        <v>356</v>
      </c>
      <c r="E429" s="11" t="s">
        <v>1501</v>
      </c>
      <c r="F429" s="17"/>
      <c r="G429" s="12" t="s">
        <v>1502</v>
      </c>
      <c r="H429" s="13" t="n">
        <v>-0.082</v>
      </c>
      <c r="I429" s="14"/>
      <c r="J429" s="17"/>
      <c r="K429" s="9"/>
      <c r="L429" s="15" t="s">
        <v>50</v>
      </c>
      <c r="M429" s="16" t="s">
        <v>51</v>
      </c>
      <c r="N429" s="14"/>
      <c r="O429" s="15" t="s">
        <v>52</v>
      </c>
      <c r="P429" s="17" t="s">
        <v>53</v>
      </c>
      <c r="Q429" s="15"/>
      <c r="R429" s="18" t="s">
        <v>51</v>
      </c>
      <c r="S429" s="19"/>
      <c r="T429" s="17" t="str">
        <f aca="false">IF(R429="維持",J429,IF(R429="排除","無關新聞事件",IFERROR(INDEX(事件規則!$B$2:$B$53,MATCH(S429,事件規則!$A$2:$A$53,0)),"")))</f>
        <v>無關新聞事件</v>
      </c>
      <c r="U429" s="20" t="n">
        <f aca="false">IF(R429="維持",K429,IF(R429="排除",0,IFERROR(INDEX(事件規則!$C$2:$C$53,MATCH(S429,事件規則!$A$2:$A$53,0)),"")))</f>
        <v>0</v>
      </c>
      <c r="V429" s="21"/>
      <c r="W429" s="22"/>
      <c r="X429" s="10" t="str">
        <f aca="false">IF(AND(R429="修改",S429=""),"請選新事件代碼",IF(AND(R429&lt;&gt;"修改",S429&lt;&gt;""),"只有「修改」才需填代碼",""))</f>
        <v/>
      </c>
      <c r="Y429" s="21"/>
      <c r="Z429" s="22"/>
      <c r="AA429" s="12" t="s">
        <v>1503</v>
      </c>
      <c r="AB429" s="24"/>
    </row>
    <row r="430" customFormat="false" ht="29.85" hidden="false" customHeight="false" outlineLevel="0" collapsed="false">
      <c r="A430" s="15" t="n">
        <v>429</v>
      </c>
      <c r="B430" s="9" t="s">
        <v>55</v>
      </c>
      <c r="C430" s="9" t="s">
        <v>242</v>
      </c>
      <c r="D430" s="10" t="s">
        <v>243</v>
      </c>
      <c r="E430" s="11" t="s">
        <v>1504</v>
      </c>
      <c r="F430" s="17"/>
      <c r="G430" s="12" t="s">
        <v>1505</v>
      </c>
      <c r="H430" s="13" t="n">
        <v>-0.081</v>
      </c>
      <c r="I430" s="14"/>
      <c r="J430" s="17"/>
      <c r="K430" s="9"/>
      <c r="L430" s="15" t="s">
        <v>50</v>
      </c>
      <c r="M430" s="16" t="s">
        <v>51</v>
      </c>
      <c r="N430" s="14"/>
      <c r="O430" s="15" t="s">
        <v>52</v>
      </c>
      <c r="P430" s="17" t="s">
        <v>53</v>
      </c>
      <c r="Q430" s="15"/>
      <c r="R430" s="18" t="s">
        <v>51</v>
      </c>
      <c r="S430" s="19"/>
      <c r="T430" s="17" t="str">
        <f aca="false">IF(R430="維持",J430,IF(R430="排除","無關新聞事件",IFERROR(INDEX(事件規則!$B$2:$B$53,MATCH(S430,事件規則!$A$2:$A$53,0)),"")))</f>
        <v>無關新聞事件</v>
      </c>
      <c r="U430" s="20" t="n">
        <f aca="false">IF(R430="維持",K430,IF(R430="排除",0,IFERROR(INDEX(事件規則!$C$2:$C$53,MATCH(S430,事件規則!$A$2:$A$53,0)),"")))</f>
        <v>0</v>
      </c>
      <c r="V430" s="21"/>
      <c r="W430" s="22"/>
      <c r="X430" s="10" t="str">
        <f aca="false">IF(AND(R430="修改",S430=""),"請選新事件代碼",IF(AND(R430&lt;&gt;"修改",S430&lt;&gt;""),"只有「修改」才需填代碼",""))</f>
        <v/>
      </c>
      <c r="Y430" s="21"/>
      <c r="Z430" s="22"/>
      <c r="AA430" s="12" t="s">
        <v>1506</v>
      </c>
      <c r="AB430" s="24"/>
    </row>
    <row r="431" customFormat="false" ht="29.85" hidden="false" customHeight="false" outlineLevel="0" collapsed="false">
      <c r="A431" s="15" t="n">
        <v>430</v>
      </c>
      <c r="B431" s="9" t="s">
        <v>45</v>
      </c>
      <c r="C431" s="9" t="s">
        <v>1507</v>
      </c>
      <c r="D431" s="10" t="s">
        <v>1508</v>
      </c>
      <c r="E431" s="11" t="s">
        <v>1509</v>
      </c>
      <c r="F431" s="17"/>
      <c r="G431" s="12" t="s">
        <v>116</v>
      </c>
      <c r="H431" s="13" t="n">
        <v>-0.081</v>
      </c>
      <c r="I431" s="14"/>
      <c r="J431" s="17"/>
      <c r="K431" s="9"/>
      <c r="L431" s="15" t="s">
        <v>50</v>
      </c>
      <c r="M431" s="16" t="s">
        <v>51</v>
      </c>
      <c r="N431" s="14"/>
      <c r="O431" s="15" t="s">
        <v>52</v>
      </c>
      <c r="P431" s="17" t="s">
        <v>53</v>
      </c>
      <c r="Q431" s="15"/>
      <c r="R431" s="18" t="s">
        <v>51</v>
      </c>
      <c r="S431" s="19"/>
      <c r="T431" s="17" t="str">
        <f aca="false">IF(R431="維持",J431,IF(R431="排除","無關新聞事件",IFERROR(INDEX(事件規則!$B$2:$B$53,MATCH(S431,事件規則!$A$2:$A$53,0)),"")))</f>
        <v>無關新聞事件</v>
      </c>
      <c r="U431" s="20" t="n">
        <f aca="false">IF(R431="維持",K431,IF(R431="排除",0,IFERROR(INDEX(事件規則!$C$2:$C$53,MATCH(S431,事件規則!$A$2:$A$53,0)),"")))</f>
        <v>0</v>
      </c>
      <c r="V431" s="21"/>
      <c r="W431" s="22"/>
      <c r="X431" s="10" t="str">
        <f aca="false">IF(AND(R431="修改",S431=""),"請選新事件代碼",IF(AND(R431&lt;&gt;"修改",S431&lt;&gt;""),"只有「修改」才需填代碼",""))</f>
        <v/>
      </c>
      <c r="Y431" s="21"/>
      <c r="Z431" s="22"/>
      <c r="AA431" s="12" t="s">
        <v>1510</v>
      </c>
      <c r="AB431" s="24"/>
    </row>
    <row r="432" customFormat="false" ht="29.85" hidden="false" customHeight="false" outlineLevel="0" collapsed="false">
      <c r="A432" s="15" t="n">
        <v>431</v>
      </c>
      <c r="B432" s="9" t="s">
        <v>112</v>
      </c>
      <c r="C432" s="9" t="s">
        <v>1303</v>
      </c>
      <c r="D432" s="10" t="s">
        <v>1304</v>
      </c>
      <c r="E432" s="11" t="s">
        <v>1511</v>
      </c>
      <c r="F432" s="17"/>
      <c r="G432" s="12" t="s">
        <v>1512</v>
      </c>
      <c r="H432" s="13" t="n">
        <v>-0.081</v>
      </c>
      <c r="I432" s="14"/>
      <c r="J432" s="17"/>
      <c r="K432" s="9"/>
      <c r="L432" s="15" t="s">
        <v>50</v>
      </c>
      <c r="M432" s="16" t="s">
        <v>51</v>
      </c>
      <c r="N432" s="14"/>
      <c r="O432" s="15" t="s">
        <v>52</v>
      </c>
      <c r="P432" s="17" t="s">
        <v>53</v>
      </c>
      <c r="Q432" s="15"/>
      <c r="R432" s="18" t="s">
        <v>51</v>
      </c>
      <c r="S432" s="19"/>
      <c r="T432" s="17" t="str">
        <f aca="false">IF(R432="維持",J432,IF(R432="排除","無關新聞事件",IFERROR(INDEX(事件規則!$B$2:$B$53,MATCH(S432,事件規則!$A$2:$A$53,0)),"")))</f>
        <v>無關新聞事件</v>
      </c>
      <c r="U432" s="20" t="n">
        <f aca="false">IF(R432="維持",K432,IF(R432="排除",0,IFERROR(INDEX(事件規則!$C$2:$C$53,MATCH(S432,事件規則!$A$2:$A$53,0)),"")))</f>
        <v>0</v>
      </c>
      <c r="V432" s="21"/>
      <c r="W432" s="22"/>
      <c r="X432" s="10" t="str">
        <f aca="false">IF(AND(R432="修改",S432=""),"請選新事件代碼",IF(AND(R432&lt;&gt;"修改",S432&lt;&gt;""),"只有「修改」才需填代碼",""))</f>
        <v/>
      </c>
      <c r="Y432" s="21"/>
      <c r="Z432" s="22"/>
      <c r="AA432" s="12" t="s">
        <v>1513</v>
      </c>
      <c r="AB432" s="24"/>
    </row>
    <row r="433" customFormat="false" ht="29.85" hidden="false" customHeight="false" outlineLevel="0" collapsed="false">
      <c r="A433" s="15" t="n">
        <v>432</v>
      </c>
      <c r="B433" s="9" t="s">
        <v>112</v>
      </c>
      <c r="C433" s="9" t="s">
        <v>569</v>
      </c>
      <c r="D433" s="10" t="s">
        <v>570</v>
      </c>
      <c r="E433" s="11" t="s">
        <v>1514</v>
      </c>
      <c r="F433" s="17"/>
      <c r="G433" s="12" t="s">
        <v>164</v>
      </c>
      <c r="H433" s="13" t="n">
        <v>-0.08</v>
      </c>
      <c r="I433" s="14"/>
      <c r="J433" s="17"/>
      <c r="K433" s="9"/>
      <c r="L433" s="15" t="s">
        <v>50</v>
      </c>
      <c r="M433" s="16" t="s">
        <v>51</v>
      </c>
      <c r="N433" s="14"/>
      <c r="O433" s="15" t="s">
        <v>52</v>
      </c>
      <c r="P433" s="17" t="s">
        <v>53</v>
      </c>
      <c r="Q433" s="15"/>
      <c r="R433" s="18" t="s">
        <v>51</v>
      </c>
      <c r="S433" s="19"/>
      <c r="T433" s="17" t="str">
        <f aca="false">IF(R433="維持",J433,IF(R433="排除","無關新聞事件",IFERROR(INDEX(事件規則!$B$2:$B$53,MATCH(S433,事件規則!$A$2:$A$53,0)),"")))</f>
        <v>無關新聞事件</v>
      </c>
      <c r="U433" s="20" t="n">
        <f aca="false">IF(R433="維持",K433,IF(R433="排除",0,IFERROR(INDEX(事件規則!$C$2:$C$53,MATCH(S433,事件規則!$A$2:$A$53,0)),"")))</f>
        <v>0</v>
      </c>
      <c r="V433" s="21"/>
      <c r="W433" s="22"/>
      <c r="X433" s="10" t="str">
        <f aca="false">IF(AND(R433="修改",S433=""),"請選新事件代碼",IF(AND(R433&lt;&gt;"修改",S433&lt;&gt;""),"只有「修改」才需填代碼",""))</f>
        <v/>
      </c>
      <c r="Y433" s="21"/>
      <c r="Z433" s="22"/>
      <c r="AA433" s="12" t="s">
        <v>1515</v>
      </c>
      <c r="AB433" s="24"/>
    </row>
    <row r="434" customFormat="false" ht="29.85" hidden="false" customHeight="false" outlineLevel="0" collapsed="false">
      <c r="A434" s="15" t="n">
        <v>433</v>
      </c>
      <c r="B434" s="9" t="s">
        <v>45</v>
      </c>
      <c r="C434" s="9" t="s">
        <v>1516</v>
      </c>
      <c r="D434" s="10" t="s">
        <v>1517</v>
      </c>
      <c r="E434" s="11" t="s">
        <v>1518</v>
      </c>
      <c r="F434" s="17"/>
      <c r="G434" s="12" t="s">
        <v>176</v>
      </c>
      <c r="H434" s="13" t="n">
        <v>-0.08</v>
      </c>
      <c r="I434" s="14"/>
      <c r="J434" s="17"/>
      <c r="K434" s="9"/>
      <c r="L434" s="15" t="s">
        <v>50</v>
      </c>
      <c r="M434" s="16" t="s">
        <v>51</v>
      </c>
      <c r="N434" s="14"/>
      <c r="O434" s="15" t="s">
        <v>52</v>
      </c>
      <c r="P434" s="17" t="s">
        <v>53</v>
      </c>
      <c r="Q434" s="15"/>
      <c r="R434" s="18" t="s">
        <v>51</v>
      </c>
      <c r="S434" s="19"/>
      <c r="T434" s="17" t="str">
        <f aca="false">IF(R434="維持",J434,IF(R434="排除","無關新聞事件",IFERROR(INDEX(事件規則!$B$2:$B$53,MATCH(S434,事件規則!$A$2:$A$53,0)),"")))</f>
        <v>無關新聞事件</v>
      </c>
      <c r="U434" s="20" t="n">
        <f aca="false">IF(R434="維持",K434,IF(R434="排除",0,IFERROR(INDEX(事件規則!$C$2:$C$53,MATCH(S434,事件規則!$A$2:$A$53,0)),"")))</f>
        <v>0</v>
      </c>
      <c r="V434" s="21"/>
      <c r="W434" s="22"/>
      <c r="X434" s="10" t="str">
        <f aca="false">IF(AND(R434="修改",S434=""),"請選新事件代碼",IF(AND(R434&lt;&gt;"修改",S434&lt;&gt;""),"只有「修改」才需填代碼",""))</f>
        <v/>
      </c>
      <c r="Y434" s="21"/>
      <c r="Z434" s="22"/>
      <c r="AA434" s="12" t="s">
        <v>1519</v>
      </c>
      <c r="AB434" s="24"/>
    </row>
    <row r="435" customFormat="false" ht="29.85" hidden="false" customHeight="false" outlineLevel="0" collapsed="false">
      <c r="A435" s="15" t="n">
        <v>434</v>
      </c>
      <c r="B435" s="9" t="s">
        <v>45</v>
      </c>
      <c r="C435" s="9" t="s">
        <v>585</v>
      </c>
      <c r="D435" s="10" t="s">
        <v>586</v>
      </c>
      <c r="E435" s="11" t="s">
        <v>1520</v>
      </c>
      <c r="F435" s="17"/>
      <c r="G435" s="12" t="s">
        <v>49</v>
      </c>
      <c r="H435" s="13" t="n">
        <v>-0.08</v>
      </c>
      <c r="I435" s="14"/>
      <c r="J435" s="17"/>
      <c r="K435" s="9"/>
      <c r="L435" s="15" t="s">
        <v>50</v>
      </c>
      <c r="M435" s="16" t="s">
        <v>51</v>
      </c>
      <c r="N435" s="14"/>
      <c r="O435" s="15" t="s">
        <v>52</v>
      </c>
      <c r="P435" s="17" t="s">
        <v>53</v>
      </c>
      <c r="Q435" s="15"/>
      <c r="R435" s="18" t="s">
        <v>51</v>
      </c>
      <c r="S435" s="19"/>
      <c r="T435" s="17" t="str">
        <f aca="false">IF(R435="維持",J435,IF(R435="排除","無關新聞事件",IFERROR(INDEX(事件規則!$B$2:$B$53,MATCH(S435,事件規則!$A$2:$A$53,0)),"")))</f>
        <v>無關新聞事件</v>
      </c>
      <c r="U435" s="20" t="n">
        <f aca="false">IF(R435="維持",K435,IF(R435="排除",0,IFERROR(INDEX(事件規則!$C$2:$C$53,MATCH(S435,事件規則!$A$2:$A$53,0)),"")))</f>
        <v>0</v>
      </c>
      <c r="V435" s="21"/>
      <c r="W435" s="22"/>
      <c r="X435" s="10" t="str">
        <f aca="false">IF(AND(R435="修改",S435=""),"請選新事件代碼",IF(AND(R435&lt;&gt;"修改",S435&lt;&gt;""),"只有「修改」才需填代碼",""))</f>
        <v/>
      </c>
      <c r="Y435" s="21"/>
      <c r="Z435" s="22"/>
      <c r="AA435" s="12" t="s">
        <v>1521</v>
      </c>
      <c r="AB435" s="24"/>
    </row>
    <row r="436" customFormat="false" ht="29.85" hidden="false" customHeight="false" outlineLevel="0" collapsed="false">
      <c r="A436" s="15" t="n">
        <v>435</v>
      </c>
      <c r="B436" s="9" t="s">
        <v>45</v>
      </c>
      <c r="C436" s="9" t="s">
        <v>326</v>
      </c>
      <c r="D436" s="10" t="s">
        <v>326</v>
      </c>
      <c r="E436" s="11" t="s">
        <v>1522</v>
      </c>
      <c r="F436" s="17"/>
      <c r="G436" s="12" t="s">
        <v>169</v>
      </c>
      <c r="H436" s="13" t="n">
        <v>-0.08</v>
      </c>
      <c r="I436" s="14"/>
      <c r="J436" s="17"/>
      <c r="K436" s="9"/>
      <c r="L436" s="15" t="s">
        <v>50</v>
      </c>
      <c r="M436" s="16" t="s">
        <v>51</v>
      </c>
      <c r="N436" s="14"/>
      <c r="O436" s="15" t="s">
        <v>52</v>
      </c>
      <c r="P436" s="17" t="s">
        <v>53</v>
      </c>
      <c r="Q436" s="15"/>
      <c r="R436" s="18" t="s">
        <v>51</v>
      </c>
      <c r="S436" s="19"/>
      <c r="T436" s="17" t="str">
        <f aca="false">IF(R436="維持",J436,IF(R436="排除","無關新聞事件",IFERROR(INDEX(事件規則!$B$2:$B$53,MATCH(S436,事件規則!$A$2:$A$53,0)),"")))</f>
        <v>無關新聞事件</v>
      </c>
      <c r="U436" s="20" t="n">
        <f aca="false">IF(R436="維持",K436,IF(R436="排除",0,IFERROR(INDEX(事件規則!$C$2:$C$53,MATCH(S436,事件規則!$A$2:$A$53,0)),"")))</f>
        <v>0</v>
      </c>
      <c r="V436" s="21"/>
      <c r="W436" s="22"/>
      <c r="X436" s="10" t="str">
        <f aca="false">IF(AND(R436="修改",S436=""),"請選新事件代碼",IF(AND(R436&lt;&gt;"修改",S436&lt;&gt;""),"只有「修改」才需填代碼",""))</f>
        <v/>
      </c>
      <c r="Y436" s="21"/>
      <c r="Z436" s="22"/>
      <c r="AA436" s="12" t="s">
        <v>1523</v>
      </c>
      <c r="AB436" s="24"/>
    </row>
    <row r="437" customFormat="false" ht="29.85" hidden="false" customHeight="false" outlineLevel="0" collapsed="false">
      <c r="A437" s="15" t="n">
        <v>436</v>
      </c>
      <c r="B437" s="9" t="s">
        <v>81</v>
      </c>
      <c r="C437" s="9" t="s">
        <v>595</v>
      </c>
      <c r="D437" s="10" t="s">
        <v>596</v>
      </c>
      <c r="E437" s="11" t="s">
        <v>1524</v>
      </c>
      <c r="F437" s="17"/>
      <c r="G437" s="12" t="s">
        <v>1269</v>
      </c>
      <c r="H437" s="13" t="n">
        <v>-0.079</v>
      </c>
      <c r="I437" s="14"/>
      <c r="J437" s="17"/>
      <c r="K437" s="9"/>
      <c r="L437" s="15" t="s">
        <v>50</v>
      </c>
      <c r="M437" s="16" t="s">
        <v>51</v>
      </c>
      <c r="N437" s="14"/>
      <c r="O437" s="15" t="s">
        <v>52</v>
      </c>
      <c r="P437" s="17" t="s">
        <v>53</v>
      </c>
      <c r="Q437" s="15"/>
      <c r="R437" s="18" t="s">
        <v>51</v>
      </c>
      <c r="S437" s="19"/>
      <c r="T437" s="17" t="str">
        <f aca="false">IF(R437="維持",J437,IF(R437="排除","無關新聞事件",IFERROR(INDEX(事件規則!$B$2:$B$53,MATCH(S437,事件規則!$A$2:$A$53,0)),"")))</f>
        <v>無關新聞事件</v>
      </c>
      <c r="U437" s="20" t="n">
        <f aca="false">IF(R437="維持",K437,IF(R437="排除",0,IFERROR(INDEX(事件規則!$C$2:$C$53,MATCH(S437,事件規則!$A$2:$A$53,0)),"")))</f>
        <v>0</v>
      </c>
      <c r="V437" s="21"/>
      <c r="W437" s="22"/>
      <c r="X437" s="10" t="str">
        <f aca="false">IF(AND(R437="修改",S437=""),"請選新事件代碼",IF(AND(R437&lt;&gt;"修改",S437&lt;&gt;""),"只有「修改」才需填代碼",""))</f>
        <v/>
      </c>
      <c r="Y437" s="21"/>
      <c r="Z437" s="22"/>
      <c r="AA437" s="12" t="s">
        <v>1525</v>
      </c>
      <c r="AB437" s="24"/>
    </row>
    <row r="438" customFormat="false" ht="29.85" hidden="false" customHeight="false" outlineLevel="0" collapsed="false">
      <c r="A438" s="15" t="n">
        <v>437</v>
      </c>
      <c r="B438" s="9" t="s">
        <v>45</v>
      </c>
      <c r="C438" s="9" t="s">
        <v>893</v>
      </c>
      <c r="D438" s="10" t="s">
        <v>894</v>
      </c>
      <c r="E438" s="11" t="s">
        <v>1526</v>
      </c>
      <c r="F438" s="17"/>
      <c r="G438" s="12" t="s">
        <v>1201</v>
      </c>
      <c r="H438" s="13" t="n">
        <v>-0.079</v>
      </c>
      <c r="I438" s="14"/>
      <c r="J438" s="17"/>
      <c r="K438" s="9"/>
      <c r="L438" s="15" t="s">
        <v>50</v>
      </c>
      <c r="M438" s="16" t="s">
        <v>51</v>
      </c>
      <c r="N438" s="14"/>
      <c r="O438" s="15" t="s">
        <v>52</v>
      </c>
      <c r="P438" s="17" t="s">
        <v>53</v>
      </c>
      <c r="Q438" s="15"/>
      <c r="R438" s="18" t="s">
        <v>51</v>
      </c>
      <c r="S438" s="19"/>
      <c r="T438" s="17" t="str">
        <f aca="false">IF(R438="維持",J438,IF(R438="排除","無關新聞事件",IFERROR(INDEX(事件規則!$B$2:$B$53,MATCH(S438,事件規則!$A$2:$A$53,0)),"")))</f>
        <v>無關新聞事件</v>
      </c>
      <c r="U438" s="20" t="n">
        <f aca="false">IF(R438="維持",K438,IF(R438="排除",0,IFERROR(INDEX(事件規則!$C$2:$C$53,MATCH(S438,事件規則!$A$2:$A$53,0)),"")))</f>
        <v>0</v>
      </c>
      <c r="V438" s="21"/>
      <c r="W438" s="22"/>
      <c r="X438" s="10" t="str">
        <f aca="false">IF(AND(R438="修改",S438=""),"請選新事件代碼",IF(AND(R438&lt;&gt;"修改",S438&lt;&gt;""),"只有「修改」才需填代碼",""))</f>
        <v/>
      </c>
      <c r="Y438" s="21"/>
      <c r="Z438" s="22"/>
      <c r="AA438" s="12" t="s">
        <v>1527</v>
      </c>
      <c r="AB438" s="24"/>
    </row>
    <row r="439" customFormat="false" ht="29.85" hidden="false" customHeight="false" outlineLevel="0" collapsed="false">
      <c r="A439" s="15" t="n">
        <v>438</v>
      </c>
      <c r="B439" s="9" t="s">
        <v>55</v>
      </c>
      <c r="C439" s="9" t="s">
        <v>326</v>
      </c>
      <c r="D439" s="10" t="s">
        <v>326</v>
      </c>
      <c r="E439" s="11" t="s">
        <v>1528</v>
      </c>
      <c r="F439" s="17"/>
      <c r="G439" s="12" t="s">
        <v>95</v>
      </c>
      <c r="H439" s="13" t="n">
        <v>-0.079</v>
      </c>
      <c r="I439" s="14"/>
      <c r="J439" s="17"/>
      <c r="K439" s="9"/>
      <c r="L439" s="15" t="s">
        <v>50</v>
      </c>
      <c r="M439" s="16" t="s">
        <v>51</v>
      </c>
      <c r="N439" s="14"/>
      <c r="O439" s="15" t="s">
        <v>52</v>
      </c>
      <c r="P439" s="17" t="s">
        <v>53</v>
      </c>
      <c r="Q439" s="15"/>
      <c r="R439" s="18" t="s">
        <v>51</v>
      </c>
      <c r="S439" s="19"/>
      <c r="T439" s="17" t="str">
        <f aca="false">IF(R439="維持",J439,IF(R439="排除","無關新聞事件",IFERROR(INDEX(事件規則!$B$2:$B$53,MATCH(S439,事件規則!$A$2:$A$53,0)),"")))</f>
        <v>無關新聞事件</v>
      </c>
      <c r="U439" s="20" t="n">
        <f aca="false">IF(R439="維持",K439,IF(R439="排除",0,IFERROR(INDEX(事件規則!$C$2:$C$53,MATCH(S439,事件規則!$A$2:$A$53,0)),"")))</f>
        <v>0</v>
      </c>
      <c r="V439" s="21"/>
      <c r="W439" s="22"/>
      <c r="X439" s="10" t="str">
        <f aca="false">IF(AND(R439="修改",S439=""),"請選新事件代碼",IF(AND(R439&lt;&gt;"修改",S439&lt;&gt;""),"只有「修改」才需填代碼",""))</f>
        <v/>
      </c>
      <c r="Y439" s="21"/>
      <c r="Z439" s="22"/>
      <c r="AA439" s="12" t="s">
        <v>1529</v>
      </c>
      <c r="AB439" s="24"/>
    </row>
    <row r="440" customFormat="false" ht="29.85" hidden="false" customHeight="false" outlineLevel="0" collapsed="false">
      <c r="A440" s="15" t="n">
        <v>439</v>
      </c>
      <c r="B440" s="9" t="s">
        <v>45</v>
      </c>
      <c r="C440" s="9" t="s">
        <v>639</v>
      </c>
      <c r="D440" s="10" t="s">
        <v>640</v>
      </c>
      <c r="E440" s="11" t="s">
        <v>1530</v>
      </c>
      <c r="F440" s="17"/>
      <c r="G440" s="12" t="s">
        <v>548</v>
      </c>
      <c r="H440" s="13" t="n">
        <v>-0.079</v>
      </c>
      <c r="I440" s="14"/>
      <c r="J440" s="17"/>
      <c r="K440" s="9"/>
      <c r="L440" s="15" t="s">
        <v>50</v>
      </c>
      <c r="M440" s="16" t="s">
        <v>51</v>
      </c>
      <c r="N440" s="14"/>
      <c r="O440" s="15" t="s">
        <v>52</v>
      </c>
      <c r="P440" s="17" t="s">
        <v>53</v>
      </c>
      <c r="Q440" s="15"/>
      <c r="R440" s="18" t="s">
        <v>51</v>
      </c>
      <c r="S440" s="19"/>
      <c r="T440" s="17" t="str">
        <f aca="false">IF(R440="維持",J440,IF(R440="排除","無關新聞事件",IFERROR(INDEX(事件規則!$B$2:$B$53,MATCH(S440,事件規則!$A$2:$A$53,0)),"")))</f>
        <v>無關新聞事件</v>
      </c>
      <c r="U440" s="20" t="n">
        <f aca="false">IF(R440="維持",K440,IF(R440="排除",0,IFERROR(INDEX(事件規則!$C$2:$C$53,MATCH(S440,事件規則!$A$2:$A$53,0)),"")))</f>
        <v>0</v>
      </c>
      <c r="V440" s="21"/>
      <c r="W440" s="22"/>
      <c r="X440" s="10" t="str">
        <f aca="false">IF(AND(R440="修改",S440=""),"請選新事件代碼",IF(AND(R440&lt;&gt;"修改",S440&lt;&gt;""),"只有「修改」才需填代碼",""))</f>
        <v/>
      </c>
      <c r="Y440" s="21"/>
      <c r="Z440" s="22"/>
      <c r="AA440" s="12" t="s">
        <v>1531</v>
      </c>
      <c r="AB440" s="24"/>
    </row>
    <row r="441" customFormat="false" ht="29.85" hidden="false" customHeight="false" outlineLevel="0" collapsed="false">
      <c r="A441" s="15" t="n">
        <v>440</v>
      </c>
      <c r="B441" s="9" t="s">
        <v>112</v>
      </c>
      <c r="C441" s="9" t="s">
        <v>555</v>
      </c>
      <c r="D441" s="10" t="s">
        <v>556</v>
      </c>
      <c r="E441" s="11" t="s">
        <v>1532</v>
      </c>
      <c r="F441" s="17"/>
      <c r="G441" s="12" t="s">
        <v>443</v>
      </c>
      <c r="H441" s="13" t="n">
        <v>-0.078</v>
      </c>
      <c r="I441" s="14"/>
      <c r="J441" s="17"/>
      <c r="K441" s="9"/>
      <c r="L441" s="15" t="s">
        <v>50</v>
      </c>
      <c r="M441" s="16" t="s">
        <v>51</v>
      </c>
      <c r="N441" s="14"/>
      <c r="O441" s="15" t="s">
        <v>52</v>
      </c>
      <c r="P441" s="17" t="s">
        <v>53</v>
      </c>
      <c r="Q441" s="15"/>
      <c r="R441" s="18" t="s">
        <v>51</v>
      </c>
      <c r="S441" s="19"/>
      <c r="T441" s="17" t="str">
        <f aca="false">IF(R441="維持",J441,IF(R441="排除","無關新聞事件",IFERROR(INDEX(事件規則!$B$2:$B$53,MATCH(S441,事件規則!$A$2:$A$53,0)),"")))</f>
        <v>無關新聞事件</v>
      </c>
      <c r="U441" s="20" t="n">
        <f aca="false">IF(R441="維持",K441,IF(R441="排除",0,IFERROR(INDEX(事件規則!$C$2:$C$53,MATCH(S441,事件規則!$A$2:$A$53,0)),"")))</f>
        <v>0</v>
      </c>
      <c r="V441" s="21"/>
      <c r="W441" s="22"/>
      <c r="X441" s="10" t="str">
        <f aca="false">IF(AND(R441="修改",S441=""),"請選新事件代碼",IF(AND(R441&lt;&gt;"修改",S441&lt;&gt;""),"只有「修改」才需填代碼",""))</f>
        <v/>
      </c>
      <c r="Y441" s="21"/>
      <c r="Z441" s="22"/>
      <c r="AA441" s="12" t="s">
        <v>1533</v>
      </c>
      <c r="AB441" s="24"/>
    </row>
    <row r="442" customFormat="false" ht="29.85" hidden="false" customHeight="false" outlineLevel="0" collapsed="false">
      <c r="A442" s="15" t="n">
        <v>441</v>
      </c>
      <c r="B442" s="9" t="s">
        <v>112</v>
      </c>
      <c r="C442" s="9" t="s">
        <v>289</v>
      </c>
      <c r="D442" s="10" t="s">
        <v>290</v>
      </c>
      <c r="E442" s="11" t="s">
        <v>1534</v>
      </c>
      <c r="F442" s="17"/>
      <c r="G442" s="12" t="s">
        <v>1535</v>
      </c>
      <c r="H442" s="13" t="n">
        <v>-0.078</v>
      </c>
      <c r="I442" s="14"/>
      <c r="J442" s="17"/>
      <c r="K442" s="9"/>
      <c r="L442" s="15" t="s">
        <v>50</v>
      </c>
      <c r="M442" s="16" t="s">
        <v>51</v>
      </c>
      <c r="N442" s="14"/>
      <c r="O442" s="15" t="s">
        <v>52</v>
      </c>
      <c r="P442" s="17" t="s">
        <v>53</v>
      </c>
      <c r="Q442" s="15"/>
      <c r="R442" s="18" t="s">
        <v>51</v>
      </c>
      <c r="S442" s="19"/>
      <c r="T442" s="17" t="str">
        <f aca="false">IF(R442="維持",J442,IF(R442="排除","無關新聞事件",IFERROR(INDEX(事件規則!$B$2:$B$53,MATCH(S442,事件規則!$A$2:$A$53,0)),"")))</f>
        <v>無關新聞事件</v>
      </c>
      <c r="U442" s="20" t="n">
        <f aca="false">IF(R442="維持",K442,IF(R442="排除",0,IFERROR(INDEX(事件規則!$C$2:$C$53,MATCH(S442,事件規則!$A$2:$A$53,0)),"")))</f>
        <v>0</v>
      </c>
      <c r="V442" s="21"/>
      <c r="W442" s="22"/>
      <c r="X442" s="10" t="str">
        <f aca="false">IF(AND(R442="修改",S442=""),"請選新事件代碼",IF(AND(R442&lt;&gt;"修改",S442&lt;&gt;""),"只有「修改」才需填代碼",""))</f>
        <v/>
      </c>
      <c r="Y442" s="21"/>
      <c r="Z442" s="22"/>
      <c r="AA442" s="12" t="s">
        <v>1536</v>
      </c>
      <c r="AB442" s="24"/>
    </row>
    <row r="443" customFormat="false" ht="29.85" hidden="false" customHeight="false" outlineLevel="0" collapsed="false">
      <c r="A443" s="15" t="n">
        <v>442</v>
      </c>
      <c r="B443" s="9" t="s">
        <v>45</v>
      </c>
      <c r="C443" s="9" t="s">
        <v>178</v>
      </c>
      <c r="D443" s="10" t="s">
        <v>179</v>
      </c>
      <c r="E443" s="11" t="s">
        <v>1537</v>
      </c>
      <c r="F443" s="17"/>
      <c r="G443" s="12" t="s">
        <v>1538</v>
      </c>
      <c r="H443" s="13" t="n">
        <v>-0.078</v>
      </c>
      <c r="I443" s="14"/>
      <c r="J443" s="17"/>
      <c r="K443" s="9"/>
      <c r="L443" s="15" t="s">
        <v>50</v>
      </c>
      <c r="M443" s="16" t="s">
        <v>51</v>
      </c>
      <c r="N443" s="14"/>
      <c r="O443" s="15" t="s">
        <v>52</v>
      </c>
      <c r="P443" s="17" t="s">
        <v>53</v>
      </c>
      <c r="Q443" s="15"/>
      <c r="R443" s="18" t="s">
        <v>51</v>
      </c>
      <c r="S443" s="19"/>
      <c r="T443" s="17" t="str">
        <f aca="false">IF(R443="維持",J443,IF(R443="排除","無關新聞事件",IFERROR(INDEX(事件規則!$B$2:$B$53,MATCH(S443,事件規則!$A$2:$A$53,0)),"")))</f>
        <v>無關新聞事件</v>
      </c>
      <c r="U443" s="20" t="n">
        <f aca="false">IF(R443="維持",K443,IF(R443="排除",0,IFERROR(INDEX(事件規則!$C$2:$C$53,MATCH(S443,事件規則!$A$2:$A$53,0)),"")))</f>
        <v>0</v>
      </c>
      <c r="V443" s="21"/>
      <c r="W443" s="22"/>
      <c r="X443" s="10" t="str">
        <f aca="false">IF(AND(R443="修改",S443=""),"請選新事件代碼",IF(AND(R443&lt;&gt;"修改",S443&lt;&gt;""),"只有「修改」才需填代碼",""))</f>
        <v/>
      </c>
      <c r="Y443" s="21"/>
      <c r="Z443" s="22"/>
      <c r="AA443" s="12" t="s">
        <v>1539</v>
      </c>
      <c r="AB443" s="24"/>
    </row>
    <row r="444" customFormat="false" ht="29.85" hidden="false" customHeight="false" outlineLevel="0" collapsed="false">
      <c r="A444" s="15" t="n">
        <v>443</v>
      </c>
      <c r="B444" s="9" t="s">
        <v>45</v>
      </c>
      <c r="C444" s="9" t="s">
        <v>178</v>
      </c>
      <c r="D444" s="10" t="s">
        <v>179</v>
      </c>
      <c r="E444" s="11" t="s">
        <v>1540</v>
      </c>
      <c r="F444" s="17"/>
      <c r="G444" s="12" t="s">
        <v>1541</v>
      </c>
      <c r="H444" s="13" t="n">
        <v>-0.077</v>
      </c>
      <c r="I444" s="14"/>
      <c r="J444" s="17"/>
      <c r="K444" s="9"/>
      <c r="L444" s="15" t="s">
        <v>50</v>
      </c>
      <c r="M444" s="16" t="s">
        <v>51</v>
      </c>
      <c r="N444" s="14"/>
      <c r="O444" s="15" t="s">
        <v>52</v>
      </c>
      <c r="P444" s="17" t="s">
        <v>53</v>
      </c>
      <c r="Q444" s="15"/>
      <c r="R444" s="18" t="s">
        <v>51</v>
      </c>
      <c r="S444" s="19"/>
      <c r="T444" s="17" t="str">
        <f aca="false">IF(R444="維持",J444,IF(R444="排除","無關新聞事件",IFERROR(INDEX(事件規則!$B$2:$B$53,MATCH(S444,事件規則!$A$2:$A$53,0)),"")))</f>
        <v>無關新聞事件</v>
      </c>
      <c r="U444" s="20" t="n">
        <f aca="false">IF(R444="維持",K444,IF(R444="排除",0,IFERROR(INDEX(事件規則!$C$2:$C$53,MATCH(S444,事件規則!$A$2:$A$53,0)),"")))</f>
        <v>0</v>
      </c>
      <c r="V444" s="21"/>
      <c r="W444" s="22"/>
      <c r="X444" s="10" t="str">
        <f aca="false">IF(AND(R444="修改",S444=""),"請選新事件代碼",IF(AND(R444&lt;&gt;"修改",S444&lt;&gt;""),"只有「修改」才需填代碼",""))</f>
        <v/>
      </c>
      <c r="Y444" s="21"/>
      <c r="Z444" s="22"/>
      <c r="AA444" s="12" t="s">
        <v>1542</v>
      </c>
      <c r="AB444" s="24"/>
    </row>
    <row r="445" customFormat="false" ht="29.85" hidden="false" customHeight="false" outlineLevel="0" collapsed="false">
      <c r="A445" s="15" t="n">
        <v>444</v>
      </c>
      <c r="B445" s="9" t="s">
        <v>45</v>
      </c>
      <c r="C445" s="9" t="s">
        <v>484</v>
      </c>
      <c r="D445" s="10" t="s">
        <v>485</v>
      </c>
      <c r="E445" s="11" t="s">
        <v>1543</v>
      </c>
      <c r="F445" s="17"/>
      <c r="G445" s="12" t="s">
        <v>1544</v>
      </c>
      <c r="H445" s="13" t="n">
        <v>-0.077</v>
      </c>
      <c r="I445" s="14"/>
      <c r="J445" s="17"/>
      <c r="K445" s="9"/>
      <c r="L445" s="15" t="s">
        <v>50</v>
      </c>
      <c r="M445" s="16" t="s">
        <v>51</v>
      </c>
      <c r="N445" s="14"/>
      <c r="O445" s="15" t="s">
        <v>52</v>
      </c>
      <c r="P445" s="17" t="s">
        <v>53</v>
      </c>
      <c r="Q445" s="15"/>
      <c r="R445" s="18" t="s">
        <v>51</v>
      </c>
      <c r="S445" s="19"/>
      <c r="T445" s="17" t="str">
        <f aca="false">IF(R445="維持",J445,IF(R445="排除","無關新聞事件",IFERROR(INDEX(事件規則!$B$2:$B$53,MATCH(S445,事件規則!$A$2:$A$53,0)),"")))</f>
        <v>無關新聞事件</v>
      </c>
      <c r="U445" s="20" t="n">
        <f aca="false">IF(R445="維持",K445,IF(R445="排除",0,IFERROR(INDEX(事件規則!$C$2:$C$53,MATCH(S445,事件規則!$A$2:$A$53,0)),"")))</f>
        <v>0</v>
      </c>
      <c r="V445" s="21"/>
      <c r="W445" s="22"/>
      <c r="X445" s="10" t="str">
        <f aca="false">IF(AND(R445="修改",S445=""),"請選新事件代碼",IF(AND(R445&lt;&gt;"修改",S445&lt;&gt;""),"只有「修改」才需填代碼",""))</f>
        <v/>
      </c>
      <c r="Y445" s="21"/>
      <c r="Z445" s="22"/>
      <c r="AA445" s="12" t="s">
        <v>1545</v>
      </c>
      <c r="AB445" s="24"/>
    </row>
    <row r="446" customFormat="false" ht="29.85" hidden="false" customHeight="false" outlineLevel="0" collapsed="false">
      <c r="A446" s="15" t="n">
        <v>445</v>
      </c>
      <c r="B446" s="9" t="s">
        <v>55</v>
      </c>
      <c r="C446" s="9" t="s">
        <v>1546</v>
      </c>
      <c r="D446" s="10" t="s">
        <v>1547</v>
      </c>
      <c r="E446" s="11" t="s">
        <v>1548</v>
      </c>
      <c r="F446" s="17"/>
      <c r="G446" s="12" t="s">
        <v>1549</v>
      </c>
      <c r="H446" s="13" t="n">
        <v>-0.077</v>
      </c>
      <c r="I446" s="14"/>
      <c r="J446" s="17"/>
      <c r="K446" s="9"/>
      <c r="L446" s="15" t="s">
        <v>50</v>
      </c>
      <c r="M446" s="16" t="s">
        <v>51</v>
      </c>
      <c r="N446" s="14"/>
      <c r="O446" s="15" t="s">
        <v>52</v>
      </c>
      <c r="P446" s="17" t="s">
        <v>53</v>
      </c>
      <c r="Q446" s="15"/>
      <c r="R446" s="18" t="s">
        <v>51</v>
      </c>
      <c r="S446" s="19"/>
      <c r="T446" s="17" t="str">
        <f aca="false">IF(R446="維持",J446,IF(R446="排除","無關新聞事件",IFERROR(INDEX(事件規則!$B$2:$B$53,MATCH(S446,事件規則!$A$2:$A$53,0)),"")))</f>
        <v>無關新聞事件</v>
      </c>
      <c r="U446" s="20" t="n">
        <f aca="false">IF(R446="維持",K446,IF(R446="排除",0,IFERROR(INDEX(事件規則!$C$2:$C$53,MATCH(S446,事件規則!$A$2:$A$53,0)),"")))</f>
        <v>0</v>
      </c>
      <c r="V446" s="21"/>
      <c r="W446" s="22"/>
      <c r="X446" s="10" t="str">
        <f aca="false">IF(AND(R446="修改",S446=""),"請選新事件代碼",IF(AND(R446&lt;&gt;"修改",S446&lt;&gt;""),"只有「修改」才需填代碼",""))</f>
        <v/>
      </c>
      <c r="Y446" s="21"/>
      <c r="Z446" s="22"/>
      <c r="AA446" s="12" t="s">
        <v>1550</v>
      </c>
      <c r="AB446" s="24"/>
    </row>
    <row r="447" customFormat="false" ht="15" hidden="false" customHeight="false" outlineLevel="0" collapsed="false">
      <c r="A447" s="15" t="n">
        <v>446</v>
      </c>
      <c r="B447" s="9" t="s">
        <v>55</v>
      </c>
      <c r="C447" s="9" t="s">
        <v>1180</v>
      </c>
      <c r="D447" s="10" t="s">
        <v>1181</v>
      </c>
      <c r="E447" s="11" t="s">
        <v>1551</v>
      </c>
      <c r="F447" s="17"/>
      <c r="G447" s="12" t="s">
        <v>59</v>
      </c>
      <c r="H447" s="13" t="n">
        <v>-0.077</v>
      </c>
      <c r="I447" s="14"/>
      <c r="J447" s="17"/>
      <c r="K447" s="9"/>
      <c r="L447" s="15" t="s">
        <v>50</v>
      </c>
      <c r="M447" s="16" t="s">
        <v>131</v>
      </c>
      <c r="N447" s="14" t="s">
        <v>1552</v>
      </c>
      <c r="O447" s="15" t="s">
        <v>52</v>
      </c>
      <c r="P447" s="10" t="s">
        <v>1553</v>
      </c>
      <c r="Q447" s="15"/>
      <c r="R447" s="18" t="s">
        <v>131</v>
      </c>
      <c r="S447" s="19" t="s">
        <v>1552</v>
      </c>
      <c r="T447" s="17" t="str">
        <f aca="false">IF(R447="維持",J447,IF(R447="排除","無關新聞事件",IFERROR(INDEX(事件規則!$B$2:$B$53,MATCH(S447,事件規則!$A$2:$A$53,0)),"")))</f>
        <v>工廠停工</v>
      </c>
      <c r="U447" s="20" t="n">
        <f aca="false">IF(R447="維持",K447,IF(R447="排除",0,IFERROR(INDEX(事件規則!$C$2:$C$53,MATCH(S447,事件規則!$A$2:$A$53,0)),"")))</f>
        <v>3</v>
      </c>
      <c r="V447" s="21"/>
      <c r="W447" s="22"/>
      <c r="X447" s="10" t="str">
        <f aca="false">IF(AND(R447="修改",S447=""),"請選新事件代碼",IF(AND(R447&lt;&gt;"修改",S447&lt;&gt;""),"只有「修改」才需填代碼",""))</f>
        <v/>
      </c>
      <c r="Y447" s="21"/>
      <c r="Z447" s="22"/>
      <c r="AA447" s="12" t="s">
        <v>1554</v>
      </c>
      <c r="AB447" s="24"/>
    </row>
    <row r="448" customFormat="false" ht="29.85" hidden="false" customHeight="false" outlineLevel="0" collapsed="false">
      <c r="A448" s="15" t="n">
        <v>447</v>
      </c>
      <c r="B448" s="9" t="s">
        <v>45</v>
      </c>
      <c r="C448" s="9" t="s">
        <v>1555</v>
      </c>
      <c r="D448" s="10" t="s">
        <v>1556</v>
      </c>
      <c r="E448" s="11" t="s">
        <v>1557</v>
      </c>
      <c r="F448" s="17"/>
      <c r="G448" s="12" t="s">
        <v>1558</v>
      </c>
      <c r="H448" s="13" t="n">
        <v>-0.076</v>
      </c>
      <c r="I448" s="14"/>
      <c r="J448" s="17"/>
      <c r="K448" s="9"/>
      <c r="L448" s="15" t="s">
        <v>50</v>
      </c>
      <c r="M448" s="16" t="s">
        <v>51</v>
      </c>
      <c r="N448" s="14"/>
      <c r="O448" s="15" t="s">
        <v>52</v>
      </c>
      <c r="P448" s="17" t="s">
        <v>53</v>
      </c>
      <c r="Q448" s="15"/>
      <c r="R448" s="18" t="s">
        <v>51</v>
      </c>
      <c r="S448" s="19"/>
      <c r="T448" s="17" t="str">
        <f aca="false">IF(R448="維持",J448,IF(R448="排除","無關新聞事件",IFERROR(INDEX(事件規則!$B$2:$B$53,MATCH(S448,事件規則!$A$2:$A$53,0)),"")))</f>
        <v>無關新聞事件</v>
      </c>
      <c r="U448" s="20" t="n">
        <f aca="false">IF(R448="維持",K448,IF(R448="排除",0,IFERROR(INDEX(事件規則!$C$2:$C$53,MATCH(S448,事件規則!$A$2:$A$53,0)),"")))</f>
        <v>0</v>
      </c>
      <c r="V448" s="21"/>
      <c r="W448" s="22"/>
      <c r="X448" s="10" t="str">
        <f aca="false">IF(AND(R448="修改",S448=""),"請選新事件代碼",IF(AND(R448&lt;&gt;"修改",S448&lt;&gt;""),"只有「修改」才需填代碼",""))</f>
        <v/>
      </c>
      <c r="Y448" s="21"/>
      <c r="Z448" s="22"/>
      <c r="AA448" s="12" t="s">
        <v>1559</v>
      </c>
      <c r="AB448" s="24"/>
    </row>
    <row r="449" customFormat="false" ht="29.85" hidden="false" customHeight="false" outlineLevel="0" collapsed="false">
      <c r="A449" s="15" t="n">
        <v>448</v>
      </c>
      <c r="B449" s="9" t="s">
        <v>55</v>
      </c>
      <c r="C449" s="9" t="s">
        <v>672</v>
      </c>
      <c r="D449" s="10" t="s">
        <v>673</v>
      </c>
      <c r="E449" s="11" t="s">
        <v>1560</v>
      </c>
      <c r="F449" s="17"/>
      <c r="G449" s="12" t="s">
        <v>1561</v>
      </c>
      <c r="H449" s="13" t="n">
        <v>-0.075</v>
      </c>
      <c r="I449" s="14"/>
      <c r="J449" s="17"/>
      <c r="K449" s="9"/>
      <c r="L449" s="15" t="s">
        <v>50</v>
      </c>
      <c r="M449" s="16" t="s">
        <v>51</v>
      </c>
      <c r="N449" s="14"/>
      <c r="O449" s="15" t="s">
        <v>52</v>
      </c>
      <c r="P449" s="17" t="s">
        <v>53</v>
      </c>
      <c r="Q449" s="15"/>
      <c r="R449" s="18" t="s">
        <v>51</v>
      </c>
      <c r="S449" s="19"/>
      <c r="T449" s="17" t="str">
        <f aca="false">IF(R449="維持",J449,IF(R449="排除","無關新聞事件",IFERROR(INDEX(事件規則!$B$2:$B$53,MATCH(S449,事件規則!$A$2:$A$53,0)),"")))</f>
        <v>無關新聞事件</v>
      </c>
      <c r="U449" s="20" t="n">
        <f aca="false">IF(R449="維持",K449,IF(R449="排除",0,IFERROR(INDEX(事件規則!$C$2:$C$53,MATCH(S449,事件規則!$A$2:$A$53,0)),"")))</f>
        <v>0</v>
      </c>
      <c r="V449" s="21"/>
      <c r="W449" s="22"/>
      <c r="X449" s="10" t="str">
        <f aca="false">IF(AND(R449="修改",S449=""),"請選新事件代碼",IF(AND(R449&lt;&gt;"修改",S449&lt;&gt;""),"只有「修改」才需填代碼",""))</f>
        <v/>
      </c>
      <c r="Y449" s="21"/>
      <c r="Z449" s="22"/>
      <c r="AA449" s="12" t="s">
        <v>1562</v>
      </c>
      <c r="AB449" s="24"/>
    </row>
    <row r="450" customFormat="false" ht="29.85" hidden="false" customHeight="false" outlineLevel="0" collapsed="false">
      <c r="A450" s="15" t="n">
        <v>449</v>
      </c>
      <c r="B450" s="9" t="s">
        <v>112</v>
      </c>
      <c r="C450" s="9" t="s">
        <v>66</v>
      </c>
      <c r="D450" s="10" t="s">
        <v>67</v>
      </c>
      <c r="E450" s="11" t="s">
        <v>1563</v>
      </c>
      <c r="F450" s="17"/>
      <c r="G450" s="12" t="s">
        <v>235</v>
      </c>
      <c r="H450" s="13" t="n">
        <v>-0.075</v>
      </c>
      <c r="I450" s="14"/>
      <c r="J450" s="17"/>
      <c r="K450" s="9"/>
      <c r="L450" s="15" t="s">
        <v>50</v>
      </c>
      <c r="M450" s="16" t="s">
        <v>51</v>
      </c>
      <c r="N450" s="14"/>
      <c r="O450" s="15" t="s">
        <v>52</v>
      </c>
      <c r="P450" s="17" t="s">
        <v>53</v>
      </c>
      <c r="Q450" s="15"/>
      <c r="R450" s="18" t="s">
        <v>51</v>
      </c>
      <c r="S450" s="19"/>
      <c r="T450" s="17" t="str">
        <f aca="false">IF(R450="維持",J450,IF(R450="排除","無關新聞事件",IFERROR(INDEX(事件規則!$B$2:$B$53,MATCH(S450,事件規則!$A$2:$A$53,0)),"")))</f>
        <v>無關新聞事件</v>
      </c>
      <c r="U450" s="20" t="n">
        <f aca="false">IF(R450="維持",K450,IF(R450="排除",0,IFERROR(INDEX(事件規則!$C$2:$C$53,MATCH(S450,事件規則!$A$2:$A$53,0)),"")))</f>
        <v>0</v>
      </c>
      <c r="V450" s="21"/>
      <c r="W450" s="22"/>
      <c r="X450" s="10" t="str">
        <f aca="false">IF(AND(R450="修改",S450=""),"請選新事件代碼",IF(AND(R450&lt;&gt;"修改",S450&lt;&gt;""),"只有「修改」才需填代碼",""))</f>
        <v/>
      </c>
      <c r="Y450" s="21"/>
      <c r="Z450" s="22"/>
      <c r="AA450" s="12" t="s">
        <v>1564</v>
      </c>
      <c r="AB450" s="24"/>
    </row>
    <row r="451" customFormat="false" ht="29.85" hidden="false" customHeight="false" outlineLevel="0" collapsed="false">
      <c r="A451" s="15" t="n">
        <v>450</v>
      </c>
      <c r="B451" s="9" t="s">
        <v>55</v>
      </c>
      <c r="C451" s="9" t="s">
        <v>885</v>
      </c>
      <c r="D451" s="10" t="s">
        <v>886</v>
      </c>
      <c r="E451" s="11" t="s">
        <v>1565</v>
      </c>
      <c r="F451" s="17"/>
      <c r="G451" s="12" t="s">
        <v>176</v>
      </c>
      <c r="H451" s="13" t="n">
        <v>-0.074</v>
      </c>
      <c r="I451" s="14"/>
      <c r="J451" s="17"/>
      <c r="K451" s="9"/>
      <c r="L451" s="15" t="s">
        <v>50</v>
      </c>
      <c r="M451" s="16" t="s">
        <v>51</v>
      </c>
      <c r="N451" s="14"/>
      <c r="O451" s="15" t="s">
        <v>52</v>
      </c>
      <c r="P451" s="17" t="s">
        <v>53</v>
      </c>
      <c r="Q451" s="15"/>
      <c r="R451" s="18" t="s">
        <v>51</v>
      </c>
      <c r="S451" s="19"/>
      <c r="T451" s="17" t="str">
        <f aca="false">IF(R451="維持",J451,IF(R451="排除","無關新聞事件",IFERROR(INDEX(事件規則!$B$2:$B$53,MATCH(S451,事件規則!$A$2:$A$53,0)),"")))</f>
        <v>無關新聞事件</v>
      </c>
      <c r="U451" s="20" t="n">
        <f aca="false">IF(R451="維持",K451,IF(R451="排除",0,IFERROR(INDEX(事件規則!$C$2:$C$53,MATCH(S451,事件規則!$A$2:$A$53,0)),"")))</f>
        <v>0</v>
      </c>
      <c r="V451" s="21"/>
      <c r="W451" s="22"/>
      <c r="X451" s="10" t="str">
        <f aca="false">IF(AND(R451="修改",S451=""),"請選新事件代碼",IF(AND(R451&lt;&gt;"修改",S451&lt;&gt;""),"只有「修改」才需填代碼",""))</f>
        <v/>
      </c>
      <c r="Y451" s="21"/>
      <c r="Z451" s="22"/>
      <c r="AA451" s="12" t="s">
        <v>1566</v>
      </c>
      <c r="AB451" s="24"/>
    </row>
    <row r="452" customFormat="false" ht="29.85" hidden="false" customHeight="false" outlineLevel="0" collapsed="false">
      <c r="A452" s="15" t="n">
        <v>451</v>
      </c>
      <c r="B452" s="9" t="s">
        <v>112</v>
      </c>
      <c r="C452" s="9" t="s">
        <v>71</v>
      </c>
      <c r="D452" s="10" t="s">
        <v>72</v>
      </c>
      <c r="E452" s="11" t="s">
        <v>1567</v>
      </c>
      <c r="F452" s="17"/>
      <c r="G452" s="12" t="s">
        <v>176</v>
      </c>
      <c r="H452" s="13" t="n">
        <v>-0.073</v>
      </c>
      <c r="I452" s="14"/>
      <c r="J452" s="17"/>
      <c r="K452" s="9"/>
      <c r="L452" s="15" t="s">
        <v>50</v>
      </c>
      <c r="M452" s="16" t="s">
        <v>51</v>
      </c>
      <c r="N452" s="14"/>
      <c r="O452" s="15" t="s">
        <v>52</v>
      </c>
      <c r="P452" s="17" t="s">
        <v>53</v>
      </c>
      <c r="Q452" s="15"/>
      <c r="R452" s="18" t="s">
        <v>51</v>
      </c>
      <c r="S452" s="19"/>
      <c r="T452" s="17" t="str">
        <f aca="false">IF(R452="維持",J452,IF(R452="排除","無關新聞事件",IFERROR(INDEX(事件規則!$B$2:$B$53,MATCH(S452,事件規則!$A$2:$A$53,0)),"")))</f>
        <v>無關新聞事件</v>
      </c>
      <c r="U452" s="20" t="n">
        <f aca="false">IF(R452="維持",K452,IF(R452="排除",0,IFERROR(INDEX(事件規則!$C$2:$C$53,MATCH(S452,事件規則!$A$2:$A$53,0)),"")))</f>
        <v>0</v>
      </c>
      <c r="V452" s="21"/>
      <c r="W452" s="22"/>
      <c r="X452" s="10" t="str">
        <f aca="false">IF(AND(R452="修改",S452=""),"請選新事件代碼",IF(AND(R452&lt;&gt;"修改",S452&lt;&gt;""),"只有「修改」才需填代碼",""))</f>
        <v/>
      </c>
      <c r="Y452" s="21"/>
      <c r="Z452" s="22"/>
      <c r="AA452" s="12" t="s">
        <v>1568</v>
      </c>
      <c r="AB452" s="24"/>
    </row>
    <row r="453" customFormat="false" ht="29.85" hidden="false" customHeight="false" outlineLevel="0" collapsed="false">
      <c r="A453" s="15" t="n">
        <v>452</v>
      </c>
      <c r="B453" s="9" t="s">
        <v>55</v>
      </c>
      <c r="C453" s="9" t="s">
        <v>188</v>
      </c>
      <c r="D453" s="10" t="s">
        <v>189</v>
      </c>
      <c r="E453" s="11" t="s">
        <v>1569</v>
      </c>
      <c r="F453" s="17"/>
      <c r="G453" s="12" t="s">
        <v>121</v>
      </c>
      <c r="H453" s="13" t="n">
        <v>-0.073</v>
      </c>
      <c r="I453" s="14"/>
      <c r="J453" s="17"/>
      <c r="K453" s="9"/>
      <c r="L453" s="15" t="s">
        <v>50</v>
      </c>
      <c r="M453" s="16" t="s">
        <v>51</v>
      </c>
      <c r="N453" s="14"/>
      <c r="O453" s="15" t="s">
        <v>52</v>
      </c>
      <c r="P453" s="17" t="s">
        <v>53</v>
      </c>
      <c r="Q453" s="15"/>
      <c r="R453" s="18" t="s">
        <v>51</v>
      </c>
      <c r="S453" s="19"/>
      <c r="T453" s="17" t="str">
        <f aca="false">IF(R453="維持",J453,IF(R453="排除","無關新聞事件",IFERROR(INDEX(事件規則!$B$2:$B$53,MATCH(S453,事件規則!$A$2:$A$53,0)),"")))</f>
        <v>無關新聞事件</v>
      </c>
      <c r="U453" s="20" t="n">
        <f aca="false">IF(R453="維持",K453,IF(R453="排除",0,IFERROR(INDEX(事件規則!$C$2:$C$53,MATCH(S453,事件規則!$A$2:$A$53,0)),"")))</f>
        <v>0</v>
      </c>
      <c r="V453" s="21"/>
      <c r="W453" s="22"/>
      <c r="X453" s="10" t="str">
        <f aca="false">IF(AND(R453="修改",S453=""),"請選新事件代碼",IF(AND(R453&lt;&gt;"修改",S453&lt;&gt;""),"只有「修改」才需填代碼",""))</f>
        <v/>
      </c>
      <c r="Y453" s="21"/>
      <c r="Z453" s="22"/>
      <c r="AA453" s="12" t="s">
        <v>1570</v>
      </c>
      <c r="AB453" s="24"/>
    </row>
    <row r="454" customFormat="false" ht="29.85" hidden="false" customHeight="false" outlineLevel="0" collapsed="false">
      <c r="A454" s="15" t="n">
        <v>453</v>
      </c>
      <c r="B454" s="9" t="s">
        <v>112</v>
      </c>
      <c r="C454" s="9" t="s">
        <v>1571</v>
      </c>
      <c r="D454" s="10" t="s">
        <v>1572</v>
      </c>
      <c r="E454" s="11" t="s">
        <v>1573</v>
      </c>
      <c r="F454" s="17"/>
      <c r="G454" s="12" t="s">
        <v>1574</v>
      </c>
      <c r="H454" s="13" t="n">
        <v>-0.073</v>
      </c>
      <c r="I454" s="14"/>
      <c r="J454" s="17"/>
      <c r="K454" s="9"/>
      <c r="L454" s="15" t="s">
        <v>50</v>
      </c>
      <c r="M454" s="16" t="s">
        <v>51</v>
      </c>
      <c r="N454" s="14"/>
      <c r="O454" s="15" t="s">
        <v>52</v>
      </c>
      <c r="P454" s="17" t="s">
        <v>53</v>
      </c>
      <c r="Q454" s="15"/>
      <c r="R454" s="18" t="s">
        <v>51</v>
      </c>
      <c r="S454" s="19"/>
      <c r="T454" s="17" t="str">
        <f aca="false">IF(R454="維持",J454,IF(R454="排除","無關新聞事件",IFERROR(INDEX(事件規則!$B$2:$B$53,MATCH(S454,事件規則!$A$2:$A$53,0)),"")))</f>
        <v>無關新聞事件</v>
      </c>
      <c r="U454" s="20" t="n">
        <f aca="false">IF(R454="維持",K454,IF(R454="排除",0,IFERROR(INDEX(事件規則!$C$2:$C$53,MATCH(S454,事件規則!$A$2:$A$53,0)),"")))</f>
        <v>0</v>
      </c>
      <c r="V454" s="21"/>
      <c r="W454" s="22"/>
      <c r="X454" s="10" t="str">
        <f aca="false">IF(AND(R454="修改",S454=""),"請選新事件代碼",IF(AND(R454&lt;&gt;"修改",S454&lt;&gt;""),"只有「修改」才需填代碼",""))</f>
        <v/>
      </c>
      <c r="Y454" s="21"/>
      <c r="Z454" s="22"/>
      <c r="AA454" s="12" t="s">
        <v>1575</v>
      </c>
      <c r="AB454" s="24"/>
    </row>
    <row r="455" customFormat="false" ht="29.85" hidden="false" customHeight="false" outlineLevel="0" collapsed="false">
      <c r="A455" s="15" t="n">
        <v>454</v>
      </c>
      <c r="B455" s="9" t="s">
        <v>81</v>
      </c>
      <c r="C455" s="9" t="s">
        <v>663</v>
      </c>
      <c r="D455" s="10" t="s">
        <v>664</v>
      </c>
      <c r="E455" s="11" t="s">
        <v>1576</v>
      </c>
      <c r="F455" s="17"/>
      <c r="G455" s="12" t="s">
        <v>1577</v>
      </c>
      <c r="H455" s="13" t="n">
        <v>-0.073</v>
      </c>
      <c r="I455" s="14"/>
      <c r="J455" s="17"/>
      <c r="K455" s="9"/>
      <c r="L455" s="15" t="s">
        <v>50</v>
      </c>
      <c r="M455" s="16" t="s">
        <v>51</v>
      </c>
      <c r="N455" s="14"/>
      <c r="O455" s="15" t="s">
        <v>52</v>
      </c>
      <c r="P455" s="17" t="s">
        <v>53</v>
      </c>
      <c r="Q455" s="15"/>
      <c r="R455" s="18" t="s">
        <v>51</v>
      </c>
      <c r="S455" s="19"/>
      <c r="T455" s="17" t="str">
        <f aca="false">IF(R455="維持",J455,IF(R455="排除","無關新聞事件",IFERROR(INDEX(事件規則!$B$2:$B$53,MATCH(S455,事件規則!$A$2:$A$53,0)),"")))</f>
        <v>無關新聞事件</v>
      </c>
      <c r="U455" s="20" t="n">
        <f aca="false">IF(R455="維持",K455,IF(R455="排除",0,IFERROR(INDEX(事件規則!$C$2:$C$53,MATCH(S455,事件規則!$A$2:$A$53,0)),"")))</f>
        <v>0</v>
      </c>
      <c r="V455" s="21"/>
      <c r="W455" s="22"/>
      <c r="X455" s="10" t="str">
        <f aca="false">IF(AND(R455="修改",S455=""),"請選新事件代碼",IF(AND(R455&lt;&gt;"修改",S455&lt;&gt;""),"只有「修改」才需填代碼",""))</f>
        <v/>
      </c>
      <c r="Y455" s="21"/>
      <c r="Z455" s="22"/>
      <c r="AA455" s="12" t="s">
        <v>1578</v>
      </c>
      <c r="AB455" s="24"/>
    </row>
    <row r="456" customFormat="false" ht="29.85" hidden="false" customHeight="false" outlineLevel="0" collapsed="false">
      <c r="A456" s="15" t="n">
        <v>455</v>
      </c>
      <c r="B456" s="9" t="s">
        <v>112</v>
      </c>
      <c r="C456" s="9" t="s">
        <v>232</v>
      </c>
      <c r="D456" s="10" t="s">
        <v>233</v>
      </c>
      <c r="E456" s="11" t="s">
        <v>1579</v>
      </c>
      <c r="F456" s="17"/>
      <c r="G456" s="12" t="s">
        <v>1580</v>
      </c>
      <c r="H456" s="13" t="n">
        <v>-0.072</v>
      </c>
      <c r="I456" s="14"/>
      <c r="J456" s="17"/>
      <c r="K456" s="9"/>
      <c r="L456" s="15" t="s">
        <v>50</v>
      </c>
      <c r="M456" s="16" t="s">
        <v>51</v>
      </c>
      <c r="N456" s="14"/>
      <c r="O456" s="15" t="s">
        <v>52</v>
      </c>
      <c r="P456" s="17" t="s">
        <v>53</v>
      </c>
      <c r="Q456" s="15"/>
      <c r="R456" s="18" t="s">
        <v>51</v>
      </c>
      <c r="S456" s="19"/>
      <c r="T456" s="17" t="str">
        <f aca="false">IF(R456="維持",J456,IF(R456="排除","無關新聞事件",IFERROR(INDEX(事件規則!$B$2:$B$53,MATCH(S456,事件規則!$A$2:$A$53,0)),"")))</f>
        <v>無關新聞事件</v>
      </c>
      <c r="U456" s="20" t="n">
        <f aca="false">IF(R456="維持",K456,IF(R456="排除",0,IFERROR(INDEX(事件規則!$C$2:$C$53,MATCH(S456,事件規則!$A$2:$A$53,0)),"")))</f>
        <v>0</v>
      </c>
      <c r="V456" s="21"/>
      <c r="W456" s="22"/>
      <c r="X456" s="10" t="str">
        <f aca="false">IF(AND(R456="修改",S456=""),"請選新事件代碼",IF(AND(R456&lt;&gt;"修改",S456&lt;&gt;""),"只有「修改」才需填代碼",""))</f>
        <v/>
      </c>
      <c r="Y456" s="21"/>
      <c r="Z456" s="22"/>
      <c r="AA456" s="12" t="s">
        <v>1581</v>
      </c>
      <c r="AB456" s="24"/>
    </row>
    <row r="457" customFormat="false" ht="29.85" hidden="false" customHeight="false" outlineLevel="0" collapsed="false">
      <c r="A457" s="15" t="n">
        <v>456</v>
      </c>
      <c r="B457" s="9" t="s">
        <v>81</v>
      </c>
      <c r="C457" s="9" t="s">
        <v>161</v>
      </c>
      <c r="D457" s="10" t="s">
        <v>162</v>
      </c>
      <c r="E457" s="11" t="s">
        <v>1582</v>
      </c>
      <c r="F457" s="17"/>
      <c r="G457" s="12" t="s">
        <v>142</v>
      </c>
      <c r="H457" s="13" t="n">
        <v>-0.072</v>
      </c>
      <c r="I457" s="14"/>
      <c r="J457" s="17"/>
      <c r="K457" s="9"/>
      <c r="L457" s="15" t="s">
        <v>50</v>
      </c>
      <c r="M457" s="16" t="s">
        <v>51</v>
      </c>
      <c r="N457" s="14"/>
      <c r="O457" s="15" t="s">
        <v>52</v>
      </c>
      <c r="P457" s="17" t="s">
        <v>53</v>
      </c>
      <c r="Q457" s="15"/>
      <c r="R457" s="18" t="s">
        <v>51</v>
      </c>
      <c r="S457" s="19"/>
      <c r="T457" s="17" t="str">
        <f aca="false">IF(R457="維持",J457,IF(R457="排除","無關新聞事件",IFERROR(INDEX(事件規則!$B$2:$B$53,MATCH(S457,事件規則!$A$2:$A$53,0)),"")))</f>
        <v>無關新聞事件</v>
      </c>
      <c r="U457" s="20" t="n">
        <f aca="false">IF(R457="維持",K457,IF(R457="排除",0,IFERROR(INDEX(事件規則!$C$2:$C$53,MATCH(S457,事件規則!$A$2:$A$53,0)),"")))</f>
        <v>0</v>
      </c>
      <c r="V457" s="21"/>
      <c r="W457" s="22"/>
      <c r="X457" s="10" t="str">
        <f aca="false">IF(AND(R457="修改",S457=""),"請選新事件代碼",IF(AND(R457&lt;&gt;"修改",S457&lt;&gt;""),"只有「修改」才需填代碼",""))</f>
        <v/>
      </c>
      <c r="Y457" s="21"/>
      <c r="Z457" s="22"/>
      <c r="AA457" s="12" t="s">
        <v>1583</v>
      </c>
      <c r="AB457" s="24"/>
    </row>
    <row r="458" customFormat="false" ht="29.85" hidden="false" customHeight="false" outlineLevel="0" collapsed="false">
      <c r="A458" s="15" t="n">
        <v>457</v>
      </c>
      <c r="B458" s="9" t="s">
        <v>81</v>
      </c>
      <c r="C458" s="9" t="s">
        <v>973</v>
      </c>
      <c r="D458" s="10" t="s">
        <v>974</v>
      </c>
      <c r="E458" s="11" t="s">
        <v>1584</v>
      </c>
      <c r="F458" s="17"/>
      <c r="G458" s="12" t="s">
        <v>235</v>
      </c>
      <c r="H458" s="13" t="n">
        <v>-0.072</v>
      </c>
      <c r="I458" s="14"/>
      <c r="J458" s="17"/>
      <c r="K458" s="9"/>
      <c r="L458" s="15" t="s">
        <v>50</v>
      </c>
      <c r="M458" s="16" t="s">
        <v>51</v>
      </c>
      <c r="N458" s="14"/>
      <c r="O458" s="15" t="s">
        <v>52</v>
      </c>
      <c r="P458" s="17" t="s">
        <v>53</v>
      </c>
      <c r="Q458" s="15"/>
      <c r="R458" s="18" t="s">
        <v>51</v>
      </c>
      <c r="S458" s="19"/>
      <c r="T458" s="17" t="str">
        <f aca="false">IF(R458="維持",J458,IF(R458="排除","無關新聞事件",IFERROR(INDEX(事件規則!$B$2:$B$53,MATCH(S458,事件規則!$A$2:$A$53,0)),"")))</f>
        <v>無關新聞事件</v>
      </c>
      <c r="U458" s="20" t="n">
        <f aca="false">IF(R458="維持",K458,IF(R458="排除",0,IFERROR(INDEX(事件規則!$C$2:$C$53,MATCH(S458,事件規則!$A$2:$A$53,0)),"")))</f>
        <v>0</v>
      </c>
      <c r="V458" s="21"/>
      <c r="W458" s="22"/>
      <c r="X458" s="10" t="str">
        <f aca="false">IF(AND(R458="修改",S458=""),"請選新事件代碼",IF(AND(R458&lt;&gt;"修改",S458&lt;&gt;""),"只有「修改」才需填代碼",""))</f>
        <v/>
      </c>
      <c r="Y458" s="21"/>
      <c r="Z458" s="22"/>
      <c r="AA458" s="12" t="s">
        <v>1585</v>
      </c>
      <c r="AB458" s="24"/>
    </row>
    <row r="459" customFormat="false" ht="29.85" hidden="false" customHeight="false" outlineLevel="0" collapsed="false">
      <c r="A459" s="15" t="n">
        <v>458</v>
      </c>
      <c r="B459" s="9" t="s">
        <v>45</v>
      </c>
      <c r="C459" s="9" t="s">
        <v>964</v>
      </c>
      <c r="D459" s="10" t="s">
        <v>965</v>
      </c>
      <c r="E459" s="11" t="s">
        <v>1586</v>
      </c>
      <c r="F459" s="17"/>
      <c r="G459" s="12" t="s">
        <v>1587</v>
      </c>
      <c r="H459" s="13" t="n">
        <v>-0.071</v>
      </c>
      <c r="I459" s="14"/>
      <c r="J459" s="17"/>
      <c r="K459" s="9"/>
      <c r="L459" s="15" t="s">
        <v>50</v>
      </c>
      <c r="M459" s="16" t="s">
        <v>51</v>
      </c>
      <c r="N459" s="14"/>
      <c r="O459" s="15" t="s">
        <v>52</v>
      </c>
      <c r="P459" s="17" t="s">
        <v>53</v>
      </c>
      <c r="Q459" s="15"/>
      <c r="R459" s="18" t="s">
        <v>51</v>
      </c>
      <c r="S459" s="19"/>
      <c r="T459" s="17" t="str">
        <f aca="false">IF(R459="維持",J459,IF(R459="排除","無關新聞事件",IFERROR(INDEX(事件規則!$B$2:$B$53,MATCH(S459,事件規則!$A$2:$A$53,0)),"")))</f>
        <v>無關新聞事件</v>
      </c>
      <c r="U459" s="20" t="n">
        <f aca="false">IF(R459="維持",K459,IF(R459="排除",0,IFERROR(INDEX(事件規則!$C$2:$C$53,MATCH(S459,事件規則!$A$2:$A$53,0)),"")))</f>
        <v>0</v>
      </c>
      <c r="V459" s="21"/>
      <c r="W459" s="22"/>
      <c r="X459" s="10" t="str">
        <f aca="false">IF(AND(R459="修改",S459=""),"請選新事件代碼",IF(AND(R459&lt;&gt;"修改",S459&lt;&gt;""),"只有「修改」才需填代碼",""))</f>
        <v/>
      </c>
      <c r="Y459" s="21"/>
      <c r="Z459" s="22"/>
      <c r="AA459" s="12" t="s">
        <v>1588</v>
      </c>
      <c r="AB459" s="24"/>
    </row>
    <row r="460" customFormat="false" ht="29.85" hidden="false" customHeight="false" outlineLevel="0" collapsed="false">
      <c r="A460" s="15" t="n">
        <v>459</v>
      </c>
      <c r="B460" s="9" t="s">
        <v>45</v>
      </c>
      <c r="C460" s="9" t="s">
        <v>178</v>
      </c>
      <c r="D460" s="10" t="s">
        <v>179</v>
      </c>
      <c r="E460" s="11" t="s">
        <v>1589</v>
      </c>
      <c r="F460" s="17"/>
      <c r="G460" s="12" t="s">
        <v>1404</v>
      </c>
      <c r="H460" s="13" t="n">
        <v>-0.071</v>
      </c>
      <c r="I460" s="14"/>
      <c r="J460" s="17"/>
      <c r="K460" s="9"/>
      <c r="L460" s="15" t="s">
        <v>50</v>
      </c>
      <c r="M460" s="16" t="s">
        <v>51</v>
      </c>
      <c r="N460" s="14"/>
      <c r="O460" s="15" t="s">
        <v>52</v>
      </c>
      <c r="P460" s="17" t="s">
        <v>53</v>
      </c>
      <c r="Q460" s="15"/>
      <c r="R460" s="18" t="s">
        <v>51</v>
      </c>
      <c r="S460" s="19"/>
      <c r="T460" s="17" t="str">
        <f aca="false">IF(R460="維持",J460,IF(R460="排除","無關新聞事件",IFERROR(INDEX(事件規則!$B$2:$B$53,MATCH(S460,事件規則!$A$2:$A$53,0)),"")))</f>
        <v>無關新聞事件</v>
      </c>
      <c r="U460" s="20" t="n">
        <f aca="false">IF(R460="維持",K460,IF(R460="排除",0,IFERROR(INDEX(事件規則!$C$2:$C$53,MATCH(S460,事件規則!$A$2:$A$53,0)),"")))</f>
        <v>0</v>
      </c>
      <c r="V460" s="21"/>
      <c r="W460" s="22"/>
      <c r="X460" s="10" t="str">
        <f aca="false">IF(AND(R460="修改",S460=""),"請選新事件代碼",IF(AND(R460&lt;&gt;"修改",S460&lt;&gt;""),"只有「修改」才需填代碼",""))</f>
        <v/>
      </c>
      <c r="Y460" s="21"/>
      <c r="Z460" s="22"/>
      <c r="AA460" s="12" t="s">
        <v>1590</v>
      </c>
      <c r="AB460" s="24"/>
    </row>
    <row r="461" customFormat="false" ht="29.85" hidden="false" customHeight="false" outlineLevel="0" collapsed="false">
      <c r="A461" s="15" t="n">
        <v>460</v>
      </c>
      <c r="B461" s="9" t="s">
        <v>45</v>
      </c>
      <c r="C461" s="9" t="s">
        <v>607</v>
      </c>
      <c r="D461" s="10" t="s">
        <v>608</v>
      </c>
      <c r="E461" s="11" t="s">
        <v>1586</v>
      </c>
      <c r="F461" s="17"/>
      <c r="G461" s="12" t="s">
        <v>1587</v>
      </c>
      <c r="H461" s="13" t="n">
        <v>-0.071</v>
      </c>
      <c r="I461" s="14"/>
      <c r="J461" s="17"/>
      <c r="K461" s="9"/>
      <c r="L461" s="15" t="s">
        <v>50</v>
      </c>
      <c r="M461" s="16" t="s">
        <v>51</v>
      </c>
      <c r="N461" s="14"/>
      <c r="O461" s="15" t="s">
        <v>52</v>
      </c>
      <c r="P461" s="17" t="s">
        <v>53</v>
      </c>
      <c r="Q461" s="15"/>
      <c r="R461" s="18" t="s">
        <v>51</v>
      </c>
      <c r="S461" s="19"/>
      <c r="T461" s="17" t="str">
        <f aca="false">IF(R461="維持",J461,IF(R461="排除","無關新聞事件",IFERROR(INDEX(事件規則!$B$2:$B$53,MATCH(S461,事件規則!$A$2:$A$53,0)),"")))</f>
        <v>無關新聞事件</v>
      </c>
      <c r="U461" s="20" t="n">
        <f aca="false">IF(R461="維持",K461,IF(R461="排除",0,IFERROR(INDEX(事件規則!$C$2:$C$53,MATCH(S461,事件規則!$A$2:$A$53,0)),"")))</f>
        <v>0</v>
      </c>
      <c r="V461" s="21"/>
      <c r="W461" s="22"/>
      <c r="X461" s="10" t="str">
        <f aca="false">IF(AND(R461="修改",S461=""),"請選新事件代碼",IF(AND(R461&lt;&gt;"修改",S461&lt;&gt;""),"只有「修改」才需填代碼",""))</f>
        <v/>
      </c>
      <c r="Y461" s="21"/>
      <c r="Z461" s="22"/>
      <c r="AA461" s="12" t="s">
        <v>1591</v>
      </c>
      <c r="AB461" s="24"/>
    </row>
    <row r="462" customFormat="false" ht="29.85" hidden="false" customHeight="false" outlineLevel="0" collapsed="false">
      <c r="A462" s="15" t="n">
        <v>461</v>
      </c>
      <c r="B462" s="9" t="s">
        <v>45</v>
      </c>
      <c r="C462" s="9" t="s">
        <v>1592</v>
      </c>
      <c r="D462" s="10" t="s">
        <v>1593</v>
      </c>
      <c r="E462" s="11" t="s">
        <v>1594</v>
      </c>
      <c r="F462" s="17"/>
      <c r="G462" s="12" t="s">
        <v>49</v>
      </c>
      <c r="H462" s="13" t="n">
        <v>-0.07</v>
      </c>
      <c r="I462" s="14"/>
      <c r="J462" s="17"/>
      <c r="K462" s="9"/>
      <c r="L462" s="15" t="s">
        <v>50</v>
      </c>
      <c r="M462" s="16" t="s">
        <v>51</v>
      </c>
      <c r="N462" s="14"/>
      <c r="O462" s="15" t="s">
        <v>52</v>
      </c>
      <c r="P462" s="17" t="s">
        <v>53</v>
      </c>
      <c r="Q462" s="15"/>
      <c r="R462" s="18" t="s">
        <v>51</v>
      </c>
      <c r="S462" s="19"/>
      <c r="T462" s="17" t="str">
        <f aca="false">IF(R462="維持",J462,IF(R462="排除","無關新聞事件",IFERROR(INDEX(事件規則!$B$2:$B$53,MATCH(S462,事件規則!$A$2:$A$53,0)),"")))</f>
        <v>無關新聞事件</v>
      </c>
      <c r="U462" s="20" t="n">
        <f aca="false">IF(R462="維持",K462,IF(R462="排除",0,IFERROR(INDEX(事件規則!$C$2:$C$53,MATCH(S462,事件規則!$A$2:$A$53,0)),"")))</f>
        <v>0</v>
      </c>
      <c r="V462" s="21"/>
      <c r="W462" s="22"/>
      <c r="X462" s="10" t="str">
        <f aca="false">IF(AND(R462="修改",S462=""),"請選新事件代碼",IF(AND(R462&lt;&gt;"修改",S462&lt;&gt;""),"只有「修改」才需填代碼",""))</f>
        <v/>
      </c>
      <c r="Y462" s="21"/>
      <c r="Z462" s="22"/>
      <c r="AA462" s="12" t="s">
        <v>1595</v>
      </c>
      <c r="AB462" s="24"/>
    </row>
    <row r="463" customFormat="false" ht="29.85" hidden="false" customHeight="false" outlineLevel="0" collapsed="false">
      <c r="A463" s="15" t="n">
        <v>462</v>
      </c>
      <c r="B463" s="9" t="s">
        <v>45</v>
      </c>
      <c r="C463" s="9" t="s">
        <v>1596</v>
      </c>
      <c r="D463" s="10" t="s">
        <v>1597</v>
      </c>
      <c r="E463" s="11" t="s">
        <v>1598</v>
      </c>
      <c r="F463" s="17"/>
      <c r="G463" s="12" t="s">
        <v>59</v>
      </c>
      <c r="H463" s="13" t="n">
        <v>-0.07</v>
      </c>
      <c r="I463" s="14"/>
      <c r="J463" s="17"/>
      <c r="K463" s="9"/>
      <c r="L463" s="15" t="s">
        <v>50</v>
      </c>
      <c r="M463" s="16" t="s">
        <v>51</v>
      </c>
      <c r="N463" s="14"/>
      <c r="O463" s="15" t="s">
        <v>52</v>
      </c>
      <c r="P463" s="17" t="s">
        <v>53</v>
      </c>
      <c r="Q463" s="15"/>
      <c r="R463" s="18" t="s">
        <v>51</v>
      </c>
      <c r="S463" s="19"/>
      <c r="T463" s="17" t="str">
        <f aca="false">IF(R463="維持",J463,IF(R463="排除","無關新聞事件",IFERROR(INDEX(事件規則!$B$2:$B$53,MATCH(S463,事件規則!$A$2:$A$53,0)),"")))</f>
        <v>無關新聞事件</v>
      </c>
      <c r="U463" s="20" t="n">
        <f aca="false">IF(R463="維持",K463,IF(R463="排除",0,IFERROR(INDEX(事件規則!$C$2:$C$53,MATCH(S463,事件規則!$A$2:$A$53,0)),"")))</f>
        <v>0</v>
      </c>
      <c r="V463" s="21"/>
      <c r="W463" s="22"/>
      <c r="X463" s="10" t="str">
        <f aca="false">IF(AND(R463="修改",S463=""),"請選新事件代碼",IF(AND(R463&lt;&gt;"修改",S463&lt;&gt;""),"只有「修改」才需填代碼",""))</f>
        <v/>
      </c>
      <c r="Y463" s="21"/>
      <c r="Z463" s="22"/>
      <c r="AA463" s="12" t="s">
        <v>1599</v>
      </c>
      <c r="AB463" s="24"/>
    </row>
    <row r="464" customFormat="false" ht="29.85" hidden="false" customHeight="false" outlineLevel="0" collapsed="false">
      <c r="A464" s="15" t="n">
        <v>463</v>
      </c>
      <c r="B464" s="9" t="s">
        <v>81</v>
      </c>
      <c r="C464" s="9" t="s">
        <v>232</v>
      </c>
      <c r="D464" s="10" t="s">
        <v>233</v>
      </c>
      <c r="E464" s="11" t="s">
        <v>1600</v>
      </c>
      <c r="F464" s="17"/>
      <c r="G464" s="12" t="s">
        <v>452</v>
      </c>
      <c r="H464" s="13" t="n">
        <v>-0.07</v>
      </c>
      <c r="I464" s="14"/>
      <c r="J464" s="17"/>
      <c r="K464" s="9"/>
      <c r="L464" s="15" t="s">
        <v>50</v>
      </c>
      <c r="M464" s="16" t="s">
        <v>51</v>
      </c>
      <c r="N464" s="14"/>
      <c r="O464" s="15" t="s">
        <v>52</v>
      </c>
      <c r="P464" s="17" t="s">
        <v>53</v>
      </c>
      <c r="Q464" s="15"/>
      <c r="R464" s="18" t="s">
        <v>51</v>
      </c>
      <c r="S464" s="19"/>
      <c r="T464" s="17" t="str">
        <f aca="false">IF(R464="維持",J464,IF(R464="排除","無關新聞事件",IFERROR(INDEX(事件規則!$B$2:$B$53,MATCH(S464,事件規則!$A$2:$A$53,0)),"")))</f>
        <v>無關新聞事件</v>
      </c>
      <c r="U464" s="20" t="n">
        <f aca="false">IF(R464="維持",K464,IF(R464="排除",0,IFERROR(INDEX(事件規則!$C$2:$C$53,MATCH(S464,事件規則!$A$2:$A$53,0)),"")))</f>
        <v>0</v>
      </c>
      <c r="V464" s="21"/>
      <c r="W464" s="22"/>
      <c r="X464" s="10" t="str">
        <f aca="false">IF(AND(R464="修改",S464=""),"請選新事件代碼",IF(AND(R464&lt;&gt;"修改",S464&lt;&gt;""),"只有「修改」才需填代碼",""))</f>
        <v/>
      </c>
      <c r="Y464" s="21"/>
      <c r="Z464" s="22"/>
      <c r="AA464" s="12" t="s">
        <v>1601</v>
      </c>
      <c r="AB464" s="24"/>
    </row>
    <row r="465" customFormat="false" ht="29.85" hidden="false" customHeight="false" outlineLevel="0" collapsed="false">
      <c r="A465" s="15" t="n">
        <v>464</v>
      </c>
      <c r="B465" s="9" t="s">
        <v>112</v>
      </c>
      <c r="C465" s="9" t="s">
        <v>1602</v>
      </c>
      <c r="D465" s="10" t="s">
        <v>1603</v>
      </c>
      <c r="E465" s="11" t="s">
        <v>1604</v>
      </c>
      <c r="F465" s="17"/>
      <c r="G465" s="12" t="s">
        <v>95</v>
      </c>
      <c r="H465" s="13" t="n">
        <v>-0.069</v>
      </c>
      <c r="I465" s="14"/>
      <c r="J465" s="17"/>
      <c r="K465" s="9"/>
      <c r="L465" s="15" t="s">
        <v>50</v>
      </c>
      <c r="M465" s="16" t="s">
        <v>51</v>
      </c>
      <c r="N465" s="14"/>
      <c r="O465" s="15" t="s">
        <v>52</v>
      </c>
      <c r="P465" s="17" t="s">
        <v>53</v>
      </c>
      <c r="Q465" s="15"/>
      <c r="R465" s="18" t="s">
        <v>51</v>
      </c>
      <c r="S465" s="19"/>
      <c r="T465" s="17" t="str">
        <f aca="false">IF(R465="維持",J465,IF(R465="排除","無關新聞事件",IFERROR(INDEX(事件規則!$B$2:$B$53,MATCH(S465,事件規則!$A$2:$A$53,0)),"")))</f>
        <v>無關新聞事件</v>
      </c>
      <c r="U465" s="20" t="n">
        <f aca="false">IF(R465="維持",K465,IF(R465="排除",0,IFERROR(INDEX(事件規則!$C$2:$C$53,MATCH(S465,事件規則!$A$2:$A$53,0)),"")))</f>
        <v>0</v>
      </c>
      <c r="V465" s="21"/>
      <c r="W465" s="22"/>
      <c r="X465" s="10" t="str">
        <f aca="false">IF(AND(R465="修改",S465=""),"請選新事件代碼",IF(AND(R465&lt;&gt;"修改",S465&lt;&gt;""),"只有「修改」才需填代碼",""))</f>
        <v/>
      </c>
      <c r="Y465" s="21"/>
      <c r="Z465" s="22"/>
      <c r="AA465" s="12" t="s">
        <v>1605</v>
      </c>
      <c r="AB465" s="24"/>
    </row>
    <row r="466" customFormat="false" ht="29.85" hidden="false" customHeight="false" outlineLevel="0" collapsed="false">
      <c r="A466" s="15" t="n">
        <v>465</v>
      </c>
      <c r="B466" s="9" t="s">
        <v>45</v>
      </c>
      <c r="C466" s="9" t="s">
        <v>1021</v>
      </c>
      <c r="D466" s="10" t="s">
        <v>1022</v>
      </c>
      <c r="E466" s="11" t="s">
        <v>1606</v>
      </c>
      <c r="F466" s="17"/>
      <c r="G466" s="12" t="s">
        <v>95</v>
      </c>
      <c r="H466" s="13" t="n">
        <v>-0.069</v>
      </c>
      <c r="I466" s="14"/>
      <c r="J466" s="17"/>
      <c r="K466" s="9"/>
      <c r="L466" s="15" t="s">
        <v>50</v>
      </c>
      <c r="M466" s="16" t="s">
        <v>51</v>
      </c>
      <c r="N466" s="14"/>
      <c r="O466" s="15" t="s">
        <v>52</v>
      </c>
      <c r="P466" s="17" t="s">
        <v>53</v>
      </c>
      <c r="Q466" s="15"/>
      <c r="R466" s="18" t="s">
        <v>51</v>
      </c>
      <c r="S466" s="19"/>
      <c r="T466" s="17" t="str">
        <f aca="false">IF(R466="維持",J466,IF(R466="排除","無關新聞事件",IFERROR(INDEX(事件規則!$B$2:$B$53,MATCH(S466,事件規則!$A$2:$A$53,0)),"")))</f>
        <v>無關新聞事件</v>
      </c>
      <c r="U466" s="20" t="n">
        <f aca="false">IF(R466="維持",K466,IF(R466="排除",0,IFERROR(INDEX(事件規則!$C$2:$C$53,MATCH(S466,事件規則!$A$2:$A$53,0)),"")))</f>
        <v>0</v>
      </c>
      <c r="V466" s="21"/>
      <c r="W466" s="22"/>
      <c r="X466" s="10" t="str">
        <f aca="false">IF(AND(R466="修改",S466=""),"請選新事件代碼",IF(AND(R466&lt;&gt;"修改",S466&lt;&gt;""),"只有「修改」才需填代碼",""))</f>
        <v/>
      </c>
      <c r="Y466" s="21"/>
      <c r="Z466" s="22"/>
      <c r="AA466" s="12" t="s">
        <v>1607</v>
      </c>
      <c r="AB466" s="24"/>
    </row>
    <row r="467" customFormat="false" ht="29.85" hidden="false" customHeight="false" outlineLevel="0" collapsed="false">
      <c r="A467" s="15" t="n">
        <v>466</v>
      </c>
      <c r="B467" s="9" t="s">
        <v>112</v>
      </c>
      <c r="C467" s="9" t="s">
        <v>1608</v>
      </c>
      <c r="D467" s="10" t="s">
        <v>1609</v>
      </c>
      <c r="E467" s="11" t="s">
        <v>1610</v>
      </c>
      <c r="F467" s="17"/>
      <c r="G467" s="12" t="s">
        <v>176</v>
      </c>
      <c r="H467" s="13" t="n">
        <v>-0.069</v>
      </c>
      <c r="I467" s="14"/>
      <c r="J467" s="17"/>
      <c r="K467" s="9"/>
      <c r="L467" s="15" t="s">
        <v>50</v>
      </c>
      <c r="M467" s="16" t="s">
        <v>51</v>
      </c>
      <c r="N467" s="14"/>
      <c r="O467" s="15" t="s">
        <v>52</v>
      </c>
      <c r="P467" s="17" t="s">
        <v>53</v>
      </c>
      <c r="Q467" s="15"/>
      <c r="R467" s="18" t="s">
        <v>51</v>
      </c>
      <c r="S467" s="19"/>
      <c r="T467" s="17" t="str">
        <f aca="false">IF(R467="維持",J467,IF(R467="排除","無關新聞事件",IFERROR(INDEX(事件規則!$B$2:$B$53,MATCH(S467,事件規則!$A$2:$A$53,0)),"")))</f>
        <v>無關新聞事件</v>
      </c>
      <c r="U467" s="20" t="n">
        <f aca="false">IF(R467="維持",K467,IF(R467="排除",0,IFERROR(INDEX(事件規則!$C$2:$C$53,MATCH(S467,事件規則!$A$2:$A$53,0)),"")))</f>
        <v>0</v>
      </c>
      <c r="V467" s="21"/>
      <c r="W467" s="22"/>
      <c r="X467" s="10" t="str">
        <f aca="false">IF(AND(R467="修改",S467=""),"請選新事件代碼",IF(AND(R467&lt;&gt;"修改",S467&lt;&gt;""),"只有「修改」才需填代碼",""))</f>
        <v/>
      </c>
      <c r="Y467" s="21"/>
      <c r="Z467" s="22"/>
      <c r="AA467" s="12" t="s">
        <v>1611</v>
      </c>
      <c r="AB467" s="24"/>
    </row>
    <row r="468" customFormat="false" ht="29.85" hidden="false" customHeight="false" outlineLevel="0" collapsed="false">
      <c r="A468" s="15" t="n">
        <v>467</v>
      </c>
      <c r="B468" s="9" t="s">
        <v>45</v>
      </c>
      <c r="C468" s="9" t="s">
        <v>419</v>
      </c>
      <c r="D468" s="10" t="s">
        <v>420</v>
      </c>
      <c r="E468" s="11" t="s">
        <v>1612</v>
      </c>
      <c r="F468" s="17"/>
      <c r="G468" s="12" t="s">
        <v>422</v>
      </c>
      <c r="H468" s="13" t="n">
        <v>-0.068</v>
      </c>
      <c r="I468" s="14"/>
      <c r="J468" s="17"/>
      <c r="K468" s="9"/>
      <c r="L468" s="15" t="s">
        <v>50</v>
      </c>
      <c r="M468" s="16" t="s">
        <v>51</v>
      </c>
      <c r="N468" s="14"/>
      <c r="O468" s="15" t="s">
        <v>52</v>
      </c>
      <c r="P468" s="17" t="s">
        <v>53</v>
      </c>
      <c r="Q468" s="15"/>
      <c r="R468" s="18" t="s">
        <v>51</v>
      </c>
      <c r="S468" s="19"/>
      <c r="T468" s="17" t="str">
        <f aca="false">IF(R468="維持",J468,IF(R468="排除","無關新聞事件",IFERROR(INDEX(事件規則!$B$2:$B$53,MATCH(S468,事件規則!$A$2:$A$53,0)),"")))</f>
        <v>無關新聞事件</v>
      </c>
      <c r="U468" s="20" t="n">
        <f aca="false">IF(R468="維持",K468,IF(R468="排除",0,IFERROR(INDEX(事件規則!$C$2:$C$53,MATCH(S468,事件規則!$A$2:$A$53,0)),"")))</f>
        <v>0</v>
      </c>
      <c r="V468" s="21"/>
      <c r="W468" s="22"/>
      <c r="X468" s="10" t="str">
        <f aca="false">IF(AND(R468="修改",S468=""),"請選新事件代碼",IF(AND(R468&lt;&gt;"修改",S468&lt;&gt;""),"只有「修改」才需填代碼",""))</f>
        <v/>
      </c>
      <c r="Y468" s="21"/>
      <c r="Z468" s="22"/>
      <c r="AA468" s="12" t="s">
        <v>1613</v>
      </c>
      <c r="AB468" s="24"/>
    </row>
    <row r="469" customFormat="false" ht="29.85" hidden="false" customHeight="false" outlineLevel="0" collapsed="false">
      <c r="A469" s="15" t="n">
        <v>468</v>
      </c>
      <c r="B469" s="9" t="s">
        <v>45</v>
      </c>
      <c r="C469" s="9" t="s">
        <v>379</v>
      </c>
      <c r="D469" s="10" t="s">
        <v>380</v>
      </c>
      <c r="E469" s="11" t="s">
        <v>1614</v>
      </c>
      <c r="F469" s="17"/>
      <c r="G469" s="12" t="s">
        <v>1615</v>
      </c>
      <c r="H469" s="13" t="n">
        <v>-0.068</v>
      </c>
      <c r="I469" s="14"/>
      <c r="J469" s="17"/>
      <c r="K469" s="9"/>
      <c r="L469" s="15" t="s">
        <v>50</v>
      </c>
      <c r="M469" s="16" t="s">
        <v>51</v>
      </c>
      <c r="N469" s="14"/>
      <c r="O469" s="15" t="s">
        <v>52</v>
      </c>
      <c r="P469" s="17" t="s">
        <v>53</v>
      </c>
      <c r="Q469" s="15"/>
      <c r="R469" s="18" t="s">
        <v>51</v>
      </c>
      <c r="S469" s="19"/>
      <c r="T469" s="17" t="str">
        <f aca="false">IF(R469="維持",J469,IF(R469="排除","無關新聞事件",IFERROR(INDEX(事件規則!$B$2:$B$53,MATCH(S469,事件規則!$A$2:$A$53,0)),"")))</f>
        <v>無關新聞事件</v>
      </c>
      <c r="U469" s="20" t="n">
        <f aca="false">IF(R469="維持",K469,IF(R469="排除",0,IFERROR(INDEX(事件規則!$C$2:$C$53,MATCH(S469,事件規則!$A$2:$A$53,0)),"")))</f>
        <v>0</v>
      </c>
      <c r="V469" s="21"/>
      <c r="W469" s="22"/>
      <c r="X469" s="10" t="str">
        <f aca="false">IF(AND(R469="修改",S469=""),"請選新事件代碼",IF(AND(R469&lt;&gt;"修改",S469&lt;&gt;""),"只有「修改」才需填代碼",""))</f>
        <v/>
      </c>
      <c r="Y469" s="21"/>
      <c r="Z469" s="22"/>
      <c r="AA469" s="12" t="s">
        <v>1616</v>
      </c>
      <c r="AB469" s="24"/>
    </row>
    <row r="470" customFormat="false" ht="29.85" hidden="false" customHeight="false" outlineLevel="0" collapsed="false">
      <c r="A470" s="15" t="n">
        <v>469</v>
      </c>
      <c r="B470" s="9" t="s">
        <v>112</v>
      </c>
      <c r="C470" s="9" t="s">
        <v>1617</v>
      </c>
      <c r="D470" s="10" t="s">
        <v>1618</v>
      </c>
      <c r="E470" s="11" t="s">
        <v>1619</v>
      </c>
      <c r="F470" s="17"/>
      <c r="G470" s="12" t="s">
        <v>1620</v>
      </c>
      <c r="H470" s="13" t="n">
        <v>-0.068</v>
      </c>
      <c r="I470" s="14"/>
      <c r="J470" s="17"/>
      <c r="K470" s="9"/>
      <c r="L470" s="15" t="s">
        <v>50</v>
      </c>
      <c r="M470" s="16" t="s">
        <v>51</v>
      </c>
      <c r="N470" s="14"/>
      <c r="O470" s="15" t="s">
        <v>52</v>
      </c>
      <c r="P470" s="17" t="s">
        <v>53</v>
      </c>
      <c r="Q470" s="15"/>
      <c r="R470" s="18" t="s">
        <v>51</v>
      </c>
      <c r="S470" s="19"/>
      <c r="T470" s="17" t="str">
        <f aca="false">IF(R470="維持",J470,IF(R470="排除","無關新聞事件",IFERROR(INDEX(事件規則!$B$2:$B$53,MATCH(S470,事件規則!$A$2:$A$53,0)),"")))</f>
        <v>無關新聞事件</v>
      </c>
      <c r="U470" s="20" t="n">
        <f aca="false">IF(R470="維持",K470,IF(R470="排除",0,IFERROR(INDEX(事件規則!$C$2:$C$53,MATCH(S470,事件規則!$A$2:$A$53,0)),"")))</f>
        <v>0</v>
      </c>
      <c r="V470" s="21"/>
      <c r="W470" s="22"/>
      <c r="X470" s="10" t="str">
        <f aca="false">IF(AND(R470="修改",S470=""),"請選新事件代碼",IF(AND(R470&lt;&gt;"修改",S470&lt;&gt;""),"只有「修改」才需填代碼",""))</f>
        <v/>
      </c>
      <c r="Y470" s="21"/>
      <c r="Z470" s="22"/>
      <c r="AA470" s="12" t="s">
        <v>1621</v>
      </c>
      <c r="AB470" s="24"/>
    </row>
    <row r="471" customFormat="false" ht="29.85" hidden="false" customHeight="false" outlineLevel="0" collapsed="false">
      <c r="A471" s="15" t="n">
        <v>470</v>
      </c>
      <c r="B471" s="9" t="s">
        <v>112</v>
      </c>
      <c r="C471" s="9" t="s">
        <v>178</v>
      </c>
      <c r="D471" s="10" t="s">
        <v>179</v>
      </c>
      <c r="E471" s="11" t="s">
        <v>1622</v>
      </c>
      <c r="F471" s="17"/>
      <c r="G471" s="12" t="s">
        <v>1623</v>
      </c>
      <c r="H471" s="13" t="n">
        <v>-0.067</v>
      </c>
      <c r="I471" s="14"/>
      <c r="J471" s="17"/>
      <c r="K471" s="9"/>
      <c r="L471" s="15" t="s">
        <v>50</v>
      </c>
      <c r="M471" s="16" t="s">
        <v>51</v>
      </c>
      <c r="N471" s="14"/>
      <c r="O471" s="15" t="s">
        <v>52</v>
      </c>
      <c r="P471" s="17" t="s">
        <v>53</v>
      </c>
      <c r="Q471" s="15"/>
      <c r="R471" s="18" t="s">
        <v>51</v>
      </c>
      <c r="S471" s="19"/>
      <c r="T471" s="17" t="str">
        <f aca="false">IF(R471="維持",J471,IF(R471="排除","無關新聞事件",IFERROR(INDEX(事件規則!$B$2:$B$53,MATCH(S471,事件規則!$A$2:$A$53,0)),"")))</f>
        <v>無關新聞事件</v>
      </c>
      <c r="U471" s="20" t="n">
        <f aca="false">IF(R471="維持",K471,IF(R471="排除",0,IFERROR(INDEX(事件規則!$C$2:$C$53,MATCH(S471,事件規則!$A$2:$A$53,0)),"")))</f>
        <v>0</v>
      </c>
      <c r="V471" s="21"/>
      <c r="W471" s="22"/>
      <c r="X471" s="10" t="str">
        <f aca="false">IF(AND(R471="修改",S471=""),"請選新事件代碼",IF(AND(R471&lt;&gt;"修改",S471&lt;&gt;""),"只有「修改」才需填代碼",""))</f>
        <v/>
      </c>
      <c r="Y471" s="21"/>
      <c r="Z471" s="22"/>
      <c r="AA471" s="12" t="s">
        <v>1624</v>
      </c>
      <c r="AB471" s="24"/>
    </row>
    <row r="472" customFormat="false" ht="29.85" hidden="false" customHeight="false" outlineLevel="0" collapsed="false">
      <c r="A472" s="15" t="n">
        <v>471</v>
      </c>
      <c r="B472" s="9" t="s">
        <v>112</v>
      </c>
      <c r="C472" s="9" t="s">
        <v>113</v>
      </c>
      <c r="D472" s="10" t="s">
        <v>114</v>
      </c>
      <c r="E472" s="11" t="s">
        <v>1625</v>
      </c>
      <c r="F472" s="17"/>
      <c r="G472" s="12" t="s">
        <v>1068</v>
      </c>
      <c r="H472" s="13" t="n">
        <v>-0.067</v>
      </c>
      <c r="I472" s="14"/>
      <c r="J472" s="17"/>
      <c r="K472" s="9"/>
      <c r="L472" s="15" t="s">
        <v>50</v>
      </c>
      <c r="M472" s="16" t="s">
        <v>51</v>
      </c>
      <c r="N472" s="14"/>
      <c r="O472" s="15" t="s">
        <v>52</v>
      </c>
      <c r="P472" s="17" t="s">
        <v>53</v>
      </c>
      <c r="Q472" s="15"/>
      <c r="R472" s="18" t="s">
        <v>51</v>
      </c>
      <c r="S472" s="19"/>
      <c r="T472" s="17" t="str">
        <f aca="false">IF(R472="維持",J472,IF(R472="排除","無關新聞事件",IFERROR(INDEX(事件規則!$B$2:$B$53,MATCH(S472,事件規則!$A$2:$A$53,0)),"")))</f>
        <v>無關新聞事件</v>
      </c>
      <c r="U472" s="20" t="n">
        <f aca="false">IF(R472="維持",K472,IF(R472="排除",0,IFERROR(INDEX(事件規則!$C$2:$C$53,MATCH(S472,事件規則!$A$2:$A$53,0)),"")))</f>
        <v>0</v>
      </c>
      <c r="V472" s="21"/>
      <c r="W472" s="22"/>
      <c r="X472" s="10" t="str">
        <f aca="false">IF(AND(R472="修改",S472=""),"請選新事件代碼",IF(AND(R472&lt;&gt;"修改",S472&lt;&gt;""),"只有「修改」才需填代碼",""))</f>
        <v/>
      </c>
      <c r="Y472" s="21"/>
      <c r="Z472" s="22"/>
      <c r="AA472" s="12" t="s">
        <v>1626</v>
      </c>
      <c r="AB472" s="24"/>
    </row>
    <row r="473" customFormat="false" ht="29.85" hidden="false" customHeight="false" outlineLevel="0" collapsed="false">
      <c r="A473" s="15" t="n">
        <v>472</v>
      </c>
      <c r="B473" s="9" t="s">
        <v>45</v>
      </c>
      <c r="C473" s="9" t="s">
        <v>869</v>
      </c>
      <c r="D473" s="10" t="s">
        <v>870</v>
      </c>
      <c r="E473" s="11" t="s">
        <v>1627</v>
      </c>
      <c r="F473" s="17"/>
      <c r="G473" s="12" t="s">
        <v>49</v>
      </c>
      <c r="H473" s="13" t="n">
        <v>-0.067</v>
      </c>
      <c r="I473" s="14"/>
      <c r="J473" s="17"/>
      <c r="K473" s="9"/>
      <c r="L473" s="15" t="s">
        <v>50</v>
      </c>
      <c r="M473" s="16" t="s">
        <v>51</v>
      </c>
      <c r="N473" s="14"/>
      <c r="O473" s="15" t="s">
        <v>52</v>
      </c>
      <c r="P473" s="17" t="s">
        <v>53</v>
      </c>
      <c r="Q473" s="15"/>
      <c r="R473" s="18" t="s">
        <v>51</v>
      </c>
      <c r="S473" s="19"/>
      <c r="T473" s="17" t="str">
        <f aca="false">IF(R473="維持",J473,IF(R473="排除","無關新聞事件",IFERROR(INDEX(事件規則!$B$2:$B$53,MATCH(S473,事件規則!$A$2:$A$53,0)),"")))</f>
        <v>無關新聞事件</v>
      </c>
      <c r="U473" s="20" t="n">
        <f aca="false">IF(R473="維持",K473,IF(R473="排除",0,IFERROR(INDEX(事件規則!$C$2:$C$53,MATCH(S473,事件規則!$A$2:$A$53,0)),"")))</f>
        <v>0</v>
      </c>
      <c r="V473" s="21"/>
      <c r="W473" s="22"/>
      <c r="X473" s="10" t="str">
        <f aca="false">IF(AND(R473="修改",S473=""),"請選新事件代碼",IF(AND(R473&lt;&gt;"修改",S473&lt;&gt;""),"只有「修改」才需填代碼",""))</f>
        <v/>
      </c>
      <c r="Y473" s="21"/>
      <c r="Z473" s="22"/>
      <c r="AA473" s="12" t="s">
        <v>1628</v>
      </c>
      <c r="AB473" s="24"/>
    </row>
    <row r="474" customFormat="false" ht="29.85" hidden="false" customHeight="false" outlineLevel="0" collapsed="false">
      <c r="A474" s="15" t="n">
        <v>473</v>
      </c>
      <c r="B474" s="9" t="s">
        <v>45</v>
      </c>
      <c r="C474" s="9" t="s">
        <v>1629</v>
      </c>
      <c r="D474" s="10" t="s">
        <v>1630</v>
      </c>
      <c r="E474" s="11" t="s">
        <v>1631</v>
      </c>
      <c r="F474" s="17"/>
      <c r="G474" s="12" t="s">
        <v>1068</v>
      </c>
      <c r="H474" s="13" t="n">
        <v>-0.065</v>
      </c>
      <c r="I474" s="14"/>
      <c r="J474" s="17"/>
      <c r="K474" s="9"/>
      <c r="L474" s="15" t="s">
        <v>50</v>
      </c>
      <c r="M474" s="16" t="s">
        <v>51</v>
      </c>
      <c r="N474" s="14"/>
      <c r="O474" s="15" t="s">
        <v>52</v>
      </c>
      <c r="P474" s="17" t="s">
        <v>53</v>
      </c>
      <c r="Q474" s="15"/>
      <c r="R474" s="18" t="s">
        <v>51</v>
      </c>
      <c r="S474" s="19"/>
      <c r="T474" s="17" t="str">
        <f aca="false">IF(R474="維持",J474,IF(R474="排除","無關新聞事件",IFERROR(INDEX(事件規則!$B$2:$B$53,MATCH(S474,事件規則!$A$2:$A$53,0)),"")))</f>
        <v>無關新聞事件</v>
      </c>
      <c r="U474" s="20" t="n">
        <f aca="false">IF(R474="維持",K474,IF(R474="排除",0,IFERROR(INDEX(事件規則!$C$2:$C$53,MATCH(S474,事件規則!$A$2:$A$53,0)),"")))</f>
        <v>0</v>
      </c>
      <c r="V474" s="21"/>
      <c r="W474" s="22"/>
      <c r="X474" s="10" t="str">
        <f aca="false">IF(AND(R474="修改",S474=""),"請選新事件代碼",IF(AND(R474&lt;&gt;"修改",S474&lt;&gt;""),"只有「修改」才需填代碼",""))</f>
        <v/>
      </c>
      <c r="Y474" s="21"/>
      <c r="Z474" s="22"/>
      <c r="AA474" s="12" t="s">
        <v>1632</v>
      </c>
      <c r="AB474" s="24"/>
    </row>
    <row r="475" customFormat="false" ht="29.85" hidden="false" customHeight="false" outlineLevel="0" collapsed="false">
      <c r="A475" s="15" t="n">
        <v>474</v>
      </c>
      <c r="B475" s="9" t="s">
        <v>112</v>
      </c>
      <c r="C475" s="9" t="s">
        <v>326</v>
      </c>
      <c r="D475" s="10" t="s">
        <v>326</v>
      </c>
      <c r="E475" s="11" t="s">
        <v>1633</v>
      </c>
      <c r="F475" s="17"/>
      <c r="G475" s="12" t="s">
        <v>95</v>
      </c>
      <c r="H475" s="13" t="n">
        <v>-0.065</v>
      </c>
      <c r="I475" s="14"/>
      <c r="J475" s="17"/>
      <c r="K475" s="9"/>
      <c r="L475" s="15" t="s">
        <v>50</v>
      </c>
      <c r="M475" s="16" t="s">
        <v>51</v>
      </c>
      <c r="N475" s="14"/>
      <c r="O475" s="15" t="s">
        <v>52</v>
      </c>
      <c r="P475" s="17" t="s">
        <v>53</v>
      </c>
      <c r="Q475" s="15"/>
      <c r="R475" s="18" t="s">
        <v>51</v>
      </c>
      <c r="S475" s="19"/>
      <c r="T475" s="17" t="str">
        <f aca="false">IF(R475="維持",J475,IF(R475="排除","無關新聞事件",IFERROR(INDEX(事件規則!$B$2:$B$53,MATCH(S475,事件規則!$A$2:$A$53,0)),"")))</f>
        <v>無關新聞事件</v>
      </c>
      <c r="U475" s="20" t="n">
        <f aca="false">IF(R475="維持",K475,IF(R475="排除",0,IFERROR(INDEX(事件規則!$C$2:$C$53,MATCH(S475,事件規則!$A$2:$A$53,0)),"")))</f>
        <v>0</v>
      </c>
      <c r="V475" s="21"/>
      <c r="W475" s="22"/>
      <c r="X475" s="10" t="str">
        <f aca="false">IF(AND(R475="修改",S475=""),"請選新事件代碼",IF(AND(R475&lt;&gt;"修改",S475&lt;&gt;""),"只有「修改」才需填代碼",""))</f>
        <v/>
      </c>
      <c r="Y475" s="21"/>
      <c r="Z475" s="22"/>
      <c r="AA475" s="12" t="s">
        <v>1634</v>
      </c>
      <c r="AB475" s="24"/>
    </row>
    <row r="476" customFormat="false" ht="29.85" hidden="false" customHeight="false" outlineLevel="0" collapsed="false">
      <c r="A476" s="15" t="n">
        <v>475</v>
      </c>
      <c r="B476" s="9" t="s">
        <v>55</v>
      </c>
      <c r="C476" s="9" t="s">
        <v>1318</v>
      </c>
      <c r="D476" s="10" t="s">
        <v>1319</v>
      </c>
      <c r="E476" s="11" t="s">
        <v>1635</v>
      </c>
      <c r="F476" s="17"/>
      <c r="G476" s="12" t="s">
        <v>95</v>
      </c>
      <c r="H476" s="13" t="n">
        <v>-0.065</v>
      </c>
      <c r="I476" s="14"/>
      <c r="J476" s="17"/>
      <c r="K476" s="9"/>
      <c r="L476" s="15" t="s">
        <v>50</v>
      </c>
      <c r="M476" s="16" t="s">
        <v>51</v>
      </c>
      <c r="N476" s="14"/>
      <c r="O476" s="15" t="s">
        <v>52</v>
      </c>
      <c r="P476" s="17" t="s">
        <v>53</v>
      </c>
      <c r="Q476" s="15"/>
      <c r="R476" s="18" t="s">
        <v>51</v>
      </c>
      <c r="S476" s="19"/>
      <c r="T476" s="17" t="str">
        <f aca="false">IF(R476="維持",J476,IF(R476="排除","無關新聞事件",IFERROR(INDEX(事件規則!$B$2:$B$53,MATCH(S476,事件規則!$A$2:$A$53,0)),"")))</f>
        <v>無關新聞事件</v>
      </c>
      <c r="U476" s="20" t="n">
        <f aca="false">IF(R476="維持",K476,IF(R476="排除",0,IFERROR(INDEX(事件規則!$C$2:$C$53,MATCH(S476,事件規則!$A$2:$A$53,0)),"")))</f>
        <v>0</v>
      </c>
      <c r="V476" s="21"/>
      <c r="W476" s="22"/>
      <c r="X476" s="10" t="str">
        <f aca="false">IF(AND(R476="修改",S476=""),"請選新事件代碼",IF(AND(R476&lt;&gt;"修改",S476&lt;&gt;""),"只有「修改」才需填代碼",""))</f>
        <v/>
      </c>
      <c r="Y476" s="21"/>
      <c r="Z476" s="22"/>
      <c r="AA476" s="12" t="s">
        <v>1636</v>
      </c>
      <c r="AB476" s="24"/>
    </row>
    <row r="477" customFormat="false" ht="29.85" hidden="false" customHeight="false" outlineLevel="0" collapsed="false">
      <c r="A477" s="15" t="n">
        <v>476</v>
      </c>
      <c r="B477" s="9" t="s">
        <v>81</v>
      </c>
      <c r="C477" s="9" t="s">
        <v>1596</v>
      </c>
      <c r="D477" s="10" t="s">
        <v>1597</v>
      </c>
      <c r="E477" s="11" t="s">
        <v>1637</v>
      </c>
      <c r="F477" s="17"/>
      <c r="G477" s="12" t="s">
        <v>142</v>
      </c>
      <c r="H477" s="13" t="n">
        <v>-0.064</v>
      </c>
      <c r="I477" s="14"/>
      <c r="J477" s="17"/>
      <c r="K477" s="9"/>
      <c r="L477" s="15" t="s">
        <v>50</v>
      </c>
      <c r="M477" s="16" t="s">
        <v>51</v>
      </c>
      <c r="N477" s="14"/>
      <c r="O477" s="15" t="s">
        <v>52</v>
      </c>
      <c r="P477" s="17" t="s">
        <v>53</v>
      </c>
      <c r="Q477" s="15"/>
      <c r="R477" s="18" t="s">
        <v>51</v>
      </c>
      <c r="S477" s="19"/>
      <c r="T477" s="17" t="str">
        <f aca="false">IF(R477="維持",J477,IF(R477="排除","無關新聞事件",IFERROR(INDEX(事件規則!$B$2:$B$53,MATCH(S477,事件規則!$A$2:$A$53,0)),"")))</f>
        <v>無關新聞事件</v>
      </c>
      <c r="U477" s="20" t="n">
        <f aca="false">IF(R477="維持",K477,IF(R477="排除",0,IFERROR(INDEX(事件規則!$C$2:$C$53,MATCH(S477,事件規則!$A$2:$A$53,0)),"")))</f>
        <v>0</v>
      </c>
      <c r="V477" s="21"/>
      <c r="W477" s="22"/>
      <c r="X477" s="10" t="str">
        <f aca="false">IF(AND(R477="修改",S477=""),"請選新事件代碼",IF(AND(R477&lt;&gt;"修改",S477&lt;&gt;""),"只有「修改」才需填代碼",""))</f>
        <v/>
      </c>
      <c r="Y477" s="21"/>
      <c r="Z477" s="22"/>
      <c r="AA477" s="12" t="s">
        <v>1638</v>
      </c>
      <c r="AB477" s="24"/>
    </row>
    <row r="478" customFormat="false" ht="29.85" hidden="false" customHeight="false" outlineLevel="0" collapsed="false">
      <c r="A478" s="15" t="n">
        <v>477</v>
      </c>
      <c r="B478" s="9" t="s">
        <v>112</v>
      </c>
      <c r="C478" s="9" t="s">
        <v>1639</v>
      </c>
      <c r="D478" s="10" t="s">
        <v>1640</v>
      </c>
      <c r="E478" s="11" t="s">
        <v>1641</v>
      </c>
      <c r="F478" s="17"/>
      <c r="G478" s="12" t="s">
        <v>164</v>
      </c>
      <c r="H478" s="13" t="n">
        <v>-0.064</v>
      </c>
      <c r="I478" s="14"/>
      <c r="J478" s="17"/>
      <c r="K478" s="9"/>
      <c r="L478" s="15" t="s">
        <v>50</v>
      </c>
      <c r="M478" s="16" t="s">
        <v>51</v>
      </c>
      <c r="N478" s="14"/>
      <c r="O478" s="15" t="s">
        <v>52</v>
      </c>
      <c r="P478" s="17" t="s">
        <v>53</v>
      </c>
      <c r="Q478" s="15"/>
      <c r="R478" s="18" t="s">
        <v>51</v>
      </c>
      <c r="S478" s="19"/>
      <c r="T478" s="17" t="str">
        <f aca="false">IF(R478="維持",J478,IF(R478="排除","無關新聞事件",IFERROR(INDEX(事件規則!$B$2:$B$53,MATCH(S478,事件規則!$A$2:$A$53,0)),"")))</f>
        <v>無關新聞事件</v>
      </c>
      <c r="U478" s="20" t="n">
        <f aca="false">IF(R478="維持",K478,IF(R478="排除",0,IFERROR(INDEX(事件規則!$C$2:$C$53,MATCH(S478,事件規則!$A$2:$A$53,0)),"")))</f>
        <v>0</v>
      </c>
      <c r="V478" s="21"/>
      <c r="W478" s="22"/>
      <c r="X478" s="10" t="str">
        <f aca="false">IF(AND(R478="修改",S478=""),"請選新事件代碼",IF(AND(R478&lt;&gt;"修改",S478&lt;&gt;""),"只有「修改」才需填代碼",""))</f>
        <v/>
      </c>
      <c r="Y478" s="21"/>
      <c r="Z478" s="22"/>
      <c r="AA478" s="12" t="s">
        <v>1642</v>
      </c>
      <c r="AB478" s="24"/>
    </row>
    <row r="479" customFormat="false" ht="29.85" hidden="false" customHeight="false" outlineLevel="0" collapsed="false">
      <c r="A479" s="15" t="n">
        <v>478</v>
      </c>
      <c r="B479" s="9" t="s">
        <v>81</v>
      </c>
      <c r="C479" s="9" t="s">
        <v>1116</v>
      </c>
      <c r="D479" s="10" t="s">
        <v>1117</v>
      </c>
      <c r="E479" s="11" t="s">
        <v>1643</v>
      </c>
      <c r="F479" s="17"/>
      <c r="G479" s="12" t="s">
        <v>1644</v>
      </c>
      <c r="H479" s="13" t="n">
        <v>-0.064</v>
      </c>
      <c r="I479" s="14"/>
      <c r="J479" s="17"/>
      <c r="K479" s="9"/>
      <c r="L479" s="15" t="s">
        <v>50</v>
      </c>
      <c r="M479" s="16" t="s">
        <v>51</v>
      </c>
      <c r="N479" s="14"/>
      <c r="O479" s="15" t="s">
        <v>52</v>
      </c>
      <c r="P479" s="17" t="s">
        <v>53</v>
      </c>
      <c r="Q479" s="15"/>
      <c r="R479" s="18" t="s">
        <v>51</v>
      </c>
      <c r="S479" s="19"/>
      <c r="T479" s="17" t="str">
        <f aca="false">IF(R479="維持",J479,IF(R479="排除","無關新聞事件",IFERROR(INDEX(事件規則!$B$2:$B$53,MATCH(S479,事件規則!$A$2:$A$53,0)),"")))</f>
        <v>無關新聞事件</v>
      </c>
      <c r="U479" s="20" t="n">
        <f aca="false">IF(R479="維持",K479,IF(R479="排除",0,IFERROR(INDEX(事件規則!$C$2:$C$53,MATCH(S479,事件規則!$A$2:$A$53,0)),"")))</f>
        <v>0</v>
      </c>
      <c r="V479" s="21"/>
      <c r="W479" s="22"/>
      <c r="X479" s="10" t="str">
        <f aca="false">IF(AND(R479="修改",S479=""),"請選新事件代碼",IF(AND(R479&lt;&gt;"修改",S479&lt;&gt;""),"只有「修改」才需填代碼",""))</f>
        <v/>
      </c>
      <c r="Y479" s="21"/>
      <c r="Z479" s="22"/>
      <c r="AA479" s="12" t="s">
        <v>1645</v>
      </c>
      <c r="AB479" s="24"/>
    </row>
    <row r="480" customFormat="false" ht="29.85" hidden="false" customHeight="false" outlineLevel="0" collapsed="false">
      <c r="A480" s="15" t="n">
        <v>479</v>
      </c>
      <c r="B480" s="9" t="s">
        <v>45</v>
      </c>
      <c r="C480" s="9" t="s">
        <v>303</v>
      </c>
      <c r="D480" s="10" t="s">
        <v>304</v>
      </c>
      <c r="E480" s="11" t="s">
        <v>1646</v>
      </c>
      <c r="F480" s="17"/>
      <c r="G480" s="12" t="s">
        <v>1647</v>
      </c>
      <c r="H480" s="13" t="n">
        <v>-0.063</v>
      </c>
      <c r="I480" s="14"/>
      <c r="J480" s="17"/>
      <c r="K480" s="9"/>
      <c r="L480" s="15" t="s">
        <v>50</v>
      </c>
      <c r="M480" s="16" t="s">
        <v>51</v>
      </c>
      <c r="N480" s="14"/>
      <c r="O480" s="15" t="s">
        <v>52</v>
      </c>
      <c r="P480" s="17" t="s">
        <v>53</v>
      </c>
      <c r="Q480" s="15"/>
      <c r="R480" s="18" t="s">
        <v>51</v>
      </c>
      <c r="S480" s="19"/>
      <c r="T480" s="17" t="str">
        <f aca="false">IF(R480="維持",J480,IF(R480="排除","無關新聞事件",IFERROR(INDEX(事件規則!$B$2:$B$53,MATCH(S480,事件規則!$A$2:$A$53,0)),"")))</f>
        <v>無關新聞事件</v>
      </c>
      <c r="U480" s="20" t="n">
        <f aca="false">IF(R480="維持",K480,IF(R480="排除",0,IFERROR(INDEX(事件規則!$C$2:$C$53,MATCH(S480,事件規則!$A$2:$A$53,0)),"")))</f>
        <v>0</v>
      </c>
      <c r="V480" s="21"/>
      <c r="W480" s="22"/>
      <c r="X480" s="10" t="str">
        <f aca="false">IF(AND(R480="修改",S480=""),"請選新事件代碼",IF(AND(R480&lt;&gt;"修改",S480&lt;&gt;""),"只有「修改」才需填代碼",""))</f>
        <v/>
      </c>
      <c r="Y480" s="21"/>
      <c r="Z480" s="22"/>
      <c r="AA480" s="12" t="s">
        <v>1648</v>
      </c>
      <c r="AB480" s="24"/>
    </row>
    <row r="481" customFormat="false" ht="29.85" hidden="false" customHeight="false" outlineLevel="0" collapsed="false">
      <c r="A481" s="15" t="n">
        <v>480</v>
      </c>
      <c r="B481" s="9" t="s">
        <v>55</v>
      </c>
      <c r="C481" s="9" t="s">
        <v>484</v>
      </c>
      <c r="D481" s="10" t="s">
        <v>485</v>
      </c>
      <c r="E481" s="11" t="s">
        <v>1649</v>
      </c>
      <c r="F481" s="17"/>
      <c r="G481" s="12" t="s">
        <v>210</v>
      </c>
      <c r="H481" s="13" t="n">
        <v>-0.063</v>
      </c>
      <c r="I481" s="14"/>
      <c r="J481" s="17"/>
      <c r="K481" s="9"/>
      <c r="L481" s="15" t="s">
        <v>50</v>
      </c>
      <c r="M481" s="16" t="s">
        <v>51</v>
      </c>
      <c r="N481" s="14"/>
      <c r="O481" s="15" t="s">
        <v>52</v>
      </c>
      <c r="P481" s="17" t="s">
        <v>53</v>
      </c>
      <c r="Q481" s="15"/>
      <c r="R481" s="18" t="s">
        <v>51</v>
      </c>
      <c r="S481" s="19"/>
      <c r="T481" s="17" t="str">
        <f aca="false">IF(R481="維持",J481,IF(R481="排除","無關新聞事件",IFERROR(INDEX(事件規則!$B$2:$B$53,MATCH(S481,事件規則!$A$2:$A$53,0)),"")))</f>
        <v>無關新聞事件</v>
      </c>
      <c r="U481" s="20" t="n">
        <f aca="false">IF(R481="維持",K481,IF(R481="排除",0,IFERROR(INDEX(事件規則!$C$2:$C$53,MATCH(S481,事件規則!$A$2:$A$53,0)),"")))</f>
        <v>0</v>
      </c>
      <c r="V481" s="21"/>
      <c r="W481" s="22"/>
      <c r="X481" s="10" t="str">
        <f aca="false">IF(AND(R481="修改",S481=""),"請選新事件代碼",IF(AND(R481&lt;&gt;"修改",S481&lt;&gt;""),"只有「修改」才需填代碼",""))</f>
        <v/>
      </c>
      <c r="Y481" s="21"/>
      <c r="Z481" s="22"/>
      <c r="AA481" s="12" t="s">
        <v>1650</v>
      </c>
      <c r="AB481" s="24"/>
    </row>
    <row r="482" customFormat="false" ht="29.85" hidden="false" customHeight="false" outlineLevel="0" collapsed="false">
      <c r="A482" s="15" t="n">
        <v>481</v>
      </c>
      <c r="B482" s="9" t="s">
        <v>45</v>
      </c>
      <c r="C482" s="9" t="s">
        <v>1162</v>
      </c>
      <c r="D482" s="10" t="s">
        <v>1163</v>
      </c>
      <c r="E482" s="11" t="s">
        <v>1651</v>
      </c>
      <c r="F482" s="17"/>
      <c r="G482" s="12" t="s">
        <v>482</v>
      </c>
      <c r="H482" s="13" t="n">
        <v>-0.063</v>
      </c>
      <c r="I482" s="14"/>
      <c r="J482" s="17"/>
      <c r="K482" s="9"/>
      <c r="L482" s="15" t="s">
        <v>50</v>
      </c>
      <c r="M482" s="16" t="s">
        <v>51</v>
      </c>
      <c r="N482" s="14"/>
      <c r="O482" s="15" t="s">
        <v>52</v>
      </c>
      <c r="P482" s="17" t="s">
        <v>53</v>
      </c>
      <c r="Q482" s="15"/>
      <c r="R482" s="18" t="s">
        <v>51</v>
      </c>
      <c r="S482" s="19"/>
      <c r="T482" s="17" t="str">
        <f aca="false">IF(R482="維持",J482,IF(R482="排除","無關新聞事件",IFERROR(INDEX(事件規則!$B$2:$B$53,MATCH(S482,事件規則!$A$2:$A$53,0)),"")))</f>
        <v>無關新聞事件</v>
      </c>
      <c r="U482" s="20" t="n">
        <f aca="false">IF(R482="維持",K482,IF(R482="排除",0,IFERROR(INDEX(事件規則!$C$2:$C$53,MATCH(S482,事件規則!$A$2:$A$53,0)),"")))</f>
        <v>0</v>
      </c>
      <c r="V482" s="21"/>
      <c r="W482" s="22"/>
      <c r="X482" s="10" t="str">
        <f aca="false">IF(AND(R482="修改",S482=""),"請選新事件代碼",IF(AND(R482&lt;&gt;"修改",S482&lt;&gt;""),"只有「修改」才需填代碼",""))</f>
        <v/>
      </c>
      <c r="Y482" s="21"/>
      <c r="Z482" s="22"/>
      <c r="AA482" s="12" t="s">
        <v>1652</v>
      </c>
      <c r="AB482" s="24"/>
    </row>
    <row r="483" customFormat="false" ht="29.85" hidden="false" customHeight="false" outlineLevel="0" collapsed="false">
      <c r="A483" s="15" t="n">
        <v>482</v>
      </c>
      <c r="B483" s="9" t="s">
        <v>45</v>
      </c>
      <c r="C483" s="9" t="s">
        <v>1653</v>
      </c>
      <c r="D483" s="10" t="s">
        <v>1654</v>
      </c>
      <c r="E483" s="11" t="s">
        <v>1655</v>
      </c>
      <c r="F483" s="17"/>
      <c r="G483" s="12" t="s">
        <v>1656</v>
      </c>
      <c r="H483" s="13" t="n">
        <v>-0.063</v>
      </c>
      <c r="I483" s="14"/>
      <c r="J483" s="17"/>
      <c r="K483" s="9"/>
      <c r="L483" s="15" t="s">
        <v>50</v>
      </c>
      <c r="M483" s="16" t="s">
        <v>51</v>
      </c>
      <c r="N483" s="14"/>
      <c r="O483" s="15" t="s">
        <v>52</v>
      </c>
      <c r="P483" s="17" t="s">
        <v>53</v>
      </c>
      <c r="Q483" s="15"/>
      <c r="R483" s="18" t="s">
        <v>51</v>
      </c>
      <c r="S483" s="19"/>
      <c r="T483" s="17" t="str">
        <f aca="false">IF(R483="維持",J483,IF(R483="排除","無關新聞事件",IFERROR(INDEX(事件規則!$B$2:$B$53,MATCH(S483,事件規則!$A$2:$A$53,0)),"")))</f>
        <v>無關新聞事件</v>
      </c>
      <c r="U483" s="20" t="n">
        <f aca="false">IF(R483="維持",K483,IF(R483="排除",0,IFERROR(INDEX(事件規則!$C$2:$C$53,MATCH(S483,事件規則!$A$2:$A$53,0)),"")))</f>
        <v>0</v>
      </c>
      <c r="V483" s="21"/>
      <c r="W483" s="22"/>
      <c r="X483" s="10" t="str">
        <f aca="false">IF(AND(R483="修改",S483=""),"請選新事件代碼",IF(AND(R483&lt;&gt;"修改",S483&lt;&gt;""),"只有「修改」才需填代碼",""))</f>
        <v/>
      </c>
      <c r="Y483" s="21"/>
      <c r="Z483" s="22"/>
      <c r="AA483" s="12" t="s">
        <v>1657</v>
      </c>
      <c r="AB483" s="24"/>
    </row>
    <row r="484" customFormat="false" ht="29.85" hidden="false" customHeight="false" outlineLevel="0" collapsed="false">
      <c r="A484" s="15" t="n">
        <v>483</v>
      </c>
      <c r="B484" s="9" t="s">
        <v>45</v>
      </c>
      <c r="C484" s="9" t="s">
        <v>303</v>
      </c>
      <c r="D484" s="10" t="s">
        <v>304</v>
      </c>
      <c r="E484" s="11" t="s">
        <v>1658</v>
      </c>
      <c r="F484" s="17"/>
      <c r="G484" s="12" t="s">
        <v>1659</v>
      </c>
      <c r="H484" s="13" t="n">
        <v>-0.063</v>
      </c>
      <c r="I484" s="14"/>
      <c r="J484" s="17"/>
      <c r="K484" s="9"/>
      <c r="L484" s="15" t="s">
        <v>50</v>
      </c>
      <c r="M484" s="16" t="s">
        <v>51</v>
      </c>
      <c r="N484" s="14"/>
      <c r="O484" s="15" t="s">
        <v>52</v>
      </c>
      <c r="P484" s="17" t="s">
        <v>53</v>
      </c>
      <c r="Q484" s="15"/>
      <c r="R484" s="18" t="s">
        <v>51</v>
      </c>
      <c r="S484" s="19"/>
      <c r="T484" s="17" t="str">
        <f aca="false">IF(R484="維持",J484,IF(R484="排除","無關新聞事件",IFERROR(INDEX(事件規則!$B$2:$B$53,MATCH(S484,事件規則!$A$2:$A$53,0)),"")))</f>
        <v>無關新聞事件</v>
      </c>
      <c r="U484" s="20" t="n">
        <f aca="false">IF(R484="維持",K484,IF(R484="排除",0,IFERROR(INDEX(事件規則!$C$2:$C$53,MATCH(S484,事件規則!$A$2:$A$53,0)),"")))</f>
        <v>0</v>
      </c>
      <c r="V484" s="21"/>
      <c r="W484" s="22"/>
      <c r="X484" s="10" t="str">
        <f aca="false">IF(AND(R484="修改",S484=""),"請選新事件代碼",IF(AND(R484&lt;&gt;"修改",S484&lt;&gt;""),"只有「修改」才需填代碼",""))</f>
        <v/>
      </c>
      <c r="Y484" s="21"/>
      <c r="Z484" s="22"/>
      <c r="AA484" s="12" t="s">
        <v>1660</v>
      </c>
      <c r="AB484" s="24"/>
    </row>
    <row r="485" customFormat="false" ht="29.85" hidden="false" customHeight="false" outlineLevel="0" collapsed="false">
      <c r="A485" s="15" t="n">
        <v>484</v>
      </c>
      <c r="B485" s="9" t="s">
        <v>45</v>
      </c>
      <c r="C485" s="9" t="s">
        <v>1661</v>
      </c>
      <c r="D485" s="10" t="s">
        <v>1662</v>
      </c>
      <c r="E485" s="11" t="s">
        <v>1651</v>
      </c>
      <c r="F485" s="17"/>
      <c r="G485" s="12" t="s">
        <v>482</v>
      </c>
      <c r="H485" s="13" t="n">
        <v>-0.063</v>
      </c>
      <c r="I485" s="14"/>
      <c r="J485" s="17"/>
      <c r="K485" s="9"/>
      <c r="L485" s="15" t="s">
        <v>50</v>
      </c>
      <c r="M485" s="16" t="s">
        <v>51</v>
      </c>
      <c r="N485" s="14"/>
      <c r="O485" s="15" t="s">
        <v>52</v>
      </c>
      <c r="P485" s="17" t="s">
        <v>53</v>
      </c>
      <c r="Q485" s="15"/>
      <c r="R485" s="18" t="s">
        <v>51</v>
      </c>
      <c r="S485" s="19"/>
      <c r="T485" s="17" t="str">
        <f aca="false">IF(R485="維持",J485,IF(R485="排除","無關新聞事件",IFERROR(INDEX(事件規則!$B$2:$B$53,MATCH(S485,事件規則!$A$2:$A$53,0)),"")))</f>
        <v>無關新聞事件</v>
      </c>
      <c r="U485" s="20" t="n">
        <f aca="false">IF(R485="維持",K485,IF(R485="排除",0,IFERROR(INDEX(事件規則!$C$2:$C$53,MATCH(S485,事件規則!$A$2:$A$53,0)),"")))</f>
        <v>0</v>
      </c>
      <c r="V485" s="21"/>
      <c r="W485" s="22"/>
      <c r="X485" s="10" t="str">
        <f aca="false">IF(AND(R485="修改",S485=""),"請選新事件代碼",IF(AND(R485&lt;&gt;"修改",S485&lt;&gt;""),"只有「修改」才需填代碼",""))</f>
        <v/>
      </c>
      <c r="Y485" s="21"/>
      <c r="Z485" s="22"/>
      <c r="AA485" s="12" t="s">
        <v>1663</v>
      </c>
      <c r="AB485" s="24"/>
    </row>
    <row r="486" customFormat="false" ht="29.85" hidden="false" customHeight="false" outlineLevel="0" collapsed="false">
      <c r="A486" s="15" t="n">
        <v>485</v>
      </c>
      <c r="B486" s="9" t="s">
        <v>112</v>
      </c>
      <c r="C486" s="9" t="s">
        <v>178</v>
      </c>
      <c r="D486" s="10" t="s">
        <v>179</v>
      </c>
      <c r="E486" s="11" t="s">
        <v>1664</v>
      </c>
      <c r="F486" s="17"/>
      <c r="G486" s="12" t="s">
        <v>1665</v>
      </c>
      <c r="H486" s="13" t="n">
        <v>-0.063</v>
      </c>
      <c r="I486" s="14"/>
      <c r="J486" s="17"/>
      <c r="K486" s="9"/>
      <c r="L486" s="15" t="s">
        <v>50</v>
      </c>
      <c r="M486" s="16" t="s">
        <v>51</v>
      </c>
      <c r="N486" s="14"/>
      <c r="O486" s="15" t="s">
        <v>52</v>
      </c>
      <c r="P486" s="17" t="s">
        <v>53</v>
      </c>
      <c r="Q486" s="15"/>
      <c r="R486" s="18" t="s">
        <v>51</v>
      </c>
      <c r="S486" s="19"/>
      <c r="T486" s="17" t="str">
        <f aca="false">IF(R486="維持",J486,IF(R486="排除","無關新聞事件",IFERROR(INDEX(事件規則!$B$2:$B$53,MATCH(S486,事件規則!$A$2:$A$53,0)),"")))</f>
        <v>無關新聞事件</v>
      </c>
      <c r="U486" s="20" t="n">
        <f aca="false">IF(R486="維持",K486,IF(R486="排除",0,IFERROR(INDEX(事件規則!$C$2:$C$53,MATCH(S486,事件規則!$A$2:$A$53,0)),"")))</f>
        <v>0</v>
      </c>
      <c r="V486" s="21"/>
      <c r="W486" s="22"/>
      <c r="X486" s="10" t="str">
        <f aca="false">IF(AND(R486="修改",S486=""),"請選新事件代碼",IF(AND(R486&lt;&gt;"修改",S486&lt;&gt;""),"只有「修改」才需填代碼",""))</f>
        <v/>
      </c>
      <c r="Y486" s="21"/>
      <c r="Z486" s="22"/>
      <c r="AA486" s="12" t="s">
        <v>1666</v>
      </c>
      <c r="AB486" s="24"/>
    </row>
    <row r="487" customFormat="false" ht="29.85" hidden="false" customHeight="false" outlineLevel="0" collapsed="false">
      <c r="A487" s="15" t="n">
        <v>486</v>
      </c>
      <c r="B487" s="9" t="s">
        <v>45</v>
      </c>
      <c r="C487" s="9" t="s">
        <v>97</v>
      </c>
      <c r="D487" s="10" t="s">
        <v>98</v>
      </c>
      <c r="E487" s="11" t="s">
        <v>1667</v>
      </c>
      <c r="F487" s="17"/>
      <c r="G487" s="12" t="s">
        <v>1668</v>
      </c>
      <c r="H487" s="13" t="n">
        <v>-0.062</v>
      </c>
      <c r="I487" s="14"/>
      <c r="J487" s="17"/>
      <c r="K487" s="9"/>
      <c r="L487" s="15" t="s">
        <v>50</v>
      </c>
      <c r="M487" s="16" t="s">
        <v>51</v>
      </c>
      <c r="N487" s="14"/>
      <c r="O487" s="15" t="s">
        <v>52</v>
      </c>
      <c r="P487" s="17" t="s">
        <v>53</v>
      </c>
      <c r="Q487" s="15"/>
      <c r="R487" s="18" t="s">
        <v>51</v>
      </c>
      <c r="S487" s="19"/>
      <c r="T487" s="17" t="str">
        <f aca="false">IF(R487="維持",J487,IF(R487="排除","無關新聞事件",IFERROR(INDEX(事件規則!$B$2:$B$53,MATCH(S487,事件規則!$A$2:$A$53,0)),"")))</f>
        <v>無關新聞事件</v>
      </c>
      <c r="U487" s="20" t="n">
        <f aca="false">IF(R487="維持",K487,IF(R487="排除",0,IFERROR(INDEX(事件規則!$C$2:$C$53,MATCH(S487,事件規則!$A$2:$A$53,0)),"")))</f>
        <v>0</v>
      </c>
      <c r="V487" s="21"/>
      <c r="W487" s="22"/>
      <c r="X487" s="10" t="str">
        <f aca="false">IF(AND(R487="修改",S487=""),"請選新事件代碼",IF(AND(R487&lt;&gt;"修改",S487&lt;&gt;""),"只有「修改」才需填代碼",""))</f>
        <v/>
      </c>
      <c r="Y487" s="21"/>
      <c r="Z487" s="22"/>
      <c r="AA487" s="12" t="s">
        <v>1669</v>
      </c>
      <c r="AB487" s="24"/>
    </row>
    <row r="488" customFormat="false" ht="29.85" hidden="false" customHeight="false" outlineLevel="0" collapsed="false">
      <c r="A488" s="15" t="n">
        <v>487</v>
      </c>
      <c r="B488" s="9" t="s">
        <v>45</v>
      </c>
      <c r="C488" s="9" t="s">
        <v>1415</v>
      </c>
      <c r="D488" s="10" t="s">
        <v>1416</v>
      </c>
      <c r="E488" s="11" t="s">
        <v>1670</v>
      </c>
      <c r="F488" s="17"/>
      <c r="G488" s="12" t="s">
        <v>1089</v>
      </c>
      <c r="H488" s="13" t="n">
        <v>-0.062</v>
      </c>
      <c r="I488" s="14"/>
      <c r="J488" s="17"/>
      <c r="K488" s="9"/>
      <c r="L488" s="15" t="s">
        <v>50</v>
      </c>
      <c r="M488" s="16" t="s">
        <v>51</v>
      </c>
      <c r="N488" s="14"/>
      <c r="O488" s="15" t="s">
        <v>52</v>
      </c>
      <c r="P488" s="17" t="s">
        <v>53</v>
      </c>
      <c r="Q488" s="15"/>
      <c r="R488" s="18" t="s">
        <v>51</v>
      </c>
      <c r="S488" s="19"/>
      <c r="T488" s="17" t="str">
        <f aca="false">IF(R488="維持",J488,IF(R488="排除","無關新聞事件",IFERROR(INDEX(事件規則!$B$2:$B$53,MATCH(S488,事件規則!$A$2:$A$53,0)),"")))</f>
        <v>無關新聞事件</v>
      </c>
      <c r="U488" s="20" t="n">
        <f aca="false">IF(R488="維持",K488,IF(R488="排除",0,IFERROR(INDEX(事件規則!$C$2:$C$53,MATCH(S488,事件規則!$A$2:$A$53,0)),"")))</f>
        <v>0</v>
      </c>
      <c r="V488" s="21"/>
      <c r="W488" s="22"/>
      <c r="X488" s="10" t="str">
        <f aca="false">IF(AND(R488="修改",S488=""),"請選新事件代碼",IF(AND(R488&lt;&gt;"修改",S488&lt;&gt;""),"只有「修改」才需填代碼",""))</f>
        <v/>
      </c>
      <c r="Y488" s="21"/>
      <c r="Z488" s="22"/>
      <c r="AA488" s="12" t="s">
        <v>1671</v>
      </c>
      <c r="AB488" s="24"/>
    </row>
    <row r="489" customFormat="false" ht="29.85" hidden="false" customHeight="false" outlineLevel="0" collapsed="false">
      <c r="A489" s="15" t="n">
        <v>488</v>
      </c>
      <c r="B489" s="9" t="s">
        <v>112</v>
      </c>
      <c r="C489" s="9" t="s">
        <v>1672</v>
      </c>
      <c r="D489" s="10" t="s">
        <v>1673</v>
      </c>
      <c r="E489" s="11" t="s">
        <v>1674</v>
      </c>
      <c r="F489" s="17"/>
      <c r="G489" s="12" t="s">
        <v>230</v>
      </c>
      <c r="H489" s="13" t="n">
        <v>-0.062</v>
      </c>
      <c r="I489" s="14"/>
      <c r="J489" s="17"/>
      <c r="K489" s="9"/>
      <c r="L489" s="15" t="s">
        <v>50</v>
      </c>
      <c r="M489" s="16" t="s">
        <v>51</v>
      </c>
      <c r="N489" s="14"/>
      <c r="O489" s="15" t="s">
        <v>52</v>
      </c>
      <c r="P489" s="17" t="s">
        <v>53</v>
      </c>
      <c r="Q489" s="15"/>
      <c r="R489" s="18" t="s">
        <v>51</v>
      </c>
      <c r="S489" s="19"/>
      <c r="T489" s="17" t="str">
        <f aca="false">IF(R489="維持",J489,IF(R489="排除","無關新聞事件",IFERROR(INDEX(事件規則!$B$2:$B$53,MATCH(S489,事件規則!$A$2:$A$53,0)),"")))</f>
        <v>無關新聞事件</v>
      </c>
      <c r="U489" s="20" t="n">
        <f aca="false">IF(R489="維持",K489,IF(R489="排除",0,IFERROR(INDEX(事件規則!$C$2:$C$53,MATCH(S489,事件規則!$A$2:$A$53,0)),"")))</f>
        <v>0</v>
      </c>
      <c r="V489" s="21"/>
      <c r="W489" s="22"/>
      <c r="X489" s="10" t="str">
        <f aca="false">IF(AND(R489="修改",S489=""),"請選新事件代碼",IF(AND(R489&lt;&gt;"修改",S489&lt;&gt;""),"只有「修改」才需填代碼",""))</f>
        <v/>
      </c>
      <c r="Y489" s="21"/>
      <c r="Z489" s="22"/>
      <c r="AA489" s="12" t="s">
        <v>1675</v>
      </c>
      <c r="AB489" s="24"/>
    </row>
    <row r="490" customFormat="false" ht="29.85" hidden="false" customHeight="false" outlineLevel="0" collapsed="false">
      <c r="A490" s="15" t="n">
        <v>489</v>
      </c>
      <c r="B490" s="9" t="s">
        <v>45</v>
      </c>
      <c r="C490" s="9" t="s">
        <v>893</v>
      </c>
      <c r="D490" s="10" t="s">
        <v>894</v>
      </c>
      <c r="E490" s="11" t="s">
        <v>1676</v>
      </c>
      <c r="F490" s="17"/>
      <c r="G490" s="12" t="s">
        <v>1677</v>
      </c>
      <c r="H490" s="13" t="n">
        <v>-0.062</v>
      </c>
      <c r="I490" s="14"/>
      <c r="J490" s="17"/>
      <c r="K490" s="9"/>
      <c r="L490" s="15" t="s">
        <v>50</v>
      </c>
      <c r="M490" s="16" t="s">
        <v>51</v>
      </c>
      <c r="N490" s="14"/>
      <c r="O490" s="15" t="s">
        <v>52</v>
      </c>
      <c r="P490" s="17" t="s">
        <v>53</v>
      </c>
      <c r="Q490" s="15"/>
      <c r="R490" s="18" t="s">
        <v>51</v>
      </c>
      <c r="S490" s="19"/>
      <c r="T490" s="17" t="str">
        <f aca="false">IF(R490="維持",J490,IF(R490="排除","無關新聞事件",IFERROR(INDEX(事件規則!$B$2:$B$53,MATCH(S490,事件規則!$A$2:$A$53,0)),"")))</f>
        <v>無關新聞事件</v>
      </c>
      <c r="U490" s="20" t="n">
        <f aca="false">IF(R490="維持",K490,IF(R490="排除",0,IFERROR(INDEX(事件規則!$C$2:$C$53,MATCH(S490,事件規則!$A$2:$A$53,0)),"")))</f>
        <v>0</v>
      </c>
      <c r="V490" s="21"/>
      <c r="W490" s="22"/>
      <c r="X490" s="10" t="str">
        <f aca="false">IF(AND(R490="修改",S490=""),"請選新事件代碼",IF(AND(R490&lt;&gt;"修改",S490&lt;&gt;""),"只有「修改」才需填代碼",""))</f>
        <v/>
      </c>
      <c r="Y490" s="21"/>
      <c r="Z490" s="22"/>
      <c r="AA490" s="12" t="s">
        <v>1678</v>
      </c>
      <c r="AB490" s="24"/>
    </row>
    <row r="491" customFormat="false" ht="29.85" hidden="false" customHeight="false" outlineLevel="0" collapsed="false">
      <c r="A491" s="15" t="n">
        <v>490</v>
      </c>
      <c r="B491" s="9" t="s">
        <v>55</v>
      </c>
      <c r="C491" s="9" t="s">
        <v>1231</v>
      </c>
      <c r="D491" s="10" t="s">
        <v>1232</v>
      </c>
      <c r="E491" s="11" t="s">
        <v>1679</v>
      </c>
      <c r="F491" s="17"/>
      <c r="G491" s="12" t="s">
        <v>1680</v>
      </c>
      <c r="H491" s="13" t="n">
        <v>-0.062</v>
      </c>
      <c r="I491" s="14"/>
      <c r="J491" s="17"/>
      <c r="K491" s="9"/>
      <c r="L491" s="15" t="s">
        <v>50</v>
      </c>
      <c r="M491" s="16" t="s">
        <v>51</v>
      </c>
      <c r="N491" s="14"/>
      <c r="O491" s="15" t="s">
        <v>52</v>
      </c>
      <c r="P491" s="17" t="s">
        <v>53</v>
      </c>
      <c r="Q491" s="15"/>
      <c r="R491" s="18" t="s">
        <v>51</v>
      </c>
      <c r="S491" s="19"/>
      <c r="T491" s="17" t="str">
        <f aca="false">IF(R491="維持",J491,IF(R491="排除","無關新聞事件",IFERROR(INDEX(事件規則!$B$2:$B$53,MATCH(S491,事件規則!$A$2:$A$53,0)),"")))</f>
        <v>無關新聞事件</v>
      </c>
      <c r="U491" s="20" t="n">
        <f aca="false">IF(R491="維持",K491,IF(R491="排除",0,IFERROR(INDEX(事件規則!$C$2:$C$53,MATCH(S491,事件規則!$A$2:$A$53,0)),"")))</f>
        <v>0</v>
      </c>
      <c r="V491" s="21"/>
      <c r="W491" s="22"/>
      <c r="X491" s="10" t="str">
        <f aca="false">IF(AND(R491="修改",S491=""),"請選新事件代碼",IF(AND(R491&lt;&gt;"修改",S491&lt;&gt;""),"只有「修改」才需填代碼",""))</f>
        <v/>
      </c>
      <c r="Y491" s="21"/>
      <c r="Z491" s="22"/>
      <c r="AA491" s="12" t="s">
        <v>1681</v>
      </c>
      <c r="AB491" s="24"/>
    </row>
    <row r="492" customFormat="false" ht="29.85" hidden="false" customHeight="false" outlineLevel="0" collapsed="false">
      <c r="A492" s="15" t="n">
        <v>491</v>
      </c>
      <c r="B492" s="9" t="s">
        <v>45</v>
      </c>
      <c r="C492" s="9" t="s">
        <v>156</v>
      </c>
      <c r="D492" s="10" t="s">
        <v>157</v>
      </c>
      <c r="E492" s="11" t="s">
        <v>1682</v>
      </c>
      <c r="F492" s="17"/>
      <c r="G492" s="12" t="s">
        <v>176</v>
      </c>
      <c r="H492" s="13" t="n">
        <v>-0.061</v>
      </c>
      <c r="I492" s="14"/>
      <c r="J492" s="17"/>
      <c r="K492" s="9"/>
      <c r="L492" s="15" t="s">
        <v>50</v>
      </c>
      <c r="M492" s="16" t="s">
        <v>51</v>
      </c>
      <c r="N492" s="14"/>
      <c r="O492" s="15" t="s">
        <v>52</v>
      </c>
      <c r="P492" s="17" t="s">
        <v>53</v>
      </c>
      <c r="Q492" s="15"/>
      <c r="R492" s="18" t="s">
        <v>51</v>
      </c>
      <c r="S492" s="19"/>
      <c r="T492" s="17" t="str">
        <f aca="false">IF(R492="維持",J492,IF(R492="排除","無關新聞事件",IFERROR(INDEX(事件規則!$B$2:$B$53,MATCH(S492,事件規則!$A$2:$A$53,0)),"")))</f>
        <v>無關新聞事件</v>
      </c>
      <c r="U492" s="20" t="n">
        <f aca="false">IF(R492="維持",K492,IF(R492="排除",0,IFERROR(INDEX(事件規則!$C$2:$C$53,MATCH(S492,事件規則!$A$2:$A$53,0)),"")))</f>
        <v>0</v>
      </c>
      <c r="V492" s="21"/>
      <c r="W492" s="22"/>
      <c r="X492" s="10" t="str">
        <f aca="false">IF(AND(R492="修改",S492=""),"請選新事件代碼",IF(AND(R492&lt;&gt;"修改",S492&lt;&gt;""),"只有「修改」才需填代碼",""))</f>
        <v/>
      </c>
      <c r="Y492" s="21"/>
      <c r="Z492" s="22"/>
      <c r="AA492" s="12" t="s">
        <v>1683</v>
      </c>
      <c r="AB492" s="24"/>
    </row>
    <row r="493" customFormat="false" ht="29.85" hidden="false" customHeight="false" outlineLevel="0" collapsed="false">
      <c r="A493" s="15" t="n">
        <v>492</v>
      </c>
      <c r="B493" s="9" t="s">
        <v>81</v>
      </c>
      <c r="C493" s="9" t="s">
        <v>1684</v>
      </c>
      <c r="D493" s="10" t="s">
        <v>1685</v>
      </c>
      <c r="E493" s="11" t="s">
        <v>1686</v>
      </c>
      <c r="F493" s="17"/>
      <c r="G493" s="12" t="s">
        <v>176</v>
      </c>
      <c r="H493" s="13" t="n">
        <v>-0.061</v>
      </c>
      <c r="I493" s="14"/>
      <c r="J493" s="17"/>
      <c r="K493" s="9"/>
      <c r="L493" s="15" t="s">
        <v>50</v>
      </c>
      <c r="M493" s="16" t="s">
        <v>51</v>
      </c>
      <c r="N493" s="14"/>
      <c r="O493" s="15" t="s">
        <v>52</v>
      </c>
      <c r="P493" s="17" t="s">
        <v>53</v>
      </c>
      <c r="Q493" s="15"/>
      <c r="R493" s="18" t="s">
        <v>51</v>
      </c>
      <c r="S493" s="19"/>
      <c r="T493" s="17" t="str">
        <f aca="false">IF(R493="維持",J493,IF(R493="排除","無關新聞事件",IFERROR(INDEX(事件規則!$B$2:$B$53,MATCH(S493,事件規則!$A$2:$A$53,0)),"")))</f>
        <v>無關新聞事件</v>
      </c>
      <c r="U493" s="20" t="n">
        <f aca="false">IF(R493="維持",K493,IF(R493="排除",0,IFERROR(INDEX(事件規則!$C$2:$C$53,MATCH(S493,事件規則!$A$2:$A$53,0)),"")))</f>
        <v>0</v>
      </c>
      <c r="V493" s="21"/>
      <c r="W493" s="22"/>
      <c r="X493" s="10" t="str">
        <f aca="false">IF(AND(R493="修改",S493=""),"請選新事件代碼",IF(AND(R493&lt;&gt;"修改",S493&lt;&gt;""),"只有「修改」才需填代碼",""))</f>
        <v/>
      </c>
      <c r="Y493" s="21"/>
      <c r="Z493" s="22"/>
      <c r="AA493" s="12" t="s">
        <v>1687</v>
      </c>
      <c r="AB493" s="24"/>
    </row>
    <row r="494" customFormat="false" ht="29.85" hidden="false" customHeight="false" outlineLevel="0" collapsed="false">
      <c r="A494" s="15" t="n">
        <v>493</v>
      </c>
      <c r="B494" s="9" t="s">
        <v>55</v>
      </c>
      <c r="C494" s="9" t="s">
        <v>607</v>
      </c>
      <c r="D494" s="10" t="s">
        <v>608</v>
      </c>
      <c r="E494" s="11" t="s">
        <v>1688</v>
      </c>
      <c r="F494" s="17"/>
      <c r="G494" s="12" t="s">
        <v>1689</v>
      </c>
      <c r="H494" s="13" t="n">
        <v>-0.061</v>
      </c>
      <c r="I494" s="14"/>
      <c r="J494" s="17"/>
      <c r="K494" s="9"/>
      <c r="L494" s="15" t="s">
        <v>50</v>
      </c>
      <c r="M494" s="16" t="s">
        <v>51</v>
      </c>
      <c r="N494" s="14"/>
      <c r="O494" s="15" t="s">
        <v>52</v>
      </c>
      <c r="P494" s="17" t="s">
        <v>53</v>
      </c>
      <c r="Q494" s="15"/>
      <c r="R494" s="18" t="s">
        <v>51</v>
      </c>
      <c r="S494" s="19"/>
      <c r="T494" s="17" t="str">
        <f aca="false">IF(R494="維持",J494,IF(R494="排除","無關新聞事件",IFERROR(INDEX(事件規則!$B$2:$B$53,MATCH(S494,事件規則!$A$2:$A$53,0)),"")))</f>
        <v>無關新聞事件</v>
      </c>
      <c r="U494" s="20" t="n">
        <f aca="false">IF(R494="維持",K494,IF(R494="排除",0,IFERROR(INDEX(事件規則!$C$2:$C$53,MATCH(S494,事件規則!$A$2:$A$53,0)),"")))</f>
        <v>0</v>
      </c>
      <c r="V494" s="21"/>
      <c r="W494" s="22"/>
      <c r="X494" s="10" t="str">
        <f aca="false">IF(AND(R494="修改",S494=""),"請選新事件代碼",IF(AND(R494&lt;&gt;"修改",S494&lt;&gt;""),"只有「修改」才需填代碼",""))</f>
        <v/>
      </c>
      <c r="Y494" s="21"/>
      <c r="Z494" s="22"/>
      <c r="AA494" s="12" t="s">
        <v>1690</v>
      </c>
      <c r="AB494" s="24"/>
    </row>
    <row r="495" customFormat="false" ht="29.85" hidden="false" customHeight="false" outlineLevel="0" collapsed="false">
      <c r="A495" s="15" t="n">
        <v>494</v>
      </c>
      <c r="B495" s="9" t="s">
        <v>55</v>
      </c>
      <c r="C495" s="9" t="s">
        <v>672</v>
      </c>
      <c r="D495" s="10" t="s">
        <v>673</v>
      </c>
      <c r="E495" s="11" t="s">
        <v>1688</v>
      </c>
      <c r="F495" s="17"/>
      <c r="G495" s="12" t="s">
        <v>1689</v>
      </c>
      <c r="H495" s="13" t="n">
        <v>-0.061</v>
      </c>
      <c r="I495" s="14"/>
      <c r="J495" s="17"/>
      <c r="K495" s="9"/>
      <c r="L495" s="15" t="s">
        <v>50</v>
      </c>
      <c r="M495" s="16" t="s">
        <v>51</v>
      </c>
      <c r="N495" s="14"/>
      <c r="O495" s="15" t="s">
        <v>52</v>
      </c>
      <c r="P495" s="17" t="s">
        <v>53</v>
      </c>
      <c r="Q495" s="15"/>
      <c r="R495" s="18" t="s">
        <v>51</v>
      </c>
      <c r="S495" s="19"/>
      <c r="T495" s="17" t="str">
        <f aca="false">IF(R495="維持",J495,IF(R495="排除","無關新聞事件",IFERROR(INDEX(事件規則!$B$2:$B$53,MATCH(S495,事件規則!$A$2:$A$53,0)),"")))</f>
        <v>無關新聞事件</v>
      </c>
      <c r="U495" s="20" t="n">
        <f aca="false">IF(R495="維持",K495,IF(R495="排除",0,IFERROR(INDEX(事件規則!$C$2:$C$53,MATCH(S495,事件規則!$A$2:$A$53,0)),"")))</f>
        <v>0</v>
      </c>
      <c r="V495" s="21"/>
      <c r="W495" s="22"/>
      <c r="X495" s="10" t="str">
        <f aca="false">IF(AND(R495="修改",S495=""),"請選新事件代碼",IF(AND(R495&lt;&gt;"修改",S495&lt;&gt;""),"只有「修改」才需填代碼",""))</f>
        <v/>
      </c>
      <c r="Y495" s="21"/>
      <c r="Z495" s="22"/>
      <c r="AA495" s="12" t="s">
        <v>1691</v>
      </c>
      <c r="AB495" s="24"/>
    </row>
    <row r="496" customFormat="false" ht="29.85" hidden="false" customHeight="false" outlineLevel="0" collapsed="false">
      <c r="A496" s="15" t="n">
        <v>495</v>
      </c>
      <c r="B496" s="9" t="s">
        <v>55</v>
      </c>
      <c r="C496" s="9" t="s">
        <v>303</v>
      </c>
      <c r="D496" s="10" t="s">
        <v>304</v>
      </c>
      <c r="E496" s="11" t="s">
        <v>1688</v>
      </c>
      <c r="F496" s="17"/>
      <c r="G496" s="12" t="s">
        <v>1689</v>
      </c>
      <c r="H496" s="13" t="n">
        <v>-0.061</v>
      </c>
      <c r="I496" s="14"/>
      <c r="J496" s="17"/>
      <c r="K496" s="9"/>
      <c r="L496" s="15" t="s">
        <v>50</v>
      </c>
      <c r="M496" s="16" t="s">
        <v>51</v>
      </c>
      <c r="N496" s="14"/>
      <c r="O496" s="15" t="s">
        <v>52</v>
      </c>
      <c r="P496" s="17" t="s">
        <v>53</v>
      </c>
      <c r="Q496" s="15"/>
      <c r="R496" s="18" t="s">
        <v>51</v>
      </c>
      <c r="S496" s="19"/>
      <c r="T496" s="17" t="str">
        <f aca="false">IF(R496="維持",J496,IF(R496="排除","無關新聞事件",IFERROR(INDEX(事件規則!$B$2:$B$53,MATCH(S496,事件規則!$A$2:$A$53,0)),"")))</f>
        <v>無關新聞事件</v>
      </c>
      <c r="U496" s="20" t="n">
        <f aca="false">IF(R496="維持",K496,IF(R496="排除",0,IFERROR(INDEX(事件規則!$C$2:$C$53,MATCH(S496,事件規則!$A$2:$A$53,0)),"")))</f>
        <v>0</v>
      </c>
      <c r="V496" s="21"/>
      <c r="W496" s="22"/>
      <c r="X496" s="10" t="str">
        <f aca="false">IF(AND(R496="修改",S496=""),"請選新事件代碼",IF(AND(R496&lt;&gt;"修改",S496&lt;&gt;""),"只有「修改」才需填代碼",""))</f>
        <v/>
      </c>
      <c r="Y496" s="21"/>
      <c r="Z496" s="22"/>
      <c r="AA496" s="12" t="s">
        <v>1692</v>
      </c>
      <c r="AB496" s="24"/>
    </row>
    <row r="497" customFormat="false" ht="29.85" hidden="false" customHeight="false" outlineLevel="0" collapsed="false">
      <c r="A497" s="15" t="n">
        <v>496</v>
      </c>
      <c r="B497" s="9" t="s">
        <v>112</v>
      </c>
      <c r="C497" s="9" t="s">
        <v>329</v>
      </c>
      <c r="D497" s="10" t="s">
        <v>330</v>
      </c>
      <c r="E497" s="11" t="s">
        <v>1693</v>
      </c>
      <c r="F497" s="17"/>
      <c r="G497" s="12" t="s">
        <v>176</v>
      </c>
      <c r="H497" s="13" t="n">
        <v>-0.06</v>
      </c>
      <c r="I497" s="14"/>
      <c r="J497" s="17"/>
      <c r="K497" s="9"/>
      <c r="L497" s="15" t="s">
        <v>50</v>
      </c>
      <c r="M497" s="16" t="s">
        <v>51</v>
      </c>
      <c r="N497" s="14"/>
      <c r="O497" s="15" t="s">
        <v>52</v>
      </c>
      <c r="P497" s="17" t="s">
        <v>53</v>
      </c>
      <c r="Q497" s="15"/>
      <c r="R497" s="18" t="s">
        <v>51</v>
      </c>
      <c r="S497" s="19"/>
      <c r="T497" s="17" t="str">
        <f aca="false">IF(R497="維持",J497,IF(R497="排除","無關新聞事件",IFERROR(INDEX(事件規則!$B$2:$B$53,MATCH(S497,事件規則!$A$2:$A$53,0)),"")))</f>
        <v>無關新聞事件</v>
      </c>
      <c r="U497" s="20" t="n">
        <f aca="false">IF(R497="維持",K497,IF(R497="排除",0,IFERROR(INDEX(事件規則!$C$2:$C$53,MATCH(S497,事件規則!$A$2:$A$53,0)),"")))</f>
        <v>0</v>
      </c>
      <c r="V497" s="21"/>
      <c r="W497" s="22"/>
      <c r="X497" s="10" t="str">
        <f aca="false">IF(AND(R497="修改",S497=""),"請選新事件代碼",IF(AND(R497&lt;&gt;"修改",S497&lt;&gt;""),"只有「修改」才需填代碼",""))</f>
        <v/>
      </c>
      <c r="Y497" s="21"/>
      <c r="Z497" s="22"/>
      <c r="AA497" s="12" t="s">
        <v>1694</v>
      </c>
      <c r="AB497" s="24"/>
    </row>
    <row r="498" customFormat="false" ht="29.85" hidden="false" customHeight="false" outlineLevel="0" collapsed="false">
      <c r="A498" s="15" t="n">
        <v>497</v>
      </c>
      <c r="B498" s="9" t="s">
        <v>45</v>
      </c>
      <c r="C498" s="9" t="s">
        <v>1695</v>
      </c>
      <c r="D498" s="10" t="s">
        <v>1696</v>
      </c>
      <c r="E498" s="11" t="s">
        <v>1697</v>
      </c>
      <c r="F498" s="17"/>
      <c r="G498" s="12" t="s">
        <v>1698</v>
      </c>
      <c r="H498" s="13" t="n">
        <v>-0.06</v>
      </c>
      <c r="I498" s="14"/>
      <c r="J498" s="17"/>
      <c r="K498" s="9"/>
      <c r="L498" s="15" t="s">
        <v>50</v>
      </c>
      <c r="M498" s="16" t="s">
        <v>51</v>
      </c>
      <c r="N498" s="14"/>
      <c r="O498" s="15" t="s">
        <v>52</v>
      </c>
      <c r="P498" s="17" t="s">
        <v>53</v>
      </c>
      <c r="Q498" s="15"/>
      <c r="R498" s="18" t="s">
        <v>51</v>
      </c>
      <c r="S498" s="19"/>
      <c r="T498" s="17" t="str">
        <f aca="false">IF(R498="維持",J498,IF(R498="排除","無關新聞事件",IFERROR(INDEX(事件規則!$B$2:$B$53,MATCH(S498,事件規則!$A$2:$A$53,0)),"")))</f>
        <v>無關新聞事件</v>
      </c>
      <c r="U498" s="20" t="n">
        <f aca="false">IF(R498="維持",K498,IF(R498="排除",0,IFERROR(INDEX(事件規則!$C$2:$C$53,MATCH(S498,事件規則!$A$2:$A$53,0)),"")))</f>
        <v>0</v>
      </c>
      <c r="V498" s="21"/>
      <c r="W498" s="22"/>
      <c r="X498" s="10" t="str">
        <f aca="false">IF(AND(R498="修改",S498=""),"請選新事件代碼",IF(AND(R498&lt;&gt;"修改",S498&lt;&gt;""),"只有「修改」才需填代碼",""))</f>
        <v/>
      </c>
      <c r="Y498" s="21"/>
      <c r="Z498" s="22"/>
      <c r="AA498" s="12" t="s">
        <v>1699</v>
      </c>
      <c r="AB498" s="24"/>
    </row>
    <row r="499" customFormat="false" ht="29.85" hidden="false" customHeight="false" outlineLevel="0" collapsed="false">
      <c r="A499" s="15" t="n">
        <v>498</v>
      </c>
      <c r="B499" s="9" t="s">
        <v>112</v>
      </c>
      <c r="C499" s="9" t="s">
        <v>484</v>
      </c>
      <c r="D499" s="10" t="s">
        <v>485</v>
      </c>
      <c r="E499" s="11" t="s">
        <v>1700</v>
      </c>
      <c r="F499" s="17"/>
      <c r="G499" s="12" t="s">
        <v>1701</v>
      </c>
      <c r="H499" s="13" t="n">
        <v>-0.06</v>
      </c>
      <c r="I499" s="14"/>
      <c r="J499" s="17"/>
      <c r="K499" s="9"/>
      <c r="L499" s="15" t="s">
        <v>50</v>
      </c>
      <c r="M499" s="16" t="s">
        <v>51</v>
      </c>
      <c r="N499" s="14"/>
      <c r="O499" s="15" t="s">
        <v>52</v>
      </c>
      <c r="P499" s="17" t="s">
        <v>53</v>
      </c>
      <c r="Q499" s="15"/>
      <c r="R499" s="18" t="s">
        <v>51</v>
      </c>
      <c r="S499" s="19"/>
      <c r="T499" s="17" t="str">
        <f aca="false">IF(R499="維持",J499,IF(R499="排除","無關新聞事件",IFERROR(INDEX(事件規則!$B$2:$B$53,MATCH(S499,事件規則!$A$2:$A$53,0)),"")))</f>
        <v>無關新聞事件</v>
      </c>
      <c r="U499" s="20" t="n">
        <f aca="false">IF(R499="維持",K499,IF(R499="排除",0,IFERROR(INDEX(事件規則!$C$2:$C$53,MATCH(S499,事件規則!$A$2:$A$53,0)),"")))</f>
        <v>0</v>
      </c>
      <c r="V499" s="21"/>
      <c r="W499" s="22"/>
      <c r="X499" s="10" t="str">
        <f aca="false">IF(AND(R499="修改",S499=""),"請選新事件代碼",IF(AND(R499&lt;&gt;"修改",S499&lt;&gt;""),"只有「修改」才需填代碼",""))</f>
        <v/>
      </c>
      <c r="Y499" s="21"/>
      <c r="Z499" s="22"/>
      <c r="AA499" s="12" t="s">
        <v>1702</v>
      </c>
      <c r="AB499" s="24"/>
    </row>
    <row r="500" customFormat="false" ht="29.85" hidden="false" customHeight="false" outlineLevel="0" collapsed="false">
      <c r="A500" s="15" t="n">
        <v>499</v>
      </c>
      <c r="B500" s="9" t="s">
        <v>81</v>
      </c>
      <c r="C500" s="9" t="s">
        <v>156</v>
      </c>
      <c r="D500" s="10" t="s">
        <v>157</v>
      </c>
      <c r="E500" s="11" t="s">
        <v>1703</v>
      </c>
      <c r="F500" s="17"/>
      <c r="G500" s="12" t="s">
        <v>1704</v>
      </c>
      <c r="H500" s="13" t="n">
        <v>-0.059</v>
      </c>
      <c r="I500" s="14"/>
      <c r="J500" s="17"/>
      <c r="K500" s="9"/>
      <c r="L500" s="15" t="s">
        <v>50</v>
      </c>
      <c r="M500" s="16" t="s">
        <v>51</v>
      </c>
      <c r="N500" s="14"/>
      <c r="O500" s="15" t="s">
        <v>52</v>
      </c>
      <c r="P500" s="17" t="s">
        <v>53</v>
      </c>
      <c r="Q500" s="15"/>
      <c r="R500" s="18" t="s">
        <v>51</v>
      </c>
      <c r="S500" s="19"/>
      <c r="T500" s="17" t="str">
        <f aca="false">IF(R500="維持",J500,IF(R500="排除","無關新聞事件",IFERROR(INDEX(事件規則!$B$2:$B$53,MATCH(S500,事件規則!$A$2:$A$53,0)),"")))</f>
        <v>無關新聞事件</v>
      </c>
      <c r="U500" s="20" t="n">
        <f aca="false">IF(R500="維持",K500,IF(R500="排除",0,IFERROR(INDEX(事件規則!$C$2:$C$53,MATCH(S500,事件規則!$A$2:$A$53,0)),"")))</f>
        <v>0</v>
      </c>
      <c r="V500" s="21"/>
      <c r="W500" s="22"/>
      <c r="X500" s="10" t="str">
        <f aca="false">IF(AND(R500="修改",S500=""),"請選新事件代碼",IF(AND(R500&lt;&gt;"修改",S500&lt;&gt;""),"只有「修改」才需填代碼",""))</f>
        <v/>
      </c>
      <c r="Y500" s="21"/>
      <c r="Z500" s="22"/>
      <c r="AA500" s="12" t="s">
        <v>1705</v>
      </c>
      <c r="AB500" s="24"/>
    </row>
    <row r="501" customFormat="false" ht="29.85" hidden="false" customHeight="false" outlineLevel="0" collapsed="false">
      <c r="A501" s="15" t="n">
        <v>500</v>
      </c>
      <c r="B501" s="9" t="s">
        <v>55</v>
      </c>
      <c r="C501" s="9" t="s">
        <v>555</v>
      </c>
      <c r="D501" s="10" t="s">
        <v>556</v>
      </c>
      <c r="E501" s="11" t="s">
        <v>1706</v>
      </c>
      <c r="F501" s="17"/>
      <c r="G501" s="12" t="s">
        <v>59</v>
      </c>
      <c r="H501" s="13" t="n">
        <v>-0.059</v>
      </c>
      <c r="I501" s="14"/>
      <c r="J501" s="17"/>
      <c r="K501" s="9"/>
      <c r="L501" s="15" t="s">
        <v>50</v>
      </c>
      <c r="M501" s="16" t="s">
        <v>51</v>
      </c>
      <c r="N501" s="14"/>
      <c r="O501" s="15" t="s">
        <v>52</v>
      </c>
      <c r="P501" s="17" t="s">
        <v>53</v>
      </c>
      <c r="Q501" s="15"/>
      <c r="R501" s="18" t="s">
        <v>51</v>
      </c>
      <c r="S501" s="19"/>
      <c r="T501" s="17" t="str">
        <f aca="false">IF(R501="維持",J501,IF(R501="排除","無關新聞事件",IFERROR(INDEX(事件規則!$B$2:$B$53,MATCH(S501,事件規則!$A$2:$A$53,0)),"")))</f>
        <v>無關新聞事件</v>
      </c>
      <c r="U501" s="20" t="n">
        <f aca="false">IF(R501="維持",K501,IF(R501="排除",0,IFERROR(INDEX(事件規則!$C$2:$C$53,MATCH(S501,事件規則!$A$2:$A$53,0)),"")))</f>
        <v>0</v>
      </c>
      <c r="V501" s="21"/>
      <c r="W501" s="22"/>
      <c r="X501" s="10" t="str">
        <f aca="false">IF(AND(R501="修改",S501=""),"請選新事件代碼",IF(AND(R501&lt;&gt;"修改",S501&lt;&gt;""),"只有「修改」才需填代碼",""))</f>
        <v/>
      </c>
      <c r="Y501" s="21"/>
      <c r="Z501" s="22"/>
      <c r="AA501" s="12" t="s">
        <v>1707</v>
      </c>
      <c r="AB501" s="24"/>
    </row>
    <row r="502" customFormat="false" ht="29.85" hidden="false" customHeight="false" outlineLevel="0" collapsed="false">
      <c r="A502" s="15" t="n">
        <v>501</v>
      </c>
      <c r="B502" s="9" t="s">
        <v>55</v>
      </c>
      <c r="C502" s="9" t="s">
        <v>524</v>
      </c>
      <c r="D502" s="10" t="s">
        <v>525</v>
      </c>
      <c r="E502" s="11" t="s">
        <v>1708</v>
      </c>
      <c r="F502" s="17"/>
      <c r="G502" s="12" t="s">
        <v>1709</v>
      </c>
      <c r="H502" s="13" t="n">
        <v>-0.059</v>
      </c>
      <c r="I502" s="14"/>
      <c r="J502" s="17"/>
      <c r="K502" s="9"/>
      <c r="L502" s="15" t="s">
        <v>50</v>
      </c>
      <c r="M502" s="16" t="s">
        <v>51</v>
      </c>
      <c r="N502" s="14"/>
      <c r="O502" s="15" t="s">
        <v>52</v>
      </c>
      <c r="P502" s="17" t="s">
        <v>53</v>
      </c>
      <c r="Q502" s="15"/>
      <c r="R502" s="18" t="s">
        <v>51</v>
      </c>
      <c r="S502" s="19"/>
      <c r="T502" s="17" t="str">
        <f aca="false">IF(R502="維持",J502,IF(R502="排除","無關新聞事件",IFERROR(INDEX(事件規則!$B$2:$B$53,MATCH(S502,事件規則!$A$2:$A$53,0)),"")))</f>
        <v>無關新聞事件</v>
      </c>
      <c r="U502" s="20" t="n">
        <f aca="false">IF(R502="維持",K502,IF(R502="排除",0,IFERROR(INDEX(事件規則!$C$2:$C$53,MATCH(S502,事件規則!$A$2:$A$53,0)),"")))</f>
        <v>0</v>
      </c>
      <c r="V502" s="21"/>
      <c r="W502" s="22"/>
      <c r="X502" s="10" t="str">
        <f aca="false">IF(AND(R502="修改",S502=""),"請選新事件代碼",IF(AND(R502&lt;&gt;"修改",S502&lt;&gt;""),"只有「修改」才需填代碼",""))</f>
        <v/>
      </c>
      <c r="Y502" s="21"/>
      <c r="Z502" s="22"/>
      <c r="AA502" s="12" t="s">
        <v>1710</v>
      </c>
      <c r="AB502" s="24"/>
    </row>
    <row r="503" customFormat="false" ht="29.85" hidden="false" customHeight="false" outlineLevel="0" collapsed="false">
      <c r="A503" s="15" t="n">
        <v>502</v>
      </c>
      <c r="B503" s="9" t="s">
        <v>45</v>
      </c>
      <c r="C503" s="9" t="s">
        <v>1711</v>
      </c>
      <c r="D503" s="10" t="s">
        <v>1712</v>
      </c>
      <c r="E503" s="11" t="s">
        <v>1713</v>
      </c>
      <c r="F503" s="17"/>
      <c r="G503" s="12" t="s">
        <v>95</v>
      </c>
      <c r="H503" s="13" t="n">
        <v>-0.059</v>
      </c>
      <c r="I503" s="14"/>
      <c r="J503" s="17"/>
      <c r="K503" s="9"/>
      <c r="L503" s="15" t="s">
        <v>50</v>
      </c>
      <c r="M503" s="16" t="s">
        <v>51</v>
      </c>
      <c r="N503" s="14"/>
      <c r="O503" s="15" t="s">
        <v>52</v>
      </c>
      <c r="P503" s="17" t="s">
        <v>53</v>
      </c>
      <c r="Q503" s="15"/>
      <c r="R503" s="18" t="s">
        <v>51</v>
      </c>
      <c r="S503" s="19"/>
      <c r="T503" s="17" t="str">
        <f aca="false">IF(R503="維持",J503,IF(R503="排除","無關新聞事件",IFERROR(INDEX(事件規則!$B$2:$B$53,MATCH(S503,事件規則!$A$2:$A$53,0)),"")))</f>
        <v>無關新聞事件</v>
      </c>
      <c r="U503" s="20" t="n">
        <f aca="false">IF(R503="維持",K503,IF(R503="排除",0,IFERROR(INDEX(事件規則!$C$2:$C$53,MATCH(S503,事件規則!$A$2:$A$53,0)),"")))</f>
        <v>0</v>
      </c>
      <c r="V503" s="21"/>
      <c r="W503" s="22"/>
      <c r="X503" s="10" t="str">
        <f aca="false">IF(AND(R503="修改",S503=""),"請選新事件代碼",IF(AND(R503&lt;&gt;"修改",S503&lt;&gt;""),"只有「修改」才需填代碼",""))</f>
        <v/>
      </c>
      <c r="Y503" s="21"/>
      <c r="Z503" s="22"/>
      <c r="AA503" s="12" t="s">
        <v>1714</v>
      </c>
      <c r="AB503" s="24"/>
    </row>
    <row r="504" customFormat="false" ht="29.85" hidden="false" customHeight="false" outlineLevel="0" collapsed="false">
      <c r="A504" s="15" t="n">
        <v>503</v>
      </c>
      <c r="B504" s="9" t="s">
        <v>55</v>
      </c>
      <c r="C504" s="9" t="s">
        <v>289</v>
      </c>
      <c r="D504" s="10" t="s">
        <v>290</v>
      </c>
      <c r="E504" s="11" t="s">
        <v>1715</v>
      </c>
      <c r="F504" s="17"/>
      <c r="G504" s="12" t="s">
        <v>176</v>
      </c>
      <c r="H504" s="13" t="n">
        <v>-0.059</v>
      </c>
      <c r="I504" s="14"/>
      <c r="J504" s="17"/>
      <c r="K504" s="9"/>
      <c r="L504" s="15" t="s">
        <v>50</v>
      </c>
      <c r="M504" s="16" t="s">
        <v>51</v>
      </c>
      <c r="N504" s="14"/>
      <c r="O504" s="15" t="s">
        <v>52</v>
      </c>
      <c r="P504" s="17" t="s">
        <v>53</v>
      </c>
      <c r="Q504" s="15"/>
      <c r="R504" s="18" t="s">
        <v>51</v>
      </c>
      <c r="S504" s="19"/>
      <c r="T504" s="17" t="str">
        <f aca="false">IF(R504="維持",J504,IF(R504="排除","無關新聞事件",IFERROR(INDEX(事件規則!$B$2:$B$53,MATCH(S504,事件規則!$A$2:$A$53,0)),"")))</f>
        <v>無關新聞事件</v>
      </c>
      <c r="U504" s="20" t="n">
        <f aca="false">IF(R504="維持",K504,IF(R504="排除",0,IFERROR(INDEX(事件規則!$C$2:$C$53,MATCH(S504,事件規則!$A$2:$A$53,0)),"")))</f>
        <v>0</v>
      </c>
      <c r="V504" s="21"/>
      <c r="W504" s="22"/>
      <c r="X504" s="10" t="str">
        <f aca="false">IF(AND(R504="修改",S504=""),"請選新事件代碼",IF(AND(R504&lt;&gt;"修改",S504&lt;&gt;""),"只有「修改」才需填代碼",""))</f>
        <v/>
      </c>
      <c r="Y504" s="21"/>
      <c r="Z504" s="22"/>
      <c r="AA504" s="12" t="s">
        <v>1716</v>
      </c>
      <c r="AB504" s="24"/>
    </row>
    <row r="505" customFormat="false" ht="29.85" hidden="false" customHeight="false" outlineLevel="0" collapsed="false">
      <c r="A505" s="15" t="n">
        <v>504</v>
      </c>
      <c r="B505" s="9" t="s">
        <v>45</v>
      </c>
      <c r="C505" s="9" t="s">
        <v>1717</v>
      </c>
      <c r="D505" s="10" t="s">
        <v>1718</v>
      </c>
      <c r="E505" s="11" t="s">
        <v>1719</v>
      </c>
      <c r="F505" s="17"/>
      <c r="G505" s="12" t="s">
        <v>176</v>
      </c>
      <c r="H505" s="13" t="n">
        <v>-0.059</v>
      </c>
      <c r="I505" s="14"/>
      <c r="J505" s="17"/>
      <c r="K505" s="9"/>
      <c r="L505" s="15" t="s">
        <v>50</v>
      </c>
      <c r="M505" s="16" t="s">
        <v>51</v>
      </c>
      <c r="N505" s="14"/>
      <c r="O505" s="15" t="s">
        <v>52</v>
      </c>
      <c r="P505" s="17" t="s">
        <v>53</v>
      </c>
      <c r="Q505" s="15"/>
      <c r="R505" s="18" t="s">
        <v>51</v>
      </c>
      <c r="S505" s="19"/>
      <c r="T505" s="17" t="str">
        <f aca="false">IF(R505="維持",J505,IF(R505="排除","無關新聞事件",IFERROR(INDEX(事件規則!$B$2:$B$53,MATCH(S505,事件規則!$A$2:$A$53,0)),"")))</f>
        <v>無關新聞事件</v>
      </c>
      <c r="U505" s="20" t="n">
        <f aca="false">IF(R505="維持",K505,IF(R505="排除",0,IFERROR(INDEX(事件規則!$C$2:$C$53,MATCH(S505,事件規則!$A$2:$A$53,0)),"")))</f>
        <v>0</v>
      </c>
      <c r="V505" s="21"/>
      <c r="W505" s="22"/>
      <c r="X505" s="10" t="str">
        <f aca="false">IF(AND(R505="修改",S505=""),"請選新事件代碼",IF(AND(R505&lt;&gt;"修改",S505&lt;&gt;""),"只有「修改」才需填代碼",""))</f>
        <v/>
      </c>
      <c r="Y505" s="21"/>
      <c r="Z505" s="22"/>
      <c r="AA505" s="12" t="s">
        <v>1720</v>
      </c>
      <c r="AB505" s="24"/>
    </row>
    <row r="506" customFormat="false" ht="29.85" hidden="false" customHeight="false" outlineLevel="0" collapsed="false">
      <c r="A506" s="15" t="n">
        <v>505</v>
      </c>
      <c r="B506" s="9" t="s">
        <v>45</v>
      </c>
      <c r="C506" s="9" t="s">
        <v>672</v>
      </c>
      <c r="D506" s="10" t="s">
        <v>673</v>
      </c>
      <c r="E506" s="11" t="s">
        <v>1721</v>
      </c>
      <c r="F506" s="17"/>
      <c r="G506" s="12" t="s">
        <v>1119</v>
      </c>
      <c r="H506" s="13" t="n">
        <v>-0.058</v>
      </c>
      <c r="I506" s="14"/>
      <c r="J506" s="17"/>
      <c r="K506" s="9"/>
      <c r="L506" s="15" t="s">
        <v>50</v>
      </c>
      <c r="M506" s="16" t="s">
        <v>51</v>
      </c>
      <c r="N506" s="14"/>
      <c r="O506" s="15" t="s">
        <v>52</v>
      </c>
      <c r="P506" s="17" t="s">
        <v>53</v>
      </c>
      <c r="Q506" s="15"/>
      <c r="R506" s="18" t="s">
        <v>51</v>
      </c>
      <c r="S506" s="19"/>
      <c r="T506" s="17" t="str">
        <f aca="false">IF(R506="維持",J506,IF(R506="排除","無關新聞事件",IFERROR(INDEX(事件規則!$B$2:$B$53,MATCH(S506,事件規則!$A$2:$A$53,0)),"")))</f>
        <v>無關新聞事件</v>
      </c>
      <c r="U506" s="20" t="n">
        <f aca="false">IF(R506="維持",K506,IF(R506="排除",0,IFERROR(INDEX(事件規則!$C$2:$C$53,MATCH(S506,事件規則!$A$2:$A$53,0)),"")))</f>
        <v>0</v>
      </c>
      <c r="V506" s="21"/>
      <c r="W506" s="22"/>
      <c r="X506" s="10" t="str">
        <f aca="false">IF(AND(R506="修改",S506=""),"請選新事件代碼",IF(AND(R506&lt;&gt;"修改",S506&lt;&gt;""),"只有「修改」才需填代碼",""))</f>
        <v/>
      </c>
      <c r="Y506" s="21"/>
      <c r="Z506" s="22"/>
      <c r="AA506" s="12" t="s">
        <v>1722</v>
      </c>
      <c r="AB506" s="24"/>
    </row>
    <row r="507" customFormat="false" ht="29.85" hidden="false" customHeight="false" outlineLevel="0" collapsed="false">
      <c r="A507" s="15" t="n">
        <v>506</v>
      </c>
      <c r="B507" s="9" t="s">
        <v>45</v>
      </c>
      <c r="C507" s="9" t="s">
        <v>1602</v>
      </c>
      <c r="D507" s="10" t="s">
        <v>1603</v>
      </c>
      <c r="E507" s="11" t="s">
        <v>1723</v>
      </c>
      <c r="F507" s="17"/>
      <c r="G507" s="12" t="s">
        <v>452</v>
      </c>
      <c r="H507" s="13" t="n">
        <v>-0.058</v>
      </c>
      <c r="I507" s="14"/>
      <c r="J507" s="17"/>
      <c r="K507" s="9"/>
      <c r="L507" s="15" t="s">
        <v>50</v>
      </c>
      <c r="M507" s="16" t="s">
        <v>51</v>
      </c>
      <c r="N507" s="14"/>
      <c r="O507" s="15" t="s">
        <v>52</v>
      </c>
      <c r="P507" s="17" t="s">
        <v>53</v>
      </c>
      <c r="Q507" s="15"/>
      <c r="R507" s="18" t="s">
        <v>51</v>
      </c>
      <c r="S507" s="19"/>
      <c r="T507" s="17" t="str">
        <f aca="false">IF(R507="維持",J507,IF(R507="排除","無關新聞事件",IFERROR(INDEX(事件規則!$B$2:$B$53,MATCH(S507,事件規則!$A$2:$A$53,0)),"")))</f>
        <v>無關新聞事件</v>
      </c>
      <c r="U507" s="20" t="n">
        <f aca="false">IF(R507="維持",K507,IF(R507="排除",0,IFERROR(INDEX(事件規則!$C$2:$C$53,MATCH(S507,事件規則!$A$2:$A$53,0)),"")))</f>
        <v>0</v>
      </c>
      <c r="V507" s="21"/>
      <c r="W507" s="22"/>
      <c r="X507" s="10" t="str">
        <f aca="false">IF(AND(R507="修改",S507=""),"請選新事件代碼",IF(AND(R507&lt;&gt;"修改",S507&lt;&gt;""),"只有「修改」才需填代碼",""))</f>
        <v/>
      </c>
      <c r="Y507" s="21"/>
      <c r="Z507" s="22"/>
      <c r="AA507" s="12" t="s">
        <v>1724</v>
      </c>
      <c r="AB507" s="24"/>
    </row>
    <row r="508" customFormat="false" ht="29.85" hidden="false" customHeight="false" outlineLevel="0" collapsed="false">
      <c r="A508" s="15" t="n">
        <v>507</v>
      </c>
      <c r="B508" s="9" t="s">
        <v>112</v>
      </c>
      <c r="C508" s="9" t="s">
        <v>1602</v>
      </c>
      <c r="D508" s="10" t="s">
        <v>1603</v>
      </c>
      <c r="E508" s="11" t="s">
        <v>1725</v>
      </c>
      <c r="F508" s="17"/>
      <c r="G508" s="12" t="s">
        <v>95</v>
      </c>
      <c r="H508" s="13" t="n">
        <v>-0.058</v>
      </c>
      <c r="I508" s="14"/>
      <c r="J508" s="17"/>
      <c r="K508" s="9"/>
      <c r="L508" s="15" t="s">
        <v>50</v>
      </c>
      <c r="M508" s="16" t="s">
        <v>51</v>
      </c>
      <c r="N508" s="14"/>
      <c r="O508" s="15" t="s">
        <v>52</v>
      </c>
      <c r="P508" s="17" t="s">
        <v>53</v>
      </c>
      <c r="Q508" s="15"/>
      <c r="R508" s="18" t="s">
        <v>51</v>
      </c>
      <c r="S508" s="19"/>
      <c r="T508" s="17" t="str">
        <f aca="false">IF(R508="維持",J508,IF(R508="排除","無關新聞事件",IFERROR(INDEX(事件規則!$B$2:$B$53,MATCH(S508,事件規則!$A$2:$A$53,0)),"")))</f>
        <v>無關新聞事件</v>
      </c>
      <c r="U508" s="20" t="n">
        <f aca="false">IF(R508="維持",K508,IF(R508="排除",0,IFERROR(INDEX(事件規則!$C$2:$C$53,MATCH(S508,事件規則!$A$2:$A$53,0)),"")))</f>
        <v>0</v>
      </c>
      <c r="V508" s="21"/>
      <c r="W508" s="22"/>
      <c r="X508" s="10" t="str">
        <f aca="false">IF(AND(R508="修改",S508=""),"請選新事件代碼",IF(AND(R508&lt;&gt;"修改",S508&lt;&gt;""),"只有「修改」才需填代碼",""))</f>
        <v/>
      </c>
      <c r="Y508" s="21"/>
      <c r="Z508" s="22"/>
      <c r="AA508" s="12" t="s">
        <v>1726</v>
      </c>
      <c r="AB508" s="24"/>
    </row>
    <row r="509" customFormat="false" ht="29.85" hidden="false" customHeight="false" outlineLevel="0" collapsed="false">
      <c r="A509" s="15" t="n">
        <v>508</v>
      </c>
      <c r="B509" s="9" t="s">
        <v>112</v>
      </c>
      <c r="C509" s="9" t="s">
        <v>1727</v>
      </c>
      <c r="D509" s="10" t="s">
        <v>1728</v>
      </c>
      <c r="E509" s="11" t="s">
        <v>1729</v>
      </c>
      <c r="F509" s="17"/>
      <c r="G509" s="12" t="s">
        <v>176</v>
      </c>
      <c r="H509" s="13" t="n">
        <v>-0.058</v>
      </c>
      <c r="I509" s="14"/>
      <c r="J509" s="17"/>
      <c r="K509" s="9"/>
      <c r="L509" s="15" t="s">
        <v>50</v>
      </c>
      <c r="M509" s="16" t="s">
        <v>51</v>
      </c>
      <c r="N509" s="14"/>
      <c r="O509" s="15" t="s">
        <v>52</v>
      </c>
      <c r="P509" s="17" t="s">
        <v>53</v>
      </c>
      <c r="Q509" s="15"/>
      <c r="R509" s="18" t="s">
        <v>51</v>
      </c>
      <c r="S509" s="19"/>
      <c r="T509" s="17" t="str">
        <f aca="false">IF(R509="維持",J509,IF(R509="排除","無關新聞事件",IFERROR(INDEX(事件規則!$B$2:$B$53,MATCH(S509,事件規則!$A$2:$A$53,0)),"")))</f>
        <v>無關新聞事件</v>
      </c>
      <c r="U509" s="20" t="n">
        <f aca="false">IF(R509="維持",K509,IF(R509="排除",0,IFERROR(INDEX(事件規則!$C$2:$C$53,MATCH(S509,事件規則!$A$2:$A$53,0)),"")))</f>
        <v>0</v>
      </c>
      <c r="V509" s="21"/>
      <c r="W509" s="22"/>
      <c r="X509" s="10" t="str">
        <f aca="false">IF(AND(R509="修改",S509=""),"請選新事件代碼",IF(AND(R509&lt;&gt;"修改",S509&lt;&gt;""),"只有「修改」才需填代碼",""))</f>
        <v/>
      </c>
      <c r="Y509" s="21"/>
      <c r="Z509" s="22"/>
      <c r="AA509" s="12" t="s">
        <v>1730</v>
      </c>
      <c r="AB509" s="24"/>
    </row>
    <row r="510" customFormat="false" ht="29.85" hidden="false" customHeight="false" outlineLevel="0" collapsed="false">
      <c r="A510" s="15" t="n">
        <v>509</v>
      </c>
      <c r="B510" s="9" t="s">
        <v>45</v>
      </c>
      <c r="C510" s="9" t="s">
        <v>1310</v>
      </c>
      <c r="D510" s="10" t="s">
        <v>1311</v>
      </c>
      <c r="E510" s="11" t="s">
        <v>1731</v>
      </c>
      <c r="F510" s="17"/>
      <c r="G510" s="12" t="s">
        <v>1732</v>
      </c>
      <c r="H510" s="13" t="n">
        <v>-0.058</v>
      </c>
      <c r="I510" s="14"/>
      <c r="J510" s="17"/>
      <c r="K510" s="9"/>
      <c r="L510" s="15" t="s">
        <v>50</v>
      </c>
      <c r="M510" s="16" t="s">
        <v>51</v>
      </c>
      <c r="N510" s="14"/>
      <c r="O510" s="15" t="s">
        <v>52</v>
      </c>
      <c r="P510" s="17" t="s">
        <v>53</v>
      </c>
      <c r="Q510" s="15"/>
      <c r="R510" s="18" t="s">
        <v>51</v>
      </c>
      <c r="S510" s="19"/>
      <c r="T510" s="17" t="str">
        <f aca="false">IF(R510="維持",J510,IF(R510="排除","無關新聞事件",IFERROR(INDEX(事件規則!$B$2:$B$53,MATCH(S510,事件規則!$A$2:$A$53,0)),"")))</f>
        <v>無關新聞事件</v>
      </c>
      <c r="U510" s="20" t="n">
        <f aca="false">IF(R510="維持",K510,IF(R510="排除",0,IFERROR(INDEX(事件規則!$C$2:$C$53,MATCH(S510,事件規則!$A$2:$A$53,0)),"")))</f>
        <v>0</v>
      </c>
      <c r="V510" s="21"/>
      <c r="W510" s="22"/>
      <c r="X510" s="10" t="str">
        <f aca="false">IF(AND(R510="修改",S510=""),"請選新事件代碼",IF(AND(R510&lt;&gt;"修改",S510&lt;&gt;""),"只有「修改」才需填代碼",""))</f>
        <v/>
      </c>
      <c r="Y510" s="21"/>
      <c r="Z510" s="22"/>
      <c r="AA510" s="12" t="s">
        <v>1733</v>
      </c>
      <c r="AB510" s="24"/>
    </row>
    <row r="511" customFormat="false" ht="29.85" hidden="false" customHeight="false" outlineLevel="0" collapsed="false">
      <c r="A511" s="15" t="n">
        <v>510</v>
      </c>
      <c r="B511" s="9" t="s">
        <v>55</v>
      </c>
      <c r="C511" s="9" t="s">
        <v>1734</v>
      </c>
      <c r="D511" s="10" t="s">
        <v>1735</v>
      </c>
      <c r="E511" s="11" t="s">
        <v>1736</v>
      </c>
      <c r="F511" s="17"/>
      <c r="G511" s="12" t="s">
        <v>1737</v>
      </c>
      <c r="H511" s="13" t="n">
        <v>-0.058</v>
      </c>
      <c r="I511" s="14"/>
      <c r="J511" s="17"/>
      <c r="K511" s="9"/>
      <c r="L511" s="15" t="s">
        <v>50</v>
      </c>
      <c r="M511" s="16" t="s">
        <v>51</v>
      </c>
      <c r="N511" s="14"/>
      <c r="O511" s="15" t="s">
        <v>52</v>
      </c>
      <c r="P511" s="17" t="s">
        <v>53</v>
      </c>
      <c r="Q511" s="15"/>
      <c r="R511" s="18" t="s">
        <v>51</v>
      </c>
      <c r="S511" s="19"/>
      <c r="T511" s="17" t="str">
        <f aca="false">IF(R511="維持",J511,IF(R511="排除","無關新聞事件",IFERROR(INDEX(事件規則!$B$2:$B$53,MATCH(S511,事件規則!$A$2:$A$53,0)),"")))</f>
        <v>無關新聞事件</v>
      </c>
      <c r="U511" s="20" t="n">
        <f aca="false">IF(R511="維持",K511,IF(R511="排除",0,IFERROR(INDEX(事件規則!$C$2:$C$53,MATCH(S511,事件規則!$A$2:$A$53,0)),"")))</f>
        <v>0</v>
      </c>
      <c r="V511" s="21"/>
      <c r="W511" s="22"/>
      <c r="X511" s="10" t="str">
        <f aca="false">IF(AND(R511="修改",S511=""),"請選新事件代碼",IF(AND(R511&lt;&gt;"修改",S511&lt;&gt;""),"只有「修改」才需填代碼",""))</f>
        <v/>
      </c>
      <c r="Y511" s="21"/>
      <c r="Z511" s="22"/>
      <c r="AA511" s="12" t="s">
        <v>1738</v>
      </c>
      <c r="AB511" s="24"/>
    </row>
    <row r="512" customFormat="false" ht="29.85" hidden="false" customHeight="false" outlineLevel="0" collapsed="false">
      <c r="A512" s="15" t="n">
        <v>511</v>
      </c>
      <c r="B512" s="9" t="s">
        <v>81</v>
      </c>
      <c r="C512" s="9" t="s">
        <v>1739</v>
      </c>
      <c r="D512" s="10" t="s">
        <v>1740</v>
      </c>
      <c r="E512" s="11" t="s">
        <v>1741</v>
      </c>
      <c r="F512" s="17"/>
      <c r="G512" s="12" t="s">
        <v>59</v>
      </c>
      <c r="H512" s="13" t="n">
        <v>-0.058</v>
      </c>
      <c r="I512" s="14"/>
      <c r="J512" s="17"/>
      <c r="K512" s="9"/>
      <c r="L512" s="15" t="s">
        <v>50</v>
      </c>
      <c r="M512" s="16" t="s">
        <v>51</v>
      </c>
      <c r="N512" s="14"/>
      <c r="O512" s="15" t="s">
        <v>52</v>
      </c>
      <c r="P512" s="17" t="s">
        <v>53</v>
      </c>
      <c r="Q512" s="15"/>
      <c r="R512" s="18" t="s">
        <v>51</v>
      </c>
      <c r="S512" s="19"/>
      <c r="T512" s="17" t="str">
        <f aca="false">IF(R512="維持",J512,IF(R512="排除","無關新聞事件",IFERROR(INDEX(事件規則!$B$2:$B$53,MATCH(S512,事件規則!$A$2:$A$53,0)),"")))</f>
        <v>無關新聞事件</v>
      </c>
      <c r="U512" s="20" t="n">
        <f aca="false">IF(R512="維持",K512,IF(R512="排除",0,IFERROR(INDEX(事件規則!$C$2:$C$53,MATCH(S512,事件規則!$A$2:$A$53,0)),"")))</f>
        <v>0</v>
      </c>
      <c r="V512" s="21"/>
      <c r="W512" s="22"/>
      <c r="X512" s="10" t="str">
        <f aca="false">IF(AND(R512="修改",S512=""),"請選新事件代碼",IF(AND(R512&lt;&gt;"修改",S512&lt;&gt;""),"只有「修改」才需填代碼",""))</f>
        <v/>
      </c>
      <c r="Y512" s="21"/>
      <c r="Z512" s="22"/>
      <c r="AA512" s="12" t="s">
        <v>1742</v>
      </c>
      <c r="AB512" s="24"/>
    </row>
    <row r="513" customFormat="false" ht="29.85" hidden="false" customHeight="false" outlineLevel="0" collapsed="false">
      <c r="A513" s="15" t="n">
        <v>512</v>
      </c>
      <c r="B513" s="9" t="s">
        <v>55</v>
      </c>
      <c r="C513" s="9" t="s">
        <v>1318</v>
      </c>
      <c r="D513" s="10" t="s">
        <v>1319</v>
      </c>
      <c r="E513" s="11" t="s">
        <v>1743</v>
      </c>
      <c r="F513" s="17"/>
      <c r="G513" s="12" t="s">
        <v>164</v>
      </c>
      <c r="H513" s="13" t="n">
        <v>-0.058</v>
      </c>
      <c r="I513" s="14"/>
      <c r="J513" s="17"/>
      <c r="K513" s="9"/>
      <c r="L513" s="15" t="s">
        <v>50</v>
      </c>
      <c r="M513" s="16" t="s">
        <v>51</v>
      </c>
      <c r="N513" s="14"/>
      <c r="O513" s="15" t="s">
        <v>52</v>
      </c>
      <c r="P513" s="17" t="s">
        <v>53</v>
      </c>
      <c r="Q513" s="15"/>
      <c r="R513" s="18" t="s">
        <v>51</v>
      </c>
      <c r="S513" s="19"/>
      <c r="T513" s="17" t="str">
        <f aca="false">IF(R513="維持",J513,IF(R513="排除","無關新聞事件",IFERROR(INDEX(事件規則!$B$2:$B$53,MATCH(S513,事件規則!$A$2:$A$53,0)),"")))</f>
        <v>無關新聞事件</v>
      </c>
      <c r="U513" s="20" t="n">
        <f aca="false">IF(R513="維持",K513,IF(R513="排除",0,IFERROR(INDEX(事件規則!$C$2:$C$53,MATCH(S513,事件規則!$A$2:$A$53,0)),"")))</f>
        <v>0</v>
      </c>
      <c r="V513" s="21"/>
      <c r="W513" s="22"/>
      <c r="X513" s="10" t="str">
        <f aca="false">IF(AND(R513="修改",S513=""),"請選新事件代碼",IF(AND(R513&lt;&gt;"修改",S513&lt;&gt;""),"只有「修改」才需填代碼",""))</f>
        <v/>
      </c>
      <c r="Y513" s="21"/>
      <c r="Z513" s="22"/>
      <c r="AA513" s="12" t="s">
        <v>1744</v>
      </c>
      <c r="AB513" s="24"/>
    </row>
    <row r="514" customFormat="false" ht="29.85" hidden="false" customHeight="false" outlineLevel="0" collapsed="false">
      <c r="A514" s="15" t="n">
        <v>513</v>
      </c>
      <c r="B514" s="9" t="s">
        <v>112</v>
      </c>
      <c r="C514" s="9" t="s">
        <v>139</v>
      </c>
      <c r="D514" s="10" t="s">
        <v>140</v>
      </c>
      <c r="E514" s="11" t="s">
        <v>1745</v>
      </c>
      <c r="F514" s="17"/>
      <c r="G514" s="12" t="s">
        <v>443</v>
      </c>
      <c r="H514" s="13" t="n">
        <v>-0.057</v>
      </c>
      <c r="I514" s="14"/>
      <c r="J514" s="17"/>
      <c r="K514" s="9"/>
      <c r="L514" s="15" t="s">
        <v>50</v>
      </c>
      <c r="M514" s="16" t="s">
        <v>51</v>
      </c>
      <c r="N514" s="14"/>
      <c r="O514" s="15" t="s">
        <v>52</v>
      </c>
      <c r="P514" s="17" t="s">
        <v>53</v>
      </c>
      <c r="Q514" s="15"/>
      <c r="R514" s="18" t="s">
        <v>51</v>
      </c>
      <c r="S514" s="19"/>
      <c r="T514" s="17" t="str">
        <f aca="false">IF(R514="維持",J514,IF(R514="排除","無關新聞事件",IFERROR(INDEX(事件規則!$B$2:$B$53,MATCH(S514,事件規則!$A$2:$A$53,0)),"")))</f>
        <v>無關新聞事件</v>
      </c>
      <c r="U514" s="20" t="n">
        <f aca="false">IF(R514="維持",K514,IF(R514="排除",0,IFERROR(INDEX(事件規則!$C$2:$C$53,MATCH(S514,事件規則!$A$2:$A$53,0)),"")))</f>
        <v>0</v>
      </c>
      <c r="V514" s="21"/>
      <c r="W514" s="22"/>
      <c r="X514" s="10" t="str">
        <f aca="false">IF(AND(R514="修改",S514=""),"請選新事件代碼",IF(AND(R514&lt;&gt;"修改",S514&lt;&gt;""),"只有「修改」才需填代碼",""))</f>
        <v/>
      </c>
      <c r="Y514" s="21"/>
      <c r="Z514" s="22"/>
      <c r="AA514" s="12" t="s">
        <v>1746</v>
      </c>
      <c r="AB514" s="24"/>
    </row>
    <row r="515" customFormat="false" ht="29.85" hidden="false" customHeight="false" outlineLevel="0" collapsed="false">
      <c r="A515" s="15" t="n">
        <v>514</v>
      </c>
      <c r="B515" s="9" t="s">
        <v>112</v>
      </c>
      <c r="C515" s="9" t="s">
        <v>1747</v>
      </c>
      <c r="D515" s="10" t="s">
        <v>1748</v>
      </c>
      <c r="E515" s="11" t="s">
        <v>1749</v>
      </c>
      <c r="F515" s="17"/>
      <c r="G515" s="12" t="s">
        <v>176</v>
      </c>
      <c r="H515" s="13" t="n">
        <v>-0.057</v>
      </c>
      <c r="I515" s="14"/>
      <c r="J515" s="17"/>
      <c r="K515" s="9"/>
      <c r="L515" s="15" t="s">
        <v>50</v>
      </c>
      <c r="M515" s="16" t="s">
        <v>51</v>
      </c>
      <c r="N515" s="14"/>
      <c r="O515" s="15" t="s">
        <v>52</v>
      </c>
      <c r="P515" s="17" t="s">
        <v>53</v>
      </c>
      <c r="Q515" s="15"/>
      <c r="R515" s="18" t="s">
        <v>51</v>
      </c>
      <c r="S515" s="19"/>
      <c r="T515" s="17" t="str">
        <f aca="false">IF(R515="維持",J515,IF(R515="排除","無關新聞事件",IFERROR(INDEX(事件規則!$B$2:$B$53,MATCH(S515,事件規則!$A$2:$A$53,0)),"")))</f>
        <v>無關新聞事件</v>
      </c>
      <c r="U515" s="20" t="n">
        <f aca="false">IF(R515="維持",K515,IF(R515="排除",0,IFERROR(INDEX(事件規則!$C$2:$C$53,MATCH(S515,事件規則!$A$2:$A$53,0)),"")))</f>
        <v>0</v>
      </c>
      <c r="V515" s="21"/>
      <c r="W515" s="22"/>
      <c r="X515" s="10" t="str">
        <f aca="false">IF(AND(R515="修改",S515=""),"請選新事件代碼",IF(AND(R515&lt;&gt;"修改",S515&lt;&gt;""),"只有「修改」才需填代碼",""))</f>
        <v/>
      </c>
      <c r="Y515" s="21"/>
      <c r="Z515" s="22"/>
      <c r="AA515" s="12" t="s">
        <v>1750</v>
      </c>
      <c r="AB515" s="24"/>
    </row>
    <row r="516" customFormat="false" ht="29.85" hidden="false" customHeight="false" outlineLevel="0" collapsed="false">
      <c r="A516" s="15" t="n">
        <v>515</v>
      </c>
      <c r="B516" s="9" t="s">
        <v>45</v>
      </c>
      <c r="C516" s="9" t="s">
        <v>449</v>
      </c>
      <c r="D516" s="10" t="s">
        <v>450</v>
      </c>
      <c r="E516" s="11" t="s">
        <v>1751</v>
      </c>
      <c r="F516" s="17"/>
      <c r="G516" s="12" t="s">
        <v>1752</v>
      </c>
      <c r="H516" s="13" t="n">
        <v>-0.057</v>
      </c>
      <c r="I516" s="14"/>
      <c r="J516" s="17"/>
      <c r="K516" s="9"/>
      <c r="L516" s="15" t="s">
        <v>50</v>
      </c>
      <c r="M516" s="16" t="s">
        <v>51</v>
      </c>
      <c r="N516" s="14"/>
      <c r="O516" s="15" t="s">
        <v>52</v>
      </c>
      <c r="P516" s="17" t="s">
        <v>53</v>
      </c>
      <c r="Q516" s="15"/>
      <c r="R516" s="18" t="s">
        <v>51</v>
      </c>
      <c r="S516" s="19"/>
      <c r="T516" s="17" t="str">
        <f aca="false">IF(R516="維持",J516,IF(R516="排除","無關新聞事件",IFERROR(INDEX(事件規則!$B$2:$B$53,MATCH(S516,事件規則!$A$2:$A$53,0)),"")))</f>
        <v>無關新聞事件</v>
      </c>
      <c r="U516" s="20" t="n">
        <f aca="false">IF(R516="維持",K516,IF(R516="排除",0,IFERROR(INDEX(事件規則!$C$2:$C$53,MATCH(S516,事件規則!$A$2:$A$53,0)),"")))</f>
        <v>0</v>
      </c>
      <c r="V516" s="21"/>
      <c r="W516" s="22"/>
      <c r="X516" s="10" t="str">
        <f aca="false">IF(AND(R516="修改",S516=""),"請選新事件代碼",IF(AND(R516&lt;&gt;"修改",S516&lt;&gt;""),"只有「修改」才需填代碼",""))</f>
        <v/>
      </c>
      <c r="Y516" s="21"/>
      <c r="Z516" s="22"/>
      <c r="AA516" s="12" t="s">
        <v>1753</v>
      </c>
      <c r="AB516" s="24"/>
    </row>
    <row r="517" customFormat="false" ht="29.85" hidden="false" customHeight="false" outlineLevel="0" collapsed="false">
      <c r="A517" s="15" t="n">
        <v>516</v>
      </c>
      <c r="B517" s="9" t="s">
        <v>45</v>
      </c>
      <c r="C517" s="9" t="s">
        <v>1754</v>
      </c>
      <c r="D517" s="10" t="s">
        <v>1755</v>
      </c>
      <c r="E517" s="11" t="s">
        <v>1756</v>
      </c>
      <c r="F517" s="17"/>
      <c r="G517" s="12" t="s">
        <v>176</v>
      </c>
      <c r="H517" s="13" t="n">
        <v>-0.057</v>
      </c>
      <c r="I517" s="14"/>
      <c r="J517" s="17"/>
      <c r="K517" s="9"/>
      <c r="L517" s="15" t="s">
        <v>50</v>
      </c>
      <c r="M517" s="16" t="s">
        <v>51</v>
      </c>
      <c r="N517" s="14"/>
      <c r="O517" s="15" t="s">
        <v>52</v>
      </c>
      <c r="P517" s="17" t="s">
        <v>53</v>
      </c>
      <c r="Q517" s="15"/>
      <c r="R517" s="18" t="s">
        <v>51</v>
      </c>
      <c r="S517" s="19"/>
      <c r="T517" s="17" t="str">
        <f aca="false">IF(R517="維持",J517,IF(R517="排除","無關新聞事件",IFERROR(INDEX(事件規則!$B$2:$B$53,MATCH(S517,事件規則!$A$2:$A$53,0)),"")))</f>
        <v>無關新聞事件</v>
      </c>
      <c r="U517" s="20" t="n">
        <f aca="false">IF(R517="維持",K517,IF(R517="排除",0,IFERROR(INDEX(事件規則!$C$2:$C$53,MATCH(S517,事件規則!$A$2:$A$53,0)),"")))</f>
        <v>0</v>
      </c>
      <c r="V517" s="21"/>
      <c r="W517" s="22"/>
      <c r="X517" s="10" t="str">
        <f aca="false">IF(AND(R517="修改",S517=""),"請選新事件代碼",IF(AND(R517&lt;&gt;"修改",S517&lt;&gt;""),"只有「修改」才需填代碼",""))</f>
        <v/>
      </c>
      <c r="Y517" s="21"/>
      <c r="Z517" s="22"/>
      <c r="AA517" s="12" t="s">
        <v>1757</v>
      </c>
      <c r="AB517" s="24"/>
    </row>
    <row r="518" customFormat="false" ht="29.85" hidden="false" customHeight="false" outlineLevel="0" collapsed="false">
      <c r="A518" s="15" t="n">
        <v>517</v>
      </c>
      <c r="B518" s="9" t="s">
        <v>81</v>
      </c>
      <c r="C518" s="9" t="s">
        <v>563</v>
      </c>
      <c r="D518" s="10" t="s">
        <v>564</v>
      </c>
      <c r="E518" s="11" t="s">
        <v>1758</v>
      </c>
      <c r="F518" s="17"/>
      <c r="G518" s="12" t="s">
        <v>142</v>
      </c>
      <c r="H518" s="13" t="n">
        <v>-0.056</v>
      </c>
      <c r="I518" s="14"/>
      <c r="J518" s="17"/>
      <c r="K518" s="9"/>
      <c r="L518" s="15" t="s">
        <v>50</v>
      </c>
      <c r="M518" s="16" t="s">
        <v>51</v>
      </c>
      <c r="N518" s="14"/>
      <c r="O518" s="15" t="s">
        <v>52</v>
      </c>
      <c r="P518" s="17" t="s">
        <v>53</v>
      </c>
      <c r="Q518" s="15"/>
      <c r="R518" s="18" t="s">
        <v>51</v>
      </c>
      <c r="S518" s="19"/>
      <c r="T518" s="17" t="str">
        <f aca="false">IF(R518="維持",J518,IF(R518="排除","無關新聞事件",IFERROR(INDEX(事件規則!$B$2:$B$53,MATCH(S518,事件規則!$A$2:$A$53,0)),"")))</f>
        <v>無關新聞事件</v>
      </c>
      <c r="U518" s="20" t="n">
        <f aca="false">IF(R518="維持",K518,IF(R518="排除",0,IFERROR(INDEX(事件規則!$C$2:$C$53,MATCH(S518,事件規則!$A$2:$A$53,0)),"")))</f>
        <v>0</v>
      </c>
      <c r="V518" s="21"/>
      <c r="W518" s="22"/>
      <c r="X518" s="10" t="str">
        <f aca="false">IF(AND(R518="修改",S518=""),"請選新事件代碼",IF(AND(R518&lt;&gt;"修改",S518&lt;&gt;""),"只有「修改」才需填代碼",""))</f>
        <v/>
      </c>
      <c r="Y518" s="21"/>
      <c r="Z518" s="22"/>
      <c r="AA518" s="12" t="s">
        <v>1759</v>
      </c>
      <c r="AB518" s="24"/>
    </row>
    <row r="519" customFormat="false" ht="29.85" hidden="false" customHeight="false" outlineLevel="0" collapsed="false">
      <c r="A519" s="15" t="n">
        <v>518</v>
      </c>
      <c r="B519" s="9" t="s">
        <v>45</v>
      </c>
      <c r="C519" s="9" t="s">
        <v>184</v>
      </c>
      <c r="D519" s="10" t="s">
        <v>185</v>
      </c>
      <c r="E519" s="11" t="s">
        <v>1760</v>
      </c>
      <c r="F519" s="17"/>
      <c r="G519" s="12" t="s">
        <v>176</v>
      </c>
      <c r="H519" s="13" t="n">
        <v>-0.056</v>
      </c>
      <c r="I519" s="14"/>
      <c r="J519" s="17"/>
      <c r="K519" s="9"/>
      <c r="L519" s="15" t="s">
        <v>50</v>
      </c>
      <c r="M519" s="16" t="s">
        <v>51</v>
      </c>
      <c r="N519" s="14"/>
      <c r="O519" s="15" t="s">
        <v>52</v>
      </c>
      <c r="P519" s="17" t="s">
        <v>53</v>
      </c>
      <c r="Q519" s="15"/>
      <c r="R519" s="18" t="s">
        <v>51</v>
      </c>
      <c r="S519" s="19"/>
      <c r="T519" s="17" t="str">
        <f aca="false">IF(R519="維持",J519,IF(R519="排除","無關新聞事件",IFERROR(INDEX(事件規則!$B$2:$B$53,MATCH(S519,事件規則!$A$2:$A$53,0)),"")))</f>
        <v>無關新聞事件</v>
      </c>
      <c r="U519" s="20" t="n">
        <f aca="false">IF(R519="維持",K519,IF(R519="排除",0,IFERROR(INDEX(事件規則!$C$2:$C$53,MATCH(S519,事件規則!$A$2:$A$53,0)),"")))</f>
        <v>0</v>
      </c>
      <c r="V519" s="21"/>
      <c r="W519" s="22"/>
      <c r="X519" s="10" t="str">
        <f aca="false">IF(AND(R519="修改",S519=""),"請選新事件代碼",IF(AND(R519&lt;&gt;"修改",S519&lt;&gt;""),"只有「修改」才需填代碼",""))</f>
        <v/>
      </c>
      <c r="Y519" s="21"/>
      <c r="Z519" s="22"/>
      <c r="AA519" s="12" t="s">
        <v>1761</v>
      </c>
      <c r="AB519" s="24"/>
    </row>
    <row r="520" customFormat="false" ht="29.85" hidden="false" customHeight="false" outlineLevel="0" collapsed="false">
      <c r="A520" s="15" t="n">
        <v>519</v>
      </c>
      <c r="B520" s="9" t="s">
        <v>45</v>
      </c>
      <c r="C520" s="9" t="s">
        <v>1762</v>
      </c>
      <c r="D520" s="10" t="s">
        <v>1763</v>
      </c>
      <c r="E520" s="11" t="s">
        <v>1764</v>
      </c>
      <c r="F520" s="17"/>
      <c r="G520" s="12" t="s">
        <v>176</v>
      </c>
      <c r="H520" s="13" t="n">
        <v>-0.056</v>
      </c>
      <c r="I520" s="14"/>
      <c r="J520" s="17"/>
      <c r="K520" s="9"/>
      <c r="L520" s="15" t="s">
        <v>50</v>
      </c>
      <c r="M520" s="16" t="s">
        <v>51</v>
      </c>
      <c r="N520" s="14"/>
      <c r="O520" s="15" t="s">
        <v>52</v>
      </c>
      <c r="P520" s="17" t="s">
        <v>53</v>
      </c>
      <c r="Q520" s="15"/>
      <c r="R520" s="18" t="s">
        <v>51</v>
      </c>
      <c r="S520" s="19"/>
      <c r="T520" s="17" t="str">
        <f aca="false">IF(R520="維持",J520,IF(R520="排除","無關新聞事件",IFERROR(INDEX(事件規則!$B$2:$B$53,MATCH(S520,事件規則!$A$2:$A$53,0)),"")))</f>
        <v>無關新聞事件</v>
      </c>
      <c r="U520" s="20" t="n">
        <f aca="false">IF(R520="維持",K520,IF(R520="排除",0,IFERROR(INDEX(事件規則!$C$2:$C$53,MATCH(S520,事件規則!$A$2:$A$53,0)),"")))</f>
        <v>0</v>
      </c>
      <c r="V520" s="21"/>
      <c r="W520" s="22"/>
      <c r="X520" s="10" t="str">
        <f aca="false">IF(AND(R520="修改",S520=""),"請選新事件代碼",IF(AND(R520&lt;&gt;"修改",S520&lt;&gt;""),"只有「修改」才需填代碼",""))</f>
        <v/>
      </c>
      <c r="Y520" s="21"/>
      <c r="Z520" s="22"/>
      <c r="AA520" s="12" t="s">
        <v>1765</v>
      </c>
      <c r="AB520" s="24"/>
    </row>
    <row r="521" customFormat="false" ht="29.85" hidden="false" customHeight="false" outlineLevel="0" collapsed="false">
      <c r="A521" s="15" t="n">
        <v>520</v>
      </c>
      <c r="B521" s="9" t="s">
        <v>45</v>
      </c>
      <c r="C521" s="9" t="s">
        <v>1334</v>
      </c>
      <c r="D521" s="10" t="s">
        <v>1335</v>
      </c>
      <c r="E521" s="11" t="s">
        <v>1766</v>
      </c>
      <c r="F521" s="17"/>
      <c r="G521" s="12" t="s">
        <v>176</v>
      </c>
      <c r="H521" s="13" t="n">
        <v>-0.056</v>
      </c>
      <c r="I521" s="14"/>
      <c r="J521" s="17"/>
      <c r="K521" s="9"/>
      <c r="L521" s="15" t="s">
        <v>50</v>
      </c>
      <c r="M521" s="16" t="s">
        <v>51</v>
      </c>
      <c r="N521" s="14"/>
      <c r="O521" s="15" t="s">
        <v>52</v>
      </c>
      <c r="P521" s="17" t="s">
        <v>53</v>
      </c>
      <c r="Q521" s="15"/>
      <c r="R521" s="18" t="s">
        <v>51</v>
      </c>
      <c r="S521" s="19"/>
      <c r="T521" s="17" t="str">
        <f aca="false">IF(R521="維持",J521,IF(R521="排除","無關新聞事件",IFERROR(INDEX(事件規則!$B$2:$B$53,MATCH(S521,事件規則!$A$2:$A$53,0)),"")))</f>
        <v>無關新聞事件</v>
      </c>
      <c r="U521" s="20" t="n">
        <f aca="false">IF(R521="維持",K521,IF(R521="排除",0,IFERROR(INDEX(事件規則!$C$2:$C$53,MATCH(S521,事件規則!$A$2:$A$53,0)),"")))</f>
        <v>0</v>
      </c>
      <c r="V521" s="21"/>
      <c r="W521" s="22"/>
      <c r="X521" s="10" t="str">
        <f aca="false">IF(AND(R521="修改",S521=""),"請選新事件代碼",IF(AND(R521&lt;&gt;"修改",S521&lt;&gt;""),"只有「修改」才需填代碼",""))</f>
        <v/>
      </c>
      <c r="Y521" s="21"/>
      <c r="Z521" s="22"/>
      <c r="AA521" s="12" t="s">
        <v>1767</v>
      </c>
      <c r="AB521" s="24"/>
    </row>
    <row r="522" customFormat="false" ht="29.85" hidden="false" customHeight="false" outlineLevel="0" collapsed="false">
      <c r="A522" s="15" t="n">
        <v>521</v>
      </c>
      <c r="B522" s="9" t="s">
        <v>55</v>
      </c>
      <c r="C522" s="9" t="s">
        <v>97</v>
      </c>
      <c r="D522" s="10" t="s">
        <v>98</v>
      </c>
      <c r="E522" s="11" t="s">
        <v>1768</v>
      </c>
      <c r="F522" s="17"/>
      <c r="G522" s="12" t="s">
        <v>59</v>
      </c>
      <c r="H522" s="13" t="n">
        <v>-0.056</v>
      </c>
      <c r="I522" s="14"/>
      <c r="J522" s="17"/>
      <c r="K522" s="9"/>
      <c r="L522" s="15" t="s">
        <v>50</v>
      </c>
      <c r="M522" s="16" t="s">
        <v>51</v>
      </c>
      <c r="N522" s="14"/>
      <c r="O522" s="15" t="s">
        <v>52</v>
      </c>
      <c r="P522" s="17" t="s">
        <v>53</v>
      </c>
      <c r="Q522" s="15"/>
      <c r="R522" s="18" t="s">
        <v>51</v>
      </c>
      <c r="S522" s="19"/>
      <c r="T522" s="17" t="str">
        <f aca="false">IF(R522="維持",J522,IF(R522="排除","無關新聞事件",IFERROR(INDEX(事件規則!$B$2:$B$53,MATCH(S522,事件規則!$A$2:$A$53,0)),"")))</f>
        <v>無關新聞事件</v>
      </c>
      <c r="U522" s="20" t="n">
        <f aca="false">IF(R522="維持",K522,IF(R522="排除",0,IFERROR(INDEX(事件規則!$C$2:$C$53,MATCH(S522,事件規則!$A$2:$A$53,0)),"")))</f>
        <v>0</v>
      </c>
      <c r="V522" s="21"/>
      <c r="W522" s="22"/>
      <c r="X522" s="10" t="str">
        <f aca="false">IF(AND(R522="修改",S522=""),"請選新事件代碼",IF(AND(R522&lt;&gt;"修改",S522&lt;&gt;""),"只有「修改」才需填代碼",""))</f>
        <v/>
      </c>
      <c r="Y522" s="21"/>
      <c r="Z522" s="22"/>
      <c r="AA522" s="12" t="s">
        <v>1769</v>
      </c>
      <c r="AB522" s="24"/>
    </row>
    <row r="523" customFormat="false" ht="29.85" hidden="false" customHeight="false" outlineLevel="0" collapsed="false">
      <c r="A523" s="15" t="n">
        <v>522</v>
      </c>
      <c r="B523" s="9" t="s">
        <v>55</v>
      </c>
      <c r="C523" s="9" t="s">
        <v>1770</v>
      </c>
      <c r="D523" s="10" t="s">
        <v>1771</v>
      </c>
      <c r="E523" s="11" t="s">
        <v>1772</v>
      </c>
      <c r="F523" s="17"/>
      <c r="G523" s="12" t="s">
        <v>49</v>
      </c>
      <c r="H523" s="13" t="n">
        <v>-0.056</v>
      </c>
      <c r="I523" s="14"/>
      <c r="J523" s="17"/>
      <c r="K523" s="9"/>
      <c r="L523" s="15" t="s">
        <v>50</v>
      </c>
      <c r="M523" s="16" t="s">
        <v>51</v>
      </c>
      <c r="N523" s="14"/>
      <c r="O523" s="15" t="s">
        <v>52</v>
      </c>
      <c r="P523" s="17" t="s">
        <v>53</v>
      </c>
      <c r="Q523" s="15"/>
      <c r="R523" s="18" t="s">
        <v>51</v>
      </c>
      <c r="S523" s="19"/>
      <c r="T523" s="17" t="str">
        <f aca="false">IF(R523="維持",J523,IF(R523="排除","無關新聞事件",IFERROR(INDEX(事件規則!$B$2:$B$53,MATCH(S523,事件規則!$A$2:$A$53,0)),"")))</f>
        <v>無關新聞事件</v>
      </c>
      <c r="U523" s="20" t="n">
        <f aca="false">IF(R523="維持",K523,IF(R523="排除",0,IFERROR(INDEX(事件規則!$C$2:$C$53,MATCH(S523,事件規則!$A$2:$A$53,0)),"")))</f>
        <v>0</v>
      </c>
      <c r="V523" s="21"/>
      <c r="W523" s="22"/>
      <c r="X523" s="10" t="str">
        <f aca="false">IF(AND(R523="修改",S523=""),"請選新事件代碼",IF(AND(R523&lt;&gt;"修改",S523&lt;&gt;""),"只有「修改」才需填代碼",""))</f>
        <v/>
      </c>
      <c r="Y523" s="21"/>
      <c r="Z523" s="22"/>
      <c r="AA523" s="12" t="s">
        <v>1773</v>
      </c>
      <c r="AB523" s="24"/>
    </row>
    <row r="524" customFormat="false" ht="29.85" hidden="false" customHeight="false" outlineLevel="0" collapsed="false">
      <c r="A524" s="15" t="n">
        <v>523</v>
      </c>
      <c r="B524" s="9" t="s">
        <v>112</v>
      </c>
      <c r="C524" s="9" t="s">
        <v>1774</v>
      </c>
      <c r="D524" s="10" t="s">
        <v>1775</v>
      </c>
      <c r="E524" s="11" t="s">
        <v>1776</v>
      </c>
      <c r="F524" s="17"/>
      <c r="G524" s="12" t="s">
        <v>1136</v>
      </c>
      <c r="H524" s="13" t="n">
        <v>-0.056</v>
      </c>
      <c r="I524" s="14"/>
      <c r="J524" s="17"/>
      <c r="K524" s="9"/>
      <c r="L524" s="15" t="s">
        <v>50</v>
      </c>
      <c r="M524" s="16" t="s">
        <v>51</v>
      </c>
      <c r="N524" s="14"/>
      <c r="O524" s="15" t="s">
        <v>52</v>
      </c>
      <c r="P524" s="17" t="s">
        <v>53</v>
      </c>
      <c r="Q524" s="15"/>
      <c r="R524" s="18" t="s">
        <v>51</v>
      </c>
      <c r="S524" s="19"/>
      <c r="T524" s="17" t="str">
        <f aca="false">IF(R524="維持",J524,IF(R524="排除","無關新聞事件",IFERROR(INDEX(事件規則!$B$2:$B$53,MATCH(S524,事件規則!$A$2:$A$53,0)),"")))</f>
        <v>無關新聞事件</v>
      </c>
      <c r="U524" s="20" t="n">
        <f aca="false">IF(R524="維持",K524,IF(R524="排除",0,IFERROR(INDEX(事件規則!$C$2:$C$53,MATCH(S524,事件規則!$A$2:$A$53,0)),"")))</f>
        <v>0</v>
      </c>
      <c r="V524" s="21"/>
      <c r="W524" s="22"/>
      <c r="X524" s="10" t="str">
        <f aca="false">IF(AND(R524="修改",S524=""),"請選新事件代碼",IF(AND(R524&lt;&gt;"修改",S524&lt;&gt;""),"只有「修改」才需填代碼",""))</f>
        <v/>
      </c>
      <c r="Y524" s="21"/>
      <c r="Z524" s="22"/>
      <c r="AA524" s="12" t="s">
        <v>1777</v>
      </c>
      <c r="AB524" s="24"/>
    </row>
    <row r="525" customFormat="false" ht="29.85" hidden="false" customHeight="false" outlineLevel="0" collapsed="false">
      <c r="A525" s="15" t="n">
        <v>524</v>
      </c>
      <c r="B525" s="9" t="s">
        <v>112</v>
      </c>
      <c r="C525" s="9" t="s">
        <v>518</v>
      </c>
      <c r="D525" s="10" t="s">
        <v>519</v>
      </c>
      <c r="E525" s="11" t="s">
        <v>1778</v>
      </c>
      <c r="F525" s="17"/>
      <c r="G525" s="12" t="s">
        <v>176</v>
      </c>
      <c r="H525" s="13" t="n">
        <v>-0.056</v>
      </c>
      <c r="I525" s="14"/>
      <c r="J525" s="17"/>
      <c r="K525" s="9"/>
      <c r="L525" s="15" t="s">
        <v>50</v>
      </c>
      <c r="M525" s="16" t="s">
        <v>51</v>
      </c>
      <c r="N525" s="14"/>
      <c r="O525" s="15" t="s">
        <v>52</v>
      </c>
      <c r="P525" s="17" t="s">
        <v>53</v>
      </c>
      <c r="Q525" s="15"/>
      <c r="R525" s="18" t="s">
        <v>51</v>
      </c>
      <c r="S525" s="19"/>
      <c r="T525" s="17" t="str">
        <f aca="false">IF(R525="維持",J525,IF(R525="排除","無關新聞事件",IFERROR(INDEX(事件規則!$B$2:$B$53,MATCH(S525,事件規則!$A$2:$A$53,0)),"")))</f>
        <v>無關新聞事件</v>
      </c>
      <c r="U525" s="20" t="n">
        <f aca="false">IF(R525="維持",K525,IF(R525="排除",0,IFERROR(INDEX(事件規則!$C$2:$C$53,MATCH(S525,事件規則!$A$2:$A$53,0)),"")))</f>
        <v>0</v>
      </c>
      <c r="V525" s="21"/>
      <c r="W525" s="22"/>
      <c r="X525" s="10" t="str">
        <f aca="false">IF(AND(R525="修改",S525=""),"請選新事件代碼",IF(AND(R525&lt;&gt;"修改",S525&lt;&gt;""),"只有「修改」才需填代碼",""))</f>
        <v/>
      </c>
      <c r="Y525" s="21"/>
      <c r="Z525" s="22"/>
      <c r="AA525" s="12" t="s">
        <v>1779</v>
      </c>
      <c r="AB525" s="24"/>
    </row>
    <row r="526" customFormat="false" ht="29.85" hidden="false" customHeight="false" outlineLevel="0" collapsed="false">
      <c r="A526" s="15" t="n">
        <v>525</v>
      </c>
      <c r="B526" s="9" t="s">
        <v>112</v>
      </c>
      <c r="C526" s="9" t="s">
        <v>414</v>
      </c>
      <c r="D526" s="10" t="s">
        <v>415</v>
      </c>
      <c r="E526" s="11" t="s">
        <v>1780</v>
      </c>
      <c r="F526" s="17"/>
      <c r="G526" s="12" t="s">
        <v>1781</v>
      </c>
      <c r="H526" s="13" t="n">
        <v>-0.056</v>
      </c>
      <c r="I526" s="14"/>
      <c r="J526" s="17"/>
      <c r="K526" s="9"/>
      <c r="L526" s="15" t="s">
        <v>50</v>
      </c>
      <c r="M526" s="16" t="s">
        <v>51</v>
      </c>
      <c r="N526" s="14"/>
      <c r="O526" s="15" t="s">
        <v>52</v>
      </c>
      <c r="P526" s="17" t="s">
        <v>53</v>
      </c>
      <c r="Q526" s="15"/>
      <c r="R526" s="18" t="s">
        <v>51</v>
      </c>
      <c r="S526" s="19"/>
      <c r="T526" s="17" t="str">
        <f aca="false">IF(R526="維持",J526,IF(R526="排除","無關新聞事件",IFERROR(INDEX(事件規則!$B$2:$B$53,MATCH(S526,事件規則!$A$2:$A$53,0)),"")))</f>
        <v>無關新聞事件</v>
      </c>
      <c r="U526" s="20" t="n">
        <f aca="false">IF(R526="維持",K526,IF(R526="排除",0,IFERROR(INDEX(事件規則!$C$2:$C$53,MATCH(S526,事件規則!$A$2:$A$53,0)),"")))</f>
        <v>0</v>
      </c>
      <c r="V526" s="21"/>
      <c r="W526" s="22"/>
      <c r="X526" s="10" t="str">
        <f aca="false">IF(AND(R526="修改",S526=""),"請選新事件代碼",IF(AND(R526&lt;&gt;"修改",S526&lt;&gt;""),"只有「修改」才需填代碼",""))</f>
        <v/>
      </c>
      <c r="Y526" s="21"/>
      <c r="Z526" s="22"/>
      <c r="AA526" s="12" t="s">
        <v>1782</v>
      </c>
      <c r="AB526" s="24"/>
    </row>
    <row r="527" customFormat="false" ht="29.85" hidden="false" customHeight="false" outlineLevel="0" collapsed="false">
      <c r="A527" s="15" t="n">
        <v>526</v>
      </c>
      <c r="B527" s="9" t="s">
        <v>45</v>
      </c>
      <c r="C527" s="9" t="s">
        <v>476</v>
      </c>
      <c r="D527" s="10" t="s">
        <v>477</v>
      </c>
      <c r="E527" s="11" t="s">
        <v>1783</v>
      </c>
      <c r="F527" s="17"/>
      <c r="G527" s="12" t="s">
        <v>49</v>
      </c>
      <c r="H527" s="13" t="n">
        <v>-0.056</v>
      </c>
      <c r="I527" s="14"/>
      <c r="J527" s="17"/>
      <c r="K527" s="9"/>
      <c r="L527" s="15" t="s">
        <v>50</v>
      </c>
      <c r="M527" s="16" t="s">
        <v>51</v>
      </c>
      <c r="N527" s="14"/>
      <c r="O527" s="15" t="s">
        <v>52</v>
      </c>
      <c r="P527" s="17" t="s">
        <v>53</v>
      </c>
      <c r="Q527" s="15"/>
      <c r="R527" s="18" t="s">
        <v>51</v>
      </c>
      <c r="S527" s="19"/>
      <c r="T527" s="17" t="str">
        <f aca="false">IF(R527="維持",J527,IF(R527="排除","無關新聞事件",IFERROR(INDEX(事件規則!$B$2:$B$53,MATCH(S527,事件規則!$A$2:$A$53,0)),"")))</f>
        <v>無關新聞事件</v>
      </c>
      <c r="U527" s="20" t="n">
        <f aca="false">IF(R527="維持",K527,IF(R527="排除",0,IFERROR(INDEX(事件規則!$C$2:$C$53,MATCH(S527,事件規則!$A$2:$A$53,0)),"")))</f>
        <v>0</v>
      </c>
      <c r="V527" s="21"/>
      <c r="W527" s="22"/>
      <c r="X527" s="10" t="str">
        <f aca="false">IF(AND(R527="修改",S527=""),"請選新事件代碼",IF(AND(R527&lt;&gt;"修改",S527&lt;&gt;""),"只有「修改」才需填代碼",""))</f>
        <v/>
      </c>
      <c r="Y527" s="21"/>
      <c r="Z527" s="22"/>
      <c r="AA527" s="12" t="s">
        <v>1784</v>
      </c>
      <c r="AB527" s="24"/>
    </row>
    <row r="528" customFormat="false" ht="29.85" hidden="false" customHeight="false" outlineLevel="0" collapsed="false">
      <c r="A528" s="15" t="n">
        <v>527</v>
      </c>
      <c r="B528" s="9" t="s">
        <v>81</v>
      </c>
      <c r="C528" s="9" t="s">
        <v>1785</v>
      </c>
      <c r="D528" s="10" t="s">
        <v>1786</v>
      </c>
      <c r="E528" s="11" t="s">
        <v>1787</v>
      </c>
      <c r="F528" s="17"/>
      <c r="G528" s="12" t="s">
        <v>59</v>
      </c>
      <c r="H528" s="13" t="n">
        <v>-0.056</v>
      </c>
      <c r="I528" s="14"/>
      <c r="J528" s="17"/>
      <c r="K528" s="9"/>
      <c r="L528" s="15" t="s">
        <v>50</v>
      </c>
      <c r="M528" s="16" t="s">
        <v>51</v>
      </c>
      <c r="N528" s="14"/>
      <c r="O528" s="15" t="s">
        <v>52</v>
      </c>
      <c r="P528" s="17" t="s">
        <v>53</v>
      </c>
      <c r="Q528" s="15"/>
      <c r="R528" s="18" t="s">
        <v>51</v>
      </c>
      <c r="S528" s="19"/>
      <c r="T528" s="17" t="str">
        <f aca="false">IF(R528="維持",J528,IF(R528="排除","無關新聞事件",IFERROR(INDEX(事件規則!$B$2:$B$53,MATCH(S528,事件規則!$A$2:$A$53,0)),"")))</f>
        <v>無關新聞事件</v>
      </c>
      <c r="U528" s="20" t="n">
        <f aca="false">IF(R528="維持",K528,IF(R528="排除",0,IFERROR(INDEX(事件規則!$C$2:$C$53,MATCH(S528,事件規則!$A$2:$A$53,0)),"")))</f>
        <v>0</v>
      </c>
      <c r="V528" s="21"/>
      <c r="W528" s="22"/>
      <c r="X528" s="10" t="str">
        <f aca="false">IF(AND(R528="修改",S528=""),"請選新事件代碼",IF(AND(R528&lt;&gt;"修改",S528&lt;&gt;""),"只有「修改」才需填代碼",""))</f>
        <v/>
      </c>
      <c r="Y528" s="21"/>
      <c r="Z528" s="22"/>
      <c r="AA528" s="12" t="s">
        <v>1788</v>
      </c>
      <c r="AB528" s="24"/>
    </row>
    <row r="529" customFormat="false" ht="29.85" hidden="false" customHeight="false" outlineLevel="0" collapsed="false">
      <c r="A529" s="15" t="n">
        <v>528</v>
      </c>
      <c r="B529" s="9" t="s">
        <v>81</v>
      </c>
      <c r="C529" s="9" t="s">
        <v>178</v>
      </c>
      <c r="D529" s="10" t="s">
        <v>179</v>
      </c>
      <c r="E529" s="11" t="s">
        <v>1789</v>
      </c>
      <c r="F529" s="17"/>
      <c r="G529" s="12" t="s">
        <v>1790</v>
      </c>
      <c r="H529" s="13" t="n">
        <v>-0.055</v>
      </c>
      <c r="I529" s="14"/>
      <c r="J529" s="17"/>
      <c r="K529" s="9"/>
      <c r="L529" s="15" t="s">
        <v>50</v>
      </c>
      <c r="M529" s="16" t="s">
        <v>51</v>
      </c>
      <c r="N529" s="14"/>
      <c r="O529" s="15" t="s">
        <v>52</v>
      </c>
      <c r="P529" s="17" t="s">
        <v>53</v>
      </c>
      <c r="Q529" s="15"/>
      <c r="R529" s="18" t="s">
        <v>51</v>
      </c>
      <c r="S529" s="19"/>
      <c r="T529" s="17" t="str">
        <f aca="false">IF(R529="維持",J529,IF(R529="排除","無關新聞事件",IFERROR(INDEX(事件規則!$B$2:$B$53,MATCH(S529,事件規則!$A$2:$A$53,0)),"")))</f>
        <v>無關新聞事件</v>
      </c>
      <c r="U529" s="20" t="n">
        <f aca="false">IF(R529="維持",K529,IF(R529="排除",0,IFERROR(INDEX(事件規則!$C$2:$C$53,MATCH(S529,事件規則!$A$2:$A$53,0)),"")))</f>
        <v>0</v>
      </c>
      <c r="V529" s="21"/>
      <c r="W529" s="22"/>
      <c r="X529" s="10" t="str">
        <f aca="false">IF(AND(R529="修改",S529=""),"請選新事件代碼",IF(AND(R529&lt;&gt;"修改",S529&lt;&gt;""),"只有「修改」才需填代碼",""))</f>
        <v/>
      </c>
      <c r="Y529" s="21"/>
      <c r="Z529" s="22"/>
      <c r="AA529" s="12" t="s">
        <v>1791</v>
      </c>
      <c r="AB529" s="24"/>
    </row>
    <row r="530" customFormat="false" ht="29.85" hidden="false" customHeight="false" outlineLevel="0" collapsed="false">
      <c r="A530" s="15" t="n">
        <v>529</v>
      </c>
      <c r="B530" s="9" t="s">
        <v>81</v>
      </c>
      <c r="C530" s="9" t="s">
        <v>303</v>
      </c>
      <c r="D530" s="10" t="s">
        <v>304</v>
      </c>
      <c r="E530" s="11" t="s">
        <v>1792</v>
      </c>
      <c r="F530" s="17"/>
      <c r="G530" s="12" t="s">
        <v>1793</v>
      </c>
      <c r="H530" s="13" t="n">
        <v>-0.055</v>
      </c>
      <c r="I530" s="14"/>
      <c r="J530" s="17"/>
      <c r="K530" s="9"/>
      <c r="L530" s="15" t="s">
        <v>50</v>
      </c>
      <c r="M530" s="16" t="s">
        <v>51</v>
      </c>
      <c r="N530" s="14"/>
      <c r="O530" s="15" t="s">
        <v>52</v>
      </c>
      <c r="P530" s="17" t="s">
        <v>53</v>
      </c>
      <c r="Q530" s="15"/>
      <c r="R530" s="18" t="s">
        <v>51</v>
      </c>
      <c r="S530" s="19"/>
      <c r="T530" s="17" t="str">
        <f aca="false">IF(R530="維持",J530,IF(R530="排除","無關新聞事件",IFERROR(INDEX(事件規則!$B$2:$B$53,MATCH(S530,事件規則!$A$2:$A$53,0)),"")))</f>
        <v>無關新聞事件</v>
      </c>
      <c r="U530" s="20" t="n">
        <f aca="false">IF(R530="維持",K530,IF(R530="排除",0,IFERROR(INDEX(事件規則!$C$2:$C$53,MATCH(S530,事件規則!$A$2:$A$53,0)),"")))</f>
        <v>0</v>
      </c>
      <c r="V530" s="21"/>
      <c r="W530" s="22"/>
      <c r="X530" s="10" t="str">
        <f aca="false">IF(AND(R530="修改",S530=""),"請選新事件代碼",IF(AND(R530&lt;&gt;"修改",S530&lt;&gt;""),"只有「修改」才需填代碼",""))</f>
        <v/>
      </c>
      <c r="Y530" s="21"/>
      <c r="Z530" s="22"/>
      <c r="AA530" s="12" t="s">
        <v>1794</v>
      </c>
      <c r="AB530" s="24"/>
    </row>
    <row r="531" customFormat="false" ht="29.85" hidden="false" customHeight="false" outlineLevel="0" collapsed="false">
      <c r="A531" s="15" t="n">
        <v>530</v>
      </c>
      <c r="B531" s="9" t="s">
        <v>55</v>
      </c>
      <c r="C531" s="9" t="s">
        <v>1334</v>
      </c>
      <c r="D531" s="10" t="s">
        <v>1335</v>
      </c>
      <c r="E531" s="11" t="s">
        <v>1795</v>
      </c>
      <c r="F531" s="17"/>
      <c r="G531" s="12" t="s">
        <v>482</v>
      </c>
      <c r="H531" s="13" t="n">
        <v>-0.055</v>
      </c>
      <c r="I531" s="14"/>
      <c r="J531" s="17"/>
      <c r="K531" s="9"/>
      <c r="L531" s="15" t="s">
        <v>50</v>
      </c>
      <c r="M531" s="16" t="s">
        <v>51</v>
      </c>
      <c r="N531" s="14"/>
      <c r="O531" s="15" t="s">
        <v>52</v>
      </c>
      <c r="P531" s="17" t="s">
        <v>53</v>
      </c>
      <c r="Q531" s="15"/>
      <c r="R531" s="18" t="s">
        <v>51</v>
      </c>
      <c r="S531" s="19"/>
      <c r="T531" s="17" t="str">
        <f aca="false">IF(R531="維持",J531,IF(R531="排除","無關新聞事件",IFERROR(INDEX(事件規則!$B$2:$B$53,MATCH(S531,事件規則!$A$2:$A$53,0)),"")))</f>
        <v>無關新聞事件</v>
      </c>
      <c r="U531" s="20" t="n">
        <f aca="false">IF(R531="維持",K531,IF(R531="排除",0,IFERROR(INDEX(事件規則!$C$2:$C$53,MATCH(S531,事件規則!$A$2:$A$53,0)),"")))</f>
        <v>0</v>
      </c>
      <c r="V531" s="21"/>
      <c r="W531" s="22"/>
      <c r="X531" s="10" t="str">
        <f aca="false">IF(AND(R531="修改",S531=""),"請選新事件代碼",IF(AND(R531&lt;&gt;"修改",S531&lt;&gt;""),"只有「修改」才需填代碼",""))</f>
        <v/>
      </c>
      <c r="Y531" s="21"/>
      <c r="Z531" s="22"/>
      <c r="AA531" s="12" t="s">
        <v>1796</v>
      </c>
      <c r="AB531" s="24"/>
    </row>
    <row r="532" customFormat="false" ht="29.85" hidden="false" customHeight="false" outlineLevel="0" collapsed="false">
      <c r="A532" s="15" t="n">
        <v>531</v>
      </c>
      <c r="B532" s="9" t="s">
        <v>55</v>
      </c>
      <c r="C532" s="9" t="s">
        <v>1797</v>
      </c>
      <c r="D532" s="10" t="s">
        <v>1798</v>
      </c>
      <c r="E532" s="11" t="s">
        <v>1799</v>
      </c>
      <c r="F532" s="17"/>
      <c r="G532" s="12" t="s">
        <v>49</v>
      </c>
      <c r="H532" s="13" t="n">
        <v>-0.055</v>
      </c>
      <c r="I532" s="14"/>
      <c r="J532" s="17"/>
      <c r="K532" s="9"/>
      <c r="L532" s="15" t="s">
        <v>50</v>
      </c>
      <c r="M532" s="16" t="s">
        <v>51</v>
      </c>
      <c r="N532" s="14"/>
      <c r="O532" s="15" t="s">
        <v>52</v>
      </c>
      <c r="P532" s="17" t="s">
        <v>53</v>
      </c>
      <c r="Q532" s="15"/>
      <c r="R532" s="18" t="s">
        <v>51</v>
      </c>
      <c r="S532" s="19"/>
      <c r="T532" s="17" t="str">
        <f aca="false">IF(R532="維持",J532,IF(R532="排除","無關新聞事件",IFERROR(INDEX(事件規則!$B$2:$B$53,MATCH(S532,事件規則!$A$2:$A$53,0)),"")))</f>
        <v>無關新聞事件</v>
      </c>
      <c r="U532" s="20" t="n">
        <f aca="false">IF(R532="維持",K532,IF(R532="排除",0,IFERROR(INDEX(事件規則!$C$2:$C$53,MATCH(S532,事件規則!$A$2:$A$53,0)),"")))</f>
        <v>0</v>
      </c>
      <c r="V532" s="21"/>
      <c r="W532" s="22"/>
      <c r="X532" s="10" t="str">
        <f aca="false">IF(AND(R532="修改",S532=""),"請選新事件代碼",IF(AND(R532&lt;&gt;"修改",S532&lt;&gt;""),"只有「修改」才需填代碼",""))</f>
        <v/>
      </c>
      <c r="Y532" s="21"/>
      <c r="Z532" s="22"/>
      <c r="AA532" s="12" t="s">
        <v>1800</v>
      </c>
      <c r="AB532" s="24"/>
    </row>
    <row r="533" customFormat="false" ht="29.85" hidden="false" customHeight="false" outlineLevel="0" collapsed="false">
      <c r="A533" s="15" t="n">
        <v>532</v>
      </c>
      <c r="B533" s="9" t="s">
        <v>55</v>
      </c>
      <c r="C533" s="9" t="s">
        <v>550</v>
      </c>
      <c r="D533" s="10" t="s">
        <v>551</v>
      </c>
      <c r="E533" s="11" t="s">
        <v>1801</v>
      </c>
      <c r="F533" s="17"/>
      <c r="G533" s="12" t="s">
        <v>49</v>
      </c>
      <c r="H533" s="13" t="n">
        <v>-0.054</v>
      </c>
      <c r="I533" s="14"/>
      <c r="J533" s="17"/>
      <c r="K533" s="9"/>
      <c r="L533" s="15" t="s">
        <v>50</v>
      </c>
      <c r="M533" s="16" t="s">
        <v>51</v>
      </c>
      <c r="N533" s="14"/>
      <c r="O533" s="15" t="s">
        <v>52</v>
      </c>
      <c r="P533" s="17" t="s">
        <v>53</v>
      </c>
      <c r="Q533" s="15"/>
      <c r="R533" s="18" t="s">
        <v>51</v>
      </c>
      <c r="S533" s="19"/>
      <c r="T533" s="17" t="str">
        <f aca="false">IF(R533="維持",J533,IF(R533="排除","無關新聞事件",IFERROR(INDEX(事件規則!$B$2:$B$53,MATCH(S533,事件規則!$A$2:$A$53,0)),"")))</f>
        <v>無關新聞事件</v>
      </c>
      <c r="U533" s="20" t="n">
        <f aca="false">IF(R533="維持",K533,IF(R533="排除",0,IFERROR(INDEX(事件規則!$C$2:$C$53,MATCH(S533,事件規則!$A$2:$A$53,0)),"")))</f>
        <v>0</v>
      </c>
      <c r="V533" s="21"/>
      <c r="W533" s="22"/>
      <c r="X533" s="10" t="str">
        <f aca="false">IF(AND(R533="修改",S533=""),"請選新事件代碼",IF(AND(R533&lt;&gt;"修改",S533&lt;&gt;""),"只有「修改」才需填代碼",""))</f>
        <v/>
      </c>
      <c r="Y533" s="21"/>
      <c r="Z533" s="22"/>
      <c r="AA533" s="12" t="s">
        <v>1802</v>
      </c>
      <c r="AB533" s="24"/>
    </row>
    <row r="534" customFormat="false" ht="29.85" hidden="false" customHeight="false" outlineLevel="0" collapsed="false">
      <c r="A534" s="15" t="n">
        <v>533</v>
      </c>
      <c r="B534" s="9" t="s">
        <v>55</v>
      </c>
      <c r="C534" s="9" t="s">
        <v>1231</v>
      </c>
      <c r="D534" s="10" t="s">
        <v>1232</v>
      </c>
      <c r="E534" s="11" t="s">
        <v>1803</v>
      </c>
      <c r="F534" s="17"/>
      <c r="G534" s="12" t="s">
        <v>1680</v>
      </c>
      <c r="H534" s="13" t="n">
        <v>-0.054</v>
      </c>
      <c r="I534" s="14"/>
      <c r="J534" s="17"/>
      <c r="K534" s="9"/>
      <c r="L534" s="15" t="s">
        <v>50</v>
      </c>
      <c r="M534" s="16" t="s">
        <v>51</v>
      </c>
      <c r="N534" s="14"/>
      <c r="O534" s="15" t="s">
        <v>52</v>
      </c>
      <c r="P534" s="17" t="s">
        <v>53</v>
      </c>
      <c r="Q534" s="15"/>
      <c r="R534" s="18" t="s">
        <v>51</v>
      </c>
      <c r="S534" s="19"/>
      <c r="T534" s="17" t="str">
        <f aca="false">IF(R534="維持",J534,IF(R534="排除","無關新聞事件",IFERROR(INDEX(事件規則!$B$2:$B$53,MATCH(S534,事件規則!$A$2:$A$53,0)),"")))</f>
        <v>無關新聞事件</v>
      </c>
      <c r="U534" s="20" t="n">
        <f aca="false">IF(R534="維持",K534,IF(R534="排除",0,IFERROR(INDEX(事件規則!$C$2:$C$53,MATCH(S534,事件規則!$A$2:$A$53,0)),"")))</f>
        <v>0</v>
      </c>
      <c r="V534" s="21"/>
      <c r="W534" s="22"/>
      <c r="X534" s="10" t="str">
        <f aca="false">IF(AND(R534="修改",S534=""),"請選新事件代碼",IF(AND(R534&lt;&gt;"修改",S534&lt;&gt;""),"只有「修改」才需填代碼",""))</f>
        <v/>
      </c>
      <c r="Y534" s="21"/>
      <c r="Z534" s="22"/>
      <c r="AA534" s="12" t="s">
        <v>1804</v>
      </c>
      <c r="AB534" s="24"/>
    </row>
    <row r="535" customFormat="false" ht="29.85" hidden="false" customHeight="false" outlineLevel="0" collapsed="false">
      <c r="A535" s="15" t="n">
        <v>534</v>
      </c>
      <c r="B535" s="9" t="s">
        <v>45</v>
      </c>
      <c r="C535" s="9" t="s">
        <v>1805</v>
      </c>
      <c r="D535" s="10" t="s">
        <v>1806</v>
      </c>
      <c r="E535" s="11" t="s">
        <v>1807</v>
      </c>
      <c r="F535" s="17"/>
      <c r="G535" s="12" t="s">
        <v>142</v>
      </c>
      <c r="H535" s="13" t="n">
        <v>-0.054</v>
      </c>
      <c r="I535" s="14"/>
      <c r="J535" s="17"/>
      <c r="K535" s="9"/>
      <c r="L535" s="15" t="s">
        <v>50</v>
      </c>
      <c r="M535" s="16" t="s">
        <v>51</v>
      </c>
      <c r="N535" s="14"/>
      <c r="O535" s="15" t="s">
        <v>52</v>
      </c>
      <c r="P535" s="17" t="s">
        <v>53</v>
      </c>
      <c r="Q535" s="15"/>
      <c r="R535" s="18" t="s">
        <v>51</v>
      </c>
      <c r="S535" s="19"/>
      <c r="T535" s="17" t="str">
        <f aca="false">IF(R535="維持",J535,IF(R535="排除","無關新聞事件",IFERROR(INDEX(事件規則!$B$2:$B$53,MATCH(S535,事件規則!$A$2:$A$53,0)),"")))</f>
        <v>無關新聞事件</v>
      </c>
      <c r="U535" s="20" t="n">
        <f aca="false">IF(R535="維持",K535,IF(R535="排除",0,IFERROR(INDEX(事件規則!$C$2:$C$53,MATCH(S535,事件規則!$A$2:$A$53,0)),"")))</f>
        <v>0</v>
      </c>
      <c r="V535" s="21"/>
      <c r="W535" s="22"/>
      <c r="X535" s="10" t="str">
        <f aca="false">IF(AND(R535="修改",S535=""),"請選新事件代碼",IF(AND(R535&lt;&gt;"修改",S535&lt;&gt;""),"只有「修改」才需填代碼",""))</f>
        <v/>
      </c>
      <c r="Y535" s="21"/>
      <c r="Z535" s="22"/>
      <c r="AA535" s="12" t="s">
        <v>1808</v>
      </c>
      <c r="AB535" s="24"/>
    </row>
    <row r="536" customFormat="false" ht="29.85" hidden="false" customHeight="false" outlineLevel="0" collapsed="false">
      <c r="A536" s="15" t="n">
        <v>535</v>
      </c>
      <c r="B536" s="9" t="s">
        <v>112</v>
      </c>
      <c r="C536" s="9" t="s">
        <v>654</v>
      </c>
      <c r="D536" s="10" t="s">
        <v>655</v>
      </c>
      <c r="E536" s="11" t="s">
        <v>1809</v>
      </c>
      <c r="F536" s="17"/>
      <c r="G536" s="12" t="s">
        <v>324</v>
      </c>
      <c r="H536" s="13" t="n">
        <v>-0.053</v>
      </c>
      <c r="I536" s="14"/>
      <c r="J536" s="17"/>
      <c r="K536" s="9"/>
      <c r="L536" s="15" t="s">
        <v>50</v>
      </c>
      <c r="M536" s="16" t="s">
        <v>51</v>
      </c>
      <c r="N536" s="14"/>
      <c r="O536" s="15" t="s">
        <v>52</v>
      </c>
      <c r="P536" s="17" t="s">
        <v>53</v>
      </c>
      <c r="Q536" s="15"/>
      <c r="R536" s="18" t="s">
        <v>51</v>
      </c>
      <c r="S536" s="19"/>
      <c r="T536" s="17" t="str">
        <f aca="false">IF(R536="維持",J536,IF(R536="排除","無關新聞事件",IFERROR(INDEX(事件規則!$B$2:$B$53,MATCH(S536,事件規則!$A$2:$A$53,0)),"")))</f>
        <v>無關新聞事件</v>
      </c>
      <c r="U536" s="20" t="n">
        <f aca="false">IF(R536="維持",K536,IF(R536="排除",0,IFERROR(INDEX(事件規則!$C$2:$C$53,MATCH(S536,事件規則!$A$2:$A$53,0)),"")))</f>
        <v>0</v>
      </c>
      <c r="V536" s="21"/>
      <c r="W536" s="22"/>
      <c r="X536" s="10" t="str">
        <f aca="false">IF(AND(R536="修改",S536=""),"請選新事件代碼",IF(AND(R536&lt;&gt;"修改",S536&lt;&gt;""),"只有「修改」才需填代碼",""))</f>
        <v/>
      </c>
      <c r="Y536" s="21"/>
      <c r="Z536" s="22"/>
      <c r="AA536" s="12" t="s">
        <v>1810</v>
      </c>
      <c r="AB536" s="24"/>
    </row>
    <row r="537" customFormat="false" ht="29.85" hidden="false" customHeight="false" outlineLevel="0" collapsed="false">
      <c r="A537" s="15" t="n">
        <v>536</v>
      </c>
      <c r="B537" s="9" t="s">
        <v>112</v>
      </c>
      <c r="C537" s="9" t="s">
        <v>964</v>
      </c>
      <c r="D537" s="10" t="s">
        <v>965</v>
      </c>
      <c r="E537" s="23" t="s">
        <v>1811</v>
      </c>
      <c r="F537" s="17" t="s">
        <v>1812</v>
      </c>
      <c r="G537" s="12" t="s">
        <v>176</v>
      </c>
      <c r="H537" s="13" t="n">
        <v>-0.053</v>
      </c>
      <c r="I537" s="14"/>
      <c r="J537" s="17"/>
      <c r="K537" s="9"/>
      <c r="L537" s="15" t="s">
        <v>50</v>
      </c>
      <c r="M537" s="16" t="s">
        <v>51</v>
      </c>
      <c r="N537" s="14"/>
      <c r="O537" s="15" t="s">
        <v>52</v>
      </c>
      <c r="P537" s="17" t="s">
        <v>53</v>
      </c>
      <c r="Q537" s="15"/>
      <c r="R537" s="18" t="s">
        <v>51</v>
      </c>
      <c r="S537" s="19"/>
      <c r="T537" s="17" t="str">
        <f aca="false">IF(R537="維持",J537,IF(R537="排除","無關新聞事件",IFERROR(INDEX(事件規則!$B$2:$B$53,MATCH(S537,事件規則!$A$2:$A$53,0)),"")))</f>
        <v>無關新聞事件</v>
      </c>
      <c r="U537" s="20" t="n">
        <f aca="false">IF(R537="維持",K537,IF(R537="排除",0,IFERROR(INDEX(事件規則!$C$2:$C$53,MATCH(S537,事件規則!$A$2:$A$53,0)),"")))</f>
        <v>0</v>
      </c>
      <c r="V537" s="21"/>
      <c r="W537" s="22"/>
      <c r="X537" s="10" t="str">
        <f aca="false">IF(AND(R537="修改",S537=""),"請選新事件代碼",IF(AND(R537&lt;&gt;"修改",S537&lt;&gt;""),"只有「修改」才需填代碼",""))</f>
        <v/>
      </c>
      <c r="Y537" s="21"/>
      <c r="Z537" s="22"/>
      <c r="AA537" s="12" t="s">
        <v>1813</v>
      </c>
      <c r="AB537" s="24"/>
    </row>
    <row r="538" customFormat="false" ht="29.85" hidden="false" customHeight="false" outlineLevel="0" collapsed="false">
      <c r="A538" s="15" t="n">
        <v>537</v>
      </c>
      <c r="B538" s="9" t="s">
        <v>45</v>
      </c>
      <c r="C538" s="9" t="s">
        <v>1814</v>
      </c>
      <c r="D538" s="10" t="s">
        <v>1815</v>
      </c>
      <c r="E538" s="11" t="s">
        <v>1816</v>
      </c>
      <c r="F538" s="17"/>
      <c r="G538" s="12" t="s">
        <v>176</v>
      </c>
      <c r="H538" s="13" t="n">
        <v>-0.053</v>
      </c>
      <c r="I538" s="14"/>
      <c r="J538" s="17"/>
      <c r="K538" s="9"/>
      <c r="L538" s="15" t="s">
        <v>50</v>
      </c>
      <c r="M538" s="16" t="s">
        <v>51</v>
      </c>
      <c r="N538" s="14"/>
      <c r="O538" s="15" t="s">
        <v>52</v>
      </c>
      <c r="P538" s="17" t="s">
        <v>53</v>
      </c>
      <c r="Q538" s="15"/>
      <c r="R538" s="18" t="s">
        <v>51</v>
      </c>
      <c r="S538" s="19"/>
      <c r="T538" s="17" t="str">
        <f aca="false">IF(R538="維持",J538,IF(R538="排除","無關新聞事件",IFERROR(INDEX(事件規則!$B$2:$B$53,MATCH(S538,事件規則!$A$2:$A$53,0)),"")))</f>
        <v>無關新聞事件</v>
      </c>
      <c r="U538" s="20" t="n">
        <f aca="false">IF(R538="維持",K538,IF(R538="排除",0,IFERROR(INDEX(事件規則!$C$2:$C$53,MATCH(S538,事件規則!$A$2:$A$53,0)),"")))</f>
        <v>0</v>
      </c>
      <c r="V538" s="21"/>
      <c r="W538" s="22"/>
      <c r="X538" s="10" t="str">
        <f aca="false">IF(AND(R538="修改",S538=""),"請選新事件代碼",IF(AND(R538&lt;&gt;"修改",S538&lt;&gt;""),"只有「修改」才需填代碼",""))</f>
        <v/>
      </c>
      <c r="Y538" s="21"/>
      <c r="Z538" s="22"/>
      <c r="AA538" s="12" t="s">
        <v>1817</v>
      </c>
      <c r="AB538" s="24"/>
    </row>
    <row r="539" customFormat="false" ht="29.85" hidden="false" customHeight="false" outlineLevel="0" collapsed="false">
      <c r="A539" s="15" t="n">
        <v>538</v>
      </c>
      <c r="B539" s="9" t="s">
        <v>45</v>
      </c>
      <c r="C539" s="9" t="s">
        <v>540</v>
      </c>
      <c r="D539" s="10" t="s">
        <v>541</v>
      </c>
      <c r="E539" s="11" t="s">
        <v>1818</v>
      </c>
      <c r="F539" s="17"/>
      <c r="G539" s="12" t="s">
        <v>59</v>
      </c>
      <c r="H539" s="13" t="n">
        <v>-0.053</v>
      </c>
      <c r="I539" s="14"/>
      <c r="J539" s="17"/>
      <c r="K539" s="9"/>
      <c r="L539" s="15" t="s">
        <v>50</v>
      </c>
      <c r="M539" s="16" t="s">
        <v>51</v>
      </c>
      <c r="N539" s="14"/>
      <c r="O539" s="15" t="s">
        <v>52</v>
      </c>
      <c r="P539" s="17" t="s">
        <v>53</v>
      </c>
      <c r="Q539" s="15"/>
      <c r="R539" s="18" t="s">
        <v>51</v>
      </c>
      <c r="S539" s="19"/>
      <c r="T539" s="17" t="str">
        <f aca="false">IF(R539="維持",J539,IF(R539="排除","無關新聞事件",IFERROR(INDEX(事件規則!$B$2:$B$53,MATCH(S539,事件規則!$A$2:$A$53,0)),"")))</f>
        <v>無關新聞事件</v>
      </c>
      <c r="U539" s="20" t="n">
        <f aca="false">IF(R539="維持",K539,IF(R539="排除",0,IFERROR(INDEX(事件規則!$C$2:$C$53,MATCH(S539,事件規則!$A$2:$A$53,0)),"")))</f>
        <v>0</v>
      </c>
      <c r="V539" s="21"/>
      <c r="W539" s="22"/>
      <c r="X539" s="10" t="str">
        <f aca="false">IF(AND(R539="修改",S539=""),"請選新事件代碼",IF(AND(R539&lt;&gt;"修改",S539&lt;&gt;""),"只有「修改」才需填代碼",""))</f>
        <v/>
      </c>
      <c r="Y539" s="21"/>
      <c r="Z539" s="22"/>
      <c r="AA539" s="12" t="s">
        <v>1819</v>
      </c>
      <c r="AB539" s="24"/>
    </row>
    <row r="540" customFormat="false" ht="29.85" hidden="false" customHeight="false" outlineLevel="0" collapsed="false">
      <c r="A540" s="15" t="n">
        <v>539</v>
      </c>
      <c r="B540" s="9" t="s">
        <v>81</v>
      </c>
      <c r="C540" s="9" t="s">
        <v>1805</v>
      </c>
      <c r="D540" s="10" t="s">
        <v>1806</v>
      </c>
      <c r="E540" s="11" t="s">
        <v>1820</v>
      </c>
      <c r="F540" s="17"/>
      <c r="G540" s="12" t="s">
        <v>142</v>
      </c>
      <c r="H540" s="13" t="n">
        <v>-0.053</v>
      </c>
      <c r="I540" s="14"/>
      <c r="J540" s="17"/>
      <c r="K540" s="9"/>
      <c r="L540" s="15" t="s">
        <v>50</v>
      </c>
      <c r="M540" s="16" t="s">
        <v>51</v>
      </c>
      <c r="N540" s="14"/>
      <c r="O540" s="15" t="s">
        <v>52</v>
      </c>
      <c r="P540" s="17" t="s">
        <v>53</v>
      </c>
      <c r="Q540" s="15"/>
      <c r="R540" s="18" t="s">
        <v>51</v>
      </c>
      <c r="S540" s="19"/>
      <c r="T540" s="17" t="str">
        <f aca="false">IF(R540="維持",J540,IF(R540="排除","無關新聞事件",IFERROR(INDEX(事件規則!$B$2:$B$53,MATCH(S540,事件規則!$A$2:$A$53,0)),"")))</f>
        <v>無關新聞事件</v>
      </c>
      <c r="U540" s="20" t="n">
        <f aca="false">IF(R540="維持",K540,IF(R540="排除",0,IFERROR(INDEX(事件規則!$C$2:$C$53,MATCH(S540,事件規則!$A$2:$A$53,0)),"")))</f>
        <v>0</v>
      </c>
      <c r="V540" s="21"/>
      <c r="W540" s="22"/>
      <c r="X540" s="10" t="str">
        <f aca="false">IF(AND(R540="修改",S540=""),"請選新事件代碼",IF(AND(R540&lt;&gt;"修改",S540&lt;&gt;""),"只有「修改」才需填代碼",""))</f>
        <v/>
      </c>
      <c r="Y540" s="21"/>
      <c r="Z540" s="22"/>
      <c r="AA540" s="12" t="s">
        <v>1821</v>
      </c>
      <c r="AB540" s="24"/>
    </row>
    <row r="541" customFormat="false" ht="29.85" hidden="false" customHeight="false" outlineLevel="0" collapsed="false">
      <c r="A541" s="15" t="n">
        <v>540</v>
      </c>
      <c r="B541" s="9" t="s">
        <v>81</v>
      </c>
      <c r="C541" s="9" t="s">
        <v>178</v>
      </c>
      <c r="D541" s="10" t="s">
        <v>179</v>
      </c>
      <c r="E541" s="11" t="s">
        <v>1822</v>
      </c>
      <c r="F541" s="17"/>
      <c r="G541" s="12" t="s">
        <v>649</v>
      </c>
      <c r="H541" s="13" t="n">
        <v>-0.053</v>
      </c>
      <c r="I541" s="14"/>
      <c r="J541" s="17"/>
      <c r="K541" s="9"/>
      <c r="L541" s="15" t="s">
        <v>50</v>
      </c>
      <c r="M541" s="16" t="s">
        <v>51</v>
      </c>
      <c r="N541" s="14"/>
      <c r="O541" s="15" t="s">
        <v>52</v>
      </c>
      <c r="P541" s="17" t="s">
        <v>53</v>
      </c>
      <c r="Q541" s="15"/>
      <c r="R541" s="18" t="s">
        <v>51</v>
      </c>
      <c r="S541" s="19"/>
      <c r="T541" s="17" t="str">
        <f aca="false">IF(R541="維持",J541,IF(R541="排除","無關新聞事件",IFERROR(INDEX(事件規則!$B$2:$B$53,MATCH(S541,事件規則!$A$2:$A$53,0)),"")))</f>
        <v>無關新聞事件</v>
      </c>
      <c r="U541" s="20" t="n">
        <f aca="false">IF(R541="維持",K541,IF(R541="排除",0,IFERROR(INDEX(事件規則!$C$2:$C$53,MATCH(S541,事件規則!$A$2:$A$53,0)),"")))</f>
        <v>0</v>
      </c>
      <c r="V541" s="21"/>
      <c r="W541" s="22"/>
      <c r="X541" s="10" t="str">
        <f aca="false">IF(AND(R541="修改",S541=""),"請選新事件代碼",IF(AND(R541&lt;&gt;"修改",S541&lt;&gt;""),"只有「修改」才需填代碼",""))</f>
        <v/>
      </c>
      <c r="Y541" s="21"/>
      <c r="Z541" s="22"/>
      <c r="AA541" s="12" t="s">
        <v>1823</v>
      </c>
      <c r="AB541" s="24"/>
    </row>
    <row r="542" customFormat="false" ht="29.85" hidden="false" customHeight="false" outlineLevel="0" collapsed="false">
      <c r="A542" s="15" t="n">
        <v>541</v>
      </c>
      <c r="B542" s="9" t="s">
        <v>45</v>
      </c>
      <c r="C542" s="9" t="s">
        <v>1555</v>
      </c>
      <c r="D542" s="10" t="s">
        <v>1556</v>
      </c>
      <c r="E542" s="11" t="s">
        <v>1824</v>
      </c>
      <c r="F542" s="17"/>
      <c r="G542" s="12" t="s">
        <v>116</v>
      </c>
      <c r="H542" s="13" t="n">
        <v>-0.052</v>
      </c>
      <c r="I542" s="14"/>
      <c r="J542" s="17"/>
      <c r="K542" s="9"/>
      <c r="L542" s="15" t="s">
        <v>50</v>
      </c>
      <c r="M542" s="16" t="s">
        <v>51</v>
      </c>
      <c r="N542" s="14"/>
      <c r="O542" s="15" t="s">
        <v>52</v>
      </c>
      <c r="P542" s="17" t="s">
        <v>53</v>
      </c>
      <c r="Q542" s="15"/>
      <c r="R542" s="18" t="s">
        <v>51</v>
      </c>
      <c r="S542" s="19"/>
      <c r="T542" s="17" t="str">
        <f aca="false">IF(R542="維持",J542,IF(R542="排除","無關新聞事件",IFERROR(INDEX(事件規則!$B$2:$B$53,MATCH(S542,事件規則!$A$2:$A$53,0)),"")))</f>
        <v>無關新聞事件</v>
      </c>
      <c r="U542" s="20" t="n">
        <f aca="false">IF(R542="維持",K542,IF(R542="排除",0,IFERROR(INDEX(事件規則!$C$2:$C$53,MATCH(S542,事件規則!$A$2:$A$53,0)),"")))</f>
        <v>0</v>
      </c>
      <c r="V542" s="21"/>
      <c r="W542" s="22"/>
      <c r="X542" s="10" t="str">
        <f aca="false">IF(AND(R542="修改",S542=""),"請選新事件代碼",IF(AND(R542&lt;&gt;"修改",S542&lt;&gt;""),"只有「修改」才需填代碼",""))</f>
        <v/>
      </c>
      <c r="Y542" s="21"/>
      <c r="Z542" s="22"/>
      <c r="AA542" s="12" t="s">
        <v>1825</v>
      </c>
      <c r="AB542" s="24"/>
    </row>
    <row r="543" customFormat="false" ht="29.85" hidden="false" customHeight="false" outlineLevel="0" collapsed="false">
      <c r="A543" s="15" t="n">
        <v>542</v>
      </c>
      <c r="B543" s="9" t="s">
        <v>45</v>
      </c>
      <c r="C543" s="9" t="s">
        <v>144</v>
      </c>
      <c r="D543" s="10" t="s">
        <v>145</v>
      </c>
      <c r="E543" s="11" t="s">
        <v>1826</v>
      </c>
      <c r="F543" s="17"/>
      <c r="G543" s="12" t="s">
        <v>1827</v>
      </c>
      <c r="H543" s="13" t="n">
        <v>-0.052</v>
      </c>
      <c r="I543" s="14"/>
      <c r="J543" s="17"/>
      <c r="K543" s="9"/>
      <c r="L543" s="15" t="s">
        <v>50</v>
      </c>
      <c r="M543" s="16" t="s">
        <v>51</v>
      </c>
      <c r="N543" s="14"/>
      <c r="O543" s="15" t="s">
        <v>52</v>
      </c>
      <c r="P543" s="17" t="s">
        <v>53</v>
      </c>
      <c r="Q543" s="15"/>
      <c r="R543" s="18" t="s">
        <v>51</v>
      </c>
      <c r="S543" s="19"/>
      <c r="T543" s="17" t="str">
        <f aca="false">IF(R543="維持",J543,IF(R543="排除","無關新聞事件",IFERROR(INDEX(事件規則!$B$2:$B$53,MATCH(S543,事件規則!$A$2:$A$53,0)),"")))</f>
        <v>無關新聞事件</v>
      </c>
      <c r="U543" s="20" t="n">
        <f aca="false">IF(R543="維持",K543,IF(R543="排除",0,IFERROR(INDEX(事件規則!$C$2:$C$53,MATCH(S543,事件規則!$A$2:$A$53,0)),"")))</f>
        <v>0</v>
      </c>
      <c r="V543" s="21"/>
      <c r="W543" s="22"/>
      <c r="X543" s="10" t="str">
        <f aca="false">IF(AND(R543="修改",S543=""),"請選新事件代碼",IF(AND(R543&lt;&gt;"修改",S543&lt;&gt;""),"只有「修改」才需填代碼",""))</f>
        <v/>
      </c>
      <c r="Y543" s="21"/>
      <c r="Z543" s="22"/>
      <c r="AA543" s="12" t="s">
        <v>1828</v>
      </c>
      <c r="AB543" s="24"/>
    </row>
    <row r="544" customFormat="false" ht="29.85" hidden="false" customHeight="false" outlineLevel="0" collapsed="false">
      <c r="A544" s="15" t="n">
        <v>543</v>
      </c>
      <c r="B544" s="9" t="s">
        <v>55</v>
      </c>
      <c r="C544" s="9" t="s">
        <v>1829</v>
      </c>
      <c r="D544" s="10" t="s">
        <v>1830</v>
      </c>
      <c r="E544" s="11" t="s">
        <v>1831</v>
      </c>
      <c r="F544" s="17"/>
      <c r="G544" s="12" t="s">
        <v>176</v>
      </c>
      <c r="H544" s="13" t="n">
        <v>-0.052</v>
      </c>
      <c r="I544" s="14"/>
      <c r="J544" s="17"/>
      <c r="K544" s="9"/>
      <c r="L544" s="15" t="s">
        <v>50</v>
      </c>
      <c r="M544" s="16" t="s">
        <v>51</v>
      </c>
      <c r="N544" s="14"/>
      <c r="O544" s="15" t="s">
        <v>52</v>
      </c>
      <c r="P544" s="17" t="s">
        <v>53</v>
      </c>
      <c r="Q544" s="15"/>
      <c r="R544" s="18" t="s">
        <v>51</v>
      </c>
      <c r="S544" s="19"/>
      <c r="T544" s="17" t="str">
        <f aca="false">IF(R544="維持",J544,IF(R544="排除","無關新聞事件",IFERROR(INDEX(事件規則!$B$2:$B$53,MATCH(S544,事件規則!$A$2:$A$53,0)),"")))</f>
        <v>無關新聞事件</v>
      </c>
      <c r="U544" s="20" t="n">
        <f aca="false">IF(R544="維持",K544,IF(R544="排除",0,IFERROR(INDEX(事件規則!$C$2:$C$53,MATCH(S544,事件規則!$A$2:$A$53,0)),"")))</f>
        <v>0</v>
      </c>
      <c r="V544" s="21"/>
      <c r="W544" s="22"/>
      <c r="X544" s="10" t="str">
        <f aca="false">IF(AND(R544="修改",S544=""),"請選新事件代碼",IF(AND(R544&lt;&gt;"修改",S544&lt;&gt;""),"只有「修改」才需填代碼",""))</f>
        <v/>
      </c>
      <c r="Y544" s="21"/>
      <c r="Z544" s="22"/>
      <c r="AA544" s="12" t="s">
        <v>1832</v>
      </c>
      <c r="AB544" s="24"/>
    </row>
    <row r="545" customFormat="false" ht="29.85" hidden="false" customHeight="false" outlineLevel="0" collapsed="false">
      <c r="A545" s="15" t="n">
        <v>544</v>
      </c>
      <c r="B545" s="9" t="s">
        <v>45</v>
      </c>
      <c r="C545" s="9" t="s">
        <v>1833</v>
      </c>
      <c r="D545" s="10" t="s">
        <v>1834</v>
      </c>
      <c r="E545" s="11" t="s">
        <v>1835</v>
      </c>
      <c r="F545" s="17"/>
      <c r="G545" s="12" t="s">
        <v>49</v>
      </c>
      <c r="H545" s="13" t="n">
        <v>-0.051</v>
      </c>
      <c r="I545" s="14"/>
      <c r="J545" s="17"/>
      <c r="K545" s="9"/>
      <c r="L545" s="15" t="s">
        <v>50</v>
      </c>
      <c r="M545" s="16" t="s">
        <v>51</v>
      </c>
      <c r="N545" s="14"/>
      <c r="O545" s="15" t="s">
        <v>52</v>
      </c>
      <c r="P545" s="17" t="s">
        <v>53</v>
      </c>
      <c r="Q545" s="15"/>
      <c r="R545" s="18" t="s">
        <v>51</v>
      </c>
      <c r="S545" s="19"/>
      <c r="T545" s="17" t="str">
        <f aca="false">IF(R545="維持",J545,IF(R545="排除","無關新聞事件",IFERROR(INDEX(事件規則!$B$2:$B$53,MATCH(S545,事件規則!$A$2:$A$53,0)),"")))</f>
        <v>無關新聞事件</v>
      </c>
      <c r="U545" s="20" t="n">
        <f aca="false">IF(R545="維持",K545,IF(R545="排除",0,IFERROR(INDEX(事件規則!$C$2:$C$53,MATCH(S545,事件規則!$A$2:$A$53,0)),"")))</f>
        <v>0</v>
      </c>
      <c r="V545" s="21"/>
      <c r="W545" s="22"/>
      <c r="X545" s="10" t="str">
        <f aca="false">IF(AND(R545="修改",S545=""),"請選新事件代碼",IF(AND(R545&lt;&gt;"修改",S545&lt;&gt;""),"只有「修改」才需填代碼",""))</f>
        <v/>
      </c>
      <c r="Y545" s="21"/>
      <c r="Z545" s="22"/>
      <c r="AA545" s="12" t="s">
        <v>1836</v>
      </c>
      <c r="AB545" s="24"/>
    </row>
    <row r="546" customFormat="false" ht="29.85" hidden="false" customHeight="false" outlineLevel="0" collapsed="false">
      <c r="A546" s="15" t="n">
        <v>545</v>
      </c>
      <c r="B546" s="9" t="s">
        <v>112</v>
      </c>
      <c r="C546" s="9" t="s">
        <v>744</v>
      </c>
      <c r="D546" s="10" t="s">
        <v>745</v>
      </c>
      <c r="E546" s="11" t="s">
        <v>1837</v>
      </c>
      <c r="F546" s="17"/>
      <c r="G546" s="12" t="s">
        <v>1838</v>
      </c>
      <c r="H546" s="13" t="n">
        <v>-0.051</v>
      </c>
      <c r="I546" s="14"/>
      <c r="J546" s="17"/>
      <c r="K546" s="9"/>
      <c r="L546" s="15" t="s">
        <v>50</v>
      </c>
      <c r="M546" s="16" t="s">
        <v>51</v>
      </c>
      <c r="N546" s="14"/>
      <c r="O546" s="15" t="s">
        <v>52</v>
      </c>
      <c r="P546" s="17" t="s">
        <v>53</v>
      </c>
      <c r="Q546" s="15"/>
      <c r="R546" s="18" t="s">
        <v>51</v>
      </c>
      <c r="S546" s="19"/>
      <c r="T546" s="17" t="str">
        <f aca="false">IF(R546="維持",J546,IF(R546="排除","無關新聞事件",IFERROR(INDEX(事件規則!$B$2:$B$53,MATCH(S546,事件規則!$A$2:$A$53,0)),"")))</f>
        <v>無關新聞事件</v>
      </c>
      <c r="U546" s="20" t="n">
        <f aca="false">IF(R546="維持",K546,IF(R546="排除",0,IFERROR(INDEX(事件規則!$C$2:$C$53,MATCH(S546,事件規則!$A$2:$A$53,0)),"")))</f>
        <v>0</v>
      </c>
      <c r="V546" s="21"/>
      <c r="W546" s="22"/>
      <c r="X546" s="10" t="str">
        <f aca="false">IF(AND(R546="修改",S546=""),"請選新事件代碼",IF(AND(R546&lt;&gt;"修改",S546&lt;&gt;""),"只有「修改」才需填代碼",""))</f>
        <v/>
      </c>
      <c r="Y546" s="21"/>
      <c r="Z546" s="22"/>
      <c r="AA546" s="12" t="s">
        <v>1839</v>
      </c>
      <c r="AB546" s="24"/>
    </row>
    <row r="547" customFormat="false" ht="29.85" hidden="false" customHeight="false" outlineLevel="0" collapsed="false">
      <c r="A547" s="15" t="n">
        <v>546</v>
      </c>
      <c r="B547" s="9" t="s">
        <v>45</v>
      </c>
      <c r="C547" s="9" t="s">
        <v>427</v>
      </c>
      <c r="D547" s="10" t="s">
        <v>428</v>
      </c>
      <c r="E547" s="11" t="s">
        <v>1840</v>
      </c>
      <c r="F547" s="17"/>
      <c r="G547" s="12" t="s">
        <v>176</v>
      </c>
      <c r="H547" s="13" t="n">
        <v>-0.05</v>
      </c>
      <c r="I547" s="14"/>
      <c r="J547" s="17"/>
      <c r="K547" s="9"/>
      <c r="L547" s="15" t="s">
        <v>50</v>
      </c>
      <c r="M547" s="16" t="s">
        <v>51</v>
      </c>
      <c r="N547" s="14"/>
      <c r="O547" s="15" t="s">
        <v>52</v>
      </c>
      <c r="P547" s="17" t="s">
        <v>53</v>
      </c>
      <c r="Q547" s="15"/>
      <c r="R547" s="18" t="s">
        <v>51</v>
      </c>
      <c r="S547" s="19"/>
      <c r="T547" s="17" t="str">
        <f aca="false">IF(R547="維持",J547,IF(R547="排除","無關新聞事件",IFERROR(INDEX(事件規則!$B$2:$B$53,MATCH(S547,事件規則!$A$2:$A$53,0)),"")))</f>
        <v>無關新聞事件</v>
      </c>
      <c r="U547" s="20" t="n">
        <f aca="false">IF(R547="維持",K547,IF(R547="排除",0,IFERROR(INDEX(事件規則!$C$2:$C$53,MATCH(S547,事件規則!$A$2:$A$53,0)),"")))</f>
        <v>0</v>
      </c>
      <c r="V547" s="21"/>
      <c r="W547" s="22"/>
      <c r="X547" s="10" t="str">
        <f aca="false">IF(AND(R547="修改",S547=""),"請選新事件代碼",IF(AND(R547&lt;&gt;"修改",S547&lt;&gt;""),"只有「修改」才需填代碼",""))</f>
        <v/>
      </c>
      <c r="Y547" s="21"/>
      <c r="Z547" s="22"/>
      <c r="AA547" s="12" t="s">
        <v>1841</v>
      </c>
      <c r="AB547" s="24"/>
    </row>
    <row r="548" customFormat="false" ht="29.85" hidden="false" customHeight="false" outlineLevel="0" collapsed="false">
      <c r="A548" s="15" t="n">
        <v>547</v>
      </c>
      <c r="B548" s="9" t="s">
        <v>112</v>
      </c>
      <c r="C548" s="9" t="s">
        <v>404</v>
      </c>
      <c r="D548" s="10" t="s">
        <v>405</v>
      </c>
      <c r="E548" s="11" t="s">
        <v>1842</v>
      </c>
      <c r="F548" s="17"/>
      <c r="G548" s="12" t="s">
        <v>1843</v>
      </c>
      <c r="H548" s="13" t="n">
        <v>-0.05</v>
      </c>
      <c r="I548" s="14"/>
      <c r="J548" s="17"/>
      <c r="K548" s="9"/>
      <c r="L548" s="15" t="s">
        <v>50</v>
      </c>
      <c r="M548" s="16" t="s">
        <v>51</v>
      </c>
      <c r="N548" s="14"/>
      <c r="O548" s="15" t="s">
        <v>52</v>
      </c>
      <c r="P548" s="17" t="s">
        <v>53</v>
      </c>
      <c r="Q548" s="15"/>
      <c r="R548" s="18" t="s">
        <v>51</v>
      </c>
      <c r="S548" s="19"/>
      <c r="T548" s="17" t="str">
        <f aca="false">IF(R548="維持",J548,IF(R548="排除","無關新聞事件",IFERROR(INDEX(事件規則!$B$2:$B$53,MATCH(S548,事件規則!$A$2:$A$53,0)),"")))</f>
        <v>無關新聞事件</v>
      </c>
      <c r="U548" s="20" t="n">
        <f aca="false">IF(R548="維持",K548,IF(R548="排除",0,IFERROR(INDEX(事件規則!$C$2:$C$53,MATCH(S548,事件規則!$A$2:$A$53,0)),"")))</f>
        <v>0</v>
      </c>
      <c r="V548" s="21"/>
      <c r="W548" s="22"/>
      <c r="X548" s="10" t="str">
        <f aca="false">IF(AND(R548="修改",S548=""),"請選新事件代碼",IF(AND(R548&lt;&gt;"修改",S548&lt;&gt;""),"只有「修改」才需填代碼",""))</f>
        <v/>
      </c>
      <c r="Y548" s="21"/>
      <c r="Z548" s="22"/>
      <c r="AA548" s="12" t="s">
        <v>1844</v>
      </c>
      <c r="AB548" s="24"/>
    </row>
    <row r="549" customFormat="false" ht="29.85" hidden="false" customHeight="false" outlineLevel="0" collapsed="false">
      <c r="A549" s="15" t="n">
        <v>548</v>
      </c>
      <c r="B549" s="9" t="s">
        <v>45</v>
      </c>
      <c r="C549" s="9" t="s">
        <v>355</v>
      </c>
      <c r="D549" s="10" t="s">
        <v>356</v>
      </c>
      <c r="E549" s="11" t="s">
        <v>1845</v>
      </c>
      <c r="F549" s="17"/>
      <c r="G549" s="12" t="s">
        <v>1846</v>
      </c>
      <c r="H549" s="13" t="n">
        <v>-0.05</v>
      </c>
      <c r="I549" s="14"/>
      <c r="J549" s="17"/>
      <c r="K549" s="9"/>
      <c r="L549" s="15" t="s">
        <v>50</v>
      </c>
      <c r="M549" s="16" t="s">
        <v>51</v>
      </c>
      <c r="N549" s="14"/>
      <c r="O549" s="15" t="s">
        <v>52</v>
      </c>
      <c r="P549" s="17" t="s">
        <v>53</v>
      </c>
      <c r="Q549" s="15"/>
      <c r="R549" s="18" t="s">
        <v>51</v>
      </c>
      <c r="S549" s="19"/>
      <c r="T549" s="17" t="str">
        <f aca="false">IF(R549="維持",J549,IF(R549="排除","無關新聞事件",IFERROR(INDEX(事件規則!$B$2:$B$53,MATCH(S549,事件規則!$A$2:$A$53,0)),"")))</f>
        <v>無關新聞事件</v>
      </c>
      <c r="U549" s="20" t="n">
        <f aca="false">IF(R549="維持",K549,IF(R549="排除",0,IFERROR(INDEX(事件規則!$C$2:$C$53,MATCH(S549,事件規則!$A$2:$A$53,0)),"")))</f>
        <v>0</v>
      </c>
      <c r="V549" s="21"/>
      <c r="W549" s="22"/>
      <c r="X549" s="10" t="str">
        <f aca="false">IF(AND(R549="修改",S549=""),"請選新事件代碼",IF(AND(R549&lt;&gt;"修改",S549&lt;&gt;""),"只有「修改」才需填代碼",""))</f>
        <v/>
      </c>
      <c r="Y549" s="21"/>
      <c r="Z549" s="22"/>
      <c r="AA549" s="12" t="s">
        <v>1847</v>
      </c>
      <c r="AB549" s="24"/>
    </row>
    <row r="550" customFormat="false" ht="29.85" hidden="false" customHeight="false" outlineLevel="0" collapsed="false">
      <c r="A550" s="15" t="n">
        <v>549</v>
      </c>
      <c r="B550" s="9" t="s">
        <v>45</v>
      </c>
      <c r="C550" s="9" t="s">
        <v>964</v>
      </c>
      <c r="D550" s="10" t="s">
        <v>965</v>
      </c>
      <c r="E550" s="11" t="s">
        <v>1848</v>
      </c>
      <c r="F550" s="17"/>
      <c r="G550" s="12" t="s">
        <v>1752</v>
      </c>
      <c r="H550" s="13" t="n">
        <v>-0.05</v>
      </c>
      <c r="I550" s="14"/>
      <c r="J550" s="17"/>
      <c r="K550" s="9"/>
      <c r="L550" s="15" t="s">
        <v>50</v>
      </c>
      <c r="M550" s="16" t="s">
        <v>51</v>
      </c>
      <c r="N550" s="14"/>
      <c r="O550" s="15" t="s">
        <v>52</v>
      </c>
      <c r="P550" s="17" t="s">
        <v>53</v>
      </c>
      <c r="Q550" s="15"/>
      <c r="R550" s="18" t="s">
        <v>51</v>
      </c>
      <c r="S550" s="19"/>
      <c r="T550" s="17" t="str">
        <f aca="false">IF(R550="維持",J550,IF(R550="排除","無關新聞事件",IFERROR(INDEX(事件規則!$B$2:$B$53,MATCH(S550,事件規則!$A$2:$A$53,0)),"")))</f>
        <v>無關新聞事件</v>
      </c>
      <c r="U550" s="20" t="n">
        <f aca="false">IF(R550="維持",K550,IF(R550="排除",0,IFERROR(INDEX(事件規則!$C$2:$C$53,MATCH(S550,事件規則!$A$2:$A$53,0)),"")))</f>
        <v>0</v>
      </c>
      <c r="V550" s="21"/>
      <c r="W550" s="22"/>
      <c r="X550" s="10" t="str">
        <f aca="false">IF(AND(R550="修改",S550=""),"請選新事件代碼",IF(AND(R550&lt;&gt;"修改",S550&lt;&gt;""),"只有「修改」才需填代碼",""))</f>
        <v/>
      </c>
      <c r="Y550" s="21"/>
      <c r="Z550" s="22"/>
      <c r="AA550" s="12" t="s">
        <v>1849</v>
      </c>
      <c r="AB550" s="24"/>
    </row>
    <row r="551" customFormat="false" ht="29.85" hidden="false" customHeight="false" outlineLevel="0" collapsed="false">
      <c r="A551" s="15" t="n">
        <v>550</v>
      </c>
      <c r="B551" s="9" t="s">
        <v>45</v>
      </c>
      <c r="C551" s="9" t="s">
        <v>607</v>
      </c>
      <c r="D551" s="10" t="s">
        <v>608</v>
      </c>
      <c r="E551" s="11" t="s">
        <v>1848</v>
      </c>
      <c r="F551" s="17"/>
      <c r="G551" s="12" t="s">
        <v>1752</v>
      </c>
      <c r="H551" s="13" t="n">
        <v>-0.05</v>
      </c>
      <c r="I551" s="14"/>
      <c r="J551" s="17"/>
      <c r="K551" s="9"/>
      <c r="L551" s="15" t="s">
        <v>50</v>
      </c>
      <c r="M551" s="16" t="s">
        <v>51</v>
      </c>
      <c r="N551" s="14"/>
      <c r="O551" s="15" t="s">
        <v>52</v>
      </c>
      <c r="P551" s="17" t="s">
        <v>53</v>
      </c>
      <c r="Q551" s="15"/>
      <c r="R551" s="18" t="s">
        <v>51</v>
      </c>
      <c r="S551" s="19"/>
      <c r="T551" s="17" t="str">
        <f aca="false">IF(R551="維持",J551,IF(R551="排除","無關新聞事件",IFERROR(INDEX(事件規則!$B$2:$B$53,MATCH(S551,事件規則!$A$2:$A$53,0)),"")))</f>
        <v>無關新聞事件</v>
      </c>
      <c r="U551" s="20" t="n">
        <f aca="false">IF(R551="維持",K551,IF(R551="排除",0,IFERROR(INDEX(事件規則!$C$2:$C$53,MATCH(S551,事件規則!$A$2:$A$53,0)),"")))</f>
        <v>0</v>
      </c>
      <c r="V551" s="21"/>
      <c r="W551" s="22"/>
      <c r="X551" s="10" t="str">
        <f aca="false">IF(AND(R551="修改",S551=""),"請選新事件代碼",IF(AND(R551&lt;&gt;"修改",S551&lt;&gt;""),"只有「修改」才需填代碼",""))</f>
        <v/>
      </c>
      <c r="Y551" s="21"/>
      <c r="Z551" s="22"/>
      <c r="AA551" s="12" t="s">
        <v>1850</v>
      </c>
      <c r="AB551" s="24"/>
    </row>
    <row r="552" customFormat="false" ht="29.85" hidden="false" customHeight="false" outlineLevel="0" collapsed="false">
      <c r="A552" s="15" t="n">
        <v>551</v>
      </c>
      <c r="B552" s="9" t="s">
        <v>81</v>
      </c>
      <c r="C552" s="9" t="s">
        <v>349</v>
      </c>
      <c r="D552" s="10" t="s">
        <v>350</v>
      </c>
      <c r="E552" s="11" t="s">
        <v>1851</v>
      </c>
      <c r="F552" s="17"/>
      <c r="G552" s="12" t="s">
        <v>1852</v>
      </c>
      <c r="H552" s="13" t="n">
        <v>-0.05</v>
      </c>
      <c r="I552" s="14"/>
      <c r="J552" s="17"/>
      <c r="K552" s="9"/>
      <c r="L552" s="15" t="s">
        <v>50</v>
      </c>
      <c r="M552" s="16" t="s">
        <v>51</v>
      </c>
      <c r="N552" s="14"/>
      <c r="O552" s="15" t="s">
        <v>52</v>
      </c>
      <c r="P552" s="17" t="s">
        <v>53</v>
      </c>
      <c r="Q552" s="15"/>
      <c r="R552" s="18" t="s">
        <v>51</v>
      </c>
      <c r="S552" s="19"/>
      <c r="T552" s="17" t="str">
        <f aca="false">IF(R552="維持",J552,IF(R552="排除","無關新聞事件",IFERROR(INDEX(事件規則!$B$2:$B$53,MATCH(S552,事件規則!$A$2:$A$53,0)),"")))</f>
        <v>無關新聞事件</v>
      </c>
      <c r="U552" s="20" t="n">
        <f aca="false">IF(R552="維持",K552,IF(R552="排除",0,IFERROR(INDEX(事件規則!$C$2:$C$53,MATCH(S552,事件規則!$A$2:$A$53,0)),"")))</f>
        <v>0</v>
      </c>
      <c r="V552" s="21"/>
      <c r="W552" s="22"/>
      <c r="X552" s="10" t="str">
        <f aca="false">IF(AND(R552="修改",S552=""),"請選新事件代碼",IF(AND(R552&lt;&gt;"修改",S552&lt;&gt;""),"只有「修改」才需填代碼",""))</f>
        <v/>
      </c>
      <c r="Y552" s="21"/>
      <c r="Z552" s="22"/>
      <c r="AA552" s="12" t="s">
        <v>1853</v>
      </c>
      <c r="AB552" s="24"/>
    </row>
    <row r="553" customFormat="false" ht="29.85" hidden="false" customHeight="false" outlineLevel="0" collapsed="false">
      <c r="A553" s="15" t="n">
        <v>552</v>
      </c>
      <c r="B553" s="9" t="s">
        <v>55</v>
      </c>
      <c r="C553" s="9" t="s">
        <v>303</v>
      </c>
      <c r="D553" s="10" t="s">
        <v>304</v>
      </c>
      <c r="E553" s="11" t="s">
        <v>1854</v>
      </c>
      <c r="F553" s="17"/>
      <c r="G553" s="12" t="s">
        <v>728</v>
      </c>
      <c r="H553" s="13" t="n">
        <v>-0.05</v>
      </c>
      <c r="I553" s="14"/>
      <c r="J553" s="17"/>
      <c r="K553" s="9"/>
      <c r="L553" s="15" t="s">
        <v>50</v>
      </c>
      <c r="M553" s="16" t="s">
        <v>51</v>
      </c>
      <c r="N553" s="14"/>
      <c r="O553" s="15" t="s">
        <v>52</v>
      </c>
      <c r="P553" s="17" t="s">
        <v>53</v>
      </c>
      <c r="Q553" s="15"/>
      <c r="R553" s="18" t="s">
        <v>51</v>
      </c>
      <c r="S553" s="19"/>
      <c r="T553" s="17" t="str">
        <f aca="false">IF(R553="維持",J553,IF(R553="排除","無關新聞事件",IFERROR(INDEX(事件規則!$B$2:$B$53,MATCH(S553,事件規則!$A$2:$A$53,0)),"")))</f>
        <v>無關新聞事件</v>
      </c>
      <c r="U553" s="20" t="n">
        <f aca="false">IF(R553="維持",K553,IF(R553="排除",0,IFERROR(INDEX(事件規則!$C$2:$C$53,MATCH(S553,事件規則!$A$2:$A$53,0)),"")))</f>
        <v>0</v>
      </c>
      <c r="V553" s="21"/>
      <c r="W553" s="22"/>
      <c r="X553" s="10" t="str">
        <f aca="false">IF(AND(R553="修改",S553=""),"請選新事件代碼",IF(AND(R553&lt;&gt;"修改",S553&lt;&gt;""),"只有「修改」才需填代碼",""))</f>
        <v/>
      </c>
      <c r="Y553" s="21"/>
      <c r="Z553" s="22"/>
      <c r="AA553" s="12" t="s">
        <v>1855</v>
      </c>
      <c r="AB553" s="24"/>
    </row>
    <row r="554" customFormat="false" ht="29.85" hidden="false" customHeight="false" outlineLevel="0" collapsed="false">
      <c r="A554" s="15" t="n">
        <v>553</v>
      </c>
      <c r="B554" s="9" t="s">
        <v>112</v>
      </c>
      <c r="C554" s="9" t="s">
        <v>1334</v>
      </c>
      <c r="D554" s="10" t="s">
        <v>1335</v>
      </c>
      <c r="E554" s="11" t="s">
        <v>1856</v>
      </c>
      <c r="F554" s="17"/>
      <c r="G554" s="12" t="s">
        <v>1136</v>
      </c>
      <c r="H554" s="13" t="n">
        <v>-0.049</v>
      </c>
      <c r="I554" s="14"/>
      <c r="J554" s="17"/>
      <c r="K554" s="9"/>
      <c r="L554" s="15" t="s">
        <v>50</v>
      </c>
      <c r="M554" s="16" t="s">
        <v>51</v>
      </c>
      <c r="N554" s="14"/>
      <c r="O554" s="15" t="s">
        <v>52</v>
      </c>
      <c r="P554" s="17" t="s">
        <v>53</v>
      </c>
      <c r="Q554" s="15"/>
      <c r="R554" s="18" t="s">
        <v>51</v>
      </c>
      <c r="S554" s="19"/>
      <c r="T554" s="17" t="str">
        <f aca="false">IF(R554="維持",J554,IF(R554="排除","無關新聞事件",IFERROR(INDEX(事件規則!$B$2:$B$53,MATCH(S554,事件規則!$A$2:$A$53,0)),"")))</f>
        <v>無關新聞事件</v>
      </c>
      <c r="U554" s="20" t="n">
        <f aca="false">IF(R554="維持",K554,IF(R554="排除",0,IFERROR(INDEX(事件規則!$C$2:$C$53,MATCH(S554,事件規則!$A$2:$A$53,0)),"")))</f>
        <v>0</v>
      </c>
      <c r="V554" s="21"/>
      <c r="W554" s="22"/>
      <c r="X554" s="10" t="str">
        <f aca="false">IF(AND(R554="修改",S554=""),"請選新事件代碼",IF(AND(R554&lt;&gt;"修改",S554&lt;&gt;""),"只有「修改」才需填代碼",""))</f>
        <v/>
      </c>
      <c r="Y554" s="21"/>
      <c r="Z554" s="22"/>
      <c r="AA554" s="12" t="s">
        <v>1857</v>
      </c>
      <c r="AB554" s="24"/>
    </row>
    <row r="555" customFormat="false" ht="29.85" hidden="false" customHeight="false" outlineLevel="0" collapsed="false">
      <c r="A555" s="15" t="n">
        <v>554</v>
      </c>
      <c r="B555" s="9" t="s">
        <v>45</v>
      </c>
      <c r="C555" s="9" t="s">
        <v>1334</v>
      </c>
      <c r="D555" s="10" t="s">
        <v>1335</v>
      </c>
      <c r="E555" s="11" t="s">
        <v>1858</v>
      </c>
      <c r="F555" s="17"/>
      <c r="G555" s="12" t="s">
        <v>949</v>
      </c>
      <c r="H555" s="13" t="n">
        <v>-0.049</v>
      </c>
      <c r="I555" s="14"/>
      <c r="J555" s="17"/>
      <c r="K555" s="9"/>
      <c r="L555" s="15" t="s">
        <v>50</v>
      </c>
      <c r="M555" s="16" t="s">
        <v>51</v>
      </c>
      <c r="N555" s="14"/>
      <c r="O555" s="15" t="s">
        <v>52</v>
      </c>
      <c r="P555" s="17" t="s">
        <v>53</v>
      </c>
      <c r="Q555" s="15"/>
      <c r="R555" s="18" t="s">
        <v>51</v>
      </c>
      <c r="S555" s="19"/>
      <c r="T555" s="17" t="str">
        <f aca="false">IF(R555="維持",J555,IF(R555="排除","無關新聞事件",IFERROR(INDEX(事件規則!$B$2:$B$53,MATCH(S555,事件規則!$A$2:$A$53,0)),"")))</f>
        <v>無關新聞事件</v>
      </c>
      <c r="U555" s="20" t="n">
        <f aca="false">IF(R555="維持",K555,IF(R555="排除",0,IFERROR(INDEX(事件規則!$C$2:$C$53,MATCH(S555,事件規則!$A$2:$A$53,0)),"")))</f>
        <v>0</v>
      </c>
      <c r="V555" s="21"/>
      <c r="W555" s="22"/>
      <c r="X555" s="10" t="str">
        <f aca="false">IF(AND(R555="修改",S555=""),"請選新事件代碼",IF(AND(R555&lt;&gt;"修改",S555&lt;&gt;""),"只有「修改」才需填代碼",""))</f>
        <v/>
      </c>
      <c r="Y555" s="21"/>
      <c r="Z555" s="22"/>
      <c r="AA555" s="12" t="s">
        <v>1859</v>
      </c>
      <c r="AB555" s="24"/>
    </row>
    <row r="556" customFormat="false" ht="29.85" hidden="false" customHeight="false" outlineLevel="0" collapsed="false">
      <c r="A556" s="15" t="n">
        <v>555</v>
      </c>
      <c r="B556" s="9" t="s">
        <v>112</v>
      </c>
      <c r="C556" s="9" t="s">
        <v>1860</v>
      </c>
      <c r="D556" s="10" t="s">
        <v>280</v>
      </c>
      <c r="E556" s="11" t="s">
        <v>1861</v>
      </c>
      <c r="F556" s="17"/>
      <c r="G556" s="12" t="s">
        <v>176</v>
      </c>
      <c r="H556" s="13" t="n">
        <v>-0.049</v>
      </c>
      <c r="I556" s="14"/>
      <c r="J556" s="17"/>
      <c r="K556" s="9"/>
      <c r="L556" s="15" t="s">
        <v>50</v>
      </c>
      <c r="M556" s="16" t="s">
        <v>51</v>
      </c>
      <c r="N556" s="14"/>
      <c r="O556" s="15" t="s">
        <v>52</v>
      </c>
      <c r="P556" s="17" t="s">
        <v>53</v>
      </c>
      <c r="Q556" s="15"/>
      <c r="R556" s="18" t="s">
        <v>51</v>
      </c>
      <c r="S556" s="19"/>
      <c r="T556" s="17" t="str">
        <f aca="false">IF(R556="維持",J556,IF(R556="排除","無關新聞事件",IFERROR(INDEX(事件規則!$B$2:$B$53,MATCH(S556,事件規則!$A$2:$A$53,0)),"")))</f>
        <v>無關新聞事件</v>
      </c>
      <c r="U556" s="20" t="n">
        <f aca="false">IF(R556="維持",K556,IF(R556="排除",0,IFERROR(INDEX(事件規則!$C$2:$C$53,MATCH(S556,事件規則!$A$2:$A$53,0)),"")))</f>
        <v>0</v>
      </c>
      <c r="V556" s="21"/>
      <c r="W556" s="22"/>
      <c r="X556" s="10" t="str">
        <f aca="false">IF(AND(R556="修改",S556=""),"請選新事件代碼",IF(AND(R556&lt;&gt;"修改",S556&lt;&gt;""),"只有「修改」才需填代碼",""))</f>
        <v/>
      </c>
      <c r="Y556" s="21"/>
      <c r="Z556" s="22"/>
      <c r="AA556" s="12" t="s">
        <v>1862</v>
      </c>
      <c r="AB556" s="24"/>
    </row>
    <row r="557" customFormat="false" ht="29.85" hidden="false" customHeight="false" outlineLevel="0" collapsed="false">
      <c r="A557" s="15" t="n">
        <v>556</v>
      </c>
      <c r="B557" s="9" t="s">
        <v>112</v>
      </c>
      <c r="C557" s="9" t="s">
        <v>139</v>
      </c>
      <c r="D557" s="10" t="s">
        <v>140</v>
      </c>
      <c r="E557" s="11" t="s">
        <v>1863</v>
      </c>
      <c r="F557" s="17"/>
      <c r="G557" s="12" t="s">
        <v>49</v>
      </c>
      <c r="H557" s="13" t="n">
        <v>-0.049</v>
      </c>
      <c r="I557" s="14"/>
      <c r="J557" s="17"/>
      <c r="K557" s="9"/>
      <c r="L557" s="15" t="s">
        <v>50</v>
      </c>
      <c r="M557" s="16" t="s">
        <v>51</v>
      </c>
      <c r="N557" s="14"/>
      <c r="O557" s="15" t="s">
        <v>52</v>
      </c>
      <c r="P557" s="17" t="s">
        <v>53</v>
      </c>
      <c r="Q557" s="15"/>
      <c r="R557" s="18" t="s">
        <v>51</v>
      </c>
      <c r="S557" s="19"/>
      <c r="T557" s="17" t="str">
        <f aca="false">IF(R557="維持",J557,IF(R557="排除","無關新聞事件",IFERROR(INDEX(事件規則!$B$2:$B$53,MATCH(S557,事件規則!$A$2:$A$53,0)),"")))</f>
        <v>無關新聞事件</v>
      </c>
      <c r="U557" s="20" t="n">
        <f aca="false">IF(R557="維持",K557,IF(R557="排除",0,IFERROR(INDEX(事件規則!$C$2:$C$53,MATCH(S557,事件規則!$A$2:$A$53,0)),"")))</f>
        <v>0</v>
      </c>
      <c r="V557" s="21"/>
      <c r="W557" s="22"/>
      <c r="X557" s="10" t="str">
        <f aca="false">IF(AND(R557="修改",S557=""),"請選新事件代碼",IF(AND(R557&lt;&gt;"修改",S557&lt;&gt;""),"只有「修改」才需填代碼",""))</f>
        <v/>
      </c>
      <c r="Y557" s="21"/>
      <c r="Z557" s="22"/>
      <c r="AA557" s="12" t="s">
        <v>1864</v>
      </c>
      <c r="AB557" s="24"/>
    </row>
    <row r="558" customFormat="false" ht="29.85" hidden="false" customHeight="false" outlineLevel="0" collapsed="false">
      <c r="A558" s="15" t="n">
        <v>557</v>
      </c>
      <c r="B558" s="9" t="s">
        <v>112</v>
      </c>
      <c r="C558" s="9" t="s">
        <v>178</v>
      </c>
      <c r="D558" s="10" t="s">
        <v>179</v>
      </c>
      <c r="E558" s="11" t="s">
        <v>1865</v>
      </c>
      <c r="F558" s="17"/>
      <c r="G558" s="12" t="s">
        <v>1866</v>
      </c>
      <c r="H558" s="13" t="n">
        <v>-0.049</v>
      </c>
      <c r="I558" s="14"/>
      <c r="J558" s="17"/>
      <c r="K558" s="9"/>
      <c r="L558" s="15" t="s">
        <v>50</v>
      </c>
      <c r="M558" s="16" t="s">
        <v>51</v>
      </c>
      <c r="N558" s="14"/>
      <c r="O558" s="15" t="s">
        <v>52</v>
      </c>
      <c r="P558" s="17" t="s">
        <v>53</v>
      </c>
      <c r="Q558" s="15"/>
      <c r="R558" s="18" t="s">
        <v>51</v>
      </c>
      <c r="S558" s="19"/>
      <c r="T558" s="17" t="str">
        <f aca="false">IF(R558="維持",J558,IF(R558="排除","無關新聞事件",IFERROR(INDEX(事件規則!$B$2:$B$53,MATCH(S558,事件規則!$A$2:$A$53,0)),"")))</f>
        <v>無關新聞事件</v>
      </c>
      <c r="U558" s="20" t="n">
        <f aca="false">IF(R558="維持",K558,IF(R558="排除",0,IFERROR(INDEX(事件規則!$C$2:$C$53,MATCH(S558,事件規則!$A$2:$A$53,0)),"")))</f>
        <v>0</v>
      </c>
      <c r="V558" s="21"/>
      <c r="W558" s="22"/>
      <c r="X558" s="10" t="str">
        <f aca="false">IF(AND(R558="修改",S558=""),"請選新事件代碼",IF(AND(R558&lt;&gt;"修改",S558&lt;&gt;""),"只有「修改」才需填代碼",""))</f>
        <v/>
      </c>
      <c r="Y558" s="21"/>
      <c r="Z558" s="22"/>
      <c r="AA558" s="12" t="s">
        <v>1867</v>
      </c>
      <c r="AB558" s="24"/>
    </row>
    <row r="559" customFormat="false" ht="29.85" hidden="false" customHeight="false" outlineLevel="0" collapsed="false">
      <c r="A559" s="15" t="n">
        <v>558</v>
      </c>
      <c r="B559" s="9" t="s">
        <v>45</v>
      </c>
      <c r="C559" s="9" t="s">
        <v>550</v>
      </c>
      <c r="D559" s="10" t="s">
        <v>551</v>
      </c>
      <c r="E559" s="11" t="s">
        <v>1868</v>
      </c>
      <c r="F559" s="17"/>
      <c r="G559" s="12" t="s">
        <v>949</v>
      </c>
      <c r="H559" s="13" t="n">
        <v>-0.048</v>
      </c>
      <c r="I559" s="14"/>
      <c r="J559" s="17"/>
      <c r="K559" s="9"/>
      <c r="L559" s="15" t="s">
        <v>50</v>
      </c>
      <c r="M559" s="16" t="s">
        <v>51</v>
      </c>
      <c r="N559" s="14"/>
      <c r="O559" s="15" t="s">
        <v>52</v>
      </c>
      <c r="P559" s="17" t="s">
        <v>53</v>
      </c>
      <c r="Q559" s="15"/>
      <c r="R559" s="18" t="s">
        <v>51</v>
      </c>
      <c r="S559" s="19"/>
      <c r="T559" s="17" t="str">
        <f aca="false">IF(R559="維持",J559,IF(R559="排除","無關新聞事件",IFERROR(INDEX(事件規則!$B$2:$B$53,MATCH(S559,事件規則!$A$2:$A$53,0)),"")))</f>
        <v>無關新聞事件</v>
      </c>
      <c r="U559" s="20" t="n">
        <f aca="false">IF(R559="維持",K559,IF(R559="排除",0,IFERROR(INDEX(事件規則!$C$2:$C$53,MATCH(S559,事件規則!$A$2:$A$53,0)),"")))</f>
        <v>0</v>
      </c>
      <c r="V559" s="21"/>
      <c r="W559" s="22"/>
      <c r="X559" s="10" t="str">
        <f aca="false">IF(AND(R559="修改",S559=""),"請選新事件代碼",IF(AND(R559&lt;&gt;"修改",S559&lt;&gt;""),"只有「修改」才需填代碼",""))</f>
        <v/>
      </c>
      <c r="Y559" s="21"/>
      <c r="Z559" s="22"/>
      <c r="AA559" s="12" t="s">
        <v>1869</v>
      </c>
      <c r="AB559" s="24"/>
    </row>
    <row r="560" customFormat="false" ht="29.85" hidden="false" customHeight="false" outlineLevel="0" collapsed="false">
      <c r="A560" s="15" t="n">
        <v>559</v>
      </c>
      <c r="B560" s="9" t="s">
        <v>112</v>
      </c>
      <c r="C560" s="9" t="s">
        <v>212</v>
      </c>
      <c r="D560" s="10" t="s">
        <v>213</v>
      </c>
      <c r="E560" s="11" t="s">
        <v>1870</v>
      </c>
      <c r="F560" s="17"/>
      <c r="G560" s="12" t="s">
        <v>176</v>
      </c>
      <c r="H560" s="13" t="n">
        <v>-0.048</v>
      </c>
      <c r="I560" s="14"/>
      <c r="J560" s="17"/>
      <c r="K560" s="9"/>
      <c r="L560" s="15" t="s">
        <v>50</v>
      </c>
      <c r="M560" s="16" t="s">
        <v>51</v>
      </c>
      <c r="N560" s="14"/>
      <c r="O560" s="15" t="s">
        <v>52</v>
      </c>
      <c r="P560" s="17" t="s">
        <v>53</v>
      </c>
      <c r="Q560" s="15"/>
      <c r="R560" s="18" t="s">
        <v>51</v>
      </c>
      <c r="S560" s="19"/>
      <c r="T560" s="17" t="str">
        <f aca="false">IF(R560="維持",J560,IF(R560="排除","無關新聞事件",IFERROR(INDEX(事件規則!$B$2:$B$53,MATCH(S560,事件規則!$A$2:$A$53,0)),"")))</f>
        <v>無關新聞事件</v>
      </c>
      <c r="U560" s="20" t="n">
        <f aca="false">IF(R560="維持",K560,IF(R560="排除",0,IFERROR(INDEX(事件規則!$C$2:$C$53,MATCH(S560,事件規則!$A$2:$A$53,0)),"")))</f>
        <v>0</v>
      </c>
      <c r="V560" s="21"/>
      <c r="W560" s="22"/>
      <c r="X560" s="10" t="str">
        <f aca="false">IF(AND(R560="修改",S560=""),"請選新事件代碼",IF(AND(R560&lt;&gt;"修改",S560&lt;&gt;""),"只有「修改」才需填代碼",""))</f>
        <v/>
      </c>
      <c r="Y560" s="21"/>
      <c r="Z560" s="22"/>
      <c r="AA560" s="12" t="s">
        <v>1871</v>
      </c>
      <c r="AB560" s="24"/>
    </row>
    <row r="561" customFormat="false" ht="29.85" hidden="false" customHeight="false" outlineLevel="0" collapsed="false">
      <c r="A561" s="15" t="n">
        <v>560</v>
      </c>
      <c r="B561" s="9" t="s">
        <v>81</v>
      </c>
      <c r="C561" s="9" t="s">
        <v>1138</v>
      </c>
      <c r="D561" s="10" t="s">
        <v>1139</v>
      </c>
      <c r="E561" s="11" t="s">
        <v>1872</v>
      </c>
      <c r="F561" s="17"/>
      <c r="G561" s="12" t="s">
        <v>1577</v>
      </c>
      <c r="H561" s="13" t="n">
        <v>-0.048</v>
      </c>
      <c r="I561" s="14"/>
      <c r="J561" s="17"/>
      <c r="K561" s="9"/>
      <c r="L561" s="15" t="s">
        <v>50</v>
      </c>
      <c r="M561" s="16" t="s">
        <v>51</v>
      </c>
      <c r="N561" s="14"/>
      <c r="O561" s="15" t="s">
        <v>52</v>
      </c>
      <c r="P561" s="17" t="s">
        <v>53</v>
      </c>
      <c r="Q561" s="15"/>
      <c r="R561" s="18" t="s">
        <v>51</v>
      </c>
      <c r="S561" s="19"/>
      <c r="T561" s="17" t="str">
        <f aca="false">IF(R561="維持",J561,IF(R561="排除","無關新聞事件",IFERROR(INDEX(事件規則!$B$2:$B$53,MATCH(S561,事件規則!$A$2:$A$53,0)),"")))</f>
        <v>無關新聞事件</v>
      </c>
      <c r="U561" s="20" t="n">
        <f aca="false">IF(R561="維持",K561,IF(R561="排除",0,IFERROR(INDEX(事件規則!$C$2:$C$53,MATCH(S561,事件規則!$A$2:$A$53,0)),"")))</f>
        <v>0</v>
      </c>
      <c r="V561" s="21"/>
      <c r="W561" s="22"/>
      <c r="X561" s="10" t="str">
        <f aca="false">IF(AND(R561="修改",S561=""),"請選新事件代碼",IF(AND(R561&lt;&gt;"修改",S561&lt;&gt;""),"只有「修改」才需填代碼",""))</f>
        <v/>
      </c>
      <c r="Y561" s="21"/>
      <c r="Z561" s="22"/>
      <c r="AA561" s="12" t="s">
        <v>1873</v>
      </c>
      <c r="AB561" s="24"/>
    </row>
    <row r="562" customFormat="false" ht="29.85" hidden="false" customHeight="false" outlineLevel="0" collapsed="false">
      <c r="A562" s="15" t="n">
        <v>561</v>
      </c>
      <c r="B562" s="9" t="s">
        <v>55</v>
      </c>
      <c r="C562" s="9" t="s">
        <v>1874</v>
      </c>
      <c r="D562" s="10" t="s">
        <v>1875</v>
      </c>
      <c r="E562" s="11" t="s">
        <v>1876</v>
      </c>
      <c r="F562" s="17"/>
      <c r="G562" s="12" t="s">
        <v>49</v>
      </c>
      <c r="H562" s="13" t="n">
        <v>-0.048</v>
      </c>
      <c r="I562" s="14"/>
      <c r="J562" s="17"/>
      <c r="K562" s="9"/>
      <c r="L562" s="15" t="s">
        <v>50</v>
      </c>
      <c r="M562" s="16" t="s">
        <v>51</v>
      </c>
      <c r="N562" s="14"/>
      <c r="O562" s="15" t="s">
        <v>52</v>
      </c>
      <c r="P562" s="17" t="s">
        <v>53</v>
      </c>
      <c r="Q562" s="15"/>
      <c r="R562" s="18" t="s">
        <v>51</v>
      </c>
      <c r="S562" s="19"/>
      <c r="T562" s="17" t="str">
        <f aca="false">IF(R562="維持",J562,IF(R562="排除","無關新聞事件",IFERROR(INDEX(事件規則!$B$2:$B$53,MATCH(S562,事件規則!$A$2:$A$53,0)),"")))</f>
        <v>無關新聞事件</v>
      </c>
      <c r="U562" s="20" t="n">
        <f aca="false">IF(R562="維持",K562,IF(R562="排除",0,IFERROR(INDEX(事件規則!$C$2:$C$53,MATCH(S562,事件規則!$A$2:$A$53,0)),"")))</f>
        <v>0</v>
      </c>
      <c r="V562" s="21"/>
      <c r="W562" s="22"/>
      <c r="X562" s="10" t="str">
        <f aca="false">IF(AND(R562="修改",S562=""),"請選新事件代碼",IF(AND(R562&lt;&gt;"修改",S562&lt;&gt;""),"只有「修改」才需填代碼",""))</f>
        <v/>
      </c>
      <c r="Y562" s="21"/>
      <c r="Z562" s="22"/>
      <c r="AA562" s="12" t="s">
        <v>1877</v>
      </c>
      <c r="AB562" s="24"/>
    </row>
    <row r="563" customFormat="false" ht="29.85" hidden="false" customHeight="false" outlineLevel="0" collapsed="false">
      <c r="A563" s="15" t="n">
        <v>562</v>
      </c>
      <c r="B563" s="9" t="s">
        <v>45</v>
      </c>
      <c r="C563" s="9" t="s">
        <v>1363</v>
      </c>
      <c r="D563" s="10" t="s">
        <v>1364</v>
      </c>
      <c r="E563" s="11" t="s">
        <v>1878</v>
      </c>
      <c r="F563" s="17"/>
      <c r="G563" s="12" t="s">
        <v>176</v>
      </c>
      <c r="H563" s="13" t="n">
        <v>-0.048</v>
      </c>
      <c r="I563" s="14"/>
      <c r="J563" s="17"/>
      <c r="K563" s="9"/>
      <c r="L563" s="15" t="s">
        <v>50</v>
      </c>
      <c r="M563" s="16" t="s">
        <v>51</v>
      </c>
      <c r="N563" s="14"/>
      <c r="O563" s="15" t="s">
        <v>52</v>
      </c>
      <c r="P563" s="17" t="s">
        <v>53</v>
      </c>
      <c r="Q563" s="15"/>
      <c r="R563" s="18" t="s">
        <v>51</v>
      </c>
      <c r="S563" s="19"/>
      <c r="T563" s="17" t="str">
        <f aca="false">IF(R563="維持",J563,IF(R563="排除","無關新聞事件",IFERROR(INDEX(事件規則!$B$2:$B$53,MATCH(S563,事件規則!$A$2:$A$53,0)),"")))</f>
        <v>無關新聞事件</v>
      </c>
      <c r="U563" s="20" t="n">
        <f aca="false">IF(R563="維持",K563,IF(R563="排除",0,IFERROR(INDEX(事件規則!$C$2:$C$53,MATCH(S563,事件規則!$A$2:$A$53,0)),"")))</f>
        <v>0</v>
      </c>
      <c r="V563" s="21"/>
      <c r="W563" s="22"/>
      <c r="X563" s="10" t="str">
        <f aca="false">IF(AND(R563="修改",S563=""),"請選新事件代碼",IF(AND(R563&lt;&gt;"修改",S563&lt;&gt;""),"只有「修改」才需填代碼",""))</f>
        <v/>
      </c>
      <c r="Y563" s="21"/>
      <c r="Z563" s="22"/>
      <c r="AA563" s="12" t="s">
        <v>1879</v>
      </c>
      <c r="AB563" s="24"/>
    </row>
    <row r="564" customFormat="false" ht="29.85" hidden="false" customHeight="false" outlineLevel="0" collapsed="false">
      <c r="A564" s="15" t="n">
        <v>563</v>
      </c>
      <c r="B564" s="9" t="s">
        <v>45</v>
      </c>
      <c r="C564" s="9" t="s">
        <v>869</v>
      </c>
      <c r="D564" s="10" t="s">
        <v>870</v>
      </c>
      <c r="E564" s="11" t="s">
        <v>1880</v>
      </c>
      <c r="F564" s="17"/>
      <c r="G564" s="12" t="s">
        <v>59</v>
      </c>
      <c r="H564" s="13" t="n">
        <v>-0.047</v>
      </c>
      <c r="I564" s="14"/>
      <c r="J564" s="17"/>
      <c r="K564" s="9"/>
      <c r="L564" s="15" t="s">
        <v>50</v>
      </c>
      <c r="M564" s="16" t="s">
        <v>51</v>
      </c>
      <c r="N564" s="14"/>
      <c r="O564" s="15" t="s">
        <v>52</v>
      </c>
      <c r="P564" s="17" t="s">
        <v>53</v>
      </c>
      <c r="Q564" s="15"/>
      <c r="R564" s="18" t="s">
        <v>51</v>
      </c>
      <c r="S564" s="19"/>
      <c r="T564" s="17" t="str">
        <f aca="false">IF(R564="維持",J564,IF(R564="排除","無關新聞事件",IFERROR(INDEX(事件規則!$B$2:$B$53,MATCH(S564,事件規則!$A$2:$A$53,0)),"")))</f>
        <v>無關新聞事件</v>
      </c>
      <c r="U564" s="20" t="n">
        <f aca="false">IF(R564="維持",K564,IF(R564="排除",0,IFERROR(INDEX(事件規則!$C$2:$C$53,MATCH(S564,事件規則!$A$2:$A$53,0)),"")))</f>
        <v>0</v>
      </c>
      <c r="V564" s="21"/>
      <c r="W564" s="22"/>
      <c r="X564" s="10" t="str">
        <f aca="false">IF(AND(R564="修改",S564=""),"請選新事件代碼",IF(AND(R564&lt;&gt;"修改",S564&lt;&gt;""),"只有「修改」才需填代碼",""))</f>
        <v/>
      </c>
      <c r="Y564" s="21"/>
      <c r="Z564" s="22"/>
      <c r="AA564" s="12" t="s">
        <v>1881</v>
      </c>
      <c r="AB564" s="24"/>
    </row>
    <row r="565" customFormat="false" ht="29.85" hidden="false" customHeight="false" outlineLevel="0" collapsed="false">
      <c r="A565" s="15" t="n">
        <v>564</v>
      </c>
      <c r="B565" s="9" t="s">
        <v>112</v>
      </c>
      <c r="C565" s="9" t="s">
        <v>484</v>
      </c>
      <c r="D565" s="10" t="s">
        <v>485</v>
      </c>
      <c r="E565" s="11" t="s">
        <v>1882</v>
      </c>
      <c r="F565" s="17"/>
      <c r="G565" s="12" t="s">
        <v>1883</v>
      </c>
      <c r="H565" s="13" t="n">
        <v>-0.047</v>
      </c>
      <c r="I565" s="14"/>
      <c r="J565" s="17"/>
      <c r="K565" s="9"/>
      <c r="L565" s="15" t="s">
        <v>50</v>
      </c>
      <c r="M565" s="16" t="s">
        <v>51</v>
      </c>
      <c r="N565" s="14"/>
      <c r="O565" s="15" t="s">
        <v>52</v>
      </c>
      <c r="P565" s="17" t="s">
        <v>53</v>
      </c>
      <c r="Q565" s="15"/>
      <c r="R565" s="18" t="s">
        <v>51</v>
      </c>
      <c r="S565" s="19"/>
      <c r="T565" s="17" t="str">
        <f aca="false">IF(R565="維持",J565,IF(R565="排除","無關新聞事件",IFERROR(INDEX(事件規則!$B$2:$B$53,MATCH(S565,事件規則!$A$2:$A$53,0)),"")))</f>
        <v>無關新聞事件</v>
      </c>
      <c r="U565" s="20" t="n">
        <f aca="false">IF(R565="維持",K565,IF(R565="排除",0,IFERROR(INDEX(事件規則!$C$2:$C$53,MATCH(S565,事件規則!$A$2:$A$53,0)),"")))</f>
        <v>0</v>
      </c>
      <c r="V565" s="21"/>
      <c r="W565" s="22"/>
      <c r="X565" s="10" t="str">
        <f aca="false">IF(AND(R565="修改",S565=""),"請選新事件代碼",IF(AND(R565&lt;&gt;"修改",S565&lt;&gt;""),"只有「修改」才需填代碼",""))</f>
        <v/>
      </c>
      <c r="Y565" s="21"/>
      <c r="Z565" s="22"/>
      <c r="AA565" s="12" t="s">
        <v>1884</v>
      </c>
      <c r="AB565" s="24"/>
    </row>
    <row r="566" customFormat="false" ht="29.85" hidden="false" customHeight="false" outlineLevel="0" collapsed="false">
      <c r="A566" s="15" t="n">
        <v>565</v>
      </c>
      <c r="B566" s="9" t="s">
        <v>55</v>
      </c>
      <c r="C566" s="9" t="s">
        <v>1231</v>
      </c>
      <c r="D566" s="10" t="s">
        <v>1232</v>
      </c>
      <c r="E566" s="11" t="s">
        <v>1885</v>
      </c>
      <c r="F566" s="17"/>
      <c r="G566" s="12" t="s">
        <v>1680</v>
      </c>
      <c r="H566" s="13" t="n">
        <v>-0.047</v>
      </c>
      <c r="I566" s="14"/>
      <c r="J566" s="17"/>
      <c r="K566" s="9"/>
      <c r="L566" s="15" t="s">
        <v>50</v>
      </c>
      <c r="M566" s="16" t="s">
        <v>51</v>
      </c>
      <c r="N566" s="14"/>
      <c r="O566" s="15" t="s">
        <v>52</v>
      </c>
      <c r="P566" s="17" t="s">
        <v>53</v>
      </c>
      <c r="Q566" s="15"/>
      <c r="R566" s="18" t="s">
        <v>51</v>
      </c>
      <c r="S566" s="19"/>
      <c r="T566" s="17" t="str">
        <f aca="false">IF(R566="維持",J566,IF(R566="排除","無關新聞事件",IFERROR(INDEX(事件規則!$B$2:$B$53,MATCH(S566,事件規則!$A$2:$A$53,0)),"")))</f>
        <v>無關新聞事件</v>
      </c>
      <c r="U566" s="20" t="n">
        <f aca="false">IF(R566="維持",K566,IF(R566="排除",0,IFERROR(INDEX(事件規則!$C$2:$C$53,MATCH(S566,事件規則!$A$2:$A$53,0)),"")))</f>
        <v>0</v>
      </c>
      <c r="V566" s="21"/>
      <c r="W566" s="22"/>
      <c r="X566" s="10" t="str">
        <f aca="false">IF(AND(R566="修改",S566=""),"請選新事件代碼",IF(AND(R566&lt;&gt;"修改",S566&lt;&gt;""),"只有「修改」才需填代碼",""))</f>
        <v/>
      </c>
      <c r="Y566" s="21"/>
      <c r="Z566" s="22"/>
      <c r="AA566" s="12" t="s">
        <v>1886</v>
      </c>
      <c r="AB566" s="24"/>
    </row>
    <row r="567" customFormat="false" ht="29.85" hidden="false" customHeight="false" outlineLevel="0" collapsed="false">
      <c r="A567" s="15" t="n">
        <v>566</v>
      </c>
      <c r="B567" s="9" t="s">
        <v>45</v>
      </c>
      <c r="C567" s="9" t="s">
        <v>1887</v>
      </c>
      <c r="D567" s="10" t="s">
        <v>1888</v>
      </c>
      <c r="E567" s="11" t="s">
        <v>1889</v>
      </c>
      <c r="F567" s="17"/>
      <c r="G567" s="12" t="s">
        <v>324</v>
      </c>
      <c r="H567" s="13" t="n">
        <v>-0.047</v>
      </c>
      <c r="I567" s="14"/>
      <c r="J567" s="17"/>
      <c r="K567" s="9"/>
      <c r="L567" s="15" t="s">
        <v>50</v>
      </c>
      <c r="M567" s="16" t="s">
        <v>51</v>
      </c>
      <c r="N567" s="14"/>
      <c r="O567" s="15" t="s">
        <v>52</v>
      </c>
      <c r="P567" s="17" t="s">
        <v>53</v>
      </c>
      <c r="Q567" s="15"/>
      <c r="R567" s="18" t="s">
        <v>51</v>
      </c>
      <c r="S567" s="19"/>
      <c r="T567" s="17" t="str">
        <f aca="false">IF(R567="維持",J567,IF(R567="排除","無關新聞事件",IFERROR(INDEX(事件規則!$B$2:$B$53,MATCH(S567,事件規則!$A$2:$A$53,0)),"")))</f>
        <v>無關新聞事件</v>
      </c>
      <c r="U567" s="20" t="n">
        <f aca="false">IF(R567="維持",K567,IF(R567="排除",0,IFERROR(INDEX(事件規則!$C$2:$C$53,MATCH(S567,事件規則!$A$2:$A$53,0)),"")))</f>
        <v>0</v>
      </c>
      <c r="V567" s="21"/>
      <c r="W567" s="22"/>
      <c r="X567" s="10" t="str">
        <f aca="false">IF(AND(R567="修改",S567=""),"請選新事件代碼",IF(AND(R567&lt;&gt;"修改",S567&lt;&gt;""),"只有「修改」才需填代碼",""))</f>
        <v/>
      </c>
      <c r="Y567" s="21"/>
      <c r="Z567" s="22"/>
      <c r="AA567" s="12" t="s">
        <v>1890</v>
      </c>
      <c r="AB567" s="24"/>
    </row>
    <row r="568" customFormat="false" ht="29.85" hidden="false" customHeight="false" outlineLevel="0" collapsed="false">
      <c r="A568" s="15" t="n">
        <v>567</v>
      </c>
      <c r="B568" s="9" t="s">
        <v>45</v>
      </c>
      <c r="C568" s="9" t="s">
        <v>445</v>
      </c>
      <c r="D568" s="10" t="s">
        <v>446</v>
      </c>
      <c r="E568" s="11" t="s">
        <v>1891</v>
      </c>
      <c r="F568" s="17"/>
      <c r="G568" s="12" t="s">
        <v>176</v>
      </c>
      <c r="H568" s="13" t="n">
        <v>-0.047</v>
      </c>
      <c r="I568" s="14"/>
      <c r="J568" s="17"/>
      <c r="K568" s="9"/>
      <c r="L568" s="15" t="s">
        <v>50</v>
      </c>
      <c r="M568" s="16" t="s">
        <v>51</v>
      </c>
      <c r="N568" s="14"/>
      <c r="O568" s="15" t="s">
        <v>52</v>
      </c>
      <c r="P568" s="17" t="s">
        <v>53</v>
      </c>
      <c r="Q568" s="15"/>
      <c r="R568" s="18" t="s">
        <v>51</v>
      </c>
      <c r="S568" s="19"/>
      <c r="T568" s="17" t="str">
        <f aca="false">IF(R568="維持",J568,IF(R568="排除","無關新聞事件",IFERROR(INDEX(事件規則!$B$2:$B$53,MATCH(S568,事件規則!$A$2:$A$53,0)),"")))</f>
        <v>無關新聞事件</v>
      </c>
      <c r="U568" s="20" t="n">
        <f aca="false">IF(R568="維持",K568,IF(R568="排除",0,IFERROR(INDEX(事件規則!$C$2:$C$53,MATCH(S568,事件規則!$A$2:$A$53,0)),"")))</f>
        <v>0</v>
      </c>
      <c r="V568" s="21"/>
      <c r="W568" s="22"/>
      <c r="X568" s="10" t="str">
        <f aca="false">IF(AND(R568="修改",S568=""),"請選新事件代碼",IF(AND(R568&lt;&gt;"修改",S568&lt;&gt;""),"只有「修改」才需填代碼",""))</f>
        <v/>
      </c>
      <c r="Y568" s="21"/>
      <c r="Z568" s="22"/>
      <c r="AA568" s="12" t="s">
        <v>1892</v>
      </c>
      <c r="AB568" s="24"/>
    </row>
    <row r="569" customFormat="false" ht="29.85" hidden="false" customHeight="false" outlineLevel="0" collapsed="false">
      <c r="A569" s="15" t="n">
        <v>568</v>
      </c>
      <c r="B569" s="9" t="s">
        <v>55</v>
      </c>
      <c r="C569" s="9" t="s">
        <v>1893</v>
      </c>
      <c r="D569" s="10" t="s">
        <v>1894</v>
      </c>
      <c r="E569" s="11" t="s">
        <v>1895</v>
      </c>
      <c r="F569" s="17"/>
      <c r="G569" s="12" t="s">
        <v>176</v>
      </c>
      <c r="H569" s="13" t="n">
        <v>-0.046</v>
      </c>
      <c r="I569" s="14"/>
      <c r="J569" s="17"/>
      <c r="K569" s="9"/>
      <c r="L569" s="15" t="s">
        <v>50</v>
      </c>
      <c r="M569" s="16" t="s">
        <v>51</v>
      </c>
      <c r="N569" s="14"/>
      <c r="O569" s="15" t="s">
        <v>52</v>
      </c>
      <c r="P569" s="17" t="s">
        <v>53</v>
      </c>
      <c r="Q569" s="15"/>
      <c r="R569" s="18" t="s">
        <v>51</v>
      </c>
      <c r="S569" s="19"/>
      <c r="T569" s="17" t="str">
        <f aca="false">IF(R569="維持",J569,IF(R569="排除","無關新聞事件",IFERROR(INDEX(事件規則!$B$2:$B$53,MATCH(S569,事件規則!$A$2:$A$53,0)),"")))</f>
        <v>無關新聞事件</v>
      </c>
      <c r="U569" s="20" t="n">
        <f aca="false">IF(R569="維持",K569,IF(R569="排除",0,IFERROR(INDEX(事件規則!$C$2:$C$53,MATCH(S569,事件規則!$A$2:$A$53,0)),"")))</f>
        <v>0</v>
      </c>
      <c r="V569" s="21"/>
      <c r="W569" s="22"/>
      <c r="X569" s="10" t="str">
        <f aca="false">IF(AND(R569="修改",S569=""),"請選新事件代碼",IF(AND(R569&lt;&gt;"修改",S569&lt;&gt;""),"只有「修改」才需填代碼",""))</f>
        <v/>
      </c>
      <c r="Y569" s="21"/>
      <c r="Z569" s="22"/>
      <c r="AA569" s="12" t="s">
        <v>1896</v>
      </c>
      <c r="AB569" s="24"/>
    </row>
    <row r="570" customFormat="false" ht="29.85" hidden="false" customHeight="false" outlineLevel="0" collapsed="false">
      <c r="A570" s="15" t="n">
        <v>569</v>
      </c>
      <c r="B570" s="9" t="s">
        <v>45</v>
      </c>
      <c r="C570" s="9" t="s">
        <v>1318</v>
      </c>
      <c r="D570" s="10" t="s">
        <v>1319</v>
      </c>
      <c r="E570" s="11" t="s">
        <v>1897</v>
      </c>
      <c r="F570" s="17"/>
      <c r="G570" s="12" t="s">
        <v>95</v>
      </c>
      <c r="H570" s="13" t="n">
        <v>-0.046</v>
      </c>
      <c r="I570" s="14"/>
      <c r="J570" s="17"/>
      <c r="K570" s="9"/>
      <c r="L570" s="15" t="s">
        <v>50</v>
      </c>
      <c r="M570" s="16" t="s">
        <v>51</v>
      </c>
      <c r="N570" s="14"/>
      <c r="O570" s="15" t="s">
        <v>52</v>
      </c>
      <c r="P570" s="17" t="s">
        <v>53</v>
      </c>
      <c r="Q570" s="15"/>
      <c r="R570" s="18" t="s">
        <v>51</v>
      </c>
      <c r="S570" s="19"/>
      <c r="T570" s="17" t="str">
        <f aca="false">IF(R570="維持",J570,IF(R570="排除","無關新聞事件",IFERROR(INDEX(事件規則!$B$2:$B$53,MATCH(S570,事件規則!$A$2:$A$53,0)),"")))</f>
        <v>無關新聞事件</v>
      </c>
      <c r="U570" s="20" t="n">
        <f aca="false">IF(R570="維持",K570,IF(R570="排除",0,IFERROR(INDEX(事件規則!$C$2:$C$53,MATCH(S570,事件規則!$A$2:$A$53,0)),"")))</f>
        <v>0</v>
      </c>
      <c r="V570" s="21"/>
      <c r="W570" s="22"/>
      <c r="X570" s="10" t="str">
        <f aca="false">IF(AND(R570="修改",S570=""),"請選新事件代碼",IF(AND(R570&lt;&gt;"修改",S570&lt;&gt;""),"只有「修改」才需填代碼",""))</f>
        <v/>
      </c>
      <c r="Y570" s="21"/>
      <c r="Z570" s="22"/>
      <c r="AA570" s="12" t="s">
        <v>1898</v>
      </c>
      <c r="AB570" s="24"/>
    </row>
    <row r="571" customFormat="false" ht="29.85" hidden="false" customHeight="false" outlineLevel="0" collapsed="false">
      <c r="A571" s="15" t="n">
        <v>570</v>
      </c>
      <c r="B571" s="9" t="s">
        <v>45</v>
      </c>
      <c r="C571" s="9" t="s">
        <v>1899</v>
      </c>
      <c r="D571" s="10" t="s">
        <v>1900</v>
      </c>
      <c r="E571" s="11" t="s">
        <v>1901</v>
      </c>
      <c r="F571" s="17"/>
      <c r="G571" s="12" t="s">
        <v>49</v>
      </c>
      <c r="H571" s="13" t="n">
        <v>-0.046</v>
      </c>
      <c r="I571" s="14"/>
      <c r="J571" s="17"/>
      <c r="K571" s="9"/>
      <c r="L571" s="15" t="s">
        <v>50</v>
      </c>
      <c r="M571" s="16" t="s">
        <v>51</v>
      </c>
      <c r="N571" s="14"/>
      <c r="O571" s="15" t="s">
        <v>52</v>
      </c>
      <c r="P571" s="17" t="s">
        <v>53</v>
      </c>
      <c r="Q571" s="15"/>
      <c r="R571" s="18" t="s">
        <v>51</v>
      </c>
      <c r="S571" s="19"/>
      <c r="T571" s="17" t="str">
        <f aca="false">IF(R571="維持",J571,IF(R571="排除","無關新聞事件",IFERROR(INDEX(事件規則!$B$2:$B$53,MATCH(S571,事件規則!$A$2:$A$53,0)),"")))</f>
        <v>無關新聞事件</v>
      </c>
      <c r="U571" s="20" t="n">
        <f aca="false">IF(R571="維持",K571,IF(R571="排除",0,IFERROR(INDEX(事件規則!$C$2:$C$53,MATCH(S571,事件規則!$A$2:$A$53,0)),"")))</f>
        <v>0</v>
      </c>
      <c r="V571" s="21"/>
      <c r="W571" s="22"/>
      <c r="X571" s="10" t="str">
        <f aca="false">IF(AND(R571="修改",S571=""),"請選新事件代碼",IF(AND(R571&lt;&gt;"修改",S571&lt;&gt;""),"只有「修改」才需填代碼",""))</f>
        <v/>
      </c>
      <c r="Y571" s="21"/>
      <c r="Z571" s="22"/>
      <c r="AA571" s="12" t="s">
        <v>1902</v>
      </c>
      <c r="AB571" s="24"/>
    </row>
    <row r="572" customFormat="false" ht="29.85" hidden="false" customHeight="false" outlineLevel="0" collapsed="false">
      <c r="A572" s="15" t="n">
        <v>571</v>
      </c>
      <c r="B572" s="9" t="s">
        <v>55</v>
      </c>
      <c r="C572" s="9" t="s">
        <v>1261</v>
      </c>
      <c r="D572" s="10" t="s">
        <v>1262</v>
      </c>
      <c r="E572" s="11" t="s">
        <v>1903</v>
      </c>
      <c r="F572" s="17"/>
      <c r="G572" s="12" t="s">
        <v>1136</v>
      </c>
      <c r="H572" s="13" t="n">
        <v>-0.046</v>
      </c>
      <c r="I572" s="14"/>
      <c r="J572" s="17"/>
      <c r="K572" s="9"/>
      <c r="L572" s="15" t="s">
        <v>50</v>
      </c>
      <c r="M572" s="16" t="s">
        <v>51</v>
      </c>
      <c r="N572" s="14"/>
      <c r="O572" s="15" t="s">
        <v>52</v>
      </c>
      <c r="P572" s="17" t="s">
        <v>53</v>
      </c>
      <c r="Q572" s="15"/>
      <c r="R572" s="18" t="s">
        <v>51</v>
      </c>
      <c r="S572" s="19"/>
      <c r="T572" s="17" t="str">
        <f aca="false">IF(R572="維持",J572,IF(R572="排除","無關新聞事件",IFERROR(INDEX(事件規則!$B$2:$B$53,MATCH(S572,事件規則!$A$2:$A$53,0)),"")))</f>
        <v>無關新聞事件</v>
      </c>
      <c r="U572" s="20" t="n">
        <f aca="false">IF(R572="維持",K572,IF(R572="排除",0,IFERROR(INDEX(事件規則!$C$2:$C$53,MATCH(S572,事件規則!$A$2:$A$53,0)),"")))</f>
        <v>0</v>
      </c>
      <c r="V572" s="21"/>
      <c r="W572" s="22"/>
      <c r="X572" s="10" t="str">
        <f aca="false">IF(AND(R572="修改",S572=""),"請選新事件代碼",IF(AND(R572&lt;&gt;"修改",S572&lt;&gt;""),"只有「修改」才需填代碼",""))</f>
        <v/>
      </c>
      <c r="Y572" s="21"/>
      <c r="Z572" s="22"/>
      <c r="AA572" s="12" t="s">
        <v>1904</v>
      </c>
      <c r="AB572" s="24"/>
    </row>
    <row r="573" customFormat="false" ht="29.85" hidden="false" customHeight="false" outlineLevel="0" collapsed="false">
      <c r="A573" s="15" t="n">
        <v>572</v>
      </c>
      <c r="B573" s="9" t="s">
        <v>112</v>
      </c>
      <c r="C573" s="9" t="s">
        <v>484</v>
      </c>
      <c r="D573" s="10" t="s">
        <v>485</v>
      </c>
      <c r="E573" s="11" t="s">
        <v>1905</v>
      </c>
      <c r="F573" s="17"/>
      <c r="G573" s="12" t="s">
        <v>1906</v>
      </c>
      <c r="H573" s="13" t="n">
        <v>-0.046</v>
      </c>
      <c r="I573" s="14"/>
      <c r="J573" s="17"/>
      <c r="K573" s="9"/>
      <c r="L573" s="15" t="s">
        <v>50</v>
      </c>
      <c r="M573" s="16" t="s">
        <v>51</v>
      </c>
      <c r="N573" s="14"/>
      <c r="O573" s="15" t="s">
        <v>52</v>
      </c>
      <c r="P573" s="17" t="s">
        <v>53</v>
      </c>
      <c r="Q573" s="15"/>
      <c r="R573" s="18" t="s">
        <v>51</v>
      </c>
      <c r="S573" s="19"/>
      <c r="T573" s="17" t="str">
        <f aca="false">IF(R573="維持",J573,IF(R573="排除","無關新聞事件",IFERROR(INDEX(事件規則!$B$2:$B$53,MATCH(S573,事件規則!$A$2:$A$53,0)),"")))</f>
        <v>無關新聞事件</v>
      </c>
      <c r="U573" s="20" t="n">
        <f aca="false">IF(R573="維持",K573,IF(R573="排除",0,IFERROR(INDEX(事件規則!$C$2:$C$53,MATCH(S573,事件規則!$A$2:$A$53,0)),"")))</f>
        <v>0</v>
      </c>
      <c r="V573" s="21"/>
      <c r="W573" s="22"/>
      <c r="X573" s="10" t="str">
        <f aca="false">IF(AND(R573="修改",S573=""),"請選新事件代碼",IF(AND(R573&lt;&gt;"修改",S573&lt;&gt;""),"只有「修改」才需填代碼",""))</f>
        <v/>
      </c>
      <c r="Y573" s="21"/>
      <c r="Z573" s="22"/>
      <c r="AA573" s="12" t="s">
        <v>1907</v>
      </c>
      <c r="AB573" s="24"/>
    </row>
    <row r="574" customFormat="false" ht="29.85" hidden="false" customHeight="false" outlineLevel="0" collapsed="false">
      <c r="A574" s="15" t="n">
        <v>573</v>
      </c>
      <c r="B574" s="9" t="s">
        <v>45</v>
      </c>
      <c r="C574" s="9" t="s">
        <v>1908</v>
      </c>
      <c r="D574" s="10" t="s">
        <v>1909</v>
      </c>
      <c r="E574" s="11" t="s">
        <v>1910</v>
      </c>
      <c r="F574" s="17"/>
      <c r="G574" s="12" t="s">
        <v>949</v>
      </c>
      <c r="H574" s="13" t="n">
        <v>-0.045</v>
      </c>
      <c r="I574" s="14"/>
      <c r="J574" s="17"/>
      <c r="K574" s="9"/>
      <c r="L574" s="15" t="s">
        <v>50</v>
      </c>
      <c r="M574" s="16" t="s">
        <v>51</v>
      </c>
      <c r="N574" s="14"/>
      <c r="O574" s="15" t="s">
        <v>52</v>
      </c>
      <c r="P574" s="17" t="s">
        <v>53</v>
      </c>
      <c r="Q574" s="15"/>
      <c r="R574" s="18" t="s">
        <v>51</v>
      </c>
      <c r="S574" s="19"/>
      <c r="T574" s="17" t="str">
        <f aca="false">IF(R574="維持",J574,IF(R574="排除","無關新聞事件",IFERROR(INDEX(事件規則!$B$2:$B$53,MATCH(S574,事件規則!$A$2:$A$53,0)),"")))</f>
        <v>無關新聞事件</v>
      </c>
      <c r="U574" s="20" t="n">
        <f aca="false">IF(R574="維持",K574,IF(R574="排除",0,IFERROR(INDEX(事件規則!$C$2:$C$53,MATCH(S574,事件規則!$A$2:$A$53,0)),"")))</f>
        <v>0</v>
      </c>
      <c r="V574" s="21"/>
      <c r="W574" s="22"/>
      <c r="X574" s="10" t="str">
        <f aca="false">IF(AND(R574="修改",S574=""),"請選新事件代碼",IF(AND(R574&lt;&gt;"修改",S574&lt;&gt;""),"只有「修改」才需填代碼",""))</f>
        <v/>
      </c>
      <c r="Y574" s="21"/>
      <c r="Z574" s="22"/>
      <c r="AA574" s="12" t="s">
        <v>1911</v>
      </c>
      <c r="AB574" s="24"/>
    </row>
    <row r="575" customFormat="false" ht="29.85" hidden="false" customHeight="false" outlineLevel="0" collapsed="false">
      <c r="A575" s="15" t="n">
        <v>574</v>
      </c>
      <c r="B575" s="9" t="s">
        <v>55</v>
      </c>
      <c r="C575" s="9" t="s">
        <v>1912</v>
      </c>
      <c r="D575" s="10" t="s">
        <v>1913</v>
      </c>
      <c r="E575" s="11" t="s">
        <v>1914</v>
      </c>
      <c r="F575" s="17"/>
      <c r="G575" s="12" t="s">
        <v>210</v>
      </c>
      <c r="H575" s="13" t="n">
        <v>-0.045</v>
      </c>
      <c r="I575" s="14"/>
      <c r="J575" s="17"/>
      <c r="K575" s="9"/>
      <c r="L575" s="15" t="s">
        <v>50</v>
      </c>
      <c r="M575" s="16" t="s">
        <v>51</v>
      </c>
      <c r="N575" s="14"/>
      <c r="O575" s="15" t="s">
        <v>52</v>
      </c>
      <c r="P575" s="17" t="s">
        <v>53</v>
      </c>
      <c r="Q575" s="15"/>
      <c r="R575" s="18" t="s">
        <v>51</v>
      </c>
      <c r="S575" s="19"/>
      <c r="T575" s="17" t="str">
        <f aca="false">IF(R575="維持",J575,IF(R575="排除","無關新聞事件",IFERROR(INDEX(事件規則!$B$2:$B$53,MATCH(S575,事件規則!$A$2:$A$53,0)),"")))</f>
        <v>無關新聞事件</v>
      </c>
      <c r="U575" s="20" t="n">
        <f aca="false">IF(R575="維持",K575,IF(R575="排除",0,IFERROR(INDEX(事件規則!$C$2:$C$53,MATCH(S575,事件規則!$A$2:$A$53,0)),"")))</f>
        <v>0</v>
      </c>
      <c r="V575" s="21"/>
      <c r="W575" s="22"/>
      <c r="X575" s="10" t="str">
        <f aca="false">IF(AND(R575="修改",S575=""),"請選新事件代碼",IF(AND(R575&lt;&gt;"修改",S575&lt;&gt;""),"只有「修改」才需填代碼",""))</f>
        <v/>
      </c>
      <c r="Y575" s="21"/>
      <c r="Z575" s="22"/>
      <c r="AA575" s="12" t="s">
        <v>1915</v>
      </c>
      <c r="AB575" s="24"/>
    </row>
    <row r="576" customFormat="false" ht="29.85" hidden="false" customHeight="false" outlineLevel="0" collapsed="false">
      <c r="A576" s="15" t="n">
        <v>575</v>
      </c>
      <c r="B576" s="9" t="s">
        <v>55</v>
      </c>
      <c r="C576" s="9" t="s">
        <v>1916</v>
      </c>
      <c r="D576" s="10" t="s">
        <v>1917</v>
      </c>
      <c r="E576" s="11" t="s">
        <v>1918</v>
      </c>
      <c r="F576" s="17"/>
      <c r="G576" s="12" t="s">
        <v>59</v>
      </c>
      <c r="H576" s="13" t="n">
        <v>-0.045</v>
      </c>
      <c r="I576" s="14"/>
      <c r="J576" s="17"/>
      <c r="K576" s="9"/>
      <c r="L576" s="15" t="s">
        <v>50</v>
      </c>
      <c r="M576" s="16" t="s">
        <v>51</v>
      </c>
      <c r="N576" s="14"/>
      <c r="O576" s="15" t="s">
        <v>52</v>
      </c>
      <c r="P576" s="17" t="s">
        <v>53</v>
      </c>
      <c r="Q576" s="15"/>
      <c r="R576" s="18" t="s">
        <v>51</v>
      </c>
      <c r="S576" s="19"/>
      <c r="T576" s="17" t="str">
        <f aca="false">IF(R576="維持",J576,IF(R576="排除","無關新聞事件",IFERROR(INDEX(事件規則!$B$2:$B$53,MATCH(S576,事件規則!$A$2:$A$53,0)),"")))</f>
        <v>無關新聞事件</v>
      </c>
      <c r="U576" s="20" t="n">
        <f aca="false">IF(R576="維持",K576,IF(R576="排除",0,IFERROR(INDEX(事件規則!$C$2:$C$53,MATCH(S576,事件規則!$A$2:$A$53,0)),"")))</f>
        <v>0</v>
      </c>
      <c r="V576" s="21"/>
      <c r="W576" s="22"/>
      <c r="X576" s="10" t="str">
        <f aca="false">IF(AND(R576="修改",S576=""),"請選新事件代碼",IF(AND(R576&lt;&gt;"修改",S576&lt;&gt;""),"只有「修改」才需填代碼",""))</f>
        <v/>
      </c>
      <c r="Y576" s="21"/>
      <c r="Z576" s="22"/>
      <c r="AA576" s="12" t="s">
        <v>1919</v>
      </c>
      <c r="AB576" s="24"/>
    </row>
    <row r="577" customFormat="false" ht="29.85" hidden="false" customHeight="false" outlineLevel="0" collapsed="false">
      <c r="A577" s="15" t="n">
        <v>576</v>
      </c>
      <c r="B577" s="9" t="s">
        <v>81</v>
      </c>
      <c r="C577" s="9" t="s">
        <v>1920</v>
      </c>
      <c r="D577" s="10" t="s">
        <v>1921</v>
      </c>
      <c r="E577" s="11" t="s">
        <v>1922</v>
      </c>
      <c r="F577" s="17"/>
      <c r="G577" s="12" t="s">
        <v>49</v>
      </c>
      <c r="H577" s="13" t="n">
        <v>-0.045</v>
      </c>
      <c r="I577" s="14"/>
      <c r="J577" s="17"/>
      <c r="K577" s="9"/>
      <c r="L577" s="15" t="s">
        <v>50</v>
      </c>
      <c r="M577" s="16" t="s">
        <v>51</v>
      </c>
      <c r="N577" s="14"/>
      <c r="O577" s="15" t="s">
        <v>52</v>
      </c>
      <c r="P577" s="17" t="s">
        <v>53</v>
      </c>
      <c r="Q577" s="15"/>
      <c r="R577" s="18" t="s">
        <v>51</v>
      </c>
      <c r="S577" s="19"/>
      <c r="T577" s="17" t="str">
        <f aca="false">IF(R577="維持",J577,IF(R577="排除","無關新聞事件",IFERROR(INDEX(事件規則!$B$2:$B$53,MATCH(S577,事件規則!$A$2:$A$53,0)),"")))</f>
        <v>無關新聞事件</v>
      </c>
      <c r="U577" s="20" t="n">
        <f aca="false">IF(R577="維持",K577,IF(R577="排除",0,IFERROR(INDEX(事件規則!$C$2:$C$53,MATCH(S577,事件規則!$A$2:$A$53,0)),"")))</f>
        <v>0</v>
      </c>
      <c r="V577" s="21"/>
      <c r="W577" s="22"/>
      <c r="X577" s="10" t="str">
        <f aca="false">IF(AND(R577="修改",S577=""),"請選新事件代碼",IF(AND(R577&lt;&gt;"修改",S577&lt;&gt;""),"只有「修改」才需填代碼",""))</f>
        <v/>
      </c>
      <c r="Y577" s="21"/>
      <c r="Z577" s="22"/>
      <c r="AA577" s="12" t="s">
        <v>1923</v>
      </c>
      <c r="AB577" s="24"/>
    </row>
    <row r="578" customFormat="false" ht="29.85" hidden="false" customHeight="false" outlineLevel="0" collapsed="false">
      <c r="A578" s="15" t="n">
        <v>577</v>
      </c>
      <c r="B578" s="9" t="s">
        <v>81</v>
      </c>
      <c r="C578" s="9" t="s">
        <v>1924</v>
      </c>
      <c r="D578" s="10" t="s">
        <v>1925</v>
      </c>
      <c r="E578" s="11" t="s">
        <v>1926</v>
      </c>
      <c r="F578" s="17"/>
      <c r="G578" s="12" t="s">
        <v>105</v>
      </c>
      <c r="H578" s="13" t="n">
        <v>-0.045</v>
      </c>
      <c r="I578" s="14"/>
      <c r="J578" s="17"/>
      <c r="K578" s="9"/>
      <c r="L578" s="15" t="s">
        <v>50</v>
      </c>
      <c r="M578" s="16" t="s">
        <v>51</v>
      </c>
      <c r="N578" s="14"/>
      <c r="O578" s="15" t="s">
        <v>52</v>
      </c>
      <c r="P578" s="17" t="s">
        <v>53</v>
      </c>
      <c r="Q578" s="15"/>
      <c r="R578" s="18" t="s">
        <v>51</v>
      </c>
      <c r="S578" s="19"/>
      <c r="T578" s="17" t="str">
        <f aca="false">IF(R578="維持",J578,IF(R578="排除","無關新聞事件",IFERROR(INDEX(事件規則!$B$2:$B$53,MATCH(S578,事件規則!$A$2:$A$53,0)),"")))</f>
        <v>無關新聞事件</v>
      </c>
      <c r="U578" s="20" t="n">
        <f aca="false">IF(R578="維持",K578,IF(R578="排除",0,IFERROR(INDEX(事件規則!$C$2:$C$53,MATCH(S578,事件規則!$A$2:$A$53,0)),"")))</f>
        <v>0</v>
      </c>
      <c r="V578" s="21"/>
      <c r="W578" s="22"/>
      <c r="X578" s="10" t="str">
        <f aca="false">IF(AND(R578="修改",S578=""),"請選新事件代碼",IF(AND(R578&lt;&gt;"修改",S578&lt;&gt;""),"只有「修改」才需填代碼",""))</f>
        <v/>
      </c>
      <c r="Y578" s="21"/>
      <c r="Z578" s="22"/>
      <c r="AA578" s="12" t="s">
        <v>1927</v>
      </c>
      <c r="AB578" s="24"/>
    </row>
    <row r="579" customFormat="false" ht="29.85" hidden="false" customHeight="false" outlineLevel="0" collapsed="false">
      <c r="A579" s="15" t="n">
        <v>578</v>
      </c>
      <c r="B579" s="9" t="s">
        <v>45</v>
      </c>
      <c r="C579" s="9" t="s">
        <v>1928</v>
      </c>
      <c r="D579" s="10" t="s">
        <v>1929</v>
      </c>
      <c r="E579" s="11" t="s">
        <v>1930</v>
      </c>
      <c r="F579" s="17"/>
      <c r="G579" s="12" t="s">
        <v>59</v>
      </c>
      <c r="H579" s="13" t="n">
        <v>-0.045</v>
      </c>
      <c r="I579" s="14"/>
      <c r="J579" s="17"/>
      <c r="K579" s="9"/>
      <c r="L579" s="15" t="s">
        <v>50</v>
      </c>
      <c r="M579" s="16" t="s">
        <v>51</v>
      </c>
      <c r="N579" s="14"/>
      <c r="O579" s="15" t="s">
        <v>52</v>
      </c>
      <c r="P579" s="17" t="s">
        <v>53</v>
      </c>
      <c r="Q579" s="15"/>
      <c r="R579" s="18" t="s">
        <v>51</v>
      </c>
      <c r="S579" s="19"/>
      <c r="T579" s="17" t="str">
        <f aca="false">IF(R579="維持",J579,IF(R579="排除","無關新聞事件",IFERROR(INDEX(事件規則!$B$2:$B$53,MATCH(S579,事件規則!$A$2:$A$53,0)),"")))</f>
        <v>無關新聞事件</v>
      </c>
      <c r="U579" s="20" t="n">
        <f aca="false">IF(R579="維持",K579,IF(R579="排除",0,IFERROR(INDEX(事件規則!$C$2:$C$53,MATCH(S579,事件規則!$A$2:$A$53,0)),"")))</f>
        <v>0</v>
      </c>
      <c r="V579" s="21"/>
      <c r="W579" s="22"/>
      <c r="X579" s="10" t="str">
        <f aca="false">IF(AND(R579="修改",S579=""),"請選新事件代碼",IF(AND(R579&lt;&gt;"修改",S579&lt;&gt;""),"只有「修改」才需填代碼",""))</f>
        <v/>
      </c>
      <c r="Y579" s="21"/>
      <c r="Z579" s="22"/>
      <c r="AA579" s="12" t="s">
        <v>1931</v>
      </c>
      <c r="AB579" s="24"/>
    </row>
    <row r="580" customFormat="false" ht="29.85" hidden="false" customHeight="false" outlineLevel="0" collapsed="false">
      <c r="A580" s="15" t="n">
        <v>579</v>
      </c>
      <c r="B580" s="9" t="s">
        <v>45</v>
      </c>
      <c r="C580" s="9" t="s">
        <v>107</v>
      </c>
      <c r="D580" s="10" t="s">
        <v>108</v>
      </c>
      <c r="E580" s="11" t="s">
        <v>1932</v>
      </c>
      <c r="F580" s="17"/>
      <c r="G580" s="12" t="s">
        <v>949</v>
      </c>
      <c r="H580" s="13" t="n">
        <v>-0.045</v>
      </c>
      <c r="I580" s="14"/>
      <c r="J580" s="17"/>
      <c r="K580" s="9"/>
      <c r="L580" s="15" t="s">
        <v>50</v>
      </c>
      <c r="M580" s="16" t="s">
        <v>51</v>
      </c>
      <c r="N580" s="14"/>
      <c r="O580" s="15" t="s">
        <v>52</v>
      </c>
      <c r="P580" s="17" t="s">
        <v>53</v>
      </c>
      <c r="Q580" s="15"/>
      <c r="R580" s="18" t="s">
        <v>51</v>
      </c>
      <c r="S580" s="19"/>
      <c r="T580" s="17" t="str">
        <f aca="false">IF(R580="維持",J580,IF(R580="排除","無關新聞事件",IFERROR(INDEX(事件規則!$B$2:$B$53,MATCH(S580,事件規則!$A$2:$A$53,0)),"")))</f>
        <v>無關新聞事件</v>
      </c>
      <c r="U580" s="20" t="n">
        <f aca="false">IF(R580="維持",K580,IF(R580="排除",0,IFERROR(INDEX(事件規則!$C$2:$C$53,MATCH(S580,事件規則!$A$2:$A$53,0)),"")))</f>
        <v>0</v>
      </c>
      <c r="V580" s="21"/>
      <c r="W580" s="22"/>
      <c r="X580" s="10" t="str">
        <f aca="false">IF(AND(R580="修改",S580=""),"請選新事件代碼",IF(AND(R580&lt;&gt;"修改",S580&lt;&gt;""),"只有「修改」才需填代碼",""))</f>
        <v/>
      </c>
      <c r="Y580" s="21"/>
      <c r="Z580" s="22"/>
      <c r="AA580" s="12" t="s">
        <v>1933</v>
      </c>
      <c r="AB580" s="24"/>
    </row>
    <row r="581" customFormat="false" ht="29.85" hidden="false" customHeight="false" outlineLevel="0" collapsed="false">
      <c r="A581" s="15" t="n">
        <v>580</v>
      </c>
      <c r="B581" s="9" t="s">
        <v>45</v>
      </c>
      <c r="C581" s="9" t="s">
        <v>1912</v>
      </c>
      <c r="D581" s="10" t="s">
        <v>1913</v>
      </c>
      <c r="E581" s="11" t="s">
        <v>1914</v>
      </c>
      <c r="F581" s="17"/>
      <c r="G581" s="12" t="s">
        <v>210</v>
      </c>
      <c r="H581" s="13" t="n">
        <v>-0.045</v>
      </c>
      <c r="I581" s="14"/>
      <c r="J581" s="17"/>
      <c r="K581" s="9"/>
      <c r="L581" s="15" t="s">
        <v>50</v>
      </c>
      <c r="M581" s="16" t="s">
        <v>51</v>
      </c>
      <c r="N581" s="14"/>
      <c r="O581" s="15" t="s">
        <v>52</v>
      </c>
      <c r="P581" s="17" t="s">
        <v>53</v>
      </c>
      <c r="Q581" s="15"/>
      <c r="R581" s="18" t="s">
        <v>51</v>
      </c>
      <c r="S581" s="19"/>
      <c r="T581" s="17" t="str">
        <f aca="false">IF(R581="維持",J581,IF(R581="排除","無關新聞事件",IFERROR(INDEX(事件規則!$B$2:$B$53,MATCH(S581,事件規則!$A$2:$A$53,0)),"")))</f>
        <v>無關新聞事件</v>
      </c>
      <c r="U581" s="20" t="n">
        <f aca="false">IF(R581="維持",K581,IF(R581="排除",0,IFERROR(INDEX(事件規則!$C$2:$C$53,MATCH(S581,事件規則!$A$2:$A$53,0)),"")))</f>
        <v>0</v>
      </c>
      <c r="V581" s="21"/>
      <c r="W581" s="22"/>
      <c r="X581" s="10" t="str">
        <f aca="false">IF(AND(R581="修改",S581=""),"請選新事件代碼",IF(AND(R581&lt;&gt;"修改",S581&lt;&gt;""),"只有「修改」才需填代碼",""))</f>
        <v/>
      </c>
      <c r="Y581" s="21"/>
      <c r="Z581" s="22"/>
      <c r="AA581" s="12" t="s">
        <v>1915</v>
      </c>
      <c r="AB581" s="24"/>
    </row>
    <row r="582" customFormat="false" ht="29.85" hidden="false" customHeight="false" outlineLevel="0" collapsed="false">
      <c r="A582" s="15" t="n">
        <v>581</v>
      </c>
      <c r="B582" s="9" t="s">
        <v>45</v>
      </c>
      <c r="C582" s="9" t="s">
        <v>1934</v>
      </c>
      <c r="D582" s="10" t="s">
        <v>1935</v>
      </c>
      <c r="E582" s="11" t="s">
        <v>1936</v>
      </c>
      <c r="F582" s="17"/>
      <c r="G582" s="12" t="s">
        <v>176</v>
      </c>
      <c r="H582" s="13" t="n">
        <v>-0.044</v>
      </c>
      <c r="I582" s="14"/>
      <c r="J582" s="17"/>
      <c r="K582" s="9"/>
      <c r="L582" s="15" t="s">
        <v>50</v>
      </c>
      <c r="M582" s="16" t="s">
        <v>51</v>
      </c>
      <c r="N582" s="14"/>
      <c r="O582" s="15" t="s">
        <v>52</v>
      </c>
      <c r="P582" s="17" t="s">
        <v>53</v>
      </c>
      <c r="Q582" s="15"/>
      <c r="R582" s="18" t="s">
        <v>51</v>
      </c>
      <c r="S582" s="19"/>
      <c r="T582" s="17" t="str">
        <f aca="false">IF(R582="維持",J582,IF(R582="排除","無關新聞事件",IFERROR(INDEX(事件規則!$B$2:$B$53,MATCH(S582,事件規則!$A$2:$A$53,0)),"")))</f>
        <v>無關新聞事件</v>
      </c>
      <c r="U582" s="20" t="n">
        <f aca="false">IF(R582="維持",K582,IF(R582="排除",0,IFERROR(INDEX(事件規則!$C$2:$C$53,MATCH(S582,事件規則!$A$2:$A$53,0)),"")))</f>
        <v>0</v>
      </c>
      <c r="V582" s="21"/>
      <c r="W582" s="22"/>
      <c r="X582" s="10" t="str">
        <f aca="false">IF(AND(R582="修改",S582=""),"請選新事件代碼",IF(AND(R582&lt;&gt;"修改",S582&lt;&gt;""),"只有「修改」才需填代碼",""))</f>
        <v/>
      </c>
      <c r="Y582" s="21"/>
      <c r="Z582" s="22"/>
      <c r="AA582" s="12" t="s">
        <v>1937</v>
      </c>
      <c r="AB582" s="24"/>
    </row>
    <row r="583" customFormat="false" ht="29.85" hidden="false" customHeight="false" outlineLevel="0" collapsed="false">
      <c r="A583" s="15" t="n">
        <v>582</v>
      </c>
      <c r="B583" s="9" t="s">
        <v>45</v>
      </c>
      <c r="C583" s="9" t="s">
        <v>1415</v>
      </c>
      <c r="D583" s="10" t="s">
        <v>1416</v>
      </c>
      <c r="E583" s="11" t="s">
        <v>1938</v>
      </c>
      <c r="F583" s="17"/>
      <c r="G583" s="12" t="s">
        <v>1939</v>
      </c>
      <c r="H583" s="13" t="n">
        <v>-0.044</v>
      </c>
      <c r="I583" s="14"/>
      <c r="J583" s="17"/>
      <c r="K583" s="9"/>
      <c r="L583" s="15" t="s">
        <v>50</v>
      </c>
      <c r="M583" s="16" t="s">
        <v>51</v>
      </c>
      <c r="N583" s="14"/>
      <c r="O583" s="15" t="s">
        <v>52</v>
      </c>
      <c r="P583" s="17" t="s">
        <v>53</v>
      </c>
      <c r="Q583" s="15"/>
      <c r="R583" s="18" t="s">
        <v>51</v>
      </c>
      <c r="S583" s="19"/>
      <c r="T583" s="17" t="str">
        <f aca="false">IF(R583="維持",J583,IF(R583="排除","無關新聞事件",IFERROR(INDEX(事件規則!$B$2:$B$53,MATCH(S583,事件規則!$A$2:$A$53,0)),"")))</f>
        <v>無關新聞事件</v>
      </c>
      <c r="U583" s="20" t="n">
        <f aca="false">IF(R583="維持",K583,IF(R583="排除",0,IFERROR(INDEX(事件規則!$C$2:$C$53,MATCH(S583,事件規則!$A$2:$A$53,0)),"")))</f>
        <v>0</v>
      </c>
      <c r="V583" s="21"/>
      <c r="W583" s="22"/>
      <c r="X583" s="10" t="str">
        <f aca="false">IF(AND(R583="修改",S583=""),"請選新事件代碼",IF(AND(R583&lt;&gt;"修改",S583&lt;&gt;""),"只有「修改」才需填代碼",""))</f>
        <v/>
      </c>
      <c r="Y583" s="21"/>
      <c r="Z583" s="22"/>
      <c r="AA583" s="12" t="s">
        <v>1940</v>
      </c>
      <c r="AB583" s="24"/>
    </row>
    <row r="584" customFormat="false" ht="29.85" hidden="false" customHeight="false" outlineLevel="0" collapsed="false">
      <c r="A584" s="15" t="n">
        <v>583</v>
      </c>
      <c r="B584" s="9" t="s">
        <v>45</v>
      </c>
      <c r="C584" s="9" t="s">
        <v>1941</v>
      </c>
      <c r="D584" s="10" t="s">
        <v>1942</v>
      </c>
      <c r="E584" s="11" t="s">
        <v>1943</v>
      </c>
      <c r="F584" s="17"/>
      <c r="G584" s="12" t="s">
        <v>176</v>
      </c>
      <c r="H584" s="13" t="n">
        <v>-0.044</v>
      </c>
      <c r="I584" s="14"/>
      <c r="J584" s="17"/>
      <c r="K584" s="9"/>
      <c r="L584" s="15" t="s">
        <v>50</v>
      </c>
      <c r="M584" s="16" t="s">
        <v>51</v>
      </c>
      <c r="N584" s="14"/>
      <c r="O584" s="15" t="s">
        <v>52</v>
      </c>
      <c r="P584" s="17" t="s">
        <v>53</v>
      </c>
      <c r="Q584" s="15"/>
      <c r="R584" s="18" t="s">
        <v>51</v>
      </c>
      <c r="S584" s="19"/>
      <c r="T584" s="17" t="str">
        <f aca="false">IF(R584="維持",J584,IF(R584="排除","無關新聞事件",IFERROR(INDEX(事件規則!$B$2:$B$53,MATCH(S584,事件規則!$A$2:$A$53,0)),"")))</f>
        <v>無關新聞事件</v>
      </c>
      <c r="U584" s="20" t="n">
        <f aca="false">IF(R584="維持",K584,IF(R584="排除",0,IFERROR(INDEX(事件規則!$C$2:$C$53,MATCH(S584,事件規則!$A$2:$A$53,0)),"")))</f>
        <v>0</v>
      </c>
      <c r="V584" s="21"/>
      <c r="W584" s="22"/>
      <c r="X584" s="10" t="str">
        <f aca="false">IF(AND(R584="修改",S584=""),"請選新事件代碼",IF(AND(R584&lt;&gt;"修改",S584&lt;&gt;""),"只有「修改」才需填代碼",""))</f>
        <v/>
      </c>
      <c r="Y584" s="21"/>
      <c r="Z584" s="22"/>
      <c r="AA584" s="12" t="s">
        <v>1944</v>
      </c>
      <c r="AB584" s="24"/>
    </row>
    <row r="585" customFormat="false" ht="29.85" hidden="false" customHeight="false" outlineLevel="0" collapsed="false">
      <c r="A585" s="15" t="n">
        <v>584</v>
      </c>
      <c r="B585" s="9" t="s">
        <v>81</v>
      </c>
      <c r="C585" s="9" t="s">
        <v>113</v>
      </c>
      <c r="D585" s="10" t="s">
        <v>114</v>
      </c>
      <c r="E585" s="11" t="s">
        <v>1945</v>
      </c>
      <c r="F585" s="17"/>
      <c r="G585" s="12" t="s">
        <v>49</v>
      </c>
      <c r="H585" s="13" t="n">
        <v>-0.044</v>
      </c>
      <c r="I585" s="14"/>
      <c r="J585" s="17"/>
      <c r="K585" s="9"/>
      <c r="L585" s="15" t="s">
        <v>50</v>
      </c>
      <c r="M585" s="16" t="s">
        <v>51</v>
      </c>
      <c r="N585" s="14"/>
      <c r="O585" s="15" t="s">
        <v>52</v>
      </c>
      <c r="P585" s="17" t="s">
        <v>53</v>
      </c>
      <c r="Q585" s="15"/>
      <c r="R585" s="18" t="s">
        <v>51</v>
      </c>
      <c r="S585" s="19"/>
      <c r="T585" s="17" t="str">
        <f aca="false">IF(R585="維持",J585,IF(R585="排除","無關新聞事件",IFERROR(INDEX(事件規則!$B$2:$B$53,MATCH(S585,事件規則!$A$2:$A$53,0)),"")))</f>
        <v>無關新聞事件</v>
      </c>
      <c r="U585" s="20" t="n">
        <f aca="false">IF(R585="維持",K585,IF(R585="排除",0,IFERROR(INDEX(事件規則!$C$2:$C$53,MATCH(S585,事件規則!$A$2:$A$53,0)),"")))</f>
        <v>0</v>
      </c>
      <c r="V585" s="21"/>
      <c r="W585" s="22"/>
      <c r="X585" s="10" t="str">
        <f aca="false">IF(AND(R585="修改",S585=""),"請選新事件代碼",IF(AND(R585&lt;&gt;"修改",S585&lt;&gt;""),"只有「修改」才需填代碼",""))</f>
        <v/>
      </c>
      <c r="Y585" s="21"/>
      <c r="Z585" s="22"/>
      <c r="AA585" s="12" t="s">
        <v>1946</v>
      </c>
      <c r="AB585" s="24"/>
    </row>
    <row r="586" customFormat="false" ht="29.85" hidden="false" customHeight="false" outlineLevel="0" collapsed="false">
      <c r="A586" s="15" t="n">
        <v>585</v>
      </c>
      <c r="B586" s="9" t="s">
        <v>55</v>
      </c>
      <c r="C586" s="9" t="s">
        <v>404</v>
      </c>
      <c r="D586" s="10" t="s">
        <v>405</v>
      </c>
      <c r="E586" s="11" t="s">
        <v>1947</v>
      </c>
      <c r="F586" s="17"/>
      <c r="G586" s="12" t="s">
        <v>1793</v>
      </c>
      <c r="H586" s="13" t="n">
        <v>-0.044</v>
      </c>
      <c r="I586" s="14"/>
      <c r="J586" s="17"/>
      <c r="K586" s="9"/>
      <c r="L586" s="15" t="s">
        <v>50</v>
      </c>
      <c r="M586" s="16" t="s">
        <v>51</v>
      </c>
      <c r="N586" s="14"/>
      <c r="O586" s="15" t="s">
        <v>52</v>
      </c>
      <c r="P586" s="17" t="s">
        <v>53</v>
      </c>
      <c r="Q586" s="15"/>
      <c r="R586" s="18" t="s">
        <v>51</v>
      </c>
      <c r="S586" s="19"/>
      <c r="T586" s="17" t="str">
        <f aca="false">IF(R586="維持",J586,IF(R586="排除","無關新聞事件",IFERROR(INDEX(事件規則!$B$2:$B$53,MATCH(S586,事件規則!$A$2:$A$53,0)),"")))</f>
        <v>無關新聞事件</v>
      </c>
      <c r="U586" s="20" t="n">
        <f aca="false">IF(R586="維持",K586,IF(R586="排除",0,IFERROR(INDEX(事件規則!$C$2:$C$53,MATCH(S586,事件規則!$A$2:$A$53,0)),"")))</f>
        <v>0</v>
      </c>
      <c r="V586" s="21"/>
      <c r="W586" s="22"/>
      <c r="X586" s="10" t="str">
        <f aca="false">IF(AND(R586="修改",S586=""),"請選新事件代碼",IF(AND(R586&lt;&gt;"修改",S586&lt;&gt;""),"只有「修改」才需填代碼",""))</f>
        <v/>
      </c>
      <c r="Y586" s="21"/>
      <c r="Z586" s="22"/>
      <c r="AA586" s="12" t="s">
        <v>1948</v>
      </c>
      <c r="AB586" s="24"/>
    </row>
    <row r="587" customFormat="false" ht="29.85" hidden="false" customHeight="false" outlineLevel="0" collapsed="false">
      <c r="A587" s="15" t="n">
        <v>586</v>
      </c>
      <c r="B587" s="9" t="s">
        <v>112</v>
      </c>
      <c r="C587" s="9" t="s">
        <v>1899</v>
      </c>
      <c r="D587" s="10" t="s">
        <v>1900</v>
      </c>
      <c r="E587" s="11" t="s">
        <v>1949</v>
      </c>
      <c r="F587" s="17"/>
      <c r="G587" s="12" t="s">
        <v>1136</v>
      </c>
      <c r="H587" s="13" t="n">
        <v>-0.044</v>
      </c>
      <c r="I587" s="14"/>
      <c r="J587" s="17"/>
      <c r="K587" s="9"/>
      <c r="L587" s="15" t="s">
        <v>50</v>
      </c>
      <c r="M587" s="16" t="s">
        <v>51</v>
      </c>
      <c r="N587" s="14"/>
      <c r="O587" s="15" t="s">
        <v>52</v>
      </c>
      <c r="P587" s="17" t="s">
        <v>53</v>
      </c>
      <c r="Q587" s="15"/>
      <c r="R587" s="18" t="s">
        <v>51</v>
      </c>
      <c r="S587" s="19"/>
      <c r="T587" s="17" t="str">
        <f aca="false">IF(R587="維持",J587,IF(R587="排除","無關新聞事件",IFERROR(INDEX(事件規則!$B$2:$B$53,MATCH(S587,事件規則!$A$2:$A$53,0)),"")))</f>
        <v>無關新聞事件</v>
      </c>
      <c r="U587" s="20" t="n">
        <f aca="false">IF(R587="維持",K587,IF(R587="排除",0,IFERROR(INDEX(事件規則!$C$2:$C$53,MATCH(S587,事件規則!$A$2:$A$53,0)),"")))</f>
        <v>0</v>
      </c>
      <c r="V587" s="21"/>
      <c r="W587" s="22"/>
      <c r="X587" s="10" t="str">
        <f aca="false">IF(AND(R587="修改",S587=""),"請選新事件代碼",IF(AND(R587&lt;&gt;"修改",S587&lt;&gt;""),"只有「修改」才需填代碼",""))</f>
        <v/>
      </c>
      <c r="Y587" s="21"/>
      <c r="Z587" s="22"/>
      <c r="AA587" s="12" t="s">
        <v>1950</v>
      </c>
      <c r="AB587" s="24"/>
    </row>
    <row r="588" customFormat="false" ht="29.85" hidden="false" customHeight="false" outlineLevel="0" collapsed="false">
      <c r="A588" s="15" t="n">
        <v>587</v>
      </c>
      <c r="B588" s="9" t="s">
        <v>112</v>
      </c>
      <c r="C588" s="9" t="s">
        <v>1734</v>
      </c>
      <c r="D588" s="10" t="s">
        <v>1735</v>
      </c>
      <c r="E588" s="11" t="s">
        <v>1951</v>
      </c>
      <c r="F588" s="17"/>
      <c r="G588" s="12" t="s">
        <v>176</v>
      </c>
      <c r="H588" s="13" t="n">
        <v>-0.044</v>
      </c>
      <c r="I588" s="14"/>
      <c r="J588" s="17"/>
      <c r="K588" s="9"/>
      <c r="L588" s="15" t="s">
        <v>50</v>
      </c>
      <c r="M588" s="16" t="s">
        <v>51</v>
      </c>
      <c r="N588" s="14"/>
      <c r="O588" s="15" t="s">
        <v>52</v>
      </c>
      <c r="P588" s="17" t="s">
        <v>53</v>
      </c>
      <c r="Q588" s="15"/>
      <c r="R588" s="18" t="s">
        <v>51</v>
      </c>
      <c r="S588" s="19"/>
      <c r="T588" s="17" t="str">
        <f aca="false">IF(R588="維持",J588,IF(R588="排除","無關新聞事件",IFERROR(INDEX(事件規則!$B$2:$B$53,MATCH(S588,事件規則!$A$2:$A$53,0)),"")))</f>
        <v>無關新聞事件</v>
      </c>
      <c r="U588" s="20" t="n">
        <f aca="false">IF(R588="維持",K588,IF(R588="排除",0,IFERROR(INDEX(事件規則!$C$2:$C$53,MATCH(S588,事件規則!$A$2:$A$53,0)),"")))</f>
        <v>0</v>
      </c>
      <c r="V588" s="21"/>
      <c r="W588" s="22"/>
      <c r="X588" s="10" t="str">
        <f aca="false">IF(AND(R588="修改",S588=""),"請選新事件代碼",IF(AND(R588&lt;&gt;"修改",S588&lt;&gt;""),"只有「修改」才需填代碼",""))</f>
        <v/>
      </c>
      <c r="Y588" s="21"/>
      <c r="Z588" s="22"/>
      <c r="AA588" s="12" t="s">
        <v>1952</v>
      </c>
      <c r="AB588" s="24"/>
    </row>
    <row r="589" customFormat="false" ht="29.85" hidden="false" customHeight="false" outlineLevel="0" collapsed="false">
      <c r="A589" s="15" t="n">
        <v>588</v>
      </c>
      <c r="B589" s="9" t="s">
        <v>112</v>
      </c>
      <c r="C589" s="9" t="s">
        <v>92</v>
      </c>
      <c r="D589" s="10" t="s">
        <v>93</v>
      </c>
      <c r="E589" s="11" t="s">
        <v>1953</v>
      </c>
      <c r="F589" s="17"/>
      <c r="G589" s="12" t="s">
        <v>49</v>
      </c>
      <c r="H589" s="13" t="n">
        <v>-0.044</v>
      </c>
      <c r="I589" s="14"/>
      <c r="J589" s="17"/>
      <c r="K589" s="9"/>
      <c r="L589" s="15" t="s">
        <v>50</v>
      </c>
      <c r="M589" s="16" t="s">
        <v>51</v>
      </c>
      <c r="N589" s="14"/>
      <c r="O589" s="15" t="s">
        <v>52</v>
      </c>
      <c r="P589" s="17" t="s">
        <v>53</v>
      </c>
      <c r="Q589" s="15"/>
      <c r="R589" s="18" t="s">
        <v>51</v>
      </c>
      <c r="S589" s="19"/>
      <c r="T589" s="17" t="str">
        <f aca="false">IF(R589="維持",J589,IF(R589="排除","無關新聞事件",IFERROR(INDEX(事件規則!$B$2:$B$53,MATCH(S589,事件規則!$A$2:$A$53,0)),"")))</f>
        <v>無關新聞事件</v>
      </c>
      <c r="U589" s="20" t="n">
        <f aca="false">IF(R589="維持",K589,IF(R589="排除",0,IFERROR(INDEX(事件規則!$C$2:$C$53,MATCH(S589,事件規則!$A$2:$A$53,0)),"")))</f>
        <v>0</v>
      </c>
      <c r="V589" s="21"/>
      <c r="W589" s="22"/>
      <c r="X589" s="10" t="str">
        <f aca="false">IF(AND(R589="修改",S589=""),"請選新事件代碼",IF(AND(R589&lt;&gt;"修改",S589&lt;&gt;""),"只有「修改」才需填代碼",""))</f>
        <v/>
      </c>
      <c r="Y589" s="21"/>
      <c r="Z589" s="22"/>
      <c r="AA589" s="12" t="s">
        <v>1954</v>
      </c>
      <c r="AB589" s="24"/>
    </row>
    <row r="590" customFormat="false" ht="29.85" hidden="false" customHeight="false" outlineLevel="0" collapsed="false">
      <c r="A590" s="15" t="n">
        <v>589</v>
      </c>
      <c r="B590" s="9" t="s">
        <v>55</v>
      </c>
      <c r="C590" s="9" t="s">
        <v>936</v>
      </c>
      <c r="D590" s="10" t="s">
        <v>937</v>
      </c>
      <c r="E590" s="11" t="s">
        <v>1955</v>
      </c>
      <c r="F590" s="17"/>
      <c r="G590" s="12" t="s">
        <v>105</v>
      </c>
      <c r="H590" s="13" t="n">
        <v>-0.044</v>
      </c>
      <c r="I590" s="14"/>
      <c r="J590" s="17"/>
      <c r="K590" s="9"/>
      <c r="L590" s="15" t="s">
        <v>50</v>
      </c>
      <c r="M590" s="16" t="s">
        <v>51</v>
      </c>
      <c r="N590" s="14"/>
      <c r="O590" s="15" t="s">
        <v>52</v>
      </c>
      <c r="P590" s="17" t="s">
        <v>53</v>
      </c>
      <c r="Q590" s="15"/>
      <c r="R590" s="18" t="s">
        <v>51</v>
      </c>
      <c r="S590" s="19"/>
      <c r="T590" s="17" t="str">
        <f aca="false">IF(R590="維持",J590,IF(R590="排除","無關新聞事件",IFERROR(INDEX(事件規則!$B$2:$B$53,MATCH(S590,事件規則!$A$2:$A$53,0)),"")))</f>
        <v>無關新聞事件</v>
      </c>
      <c r="U590" s="20" t="n">
        <f aca="false">IF(R590="維持",K590,IF(R590="排除",0,IFERROR(INDEX(事件規則!$C$2:$C$53,MATCH(S590,事件規則!$A$2:$A$53,0)),"")))</f>
        <v>0</v>
      </c>
      <c r="V590" s="21"/>
      <c r="W590" s="22"/>
      <c r="X590" s="10" t="str">
        <f aca="false">IF(AND(R590="修改",S590=""),"請選新事件代碼",IF(AND(R590&lt;&gt;"修改",S590&lt;&gt;""),"只有「修改」才需填代碼",""))</f>
        <v/>
      </c>
      <c r="Y590" s="21"/>
      <c r="Z590" s="22"/>
      <c r="AA590" s="12" t="s">
        <v>1956</v>
      </c>
      <c r="AB590" s="24"/>
    </row>
    <row r="591" customFormat="false" ht="29.85" hidden="false" customHeight="false" outlineLevel="0" collapsed="false">
      <c r="A591" s="15" t="n">
        <v>590</v>
      </c>
      <c r="B591" s="9" t="s">
        <v>55</v>
      </c>
      <c r="C591" s="9" t="s">
        <v>1196</v>
      </c>
      <c r="D591" s="10" t="s">
        <v>1197</v>
      </c>
      <c r="E591" s="11" t="s">
        <v>1957</v>
      </c>
      <c r="F591" s="17"/>
      <c r="G591" s="12" t="s">
        <v>803</v>
      </c>
      <c r="H591" s="13" t="n">
        <v>-0.044</v>
      </c>
      <c r="I591" s="14"/>
      <c r="J591" s="17"/>
      <c r="K591" s="9"/>
      <c r="L591" s="15" t="s">
        <v>50</v>
      </c>
      <c r="M591" s="16" t="s">
        <v>51</v>
      </c>
      <c r="N591" s="14"/>
      <c r="O591" s="15" t="s">
        <v>52</v>
      </c>
      <c r="P591" s="17" t="s">
        <v>53</v>
      </c>
      <c r="Q591" s="15"/>
      <c r="R591" s="18" t="s">
        <v>51</v>
      </c>
      <c r="S591" s="19"/>
      <c r="T591" s="17" t="str">
        <f aca="false">IF(R591="維持",J591,IF(R591="排除","無關新聞事件",IFERROR(INDEX(事件規則!$B$2:$B$53,MATCH(S591,事件規則!$A$2:$A$53,0)),"")))</f>
        <v>無關新聞事件</v>
      </c>
      <c r="U591" s="20" t="n">
        <f aca="false">IF(R591="維持",K591,IF(R591="排除",0,IFERROR(INDEX(事件規則!$C$2:$C$53,MATCH(S591,事件規則!$A$2:$A$53,0)),"")))</f>
        <v>0</v>
      </c>
      <c r="V591" s="21"/>
      <c r="W591" s="22"/>
      <c r="X591" s="10" t="str">
        <f aca="false">IF(AND(R591="修改",S591=""),"請選新事件代碼",IF(AND(R591&lt;&gt;"修改",S591&lt;&gt;""),"只有「修改」才需填代碼",""))</f>
        <v/>
      </c>
      <c r="Y591" s="21"/>
      <c r="Z591" s="22"/>
      <c r="AA591" s="12" t="s">
        <v>1958</v>
      </c>
      <c r="AB591" s="24"/>
    </row>
    <row r="592" customFormat="false" ht="29.85" hidden="false" customHeight="false" outlineLevel="0" collapsed="false">
      <c r="A592" s="15" t="n">
        <v>591</v>
      </c>
      <c r="B592" s="9" t="s">
        <v>45</v>
      </c>
      <c r="C592" s="9" t="s">
        <v>294</v>
      </c>
      <c r="D592" s="10" t="s">
        <v>295</v>
      </c>
      <c r="E592" s="11" t="s">
        <v>1959</v>
      </c>
      <c r="F592" s="17"/>
      <c r="G592" s="12" t="s">
        <v>105</v>
      </c>
      <c r="H592" s="13" t="n">
        <v>-0.044</v>
      </c>
      <c r="I592" s="14"/>
      <c r="J592" s="17"/>
      <c r="K592" s="9"/>
      <c r="L592" s="15" t="s">
        <v>50</v>
      </c>
      <c r="M592" s="16" t="s">
        <v>51</v>
      </c>
      <c r="N592" s="14"/>
      <c r="O592" s="15" t="s">
        <v>52</v>
      </c>
      <c r="P592" s="17" t="s">
        <v>53</v>
      </c>
      <c r="Q592" s="15"/>
      <c r="R592" s="18" t="s">
        <v>51</v>
      </c>
      <c r="S592" s="19"/>
      <c r="T592" s="17" t="str">
        <f aca="false">IF(R592="維持",J592,IF(R592="排除","無關新聞事件",IFERROR(INDEX(事件規則!$B$2:$B$53,MATCH(S592,事件規則!$A$2:$A$53,0)),"")))</f>
        <v>無關新聞事件</v>
      </c>
      <c r="U592" s="20" t="n">
        <f aca="false">IF(R592="維持",K592,IF(R592="排除",0,IFERROR(INDEX(事件規則!$C$2:$C$53,MATCH(S592,事件規則!$A$2:$A$53,0)),"")))</f>
        <v>0</v>
      </c>
      <c r="V592" s="21"/>
      <c r="W592" s="22"/>
      <c r="X592" s="10" t="str">
        <f aca="false">IF(AND(R592="修改",S592=""),"請選新事件代碼",IF(AND(R592&lt;&gt;"修改",S592&lt;&gt;""),"只有「修改」才需填代碼",""))</f>
        <v/>
      </c>
      <c r="Y592" s="21"/>
      <c r="Z592" s="22"/>
      <c r="AA592" s="12" t="s">
        <v>1960</v>
      </c>
      <c r="AB592" s="24"/>
    </row>
    <row r="593" customFormat="false" ht="29.85" hidden="false" customHeight="false" outlineLevel="0" collapsed="false">
      <c r="A593" s="15" t="n">
        <v>592</v>
      </c>
      <c r="B593" s="9" t="s">
        <v>55</v>
      </c>
      <c r="C593" s="9" t="s">
        <v>1602</v>
      </c>
      <c r="D593" s="10" t="s">
        <v>1603</v>
      </c>
      <c r="E593" s="11" t="s">
        <v>1961</v>
      </c>
      <c r="F593" s="17"/>
      <c r="G593" s="12" t="s">
        <v>95</v>
      </c>
      <c r="H593" s="13" t="n">
        <v>-0.044</v>
      </c>
      <c r="I593" s="14"/>
      <c r="J593" s="17"/>
      <c r="K593" s="9"/>
      <c r="L593" s="15" t="s">
        <v>50</v>
      </c>
      <c r="M593" s="16" t="s">
        <v>51</v>
      </c>
      <c r="N593" s="14"/>
      <c r="O593" s="15" t="s">
        <v>52</v>
      </c>
      <c r="P593" s="17" t="s">
        <v>53</v>
      </c>
      <c r="Q593" s="15"/>
      <c r="R593" s="18" t="s">
        <v>51</v>
      </c>
      <c r="S593" s="19"/>
      <c r="T593" s="17" t="str">
        <f aca="false">IF(R593="維持",J593,IF(R593="排除","無關新聞事件",IFERROR(INDEX(事件規則!$B$2:$B$53,MATCH(S593,事件規則!$A$2:$A$53,0)),"")))</f>
        <v>無關新聞事件</v>
      </c>
      <c r="U593" s="20" t="n">
        <f aca="false">IF(R593="維持",K593,IF(R593="排除",0,IFERROR(INDEX(事件規則!$C$2:$C$53,MATCH(S593,事件規則!$A$2:$A$53,0)),"")))</f>
        <v>0</v>
      </c>
      <c r="V593" s="21"/>
      <c r="W593" s="22"/>
      <c r="X593" s="10" t="str">
        <f aca="false">IF(AND(R593="修改",S593=""),"請選新事件代碼",IF(AND(R593&lt;&gt;"修改",S593&lt;&gt;""),"只有「修改」才需填代碼",""))</f>
        <v/>
      </c>
      <c r="Y593" s="21"/>
      <c r="Z593" s="22"/>
      <c r="AA593" s="12" t="s">
        <v>1962</v>
      </c>
      <c r="AB593" s="24"/>
    </row>
    <row r="594" customFormat="false" ht="29.85" hidden="false" customHeight="false" outlineLevel="0" collapsed="false">
      <c r="A594" s="15" t="n">
        <v>593</v>
      </c>
      <c r="B594" s="9" t="s">
        <v>112</v>
      </c>
      <c r="C594" s="9" t="s">
        <v>825</v>
      </c>
      <c r="D594" s="10" t="s">
        <v>826</v>
      </c>
      <c r="E594" s="11" t="s">
        <v>1963</v>
      </c>
      <c r="F594" s="17"/>
      <c r="G594" s="12" t="s">
        <v>176</v>
      </c>
      <c r="H594" s="13" t="n">
        <v>-0.043</v>
      </c>
      <c r="I594" s="14"/>
      <c r="J594" s="17"/>
      <c r="K594" s="9"/>
      <c r="L594" s="15" t="s">
        <v>50</v>
      </c>
      <c r="M594" s="16" t="s">
        <v>51</v>
      </c>
      <c r="N594" s="14"/>
      <c r="O594" s="15" t="s">
        <v>52</v>
      </c>
      <c r="P594" s="17" t="s">
        <v>53</v>
      </c>
      <c r="Q594" s="15"/>
      <c r="R594" s="18" t="s">
        <v>51</v>
      </c>
      <c r="S594" s="19"/>
      <c r="T594" s="17" t="str">
        <f aca="false">IF(R594="維持",J594,IF(R594="排除","無關新聞事件",IFERROR(INDEX(事件規則!$B$2:$B$53,MATCH(S594,事件規則!$A$2:$A$53,0)),"")))</f>
        <v>無關新聞事件</v>
      </c>
      <c r="U594" s="20" t="n">
        <f aca="false">IF(R594="維持",K594,IF(R594="排除",0,IFERROR(INDEX(事件規則!$C$2:$C$53,MATCH(S594,事件規則!$A$2:$A$53,0)),"")))</f>
        <v>0</v>
      </c>
      <c r="V594" s="21"/>
      <c r="W594" s="22"/>
      <c r="X594" s="10" t="str">
        <f aca="false">IF(AND(R594="修改",S594=""),"請選新事件代碼",IF(AND(R594&lt;&gt;"修改",S594&lt;&gt;""),"只有「修改」才需填代碼",""))</f>
        <v/>
      </c>
      <c r="Y594" s="21"/>
      <c r="Z594" s="22"/>
      <c r="AA594" s="12" t="s">
        <v>1964</v>
      </c>
      <c r="AB594" s="24"/>
    </row>
    <row r="595" customFormat="false" ht="29.85" hidden="false" customHeight="false" outlineLevel="0" collapsed="false">
      <c r="A595" s="15" t="n">
        <v>594</v>
      </c>
      <c r="B595" s="9" t="s">
        <v>112</v>
      </c>
      <c r="C595" s="9" t="s">
        <v>550</v>
      </c>
      <c r="D595" s="10" t="s">
        <v>551</v>
      </c>
      <c r="E595" s="11" t="s">
        <v>1965</v>
      </c>
      <c r="F595" s="17"/>
      <c r="G595" s="12" t="s">
        <v>1136</v>
      </c>
      <c r="H595" s="13" t="n">
        <v>-0.043</v>
      </c>
      <c r="I595" s="14"/>
      <c r="J595" s="17"/>
      <c r="K595" s="9"/>
      <c r="L595" s="15" t="s">
        <v>50</v>
      </c>
      <c r="M595" s="16" t="s">
        <v>51</v>
      </c>
      <c r="N595" s="14"/>
      <c r="O595" s="15" t="s">
        <v>52</v>
      </c>
      <c r="P595" s="17" t="s">
        <v>53</v>
      </c>
      <c r="Q595" s="15"/>
      <c r="R595" s="18" t="s">
        <v>51</v>
      </c>
      <c r="S595" s="19"/>
      <c r="T595" s="17" t="str">
        <f aca="false">IF(R595="維持",J595,IF(R595="排除","無關新聞事件",IFERROR(INDEX(事件規則!$B$2:$B$53,MATCH(S595,事件規則!$A$2:$A$53,0)),"")))</f>
        <v>無關新聞事件</v>
      </c>
      <c r="U595" s="20" t="n">
        <f aca="false">IF(R595="維持",K595,IF(R595="排除",0,IFERROR(INDEX(事件規則!$C$2:$C$53,MATCH(S595,事件規則!$A$2:$A$53,0)),"")))</f>
        <v>0</v>
      </c>
      <c r="V595" s="21"/>
      <c r="W595" s="22"/>
      <c r="X595" s="10" t="str">
        <f aca="false">IF(AND(R595="修改",S595=""),"請選新事件代碼",IF(AND(R595&lt;&gt;"修改",S595&lt;&gt;""),"只有「修改」才需填代碼",""))</f>
        <v/>
      </c>
      <c r="Y595" s="21"/>
      <c r="Z595" s="22"/>
      <c r="AA595" s="12" t="s">
        <v>1966</v>
      </c>
      <c r="AB595" s="24"/>
    </row>
    <row r="596" customFormat="false" ht="29.85" hidden="false" customHeight="false" outlineLevel="0" collapsed="false">
      <c r="A596" s="15" t="n">
        <v>595</v>
      </c>
      <c r="B596" s="9" t="s">
        <v>45</v>
      </c>
      <c r="C596" s="9" t="s">
        <v>1967</v>
      </c>
      <c r="D596" s="10" t="s">
        <v>1968</v>
      </c>
      <c r="E596" s="11" t="s">
        <v>1969</v>
      </c>
      <c r="F596" s="17"/>
      <c r="G596" s="12" t="s">
        <v>706</v>
      </c>
      <c r="H596" s="13" t="n">
        <v>-0.043</v>
      </c>
      <c r="I596" s="14"/>
      <c r="J596" s="17"/>
      <c r="K596" s="9"/>
      <c r="L596" s="15" t="s">
        <v>50</v>
      </c>
      <c r="M596" s="16" t="s">
        <v>51</v>
      </c>
      <c r="N596" s="14"/>
      <c r="O596" s="15" t="s">
        <v>52</v>
      </c>
      <c r="P596" s="17" t="s">
        <v>53</v>
      </c>
      <c r="Q596" s="15"/>
      <c r="R596" s="18" t="s">
        <v>51</v>
      </c>
      <c r="S596" s="19"/>
      <c r="T596" s="17" t="str">
        <f aca="false">IF(R596="維持",J596,IF(R596="排除","無關新聞事件",IFERROR(INDEX(事件規則!$B$2:$B$53,MATCH(S596,事件規則!$A$2:$A$53,0)),"")))</f>
        <v>無關新聞事件</v>
      </c>
      <c r="U596" s="20" t="n">
        <f aca="false">IF(R596="維持",K596,IF(R596="排除",0,IFERROR(INDEX(事件規則!$C$2:$C$53,MATCH(S596,事件規則!$A$2:$A$53,0)),"")))</f>
        <v>0</v>
      </c>
      <c r="V596" s="21"/>
      <c r="W596" s="22"/>
      <c r="X596" s="10" t="str">
        <f aca="false">IF(AND(R596="修改",S596=""),"請選新事件代碼",IF(AND(R596&lt;&gt;"修改",S596&lt;&gt;""),"只有「修改」才需填代碼",""))</f>
        <v/>
      </c>
      <c r="Y596" s="21"/>
      <c r="Z596" s="22"/>
      <c r="AA596" s="12" t="s">
        <v>1970</v>
      </c>
      <c r="AB596" s="24"/>
    </row>
    <row r="597" customFormat="false" ht="29.85" hidden="false" customHeight="false" outlineLevel="0" collapsed="false">
      <c r="A597" s="15" t="n">
        <v>596</v>
      </c>
      <c r="B597" s="9" t="s">
        <v>55</v>
      </c>
      <c r="C597" s="9" t="s">
        <v>227</v>
      </c>
      <c r="D597" s="10" t="s">
        <v>228</v>
      </c>
      <c r="E597" s="11" t="s">
        <v>1971</v>
      </c>
      <c r="F597" s="17"/>
      <c r="G597" s="12" t="s">
        <v>95</v>
      </c>
      <c r="H597" s="13" t="n">
        <v>-0.043</v>
      </c>
      <c r="I597" s="14"/>
      <c r="J597" s="17"/>
      <c r="K597" s="9"/>
      <c r="L597" s="15" t="s">
        <v>50</v>
      </c>
      <c r="M597" s="16" t="s">
        <v>51</v>
      </c>
      <c r="N597" s="14"/>
      <c r="O597" s="15" t="s">
        <v>52</v>
      </c>
      <c r="P597" s="17" t="s">
        <v>53</v>
      </c>
      <c r="Q597" s="15"/>
      <c r="R597" s="18" t="s">
        <v>51</v>
      </c>
      <c r="S597" s="19"/>
      <c r="T597" s="17" t="str">
        <f aca="false">IF(R597="維持",J597,IF(R597="排除","無關新聞事件",IFERROR(INDEX(事件規則!$B$2:$B$53,MATCH(S597,事件規則!$A$2:$A$53,0)),"")))</f>
        <v>無關新聞事件</v>
      </c>
      <c r="U597" s="20" t="n">
        <f aca="false">IF(R597="維持",K597,IF(R597="排除",0,IFERROR(INDEX(事件規則!$C$2:$C$53,MATCH(S597,事件規則!$A$2:$A$53,0)),"")))</f>
        <v>0</v>
      </c>
      <c r="V597" s="21"/>
      <c r="W597" s="22"/>
      <c r="X597" s="10" t="str">
        <f aca="false">IF(AND(R597="修改",S597=""),"請選新事件代碼",IF(AND(R597&lt;&gt;"修改",S597&lt;&gt;""),"只有「修改」才需填代碼",""))</f>
        <v/>
      </c>
      <c r="Y597" s="21"/>
      <c r="Z597" s="22"/>
      <c r="AA597" s="12" t="s">
        <v>1972</v>
      </c>
      <c r="AB597" s="24"/>
    </row>
    <row r="598" customFormat="false" ht="29.85" hidden="false" customHeight="false" outlineLevel="0" collapsed="false">
      <c r="A598" s="15" t="n">
        <v>597</v>
      </c>
      <c r="B598" s="9" t="s">
        <v>112</v>
      </c>
      <c r="C598" s="9" t="s">
        <v>92</v>
      </c>
      <c r="D598" s="10" t="s">
        <v>93</v>
      </c>
      <c r="E598" s="11" t="s">
        <v>1973</v>
      </c>
      <c r="F598" s="17"/>
      <c r="G598" s="12" t="s">
        <v>105</v>
      </c>
      <c r="H598" s="13" t="n">
        <v>-0.043</v>
      </c>
      <c r="I598" s="14"/>
      <c r="J598" s="17"/>
      <c r="K598" s="9"/>
      <c r="L598" s="15" t="s">
        <v>50</v>
      </c>
      <c r="M598" s="16" t="s">
        <v>51</v>
      </c>
      <c r="N598" s="14"/>
      <c r="O598" s="15" t="s">
        <v>52</v>
      </c>
      <c r="P598" s="17" t="s">
        <v>53</v>
      </c>
      <c r="Q598" s="15"/>
      <c r="R598" s="18" t="s">
        <v>51</v>
      </c>
      <c r="S598" s="19"/>
      <c r="T598" s="17" t="str">
        <f aca="false">IF(R598="維持",J598,IF(R598="排除","無關新聞事件",IFERROR(INDEX(事件規則!$B$2:$B$53,MATCH(S598,事件規則!$A$2:$A$53,0)),"")))</f>
        <v>無關新聞事件</v>
      </c>
      <c r="U598" s="20" t="n">
        <f aca="false">IF(R598="維持",K598,IF(R598="排除",0,IFERROR(INDEX(事件規則!$C$2:$C$53,MATCH(S598,事件規則!$A$2:$A$53,0)),"")))</f>
        <v>0</v>
      </c>
      <c r="V598" s="21"/>
      <c r="W598" s="22"/>
      <c r="X598" s="10" t="str">
        <f aca="false">IF(AND(R598="修改",S598=""),"請選新事件代碼",IF(AND(R598&lt;&gt;"修改",S598&lt;&gt;""),"只有「修改」才需填代碼",""))</f>
        <v/>
      </c>
      <c r="Y598" s="21"/>
      <c r="Z598" s="22"/>
      <c r="AA598" s="12" t="s">
        <v>1974</v>
      </c>
      <c r="AB598" s="24"/>
    </row>
    <row r="599" customFormat="false" ht="29.85" hidden="false" customHeight="false" outlineLevel="0" collapsed="false">
      <c r="A599" s="15" t="n">
        <v>598</v>
      </c>
      <c r="B599" s="9" t="s">
        <v>45</v>
      </c>
      <c r="C599" s="9" t="s">
        <v>1602</v>
      </c>
      <c r="D599" s="10" t="s">
        <v>1603</v>
      </c>
      <c r="E599" s="11" t="s">
        <v>1975</v>
      </c>
      <c r="F599" s="17"/>
      <c r="G599" s="12" t="s">
        <v>176</v>
      </c>
      <c r="H599" s="13" t="n">
        <v>-0.043</v>
      </c>
      <c r="I599" s="14"/>
      <c r="J599" s="17"/>
      <c r="K599" s="9"/>
      <c r="L599" s="15" t="s">
        <v>50</v>
      </c>
      <c r="M599" s="16" t="s">
        <v>51</v>
      </c>
      <c r="N599" s="14"/>
      <c r="O599" s="15" t="s">
        <v>52</v>
      </c>
      <c r="P599" s="17" t="s">
        <v>53</v>
      </c>
      <c r="Q599" s="15"/>
      <c r="R599" s="18" t="s">
        <v>51</v>
      </c>
      <c r="S599" s="19"/>
      <c r="T599" s="17" t="str">
        <f aca="false">IF(R599="維持",J599,IF(R599="排除","無關新聞事件",IFERROR(INDEX(事件規則!$B$2:$B$53,MATCH(S599,事件規則!$A$2:$A$53,0)),"")))</f>
        <v>無關新聞事件</v>
      </c>
      <c r="U599" s="20" t="n">
        <f aca="false">IF(R599="維持",K599,IF(R599="排除",0,IFERROR(INDEX(事件規則!$C$2:$C$53,MATCH(S599,事件規則!$A$2:$A$53,0)),"")))</f>
        <v>0</v>
      </c>
      <c r="V599" s="21"/>
      <c r="W599" s="22"/>
      <c r="X599" s="10" t="str">
        <f aca="false">IF(AND(R599="修改",S599=""),"請選新事件代碼",IF(AND(R599&lt;&gt;"修改",S599&lt;&gt;""),"只有「修改」才需填代碼",""))</f>
        <v/>
      </c>
      <c r="Y599" s="21"/>
      <c r="Z599" s="22"/>
      <c r="AA599" s="12" t="s">
        <v>1976</v>
      </c>
      <c r="AB599" s="24"/>
    </row>
    <row r="600" customFormat="false" ht="29.85" hidden="false" customHeight="false" outlineLevel="0" collapsed="false">
      <c r="A600" s="15" t="n">
        <v>599</v>
      </c>
      <c r="B600" s="9" t="s">
        <v>112</v>
      </c>
      <c r="C600" s="9" t="s">
        <v>1893</v>
      </c>
      <c r="D600" s="10" t="s">
        <v>1894</v>
      </c>
      <c r="E600" s="11" t="s">
        <v>1977</v>
      </c>
      <c r="F600" s="17"/>
      <c r="G600" s="12" t="s">
        <v>49</v>
      </c>
      <c r="H600" s="13" t="n">
        <v>-0.043</v>
      </c>
      <c r="I600" s="14"/>
      <c r="J600" s="17"/>
      <c r="K600" s="9"/>
      <c r="L600" s="15" t="s">
        <v>50</v>
      </c>
      <c r="M600" s="16" t="s">
        <v>51</v>
      </c>
      <c r="N600" s="14"/>
      <c r="O600" s="15" t="s">
        <v>52</v>
      </c>
      <c r="P600" s="17" t="s">
        <v>53</v>
      </c>
      <c r="Q600" s="15"/>
      <c r="R600" s="18" t="s">
        <v>51</v>
      </c>
      <c r="S600" s="19"/>
      <c r="T600" s="17" t="str">
        <f aca="false">IF(R600="維持",J600,IF(R600="排除","無關新聞事件",IFERROR(INDEX(事件規則!$B$2:$B$53,MATCH(S600,事件規則!$A$2:$A$53,0)),"")))</f>
        <v>無關新聞事件</v>
      </c>
      <c r="U600" s="20" t="n">
        <f aca="false">IF(R600="維持",K600,IF(R600="排除",0,IFERROR(INDEX(事件規則!$C$2:$C$53,MATCH(S600,事件規則!$A$2:$A$53,0)),"")))</f>
        <v>0</v>
      </c>
      <c r="V600" s="21"/>
      <c r="W600" s="22"/>
      <c r="X600" s="10" t="str">
        <f aca="false">IF(AND(R600="修改",S600=""),"請選新事件代碼",IF(AND(R600&lt;&gt;"修改",S600&lt;&gt;""),"只有「修改」才需填代碼",""))</f>
        <v/>
      </c>
      <c r="Y600" s="21"/>
      <c r="Z600" s="22"/>
      <c r="AA600" s="12" t="s">
        <v>1978</v>
      </c>
      <c r="AB600" s="24"/>
    </row>
    <row r="601" customFormat="false" ht="29.85" hidden="false" customHeight="false" outlineLevel="0" collapsed="false">
      <c r="A601" s="15" t="n">
        <v>600</v>
      </c>
      <c r="B601" s="9" t="s">
        <v>45</v>
      </c>
      <c r="C601" s="9" t="s">
        <v>1979</v>
      </c>
      <c r="D601" s="10" t="s">
        <v>1980</v>
      </c>
      <c r="E601" s="11" t="s">
        <v>1981</v>
      </c>
      <c r="F601" s="17"/>
      <c r="G601" s="12" t="s">
        <v>949</v>
      </c>
      <c r="H601" s="13" t="n">
        <v>-0.043</v>
      </c>
      <c r="I601" s="14"/>
      <c r="J601" s="17"/>
      <c r="K601" s="9"/>
      <c r="L601" s="15" t="s">
        <v>50</v>
      </c>
      <c r="M601" s="16" t="s">
        <v>51</v>
      </c>
      <c r="N601" s="14"/>
      <c r="O601" s="15" t="s">
        <v>52</v>
      </c>
      <c r="P601" s="17" t="s">
        <v>53</v>
      </c>
      <c r="Q601" s="15"/>
      <c r="R601" s="18" t="s">
        <v>51</v>
      </c>
      <c r="S601" s="19"/>
      <c r="T601" s="17" t="str">
        <f aca="false">IF(R601="維持",J601,IF(R601="排除","無關新聞事件",IFERROR(INDEX(事件規則!$B$2:$B$53,MATCH(S601,事件規則!$A$2:$A$53,0)),"")))</f>
        <v>無關新聞事件</v>
      </c>
      <c r="U601" s="20" t="n">
        <f aca="false">IF(R601="維持",K601,IF(R601="排除",0,IFERROR(INDEX(事件規則!$C$2:$C$53,MATCH(S601,事件規則!$A$2:$A$53,0)),"")))</f>
        <v>0</v>
      </c>
      <c r="V601" s="21"/>
      <c r="W601" s="22"/>
      <c r="X601" s="10" t="str">
        <f aca="false">IF(AND(R601="修改",S601=""),"請選新事件代碼",IF(AND(R601&lt;&gt;"修改",S601&lt;&gt;""),"只有「修改」才需填代碼",""))</f>
        <v/>
      </c>
      <c r="Y601" s="21"/>
      <c r="Z601" s="22"/>
      <c r="AA601" s="12" t="s">
        <v>1982</v>
      </c>
      <c r="AB601" s="24"/>
    </row>
    <row r="602" customFormat="false" ht="29.85" hidden="false" customHeight="false" outlineLevel="0" collapsed="false">
      <c r="A602" s="15" t="n">
        <v>601</v>
      </c>
      <c r="B602" s="9" t="s">
        <v>55</v>
      </c>
      <c r="C602" s="9" t="s">
        <v>550</v>
      </c>
      <c r="D602" s="10" t="s">
        <v>551</v>
      </c>
      <c r="E602" s="11" t="s">
        <v>1983</v>
      </c>
      <c r="F602" s="17"/>
      <c r="G602" s="12" t="s">
        <v>1136</v>
      </c>
      <c r="H602" s="13" t="n">
        <v>-0.043</v>
      </c>
      <c r="I602" s="14"/>
      <c r="J602" s="17"/>
      <c r="K602" s="9"/>
      <c r="L602" s="15" t="s">
        <v>50</v>
      </c>
      <c r="M602" s="16" t="s">
        <v>51</v>
      </c>
      <c r="N602" s="14"/>
      <c r="O602" s="15" t="s">
        <v>52</v>
      </c>
      <c r="P602" s="17" t="s">
        <v>53</v>
      </c>
      <c r="Q602" s="15"/>
      <c r="R602" s="18" t="s">
        <v>51</v>
      </c>
      <c r="S602" s="19"/>
      <c r="T602" s="17" t="str">
        <f aca="false">IF(R602="維持",J602,IF(R602="排除","無關新聞事件",IFERROR(INDEX(事件規則!$B$2:$B$53,MATCH(S602,事件規則!$A$2:$A$53,0)),"")))</f>
        <v>無關新聞事件</v>
      </c>
      <c r="U602" s="20" t="n">
        <f aca="false">IF(R602="維持",K602,IF(R602="排除",0,IFERROR(INDEX(事件規則!$C$2:$C$53,MATCH(S602,事件規則!$A$2:$A$53,0)),"")))</f>
        <v>0</v>
      </c>
      <c r="V602" s="21"/>
      <c r="W602" s="22"/>
      <c r="X602" s="10" t="str">
        <f aca="false">IF(AND(R602="修改",S602=""),"請選新事件代碼",IF(AND(R602&lt;&gt;"修改",S602&lt;&gt;""),"只有「修改」才需填代碼",""))</f>
        <v/>
      </c>
      <c r="Y602" s="21"/>
      <c r="Z602" s="22"/>
      <c r="AA602" s="12" t="s">
        <v>1984</v>
      </c>
      <c r="AB602" s="24"/>
    </row>
    <row r="603" customFormat="false" ht="29.85" hidden="false" customHeight="false" outlineLevel="0" collapsed="false">
      <c r="A603" s="15" t="n">
        <v>602</v>
      </c>
      <c r="B603" s="9" t="s">
        <v>81</v>
      </c>
      <c r="C603" s="9" t="s">
        <v>550</v>
      </c>
      <c r="D603" s="10" t="s">
        <v>551</v>
      </c>
      <c r="E603" s="11" t="s">
        <v>1985</v>
      </c>
      <c r="F603" s="17"/>
      <c r="G603" s="12" t="s">
        <v>49</v>
      </c>
      <c r="H603" s="13" t="n">
        <v>-0.043</v>
      </c>
      <c r="I603" s="14"/>
      <c r="J603" s="17"/>
      <c r="K603" s="9"/>
      <c r="L603" s="15" t="s">
        <v>50</v>
      </c>
      <c r="M603" s="16" t="s">
        <v>51</v>
      </c>
      <c r="N603" s="14"/>
      <c r="O603" s="15" t="s">
        <v>52</v>
      </c>
      <c r="P603" s="17" t="s">
        <v>53</v>
      </c>
      <c r="Q603" s="15"/>
      <c r="R603" s="18" t="s">
        <v>51</v>
      </c>
      <c r="S603" s="19"/>
      <c r="T603" s="17" t="str">
        <f aca="false">IF(R603="維持",J603,IF(R603="排除","無關新聞事件",IFERROR(INDEX(事件規則!$B$2:$B$53,MATCH(S603,事件規則!$A$2:$A$53,0)),"")))</f>
        <v>無關新聞事件</v>
      </c>
      <c r="U603" s="20" t="n">
        <f aca="false">IF(R603="維持",K603,IF(R603="排除",0,IFERROR(INDEX(事件規則!$C$2:$C$53,MATCH(S603,事件規則!$A$2:$A$53,0)),"")))</f>
        <v>0</v>
      </c>
      <c r="V603" s="21"/>
      <c r="W603" s="22"/>
      <c r="X603" s="10" t="str">
        <f aca="false">IF(AND(R603="修改",S603=""),"請選新事件代碼",IF(AND(R603&lt;&gt;"修改",S603&lt;&gt;""),"只有「修改」才需填代碼",""))</f>
        <v/>
      </c>
      <c r="Y603" s="21"/>
      <c r="Z603" s="22"/>
      <c r="AA603" s="12" t="s">
        <v>1986</v>
      </c>
      <c r="AB603" s="24"/>
    </row>
    <row r="604" customFormat="false" ht="29.85" hidden="false" customHeight="false" outlineLevel="0" collapsed="false">
      <c r="A604" s="15" t="n">
        <v>603</v>
      </c>
      <c r="B604" s="9" t="s">
        <v>112</v>
      </c>
      <c r="C604" s="9" t="s">
        <v>1987</v>
      </c>
      <c r="D604" s="10" t="s">
        <v>1988</v>
      </c>
      <c r="E604" s="11" t="s">
        <v>1989</v>
      </c>
      <c r="F604" s="17"/>
      <c r="G604" s="12" t="s">
        <v>105</v>
      </c>
      <c r="H604" s="13" t="n">
        <v>-0.043</v>
      </c>
      <c r="I604" s="14"/>
      <c r="J604" s="17"/>
      <c r="K604" s="9"/>
      <c r="L604" s="15" t="s">
        <v>50</v>
      </c>
      <c r="M604" s="16" t="s">
        <v>51</v>
      </c>
      <c r="N604" s="14"/>
      <c r="O604" s="15" t="s">
        <v>52</v>
      </c>
      <c r="P604" s="17" t="s">
        <v>53</v>
      </c>
      <c r="Q604" s="15"/>
      <c r="R604" s="18" t="s">
        <v>51</v>
      </c>
      <c r="S604" s="19"/>
      <c r="T604" s="17" t="str">
        <f aca="false">IF(R604="維持",J604,IF(R604="排除","無關新聞事件",IFERROR(INDEX(事件規則!$B$2:$B$53,MATCH(S604,事件規則!$A$2:$A$53,0)),"")))</f>
        <v>無關新聞事件</v>
      </c>
      <c r="U604" s="20" t="n">
        <f aca="false">IF(R604="維持",K604,IF(R604="排除",0,IFERROR(INDEX(事件規則!$C$2:$C$53,MATCH(S604,事件規則!$A$2:$A$53,0)),"")))</f>
        <v>0</v>
      </c>
      <c r="V604" s="21"/>
      <c r="W604" s="22"/>
      <c r="X604" s="10" t="str">
        <f aca="false">IF(AND(R604="修改",S604=""),"請選新事件代碼",IF(AND(R604&lt;&gt;"修改",S604&lt;&gt;""),"只有「修改」才需填代碼",""))</f>
        <v/>
      </c>
      <c r="Y604" s="21"/>
      <c r="Z604" s="22"/>
      <c r="AA604" s="12" t="s">
        <v>1990</v>
      </c>
      <c r="AB604" s="24"/>
    </row>
    <row r="605" customFormat="false" ht="29.85" hidden="false" customHeight="false" outlineLevel="0" collapsed="false">
      <c r="A605" s="15" t="n">
        <v>604</v>
      </c>
      <c r="B605" s="9" t="s">
        <v>112</v>
      </c>
      <c r="C605" s="9" t="s">
        <v>1924</v>
      </c>
      <c r="D605" s="10" t="s">
        <v>1925</v>
      </c>
      <c r="E605" s="11" t="s">
        <v>1991</v>
      </c>
      <c r="F605" s="17"/>
      <c r="G605" s="12" t="s">
        <v>105</v>
      </c>
      <c r="H605" s="13" t="n">
        <v>-0.043</v>
      </c>
      <c r="I605" s="14"/>
      <c r="J605" s="17"/>
      <c r="K605" s="9"/>
      <c r="L605" s="15" t="s">
        <v>50</v>
      </c>
      <c r="M605" s="16" t="s">
        <v>51</v>
      </c>
      <c r="N605" s="14"/>
      <c r="O605" s="15" t="s">
        <v>52</v>
      </c>
      <c r="P605" s="17" t="s">
        <v>53</v>
      </c>
      <c r="Q605" s="15"/>
      <c r="R605" s="18" t="s">
        <v>51</v>
      </c>
      <c r="S605" s="19"/>
      <c r="T605" s="17" t="str">
        <f aca="false">IF(R605="維持",J605,IF(R605="排除","無關新聞事件",IFERROR(INDEX(事件規則!$B$2:$B$53,MATCH(S605,事件規則!$A$2:$A$53,0)),"")))</f>
        <v>無關新聞事件</v>
      </c>
      <c r="U605" s="20" t="n">
        <f aca="false">IF(R605="維持",K605,IF(R605="排除",0,IFERROR(INDEX(事件規則!$C$2:$C$53,MATCH(S605,事件規則!$A$2:$A$53,0)),"")))</f>
        <v>0</v>
      </c>
      <c r="V605" s="21"/>
      <c r="W605" s="22"/>
      <c r="X605" s="10" t="str">
        <f aca="false">IF(AND(R605="修改",S605=""),"請選新事件代碼",IF(AND(R605&lt;&gt;"修改",S605&lt;&gt;""),"只有「修改」才需填代碼",""))</f>
        <v/>
      </c>
      <c r="Y605" s="21"/>
      <c r="Z605" s="22"/>
      <c r="AA605" s="12" t="s">
        <v>1992</v>
      </c>
      <c r="AB605" s="24"/>
    </row>
    <row r="606" customFormat="false" ht="29.85" hidden="false" customHeight="false" outlineLevel="0" collapsed="false">
      <c r="A606" s="15" t="n">
        <v>605</v>
      </c>
      <c r="B606" s="9" t="s">
        <v>45</v>
      </c>
      <c r="C606" s="9" t="s">
        <v>1507</v>
      </c>
      <c r="D606" s="10" t="s">
        <v>1508</v>
      </c>
      <c r="E606" s="11" t="s">
        <v>1993</v>
      </c>
      <c r="F606" s="17"/>
      <c r="G606" s="12" t="s">
        <v>230</v>
      </c>
      <c r="H606" s="13" t="n">
        <v>-0.043</v>
      </c>
      <c r="I606" s="14"/>
      <c r="J606" s="17"/>
      <c r="K606" s="9"/>
      <c r="L606" s="15" t="s">
        <v>50</v>
      </c>
      <c r="M606" s="16" t="s">
        <v>51</v>
      </c>
      <c r="N606" s="14"/>
      <c r="O606" s="15" t="s">
        <v>52</v>
      </c>
      <c r="P606" s="17" t="s">
        <v>53</v>
      </c>
      <c r="Q606" s="15"/>
      <c r="R606" s="18" t="s">
        <v>51</v>
      </c>
      <c r="S606" s="19"/>
      <c r="T606" s="17" t="str">
        <f aca="false">IF(R606="維持",J606,IF(R606="排除","無關新聞事件",IFERROR(INDEX(事件規則!$B$2:$B$53,MATCH(S606,事件規則!$A$2:$A$53,0)),"")))</f>
        <v>無關新聞事件</v>
      </c>
      <c r="U606" s="20" t="n">
        <f aca="false">IF(R606="維持",K606,IF(R606="排除",0,IFERROR(INDEX(事件規則!$C$2:$C$53,MATCH(S606,事件規則!$A$2:$A$53,0)),"")))</f>
        <v>0</v>
      </c>
      <c r="V606" s="21"/>
      <c r="W606" s="22"/>
      <c r="X606" s="10" t="str">
        <f aca="false">IF(AND(R606="修改",S606=""),"請選新事件代碼",IF(AND(R606&lt;&gt;"修改",S606&lt;&gt;""),"只有「修改」才需填代碼",""))</f>
        <v/>
      </c>
      <c r="Y606" s="21"/>
      <c r="Z606" s="22"/>
      <c r="AA606" s="12" t="s">
        <v>1994</v>
      </c>
      <c r="AB606" s="24"/>
    </row>
    <row r="607" customFormat="false" ht="29.85" hidden="false" customHeight="false" outlineLevel="0" collapsed="false">
      <c r="A607" s="15" t="n">
        <v>606</v>
      </c>
      <c r="B607" s="9" t="s">
        <v>45</v>
      </c>
      <c r="C607" s="9" t="s">
        <v>303</v>
      </c>
      <c r="D607" s="10" t="s">
        <v>304</v>
      </c>
      <c r="E607" s="11" t="s">
        <v>1995</v>
      </c>
      <c r="F607" s="17"/>
      <c r="G607" s="12" t="s">
        <v>1752</v>
      </c>
      <c r="H607" s="13" t="n">
        <v>-0.043</v>
      </c>
      <c r="I607" s="14"/>
      <c r="J607" s="17"/>
      <c r="K607" s="9"/>
      <c r="L607" s="15" t="s">
        <v>50</v>
      </c>
      <c r="M607" s="16" t="s">
        <v>51</v>
      </c>
      <c r="N607" s="14"/>
      <c r="O607" s="15" t="s">
        <v>52</v>
      </c>
      <c r="P607" s="17" t="s">
        <v>53</v>
      </c>
      <c r="Q607" s="15"/>
      <c r="R607" s="18" t="s">
        <v>51</v>
      </c>
      <c r="S607" s="19"/>
      <c r="T607" s="17" t="str">
        <f aca="false">IF(R607="維持",J607,IF(R607="排除","無關新聞事件",IFERROR(INDEX(事件規則!$B$2:$B$53,MATCH(S607,事件規則!$A$2:$A$53,0)),"")))</f>
        <v>無關新聞事件</v>
      </c>
      <c r="U607" s="20" t="n">
        <f aca="false">IF(R607="維持",K607,IF(R607="排除",0,IFERROR(INDEX(事件規則!$C$2:$C$53,MATCH(S607,事件規則!$A$2:$A$53,0)),"")))</f>
        <v>0</v>
      </c>
      <c r="V607" s="21"/>
      <c r="W607" s="22"/>
      <c r="X607" s="10" t="str">
        <f aca="false">IF(AND(R607="修改",S607=""),"請選新事件代碼",IF(AND(R607&lt;&gt;"修改",S607&lt;&gt;""),"只有「修改」才需填代碼",""))</f>
        <v/>
      </c>
      <c r="Y607" s="21"/>
      <c r="Z607" s="22"/>
      <c r="AA607" s="12" t="s">
        <v>1996</v>
      </c>
      <c r="AB607" s="24"/>
    </row>
    <row r="608" customFormat="false" ht="29.85" hidden="false" customHeight="false" outlineLevel="0" collapsed="false">
      <c r="A608" s="15" t="n">
        <v>607</v>
      </c>
      <c r="B608" s="9" t="s">
        <v>55</v>
      </c>
      <c r="C608" s="9" t="s">
        <v>303</v>
      </c>
      <c r="D608" s="10" t="s">
        <v>304</v>
      </c>
      <c r="E608" s="11" t="s">
        <v>1997</v>
      </c>
      <c r="F608" s="17"/>
      <c r="G608" s="12" t="s">
        <v>1998</v>
      </c>
      <c r="H608" s="13" t="n">
        <v>-0.043</v>
      </c>
      <c r="I608" s="14"/>
      <c r="J608" s="17"/>
      <c r="K608" s="9"/>
      <c r="L608" s="15" t="s">
        <v>50</v>
      </c>
      <c r="M608" s="16" t="s">
        <v>51</v>
      </c>
      <c r="N608" s="14"/>
      <c r="O608" s="15" t="s">
        <v>52</v>
      </c>
      <c r="P608" s="17" t="s">
        <v>53</v>
      </c>
      <c r="Q608" s="15"/>
      <c r="R608" s="18" t="s">
        <v>51</v>
      </c>
      <c r="S608" s="19"/>
      <c r="T608" s="17" t="str">
        <f aca="false">IF(R608="維持",J608,IF(R608="排除","無關新聞事件",IFERROR(INDEX(事件規則!$B$2:$B$53,MATCH(S608,事件規則!$A$2:$A$53,0)),"")))</f>
        <v>無關新聞事件</v>
      </c>
      <c r="U608" s="20" t="n">
        <f aca="false">IF(R608="維持",K608,IF(R608="排除",0,IFERROR(INDEX(事件規則!$C$2:$C$53,MATCH(S608,事件規則!$A$2:$A$53,0)),"")))</f>
        <v>0</v>
      </c>
      <c r="V608" s="21"/>
      <c r="W608" s="22"/>
      <c r="X608" s="10" t="str">
        <f aca="false">IF(AND(R608="修改",S608=""),"請選新事件代碼",IF(AND(R608&lt;&gt;"修改",S608&lt;&gt;""),"只有「修改」才需填代碼",""))</f>
        <v/>
      </c>
      <c r="Y608" s="21"/>
      <c r="Z608" s="22"/>
      <c r="AA608" s="12" t="s">
        <v>1999</v>
      </c>
      <c r="AB608" s="24"/>
    </row>
    <row r="609" customFormat="false" ht="29.85" hidden="false" customHeight="false" outlineLevel="0" collapsed="false">
      <c r="A609" s="15" t="n">
        <v>608</v>
      </c>
      <c r="B609" s="9" t="s">
        <v>112</v>
      </c>
      <c r="C609" s="9" t="s">
        <v>550</v>
      </c>
      <c r="D609" s="10" t="s">
        <v>551</v>
      </c>
      <c r="E609" s="11" t="s">
        <v>2000</v>
      </c>
      <c r="F609" s="17"/>
      <c r="G609" s="12" t="s">
        <v>1136</v>
      </c>
      <c r="H609" s="13" t="n">
        <v>-0.042</v>
      </c>
      <c r="I609" s="14"/>
      <c r="J609" s="17"/>
      <c r="K609" s="9"/>
      <c r="L609" s="15" t="s">
        <v>50</v>
      </c>
      <c r="M609" s="16" t="s">
        <v>51</v>
      </c>
      <c r="N609" s="14"/>
      <c r="O609" s="15" t="s">
        <v>52</v>
      </c>
      <c r="P609" s="17" t="s">
        <v>53</v>
      </c>
      <c r="Q609" s="15"/>
      <c r="R609" s="18" t="s">
        <v>51</v>
      </c>
      <c r="S609" s="19"/>
      <c r="T609" s="17" t="str">
        <f aca="false">IF(R609="維持",J609,IF(R609="排除","無關新聞事件",IFERROR(INDEX(事件規則!$B$2:$B$53,MATCH(S609,事件規則!$A$2:$A$53,0)),"")))</f>
        <v>無關新聞事件</v>
      </c>
      <c r="U609" s="20" t="n">
        <f aca="false">IF(R609="維持",K609,IF(R609="排除",0,IFERROR(INDEX(事件規則!$C$2:$C$53,MATCH(S609,事件規則!$A$2:$A$53,0)),"")))</f>
        <v>0</v>
      </c>
      <c r="V609" s="21"/>
      <c r="W609" s="22"/>
      <c r="X609" s="10" t="str">
        <f aca="false">IF(AND(R609="修改",S609=""),"請選新事件代碼",IF(AND(R609&lt;&gt;"修改",S609&lt;&gt;""),"只有「修改」才需填代碼",""))</f>
        <v/>
      </c>
      <c r="Y609" s="21"/>
      <c r="Z609" s="22"/>
      <c r="AA609" s="12" t="s">
        <v>2001</v>
      </c>
      <c r="AB609" s="24"/>
    </row>
    <row r="610" customFormat="false" ht="29.85" hidden="false" customHeight="false" outlineLevel="0" collapsed="false">
      <c r="A610" s="15" t="n">
        <v>609</v>
      </c>
      <c r="B610" s="9" t="s">
        <v>112</v>
      </c>
      <c r="C610" s="9" t="s">
        <v>936</v>
      </c>
      <c r="D610" s="10" t="s">
        <v>937</v>
      </c>
      <c r="E610" s="11" t="s">
        <v>2002</v>
      </c>
      <c r="F610" s="17"/>
      <c r="G610" s="12" t="s">
        <v>176</v>
      </c>
      <c r="H610" s="13" t="n">
        <v>-0.042</v>
      </c>
      <c r="I610" s="14"/>
      <c r="J610" s="17"/>
      <c r="K610" s="9"/>
      <c r="L610" s="15" t="s">
        <v>50</v>
      </c>
      <c r="M610" s="16" t="s">
        <v>51</v>
      </c>
      <c r="N610" s="14"/>
      <c r="O610" s="15" t="s">
        <v>52</v>
      </c>
      <c r="P610" s="17" t="s">
        <v>53</v>
      </c>
      <c r="Q610" s="15"/>
      <c r="R610" s="18" t="s">
        <v>51</v>
      </c>
      <c r="S610" s="19"/>
      <c r="T610" s="17" t="str">
        <f aca="false">IF(R610="維持",J610,IF(R610="排除","無關新聞事件",IFERROR(INDEX(事件規則!$B$2:$B$53,MATCH(S610,事件規則!$A$2:$A$53,0)),"")))</f>
        <v>無關新聞事件</v>
      </c>
      <c r="U610" s="20" t="n">
        <f aca="false">IF(R610="維持",K610,IF(R610="排除",0,IFERROR(INDEX(事件規則!$C$2:$C$53,MATCH(S610,事件規則!$A$2:$A$53,0)),"")))</f>
        <v>0</v>
      </c>
      <c r="V610" s="21"/>
      <c r="W610" s="22"/>
      <c r="X610" s="10" t="str">
        <f aca="false">IF(AND(R610="修改",S610=""),"請選新事件代碼",IF(AND(R610&lt;&gt;"修改",S610&lt;&gt;""),"只有「修改」才需填代碼",""))</f>
        <v/>
      </c>
      <c r="Y610" s="21"/>
      <c r="Z610" s="22"/>
      <c r="AA610" s="12" t="s">
        <v>2003</v>
      </c>
      <c r="AB610" s="24"/>
    </row>
    <row r="611" customFormat="false" ht="29.85" hidden="false" customHeight="false" outlineLevel="0" collapsed="false">
      <c r="A611" s="15" t="n">
        <v>610</v>
      </c>
      <c r="B611" s="9" t="s">
        <v>112</v>
      </c>
      <c r="C611" s="15"/>
      <c r="D611" s="10" t="s">
        <v>1163</v>
      </c>
      <c r="E611" s="23" t="s">
        <v>2004</v>
      </c>
      <c r="F611" s="17" t="s">
        <v>2004</v>
      </c>
      <c r="G611" s="12" t="s">
        <v>176</v>
      </c>
      <c r="H611" s="13" t="n">
        <v>-0.042</v>
      </c>
      <c r="I611" s="14"/>
      <c r="J611" s="17"/>
      <c r="K611" s="9"/>
      <c r="L611" s="15" t="s">
        <v>50</v>
      </c>
      <c r="M611" s="16" t="s">
        <v>51</v>
      </c>
      <c r="N611" s="14"/>
      <c r="O611" s="15" t="s">
        <v>52</v>
      </c>
      <c r="P611" s="17" t="s">
        <v>53</v>
      </c>
      <c r="Q611" s="15"/>
      <c r="R611" s="18" t="s">
        <v>51</v>
      </c>
      <c r="S611" s="19"/>
      <c r="T611" s="17" t="str">
        <f aca="false">IF(R611="維持",J611,IF(R611="排除","無關新聞事件",IFERROR(INDEX(事件規則!$B$2:$B$53,MATCH(S611,事件規則!$A$2:$A$53,0)),"")))</f>
        <v>無關新聞事件</v>
      </c>
      <c r="U611" s="20" t="n">
        <f aca="false">IF(R611="維持",K611,IF(R611="排除",0,IFERROR(INDEX(事件規則!$C$2:$C$53,MATCH(S611,事件規則!$A$2:$A$53,0)),"")))</f>
        <v>0</v>
      </c>
      <c r="V611" s="21"/>
      <c r="W611" s="22"/>
      <c r="X611" s="10" t="str">
        <f aca="false">IF(AND(R611="修改",S611=""),"請選新事件代碼",IF(AND(R611&lt;&gt;"修改",S611&lt;&gt;""),"只有「修改」才需填代碼",""))</f>
        <v/>
      </c>
      <c r="Y611" s="21"/>
      <c r="Z611" s="22"/>
      <c r="AA611" s="12" t="s">
        <v>2005</v>
      </c>
      <c r="AB611" s="24"/>
    </row>
    <row r="612" customFormat="false" ht="29.85" hidden="false" customHeight="false" outlineLevel="0" collapsed="false">
      <c r="A612" s="15" t="n">
        <v>611</v>
      </c>
      <c r="B612" s="9" t="s">
        <v>112</v>
      </c>
      <c r="C612" s="9" t="s">
        <v>1829</v>
      </c>
      <c r="D612" s="10" t="s">
        <v>1830</v>
      </c>
      <c r="E612" s="11" t="s">
        <v>2006</v>
      </c>
      <c r="F612" s="17"/>
      <c r="G612" s="12" t="s">
        <v>105</v>
      </c>
      <c r="H612" s="13" t="n">
        <v>-0.042</v>
      </c>
      <c r="I612" s="14"/>
      <c r="J612" s="17"/>
      <c r="K612" s="9"/>
      <c r="L612" s="15" t="s">
        <v>50</v>
      </c>
      <c r="M612" s="16" t="s">
        <v>51</v>
      </c>
      <c r="N612" s="14"/>
      <c r="O612" s="15" t="s">
        <v>52</v>
      </c>
      <c r="P612" s="17" t="s">
        <v>53</v>
      </c>
      <c r="Q612" s="15"/>
      <c r="R612" s="18" t="s">
        <v>51</v>
      </c>
      <c r="S612" s="19"/>
      <c r="T612" s="17" t="str">
        <f aca="false">IF(R612="維持",J612,IF(R612="排除","無關新聞事件",IFERROR(INDEX(事件規則!$B$2:$B$53,MATCH(S612,事件規則!$A$2:$A$53,0)),"")))</f>
        <v>無關新聞事件</v>
      </c>
      <c r="U612" s="20" t="n">
        <f aca="false">IF(R612="維持",K612,IF(R612="排除",0,IFERROR(INDEX(事件規則!$C$2:$C$53,MATCH(S612,事件規則!$A$2:$A$53,0)),"")))</f>
        <v>0</v>
      </c>
      <c r="V612" s="21"/>
      <c r="W612" s="22"/>
      <c r="X612" s="10" t="str">
        <f aca="false">IF(AND(R612="修改",S612=""),"請選新事件代碼",IF(AND(R612&lt;&gt;"修改",S612&lt;&gt;""),"只有「修改」才需填代碼",""))</f>
        <v/>
      </c>
      <c r="Y612" s="21"/>
      <c r="Z612" s="22"/>
      <c r="AA612" s="12" t="s">
        <v>2007</v>
      </c>
      <c r="AB612" s="24"/>
    </row>
    <row r="613" customFormat="false" ht="29.85" hidden="false" customHeight="false" outlineLevel="0" collapsed="false">
      <c r="A613" s="15" t="n">
        <v>612</v>
      </c>
      <c r="B613" s="9" t="s">
        <v>45</v>
      </c>
      <c r="C613" s="9" t="s">
        <v>2008</v>
      </c>
      <c r="D613" s="10" t="s">
        <v>2009</v>
      </c>
      <c r="E613" s="11" t="s">
        <v>2010</v>
      </c>
      <c r="F613" s="17"/>
      <c r="G613" s="12" t="s">
        <v>949</v>
      </c>
      <c r="H613" s="13" t="n">
        <v>-0.042</v>
      </c>
      <c r="I613" s="14"/>
      <c r="J613" s="17"/>
      <c r="K613" s="9"/>
      <c r="L613" s="15" t="s">
        <v>50</v>
      </c>
      <c r="M613" s="16" t="s">
        <v>51</v>
      </c>
      <c r="N613" s="14"/>
      <c r="O613" s="15" t="s">
        <v>52</v>
      </c>
      <c r="P613" s="17" t="s">
        <v>53</v>
      </c>
      <c r="Q613" s="15"/>
      <c r="R613" s="18" t="s">
        <v>51</v>
      </c>
      <c r="S613" s="19"/>
      <c r="T613" s="17" t="str">
        <f aca="false">IF(R613="維持",J613,IF(R613="排除","無關新聞事件",IFERROR(INDEX(事件規則!$B$2:$B$53,MATCH(S613,事件規則!$A$2:$A$53,0)),"")))</f>
        <v>無關新聞事件</v>
      </c>
      <c r="U613" s="20" t="n">
        <f aca="false">IF(R613="維持",K613,IF(R613="排除",0,IFERROR(INDEX(事件規則!$C$2:$C$53,MATCH(S613,事件規則!$A$2:$A$53,0)),"")))</f>
        <v>0</v>
      </c>
      <c r="V613" s="21"/>
      <c r="W613" s="22"/>
      <c r="X613" s="10" t="str">
        <f aca="false">IF(AND(R613="修改",S613=""),"請選新事件代碼",IF(AND(R613&lt;&gt;"修改",S613&lt;&gt;""),"只有「修改」才需填代碼",""))</f>
        <v/>
      </c>
      <c r="Y613" s="21"/>
      <c r="Z613" s="22"/>
      <c r="AA613" s="12" t="s">
        <v>2011</v>
      </c>
      <c r="AB613" s="24"/>
    </row>
    <row r="614" customFormat="false" ht="29.85" hidden="false" customHeight="false" outlineLevel="0" collapsed="false">
      <c r="A614" s="15" t="n">
        <v>613</v>
      </c>
      <c r="B614" s="9" t="s">
        <v>81</v>
      </c>
      <c r="C614" s="9" t="s">
        <v>303</v>
      </c>
      <c r="D614" s="10" t="s">
        <v>304</v>
      </c>
      <c r="E614" s="11" t="s">
        <v>2012</v>
      </c>
      <c r="F614" s="17"/>
      <c r="G614" s="12" t="s">
        <v>49</v>
      </c>
      <c r="H614" s="13" t="n">
        <v>-0.042</v>
      </c>
      <c r="I614" s="14"/>
      <c r="J614" s="17"/>
      <c r="K614" s="9"/>
      <c r="L614" s="15" t="s">
        <v>50</v>
      </c>
      <c r="M614" s="16" t="s">
        <v>51</v>
      </c>
      <c r="N614" s="14"/>
      <c r="O614" s="15" t="s">
        <v>52</v>
      </c>
      <c r="P614" s="17" t="s">
        <v>53</v>
      </c>
      <c r="Q614" s="15"/>
      <c r="R614" s="18" t="s">
        <v>51</v>
      </c>
      <c r="S614" s="19"/>
      <c r="T614" s="17" t="str">
        <f aca="false">IF(R614="維持",J614,IF(R614="排除","無關新聞事件",IFERROR(INDEX(事件規則!$B$2:$B$53,MATCH(S614,事件規則!$A$2:$A$53,0)),"")))</f>
        <v>無關新聞事件</v>
      </c>
      <c r="U614" s="20" t="n">
        <f aca="false">IF(R614="維持",K614,IF(R614="排除",0,IFERROR(INDEX(事件規則!$C$2:$C$53,MATCH(S614,事件規則!$A$2:$A$53,0)),"")))</f>
        <v>0</v>
      </c>
      <c r="V614" s="21"/>
      <c r="W614" s="22"/>
      <c r="X614" s="10" t="str">
        <f aca="false">IF(AND(R614="修改",S614=""),"請選新事件代碼",IF(AND(R614&lt;&gt;"修改",S614&lt;&gt;""),"只有「修改」才需填代碼",""))</f>
        <v/>
      </c>
      <c r="Y614" s="21"/>
      <c r="Z614" s="22"/>
      <c r="AA614" s="12" t="s">
        <v>2013</v>
      </c>
      <c r="AB614" s="24"/>
    </row>
    <row r="615" customFormat="false" ht="29.85" hidden="false" customHeight="false" outlineLevel="0" collapsed="false">
      <c r="A615" s="15" t="n">
        <v>614</v>
      </c>
      <c r="B615" s="9" t="s">
        <v>45</v>
      </c>
      <c r="C615" s="9" t="s">
        <v>535</v>
      </c>
      <c r="D615" s="10" t="s">
        <v>536</v>
      </c>
      <c r="E615" s="11" t="s">
        <v>2014</v>
      </c>
      <c r="F615" s="17"/>
      <c r="G615" s="12" t="s">
        <v>1701</v>
      </c>
      <c r="H615" s="13" t="n">
        <v>-0.042</v>
      </c>
      <c r="I615" s="14"/>
      <c r="J615" s="17"/>
      <c r="K615" s="9"/>
      <c r="L615" s="15" t="s">
        <v>50</v>
      </c>
      <c r="M615" s="16" t="s">
        <v>51</v>
      </c>
      <c r="N615" s="14"/>
      <c r="O615" s="15" t="s">
        <v>52</v>
      </c>
      <c r="P615" s="17" t="s">
        <v>53</v>
      </c>
      <c r="Q615" s="15"/>
      <c r="R615" s="18" t="s">
        <v>51</v>
      </c>
      <c r="S615" s="19"/>
      <c r="T615" s="17" t="str">
        <f aca="false">IF(R615="維持",J615,IF(R615="排除","無關新聞事件",IFERROR(INDEX(事件規則!$B$2:$B$53,MATCH(S615,事件規則!$A$2:$A$53,0)),"")))</f>
        <v>無關新聞事件</v>
      </c>
      <c r="U615" s="20" t="n">
        <f aca="false">IF(R615="維持",K615,IF(R615="排除",0,IFERROR(INDEX(事件規則!$C$2:$C$53,MATCH(S615,事件規則!$A$2:$A$53,0)),"")))</f>
        <v>0</v>
      </c>
      <c r="V615" s="21"/>
      <c r="W615" s="22"/>
      <c r="X615" s="10" t="str">
        <f aca="false">IF(AND(R615="修改",S615=""),"請選新事件代碼",IF(AND(R615&lt;&gt;"修改",S615&lt;&gt;""),"只有「修改」才需填代碼",""))</f>
        <v/>
      </c>
      <c r="Y615" s="21"/>
      <c r="Z615" s="22"/>
      <c r="AA615" s="12" t="s">
        <v>2015</v>
      </c>
      <c r="AB615" s="24"/>
    </row>
    <row r="616" customFormat="false" ht="29.85" hidden="false" customHeight="false" outlineLevel="0" collapsed="false">
      <c r="A616" s="15" t="n">
        <v>615</v>
      </c>
      <c r="B616" s="9" t="s">
        <v>81</v>
      </c>
      <c r="C616" s="9" t="s">
        <v>118</v>
      </c>
      <c r="D616" s="10" t="s">
        <v>119</v>
      </c>
      <c r="E616" s="11" t="s">
        <v>2012</v>
      </c>
      <c r="F616" s="17"/>
      <c r="G616" s="12" t="s">
        <v>49</v>
      </c>
      <c r="H616" s="13" t="n">
        <v>-0.042</v>
      </c>
      <c r="I616" s="14"/>
      <c r="J616" s="17"/>
      <c r="K616" s="9"/>
      <c r="L616" s="15" t="s">
        <v>50</v>
      </c>
      <c r="M616" s="16" t="s">
        <v>51</v>
      </c>
      <c r="N616" s="14"/>
      <c r="O616" s="15" t="s">
        <v>52</v>
      </c>
      <c r="P616" s="17" t="s">
        <v>53</v>
      </c>
      <c r="Q616" s="15"/>
      <c r="R616" s="18" t="s">
        <v>51</v>
      </c>
      <c r="S616" s="19"/>
      <c r="T616" s="17" t="str">
        <f aca="false">IF(R616="維持",J616,IF(R616="排除","無關新聞事件",IFERROR(INDEX(事件規則!$B$2:$B$53,MATCH(S616,事件規則!$A$2:$A$53,0)),"")))</f>
        <v>無關新聞事件</v>
      </c>
      <c r="U616" s="20" t="n">
        <f aca="false">IF(R616="維持",K616,IF(R616="排除",0,IFERROR(INDEX(事件規則!$C$2:$C$53,MATCH(S616,事件規則!$A$2:$A$53,0)),"")))</f>
        <v>0</v>
      </c>
      <c r="V616" s="21"/>
      <c r="W616" s="22"/>
      <c r="X616" s="10" t="str">
        <f aca="false">IF(AND(R616="修改",S616=""),"請選新事件代碼",IF(AND(R616&lt;&gt;"修改",S616&lt;&gt;""),"只有「修改」才需填代碼",""))</f>
        <v/>
      </c>
      <c r="Y616" s="21"/>
      <c r="Z616" s="22"/>
      <c r="AA616" s="12" t="s">
        <v>2016</v>
      </c>
      <c r="AB616" s="24"/>
    </row>
    <row r="617" customFormat="false" ht="29.85" hidden="false" customHeight="false" outlineLevel="0" collapsed="false">
      <c r="A617" s="15" t="n">
        <v>616</v>
      </c>
      <c r="B617" s="9" t="s">
        <v>45</v>
      </c>
      <c r="C617" s="9" t="s">
        <v>476</v>
      </c>
      <c r="D617" s="10" t="s">
        <v>477</v>
      </c>
      <c r="E617" s="11" t="s">
        <v>2017</v>
      </c>
      <c r="F617" s="17"/>
      <c r="G617" s="12" t="s">
        <v>2018</v>
      </c>
      <c r="H617" s="13" t="n">
        <v>-0.042</v>
      </c>
      <c r="I617" s="14"/>
      <c r="J617" s="17"/>
      <c r="K617" s="9"/>
      <c r="L617" s="15" t="s">
        <v>50</v>
      </c>
      <c r="M617" s="16" t="s">
        <v>51</v>
      </c>
      <c r="N617" s="14"/>
      <c r="O617" s="15" t="s">
        <v>52</v>
      </c>
      <c r="P617" s="17" t="s">
        <v>53</v>
      </c>
      <c r="Q617" s="15"/>
      <c r="R617" s="18" t="s">
        <v>51</v>
      </c>
      <c r="S617" s="19"/>
      <c r="T617" s="17" t="str">
        <f aca="false">IF(R617="維持",J617,IF(R617="排除","無關新聞事件",IFERROR(INDEX(事件規則!$B$2:$B$53,MATCH(S617,事件規則!$A$2:$A$53,0)),"")))</f>
        <v>無關新聞事件</v>
      </c>
      <c r="U617" s="20" t="n">
        <f aca="false">IF(R617="維持",K617,IF(R617="排除",0,IFERROR(INDEX(事件規則!$C$2:$C$53,MATCH(S617,事件規則!$A$2:$A$53,0)),"")))</f>
        <v>0</v>
      </c>
      <c r="V617" s="21"/>
      <c r="W617" s="22"/>
      <c r="X617" s="10" t="str">
        <f aca="false">IF(AND(R617="修改",S617=""),"請選新事件代碼",IF(AND(R617&lt;&gt;"修改",S617&lt;&gt;""),"只有「修改」才需填代碼",""))</f>
        <v/>
      </c>
      <c r="Y617" s="21"/>
      <c r="Z617" s="22"/>
      <c r="AA617" s="12" t="s">
        <v>2019</v>
      </c>
      <c r="AB617" s="24"/>
    </row>
    <row r="618" customFormat="false" ht="29.85" hidden="false" customHeight="false" outlineLevel="0" collapsed="false">
      <c r="A618" s="15" t="n">
        <v>617</v>
      </c>
      <c r="B618" s="9" t="s">
        <v>45</v>
      </c>
      <c r="C618" s="9" t="s">
        <v>550</v>
      </c>
      <c r="D618" s="10" t="s">
        <v>551</v>
      </c>
      <c r="E618" s="11" t="s">
        <v>2020</v>
      </c>
      <c r="F618" s="17"/>
      <c r="G618" s="12" t="s">
        <v>1136</v>
      </c>
      <c r="H618" s="13" t="n">
        <v>-0.042</v>
      </c>
      <c r="I618" s="14"/>
      <c r="J618" s="17"/>
      <c r="K618" s="9"/>
      <c r="L618" s="15" t="s">
        <v>50</v>
      </c>
      <c r="M618" s="16" t="s">
        <v>51</v>
      </c>
      <c r="N618" s="14"/>
      <c r="O618" s="15" t="s">
        <v>52</v>
      </c>
      <c r="P618" s="17" t="s">
        <v>53</v>
      </c>
      <c r="Q618" s="15"/>
      <c r="R618" s="18" t="s">
        <v>51</v>
      </c>
      <c r="S618" s="19"/>
      <c r="T618" s="17" t="str">
        <f aca="false">IF(R618="維持",J618,IF(R618="排除","無關新聞事件",IFERROR(INDEX(事件規則!$B$2:$B$53,MATCH(S618,事件規則!$A$2:$A$53,0)),"")))</f>
        <v>無關新聞事件</v>
      </c>
      <c r="U618" s="20" t="n">
        <f aca="false">IF(R618="維持",K618,IF(R618="排除",0,IFERROR(INDEX(事件規則!$C$2:$C$53,MATCH(S618,事件規則!$A$2:$A$53,0)),"")))</f>
        <v>0</v>
      </c>
      <c r="V618" s="21"/>
      <c r="W618" s="22"/>
      <c r="X618" s="10" t="str">
        <f aca="false">IF(AND(R618="修改",S618=""),"請選新事件代碼",IF(AND(R618&lt;&gt;"修改",S618&lt;&gt;""),"只有「修改」才需填代碼",""))</f>
        <v/>
      </c>
      <c r="Y618" s="21"/>
      <c r="Z618" s="22"/>
      <c r="AA618" s="12" t="s">
        <v>2021</v>
      </c>
      <c r="AB618" s="24"/>
    </row>
    <row r="619" customFormat="false" ht="29.85" hidden="false" customHeight="false" outlineLevel="0" collapsed="false">
      <c r="A619" s="15" t="n">
        <v>618</v>
      </c>
      <c r="B619" s="9" t="s">
        <v>81</v>
      </c>
      <c r="C619" s="9" t="s">
        <v>1979</v>
      </c>
      <c r="D619" s="10" t="s">
        <v>1980</v>
      </c>
      <c r="E619" s="11" t="s">
        <v>2022</v>
      </c>
      <c r="F619" s="17"/>
      <c r="G619" s="12" t="s">
        <v>176</v>
      </c>
      <c r="H619" s="13" t="n">
        <v>-0.042</v>
      </c>
      <c r="I619" s="14"/>
      <c r="J619" s="17"/>
      <c r="K619" s="9"/>
      <c r="L619" s="15" t="s">
        <v>50</v>
      </c>
      <c r="M619" s="16" t="s">
        <v>51</v>
      </c>
      <c r="N619" s="14"/>
      <c r="O619" s="15" t="s">
        <v>52</v>
      </c>
      <c r="P619" s="17" t="s">
        <v>53</v>
      </c>
      <c r="Q619" s="15"/>
      <c r="R619" s="18" t="s">
        <v>51</v>
      </c>
      <c r="S619" s="19"/>
      <c r="T619" s="17" t="str">
        <f aca="false">IF(R619="維持",J619,IF(R619="排除","無關新聞事件",IFERROR(INDEX(事件規則!$B$2:$B$53,MATCH(S619,事件規則!$A$2:$A$53,0)),"")))</f>
        <v>無關新聞事件</v>
      </c>
      <c r="U619" s="20" t="n">
        <f aca="false">IF(R619="維持",K619,IF(R619="排除",0,IFERROR(INDEX(事件規則!$C$2:$C$53,MATCH(S619,事件規則!$A$2:$A$53,0)),"")))</f>
        <v>0</v>
      </c>
      <c r="V619" s="21"/>
      <c r="W619" s="22"/>
      <c r="X619" s="10" t="str">
        <f aca="false">IF(AND(R619="修改",S619=""),"請選新事件代碼",IF(AND(R619&lt;&gt;"修改",S619&lt;&gt;""),"只有「修改」才需填代碼",""))</f>
        <v/>
      </c>
      <c r="Y619" s="21"/>
      <c r="Z619" s="22"/>
      <c r="AA619" s="12" t="s">
        <v>2023</v>
      </c>
      <c r="AB619" s="24"/>
    </row>
    <row r="620" customFormat="false" ht="29.85" hidden="false" customHeight="false" outlineLevel="0" collapsed="false">
      <c r="A620" s="15" t="n">
        <v>619</v>
      </c>
      <c r="B620" s="9" t="s">
        <v>45</v>
      </c>
      <c r="C620" s="9" t="s">
        <v>654</v>
      </c>
      <c r="D620" s="10" t="s">
        <v>655</v>
      </c>
      <c r="E620" s="11" t="s">
        <v>2024</v>
      </c>
      <c r="F620" s="17"/>
      <c r="G620" s="12" t="s">
        <v>169</v>
      </c>
      <c r="H620" s="13" t="n">
        <v>-0.042</v>
      </c>
      <c r="I620" s="14"/>
      <c r="J620" s="17"/>
      <c r="K620" s="9"/>
      <c r="L620" s="15" t="s">
        <v>50</v>
      </c>
      <c r="M620" s="16" t="s">
        <v>51</v>
      </c>
      <c r="N620" s="14"/>
      <c r="O620" s="15" t="s">
        <v>52</v>
      </c>
      <c r="P620" s="17" t="s">
        <v>53</v>
      </c>
      <c r="Q620" s="15"/>
      <c r="R620" s="18" t="s">
        <v>51</v>
      </c>
      <c r="S620" s="19"/>
      <c r="T620" s="17" t="str">
        <f aca="false">IF(R620="維持",J620,IF(R620="排除","無關新聞事件",IFERROR(INDEX(事件規則!$B$2:$B$53,MATCH(S620,事件規則!$A$2:$A$53,0)),"")))</f>
        <v>無關新聞事件</v>
      </c>
      <c r="U620" s="20" t="n">
        <f aca="false">IF(R620="維持",K620,IF(R620="排除",0,IFERROR(INDEX(事件規則!$C$2:$C$53,MATCH(S620,事件規則!$A$2:$A$53,0)),"")))</f>
        <v>0</v>
      </c>
      <c r="V620" s="21"/>
      <c r="W620" s="22"/>
      <c r="X620" s="10" t="str">
        <f aca="false">IF(AND(R620="修改",S620=""),"請選新事件代碼",IF(AND(R620&lt;&gt;"修改",S620&lt;&gt;""),"只有「修改」才需填代碼",""))</f>
        <v/>
      </c>
      <c r="Y620" s="21"/>
      <c r="Z620" s="22"/>
      <c r="AA620" s="12" t="s">
        <v>2025</v>
      </c>
      <c r="AB620" s="24"/>
    </row>
    <row r="621" customFormat="false" ht="29.85" hidden="false" customHeight="false" outlineLevel="0" collapsed="false">
      <c r="A621" s="15" t="n">
        <v>620</v>
      </c>
      <c r="B621" s="9" t="s">
        <v>55</v>
      </c>
      <c r="C621" s="9" t="s">
        <v>1653</v>
      </c>
      <c r="D621" s="10" t="s">
        <v>1654</v>
      </c>
      <c r="E621" s="11" t="s">
        <v>2026</v>
      </c>
      <c r="F621" s="17"/>
      <c r="G621" s="12" t="s">
        <v>949</v>
      </c>
      <c r="H621" s="13" t="n">
        <v>-0.042</v>
      </c>
      <c r="I621" s="14"/>
      <c r="J621" s="17"/>
      <c r="K621" s="9"/>
      <c r="L621" s="15" t="s">
        <v>50</v>
      </c>
      <c r="M621" s="16" t="s">
        <v>51</v>
      </c>
      <c r="N621" s="14"/>
      <c r="O621" s="15" t="s">
        <v>52</v>
      </c>
      <c r="P621" s="17" t="s">
        <v>53</v>
      </c>
      <c r="Q621" s="15"/>
      <c r="R621" s="18" t="s">
        <v>51</v>
      </c>
      <c r="S621" s="19"/>
      <c r="T621" s="17" t="str">
        <f aca="false">IF(R621="維持",J621,IF(R621="排除","無關新聞事件",IFERROR(INDEX(事件規則!$B$2:$B$53,MATCH(S621,事件規則!$A$2:$A$53,0)),"")))</f>
        <v>無關新聞事件</v>
      </c>
      <c r="U621" s="20" t="n">
        <f aca="false">IF(R621="維持",K621,IF(R621="排除",0,IFERROR(INDEX(事件規則!$C$2:$C$53,MATCH(S621,事件規則!$A$2:$A$53,0)),"")))</f>
        <v>0</v>
      </c>
      <c r="V621" s="21"/>
      <c r="W621" s="22"/>
      <c r="X621" s="10" t="str">
        <f aca="false">IF(AND(R621="修改",S621=""),"請選新事件代碼",IF(AND(R621&lt;&gt;"修改",S621&lt;&gt;""),"只有「修改」才需填代碼",""))</f>
        <v/>
      </c>
      <c r="Y621" s="21"/>
      <c r="Z621" s="22"/>
      <c r="AA621" s="12" t="s">
        <v>2027</v>
      </c>
      <c r="AB621" s="24"/>
    </row>
    <row r="622" customFormat="false" ht="29.85" hidden="false" customHeight="false" outlineLevel="0" collapsed="false">
      <c r="A622" s="15" t="n">
        <v>621</v>
      </c>
      <c r="B622" s="9" t="s">
        <v>55</v>
      </c>
      <c r="C622" s="9" t="s">
        <v>2028</v>
      </c>
      <c r="D622" s="10" t="s">
        <v>2029</v>
      </c>
      <c r="E622" s="11" t="s">
        <v>2030</v>
      </c>
      <c r="F622" s="17"/>
      <c r="G622" s="12" t="s">
        <v>105</v>
      </c>
      <c r="H622" s="13" t="n">
        <v>-0.042</v>
      </c>
      <c r="I622" s="14"/>
      <c r="J622" s="17"/>
      <c r="K622" s="9"/>
      <c r="L622" s="15" t="s">
        <v>50</v>
      </c>
      <c r="M622" s="16" t="s">
        <v>51</v>
      </c>
      <c r="N622" s="14"/>
      <c r="O622" s="15" t="s">
        <v>52</v>
      </c>
      <c r="P622" s="17" t="s">
        <v>53</v>
      </c>
      <c r="Q622" s="15"/>
      <c r="R622" s="18" t="s">
        <v>51</v>
      </c>
      <c r="S622" s="19"/>
      <c r="T622" s="17" t="str">
        <f aca="false">IF(R622="維持",J622,IF(R622="排除","無關新聞事件",IFERROR(INDEX(事件規則!$B$2:$B$53,MATCH(S622,事件規則!$A$2:$A$53,0)),"")))</f>
        <v>無關新聞事件</v>
      </c>
      <c r="U622" s="20" t="n">
        <f aca="false">IF(R622="維持",K622,IF(R622="排除",0,IFERROR(INDEX(事件規則!$C$2:$C$53,MATCH(S622,事件規則!$A$2:$A$53,0)),"")))</f>
        <v>0</v>
      </c>
      <c r="V622" s="21"/>
      <c r="W622" s="22"/>
      <c r="X622" s="10" t="str">
        <f aca="false">IF(AND(R622="修改",S622=""),"請選新事件代碼",IF(AND(R622&lt;&gt;"修改",S622&lt;&gt;""),"只有「修改」才需填代碼",""))</f>
        <v/>
      </c>
      <c r="Y622" s="21"/>
      <c r="Z622" s="22"/>
      <c r="AA622" s="12" t="s">
        <v>2031</v>
      </c>
      <c r="AB622" s="24"/>
    </row>
    <row r="623" customFormat="false" ht="29.85" hidden="false" customHeight="false" outlineLevel="0" collapsed="false">
      <c r="A623" s="15" t="n">
        <v>622</v>
      </c>
      <c r="B623" s="9" t="s">
        <v>55</v>
      </c>
      <c r="C623" s="9" t="s">
        <v>1318</v>
      </c>
      <c r="D623" s="10" t="s">
        <v>1319</v>
      </c>
      <c r="E623" s="11" t="s">
        <v>2032</v>
      </c>
      <c r="F623" s="17"/>
      <c r="G623" s="12" t="s">
        <v>2033</v>
      </c>
      <c r="H623" s="13" t="n">
        <v>-0.042</v>
      </c>
      <c r="I623" s="14"/>
      <c r="J623" s="17"/>
      <c r="K623" s="9"/>
      <c r="L623" s="15" t="s">
        <v>50</v>
      </c>
      <c r="M623" s="16" t="s">
        <v>51</v>
      </c>
      <c r="N623" s="14"/>
      <c r="O623" s="15" t="s">
        <v>52</v>
      </c>
      <c r="P623" s="17" t="s">
        <v>53</v>
      </c>
      <c r="Q623" s="15"/>
      <c r="R623" s="18" t="s">
        <v>51</v>
      </c>
      <c r="S623" s="19"/>
      <c r="T623" s="17" t="str">
        <f aca="false">IF(R623="維持",J623,IF(R623="排除","無關新聞事件",IFERROR(INDEX(事件規則!$B$2:$B$53,MATCH(S623,事件規則!$A$2:$A$53,0)),"")))</f>
        <v>無關新聞事件</v>
      </c>
      <c r="U623" s="20" t="n">
        <f aca="false">IF(R623="維持",K623,IF(R623="排除",0,IFERROR(INDEX(事件規則!$C$2:$C$53,MATCH(S623,事件規則!$A$2:$A$53,0)),"")))</f>
        <v>0</v>
      </c>
      <c r="V623" s="21"/>
      <c r="W623" s="22"/>
      <c r="X623" s="10" t="str">
        <f aca="false">IF(AND(R623="修改",S623=""),"請選新事件代碼",IF(AND(R623&lt;&gt;"修改",S623&lt;&gt;""),"只有「修改」才需填代碼",""))</f>
        <v/>
      </c>
      <c r="Y623" s="21"/>
      <c r="Z623" s="22"/>
      <c r="AA623" s="12" t="s">
        <v>2034</v>
      </c>
      <c r="AB623" s="24"/>
    </row>
    <row r="624" customFormat="false" ht="29.85" hidden="false" customHeight="false" outlineLevel="0" collapsed="false">
      <c r="A624" s="15" t="n">
        <v>623</v>
      </c>
      <c r="B624" s="9" t="s">
        <v>55</v>
      </c>
      <c r="C624" s="9" t="s">
        <v>1318</v>
      </c>
      <c r="D624" s="10" t="s">
        <v>1319</v>
      </c>
      <c r="E624" s="11" t="s">
        <v>2035</v>
      </c>
      <c r="F624" s="17"/>
      <c r="G624" s="12" t="s">
        <v>2033</v>
      </c>
      <c r="H624" s="13" t="n">
        <v>-0.042</v>
      </c>
      <c r="I624" s="14"/>
      <c r="J624" s="17"/>
      <c r="K624" s="9"/>
      <c r="L624" s="15" t="s">
        <v>50</v>
      </c>
      <c r="M624" s="16" t="s">
        <v>51</v>
      </c>
      <c r="N624" s="14"/>
      <c r="O624" s="15" t="s">
        <v>52</v>
      </c>
      <c r="P624" s="17" t="s">
        <v>53</v>
      </c>
      <c r="Q624" s="15"/>
      <c r="R624" s="18" t="s">
        <v>51</v>
      </c>
      <c r="S624" s="19"/>
      <c r="T624" s="17" t="str">
        <f aca="false">IF(R624="維持",J624,IF(R624="排除","無關新聞事件",IFERROR(INDEX(事件規則!$B$2:$B$53,MATCH(S624,事件規則!$A$2:$A$53,0)),"")))</f>
        <v>無關新聞事件</v>
      </c>
      <c r="U624" s="20" t="n">
        <f aca="false">IF(R624="維持",K624,IF(R624="排除",0,IFERROR(INDEX(事件規則!$C$2:$C$53,MATCH(S624,事件規則!$A$2:$A$53,0)),"")))</f>
        <v>0</v>
      </c>
      <c r="V624" s="21"/>
      <c r="W624" s="22"/>
      <c r="X624" s="10" t="str">
        <f aca="false">IF(AND(R624="修改",S624=""),"請選新事件代碼",IF(AND(R624&lt;&gt;"修改",S624&lt;&gt;""),"只有「修改」才需填代碼",""))</f>
        <v/>
      </c>
      <c r="Y624" s="21"/>
      <c r="Z624" s="22"/>
      <c r="AA624" s="12" t="s">
        <v>2036</v>
      </c>
      <c r="AB624" s="24"/>
    </row>
    <row r="625" customFormat="false" ht="29.85" hidden="false" customHeight="false" outlineLevel="0" collapsed="false">
      <c r="A625" s="15" t="n">
        <v>624</v>
      </c>
      <c r="B625" s="9" t="s">
        <v>112</v>
      </c>
      <c r="C625" s="9" t="s">
        <v>2037</v>
      </c>
      <c r="D625" s="10" t="s">
        <v>2038</v>
      </c>
      <c r="E625" s="11" t="s">
        <v>2039</v>
      </c>
      <c r="F625" s="17"/>
      <c r="G625" s="12" t="s">
        <v>176</v>
      </c>
      <c r="H625" s="13" t="n">
        <v>-0.042</v>
      </c>
      <c r="I625" s="14"/>
      <c r="J625" s="17"/>
      <c r="K625" s="9"/>
      <c r="L625" s="15" t="s">
        <v>50</v>
      </c>
      <c r="M625" s="16" t="s">
        <v>51</v>
      </c>
      <c r="N625" s="14"/>
      <c r="O625" s="15" t="s">
        <v>52</v>
      </c>
      <c r="P625" s="17" t="s">
        <v>53</v>
      </c>
      <c r="Q625" s="15"/>
      <c r="R625" s="18" t="s">
        <v>51</v>
      </c>
      <c r="S625" s="19"/>
      <c r="T625" s="17" t="str">
        <f aca="false">IF(R625="維持",J625,IF(R625="排除","無關新聞事件",IFERROR(INDEX(事件規則!$B$2:$B$53,MATCH(S625,事件規則!$A$2:$A$53,0)),"")))</f>
        <v>無關新聞事件</v>
      </c>
      <c r="U625" s="20" t="n">
        <f aca="false">IF(R625="維持",K625,IF(R625="排除",0,IFERROR(INDEX(事件規則!$C$2:$C$53,MATCH(S625,事件規則!$A$2:$A$53,0)),"")))</f>
        <v>0</v>
      </c>
      <c r="V625" s="21"/>
      <c r="W625" s="22"/>
      <c r="X625" s="10" t="str">
        <f aca="false">IF(AND(R625="修改",S625=""),"請選新事件代碼",IF(AND(R625&lt;&gt;"修改",S625&lt;&gt;""),"只有「修改」才需填代碼",""))</f>
        <v/>
      </c>
      <c r="Y625" s="21"/>
      <c r="Z625" s="22"/>
      <c r="AA625" s="12" t="s">
        <v>2040</v>
      </c>
      <c r="AB625" s="24"/>
    </row>
    <row r="626" customFormat="false" ht="29.85" hidden="false" customHeight="false" outlineLevel="0" collapsed="false">
      <c r="A626" s="15" t="n">
        <v>625</v>
      </c>
      <c r="B626" s="9" t="s">
        <v>112</v>
      </c>
      <c r="C626" s="9" t="s">
        <v>2041</v>
      </c>
      <c r="D626" s="10" t="s">
        <v>2042</v>
      </c>
      <c r="E626" s="11" t="s">
        <v>2043</v>
      </c>
      <c r="F626" s="17"/>
      <c r="G626" s="12" t="s">
        <v>1190</v>
      </c>
      <c r="H626" s="13" t="n">
        <v>-0.042</v>
      </c>
      <c r="I626" s="14"/>
      <c r="J626" s="17"/>
      <c r="K626" s="9"/>
      <c r="L626" s="15" t="s">
        <v>50</v>
      </c>
      <c r="M626" s="16" t="s">
        <v>51</v>
      </c>
      <c r="N626" s="14"/>
      <c r="O626" s="15" t="s">
        <v>52</v>
      </c>
      <c r="P626" s="17" t="s">
        <v>53</v>
      </c>
      <c r="Q626" s="15"/>
      <c r="R626" s="18" t="s">
        <v>51</v>
      </c>
      <c r="S626" s="19"/>
      <c r="T626" s="17" t="str">
        <f aca="false">IF(R626="維持",J626,IF(R626="排除","無關新聞事件",IFERROR(INDEX(事件規則!$B$2:$B$53,MATCH(S626,事件規則!$A$2:$A$53,0)),"")))</f>
        <v>無關新聞事件</v>
      </c>
      <c r="U626" s="20" t="n">
        <f aca="false">IF(R626="維持",K626,IF(R626="排除",0,IFERROR(INDEX(事件規則!$C$2:$C$53,MATCH(S626,事件規則!$A$2:$A$53,0)),"")))</f>
        <v>0</v>
      </c>
      <c r="V626" s="21"/>
      <c r="W626" s="22"/>
      <c r="X626" s="10" t="str">
        <f aca="false">IF(AND(R626="修改",S626=""),"請選新事件代碼",IF(AND(R626&lt;&gt;"修改",S626&lt;&gt;""),"只有「修改」才需填代碼",""))</f>
        <v/>
      </c>
      <c r="Y626" s="21"/>
      <c r="Z626" s="22"/>
      <c r="AA626" s="12" t="s">
        <v>2044</v>
      </c>
      <c r="AB626" s="24"/>
    </row>
    <row r="627" customFormat="false" ht="29.85" hidden="false" customHeight="false" outlineLevel="0" collapsed="false">
      <c r="A627" s="15" t="n">
        <v>626</v>
      </c>
      <c r="B627" s="9" t="s">
        <v>112</v>
      </c>
      <c r="C627" s="15"/>
      <c r="D627" s="10" t="s">
        <v>2045</v>
      </c>
      <c r="E627" s="23" t="s">
        <v>2004</v>
      </c>
      <c r="F627" s="17" t="s">
        <v>2004</v>
      </c>
      <c r="G627" s="12" t="s">
        <v>176</v>
      </c>
      <c r="H627" s="13" t="n">
        <v>-0.042</v>
      </c>
      <c r="I627" s="14"/>
      <c r="J627" s="17"/>
      <c r="K627" s="9"/>
      <c r="L627" s="15" t="s">
        <v>50</v>
      </c>
      <c r="M627" s="16" t="s">
        <v>51</v>
      </c>
      <c r="N627" s="14"/>
      <c r="O627" s="15" t="s">
        <v>52</v>
      </c>
      <c r="P627" s="17" t="s">
        <v>53</v>
      </c>
      <c r="Q627" s="15"/>
      <c r="R627" s="18" t="s">
        <v>51</v>
      </c>
      <c r="S627" s="19"/>
      <c r="T627" s="17" t="str">
        <f aca="false">IF(R627="維持",J627,IF(R627="排除","無關新聞事件",IFERROR(INDEX(事件規則!$B$2:$B$53,MATCH(S627,事件規則!$A$2:$A$53,0)),"")))</f>
        <v>無關新聞事件</v>
      </c>
      <c r="U627" s="20" t="n">
        <f aca="false">IF(R627="維持",K627,IF(R627="排除",0,IFERROR(INDEX(事件規則!$C$2:$C$53,MATCH(S627,事件規則!$A$2:$A$53,0)),"")))</f>
        <v>0</v>
      </c>
      <c r="V627" s="21"/>
      <c r="W627" s="22"/>
      <c r="X627" s="10" t="str">
        <f aca="false">IF(AND(R627="修改",S627=""),"請選新事件代碼",IF(AND(R627&lt;&gt;"修改",S627&lt;&gt;""),"只有「修改」才需填代碼",""))</f>
        <v/>
      </c>
      <c r="Y627" s="21"/>
      <c r="Z627" s="22"/>
      <c r="AA627" s="12" t="s">
        <v>2046</v>
      </c>
      <c r="AB627" s="24"/>
    </row>
    <row r="628" customFormat="false" ht="29.85" hidden="false" customHeight="false" outlineLevel="0" collapsed="false">
      <c r="A628" s="15" t="n">
        <v>627</v>
      </c>
      <c r="B628" s="9" t="s">
        <v>55</v>
      </c>
      <c r="C628" s="9" t="s">
        <v>355</v>
      </c>
      <c r="D628" s="10" t="s">
        <v>356</v>
      </c>
      <c r="E628" s="11" t="s">
        <v>2047</v>
      </c>
      <c r="F628" s="17"/>
      <c r="G628" s="12" t="s">
        <v>210</v>
      </c>
      <c r="H628" s="13" t="n">
        <v>-0.042</v>
      </c>
      <c r="I628" s="14"/>
      <c r="J628" s="17"/>
      <c r="K628" s="9"/>
      <c r="L628" s="15" t="s">
        <v>50</v>
      </c>
      <c r="M628" s="16" t="s">
        <v>51</v>
      </c>
      <c r="N628" s="14"/>
      <c r="O628" s="15" t="s">
        <v>52</v>
      </c>
      <c r="P628" s="17" t="s">
        <v>53</v>
      </c>
      <c r="Q628" s="15"/>
      <c r="R628" s="18" t="s">
        <v>51</v>
      </c>
      <c r="S628" s="19"/>
      <c r="T628" s="17" t="str">
        <f aca="false">IF(R628="維持",J628,IF(R628="排除","無關新聞事件",IFERROR(INDEX(事件規則!$B$2:$B$53,MATCH(S628,事件規則!$A$2:$A$53,0)),"")))</f>
        <v>無關新聞事件</v>
      </c>
      <c r="U628" s="20" t="n">
        <f aca="false">IF(R628="維持",K628,IF(R628="排除",0,IFERROR(INDEX(事件規則!$C$2:$C$53,MATCH(S628,事件規則!$A$2:$A$53,0)),"")))</f>
        <v>0</v>
      </c>
      <c r="V628" s="21"/>
      <c r="W628" s="22"/>
      <c r="X628" s="10" t="str">
        <f aca="false">IF(AND(R628="修改",S628=""),"請選新事件代碼",IF(AND(R628&lt;&gt;"修改",S628&lt;&gt;""),"只有「修改」才需填代碼",""))</f>
        <v/>
      </c>
      <c r="Y628" s="21"/>
      <c r="Z628" s="22"/>
      <c r="AA628" s="12" t="s">
        <v>2048</v>
      </c>
      <c r="AB628" s="24"/>
    </row>
    <row r="629" customFormat="false" ht="29.85" hidden="false" customHeight="false" outlineLevel="0" collapsed="false">
      <c r="A629" s="15" t="n">
        <v>628</v>
      </c>
      <c r="B629" s="9" t="s">
        <v>81</v>
      </c>
      <c r="C629" s="9" t="s">
        <v>2049</v>
      </c>
      <c r="D629" s="10" t="s">
        <v>2050</v>
      </c>
      <c r="E629" s="11" t="s">
        <v>2051</v>
      </c>
      <c r="F629" s="17"/>
      <c r="G629" s="12" t="s">
        <v>142</v>
      </c>
      <c r="H629" s="13" t="n">
        <v>-0.041</v>
      </c>
      <c r="I629" s="14"/>
      <c r="J629" s="17"/>
      <c r="K629" s="9"/>
      <c r="L629" s="15" t="s">
        <v>50</v>
      </c>
      <c r="M629" s="16" t="s">
        <v>51</v>
      </c>
      <c r="N629" s="14"/>
      <c r="O629" s="15" t="s">
        <v>52</v>
      </c>
      <c r="P629" s="17" t="s">
        <v>53</v>
      </c>
      <c r="Q629" s="15"/>
      <c r="R629" s="18" t="s">
        <v>51</v>
      </c>
      <c r="S629" s="19"/>
      <c r="T629" s="17" t="str">
        <f aca="false">IF(R629="維持",J629,IF(R629="排除","無關新聞事件",IFERROR(INDEX(事件規則!$B$2:$B$53,MATCH(S629,事件規則!$A$2:$A$53,0)),"")))</f>
        <v>無關新聞事件</v>
      </c>
      <c r="U629" s="20" t="n">
        <f aca="false">IF(R629="維持",K629,IF(R629="排除",0,IFERROR(INDEX(事件規則!$C$2:$C$53,MATCH(S629,事件規則!$A$2:$A$53,0)),"")))</f>
        <v>0</v>
      </c>
      <c r="V629" s="21"/>
      <c r="W629" s="22"/>
      <c r="X629" s="10" t="str">
        <f aca="false">IF(AND(R629="修改",S629=""),"請選新事件代碼",IF(AND(R629&lt;&gt;"修改",S629&lt;&gt;""),"只有「修改」才需填代碼",""))</f>
        <v/>
      </c>
      <c r="Y629" s="21"/>
      <c r="Z629" s="22"/>
      <c r="AA629" s="12" t="s">
        <v>2052</v>
      </c>
      <c r="AB629" s="24"/>
    </row>
    <row r="630" customFormat="false" ht="29.85" hidden="false" customHeight="false" outlineLevel="0" collapsed="false">
      <c r="A630" s="15" t="n">
        <v>629</v>
      </c>
      <c r="B630" s="9" t="s">
        <v>45</v>
      </c>
      <c r="C630" s="9" t="s">
        <v>2028</v>
      </c>
      <c r="D630" s="10" t="s">
        <v>2029</v>
      </c>
      <c r="E630" s="11" t="s">
        <v>2053</v>
      </c>
      <c r="F630" s="17"/>
      <c r="G630" s="12" t="s">
        <v>176</v>
      </c>
      <c r="H630" s="13" t="n">
        <v>-0.041</v>
      </c>
      <c r="I630" s="14"/>
      <c r="J630" s="17"/>
      <c r="K630" s="9"/>
      <c r="L630" s="15" t="s">
        <v>50</v>
      </c>
      <c r="M630" s="16" t="s">
        <v>51</v>
      </c>
      <c r="N630" s="14"/>
      <c r="O630" s="15" t="s">
        <v>52</v>
      </c>
      <c r="P630" s="17" t="s">
        <v>53</v>
      </c>
      <c r="Q630" s="15"/>
      <c r="R630" s="18" t="s">
        <v>51</v>
      </c>
      <c r="S630" s="19"/>
      <c r="T630" s="17" t="str">
        <f aca="false">IF(R630="維持",J630,IF(R630="排除","無關新聞事件",IFERROR(INDEX(事件規則!$B$2:$B$53,MATCH(S630,事件規則!$A$2:$A$53,0)),"")))</f>
        <v>無關新聞事件</v>
      </c>
      <c r="U630" s="20" t="n">
        <f aca="false">IF(R630="維持",K630,IF(R630="排除",0,IFERROR(INDEX(事件規則!$C$2:$C$53,MATCH(S630,事件規則!$A$2:$A$53,0)),"")))</f>
        <v>0</v>
      </c>
      <c r="V630" s="21"/>
      <c r="W630" s="22"/>
      <c r="X630" s="10" t="str">
        <f aca="false">IF(AND(R630="修改",S630=""),"請選新事件代碼",IF(AND(R630&lt;&gt;"修改",S630&lt;&gt;""),"只有「修改」才需填代碼",""))</f>
        <v/>
      </c>
      <c r="Y630" s="21"/>
      <c r="Z630" s="22"/>
      <c r="AA630" s="12" t="s">
        <v>2054</v>
      </c>
      <c r="AB630" s="24"/>
    </row>
    <row r="631" customFormat="false" ht="29.85" hidden="false" customHeight="false" outlineLevel="0" collapsed="false">
      <c r="A631" s="15" t="n">
        <v>630</v>
      </c>
      <c r="B631" s="9" t="s">
        <v>81</v>
      </c>
      <c r="C631" s="9" t="s">
        <v>2055</v>
      </c>
      <c r="D631" s="10" t="s">
        <v>2056</v>
      </c>
      <c r="E631" s="11" t="s">
        <v>2057</v>
      </c>
      <c r="F631" s="17"/>
      <c r="G631" s="12" t="s">
        <v>59</v>
      </c>
      <c r="H631" s="13" t="n">
        <v>-0.041</v>
      </c>
      <c r="I631" s="14"/>
      <c r="J631" s="17"/>
      <c r="K631" s="9"/>
      <c r="L631" s="15" t="s">
        <v>50</v>
      </c>
      <c r="M631" s="16" t="s">
        <v>51</v>
      </c>
      <c r="N631" s="14"/>
      <c r="O631" s="15" t="s">
        <v>52</v>
      </c>
      <c r="P631" s="17" t="s">
        <v>53</v>
      </c>
      <c r="Q631" s="15"/>
      <c r="R631" s="18" t="s">
        <v>51</v>
      </c>
      <c r="S631" s="19"/>
      <c r="T631" s="17" t="str">
        <f aca="false">IF(R631="維持",J631,IF(R631="排除","無關新聞事件",IFERROR(INDEX(事件規則!$B$2:$B$53,MATCH(S631,事件規則!$A$2:$A$53,0)),"")))</f>
        <v>無關新聞事件</v>
      </c>
      <c r="U631" s="20" t="n">
        <f aca="false">IF(R631="維持",K631,IF(R631="排除",0,IFERROR(INDEX(事件規則!$C$2:$C$53,MATCH(S631,事件規則!$A$2:$A$53,0)),"")))</f>
        <v>0</v>
      </c>
      <c r="V631" s="21"/>
      <c r="W631" s="22"/>
      <c r="X631" s="10" t="str">
        <f aca="false">IF(AND(R631="修改",S631=""),"請選新事件代碼",IF(AND(R631&lt;&gt;"修改",S631&lt;&gt;""),"只有「修改」才需填代碼",""))</f>
        <v/>
      </c>
      <c r="Y631" s="21"/>
      <c r="Z631" s="22"/>
      <c r="AA631" s="12" t="s">
        <v>2058</v>
      </c>
      <c r="AB631" s="24"/>
    </row>
    <row r="632" customFormat="false" ht="29.85" hidden="false" customHeight="false" outlineLevel="0" collapsed="false">
      <c r="A632" s="15" t="n">
        <v>631</v>
      </c>
      <c r="B632" s="9" t="s">
        <v>45</v>
      </c>
      <c r="C632" s="9" t="s">
        <v>2059</v>
      </c>
      <c r="D632" s="10" t="s">
        <v>2060</v>
      </c>
      <c r="E632" s="11" t="s">
        <v>2061</v>
      </c>
      <c r="F632" s="17"/>
      <c r="G632" s="12" t="s">
        <v>176</v>
      </c>
      <c r="H632" s="13" t="n">
        <v>-0.041</v>
      </c>
      <c r="I632" s="14"/>
      <c r="J632" s="17"/>
      <c r="K632" s="9"/>
      <c r="L632" s="15" t="s">
        <v>50</v>
      </c>
      <c r="M632" s="16" t="s">
        <v>51</v>
      </c>
      <c r="N632" s="14"/>
      <c r="O632" s="15" t="s">
        <v>52</v>
      </c>
      <c r="P632" s="17" t="s">
        <v>53</v>
      </c>
      <c r="Q632" s="15"/>
      <c r="R632" s="18" t="s">
        <v>51</v>
      </c>
      <c r="S632" s="19"/>
      <c r="T632" s="17" t="str">
        <f aca="false">IF(R632="維持",J632,IF(R632="排除","無關新聞事件",IFERROR(INDEX(事件規則!$B$2:$B$53,MATCH(S632,事件規則!$A$2:$A$53,0)),"")))</f>
        <v>無關新聞事件</v>
      </c>
      <c r="U632" s="20" t="n">
        <f aca="false">IF(R632="維持",K632,IF(R632="排除",0,IFERROR(INDEX(事件規則!$C$2:$C$53,MATCH(S632,事件規則!$A$2:$A$53,0)),"")))</f>
        <v>0</v>
      </c>
      <c r="V632" s="21"/>
      <c r="W632" s="22"/>
      <c r="X632" s="10" t="str">
        <f aca="false">IF(AND(R632="修改",S632=""),"請選新事件代碼",IF(AND(R632&lt;&gt;"修改",S632&lt;&gt;""),"只有「修改」才需填代碼",""))</f>
        <v/>
      </c>
      <c r="Y632" s="21"/>
      <c r="Z632" s="22"/>
      <c r="AA632" s="12" t="s">
        <v>2062</v>
      </c>
      <c r="AB632" s="24"/>
    </row>
    <row r="633" customFormat="false" ht="29.85" hidden="false" customHeight="false" outlineLevel="0" collapsed="false">
      <c r="A633" s="15" t="n">
        <v>632</v>
      </c>
      <c r="B633" s="9" t="s">
        <v>55</v>
      </c>
      <c r="C633" s="9" t="s">
        <v>1261</v>
      </c>
      <c r="D633" s="10" t="s">
        <v>1262</v>
      </c>
      <c r="E633" s="11" t="s">
        <v>2063</v>
      </c>
      <c r="F633" s="17"/>
      <c r="G633" s="12" t="s">
        <v>105</v>
      </c>
      <c r="H633" s="13" t="n">
        <v>-0.041</v>
      </c>
      <c r="I633" s="14"/>
      <c r="J633" s="17"/>
      <c r="K633" s="9"/>
      <c r="L633" s="15" t="s">
        <v>50</v>
      </c>
      <c r="M633" s="16" t="s">
        <v>51</v>
      </c>
      <c r="N633" s="14"/>
      <c r="O633" s="15" t="s">
        <v>52</v>
      </c>
      <c r="P633" s="17" t="s">
        <v>53</v>
      </c>
      <c r="Q633" s="15"/>
      <c r="R633" s="18" t="s">
        <v>51</v>
      </c>
      <c r="S633" s="19"/>
      <c r="T633" s="17" t="str">
        <f aca="false">IF(R633="維持",J633,IF(R633="排除","無關新聞事件",IFERROR(INDEX(事件規則!$B$2:$B$53,MATCH(S633,事件規則!$A$2:$A$53,0)),"")))</f>
        <v>無關新聞事件</v>
      </c>
      <c r="U633" s="20" t="n">
        <f aca="false">IF(R633="維持",K633,IF(R633="排除",0,IFERROR(INDEX(事件規則!$C$2:$C$53,MATCH(S633,事件規則!$A$2:$A$53,0)),"")))</f>
        <v>0</v>
      </c>
      <c r="V633" s="21"/>
      <c r="W633" s="22"/>
      <c r="X633" s="10" t="str">
        <f aca="false">IF(AND(R633="修改",S633=""),"請選新事件代碼",IF(AND(R633&lt;&gt;"修改",S633&lt;&gt;""),"只有「修改」才需填代碼",""))</f>
        <v/>
      </c>
      <c r="Y633" s="21"/>
      <c r="Z633" s="22"/>
      <c r="AA633" s="12" t="s">
        <v>2064</v>
      </c>
      <c r="AB633" s="24"/>
    </row>
    <row r="634" customFormat="false" ht="29.85" hidden="false" customHeight="false" outlineLevel="0" collapsed="false">
      <c r="A634" s="15" t="n">
        <v>633</v>
      </c>
      <c r="B634" s="9" t="s">
        <v>55</v>
      </c>
      <c r="C634" s="9" t="s">
        <v>973</v>
      </c>
      <c r="D634" s="10" t="s">
        <v>974</v>
      </c>
      <c r="E634" s="11" t="s">
        <v>2065</v>
      </c>
      <c r="F634" s="17"/>
      <c r="G634" s="12" t="s">
        <v>105</v>
      </c>
      <c r="H634" s="13" t="n">
        <v>-0.041</v>
      </c>
      <c r="I634" s="14"/>
      <c r="J634" s="17"/>
      <c r="K634" s="9"/>
      <c r="L634" s="15" t="s">
        <v>50</v>
      </c>
      <c r="M634" s="16" t="s">
        <v>51</v>
      </c>
      <c r="N634" s="14"/>
      <c r="O634" s="15" t="s">
        <v>52</v>
      </c>
      <c r="P634" s="17" t="s">
        <v>53</v>
      </c>
      <c r="Q634" s="15"/>
      <c r="R634" s="18" t="s">
        <v>51</v>
      </c>
      <c r="S634" s="19"/>
      <c r="T634" s="17" t="str">
        <f aca="false">IF(R634="維持",J634,IF(R634="排除","無關新聞事件",IFERROR(INDEX(事件規則!$B$2:$B$53,MATCH(S634,事件規則!$A$2:$A$53,0)),"")))</f>
        <v>無關新聞事件</v>
      </c>
      <c r="U634" s="20" t="n">
        <f aca="false">IF(R634="維持",K634,IF(R634="排除",0,IFERROR(INDEX(事件規則!$C$2:$C$53,MATCH(S634,事件規則!$A$2:$A$53,0)),"")))</f>
        <v>0</v>
      </c>
      <c r="V634" s="21"/>
      <c r="W634" s="22"/>
      <c r="X634" s="10" t="str">
        <f aca="false">IF(AND(R634="修改",S634=""),"請選新事件代碼",IF(AND(R634&lt;&gt;"修改",S634&lt;&gt;""),"只有「修改」才需填代碼",""))</f>
        <v/>
      </c>
      <c r="Y634" s="21"/>
      <c r="Z634" s="22"/>
      <c r="AA634" s="12" t="s">
        <v>2066</v>
      </c>
      <c r="AB634" s="24"/>
    </row>
    <row r="635" customFormat="false" ht="29.85" hidden="false" customHeight="false" outlineLevel="0" collapsed="false">
      <c r="A635" s="15" t="n">
        <v>634</v>
      </c>
      <c r="B635" s="9" t="s">
        <v>55</v>
      </c>
      <c r="C635" s="9" t="s">
        <v>869</v>
      </c>
      <c r="D635" s="10" t="s">
        <v>870</v>
      </c>
      <c r="E635" s="11" t="s">
        <v>2067</v>
      </c>
      <c r="F635" s="17"/>
      <c r="G635" s="12" t="s">
        <v>1136</v>
      </c>
      <c r="H635" s="13" t="n">
        <v>-0.041</v>
      </c>
      <c r="I635" s="14"/>
      <c r="J635" s="17"/>
      <c r="K635" s="9"/>
      <c r="L635" s="15" t="s">
        <v>50</v>
      </c>
      <c r="M635" s="16" t="s">
        <v>51</v>
      </c>
      <c r="N635" s="14"/>
      <c r="O635" s="15" t="s">
        <v>52</v>
      </c>
      <c r="P635" s="17" t="s">
        <v>53</v>
      </c>
      <c r="Q635" s="15"/>
      <c r="R635" s="18" t="s">
        <v>51</v>
      </c>
      <c r="S635" s="19"/>
      <c r="T635" s="17" t="str">
        <f aca="false">IF(R635="維持",J635,IF(R635="排除","無關新聞事件",IFERROR(INDEX(事件規則!$B$2:$B$53,MATCH(S635,事件規則!$A$2:$A$53,0)),"")))</f>
        <v>無關新聞事件</v>
      </c>
      <c r="U635" s="20" t="n">
        <f aca="false">IF(R635="維持",K635,IF(R635="排除",0,IFERROR(INDEX(事件規則!$C$2:$C$53,MATCH(S635,事件規則!$A$2:$A$53,0)),"")))</f>
        <v>0</v>
      </c>
      <c r="V635" s="21"/>
      <c r="W635" s="22"/>
      <c r="X635" s="10" t="str">
        <f aca="false">IF(AND(R635="修改",S635=""),"請選新事件代碼",IF(AND(R635&lt;&gt;"修改",S635&lt;&gt;""),"只有「修改」才需填代碼",""))</f>
        <v/>
      </c>
      <c r="Y635" s="21"/>
      <c r="Z635" s="22"/>
      <c r="AA635" s="12" t="s">
        <v>2068</v>
      </c>
      <c r="AB635" s="24"/>
    </row>
    <row r="636" customFormat="false" ht="29.85" hidden="false" customHeight="false" outlineLevel="0" collapsed="false">
      <c r="A636" s="15" t="n">
        <v>635</v>
      </c>
      <c r="B636" s="9" t="s">
        <v>55</v>
      </c>
      <c r="C636" s="9" t="s">
        <v>303</v>
      </c>
      <c r="D636" s="10" t="s">
        <v>304</v>
      </c>
      <c r="E636" s="11" t="s">
        <v>2069</v>
      </c>
      <c r="F636" s="17"/>
      <c r="G636" s="12" t="s">
        <v>1136</v>
      </c>
      <c r="H636" s="13" t="n">
        <v>-0.041</v>
      </c>
      <c r="I636" s="14"/>
      <c r="J636" s="17"/>
      <c r="K636" s="9"/>
      <c r="L636" s="15" t="s">
        <v>50</v>
      </c>
      <c r="M636" s="16" t="s">
        <v>51</v>
      </c>
      <c r="N636" s="14"/>
      <c r="O636" s="15" t="s">
        <v>52</v>
      </c>
      <c r="P636" s="17" t="s">
        <v>53</v>
      </c>
      <c r="Q636" s="15"/>
      <c r="R636" s="18" t="s">
        <v>51</v>
      </c>
      <c r="S636" s="19"/>
      <c r="T636" s="17" t="str">
        <f aca="false">IF(R636="維持",J636,IF(R636="排除","無關新聞事件",IFERROR(INDEX(事件規則!$B$2:$B$53,MATCH(S636,事件規則!$A$2:$A$53,0)),"")))</f>
        <v>無關新聞事件</v>
      </c>
      <c r="U636" s="20" t="n">
        <f aca="false">IF(R636="維持",K636,IF(R636="排除",0,IFERROR(INDEX(事件規則!$C$2:$C$53,MATCH(S636,事件規則!$A$2:$A$53,0)),"")))</f>
        <v>0</v>
      </c>
      <c r="V636" s="21"/>
      <c r="W636" s="22"/>
      <c r="X636" s="10" t="str">
        <f aca="false">IF(AND(R636="修改",S636=""),"請選新事件代碼",IF(AND(R636&lt;&gt;"修改",S636&lt;&gt;""),"只有「修改」才需填代碼",""))</f>
        <v/>
      </c>
      <c r="Y636" s="21"/>
      <c r="Z636" s="22"/>
      <c r="AA636" s="12" t="s">
        <v>2070</v>
      </c>
      <c r="AB636" s="24"/>
    </row>
    <row r="637" customFormat="false" ht="29.85" hidden="false" customHeight="false" outlineLevel="0" collapsed="false">
      <c r="A637" s="15" t="n">
        <v>636</v>
      </c>
      <c r="B637" s="9" t="s">
        <v>45</v>
      </c>
      <c r="C637" s="9" t="s">
        <v>585</v>
      </c>
      <c r="D637" s="10" t="s">
        <v>586</v>
      </c>
      <c r="E637" s="11" t="s">
        <v>2071</v>
      </c>
      <c r="F637" s="17"/>
      <c r="G637" s="12" t="s">
        <v>105</v>
      </c>
      <c r="H637" s="13" t="n">
        <v>-0.041</v>
      </c>
      <c r="I637" s="14"/>
      <c r="J637" s="17"/>
      <c r="K637" s="9"/>
      <c r="L637" s="15" t="s">
        <v>50</v>
      </c>
      <c r="M637" s="16" t="s">
        <v>51</v>
      </c>
      <c r="N637" s="14"/>
      <c r="O637" s="15" t="s">
        <v>52</v>
      </c>
      <c r="P637" s="17" t="s">
        <v>53</v>
      </c>
      <c r="Q637" s="15"/>
      <c r="R637" s="18" t="s">
        <v>51</v>
      </c>
      <c r="S637" s="19"/>
      <c r="T637" s="17" t="str">
        <f aca="false">IF(R637="維持",J637,IF(R637="排除","無關新聞事件",IFERROR(INDEX(事件規則!$B$2:$B$53,MATCH(S637,事件規則!$A$2:$A$53,0)),"")))</f>
        <v>無關新聞事件</v>
      </c>
      <c r="U637" s="20" t="n">
        <f aca="false">IF(R637="維持",K637,IF(R637="排除",0,IFERROR(INDEX(事件規則!$C$2:$C$53,MATCH(S637,事件規則!$A$2:$A$53,0)),"")))</f>
        <v>0</v>
      </c>
      <c r="V637" s="21"/>
      <c r="W637" s="22"/>
      <c r="X637" s="10" t="str">
        <f aca="false">IF(AND(R637="修改",S637=""),"請選新事件代碼",IF(AND(R637&lt;&gt;"修改",S637&lt;&gt;""),"只有「修改」才需填代碼",""))</f>
        <v/>
      </c>
      <c r="Y637" s="21"/>
      <c r="Z637" s="22"/>
      <c r="AA637" s="12" t="s">
        <v>2072</v>
      </c>
      <c r="AB637" s="24"/>
    </row>
    <row r="638" customFormat="false" ht="29.85" hidden="false" customHeight="false" outlineLevel="0" collapsed="false">
      <c r="A638" s="15" t="n">
        <v>637</v>
      </c>
      <c r="B638" s="9" t="s">
        <v>55</v>
      </c>
      <c r="C638" s="9" t="s">
        <v>1893</v>
      </c>
      <c r="D638" s="10" t="s">
        <v>1894</v>
      </c>
      <c r="E638" s="11" t="s">
        <v>2073</v>
      </c>
      <c r="F638" s="17"/>
      <c r="G638" s="12" t="s">
        <v>176</v>
      </c>
      <c r="H638" s="13" t="n">
        <v>-0.041</v>
      </c>
      <c r="I638" s="14"/>
      <c r="J638" s="17"/>
      <c r="K638" s="9"/>
      <c r="L638" s="15" t="s">
        <v>50</v>
      </c>
      <c r="M638" s="16" t="s">
        <v>51</v>
      </c>
      <c r="N638" s="14"/>
      <c r="O638" s="15" t="s">
        <v>52</v>
      </c>
      <c r="P638" s="17" t="s">
        <v>53</v>
      </c>
      <c r="Q638" s="15"/>
      <c r="R638" s="18" t="s">
        <v>51</v>
      </c>
      <c r="S638" s="19"/>
      <c r="T638" s="17" t="str">
        <f aca="false">IF(R638="維持",J638,IF(R638="排除","無關新聞事件",IFERROR(INDEX(事件規則!$B$2:$B$53,MATCH(S638,事件規則!$A$2:$A$53,0)),"")))</f>
        <v>無關新聞事件</v>
      </c>
      <c r="U638" s="20" t="n">
        <f aca="false">IF(R638="維持",K638,IF(R638="排除",0,IFERROR(INDEX(事件規則!$C$2:$C$53,MATCH(S638,事件規則!$A$2:$A$53,0)),"")))</f>
        <v>0</v>
      </c>
      <c r="V638" s="21"/>
      <c r="W638" s="22"/>
      <c r="X638" s="10" t="str">
        <f aca="false">IF(AND(R638="修改",S638=""),"請選新事件代碼",IF(AND(R638&lt;&gt;"修改",S638&lt;&gt;""),"只有「修改」才需填代碼",""))</f>
        <v/>
      </c>
      <c r="Y638" s="21"/>
      <c r="Z638" s="22"/>
      <c r="AA638" s="12" t="s">
        <v>2074</v>
      </c>
      <c r="AB638" s="24"/>
    </row>
    <row r="639" customFormat="false" ht="29.85" hidden="false" customHeight="false" outlineLevel="0" collapsed="false">
      <c r="A639" s="15" t="n">
        <v>638</v>
      </c>
      <c r="B639" s="9" t="s">
        <v>112</v>
      </c>
      <c r="C639" s="9" t="s">
        <v>825</v>
      </c>
      <c r="D639" s="10" t="s">
        <v>826</v>
      </c>
      <c r="E639" s="11" t="s">
        <v>2075</v>
      </c>
      <c r="F639" s="17"/>
      <c r="G639" s="12" t="s">
        <v>949</v>
      </c>
      <c r="H639" s="13" t="n">
        <v>-0.041</v>
      </c>
      <c r="I639" s="14"/>
      <c r="J639" s="17"/>
      <c r="K639" s="9"/>
      <c r="L639" s="15" t="s">
        <v>50</v>
      </c>
      <c r="M639" s="16" t="s">
        <v>51</v>
      </c>
      <c r="N639" s="14"/>
      <c r="O639" s="15" t="s">
        <v>52</v>
      </c>
      <c r="P639" s="17" t="s">
        <v>53</v>
      </c>
      <c r="Q639" s="15"/>
      <c r="R639" s="18" t="s">
        <v>51</v>
      </c>
      <c r="S639" s="19"/>
      <c r="T639" s="17" t="str">
        <f aca="false">IF(R639="維持",J639,IF(R639="排除","無關新聞事件",IFERROR(INDEX(事件規則!$B$2:$B$53,MATCH(S639,事件規則!$A$2:$A$53,0)),"")))</f>
        <v>無關新聞事件</v>
      </c>
      <c r="U639" s="20" t="n">
        <f aca="false">IF(R639="維持",K639,IF(R639="排除",0,IFERROR(INDEX(事件規則!$C$2:$C$53,MATCH(S639,事件規則!$A$2:$A$53,0)),"")))</f>
        <v>0</v>
      </c>
      <c r="V639" s="21"/>
      <c r="W639" s="22"/>
      <c r="X639" s="10" t="str">
        <f aca="false">IF(AND(R639="修改",S639=""),"請選新事件代碼",IF(AND(R639&lt;&gt;"修改",S639&lt;&gt;""),"只有「修改」才需填代碼",""))</f>
        <v/>
      </c>
      <c r="Y639" s="21"/>
      <c r="Z639" s="22"/>
      <c r="AA639" s="12" t="s">
        <v>2076</v>
      </c>
      <c r="AB639" s="24"/>
    </row>
    <row r="640" customFormat="false" ht="29.85" hidden="false" customHeight="false" outlineLevel="0" collapsed="false">
      <c r="A640" s="15" t="n">
        <v>639</v>
      </c>
      <c r="B640" s="9" t="s">
        <v>112</v>
      </c>
      <c r="C640" s="9" t="s">
        <v>66</v>
      </c>
      <c r="D640" s="10" t="s">
        <v>67</v>
      </c>
      <c r="E640" s="11" t="s">
        <v>2077</v>
      </c>
      <c r="F640" s="17"/>
      <c r="G640" s="12" t="s">
        <v>1136</v>
      </c>
      <c r="H640" s="13" t="n">
        <v>-0.041</v>
      </c>
      <c r="I640" s="14"/>
      <c r="J640" s="17"/>
      <c r="K640" s="9"/>
      <c r="L640" s="15" t="s">
        <v>50</v>
      </c>
      <c r="M640" s="16" t="s">
        <v>51</v>
      </c>
      <c r="N640" s="14"/>
      <c r="O640" s="15" t="s">
        <v>52</v>
      </c>
      <c r="P640" s="17" t="s">
        <v>53</v>
      </c>
      <c r="Q640" s="15"/>
      <c r="R640" s="18" t="s">
        <v>51</v>
      </c>
      <c r="S640" s="19"/>
      <c r="T640" s="17" t="str">
        <f aca="false">IF(R640="維持",J640,IF(R640="排除","無關新聞事件",IFERROR(INDEX(事件規則!$B$2:$B$53,MATCH(S640,事件規則!$A$2:$A$53,0)),"")))</f>
        <v>無關新聞事件</v>
      </c>
      <c r="U640" s="20" t="n">
        <f aca="false">IF(R640="維持",K640,IF(R640="排除",0,IFERROR(INDEX(事件規則!$C$2:$C$53,MATCH(S640,事件規則!$A$2:$A$53,0)),"")))</f>
        <v>0</v>
      </c>
      <c r="V640" s="21"/>
      <c r="W640" s="22"/>
      <c r="X640" s="10" t="str">
        <f aca="false">IF(AND(R640="修改",S640=""),"請選新事件代碼",IF(AND(R640&lt;&gt;"修改",S640&lt;&gt;""),"只有「修改」才需填代碼",""))</f>
        <v/>
      </c>
      <c r="Y640" s="21"/>
      <c r="Z640" s="22"/>
      <c r="AA640" s="12" t="s">
        <v>2078</v>
      </c>
      <c r="AB640" s="24"/>
    </row>
    <row r="641" customFormat="false" ht="29.85" hidden="false" customHeight="false" outlineLevel="0" collapsed="false">
      <c r="A641" s="15" t="n">
        <v>640</v>
      </c>
      <c r="B641" s="9" t="s">
        <v>45</v>
      </c>
      <c r="C641" s="9" t="s">
        <v>1602</v>
      </c>
      <c r="D641" s="10" t="s">
        <v>1603</v>
      </c>
      <c r="E641" s="11" t="s">
        <v>2079</v>
      </c>
      <c r="F641" s="17"/>
      <c r="G641" s="12" t="s">
        <v>95</v>
      </c>
      <c r="H641" s="13" t="n">
        <v>-0.041</v>
      </c>
      <c r="I641" s="14"/>
      <c r="J641" s="17"/>
      <c r="K641" s="9"/>
      <c r="L641" s="15" t="s">
        <v>50</v>
      </c>
      <c r="M641" s="16" t="s">
        <v>51</v>
      </c>
      <c r="N641" s="14"/>
      <c r="O641" s="15" t="s">
        <v>52</v>
      </c>
      <c r="P641" s="17" t="s">
        <v>53</v>
      </c>
      <c r="Q641" s="15"/>
      <c r="R641" s="18" t="s">
        <v>51</v>
      </c>
      <c r="S641" s="19"/>
      <c r="T641" s="17" t="str">
        <f aca="false">IF(R641="維持",J641,IF(R641="排除","無關新聞事件",IFERROR(INDEX(事件規則!$B$2:$B$53,MATCH(S641,事件規則!$A$2:$A$53,0)),"")))</f>
        <v>無關新聞事件</v>
      </c>
      <c r="U641" s="20" t="n">
        <f aca="false">IF(R641="維持",K641,IF(R641="排除",0,IFERROR(INDEX(事件規則!$C$2:$C$53,MATCH(S641,事件規則!$A$2:$A$53,0)),"")))</f>
        <v>0</v>
      </c>
      <c r="V641" s="21"/>
      <c r="W641" s="22"/>
      <c r="X641" s="10" t="str">
        <f aca="false">IF(AND(R641="修改",S641=""),"請選新事件代碼",IF(AND(R641&lt;&gt;"修改",S641&lt;&gt;""),"只有「修改」才需填代碼",""))</f>
        <v/>
      </c>
      <c r="Y641" s="21"/>
      <c r="Z641" s="22"/>
      <c r="AA641" s="12" t="s">
        <v>2080</v>
      </c>
      <c r="AB641" s="24"/>
    </row>
    <row r="642" customFormat="false" ht="29.85" hidden="false" customHeight="false" outlineLevel="0" collapsed="false">
      <c r="A642" s="15" t="n">
        <v>641</v>
      </c>
      <c r="B642" s="9" t="s">
        <v>45</v>
      </c>
      <c r="C642" s="9" t="s">
        <v>1987</v>
      </c>
      <c r="D642" s="10" t="s">
        <v>1988</v>
      </c>
      <c r="E642" s="11" t="s">
        <v>2081</v>
      </c>
      <c r="F642" s="17"/>
      <c r="G642" s="12" t="s">
        <v>1136</v>
      </c>
      <c r="H642" s="13" t="n">
        <v>-0.041</v>
      </c>
      <c r="I642" s="14"/>
      <c r="J642" s="17"/>
      <c r="K642" s="9"/>
      <c r="L642" s="15" t="s">
        <v>50</v>
      </c>
      <c r="M642" s="16" t="s">
        <v>51</v>
      </c>
      <c r="N642" s="14"/>
      <c r="O642" s="15" t="s">
        <v>52</v>
      </c>
      <c r="P642" s="17" t="s">
        <v>53</v>
      </c>
      <c r="Q642" s="15"/>
      <c r="R642" s="18" t="s">
        <v>51</v>
      </c>
      <c r="S642" s="19"/>
      <c r="T642" s="17" t="str">
        <f aca="false">IF(R642="維持",J642,IF(R642="排除","無關新聞事件",IFERROR(INDEX(事件規則!$B$2:$B$53,MATCH(S642,事件規則!$A$2:$A$53,0)),"")))</f>
        <v>無關新聞事件</v>
      </c>
      <c r="U642" s="20" t="n">
        <f aca="false">IF(R642="維持",K642,IF(R642="排除",0,IFERROR(INDEX(事件規則!$C$2:$C$53,MATCH(S642,事件規則!$A$2:$A$53,0)),"")))</f>
        <v>0</v>
      </c>
      <c r="V642" s="21"/>
      <c r="W642" s="22"/>
      <c r="X642" s="10" t="str">
        <f aca="false">IF(AND(R642="修改",S642=""),"請選新事件代碼",IF(AND(R642&lt;&gt;"修改",S642&lt;&gt;""),"只有「修改」才需填代碼",""))</f>
        <v/>
      </c>
      <c r="Y642" s="21"/>
      <c r="Z642" s="22"/>
      <c r="AA642" s="12" t="s">
        <v>2082</v>
      </c>
      <c r="AB642" s="24"/>
    </row>
    <row r="643" customFormat="false" ht="29.85" hidden="false" customHeight="false" outlineLevel="0" collapsed="false">
      <c r="A643" s="15" t="n">
        <v>642</v>
      </c>
      <c r="B643" s="9" t="s">
        <v>45</v>
      </c>
      <c r="C643" s="9" t="s">
        <v>2083</v>
      </c>
      <c r="D643" s="10" t="s">
        <v>2084</v>
      </c>
      <c r="E643" s="11" t="s">
        <v>2085</v>
      </c>
      <c r="F643" s="17"/>
      <c r="G643" s="12" t="s">
        <v>95</v>
      </c>
      <c r="H643" s="13" t="n">
        <v>-0.041</v>
      </c>
      <c r="I643" s="14"/>
      <c r="J643" s="17"/>
      <c r="K643" s="9"/>
      <c r="L643" s="15" t="s">
        <v>50</v>
      </c>
      <c r="M643" s="16" t="s">
        <v>51</v>
      </c>
      <c r="N643" s="14"/>
      <c r="O643" s="15" t="s">
        <v>52</v>
      </c>
      <c r="P643" s="17" t="s">
        <v>53</v>
      </c>
      <c r="Q643" s="15"/>
      <c r="R643" s="18" t="s">
        <v>51</v>
      </c>
      <c r="S643" s="19"/>
      <c r="T643" s="17" t="str">
        <f aca="false">IF(R643="維持",J643,IF(R643="排除","無關新聞事件",IFERROR(INDEX(事件規則!$B$2:$B$53,MATCH(S643,事件規則!$A$2:$A$53,0)),"")))</f>
        <v>無關新聞事件</v>
      </c>
      <c r="U643" s="20" t="n">
        <f aca="false">IF(R643="維持",K643,IF(R643="排除",0,IFERROR(INDEX(事件規則!$C$2:$C$53,MATCH(S643,事件規則!$A$2:$A$53,0)),"")))</f>
        <v>0</v>
      </c>
      <c r="V643" s="21"/>
      <c r="W643" s="22"/>
      <c r="X643" s="10" t="str">
        <f aca="false">IF(AND(R643="修改",S643=""),"請選新事件代碼",IF(AND(R643&lt;&gt;"修改",S643&lt;&gt;""),"只有「修改」才需填代碼",""))</f>
        <v/>
      </c>
      <c r="Y643" s="21"/>
      <c r="Z643" s="22"/>
      <c r="AA643" s="12" t="s">
        <v>2086</v>
      </c>
      <c r="AB643" s="24"/>
    </row>
    <row r="644" customFormat="false" ht="29.85" hidden="false" customHeight="false" outlineLevel="0" collapsed="false">
      <c r="A644" s="15" t="n">
        <v>643</v>
      </c>
      <c r="B644" s="9" t="s">
        <v>112</v>
      </c>
      <c r="C644" s="9" t="s">
        <v>550</v>
      </c>
      <c r="D644" s="10" t="s">
        <v>551</v>
      </c>
      <c r="E644" s="11" t="s">
        <v>2087</v>
      </c>
      <c r="F644" s="17"/>
      <c r="G644" s="12" t="s">
        <v>1136</v>
      </c>
      <c r="H644" s="13" t="n">
        <v>-0.041</v>
      </c>
      <c r="I644" s="14"/>
      <c r="J644" s="17"/>
      <c r="K644" s="9"/>
      <c r="L644" s="15" t="s">
        <v>50</v>
      </c>
      <c r="M644" s="16" t="s">
        <v>51</v>
      </c>
      <c r="N644" s="14"/>
      <c r="O644" s="15" t="s">
        <v>52</v>
      </c>
      <c r="P644" s="17" t="s">
        <v>53</v>
      </c>
      <c r="Q644" s="15"/>
      <c r="R644" s="18" t="s">
        <v>51</v>
      </c>
      <c r="S644" s="19"/>
      <c r="T644" s="17" t="str">
        <f aca="false">IF(R644="維持",J644,IF(R644="排除","無關新聞事件",IFERROR(INDEX(事件規則!$B$2:$B$53,MATCH(S644,事件規則!$A$2:$A$53,0)),"")))</f>
        <v>無關新聞事件</v>
      </c>
      <c r="U644" s="20" t="n">
        <f aca="false">IF(R644="維持",K644,IF(R644="排除",0,IFERROR(INDEX(事件規則!$C$2:$C$53,MATCH(S644,事件規則!$A$2:$A$53,0)),"")))</f>
        <v>0</v>
      </c>
      <c r="V644" s="21"/>
      <c r="W644" s="22"/>
      <c r="X644" s="10" t="str">
        <f aca="false">IF(AND(R644="修改",S644=""),"請選新事件代碼",IF(AND(R644&lt;&gt;"修改",S644&lt;&gt;""),"只有「修改」才需填代碼",""))</f>
        <v/>
      </c>
      <c r="Y644" s="21"/>
      <c r="Z644" s="22"/>
      <c r="AA644" s="12" t="s">
        <v>2088</v>
      </c>
      <c r="AB644" s="24"/>
    </row>
    <row r="645" customFormat="false" ht="29.85" hidden="false" customHeight="false" outlineLevel="0" collapsed="false">
      <c r="A645" s="15" t="n">
        <v>644</v>
      </c>
      <c r="B645" s="9" t="s">
        <v>55</v>
      </c>
      <c r="C645" s="9" t="s">
        <v>550</v>
      </c>
      <c r="D645" s="10" t="s">
        <v>551</v>
      </c>
      <c r="E645" s="11" t="s">
        <v>2089</v>
      </c>
      <c r="F645" s="17"/>
      <c r="G645" s="12" t="s">
        <v>49</v>
      </c>
      <c r="H645" s="13" t="n">
        <v>-0.041</v>
      </c>
      <c r="I645" s="14"/>
      <c r="J645" s="17"/>
      <c r="K645" s="9"/>
      <c r="L645" s="15" t="s">
        <v>50</v>
      </c>
      <c r="M645" s="16" t="s">
        <v>51</v>
      </c>
      <c r="N645" s="14"/>
      <c r="O645" s="15" t="s">
        <v>52</v>
      </c>
      <c r="P645" s="17" t="s">
        <v>53</v>
      </c>
      <c r="Q645" s="15"/>
      <c r="R645" s="18" t="s">
        <v>51</v>
      </c>
      <c r="S645" s="19"/>
      <c r="T645" s="17" t="str">
        <f aca="false">IF(R645="維持",J645,IF(R645="排除","無關新聞事件",IFERROR(INDEX(事件規則!$B$2:$B$53,MATCH(S645,事件規則!$A$2:$A$53,0)),"")))</f>
        <v>無關新聞事件</v>
      </c>
      <c r="U645" s="20" t="n">
        <f aca="false">IF(R645="維持",K645,IF(R645="排除",0,IFERROR(INDEX(事件規則!$C$2:$C$53,MATCH(S645,事件規則!$A$2:$A$53,0)),"")))</f>
        <v>0</v>
      </c>
      <c r="V645" s="21"/>
      <c r="W645" s="22"/>
      <c r="X645" s="10" t="str">
        <f aca="false">IF(AND(R645="修改",S645=""),"請選新事件代碼",IF(AND(R645&lt;&gt;"修改",S645&lt;&gt;""),"只有「修改」才需填代碼",""))</f>
        <v/>
      </c>
      <c r="Y645" s="21"/>
      <c r="Z645" s="22"/>
      <c r="AA645" s="12" t="s">
        <v>2090</v>
      </c>
      <c r="AB645" s="24"/>
    </row>
    <row r="646" customFormat="false" ht="29.85" hidden="false" customHeight="false" outlineLevel="0" collapsed="false">
      <c r="A646" s="15" t="n">
        <v>645</v>
      </c>
      <c r="B646" s="9" t="s">
        <v>112</v>
      </c>
      <c r="C646" s="9" t="s">
        <v>2041</v>
      </c>
      <c r="D646" s="10" t="s">
        <v>2042</v>
      </c>
      <c r="E646" s="11" t="s">
        <v>2091</v>
      </c>
      <c r="F646" s="17"/>
      <c r="G646" s="12" t="s">
        <v>2033</v>
      </c>
      <c r="H646" s="13" t="n">
        <v>-0.041</v>
      </c>
      <c r="I646" s="14"/>
      <c r="J646" s="17"/>
      <c r="K646" s="9"/>
      <c r="L646" s="15" t="s">
        <v>50</v>
      </c>
      <c r="M646" s="16" t="s">
        <v>51</v>
      </c>
      <c r="N646" s="14"/>
      <c r="O646" s="15" t="s">
        <v>52</v>
      </c>
      <c r="P646" s="17" t="s">
        <v>53</v>
      </c>
      <c r="Q646" s="15"/>
      <c r="R646" s="18" t="s">
        <v>51</v>
      </c>
      <c r="S646" s="19"/>
      <c r="T646" s="17" t="str">
        <f aca="false">IF(R646="維持",J646,IF(R646="排除","無關新聞事件",IFERROR(INDEX(事件規則!$B$2:$B$53,MATCH(S646,事件規則!$A$2:$A$53,0)),"")))</f>
        <v>無關新聞事件</v>
      </c>
      <c r="U646" s="20" t="n">
        <f aca="false">IF(R646="維持",K646,IF(R646="排除",0,IFERROR(INDEX(事件規則!$C$2:$C$53,MATCH(S646,事件規則!$A$2:$A$53,0)),"")))</f>
        <v>0</v>
      </c>
      <c r="V646" s="21"/>
      <c r="W646" s="22"/>
      <c r="X646" s="10" t="str">
        <f aca="false">IF(AND(R646="修改",S646=""),"請選新事件代碼",IF(AND(R646&lt;&gt;"修改",S646&lt;&gt;""),"只有「修改」才需填代碼",""))</f>
        <v/>
      </c>
      <c r="Y646" s="21"/>
      <c r="Z646" s="22"/>
      <c r="AA646" s="12" t="s">
        <v>2092</v>
      </c>
      <c r="AB646" s="24"/>
    </row>
    <row r="647" customFormat="false" ht="29.85" hidden="false" customHeight="false" outlineLevel="0" collapsed="false">
      <c r="A647" s="15" t="n">
        <v>646</v>
      </c>
      <c r="B647" s="9" t="s">
        <v>112</v>
      </c>
      <c r="C647" s="9" t="s">
        <v>740</v>
      </c>
      <c r="D647" s="10" t="s">
        <v>741</v>
      </c>
      <c r="E647" s="11" t="s">
        <v>2093</v>
      </c>
      <c r="F647" s="17"/>
      <c r="G647" s="12" t="s">
        <v>2094</v>
      </c>
      <c r="H647" s="13" t="n">
        <v>-0.041</v>
      </c>
      <c r="I647" s="14"/>
      <c r="J647" s="17"/>
      <c r="K647" s="9"/>
      <c r="L647" s="15" t="s">
        <v>50</v>
      </c>
      <c r="M647" s="16" t="s">
        <v>51</v>
      </c>
      <c r="N647" s="14"/>
      <c r="O647" s="15" t="s">
        <v>52</v>
      </c>
      <c r="P647" s="17" t="s">
        <v>53</v>
      </c>
      <c r="Q647" s="15"/>
      <c r="R647" s="18" t="s">
        <v>51</v>
      </c>
      <c r="S647" s="19"/>
      <c r="T647" s="17" t="str">
        <f aca="false">IF(R647="維持",J647,IF(R647="排除","無關新聞事件",IFERROR(INDEX(事件規則!$B$2:$B$53,MATCH(S647,事件規則!$A$2:$A$53,0)),"")))</f>
        <v>無關新聞事件</v>
      </c>
      <c r="U647" s="20" t="n">
        <f aca="false">IF(R647="維持",K647,IF(R647="排除",0,IFERROR(INDEX(事件規則!$C$2:$C$53,MATCH(S647,事件規則!$A$2:$A$53,0)),"")))</f>
        <v>0</v>
      </c>
      <c r="V647" s="21"/>
      <c r="W647" s="22"/>
      <c r="X647" s="10" t="str">
        <f aca="false">IF(AND(R647="修改",S647=""),"請選新事件代碼",IF(AND(R647&lt;&gt;"修改",S647&lt;&gt;""),"只有「修改」才需填代碼",""))</f>
        <v/>
      </c>
      <c r="Y647" s="21"/>
      <c r="Z647" s="22"/>
      <c r="AA647" s="12" t="s">
        <v>2095</v>
      </c>
      <c r="AB647" s="24"/>
    </row>
    <row r="648" customFormat="false" ht="29.85" hidden="false" customHeight="false" outlineLevel="0" collapsed="false">
      <c r="A648" s="15" t="n">
        <v>647</v>
      </c>
      <c r="B648" s="9" t="s">
        <v>45</v>
      </c>
      <c r="C648" s="9" t="s">
        <v>831</v>
      </c>
      <c r="D648" s="10" t="s">
        <v>832</v>
      </c>
      <c r="E648" s="11" t="s">
        <v>2096</v>
      </c>
      <c r="F648" s="17"/>
      <c r="G648" s="12" t="s">
        <v>1136</v>
      </c>
      <c r="H648" s="13" t="n">
        <v>-0.041</v>
      </c>
      <c r="I648" s="14"/>
      <c r="J648" s="17"/>
      <c r="K648" s="9"/>
      <c r="L648" s="15" t="s">
        <v>50</v>
      </c>
      <c r="M648" s="16" t="s">
        <v>51</v>
      </c>
      <c r="N648" s="14"/>
      <c r="O648" s="15" t="s">
        <v>52</v>
      </c>
      <c r="P648" s="17" t="s">
        <v>53</v>
      </c>
      <c r="Q648" s="15"/>
      <c r="R648" s="18" t="s">
        <v>51</v>
      </c>
      <c r="S648" s="19"/>
      <c r="T648" s="17" t="str">
        <f aca="false">IF(R648="維持",J648,IF(R648="排除","無關新聞事件",IFERROR(INDEX(事件規則!$B$2:$B$53,MATCH(S648,事件規則!$A$2:$A$53,0)),"")))</f>
        <v>無關新聞事件</v>
      </c>
      <c r="U648" s="20" t="n">
        <f aca="false">IF(R648="維持",K648,IF(R648="排除",0,IFERROR(INDEX(事件規則!$C$2:$C$53,MATCH(S648,事件規則!$A$2:$A$53,0)),"")))</f>
        <v>0</v>
      </c>
      <c r="V648" s="21"/>
      <c r="W648" s="22"/>
      <c r="X648" s="10" t="str">
        <f aca="false">IF(AND(R648="修改",S648=""),"請選新事件代碼",IF(AND(R648&lt;&gt;"修改",S648&lt;&gt;""),"只有「修改」才需填代碼",""))</f>
        <v/>
      </c>
      <c r="Y648" s="21"/>
      <c r="Z648" s="22"/>
      <c r="AA648" s="12" t="s">
        <v>2097</v>
      </c>
      <c r="AB648" s="24"/>
    </row>
    <row r="649" customFormat="false" ht="29.85" hidden="false" customHeight="false" outlineLevel="0" collapsed="false">
      <c r="A649" s="15" t="n">
        <v>648</v>
      </c>
      <c r="B649" s="9" t="s">
        <v>55</v>
      </c>
      <c r="C649" s="9" t="s">
        <v>303</v>
      </c>
      <c r="D649" s="10" t="s">
        <v>304</v>
      </c>
      <c r="E649" s="11" t="s">
        <v>2098</v>
      </c>
      <c r="F649" s="17"/>
      <c r="G649" s="12" t="s">
        <v>949</v>
      </c>
      <c r="H649" s="13" t="n">
        <v>-0.04</v>
      </c>
      <c r="I649" s="14"/>
      <c r="J649" s="17"/>
      <c r="K649" s="9"/>
      <c r="L649" s="15" t="s">
        <v>50</v>
      </c>
      <c r="M649" s="16" t="s">
        <v>51</v>
      </c>
      <c r="N649" s="14"/>
      <c r="O649" s="15" t="s">
        <v>52</v>
      </c>
      <c r="P649" s="17" t="s">
        <v>53</v>
      </c>
      <c r="Q649" s="15"/>
      <c r="R649" s="18" t="s">
        <v>51</v>
      </c>
      <c r="S649" s="19"/>
      <c r="T649" s="17" t="str">
        <f aca="false">IF(R649="維持",J649,IF(R649="排除","無關新聞事件",IFERROR(INDEX(事件規則!$B$2:$B$53,MATCH(S649,事件規則!$A$2:$A$53,0)),"")))</f>
        <v>無關新聞事件</v>
      </c>
      <c r="U649" s="20" t="n">
        <f aca="false">IF(R649="維持",K649,IF(R649="排除",0,IFERROR(INDEX(事件規則!$C$2:$C$53,MATCH(S649,事件規則!$A$2:$A$53,0)),"")))</f>
        <v>0</v>
      </c>
      <c r="V649" s="21"/>
      <c r="W649" s="22"/>
      <c r="X649" s="10" t="str">
        <f aca="false">IF(AND(R649="修改",S649=""),"請選新事件代碼",IF(AND(R649&lt;&gt;"修改",S649&lt;&gt;""),"只有「修改」才需填代碼",""))</f>
        <v/>
      </c>
      <c r="Y649" s="21"/>
      <c r="Z649" s="22"/>
      <c r="AA649" s="12" t="s">
        <v>2099</v>
      </c>
      <c r="AB649" s="24"/>
    </row>
    <row r="650" customFormat="false" ht="29.85" hidden="false" customHeight="false" outlineLevel="0" collapsed="false">
      <c r="A650" s="15" t="n">
        <v>649</v>
      </c>
      <c r="B650" s="9" t="s">
        <v>45</v>
      </c>
      <c r="C650" s="9" t="s">
        <v>289</v>
      </c>
      <c r="D650" s="10" t="s">
        <v>290</v>
      </c>
      <c r="E650" s="11" t="s">
        <v>2100</v>
      </c>
      <c r="F650" s="17"/>
      <c r="G650" s="12" t="s">
        <v>176</v>
      </c>
      <c r="H650" s="13" t="n">
        <v>-0.04</v>
      </c>
      <c r="I650" s="14"/>
      <c r="J650" s="17"/>
      <c r="K650" s="9"/>
      <c r="L650" s="15" t="s">
        <v>50</v>
      </c>
      <c r="M650" s="16" t="s">
        <v>51</v>
      </c>
      <c r="N650" s="14"/>
      <c r="O650" s="15" t="s">
        <v>52</v>
      </c>
      <c r="P650" s="17" t="s">
        <v>53</v>
      </c>
      <c r="Q650" s="15"/>
      <c r="R650" s="18" t="s">
        <v>51</v>
      </c>
      <c r="S650" s="19"/>
      <c r="T650" s="17" t="str">
        <f aca="false">IF(R650="維持",J650,IF(R650="排除","無關新聞事件",IFERROR(INDEX(事件規則!$B$2:$B$53,MATCH(S650,事件規則!$A$2:$A$53,0)),"")))</f>
        <v>無關新聞事件</v>
      </c>
      <c r="U650" s="20" t="n">
        <f aca="false">IF(R650="維持",K650,IF(R650="排除",0,IFERROR(INDEX(事件規則!$C$2:$C$53,MATCH(S650,事件規則!$A$2:$A$53,0)),"")))</f>
        <v>0</v>
      </c>
      <c r="V650" s="21"/>
      <c r="W650" s="22"/>
      <c r="X650" s="10" t="str">
        <f aca="false">IF(AND(R650="修改",S650=""),"請選新事件代碼",IF(AND(R650&lt;&gt;"修改",S650&lt;&gt;""),"只有「修改」才需填代碼",""))</f>
        <v/>
      </c>
      <c r="Y650" s="21"/>
      <c r="Z650" s="22"/>
      <c r="AA650" s="12" t="s">
        <v>2101</v>
      </c>
      <c r="AB650" s="24"/>
    </row>
    <row r="651" customFormat="false" ht="29.85" hidden="false" customHeight="false" outlineLevel="0" collapsed="false">
      <c r="A651" s="15" t="n">
        <v>650</v>
      </c>
      <c r="B651" s="9" t="s">
        <v>55</v>
      </c>
      <c r="C651" s="9" t="s">
        <v>1318</v>
      </c>
      <c r="D651" s="10" t="s">
        <v>1319</v>
      </c>
      <c r="E651" s="11" t="s">
        <v>2102</v>
      </c>
      <c r="F651" s="17"/>
      <c r="G651" s="12" t="s">
        <v>2033</v>
      </c>
      <c r="H651" s="13" t="n">
        <v>-0.04</v>
      </c>
      <c r="I651" s="14"/>
      <c r="J651" s="17"/>
      <c r="K651" s="9"/>
      <c r="L651" s="15" t="s">
        <v>50</v>
      </c>
      <c r="M651" s="16" t="s">
        <v>51</v>
      </c>
      <c r="N651" s="14"/>
      <c r="O651" s="15" t="s">
        <v>52</v>
      </c>
      <c r="P651" s="17" t="s">
        <v>53</v>
      </c>
      <c r="Q651" s="15"/>
      <c r="R651" s="18" t="s">
        <v>51</v>
      </c>
      <c r="S651" s="19"/>
      <c r="T651" s="17" t="str">
        <f aca="false">IF(R651="維持",J651,IF(R651="排除","無關新聞事件",IFERROR(INDEX(事件規則!$B$2:$B$53,MATCH(S651,事件規則!$A$2:$A$53,0)),"")))</f>
        <v>無關新聞事件</v>
      </c>
      <c r="U651" s="20" t="n">
        <f aca="false">IF(R651="維持",K651,IF(R651="排除",0,IFERROR(INDEX(事件規則!$C$2:$C$53,MATCH(S651,事件規則!$A$2:$A$53,0)),"")))</f>
        <v>0</v>
      </c>
      <c r="V651" s="21"/>
      <c r="W651" s="22"/>
      <c r="X651" s="10" t="str">
        <f aca="false">IF(AND(R651="修改",S651=""),"請選新事件代碼",IF(AND(R651&lt;&gt;"修改",S651&lt;&gt;""),"只有「修改」才需填代碼",""))</f>
        <v/>
      </c>
      <c r="Y651" s="21"/>
      <c r="Z651" s="22"/>
      <c r="AA651" s="12" t="s">
        <v>2103</v>
      </c>
      <c r="AB651" s="24"/>
    </row>
    <row r="652" customFormat="false" ht="29.85" hidden="false" customHeight="false" outlineLevel="0" collapsed="false">
      <c r="A652" s="15" t="n">
        <v>651</v>
      </c>
      <c r="B652" s="9" t="s">
        <v>55</v>
      </c>
      <c r="C652" s="9" t="s">
        <v>315</v>
      </c>
      <c r="D652" s="10" t="s">
        <v>316</v>
      </c>
      <c r="E652" s="11" t="s">
        <v>2104</v>
      </c>
      <c r="F652" s="17"/>
      <c r="G652" s="12" t="s">
        <v>105</v>
      </c>
      <c r="H652" s="13" t="n">
        <v>-0.04</v>
      </c>
      <c r="I652" s="14"/>
      <c r="J652" s="17"/>
      <c r="K652" s="9"/>
      <c r="L652" s="15" t="s">
        <v>50</v>
      </c>
      <c r="M652" s="16" t="s">
        <v>51</v>
      </c>
      <c r="N652" s="14"/>
      <c r="O652" s="15" t="s">
        <v>52</v>
      </c>
      <c r="P652" s="17" t="s">
        <v>53</v>
      </c>
      <c r="Q652" s="15"/>
      <c r="R652" s="18" t="s">
        <v>51</v>
      </c>
      <c r="S652" s="19"/>
      <c r="T652" s="17" t="str">
        <f aca="false">IF(R652="維持",J652,IF(R652="排除","無關新聞事件",IFERROR(INDEX(事件規則!$B$2:$B$53,MATCH(S652,事件規則!$A$2:$A$53,0)),"")))</f>
        <v>無關新聞事件</v>
      </c>
      <c r="U652" s="20" t="n">
        <f aca="false">IF(R652="維持",K652,IF(R652="排除",0,IFERROR(INDEX(事件規則!$C$2:$C$53,MATCH(S652,事件規則!$A$2:$A$53,0)),"")))</f>
        <v>0</v>
      </c>
      <c r="V652" s="21"/>
      <c r="W652" s="22"/>
      <c r="X652" s="10" t="str">
        <f aca="false">IF(AND(R652="修改",S652=""),"請選新事件代碼",IF(AND(R652&lt;&gt;"修改",S652&lt;&gt;""),"只有「修改」才需填代碼",""))</f>
        <v/>
      </c>
      <c r="Y652" s="21"/>
      <c r="Z652" s="22"/>
      <c r="AA652" s="12" t="s">
        <v>2105</v>
      </c>
      <c r="AB652" s="24"/>
    </row>
    <row r="653" customFormat="false" ht="29.85" hidden="false" customHeight="false" outlineLevel="0" collapsed="false">
      <c r="A653" s="15" t="n">
        <v>652</v>
      </c>
      <c r="B653" s="9" t="s">
        <v>55</v>
      </c>
      <c r="C653" s="9" t="s">
        <v>1920</v>
      </c>
      <c r="D653" s="10" t="s">
        <v>1921</v>
      </c>
      <c r="E653" s="11" t="s">
        <v>2106</v>
      </c>
      <c r="F653" s="17"/>
      <c r="G653" s="12" t="s">
        <v>49</v>
      </c>
      <c r="H653" s="13" t="n">
        <v>-0.04</v>
      </c>
      <c r="I653" s="14"/>
      <c r="J653" s="17"/>
      <c r="K653" s="9"/>
      <c r="L653" s="15" t="s">
        <v>50</v>
      </c>
      <c r="M653" s="16" t="s">
        <v>51</v>
      </c>
      <c r="N653" s="14"/>
      <c r="O653" s="15" t="s">
        <v>52</v>
      </c>
      <c r="P653" s="17" t="s">
        <v>53</v>
      </c>
      <c r="Q653" s="15"/>
      <c r="R653" s="18" t="s">
        <v>51</v>
      </c>
      <c r="S653" s="19"/>
      <c r="T653" s="17" t="str">
        <f aca="false">IF(R653="維持",J653,IF(R653="排除","無關新聞事件",IFERROR(INDEX(事件規則!$B$2:$B$53,MATCH(S653,事件規則!$A$2:$A$53,0)),"")))</f>
        <v>無關新聞事件</v>
      </c>
      <c r="U653" s="20" t="n">
        <f aca="false">IF(R653="維持",K653,IF(R653="排除",0,IFERROR(INDEX(事件規則!$C$2:$C$53,MATCH(S653,事件規則!$A$2:$A$53,0)),"")))</f>
        <v>0</v>
      </c>
      <c r="V653" s="21"/>
      <c r="W653" s="22"/>
      <c r="X653" s="10" t="str">
        <f aca="false">IF(AND(R653="修改",S653=""),"請選新事件代碼",IF(AND(R653&lt;&gt;"修改",S653&lt;&gt;""),"只有「修改」才需填代碼",""))</f>
        <v/>
      </c>
      <c r="Y653" s="21"/>
      <c r="Z653" s="22"/>
      <c r="AA653" s="12" t="s">
        <v>2107</v>
      </c>
      <c r="AB653" s="24"/>
    </row>
    <row r="654" customFormat="false" ht="29.85" hidden="false" customHeight="false" outlineLevel="0" collapsed="false">
      <c r="A654" s="15" t="n">
        <v>653</v>
      </c>
      <c r="B654" s="9" t="s">
        <v>55</v>
      </c>
      <c r="C654" s="9" t="s">
        <v>1318</v>
      </c>
      <c r="D654" s="10" t="s">
        <v>1319</v>
      </c>
      <c r="E654" s="11" t="s">
        <v>2108</v>
      </c>
      <c r="F654" s="17"/>
      <c r="G654" s="12" t="s">
        <v>2033</v>
      </c>
      <c r="H654" s="13" t="n">
        <v>-0.04</v>
      </c>
      <c r="I654" s="14"/>
      <c r="J654" s="17"/>
      <c r="K654" s="9"/>
      <c r="L654" s="15" t="s">
        <v>50</v>
      </c>
      <c r="M654" s="16" t="s">
        <v>51</v>
      </c>
      <c r="N654" s="14"/>
      <c r="O654" s="15" t="s">
        <v>52</v>
      </c>
      <c r="P654" s="17" t="s">
        <v>53</v>
      </c>
      <c r="Q654" s="15"/>
      <c r="R654" s="18" t="s">
        <v>51</v>
      </c>
      <c r="S654" s="19"/>
      <c r="T654" s="17" t="str">
        <f aca="false">IF(R654="維持",J654,IF(R654="排除","無關新聞事件",IFERROR(INDEX(事件規則!$B$2:$B$53,MATCH(S654,事件規則!$A$2:$A$53,0)),"")))</f>
        <v>無關新聞事件</v>
      </c>
      <c r="U654" s="20" t="n">
        <f aca="false">IF(R654="維持",K654,IF(R654="排除",0,IFERROR(INDEX(事件規則!$C$2:$C$53,MATCH(S654,事件規則!$A$2:$A$53,0)),"")))</f>
        <v>0</v>
      </c>
      <c r="V654" s="21"/>
      <c r="W654" s="22"/>
      <c r="X654" s="10" t="str">
        <f aca="false">IF(AND(R654="修改",S654=""),"請選新事件代碼",IF(AND(R654&lt;&gt;"修改",S654&lt;&gt;""),"只有「修改」才需填代碼",""))</f>
        <v/>
      </c>
      <c r="Y654" s="21"/>
      <c r="Z654" s="22"/>
      <c r="AA654" s="12" t="s">
        <v>2109</v>
      </c>
      <c r="AB654" s="24"/>
    </row>
    <row r="655" customFormat="false" ht="29.85" hidden="false" customHeight="false" outlineLevel="0" collapsed="false">
      <c r="A655" s="15" t="n">
        <v>654</v>
      </c>
      <c r="B655" s="9" t="s">
        <v>55</v>
      </c>
      <c r="C655" s="9" t="s">
        <v>303</v>
      </c>
      <c r="D655" s="10" t="s">
        <v>304</v>
      </c>
      <c r="E655" s="11" t="s">
        <v>2110</v>
      </c>
      <c r="F655" s="17"/>
      <c r="G655" s="12" t="s">
        <v>1136</v>
      </c>
      <c r="H655" s="13" t="n">
        <v>-0.04</v>
      </c>
      <c r="I655" s="14"/>
      <c r="J655" s="17"/>
      <c r="K655" s="9"/>
      <c r="L655" s="15" t="s">
        <v>50</v>
      </c>
      <c r="M655" s="16" t="s">
        <v>51</v>
      </c>
      <c r="N655" s="14"/>
      <c r="O655" s="15" t="s">
        <v>52</v>
      </c>
      <c r="P655" s="17" t="s">
        <v>53</v>
      </c>
      <c r="Q655" s="15"/>
      <c r="R655" s="18" t="s">
        <v>51</v>
      </c>
      <c r="S655" s="19"/>
      <c r="T655" s="17" t="str">
        <f aca="false">IF(R655="維持",J655,IF(R655="排除","無關新聞事件",IFERROR(INDEX(事件規則!$B$2:$B$53,MATCH(S655,事件規則!$A$2:$A$53,0)),"")))</f>
        <v>無關新聞事件</v>
      </c>
      <c r="U655" s="20" t="n">
        <f aca="false">IF(R655="維持",K655,IF(R655="排除",0,IFERROR(INDEX(事件規則!$C$2:$C$53,MATCH(S655,事件規則!$A$2:$A$53,0)),"")))</f>
        <v>0</v>
      </c>
      <c r="V655" s="21"/>
      <c r="W655" s="22"/>
      <c r="X655" s="10" t="str">
        <f aca="false">IF(AND(R655="修改",S655=""),"請選新事件代碼",IF(AND(R655&lt;&gt;"修改",S655&lt;&gt;""),"只有「修改」才需填代碼",""))</f>
        <v/>
      </c>
      <c r="Y655" s="21"/>
      <c r="Z655" s="22"/>
      <c r="AA655" s="12" t="s">
        <v>2111</v>
      </c>
      <c r="AB655" s="24"/>
    </row>
    <row r="656" customFormat="false" ht="29.85" hidden="false" customHeight="false" outlineLevel="0" collapsed="false">
      <c r="A656" s="15" t="n">
        <v>655</v>
      </c>
      <c r="B656" s="9" t="s">
        <v>55</v>
      </c>
      <c r="C656" s="9" t="s">
        <v>118</v>
      </c>
      <c r="D656" s="10" t="s">
        <v>119</v>
      </c>
      <c r="E656" s="11" t="s">
        <v>2112</v>
      </c>
      <c r="F656" s="17"/>
      <c r="G656" s="12" t="s">
        <v>548</v>
      </c>
      <c r="H656" s="13" t="n">
        <v>-0.04</v>
      </c>
      <c r="I656" s="14"/>
      <c r="J656" s="17"/>
      <c r="K656" s="9"/>
      <c r="L656" s="15" t="s">
        <v>50</v>
      </c>
      <c r="M656" s="16" t="s">
        <v>51</v>
      </c>
      <c r="N656" s="14"/>
      <c r="O656" s="15" t="s">
        <v>52</v>
      </c>
      <c r="P656" s="17" t="s">
        <v>53</v>
      </c>
      <c r="Q656" s="15"/>
      <c r="R656" s="18" t="s">
        <v>51</v>
      </c>
      <c r="S656" s="19"/>
      <c r="T656" s="17" t="str">
        <f aca="false">IF(R656="維持",J656,IF(R656="排除","無關新聞事件",IFERROR(INDEX(事件規則!$B$2:$B$53,MATCH(S656,事件規則!$A$2:$A$53,0)),"")))</f>
        <v>無關新聞事件</v>
      </c>
      <c r="U656" s="20" t="n">
        <f aca="false">IF(R656="維持",K656,IF(R656="排除",0,IFERROR(INDEX(事件規則!$C$2:$C$53,MATCH(S656,事件規則!$A$2:$A$53,0)),"")))</f>
        <v>0</v>
      </c>
      <c r="V656" s="21"/>
      <c r="W656" s="22"/>
      <c r="X656" s="10" t="str">
        <f aca="false">IF(AND(R656="修改",S656=""),"請選新事件代碼",IF(AND(R656&lt;&gt;"修改",S656&lt;&gt;""),"只有「修改」才需填代碼",""))</f>
        <v/>
      </c>
      <c r="Y656" s="21"/>
      <c r="Z656" s="22"/>
      <c r="AA656" s="12" t="s">
        <v>2113</v>
      </c>
      <c r="AB656" s="24"/>
    </row>
    <row r="657" customFormat="false" ht="29.85" hidden="false" customHeight="false" outlineLevel="0" collapsed="false">
      <c r="A657" s="15" t="n">
        <v>656</v>
      </c>
      <c r="B657" s="9" t="s">
        <v>112</v>
      </c>
      <c r="C657" s="9" t="s">
        <v>563</v>
      </c>
      <c r="D657" s="10" t="s">
        <v>564</v>
      </c>
      <c r="E657" s="11" t="s">
        <v>2114</v>
      </c>
      <c r="F657" s="17"/>
      <c r="G657" s="12" t="s">
        <v>49</v>
      </c>
      <c r="H657" s="13" t="n">
        <v>-0.04</v>
      </c>
      <c r="I657" s="14"/>
      <c r="J657" s="17"/>
      <c r="K657" s="9"/>
      <c r="L657" s="15" t="s">
        <v>50</v>
      </c>
      <c r="M657" s="16" t="s">
        <v>51</v>
      </c>
      <c r="N657" s="14"/>
      <c r="O657" s="15" t="s">
        <v>52</v>
      </c>
      <c r="P657" s="17" t="s">
        <v>53</v>
      </c>
      <c r="Q657" s="15"/>
      <c r="R657" s="18" t="s">
        <v>51</v>
      </c>
      <c r="S657" s="19"/>
      <c r="T657" s="17" t="str">
        <f aca="false">IF(R657="維持",J657,IF(R657="排除","無關新聞事件",IFERROR(INDEX(事件規則!$B$2:$B$53,MATCH(S657,事件規則!$A$2:$A$53,0)),"")))</f>
        <v>無關新聞事件</v>
      </c>
      <c r="U657" s="20" t="n">
        <f aca="false">IF(R657="維持",K657,IF(R657="排除",0,IFERROR(INDEX(事件規則!$C$2:$C$53,MATCH(S657,事件規則!$A$2:$A$53,0)),"")))</f>
        <v>0</v>
      </c>
      <c r="V657" s="21"/>
      <c r="W657" s="22"/>
      <c r="X657" s="10" t="str">
        <f aca="false">IF(AND(R657="修改",S657=""),"請選新事件代碼",IF(AND(R657&lt;&gt;"修改",S657&lt;&gt;""),"只有「修改」才需填代碼",""))</f>
        <v/>
      </c>
      <c r="Y657" s="21"/>
      <c r="Z657" s="22"/>
      <c r="AA657" s="12" t="s">
        <v>2115</v>
      </c>
      <c r="AB657" s="24"/>
    </row>
    <row r="658" customFormat="false" ht="29.85" hidden="false" customHeight="false" outlineLevel="0" collapsed="false">
      <c r="A658" s="15" t="n">
        <v>657</v>
      </c>
      <c r="B658" s="9" t="s">
        <v>112</v>
      </c>
      <c r="C658" s="9" t="s">
        <v>550</v>
      </c>
      <c r="D658" s="10" t="s">
        <v>551</v>
      </c>
      <c r="E658" s="11" t="s">
        <v>2116</v>
      </c>
      <c r="F658" s="17"/>
      <c r="G658" s="12" t="s">
        <v>1136</v>
      </c>
      <c r="H658" s="13" t="n">
        <v>-0.04</v>
      </c>
      <c r="I658" s="14"/>
      <c r="J658" s="17"/>
      <c r="K658" s="9"/>
      <c r="L658" s="15" t="s">
        <v>50</v>
      </c>
      <c r="M658" s="16" t="s">
        <v>51</v>
      </c>
      <c r="N658" s="14"/>
      <c r="O658" s="15" t="s">
        <v>52</v>
      </c>
      <c r="P658" s="17" t="s">
        <v>53</v>
      </c>
      <c r="Q658" s="15"/>
      <c r="R658" s="18" t="s">
        <v>51</v>
      </c>
      <c r="S658" s="19"/>
      <c r="T658" s="17" t="str">
        <f aca="false">IF(R658="維持",J658,IF(R658="排除","無關新聞事件",IFERROR(INDEX(事件規則!$B$2:$B$53,MATCH(S658,事件規則!$A$2:$A$53,0)),"")))</f>
        <v>無關新聞事件</v>
      </c>
      <c r="U658" s="20" t="n">
        <f aca="false">IF(R658="維持",K658,IF(R658="排除",0,IFERROR(INDEX(事件規則!$C$2:$C$53,MATCH(S658,事件規則!$A$2:$A$53,0)),"")))</f>
        <v>0</v>
      </c>
      <c r="V658" s="21"/>
      <c r="W658" s="22"/>
      <c r="X658" s="10" t="str">
        <f aca="false">IF(AND(R658="修改",S658=""),"請選新事件代碼",IF(AND(R658&lt;&gt;"修改",S658&lt;&gt;""),"只有「修改」才需填代碼",""))</f>
        <v/>
      </c>
      <c r="Y658" s="21"/>
      <c r="Z658" s="22"/>
      <c r="AA658" s="12" t="s">
        <v>2117</v>
      </c>
      <c r="AB658" s="24"/>
    </row>
    <row r="659" customFormat="false" ht="29.85" hidden="false" customHeight="false" outlineLevel="0" collapsed="false">
      <c r="A659" s="15" t="n">
        <v>658</v>
      </c>
      <c r="B659" s="9" t="s">
        <v>112</v>
      </c>
      <c r="C659" s="9" t="s">
        <v>107</v>
      </c>
      <c r="D659" s="10" t="s">
        <v>108</v>
      </c>
      <c r="E659" s="11" t="s">
        <v>2118</v>
      </c>
      <c r="F659" s="17"/>
      <c r="G659" s="12" t="s">
        <v>176</v>
      </c>
      <c r="H659" s="13" t="n">
        <v>-0.04</v>
      </c>
      <c r="I659" s="14"/>
      <c r="J659" s="17"/>
      <c r="K659" s="9"/>
      <c r="L659" s="15" t="s">
        <v>50</v>
      </c>
      <c r="M659" s="16" t="s">
        <v>51</v>
      </c>
      <c r="N659" s="14"/>
      <c r="O659" s="15" t="s">
        <v>52</v>
      </c>
      <c r="P659" s="17" t="s">
        <v>53</v>
      </c>
      <c r="Q659" s="15"/>
      <c r="R659" s="18" t="s">
        <v>51</v>
      </c>
      <c r="S659" s="19"/>
      <c r="T659" s="17" t="str">
        <f aca="false">IF(R659="維持",J659,IF(R659="排除","無關新聞事件",IFERROR(INDEX(事件規則!$B$2:$B$53,MATCH(S659,事件規則!$A$2:$A$53,0)),"")))</f>
        <v>無關新聞事件</v>
      </c>
      <c r="U659" s="20" t="n">
        <f aca="false">IF(R659="維持",K659,IF(R659="排除",0,IFERROR(INDEX(事件規則!$C$2:$C$53,MATCH(S659,事件規則!$A$2:$A$53,0)),"")))</f>
        <v>0</v>
      </c>
      <c r="V659" s="21"/>
      <c r="W659" s="22"/>
      <c r="X659" s="10" t="str">
        <f aca="false">IF(AND(R659="修改",S659=""),"請選新事件代碼",IF(AND(R659&lt;&gt;"修改",S659&lt;&gt;""),"只有「修改」才需填代碼",""))</f>
        <v/>
      </c>
      <c r="Y659" s="21"/>
      <c r="Z659" s="22"/>
      <c r="AA659" s="12" t="s">
        <v>2119</v>
      </c>
      <c r="AB659" s="24"/>
    </row>
    <row r="660" customFormat="false" ht="29.85" hidden="false" customHeight="false" outlineLevel="0" collapsed="false">
      <c r="A660" s="15" t="n">
        <v>659</v>
      </c>
      <c r="B660" s="9" t="s">
        <v>45</v>
      </c>
      <c r="C660" s="9" t="s">
        <v>654</v>
      </c>
      <c r="D660" s="10" t="s">
        <v>655</v>
      </c>
      <c r="E660" s="11" t="s">
        <v>2120</v>
      </c>
      <c r="F660" s="17"/>
      <c r="G660" s="12" t="s">
        <v>949</v>
      </c>
      <c r="H660" s="13" t="n">
        <v>-0.04</v>
      </c>
      <c r="I660" s="14"/>
      <c r="J660" s="17"/>
      <c r="K660" s="9"/>
      <c r="L660" s="15" t="s">
        <v>50</v>
      </c>
      <c r="M660" s="16" t="s">
        <v>51</v>
      </c>
      <c r="N660" s="14"/>
      <c r="O660" s="15" t="s">
        <v>52</v>
      </c>
      <c r="P660" s="17" t="s">
        <v>53</v>
      </c>
      <c r="Q660" s="15"/>
      <c r="R660" s="18" t="s">
        <v>51</v>
      </c>
      <c r="S660" s="19"/>
      <c r="T660" s="17" t="str">
        <f aca="false">IF(R660="維持",J660,IF(R660="排除","無關新聞事件",IFERROR(INDEX(事件規則!$B$2:$B$53,MATCH(S660,事件規則!$A$2:$A$53,0)),"")))</f>
        <v>無關新聞事件</v>
      </c>
      <c r="U660" s="20" t="n">
        <f aca="false">IF(R660="維持",K660,IF(R660="排除",0,IFERROR(INDEX(事件規則!$C$2:$C$53,MATCH(S660,事件規則!$A$2:$A$53,0)),"")))</f>
        <v>0</v>
      </c>
      <c r="V660" s="21"/>
      <c r="W660" s="22"/>
      <c r="X660" s="10" t="str">
        <f aca="false">IF(AND(R660="修改",S660=""),"請選新事件代碼",IF(AND(R660&lt;&gt;"修改",S660&lt;&gt;""),"只有「修改」才需填代碼",""))</f>
        <v/>
      </c>
      <c r="Y660" s="21"/>
      <c r="Z660" s="22"/>
      <c r="AA660" s="12" t="s">
        <v>2121</v>
      </c>
      <c r="AB660" s="24"/>
    </row>
    <row r="661" customFormat="false" ht="29.85" hidden="false" customHeight="false" outlineLevel="0" collapsed="false">
      <c r="A661" s="15" t="n">
        <v>660</v>
      </c>
      <c r="B661" s="9" t="s">
        <v>112</v>
      </c>
      <c r="C661" s="9" t="s">
        <v>1874</v>
      </c>
      <c r="D661" s="10" t="s">
        <v>1875</v>
      </c>
      <c r="E661" s="11" t="s">
        <v>2122</v>
      </c>
      <c r="F661" s="17"/>
      <c r="G661" s="12" t="s">
        <v>2033</v>
      </c>
      <c r="H661" s="13" t="n">
        <v>-0.04</v>
      </c>
      <c r="I661" s="14"/>
      <c r="J661" s="17"/>
      <c r="K661" s="9"/>
      <c r="L661" s="15" t="s">
        <v>50</v>
      </c>
      <c r="M661" s="16" t="s">
        <v>51</v>
      </c>
      <c r="N661" s="14"/>
      <c r="O661" s="15" t="s">
        <v>52</v>
      </c>
      <c r="P661" s="17" t="s">
        <v>53</v>
      </c>
      <c r="Q661" s="15"/>
      <c r="R661" s="18" t="s">
        <v>51</v>
      </c>
      <c r="S661" s="19"/>
      <c r="T661" s="17" t="str">
        <f aca="false">IF(R661="維持",J661,IF(R661="排除","無關新聞事件",IFERROR(INDEX(事件規則!$B$2:$B$53,MATCH(S661,事件規則!$A$2:$A$53,0)),"")))</f>
        <v>無關新聞事件</v>
      </c>
      <c r="U661" s="20" t="n">
        <f aca="false">IF(R661="維持",K661,IF(R661="排除",0,IFERROR(INDEX(事件規則!$C$2:$C$53,MATCH(S661,事件規則!$A$2:$A$53,0)),"")))</f>
        <v>0</v>
      </c>
      <c r="V661" s="21"/>
      <c r="W661" s="22"/>
      <c r="X661" s="10" t="str">
        <f aca="false">IF(AND(R661="修改",S661=""),"請選新事件代碼",IF(AND(R661&lt;&gt;"修改",S661&lt;&gt;""),"只有「修改」才需填代碼",""))</f>
        <v/>
      </c>
      <c r="Y661" s="21"/>
      <c r="Z661" s="22"/>
      <c r="AA661" s="12" t="s">
        <v>2123</v>
      </c>
      <c r="AB661" s="24"/>
    </row>
    <row r="662" customFormat="false" ht="29.85" hidden="false" customHeight="false" outlineLevel="0" collapsed="false">
      <c r="A662" s="15" t="n">
        <v>661</v>
      </c>
      <c r="B662" s="9" t="s">
        <v>112</v>
      </c>
      <c r="C662" s="9" t="s">
        <v>2124</v>
      </c>
      <c r="D662" s="10" t="s">
        <v>2125</v>
      </c>
      <c r="E662" s="11" t="s">
        <v>2126</v>
      </c>
      <c r="F662" s="17"/>
      <c r="G662" s="12" t="s">
        <v>949</v>
      </c>
      <c r="H662" s="13" t="n">
        <v>-0.04</v>
      </c>
      <c r="I662" s="14"/>
      <c r="J662" s="17"/>
      <c r="K662" s="9"/>
      <c r="L662" s="15" t="s">
        <v>50</v>
      </c>
      <c r="M662" s="16" t="s">
        <v>51</v>
      </c>
      <c r="N662" s="14"/>
      <c r="O662" s="15" t="s">
        <v>52</v>
      </c>
      <c r="P662" s="17" t="s">
        <v>53</v>
      </c>
      <c r="Q662" s="15"/>
      <c r="R662" s="18" t="s">
        <v>51</v>
      </c>
      <c r="S662" s="19"/>
      <c r="T662" s="17" t="str">
        <f aca="false">IF(R662="維持",J662,IF(R662="排除","無關新聞事件",IFERROR(INDEX(事件規則!$B$2:$B$53,MATCH(S662,事件規則!$A$2:$A$53,0)),"")))</f>
        <v>無關新聞事件</v>
      </c>
      <c r="U662" s="20" t="n">
        <f aca="false">IF(R662="維持",K662,IF(R662="排除",0,IFERROR(INDEX(事件規則!$C$2:$C$53,MATCH(S662,事件規則!$A$2:$A$53,0)),"")))</f>
        <v>0</v>
      </c>
      <c r="V662" s="21"/>
      <c r="W662" s="22"/>
      <c r="X662" s="10" t="str">
        <f aca="false">IF(AND(R662="修改",S662=""),"請選新事件代碼",IF(AND(R662&lt;&gt;"修改",S662&lt;&gt;""),"只有「修改」才需填代碼",""))</f>
        <v/>
      </c>
      <c r="Y662" s="21"/>
      <c r="Z662" s="22"/>
      <c r="AA662" s="12" t="s">
        <v>2127</v>
      </c>
      <c r="AB662" s="24"/>
    </row>
    <row r="663" customFormat="false" ht="29.85" hidden="false" customHeight="false" outlineLevel="0" collapsed="false">
      <c r="A663" s="15" t="n">
        <v>662</v>
      </c>
      <c r="B663" s="9" t="s">
        <v>112</v>
      </c>
      <c r="C663" s="9" t="s">
        <v>1334</v>
      </c>
      <c r="D663" s="10" t="s">
        <v>1335</v>
      </c>
      <c r="E663" s="11" t="s">
        <v>2128</v>
      </c>
      <c r="F663" s="17"/>
      <c r="G663" s="12" t="s">
        <v>105</v>
      </c>
      <c r="H663" s="13" t="n">
        <v>-0.04</v>
      </c>
      <c r="I663" s="14"/>
      <c r="J663" s="17"/>
      <c r="K663" s="9"/>
      <c r="L663" s="15" t="s">
        <v>50</v>
      </c>
      <c r="M663" s="16" t="s">
        <v>51</v>
      </c>
      <c r="N663" s="14"/>
      <c r="O663" s="15" t="s">
        <v>52</v>
      </c>
      <c r="P663" s="17" t="s">
        <v>53</v>
      </c>
      <c r="Q663" s="15"/>
      <c r="R663" s="18" t="s">
        <v>51</v>
      </c>
      <c r="S663" s="19"/>
      <c r="T663" s="17" t="str">
        <f aca="false">IF(R663="維持",J663,IF(R663="排除","無關新聞事件",IFERROR(INDEX(事件規則!$B$2:$B$53,MATCH(S663,事件規則!$A$2:$A$53,0)),"")))</f>
        <v>無關新聞事件</v>
      </c>
      <c r="U663" s="20" t="n">
        <f aca="false">IF(R663="維持",K663,IF(R663="排除",0,IFERROR(INDEX(事件規則!$C$2:$C$53,MATCH(S663,事件規則!$A$2:$A$53,0)),"")))</f>
        <v>0</v>
      </c>
      <c r="V663" s="21"/>
      <c r="W663" s="22"/>
      <c r="X663" s="10" t="str">
        <f aca="false">IF(AND(R663="修改",S663=""),"請選新事件代碼",IF(AND(R663&lt;&gt;"修改",S663&lt;&gt;""),"只有「修改」才需填代碼",""))</f>
        <v/>
      </c>
      <c r="Y663" s="21"/>
      <c r="Z663" s="22"/>
      <c r="AA663" s="12" t="s">
        <v>2129</v>
      </c>
      <c r="AB663" s="24"/>
    </row>
    <row r="664" customFormat="false" ht="29.85" hidden="false" customHeight="false" outlineLevel="0" collapsed="false">
      <c r="A664" s="15" t="n">
        <v>663</v>
      </c>
      <c r="B664" s="9" t="s">
        <v>112</v>
      </c>
      <c r="C664" s="9" t="s">
        <v>2130</v>
      </c>
      <c r="D664" s="10" t="s">
        <v>2131</v>
      </c>
      <c r="E664" s="11" t="s">
        <v>2132</v>
      </c>
      <c r="F664" s="17"/>
      <c r="G664" s="12" t="s">
        <v>105</v>
      </c>
      <c r="H664" s="13" t="n">
        <v>-0.04</v>
      </c>
      <c r="I664" s="14"/>
      <c r="J664" s="17"/>
      <c r="K664" s="9"/>
      <c r="L664" s="15" t="s">
        <v>50</v>
      </c>
      <c r="M664" s="16" t="s">
        <v>51</v>
      </c>
      <c r="N664" s="14"/>
      <c r="O664" s="15" t="s">
        <v>52</v>
      </c>
      <c r="P664" s="17" t="s">
        <v>53</v>
      </c>
      <c r="Q664" s="15"/>
      <c r="R664" s="18" t="s">
        <v>51</v>
      </c>
      <c r="S664" s="19"/>
      <c r="T664" s="17" t="str">
        <f aca="false">IF(R664="維持",J664,IF(R664="排除","無關新聞事件",IFERROR(INDEX(事件規則!$B$2:$B$53,MATCH(S664,事件規則!$A$2:$A$53,0)),"")))</f>
        <v>無關新聞事件</v>
      </c>
      <c r="U664" s="20" t="n">
        <f aca="false">IF(R664="維持",K664,IF(R664="排除",0,IFERROR(INDEX(事件規則!$C$2:$C$53,MATCH(S664,事件規則!$A$2:$A$53,0)),"")))</f>
        <v>0</v>
      </c>
      <c r="V664" s="21"/>
      <c r="W664" s="22"/>
      <c r="X664" s="10" t="str">
        <f aca="false">IF(AND(R664="修改",S664=""),"請選新事件代碼",IF(AND(R664&lt;&gt;"修改",S664&lt;&gt;""),"只有「修改」才需填代碼",""))</f>
        <v/>
      </c>
      <c r="Y664" s="21"/>
      <c r="Z664" s="22"/>
      <c r="AA664" s="12" t="s">
        <v>2133</v>
      </c>
      <c r="AB664" s="24"/>
    </row>
    <row r="665" customFormat="false" ht="29.85" hidden="false" customHeight="false" outlineLevel="0" collapsed="false">
      <c r="A665" s="15" t="n">
        <v>664</v>
      </c>
      <c r="B665" s="9" t="s">
        <v>45</v>
      </c>
      <c r="C665" s="9" t="s">
        <v>2134</v>
      </c>
      <c r="D665" s="10" t="s">
        <v>2135</v>
      </c>
      <c r="E665" s="11" t="s">
        <v>2136</v>
      </c>
      <c r="F665" s="17"/>
      <c r="G665" s="12" t="s">
        <v>176</v>
      </c>
      <c r="H665" s="13" t="n">
        <v>-0.04</v>
      </c>
      <c r="I665" s="14"/>
      <c r="J665" s="17"/>
      <c r="K665" s="9"/>
      <c r="L665" s="15" t="s">
        <v>50</v>
      </c>
      <c r="M665" s="16" t="s">
        <v>51</v>
      </c>
      <c r="N665" s="14"/>
      <c r="O665" s="15" t="s">
        <v>52</v>
      </c>
      <c r="P665" s="17" t="s">
        <v>53</v>
      </c>
      <c r="Q665" s="15"/>
      <c r="R665" s="18" t="s">
        <v>51</v>
      </c>
      <c r="S665" s="19"/>
      <c r="T665" s="17" t="str">
        <f aca="false">IF(R665="維持",J665,IF(R665="排除","無關新聞事件",IFERROR(INDEX(事件規則!$B$2:$B$53,MATCH(S665,事件規則!$A$2:$A$53,0)),"")))</f>
        <v>無關新聞事件</v>
      </c>
      <c r="U665" s="20" t="n">
        <f aca="false">IF(R665="維持",K665,IF(R665="排除",0,IFERROR(INDEX(事件規則!$C$2:$C$53,MATCH(S665,事件規則!$A$2:$A$53,0)),"")))</f>
        <v>0</v>
      </c>
      <c r="V665" s="21"/>
      <c r="W665" s="22"/>
      <c r="X665" s="10" t="str">
        <f aca="false">IF(AND(R665="修改",S665=""),"請選新事件代碼",IF(AND(R665&lt;&gt;"修改",S665&lt;&gt;""),"只有「修改」才需填代碼",""))</f>
        <v/>
      </c>
      <c r="Y665" s="21"/>
      <c r="Z665" s="22"/>
      <c r="AA665" s="12" t="s">
        <v>2137</v>
      </c>
      <c r="AB665" s="24"/>
    </row>
    <row r="666" customFormat="false" ht="29.85" hidden="false" customHeight="false" outlineLevel="0" collapsed="false">
      <c r="A666" s="15" t="n">
        <v>665</v>
      </c>
      <c r="B666" s="9" t="s">
        <v>81</v>
      </c>
      <c r="C666" s="9" t="s">
        <v>1629</v>
      </c>
      <c r="D666" s="10" t="s">
        <v>1630</v>
      </c>
      <c r="E666" s="11" t="s">
        <v>2138</v>
      </c>
      <c r="F666" s="17"/>
      <c r="G666" s="12" t="s">
        <v>949</v>
      </c>
      <c r="H666" s="13" t="n">
        <v>-0.04</v>
      </c>
      <c r="I666" s="14"/>
      <c r="J666" s="17"/>
      <c r="K666" s="9"/>
      <c r="L666" s="15" t="s">
        <v>50</v>
      </c>
      <c r="M666" s="16" t="s">
        <v>51</v>
      </c>
      <c r="N666" s="14"/>
      <c r="O666" s="15" t="s">
        <v>52</v>
      </c>
      <c r="P666" s="17" t="s">
        <v>53</v>
      </c>
      <c r="Q666" s="15"/>
      <c r="R666" s="18" t="s">
        <v>51</v>
      </c>
      <c r="S666" s="19"/>
      <c r="T666" s="17" t="str">
        <f aca="false">IF(R666="維持",J666,IF(R666="排除","無關新聞事件",IFERROR(INDEX(事件規則!$B$2:$B$53,MATCH(S666,事件規則!$A$2:$A$53,0)),"")))</f>
        <v>無關新聞事件</v>
      </c>
      <c r="U666" s="20" t="n">
        <f aca="false">IF(R666="維持",K666,IF(R666="排除",0,IFERROR(INDEX(事件規則!$C$2:$C$53,MATCH(S666,事件規則!$A$2:$A$53,0)),"")))</f>
        <v>0</v>
      </c>
      <c r="V666" s="21"/>
      <c r="W666" s="22"/>
      <c r="X666" s="10" t="str">
        <f aca="false">IF(AND(R666="修改",S666=""),"請選新事件代碼",IF(AND(R666&lt;&gt;"修改",S666&lt;&gt;""),"只有「修改」才需填代碼",""))</f>
        <v/>
      </c>
      <c r="Y666" s="21"/>
      <c r="Z666" s="22"/>
      <c r="AA666" s="12" t="s">
        <v>2139</v>
      </c>
      <c r="AB666" s="24"/>
    </row>
    <row r="667" customFormat="false" ht="29.85" hidden="false" customHeight="false" outlineLevel="0" collapsed="false">
      <c r="A667" s="15" t="n">
        <v>666</v>
      </c>
      <c r="B667" s="9" t="s">
        <v>45</v>
      </c>
      <c r="C667" s="9" t="s">
        <v>178</v>
      </c>
      <c r="D667" s="10" t="s">
        <v>179</v>
      </c>
      <c r="E667" s="11" t="s">
        <v>2140</v>
      </c>
      <c r="F667" s="17"/>
      <c r="G667" s="12" t="s">
        <v>1404</v>
      </c>
      <c r="H667" s="13" t="n">
        <v>-0.04</v>
      </c>
      <c r="I667" s="14"/>
      <c r="J667" s="17"/>
      <c r="K667" s="9"/>
      <c r="L667" s="15" t="s">
        <v>50</v>
      </c>
      <c r="M667" s="16" t="s">
        <v>51</v>
      </c>
      <c r="N667" s="14"/>
      <c r="O667" s="15" t="s">
        <v>52</v>
      </c>
      <c r="P667" s="17" t="s">
        <v>53</v>
      </c>
      <c r="Q667" s="15"/>
      <c r="R667" s="18" t="s">
        <v>51</v>
      </c>
      <c r="S667" s="19"/>
      <c r="T667" s="17" t="str">
        <f aca="false">IF(R667="維持",J667,IF(R667="排除","無關新聞事件",IFERROR(INDEX(事件規則!$B$2:$B$53,MATCH(S667,事件規則!$A$2:$A$53,0)),"")))</f>
        <v>無關新聞事件</v>
      </c>
      <c r="U667" s="20" t="n">
        <f aca="false">IF(R667="維持",K667,IF(R667="排除",0,IFERROR(INDEX(事件規則!$C$2:$C$53,MATCH(S667,事件規則!$A$2:$A$53,0)),"")))</f>
        <v>0</v>
      </c>
      <c r="V667" s="21"/>
      <c r="W667" s="22"/>
      <c r="X667" s="10" t="str">
        <f aca="false">IF(AND(R667="修改",S667=""),"請選新事件代碼",IF(AND(R667&lt;&gt;"修改",S667&lt;&gt;""),"只有「修改」才需填代碼",""))</f>
        <v/>
      </c>
      <c r="Y667" s="21"/>
      <c r="Z667" s="22"/>
      <c r="AA667" s="12" t="s">
        <v>2141</v>
      </c>
      <c r="AB667" s="24"/>
    </row>
    <row r="668" customFormat="false" ht="29.85" hidden="false" customHeight="false" outlineLevel="0" collapsed="false">
      <c r="A668" s="15" t="n">
        <v>667</v>
      </c>
      <c r="B668" s="9" t="s">
        <v>45</v>
      </c>
      <c r="C668" s="9" t="s">
        <v>2049</v>
      </c>
      <c r="D668" s="10" t="s">
        <v>2050</v>
      </c>
      <c r="E668" s="11" t="s">
        <v>2142</v>
      </c>
      <c r="F668" s="17"/>
      <c r="G668" s="12" t="s">
        <v>105</v>
      </c>
      <c r="H668" s="13" t="n">
        <v>-0.04</v>
      </c>
      <c r="I668" s="14"/>
      <c r="J668" s="17"/>
      <c r="K668" s="9"/>
      <c r="L668" s="15" t="s">
        <v>50</v>
      </c>
      <c r="M668" s="16" t="s">
        <v>51</v>
      </c>
      <c r="N668" s="14"/>
      <c r="O668" s="15" t="s">
        <v>52</v>
      </c>
      <c r="P668" s="17" t="s">
        <v>53</v>
      </c>
      <c r="Q668" s="15"/>
      <c r="R668" s="18" t="s">
        <v>51</v>
      </c>
      <c r="S668" s="19"/>
      <c r="T668" s="17" t="str">
        <f aca="false">IF(R668="維持",J668,IF(R668="排除","無關新聞事件",IFERROR(INDEX(事件規則!$B$2:$B$53,MATCH(S668,事件規則!$A$2:$A$53,0)),"")))</f>
        <v>無關新聞事件</v>
      </c>
      <c r="U668" s="20" t="n">
        <f aca="false">IF(R668="維持",K668,IF(R668="排除",0,IFERROR(INDEX(事件規則!$C$2:$C$53,MATCH(S668,事件規則!$A$2:$A$53,0)),"")))</f>
        <v>0</v>
      </c>
      <c r="V668" s="21"/>
      <c r="W668" s="22"/>
      <c r="X668" s="10" t="str">
        <f aca="false">IF(AND(R668="修改",S668=""),"請選新事件代碼",IF(AND(R668&lt;&gt;"修改",S668&lt;&gt;""),"只有「修改」才需填代碼",""))</f>
        <v/>
      </c>
      <c r="Y668" s="21"/>
      <c r="Z668" s="22"/>
      <c r="AA668" s="12" t="s">
        <v>2143</v>
      </c>
      <c r="AB668" s="24"/>
    </row>
    <row r="669" customFormat="false" ht="29.85" hidden="false" customHeight="false" outlineLevel="0" collapsed="false">
      <c r="A669" s="15" t="n">
        <v>668</v>
      </c>
      <c r="B669" s="9" t="s">
        <v>112</v>
      </c>
      <c r="C669" s="9" t="s">
        <v>654</v>
      </c>
      <c r="D669" s="10" t="s">
        <v>655</v>
      </c>
      <c r="E669" s="11" t="s">
        <v>2144</v>
      </c>
      <c r="F669" s="17"/>
      <c r="G669" s="12" t="s">
        <v>949</v>
      </c>
      <c r="H669" s="13" t="n">
        <v>-0.04</v>
      </c>
      <c r="I669" s="14"/>
      <c r="J669" s="17"/>
      <c r="K669" s="9"/>
      <c r="L669" s="15" t="s">
        <v>50</v>
      </c>
      <c r="M669" s="16" t="s">
        <v>51</v>
      </c>
      <c r="N669" s="14"/>
      <c r="O669" s="15" t="s">
        <v>52</v>
      </c>
      <c r="P669" s="17" t="s">
        <v>53</v>
      </c>
      <c r="Q669" s="15"/>
      <c r="R669" s="18" t="s">
        <v>51</v>
      </c>
      <c r="S669" s="19"/>
      <c r="T669" s="17" t="str">
        <f aca="false">IF(R669="維持",J669,IF(R669="排除","無關新聞事件",IFERROR(INDEX(事件規則!$B$2:$B$53,MATCH(S669,事件規則!$A$2:$A$53,0)),"")))</f>
        <v>無關新聞事件</v>
      </c>
      <c r="U669" s="20" t="n">
        <f aca="false">IF(R669="維持",K669,IF(R669="排除",0,IFERROR(INDEX(事件規則!$C$2:$C$53,MATCH(S669,事件規則!$A$2:$A$53,0)),"")))</f>
        <v>0</v>
      </c>
      <c r="V669" s="21"/>
      <c r="W669" s="22"/>
      <c r="X669" s="10" t="str">
        <f aca="false">IF(AND(R669="修改",S669=""),"請選新事件代碼",IF(AND(R669&lt;&gt;"修改",S669&lt;&gt;""),"只有「修改」才需填代碼",""))</f>
        <v/>
      </c>
      <c r="Y669" s="21"/>
      <c r="Z669" s="22"/>
      <c r="AA669" s="12" t="s">
        <v>2145</v>
      </c>
      <c r="AB669" s="24"/>
    </row>
    <row r="670" customFormat="false" ht="29.85" hidden="false" customHeight="false" outlineLevel="0" collapsed="false">
      <c r="A670" s="15" t="n">
        <v>669</v>
      </c>
      <c r="B670" s="9" t="s">
        <v>112</v>
      </c>
      <c r="C670" s="9" t="s">
        <v>2146</v>
      </c>
      <c r="D670" s="10" t="s">
        <v>2147</v>
      </c>
      <c r="E670" s="11" t="s">
        <v>2148</v>
      </c>
      <c r="F670" s="17"/>
      <c r="G670" s="12" t="s">
        <v>105</v>
      </c>
      <c r="H670" s="13" t="n">
        <v>-0.04</v>
      </c>
      <c r="I670" s="14"/>
      <c r="J670" s="17"/>
      <c r="K670" s="9"/>
      <c r="L670" s="15" t="s">
        <v>50</v>
      </c>
      <c r="M670" s="16" t="s">
        <v>51</v>
      </c>
      <c r="N670" s="14"/>
      <c r="O670" s="15" t="s">
        <v>52</v>
      </c>
      <c r="P670" s="17" t="s">
        <v>53</v>
      </c>
      <c r="Q670" s="15"/>
      <c r="R670" s="18" t="s">
        <v>51</v>
      </c>
      <c r="S670" s="19"/>
      <c r="T670" s="17" t="str">
        <f aca="false">IF(R670="維持",J670,IF(R670="排除","無關新聞事件",IFERROR(INDEX(事件規則!$B$2:$B$53,MATCH(S670,事件規則!$A$2:$A$53,0)),"")))</f>
        <v>無關新聞事件</v>
      </c>
      <c r="U670" s="20" t="n">
        <f aca="false">IF(R670="維持",K670,IF(R670="排除",0,IFERROR(INDEX(事件規則!$C$2:$C$53,MATCH(S670,事件規則!$A$2:$A$53,0)),"")))</f>
        <v>0</v>
      </c>
      <c r="V670" s="21"/>
      <c r="W670" s="22"/>
      <c r="X670" s="10" t="str">
        <f aca="false">IF(AND(R670="修改",S670=""),"請選新事件代碼",IF(AND(R670&lt;&gt;"修改",S670&lt;&gt;""),"只有「修改」才需填代碼",""))</f>
        <v/>
      </c>
      <c r="Y670" s="21"/>
      <c r="Z670" s="22"/>
      <c r="AA670" s="12" t="s">
        <v>2149</v>
      </c>
      <c r="AB670" s="24"/>
    </row>
    <row r="671" customFormat="false" ht="29.85" hidden="false" customHeight="false" outlineLevel="0" collapsed="false">
      <c r="A671" s="15" t="n">
        <v>670</v>
      </c>
      <c r="B671" s="9" t="s">
        <v>112</v>
      </c>
      <c r="C671" s="9" t="s">
        <v>344</v>
      </c>
      <c r="D671" s="10" t="s">
        <v>345</v>
      </c>
      <c r="E671" s="11" t="s">
        <v>2150</v>
      </c>
      <c r="F671" s="17"/>
      <c r="G671" s="12" t="s">
        <v>1136</v>
      </c>
      <c r="H671" s="13" t="n">
        <v>-0.04</v>
      </c>
      <c r="I671" s="14"/>
      <c r="J671" s="17"/>
      <c r="K671" s="9"/>
      <c r="L671" s="15" t="s">
        <v>50</v>
      </c>
      <c r="M671" s="16" t="s">
        <v>51</v>
      </c>
      <c r="N671" s="14"/>
      <c r="O671" s="15" t="s">
        <v>52</v>
      </c>
      <c r="P671" s="17" t="s">
        <v>53</v>
      </c>
      <c r="Q671" s="15"/>
      <c r="R671" s="18" t="s">
        <v>51</v>
      </c>
      <c r="S671" s="19"/>
      <c r="T671" s="17" t="str">
        <f aca="false">IF(R671="維持",J671,IF(R671="排除","無關新聞事件",IFERROR(INDEX(事件規則!$B$2:$B$53,MATCH(S671,事件規則!$A$2:$A$53,0)),"")))</f>
        <v>無關新聞事件</v>
      </c>
      <c r="U671" s="20" t="n">
        <f aca="false">IF(R671="維持",K671,IF(R671="排除",0,IFERROR(INDEX(事件規則!$C$2:$C$53,MATCH(S671,事件規則!$A$2:$A$53,0)),"")))</f>
        <v>0</v>
      </c>
      <c r="V671" s="21"/>
      <c r="W671" s="22"/>
      <c r="X671" s="10" t="str">
        <f aca="false">IF(AND(R671="修改",S671=""),"請選新事件代碼",IF(AND(R671&lt;&gt;"修改",S671&lt;&gt;""),"只有「修改」才需填代碼",""))</f>
        <v/>
      </c>
      <c r="Y671" s="21"/>
      <c r="Z671" s="22"/>
      <c r="AA671" s="12" t="s">
        <v>2151</v>
      </c>
      <c r="AB671" s="24"/>
    </row>
    <row r="672" customFormat="false" ht="29.85" hidden="false" customHeight="false" outlineLevel="0" collapsed="false">
      <c r="A672" s="15" t="n">
        <v>671</v>
      </c>
      <c r="B672" s="9" t="s">
        <v>112</v>
      </c>
      <c r="C672" s="9" t="s">
        <v>751</v>
      </c>
      <c r="D672" s="10" t="s">
        <v>752</v>
      </c>
      <c r="E672" s="11" t="s">
        <v>2152</v>
      </c>
      <c r="F672" s="17"/>
      <c r="G672" s="12" t="s">
        <v>949</v>
      </c>
      <c r="H672" s="13" t="n">
        <v>-0.04</v>
      </c>
      <c r="I672" s="14"/>
      <c r="J672" s="17"/>
      <c r="K672" s="9"/>
      <c r="L672" s="15" t="s">
        <v>50</v>
      </c>
      <c r="M672" s="16" t="s">
        <v>51</v>
      </c>
      <c r="N672" s="14"/>
      <c r="O672" s="15" t="s">
        <v>52</v>
      </c>
      <c r="P672" s="17" t="s">
        <v>53</v>
      </c>
      <c r="Q672" s="15"/>
      <c r="R672" s="18" t="s">
        <v>51</v>
      </c>
      <c r="S672" s="19"/>
      <c r="T672" s="17" t="str">
        <f aca="false">IF(R672="維持",J672,IF(R672="排除","無關新聞事件",IFERROR(INDEX(事件規則!$B$2:$B$53,MATCH(S672,事件規則!$A$2:$A$53,0)),"")))</f>
        <v>無關新聞事件</v>
      </c>
      <c r="U672" s="20" t="n">
        <f aca="false">IF(R672="維持",K672,IF(R672="排除",0,IFERROR(INDEX(事件規則!$C$2:$C$53,MATCH(S672,事件規則!$A$2:$A$53,0)),"")))</f>
        <v>0</v>
      </c>
      <c r="V672" s="21"/>
      <c r="W672" s="22"/>
      <c r="X672" s="10" t="str">
        <f aca="false">IF(AND(R672="修改",S672=""),"請選新事件代碼",IF(AND(R672&lt;&gt;"修改",S672&lt;&gt;""),"只有「修改」才需填代碼",""))</f>
        <v/>
      </c>
      <c r="Y672" s="21"/>
      <c r="Z672" s="22"/>
      <c r="AA672" s="12" t="s">
        <v>2153</v>
      </c>
      <c r="AB672" s="24"/>
    </row>
    <row r="673" customFormat="false" ht="29.85" hidden="false" customHeight="false" outlineLevel="0" collapsed="false">
      <c r="A673" s="15" t="n">
        <v>672</v>
      </c>
      <c r="B673" s="9" t="s">
        <v>112</v>
      </c>
      <c r="C673" s="9" t="s">
        <v>1924</v>
      </c>
      <c r="D673" s="10" t="s">
        <v>1925</v>
      </c>
      <c r="E673" s="11" t="s">
        <v>2154</v>
      </c>
      <c r="F673" s="17"/>
      <c r="G673" s="12" t="s">
        <v>105</v>
      </c>
      <c r="H673" s="13" t="n">
        <v>-0.04</v>
      </c>
      <c r="I673" s="14"/>
      <c r="J673" s="17"/>
      <c r="K673" s="9"/>
      <c r="L673" s="15" t="s">
        <v>50</v>
      </c>
      <c r="M673" s="16" t="s">
        <v>51</v>
      </c>
      <c r="N673" s="14"/>
      <c r="O673" s="15" t="s">
        <v>52</v>
      </c>
      <c r="P673" s="17" t="s">
        <v>53</v>
      </c>
      <c r="Q673" s="15"/>
      <c r="R673" s="18" t="s">
        <v>51</v>
      </c>
      <c r="S673" s="19"/>
      <c r="T673" s="17" t="str">
        <f aca="false">IF(R673="維持",J673,IF(R673="排除","無關新聞事件",IFERROR(INDEX(事件規則!$B$2:$B$53,MATCH(S673,事件規則!$A$2:$A$53,0)),"")))</f>
        <v>無關新聞事件</v>
      </c>
      <c r="U673" s="20" t="n">
        <f aca="false">IF(R673="維持",K673,IF(R673="排除",0,IFERROR(INDEX(事件規則!$C$2:$C$53,MATCH(S673,事件規則!$A$2:$A$53,0)),"")))</f>
        <v>0</v>
      </c>
      <c r="V673" s="21"/>
      <c r="W673" s="22"/>
      <c r="X673" s="10" t="str">
        <f aca="false">IF(AND(R673="修改",S673=""),"請選新事件代碼",IF(AND(R673&lt;&gt;"修改",S673&lt;&gt;""),"只有「修改」才需填代碼",""))</f>
        <v/>
      </c>
      <c r="Y673" s="21"/>
      <c r="Z673" s="22"/>
      <c r="AA673" s="12" t="s">
        <v>2155</v>
      </c>
      <c r="AB673" s="24"/>
    </row>
    <row r="674" customFormat="false" ht="29.85" hidden="false" customHeight="false" outlineLevel="0" collapsed="false">
      <c r="A674" s="15" t="n">
        <v>673</v>
      </c>
      <c r="B674" s="9" t="s">
        <v>112</v>
      </c>
      <c r="C674" s="9" t="s">
        <v>550</v>
      </c>
      <c r="D674" s="10" t="s">
        <v>551</v>
      </c>
      <c r="E674" s="11" t="s">
        <v>2156</v>
      </c>
      <c r="F674" s="17"/>
      <c r="G674" s="12" t="s">
        <v>1136</v>
      </c>
      <c r="H674" s="13" t="n">
        <v>-0.04</v>
      </c>
      <c r="I674" s="14"/>
      <c r="J674" s="17"/>
      <c r="K674" s="9"/>
      <c r="L674" s="15" t="s">
        <v>50</v>
      </c>
      <c r="M674" s="16" t="s">
        <v>51</v>
      </c>
      <c r="N674" s="14"/>
      <c r="O674" s="15" t="s">
        <v>52</v>
      </c>
      <c r="P674" s="17" t="s">
        <v>53</v>
      </c>
      <c r="Q674" s="15"/>
      <c r="R674" s="18" t="s">
        <v>51</v>
      </c>
      <c r="S674" s="19"/>
      <c r="T674" s="17" t="str">
        <f aca="false">IF(R674="維持",J674,IF(R674="排除","無關新聞事件",IFERROR(INDEX(事件規則!$B$2:$B$53,MATCH(S674,事件規則!$A$2:$A$53,0)),"")))</f>
        <v>無關新聞事件</v>
      </c>
      <c r="U674" s="20" t="n">
        <f aca="false">IF(R674="維持",K674,IF(R674="排除",0,IFERROR(INDEX(事件規則!$C$2:$C$53,MATCH(S674,事件規則!$A$2:$A$53,0)),"")))</f>
        <v>0</v>
      </c>
      <c r="V674" s="21"/>
      <c r="W674" s="22"/>
      <c r="X674" s="10" t="str">
        <f aca="false">IF(AND(R674="修改",S674=""),"請選新事件代碼",IF(AND(R674&lt;&gt;"修改",S674&lt;&gt;""),"只有「修改」才需填代碼",""))</f>
        <v/>
      </c>
      <c r="Y674" s="21"/>
      <c r="Z674" s="22"/>
      <c r="AA674" s="12" t="s">
        <v>2157</v>
      </c>
      <c r="AB674" s="24"/>
    </row>
    <row r="675" customFormat="false" ht="29.85" hidden="false" customHeight="false" outlineLevel="0" collapsed="false">
      <c r="A675" s="15" t="n">
        <v>674</v>
      </c>
      <c r="B675" s="9" t="s">
        <v>112</v>
      </c>
      <c r="C675" s="9" t="s">
        <v>476</v>
      </c>
      <c r="D675" s="10" t="s">
        <v>477</v>
      </c>
      <c r="E675" s="11" t="s">
        <v>2158</v>
      </c>
      <c r="F675" s="17"/>
      <c r="G675" s="12" t="s">
        <v>2159</v>
      </c>
      <c r="H675" s="13" t="n">
        <v>-0.04</v>
      </c>
      <c r="I675" s="14"/>
      <c r="J675" s="17"/>
      <c r="K675" s="9"/>
      <c r="L675" s="15" t="s">
        <v>50</v>
      </c>
      <c r="M675" s="16" t="s">
        <v>51</v>
      </c>
      <c r="N675" s="14"/>
      <c r="O675" s="15" t="s">
        <v>52</v>
      </c>
      <c r="P675" s="17" t="s">
        <v>53</v>
      </c>
      <c r="Q675" s="15"/>
      <c r="R675" s="18" t="s">
        <v>51</v>
      </c>
      <c r="S675" s="19"/>
      <c r="T675" s="17" t="str">
        <f aca="false">IF(R675="維持",J675,IF(R675="排除","無關新聞事件",IFERROR(INDEX(事件規則!$B$2:$B$53,MATCH(S675,事件規則!$A$2:$A$53,0)),"")))</f>
        <v>無關新聞事件</v>
      </c>
      <c r="U675" s="20" t="n">
        <f aca="false">IF(R675="維持",K675,IF(R675="排除",0,IFERROR(INDEX(事件規則!$C$2:$C$53,MATCH(S675,事件規則!$A$2:$A$53,0)),"")))</f>
        <v>0</v>
      </c>
      <c r="V675" s="21"/>
      <c r="W675" s="22"/>
      <c r="X675" s="10" t="str">
        <f aca="false">IF(AND(R675="修改",S675=""),"請選新事件代碼",IF(AND(R675&lt;&gt;"修改",S675&lt;&gt;""),"只有「修改」才需填代碼",""))</f>
        <v/>
      </c>
      <c r="Y675" s="21"/>
      <c r="Z675" s="22"/>
      <c r="AA675" s="12" t="s">
        <v>2160</v>
      </c>
      <c r="AB675" s="24"/>
    </row>
    <row r="676" customFormat="false" ht="29.85" hidden="false" customHeight="false" outlineLevel="0" collapsed="false">
      <c r="A676" s="15" t="n">
        <v>675</v>
      </c>
      <c r="B676" s="9" t="s">
        <v>112</v>
      </c>
      <c r="C676" s="9" t="s">
        <v>2055</v>
      </c>
      <c r="D676" s="10" t="s">
        <v>2056</v>
      </c>
      <c r="E676" s="11" t="s">
        <v>2161</v>
      </c>
      <c r="F676" s="17"/>
      <c r="G676" s="12" t="s">
        <v>176</v>
      </c>
      <c r="H676" s="13" t="n">
        <v>-0.04</v>
      </c>
      <c r="I676" s="14"/>
      <c r="J676" s="17"/>
      <c r="K676" s="9"/>
      <c r="L676" s="15" t="s">
        <v>50</v>
      </c>
      <c r="M676" s="16" t="s">
        <v>51</v>
      </c>
      <c r="N676" s="14"/>
      <c r="O676" s="15" t="s">
        <v>52</v>
      </c>
      <c r="P676" s="17" t="s">
        <v>53</v>
      </c>
      <c r="Q676" s="15"/>
      <c r="R676" s="18" t="s">
        <v>51</v>
      </c>
      <c r="S676" s="19"/>
      <c r="T676" s="17" t="str">
        <f aca="false">IF(R676="維持",J676,IF(R676="排除","無關新聞事件",IFERROR(INDEX(事件規則!$B$2:$B$53,MATCH(S676,事件規則!$A$2:$A$53,0)),"")))</f>
        <v>無關新聞事件</v>
      </c>
      <c r="U676" s="20" t="n">
        <f aca="false">IF(R676="維持",K676,IF(R676="排除",0,IFERROR(INDEX(事件規則!$C$2:$C$53,MATCH(S676,事件規則!$A$2:$A$53,0)),"")))</f>
        <v>0</v>
      </c>
      <c r="V676" s="21"/>
      <c r="W676" s="22"/>
      <c r="X676" s="10" t="str">
        <f aca="false">IF(AND(R676="修改",S676=""),"請選新事件代碼",IF(AND(R676&lt;&gt;"修改",S676&lt;&gt;""),"只有「修改」才需填代碼",""))</f>
        <v/>
      </c>
      <c r="Y676" s="21"/>
      <c r="Z676" s="22"/>
      <c r="AA676" s="12" t="s">
        <v>2162</v>
      </c>
      <c r="AB676" s="24"/>
    </row>
    <row r="677" customFormat="false" ht="29.85" hidden="false" customHeight="false" outlineLevel="0" collapsed="false">
      <c r="A677" s="15" t="n">
        <v>676</v>
      </c>
      <c r="B677" s="9" t="s">
        <v>112</v>
      </c>
      <c r="C677" s="9" t="s">
        <v>71</v>
      </c>
      <c r="D677" s="10" t="s">
        <v>72</v>
      </c>
      <c r="E677" s="11" t="s">
        <v>2163</v>
      </c>
      <c r="F677" s="17"/>
      <c r="G677" s="12" t="s">
        <v>949</v>
      </c>
      <c r="H677" s="13" t="n">
        <v>-0.04</v>
      </c>
      <c r="I677" s="14"/>
      <c r="J677" s="17"/>
      <c r="K677" s="9"/>
      <c r="L677" s="15" t="s">
        <v>50</v>
      </c>
      <c r="M677" s="16" t="s">
        <v>51</v>
      </c>
      <c r="N677" s="14"/>
      <c r="O677" s="15" t="s">
        <v>52</v>
      </c>
      <c r="P677" s="17" t="s">
        <v>53</v>
      </c>
      <c r="Q677" s="15"/>
      <c r="R677" s="18" t="s">
        <v>51</v>
      </c>
      <c r="S677" s="19"/>
      <c r="T677" s="17" t="str">
        <f aca="false">IF(R677="維持",J677,IF(R677="排除","無關新聞事件",IFERROR(INDEX(事件規則!$B$2:$B$53,MATCH(S677,事件規則!$A$2:$A$53,0)),"")))</f>
        <v>無關新聞事件</v>
      </c>
      <c r="U677" s="20" t="n">
        <f aca="false">IF(R677="維持",K677,IF(R677="排除",0,IFERROR(INDEX(事件規則!$C$2:$C$53,MATCH(S677,事件規則!$A$2:$A$53,0)),"")))</f>
        <v>0</v>
      </c>
      <c r="V677" s="21"/>
      <c r="W677" s="22"/>
      <c r="X677" s="10" t="str">
        <f aca="false">IF(AND(R677="修改",S677=""),"請選新事件代碼",IF(AND(R677&lt;&gt;"修改",S677&lt;&gt;""),"只有「修改」才需填代碼",""))</f>
        <v/>
      </c>
      <c r="Y677" s="21"/>
      <c r="Z677" s="22"/>
      <c r="AA677" s="12" t="s">
        <v>2164</v>
      </c>
      <c r="AB677" s="24"/>
    </row>
    <row r="678" customFormat="false" ht="29.85" hidden="false" customHeight="false" outlineLevel="0" collapsed="false">
      <c r="A678" s="15" t="n">
        <v>677</v>
      </c>
      <c r="B678" s="9" t="s">
        <v>112</v>
      </c>
      <c r="C678" s="9" t="s">
        <v>344</v>
      </c>
      <c r="D678" s="10" t="s">
        <v>345</v>
      </c>
      <c r="E678" s="11" t="s">
        <v>2165</v>
      </c>
      <c r="F678" s="17"/>
      <c r="G678" s="12" t="s">
        <v>1136</v>
      </c>
      <c r="H678" s="13" t="n">
        <v>-0.039</v>
      </c>
      <c r="I678" s="14"/>
      <c r="J678" s="17"/>
      <c r="K678" s="9"/>
      <c r="L678" s="15" t="s">
        <v>50</v>
      </c>
      <c r="M678" s="16" t="s">
        <v>51</v>
      </c>
      <c r="N678" s="14"/>
      <c r="O678" s="15" t="s">
        <v>52</v>
      </c>
      <c r="P678" s="17" t="s">
        <v>53</v>
      </c>
      <c r="Q678" s="15"/>
      <c r="R678" s="18" t="s">
        <v>51</v>
      </c>
      <c r="S678" s="19"/>
      <c r="T678" s="17" t="str">
        <f aca="false">IF(R678="維持",J678,IF(R678="排除","無關新聞事件",IFERROR(INDEX(事件規則!$B$2:$B$53,MATCH(S678,事件規則!$A$2:$A$53,0)),"")))</f>
        <v>無關新聞事件</v>
      </c>
      <c r="U678" s="20" t="n">
        <f aca="false">IF(R678="維持",K678,IF(R678="排除",0,IFERROR(INDEX(事件規則!$C$2:$C$53,MATCH(S678,事件規則!$A$2:$A$53,0)),"")))</f>
        <v>0</v>
      </c>
      <c r="V678" s="21"/>
      <c r="W678" s="22"/>
      <c r="X678" s="10" t="str">
        <f aca="false">IF(AND(R678="修改",S678=""),"請選新事件代碼",IF(AND(R678&lt;&gt;"修改",S678&lt;&gt;""),"只有「修改」才需填代碼",""))</f>
        <v/>
      </c>
      <c r="Y678" s="21"/>
      <c r="Z678" s="22"/>
      <c r="AA678" s="12" t="s">
        <v>2166</v>
      </c>
      <c r="AB678" s="24"/>
    </row>
    <row r="679" customFormat="false" ht="29.85" hidden="false" customHeight="false" outlineLevel="0" collapsed="false">
      <c r="A679" s="15" t="n">
        <v>678</v>
      </c>
      <c r="B679" s="9" t="s">
        <v>112</v>
      </c>
      <c r="C679" s="9" t="s">
        <v>2041</v>
      </c>
      <c r="D679" s="10" t="s">
        <v>2042</v>
      </c>
      <c r="E679" s="11" t="s">
        <v>2167</v>
      </c>
      <c r="F679" s="17"/>
      <c r="G679" s="12" t="s">
        <v>2033</v>
      </c>
      <c r="H679" s="13" t="n">
        <v>-0.039</v>
      </c>
      <c r="I679" s="14"/>
      <c r="J679" s="17"/>
      <c r="K679" s="9"/>
      <c r="L679" s="15" t="s">
        <v>50</v>
      </c>
      <c r="M679" s="16" t="s">
        <v>51</v>
      </c>
      <c r="N679" s="14"/>
      <c r="O679" s="15" t="s">
        <v>52</v>
      </c>
      <c r="P679" s="17" t="s">
        <v>53</v>
      </c>
      <c r="Q679" s="15"/>
      <c r="R679" s="18" t="s">
        <v>51</v>
      </c>
      <c r="S679" s="19"/>
      <c r="T679" s="17" t="str">
        <f aca="false">IF(R679="維持",J679,IF(R679="排除","無關新聞事件",IFERROR(INDEX(事件規則!$B$2:$B$53,MATCH(S679,事件規則!$A$2:$A$53,0)),"")))</f>
        <v>無關新聞事件</v>
      </c>
      <c r="U679" s="20" t="n">
        <f aca="false">IF(R679="維持",K679,IF(R679="排除",0,IFERROR(INDEX(事件規則!$C$2:$C$53,MATCH(S679,事件規則!$A$2:$A$53,0)),"")))</f>
        <v>0</v>
      </c>
      <c r="V679" s="21"/>
      <c r="W679" s="22"/>
      <c r="X679" s="10" t="str">
        <f aca="false">IF(AND(R679="修改",S679=""),"請選新事件代碼",IF(AND(R679&lt;&gt;"修改",S679&lt;&gt;""),"只有「修改」才需填代碼",""))</f>
        <v/>
      </c>
      <c r="Y679" s="21"/>
      <c r="Z679" s="22"/>
      <c r="AA679" s="12" t="s">
        <v>2168</v>
      </c>
      <c r="AB679" s="24"/>
    </row>
    <row r="680" customFormat="false" ht="29.85" hidden="false" customHeight="false" outlineLevel="0" collapsed="false">
      <c r="A680" s="15" t="n">
        <v>679</v>
      </c>
      <c r="B680" s="9" t="s">
        <v>112</v>
      </c>
      <c r="C680" s="9" t="s">
        <v>2169</v>
      </c>
      <c r="D680" s="10" t="s">
        <v>2170</v>
      </c>
      <c r="E680" s="11" t="s">
        <v>2171</v>
      </c>
      <c r="F680" s="17"/>
      <c r="G680" s="12" t="s">
        <v>49</v>
      </c>
      <c r="H680" s="13" t="n">
        <v>-0.039</v>
      </c>
      <c r="I680" s="14"/>
      <c r="J680" s="17"/>
      <c r="K680" s="9"/>
      <c r="L680" s="15" t="s">
        <v>50</v>
      </c>
      <c r="M680" s="16" t="s">
        <v>51</v>
      </c>
      <c r="N680" s="14"/>
      <c r="O680" s="15" t="s">
        <v>52</v>
      </c>
      <c r="P680" s="17" t="s">
        <v>53</v>
      </c>
      <c r="Q680" s="15"/>
      <c r="R680" s="18" t="s">
        <v>51</v>
      </c>
      <c r="S680" s="19"/>
      <c r="T680" s="17" t="str">
        <f aca="false">IF(R680="維持",J680,IF(R680="排除","無關新聞事件",IFERROR(INDEX(事件規則!$B$2:$B$53,MATCH(S680,事件規則!$A$2:$A$53,0)),"")))</f>
        <v>無關新聞事件</v>
      </c>
      <c r="U680" s="20" t="n">
        <f aca="false">IF(R680="維持",K680,IF(R680="排除",0,IFERROR(INDEX(事件規則!$C$2:$C$53,MATCH(S680,事件規則!$A$2:$A$53,0)),"")))</f>
        <v>0</v>
      </c>
      <c r="V680" s="21"/>
      <c r="W680" s="22"/>
      <c r="X680" s="10" t="str">
        <f aca="false">IF(AND(R680="修改",S680=""),"請選新事件代碼",IF(AND(R680&lt;&gt;"修改",S680&lt;&gt;""),"只有「修改」才需填代碼",""))</f>
        <v/>
      </c>
      <c r="Y680" s="21"/>
      <c r="Z680" s="22"/>
      <c r="AA680" s="12" t="s">
        <v>2172</v>
      </c>
      <c r="AB680" s="24"/>
    </row>
    <row r="681" customFormat="false" ht="29.85" hidden="false" customHeight="false" outlineLevel="0" collapsed="false">
      <c r="A681" s="15" t="n">
        <v>680</v>
      </c>
      <c r="B681" s="9" t="s">
        <v>45</v>
      </c>
      <c r="C681" s="9" t="s">
        <v>2130</v>
      </c>
      <c r="D681" s="10" t="s">
        <v>2131</v>
      </c>
      <c r="E681" s="11" t="s">
        <v>2173</v>
      </c>
      <c r="F681" s="17"/>
      <c r="G681" s="12" t="s">
        <v>1136</v>
      </c>
      <c r="H681" s="13" t="n">
        <v>-0.039</v>
      </c>
      <c r="I681" s="14"/>
      <c r="J681" s="17"/>
      <c r="K681" s="9"/>
      <c r="L681" s="15" t="s">
        <v>50</v>
      </c>
      <c r="M681" s="16" t="s">
        <v>51</v>
      </c>
      <c r="N681" s="14"/>
      <c r="O681" s="15" t="s">
        <v>52</v>
      </c>
      <c r="P681" s="17" t="s">
        <v>53</v>
      </c>
      <c r="Q681" s="15"/>
      <c r="R681" s="18" t="s">
        <v>51</v>
      </c>
      <c r="S681" s="19"/>
      <c r="T681" s="17" t="str">
        <f aca="false">IF(R681="維持",J681,IF(R681="排除","無關新聞事件",IFERROR(INDEX(事件規則!$B$2:$B$53,MATCH(S681,事件規則!$A$2:$A$53,0)),"")))</f>
        <v>無關新聞事件</v>
      </c>
      <c r="U681" s="20" t="n">
        <f aca="false">IF(R681="維持",K681,IF(R681="排除",0,IFERROR(INDEX(事件規則!$C$2:$C$53,MATCH(S681,事件規則!$A$2:$A$53,0)),"")))</f>
        <v>0</v>
      </c>
      <c r="V681" s="21"/>
      <c r="W681" s="22"/>
      <c r="X681" s="10" t="str">
        <f aca="false">IF(AND(R681="修改",S681=""),"請選新事件代碼",IF(AND(R681&lt;&gt;"修改",S681&lt;&gt;""),"只有「修改」才需填代碼",""))</f>
        <v/>
      </c>
      <c r="Y681" s="21"/>
      <c r="Z681" s="22"/>
      <c r="AA681" s="12" t="s">
        <v>2174</v>
      </c>
      <c r="AB681" s="24"/>
    </row>
    <row r="682" customFormat="false" ht="29.85" hidden="false" customHeight="false" outlineLevel="0" collapsed="false">
      <c r="A682" s="15" t="n">
        <v>681</v>
      </c>
      <c r="B682" s="9" t="s">
        <v>81</v>
      </c>
      <c r="C682" s="9" t="s">
        <v>2175</v>
      </c>
      <c r="D682" s="10" t="s">
        <v>2176</v>
      </c>
      <c r="E682" s="11" t="s">
        <v>2177</v>
      </c>
      <c r="F682" s="17"/>
      <c r="G682" s="12" t="s">
        <v>1136</v>
      </c>
      <c r="H682" s="13" t="n">
        <v>-0.039</v>
      </c>
      <c r="I682" s="14"/>
      <c r="J682" s="17"/>
      <c r="K682" s="9"/>
      <c r="L682" s="15" t="s">
        <v>50</v>
      </c>
      <c r="M682" s="16" t="s">
        <v>51</v>
      </c>
      <c r="N682" s="14"/>
      <c r="O682" s="15" t="s">
        <v>52</v>
      </c>
      <c r="P682" s="17" t="s">
        <v>53</v>
      </c>
      <c r="Q682" s="15"/>
      <c r="R682" s="18" t="s">
        <v>51</v>
      </c>
      <c r="S682" s="19"/>
      <c r="T682" s="17" t="str">
        <f aca="false">IF(R682="維持",J682,IF(R682="排除","無關新聞事件",IFERROR(INDEX(事件規則!$B$2:$B$53,MATCH(S682,事件規則!$A$2:$A$53,0)),"")))</f>
        <v>無關新聞事件</v>
      </c>
      <c r="U682" s="20" t="n">
        <f aca="false">IF(R682="維持",K682,IF(R682="排除",0,IFERROR(INDEX(事件規則!$C$2:$C$53,MATCH(S682,事件規則!$A$2:$A$53,0)),"")))</f>
        <v>0</v>
      </c>
      <c r="V682" s="21"/>
      <c r="W682" s="22"/>
      <c r="X682" s="10" t="str">
        <f aca="false">IF(AND(R682="修改",S682=""),"請選新事件代碼",IF(AND(R682&lt;&gt;"修改",S682&lt;&gt;""),"只有「修改」才需填代碼",""))</f>
        <v/>
      </c>
      <c r="Y682" s="21"/>
      <c r="Z682" s="22"/>
      <c r="AA682" s="12" t="s">
        <v>2178</v>
      </c>
      <c r="AB682" s="24"/>
    </row>
    <row r="683" customFormat="false" ht="29.85" hidden="false" customHeight="false" outlineLevel="0" collapsed="false">
      <c r="A683" s="15" t="n">
        <v>682</v>
      </c>
      <c r="B683" s="9" t="s">
        <v>81</v>
      </c>
      <c r="C683" s="9" t="s">
        <v>260</v>
      </c>
      <c r="D683" s="10" t="s">
        <v>261</v>
      </c>
      <c r="E683" s="11" t="s">
        <v>2179</v>
      </c>
      <c r="F683" s="17"/>
      <c r="G683" s="12" t="s">
        <v>105</v>
      </c>
      <c r="H683" s="13" t="n">
        <v>-0.039</v>
      </c>
      <c r="I683" s="14"/>
      <c r="J683" s="17"/>
      <c r="K683" s="9"/>
      <c r="L683" s="15" t="s">
        <v>50</v>
      </c>
      <c r="M683" s="16" t="s">
        <v>51</v>
      </c>
      <c r="N683" s="14"/>
      <c r="O683" s="15" t="s">
        <v>52</v>
      </c>
      <c r="P683" s="17" t="s">
        <v>53</v>
      </c>
      <c r="Q683" s="15"/>
      <c r="R683" s="18" t="s">
        <v>51</v>
      </c>
      <c r="S683" s="19"/>
      <c r="T683" s="17" t="str">
        <f aca="false">IF(R683="維持",J683,IF(R683="排除","無關新聞事件",IFERROR(INDEX(事件規則!$B$2:$B$53,MATCH(S683,事件規則!$A$2:$A$53,0)),"")))</f>
        <v>無關新聞事件</v>
      </c>
      <c r="U683" s="20" t="n">
        <f aca="false">IF(R683="維持",K683,IF(R683="排除",0,IFERROR(INDEX(事件規則!$C$2:$C$53,MATCH(S683,事件規則!$A$2:$A$53,0)),"")))</f>
        <v>0</v>
      </c>
      <c r="V683" s="21"/>
      <c r="W683" s="22"/>
      <c r="X683" s="10" t="str">
        <f aca="false">IF(AND(R683="修改",S683=""),"請選新事件代碼",IF(AND(R683&lt;&gt;"修改",S683&lt;&gt;""),"只有「修改」才需填代碼",""))</f>
        <v/>
      </c>
      <c r="Y683" s="21"/>
      <c r="Z683" s="22"/>
      <c r="AA683" s="12" t="s">
        <v>2180</v>
      </c>
      <c r="AB683" s="24"/>
    </row>
    <row r="684" customFormat="false" ht="29.85" hidden="false" customHeight="false" outlineLevel="0" collapsed="false">
      <c r="A684" s="15" t="n">
        <v>683</v>
      </c>
      <c r="B684" s="9" t="s">
        <v>45</v>
      </c>
      <c r="C684" s="9" t="s">
        <v>2181</v>
      </c>
      <c r="D684" s="10" t="s">
        <v>2182</v>
      </c>
      <c r="E684" s="11" t="s">
        <v>2183</v>
      </c>
      <c r="F684" s="17"/>
      <c r="G684" s="12" t="s">
        <v>949</v>
      </c>
      <c r="H684" s="13" t="n">
        <v>-0.039</v>
      </c>
      <c r="I684" s="14"/>
      <c r="J684" s="17"/>
      <c r="K684" s="9"/>
      <c r="L684" s="15" t="s">
        <v>50</v>
      </c>
      <c r="M684" s="16" t="s">
        <v>51</v>
      </c>
      <c r="N684" s="14"/>
      <c r="O684" s="15" t="s">
        <v>52</v>
      </c>
      <c r="P684" s="17" t="s">
        <v>53</v>
      </c>
      <c r="Q684" s="15"/>
      <c r="R684" s="18" t="s">
        <v>51</v>
      </c>
      <c r="S684" s="19"/>
      <c r="T684" s="17" t="str">
        <f aca="false">IF(R684="維持",J684,IF(R684="排除","無關新聞事件",IFERROR(INDEX(事件規則!$B$2:$B$53,MATCH(S684,事件規則!$A$2:$A$53,0)),"")))</f>
        <v>無關新聞事件</v>
      </c>
      <c r="U684" s="20" t="n">
        <f aca="false">IF(R684="維持",K684,IF(R684="排除",0,IFERROR(INDEX(事件規則!$C$2:$C$53,MATCH(S684,事件規則!$A$2:$A$53,0)),"")))</f>
        <v>0</v>
      </c>
      <c r="V684" s="21"/>
      <c r="W684" s="22"/>
      <c r="X684" s="10" t="str">
        <f aca="false">IF(AND(R684="修改",S684=""),"請選新事件代碼",IF(AND(R684&lt;&gt;"修改",S684&lt;&gt;""),"只有「修改」才需填代碼",""))</f>
        <v/>
      </c>
      <c r="Y684" s="21"/>
      <c r="Z684" s="22"/>
      <c r="AA684" s="12" t="s">
        <v>2184</v>
      </c>
      <c r="AB684" s="24"/>
    </row>
    <row r="685" customFormat="false" ht="29.85" hidden="false" customHeight="false" outlineLevel="0" collapsed="false">
      <c r="A685" s="15" t="n">
        <v>684</v>
      </c>
      <c r="B685" s="9" t="s">
        <v>45</v>
      </c>
      <c r="C685" s="9" t="s">
        <v>2185</v>
      </c>
      <c r="D685" s="10" t="s">
        <v>2186</v>
      </c>
      <c r="E685" s="11" t="s">
        <v>2187</v>
      </c>
      <c r="F685" s="17"/>
      <c r="G685" s="12" t="s">
        <v>95</v>
      </c>
      <c r="H685" s="13" t="n">
        <v>-0.039</v>
      </c>
      <c r="I685" s="14"/>
      <c r="J685" s="17"/>
      <c r="K685" s="9"/>
      <c r="L685" s="15" t="s">
        <v>50</v>
      </c>
      <c r="M685" s="16" t="s">
        <v>51</v>
      </c>
      <c r="N685" s="14"/>
      <c r="O685" s="15" t="s">
        <v>52</v>
      </c>
      <c r="P685" s="17" t="s">
        <v>53</v>
      </c>
      <c r="Q685" s="15"/>
      <c r="R685" s="18" t="s">
        <v>51</v>
      </c>
      <c r="S685" s="19"/>
      <c r="T685" s="17" t="str">
        <f aca="false">IF(R685="維持",J685,IF(R685="排除","無關新聞事件",IFERROR(INDEX(事件規則!$B$2:$B$53,MATCH(S685,事件規則!$A$2:$A$53,0)),"")))</f>
        <v>無關新聞事件</v>
      </c>
      <c r="U685" s="20" t="n">
        <f aca="false">IF(R685="維持",K685,IF(R685="排除",0,IFERROR(INDEX(事件規則!$C$2:$C$53,MATCH(S685,事件規則!$A$2:$A$53,0)),"")))</f>
        <v>0</v>
      </c>
      <c r="V685" s="21"/>
      <c r="W685" s="22"/>
      <c r="X685" s="10" t="str">
        <f aca="false">IF(AND(R685="修改",S685=""),"請選新事件代碼",IF(AND(R685&lt;&gt;"修改",S685&lt;&gt;""),"只有「修改」才需填代碼",""))</f>
        <v/>
      </c>
      <c r="Y685" s="21"/>
      <c r="Z685" s="22"/>
      <c r="AA685" s="12" t="s">
        <v>2188</v>
      </c>
      <c r="AB685" s="24"/>
    </row>
    <row r="686" customFormat="false" ht="29.85" hidden="false" customHeight="false" outlineLevel="0" collapsed="false">
      <c r="A686" s="15" t="n">
        <v>685</v>
      </c>
      <c r="B686" s="9" t="s">
        <v>45</v>
      </c>
      <c r="C686" s="9" t="s">
        <v>1086</v>
      </c>
      <c r="D686" s="10" t="s">
        <v>1087</v>
      </c>
      <c r="E686" s="11" t="s">
        <v>2189</v>
      </c>
      <c r="F686" s="17"/>
      <c r="G686" s="12" t="s">
        <v>1136</v>
      </c>
      <c r="H686" s="13" t="n">
        <v>-0.039</v>
      </c>
      <c r="I686" s="14"/>
      <c r="J686" s="17"/>
      <c r="K686" s="9"/>
      <c r="L686" s="15" t="s">
        <v>50</v>
      </c>
      <c r="M686" s="16" t="s">
        <v>51</v>
      </c>
      <c r="N686" s="14"/>
      <c r="O686" s="15" t="s">
        <v>52</v>
      </c>
      <c r="P686" s="17" t="s">
        <v>53</v>
      </c>
      <c r="Q686" s="15"/>
      <c r="R686" s="18" t="s">
        <v>51</v>
      </c>
      <c r="S686" s="19"/>
      <c r="T686" s="17" t="str">
        <f aca="false">IF(R686="維持",J686,IF(R686="排除","無關新聞事件",IFERROR(INDEX(事件規則!$B$2:$B$53,MATCH(S686,事件規則!$A$2:$A$53,0)),"")))</f>
        <v>無關新聞事件</v>
      </c>
      <c r="U686" s="20" t="n">
        <f aca="false">IF(R686="維持",K686,IF(R686="排除",0,IFERROR(INDEX(事件規則!$C$2:$C$53,MATCH(S686,事件規則!$A$2:$A$53,0)),"")))</f>
        <v>0</v>
      </c>
      <c r="V686" s="21"/>
      <c r="W686" s="22"/>
      <c r="X686" s="10" t="str">
        <f aca="false">IF(AND(R686="修改",S686=""),"請選新事件代碼",IF(AND(R686&lt;&gt;"修改",S686&lt;&gt;""),"只有「修改」才需填代碼",""))</f>
        <v/>
      </c>
      <c r="Y686" s="21"/>
      <c r="Z686" s="22"/>
      <c r="AA686" s="12" t="s">
        <v>2190</v>
      </c>
      <c r="AB686" s="24"/>
    </row>
    <row r="687" customFormat="false" ht="29.85" hidden="false" customHeight="false" outlineLevel="0" collapsed="false">
      <c r="A687" s="15" t="n">
        <v>686</v>
      </c>
      <c r="B687" s="9" t="s">
        <v>55</v>
      </c>
      <c r="C687" s="9" t="s">
        <v>973</v>
      </c>
      <c r="D687" s="10" t="s">
        <v>974</v>
      </c>
      <c r="E687" s="11" t="s">
        <v>2191</v>
      </c>
      <c r="F687" s="17"/>
      <c r="G687" s="12" t="s">
        <v>949</v>
      </c>
      <c r="H687" s="13" t="n">
        <v>-0.039</v>
      </c>
      <c r="I687" s="14"/>
      <c r="J687" s="17"/>
      <c r="K687" s="9"/>
      <c r="L687" s="15" t="s">
        <v>50</v>
      </c>
      <c r="M687" s="16" t="s">
        <v>51</v>
      </c>
      <c r="N687" s="14"/>
      <c r="O687" s="15" t="s">
        <v>52</v>
      </c>
      <c r="P687" s="17" t="s">
        <v>53</v>
      </c>
      <c r="Q687" s="15"/>
      <c r="R687" s="18" t="s">
        <v>51</v>
      </c>
      <c r="S687" s="19"/>
      <c r="T687" s="17" t="str">
        <f aca="false">IF(R687="維持",J687,IF(R687="排除","無關新聞事件",IFERROR(INDEX(事件規則!$B$2:$B$53,MATCH(S687,事件規則!$A$2:$A$53,0)),"")))</f>
        <v>無關新聞事件</v>
      </c>
      <c r="U687" s="20" t="n">
        <f aca="false">IF(R687="維持",K687,IF(R687="排除",0,IFERROR(INDEX(事件規則!$C$2:$C$53,MATCH(S687,事件規則!$A$2:$A$53,0)),"")))</f>
        <v>0</v>
      </c>
      <c r="V687" s="21"/>
      <c r="W687" s="22"/>
      <c r="X687" s="10" t="str">
        <f aca="false">IF(AND(R687="修改",S687=""),"請選新事件代碼",IF(AND(R687&lt;&gt;"修改",S687&lt;&gt;""),"只有「修改」才需填代碼",""))</f>
        <v/>
      </c>
      <c r="Y687" s="21"/>
      <c r="Z687" s="22"/>
      <c r="AA687" s="12" t="s">
        <v>2192</v>
      </c>
      <c r="AB687" s="24"/>
    </row>
    <row r="688" customFormat="false" ht="29.85" hidden="false" customHeight="false" outlineLevel="0" collapsed="false">
      <c r="A688" s="15" t="n">
        <v>687</v>
      </c>
      <c r="B688" s="9" t="s">
        <v>55</v>
      </c>
      <c r="C688" s="9" t="s">
        <v>639</v>
      </c>
      <c r="D688" s="10" t="s">
        <v>640</v>
      </c>
      <c r="E688" s="11" t="s">
        <v>2193</v>
      </c>
      <c r="F688" s="17"/>
      <c r="G688" s="12" t="s">
        <v>271</v>
      </c>
      <c r="H688" s="13" t="n">
        <v>-0.039</v>
      </c>
      <c r="I688" s="14"/>
      <c r="J688" s="17"/>
      <c r="K688" s="9"/>
      <c r="L688" s="15" t="s">
        <v>50</v>
      </c>
      <c r="M688" s="16" t="s">
        <v>51</v>
      </c>
      <c r="N688" s="14"/>
      <c r="O688" s="15" t="s">
        <v>52</v>
      </c>
      <c r="P688" s="17" t="s">
        <v>53</v>
      </c>
      <c r="Q688" s="15"/>
      <c r="R688" s="18" t="s">
        <v>51</v>
      </c>
      <c r="S688" s="19"/>
      <c r="T688" s="17" t="str">
        <f aca="false">IF(R688="維持",J688,IF(R688="排除","無關新聞事件",IFERROR(INDEX(事件規則!$B$2:$B$53,MATCH(S688,事件規則!$A$2:$A$53,0)),"")))</f>
        <v>無關新聞事件</v>
      </c>
      <c r="U688" s="20" t="n">
        <f aca="false">IF(R688="維持",K688,IF(R688="排除",0,IFERROR(INDEX(事件規則!$C$2:$C$53,MATCH(S688,事件規則!$A$2:$A$53,0)),"")))</f>
        <v>0</v>
      </c>
      <c r="V688" s="21"/>
      <c r="W688" s="22"/>
      <c r="X688" s="10" t="str">
        <f aca="false">IF(AND(R688="修改",S688=""),"請選新事件代碼",IF(AND(R688&lt;&gt;"修改",S688&lt;&gt;""),"只有「修改」才需填代碼",""))</f>
        <v/>
      </c>
      <c r="Y688" s="21"/>
      <c r="Z688" s="22"/>
      <c r="AA688" s="12" t="s">
        <v>2194</v>
      </c>
      <c r="AB688" s="24"/>
    </row>
    <row r="689" customFormat="false" ht="29.85" hidden="false" customHeight="false" outlineLevel="0" collapsed="false">
      <c r="A689" s="15" t="n">
        <v>688</v>
      </c>
      <c r="B689" s="9" t="s">
        <v>55</v>
      </c>
      <c r="C689" s="9" t="s">
        <v>524</v>
      </c>
      <c r="D689" s="10" t="s">
        <v>525</v>
      </c>
      <c r="E689" s="11" t="s">
        <v>2195</v>
      </c>
      <c r="F689" s="17"/>
      <c r="G689" s="12" t="s">
        <v>176</v>
      </c>
      <c r="H689" s="13" t="n">
        <v>-0.039</v>
      </c>
      <c r="I689" s="14"/>
      <c r="J689" s="17"/>
      <c r="K689" s="9"/>
      <c r="L689" s="15" t="s">
        <v>50</v>
      </c>
      <c r="M689" s="16" t="s">
        <v>51</v>
      </c>
      <c r="N689" s="14"/>
      <c r="O689" s="15" t="s">
        <v>52</v>
      </c>
      <c r="P689" s="17" t="s">
        <v>53</v>
      </c>
      <c r="Q689" s="15"/>
      <c r="R689" s="18" t="s">
        <v>51</v>
      </c>
      <c r="S689" s="19"/>
      <c r="T689" s="17" t="str">
        <f aca="false">IF(R689="維持",J689,IF(R689="排除","無關新聞事件",IFERROR(INDEX(事件規則!$B$2:$B$53,MATCH(S689,事件規則!$A$2:$A$53,0)),"")))</f>
        <v>無關新聞事件</v>
      </c>
      <c r="U689" s="20" t="n">
        <f aca="false">IF(R689="維持",K689,IF(R689="排除",0,IFERROR(INDEX(事件規則!$C$2:$C$53,MATCH(S689,事件規則!$A$2:$A$53,0)),"")))</f>
        <v>0</v>
      </c>
      <c r="V689" s="21"/>
      <c r="W689" s="22"/>
      <c r="X689" s="10" t="str">
        <f aca="false">IF(AND(R689="修改",S689=""),"請選新事件代碼",IF(AND(R689&lt;&gt;"修改",S689&lt;&gt;""),"只有「修改」才需填代碼",""))</f>
        <v/>
      </c>
      <c r="Y689" s="21"/>
      <c r="Z689" s="22"/>
      <c r="AA689" s="12" t="s">
        <v>2196</v>
      </c>
      <c r="AB689" s="24"/>
    </row>
    <row r="690" customFormat="false" ht="29.85" hidden="false" customHeight="false" outlineLevel="0" collapsed="false">
      <c r="A690" s="15" t="n">
        <v>689</v>
      </c>
      <c r="B690" s="9" t="s">
        <v>55</v>
      </c>
      <c r="C690" s="9" t="s">
        <v>127</v>
      </c>
      <c r="D690" s="10" t="s">
        <v>128</v>
      </c>
      <c r="E690" s="11" t="s">
        <v>2197</v>
      </c>
      <c r="F690" s="17"/>
      <c r="G690" s="12" t="s">
        <v>105</v>
      </c>
      <c r="H690" s="13" t="n">
        <v>-0.039</v>
      </c>
      <c r="I690" s="14"/>
      <c r="J690" s="17"/>
      <c r="K690" s="9"/>
      <c r="L690" s="15" t="s">
        <v>50</v>
      </c>
      <c r="M690" s="16" t="s">
        <v>51</v>
      </c>
      <c r="N690" s="14"/>
      <c r="O690" s="15" t="s">
        <v>52</v>
      </c>
      <c r="P690" s="17" t="s">
        <v>53</v>
      </c>
      <c r="Q690" s="15"/>
      <c r="R690" s="18" t="s">
        <v>51</v>
      </c>
      <c r="S690" s="19"/>
      <c r="T690" s="17" t="str">
        <f aca="false">IF(R690="維持",J690,IF(R690="排除","無關新聞事件",IFERROR(INDEX(事件規則!$B$2:$B$53,MATCH(S690,事件規則!$A$2:$A$53,0)),"")))</f>
        <v>無關新聞事件</v>
      </c>
      <c r="U690" s="20" t="n">
        <f aca="false">IF(R690="維持",K690,IF(R690="排除",0,IFERROR(INDEX(事件規則!$C$2:$C$53,MATCH(S690,事件規則!$A$2:$A$53,0)),"")))</f>
        <v>0</v>
      </c>
      <c r="V690" s="21"/>
      <c r="W690" s="22"/>
      <c r="X690" s="10" t="str">
        <f aca="false">IF(AND(R690="修改",S690=""),"請選新事件代碼",IF(AND(R690&lt;&gt;"修改",S690&lt;&gt;""),"只有「修改」才需填代碼",""))</f>
        <v/>
      </c>
      <c r="Y690" s="21"/>
      <c r="Z690" s="22"/>
      <c r="AA690" s="12" t="s">
        <v>2198</v>
      </c>
      <c r="AB690" s="24"/>
    </row>
    <row r="691" customFormat="false" ht="29.85" hidden="false" customHeight="false" outlineLevel="0" collapsed="false">
      <c r="A691" s="15" t="n">
        <v>690</v>
      </c>
      <c r="B691" s="9" t="s">
        <v>81</v>
      </c>
      <c r="C691" s="9" t="s">
        <v>260</v>
      </c>
      <c r="D691" s="10" t="s">
        <v>261</v>
      </c>
      <c r="E691" s="11" t="s">
        <v>2199</v>
      </c>
      <c r="F691" s="17"/>
      <c r="G691" s="12" t="s">
        <v>105</v>
      </c>
      <c r="H691" s="13" t="n">
        <v>-0.039</v>
      </c>
      <c r="I691" s="14"/>
      <c r="J691" s="17"/>
      <c r="K691" s="9"/>
      <c r="L691" s="15" t="s">
        <v>50</v>
      </c>
      <c r="M691" s="16" t="s">
        <v>51</v>
      </c>
      <c r="N691" s="14"/>
      <c r="O691" s="15" t="s">
        <v>52</v>
      </c>
      <c r="P691" s="17" t="s">
        <v>53</v>
      </c>
      <c r="Q691" s="15"/>
      <c r="R691" s="18" t="s">
        <v>51</v>
      </c>
      <c r="S691" s="19"/>
      <c r="T691" s="17" t="str">
        <f aca="false">IF(R691="維持",J691,IF(R691="排除","無關新聞事件",IFERROR(INDEX(事件規則!$B$2:$B$53,MATCH(S691,事件規則!$A$2:$A$53,0)),"")))</f>
        <v>無關新聞事件</v>
      </c>
      <c r="U691" s="20" t="n">
        <f aca="false">IF(R691="維持",K691,IF(R691="排除",0,IFERROR(INDEX(事件規則!$C$2:$C$53,MATCH(S691,事件規則!$A$2:$A$53,0)),"")))</f>
        <v>0</v>
      </c>
      <c r="V691" s="21"/>
      <c r="W691" s="22"/>
      <c r="X691" s="10" t="str">
        <f aca="false">IF(AND(R691="修改",S691=""),"請選新事件代碼",IF(AND(R691&lt;&gt;"修改",S691&lt;&gt;""),"只有「修改」才需填代碼",""))</f>
        <v/>
      </c>
      <c r="Y691" s="21"/>
      <c r="Z691" s="22"/>
      <c r="AA691" s="12" t="s">
        <v>2200</v>
      </c>
      <c r="AB691" s="24"/>
    </row>
    <row r="692" customFormat="false" ht="29.85" hidden="false" customHeight="false" outlineLevel="0" collapsed="false">
      <c r="A692" s="15" t="n">
        <v>691</v>
      </c>
      <c r="B692" s="9" t="s">
        <v>55</v>
      </c>
      <c r="C692" s="9" t="s">
        <v>2028</v>
      </c>
      <c r="D692" s="10" t="s">
        <v>2029</v>
      </c>
      <c r="E692" s="11" t="s">
        <v>2201</v>
      </c>
      <c r="F692" s="17"/>
      <c r="G692" s="12" t="s">
        <v>949</v>
      </c>
      <c r="H692" s="13" t="n">
        <v>-0.039</v>
      </c>
      <c r="I692" s="14"/>
      <c r="J692" s="17"/>
      <c r="K692" s="9"/>
      <c r="L692" s="15" t="s">
        <v>50</v>
      </c>
      <c r="M692" s="16" t="s">
        <v>51</v>
      </c>
      <c r="N692" s="14"/>
      <c r="O692" s="15" t="s">
        <v>52</v>
      </c>
      <c r="P692" s="17" t="s">
        <v>53</v>
      </c>
      <c r="Q692" s="15"/>
      <c r="R692" s="18" t="s">
        <v>51</v>
      </c>
      <c r="S692" s="19"/>
      <c r="T692" s="17" t="str">
        <f aca="false">IF(R692="維持",J692,IF(R692="排除","無關新聞事件",IFERROR(INDEX(事件規則!$B$2:$B$53,MATCH(S692,事件規則!$A$2:$A$53,0)),"")))</f>
        <v>無關新聞事件</v>
      </c>
      <c r="U692" s="20" t="n">
        <f aca="false">IF(R692="維持",K692,IF(R692="排除",0,IFERROR(INDEX(事件規則!$C$2:$C$53,MATCH(S692,事件規則!$A$2:$A$53,0)),"")))</f>
        <v>0</v>
      </c>
      <c r="V692" s="21"/>
      <c r="W692" s="22"/>
      <c r="X692" s="10" t="str">
        <f aca="false">IF(AND(R692="修改",S692=""),"請選新事件代碼",IF(AND(R692&lt;&gt;"修改",S692&lt;&gt;""),"只有「修改」才需填代碼",""))</f>
        <v/>
      </c>
      <c r="Y692" s="21"/>
      <c r="Z692" s="22"/>
      <c r="AA692" s="12" t="s">
        <v>2202</v>
      </c>
      <c r="AB692" s="24"/>
    </row>
    <row r="693" customFormat="false" ht="29.85" hidden="false" customHeight="false" outlineLevel="0" collapsed="false">
      <c r="A693" s="15" t="n">
        <v>692</v>
      </c>
      <c r="B693" s="9" t="s">
        <v>55</v>
      </c>
      <c r="C693" s="9" t="s">
        <v>299</v>
      </c>
      <c r="D693" s="10" t="s">
        <v>300</v>
      </c>
      <c r="E693" s="11" t="s">
        <v>2203</v>
      </c>
      <c r="F693" s="17"/>
      <c r="G693" s="12" t="s">
        <v>105</v>
      </c>
      <c r="H693" s="13" t="n">
        <v>-0.039</v>
      </c>
      <c r="I693" s="14"/>
      <c r="J693" s="17"/>
      <c r="K693" s="9"/>
      <c r="L693" s="15" t="s">
        <v>50</v>
      </c>
      <c r="M693" s="16" t="s">
        <v>51</v>
      </c>
      <c r="N693" s="14"/>
      <c r="O693" s="15" t="s">
        <v>52</v>
      </c>
      <c r="P693" s="17" t="s">
        <v>53</v>
      </c>
      <c r="Q693" s="15"/>
      <c r="R693" s="18" t="s">
        <v>51</v>
      </c>
      <c r="S693" s="19"/>
      <c r="T693" s="17" t="str">
        <f aca="false">IF(R693="維持",J693,IF(R693="排除","無關新聞事件",IFERROR(INDEX(事件規則!$B$2:$B$53,MATCH(S693,事件規則!$A$2:$A$53,0)),"")))</f>
        <v>無關新聞事件</v>
      </c>
      <c r="U693" s="20" t="n">
        <f aca="false">IF(R693="維持",K693,IF(R693="排除",0,IFERROR(INDEX(事件規則!$C$2:$C$53,MATCH(S693,事件規則!$A$2:$A$53,0)),"")))</f>
        <v>0</v>
      </c>
      <c r="V693" s="21"/>
      <c r="W693" s="22"/>
      <c r="X693" s="10" t="str">
        <f aca="false">IF(AND(R693="修改",S693=""),"請選新事件代碼",IF(AND(R693&lt;&gt;"修改",S693&lt;&gt;""),"只有「修改」才需填代碼",""))</f>
        <v/>
      </c>
      <c r="Y693" s="21"/>
      <c r="Z693" s="22"/>
      <c r="AA693" s="12" t="s">
        <v>2204</v>
      </c>
      <c r="AB693" s="24"/>
    </row>
    <row r="694" customFormat="false" ht="29.85" hidden="false" customHeight="false" outlineLevel="0" collapsed="false">
      <c r="A694" s="15" t="n">
        <v>693</v>
      </c>
      <c r="B694" s="9" t="s">
        <v>55</v>
      </c>
      <c r="C694" s="9" t="s">
        <v>329</v>
      </c>
      <c r="D694" s="10" t="s">
        <v>330</v>
      </c>
      <c r="E694" s="11" t="s">
        <v>2205</v>
      </c>
      <c r="F694" s="17"/>
      <c r="G694" s="12" t="s">
        <v>105</v>
      </c>
      <c r="H694" s="13" t="n">
        <v>-0.039</v>
      </c>
      <c r="I694" s="14"/>
      <c r="J694" s="17"/>
      <c r="K694" s="9"/>
      <c r="L694" s="15" t="s">
        <v>50</v>
      </c>
      <c r="M694" s="16" t="s">
        <v>51</v>
      </c>
      <c r="N694" s="14"/>
      <c r="O694" s="15" t="s">
        <v>52</v>
      </c>
      <c r="P694" s="17" t="s">
        <v>53</v>
      </c>
      <c r="Q694" s="15"/>
      <c r="R694" s="18" t="s">
        <v>51</v>
      </c>
      <c r="S694" s="19"/>
      <c r="T694" s="17" t="str">
        <f aca="false">IF(R694="維持",J694,IF(R694="排除","無關新聞事件",IFERROR(INDEX(事件規則!$B$2:$B$53,MATCH(S694,事件規則!$A$2:$A$53,0)),"")))</f>
        <v>無關新聞事件</v>
      </c>
      <c r="U694" s="20" t="n">
        <f aca="false">IF(R694="維持",K694,IF(R694="排除",0,IFERROR(INDEX(事件規則!$C$2:$C$53,MATCH(S694,事件規則!$A$2:$A$53,0)),"")))</f>
        <v>0</v>
      </c>
      <c r="V694" s="21"/>
      <c r="W694" s="22"/>
      <c r="X694" s="10" t="str">
        <f aca="false">IF(AND(R694="修改",S694=""),"請選新事件代碼",IF(AND(R694&lt;&gt;"修改",S694&lt;&gt;""),"只有「修改」才需填代碼",""))</f>
        <v/>
      </c>
      <c r="Y694" s="21"/>
      <c r="Z694" s="22"/>
      <c r="AA694" s="12" t="s">
        <v>2206</v>
      </c>
      <c r="AB694" s="24"/>
    </row>
    <row r="695" customFormat="false" ht="29.85" hidden="false" customHeight="false" outlineLevel="0" collapsed="false">
      <c r="A695" s="15" t="n">
        <v>694</v>
      </c>
      <c r="B695" s="9" t="s">
        <v>45</v>
      </c>
      <c r="C695" s="9" t="s">
        <v>449</v>
      </c>
      <c r="D695" s="10" t="s">
        <v>450</v>
      </c>
      <c r="E695" s="11" t="s">
        <v>2207</v>
      </c>
      <c r="F695" s="17"/>
      <c r="G695" s="12" t="s">
        <v>1136</v>
      </c>
      <c r="H695" s="13" t="n">
        <v>-0.039</v>
      </c>
      <c r="I695" s="14"/>
      <c r="J695" s="17"/>
      <c r="K695" s="9"/>
      <c r="L695" s="15" t="s">
        <v>50</v>
      </c>
      <c r="M695" s="16" t="s">
        <v>51</v>
      </c>
      <c r="N695" s="14"/>
      <c r="O695" s="15" t="s">
        <v>52</v>
      </c>
      <c r="P695" s="17" t="s">
        <v>53</v>
      </c>
      <c r="Q695" s="15"/>
      <c r="R695" s="18" t="s">
        <v>51</v>
      </c>
      <c r="S695" s="19"/>
      <c r="T695" s="17" t="str">
        <f aca="false">IF(R695="維持",J695,IF(R695="排除","無關新聞事件",IFERROR(INDEX(事件規則!$B$2:$B$53,MATCH(S695,事件規則!$A$2:$A$53,0)),"")))</f>
        <v>無關新聞事件</v>
      </c>
      <c r="U695" s="20" t="n">
        <f aca="false">IF(R695="維持",K695,IF(R695="排除",0,IFERROR(INDEX(事件規則!$C$2:$C$53,MATCH(S695,事件規則!$A$2:$A$53,0)),"")))</f>
        <v>0</v>
      </c>
      <c r="V695" s="21"/>
      <c r="W695" s="22"/>
      <c r="X695" s="10" t="str">
        <f aca="false">IF(AND(R695="修改",S695=""),"請選新事件代碼",IF(AND(R695&lt;&gt;"修改",S695&lt;&gt;""),"只有「修改」才需填代碼",""))</f>
        <v/>
      </c>
      <c r="Y695" s="21"/>
      <c r="Z695" s="22"/>
      <c r="AA695" s="12" t="s">
        <v>2208</v>
      </c>
      <c r="AB695" s="24"/>
    </row>
    <row r="696" customFormat="false" ht="29.85" hidden="false" customHeight="false" outlineLevel="0" collapsed="false">
      <c r="A696" s="15" t="n">
        <v>695</v>
      </c>
      <c r="B696" s="9" t="s">
        <v>55</v>
      </c>
      <c r="C696" s="9" t="s">
        <v>1318</v>
      </c>
      <c r="D696" s="10" t="s">
        <v>1319</v>
      </c>
      <c r="E696" s="11" t="s">
        <v>2209</v>
      </c>
      <c r="F696" s="17"/>
      <c r="G696" s="12" t="s">
        <v>2033</v>
      </c>
      <c r="H696" s="13" t="n">
        <v>-0.039</v>
      </c>
      <c r="I696" s="14"/>
      <c r="J696" s="17"/>
      <c r="K696" s="9"/>
      <c r="L696" s="15" t="s">
        <v>50</v>
      </c>
      <c r="M696" s="16" t="s">
        <v>51</v>
      </c>
      <c r="N696" s="14"/>
      <c r="O696" s="15" t="s">
        <v>52</v>
      </c>
      <c r="P696" s="17" t="s">
        <v>53</v>
      </c>
      <c r="Q696" s="15"/>
      <c r="R696" s="18" t="s">
        <v>51</v>
      </c>
      <c r="S696" s="19"/>
      <c r="T696" s="17" t="str">
        <f aca="false">IF(R696="維持",J696,IF(R696="排除","無關新聞事件",IFERROR(INDEX(事件規則!$B$2:$B$53,MATCH(S696,事件規則!$A$2:$A$53,0)),"")))</f>
        <v>無關新聞事件</v>
      </c>
      <c r="U696" s="20" t="n">
        <f aca="false">IF(R696="維持",K696,IF(R696="排除",0,IFERROR(INDEX(事件規則!$C$2:$C$53,MATCH(S696,事件規則!$A$2:$A$53,0)),"")))</f>
        <v>0</v>
      </c>
      <c r="V696" s="21"/>
      <c r="W696" s="22"/>
      <c r="X696" s="10" t="str">
        <f aca="false">IF(AND(R696="修改",S696=""),"請選新事件代碼",IF(AND(R696&lt;&gt;"修改",S696&lt;&gt;""),"只有「修改」才需填代碼",""))</f>
        <v/>
      </c>
      <c r="Y696" s="21"/>
      <c r="Z696" s="22"/>
      <c r="AA696" s="12" t="s">
        <v>2210</v>
      </c>
      <c r="AB696" s="24"/>
    </row>
    <row r="697" customFormat="false" ht="29.85" hidden="false" customHeight="false" outlineLevel="0" collapsed="false">
      <c r="A697" s="15" t="n">
        <v>696</v>
      </c>
      <c r="B697" s="9" t="s">
        <v>55</v>
      </c>
      <c r="C697" s="9" t="s">
        <v>303</v>
      </c>
      <c r="D697" s="10" t="s">
        <v>304</v>
      </c>
      <c r="E697" s="11" t="s">
        <v>2211</v>
      </c>
      <c r="F697" s="17"/>
      <c r="G697" s="12" t="s">
        <v>1136</v>
      </c>
      <c r="H697" s="13" t="n">
        <v>-0.039</v>
      </c>
      <c r="I697" s="14"/>
      <c r="J697" s="17"/>
      <c r="K697" s="9"/>
      <c r="L697" s="15" t="s">
        <v>50</v>
      </c>
      <c r="M697" s="16" t="s">
        <v>51</v>
      </c>
      <c r="N697" s="14"/>
      <c r="O697" s="15" t="s">
        <v>52</v>
      </c>
      <c r="P697" s="17" t="s">
        <v>53</v>
      </c>
      <c r="Q697" s="15"/>
      <c r="R697" s="18" t="s">
        <v>51</v>
      </c>
      <c r="S697" s="19"/>
      <c r="T697" s="17" t="str">
        <f aca="false">IF(R697="維持",J697,IF(R697="排除","無關新聞事件",IFERROR(INDEX(事件規則!$B$2:$B$53,MATCH(S697,事件規則!$A$2:$A$53,0)),"")))</f>
        <v>無關新聞事件</v>
      </c>
      <c r="U697" s="20" t="n">
        <f aca="false">IF(R697="維持",K697,IF(R697="排除",0,IFERROR(INDEX(事件規則!$C$2:$C$53,MATCH(S697,事件規則!$A$2:$A$53,0)),"")))</f>
        <v>0</v>
      </c>
      <c r="V697" s="21"/>
      <c r="W697" s="22"/>
      <c r="X697" s="10" t="str">
        <f aca="false">IF(AND(R697="修改",S697=""),"請選新事件代碼",IF(AND(R697&lt;&gt;"修改",S697&lt;&gt;""),"只有「修改」才需填代碼",""))</f>
        <v/>
      </c>
      <c r="Y697" s="21"/>
      <c r="Z697" s="22"/>
      <c r="AA697" s="12" t="s">
        <v>2212</v>
      </c>
      <c r="AB697" s="24"/>
    </row>
    <row r="698" customFormat="false" ht="29.85" hidden="false" customHeight="false" outlineLevel="0" collapsed="false">
      <c r="A698" s="15" t="n">
        <v>697</v>
      </c>
      <c r="B698" s="9" t="s">
        <v>55</v>
      </c>
      <c r="C698" s="9" t="s">
        <v>303</v>
      </c>
      <c r="D698" s="10" t="s">
        <v>304</v>
      </c>
      <c r="E698" s="11" t="s">
        <v>2213</v>
      </c>
      <c r="F698" s="17"/>
      <c r="G698" s="12" t="s">
        <v>1136</v>
      </c>
      <c r="H698" s="13" t="n">
        <v>-0.039</v>
      </c>
      <c r="I698" s="14"/>
      <c r="J698" s="17"/>
      <c r="K698" s="9"/>
      <c r="L698" s="15" t="s">
        <v>50</v>
      </c>
      <c r="M698" s="16" t="s">
        <v>51</v>
      </c>
      <c r="N698" s="14"/>
      <c r="O698" s="15" t="s">
        <v>52</v>
      </c>
      <c r="P698" s="17" t="s">
        <v>53</v>
      </c>
      <c r="Q698" s="15"/>
      <c r="R698" s="18" t="s">
        <v>51</v>
      </c>
      <c r="S698" s="19"/>
      <c r="T698" s="17" t="str">
        <f aca="false">IF(R698="維持",J698,IF(R698="排除","無關新聞事件",IFERROR(INDEX(事件規則!$B$2:$B$53,MATCH(S698,事件規則!$A$2:$A$53,0)),"")))</f>
        <v>無關新聞事件</v>
      </c>
      <c r="U698" s="20" t="n">
        <f aca="false">IF(R698="維持",K698,IF(R698="排除",0,IFERROR(INDEX(事件規則!$C$2:$C$53,MATCH(S698,事件規則!$A$2:$A$53,0)),"")))</f>
        <v>0</v>
      </c>
      <c r="V698" s="21"/>
      <c r="W698" s="22"/>
      <c r="X698" s="10" t="str">
        <f aca="false">IF(AND(R698="修改",S698=""),"請選新事件代碼",IF(AND(R698&lt;&gt;"修改",S698&lt;&gt;""),"只有「修改」才需填代碼",""))</f>
        <v/>
      </c>
      <c r="Y698" s="21"/>
      <c r="Z698" s="22"/>
      <c r="AA698" s="12" t="s">
        <v>2214</v>
      </c>
      <c r="AB698" s="24"/>
    </row>
    <row r="699" customFormat="false" ht="29.85" hidden="false" customHeight="false" outlineLevel="0" collapsed="false">
      <c r="A699" s="15" t="n">
        <v>698</v>
      </c>
      <c r="B699" s="9" t="s">
        <v>55</v>
      </c>
      <c r="C699" s="9" t="s">
        <v>585</v>
      </c>
      <c r="D699" s="10" t="s">
        <v>586</v>
      </c>
      <c r="E699" s="11" t="s">
        <v>2215</v>
      </c>
      <c r="F699" s="17"/>
      <c r="G699" s="12" t="s">
        <v>949</v>
      </c>
      <c r="H699" s="13" t="n">
        <v>-0.039</v>
      </c>
      <c r="I699" s="14"/>
      <c r="J699" s="17"/>
      <c r="K699" s="9"/>
      <c r="L699" s="15" t="s">
        <v>50</v>
      </c>
      <c r="M699" s="16" t="s">
        <v>51</v>
      </c>
      <c r="N699" s="14"/>
      <c r="O699" s="15" t="s">
        <v>52</v>
      </c>
      <c r="P699" s="17" t="s">
        <v>53</v>
      </c>
      <c r="Q699" s="15"/>
      <c r="R699" s="18" t="s">
        <v>51</v>
      </c>
      <c r="S699" s="19"/>
      <c r="T699" s="17" t="str">
        <f aca="false">IF(R699="維持",J699,IF(R699="排除","無關新聞事件",IFERROR(INDEX(事件規則!$B$2:$B$53,MATCH(S699,事件規則!$A$2:$A$53,0)),"")))</f>
        <v>無關新聞事件</v>
      </c>
      <c r="U699" s="20" t="n">
        <f aca="false">IF(R699="維持",K699,IF(R699="排除",0,IFERROR(INDEX(事件規則!$C$2:$C$53,MATCH(S699,事件規則!$A$2:$A$53,0)),"")))</f>
        <v>0</v>
      </c>
      <c r="V699" s="21"/>
      <c r="W699" s="22"/>
      <c r="X699" s="10" t="str">
        <f aca="false">IF(AND(R699="修改",S699=""),"請選新事件代碼",IF(AND(R699&lt;&gt;"修改",S699&lt;&gt;""),"只有「修改」才需填代碼",""))</f>
        <v/>
      </c>
      <c r="Y699" s="21"/>
      <c r="Z699" s="22"/>
      <c r="AA699" s="12" t="s">
        <v>2216</v>
      </c>
      <c r="AB699" s="24"/>
    </row>
    <row r="700" customFormat="false" ht="29.85" hidden="false" customHeight="false" outlineLevel="0" collapsed="false">
      <c r="A700" s="15" t="n">
        <v>699</v>
      </c>
      <c r="B700" s="9" t="s">
        <v>81</v>
      </c>
      <c r="C700" s="9" t="s">
        <v>550</v>
      </c>
      <c r="D700" s="10" t="s">
        <v>551</v>
      </c>
      <c r="E700" s="11" t="s">
        <v>2217</v>
      </c>
      <c r="F700" s="17"/>
      <c r="G700" s="12" t="s">
        <v>1136</v>
      </c>
      <c r="H700" s="13" t="n">
        <v>-0.039</v>
      </c>
      <c r="I700" s="14"/>
      <c r="J700" s="17"/>
      <c r="K700" s="9"/>
      <c r="L700" s="15" t="s">
        <v>50</v>
      </c>
      <c r="M700" s="16" t="s">
        <v>51</v>
      </c>
      <c r="N700" s="14"/>
      <c r="O700" s="15" t="s">
        <v>52</v>
      </c>
      <c r="P700" s="17" t="s">
        <v>53</v>
      </c>
      <c r="Q700" s="15"/>
      <c r="R700" s="18" t="s">
        <v>51</v>
      </c>
      <c r="S700" s="19"/>
      <c r="T700" s="17" t="str">
        <f aca="false">IF(R700="維持",J700,IF(R700="排除","無關新聞事件",IFERROR(INDEX(事件規則!$B$2:$B$53,MATCH(S700,事件規則!$A$2:$A$53,0)),"")))</f>
        <v>無關新聞事件</v>
      </c>
      <c r="U700" s="20" t="n">
        <f aca="false">IF(R700="維持",K700,IF(R700="排除",0,IFERROR(INDEX(事件規則!$C$2:$C$53,MATCH(S700,事件規則!$A$2:$A$53,0)),"")))</f>
        <v>0</v>
      </c>
      <c r="V700" s="21"/>
      <c r="W700" s="22"/>
      <c r="X700" s="10" t="str">
        <f aca="false">IF(AND(R700="修改",S700=""),"請選新事件代碼",IF(AND(R700&lt;&gt;"修改",S700&lt;&gt;""),"只有「修改」才需填代碼",""))</f>
        <v/>
      </c>
      <c r="Y700" s="21"/>
      <c r="Z700" s="22"/>
      <c r="AA700" s="12" t="s">
        <v>2218</v>
      </c>
      <c r="AB700" s="24"/>
    </row>
    <row r="701" customFormat="false" ht="29.85" hidden="false" customHeight="false" outlineLevel="0" collapsed="false">
      <c r="A701" s="15" t="n">
        <v>700</v>
      </c>
      <c r="B701" s="9" t="s">
        <v>112</v>
      </c>
      <c r="C701" s="9" t="s">
        <v>2219</v>
      </c>
      <c r="D701" s="10" t="s">
        <v>2220</v>
      </c>
      <c r="E701" s="11" t="s">
        <v>2221</v>
      </c>
      <c r="F701" s="17"/>
      <c r="G701" s="12" t="s">
        <v>2033</v>
      </c>
      <c r="H701" s="13" t="n">
        <v>-0.039</v>
      </c>
      <c r="I701" s="14"/>
      <c r="J701" s="17"/>
      <c r="K701" s="9"/>
      <c r="L701" s="15" t="s">
        <v>50</v>
      </c>
      <c r="M701" s="16" t="s">
        <v>51</v>
      </c>
      <c r="N701" s="14"/>
      <c r="O701" s="15" t="s">
        <v>52</v>
      </c>
      <c r="P701" s="17" t="s">
        <v>53</v>
      </c>
      <c r="Q701" s="15"/>
      <c r="R701" s="18" t="s">
        <v>51</v>
      </c>
      <c r="S701" s="19"/>
      <c r="T701" s="17" t="str">
        <f aca="false">IF(R701="維持",J701,IF(R701="排除","無關新聞事件",IFERROR(INDEX(事件規則!$B$2:$B$53,MATCH(S701,事件規則!$A$2:$A$53,0)),"")))</f>
        <v>無關新聞事件</v>
      </c>
      <c r="U701" s="20" t="n">
        <f aca="false">IF(R701="維持",K701,IF(R701="排除",0,IFERROR(INDEX(事件規則!$C$2:$C$53,MATCH(S701,事件規則!$A$2:$A$53,0)),"")))</f>
        <v>0</v>
      </c>
      <c r="V701" s="21"/>
      <c r="W701" s="22"/>
      <c r="X701" s="10" t="str">
        <f aca="false">IF(AND(R701="修改",S701=""),"請選新事件代碼",IF(AND(R701&lt;&gt;"修改",S701&lt;&gt;""),"只有「修改」才需填代碼",""))</f>
        <v/>
      </c>
      <c r="Y701" s="21"/>
      <c r="Z701" s="22"/>
      <c r="AA701" s="12" t="s">
        <v>2222</v>
      </c>
      <c r="AB701" s="24"/>
    </row>
    <row r="702" customFormat="false" ht="29.85" hidden="false" customHeight="false" outlineLevel="0" collapsed="false">
      <c r="A702" s="15" t="n">
        <v>701</v>
      </c>
      <c r="B702" s="9" t="s">
        <v>112</v>
      </c>
      <c r="C702" s="9" t="s">
        <v>885</v>
      </c>
      <c r="D702" s="10" t="s">
        <v>886</v>
      </c>
      <c r="E702" s="11" t="s">
        <v>2223</v>
      </c>
      <c r="F702" s="17"/>
      <c r="G702" s="12" t="s">
        <v>949</v>
      </c>
      <c r="H702" s="13" t="n">
        <v>-0.039</v>
      </c>
      <c r="I702" s="14"/>
      <c r="J702" s="17"/>
      <c r="K702" s="9"/>
      <c r="L702" s="15" t="s">
        <v>50</v>
      </c>
      <c r="M702" s="16" t="s">
        <v>51</v>
      </c>
      <c r="N702" s="14"/>
      <c r="O702" s="15" t="s">
        <v>52</v>
      </c>
      <c r="P702" s="17" t="s">
        <v>53</v>
      </c>
      <c r="Q702" s="15"/>
      <c r="R702" s="18" t="s">
        <v>51</v>
      </c>
      <c r="S702" s="19"/>
      <c r="T702" s="17" t="str">
        <f aca="false">IF(R702="維持",J702,IF(R702="排除","無關新聞事件",IFERROR(INDEX(事件規則!$B$2:$B$53,MATCH(S702,事件規則!$A$2:$A$53,0)),"")))</f>
        <v>無關新聞事件</v>
      </c>
      <c r="U702" s="20" t="n">
        <f aca="false">IF(R702="維持",K702,IF(R702="排除",0,IFERROR(INDEX(事件規則!$C$2:$C$53,MATCH(S702,事件規則!$A$2:$A$53,0)),"")))</f>
        <v>0</v>
      </c>
      <c r="V702" s="21"/>
      <c r="W702" s="22"/>
      <c r="X702" s="10" t="str">
        <f aca="false">IF(AND(R702="修改",S702=""),"請選新事件代碼",IF(AND(R702&lt;&gt;"修改",S702&lt;&gt;""),"只有「修改」才需填代碼",""))</f>
        <v/>
      </c>
      <c r="Y702" s="21"/>
      <c r="Z702" s="22"/>
      <c r="AA702" s="12" t="s">
        <v>2224</v>
      </c>
      <c r="AB702" s="24"/>
    </row>
    <row r="703" customFormat="false" ht="29.85" hidden="false" customHeight="false" outlineLevel="0" collapsed="false">
      <c r="A703" s="15" t="n">
        <v>702</v>
      </c>
      <c r="B703" s="9" t="s">
        <v>112</v>
      </c>
      <c r="C703" s="9" t="s">
        <v>716</v>
      </c>
      <c r="D703" s="10" t="s">
        <v>717</v>
      </c>
      <c r="E703" s="11" t="s">
        <v>2225</v>
      </c>
      <c r="F703" s="17"/>
      <c r="G703" s="12" t="s">
        <v>105</v>
      </c>
      <c r="H703" s="13" t="n">
        <v>-0.039</v>
      </c>
      <c r="I703" s="14"/>
      <c r="J703" s="17"/>
      <c r="K703" s="9"/>
      <c r="L703" s="15" t="s">
        <v>50</v>
      </c>
      <c r="M703" s="16" t="s">
        <v>51</v>
      </c>
      <c r="N703" s="14"/>
      <c r="O703" s="15" t="s">
        <v>52</v>
      </c>
      <c r="P703" s="17" t="s">
        <v>53</v>
      </c>
      <c r="Q703" s="15"/>
      <c r="R703" s="18" t="s">
        <v>51</v>
      </c>
      <c r="S703" s="19"/>
      <c r="T703" s="17" t="str">
        <f aca="false">IF(R703="維持",J703,IF(R703="排除","無關新聞事件",IFERROR(INDEX(事件規則!$B$2:$B$53,MATCH(S703,事件規則!$A$2:$A$53,0)),"")))</f>
        <v>無關新聞事件</v>
      </c>
      <c r="U703" s="20" t="n">
        <f aca="false">IF(R703="維持",K703,IF(R703="排除",0,IFERROR(INDEX(事件規則!$C$2:$C$53,MATCH(S703,事件規則!$A$2:$A$53,0)),"")))</f>
        <v>0</v>
      </c>
      <c r="V703" s="21"/>
      <c r="W703" s="22"/>
      <c r="X703" s="10" t="str">
        <f aca="false">IF(AND(R703="修改",S703=""),"請選新事件代碼",IF(AND(R703&lt;&gt;"修改",S703&lt;&gt;""),"只有「修改」才需填代碼",""))</f>
        <v/>
      </c>
      <c r="Y703" s="21"/>
      <c r="Z703" s="22"/>
      <c r="AA703" s="12" t="s">
        <v>2226</v>
      </c>
      <c r="AB703" s="24"/>
    </row>
    <row r="704" customFormat="false" ht="29.85" hidden="false" customHeight="false" outlineLevel="0" collapsed="false">
      <c r="A704" s="15" t="n">
        <v>703</v>
      </c>
      <c r="B704" s="9" t="s">
        <v>112</v>
      </c>
      <c r="C704" s="9" t="s">
        <v>535</v>
      </c>
      <c r="D704" s="10" t="s">
        <v>536</v>
      </c>
      <c r="E704" s="11" t="s">
        <v>2227</v>
      </c>
      <c r="F704" s="17"/>
      <c r="G704" s="12" t="s">
        <v>949</v>
      </c>
      <c r="H704" s="13" t="n">
        <v>-0.039</v>
      </c>
      <c r="I704" s="14"/>
      <c r="J704" s="17"/>
      <c r="K704" s="9"/>
      <c r="L704" s="15" t="s">
        <v>50</v>
      </c>
      <c r="M704" s="16" t="s">
        <v>51</v>
      </c>
      <c r="N704" s="14"/>
      <c r="O704" s="15" t="s">
        <v>52</v>
      </c>
      <c r="P704" s="17" t="s">
        <v>53</v>
      </c>
      <c r="Q704" s="15"/>
      <c r="R704" s="18" t="s">
        <v>51</v>
      </c>
      <c r="S704" s="19"/>
      <c r="T704" s="17" t="str">
        <f aca="false">IF(R704="維持",J704,IF(R704="排除","無關新聞事件",IFERROR(INDEX(事件規則!$B$2:$B$53,MATCH(S704,事件規則!$A$2:$A$53,0)),"")))</f>
        <v>無關新聞事件</v>
      </c>
      <c r="U704" s="20" t="n">
        <f aca="false">IF(R704="維持",K704,IF(R704="排除",0,IFERROR(INDEX(事件規則!$C$2:$C$53,MATCH(S704,事件規則!$A$2:$A$53,0)),"")))</f>
        <v>0</v>
      </c>
      <c r="V704" s="21"/>
      <c r="W704" s="22"/>
      <c r="X704" s="10" t="str">
        <f aca="false">IF(AND(R704="修改",S704=""),"請選新事件代碼",IF(AND(R704&lt;&gt;"修改",S704&lt;&gt;""),"只有「修改」才需填代碼",""))</f>
        <v/>
      </c>
      <c r="Y704" s="21"/>
      <c r="Z704" s="22"/>
      <c r="AA704" s="12" t="s">
        <v>2228</v>
      </c>
      <c r="AB704" s="24"/>
    </row>
    <row r="705" customFormat="false" ht="29.85" hidden="false" customHeight="false" outlineLevel="0" collapsed="false">
      <c r="A705" s="15" t="n">
        <v>704</v>
      </c>
      <c r="B705" s="9" t="s">
        <v>55</v>
      </c>
      <c r="C705" s="9" t="s">
        <v>1196</v>
      </c>
      <c r="D705" s="10" t="s">
        <v>1197</v>
      </c>
      <c r="E705" s="11" t="s">
        <v>2229</v>
      </c>
      <c r="F705" s="17"/>
      <c r="G705" s="12" t="s">
        <v>105</v>
      </c>
      <c r="H705" s="13" t="n">
        <v>-0.038</v>
      </c>
      <c r="I705" s="14"/>
      <c r="J705" s="17"/>
      <c r="K705" s="9"/>
      <c r="L705" s="15" t="s">
        <v>50</v>
      </c>
      <c r="M705" s="16" t="s">
        <v>51</v>
      </c>
      <c r="N705" s="14"/>
      <c r="O705" s="15" t="s">
        <v>52</v>
      </c>
      <c r="P705" s="17" t="s">
        <v>53</v>
      </c>
      <c r="Q705" s="15"/>
      <c r="R705" s="18" t="s">
        <v>51</v>
      </c>
      <c r="S705" s="19"/>
      <c r="T705" s="17" t="str">
        <f aca="false">IF(R705="維持",J705,IF(R705="排除","無關新聞事件",IFERROR(INDEX(事件規則!$B$2:$B$53,MATCH(S705,事件規則!$A$2:$A$53,0)),"")))</f>
        <v>無關新聞事件</v>
      </c>
      <c r="U705" s="20" t="n">
        <f aca="false">IF(R705="維持",K705,IF(R705="排除",0,IFERROR(INDEX(事件規則!$C$2:$C$53,MATCH(S705,事件規則!$A$2:$A$53,0)),"")))</f>
        <v>0</v>
      </c>
      <c r="V705" s="21"/>
      <c r="W705" s="22"/>
      <c r="X705" s="10" t="str">
        <f aca="false">IF(AND(R705="修改",S705=""),"請選新事件代碼",IF(AND(R705&lt;&gt;"修改",S705&lt;&gt;""),"只有「修改」才需填代碼",""))</f>
        <v/>
      </c>
      <c r="Y705" s="21"/>
      <c r="Z705" s="22"/>
      <c r="AA705" s="12" t="s">
        <v>2230</v>
      </c>
      <c r="AB705" s="24"/>
    </row>
    <row r="706" customFormat="false" ht="29.85" hidden="false" customHeight="false" outlineLevel="0" collapsed="false">
      <c r="A706" s="15" t="n">
        <v>705</v>
      </c>
      <c r="B706" s="9" t="s">
        <v>55</v>
      </c>
      <c r="C706" s="9" t="s">
        <v>1318</v>
      </c>
      <c r="D706" s="10" t="s">
        <v>1319</v>
      </c>
      <c r="E706" s="11" t="s">
        <v>2231</v>
      </c>
      <c r="F706" s="17"/>
      <c r="G706" s="12" t="s">
        <v>2033</v>
      </c>
      <c r="H706" s="13" t="n">
        <v>-0.038</v>
      </c>
      <c r="I706" s="14"/>
      <c r="J706" s="17"/>
      <c r="K706" s="9"/>
      <c r="L706" s="15" t="s">
        <v>50</v>
      </c>
      <c r="M706" s="16" t="s">
        <v>51</v>
      </c>
      <c r="N706" s="14"/>
      <c r="O706" s="15" t="s">
        <v>52</v>
      </c>
      <c r="P706" s="17" t="s">
        <v>53</v>
      </c>
      <c r="Q706" s="15"/>
      <c r="R706" s="18" t="s">
        <v>51</v>
      </c>
      <c r="S706" s="19"/>
      <c r="T706" s="17" t="str">
        <f aca="false">IF(R706="維持",J706,IF(R706="排除","無關新聞事件",IFERROR(INDEX(事件規則!$B$2:$B$53,MATCH(S706,事件規則!$A$2:$A$53,0)),"")))</f>
        <v>無關新聞事件</v>
      </c>
      <c r="U706" s="20" t="n">
        <f aca="false">IF(R706="維持",K706,IF(R706="排除",0,IFERROR(INDEX(事件規則!$C$2:$C$53,MATCH(S706,事件規則!$A$2:$A$53,0)),"")))</f>
        <v>0</v>
      </c>
      <c r="V706" s="21"/>
      <c r="W706" s="22"/>
      <c r="X706" s="10" t="str">
        <f aca="false">IF(AND(R706="修改",S706=""),"請選新事件代碼",IF(AND(R706&lt;&gt;"修改",S706&lt;&gt;""),"只有「修改」才需填代碼",""))</f>
        <v/>
      </c>
      <c r="Y706" s="21"/>
      <c r="Z706" s="22"/>
      <c r="AA706" s="12" t="s">
        <v>2232</v>
      </c>
      <c r="AB706" s="24"/>
    </row>
    <row r="707" customFormat="false" ht="29.85" hidden="false" customHeight="false" outlineLevel="0" collapsed="false">
      <c r="A707" s="15" t="n">
        <v>706</v>
      </c>
      <c r="B707" s="9" t="s">
        <v>55</v>
      </c>
      <c r="C707" s="9" t="s">
        <v>2233</v>
      </c>
      <c r="D707" s="10" t="s">
        <v>2234</v>
      </c>
      <c r="E707" s="11" t="s">
        <v>2235</v>
      </c>
      <c r="F707" s="17"/>
      <c r="G707" s="12" t="s">
        <v>105</v>
      </c>
      <c r="H707" s="13" t="n">
        <v>-0.038</v>
      </c>
      <c r="I707" s="14"/>
      <c r="J707" s="17"/>
      <c r="K707" s="9"/>
      <c r="L707" s="15" t="s">
        <v>50</v>
      </c>
      <c r="M707" s="16" t="s">
        <v>51</v>
      </c>
      <c r="N707" s="14"/>
      <c r="O707" s="15" t="s">
        <v>52</v>
      </c>
      <c r="P707" s="17" t="s">
        <v>53</v>
      </c>
      <c r="Q707" s="15"/>
      <c r="R707" s="18" t="s">
        <v>51</v>
      </c>
      <c r="S707" s="19"/>
      <c r="T707" s="17" t="str">
        <f aca="false">IF(R707="維持",J707,IF(R707="排除","無關新聞事件",IFERROR(INDEX(事件規則!$B$2:$B$53,MATCH(S707,事件規則!$A$2:$A$53,0)),"")))</f>
        <v>無關新聞事件</v>
      </c>
      <c r="U707" s="20" t="n">
        <f aca="false">IF(R707="維持",K707,IF(R707="排除",0,IFERROR(INDEX(事件規則!$C$2:$C$53,MATCH(S707,事件規則!$A$2:$A$53,0)),"")))</f>
        <v>0</v>
      </c>
      <c r="V707" s="21"/>
      <c r="W707" s="22"/>
      <c r="X707" s="10" t="str">
        <f aca="false">IF(AND(R707="修改",S707=""),"請選新事件代碼",IF(AND(R707&lt;&gt;"修改",S707&lt;&gt;""),"只有「修改」才需填代碼",""))</f>
        <v/>
      </c>
      <c r="Y707" s="21"/>
      <c r="Z707" s="22"/>
      <c r="AA707" s="12" t="s">
        <v>2236</v>
      </c>
      <c r="AB707" s="24"/>
    </row>
    <row r="708" customFormat="false" ht="29.85" hidden="false" customHeight="false" outlineLevel="0" collapsed="false">
      <c r="A708" s="15" t="n">
        <v>707</v>
      </c>
      <c r="B708" s="9" t="s">
        <v>55</v>
      </c>
      <c r="C708" s="9" t="s">
        <v>535</v>
      </c>
      <c r="D708" s="10" t="s">
        <v>536</v>
      </c>
      <c r="E708" s="11" t="s">
        <v>2237</v>
      </c>
      <c r="F708" s="17"/>
      <c r="G708" s="12" t="s">
        <v>105</v>
      </c>
      <c r="H708" s="13" t="n">
        <v>-0.038</v>
      </c>
      <c r="I708" s="14"/>
      <c r="J708" s="17"/>
      <c r="K708" s="9"/>
      <c r="L708" s="15" t="s">
        <v>50</v>
      </c>
      <c r="M708" s="16" t="s">
        <v>51</v>
      </c>
      <c r="N708" s="14"/>
      <c r="O708" s="15" t="s">
        <v>52</v>
      </c>
      <c r="P708" s="17" t="s">
        <v>53</v>
      </c>
      <c r="Q708" s="15"/>
      <c r="R708" s="18" t="s">
        <v>51</v>
      </c>
      <c r="S708" s="19"/>
      <c r="T708" s="17" t="str">
        <f aca="false">IF(R708="維持",J708,IF(R708="排除","無關新聞事件",IFERROR(INDEX(事件規則!$B$2:$B$53,MATCH(S708,事件規則!$A$2:$A$53,0)),"")))</f>
        <v>無關新聞事件</v>
      </c>
      <c r="U708" s="20" t="n">
        <f aca="false">IF(R708="維持",K708,IF(R708="排除",0,IFERROR(INDEX(事件規則!$C$2:$C$53,MATCH(S708,事件規則!$A$2:$A$53,0)),"")))</f>
        <v>0</v>
      </c>
      <c r="V708" s="21"/>
      <c r="W708" s="22"/>
      <c r="X708" s="10" t="str">
        <f aca="false">IF(AND(R708="修改",S708=""),"請選新事件代碼",IF(AND(R708&lt;&gt;"修改",S708&lt;&gt;""),"只有「修改」才需填代碼",""))</f>
        <v/>
      </c>
      <c r="Y708" s="21"/>
      <c r="Z708" s="22"/>
      <c r="AA708" s="12" t="s">
        <v>2238</v>
      </c>
      <c r="AB708" s="24"/>
    </row>
    <row r="709" customFormat="false" ht="29.85" hidden="false" customHeight="false" outlineLevel="0" collapsed="false">
      <c r="A709" s="15" t="n">
        <v>708</v>
      </c>
      <c r="B709" s="9" t="s">
        <v>55</v>
      </c>
      <c r="C709" s="9" t="s">
        <v>987</v>
      </c>
      <c r="D709" s="10" t="s">
        <v>988</v>
      </c>
      <c r="E709" s="11" t="s">
        <v>2239</v>
      </c>
      <c r="F709" s="17"/>
      <c r="G709" s="12" t="s">
        <v>1136</v>
      </c>
      <c r="H709" s="13" t="n">
        <v>-0.038</v>
      </c>
      <c r="I709" s="14"/>
      <c r="J709" s="17"/>
      <c r="K709" s="9"/>
      <c r="L709" s="15" t="s">
        <v>50</v>
      </c>
      <c r="M709" s="16" t="s">
        <v>51</v>
      </c>
      <c r="N709" s="14"/>
      <c r="O709" s="15" t="s">
        <v>52</v>
      </c>
      <c r="P709" s="17" t="s">
        <v>53</v>
      </c>
      <c r="Q709" s="15"/>
      <c r="R709" s="18" t="s">
        <v>51</v>
      </c>
      <c r="S709" s="19"/>
      <c r="T709" s="17" t="str">
        <f aca="false">IF(R709="維持",J709,IF(R709="排除","無關新聞事件",IFERROR(INDEX(事件規則!$B$2:$B$53,MATCH(S709,事件規則!$A$2:$A$53,0)),"")))</f>
        <v>無關新聞事件</v>
      </c>
      <c r="U709" s="20" t="n">
        <f aca="false">IF(R709="維持",K709,IF(R709="排除",0,IFERROR(INDEX(事件規則!$C$2:$C$53,MATCH(S709,事件規則!$A$2:$A$53,0)),"")))</f>
        <v>0</v>
      </c>
      <c r="V709" s="21"/>
      <c r="W709" s="22"/>
      <c r="X709" s="10" t="str">
        <f aca="false">IF(AND(R709="修改",S709=""),"請選新事件代碼",IF(AND(R709&lt;&gt;"修改",S709&lt;&gt;""),"只有「修改」才需填代碼",""))</f>
        <v/>
      </c>
      <c r="Y709" s="21"/>
      <c r="Z709" s="22"/>
      <c r="AA709" s="12" t="s">
        <v>2240</v>
      </c>
      <c r="AB709" s="24"/>
    </row>
    <row r="710" customFormat="false" ht="29.85" hidden="false" customHeight="false" outlineLevel="0" collapsed="false">
      <c r="A710" s="15" t="n">
        <v>709</v>
      </c>
      <c r="B710" s="9" t="s">
        <v>55</v>
      </c>
      <c r="C710" s="9" t="s">
        <v>139</v>
      </c>
      <c r="D710" s="10" t="s">
        <v>140</v>
      </c>
      <c r="E710" s="11" t="s">
        <v>2241</v>
      </c>
      <c r="F710" s="17"/>
      <c r="G710" s="12" t="s">
        <v>1136</v>
      </c>
      <c r="H710" s="13" t="n">
        <v>-0.038</v>
      </c>
      <c r="I710" s="14"/>
      <c r="J710" s="17"/>
      <c r="K710" s="9"/>
      <c r="L710" s="15" t="s">
        <v>50</v>
      </c>
      <c r="M710" s="16" t="s">
        <v>51</v>
      </c>
      <c r="N710" s="14"/>
      <c r="O710" s="15" t="s">
        <v>52</v>
      </c>
      <c r="P710" s="17" t="s">
        <v>53</v>
      </c>
      <c r="Q710" s="15"/>
      <c r="R710" s="18" t="s">
        <v>51</v>
      </c>
      <c r="S710" s="19"/>
      <c r="T710" s="17" t="str">
        <f aca="false">IF(R710="維持",J710,IF(R710="排除","無關新聞事件",IFERROR(INDEX(事件規則!$B$2:$B$53,MATCH(S710,事件規則!$A$2:$A$53,0)),"")))</f>
        <v>無關新聞事件</v>
      </c>
      <c r="U710" s="20" t="n">
        <f aca="false">IF(R710="維持",K710,IF(R710="排除",0,IFERROR(INDEX(事件規則!$C$2:$C$53,MATCH(S710,事件規則!$A$2:$A$53,0)),"")))</f>
        <v>0</v>
      </c>
      <c r="V710" s="21"/>
      <c r="W710" s="22"/>
      <c r="X710" s="10" t="str">
        <f aca="false">IF(AND(R710="修改",S710=""),"請選新事件代碼",IF(AND(R710&lt;&gt;"修改",S710&lt;&gt;""),"只有「修改」才需填代碼",""))</f>
        <v/>
      </c>
      <c r="Y710" s="21"/>
      <c r="Z710" s="22"/>
      <c r="AA710" s="12" t="s">
        <v>2242</v>
      </c>
      <c r="AB710" s="24"/>
    </row>
    <row r="711" customFormat="false" ht="29.85" hidden="false" customHeight="false" outlineLevel="0" collapsed="false">
      <c r="A711" s="15" t="n">
        <v>710</v>
      </c>
      <c r="B711" s="9" t="s">
        <v>55</v>
      </c>
      <c r="C711" s="9" t="s">
        <v>66</v>
      </c>
      <c r="D711" s="10" t="s">
        <v>67</v>
      </c>
      <c r="E711" s="11" t="s">
        <v>2243</v>
      </c>
      <c r="F711" s="17"/>
      <c r="G711" s="12" t="s">
        <v>105</v>
      </c>
      <c r="H711" s="13" t="n">
        <v>-0.038</v>
      </c>
      <c r="I711" s="14"/>
      <c r="J711" s="17"/>
      <c r="K711" s="9"/>
      <c r="L711" s="15" t="s">
        <v>50</v>
      </c>
      <c r="M711" s="16" t="s">
        <v>51</v>
      </c>
      <c r="N711" s="14"/>
      <c r="O711" s="15" t="s">
        <v>52</v>
      </c>
      <c r="P711" s="17" t="s">
        <v>53</v>
      </c>
      <c r="Q711" s="15"/>
      <c r="R711" s="18" t="s">
        <v>51</v>
      </c>
      <c r="S711" s="19"/>
      <c r="T711" s="17" t="str">
        <f aca="false">IF(R711="維持",J711,IF(R711="排除","無關新聞事件",IFERROR(INDEX(事件規則!$B$2:$B$53,MATCH(S711,事件規則!$A$2:$A$53,0)),"")))</f>
        <v>無關新聞事件</v>
      </c>
      <c r="U711" s="20" t="n">
        <f aca="false">IF(R711="維持",K711,IF(R711="排除",0,IFERROR(INDEX(事件規則!$C$2:$C$53,MATCH(S711,事件規則!$A$2:$A$53,0)),"")))</f>
        <v>0</v>
      </c>
      <c r="V711" s="21"/>
      <c r="W711" s="22"/>
      <c r="X711" s="10" t="str">
        <f aca="false">IF(AND(R711="修改",S711=""),"請選新事件代碼",IF(AND(R711&lt;&gt;"修改",S711&lt;&gt;""),"只有「修改」才需填代碼",""))</f>
        <v/>
      </c>
      <c r="Y711" s="21"/>
      <c r="Z711" s="22"/>
      <c r="AA711" s="12" t="s">
        <v>2244</v>
      </c>
      <c r="AB711" s="24"/>
    </row>
    <row r="712" customFormat="false" ht="29.85" hidden="false" customHeight="false" outlineLevel="0" collapsed="false">
      <c r="A712" s="15" t="n">
        <v>711</v>
      </c>
      <c r="B712" s="9" t="s">
        <v>55</v>
      </c>
      <c r="C712" s="9" t="s">
        <v>107</v>
      </c>
      <c r="D712" s="10" t="s">
        <v>108</v>
      </c>
      <c r="E712" s="11" t="s">
        <v>2245</v>
      </c>
      <c r="F712" s="17"/>
      <c r="G712" s="12" t="s">
        <v>105</v>
      </c>
      <c r="H712" s="13" t="n">
        <v>-0.038</v>
      </c>
      <c r="I712" s="14"/>
      <c r="J712" s="17"/>
      <c r="K712" s="9"/>
      <c r="L712" s="15" t="s">
        <v>50</v>
      </c>
      <c r="M712" s="16" t="s">
        <v>51</v>
      </c>
      <c r="N712" s="14"/>
      <c r="O712" s="15" t="s">
        <v>52</v>
      </c>
      <c r="P712" s="17" t="s">
        <v>53</v>
      </c>
      <c r="Q712" s="15"/>
      <c r="R712" s="18" t="s">
        <v>51</v>
      </c>
      <c r="S712" s="19"/>
      <c r="T712" s="17" t="str">
        <f aca="false">IF(R712="維持",J712,IF(R712="排除","無關新聞事件",IFERROR(INDEX(事件規則!$B$2:$B$53,MATCH(S712,事件規則!$A$2:$A$53,0)),"")))</f>
        <v>無關新聞事件</v>
      </c>
      <c r="U712" s="20" t="n">
        <f aca="false">IF(R712="維持",K712,IF(R712="排除",0,IFERROR(INDEX(事件規則!$C$2:$C$53,MATCH(S712,事件規則!$A$2:$A$53,0)),"")))</f>
        <v>0</v>
      </c>
      <c r="V712" s="21"/>
      <c r="W712" s="22"/>
      <c r="X712" s="10" t="str">
        <f aca="false">IF(AND(R712="修改",S712=""),"請選新事件代碼",IF(AND(R712&lt;&gt;"修改",S712&lt;&gt;""),"只有「修改」才需填代碼",""))</f>
        <v/>
      </c>
      <c r="Y712" s="21"/>
      <c r="Z712" s="22"/>
      <c r="AA712" s="12" t="s">
        <v>2246</v>
      </c>
      <c r="AB712" s="24"/>
    </row>
    <row r="713" customFormat="false" ht="29.85" hidden="false" customHeight="false" outlineLevel="0" collapsed="false">
      <c r="A713" s="15" t="n">
        <v>712</v>
      </c>
      <c r="B713" s="9" t="s">
        <v>55</v>
      </c>
      <c r="C713" s="9" t="s">
        <v>326</v>
      </c>
      <c r="D713" s="10" t="s">
        <v>326</v>
      </c>
      <c r="E713" s="11" t="s">
        <v>2247</v>
      </c>
      <c r="F713" s="17"/>
      <c r="G713" s="12" t="s">
        <v>105</v>
      </c>
      <c r="H713" s="13" t="n">
        <v>-0.038</v>
      </c>
      <c r="I713" s="14"/>
      <c r="J713" s="17"/>
      <c r="K713" s="9"/>
      <c r="L713" s="15" t="s">
        <v>50</v>
      </c>
      <c r="M713" s="16" t="s">
        <v>51</v>
      </c>
      <c r="N713" s="14"/>
      <c r="O713" s="15" t="s">
        <v>52</v>
      </c>
      <c r="P713" s="17" t="s">
        <v>53</v>
      </c>
      <c r="Q713" s="15"/>
      <c r="R713" s="18" t="s">
        <v>51</v>
      </c>
      <c r="S713" s="19"/>
      <c r="T713" s="17" t="str">
        <f aca="false">IF(R713="維持",J713,IF(R713="排除","無關新聞事件",IFERROR(INDEX(事件規則!$B$2:$B$53,MATCH(S713,事件規則!$A$2:$A$53,0)),"")))</f>
        <v>無關新聞事件</v>
      </c>
      <c r="U713" s="20" t="n">
        <f aca="false">IF(R713="維持",K713,IF(R713="排除",0,IFERROR(INDEX(事件規則!$C$2:$C$53,MATCH(S713,事件規則!$A$2:$A$53,0)),"")))</f>
        <v>0</v>
      </c>
      <c r="V713" s="21"/>
      <c r="W713" s="22"/>
      <c r="X713" s="10" t="str">
        <f aca="false">IF(AND(R713="修改",S713=""),"請選新事件代碼",IF(AND(R713&lt;&gt;"修改",S713&lt;&gt;""),"只有「修改」才需填代碼",""))</f>
        <v/>
      </c>
      <c r="Y713" s="21"/>
      <c r="Z713" s="22"/>
      <c r="AA713" s="12" t="s">
        <v>2248</v>
      </c>
      <c r="AB713" s="24"/>
    </row>
    <row r="714" customFormat="false" ht="29.85" hidden="false" customHeight="false" outlineLevel="0" collapsed="false">
      <c r="A714" s="15" t="n">
        <v>713</v>
      </c>
      <c r="B714" s="9" t="s">
        <v>55</v>
      </c>
      <c r="C714" s="9" t="s">
        <v>303</v>
      </c>
      <c r="D714" s="10" t="s">
        <v>304</v>
      </c>
      <c r="E714" s="11" t="s">
        <v>2249</v>
      </c>
      <c r="F714" s="17"/>
      <c r="G714" s="12" t="s">
        <v>1136</v>
      </c>
      <c r="H714" s="13" t="n">
        <v>-0.038</v>
      </c>
      <c r="I714" s="14"/>
      <c r="J714" s="17"/>
      <c r="K714" s="9"/>
      <c r="L714" s="15" t="s">
        <v>50</v>
      </c>
      <c r="M714" s="16" t="s">
        <v>51</v>
      </c>
      <c r="N714" s="14"/>
      <c r="O714" s="15" t="s">
        <v>52</v>
      </c>
      <c r="P714" s="17" t="s">
        <v>53</v>
      </c>
      <c r="Q714" s="15"/>
      <c r="R714" s="18" t="s">
        <v>51</v>
      </c>
      <c r="S714" s="19"/>
      <c r="T714" s="17" t="str">
        <f aca="false">IF(R714="維持",J714,IF(R714="排除","無關新聞事件",IFERROR(INDEX(事件規則!$B$2:$B$53,MATCH(S714,事件規則!$A$2:$A$53,0)),"")))</f>
        <v>無關新聞事件</v>
      </c>
      <c r="U714" s="20" t="n">
        <f aca="false">IF(R714="維持",K714,IF(R714="排除",0,IFERROR(INDEX(事件規則!$C$2:$C$53,MATCH(S714,事件規則!$A$2:$A$53,0)),"")))</f>
        <v>0</v>
      </c>
      <c r="V714" s="21"/>
      <c r="W714" s="22"/>
      <c r="X714" s="10" t="str">
        <f aca="false">IF(AND(R714="修改",S714=""),"請選新事件代碼",IF(AND(R714&lt;&gt;"修改",S714&lt;&gt;""),"只有「修改」才需填代碼",""))</f>
        <v/>
      </c>
      <c r="Y714" s="21"/>
      <c r="Z714" s="22"/>
      <c r="AA714" s="12" t="s">
        <v>2250</v>
      </c>
      <c r="AB714" s="24"/>
    </row>
    <row r="715" customFormat="false" ht="29.85" hidden="false" customHeight="false" outlineLevel="0" collapsed="false">
      <c r="A715" s="15" t="n">
        <v>714</v>
      </c>
      <c r="B715" s="9" t="s">
        <v>55</v>
      </c>
      <c r="C715" s="9" t="s">
        <v>2251</v>
      </c>
      <c r="D715" s="10" t="s">
        <v>2252</v>
      </c>
      <c r="E715" s="11" t="s">
        <v>2253</v>
      </c>
      <c r="F715" s="17"/>
      <c r="G715" s="12" t="s">
        <v>949</v>
      </c>
      <c r="H715" s="13" t="n">
        <v>-0.038</v>
      </c>
      <c r="I715" s="14"/>
      <c r="J715" s="17"/>
      <c r="K715" s="9"/>
      <c r="L715" s="15" t="s">
        <v>50</v>
      </c>
      <c r="M715" s="16" t="s">
        <v>51</v>
      </c>
      <c r="N715" s="14"/>
      <c r="O715" s="15" t="s">
        <v>52</v>
      </c>
      <c r="P715" s="17" t="s">
        <v>53</v>
      </c>
      <c r="Q715" s="15"/>
      <c r="R715" s="18" t="s">
        <v>51</v>
      </c>
      <c r="S715" s="19"/>
      <c r="T715" s="17" t="str">
        <f aca="false">IF(R715="維持",J715,IF(R715="排除","無關新聞事件",IFERROR(INDEX(事件規則!$B$2:$B$53,MATCH(S715,事件規則!$A$2:$A$53,0)),"")))</f>
        <v>無關新聞事件</v>
      </c>
      <c r="U715" s="20" t="n">
        <f aca="false">IF(R715="維持",K715,IF(R715="排除",0,IFERROR(INDEX(事件規則!$C$2:$C$53,MATCH(S715,事件規則!$A$2:$A$53,0)),"")))</f>
        <v>0</v>
      </c>
      <c r="V715" s="21"/>
      <c r="W715" s="22"/>
      <c r="X715" s="10" t="str">
        <f aca="false">IF(AND(R715="修改",S715=""),"請選新事件代碼",IF(AND(R715&lt;&gt;"修改",S715&lt;&gt;""),"只有「修改」才需填代碼",""))</f>
        <v/>
      </c>
      <c r="Y715" s="21"/>
      <c r="Z715" s="22"/>
      <c r="AA715" s="12" t="s">
        <v>2254</v>
      </c>
      <c r="AB715" s="24"/>
    </row>
    <row r="716" customFormat="false" ht="29.85" hidden="false" customHeight="false" outlineLevel="0" collapsed="false">
      <c r="A716" s="15" t="n">
        <v>715</v>
      </c>
      <c r="B716" s="9" t="s">
        <v>112</v>
      </c>
      <c r="C716" s="9" t="s">
        <v>344</v>
      </c>
      <c r="D716" s="10" t="s">
        <v>345</v>
      </c>
      <c r="E716" s="11" t="s">
        <v>2255</v>
      </c>
      <c r="F716" s="17"/>
      <c r="G716" s="12" t="s">
        <v>1136</v>
      </c>
      <c r="H716" s="13" t="n">
        <v>-0.038</v>
      </c>
      <c r="I716" s="14"/>
      <c r="J716" s="17"/>
      <c r="K716" s="9"/>
      <c r="L716" s="15" t="s">
        <v>50</v>
      </c>
      <c r="M716" s="16" t="s">
        <v>51</v>
      </c>
      <c r="N716" s="14"/>
      <c r="O716" s="15" t="s">
        <v>52</v>
      </c>
      <c r="P716" s="17" t="s">
        <v>53</v>
      </c>
      <c r="Q716" s="15"/>
      <c r="R716" s="18" t="s">
        <v>51</v>
      </c>
      <c r="S716" s="19"/>
      <c r="T716" s="17" t="str">
        <f aca="false">IF(R716="維持",J716,IF(R716="排除","無關新聞事件",IFERROR(INDEX(事件規則!$B$2:$B$53,MATCH(S716,事件規則!$A$2:$A$53,0)),"")))</f>
        <v>無關新聞事件</v>
      </c>
      <c r="U716" s="20" t="n">
        <f aca="false">IF(R716="維持",K716,IF(R716="排除",0,IFERROR(INDEX(事件規則!$C$2:$C$53,MATCH(S716,事件規則!$A$2:$A$53,0)),"")))</f>
        <v>0</v>
      </c>
      <c r="V716" s="21"/>
      <c r="W716" s="22"/>
      <c r="X716" s="10" t="str">
        <f aca="false">IF(AND(R716="修改",S716=""),"請選新事件代碼",IF(AND(R716&lt;&gt;"修改",S716&lt;&gt;""),"只有「修改」才需填代碼",""))</f>
        <v/>
      </c>
      <c r="Y716" s="21"/>
      <c r="Z716" s="22"/>
      <c r="AA716" s="12" t="s">
        <v>2256</v>
      </c>
      <c r="AB716" s="24"/>
    </row>
    <row r="717" customFormat="false" ht="29.85" hidden="false" customHeight="false" outlineLevel="0" collapsed="false">
      <c r="A717" s="15" t="n">
        <v>716</v>
      </c>
      <c r="B717" s="9" t="s">
        <v>112</v>
      </c>
      <c r="C717" s="9" t="s">
        <v>917</v>
      </c>
      <c r="D717" s="10" t="s">
        <v>918</v>
      </c>
      <c r="E717" s="11" t="s">
        <v>2257</v>
      </c>
      <c r="F717" s="17"/>
      <c r="G717" s="12" t="s">
        <v>105</v>
      </c>
      <c r="H717" s="13" t="n">
        <v>-0.038</v>
      </c>
      <c r="I717" s="14"/>
      <c r="J717" s="17"/>
      <c r="K717" s="9"/>
      <c r="L717" s="15" t="s">
        <v>50</v>
      </c>
      <c r="M717" s="16" t="s">
        <v>51</v>
      </c>
      <c r="N717" s="14"/>
      <c r="O717" s="15" t="s">
        <v>52</v>
      </c>
      <c r="P717" s="17" t="s">
        <v>53</v>
      </c>
      <c r="Q717" s="15"/>
      <c r="R717" s="18" t="s">
        <v>51</v>
      </c>
      <c r="S717" s="19"/>
      <c r="T717" s="17" t="str">
        <f aca="false">IF(R717="維持",J717,IF(R717="排除","無關新聞事件",IFERROR(INDEX(事件規則!$B$2:$B$53,MATCH(S717,事件規則!$A$2:$A$53,0)),"")))</f>
        <v>無關新聞事件</v>
      </c>
      <c r="U717" s="20" t="n">
        <f aca="false">IF(R717="維持",K717,IF(R717="排除",0,IFERROR(INDEX(事件規則!$C$2:$C$53,MATCH(S717,事件規則!$A$2:$A$53,0)),"")))</f>
        <v>0</v>
      </c>
      <c r="V717" s="21"/>
      <c r="W717" s="22"/>
      <c r="X717" s="10" t="str">
        <f aca="false">IF(AND(R717="修改",S717=""),"請選新事件代碼",IF(AND(R717&lt;&gt;"修改",S717&lt;&gt;""),"只有「修改」才需填代碼",""))</f>
        <v/>
      </c>
      <c r="Y717" s="21"/>
      <c r="Z717" s="22"/>
      <c r="AA717" s="12" t="s">
        <v>2258</v>
      </c>
      <c r="AB717" s="24"/>
    </row>
    <row r="718" customFormat="false" ht="29.85" hidden="false" customHeight="false" outlineLevel="0" collapsed="false">
      <c r="A718" s="15" t="n">
        <v>717</v>
      </c>
      <c r="B718" s="9" t="s">
        <v>112</v>
      </c>
      <c r="C718" s="9" t="s">
        <v>550</v>
      </c>
      <c r="D718" s="10" t="s">
        <v>551</v>
      </c>
      <c r="E718" s="11" t="s">
        <v>2259</v>
      </c>
      <c r="F718" s="17"/>
      <c r="G718" s="12" t="s">
        <v>105</v>
      </c>
      <c r="H718" s="13" t="n">
        <v>-0.038</v>
      </c>
      <c r="I718" s="14"/>
      <c r="J718" s="17"/>
      <c r="K718" s="9"/>
      <c r="L718" s="15" t="s">
        <v>50</v>
      </c>
      <c r="M718" s="16" t="s">
        <v>51</v>
      </c>
      <c r="N718" s="14"/>
      <c r="O718" s="15" t="s">
        <v>52</v>
      </c>
      <c r="P718" s="17" t="s">
        <v>53</v>
      </c>
      <c r="Q718" s="15"/>
      <c r="R718" s="18" t="s">
        <v>51</v>
      </c>
      <c r="S718" s="19"/>
      <c r="T718" s="17" t="str">
        <f aca="false">IF(R718="維持",J718,IF(R718="排除","無關新聞事件",IFERROR(INDEX(事件規則!$B$2:$B$53,MATCH(S718,事件規則!$A$2:$A$53,0)),"")))</f>
        <v>無關新聞事件</v>
      </c>
      <c r="U718" s="20" t="n">
        <f aca="false">IF(R718="維持",K718,IF(R718="排除",0,IFERROR(INDEX(事件規則!$C$2:$C$53,MATCH(S718,事件規則!$A$2:$A$53,0)),"")))</f>
        <v>0</v>
      </c>
      <c r="V718" s="21"/>
      <c r="W718" s="22"/>
      <c r="X718" s="10" t="str">
        <f aca="false">IF(AND(R718="修改",S718=""),"請選新事件代碼",IF(AND(R718&lt;&gt;"修改",S718&lt;&gt;""),"只有「修改」才需填代碼",""))</f>
        <v/>
      </c>
      <c r="Y718" s="21"/>
      <c r="Z718" s="22"/>
      <c r="AA718" s="12" t="s">
        <v>2260</v>
      </c>
      <c r="AB718" s="24"/>
    </row>
    <row r="719" customFormat="false" ht="29.85" hidden="false" customHeight="false" outlineLevel="0" collapsed="false">
      <c r="A719" s="15" t="n">
        <v>718</v>
      </c>
      <c r="B719" s="9" t="s">
        <v>112</v>
      </c>
      <c r="C719" s="9" t="s">
        <v>344</v>
      </c>
      <c r="D719" s="10" t="s">
        <v>345</v>
      </c>
      <c r="E719" s="11" t="s">
        <v>2261</v>
      </c>
      <c r="F719" s="17"/>
      <c r="G719" s="12" t="s">
        <v>1136</v>
      </c>
      <c r="H719" s="13" t="n">
        <v>-0.038</v>
      </c>
      <c r="I719" s="14"/>
      <c r="J719" s="17"/>
      <c r="K719" s="9"/>
      <c r="L719" s="15" t="s">
        <v>50</v>
      </c>
      <c r="M719" s="16" t="s">
        <v>51</v>
      </c>
      <c r="N719" s="14"/>
      <c r="O719" s="15" t="s">
        <v>52</v>
      </c>
      <c r="P719" s="17" t="s">
        <v>53</v>
      </c>
      <c r="Q719" s="15"/>
      <c r="R719" s="18" t="s">
        <v>51</v>
      </c>
      <c r="S719" s="19"/>
      <c r="T719" s="17" t="str">
        <f aca="false">IF(R719="維持",J719,IF(R719="排除","無關新聞事件",IFERROR(INDEX(事件規則!$B$2:$B$53,MATCH(S719,事件規則!$A$2:$A$53,0)),"")))</f>
        <v>無關新聞事件</v>
      </c>
      <c r="U719" s="20" t="n">
        <f aca="false">IF(R719="維持",K719,IF(R719="排除",0,IFERROR(INDEX(事件規則!$C$2:$C$53,MATCH(S719,事件規則!$A$2:$A$53,0)),"")))</f>
        <v>0</v>
      </c>
      <c r="V719" s="21"/>
      <c r="W719" s="22"/>
      <c r="X719" s="10" t="str">
        <f aca="false">IF(AND(R719="修改",S719=""),"請選新事件代碼",IF(AND(R719&lt;&gt;"修改",S719&lt;&gt;""),"只有「修改」才需填代碼",""))</f>
        <v/>
      </c>
      <c r="Y719" s="21"/>
      <c r="Z719" s="22"/>
      <c r="AA719" s="12" t="s">
        <v>2262</v>
      </c>
      <c r="AB719" s="24"/>
    </row>
    <row r="720" customFormat="false" ht="29.85" hidden="false" customHeight="false" outlineLevel="0" collapsed="false">
      <c r="A720" s="15" t="n">
        <v>719</v>
      </c>
      <c r="B720" s="9" t="s">
        <v>112</v>
      </c>
      <c r="C720" s="9" t="s">
        <v>2263</v>
      </c>
      <c r="D720" s="10" t="s">
        <v>2264</v>
      </c>
      <c r="E720" s="11" t="s">
        <v>2265</v>
      </c>
      <c r="F720" s="17"/>
      <c r="G720" s="12" t="s">
        <v>164</v>
      </c>
      <c r="H720" s="13" t="n">
        <v>-0.038</v>
      </c>
      <c r="I720" s="14"/>
      <c r="J720" s="17"/>
      <c r="K720" s="9"/>
      <c r="L720" s="15" t="s">
        <v>50</v>
      </c>
      <c r="M720" s="16" t="s">
        <v>51</v>
      </c>
      <c r="N720" s="14"/>
      <c r="O720" s="15" t="s">
        <v>52</v>
      </c>
      <c r="P720" s="17" t="s">
        <v>53</v>
      </c>
      <c r="Q720" s="15"/>
      <c r="R720" s="18" t="s">
        <v>51</v>
      </c>
      <c r="S720" s="19"/>
      <c r="T720" s="17" t="str">
        <f aca="false">IF(R720="維持",J720,IF(R720="排除","無關新聞事件",IFERROR(INDEX(事件規則!$B$2:$B$53,MATCH(S720,事件規則!$A$2:$A$53,0)),"")))</f>
        <v>無關新聞事件</v>
      </c>
      <c r="U720" s="20" t="n">
        <f aca="false">IF(R720="維持",K720,IF(R720="排除",0,IFERROR(INDEX(事件規則!$C$2:$C$53,MATCH(S720,事件規則!$A$2:$A$53,0)),"")))</f>
        <v>0</v>
      </c>
      <c r="V720" s="21"/>
      <c r="W720" s="22"/>
      <c r="X720" s="10" t="str">
        <f aca="false">IF(AND(R720="修改",S720=""),"請選新事件代碼",IF(AND(R720&lt;&gt;"修改",S720&lt;&gt;""),"只有「修改」才需填代碼",""))</f>
        <v/>
      </c>
      <c r="Y720" s="21"/>
      <c r="Z720" s="22"/>
      <c r="AA720" s="12" t="s">
        <v>2266</v>
      </c>
      <c r="AB720" s="24"/>
    </row>
    <row r="721" customFormat="false" ht="29.85" hidden="false" customHeight="false" outlineLevel="0" collapsed="false">
      <c r="A721" s="15" t="n">
        <v>720</v>
      </c>
      <c r="B721" s="9" t="s">
        <v>45</v>
      </c>
      <c r="C721" s="9" t="s">
        <v>1086</v>
      </c>
      <c r="D721" s="10" t="s">
        <v>1087</v>
      </c>
      <c r="E721" s="11" t="s">
        <v>2267</v>
      </c>
      <c r="F721" s="17"/>
      <c r="G721" s="12" t="s">
        <v>1136</v>
      </c>
      <c r="H721" s="13" t="n">
        <v>-0.038</v>
      </c>
      <c r="I721" s="14"/>
      <c r="J721" s="17"/>
      <c r="K721" s="9"/>
      <c r="L721" s="15" t="s">
        <v>50</v>
      </c>
      <c r="M721" s="16" t="s">
        <v>51</v>
      </c>
      <c r="N721" s="14"/>
      <c r="O721" s="15" t="s">
        <v>52</v>
      </c>
      <c r="P721" s="17" t="s">
        <v>53</v>
      </c>
      <c r="Q721" s="15"/>
      <c r="R721" s="18" t="s">
        <v>51</v>
      </c>
      <c r="S721" s="19"/>
      <c r="T721" s="17" t="str">
        <f aca="false">IF(R721="維持",J721,IF(R721="排除","無關新聞事件",IFERROR(INDEX(事件規則!$B$2:$B$53,MATCH(S721,事件規則!$A$2:$A$53,0)),"")))</f>
        <v>無關新聞事件</v>
      </c>
      <c r="U721" s="20" t="n">
        <f aca="false">IF(R721="維持",K721,IF(R721="排除",0,IFERROR(INDEX(事件規則!$C$2:$C$53,MATCH(S721,事件規則!$A$2:$A$53,0)),"")))</f>
        <v>0</v>
      </c>
      <c r="V721" s="21"/>
      <c r="W721" s="22"/>
      <c r="X721" s="10" t="str">
        <f aca="false">IF(AND(R721="修改",S721=""),"請選新事件代碼",IF(AND(R721&lt;&gt;"修改",S721&lt;&gt;""),"只有「修改」才需填代碼",""))</f>
        <v/>
      </c>
      <c r="Y721" s="21"/>
      <c r="Z721" s="22"/>
      <c r="AA721" s="12" t="s">
        <v>2268</v>
      </c>
      <c r="AB721" s="24"/>
    </row>
    <row r="722" customFormat="false" ht="29.85" hidden="false" customHeight="false" outlineLevel="0" collapsed="false">
      <c r="A722" s="15" t="n">
        <v>721</v>
      </c>
      <c r="B722" s="9" t="s">
        <v>55</v>
      </c>
      <c r="C722" s="9" t="s">
        <v>303</v>
      </c>
      <c r="D722" s="10" t="s">
        <v>304</v>
      </c>
      <c r="E722" s="11" t="s">
        <v>2269</v>
      </c>
      <c r="F722" s="17"/>
      <c r="G722" s="12" t="s">
        <v>1136</v>
      </c>
      <c r="H722" s="13" t="n">
        <v>-0.038</v>
      </c>
      <c r="I722" s="14"/>
      <c r="J722" s="17"/>
      <c r="K722" s="9"/>
      <c r="L722" s="15" t="s">
        <v>50</v>
      </c>
      <c r="M722" s="16" t="s">
        <v>51</v>
      </c>
      <c r="N722" s="14"/>
      <c r="O722" s="15" t="s">
        <v>52</v>
      </c>
      <c r="P722" s="17" t="s">
        <v>53</v>
      </c>
      <c r="Q722" s="15"/>
      <c r="R722" s="18" t="s">
        <v>51</v>
      </c>
      <c r="S722" s="19"/>
      <c r="T722" s="17" t="str">
        <f aca="false">IF(R722="維持",J722,IF(R722="排除","無關新聞事件",IFERROR(INDEX(事件規則!$B$2:$B$53,MATCH(S722,事件規則!$A$2:$A$53,0)),"")))</f>
        <v>無關新聞事件</v>
      </c>
      <c r="U722" s="20" t="n">
        <f aca="false">IF(R722="維持",K722,IF(R722="排除",0,IFERROR(INDEX(事件規則!$C$2:$C$53,MATCH(S722,事件規則!$A$2:$A$53,0)),"")))</f>
        <v>0</v>
      </c>
      <c r="V722" s="21"/>
      <c r="W722" s="22"/>
      <c r="X722" s="10" t="str">
        <f aca="false">IF(AND(R722="修改",S722=""),"請選新事件代碼",IF(AND(R722&lt;&gt;"修改",S722&lt;&gt;""),"只有「修改」才需填代碼",""))</f>
        <v/>
      </c>
      <c r="Y722" s="21"/>
      <c r="Z722" s="22"/>
      <c r="AA722" s="12" t="s">
        <v>2270</v>
      </c>
      <c r="AB722" s="24"/>
    </row>
    <row r="723" customFormat="false" ht="29.85" hidden="false" customHeight="false" outlineLevel="0" collapsed="false">
      <c r="A723" s="15" t="n">
        <v>722</v>
      </c>
      <c r="B723" s="9" t="s">
        <v>112</v>
      </c>
      <c r="C723" s="9" t="s">
        <v>344</v>
      </c>
      <c r="D723" s="10" t="s">
        <v>345</v>
      </c>
      <c r="E723" s="11" t="s">
        <v>2271</v>
      </c>
      <c r="F723" s="17"/>
      <c r="G723" s="12" t="s">
        <v>1136</v>
      </c>
      <c r="H723" s="13" t="n">
        <v>-0.038</v>
      </c>
      <c r="I723" s="14"/>
      <c r="J723" s="17"/>
      <c r="K723" s="9"/>
      <c r="L723" s="15" t="s">
        <v>50</v>
      </c>
      <c r="M723" s="16" t="s">
        <v>51</v>
      </c>
      <c r="N723" s="14"/>
      <c r="O723" s="15" t="s">
        <v>52</v>
      </c>
      <c r="P723" s="17" t="s">
        <v>53</v>
      </c>
      <c r="Q723" s="15"/>
      <c r="R723" s="18" t="s">
        <v>51</v>
      </c>
      <c r="S723" s="19"/>
      <c r="T723" s="17" t="str">
        <f aca="false">IF(R723="維持",J723,IF(R723="排除","無關新聞事件",IFERROR(INDEX(事件規則!$B$2:$B$53,MATCH(S723,事件規則!$A$2:$A$53,0)),"")))</f>
        <v>無關新聞事件</v>
      </c>
      <c r="U723" s="20" t="n">
        <f aca="false">IF(R723="維持",K723,IF(R723="排除",0,IFERROR(INDEX(事件規則!$C$2:$C$53,MATCH(S723,事件規則!$A$2:$A$53,0)),"")))</f>
        <v>0</v>
      </c>
      <c r="V723" s="21"/>
      <c r="W723" s="22"/>
      <c r="X723" s="10" t="str">
        <f aca="false">IF(AND(R723="修改",S723=""),"請選新事件代碼",IF(AND(R723&lt;&gt;"修改",S723&lt;&gt;""),"只有「修改」才需填代碼",""))</f>
        <v/>
      </c>
      <c r="Y723" s="21"/>
      <c r="Z723" s="22"/>
      <c r="AA723" s="12" t="s">
        <v>2272</v>
      </c>
      <c r="AB723" s="24"/>
    </row>
    <row r="724" customFormat="false" ht="29.85" hidden="false" customHeight="false" outlineLevel="0" collapsed="false">
      <c r="A724" s="15" t="n">
        <v>723</v>
      </c>
      <c r="B724" s="9" t="s">
        <v>55</v>
      </c>
      <c r="C724" s="9" t="s">
        <v>303</v>
      </c>
      <c r="D724" s="10" t="s">
        <v>304</v>
      </c>
      <c r="E724" s="11" t="s">
        <v>2273</v>
      </c>
      <c r="F724" s="17"/>
      <c r="G724" s="12" t="s">
        <v>1136</v>
      </c>
      <c r="H724" s="13" t="n">
        <v>-0.038</v>
      </c>
      <c r="I724" s="14"/>
      <c r="J724" s="17"/>
      <c r="K724" s="9"/>
      <c r="L724" s="15" t="s">
        <v>50</v>
      </c>
      <c r="M724" s="16" t="s">
        <v>51</v>
      </c>
      <c r="N724" s="14"/>
      <c r="O724" s="15" t="s">
        <v>52</v>
      </c>
      <c r="P724" s="17" t="s">
        <v>53</v>
      </c>
      <c r="Q724" s="15"/>
      <c r="R724" s="18" t="s">
        <v>51</v>
      </c>
      <c r="S724" s="19"/>
      <c r="T724" s="17" t="str">
        <f aca="false">IF(R724="維持",J724,IF(R724="排除","無關新聞事件",IFERROR(INDEX(事件規則!$B$2:$B$53,MATCH(S724,事件規則!$A$2:$A$53,0)),"")))</f>
        <v>無關新聞事件</v>
      </c>
      <c r="U724" s="20" t="n">
        <f aca="false">IF(R724="維持",K724,IF(R724="排除",0,IFERROR(INDEX(事件規則!$C$2:$C$53,MATCH(S724,事件規則!$A$2:$A$53,0)),"")))</f>
        <v>0</v>
      </c>
      <c r="V724" s="21"/>
      <c r="W724" s="22"/>
      <c r="X724" s="10" t="str">
        <f aca="false">IF(AND(R724="修改",S724=""),"請選新事件代碼",IF(AND(R724&lt;&gt;"修改",S724&lt;&gt;""),"只有「修改」才需填代碼",""))</f>
        <v/>
      </c>
      <c r="Y724" s="21"/>
      <c r="Z724" s="22"/>
      <c r="AA724" s="12" t="s">
        <v>2274</v>
      </c>
      <c r="AB724" s="24"/>
    </row>
    <row r="725" customFormat="false" ht="29.85" hidden="false" customHeight="false" outlineLevel="0" collapsed="false">
      <c r="A725" s="15" t="n">
        <v>724</v>
      </c>
      <c r="B725" s="9" t="s">
        <v>45</v>
      </c>
      <c r="C725" s="9" t="s">
        <v>585</v>
      </c>
      <c r="D725" s="10" t="s">
        <v>586</v>
      </c>
      <c r="E725" s="11" t="s">
        <v>2275</v>
      </c>
      <c r="F725" s="17"/>
      <c r="G725" s="12" t="s">
        <v>949</v>
      </c>
      <c r="H725" s="13" t="n">
        <v>-0.038</v>
      </c>
      <c r="I725" s="14"/>
      <c r="J725" s="17"/>
      <c r="K725" s="9"/>
      <c r="L725" s="15" t="s">
        <v>50</v>
      </c>
      <c r="M725" s="16" t="s">
        <v>51</v>
      </c>
      <c r="N725" s="14"/>
      <c r="O725" s="15" t="s">
        <v>52</v>
      </c>
      <c r="P725" s="17" t="s">
        <v>53</v>
      </c>
      <c r="Q725" s="15"/>
      <c r="R725" s="18" t="s">
        <v>51</v>
      </c>
      <c r="S725" s="19"/>
      <c r="T725" s="17" t="str">
        <f aca="false">IF(R725="維持",J725,IF(R725="排除","無關新聞事件",IFERROR(INDEX(事件規則!$B$2:$B$53,MATCH(S725,事件規則!$A$2:$A$53,0)),"")))</f>
        <v>無關新聞事件</v>
      </c>
      <c r="U725" s="20" t="n">
        <f aca="false">IF(R725="維持",K725,IF(R725="排除",0,IFERROR(INDEX(事件規則!$C$2:$C$53,MATCH(S725,事件規則!$A$2:$A$53,0)),"")))</f>
        <v>0</v>
      </c>
      <c r="V725" s="21"/>
      <c r="W725" s="22"/>
      <c r="X725" s="10" t="str">
        <f aca="false">IF(AND(R725="修改",S725=""),"請選新事件代碼",IF(AND(R725&lt;&gt;"修改",S725&lt;&gt;""),"只有「修改」才需填代碼",""))</f>
        <v/>
      </c>
      <c r="Y725" s="21"/>
      <c r="Z725" s="22"/>
      <c r="AA725" s="12" t="s">
        <v>2276</v>
      </c>
      <c r="AB725" s="24"/>
    </row>
    <row r="726" customFormat="false" ht="29.85" hidden="false" customHeight="false" outlineLevel="0" collapsed="false">
      <c r="A726" s="15" t="n">
        <v>725</v>
      </c>
      <c r="B726" s="9" t="s">
        <v>55</v>
      </c>
      <c r="C726" s="9" t="s">
        <v>449</v>
      </c>
      <c r="D726" s="10" t="s">
        <v>450</v>
      </c>
      <c r="E726" s="11" t="s">
        <v>2277</v>
      </c>
      <c r="F726" s="17"/>
      <c r="G726" s="12" t="s">
        <v>949</v>
      </c>
      <c r="H726" s="13" t="n">
        <v>-0.038</v>
      </c>
      <c r="I726" s="14"/>
      <c r="J726" s="17"/>
      <c r="K726" s="9"/>
      <c r="L726" s="15" t="s">
        <v>50</v>
      </c>
      <c r="M726" s="16" t="s">
        <v>51</v>
      </c>
      <c r="N726" s="14"/>
      <c r="O726" s="15" t="s">
        <v>52</v>
      </c>
      <c r="P726" s="17" t="s">
        <v>53</v>
      </c>
      <c r="Q726" s="15"/>
      <c r="R726" s="18" t="s">
        <v>51</v>
      </c>
      <c r="S726" s="19"/>
      <c r="T726" s="17" t="str">
        <f aca="false">IF(R726="維持",J726,IF(R726="排除","無關新聞事件",IFERROR(INDEX(事件規則!$B$2:$B$53,MATCH(S726,事件規則!$A$2:$A$53,0)),"")))</f>
        <v>無關新聞事件</v>
      </c>
      <c r="U726" s="20" t="n">
        <f aca="false">IF(R726="維持",K726,IF(R726="排除",0,IFERROR(INDEX(事件規則!$C$2:$C$53,MATCH(S726,事件規則!$A$2:$A$53,0)),"")))</f>
        <v>0</v>
      </c>
      <c r="V726" s="21"/>
      <c r="W726" s="22"/>
      <c r="X726" s="10" t="str">
        <f aca="false">IF(AND(R726="修改",S726=""),"請選新事件代碼",IF(AND(R726&lt;&gt;"修改",S726&lt;&gt;""),"只有「修改」才需填代碼",""))</f>
        <v/>
      </c>
      <c r="Y726" s="21"/>
      <c r="Z726" s="22"/>
      <c r="AA726" s="12" t="s">
        <v>2278</v>
      </c>
      <c r="AB726" s="24"/>
    </row>
    <row r="727" customFormat="false" ht="29.85" hidden="false" customHeight="false" outlineLevel="0" collapsed="false">
      <c r="A727" s="15" t="n">
        <v>726</v>
      </c>
      <c r="B727" s="9" t="s">
        <v>55</v>
      </c>
      <c r="C727" s="9" t="s">
        <v>484</v>
      </c>
      <c r="D727" s="10" t="s">
        <v>485</v>
      </c>
      <c r="E727" s="11" t="s">
        <v>2279</v>
      </c>
      <c r="F727" s="17"/>
      <c r="G727" s="12" t="s">
        <v>1389</v>
      </c>
      <c r="H727" s="13" t="n">
        <v>-0.038</v>
      </c>
      <c r="I727" s="14"/>
      <c r="J727" s="17"/>
      <c r="K727" s="9"/>
      <c r="L727" s="15" t="s">
        <v>50</v>
      </c>
      <c r="M727" s="16" t="s">
        <v>51</v>
      </c>
      <c r="N727" s="14"/>
      <c r="O727" s="15" t="s">
        <v>52</v>
      </c>
      <c r="P727" s="17" t="s">
        <v>53</v>
      </c>
      <c r="Q727" s="15"/>
      <c r="R727" s="18" t="s">
        <v>51</v>
      </c>
      <c r="S727" s="19"/>
      <c r="T727" s="17" t="str">
        <f aca="false">IF(R727="維持",J727,IF(R727="排除","無關新聞事件",IFERROR(INDEX(事件規則!$B$2:$B$53,MATCH(S727,事件規則!$A$2:$A$53,0)),"")))</f>
        <v>無關新聞事件</v>
      </c>
      <c r="U727" s="20" t="n">
        <f aca="false">IF(R727="維持",K727,IF(R727="排除",0,IFERROR(INDEX(事件規則!$C$2:$C$53,MATCH(S727,事件規則!$A$2:$A$53,0)),"")))</f>
        <v>0</v>
      </c>
      <c r="V727" s="21"/>
      <c r="W727" s="22"/>
      <c r="X727" s="10" t="str">
        <f aca="false">IF(AND(R727="修改",S727=""),"請選新事件代碼",IF(AND(R727&lt;&gt;"修改",S727&lt;&gt;""),"只有「修改」才需填代碼",""))</f>
        <v/>
      </c>
      <c r="Y727" s="21"/>
      <c r="Z727" s="22"/>
      <c r="AA727" s="12" t="s">
        <v>2280</v>
      </c>
      <c r="AB727" s="24"/>
    </row>
    <row r="728" customFormat="false" ht="29.85" hidden="false" customHeight="false" outlineLevel="0" collapsed="false">
      <c r="A728" s="15" t="n">
        <v>727</v>
      </c>
      <c r="B728" s="9" t="s">
        <v>112</v>
      </c>
      <c r="C728" s="9" t="s">
        <v>550</v>
      </c>
      <c r="D728" s="10" t="s">
        <v>551</v>
      </c>
      <c r="E728" s="11" t="s">
        <v>2281</v>
      </c>
      <c r="F728" s="17"/>
      <c r="G728" s="12" t="s">
        <v>105</v>
      </c>
      <c r="H728" s="13" t="n">
        <v>-0.038</v>
      </c>
      <c r="I728" s="14"/>
      <c r="J728" s="17"/>
      <c r="K728" s="9"/>
      <c r="L728" s="15" t="s">
        <v>50</v>
      </c>
      <c r="M728" s="16" t="s">
        <v>51</v>
      </c>
      <c r="N728" s="14"/>
      <c r="O728" s="15" t="s">
        <v>52</v>
      </c>
      <c r="P728" s="17" t="s">
        <v>53</v>
      </c>
      <c r="Q728" s="15"/>
      <c r="R728" s="18" t="s">
        <v>51</v>
      </c>
      <c r="S728" s="19"/>
      <c r="T728" s="17" t="str">
        <f aca="false">IF(R728="維持",J728,IF(R728="排除","無關新聞事件",IFERROR(INDEX(事件規則!$B$2:$B$53,MATCH(S728,事件規則!$A$2:$A$53,0)),"")))</f>
        <v>無關新聞事件</v>
      </c>
      <c r="U728" s="20" t="n">
        <f aca="false">IF(R728="維持",K728,IF(R728="排除",0,IFERROR(INDEX(事件規則!$C$2:$C$53,MATCH(S728,事件規則!$A$2:$A$53,0)),"")))</f>
        <v>0</v>
      </c>
      <c r="V728" s="21"/>
      <c r="W728" s="22"/>
      <c r="X728" s="10" t="str">
        <f aca="false">IF(AND(R728="修改",S728=""),"請選新事件代碼",IF(AND(R728&lt;&gt;"修改",S728&lt;&gt;""),"只有「修改」才需填代碼",""))</f>
        <v/>
      </c>
      <c r="Y728" s="21"/>
      <c r="Z728" s="22"/>
      <c r="AA728" s="12" t="s">
        <v>2282</v>
      </c>
      <c r="AB728" s="24"/>
    </row>
    <row r="729" customFormat="false" ht="29.85" hidden="false" customHeight="false" outlineLevel="0" collapsed="false">
      <c r="A729" s="15" t="n">
        <v>728</v>
      </c>
      <c r="B729" s="9" t="s">
        <v>112</v>
      </c>
      <c r="C729" s="9" t="s">
        <v>2283</v>
      </c>
      <c r="D729" s="10" t="s">
        <v>2284</v>
      </c>
      <c r="E729" s="11" t="s">
        <v>2285</v>
      </c>
      <c r="F729" s="17"/>
      <c r="G729" s="12" t="s">
        <v>176</v>
      </c>
      <c r="H729" s="13" t="n">
        <v>-0.038</v>
      </c>
      <c r="I729" s="14"/>
      <c r="J729" s="17"/>
      <c r="K729" s="9"/>
      <c r="L729" s="15" t="s">
        <v>50</v>
      </c>
      <c r="M729" s="16" t="s">
        <v>51</v>
      </c>
      <c r="N729" s="14"/>
      <c r="O729" s="15" t="s">
        <v>52</v>
      </c>
      <c r="P729" s="17" t="s">
        <v>53</v>
      </c>
      <c r="Q729" s="15"/>
      <c r="R729" s="18" t="s">
        <v>51</v>
      </c>
      <c r="S729" s="19"/>
      <c r="T729" s="17" t="str">
        <f aca="false">IF(R729="維持",J729,IF(R729="排除","無關新聞事件",IFERROR(INDEX(事件規則!$B$2:$B$53,MATCH(S729,事件規則!$A$2:$A$53,0)),"")))</f>
        <v>無關新聞事件</v>
      </c>
      <c r="U729" s="20" t="n">
        <f aca="false">IF(R729="維持",K729,IF(R729="排除",0,IFERROR(INDEX(事件規則!$C$2:$C$53,MATCH(S729,事件規則!$A$2:$A$53,0)),"")))</f>
        <v>0</v>
      </c>
      <c r="V729" s="21"/>
      <c r="W729" s="22"/>
      <c r="X729" s="10" t="str">
        <f aca="false">IF(AND(R729="修改",S729=""),"請選新事件代碼",IF(AND(R729&lt;&gt;"修改",S729&lt;&gt;""),"只有「修改」才需填代碼",""))</f>
        <v/>
      </c>
      <c r="Y729" s="21"/>
      <c r="Z729" s="22"/>
      <c r="AA729" s="12" t="s">
        <v>2286</v>
      </c>
      <c r="AB729" s="24"/>
    </row>
    <row r="730" customFormat="false" ht="29.85" hidden="false" customHeight="false" outlineLevel="0" collapsed="false">
      <c r="A730" s="15" t="n">
        <v>729</v>
      </c>
      <c r="B730" s="9" t="s">
        <v>112</v>
      </c>
      <c r="C730" s="9" t="s">
        <v>535</v>
      </c>
      <c r="D730" s="10" t="s">
        <v>536</v>
      </c>
      <c r="E730" s="11" t="s">
        <v>2287</v>
      </c>
      <c r="F730" s="17"/>
      <c r="G730" s="12" t="s">
        <v>105</v>
      </c>
      <c r="H730" s="13" t="n">
        <v>-0.038</v>
      </c>
      <c r="I730" s="14"/>
      <c r="J730" s="17"/>
      <c r="K730" s="9"/>
      <c r="L730" s="15" t="s">
        <v>50</v>
      </c>
      <c r="M730" s="16" t="s">
        <v>51</v>
      </c>
      <c r="N730" s="14"/>
      <c r="O730" s="15" t="s">
        <v>52</v>
      </c>
      <c r="P730" s="17" t="s">
        <v>53</v>
      </c>
      <c r="Q730" s="15"/>
      <c r="R730" s="18" t="s">
        <v>51</v>
      </c>
      <c r="S730" s="19"/>
      <c r="T730" s="17" t="str">
        <f aca="false">IF(R730="維持",J730,IF(R730="排除","無關新聞事件",IFERROR(INDEX(事件規則!$B$2:$B$53,MATCH(S730,事件規則!$A$2:$A$53,0)),"")))</f>
        <v>無關新聞事件</v>
      </c>
      <c r="U730" s="20" t="n">
        <f aca="false">IF(R730="維持",K730,IF(R730="排除",0,IFERROR(INDEX(事件規則!$C$2:$C$53,MATCH(S730,事件規則!$A$2:$A$53,0)),"")))</f>
        <v>0</v>
      </c>
      <c r="V730" s="21"/>
      <c r="W730" s="22"/>
      <c r="X730" s="10" t="str">
        <f aca="false">IF(AND(R730="修改",S730=""),"請選新事件代碼",IF(AND(R730&lt;&gt;"修改",S730&lt;&gt;""),"只有「修改」才需填代碼",""))</f>
        <v/>
      </c>
      <c r="Y730" s="21"/>
      <c r="Z730" s="22"/>
      <c r="AA730" s="12" t="s">
        <v>2288</v>
      </c>
      <c r="AB730" s="24"/>
    </row>
    <row r="731" customFormat="false" ht="29.85" hidden="false" customHeight="false" outlineLevel="0" collapsed="false">
      <c r="A731" s="15" t="n">
        <v>730</v>
      </c>
      <c r="B731" s="9" t="s">
        <v>112</v>
      </c>
      <c r="C731" s="9" t="s">
        <v>2289</v>
      </c>
      <c r="D731" s="10" t="s">
        <v>2290</v>
      </c>
      <c r="E731" s="11" t="s">
        <v>2291</v>
      </c>
      <c r="F731" s="17"/>
      <c r="G731" s="12" t="s">
        <v>176</v>
      </c>
      <c r="H731" s="13" t="n">
        <v>-0.038</v>
      </c>
      <c r="I731" s="14"/>
      <c r="J731" s="17"/>
      <c r="K731" s="9"/>
      <c r="L731" s="15" t="s">
        <v>50</v>
      </c>
      <c r="M731" s="16" t="s">
        <v>51</v>
      </c>
      <c r="N731" s="14"/>
      <c r="O731" s="15" t="s">
        <v>52</v>
      </c>
      <c r="P731" s="17" t="s">
        <v>53</v>
      </c>
      <c r="Q731" s="15"/>
      <c r="R731" s="18" t="s">
        <v>51</v>
      </c>
      <c r="S731" s="19"/>
      <c r="T731" s="17" t="str">
        <f aca="false">IF(R731="維持",J731,IF(R731="排除","無關新聞事件",IFERROR(INDEX(事件規則!$B$2:$B$53,MATCH(S731,事件規則!$A$2:$A$53,0)),"")))</f>
        <v>無關新聞事件</v>
      </c>
      <c r="U731" s="20" t="n">
        <f aca="false">IF(R731="維持",K731,IF(R731="排除",0,IFERROR(INDEX(事件規則!$C$2:$C$53,MATCH(S731,事件規則!$A$2:$A$53,0)),"")))</f>
        <v>0</v>
      </c>
      <c r="V731" s="21"/>
      <c r="W731" s="22"/>
      <c r="X731" s="10" t="str">
        <f aca="false">IF(AND(R731="修改",S731=""),"請選新事件代碼",IF(AND(R731&lt;&gt;"修改",S731&lt;&gt;""),"只有「修改」才需填代碼",""))</f>
        <v/>
      </c>
      <c r="Y731" s="21"/>
      <c r="Z731" s="22"/>
      <c r="AA731" s="12" t="s">
        <v>2292</v>
      </c>
      <c r="AB731" s="24"/>
    </row>
    <row r="732" customFormat="false" ht="29.85" hidden="false" customHeight="false" outlineLevel="0" collapsed="false">
      <c r="A732" s="15" t="n">
        <v>731</v>
      </c>
      <c r="B732" s="9" t="s">
        <v>112</v>
      </c>
      <c r="C732" s="9" t="s">
        <v>2293</v>
      </c>
      <c r="D732" s="10" t="s">
        <v>2294</v>
      </c>
      <c r="E732" s="11" t="s">
        <v>2295</v>
      </c>
      <c r="F732" s="17"/>
      <c r="G732" s="12" t="s">
        <v>949</v>
      </c>
      <c r="H732" s="13" t="n">
        <v>-0.038</v>
      </c>
      <c r="I732" s="14"/>
      <c r="J732" s="17"/>
      <c r="K732" s="9"/>
      <c r="L732" s="15" t="s">
        <v>50</v>
      </c>
      <c r="M732" s="16" t="s">
        <v>51</v>
      </c>
      <c r="N732" s="14"/>
      <c r="O732" s="15" t="s">
        <v>52</v>
      </c>
      <c r="P732" s="17" t="s">
        <v>53</v>
      </c>
      <c r="Q732" s="15"/>
      <c r="R732" s="18" t="s">
        <v>51</v>
      </c>
      <c r="S732" s="19"/>
      <c r="T732" s="17" t="str">
        <f aca="false">IF(R732="維持",J732,IF(R732="排除","無關新聞事件",IFERROR(INDEX(事件規則!$B$2:$B$53,MATCH(S732,事件規則!$A$2:$A$53,0)),"")))</f>
        <v>無關新聞事件</v>
      </c>
      <c r="U732" s="20" t="n">
        <f aca="false">IF(R732="維持",K732,IF(R732="排除",0,IFERROR(INDEX(事件規則!$C$2:$C$53,MATCH(S732,事件規則!$A$2:$A$53,0)),"")))</f>
        <v>0</v>
      </c>
      <c r="V732" s="21"/>
      <c r="W732" s="22"/>
      <c r="X732" s="10" t="str">
        <f aca="false">IF(AND(R732="修改",S732=""),"請選新事件代碼",IF(AND(R732&lt;&gt;"修改",S732&lt;&gt;""),"只有「修改」才需填代碼",""))</f>
        <v/>
      </c>
      <c r="Y732" s="21"/>
      <c r="Z732" s="22"/>
      <c r="AA732" s="12" t="s">
        <v>2296</v>
      </c>
      <c r="AB732" s="24"/>
    </row>
    <row r="733" customFormat="false" ht="29.85" hidden="false" customHeight="false" outlineLevel="0" collapsed="false">
      <c r="A733" s="15" t="n">
        <v>732</v>
      </c>
      <c r="B733" s="9" t="s">
        <v>112</v>
      </c>
      <c r="C733" s="9" t="s">
        <v>2130</v>
      </c>
      <c r="D733" s="10" t="s">
        <v>2131</v>
      </c>
      <c r="E733" s="11" t="s">
        <v>2297</v>
      </c>
      <c r="F733" s="17"/>
      <c r="G733" s="12" t="s">
        <v>1136</v>
      </c>
      <c r="H733" s="13" t="n">
        <v>-0.038</v>
      </c>
      <c r="I733" s="14"/>
      <c r="J733" s="17"/>
      <c r="K733" s="9"/>
      <c r="L733" s="15" t="s">
        <v>50</v>
      </c>
      <c r="M733" s="16" t="s">
        <v>51</v>
      </c>
      <c r="N733" s="14"/>
      <c r="O733" s="15" t="s">
        <v>52</v>
      </c>
      <c r="P733" s="17" t="s">
        <v>53</v>
      </c>
      <c r="Q733" s="15"/>
      <c r="R733" s="18" t="s">
        <v>51</v>
      </c>
      <c r="S733" s="19"/>
      <c r="T733" s="17" t="str">
        <f aca="false">IF(R733="維持",J733,IF(R733="排除","無關新聞事件",IFERROR(INDEX(事件規則!$B$2:$B$53,MATCH(S733,事件規則!$A$2:$A$53,0)),"")))</f>
        <v>無關新聞事件</v>
      </c>
      <c r="U733" s="20" t="n">
        <f aca="false">IF(R733="維持",K733,IF(R733="排除",0,IFERROR(INDEX(事件規則!$C$2:$C$53,MATCH(S733,事件規則!$A$2:$A$53,0)),"")))</f>
        <v>0</v>
      </c>
      <c r="V733" s="21"/>
      <c r="W733" s="22"/>
      <c r="X733" s="10" t="str">
        <f aca="false">IF(AND(R733="修改",S733=""),"請選新事件代碼",IF(AND(R733&lt;&gt;"修改",S733&lt;&gt;""),"只有「修改」才需填代碼",""))</f>
        <v/>
      </c>
      <c r="Y733" s="21"/>
      <c r="Z733" s="22"/>
      <c r="AA733" s="12" t="s">
        <v>2298</v>
      </c>
      <c r="AB733" s="24"/>
    </row>
    <row r="734" customFormat="false" ht="29.85" hidden="false" customHeight="false" outlineLevel="0" collapsed="false">
      <c r="A734" s="15" t="n">
        <v>733</v>
      </c>
      <c r="B734" s="9" t="s">
        <v>112</v>
      </c>
      <c r="C734" s="9" t="s">
        <v>107</v>
      </c>
      <c r="D734" s="10" t="s">
        <v>108</v>
      </c>
      <c r="E734" s="11" t="s">
        <v>2299</v>
      </c>
      <c r="F734" s="17"/>
      <c r="G734" s="12" t="s">
        <v>105</v>
      </c>
      <c r="H734" s="13" t="n">
        <v>-0.038</v>
      </c>
      <c r="I734" s="14"/>
      <c r="J734" s="17"/>
      <c r="K734" s="9"/>
      <c r="L734" s="15" t="s">
        <v>50</v>
      </c>
      <c r="M734" s="16" t="s">
        <v>51</v>
      </c>
      <c r="N734" s="14"/>
      <c r="O734" s="15" t="s">
        <v>52</v>
      </c>
      <c r="P734" s="17" t="s">
        <v>53</v>
      </c>
      <c r="Q734" s="15"/>
      <c r="R734" s="18" t="s">
        <v>51</v>
      </c>
      <c r="S734" s="19"/>
      <c r="T734" s="17" t="str">
        <f aca="false">IF(R734="維持",J734,IF(R734="排除","無關新聞事件",IFERROR(INDEX(事件規則!$B$2:$B$53,MATCH(S734,事件規則!$A$2:$A$53,0)),"")))</f>
        <v>無關新聞事件</v>
      </c>
      <c r="U734" s="20" t="n">
        <f aca="false">IF(R734="維持",K734,IF(R734="排除",0,IFERROR(INDEX(事件規則!$C$2:$C$53,MATCH(S734,事件規則!$A$2:$A$53,0)),"")))</f>
        <v>0</v>
      </c>
      <c r="V734" s="21"/>
      <c r="W734" s="22"/>
      <c r="X734" s="10" t="str">
        <f aca="false">IF(AND(R734="修改",S734=""),"請選新事件代碼",IF(AND(R734&lt;&gt;"修改",S734&lt;&gt;""),"只有「修改」才需填代碼",""))</f>
        <v/>
      </c>
      <c r="Y734" s="21"/>
      <c r="Z734" s="22"/>
      <c r="AA734" s="12" t="s">
        <v>2300</v>
      </c>
      <c r="AB734" s="24"/>
    </row>
    <row r="735" customFormat="false" ht="29.85" hidden="false" customHeight="false" outlineLevel="0" collapsed="false">
      <c r="A735" s="15" t="n">
        <v>734</v>
      </c>
      <c r="B735" s="9" t="s">
        <v>112</v>
      </c>
      <c r="C735" s="9" t="s">
        <v>92</v>
      </c>
      <c r="D735" s="10" t="s">
        <v>93</v>
      </c>
      <c r="E735" s="11" t="s">
        <v>2301</v>
      </c>
      <c r="F735" s="17"/>
      <c r="G735" s="12" t="s">
        <v>105</v>
      </c>
      <c r="H735" s="13" t="n">
        <v>-0.038</v>
      </c>
      <c r="I735" s="14"/>
      <c r="J735" s="17"/>
      <c r="K735" s="9"/>
      <c r="L735" s="15" t="s">
        <v>50</v>
      </c>
      <c r="M735" s="16" t="s">
        <v>51</v>
      </c>
      <c r="N735" s="14"/>
      <c r="O735" s="15" t="s">
        <v>52</v>
      </c>
      <c r="P735" s="17" t="s">
        <v>53</v>
      </c>
      <c r="Q735" s="15"/>
      <c r="R735" s="18" t="s">
        <v>51</v>
      </c>
      <c r="S735" s="19"/>
      <c r="T735" s="17" t="str">
        <f aca="false">IF(R735="維持",J735,IF(R735="排除","無關新聞事件",IFERROR(INDEX(事件規則!$B$2:$B$53,MATCH(S735,事件規則!$A$2:$A$53,0)),"")))</f>
        <v>無關新聞事件</v>
      </c>
      <c r="U735" s="20" t="n">
        <f aca="false">IF(R735="維持",K735,IF(R735="排除",0,IFERROR(INDEX(事件規則!$C$2:$C$53,MATCH(S735,事件規則!$A$2:$A$53,0)),"")))</f>
        <v>0</v>
      </c>
      <c r="V735" s="21"/>
      <c r="W735" s="22"/>
      <c r="X735" s="10" t="str">
        <f aca="false">IF(AND(R735="修改",S735=""),"請選新事件代碼",IF(AND(R735&lt;&gt;"修改",S735&lt;&gt;""),"只有「修改」才需填代碼",""))</f>
        <v/>
      </c>
      <c r="Y735" s="21"/>
      <c r="Z735" s="22"/>
      <c r="AA735" s="12" t="s">
        <v>2302</v>
      </c>
      <c r="AB735" s="24"/>
    </row>
    <row r="736" customFormat="false" ht="29.85" hidden="false" customHeight="false" outlineLevel="0" collapsed="false">
      <c r="A736" s="15" t="n">
        <v>735</v>
      </c>
      <c r="B736" s="9" t="s">
        <v>45</v>
      </c>
      <c r="C736" s="9" t="s">
        <v>2303</v>
      </c>
      <c r="D736" s="10" t="s">
        <v>2304</v>
      </c>
      <c r="E736" s="11" t="s">
        <v>2305</v>
      </c>
      <c r="F736" s="17"/>
      <c r="G736" s="12" t="s">
        <v>176</v>
      </c>
      <c r="H736" s="13" t="n">
        <v>-0.038</v>
      </c>
      <c r="I736" s="14"/>
      <c r="J736" s="17"/>
      <c r="K736" s="9"/>
      <c r="L736" s="15" t="s">
        <v>50</v>
      </c>
      <c r="M736" s="16" t="s">
        <v>51</v>
      </c>
      <c r="N736" s="14"/>
      <c r="O736" s="15" t="s">
        <v>52</v>
      </c>
      <c r="P736" s="17" t="s">
        <v>53</v>
      </c>
      <c r="Q736" s="15"/>
      <c r="R736" s="18" t="s">
        <v>51</v>
      </c>
      <c r="S736" s="19"/>
      <c r="T736" s="17" t="str">
        <f aca="false">IF(R736="維持",J736,IF(R736="排除","無關新聞事件",IFERROR(INDEX(事件規則!$B$2:$B$53,MATCH(S736,事件規則!$A$2:$A$53,0)),"")))</f>
        <v>無關新聞事件</v>
      </c>
      <c r="U736" s="20" t="n">
        <f aca="false">IF(R736="維持",K736,IF(R736="排除",0,IFERROR(INDEX(事件規則!$C$2:$C$53,MATCH(S736,事件規則!$A$2:$A$53,0)),"")))</f>
        <v>0</v>
      </c>
      <c r="V736" s="21"/>
      <c r="W736" s="22"/>
      <c r="X736" s="10" t="str">
        <f aca="false">IF(AND(R736="修改",S736=""),"請選新事件代碼",IF(AND(R736&lt;&gt;"修改",S736&lt;&gt;""),"只有「修改」才需填代碼",""))</f>
        <v/>
      </c>
      <c r="Y736" s="21"/>
      <c r="Z736" s="22"/>
      <c r="AA736" s="12" t="s">
        <v>2306</v>
      </c>
      <c r="AB736" s="24"/>
    </row>
    <row r="737" customFormat="false" ht="29.85" hidden="false" customHeight="false" outlineLevel="0" collapsed="false">
      <c r="A737" s="15" t="n">
        <v>736</v>
      </c>
      <c r="B737" s="9" t="s">
        <v>55</v>
      </c>
      <c r="C737" s="9" t="s">
        <v>1086</v>
      </c>
      <c r="D737" s="10" t="s">
        <v>1087</v>
      </c>
      <c r="E737" s="11" t="s">
        <v>2307</v>
      </c>
      <c r="F737" s="17"/>
      <c r="G737" s="12" t="s">
        <v>105</v>
      </c>
      <c r="H737" s="13" t="n">
        <v>-0.037</v>
      </c>
      <c r="I737" s="14"/>
      <c r="J737" s="17"/>
      <c r="K737" s="9"/>
      <c r="L737" s="15" t="s">
        <v>50</v>
      </c>
      <c r="M737" s="16" t="s">
        <v>51</v>
      </c>
      <c r="N737" s="14"/>
      <c r="O737" s="15" t="s">
        <v>52</v>
      </c>
      <c r="P737" s="17" t="s">
        <v>53</v>
      </c>
      <c r="Q737" s="15"/>
      <c r="R737" s="18" t="s">
        <v>51</v>
      </c>
      <c r="S737" s="19"/>
      <c r="T737" s="17" t="str">
        <f aca="false">IF(R737="維持",J737,IF(R737="排除","無關新聞事件",IFERROR(INDEX(事件規則!$B$2:$B$53,MATCH(S737,事件規則!$A$2:$A$53,0)),"")))</f>
        <v>無關新聞事件</v>
      </c>
      <c r="U737" s="20" t="n">
        <f aca="false">IF(R737="維持",K737,IF(R737="排除",0,IFERROR(INDEX(事件規則!$C$2:$C$53,MATCH(S737,事件規則!$A$2:$A$53,0)),"")))</f>
        <v>0</v>
      </c>
      <c r="V737" s="21"/>
      <c r="W737" s="22"/>
      <c r="X737" s="10" t="str">
        <f aca="false">IF(AND(R737="修改",S737=""),"請選新事件代碼",IF(AND(R737&lt;&gt;"修改",S737&lt;&gt;""),"只有「修改」才需填代碼",""))</f>
        <v/>
      </c>
      <c r="Y737" s="21"/>
      <c r="Z737" s="22"/>
      <c r="AA737" s="12" t="s">
        <v>2308</v>
      </c>
      <c r="AB737" s="24"/>
    </row>
    <row r="738" customFormat="false" ht="29.85" hidden="false" customHeight="false" outlineLevel="0" collapsed="false">
      <c r="A738" s="15" t="n">
        <v>737</v>
      </c>
      <c r="B738" s="9" t="s">
        <v>55</v>
      </c>
      <c r="C738" s="9" t="s">
        <v>2309</v>
      </c>
      <c r="D738" s="10" t="s">
        <v>2310</v>
      </c>
      <c r="E738" s="11" t="s">
        <v>2311</v>
      </c>
      <c r="F738" s="17"/>
      <c r="G738" s="12" t="s">
        <v>949</v>
      </c>
      <c r="H738" s="13" t="n">
        <v>-0.037</v>
      </c>
      <c r="I738" s="14"/>
      <c r="J738" s="17"/>
      <c r="K738" s="9"/>
      <c r="L738" s="15" t="s">
        <v>50</v>
      </c>
      <c r="M738" s="16" t="s">
        <v>51</v>
      </c>
      <c r="N738" s="14"/>
      <c r="O738" s="15" t="s">
        <v>52</v>
      </c>
      <c r="P738" s="17" t="s">
        <v>53</v>
      </c>
      <c r="Q738" s="15"/>
      <c r="R738" s="18" t="s">
        <v>51</v>
      </c>
      <c r="S738" s="19"/>
      <c r="T738" s="17" t="str">
        <f aca="false">IF(R738="維持",J738,IF(R738="排除","無關新聞事件",IFERROR(INDEX(事件規則!$B$2:$B$53,MATCH(S738,事件規則!$A$2:$A$53,0)),"")))</f>
        <v>無關新聞事件</v>
      </c>
      <c r="U738" s="20" t="n">
        <f aca="false">IF(R738="維持",K738,IF(R738="排除",0,IFERROR(INDEX(事件規則!$C$2:$C$53,MATCH(S738,事件規則!$A$2:$A$53,0)),"")))</f>
        <v>0</v>
      </c>
      <c r="V738" s="21"/>
      <c r="W738" s="22"/>
      <c r="X738" s="10" t="str">
        <f aca="false">IF(AND(R738="修改",S738=""),"請選新事件代碼",IF(AND(R738&lt;&gt;"修改",S738&lt;&gt;""),"只有「修改」才需填代碼",""))</f>
        <v/>
      </c>
      <c r="Y738" s="21"/>
      <c r="Z738" s="22"/>
      <c r="AA738" s="12" t="s">
        <v>2312</v>
      </c>
      <c r="AB738" s="24"/>
    </row>
    <row r="739" customFormat="false" ht="29.85" hidden="false" customHeight="false" outlineLevel="0" collapsed="false">
      <c r="A739" s="15" t="n">
        <v>738</v>
      </c>
      <c r="B739" s="9" t="s">
        <v>112</v>
      </c>
      <c r="C739" s="9" t="s">
        <v>550</v>
      </c>
      <c r="D739" s="10" t="s">
        <v>551</v>
      </c>
      <c r="E739" s="11" t="s">
        <v>2313</v>
      </c>
      <c r="F739" s="17"/>
      <c r="G739" s="12" t="s">
        <v>949</v>
      </c>
      <c r="H739" s="13" t="n">
        <v>-0.037</v>
      </c>
      <c r="I739" s="14"/>
      <c r="J739" s="17"/>
      <c r="K739" s="9"/>
      <c r="L739" s="15" t="s">
        <v>50</v>
      </c>
      <c r="M739" s="16" t="s">
        <v>51</v>
      </c>
      <c r="N739" s="14"/>
      <c r="O739" s="15" t="s">
        <v>52</v>
      </c>
      <c r="P739" s="17" t="s">
        <v>53</v>
      </c>
      <c r="Q739" s="15"/>
      <c r="R739" s="18" t="s">
        <v>51</v>
      </c>
      <c r="S739" s="19"/>
      <c r="T739" s="17" t="str">
        <f aca="false">IF(R739="維持",J739,IF(R739="排除","無關新聞事件",IFERROR(INDEX(事件規則!$B$2:$B$53,MATCH(S739,事件規則!$A$2:$A$53,0)),"")))</f>
        <v>無關新聞事件</v>
      </c>
      <c r="U739" s="20" t="n">
        <f aca="false">IF(R739="維持",K739,IF(R739="排除",0,IFERROR(INDEX(事件規則!$C$2:$C$53,MATCH(S739,事件規則!$A$2:$A$53,0)),"")))</f>
        <v>0</v>
      </c>
      <c r="V739" s="21"/>
      <c r="W739" s="22"/>
      <c r="X739" s="10" t="str">
        <f aca="false">IF(AND(R739="修改",S739=""),"請選新事件代碼",IF(AND(R739&lt;&gt;"修改",S739&lt;&gt;""),"只有「修改」才需填代碼",""))</f>
        <v/>
      </c>
      <c r="Y739" s="21"/>
      <c r="Z739" s="22"/>
      <c r="AA739" s="12" t="s">
        <v>2314</v>
      </c>
      <c r="AB739" s="24"/>
    </row>
    <row r="740" customFormat="false" ht="29.85" hidden="false" customHeight="false" outlineLevel="0" collapsed="false">
      <c r="A740" s="15" t="n">
        <v>739</v>
      </c>
      <c r="B740" s="9" t="s">
        <v>112</v>
      </c>
      <c r="C740" s="9" t="s">
        <v>2315</v>
      </c>
      <c r="D740" s="10" t="s">
        <v>2316</v>
      </c>
      <c r="E740" s="11" t="s">
        <v>2317</v>
      </c>
      <c r="F740" s="17"/>
      <c r="G740" s="12" t="s">
        <v>949</v>
      </c>
      <c r="H740" s="13" t="n">
        <v>-0.037</v>
      </c>
      <c r="I740" s="14"/>
      <c r="J740" s="17"/>
      <c r="K740" s="9"/>
      <c r="L740" s="15" t="s">
        <v>50</v>
      </c>
      <c r="M740" s="16" t="s">
        <v>51</v>
      </c>
      <c r="N740" s="14"/>
      <c r="O740" s="15" t="s">
        <v>52</v>
      </c>
      <c r="P740" s="17" t="s">
        <v>53</v>
      </c>
      <c r="Q740" s="15"/>
      <c r="R740" s="18" t="s">
        <v>51</v>
      </c>
      <c r="S740" s="19"/>
      <c r="T740" s="17" t="str">
        <f aca="false">IF(R740="維持",J740,IF(R740="排除","無關新聞事件",IFERROR(INDEX(事件規則!$B$2:$B$53,MATCH(S740,事件規則!$A$2:$A$53,0)),"")))</f>
        <v>無關新聞事件</v>
      </c>
      <c r="U740" s="20" t="n">
        <f aca="false">IF(R740="維持",K740,IF(R740="排除",0,IFERROR(INDEX(事件規則!$C$2:$C$53,MATCH(S740,事件規則!$A$2:$A$53,0)),"")))</f>
        <v>0</v>
      </c>
      <c r="V740" s="21"/>
      <c r="W740" s="22"/>
      <c r="X740" s="10" t="str">
        <f aca="false">IF(AND(R740="修改",S740=""),"請選新事件代碼",IF(AND(R740&lt;&gt;"修改",S740&lt;&gt;""),"只有「修改」才需填代碼",""))</f>
        <v/>
      </c>
      <c r="Y740" s="21"/>
      <c r="Z740" s="22"/>
      <c r="AA740" s="12" t="s">
        <v>2318</v>
      </c>
      <c r="AB740" s="24"/>
    </row>
    <row r="741" customFormat="false" ht="29.85" hidden="false" customHeight="false" outlineLevel="0" collapsed="false">
      <c r="A741" s="15" t="n">
        <v>740</v>
      </c>
      <c r="B741" s="9" t="s">
        <v>112</v>
      </c>
      <c r="C741" s="9" t="s">
        <v>2319</v>
      </c>
      <c r="D741" s="10" t="s">
        <v>2320</v>
      </c>
      <c r="E741" s="11" t="s">
        <v>2321</v>
      </c>
      <c r="F741" s="17"/>
      <c r="G741" s="12" t="s">
        <v>105</v>
      </c>
      <c r="H741" s="13" t="n">
        <v>-0.037</v>
      </c>
      <c r="I741" s="14"/>
      <c r="J741" s="17"/>
      <c r="K741" s="9"/>
      <c r="L741" s="15" t="s">
        <v>50</v>
      </c>
      <c r="M741" s="16" t="s">
        <v>51</v>
      </c>
      <c r="N741" s="14"/>
      <c r="O741" s="15" t="s">
        <v>52</v>
      </c>
      <c r="P741" s="17" t="s">
        <v>53</v>
      </c>
      <c r="Q741" s="15"/>
      <c r="R741" s="18" t="s">
        <v>51</v>
      </c>
      <c r="S741" s="19"/>
      <c r="T741" s="17" t="str">
        <f aca="false">IF(R741="維持",J741,IF(R741="排除","無關新聞事件",IFERROR(INDEX(事件規則!$B$2:$B$53,MATCH(S741,事件規則!$A$2:$A$53,0)),"")))</f>
        <v>無關新聞事件</v>
      </c>
      <c r="U741" s="20" t="n">
        <f aca="false">IF(R741="維持",K741,IF(R741="排除",0,IFERROR(INDEX(事件規則!$C$2:$C$53,MATCH(S741,事件規則!$A$2:$A$53,0)),"")))</f>
        <v>0</v>
      </c>
      <c r="V741" s="21"/>
      <c r="W741" s="22"/>
      <c r="X741" s="10" t="str">
        <f aca="false">IF(AND(R741="修改",S741=""),"請選新事件代碼",IF(AND(R741&lt;&gt;"修改",S741&lt;&gt;""),"只有「修改」才需填代碼",""))</f>
        <v/>
      </c>
      <c r="Y741" s="21"/>
      <c r="Z741" s="22"/>
      <c r="AA741" s="12" t="s">
        <v>2322</v>
      </c>
      <c r="AB741" s="24"/>
    </row>
    <row r="742" customFormat="false" ht="29.85" hidden="false" customHeight="false" outlineLevel="0" collapsed="false">
      <c r="A742" s="15" t="n">
        <v>741</v>
      </c>
      <c r="B742" s="9" t="s">
        <v>112</v>
      </c>
      <c r="C742" s="9" t="s">
        <v>2037</v>
      </c>
      <c r="D742" s="10" t="s">
        <v>2038</v>
      </c>
      <c r="E742" s="11" t="s">
        <v>2323</v>
      </c>
      <c r="F742" s="17"/>
      <c r="G742" s="12" t="s">
        <v>1136</v>
      </c>
      <c r="H742" s="13" t="n">
        <v>-0.037</v>
      </c>
      <c r="I742" s="14"/>
      <c r="J742" s="17"/>
      <c r="K742" s="9"/>
      <c r="L742" s="15" t="s">
        <v>50</v>
      </c>
      <c r="M742" s="16" t="s">
        <v>51</v>
      </c>
      <c r="N742" s="14"/>
      <c r="O742" s="15" t="s">
        <v>52</v>
      </c>
      <c r="P742" s="17" t="s">
        <v>53</v>
      </c>
      <c r="Q742" s="15"/>
      <c r="R742" s="18" t="s">
        <v>51</v>
      </c>
      <c r="S742" s="19"/>
      <c r="T742" s="17" t="str">
        <f aca="false">IF(R742="維持",J742,IF(R742="排除","無關新聞事件",IFERROR(INDEX(事件規則!$B$2:$B$53,MATCH(S742,事件規則!$A$2:$A$53,0)),"")))</f>
        <v>無關新聞事件</v>
      </c>
      <c r="U742" s="20" t="n">
        <f aca="false">IF(R742="維持",K742,IF(R742="排除",0,IFERROR(INDEX(事件規則!$C$2:$C$53,MATCH(S742,事件規則!$A$2:$A$53,0)),"")))</f>
        <v>0</v>
      </c>
      <c r="V742" s="21"/>
      <c r="W742" s="22"/>
      <c r="X742" s="10" t="str">
        <f aca="false">IF(AND(R742="修改",S742=""),"請選新事件代碼",IF(AND(R742&lt;&gt;"修改",S742&lt;&gt;""),"只有「修改」才需填代碼",""))</f>
        <v/>
      </c>
      <c r="Y742" s="21"/>
      <c r="Z742" s="22"/>
      <c r="AA742" s="12" t="s">
        <v>2324</v>
      </c>
      <c r="AB742" s="24"/>
    </row>
    <row r="743" customFormat="false" ht="29.85" hidden="false" customHeight="false" outlineLevel="0" collapsed="false">
      <c r="A743" s="15" t="n">
        <v>742</v>
      </c>
      <c r="B743" s="9" t="s">
        <v>55</v>
      </c>
      <c r="C743" s="9" t="s">
        <v>303</v>
      </c>
      <c r="D743" s="10" t="s">
        <v>304</v>
      </c>
      <c r="E743" s="11" t="s">
        <v>2325</v>
      </c>
      <c r="F743" s="17"/>
      <c r="G743" s="12" t="s">
        <v>1136</v>
      </c>
      <c r="H743" s="13" t="n">
        <v>-0.037</v>
      </c>
      <c r="I743" s="14"/>
      <c r="J743" s="17"/>
      <c r="K743" s="9"/>
      <c r="L743" s="15" t="s">
        <v>50</v>
      </c>
      <c r="M743" s="16" t="s">
        <v>51</v>
      </c>
      <c r="N743" s="14"/>
      <c r="O743" s="15" t="s">
        <v>52</v>
      </c>
      <c r="P743" s="17" t="s">
        <v>53</v>
      </c>
      <c r="Q743" s="15"/>
      <c r="R743" s="18" t="s">
        <v>51</v>
      </c>
      <c r="S743" s="19"/>
      <c r="T743" s="17" t="str">
        <f aca="false">IF(R743="維持",J743,IF(R743="排除","無關新聞事件",IFERROR(INDEX(事件規則!$B$2:$B$53,MATCH(S743,事件規則!$A$2:$A$53,0)),"")))</f>
        <v>無關新聞事件</v>
      </c>
      <c r="U743" s="20" t="n">
        <f aca="false">IF(R743="維持",K743,IF(R743="排除",0,IFERROR(INDEX(事件規則!$C$2:$C$53,MATCH(S743,事件規則!$A$2:$A$53,0)),"")))</f>
        <v>0</v>
      </c>
      <c r="V743" s="21"/>
      <c r="W743" s="22"/>
      <c r="X743" s="10" t="str">
        <f aca="false">IF(AND(R743="修改",S743=""),"請選新事件代碼",IF(AND(R743&lt;&gt;"修改",S743&lt;&gt;""),"只有「修改」才需填代碼",""))</f>
        <v/>
      </c>
      <c r="Y743" s="21"/>
      <c r="Z743" s="22"/>
      <c r="AA743" s="12" t="s">
        <v>2326</v>
      </c>
      <c r="AB743" s="24"/>
    </row>
    <row r="744" customFormat="false" ht="29.85" hidden="false" customHeight="false" outlineLevel="0" collapsed="false">
      <c r="A744" s="15" t="n">
        <v>743</v>
      </c>
      <c r="B744" s="9" t="s">
        <v>55</v>
      </c>
      <c r="C744" s="9" t="s">
        <v>303</v>
      </c>
      <c r="D744" s="10" t="s">
        <v>304</v>
      </c>
      <c r="E744" s="11" t="s">
        <v>2327</v>
      </c>
      <c r="F744" s="17"/>
      <c r="G744" s="12" t="s">
        <v>1136</v>
      </c>
      <c r="H744" s="13" t="n">
        <v>-0.037</v>
      </c>
      <c r="I744" s="14"/>
      <c r="J744" s="17"/>
      <c r="K744" s="9"/>
      <c r="L744" s="15" t="s">
        <v>50</v>
      </c>
      <c r="M744" s="16" t="s">
        <v>51</v>
      </c>
      <c r="N744" s="14"/>
      <c r="O744" s="15" t="s">
        <v>52</v>
      </c>
      <c r="P744" s="17" t="s">
        <v>53</v>
      </c>
      <c r="Q744" s="15"/>
      <c r="R744" s="18" t="s">
        <v>51</v>
      </c>
      <c r="S744" s="19"/>
      <c r="T744" s="17" t="str">
        <f aca="false">IF(R744="維持",J744,IF(R744="排除","無關新聞事件",IFERROR(INDEX(事件規則!$B$2:$B$53,MATCH(S744,事件規則!$A$2:$A$53,0)),"")))</f>
        <v>無關新聞事件</v>
      </c>
      <c r="U744" s="20" t="n">
        <f aca="false">IF(R744="維持",K744,IF(R744="排除",0,IFERROR(INDEX(事件規則!$C$2:$C$53,MATCH(S744,事件規則!$A$2:$A$53,0)),"")))</f>
        <v>0</v>
      </c>
      <c r="V744" s="21"/>
      <c r="W744" s="22"/>
      <c r="X744" s="10" t="str">
        <f aca="false">IF(AND(R744="修改",S744=""),"請選新事件代碼",IF(AND(R744&lt;&gt;"修改",S744&lt;&gt;""),"只有「修改」才需填代碼",""))</f>
        <v/>
      </c>
      <c r="Y744" s="21"/>
      <c r="Z744" s="22"/>
      <c r="AA744" s="12" t="s">
        <v>2328</v>
      </c>
      <c r="AB744" s="24"/>
    </row>
    <row r="745" customFormat="false" ht="29.85" hidden="false" customHeight="false" outlineLevel="0" collapsed="false">
      <c r="A745" s="15" t="n">
        <v>744</v>
      </c>
      <c r="B745" s="9" t="s">
        <v>55</v>
      </c>
      <c r="C745" s="9" t="s">
        <v>1318</v>
      </c>
      <c r="D745" s="10" t="s">
        <v>1319</v>
      </c>
      <c r="E745" s="11" t="s">
        <v>2329</v>
      </c>
      <c r="F745" s="17"/>
      <c r="G745" s="12" t="s">
        <v>2033</v>
      </c>
      <c r="H745" s="13" t="n">
        <v>-0.037</v>
      </c>
      <c r="I745" s="14"/>
      <c r="J745" s="17"/>
      <c r="K745" s="9"/>
      <c r="L745" s="15" t="s">
        <v>50</v>
      </c>
      <c r="M745" s="16" t="s">
        <v>51</v>
      </c>
      <c r="N745" s="14"/>
      <c r="O745" s="15" t="s">
        <v>52</v>
      </c>
      <c r="P745" s="17" t="s">
        <v>53</v>
      </c>
      <c r="Q745" s="15"/>
      <c r="R745" s="18" t="s">
        <v>51</v>
      </c>
      <c r="S745" s="19"/>
      <c r="T745" s="17" t="str">
        <f aca="false">IF(R745="維持",J745,IF(R745="排除","無關新聞事件",IFERROR(INDEX(事件規則!$B$2:$B$53,MATCH(S745,事件規則!$A$2:$A$53,0)),"")))</f>
        <v>無關新聞事件</v>
      </c>
      <c r="U745" s="20" t="n">
        <f aca="false">IF(R745="維持",K745,IF(R745="排除",0,IFERROR(INDEX(事件規則!$C$2:$C$53,MATCH(S745,事件規則!$A$2:$A$53,0)),"")))</f>
        <v>0</v>
      </c>
      <c r="V745" s="21"/>
      <c r="W745" s="22"/>
      <c r="X745" s="10" t="str">
        <f aca="false">IF(AND(R745="修改",S745=""),"請選新事件代碼",IF(AND(R745&lt;&gt;"修改",S745&lt;&gt;""),"只有「修改」才需填代碼",""))</f>
        <v/>
      </c>
      <c r="Y745" s="21"/>
      <c r="Z745" s="22"/>
      <c r="AA745" s="12" t="s">
        <v>2330</v>
      </c>
      <c r="AB745" s="24"/>
    </row>
    <row r="746" customFormat="false" ht="29.85" hidden="false" customHeight="false" outlineLevel="0" collapsed="false">
      <c r="A746" s="15" t="n">
        <v>745</v>
      </c>
      <c r="B746" s="9" t="s">
        <v>55</v>
      </c>
      <c r="C746" s="9" t="s">
        <v>973</v>
      </c>
      <c r="D746" s="10" t="s">
        <v>974</v>
      </c>
      <c r="E746" s="11" t="s">
        <v>2331</v>
      </c>
      <c r="F746" s="17"/>
      <c r="G746" s="12" t="s">
        <v>1136</v>
      </c>
      <c r="H746" s="13" t="n">
        <v>-0.037</v>
      </c>
      <c r="I746" s="14"/>
      <c r="J746" s="17"/>
      <c r="K746" s="9"/>
      <c r="L746" s="15" t="s">
        <v>50</v>
      </c>
      <c r="M746" s="16" t="s">
        <v>51</v>
      </c>
      <c r="N746" s="14"/>
      <c r="O746" s="15" t="s">
        <v>52</v>
      </c>
      <c r="P746" s="17" t="s">
        <v>53</v>
      </c>
      <c r="Q746" s="15"/>
      <c r="R746" s="18" t="s">
        <v>51</v>
      </c>
      <c r="S746" s="19"/>
      <c r="T746" s="17" t="str">
        <f aca="false">IF(R746="維持",J746,IF(R746="排除","無關新聞事件",IFERROR(INDEX(事件規則!$B$2:$B$53,MATCH(S746,事件規則!$A$2:$A$53,0)),"")))</f>
        <v>無關新聞事件</v>
      </c>
      <c r="U746" s="20" t="n">
        <f aca="false">IF(R746="維持",K746,IF(R746="排除",0,IFERROR(INDEX(事件規則!$C$2:$C$53,MATCH(S746,事件規則!$A$2:$A$53,0)),"")))</f>
        <v>0</v>
      </c>
      <c r="V746" s="21"/>
      <c r="W746" s="22"/>
      <c r="X746" s="10" t="str">
        <f aca="false">IF(AND(R746="修改",S746=""),"請選新事件代碼",IF(AND(R746&lt;&gt;"修改",S746&lt;&gt;""),"只有「修改」才需填代碼",""))</f>
        <v/>
      </c>
      <c r="Y746" s="21"/>
      <c r="Z746" s="22"/>
      <c r="AA746" s="12" t="s">
        <v>2332</v>
      </c>
      <c r="AB746" s="24"/>
    </row>
    <row r="747" customFormat="false" ht="29.85" hidden="false" customHeight="false" outlineLevel="0" collapsed="false">
      <c r="A747" s="15" t="n">
        <v>746</v>
      </c>
      <c r="B747" s="9" t="s">
        <v>55</v>
      </c>
      <c r="C747" s="9" t="s">
        <v>751</v>
      </c>
      <c r="D747" s="10" t="s">
        <v>752</v>
      </c>
      <c r="E747" s="11" t="s">
        <v>2333</v>
      </c>
      <c r="F747" s="17"/>
      <c r="G747" s="12" t="s">
        <v>1136</v>
      </c>
      <c r="H747" s="13" t="n">
        <v>-0.037</v>
      </c>
      <c r="I747" s="14"/>
      <c r="J747" s="17"/>
      <c r="K747" s="9"/>
      <c r="L747" s="15" t="s">
        <v>50</v>
      </c>
      <c r="M747" s="16" t="s">
        <v>51</v>
      </c>
      <c r="N747" s="14"/>
      <c r="O747" s="15" t="s">
        <v>52</v>
      </c>
      <c r="P747" s="17" t="s">
        <v>53</v>
      </c>
      <c r="Q747" s="15"/>
      <c r="R747" s="18" t="s">
        <v>51</v>
      </c>
      <c r="S747" s="19"/>
      <c r="T747" s="17" t="str">
        <f aca="false">IF(R747="維持",J747,IF(R747="排除","無關新聞事件",IFERROR(INDEX(事件規則!$B$2:$B$53,MATCH(S747,事件規則!$A$2:$A$53,0)),"")))</f>
        <v>無關新聞事件</v>
      </c>
      <c r="U747" s="20" t="n">
        <f aca="false">IF(R747="維持",K747,IF(R747="排除",0,IFERROR(INDEX(事件規則!$C$2:$C$53,MATCH(S747,事件規則!$A$2:$A$53,0)),"")))</f>
        <v>0</v>
      </c>
      <c r="V747" s="21"/>
      <c r="W747" s="22"/>
      <c r="X747" s="10" t="str">
        <f aca="false">IF(AND(R747="修改",S747=""),"請選新事件代碼",IF(AND(R747&lt;&gt;"修改",S747&lt;&gt;""),"只有「修改」才需填代碼",""))</f>
        <v/>
      </c>
      <c r="Y747" s="21"/>
      <c r="Z747" s="22"/>
      <c r="AA747" s="12" t="s">
        <v>2334</v>
      </c>
      <c r="AB747" s="24"/>
    </row>
    <row r="748" customFormat="false" ht="29.85" hidden="false" customHeight="false" outlineLevel="0" collapsed="false">
      <c r="A748" s="15" t="n">
        <v>747</v>
      </c>
      <c r="B748" s="9" t="s">
        <v>55</v>
      </c>
      <c r="C748" s="9" t="s">
        <v>303</v>
      </c>
      <c r="D748" s="10" t="s">
        <v>304</v>
      </c>
      <c r="E748" s="11" t="s">
        <v>2335</v>
      </c>
      <c r="F748" s="17"/>
      <c r="G748" s="12" t="s">
        <v>1136</v>
      </c>
      <c r="H748" s="13" t="n">
        <v>-0.037</v>
      </c>
      <c r="I748" s="14"/>
      <c r="J748" s="17"/>
      <c r="K748" s="9"/>
      <c r="L748" s="15" t="s">
        <v>50</v>
      </c>
      <c r="M748" s="16" t="s">
        <v>51</v>
      </c>
      <c r="N748" s="14"/>
      <c r="O748" s="15" t="s">
        <v>52</v>
      </c>
      <c r="P748" s="17" t="s">
        <v>53</v>
      </c>
      <c r="Q748" s="15"/>
      <c r="R748" s="18" t="s">
        <v>51</v>
      </c>
      <c r="S748" s="19"/>
      <c r="T748" s="17" t="str">
        <f aca="false">IF(R748="維持",J748,IF(R748="排除","無關新聞事件",IFERROR(INDEX(事件規則!$B$2:$B$53,MATCH(S748,事件規則!$A$2:$A$53,0)),"")))</f>
        <v>無關新聞事件</v>
      </c>
      <c r="U748" s="20" t="n">
        <f aca="false">IF(R748="維持",K748,IF(R748="排除",0,IFERROR(INDEX(事件規則!$C$2:$C$53,MATCH(S748,事件規則!$A$2:$A$53,0)),"")))</f>
        <v>0</v>
      </c>
      <c r="V748" s="21"/>
      <c r="W748" s="22"/>
      <c r="X748" s="10" t="str">
        <f aca="false">IF(AND(R748="修改",S748=""),"請選新事件代碼",IF(AND(R748&lt;&gt;"修改",S748&lt;&gt;""),"只有「修改」才需填代碼",""))</f>
        <v/>
      </c>
      <c r="Y748" s="21"/>
      <c r="Z748" s="22"/>
      <c r="AA748" s="12" t="s">
        <v>2336</v>
      </c>
      <c r="AB748" s="24"/>
    </row>
    <row r="749" customFormat="false" ht="29.85" hidden="false" customHeight="false" outlineLevel="0" collapsed="false">
      <c r="A749" s="15" t="n">
        <v>748</v>
      </c>
      <c r="B749" s="9" t="s">
        <v>112</v>
      </c>
      <c r="C749" s="9" t="s">
        <v>1829</v>
      </c>
      <c r="D749" s="10" t="s">
        <v>1830</v>
      </c>
      <c r="E749" s="11" t="s">
        <v>2337</v>
      </c>
      <c r="F749" s="17"/>
      <c r="G749" s="12" t="s">
        <v>2033</v>
      </c>
      <c r="H749" s="13" t="n">
        <v>-0.037</v>
      </c>
      <c r="I749" s="14"/>
      <c r="J749" s="17"/>
      <c r="K749" s="9"/>
      <c r="L749" s="15" t="s">
        <v>50</v>
      </c>
      <c r="M749" s="16" t="s">
        <v>51</v>
      </c>
      <c r="N749" s="14"/>
      <c r="O749" s="15" t="s">
        <v>52</v>
      </c>
      <c r="P749" s="17" t="s">
        <v>53</v>
      </c>
      <c r="Q749" s="15"/>
      <c r="R749" s="18" t="s">
        <v>51</v>
      </c>
      <c r="S749" s="19"/>
      <c r="T749" s="17" t="str">
        <f aca="false">IF(R749="維持",J749,IF(R749="排除","無關新聞事件",IFERROR(INDEX(事件規則!$B$2:$B$53,MATCH(S749,事件規則!$A$2:$A$53,0)),"")))</f>
        <v>無關新聞事件</v>
      </c>
      <c r="U749" s="20" t="n">
        <f aca="false">IF(R749="維持",K749,IF(R749="排除",0,IFERROR(INDEX(事件規則!$C$2:$C$53,MATCH(S749,事件規則!$A$2:$A$53,0)),"")))</f>
        <v>0</v>
      </c>
      <c r="V749" s="21"/>
      <c r="W749" s="22"/>
      <c r="X749" s="10" t="str">
        <f aca="false">IF(AND(R749="修改",S749=""),"請選新事件代碼",IF(AND(R749&lt;&gt;"修改",S749&lt;&gt;""),"只有「修改」才需填代碼",""))</f>
        <v/>
      </c>
      <c r="Y749" s="21"/>
      <c r="Z749" s="22"/>
      <c r="AA749" s="12" t="s">
        <v>2338</v>
      </c>
      <c r="AB749" s="24"/>
    </row>
    <row r="750" customFormat="false" ht="29.85" hidden="false" customHeight="false" outlineLevel="0" collapsed="false">
      <c r="A750" s="15" t="n">
        <v>749</v>
      </c>
      <c r="B750" s="9" t="s">
        <v>112</v>
      </c>
      <c r="C750" s="9" t="s">
        <v>2041</v>
      </c>
      <c r="D750" s="10" t="s">
        <v>2042</v>
      </c>
      <c r="E750" s="11" t="s">
        <v>2339</v>
      </c>
      <c r="F750" s="17"/>
      <c r="G750" s="12" t="s">
        <v>105</v>
      </c>
      <c r="H750" s="13" t="n">
        <v>-0.037</v>
      </c>
      <c r="I750" s="14"/>
      <c r="J750" s="17"/>
      <c r="K750" s="9"/>
      <c r="L750" s="15" t="s">
        <v>50</v>
      </c>
      <c r="M750" s="16" t="s">
        <v>51</v>
      </c>
      <c r="N750" s="14"/>
      <c r="O750" s="15" t="s">
        <v>52</v>
      </c>
      <c r="P750" s="17" t="s">
        <v>53</v>
      </c>
      <c r="Q750" s="15"/>
      <c r="R750" s="18" t="s">
        <v>51</v>
      </c>
      <c r="S750" s="19"/>
      <c r="T750" s="17" t="str">
        <f aca="false">IF(R750="維持",J750,IF(R750="排除","無關新聞事件",IFERROR(INDEX(事件規則!$B$2:$B$53,MATCH(S750,事件規則!$A$2:$A$53,0)),"")))</f>
        <v>無關新聞事件</v>
      </c>
      <c r="U750" s="20" t="n">
        <f aca="false">IF(R750="維持",K750,IF(R750="排除",0,IFERROR(INDEX(事件規則!$C$2:$C$53,MATCH(S750,事件規則!$A$2:$A$53,0)),"")))</f>
        <v>0</v>
      </c>
      <c r="V750" s="21"/>
      <c r="W750" s="22"/>
      <c r="X750" s="10" t="str">
        <f aca="false">IF(AND(R750="修改",S750=""),"請選新事件代碼",IF(AND(R750&lt;&gt;"修改",S750&lt;&gt;""),"只有「修改」才需填代碼",""))</f>
        <v/>
      </c>
      <c r="Y750" s="21"/>
      <c r="Z750" s="22"/>
      <c r="AA750" s="12" t="s">
        <v>2340</v>
      </c>
      <c r="AB750" s="24"/>
    </row>
    <row r="751" customFormat="false" ht="29.85" hidden="false" customHeight="false" outlineLevel="0" collapsed="false">
      <c r="A751" s="15" t="n">
        <v>750</v>
      </c>
      <c r="B751" s="9" t="s">
        <v>112</v>
      </c>
      <c r="C751" s="9" t="s">
        <v>2041</v>
      </c>
      <c r="D751" s="10" t="s">
        <v>2042</v>
      </c>
      <c r="E751" s="11" t="s">
        <v>2341</v>
      </c>
      <c r="F751" s="17"/>
      <c r="G751" s="12" t="s">
        <v>2033</v>
      </c>
      <c r="H751" s="13" t="n">
        <v>-0.037</v>
      </c>
      <c r="I751" s="14"/>
      <c r="J751" s="17"/>
      <c r="K751" s="9"/>
      <c r="L751" s="15" t="s">
        <v>50</v>
      </c>
      <c r="M751" s="16" t="s">
        <v>51</v>
      </c>
      <c r="N751" s="14"/>
      <c r="O751" s="15" t="s">
        <v>52</v>
      </c>
      <c r="P751" s="17" t="s">
        <v>53</v>
      </c>
      <c r="Q751" s="15"/>
      <c r="R751" s="18" t="s">
        <v>51</v>
      </c>
      <c r="S751" s="19"/>
      <c r="T751" s="17" t="str">
        <f aca="false">IF(R751="維持",J751,IF(R751="排除","無關新聞事件",IFERROR(INDEX(事件規則!$B$2:$B$53,MATCH(S751,事件規則!$A$2:$A$53,0)),"")))</f>
        <v>無關新聞事件</v>
      </c>
      <c r="U751" s="20" t="n">
        <f aca="false">IF(R751="維持",K751,IF(R751="排除",0,IFERROR(INDEX(事件規則!$C$2:$C$53,MATCH(S751,事件規則!$A$2:$A$53,0)),"")))</f>
        <v>0</v>
      </c>
      <c r="V751" s="21"/>
      <c r="W751" s="22"/>
      <c r="X751" s="10" t="str">
        <f aca="false">IF(AND(R751="修改",S751=""),"請選新事件代碼",IF(AND(R751&lt;&gt;"修改",S751&lt;&gt;""),"只有「修改」才需填代碼",""))</f>
        <v/>
      </c>
      <c r="Y751" s="21"/>
      <c r="Z751" s="22"/>
      <c r="AA751" s="12" t="s">
        <v>2342</v>
      </c>
      <c r="AB751" s="24"/>
    </row>
    <row r="752" customFormat="false" ht="29.85" hidden="false" customHeight="false" outlineLevel="0" collapsed="false">
      <c r="A752" s="15" t="n">
        <v>751</v>
      </c>
      <c r="B752" s="9" t="s">
        <v>112</v>
      </c>
      <c r="C752" s="9" t="s">
        <v>2037</v>
      </c>
      <c r="D752" s="10" t="s">
        <v>2038</v>
      </c>
      <c r="E752" s="11" t="s">
        <v>2343</v>
      </c>
      <c r="F752" s="17"/>
      <c r="G752" s="12" t="s">
        <v>105</v>
      </c>
      <c r="H752" s="13" t="n">
        <v>-0.037</v>
      </c>
      <c r="I752" s="14"/>
      <c r="J752" s="17"/>
      <c r="K752" s="9"/>
      <c r="L752" s="15" t="s">
        <v>50</v>
      </c>
      <c r="M752" s="16" t="s">
        <v>51</v>
      </c>
      <c r="N752" s="14"/>
      <c r="O752" s="15" t="s">
        <v>52</v>
      </c>
      <c r="P752" s="17" t="s">
        <v>53</v>
      </c>
      <c r="Q752" s="15"/>
      <c r="R752" s="18" t="s">
        <v>51</v>
      </c>
      <c r="S752" s="19"/>
      <c r="T752" s="17" t="str">
        <f aca="false">IF(R752="維持",J752,IF(R752="排除","無關新聞事件",IFERROR(INDEX(事件規則!$B$2:$B$53,MATCH(S752,事件規則!$A$2:$A$53,0)),"")))</f>
        <v>無關新聞事件</v>
      </c>
      <c r="U752" s="20" t="n">
        <f aca="false">IF(R752="維持",K752,IF(R752="排除",0,IFERROR(INDEX(事件規則!$C$2:$C$53,MATCH(S752,事件規則!$A$2:$A$53,0)),"")))</f>
        <v>0</v>
      </c>
      <c r="V752" s="21"/>
      <c r="W752" s="22"/>
      <c r="X752" s="10" t="str">
        <f aca="false">IF(AND(R752="修改",S752=""),"請選新事件代碼",IF(AND(R752&lt;&gt;"修改",S752&lt;&gt;""),"只有「修改」才需填代碼",""))</f>
        <v/>
      </c>
      <c r="Y752" s="21"/>
      <c r="Z752" s="22"/>
      <c r="AA752" s="12" t="s">
        <v>2344</v>
      </c>
      <c r="AB752" s="24"/>
    </row>
    <row r="753" customFormat="false" ht="29.85" hidden="false" customHeight="false" outlineLevel="0" collapsed="false">
      <c r="A753" s="15" t="n">
        <v>752</v>
      </c>
      <c r="B753" s="9" t="s">
        <v>55</v>
      </c>
      <c r="C753" s="9" t="s">
        <v>602</v>
      </c>
      <c r="D753" s="10" t="s">
        <v>603</v>
      </c>
      <c r="E753" s="11" t="s">
        <v>2345</v>
      </c>
      <c r="F753" s="17"/>
      <c r="G753" s="12" t="s">
        <v>105</v>
      </c>
      <c r="H753" s="13" t="n">
        <v>-0.037</v>
      </c>
      <c r="I753" s="14"/>
      <c r="J753" s="17"/>
      <c r="K753" s="9"/>
      <c r="L753" s="15" t="s">
        <v>50</v>
      </c>
      <c r="M753" s="16" t="s">
        <v>51</v>
      </c>
      <c r="N753" s="14"/>
      <c r="O753" s="15" t="s">
        <v>52</v>
      </c>
      <c r="P753" s="17" t="s">
        <v>53</v>
      </c>
      <c r="Q753" s="15"/>
      <c r="R753" s="18" t="s">
        <v>51</v>
      </c>
      <c r="S753" s="19"/>
      <c r="T753" s="17" t="str">
        <f aca="false">IF(R753="維持",J753,IF(R753="排除","無關新聞事件",IFERROR(INDEX(事件規則!$B$2:$B$53,MATCH(S753,事件規則!$A$2:$A$53,0)),"")))</f>
        <v>無關新聞事件</v>
      </c>
      <c r="U753" s="20" t="n">
        <f aca="false">IF(R753="維持",K753,IF(R753="排除",0,IFERROR(INDEX(事件規則!$C$2:$C$53,MATCH(S753,事件規則!$A$2:$A$53,0)),"")))</f>
        <v>0</v>
      </c>
      <c r="V753" s="21"/>
      <c r="W753" s="22"/>
      <c r="X753" s="10" t="str">
        <f aca="false">IF(AND(R753="修改",S753=""),"請選新事件代碼",IF(AND(R753&lt;&gt;"修改",S753&lt;&gt;""),"只有「修改」才需填代碼",""))</f>
        <v/>
      </c>
      <c r="Y753" s="21"/>
      <c r="Z753" s="22"/>
      <c r="AA753" s="12" t="s">
        <v>2346</v>
      </c>
      <c r="AB753" s="24"/>
    </row>
    <row r="754" customFormat="false" ht="29.85" hidden="false" customHeight="false" outlineLevel="0" collapsed="false">
      <c r="A754" s="15" t="n">
        <v>753</v>
      </c>
      <c r="B754" s="9" t="s">
        <v>55</v>
      </c>
      <c r="C754" s="9" t="s">
        <v>56</v>
      </c>
      <c r="D754" s="10" t="s">
        <v>57</v>
      </c>
      <c r="E754" s="11" t="s">
        <v>2347</v>
      </c>
      <c r="F754" s="17"/>
      <c r="G754" s="12" t="s">
        <v>105</v>
      </c>
      <c r="H754" s="13" t="n">
        <v>-0.037</v>
      </c>
      <c r="I754" s="14"/>
      <c r="J754" s="17"/>
      <c r="K754" s="9"/>
      <c r="L754" s="15" t="s">
        <v>50</v>
      </c>
      <c r="M754" s="16" t="s">
        <v>51</v>
      </c>
      <c r="N754" s="14"/>
      <c r="O754" s="15" t="s">
        <v>52</v>
      </c>
      <c r="P754" s="17" t="s">
        <v>53</v>
      </c>
      <c r="Q754" s="15"/>
      <c r="R754" s="18" t="s">
        <v>51</v>
      </c>
      <c r="S754" s="19"/>
      <c r="T754" s="17" t="str">
        <f aca="false">IF(R754="維持",J754,IF(R754="排除","無關新聞事件",IFERROR(INDEX(事件規則!$B$2:$B$53,MATCH(S754,事件規則!$A$2:$A$53,0)),"")))</f>
        <v>無關新聞事件</v>
      </c>
      <c r="U754" s="20" t="n">
        <f aca="false">IF(R754="維持",K754,IF(R754="排除",0,IFERROR(INDEX(事件規則!$C$2:$C$53,MATCH(S754,事件規則!$A$2:$A$53,0)),"")))</f>
        <v>0</v>
      </c>
      <c r="V754" s="21"/>
      <c r="W754" s="22"/>
      <c r="X754" s="10" t="str">
        <f aca="false">IF(AND(R754="修改",S754=""),"請選新事件代碼",IF(AND(R754&lt;&gt;"修改",S754&lt;&gt;""),"只有「修改」才需填代碼",""))</f>
        <v/>
      </c>
      <c r="Y754" s="21"/>
      <c r="Z754" s="22"/>
      <c r="AA754" s="12" t="s">
        <v>2348</v>
      </c>
      <c r="AB754" s="24"/>
    </row>
    <row r="755" customFormat="false" ht="29.85" hidden="false" customHeight="false" outlineLevel="0" collapsed="false">
      <c r="A755" s="15" t="n">
        <v>754</v>
      </c>
      <c r="B755" s="9" t="s">
        <v>55</v>
      </c>
      <c r="C755" s="9" t="s">
        <v>682</v>
      </c>
      <c r="D755" s="10" t="s">
        <v>683</v>
      </c>
      <c r="E755" s="11" t="s">
        <v>2349</v>
      </c>
      <c r="F755" s="17"/>
      <c r="G755" s="12" t="s">
        <v>105</v>
      </c>
      <c r="H755" s="13" t="n">
        <v>-0.037</v>
      </c>
      <c r="I755" s="14"/>
      <c r="J755" s="17"/>
      <c r="K755" s="9"/>
      <c r="L755" s="15" t="s">
        <v>50</v>
      </c>
      <c r="M755" s="16" t="s">
        <v>51</v>
      </c>
      <c r="N755" s="14"/>
      <c r="O755" s="15" t="s">
        <v>52</v>
      </c>
      <c r="P755" s="17" t="s">
        <v>53</v>
      </c>
      <c r="Q755" s="15"/>
      <c r="R755" s="18" t="s">
        <v>51</v>
      </c>
      <c r="S755" s="19"/>
      <c r="T755" s="17" t="str">
        <f aca="false">IF(R755="維持",J755,IF(R755="排除","無關新聞事件",IFERROR(INDEX(事件規則!$B$2:$B$53,MATCH(S755,事件規則!$A$2:$A$53,0)),"")))</f>
        <v>無關新聞事件</v>
      </c>
      <c r="U755" s="20" t="n">
        <f aca="false">IF(R755="維持",K755,IF(R755="排除",0,IFERROR(INDEX(事件規則!$C$2:$C$53,MATCH(S755,事件規則!$A$2:$A$53,0)),"")))</f>
        <v>0</v>
      </c>
      <c r="V755" s="21"/>
      <c r="W755" s="22"/>
      <c r="X755" s="10" t="str">
        <f aca="false">IF(AND(R755="修改",S755=""),"請選新事件代碼",IF(AND(R755&lt;&gt;"修改",S755&lt;&gt;""),"只有「修改」才需填代碼",""))</f>
        <v/>
      </c>
      <c r="Y755" s="21"/>
      <c r="Z755" s="22"/>
      <c r="AA755" s="12" t="s">
        <v>2350</v>
      </c>
      <c r="AB755" s="24"/>
    </row>
    <row r="756" customFormat="false" ht="29.85" hidden="false" customHeight="false" outlineLevel="0" collapsed="false">
      <c r="A756" s="15" t="n">
        <v>755</v>
      </c>
      <c r="B756" s="9" t="s">
        <v>55</v>
      </c>
      <c r="C756" s="9" t="s">
        <v>716</v>
      </c>
      <c r="D756" s="10" t="s">
        <v>717</v>
      </c>
      <c r="E756" s="11" t="s">
        <v>2351</v>
      </c>
      <c r="F756" s="17"/>
      <c r="G756" s="12" t="s">
        <v>49</v>
      </c>
      <c r="H756" s="13" t="n">
        <v>-0.037</v>
      </c>
      <c r="I756" s="14"/>
      <c r="J756" s="17"/>
      <c r="K756" s="9"/>
      <c r="L756" s="15" t="s">
        <v>50</v>
      </c>
      <c r="M756" s="16" t="s">
        <v>51</v>
      </c>
      <c r="N756" s="14"/>
      <c r="O756" s="15" t="s">
        <v>52</v>
      </c>
      <c r="P756" s="17" t="s">
        <v>53</v>
      </c>
      <c r="Q756" s="15"/>
      <c r="R756" s="18" t="s">
        <v>51</v>
      </c>
      <c r="S756" s="19"/>
      <c r="T756" s="17" t="str">
        <f aca="false">IF(R756="維持",J756,IF(R756="排除","無關新聞事件",IFERROR(INDEX(事件規則!$B$2:$B$53,MATCH(S756,事件規則!$A$2:$A$53,0)),"")))</f>
        <v>無關新聞事件</v>
      </c>
      <c r="U756" s="20" t="n">
        <f aca="false">IF(R756="維持",K756,IF(R756="排除",0,IFERROR(INDEX(事件規則!$C$2:$C$53,MATCH(S756,事件規則!$A$2:$A$53,0)),"")))</f>
        <v>0</v>
      </c>
      <c r="V756" s="21"/>
      <c r="W756" s="22"/>
      <c r="X756" s="10" t="str">
        <f aca="false">IF(AND(R756="修改",S756=""),"請選新事件代碼",IF(AND(R756&lt;&gt;"修改",S756&lt;&gt;""),"只有「修改」才需填代碼",""))</f>
        <v/>
      </c>
      <c r="Y756" s="21"/>
      <c r="Z756" s="22"/>
      <c r="AA756" s="12" t="s">
        <v>2352</v>
      </c>
      <c r="AB756" s="24"/>
    </row>
    <row r="757" customFormat="false" ht="29.85" hidden="false" customHeight="false" outlineLevel="0" collapsed="false">
      <c r="A757" s="15" t="n">
        <v>756</v>
      </c>
      <c r="B757" s="9" t="s">
        <v>55</v>
      </c>
      <c r="C757" s="9" t="s">
        <v>294</v>
      </c>
      <c r="D757" s="10" t="s">
        <v>295</v>
      </c>
      <c r="E757" s="11" t="s">
        <v>2353</v>
      </c>
      <c r="F757" s="17"/>
      <c r="G757" s="12" t="s">
        <v>105</v>
      </c>
      <c r="H757" s="13" t="n">
        <v>-0.037</v>
      </c>
      <c r="I757" s="14"/>
      <c r="J757" s="17"/>
      <c r="K757" s="9"/>
      <c r="L757" s="15" t="s">
        <v>50</v>
      </c>
      <c r="M757" s="16" t="s">
        <v>51</v>
      </c>
      <c r="N757" s="14"/>
      <c r="O757" s="15" t="s">
        <v>52</v>
      </c>
      <c r="P757" s="17" t="s">
        <v>53</v>
      </c>
      <c r="Q757" s="15"/>
      <c r="R757" s="18" t="s">
        <v>51</v>
      </c>
      <c r="S757" s="19"/>
      <c r="T757" s="17" t="str">
        <f aca="false">IF(R757="維持",J757,IF(R757="排除","無關新聞事件",IFERROR(INDEX(事件規則!$B$2:$B$53,MATCH(S757,事件規則!$A$2:$A$53,0)),"")))</f>
        <v>無關新聞事件</v>
      </c>
      <c r="U757" s="20" t="n">
        <f aca="false">IF(R757="維持",K757,IF(R757="排除",0,IFERROR(INDEX(事件規則!$C$2:$C$53,MATCH(S757,事件規則!$A$2:$A$53,0)),"")))</f>
        <v>0</v>
      </c>
      <c r="V757" s="21"/>
      <c r="W757" s="22"/>
      <c r="X757" s="10" t="str">
        <f aca="false">IF(AND(R757="修改",S757=""),"請選新事件代碼",IF(AND(R757&lt;&gt;"修改",S757&lt;&gt;""),"只有「修改」才需填代碼",""))</f>
        <v/>
      </c>
      <c r="Y757" s="21"/>
      <c r="Z757" s="22"/>
      <c r="AA757" s="12" t="s">
        <v>2354</v>
      </c>
      <c r="AB757" s="24"/>
    </row>
    <row r="758" customFormat="false" ht="29.85" hidden="false" customHeight="false" outlineLevel="0" collapsed="false">
      <c r="A758" s="15" t="n">
        <v>757</v>
      </c>
      <c r="B758" s="9" t="s">
        <v>55</v>
      </c>
      <c r="C758" s="9" t="s">
        <v>1318</v>
      </c>
      <c r="D758" s="10" t="s">
        <v>1319</v>
      </c>
      <c r="E758" s="11" t="s">
        <v>2355</v>
      </c>
      <c r="F758" s="17"/>
      <c r="G758" s="12" t="s">
        <v>949</v>
      </c>
      <c r="H758" s="13" t="n">
        <v>-0.037</v>
      </c>
      <c r="I758" s="14"/>
      <c r="J758" s="17"/>
      <c r="K758" s="9"/>
      <c r="L758" s="15" t="s">
        <v>50</v>
      </c>
      <c r="M758" s="16" t="s">
        <v>51</v>
      </c>
      <c r="N758" s="14"/>
      <c r="O758" s="15" t="s">
        <v>52</v>
      </c>
      <c r="P758" s="17" t="s">
        <v>53</v>
      </c>
      <c r="Q758" s="15"/>
      <c r="R758" s="18" t="s">
        <v>51</v>
      </c>
      <c r="S758" s="19"/>
      <c r="T758" s="17" t="str">
        <f aca="false">IF(R758="維持",J758,IF(R758="排除","無關新聞事件",IFERROR(INDEX(事件規則!$B$2:$B$53,MATCH(S758,事件規則!$A$2:$A$53,0)),"")))</f>
        <v>無關新聞事件</v>
      </c>
      <c r="U758" s="20" t="n">
        <f aca="false">IF(R758="維持",K758,IF(R758="排除",0,IFERROR(INDEX(事件規則!$C$2:$C$53,MATCH(S758,事件規則!$A$2:$A$53,0)),"")))</f>
        <v>0</v>
      </c>
      <c r="V758" s="21"/>
      <c r="W758" s="22"/>
      <c r="X758" s="10" t="str">
        <f aca="false">IF(AND(R758="修改",S758=""),"請選新事件代碼",IF(AND(R758&lt;&gt;"修改",S758&lt;&gt;""),"只有「修改」才需填代碼",""))</f>
        <v/>
      </c>
      <c r="Y758" s="21"/>
      <c r="Z758" s="22"/>
      <c r="AA758" s="12" t="s">
        <v>2356</v>
      </c>
      <c r="AB758" s="24"/>
    </row>
    <row r="759" customFormat="false" ht="29.85" hidden="false" customHeight="false" outlineLevel="0" collapsed="false">
      <c r="A759" s="15" t="n">
        <v>758</v>
      </c>
      <c r="B759" s="9" t="s">
        <v>55</v>
      </c>
      <c r="C759" s="9" t="s">
        <v>2185</v>
      </c>
      <c r="D759" s="10" t="s">
        <v>2186</v>
      </c>
      <c r="E759" s="11" t="s">
        <v>2357</v>
      </c>
      <c r="F759" s="17"/>
      <c r="G759" s="12" t="s">
        <v>949</v>
      </c>
      <c r="H759" s="13" t="n">
        <v>-0.037</v>
      </c>
      <c r="I759" s="14"/>
      <c r="J759" s="17"/>
      <c r="K759" s="9"/>
      <c r="L759" s="15" t="s">
        <v>50</v>
      </c>
      <c r="M759" s="16" t="s">
        <v>51</v>
      </c>
      <c r="N759" s="14"/>
      <c r="O759" s="15" t="s">
        <v>52</v>
      </c>
      <c r="P759" s="17" t="s">
        <v>53</v>
      </c>
      <c r="Q759" s="15"/>
      <c r="R759" s="18" t="s">
        <v>51</v>
      </c>
      <c r="S759" s="19"/>
      <c r="T759" s="17" t="str">
        <f aca="false">IF(R759="維持",J759,IF(R759="排除","無關新聞事件",IFERROR(INDEX(事件規則!$B$2:$B$53,MATCH(S759,事件規則!$A$2:$A$53,0)),"")))</f>
        <v>無關新聞事件</v>
      </c>
      <c r="U759" s="20" t="n">
        <f aca="false">IF(R759="維持",K759,IF(R759="排除",0,IFERROR(INDEX(事件規則!$C$2:$C$53,MATCH(S759,事件規則!$A$2:$A$53,0)),"")))</f>
        <v>0</v>
      </c>
      <c r="V759" s="21"/>
      <c r="W759" s="22"/>
      <c r="X759" s="10" t="str">
        <f aca="false">IF(AND(R759="修改",S759=""),"請選新事件代碼",IF(AND(R759&lt;&gt;"修改",S759&lt;&gt;""),"只有「修改」才需填代碼",""))</f>
        <v/>
      </c>
      <c r="Y759" s="21"/>
      <c r="Z759" s="22"/>
      <c r="AA759" s="12" t="s">
        <v>2358</v>
      </c>
      <c r="AB759" s="24"/>
    </row>
    <row r="760" customFormat="false" ht="29.85" hidden="false" customHeight="false" outlineLevel="0" collapsed="false">
      <c r="A760" s="15" t="n">
        <v>759</v>
      </c>
      <c r="B760" s="9" t="s">
        <v>55</v>
      </c>
      <c r="C760" s="9" t="s">
        <v>102</v>
      </c>
      <c r="D760" s="10" t="s">
        <v>103</v>
      </c>
      <c r="E760" s="11" t="s">
        <v>2359</v>
      </c>
      <c r="F760" s="17"/>
      <c r="G760" s="12" t="s">
        <v>142</v>
      </c>
      <c r="H760" s="13" t="n">
        <v>-0.037</v>
      </c>
      <c r="I760" s="14"/>
      <c r="J760" s="17"/>
      <c r="K760" s="9"/>
      <c r="L760" s="15" t="s">
        <v>50</v>
      </c>
      <c r="M760" s="16" t="s">
        <v>51</v>
      </c>
      <c r="N760" s="14"/>
      <c r="O760" s="15" t="s">
        <v>52</v>
      </c>
      <c r="P760" s="17" t="s">
        <v>53</v>
      </c>
      <c r="Q760" s="15"/>
      <c r="R760" s="18" t="s">
        <v>51</v>
      </c>
      <c r="S760" s="19"/>
      <c r="T760" s="17" t="str">
        <f aca="false">IF(R760="維持",J760,IF(R760="排除","無關新聞事件",IFERROR(INDEX(事件規則!$B$2:$B$53,MATCH(S760,事件規則!$A$2:$A$53,0)),"")))</f>
        <v>無關新聞事件</v>
      </c>
      <c r="U760" s="20" t="n">
        <f aca="false">IF(R760="維持",K760,IF(R760="排除",0,IFERROR(INDEX(事件規則!$C$2:$C$53,MATCH(S760,事件規則!$A$2:$A$53,0)),"")))</f>
        <v>0</v>
      </c>
      <c r="V760" s="21"/>
      <c r="W760" s="22"/>
      <c r="X760" s="10" t="str">
        <f aca="false">IF(AND(R760="修改",S760=""),"請選新事件代碼",IF(AND(R760&lt;&gt;"修改",S760&lt;&gt;""),"只有「修改」才需填代碼",""))</f>
        <v/>
      </c>
      <c r="Y760" s="21"/>
      <c r="Z760" s="22"/>
      <c r="AA760" s="12" t="s">
        <v>2360</v>
      </c>
      <c r="AB760" s="24"/>
    </row>
    <row r="761" customFormat="false" ht="29.85" hidden="false" customHeight="false" outlineLevel="0" collapsed="false">
      <c r="A761" s="15" t="n">
        <v>760</v>
      </c>
      <c r="B761" s="9" t="s">
        <v>112</v>
      </c>
      <c r="C761" s="9" t="s">
        <v>219</v>
      </c>
      <c r="D761" s="10" t="s">
        <v>220</v>
      </c>
      <c r="E761" s="11" t="s">
        <v>2361</v>
      </c>
      <c r="F761" s="17"/>
      <c r="G761" s="12" t="s">
        <v>105</v>
      </c>
      <c r="H761" s="13" t="n">
        <v>-0.037</v>
      </c>
      <c r="I761" s="14"/>
      <c r="J761" s="17"/>
      <c r="K761" s="9"/>
      <c r="L761" s="15" t="s">
        <v>50</v>
      </c>
      <c r="M761" s="16" t="s">
        <v>51</v>
      </c>
      <c r="N761" s="14"/>
      <c r="O761" s="15" t="s">
        <v>52</v>
      </c>
      <c r="P761" s="17" t="s">
        <v>53</v>
      </c>
      <c r="Q761" s="15"/>
      <c r="R761" s="18" t="s">
        <v>51</v>
      </c>
      <c r="S761" s="19"/>
      <c r="T761" s="17" t="str">
        <f aca="false">IF(R761="維持",J761,IF(R761="排除","無關新聞事件",IFERROR(INDEX(事件規則!$B$2:$B$53,MATCH(S761,事件規則!$A$2:$A$53,0)),"")))</f>
        <v>無關新聞事件</v>
      </c>
      <c r="U761" s="20" t="n">
        <f aca="false">IF(R761="維持",K761,IF(R761="排除",0,IFERROR(INDEX(事件規則!$C$2:$C$53,MATCH(S761,事件規則!$A$2:$A$53,0)),"")))</f>
        <v>0</v>
      </c>
      <c r="V761" s="21"/>
      <c r="W761" s="22"/>
      <c r="X761" s="10" t="str">
        <f aca="false">IF(AND(R761="修改",S761=""),"請選新事件代碼",IF(AND(R761&lt;&gt;"修改",S761&lt;&gt;""),"只有「修改」才需填代碼",""))</f>
        <v/>
      </c>
      <c r="Y761" s="21"/>
      <c r="Z761" s="22"/>
      <c r="AA761" s="12" t="s">
        <v>2362</v>
      </c>
      <c r="AB761" s="24"/>
    </row>
    <row r="762" customFormat="false" ht="29.85" hidden="false" customHeight="false" outlineLevel="0" collapsed="false">
      <c r="A762" s="15" t="n">
        <v>761</v>
      </c>
      <c r="B762" s="9" t="s">
        <v>112</v>
      </c>
      <c r="C762" s="9" t="s">
        <v>1629</v>
      </c>
      <c r="D762" s="10" t="s">
        <v>1630</v>
      </c>
      <c r="E762" s="11" t="s">
        <v>2363</v>
      </c>
      <c r="F762" s="17"/>
      <c r="G762" s="12" t="s">
        <v>949</v>
      </c>
      <c r="H762" s="13" t="n">
        <v>-0.037</v>
      </c>
      <c r="I762" s="14"/>
      <c r="J762" s="17"/>
      <c r="K762" s="9"/>
      <c r="L762" s="15" t="s">
        <v>50</v>
      </c>
      <c r="M762" s="16" t="s">
        <v>51</v>
      </c>
      <c r="N762" s="14"/>
      <c r="O762" s="15" t="s">
        <v>52</v>
      </c>
      <c r="P762" s="17" t="s">
        <v>53</v>
      </c>
      <c r="Q762" s="15"/>
      <c r="R762" s="18" t="s">
        <v>51</v>
      </c>
      <c r="S762" s="19"/>
      <c r="T762" s="17" t="str">
        <f aca="false">IF(R762="維持",J762,IF(R762="排除","無關新聞事件",IFERROR(INDEX(事件規則!$B$2:$B$53,MATCH(S762,事件規則!$A$2:$A$53,0)),"")))</f>
        <v>無關新聞事件</v>
      </c>
      <c r="U762" s="20" t="n">
        <f aca="false">IF(R762="維持",K762,IF(R762="排除",0,IFERROR(INDEX(事件規則!$C$2:$C$53,MATCH(S762,事件規則!$A$2:$A$53,0)),"")))</f>
        <v>0</v>
      </c>
      <c r="V762" s="21"/>
      <c r="W762" s="22"/>
      <c r="X762" s="10" t="str">
        <f aca="false">IF(AND(R762="修改",S762=""),"請選新事件代碼",IF(AND(R762&lt;&gt;"修改",S762&lt;&gt;""),"只有「修改」才需填代碼",""))</f>
        <v/>
      </c>
      <c r="Y762" s="21"/>
      <c r="Z762" s="22"/>
      <c r="AA762" s="12" t="s">
        <v>2364</v>
      </c>
      <c r="AB762" s="24"/>
    </row>
    <row r="763" customFormat="false" ht="29.85" hidden="false" customHeight="false" outlineLevel="0" collapsed="false">
      <c r="A763" s="15" t="n">
        <v>762</v>
      </c>
      <c r="B763" s="9" t="s">
        <v>112</v>
      </c>
      <c r="C763" s="9" t="s">
        <v>2041</v>
      </c>
      <c r="D763" s="10" t="s">
        <v>2042</v>
      </c>
      <c r="E763" s="11" t="s">
        <v>2365</v>
      </c>
      <c r="F763" s="17"/>
      <c r="G763" s="12" t="s">
        <v>2033</v>
      </c>
      <c r="H763" s="13" t="n">
        <v>-0.037</v>
      </c>
      <c r="I763" s="14"/>
      <c r="J763" s="17"/>
      <c r="K763" s="9"/>
      <c r="L763" s="15" t="s">
        <v>50</v>
      </c>
      <c r="M763" s="16" t="s">
        <v>51</v>
      </c>
      <c r="N763" s="14"/>
      <c r="O763" s="15" t="s">
        <v>52</v>
      </c>
      <c r="P763" s="17" t="s">
        <v>53</v>
      </c>
      <c r="Q763" s="15"/>
      <c r="R763" s="18" t="s">
        <v>51</v>
      </c>
      <c r="S763" s="19"/>
      <c r="T763" s="17" t="str">
        <f aca="false">IF(R763="維持",J763,IF(R763="排除","無關新聞事件",IFERROR(INDEX(事件規則!$B$2:$B$53,MATCH(S763,事件規則!$A$2:$A$53,0)),"")))</f>
        <v>無關新聞事件</v>
      </c>
      <c r="U763" s="20" t="n">
        <f aca="false">IF(R763="維持",K763,IF(R763="排除",0,IFERROR(INDEX(事件規則!$C$2:$C$53,MATCH(S763,事件規則!$A$2:$A$53,0)),"")))</f>
        <v>0</v>
      </c>
      <c r="V763" s="21"/>
      <c r="W763" s="22"/>
      <c r="X763" s="10" t="str">
        <f aca="false">IF(AND(R763="修改",S763=""),"請選新事件代碼",IF(AND(R763&lt;&gt;"修改",S763&lt;&gt;""),"只有「修改」才需填代碼",""))</f>
        <v/>
      </c>
      <c r="Y763" s="21"/>
      <c r="Z763" s="22"/>
      <c r="AA763" s="12" t="s">
        <v>2366</v>
      </c>
      <c r="AB763" s="24"/>
    </row>
    <row r="764" customFormat="false" ht="29.85" hidden="false" customHeight="false" outlineLevel="0" collapsed="false">
      <c r="A764" s="15" t="n">
        <v>763</v>
      </c>
      <c r="B764" s="9" t="s">
        <v>112</v>
      </c>
      <c r="C764" s="9" t="s">
        <v>2041</v>
      </c>
      <c r="D764" s="10" t="s">
        <v>2042</v>
      </c>
      <c r="E764" s="11" t="s">
        <v>2367</v>
      </c>
      <c r="F764" s="17"/>
      <c r="G764" s="12" t="s">
        <v>2033</v>
      </c>
      <c r="H764" s="13" t="n">
        <v>-0.037</v>
      </c>
      <c r="I764" s="14"/>
      <c r="J764" s="17"/>
      <c r="K764" s="9"/>
      <c r="L764" s="15" t="s">
        <v>50</v>
      </c>
      <c r="M764" s="16" t="s">
        <v>51</v>
      </c>
      <c r="N764" s="14"/>
      <c r="O764" s="15" t="s">
        <v>52</v>
      </c>
      <c r="P764" s="17" t="s">
        <v>53</v>
      </c>
      <c r="Q764" s="15"/>
      <c r="R764" s="18" t="s">
        <v>51</v>
      </c>
      <c r="S764" s="19"/>
      <c r="T764" s="17" t="str">
        <f aca="false">IF(R764="維持",J764,IF(R764="排除","無關新聞事件",IFERROR(INDEX(事件規則!$B$2:$B$53,MATCH(S764,事件規則!$A$2:$A$53,0)),"")))</f>
        <v>無關新聞事件</v>
      </c>
      <c r="U764" s="20" t="n">
        <f aca="false">IF(R764="維持",K764,IF(R764="排除",0,IFERROR(INDEX(事件規則!$C$2:$C$53,MATCH(S764,事件規則!$A$2:$A$53,0)),"")))</f>
        <v>0</v>
      </c>
      <c r="V764" s="21"/>
      <c r="W764" s="22"/>
      <c r="X764" s="10" t="str">
        <f aca="false">IF(AND(R764="修改",S764=""),"請選新事件代碼",IF(AND(R764&lt;&gt;"修改",S764&lt;&gt;""),"只有「修改」才需填代碼",""))</f>
        <v/>
      </c>
      <c r="Y764" s="21"/>
      <c r="Z764" s="22"/>
      <c r="AA764" s="12" t="s">
        <v>2368</v>
      </c>
      <c r="AB764" s="24"/>
    </row>
    <row r="765" customFormat="false" ht="29.85" hidden="false" customHeight="false" outlineLevel="0" collapsed="false">
      <c r="A765" s="15" t="n">
        <v>764</v>
      </c>
      <c r="B765" s="9" t="s">
        <v>112</v>
      </c>
      <c r="C765" s="9" t="s">
        <v>1151</v>
      </c>
      <c r="D765" s="10" t="s">
        <v>1152</v>
      </c>
      <c r="E765" s="11" t="s">
        <v>2369</v>
      </c>
      <c r="F765" s="17"/>
      <c r="G765" s="12" t="s">
        <v>2033</v>
      </c>
      <c r="H765" s="13" t="n">
        <v>-0.037</v>
      </c>
      <c r="I765" s="14"/>
      <c r="J765" s="17"/>
      <c r="K765" s="9"/>
      <c r="L765" s="15" t="s">
        <v>50</v>
      </c>
      <c r="M765" s="16" t="s">
        <v>51</v>
      </c>
      <c r="N765" s="14"/>
      <c r="O765" s="15" t="s">
        <v>52</v>
      </c>
      <c r="P765" s="17" t="s">
        <v>53</v>
      </c>
      <c r="Q765" s="15"/>
      <c r="R765" s="18" t="s">
        <v>51</v>
      </c>
      <c r="S765" s="19"/>
      <c r="T765" s="17" t="str">
        <f aca="false">IF(R765="維持",J765,IF(R765="排除","無關新聞事件",IFERROR(INDEX(事件規則!$B$2:$B$53,MATCH(S765,事件規則!$A$2:$A$53,0)),"")))</f>
        <v>無關新聞事件</v>
      </c>
      <c r="U765" s="20" t="n">
        <f aca="false">IF(R765="維持",K765,IF(R765="排除",0,IFERROR(INDEX(事件規則!$C$2:$C$53,MATCH(S765,事件規則!$A$2:$A$53,0)),"")))</f>
        <v>0</v>
      </c>
      <c r="V765" s="21"/>
      <c r="W765" s="22"/>
      <c r="X765" s="10" t="str">
        <f aca="false">IF(AND(R765="修改",S765=""),"請選新事件代碼",IF(AND(R765&lt;&gt;"修改",S765&lt;&gt;""),"只有「修改」才需填代碼",""))</f>
        <v/>
      </c>
      <c r="Y765" s="21"/>
      <c r="Z765" s="22"/>
      <c r="AA765" s="12" t="s">
        <v>2370</v>
      </c>
      <c r="AB765" s="24"/>
    </row>
    <row r="766" customFormat="false" ht="29.85" hidden="false" customHeight="false" outlineLevel="0" collapsed="false">
      <c r="A766" s="15" t="n">
        <v>765</v>
      </c>
      <c r="B766" s="9" t="s">
        <v>112</v>
      </c>
      <c r="C766" s="9" t="s">
        <v>2371</v>
      </c>
      <c r="D766" s="10" t="s">
        <v>2372</v>
      </c>
      <c r="E766" s="11" t="s">
        <v>2373</v>
      </c>
      <c r="F766" s="17"/>
      <c r="G766" s="12" t="s">
        <v>1136</v>
      </c>
      <c r="H766" s="13" t="n">
        <v>-0.037</v>
      </c>
      <c r="I766" s="14"/>
      <c r="J766" s="17"/>
      <c r="K766" s="9"/>
      <c r="L766" s="15" t="s">
        <v>50</v>
      </c>
      <c r="M766" s="16" t="s">
        <v>51</v>
      </c>
      <c r="N766" s="14"/>
      <c r="O766" s="15" t="s">
        <v>52</v>
      </c>
      <c r="P766" s="17" t="s">
        <v>53</v>
      </c>
      <c r="Q766" s="15"/>
      <c r="R766" s="18" t="s">
        <v>51</v>
      </c>
      <c r="S766" s="19"/>
      <c r="T766" s="17" t="str">
        <f aca="false">IF(R766="維持",J766,IF(R766="排除","無關新聞事件",IFERROR(INDEX(事件規則!$B$2:$B$53,MATCH(S766,事件規則!$A$2:$A$53,0)),"")))</f>
        <v>無關新聞事件</v>
      </c>
      <c r="U766" s="20" t="n">
        <f aca="false">IF(R766="維持",K766,IF(R766="排除",0,IFERROR(INDEX(事件規則!$C$2:$C$53,MATCH(S766,事件規則!$A$2:$A$53,0)),"")))</f>
        <v>0</v>
      </c>
      <c r="V766" s="21"/>
      <c r="W766" s="22"/>
      <c r="X766" s="10" t="str">
        <f aca="false">IF(AND(R766="修改",S766=""),"請選新事件代碼",IF(AND(R766&lt;&gt;"修改",S766&lt;&gt;""),"只有「修改」才需填代碼",""))</f>
        <v/>
      </c>
      <c r="Y766" s="21"/>
      <c r="Z766" s="22"/>
      <c r="AA766" s="12" t="s">
        <v>2374</v>
      </c>
      <c r="AB766" s="24"/>
    </row>
    <row r="767" customFormat="false" ht="29.85" hidden="false" customHeight="false" outlineLevel="0" collapsed="false">
      <c r="A767" s="15" t="n">
        <v>766</v>
      </c>
      <c r="B767" s="9" t="s">
        <v>112</v>
      </c>
      <c r="C767" s="9" t="s">
        <v>550</v>
      </c>
      <c r="D767" s="10" t="s">
        <v>551</v>
      </c>
      <c r="E767" s="11" t="s">
        <v>2375</v>
      </c>
      <c r="F767" s="17"/>
      <c r="G767" s="12" t="s">
        <v>1136</v>
      </c>
      <c r="H767" s="13" t="n">
        <v>-0.037</v>
      </c>
      <c r="I767" s="14"/>
      <c r="J767" s="17"/>
      <c r="K767" s="9"/>
      <c r="L767" s="15" t="s">
        <v>50</v>
      </c>
      <c r="M767" s="16" t="s">
        <v>51</v>
      </c>
      <c r="N767" s="14"/>
      <c r="O767" s="15" t="s">
        <v>52</v>
      </c>
      <c r="P767" s="17" t="s">
        <v>53</v>
      </c>
      <c r="Q767" s="15"/>
      <c r="R767" s="18" t="s">
        <v>51</v>
      </c>
      <c r="S767" s="19"/>
      <c r="T767" s="17" t="str">
        <f aca="false">IF(R767="維持",J767,IF(R767="排除","無關新聞事件",IFERROR(INDEX(事件規則!$B$2:$B$53,MATCH(S767,事件規則!$A$2:$A$53,0)),"")))</f>
        <v>無關新聞事件</v>
      </c>
      <c r="U767" s="20" t="n">
        <f aca="false">IF(R767="維持",K767,IF(R767="排除",0,IFERROR(INDEX(事件規則!$C$2:$C$53,MATCH(S767,事件規則!$A$2:$A$53,0)),"")))</f>
        <v>0</v>
      </c>
      <c r="V767" s="21"/>
      <c r="W767" s="22"/>
      <c r="X767" s="10" t="str">
        <f aca="false">IF(AND(R767="修改",S767=""),"請選新事件代碼",IF(AND(R767&lt;&gt;"修改",S767&lt;&gt;""),"只有「修改」才需填代碼",""))</f>
        <v/>
      </c>
      <c r="Y767" s="21"/>
      <c r="Z767" s="22"/>
      <c r="AA767" s="12" t="s">
        <v>2376</v>
      </c>
      <c r="AB767" s="24"/>
    </row>
    <row r="768" customFormat="false" ht="29.85" hidden="false" customHeight="false" outlineLevel="0" collapsed="false">
      <c r="A768" s="15" t="n">
        <v>767</v>
      </c>
      <c r="B768" s="9" t="s">
        <v>112</v>
      </c>
      <c r="C768" s="9" t="s">
        <v>2041</v>
      </c>
      <c r="D768" s="10" t="s">
        <v>2042</v>
      </c>
      <c r="E768" s="11" t="s">
        <v>2377</v>
      </c>
      <c r="F768" s="17"/>
      <c r="G768" s="12" t="s">
        <v>1136</v>
      </c>
      <c r="H768" s="13" t="n">
        <v>-0.037</v>
      </c>
      <c r="I768" s="14"/>
      <c r="J768" s="17"/>
      <c r="K768" s="9"/>
      <c r="L768" s="15" t="s">
        <v>50</v>
      </c>
      <c r="M768" s="16" t="s">
        <v>51</v>
      </c>
      <c r="N768" s="14"/>
      <c r="O768" s="15" t="s">
        <v>52</v>
      </c>
      <c r="P768" s="17" t="s">
        <v>53</v>
      </c>
      <c r="Q768" s="15"/>
      <c r="R768" s="18" t="s">
        <v>51</v>
      </c>
      <c r="S768" s="19"/>
      <c r="T768" s="17" t="str">
        <f aca="false">IF(R768="維持",J768,IF(R768="排除","無關新聞事件",IFERROR(INDEX(事件規則!$B$2:$B$53,MATCH(S768,事件規則!$A$2:$A$53,0)),"")))</f>
        <v>無關新聞事件</v>
      </c>
      <c r="U768" s="20" t="n">
        <f aca="false">IF(R768="維持",K768,IF(R768="排除",0,IFERROR(INDEX(事件規則!$C$2:$C$53,MATCH(S768,事件規則!$A$2:$A$53,0)),"")))</f>
        <v>0</v>
      </c>
      <c r="V768" s="21"/>
      <c r="W768" s="22"/>
      <c r="X768" s="10" t="str">
        <f aca="false">IF(AND(R768="修改",S768=""),"請選新事件代碼",IF(AND(R768&lt;&gt;"修改",S768&lt;&gt;""),"只有「修改」才需填代碼",""))</f>
        <v/>
      </c>
      <c r="Y768" s="21"/>
      <c r="Z768" s="22"/>
      <c r="AA768" s="12" t="s">
        <v>2378</v>
      </c>
      <c r="AB768" s="24"/>
    </row>
    <row r="769" customFormat="false" ht="29.85" hidden="false" customHeight="false" outlineLevel="0" collapsed="false">
      <c r="A769" s="15" t="n">
        <v>768</v>
      </c>
      <c r="B769" s="9" t="s">
        <v>45</v>
      </c>
      <c r="C769" s="9" t="s">
        <v>1086</v>
      </c>
      <c r="D769" s="10" t="s">
        <v>1087</v>
      </c>
      <c r="E769" s="11" t="s">
        <v>2379</v>
      </c>
      <c r="F769" s="17"/>
      <c r="G769" s="12" t="s">
        <v>1136</v>
      </c>
      <c r="H769" s="13" t="n">
        <v>-0.037</v>
      </c>
      <c r="I769" s="14"/>
      <c r="J769" s="17"/>
      <c r="K769" s="9"/>
      <c r="L769" s="15" t="s">
        <v>50</v>
      </c>
      <c r="M769" s="16" t="s">
        <v>51</v>
      </c>
      <c r="N769" s="14"/>
      <c r="O769" s="15" t="s">
        <v>52</v>
      </c>
      <c r="P769" s="17" t="s">
        <v>53</v>
      </c>
      <c r="Q769" s="15"/>
      <c r="R769" s="18" t="s">
        <v>51</v>
      </c>
      <c r="S769" s="19"/>
      <c r="T769" s="17" t="str">
        <f aca="false">IF(R769="維持",J769,IF(R769="排除","無關新聞事件",IFERROR(INDEX(事件規則!$B$2:$B$53,MATCH(S769,事件規則!$A$2:$A$53,0)),"")))</f>
        <v>無關新聞事件</v>
      </c>
      <c r="U769" s="20" t="n">
        <f aca="false">IF(R769="維持",K769,IF(R769="排除",0,IFERROR(INDEX(事件規則!$C$2:$C$53,MATCH(S769,事件規則!$A$2:$A$53,0)),"")))</f>
        <v>0</v>
      </c>
      <c r="V769" s="21"/>
      <c r="W769" s="22"/>
      <c r="X769" s="10" t="str">
        <f aca="false">IF(AND(R769="修改",S769=""),"請選新事件代碼",IF(AND(R769&lt;&gt;"修改",S769&lt;&gt;""),"只有「修改」才需填代碼",""))</f>
        <v/>
      </c>
      <c r="Y769" s="21"/>
      <c r="Z769" s="22"/>
      <c r="AA769" s="12" t="s">
        <v>2380</v>
      </c>
      <c r="AB769" s="24"/>
    </row>
    <row r="770" customFormat="false" ht="29.85" hidden="false" customHeight="false" outlineLevel="0" collapsed="false">
      <c r="A770" s="15" t="n">
        <v>769</v>
      </c>
      <c r="B770" s="9" t="s">
        <v>45</v>
      </c>
      <c r="C770" s="9" t="s">
        <v>2381</v>
      </c>
      <c r="D770" s="10" t="s">
        <v>2382</v>
      </c>
      <c r="E770" s="11" t="s">
        <v>2383</v>
      </c>
      <c r="F770" s="17"/>
      <c r="G770" s="12" t="s">
        <v>949</v>
      </c>
      <c r="H770" s="13" t="n">
        <v>-0.037</v>
      </c>
      <c r="I770" s="14"/>
      <c r="J770" s="17"/>
      <c r="K770" s="9"/>
      <c r="L770" s="15" t="s">
        <v>50</v>
      </c>
      <c r="M770" s="16" t="s">
        <v>51</v>
      </c>
      <c r="N770" s="14"/>
      <c r="O770" s="15" t="s">
        <v>52</v>
      </c>
      <c r="P770" s="17" t="s">
        <v>53</v>
      </c>
      <c r="Q770" s="15"/>
      <c r="R770" s="18" t="s">
        <v>51</v>
      </c>
      <c r="S770" s="19"/>
      <c r="T770" s="17" t="str">
        <f aca="false">IF(R770="維持",J770,IF(R770="排除","無關新聞事件",IFERROR(INDEX(事件規則!$B$2:$B$53,MATCH(S770,事件規則!$A$2:$A$53,0)),"")))</f>
        <v>無關新聞事件</v>
      </c>
      <c r="U770" s="20" t="n">
        <f aca="false">IF(R770="維持",K770,IF(R770="排除",0,IFERROR(INDEX(事件規則!$C$2:$C$53,MATCH(S770,事件規則!$A$2:$A$53,0)),"")))</f>
        <v>0</v>
      </c>
      <c r="V770" s="21"/>
      <c r="W770" s="22"/>
      <c r="X770" s="10" t="str">
        <f aca="false">IF(AND(R770="修改",S770=""),"請選新事件代碼",IF(AND(R770&lt;&gt;"修改",S770&lt;&gt;""),"只有「修改」才需填代碼",""))</f>
        <v/>
      </c>
      <c r="Y770" s="21"/>
      <c r="Z770" s="22"/>
      <c r="AA770" s="12" t="s">
        <v>2384</v>
      </c>
      <c r="AB770" s="24"/>
    </row>
    <row r="771" customFormat="false" ht="29.85" hidden="false" customHeight="false" outlineLevel="0" collapsed="false">
      <c r="A771" s="15" t="n">
        <v>770</v>
      </c>
      <c r="B771" s="9" t="s">
        <v>45</v>
      </c>
      <c r="C771" s="9" t="s">
        <v>107</v>
      </c>
      <c r="D771" s="10" t="s">
        <v>108</v>
      </c>
      <c r="E771" s="11" t="s">
        <v>2385</v>
      </c>
      <c r="F771" s="17"/>
      <c r="G771" s="12" t="s">
        <v>949</v>
      </c>
      <c r="H771" s="13" t="n">
        <v>-0.037</v>
      </c>
      <c r="I771" s="14"/>
      <c r="J771" s="17"/>
      <c r="K771" s="9"/>
      <c r="L771" s="15" t="s">
        <v>50</v>
      </c>
      <c r="M771" s="16" t="s">
        <v>51</v>
      </c>
      <c r="N771" s="14"/>
      <c r="O771" s="15" t="s">
        <v>52</v>
      </c>
      <c r="P771" s="17" t="s">
        <v>53</v>
      </c>
      <c r="Q771" s="15"/>
      <c r="R771" s="18" t="s">
        <v>51</v>
      </c>
      <c r="S771" s="19"/>
      <c r="T771" s="17" t="str">
        <f aca="false">IF(R771="維持",J771,IF(R771="排除","無關新聞事件",IFERROR(INDEX(事件規則!$B$2:$B$53,MATCH(S771,事件規則!$A$2:$A$53,0)),"")))</f>
        <v>無關新聞事件</v>
      </c>
      <c r="U771" s="20" t="n">
        <f aca="false">IF(R771="維持",K771,IF(R771="排除",0,IFERROR(INDEX(事件規則!$C$2:$C$53,MATCH(S771,事件規則!$A$2:$A$53,0)),"")))</f>
        <v>0</v>
      </c>
      <c r="V771" s="21"/>
      <c r="W771" s="22"/>
      <c r="X771" s="10" t="str">
        <f aca="false">IF(AND(R771="修改",S771=""),"請選新事件代碼",IF(AND(R771&lt;&gt;"修改",S771&lt;&gt;""),"只有「修改」才需填代碼",""))</f>
        <v/>
      </c>
      <c r="Y771" s="21"/>
      <c r="Z771" s="22"/>
      <c r="AA771" s="12" t="s">
        <v>2386</v>
      </c>
      <c r="AB771" s="24"/>
    </row>
    <row r="772" customFormat="false" ht="29.85" hidden="false" customHeight="false" outlineLevel="0" collapsed="false">
      <c r="A772" s="15" t="n">
        <v>771</v>
      </c>
      <c r="B772" s="9" t="s">
        <v>45</v>
      </c>
      <c r="C772" s="9" t="s">
        <v>66</v>
      </c>
      <c r="D772" s="10" t="s">
        <v>67</v>
      </c>
      <c r="E772" s="11" t="s">
        <v>2387</v>
      </c>
      <c r="F772" s="17"/>
      <c r="G772" s="12" t="s">
        <v>1136</v>
      </c>
      <c r="H772" s="13" t="n">
        <v>-0.037</v>
      </c>
      <c r="I772" s="14"/>
      <c r="J772" s="17"/>
      <c r="K772" s="9"/>
      <c r="L772" s="15" t="s">
        <v>50</v>
      </c>
      <c r="M772" s="16" t="s">
        <v>51</v>
      </c>
      <c r="N772" s="14"/>
      <c r="O772" s="15" t="s">
        <v>52</v>
      </c>
      <c r="P772" s="17" t="s">
        <v>53</v>
      </c>
      <c r="Q772" s="15"/>
      <c r="R772" s="18" t="s">
        <v>51</v>
      </c>
      <c r="S772" s="19"/>
      <c r="T772" s="17" t="str">
        <f aca="false">IF(R772="維持",J772,IF(R772="排除","無關新聞事件",IFERROR(INDEX(事件規則!$B$2:$B$53,MATCH(S772,事件規則!$A$2:$A$53,0)),"")))</f>
        <v>無關新聞事件</v>
      </c>
      <c r="U772" s="20" t="n">
        <f aca="false">IF(R772="維持",K772,IF(R772="排除",0,IFERROR(INDEX(事件規則!$C$2:$C$53,MATCH(S772,事件規則!$A$2:$A$53,0)),"")))</f>
        <v>0</v>
      </c>
      <c r="V772" s="21"/>
      <c r="W772" s="22"/>
      <c r="X772" s="10" t="str">
        <f aca="false">IF(AND(R772="修改",S772=""),"請選新事件代碼",IF(AND(R772&lt;&gt;"修改",S772&lt;&gt;""),"只有「修改」才需填代碼",""))</f>
        <v/>
      </c>
      <c r="Y772" s="21"/>
      <c r="Z772" s="22"/>
      <c r="AA772" s="12" t="s">
        <v>2388</v>
      </c>
      <c r="AB772" s="24"/>
    </row>
    <row r="773" customFormat="false" ht="29.85" hidden="false" customHeight="false" outlineLevel="0" collapsed="false">
      <c r="A773" s="15" t="n">
        <v>772</v>
      </c>
      <c r="B773" s="9" t="s">
        <v>55</v>
      </c>
      <c r="C773" s="9" t="s">
        <v>1318</v>
      </c>
      <c r="D773" s="10" t="s">
        <v>1319</v>
      </c>
      <c r="E773" s="11" t="s">
        <v>2389</v>
      </c>
      <c r="F773" s="17"/>
      <c r="G773" s="12" t="s">
        <v>949</v>
      </c>
      <c r="H773" s="13" t="n">
        <v>-0.037</v>
      </c>
      <c r="I773" s="14"/>
      <c r="J773" s="17"/>
      <c r="K773" s="9"/>
      <c r="L773" s="15" t="s">
        <v>50</v>
      </c>
      <c r="M773" s="16" t="s">
        <v>51</v>
      </c>
      <c r="N773" s="14"/>
      <c r="O773" s="15" t="s">
        <v>52</v>
      </c>
      <c r="P773" s="17" t="s">
        <v>53</v>
      </c>
      <c r="Q773" s="15"/>
      <c r="R773" s="18" t="s">
        <v>51</v>
      </c>
      <c r="S773" s="19"/>
      <c r="T773" s="17" t="str">
        <f aca="false">IF(R773="維持",J773,IF(R773="排除","無關新聞事件",IFERROR(INDEX(事件規則!$B$2:$B$53,MATCH(S773,事件規則!$A$2:$A$53,0)),"")))</f>
        <v>無關新聞事件</v>
      </c>
      <c r="U773" s="20" t="n">
        <f aca="false">IF(R773="維持",K773,IF(R773="排除",0,IFERROR(INDEX(事件規則!$C$2:$C$53,MATCH(S773,事件規則!$A$2:$A$53,0)),"")))</f>
        <v>0</v>
      </c>
      <c r="V773" s="21"/>
      <c r="W773" s="22"/>
      <c r="X773" s="10" t="str">
        <f aca="false">IF(AND(R773="修改",S773=""),"請選新事件代碼",IF(AND(R773&lt;&gt;"修改",S773&lt;&gt;""),"只有「修改」才需填代碼",""))</f>
        <v/>
      </c>
      <c r="Y773" s="21"/>
      <c r="Z773" s="22"/>
      <c r="AA773" s="12" t="s">
        <v>2390</v>
      </c>
      <c r="AB773" s="24"/>
    </row>
    <row r="774" customFormat="false" ht="29.85" hidden="false" customHeight="false" outlineLevel="0" collapsed="false">
      <c r="A774" s="15" t="n">
        <v>773</v>
      </c>
      <c r="B774" s="9" t="s">
        <v>45</v>
      </c>
      <c r="C774" s="9" t="s">
        <v>1303</v>
      </c>
      <c r="D774" s="10" t="s">
        <v>1304</v>
      </c>
      <c r="E774" s="11" t="s">
        <v>2391</v>
      </c>
      <c r="F774" s="17"/>
      <c r="G774" s="12" t="s">
        <v>105</v>
      </c>
      <c r="H774" s="13" t="n">
        <v>-0.037</v>
      </c>
      <c r="I774" s="14"/>
      <c r="J774" s="17"/>
      <c r="K774" s="9"/>
      <c r="L774" s="15" t="s">
        <v>50</v>
      </c>
      <c r="M774" s="16" t="s">
        <v>51</v>
      </c>
      <c r="N774" s="14"/>
      <c r="O774" s="15" t="s">
        <v>52</v>
      </c>
      <c r="P774" s="17" t="s">
        <v>53</v>
      </c>
      <c r="Q774" s="15"/>
      <c r="R774" s="18" t="s">
        <v>51</v>
      </c>
      <c r="S774" s="19"/>
      <c r="T774" s="17" t="str">
        <f aca="false">IF(R774="維持",J774,IF(R774="排除","無關新聞事件",IFERROR(INDEX(事件規則!$B$2:$B$53,MATCH(S774,事件規則!$A$2:$A$53,0)),"")))</f>
        <v>無關新聞事件</v>
      </c>
      <c r="U774" s="20" t="n">
        <f aca="false">IF(R774="維持",K774,IF(R774="排除",0,IFERROR(INDEX(事件規則!$C$2:$C$53,MATCH(S774,事件規則!$A$2:$A$53,0)),"")))</f>
        <v>0</v>
      </c>
      <c r="V774" s="21"/>
      <c r="W774" s="22"/>
      <c r="X774" s="10" t="str">
        <f aca="false">IF(AND(R774="修改",S774=""),"請選新事件代碼",IF(AND(R774&lt;&gt;"修改",S774&lt;&gt;""),"只有「修改」才需填代碼",""))</f>
        <v/>
      </c>
      <c r="Y774" s="21"/>
      <c r="Z774" s="22"/>
      <c r="AA774" s="12" t="s">
        <v>2392</v>
      </c>
      <c r="AB774" s="24"/>
    </row>
    <row r="775" customFormat="false" ht="29.85" hidden="false" customHeight="false" outlineLevel="0" collapsed="false">
      <c r="A775" s="15" t="n">
        <v>774</v>
      </c>
      <c r="B775" s="9" t="s">
        <v>112</v>
      </c>
      <c r="C775" s="9" t="s">
        <v>2293</v>
      </c>
      <c r="D775" s="10" t="s">
        <v>2294</v>
      </c>
      <c r="E775" s="11" t="s">
        <v>2393</v>
      </c>
      <c r="F775" s="17"/>
      <c r="G775" s="12" t="s">
        <v>949</v>
      </c>
      <c r="H775" s="13" t="n">
        <v>-0.037</v>
      </c>
      <c r="I775" s="14"/>
      <c r="J775" s="17"/>
      <c r="K775" s="9"/>
      <c r="L775" s="15" t="s">
        <v>50</v>
      </c>
      <c r="M775" s="16" t="s">
        <v>51</v>
      </c>
      <c r="N775" s="14"/>
      <c r="O775" s="15" t="s">
        <v>52</v>
      </c>
      <c r="P775" s="17" t="s">
        <v>53</v>
      </c>
      <c r="Q775" s="15"/>
      <c r="R775" s="18" t="s">
        <v>51</v>
      </c>
      <c r="S775" s="19"/>
      <c r="T775" s="17" t="str">
        <f aca="false">IF(R775="維持",J775,IF(R775="排除","無關新聞事件",IFERROR(INDEX(事件規則!$B$2:$B$53,MATCH(S775,事件規則!$A$2:$A$53,0)),"")))</f>
        <v>無關新聞事件</v>
      </c>
      <c r="U775" s="20" t="n">
        <f aca="false">IF(R775="維持",K775,IF(R775="排除",0,IFERROR(INDEX(事件規則!$C$2:$C$53,MATCH(S775,事件規則!$A$2:$A$53,0)),"")))</f>
        <v>0</v>
      </c>
      <c r="V775" s="21"/>
      <c r="W775" s="22"/>
      <c r="X775" s="10" t="str">
        <f aca="false">IF(AND(R775="修改",S775=""),"請選新事件代碼",IF(AND(R775&lt;&gt;"修改",S775&lt;&gt;""),"只有「修改」才需填代碼",""))</f>
        <v/>
      </c>
      <c r="Y775" s="21"/>
      <c r="Z775" s="22"/>
      <c r="AA775" s="12" t="s">
        <v>2394</v>
      </c>
      <c r="AB775" s="24"/>
    </row>
    <row r="776" customFormat="false" ht="29.85" hidden="false" customHeight="false" outlineLevel="0" collapsed="false">
      <c r="A776" s="15" t="n">
        <v>775</v>
      </c>
      <c r="B776" s="9" t="s">
        <v>112</v>
      </c>
      <c r="C776" s="9" t="s">
        <v>260</v>
      </c>
      <c r="D776" s="10" t="s">
        <v>261</v>
      </c>
      <c r="E776" s="11" t="s">
        <v>2395</v>
      </c>
      <c r="F776" s="17"/>
      <c r="G776" s="12" t="s">
        <v>105</v>
      </c>
      <c r="H776" s="13" t="n">
        <v>-0.037</v>
      </c>
      <c r="I776" s="14"/>
      <c r="J776" s="17"/>
      <c r="K776" s="9"/>
      <c r="L776" s="15" t="s">
        <v>50</v>
      </c>
      <c r="M776" s="16" t="s">
        <v>51</v>
      </c>
      <c r="N776" s="14"/>
      <c r="O776" s="15" t="s">
        <v>52</v>
      </c>
      <c r="P776" s="17" t="s">
        <v>53</v>
      </c>
      <c r="Q776" s="15"/>
      <c r="R776" s="18" t="s">
        <v>51</v>
      </c>
      <c r="S776" s="19"/>
      <c r="T776" s="17" t="str">
        <f aca="false">IF(R776="維持",J776,IF(R776="排除","無關新聞事件",IFERROR(INDEX(事件規則!$B$2:$B$53,MATCH(S776,事件規則!$A$2:$A$53,0)),"")))</f>
        <v>無關新聞事件</v>
      </c>
      <c r="U776" s="20" t="n">
        <f aca="false">IF(R776="維持",K776,IF(R776="排除",0,IFERROR(INDEX(事件規則!$C$2:$C$53,MATCH(S776,事件規則!$A$2:$A$53,0)),"")))</f>
        <v>0</v>
      </c>
      <c r="V776" s="21"/>
      <c r="W776" s="22"/>
      <c r="X776" s="10" t="str">
        <f aca="false">IF(AND(R776="修改",S776=""),"請選新事件代碼",IF(AND(R776&lt;&gt;"修改",S776&lt;&gt;""),"只有「修改」才需填代碼",""))</f>
        <v/>
      </c>
      <c r="Y776" s="21"/>
      <c r="Z776" s="22"/>
      <c r="AA776" s="12" t="s">
        <v>2396</v>
      </c>
      <c r="AB776" s="24"/>
    </row>
    <row r="777" customFormat="false" ht="29.85" hidden="false" customHeight="false" outlineLevel="0" collapsed="false">
      <c r="A777" s="15" t="n">
        <v>776</v>
      </c>
      <c r="B777" s="9" t="s">
        <v>45</v>
      </c>
      <c r="C777" s="9" t="s">
        <v>2397</v>
      </c>
      <c r="D777" s="10" t="s">
        <v>2398</v>
      </c>
      <c r="E777" s="11" t="s">
        <v>2399</v>
      </c>
      <c r="F777" s="17"/>
      <c r="G777" s="12" t="s">
        <v>176</v>
      </c>
      <c r="H777" s="13" t="n">
        <v>-0.037</v>
      </c>
      <c r="I777" s="14"/>
      <c r="J777" s="17"/>
      <c r="K777" s="9"/>
      <c r="L777" s="15" t="s">
        <v>50</v>
      </c>
      <c r="M777" s="16" t="s">
        <v>51</v>
      </c>
      <c r="N777" s="14"/>
      <c r="O777" s="15" t="s">
        <v>52</v>
      </c>
      <c r="P777" s="17" t="s">
        <v>53</v>
      </c>
      <c r="Q777" s="15"/>
      <c r="R777" s="18" t="s">
        <v>51</v>
      </c>
      <c r="S777" s="19"/>
      <c r="T777" s="17" t="str">
        <f aca="false">IF(R777="維持",J777,IF(R777="排除","無關新聞事件",IFERROR(INDEX(事件規則!$B$2:$B$53,MATCH(S777,事件規則!$A$2:$A$53,0)),"")))</f>
        <v>無關新聞事件</v>
      </c>
      <c r="U777" s="20" t="n">
        <f aca="false">IF(R777="維持",K777,IF(R777="排除",0,IFERROR(INDEX(事件規則!$C$2:$C$53,MATCH(S777,事件規則!$A$2:$A$53,0)),"")))</f>
        <v>0</v>
      </c>
      <c r="V777" s="21"/>
      <c r="W777" s="22"/>
      <c r="X777" s="10" t="str">
        <f aca="false">IF(AND(R777="修改",S777=""),"請選新事件代碼",IF(AND(R777&lt;&gt;"修改",S777&lt;&gt;""),"只有「修改」才需填代碼",""))</f>
        <v/>
      </c>
      <c r="Y777" s="21"/>
      <c r="Z777" s="22"/>
      <c r="AA777" s="12" t="s">
        <v>2400</v>
      </c>
      <c r="AB777" s="24"/>
    </row>
    <row r="778" customFormat="false" ht="29.85" hidden="false" customHeight="false" outlineLevel="0" collapsed="false">
      <c r="A778" s="15" t="n">
        <v>777</v>
      </c>
      <c r="B778" s="9" t="s">
        <v>81</v>
      </c>
      <c r="C778" s="9" t="s">
        <v>92</v>
      </c>
      <c r="D778" s="10" t="s">
        <v>93</v>
      </c>
      <c r="E778" s="11" t="s">
        <v>2401</v>
      </c>
      <c r="F778" s="17"/>
      <c r="G778" s="12" t="s">
        <v>105</v>
      </c>
      <c r="H778" s="13" t="n">
        <v>-0.037</v>
      </c>
      <c r="I778" s="14"/>
      <c r="J778" s="17"/>
      <c r="K778" s="9"/>
      <c r="L778" s="15" t="s">
        <v>50</v>
      </c>
      <c r="M778" s="16" t="s">
        <v>51</v>
      </c>
      <c r="N778" s="14"/>
      <c r="O778" s="15" t="s">
        <v>52</v>
      </c>
      <c r="P778" s="17" t="s">
        <v>53</v>
      </c>
      <c r="Q778" s="15"/>
      <c r="R778" s="18" t="s">
        <v>51</v>
      </c>
      <c r="S778" s="19"/>
      <c r="T778" s="17" t="str">
        <f aca="false">IF(R778="維持",J778,IF(R778="排除","無關新聞事件",IFERROR(INDEX(事件規則!$B$2:$B$53,MATCH(S778,事件規則!$A$2:$A$53,0)),"")))</f>
        <v>無關新聞事件</v>
      </c>
      <c r="U778" s="20" t="n">
        <f aca="false">IF(R778="維持",K778,IF(R778="排除",0,IFERROR(INDEX(事件規則!$C$2:$C$53,MATCH(S778,事件規則!$A$2:$A$53,0)),"")))</f>
        <v>0</v>
      </c>
      <c r="V778" s="21"/>
      <c r="W778" s="22"/>
      <c r="X778" s="10" t="str">
        <f aca="false">IF(AND(R778="修改",S778=""),"請選新事件代碼",IF(AND(R778&lt;&gt;"修改",S778&lt;&gt;""),"只有「修改」才需填代碼",""))</f>
        <v/>
      </c>
      <c r="Y778" s="21"/>
      <c r="Z778" s="22"/>
      <c r="AA778" s="12" t="s">
        <v>2402</v>
      </c>
      <c r="AB778" s="24"/>
    </row>
    <row r="779" customFormat="false" ht="29.85" hidden="false" customHeight="false" outlineLevel="0" collapsed="false">
      <c r="A779" s="15" t="n">
        <v>778</v>
      </c>
      <c r="B779" s="9" t="s">
        <v>81</v>
      </c>
      <c r="C779" s="9" t="s">
        <v>2403</v>
      </c>
      <c r="D779" s="10" t="s">
        <v>2404</v>
      </c>
      <c r="E779" s="11" t="s">
        <v>2405</v>
      </c>
      <c r="F779" s="17"/>
      <c r="G779" s="12" t="s">
        <v>105</v>
      </c>
      <c r="H779" s="13" t="n">
        <v>-0.037</v>
      </c>
      <c r="I779" s="14"/>
      <c r="J779" s="17"/>
      <c r="K779" s="9"/>
      <c r="L779" s="15" t="s">
        <v>50</v>
      </c>
      <c r="M779" s="16" t="s">
        <v>51</v>
      </c>
      <c r="N779" s="14"/>
      <c r="O779" s="15" t="s">
        <v>52</v>
      </c>
      <c r="P779" s="17" t="s">
        <v>53</v>
      </c>
      <c r="Q779" s="15"/>
      <c r="R779" s="18" t="s">
        <v>51</v>
      </c>
      <c r="S779" s="19"/>
      <c r="T779" s="17" t="str">
        <f aca="false">IF(R779="維持",J779,IF(R779="排除","無關新聞事件",IFERROR(INDEX(事件規則!$B$2:$B$53,MATCH(S779,事件規則!$A$2:$A$53,0)),"")))</f>
        <v>無關新聞事件</v>
      </c>
      <c r="U779" s="20" t="n">
        <f aca="false">IF(R779="維持",K779,IF(R779="排除",0,IFERROR(INDEX(事件規則!$C$2:$C$53,MATCH(S779,事件規則!$A$2:$A$53,0)),"")))</f>
        <v>0</v>
      </c>
      <c r="V779" s="21"/>
      <c r="W779" s="22"/>
      <c r="X779" s="10" t="str">
        <f aca="false">IF(AND(R779="修改",S779=""),"請選新事件代碼",IF(AND(R779&lt;&gt;"修改",S779&lt;&gt;""),"只有「修改」才需填代碼",""))</f>
        <v/>
      </c>
      <c r="Y779" s="21"/>
      <c r="Z779" s="22"/>
      <c r="AA779" s="12" t="s">
        <v>2406</v>
      </c>
      <c r="AB779" s="24"/>
    </row>
    <row r="780" customFormat="false" ht="29.85" hidden="false" customHeight="false" outlineLevel="0" collapsed="false">
      <c r="A780" s="15" t="n">
        <v>779</v>
      </c>
      <c r="B780" s="9" t="s">
        <v>45</v>
      </c>
      <c r="C780" s="9" t="s">
        <v>1899</v>
      </c>
      <c r="D780" s="10" t="s">
        <v>1900</v>
      </c>
      <c r="E780" s="11" t="s">
        <v>2407</v>
      </c>
      <c r="F780" s="17"/>
      <c r="G780" s="12" t="s">
        <v>1136</v>
      </c>
      <c r="H780" s="13" t="n">
        <v>-0.037</v>
      </c>
      <c r="I780" s="14"/>
      <c r="J780" s="17"/>
      <c r="K780" s="9"/>
      <c r="L780" s="15" t="s">
        <v>50</v>
      </c>
      <c r="M780" s="16" t="s">
        <v>51</v>
      </c>
      <c r="N780" s="14"/>
      <c r="O780" s="15" t="s">
        <v>52</v>
      </c>
      <c r="P780" s="17" t="s">
        <v>53</v>
      </c>
      <c r="Q780" s="15"/>
      <c r="R780" s="18" t="s">
        <v>51</v>
      </c>
      <c r="S780" s="19"/>
      <c r="T780" s="17" t="str">
        <f aca="false">IF(R780="維持",J780,IF(R780="排除","無關新聞事件",IFERROR(INDEX(事件規則!$B$2:$B$53,MATCH(S780,事件規則!$A$2:$A$53,0)),"")))</f>
        <v>無關新聞事件</v>
      </c>
      <c r="U780" s="20" t="n">
        <f aca="false">IF(R780="維持",K780,IF(R780="排除",0,IFERROR(INDEX(事件規則!$C$2:$C$53,MATCH(S780,事件規則!$A$2:$A$53,0)),"")))</f>
        <v>0</v>
      </c>
      <c r="V780" s="21"/>
      <c r="W780" s="22"/>
      <c r="X780" s="10" t="str">
        <f aca="false">IF(AND(R780="修改",S780=""),"請選新事件代碼",IF(AND(R780&lt;&gt;"修改",S780&lt;&gt;""),"只有「修改」才需填代碼",""))</f>
        <v/>
      </c>
      <c r="Y780" s="21"/>
      <c r="Z780" s="22"/>
      <c r="AA780" s="12" t="s">
        <v>2408</v>
      </c>
      <c r="AB780" s="24"/>
    </row>
    <row r="781" customFormat="false" ht="29.85" hidden="false" customHeight="false" outlineLevel="0" collapsed="false">
      <c r="A781" s="15" t="n">
        <v>780</v>
      </c>
      <c r="B781" s="9" t="s">
        <v>45</v>
      </c>
      <c r="C781" s="9" t="s">
        <v>118</v>
      </c>
      <c r="D781" s="10" t="s">
        <v>119</v>
      </c>
      <c r="E781" s="11" t="s">
        <v>2409</v>
      </c>
      <c r="F781" s="17"/>
      <c r="G781" s="12" t="s">
        <v>105</v>
      </c>
      <c r="H781" s="13" t="n">
        <v>-0.037</v>
      </c>
      <c r="I781" s="14"/>
      <c r="J781" s="17"/>
      <c r="K781" s="9"/>
      <c r="L781" s="15" t="s">
        <v>50</v>
      </c>
      <c r="M781" s="16" t="s">
        <v>51</v>
      </c>
      <c r="N781" s="14"/>
      <c r="O781" s="15" t="s">
        <v>52</v>
      </c>
      <c r="P781" s="17" t="s">
        <v>53</v>
      </c>
      <c r="Q781" s="15"/>
      <c r="R781" s="18" t="s">
        <v>51</v>
      </c>
      <c r="S781" s="19"/>
      <c r="T781" s="17" t="str">
        <f aca="false">IF(R781="維持",J781,IF(R781="排除","無關新聞事件",IFERROR(INDEX(事件規則!$B$2:$B$53,MATCH(S781,事件規則!$A$2:$A$53,0)),"")))</f>
        <v>無關新聞事件</v>
      </c>
      <c r="U781" s="20" t="n">
        <f aca="false">IF(R781="維持",K781,IF(R781="排除",0,IFERROR(INDEX(事件規則!$C$2:$C$53,MATCH(S781,事件規則!$A$2:$A$53,0)),"")))</f>
        <v>0</v>
      </c>
      <c r="V781" s="21"/>
      <c r="W781" s="22"/>
      <c r="X781" s="10" t="str">
        <f aca="false">IF(AND(R781="修改",S781=""),"請選新事件代碼",IF(AND(R781&lt;&gt;"修改",S781&lt;&gt;""),"只有「修改」才需填代碼",""))</f>
        <v/>
      </c>
      <c r="Y781" s="21"/>
      <c r="Z781" s="22"/>
      <c r="AA781" s="12" t="s">
        <v>2410</v>
      </c>
      <c r="AB781" s="24"/>
    </row>
    <row r="782" customFormat="false" ht="29.85" hidden="false" customHeight="false" outlineLevel="0" collapsed="false">
      <c r="A782" s="15" t="n">
        <v>781</v>
      </c>
      <c r="B782" s="9" t="s">
        <v>81</v>
      </c>
      <c r="C782" s="9" t="s">
        <v>2233</v>
      </c>
      <c r="D782" s="10" t="s">
        <v>2234</v>
      </c>
      <c r="E782" s="11" t="s">
        <v>2411</v>
      </c>
      <c r="F782" s="17"/>
      <c r="G782" s="12" t="s">
        <v>105</v>
      </c>
      <c r="H782" s="13" t="n">
        <v>-0.037</v>
      </c>
      <c r="I782" s="14"/>
      <c r="J782" s="17"/>
      <c r="K782" s="9"/>
      <c r="L782" s="15" t="s">
        <v>50</v>
      </c>
      <c r="M782" s="16" t="s">
        <v>51</v>
      </c>
      <c r="N782" s="14"/>
      <c r="O782" s="15" t="s">
        <v>52</v>
      </c>
      <c r="P782" s="17" t="s">
        <v>53</v>
      </c>
      <c r="Q782" s="15"/>
      <c r="R782" s="18" t="s">
        <v>51</v>
      </c>
      <c r="S782" s="19"/>
      <c r="T782" s="17" t="str">
        <f aca="false">IF(R782="維持",J782,IF(R782="排除","無關新聞事件",IFERROR(INDEX(事件規則!$B$2:$B$53,MATCH(S782,事件規則!$A$2:$A$53,0)),"")))</f>
        <v>無關新聞事件</v>
      </c>
      <c r="U782" s="20" t="n">
        <f aca="false">IF(R782="維持",K782,IF(R782="排除",0,IFERROR(INDEX(事件規則!$C$2:$C$53,MATCH(S782,事件規則!$A$2:$A$53,0)),"")))</f>
        <v>0</v>
      </c>
      <c r="V782" s="21"/>
      <c r="W782" s="22"/>
      <c r="X782" s="10" t="str">
        <f aca="false">IF(AND(R782="修改",S782=""),"請選新事件代碼",IF(AND(R782&lt;&gt;"修改",S782&lt;&gt;""),"只有「修改」才需填代碼",""))</f>
        <v/>
      </c>
      <c r="Y782" s="21"/>
      <c r="Z782" s="22"/>
      <c r="AA782" s="12" t="s">
        <v>2412</v>
      </c>
      <c r="AB782" s="24"/>
    </row>
    <row r="783" customFormat="false" ht="29.85" hidden="false" customHeight="false" outlineLevel="0" collapsed="false">
      <c r="A783" s="15" t="n">
        <v>782</v>
      </c>
      <c r="B783" s="9" t="s">
        <v>45</v>
      </c>
      <c r="C783" s="9" t="s">
        <v>889</v>
      </c>
      <c r="D783" s="10" t="s">
        <v>890</v>
      </c>
      <c r="E783" s="11" t="s">
        <v>2413</v>
      </c>
      <c r="F783" s="17"/>
      <c r="G783" s="12" t="s">
        <v>1136</v>
      </c>
      <c r="H783" s="13" t="n">
        <v>-0.037</v>
      </c>
      <c r="I783" s="14"/>
      <c r="J783" s="17"/>
      <c r="K783" s="9"/>
      <c r="L783" s="15" t="s">
        <v>50</v>
      </c>
      <c r="M783" s="16" t="s">
        <v>51</v>
      </c>
      <c r="N783" s="14"/>
      <c r="O783" s="15" t="s">
        <v>52</v>
      </c>
      <c r="P783" s="17" t="s">
        <v>53</v>
      </c>
      <c r="Q783" s="15"/>
      <c r="R783" s="18" t="s">
        <v>51</v>
      </c>
      <c r="S783" s="19"/>
      <c r="T783" s="17" t="str">
        <f aca="false">IF(R783="維持",J783,IF(R783="排除","無關新聞事件",IFERROR(INDEX(事件規則!$B$2:$B$53,MATCH(S783,事件規則!$A$2:$A$53,0)),"")))</f>
        <v>無關新聞事件</v>
      </c>
      <c r="U783" s="20" t="n">
        <f aca="false">IF(R783="維持",K783,IF(R783="排除",0,IFERROR(INDEX(事件規則!$C$2:$C$53,MATCH(S783,事件規則!$A$2:$A$53,0)),"")))</f>
        <v>0</v>
      </c>
      <c r="V783" s="21"/>
      <c r="W783" s="22"/>
      <c r="X783" s="10" t="str">
        <f aca="false">IF(AND(R783="修改",S783=""),"請選新事件代碼",IF(AND(R783&lt;&gt;"修改",S783&lt;&gt;""),"只有「修改」才需填代碼",""))</f>
        <v/>
      </c>
      <c r="Y783" s="21"/>
      <c r="Z783" s="22"/>
      <c r="AA783" s="12" t="s">
        <v>2414</v>
      </c>
      <c r="AB783" s="24"/>
    </row>
    <row r="784" customFormat="false" ht="29.85" hidden="false" customHeight="false" outlineLevel="0" collapsed="false">
      <c r="A784" s="15" t="n">
        <v>783</v>
      </c>
      <c r="B784" s="9" t="s">
        <v>81</v>
      </c>
      <c r="C784" s="9" t="s">
        <v>831</v>
      </c>
      <c r="D784" s="10" t="s">
        <v>832</v>
      </c>
      <c r="E784" s="11" t="s">
        <v>2415</v>
      </c>
      <c r="F784" s="17"/>
      <c r="G784" s="12" t="s">
        <v>105</v>
      </c>
      <c r="H784" s="13" t="n">
        <v>-0.037</v>
      </c>
      <c r="I784" s="14"/>
      <c r="J784" s="17"/>
      <c r="K784" s="9"/>
      <c r="L784" s="15" t="s">
        <v>50</v>
      </c>
      <c r="M784" s="16" t="s">
        <v>51</v>
      </c>
      <c r="N784" s="14"/>
      <c r="O784" s="15" t="s">
        <v>52</v>
      </c>
      <c r="P784" s="17" t="s">
        <v>53</v>
      </c>
      <c r="Q784" s="15"/>
      <c r="R784" s="18" t="s">
        <v>51</v>
      </c>
      <c r="S784" s="19"/>
      <c r="T784" s="17" t="str">
        <f aca="false">IF(R784="維持",J784,IF(R784="排除","無關新聞事件",IFERROR(INDEX(事件規則!$B$2:$B$53,MATCH(S784,事件規則!$A$2:$A$53,0)),"")))</f>
        <v>無關新聞事件</v>
      </c>
      <c r="U784" s="20" t="n">
        <f aca="false">IF(R784="維持",K784,IF(R784="排除",0,IFERROR(INDEX(事件規則!$C$2:$C$53,MATCH(S784,事件規則!$A$2:$A$53,0)),"")))</f>
        <v>0</v>
      </c>
      <c r="V784" s="21"/>
      <c r="W784" s="22"/>
      <c r="X784" s="10" t="str">
        <f aca="false">IF(AND(R784="修改",S784=""),"請選新事件代碼",IF(AND(R784&lt;&gt;"修改",S784&lt;&gt;""),"只有「修改」才需填代碼",""))</f>
        <v/>
      </c>
      <c r="Y784" s="21"/>
      <c r="Z784" s="22"/>
      <c r="AA784" s="12" t="s">
        <v>2416</v>
      </c>
      <c r="AB784" s="24"/>
    </row>
    <row r="785" customFormat="false" ht="29.85" hidden="false" customHeight="false" outlineLevel="0" collapsed="false">
      <c r="A785" s="15" t="n">
        <v>784</v>
      </c>
      <c r="B785" s="9" t="s">
        <v>81</v>
      </c>
      <c r="C785" s="9" t="s">
        <v>716</v>
      </c>
      <c r="D785" s="10" t="s">
        <v>717</v>
      </c>
      <c r="E785" s="11" t="s">
        <v>2417</v>
      </c>
      <c r="F785" s="17"/>
      <c r="G785" s="12" t="s">
        <v>949</v>
      </c>
      <c r="H785" s="13" t="n">
        <v>-0.036</v>
      </c>
      <c r="I785" s="14"/>
      <c r="J785" s="17"/>
      <c r="K785" s="9"/>
      <c r="L785" s="15" t="s">
        <v>50</v>
      </c>
      <c r="M785" s="16" t="s">
        <v>51</v>
      </c>
      <c r="N785" s="14"/>
      <c r="O785" s="15" t="s">
        <v>52</v>
      </c>
      <c r="P785" s="17" t="s">
        <v>53</v>
      </c>
      <c r="Q785" s="15"/>
      <c r="R785" s="18" t="s">
        <v>51</v>
      </c>
      <c r="S785" s="19"/>
      <c r="T785" s="17" t="str">
        <f aca="false">IF(R785="維持",J785,IF(R785="排除","無關新聞事件",IFERROR(INDEX(事件規則!$B$2:$B$53,MATCH(S785,事件規則!$A$2:$A$53,0)),"")))</f>
        <v>無關新聞事件</v>
      </c>
      <c r="U785" s="20" t="n">
        <f aca="false">IF(R785="維持",K785,IF(R785="排除",0,IFERROR(INDEX(事件規則!$C$2:$C$53,MATCH(S785,事件規則!$A$2:$A$53,0)),"")))</f>
        <v>0</v>
      </c>
      <c r="V785" s="21"/>
      <c r="W785" s="22"/>
      <c r="X785" s="10" t="str">
        <f aca="false">IF(AND(R785="修改",S785=""),"請選新事件代碼",IF(AND(R785&lt;&gt;"修改",S785&lt;&gt;""),"只有「修改」才需填代碼",""))</f>
        <v/>
      </c>
      <c r="Y785" s="21"/>
      <c r="Z785" s="22"/>
      <c r="AA785" s="12" t="s">
        <v>2418</v>
      </c>
      <c r="AB785" s="24"/>
    </row>
    <row r="786" customFormat="false" ht="29.85" hidden="false" customHeight="false" outlineLevel="0" collapsed="false">
      <c r="A786" s="15" t="n">
        <v>785</v>
      </c>
      <c r="B786" s="9" t="s">
        <v>45</v>
      </c>
      <c r="C786" s="9" t="s">
        <v>303</v>
      </c>
      <c r="D786" s="10" t="s">
        <v>304</v>
      </c>
      <c r="E786" s="11" t="s">
        <v>2419</v>
      </c>
      <c r="F786" s="17"/>
      <c r="G786" s="12" t="s">
        <v>2420</v>
      </c>
      <c r="H786" s="13" t="n">
        <v>-0.036</v>
      </c>
      <c r="I786" s="14"/>
      <c r="J786" s="17"/>
      <c r="K786" s="9"/>
      <c r="L786" s="15" t="s">
        <v>50</v>
      </c>
      <c r="M786" s="16" t="s">
        <v>51</v>
      </c>
      <c r="N786" s="14"/>
      <c r="O786" s="15" t="s">
        <v>52</v>
      </c>
      <c r="P786" s="17" t="s">
        <v>53</v>
      </c>
      <c r="Q786" s="15"/>
      <c r="R786" s="18" t="s">
        <v>51</v>
      </c>
      <c r="S786" s="19"/>
      <c r="T786" s="17" t="str">
        <f aca="false">IF(R786="維持",J786,IF(R786="排除","無關新聞事件",IFERROR(INDEX(事件規則!$B$2:$B$53,MATCH(S786,事件規則!$A$2:$A$53,0)),"")))</f>
        <v>無關新聞事件</v>
      </c>
      <c r="U786" s="20" t="n">
        <f aca="false">IF(R786="維持",K786,IF(R786="排除",0,IFERROR(INDEX(事件規則!$C$2:$C$53,MATCH(S786,事件規則!$A$2:$A$53,0)),"")))</f>
        <v>0</v>
      </c>
      <c r="V786" s="21"/>
      <c r="W786" s="22"/>
      <c r="X786" s="10" t="str">
        <f aca="false">IF(AND(R786="修改",S786=""),"請選新事件代碼",IF(AND(R786&lt;&gt;"修改",S786&lt;&gt;""),"只有「修改」才需填代碼",""))</f>
        <v/>
      </c>
      <c r="Y786" s="21"/>
      <c r="Z786" s="22"/>
      <c r="AA786" s="12" t="s">
        <v>2421</v>
      </c>
      <c r="AB786" s="24"/>
    </row>
    <row r="787" customFormat="false" ht="29.85" hidden="false" customHeight="false" outlineLevel="0" collapsed="false">
      <c r="A787" s="15" t="n">
        <v>786</v>
      </c>
      <c r="B787" s="9" t="s">
        <v>45</v>
      </c>
      <c r="C787" s="9" t="s">
        <v>113</v>
      </c>
      <c r="D787" s="10" t="s">
        <v>114</v>
      </c>
      <c r="E787" s="11" t="s">
        <v>2422</v>
      </c>
      <c r="F787" s="17"/>
      <c r="G787" s="12" t="s">
        <v>142</v>
      </c>
      <c r="H787" s="13" t="n">
        <v>-0.036</v>
      </c>
      <c r="I787" s="14"/>
      <c r="J787" s="17"/>
      <c r="K787" s="9"/>
      <c r="L787" s="15" t="s">
        <v>50</v>
      </c>
      <c r="M787" s="16" t="s">
        <v>51</v>
      </c>
      <c r="N787" s="14"/>
      <c r="O787" s="15" t="s">
        <v>52</v>
      </c>
      <c r="P787" s="17" t="s">
        <v>53</v>
      </c>
      <c r="Q787" s="15"/>
      <c r="R787" s="18" t="s">
        <v>51</v>
      </c>
      <c r="S787" s="19"/>
      <c r="T787" s="17" t="str">
        <f aca="false">IF(R787="維持",J787,IF(R787="排除","無關新聞事件",IFERROR(INDEX(事件規則!$B$2:$B$53,MATCH(S787,事件規則!$A$2:$A$53,0)),"")))</f>
        <v>無關新聞事件</v>
      </c>
      <c r="U787" s="20" t="n">
        <f aca="false">IF(R787="維持",K787,IF(R787="排除",0,IFERROR(INDEX(事件規則!$C$2:$C$53,MATCH(S787,事件規則!$A$2:$A$53,0)),"")))</f>
        <v>0</v>
      </c>
      <c r="V787" s="21"/>
      <c r="W787" s="22"/>
      <c r="X787" s="10" t="str">
        <f aca="false">IF(AND(R787="修改",S787=""),"請選新事件代碼",IF(AND(R787&lt;&gt;"修改",S787&lt;&gt;""),"只有「修改」才需填代碼",""))</f>
        <v/>
      </c>
      <c r="Y787" s="21"/>
      <c r="Z787" s="22"/>
      <c r="AA787" s="12" t="s">
        <v>2423</v>
      </c>
      <c r="AB787" s="24"/>
    </row>
    <row r="788" customFormat="false" ht="29.85" hidden="false" customHeight="false" outlineLevel="0" collapsed="false">
      <c r="A788" s="15" t="n">
        <v>787</v>
      </c>
      <c r="B788" s="9" t="s">
        <v>45</v>
      </c>
      <c r="C788" s="9" t="s">
        <v>2424</v>
      </c>
      <c r="D788" s="10" t="s">
        <v>2425</v>
      </c>
      <c r="E788" s="11" t="s">
        <v>2426</v>
      </c>
      <c r="F788" s="17"/>
      <c r="G788" s="12" t="s">
        <v>1136</v>
      </c>
      <c r="H788" s="13" t="n">
        <v>-0.036</v>
      </c>
      <c r="I788" s="14"/>
      <c r="J788" s="17"/>
      <c r="K788" s="9"/>
      <c r="L788" s="15" t="s">
        <v>50</v>
      </c>
      <c r="M788" s="16" t="s">
        <v>51</v>
      </c>
      <c r="N788" s="14"/>
      <c r="O788" s="15" t="s">
        <v>52</v>
      </c>
      <c r="P788" s="17" t="s">
        <v>53</v>
      </c>
      <c r="Q788" s="15"/>
      <c r="R788" s="18" t="s">
        <v>51</v>
      </c>
      <c r="S788" s="19"/>
      <c r="T788" s="17" t="str">
        <f aca="false">IF(R788="維持",J788,IF(R788="排除","無關新聞事件",IFERROR(INDEX(事件規則!$B$2:$B$53,MATCH(S788,事件規則!$A$2:$A$53,0)),"")))</f>
        <v>無關新聞事件</v>
      </c>
      <c r="U788" s="20" t="n">
        <f aca="false">IF(R788="維持",K788,IF(R788="排除",0,IFERROR(INDEX(事件規則!$C$2:$C$53,MATCH(S788,事件規則!$A$2:$A$53,0)),"")))</f>
        <v>0</v>
      </c>
      <c r="V788" s="21"/>
      <c r="W788" s="22"/>
      <c r="X788" s="10" t="str">
        <f aca="false">IF(AND(R788="修改",S788=""),"請選新事件代碼",IF(AND(R788&lt;&gt;"修改",S788&lt;&gt;""),"只有「修改」才需填代碼",""))</f>
        <v/>
      </c>
      <c r="Y788" s="21"/>
      <c r="Z788" s="22"/>
      <c r="AA788" s="12" t="s">
        <v>2427</v>
      </c>
      <c r="AB788" s="24"/>
    </row>
    <row r="789" customFormat="false" ht="29.85" hidden="false" customHeight="false" outlineLevel="0" collapsed="false">
      <c r="A789" s="15" t="n">
        <v>788</v>
      </c>
      <c r="B789" s="9" t="s">
        <v>81</v>
      </c>
      <c r="C789" s="9" t="s">
        <v>957</v>
      </c>
      <c r="D789" s="10" t="s">
        <v>958</v>
      </c>
      <c r="E789" s="11" t="s">
        <v>2428</v>
      </c>
      <c r="F789" s="17"/>
      <c r="G789" s="12" t="s">
        <v>105</v>
      </c>
      <c r="H789" s="13" t="n">
        <v>-0.036</v>
      </c>
      <c r="I789" s="14"/>
      <c r="J789" s="17"/>
      <c r="K789" s="9"/>
      <c r="L789" s="15" t="s">
        <v>50</v>
      </c>
      <c r="M789" s="16" t="s">
        <v>51</v>
      </c>
      <c r="N789" s="14"/>
      <c r="O789" s="15" t="s">
        <v>52</v>
      </c>
      <c r="P789" s="17" t="s">
        <v>53</v>
      </c>
      <c r="Q789" s="15"/>
      <c r="R789" s="18" t="s">
        <v>51</v>
      </c>
      <c r="S789" s="19"/>
      <c r="T789" s="17" t="str">
        <f aca="false">IF(R789="維持",J789,IF(R789="排除","無關新聞事件",IFERROR(INDEX(事件規則!$B$2:$B$53,MATCH(S789,事件規則!$A$2:$A$53,0)),"")))</f>
        <v>無關新聞事件</v>
      </c>
      <c r="U789" s="20" t="n">
        <f aca="false">IF(R789="維持",K789,IF(R789="排除",0,IFERROR(INDEX(事件規則!$C$2:$C$53,MATCH(S789,事件規則!$A$2:$A$53,0)),"")))</f>
        <v>0</v>
      </c>
      <c r="V789" s="21"/>
      <c r="W789" s="22"/>
      <c r="X789" s="10" t="str">
        <f aca="false">IF(AND(R789="修改",S789=""),"請選新事件代碼",IF(AND(R789&lt;&gt;"修改",S789&lt;&gt;""),"只有「修改」才需填代碼",""))</f>
        <v/>
      </c>
      <c r="Y789" s="21"/>
      <c r="Z789" s="22"/>
      <c r="AA789" s="12" t="s">
        <v>2429</v>
      </c>
      <c r="AB789" s="24"/>
    </row>
    <row r="790" customFormat="false" ht="29.85" hidden="false" customHeight="false" outlineLevel="0" collapsed="false">
      <c r="A790" s="15" t="n">
        <v>789</v>
      </c>
      <c r="B790" s="9" t="s">
        <v>55</v>
      </c>
      <c r="C790" s="9" t="s">
        <v>303</v>
      </c>
      <c r="D790" s="10" t="s">
        <v>304</v>
      </c>
      <c r="E790" s="11" t="s">
        <v>2430</v>
      </c>
      <c r="F790" s="17"/>
      <c r="G790" s="12" t="s">
        <v>1136</v>
      </c>
      <c r="H790" s="13" t="n">
        <v>-0.036</v>
      </c>
      <c r="I790" s="14"/>
      <c r="J790" s="17"/>
      <c r="K790" s="9"/>
      <c r="L790" s="15" t="s">
        <v>50</v>
      </c>
      <c r="M790" s="16" t="s">
        <v>51</v>
      </c>
      <c r="N790" s="14"/>
      <c r="O790" s="15" t="s">
        <v>52</v>
      </c>
      <c r="P790" s="17" t="s">
        <v>53</v>
      </c>
      <c r="Q790" s="15"/>
      <c r="R790" s="18" t="s">
        <v>51</v>
      </c>
      <c r="S790" s="19"/>
      <c r="T790" s="17" t="str">
        <f aca="false">IF(R790="維持",J790,IF(R790="排除","無關新聞事件",IFERROR(INDEX(事件規則!$B$2:$B$53,MATCH(S790,事件規則!$A$2:$A$53,0)),"")))</f>
        <v>無關新聞事件</v>
      </c>
      <c r="U790" s="20" t="n">
        <f aca="false">IF(R790="維持",K790,IF(R790="排除",0,IFERROR(INDEX(事件規則!$C$2:$C$53,MATCH(S790,事件規則!$A$2:$A$53,0)),"")))</f>
        <v>0</v>
      </c>
      <c r="V790" s="21"/>
      <c r="W790" s="22"/>
      <c r="X790" s="10" t="str">
        <f aca="false">IF(AND(R790="修改",S790=""),"請選新事件代碼",IF(AND(R790&lt;&gt;"修改",S790&lt;&gt;""),"只有「修改」才需填代碼",""))</f>
        <v/>
      </c>
      <c r="Y790" s="21"/>
      <c r="Z790" s="22"/>
      <c r="AA790" s="12" t="s">
        <v>2431</v>
      </c>
      <c r="AB790" s="24"/>
    </row>
    <row r="791" customFormat="false" ht="29.85" hidden="false" customHeight="false" outlineLevel="0" collapsed="false">
      <c r="A791" s="15" t="n">
        <v>790</v>
      </c>
      <c r="B791" s="9" t="s">
        <v>112</v>
      </c>
      <c r="C791" s="9" t="s">
        <v>2432</v>
      </c>
      <c r="D791" s="10" t="s">
        <v>2433</v>
      </c>
      <c r="E791" s="11" t="s">
        <v>2434</v>
      </c>
      <c r="F791" s="17"/>
      <c r="G791" s="12" t="s">
        <v>176</v>
      </c>
      <c r="H791" s="13" t="n">
        <v>-0.036</v>
      </c>
      <c r="I791" s="14"/>
      <c r="J791" s="17"/>
      <c r="K791" s="9"/>
      <c r="L791" s="15" t="s">
        <v>50</v>
      </c>
      <c r="M791" s="16" t="s">
        <v>51</v>
      </c>
      <c r="N791" s="14"/>
      <c r="O791" s="15" t="s">
        <v>52</v>
      </c>
      <c r="P791" s="17" t="s">
        <v>53</v>
      </c>
      <c r="Q791" s="15"/>
      <c r="R791" s="18" t="s">
        <v>51</v>
      </c>
      <c r="S791" s="19"/>
      <c r="T791" s="17" t="str">
        <f aca="false">IF(R791="維持",J791,IF(R791="排除","無關新聞事件",IFERROR(INDEX(事件規則!$B$2:$B$53,MATCH(S791,事件規則!$A$2:$A$53,0)),"")))</f>
        <v>無關新聞事件</v>
      </c>
      <c r="U791" s="20" t="n">
        <f aca="false">IF(R791="維持",K791,IF(R791="排除",0,IFERROR(INDEX(事件規則!$C$2:$C$53,MATCH(S791,事件規則!$A$2:$A$53,0)),"")))</f>
        <v>0</v>
      </c>
      <c r="V791" s="21"/>
      <c r="W791" s="22"/>
      <c r="X791" s="10" t="str">
        <f aca="false">IF(AND(R791="修改",S791=""),"請選新事件代碼",IF(AND(R791&lt;&gt;"修改",S791&lt;&gt;""),"只有「修改」才需填代碼",""))</f>
        <v/>
      </c>
      <c r="Y791" s="21"/>
      <c r="Z791" s="22"/>
      <c r="AA791" s="12" t="s">
        <v>2435</v>
      </c>
      <c r="AB791" s="24"/>
    </row>
    <row r="792" customFormat="false" ht="29.85" hidden="false" customHeight="false" outlineLevel="0" collapsed="false">
      <c r="A792" s="15" t="n">
        <v>791</v>
      </c>
      <c r="B792" s="9" t="s">
        <v>112</v>
      </c>
      <c r="C792" s="9" t="s">
        <v>344</v>
      </c>
      <c r="D792" s="10" t="s">
        <v>345</v>
      </c>
      <c r="E792" s="11" t="s">
        <v>2436</v>
      </c>
      <c r="F792" s="17"/>
      <c r="G792" s="12" t="s">
        <v>1136</v>
      </c>
      <c r="H792" s="13" t="n">
        <v>-0.036</v>
      </c>
      <c r="I792" s="14"/>
      <c r="J792" s="17"/>
      <c r="K792" s="9"/>
      <c r="L792" s="15" t="s">
        <v>50</v>
      </c>
      <c r="M792" s="16" t="s">
        <v>51</v>
      </c>
      <c r="N792" s="14"/>
      <c r="O792" s="15" t="s">
        <v>52</v>
      </c>
      <c r="P792" s="17" t="s">
        <v>53</v>
      </c>
      <c r="Q792" s="15"/>
      <c r="R792" s="18" t="s">
        <v>51</v>
      </c>
      <c r="S792" s="19"/>
      <c r="T792" s="17" t="str">
        <f aca="false">IF(R792="維持",J792,IF(R792="排除","無關新聞事件",IFERROR(INDEX(事件規則!$B$2:$B$53,MATCH(S792,事件規則!$A$2:$A$53,0)),"")))</f>
        <v>無關新聞事件</v>
      </c>
      <c r="U792" s="20" t="n">
        <f aca="false">IF(R792="維持",K792,IF(R792="排除",0,IFERROR(INDEX(事件規則!$C$2:$C$53,MATCH(S792,事件規則!$A$2:$A$53,0)),"")))</f>
        <v>0</v>
      </c>
      <c r="V792" s="21"/>
      <c r="W792" s="22"/>
      <c r="X792" s="10" t="str">
        <f aca="false">IF(AND(R792="修改",S792=""),"請選新事件代碼",IF(AND(R792&lt;&gt;"修改",S792&lt;&gt;""),"只有「修改」才需填代碼",""))</f>
        <v/>
      </c>
      <c r="Y792" s="21"/>
      <c r="Z792" s="22"/>
      <c r="AA792" s="12" t="s">
        <v>2437</v>
      </c>
      <c r="AB792" s="24"/>
    </row>
    <row r="793" customFormat="false" ht="29.85" hidden="false" customHeight="false" outlineLevel="0" collapsed="false">
      <c r="A793" s="15" t="n">
        <v>792</v>
      </c>
      <c r="B793" s="9" t="s">
        <v>112</v>
      </c>
      <c r="C793" s="9" t="s">
        <v>326</v>
      </c>
      <c r="D793" s="10" t="s">
        <v>326</v>
      </c>
      <c r="E793" s="11" t="s">
        <v>2438</v>
      </c>
      <c r="F793" s="17"/>
      <c r="G793" s="12" t="s">
        <v>105</v>
      </c>
      <c r="H793" s="13" t="n">
        <v>-0.036</v>
      </c>
      <c r="I793" s="14"/>
      <c r="J793" s="17"/>
      <c r="K793" s="9"/>
      <c r="L793" s="15" t="s">
        <v>50</v>
      </c>
      <c r="M793" s="16" t="s">
        <v>51</v>
      </c>
      <c r="N793" s="14"/>
      <c r="O793" s="15" t="s">
        <v>52</v>
      </c>
      <c r="P793" s="17" t="s">
        <v>53</v>
      </c>
      <c r="Q793" s="15"/>
      <c r="R793" s="18" t="s">
        <v>51</v>
      </c>
      <c r="S793" s="19"/>
      <c r="T793" s="17" t="str">
        <f aca="false">IF(R793="維持",J793,IF(R793="排除","無關新聞事件",IFERROR(INDEX(事件規則!$B$2:$B$53,MATCH(S793,事件規則!$A$2:$A$53,0)),"")))</f>
        <v>無關新聞事件</v>
      </c>
      <c r="U793" s="20" t="n">
        <f aca="false">IF(R793="維持",K793,IF(R793="排除",0,IFERROR(INDEX(事件規則!$C$2:$C$53,MATCH(S793,事件規則!$A$2:$A$53,0)),"")))</f>
        <v>0</v>
      </c>
      <c r="V793" s="21"/>
      <c r="W793" s="22"/>
      <c r="X793" s="10" t="str">
        <f aca="false">IF(AND(R793="修改",S793=""),"請選新事件代碼",IF(AND(R793&lt;&gt;"修改",S793&lt;&gt;""),"只有「修改」才需填代碼",""))</f>
        <v/>
      </c>
      <c r="Y793" s="21"/>
      <c r="Z793" s="22"/>
      <c r="AA793" s="12" t="s">
        <v>2439</v>
      </c>
      <c r="AB793" s="24"/>
    </row>
    <row r="794" customFormat="false" ht="29.85" hidden="false" customHeight="false" outlineLevel="0" collapsed="false">
      <c r="A794" s="15" t="n">
        <v>793</v>
      </c>
      <c r="B794" s="9" t="s">
        <v>112</v>
      </c>
      <c r="C794" s="9" t="s">
        <v>1899</v>
      </c>
      <c r="D794" s="10" t="s">
        <v>1900</v>
      </c>
      <c r="E794" s="11" t="s">
        <v>2440</v>
      </c>
      <c r="F794" s="17"/>
      <c r="G794" s="12" t="s">
        <v>1136</v>
      </c>
      <c r="H794" s="13" t="n">
        <v>-0.036</v>
      </c>
      <c r="I794" s="14"/>
      <c r="J794" s="17"/>
      <c r="K794" s="9"/>
      <c r="L794" s="15" t="s">
        <v>50</v>
      </c>
      <c r="M794" s="16" t="s">
        <v>51</v>
      </c>
      <c r="N794" s="14"/>
      <c r="O794" s="15" t="s">
        <v>52</v>
      </c>
      <c r="P794" s="17" t="s">
        <v>53</v>
      </c>
      <c r="Q794" s="15"/>
      <c r="R794" s="18" t="s">
        <v>51</v>
      </c>
      <c r="S794" s="19"/>
      <c r="T794" s="17" t="str">
        <f aca="false">IF(R794="維持",J794,IF(R794="排除","無關新聞事件",IFERROR(INDEX(事件規則!$B$2:$B$53,MATCH(S794,事件規則!$A$2:$A$53,0)),"")))</f>
        <v>無關新聞事件</v>
      </c>
      <c r="U794" s="20" t="n">
        <f aca="false">IF(R794="維持",K794,IF(R794="排除",0,IFERROR(INDEX(事件規則!$C$2:$C$53,MATCH(S794,事件規則!$A$2:$A$53,0)),"")))</f>
        <v>0</v>
      </c>
      <c r="V794" s="21"/>
      <c r="W794" s="22"/>
      <c r="X794" s="10" t="str">
        <f aca="false">IF(AND(R794="修改",S794=""),"請選新事件代碼",IF(AND(R794&lt;&gt;"修改",S794&lt;&gt;""),"只有「修改」才需填代碼",""))</f>
        <v/>
      </c>
      <c r="Y794" s="21"/>
      <c r="Z794" s="22"/>
      <c r="AA794" s="12" t="s">
        <v>2441</v>
      </c>
      <c r="AB794" s="24"/>
    </row>
    <row r="795" customFormat="false" ht="29.85" hidden="false" customHeight="false" outlineLevel="0" collapsed="false">
      <c r="A795" s="15" t="n">
        <v>794</v>
      </c>
      <c r="B795" s="9" t="s">
        <v>112</v>
      </c>
      <c r="C795" s="9" t="s">
        <v>326</v>
      </c>
      <c r="D795" s="10" t="s">
        <v>326</v>
      </c>
      <c r="E795" s="11" t="s">
        <v>2442</v>
      </c>
      <c r="F795" s="17"/>
      <c r="G795" s="12" t="s">
        <v>105</v>
      </c>
      <c r="H795" s="13" t="n">
        <v>-0.036</v>
      </c>
      <c r="I795" s="14"/>
      <c r="J795" s="17"/>
      <c r="K795" s="9"/>
      <c r="L795" s="15" t="s">
        <v>50</v>
      </c>
      <c r="M795" s="16" t="s">
        <v>51</v>
      </c>
      <c r="N795" s="14"/>
      <c r="O795" s="15" t="s">
        <v>52</v>
      </c>
      <c r="P795" s="17" t="s">
        <v>53</v>
      </c>
      <c r="Q795" s="15"/>
      <c r="R795" s="18" t="s">
        <v>51</v>
      </c>
      <c r="S795" s="19"/>
      <c r="T795" s="17" t="str">
        <f aca="false">IF(R795="維持",J795,IF(R795="排除","無關新聞事件",IFERROR(INDEX(事件規則!$B$2:$B$53,MATCH(S795,事件規則!$A$2:$A$53,0)),"")))</f>
        <v>無關新聞事件</v>
      </c>
      <c r="U795" s="20" t="n">
        <f aca="false">IF(R795="維持",K795,IF(R795="排除",0,IFERROR(INDEX(事件規則!$C$2:$C$53,MATCH(S795,事件規則!$A$2:$A$53,0)),"")))</f>
        <v>0</v>
      </c>
      <c r="V795" s="21"/>
      <c r="W795" s="22"/>
      <c r="X795" s="10" t="str">
        <f aca="false">IF(AND(R795="修改",S795=""),"請選新事件代碼",IF(AND(R795&lt;&gt;"修改",S795&lt;&gt;""),"只有「修改」才需填代碼",""))</f>
        <v/>
      </c>
      <c r="Y795" s="21"/>
      <c r="Z795" s="22"/>
      <c r="AA795" s="12" t="s">
        <v>2443</v>
      </c>
      <c r="AB795" s="24"/>
    </row>
    <row r="796" customFormat="false" ht="29.85" hidden="false" customHeight="false" outlineLevel="0" collapsed="false">
      <c r="A796" s="15" t="n">
        <v>795</v>
      </c>
      <c r="B796" s="9" t="s">
        <v>112</v>
      </c>
      <c r="C796" s="9" t="s">
        <v>2444</v>
      </c>
      <c r="D796" s="10" t="s">
        <v>2445</v>
      </c>
      <c r="E796" s="11" t="s">
        <v>2446</v>
      </c>
      <c r="F796" s="17"/>
      <c r="G796" s="12" t="s">
        <v>105</v>
      </c>
      <c r="H796" s="13" t="n">
        <v>-0.036</v>
      </c>
      <c r="I796" s="14"/>
      <c r="J796" s="17"/>
      <c r="K796" s="9"/>
      <c r="L796" s="15" t="s">
        <v>50</v>
      </c>
      <c r="M796" s="16" t="s">
        <v>51</v>
      </c>
      <c r="N796" s="14"/>
      <c r="O796" s="15" t="s">
        <v>52</v>
      </c>
      <c r="P796" s="17" t="s">
        <v>53</v>
      </c>
      <c r="Q796" s="15"/>
      <c r="R796" s="18" t="s">
        <v>51</v>
      </c>
      <c r="S796" s="19"/>
      <c r="T796" s="17" t="str">
        <f aca="false">IF(R796="維持",J796,IF(R796="排除","無關新聞事件",IFERROR(INDEX(事件規則!$B$2:$B$53,MATCH(S796,事件規則!$A$2:$A$53,0)),"")))</f>
        <v>無關新聞事件</v>
      </c>
      <c r="U796" s="20" t="n">
        <f aca="false">IF(R796="維持",K796,IF(R796="排除",0,IFERROR(INDEX(事件規則!$C$2:$C$53,MATCH(S796,事件規則!$A$2:$A$53,0)),"")))</f>
        <v>0</v>
      </c>
      <c r="V796" s="21"/>
      <c r="W796" s="22"/>
      <c r="X796" s="10" t="str">
        <f aca="false">IF(AND(R796="修改",S796=""),"請選新事件代碼",IF(AND(R796&lt;&gt;"修改",S796&lt;&gt;""),"只有「修改」才需填代碼",""))</f>
        <v/>
      </c>
      <c r="Y796" s="21"/>
      <c r="Z796" s="22"/>
      <c r="AA796" s="12" t="s">
        <v>2447</v>
      </c>
      <c r="AB796" s="24"/>
    </row>
    <row r="797" customFormat="false" ht="29.85" hidden="false" customHeight="false" outlineLevel="0" collapsed="false">
      <c r="A797" s="15" t="n">
        <v>796</v>
      </c>
      <c r="B797" s="9" t="s">
        <v>112</v>
      </c>
      <c r="C797" s="9" t="s">
        <v>585</v>
      </c>
      <c r="D797" s="10" t="s">
        <v>586</v>
      </c>
      <c r="E797" s="11" t="s">
        <v>2448</v>
      </c>
      <c r="F797" s="17"/>
      <c r="G797" s="12" t="s">
        <v>105</v>
      </c>
      <c r="H797" s="13" t="n">
        <v>-0.036</v>
      </c>
      <c r="I797" s="14"/>
      <c r="J797" s="17"/>
      <c r="K797" s="9"/>
      <c r="L797" s="15" t="s">
        <v>50</v>
      </c>
      <c r="M797" s="16" t="s">
        <v>51</v>
      </c>
      <c r="N797" s="14"/>
      <c r="O797" s="15" t="s">
        <v>52</v>
      </c>
      <c r="P797" s="17" t="s">
        <v>53</v>
      </c>
      <c r="Q797" s="15"/>
      <c r="R797" s="18" t="s">
        <v>51</v>
      </c>
      <c r="S797" s="19"/>
      <c r="T797" s="17" t="str">
        <f aca="false">IF(R797="維持",J797,IF(R797="排除","無關新聞事件",IFERROR(INDEX(事件規則!$B$2:$B$53,MATCH(S797,事件規則!$A$2:$A$53,0)),"")))</f>
        <v>無關新聞事件</v>
      </c>
      <c r="U797" s="20" t="n">
        <f aca="false">IF(R797="維持",K797,IF(R797="排除",0,IFERROR(INDEX(事件規則!$C$2:$C$53,MATCH(S797,事件規則!$A$2:$A$53,0)),"")))</f>
        <v>0</v>
      </c>
      <c r="V797" s="21"/>
      <c r="W797" s="22"/>
      <c r="X797" s="10" t="str">
        <f aca="false">IF(AND(R797="修改",S797=""),"請選新事件代碼",IF(AND(R797&lt;&gt;"修改",S797&lt;&gt;""),"只有「修改」才需填代碼",""))</f>
        <v/>
      </c>
      <c r="Y797" s="21"/>
      <c r="Z797" s="22"/>
      <c r="AA797" s="12" t="s">
        <v>2449</v>
      </c>
      <c r="AB797" s="24"/>
    </row>
    <row r="798" customFormat="false" ht="29.85" hidden="false" customHeight="false" outlineLevel="0" collapsed="false">
      <c r="A798" s="15" t="n">
        <v>797</v>
      </c>
      <c r="B798" s="9" t="s">
        <v>112</v>
      </c>
      <c r="C798" s="9" t="s">
        <v>1350</v>
      </c>
      <c r="D798" s="10" t="s">
        <v>1351</v>
      </c>
      <c r="E798" s="11" t="s">
        <v>2450</v>
      </c>
      <c r="F798" s="17"/>
      <c r="G798" s="12" t="s">
        <v>949</v>
      </c>
      <c r="H798" s="13" t="n">
        <v>-0.036</v>
      </c>
      <c r="I798" s="14"/>
      <c r="J798" s="17"/>
      <c r="K798" s="9"/>
      <c r="L798" s="15" t="s">
        <v>50</v>
      </c>
      <c r="M798" s="16" t="s">
        <v>51</v>
      </c>
      <c r="N798" s="14"/>
      <c r="O798" s="15" t="s">
        <v>52</v>
      </c>
      <c r="P798" s="17" t="s">
        <v>53</v>
      </c>
      <c r="Q798" s="15"/>
      <c r="R798" s="18" t="s">
        <v>51</v>
      </c>
      <c r="S798" s="19"/>
      <c r="T798" s="17" t="str">
        <f aca="false">IF(R798="維持",J798,IF(R798="排除","無關新聞事件",IFERROR(INDEX(事件規則!$B$2:$B$53,MATCH(S798,事件規則!$A$2:$A$53,0)),"")))</f>
        <v>無關新聞事件</v>
      </c>
      <c r="U798" s="20" t="n">
        <f aca="false">IF(R798="維持",K798,IF(R798="排除",0,IFERROR(INDEX(事件規則!$C$2:$C$53,MATCH(S798,事件規則!$A$2:$A$53,0)),"")))</f>
        <v>0</v>
      </c>
      <c r="V798" s="21"/>
      <c r="W798" s="22"/>
      <c r="X798" s="10" t="str">
        <f aca="false">IF(AND(R798="修改",S798=""),"請選新事件代碼",IF(AND(R798&lt;&gt;"修改",S798&lt;&gt;""),"只有「修改」才需填代碼",""))</f>
        <v/>
      </c>
      <c r="Y798" s="21"/>
      <c r="Z798" s="22"/>
      <c r="AA798" s="12" t="s">
        <v>2451</v>
      </c>
      <c r="AB798" s="24"/>
    </row>
    <row r="799" customFormat="false" ht="29.85" hidden="false" customHeight="false" outlineLevel="0" collapsed="false">
      <c r="A799" s="15" t="n">
        <v>798</v>
      </c>
      <c r="B799" s="9" t="s">
        <v>112</v>
      </c>
      <c r="C799" s="9" t="s">
        <v>123</v>
      </c>
      <c r="D799" s="10" t="s">
        <v>124</v>
      </c>
      <c r="E799" s="11" t="s">
        <v>2452</v>
      </c>
      <c r="F799" s="17"/>
      <c r="G799" s="12" t="s">
        <v>49</v>
      </c>
      <c r="H799" s="13" t="n">
        <v>-0.036</v>
      </c>
      <c r="I799" s="14"/>
      <c r="J799" s="17"/>
      <c r="K799" s="9"/>
      <c r="L799" s="15" t="s">
        <v>50</v>
      </c>
      <c r="M799" s="16" t="s">
        <v>51</v>
      </c>
      <c r="N799" s="14"/>
      <c r="O799" s="15" t="s">
        <v>52</v>
      </c>
      <c r="P799" s="17" t="s">
        <v>53</v>
      </c>
      <c r="Q799" s="15"/>
      <c r="R799" s="18" t="s">
        <v>51</v>
      </c>
      <c r="S799" s="19"/>
      <c r="T799" s="17" t="str">
        <f aca="false">IF(R799="維持",J799,IF(R799="排除","無關新聞事件",IFERROR(INDEX(事件規則!$B$2:$B$53,MATCH(S799,事件規則!$A$2:$A$53,0)),"")))</f>
        <v>無關新聞事件</v>
      </c>
      <c r="U799" s="20" t="n">
        <f aca="false">IF(R799="維持",K799,IF(R799="排除",0,IFERROR(INDEX(事件規則!$C$2:$C$53,MATCH(S799,事件規則!$A$2:$A$53,0)),"")))</f>
        <v>0</v>
      </c>
      <c r="V799" s="21"/>
      <c r="W799" s="22"/>
      <c r="X799" s="10" t="str">
        <f aca="false">IF(AND(R799="修改",S799=""),"請選新事件代碼",IF(AND(R799&lt;&gt;"修改",S799&lt;&gt;""),"只有「修改」才需填代碼",""))</f>
        <v/>
      </c>
      <c r="Y799" s="21"/>
      <c r="Z799" s="22"/>
      <c r="AA799" s="12" t="s">
        <v>2453</v>
      </c>
      <c r="AB799" s="24"/>
    </row>
    <row r="800" customFormat="false" ht="29.85" hidden="false" customHeight="false" outlineLevel="0" collapsed="false">
      <c r="A800" s="15" t="n">
        <v>799</v>
      </c>
      <c r="B800" s="9" t="s">
        <v>112</v>
      </c>
      <c r="C800" s="9" t="s">
        <v>550</v>
      </c>
      <c r="D800" s="10" t="s">
        <v>551</v>
      </c>
      <c r="E800" s="11" t="s">
        <v>2454</v>
      </c>
      <c r="F800" s="17"/>
      <c r="G800" s="12" t="s">
        <v>949</v>
      </c>
      <c r="H800" s="13" t="n">
        <v>-0.036</v>
      </c>
      <c r="I800" s="14"/>
      <c r="J800" s="17"/>
      <c r="K800" s="9"/>
      <c r="L800" s="15" t="s">
        <v>50</v>
      </c>
      <c r="M800" s="16" t="s">
        <v>51</v>
      </c>
      <c r="N800" s="14"/>
      <c r="O800" s="15" t="s">
        <v>52</v>
      </c>
      <c r="P800" s="17" t="s">
        <v>53</v>
      </c>
      <c r="Q800" s="15"/>
      <c r="R800" s="18" t="s">
        <v>51</v>
      </c>
      <c r="S800" s="19"/>
      <c r="T800" s="17" t="str">
        <f aca="false">IF(R800="維持",J800,IF(R800="排除","無關新聞事件",IFERROR(INDEX(事件規則!$B$2:$B$53,MATCH(S800,事件規則!$A$2:$A$53,0)),"")))</f>
        <v>無關新聞事件</v>
      </c>
      <c r="U800" s="20" t="n">
        <f aca="false">IF(R800="維持",K800,IF(R800="排除",0,IFERROR(INDEX(事件規則!$C$2:$C$53,MATCH(S800,事件規則!$A$2:$A$53,0)),"")))</f>
        <v>0</v>
      </c>
      <c r="V800" s="21"/>
      <c r="W800" s="22"/>
      <c r="X800" s="10" t="str">
        <f aca="false">IF(AND(R800="修改",S800=""),"請選新事件代碼",IF(AND(R800&lt;&gt;"修改",S800&lt;&gt;""),"只有「修改」才需填代碼",""))</f>
        <v/>
      </c>
      <c r="Y800" s="21"/>
      <c r="Z800" s="22"/>
      <c r="AA800" s="12" t="s">
        <v>2455</v>
      </c>
      <c r="AB800" s="24"/>
    </row>
    <row r="801" customFormat="false" ht="29.85" hidden="false" customHeight="false" outlineLevel="0" collapsed="false">
      <c r="A801" s="15" t="n">
        <v>800</v>
      </c>
      <c r="B801" s="9" t="s">
        <v>112</v>
      </c>
      <c r="C801" s="9" t="s">
        <v>2319</v>
      </c>
      <c r="D801" s="10" t="s">
        <v>2320</v>
      </c>
      <c r="E801" s="11" t="s">
        <v>2456</v>
      </c>
      <c r="F801" s="17"/>
      <c r="G801" s="12" t="s">
        <v>105</v>
      </c>
      <c r="H801" s="13" t="n">
        <v>-0.036</v>
      </c>
      <c r="I801" s="14"/>
      <c r="J801" s="17"/>
      <c r="K801" s="9"/>
      <c r="L801" s="15" t="s">
        <v>50</v>
      </c>
      <c r="M801" s="16" t="s">
        <v>51</v>
      </c>
      <c r="N801" s="14"/>
      <c r="O801" s="15" t="s">
        <v>52</v>
      </c>
      <c r="P801" s="17" t="s">
        <v>53</v>
      </c>
      <c r="Q801" s="15"/>
      <c r="R801" s="18" t="s">
        <v>51</v>
      </c>
      <c r="S801" s="19"/>
      <c r="T801" s="17" t="str">
        <f aca="false">IF(R801="維持",J801,IF(R801="排除","無關新聞事件",IFERROR(INDEX(事件規則!$B$2:$B$53,MATCH(S801,事件規則!$A$2:$A$53,0)),"")))</f>
        <v>無關新聞事件</v>
      </c>
      <c r="U801" s="20" t="n">
        <f aca="false">IF(R801="維持",K801,IF(R801="排除",0,IFERROR(INDEX(事件規則!$C$2:$C$53,MATCH(S801,事件規則!$A$2:$A$53,0)),"")))</f>
        <v>0</v>
      </c>
      <c r="V801" s="21"/>
      <c r="W801" s="22"/>
      <c r="X801" s="10" t="str">
        <f aca="false">IF(AND(R801="修改",S801=""),"請選新事件代碼",IF(AND(R801&lt;&gt;"修改",S801&lt;&gt;""),"只有「修改」才需填代碼",""))</f>
        <v/>
      </c>
      <c r="Y801" s="21"/>
      <c r="Z801" s="22"/>
      <c r="AA801" s="12" t="s">
        <v>2457</v>
      </c>
      <c r="AB801" s="24"/>
    </row>
    <row r="802" customFormat="false" ht="29.85" hidden="false" customHeight="false" outlineLevel="0" collapsed="false">
      <c r="A802" s="15" t="n">
        <v>801</v>
      </c>
      <c r="B802" s="9" t="s">
        <v>112</v>
      </c>
      <c r="C802" s="9" t="s">
        <v>113</v>
      </c>
      <c r="D802" s="10" t="s">
        <v>114</v>
      </c>
      <c r="E802" s="11" t="s">
        <v>2458</v>
      </c>
      <c r="F802" s="17"/>
      <c r="G802" s="12" t="s">
        <v>1136</v>
      </c>
      <c r="H802" s="13" t="n">
        <v>-0.036</v>
      </c>
      <c r="I802" s="14"/>
      <c r="J802" s="17"/>
      <c r="K802" s="9"/>
      <c r="L802" s="15" t="s">
        <v>50</v>
      </c>
      <c r="M802" s="16" t="s">
        <v>51</v>
      </c>
      <c r="N802" s="14"/>
      <c r="O802" s="15" t="s">
        <v>52</v>
      </c>
      <c r="P802" s="17" t="s">
        <v>53</v>
      </c>
      <c r="Q802" s="15"/>
      <c r="R802" s="18" t="s">
        <v>51</v>
      </c>
      <c r="S802" s="19"/>
      <c r="T802" s="17" t="str">
        <f aca="false">IF(R802="維持",J802,IF(R802="排除","無關新聞事件",IFERROR(INDEX(事件規則!$B$2:$B$53,MATCH(S802,事件規則!$A$2:$A$53,0)),"")))</f>
        <v>無關新聞事件</v>
      </c>
      <c r="U802" s="20" t="n">
        <f aca="false">IF(R802="維持",K802,IF(R802="排除",0,IFERROR(INDEX(事件規則!$C$2:$C$53,MATCH(S802,事件規則!$A$2:$A$53,0)),"")))</f>
        <v>0</v>
      </c>
      <c r="V802" s="21"/>
      <c r="W802" s="22"/>
      <c r="X802" s="10" t="str">
        <f aca="false">IF(AND(R802="修改",S802=""),"請選新事件代碼",IF(AND(R802&lt;&gt;"修改",S802&lt;&gt;""),"只有「修改」才需填代碼",""))</f>
        <v/>
      </c>
      <c r="Y802" s="21"/>
      <c r="Z802" s="22"/>
      <c r="AA802" s="12" t="s">
        <v>2459</v>
      </c>
      <c r="AB802" s="24"/>
    </row>
    <row r="803" customFormat="false" ht="29.85" hidden="false" customHeight="false" outlineLevel="0" collapsed="false">
      <c r="A803" s="15" t="n">
        <v>802</v>
      </c>
      <c r="B803" s="9" t="s">
        <v>55</v>
      </c>
      <c r="C803" s="9" t="s">
        <v>672</v>
      </c>
      <c r="D803" s="10" t="s">
        <v>673</v>
      </c>
      <c r="E803" s="11" t="s">
        <v>2460</v>
      </c>
      <c r="F803" s="17"/>
      <c r="G803" s="12" t="s">
        <v>2033</v>
      </c>
      <c r="H803" s="13" t="n">
        <v>-0.036</v>
      </c>
      <c r="I803" s="14"/>
      <c r="J803" s="17"/>
      <c r="K803" s="9"/>
      <c r="L803" s="15" t="s">
        <v>50</v>
      </c>
      <c r="M803" s="16" t="s">
        <v>51</v>
      </c>
      <c r="N803" s="14"/>
      <c r="O803" s="15" t="s">
        <v>52</v>
      </c>
      <c r="P803" s="17" t="s">
        <v>53</v>
      </c>
      <c r="Q803" s="15"/>
      <c r="R803" s="18" t="s">
        <v>51</v>
      </c>
      <c r="S803" s="19"/>
      <c r="T803" s="17" t="str">
        <f aca="false">IF(R803="維持",J803,IF(R803="排除","無關新聞事件",IFERROR(INDEX(事件規則!$B$2:$B$53,MATCH(S803,事件規則!$A$2:$A$53,0)),"")))</f>
        <v>無關新聞事件</v>
      </c>
      <c r="U803" s="20" t="n">
        <f aca="false">IF(R803="維持",K803,IF(R803="排除",0,IFERROR(INDEX(事件規則!$C$2:$C$53,MATCH(S803,事件規則!$A$2:$A$53,0)),"")))</f>
        <v>0</v>
      </c>
      <c r="V803" s="21"/>
      <c r="W803" s="22"/>
      <c r="X803" s="10" t="str">
        <f aca="false">IF(AND(R803="修改",S803=""),"請選新事件代碼",IF(AND(R803&lt;&gt;"修改",S803&lt;&gt;""),"只有「修改」才需填代碼",""))</f>
        <v/>
      </c>
      <c r="Y803" s="21"/>
      <c r="Z803" s="22"/>
      <c r="AA803" s="12" t="s">
        <v>2461</v>
      </c>
      <c r="AB803" s="24"/>
    </row>
    <row r="804" customFormat="false" ht="29.85" hidden="false" customHeight="false" outlineLevel="0" collapsed="false">
      <c r="A804" s="15" t="n">
        <v>803</v>
      </c>
      <c r="B804" s="9" t="s">
        <v>55</v>
      </c>
      <c r="C804" s="9" t="s">
        <v>550</v>
      </c>
      <c r="D804" s="10" t="s">
        <v>551</v>
      </c>
      <c r="E804" s="11" t="s">
        <v>2462</v>
      </c>
      <c r="F804" s="17"/>
      <c r="G804" s="12" t="s">
        <v>949</v>
      </c>
      <c r="H804" s="13" t="n">
        <v>-0.036</v>
      </c>
      <c r="I804" s="14"/>
      <c r="J804" s="17"/>
      <c r="K804" s="9"/>
      <c r="L804" s="15" t="s">
        <v>50</v>
      </c>
      <c r="M804" s="16" t="s">
        <v>51</v>
      </c>
      <c r="N804" s="14"/>
      <c r="O804" s="15" t="s">
        <v>52</v>
      </c>
      <c r="P804" s="17" t="s">
        <v>53</v>
      </c>
      <c r="Q804" s="15"/>
      <c r="R804" s="18" t="s">
        <v>51</v>
      </c>
      <c r="S804" s="19"/>
      <c r="T804" s="17" t="str">
        <f aca="false">IF(R804="維持",J804,IF(R804="排除","無關新聞事件",IFERROR(INDEX(事件規則!$B$2:$B$53,MATCH(S804,事件規則!$A$2:$A$53,0)),"")))</f>
        <v>無關新聞事件</v>
      </c>
      <c r="U804" s="20" t="n">
        <f aca="false">IF(R804="維持",K804,IF(R804="排除",0,IFERROR(INDEX(事件規則!$C$2:$C$53,MATCH(S804,事件規則!$A$2:$A$53,0)),"")))</f>
        <v>0</v>
      </c>
      <c r="V804" s="21"/>
      <c r="W804" s="22"/>
      <c r="X804" s="10" t="str">
        <f aca="false">IF(AND(R804="修改",S804=""),"請選新事件代碼",IF(AND(R804&lt;&gt;"修改",S804&lt;&gt;""),"只有「修改」才需填代碼",""))</f>
        <v/>
      </c>
      <c r="Y804" s="21"/>
      <c r="Z804" s="22"/>
      <c r="AA804" s="12" t="s">
        <v>2463</v>
      </c>
      <c r="AB804" s="24"/>
    </row>
    <row r="805" customFormat="false" ht="29.85" hidden="false" customHeight="false" outlineLevel="0" collapsed="false">
      <c r="A805" s="15" t="n">
        <v>804</v>
      </c>
      <c r="B805" s="9" t="s">
        <v>55</v>
      </c>
      <c r="C805" s="9" t="s">
        <v>294</v>
      </c>
      <c r="D805" s="10" t="s">
        <v>295</v>
      </c>
      <c r="E805" s="11" t="s">
        <v>2464</v>
      </c>
      <c r="F805" s="17"/>
      <c r="G805" s="12" t="s">
        <v>2033</v>
      </c>
      <c r="H805" s="13" t="n">
        <v>-0.036</v>
      </c>
      <c r="I805" s="14"/>
      <c r="J805" s="17"/>
      <c r="K805" s="9"/>
      <c r="L805" s="15" t="s">
        <v>50</v>
      </c>
      <c r="M805" s="16" t="s">
        <v>51</v>
      </c>
      <c r="N805" s="14"/>
      <c r="O805" s="15" t="s">
        <v>52</v>
      </c>
      <c r="P805" s="17" t="s">
        <v>53</v>
      </c>
      <c r="Q805" s="15"/>
      <c r="R805" s="18" t="s">
        <v>51</v>
      </c>
      <c r="S805" s="19"/>
      <c r="T805" s="17" t="str">
        <f aca="false">IF(R805="維持",J805,IF(R805="排除","無關新聞事件",IFERROR(INDEX(事件規則!$B$2:$B$53,MATCH(S805,事件規則!$A$2:$A$53,0)),"")))</f>
        <v>無關新聞事件</v>
      </c>
      <c r="U805" s="20" t="n">
        <f aca="false">IF(R805="維持",K805,IF(R805="排除",0,IFERROR(INDEX(事件規則!$C$2:$C$53,MATCH(S805,事件規則!$A$2:$A$53,0)),"")))</f>
        <v>0</v>
      </c>
      <c r="V805" s="21"/>
      <c r="W805" s="22"/>
      <c r="X805" s="10" t="str">
        <f aca="false">IF(AND(R805="修改",S805=""),"請選新事件代碼",IF(AND(R805&lt;&gt;"修改",S805&lt;&gt;""),"只有「修改」才需填代碼",""))</f>
        <v/>
      </c>
      <c r="Y805" s="21"/>
      <c r="Z805" s="22"/>
      <c r="AA805" s="12" t="s">
        <v>2465</v>
      </c>
      <c r="AB805" s="24"/>
    </row>
    <row r="806" customFormat="false" ht="29.85" hidden="false" customHeight="false" outlineLevel="0" collapsed="false">
      <c r="A806" s="15" t="n">
        <v>805</v>
      </c>
      <c r="B806" s="9" t="s">
        <v>55</v>
      </c>
      <c r="C806" s="9" t="s">
        <v>219</v>
      </c>
      <c r="D806" s="10" t="s">
        <v>220</v>
      </c>
      <c r="E806" s="11" t="s">
        <v>2466</v>
      </c>
      <c r="F806" s="17"/>
      <c r="G806" s="12" t="s">
        <v>1136</v>
      </c>
      <c r="H806" s="13" t="n">
        <v>-0.036</v>
      </c>
      <c r="I806" s="14"/>
      <c r="J806" s="17"/>
      <c r="K806" s="9"/>
      <c r="L806" s="15" t="s">
        <v>50</v>
      </c>
      <c r="M806" s="16" t="s">
        <v>51</v>
      </c>
      <c r="N806" s="14"/>
      <c r="O806" s="15" t="s">
        <v>52</v>
      </c>
      <c r="P806" s="17" t="s">
        <v>53</v>
      </c>
      <c r="Q806" s="15"/>
      <c r="R806" s="18" t="s">
        <v>51</v>
      </c>
      <c r="S806" s="19"/>
      <c r="T806" s="17" t="str">
        <f aca="false">IF(R806="維持",J806,IF(R806="排除","無關新聞事件",IFERROR(INDEX(事件規則!$B$2:$B$53,MATCH(S806,事件規則!$A$2:$A$53,0)),"")))</f>
        <v>無關新聞事件</v>
      </c>
      <c r="U806" s="20" t="n">
        <f aca="false">IF(R806="維持",K806,IF(R806="排除",0,IFERROR(INDEX(事件規則!$C$2:$C$53,MATCH(S806,事件規則!$A$2:$A$53,0)),"")))</f>
        <v>0</v>
      </c>
      <c r="V806" s="21"/>
      <c r="W806" s="22"/>
      <c r="X806" s="10" t="str">
        <f aca="false">IF(AND(R806="修改",S806=""),"請選新事件代碼",IF(AND(R806&lt;&gt;"修改",S806&lt;&gt;""),"只有「修改」才需填代碼",""))</f>
        <v/>
      </c>
      <c r="Y806" s="21"/>
      <c r="Z806" s="22"/>
      <c r="AA806" s="12" t="s">
        <v>2467</v>
      </c>
      <c r="AB806" s="24"/>
    </row>
    <row r="807" customFormat="false" ht="29.85" hidden="false" customHeight="false" outlineLevel="0" collapsed="false">
      <c r="A807" s="15" t="n">
        <v>806</v>
      </c>
      <c r="B807" s="9" t="s">
        <v>55</v>
      </c>
      <c r="C807" s="9" t="s">
        <v>404</v>
      </c>
      <c r="D807" s="10" t="s">
        <v>405</v>
      </c>
      <c r="E807" s="11" t="s">
        <v>2468</v>
      </c>
      <c r="F807" s="17"/>
      <c r="G807" s="12" t="s">
        <v>105</v>
      </c>
      <c r="H807" s="13" t="n">
        <v>-0.036</v>
      </c>
      <c r="I807" s="14"/>
      <c r="J807" s="17"/>
      <c r="K807" s="9"/>
      <c r="L807" s="15" t="s">
        <v>50</v>
      </c>
      <c r="M807" s="16" t="s">
        <v>51</v>
      </c>
      <c r="N807" s="14"/>
      <c r="O807" s="15" t="s">
        <v>52</v>
      </c>
      <c r="P807" s="17" t="s">
        <v>53</v>
      </c>
      <c r="Q807" s="15"/>
      <c r="R807" s="18" t="s">
        <v>51</v>
      </c>
      <c r="S807" s="19"/>
      <c r="T807" s="17" t="str">
        <f aca="false">IF(R807="維持",J807,IF(R807="排除","無關新聞事件",IFERROR(INDEX(事件規則!$B$2:$B$53,MATCH(S807,事件規則!$A$2:$A$53,0)),"")))</f>
        <v>無關新聞事件</v>
      </c>
      <c r="U807" s="20" t="n">
        <f aca="false">IF(R807="維持",K807,IF(R807="排除",0,IFERROR(INDEX(事件規則!$C$2:$C$53,MATCH(S807,事件規則!$A$2:$A$53,0)),"")))</f>
        <v>0</v>
      </c>
      <c r="V807" s="21"/>
      <c r="W807" s="22"/>
      <c r="X807" s="10" t="str">
        <f aca="false">IF(AND(R807="修改",S807=""),"請選新事件代碼",IF(AND(R807&lt;&gt;"修改",S807&lt;&gt;""),"只有「修改」才需填代碼",""))</f>
        <v/>
      </c>
      <c r="Y807" s="21"/>
      <c r="Z807" s="22"/>
      <c r="AA807" s="12" t="s">
        <v>2469</v>
      </c>
      <c r="AB807" s="24"/>
    </row>
    <row r="808" customFormat="false" ht="29.85" hidden="false" customHeight="false" outlineLevel="0" collapsed="false">
      <c r="A808" s="15" t="n">
        <v>807</v>
      </c>
      <c r="B808" s="9" t="s">
        <v>55</v>
      </c>
      <c r="C808" s="9" t="s">
        <v>576</v>
      </c>
      <c r="D808" s="10" t="s">
        <v>577</v>
      </c>
      <c r="E808" s="11" t="s">
        <v>2470</v>
      </c>
      <c r="F808" s="17"/>
      <c r="G808" s="12" t="s">
        <v>59</v>
      </c>
      <c r="H808" s="13" t="n">
        <v>-0.036</v>
      </c>
      <c r="I808" s="14"/>
      <c r="J808" s="17"/>
      <c r="K808" s="9"/>
      <c r="L808" s="15" t="s">
        <v>50</v>
      </c>
      <c r="M808" s="16" t="s">
        <v>51</v>
      </c>
      <c r="N808" s="14"/>
      <c r="O808" s="15" t="s">
        <v>52</v>
      </c>
      <c r="P808" s="17" t="s">
        <v>53</v>
      </c>
      <c r="Q808" s="15"/>
      <c r="R808" s="18" t="s">
        <v>51</v>
      </c>
      <c r="S808" s="19"/>
      <c r="T808" s="17" t="str">
        <f aca="false">IF(R808="維持",J808,IF(R808="排除","無關新聞事件",IFERROR(INDEX(事件規則!$B$2:$B$53,MATCH(S808,事件規則!$A$2:$A$53,0)),"")))</f>
        <v>無關新聞事件</v>
      </c>
      <c r="U808" s="20" t="n">
        <f aca="false">IF(R808="維持",K808,IF(R808="排除",0,IFERROR(INDEX(事件規則!$C$2:$C$53,MATCH(S808,事件規則!$A$2:$A$53,0)),"")))</f>
        <v>0</v>
      </c>
      <c r="V808" s="21"/>
      <c r="W808" s="22"/>
      <c r="X808" s="10" t="str">
        <f aca="false">IF(AND(R808="修改",S808=""),"請選新事件代碼",IF(AND(R808&lt;&gt;"修改",S808&lt;&gt;""),"只有「修改」才需填代碼",""))</f>
        <v/>
      </c>
      <c r="Y808" s="21"/>
      <c r="Z808" s="22"/>
      <c r="AA808" s="12" t="s">
        <v>2471</v>
      </c>
      <c r="AB808" s="24"/>
    </row>
    <row r="809" customFormat="false" ht="29.85" hidden="false" customHeight="false" outlineLevel="0" collapsed="false">
      <c r="A809" s="15" t="n">
        <v>808</v>
      </c>
      <c r="B809" s="9" t="s">
        <v>55</v>
      </c>
      <c r="C809" s="9" t="s">
        <v>242</v>
      </c>
      <c r="D809" s="10" t="s">
        <v>243</v>
      </c>
      <c r="E809" s="11" t="s">
        <v>2472</v>
      </c>
      <c r="F809" s="17"/>
      <c r="G809" s="12" t="s">
        <v>1308</v>
      </c>
      <c r="H809" s="13" t="n">
        <v>-0.036</v>
      </c>
      <c r="I809" s="14"/>
      <c r="J809" s="17"/>
      <c r="K809" s="9"/>
      <c r="L809" s="15" t="s">
        <v>50</v>
      </c>
      <c r="M809" s="16" t="s">
        <v>51</v>
      </c>
      <c r="N809" s="14"/>
      <c r="O809" s="15" t="s">
        <v>52</v>
      </c>
      <c r="P809" s="17" t="s">
        <v>53</v>
      </c>
      <c r="Q809" s="15"/>
      <c r="R809" s="18" t="s">
        <v>51</v>
      </c>
      <c r="S809" s="19"/>
      <c r="T809" s="17" t="str">
        <f aca="false">IF(R809="維持",J809,IF(R809="排除","無關新聞事件",IFERROR(INDEX(事件規則!$B$2:$B$53,MATCH(S809,事件規則!$A$2:$A$53,0)),"")))</f>
        <v>無關新聞事件</v>
      </c>
      <c r="U809" s="20" t="n">
        <f aca="false">IF(R809="維持",K809,IF(R809="排除",0,IFERROR(INDEX(事件規則!$C$2:$C$53,MATCH(S809,事件規則!$A$2:$A$53,0)),"")))</f>
        <v>0</v>
      </c>
      <c r="V809" s="21"/>
      <c r="W809" s="22"/>
      <c r="X809" s="10" t="str">
        <f aca="false">IF(AND(R809="修改",S809=""),"請選新事件代碼",IF(AND(R809&lt;&gt;"修改",S809&lt;&gt;""),"只有「修改」才需填代碼",""))</f>
        <v/>
      </c>
      <c r="Y809" s="21"/>
      <c r="Z809" s="22"/>
      <c r="AA809" s="12" t="s">
        <v>2473</v>
      </c>
      <c r="AB809" s="24"/>
    </row>
    <row r="810" customFormat="false" ht="29.85" hidden="false" customHeight="false" outlineLevel="0" collapsed="false">
      <c r="A810" s="15" t="n">
        <v>809</v>
      </c>
      <c r="B810" s="9" t="s">
        <v>112</v>
      </c>
      <c r="C810" s="9" t="s">
        <v>1151</v>
      </c>
      <c r="D810" s="10" t="s">
        <v>1152</v>
      </c>
      <c r="E810" s="11" t="s">
        <v>2474</v>
      </c>
      <c r="F810" s="17"/>
      <c r="G810" s="12" t="s">
        <v>949</v>
      </c>
      <c r="H810" s="13" t="n">
        <v>-0.036</v>
      </c>
      <c r="I810" s="14"/>
      <c r="J810" s="17"/>
      <c r="K810" s="9"/>
      <c r="L810" s="15" t="s">
        <v>50</v>
      </c>
      <c r="M810" s="16" t="s">
        <v>51</v>
      </c>
      <c r="N810" s="14"/>
      <c r="O810" s="15" t="s">
        <v>52</v>
      </c>
      <c r="P810" s="17" t="s">
        <v>53</v>
      </c>
      <c r="Q810" s="15"/>
      <c r="R810" s="18" t="s">
        <v>51</v>
      </c>
      <c r="S810" s="19"/>
      <c r="T810" s="17" t="str">
        <f aca="false">IF(R810="維持",J810,IF(R810="排除","無關新聞事件",IFERROR(INDEX(事件規則!$B$2:$B$53,MATCH(S810,事件規則!$A$2:$A$53,0)),"")))</f>
        <v>無關新聞事件</v>
      </c>
      <c r="U810" s="20" t="n">
        <f aca="false">IF(R810="維持",K810,IF(R810="排除",0,IFERROR(INDEX(事件規則!$C$2:$C$53,MATCH(S810,事件規則!$A$2:$A$53,0)),"")))</f>
        <v>0</v>
      </c>
      <c r="V810" s="21"/>
      <c r="W810" s="22"/>
      <c r="X810" s="10" t="str">
        <f aca="false">IF(AND(R810="修改",S810=""),"請選新事件代碼",IF(AND(R810&lt;&gt;"修改",S810&lt;&gt;""),"只有「修改」才需填代碼",""))</f>
        <v/>
      </c>
      <c r="Y810" s="21"/>
      <c r="Z810" s="22"/>
      <c r="AA810" s="12" t="s">
        <v>2475</v>
      </c>
      <c r="AB810" s="24"/>
    </row>
    <row r="811" customFormat="false" ht="29.85" hidden="false" customHeight="false" outlineLevel="0" collapsed="false">
      <c r="A811" s="15" t="n">
        <v>810</v>
      </c>
      <c r="B811" s="9" t="s">
        <v>45</v>
      </c>
      <c r="C811" s="9" t="s">
        <v>2476</v>
      </c>
      <c r="D811" s="10" t="s">
        <v>2477</v>
      </c>
      <c r="E811" s="11" t="s">
        <v>2478</v>
      </c>
      <c r="F811" s="17"/>
      <c r="G811" s="12" t="s">
        <v>176</v>
      </c>
      <c r="H811" s="13" t="n">
        <v>-0.036</v>
      </c>
      <c r="I811" s="14"/>
      <c r="J811" s="17"/>
      <c r="K811" s="9"/>
      <c r="L811" s="15" t="s">
        <v>50</v>
      </c>
      <c r="M811" s="16" t="s">
        <v>51</v>
      </c>
      <c r="N811" s="14"/>
      <c r="O811" s="15" t="s">
        <v>52</v>
      </c>
      <c r="P811" s="17" t="s">
        <v>53</v>
      </c>
      <c r="Q811" s="15"/>
      <c r="R811" s="18" t="s">
        <v>51</v>
      </c>
      <c r="S811" s="19"/>
      <c r="T811" s="17" t="str">
        <f aca="false">IF(R811="維持",J811,IF(R811="排除","無關新聞事件",IFERROR(INDEX(事件規則!$B$2:$B$53,MATCH(S811,事件規則!$A$2:$A$53,0)),"")))</f>
        <v>無關新聞事件</v>
      </c>
      <c r="U811" s="20" t="n">
        <f aca="false">IF(R811="維持",K811,IF(R811="排除",0,IFERROR(INDEX(事件規則!$C$2:$C$53,MATCH(S811,事件規則!$A$2:$A$53,0)),"")))</f>
        <v>0</v>
      </c>
      <c r="V811" s="21"/>
      <c r="W811" s="22"/>
      <c r="X811" s="10" t="str">
        <f aca="false">IF(AND(R811="修改",S811=""),"請選新事件代碼",IF(AND(R811&lt;&gt;"修改",S811&lt;&gt;""),"只有「修改」才需填代碼",""))</f>
        <v/>
      </c>
      <c r="Y811" s="21"/>
      <c r="Z811" s="22"/>
      <c r="AA811" s="12" t="s">
        <v>2479</v>
      </c>
      <c r="AB811" s="24"/>
    </row>
    <row r="812" customFormat="false" ht="29.85" hidden="false" customHeight="false" outlineLevel="0" collapsed="false">
      <c r="A812" s="15" t="n">
        <v>811</v>
      </c>
      <c r="B812" s="9" t="s">
        <v>55</v>
      </c>
      <c r="C812" s="9" t="s">
        <v>113</v>
      </c>
      <c r="D812" s="10" t="s">
        <v>114</v>
      </c>
      <c r="E812" s="11" t="s">
        <v>2480</v>
      </c>
      <c r="F812" s="17"/>
      <c r="G812" s="12" t="s">
        <v>105</v>
      </c>
      <c r="H812" s="13" t="n">
        <v>-0.036</v>
      </c>
      <c r="I812" s="14"/>
      <c r="J812" s="17"/>
      <c r="K812" s="9"/>
      <c r="L812" s="15" t="s">
        <v>50</v>
      </c>
      <c r="M812" s="16" t="s">
        <v>51</v>
      </c>
      <c r="N812" s="14"/>
      <c r="O812" s="15" t="s">
        <v>52</v>
      </c>
      <c r="P812" s="17" t="s">
        <v>53</v>
      </c>
      <c r="Q812" s="15"/>
      <c r="R812" s="18" t="s">
        <v>51</v>
      </c>
      <c r="S812" s="19"/>
      <c r="T812" s="17" t="str">
        <f aca="false">IF(R812="維持",J812,IF(R812="排除","無關新聞事件",IFERROR(INDEX(事件規則!$B$2:$B$53,MATCH(S812,事件規則!$A$2:$A$53,0)),"")))</f>
        <v>無關新聞事件</v>
      </c>
      <c r="U812" s="20" t="n">
        <f aca="false">IF(R812="維持",K812,IF(R812="排除",0,IFERROR(INDEX(事件規則!$C$2:$C$53,MATCH(S812,事件規則!$A$2:$A$53,0)),"")))</f>
        <v>0</v>
      </c>
      <c r="V812" s="21"/>
      <c r="W812" s="22"/>
      <c r="X812" s="10" t="str">
        <f aca="false">IF(AND(R812="修改",S812=""),"請選新事件代碼",IF(AND(R812&lt;&gt;"修改",S812&lt;&gt;""),"只有「修改」才需填代碼",""))</f>
        <v/>
      </c>
      <c r="Y812" s="21"/>
      <c r="Z812" s="22"/>
      <c r="AA812" s="12" t="s">
        <v>2481</v>
      </c>
      <c r="AB812" s="24"/>
    </row>
    <row r="813" customFormat="false" ht="29.85" hidden="false" customHeight="false" outlineLevel="0" collapsed="false">
      <c r="A813" s="15" t="n">
        <v>812</v>
      </c>
      <c r="B813" s="9" t="s">
        <v>55</v>
      </c>
      <c r="C813" s="9" t="s">
        <v>360</v>
      </c>
      <c r="D813" s="10" t="s">
        <v>361</v>
      </c>
      <c r="E813" s="11" t="s">
        <v>2482</v>
      </c>
      <c r="F813" s="17"/>
      <c r="G813" s="12" t="s">
        <v>1136</v>
      </c>
      <c r="H813" s="13" t="n">
        <v>-0.036</v>
      </c>
      <c r="I813" s="14"/>
      <c r="J813" s="17"/>
      <c r="K813" s="9"/>
      <c r="L813" s="15" t="s">
        <v>50</v>
      </c>
      <c r="M813" s="16" t="s">
        <v>51</v>
      </c>
      <c r="N813" s="14"/>
      <c r="O813" s="15" t="s">
        <v>52</v>
      </c>
      <c r="P813" s="17" t="s">
        <v>53</v>
      </c>
      <c r="Q813" s="15"/>
      <c r="R813" s="18" t="s">
        <v>51</v>
      </c>
      <c r="S813" s="19"/>
      <c r="T813" s="17" t="str">
        <f aca="false">IF(R813="維持",J813,IF(R813="排除","無關新聞事件",IFERROR(INDEX(事件規則!$B$2:$B$53,MATCH(S813,事件規則!$A$2:$A$53,0)),"")))</f>
        <v>無關新聞事件</v>
      </c>
      <c r="U813" s="20" t="n">
        <f aca="false">IF(R813="維持",K813,IF(R813="排除",0,IFERROR(INDEX(事件規則!$C$2:$C$53,MATCH(S813,事件規則!$A$2:$A$53,0)),"")))</f>
        <v>0</v>
      </c>
      <c r="V813" s="21"/>
      <c r="W813" s="22"/>
      <c r="X813" s="10" t="str">
        <f aca="false">IF(AND(R813="修改",S813=""),"請選新事件代碼",IF(AND(R813&lt;&gt;"修改",S813&lt;&gt;""),"只有「修改」才需填代碼",""))</f>
        <v/>
      </c>
      <c r="Y813" s="21"/>
      <c r="Z813" s="22"/>
      <c r="AA813" s="12" t="s">
        <v>2483</v>
      </c>
      <c r="AB813" s="24"/>
    </row>
    <row r="814" customFormat="false" ht="29.85" hidden="false" customHeight="false" outlineLevel="0" collapsed="false">
      <c r="A814" s="15" t="n">
        <v>813</v>
      </c>
      <c r="B814" s="9" t="s">
        <v>45</v>
      </c>
      <c r="C814" s="9" t="s">
        <v>2484</v>
      </c>
      <c r="D814" s="10" t="s">
        <v>2485</v>
      </c>
      <c r="E814" s="11" t="s">
        <v>2486</v>
      </c>
      <c r="F814" s="17"/>
      <c r="G814" s="12" t="s">
        <v>176</v>
      </c>
      <c r="H814" s="13" t="n">
        <v>-0.036</v>
      </c>
      <c r="I814" s="14"/>
      <c r="J814" s="17"/>
      <c r="K814" s="9"/>
      <c r="L814" s="15" t="s">
        <v>50</v>
      </c>
      <c r="M814" s="16" t="s">
        <v>51</v>
      </c>
      <c r="N814" s="14"/>
      <c r="O814" s="15" t="s">
        <v>52</v>
      </c>
      <c r="P814" s="17" t="s">
        <v>53</v>
      </c>
      <c r="Q814" s="15"/>
      <c r="R814" s="18" t="s">
        <v>51</v>
      </c>
      <c r="S814" s="19"/>
      <c r="T814" s="17" t="str">
        <f aca="false">IF(R814="維持",J814,IF(R814="排除","無關新聞事件",IFERROR(INDEX(事件規則!$B$2:$B$53,MATCH(S814,事件規則!$A$2:$A$53,0)),"")))</f>
        <v>無關新聞事件</v>
      </c>
      <c r="U814" s="20" t="n">
        <f aca="false">IF(R814="維持",K814,IF(R814="排除",0,IFERROR(INDEX(事件規則!$C$2:$C$53,MATCH(S814,事件規則!$A$2:$A$53,0)),"")))</f>
        <v>0</v>
      </c>
      <c r="V814" s="21"/>
      <c r="W814" s="22"/>
      <c r="X814" s="10" t="str">
        <f aca="false">IF(AND(R814="修改",S814=""),"請選新事件代碼",IF(AND(R814&lt;&gt;"修改",S814&lt;&gt;""),"只有「修改」才需填代碼",""))</f>
        <v/>
      </c>
      <c r="Y814" s="21"/>
      <c r="Z814" s="22"/>
      <c r="AA814" s="12" t="s">
        <v>2487</v>
      </c>
      <c r="AB814" s="24"/>
    </row>
    <row r="815" customFormat="false" ht="29.85" hidden="false" customHeight="false" outlineLevel="0" collapsed="false">
      <c r="A815" s="15" t="n">
        <v>814</v>
      </c>
      <c r="B815" s="9" t="s">
        <v>45</v>
      </c>
      <c r="C815" s="9" t="s">
        <v>1086</v>
      </c>
      <c r="D815" s="10" t="s">
        <v>1087</v>
      </c>
      <c r="E815" s="11" t="s">
        <v>2488</v>
      </c>
      <c r="F815" s="17"/>
      <c r="G815" s="12" t="s">
        <v>1136</v>
      </c>
      <c r="H815" s="13" t="n">
        <v>-0.036</v>
      </c>
      <c r="I815" s="14"/>
      <c r="J815" s="17"/>
      <c r="K815" s="9"/>
      <c r="L815" s="15" t="s">
        <v>50</v>
      </c>
      <c r="M815" s="16" t="s">
        <v>51</v>
      </c>
      <c r="N815" s="14"/>
      <c r="O815" s="15" t="s">
        <v>52</v>
      </c>
      <c r="P815" s="17" t="s">
        <v>53</v>
      </c>
      <c r="Q815" s="15"/>
      <c r="R815" s="18" t="s">
        <v>51</v>
      </c>
      <c r="S815" s="19"/>
      <c r="T815" s="17" t="str">
        <f aca="false">IF(R815="維持",J815,IF(R815="排除","無關新聞事件",IFERROR(INDEX(事件規則!$B$2:$B$53,MATCH(S815,事件規則!$A$2:$A$53,0)),"")))</f>
        <v>無關新聞事件</v>
      </c>
      <c r="U815" s="20" t="n">
        <f aca="false">IF(R815="維持",K815,IF(R815="排除",0,IFERROR(INDEX(事件規則!$C$2:$C$53,MATCH(S815,事件規則!$A$2:$A$53,0)),"")))</f>
        <v>0</v>
      </c>
      <c r="V815" s="21"/>
      <c r="W815" s="22"/>
      <c r="X815" s="10" t="str">
        <f aca="false">IF(AND(R815="修改",S815=""),"請選新事件代碼",IF(AND(R815&lt;&gt;"修改",S815&lt;&gt;""),"只有「修改」才需填代碼",""))</f>
        <v/>
      </c>
      <c r="Y815" s="21"/>
      <c r="Z815" s="22"/>
      <c r="AA815" s="12" t="s">
        <v>2489</v>
      </c>
      <c r="AB815" s="24"/>
    </row>
    <row r="816" customFormat="false" ht="29.85" hidden="false" customHeight="false" outlineLevel="0" collapsed="false">
      <c r="A816" s="15" t="n">
        <v>815</v>
      </c>
      <c r="B816" s="9" t="s">
        <v>45</v>
      </c>
      <c r="C816" s="9" t="s">
        <v>1017</v>
      </c>
      <c r="D816" s="10" t="s">
        <v>1018</v>
      </c>
      <c r="E816" s="11" t="s">
        <v>2490</v>
      </c>
      <c r="F816" s="17"/>
      <c r="G816" s="12" t="s">
        <v>105</v>
      </c>
      <c r="H816" s="13" t="n">
        <v>-0.036</v>
      </c>
      <c r="I816" s="14"/>
      <c r="J816" s="17"/>
      <c r="K816" s="9"/>
      <c r="L816" s="15" t="s">
        <v>50</v>
      </c>
      <c r="M816" s="16" t="s">
        <v>51</v>
      </c>
      <c r="N816" s="14"/>
      <c r="O816" s="15" t="s">
        <v>52</v>
      </c>
      <c r="P816" s="17" t="s">
        <v>53</v>
      </c>
      <c r="Q816" s="15"/>
      <c r="R816" s="18" t="s">
        <v>51</v>
      </c>
      <c r="S816" s="19"/>
      <c r="T816" s="17" t="str">
        <f aca="false">IF(R816="維持",J816,IF(R816="排除","無關新聞事件",IFERROR(INDEX(事件規則!$B$2:$B$53,MATCH(S816,事件規則!$A$2:$A$53,0)),"")))</f>
        <v>無關新聞事件</v>
      </c>
      <c r="U816" s="20" t="n">
        <f aca="false">IF(R816="維持",K816,IF(R816="排除",0,IFERROR(INDEX(事件規則!$C$2:$C$53,MATCH(S816,事件規則!$A$2:$A$53,0)),"")))</f>
        <v>0</v>
      </c>
      <c r="V816" s="21"/>
      <c r="W816" s="22"/>
      <c r="X816" s="10" t="str">
        <f aca="false">IF(AND(R816="修改",S816=""),"請選新事件代碼",IF(AND(R816&lt;&gt;"修改",S816&lt;&gt;""),"只有「修改」才需填代碼",""))</f>
        <v/>
      </c>
      <c r="Y816" s="21"/>
      <c r="Z816" s="22"/>
      <c r="AA816" s="12" t="s">
        <v>2491</v>
      </c>
      <c r="AB816" s="24"/>
    </row>
    <row r="817" customFormat="false" ht="29.85" hidden="false" customHeight="false" outlineLevel="0" collapsed="false">
      <c r="A817" s="15" t="n">
        <v>816</v>
      </c>
      <c r="B817" s="9" t="s">
        <v>112</v>
      </c>
      <c r="C817" s="9" t="s">
        <v>1017</v>
      </c>
      <c r="D817" s="10" t="s">
        <v>1018</v>
      </c>
      <c r="E817" s="11" t="s">
        <v>2492</v>
      </c>
      <c r="F817" s="17"/>
      <c r="G817" s="12" t="s">
        <v>2033</v>
      </c>
      <c r="H817" s="13" t="n">
        <v>-0.036</v>
      </c>
      <c r="I817" s="14"/>
      <c r="J817" s="17"/>
      <c r="K817" s="9"/>
      <c r="L817" s="15" t="s">
        <v>50</v>
      </c>
      <c r="M817" s="16" t="s">
        <v>51</v>
      </c>
      <c r="N817" s="14"/>
      <c r="O817" s="15" t="s">
        <v>52</v>
      </c>
      <c r="P817" s="17" t="s">
        <v>53</v>
      </c>
      <c r="Q817" s="15"/>
      <c r="R817" s="18" t="s">
        <v>51</v>
      </c>
      <c r="S817" s="19"/>
      <c r="T817" s="17" t="str">
        <f aca="false">IF(R817="維持",J817,IF(R817="排除","無關新聞事件",IFERROR(INDEX(事件規則!$B$2:$B$53,MATCH(S817,事件規則!$A$2:$A$53,0)),"")))</f>
        <v>無關新聞事件</v>
      </c>
      <c r="U817" s="20" t="n">
        <f aca="false">IF(R817="維持",K817,IF(R817="排除",0,IFERROR(INDEX(事件規則!$C$2:$C$53,MATCH(S817,事件規則!$A$2:$A$53,0)),"")))</f>
        <v>0</v>
      </c>
      <c r="V817" s="21"/>
      <c r="W817" s="22"/>
      <c r="X817" s="10" t="str">
        <f aca="false">IF(AND(R817="修改",S817=""),"請選新事件代碼",IF(AND(R817&lt;&gt;"修改",S817&lt;&gt;""),"只有「修改」才需填代碼",""))</f>
        <v/>
      </c>
      <c r="Y817" s="21"/>
      <c r="Z817" s="22"/>
      <c r="AA817" s="12" t="s">
        <v>2493</v>
      </c>
      <c r="AB817" s="24"/>
    </row>
    <row r="818" customFormat="false" ht="29.85" hidden="false" customHeight="false" outlineLevel="0" collapsed="false">
      <c r="A818" s="15" t="n">
        <v>817</v>
      </c>
      <c r="B818" s="9" t="s">
        <v>112</v>
      </c>
      <c r="C818" s="9" t="s">
        <v>1672</v>
      </c>
      <c r="D818" s="10" t="s">
        <v>1673</v>
      </c>
      <c r="E818" s="11" t="s">
        <v>2494</v>
      </c>
      <c r="F818" s="17"/>
      <c r="G818" s="12" t="s">
        <v>1136</v>
      </c>
      <c r="H818" s="13" t="n">
        <v>-0.036</v>
      </c>
      <c r="I818" s="14"/>
      <c r="J818" s="17"/>
      <c r="K818" s="9"/>
      <c r="L818" s="15" t="s">
        <v>50</v>
      </c>
      <c r="M818" s="16" t="s">
        <v>51</v>
      </c>
      <c r="N818" s="14"/>
      <c r="O818" s="15" t="s">
        <v>52</v>
      </c>
      <c r="P818" s="17" t="s">
        <v>53</v>
      </c>
      <c r="Q818" s="15"/>
      <c r="R818" s="18" t="s">
        <v>51</v>
      </c>
      <c r="S818" s="19"/>
      <c r="T818" s="17" t="str">
        <f aca="false">IF(R818="維持",J818,IF(R818="排除","無關新聞事件",IFERROR(INDEX(事件規則!$B$2:$B$53,MATCH(S818,事件規則!$A$2:$A$53,0)),"")))</f>
        <v>無關新聞事件</v>
      </c>
      <c r="U818" s="20" t="n">
        <f aca="false">IF(R818="維持",K818,IF(R818="排除",0,IFERROR(INDEX(事件規則!$C$2:$C$53,MATCH(S818,事件規則!$A$2:$A$53,0)),"")))</f>
        <v>0</v>
      </c>
      <c r="V818" s="21"/>
      <c r="W818" s="22"/>
      <c r="X818" s="10" t="str">
        <f aca="false">IF(AND(R818="修改",S818=""),"請選新事件代碼",IF(AND(R818&lt;&gt;"修改",S818&lt;&gt;""),"只有「修改」才需填代碼",""))</f>
        <v/>
      </c>
      <c r="Y818" s="21"/>
      <c r="Z818" s="22"/>
      <c r="AA818" s="12" t="s">
        <v>2495</v>
      </c>
      <c r="AB818" s="24"/>
    </row>
    <row r="819" customFormat="false" ht="29.85" hidden="false" customHeight="false" outlineLevel="0" collapsed="false">
      <c r="A819" s="15" t="n">
        <v>818</v>
      </c>
      <c r="B819" s="9" t="s">
        <v>112</v>
      </c>
      <c r="C819" s="9" t="s">
        <v>1899</v>
      </c>
      <c r="D819" s="10" t="s">
        <v>1900</v>
      </c>
      <c r="E819" s="11" t="s">
        <v>2496</v>
      </c>
      <c r="F819" s="17"/>
      <c r="G819" s="12" t="s">
        <v>949</v>
      </c>
      <c r="H819" s="13" t="n">
        <v>-0.036</v>
      </c>
      <c r="I819" s="14"/>
      <c r="J819" s="17"/>
      <c r="K819" s="9"/>
      <c r="L819" s="15" t="s">
        <v>50</v>
      </c>
      <c r="M819" s="16" t="s">
        <v>51</v>
      </c>
      <c r="N819" s="14"/>
      <c r="O819" s="15" t="s">
        <v>52</v>
      </c>
      <c r="P819" s="17" t="s">
        <v>53</v>
      </c>
      <c r="Q819" s="15"/>
      <c r="R819" s="18" t="s">
        <v>51</v>
      </c>
      <c r="S819" s="19"/>
      <c r="T819" s="17" t="str">
        <f aca="false">IF(R819="維持",J819,IF(R819="排除","無關新聞事件",IFERROR(INDEX(事件規則!$B$2:$B$53,MATCH(S819,事件規則!$A$2:$A$53,0)),"")))</f>
        <v>無關新聞事件</v>
      </c>
      <c r="U819" s="20" t="n">
        <f aca="false">IF(R819="維持",K819,IF(R819="排除",0,IFERROR(INDEX(事件規則!$C$2:$C$53,MATCH(S819,事件規則!$A$2:$A$53,0)),"")))</f>
        <v>0</v>
      </c>
      <c r="V819" s="21"/>
      <c r="W819" s="22"/>
      <c r="X819" s="10" t="str">
        <f aca="false">IF(AND(R819="修改",S819=""),"請選新事件代碼",IF(AND(R819&lt;&gt;"修改",S819&lt;&gt;""),"只有「修改」才需填代碼",""))</f>
        <v/>
      </c>
      <c r="Y819" s="21"/>
      <c r="Z819" s="22"/>
      <c r="AA819" s="12" t="s">
        <v>2497</v>
      </c>
      <c r="AB819" s="24"/>
    </row>
    <row r="820" customFormat="false" ht="29.85" hidden="false" customHeight="false" outlineLevel="0" collapsed="false">
      <c r="A820" s="15" t="n">
        <v>819</v>
      </c>
      <c r="B820" s="9" t="s">
        <v>112</v>
      </c>
      <c r="C820" s="9" t="s">
        <v>2498</v>
      </c>
      <c r="D820" s="10" t="s">
        <v>2499</v>
      </c>
      <c r="E820" s="11" t="s">
        <v>2500</v>
      </c>
      <c r="F820" s="17"/>
      <c r="G820" s="12" t="s">
        <v>2033</v>
      </c>
      <c r="H820" s="13" t="n">
        <v>-0.036</v>
      </c>
      <c r="I820" s="14"/>
      <c r="J820" s="17"/>
      <c r="K820" s="9"/>
      <c r="L820" s="15" t="s">
        <v>50</v>
      </c>
      <c r="M820" s="16" t="s">
        <v>51</v>
      </c>
      <c r="N820" s="14"/>
      <c r="O820" s="15" t="s">
        <v>52</v>
      </c>
      <c r="P820" s="17" t="s">
        <v>53</v>
      </c>
      <c r="Q820" s="15"/>
      <c r="R820" s="18" t="s">
        <v>51</v>
      </c>
      <c r="S820" s="19"/>
      <c r="T820" s="17" t="str">
        <f aca="false">IF(R820="維持",J820,IF(R820="排除","無關新聞事件",IFERROR(INDEX(事件規則!$B$2:$B$53,MATCH(S820,事件規則!$A$2:$A$53,0)),"")))</f>
        <v>無關新聞事件</v>
      </c>
      <c r="U820" s="20" t="n">
        <f aca="false">IF(R820="維持",K820,IF(R820="排除",0,IFERROR(INDEX(事件規則!$C$2:$C$53,MATCH(S820,事件規則!$A$2:$A$53,0)),"")))</f>
        <v>0</v>
      </c>
      <c r="V820" s="21"/>
      <c r="W820" s="22"/>
      <c r="X820" s="10" t="str">
        <f aca="false">IF(AND(R820="修改",S820=""),"請選新事件代碼",IF(AND(R820&lt;&gt;"修改",S820&lt;&gt;""),"只有「修改」才需填代碼",""))</f>
        <v/>
      </c>
      <c r="Y820" s="21"/>
      <c r="Z820" s="22"/>
      <c r="AA820" s="12" t="s">
        <v>2501</v>
      </c>
      <c r="AB820" s="24"/>
    </row>
    <row r="821" customFormat="false" ht="29.85" hidden="false" customHeight="false" outlineLevel="0" collapsed="false">
      <c r="A821" s="15" t="n">
        <v>820</v>
      </c>
      <c r="B821" s="9" t="s">
        <v>112</v>
      </c>
      <c r="C821" s="9" t="s">
        <v>1829</v>
      </c>
      <c r="D821" s="10" t="s">
        <v>1830</v>
      </c>
      <c r="E821" s="11" t="s">
        <v>2502</v>
      </c>
      <c r="F821" s="17"/>
      <c r="G821" s="12" t="s">
        <v>949</v>
      </c>
      <c r="H821" s="13" t="n">
        <v>-0.036</v>
      </c>
      <c r="I821" s="14"/>
      <c r="J821" s="17"/>
      <c r="K821" s="9"/>
      <c r="L821" s="15" t="s">
        <v>50</v>
      </c>
      <c r="M821" s="16" t="s">
        <v>51</v>
      </c>
      <c r="N821" s="14"/>
      <c r="O821" s="15" t="s">
        <v>52</v>
      </c>
      <c r="P821" s="17" t="s">
        <v>53</v>
      </c>
      <c r="Q821" s="15"/>
      <c r="R821" s="18" t="s">
        <v>51</v>
      </c>
      <c r="S821" s="19"/>
      <c r="T821" s="17" t="str">
        <f aca="false">IF(R821="維持",J821,IF(R821="排除","無關新聞事件",IFERROR(INDEX(事件規則!$B$2:$B$53,MATCH(S821,事件規則!$A$2:$A$53,0)),"")))</f>
        <v>無關新聞事件</v>
      </c>
      <c r="U821" s="20" t="n">
        <f aca="false">IF(R821="維持",K821,IF(R821="排除",0,IFERROR(INDEX(事件規則!$C$2:$C$53,MATCH(S821,事件規則!$A$2:$A$53,0)),"")))</f>
        <v>0</v>
      </c>
      <c r="V821" s="21"/>
      <c r="W821" s="22"/>
      <c r="X821" s="10" t="str">
        <f aca="false">IF(AND(R821="修改",S821=""),"請選新事件代碼",IF(AND(R821&lt;&gt;"修改",S821&lt;&gt;""),"只有「修改」才需填代碼",""))</f>
        <v/>
      </c>
      <c r="Y821" s="21"/>
      <c r="Z821" s="22"/>
      <c r="AA821" s="12" t="s">
        <v>2503</v>
      </c>
      <c r="AB821" s="24"/>
    </row>
    <row r="822" customFormat="false" ht="29.85" hidden="false" customHeight="false" outlineLevel="0" collapsed="false">
      <c r="A822" s="15" t="n">
        <v>821</v>
      </c>
      <c r="B822" s="9" t="s">
        <v>112</v>
      </c>
      <c r="C822" s="9" t="s">
        <v>2498</v>
      </c>
      <c r="D822" s="10" t="s">
        <v>2499</v>
      </c>
      <c r="E822" s="11" t="s">
        <v>2504</v>
      </c>
      <c r="F822" s="17"/>
      <c r="G822" s="12" t="s">
        <v>176</v>
      </c>
      <c r="H822" s="13" t="n">
        <v>-0.036</v>
      </c>
      <c r="I822" s="14"/>
      <c r="J822" s="17"/>
      <c r="K822" s="9"/>
      <c r="L822" s="15" t="s">
        <v>50</v>
      </c>
      <c r="M822" s="16" t="s">
        <v>51</v>
      </c>
      <c r="N822" s="14"/>
      <c r="O822" s="15" t="s">
        <v>52</v>
      </c>
      <c r="P822" s="17" t="s">
        <v>53</v>
      </c>
      <c r="Q822" s="15"/>
      <c r="R822" s="18" t="s">
        <v>51</v>
      </c>
      <c r="S822" s="19"/>
      <c r="T822" s="17" t="str">
        <f aca="false">IF(R822="維持",J822,IF(R822="排除","無關新聞事件",IFERROR(INDEX(事件規則!$B$2:$B$53,MATCH(S822,事件規則!$A$2:$A$53,0)),"")))</f>
        <v>無關新聞事件</v>
      </c>
      <c r="U822" s="20" t="n">
        <f aca="false">IF(R822="維持",K822,IF(R822="排除",0,IFERROR(INDEX(事件規則!$C$2:$C$53,MATCH(S822,事件規則!$A$2:$A$53,0)),"")))</f>
        <v>0</v>
      </c>
      <c r="V822" s="21"/>
      <c r="W822" s="22"/>
      <c r="X822" s="10" t="str">
        <f aca="false">IF(AND(R822="修改",S822=""),"請選新事件代碼",IF(AND(R822&lt;&gt;"修改",S822&lt;&gt;""),"只有「修改」才需填代碼",""))</f>
        <v/>
      </c>
      <c r="Y822" s="21"/>
      <c r="Z822" s="22"/>
      <c r="AA822" s="12" t="s">
        <v>2505</v>
      </c>
      <c r="AB822" s="24"/>
    </row>
    <row r="823" customFormat="false" ht="29.85" hidden="false" customHeight="false" outlineLevel="0" collapsed="false">
      <c r="A823" s="15" t="n">
        <v>822</v>
      </c>
      <c r="B823" s="9" t="s">
        <v>112</v>
      </c>
      <c r="C823" s="9" t="s">
        <v>2185</v>
      </c>
      <c r="D823" s="10" t="s">
        <v>2186</v>
      </c>
      <c r="E823" s="11" t="s">
        <v>2506</v>
      </c>
      <c r="F823" s="17"/>
      <c r="G823" s="12" t="s">
        <v>105</v>
      </c>
      <c r="H823" s="13" t="n">
        <v>-0.036</v>
      </c>
      <c r="I823" s="14"/>
      <c r="J823" s="17"/>
      <c r="K823" s="9"/>
      <c r="L823" s="15" t="s">
        <v>50</v>
      </c>
      <c r="M823" s="16" t="s">
        <v>51</v>
      </c>
      <c r="N823" s="14"/>
      <c r="O823" s="15" t="s">
        <v>52</v>
      </c>
      <c r="P823" s="17" t="s">
        <v>53</v>
      </c>
      <c r="Q823" s="15"/>
      <c r="R823" s="18" t="s">
        <v>51</v>
      </c>
      <c r="S823" s="19"/>
      <c r="T823" s="17" t="str">
        <f aca="false">IF(R823="維持",J823,IF(R823="排除","無關新聞事件",IFERROR(INDEX(事件規則!$B$2:$B$53,MATCH(S823,事件規則!$A$2:$A$53,0)),"")))</f>
        <v>無關新聞事件</v>
      </c>
      <c r="U823" s="20" t="n">
        <f aca="false">IF(R823="維持",K823,IF(R823="排除",0,IFERROR(INDEX(事件規則!$C$2:$C$53,MATCH(S823,事件規則!$A$2:$A$53,0)),"")))</f>
        <v>0</v>
      </c>
      <c r="V823" s="21"/>
      <c r="W823" s="22"/>
      <c r="X823" s="10" t="str">
        <f aca="false">IF(AND(R823="修改",S823=""),"請選新事件代碼",IF(AND(R823&lt;&gt;"修改",S823&lt;&gt;""),"只有「修改」才需填代碼",""))</f>
        <v/>
      </c>
      <c r="Y823" s="21"/>
      <c r="Z823" s="22"/>
      <c r="AA823" s="12" t="s">
        <v>2507</v>
      </c>
      <c r="AB823" s="24"/>
    </row>
    <row r="824" customFormat="false" ht="29.85" hidden="false" customHeight="false" outlineLevel="0" collapsed="false">
      <c r="A824" s="15" t="n">
        <v>823</v>
      </c>
      <c r="B824" s="9" t="s">
        <v>112</v>
      </c>
      <c r="C824" s="9" t="s">
        <v>2508</v>
      </c>
      <c r="D824" s="10" t="s">
        <v>2509</v>
      </c>
      <c r="E824" s="11" t="s">
        <v>2510</v>
      </c>
      <c r="F824" s="17"/>
      <c r="G824" s="12" t="s">
        <v>59</v>
      </c>
      <c r="H824" s="13" t="n">
        <v>-0.036</v>
      </c>
      <c r="I824" s="14"/>
      <c r="J824" s="17"/>
      <c r="K824" s="9"/>
      <c r="L824" s="15" t="s">
        <v>50</v>
      </c>
      <c r="M824" s="16" t="s">
        <v>51</v>
      </c>
      <c r="N824" s="14"/>
      <c r="O824" s="15" t="s">
        <v>52</v>
      </c>
      <c r="P824" s="17" t="s">
        <v>53</v>
      </c>
      <c r="Q824" s="15"/>
      <c r="R824" s="18" t="s">
        <v>51</v>
      </c>
      <c r="S824" s="19"/>
      <c r="T824" s="17" t="str">
        <f aca="false">IF(R824="維持",J824,IF(R824="排除","無關新聞事件",IFERROR(INDEX(事件規則!$B$2:$B$53,MATCH(S824,事件規則!$A$2:$A$53,0)),"")))</f>
        <v>無關新聞事件</v>
      </c>
      <c r="U824" s="20" t="n">
        <f aca="false">IF(R824="維持",K824,IF(R824="排除",0,IFERROR(INDEX(事件規則!$C$2:$C$53,MATCH(S824,事件規則!$A$2:$A$53,0)),"")))</f>
        <v>0</v>
      </c>
      <c r="V824" s="21"/>
      <c r="W824" s="22"/>
      <c r="X824" s="10" t="str">
        <f aca="false">IF(AND(R824="修改",S824=""),"請選新事件代碼",IF(AND(R824&lt;&gt;"修改",S824&lt;&gt;""),"只有「修改」才需填代碼",""))</f>
        <v/>
      </c>
      <c r="Y824" s="21"/>
      <c r="Z824" s="22"/>
      <c r="AA824" s="12" t="s">
        <v>2511</v>
      </c>
      <c r="AB824" s="24"/>
    </row>
    <row r="825" customFormat="false" ht="29.85" hidden="false" customHeight="false" outlineLevel="0" collapsed="false">
      <c r="A825" s="15" t="n">
        <v>824</v>
      </c>
      <c r="B825" s="9" t="s">
        <v>55</v>
      </c>
      <c r="C825" s="9" t="s">
        <v>2041</v>
      </c>
      <c r="D825" s="10" t="s">
        <v>2042</v>
      </c>
      <c r="E825" s="11" t="s">
        <v>2512</v>
      </c>
      <c r="F825" s="17"/>
      <c r="G825" s="12" t="s">
        <v>164</v>
      </c>
      <c r="H825" s="13" t="n">
        <v>-0.036</v>
      </c>
      <c r="I825" s="14"/>
      <c r="J825" s="17"/>
      <c r="K825" s="9"/>
      <c r="L825" s="15" t="s">
        <v>50</v>
      </c>
      <c r="M825" s="16" t="s">
        <v>51</v>
      </c>
      <c r="N825" s="14"/>
      <c r="O825" s="15" t="s">
        <v>52</v>
      </c>
      <c r="P825" s="17" t="s">
        <v>53</v>
      </c>
      <c r="Q825" s="15"/>
      <c r="R825" s="18" t="s">
        <v>51</v>
      </c>
      <c r="S825" s="19"/>
      <c r="T825" s="17" t="str">
        <f aca="false">IF(R825="維持",J825,IF(R825="排除","無關新聞事件",IFERROR(INDEX(事件規則!$B$2:$B$53,MATCH(S825,事件規則!$A$2:$A$53,0)),"")))</f>
        <v>無關新聞事件</v>
      </c>
      <c r="U825" s="20" t="n">
        <f aca="false">IF(R825="維持",K825,IF(R825="排除",0,IFERROR(INDEX(事件規則!$C$2:$C$53,MATCH(S825,事件規則!$A$2:$A$53,0)),"")))</f>
        <v>0</v>
      </c>
      <c r="V825" s="21"/>
      <c r="W825" s="22"/>
      <c r="X825" s="10" t="str">
        <f aca="false">IF(AND(R825="修改",S825=""),"請選新事件代碼",IF(AND(R825&lt;&gt;"修改",S825&lt;&gt;""),"只有「修改」才需填代碼",""))</f>
        <v/>
      </c>
      <c r="Y825" s="21"/>
      <c r="Z825" s="22"/>
      <c r="AA825" s="12" t="s">
        <v>2513</v>
      </c>
      <c r="AB825" s="24"/>
    </row>
    <row r="826" customFormat="false" ht="29.85" hidden="false" customHeight="false" outlineLevel="0" collapsed="false">
      <c r="A826" s="15" t="n">
        <v>825</v>
      </c>
      <c r="B826" s="9" t="s">
        <v>55</v>
      </c>
      <c r="C826" s="9" t="s">
        <v>2514</v>
      </c>
      <c r="D826" s="10" t="s">
        <v>2515</v>
      </c>
      <c r="E826" s="11" t="s">
        <v>2516</v>
      </c>
      <c r="F826" s="17"/>
      <c r="G826" s="12" t="s">
        <v>105</v>
      </c>
      <c r="H826" s="13" t="n">
        <v>-0.036</v>
      </c>
      <c r="I826" s="14"/>
      <c r="J826" s="17"/>
      <c r="K826" s="9"/>
      <c r="L826" s="15" t="s">
        <v>50</v>
      </c>
      <c r="M826" s="16" t="s">
        <v>51</v>
      </c>
      <c r="N826" s="14"/>
      <c r="O826" s="15" t="s">
        <v>52</v>
      </c>
      <c r="P826" s="17" t="s">
        <v>53</v>
      </c>
      <c r="Q826" s="15"/>
      <c r="R826" s="18" t="s">
        <v>51</v>
      </c>
      <c r="S826" s="19"/>
      <c r="T826" s="17" t="str">
        <f aca="false">IF(R826="維持",J826,IF(R826="排除","無關新聞事件",IFERROR(INDEX(事件規則!$B$2:$B$53,MATCH(S826,事件規則!$A$2:$A$53,0)),"")))</f>
        <v>無關新聞事件</v>
      </c>
      <c r="U826" s="20" t="n">
        <f aca="false">IF(R826="維持",K826,IF(R826="排除",0,IFERROR(INDEX(事件規則!$C$2:$C$53,MATCH(S826,事件規則!$A$2:$A$53,0)),"")))</f>
        <v>0</v>
      </c>
      <c r="V826" s="21"/>
      <c r="W826" s="22"/>
      <c r="X826" s="10" t="str">
        <f aca="false">IF(AND(R826="修改",S826=""),"請選新事件代碼",IF(AND(R826&lt;&gt;"修改",S826&lt;&gt;""),"只有「修改」才需填代碼",""))</f>
        <v/>
      </c>
      <c r="Y826" s="21"/>
      <c r="Z826" s="22"/>
      <c r="AA826" s="12" t="s">
        <v>2517</v>
      </c>
      <c r="AB826" s="24"/>
    </row>
    <row r="827" customFormat="false" ht="29.85" hidden="false" customHeight="false" outlineLevel="0" collapsed="false">
      <c r="A827" s="15" t="n">
        <v>826</v>
      </c>
      <c r="B827" s="9" t="s">
        <v>55</v>
      </c>
      <c r="C827" s="9" t="s">
        <v>1899</v>
      </c>
      <c r="D827" s="10" t="s">
        <v>1900</v>
      </c>
      <c r="E827" s="11" t="s">
        <v>2518</v>
      </c>
      <c r="F827" s="17"/>
      <c r="G827" s="12" t="s">
        <v>105</v>
      </c>
      <c r="H827" s="13" t="n">
        <v>-0.036</v>
      </c>
      <c r="I827" s="14"/>
      <c r="J827" s="17"/>
      <c r="K827" s="9"/>
      <c r="L827" s="15" t="s">
        <v>50</v>
      </c>
      <c r="M827" s="16" t="s">
        <v>51</v>
      </c>
      <c r="N827" s="14"/>
      <c r="O827" s="15" t="s">
        <v>52</v>
      </c>
      <c r="P827" s="17" t="s">
        <v>53</v>
      </c>
      <c r="Q827" s="15"/>
      <c r="R827" s="18" t="s">
        <v>51</v>
      </c>
      <c r="S827" s="19"/>
      <c r="T827" s="17" t="str">
        <f aca="false">IF(R827="維持",J827,IF(R827="排除","無關新聞事件",IFERROR(INDEX(事件規則!$B$2:$B$53,MATCH(S827,事件規則!$A$2:$A$53,0)),"")))</f>
        <v>無關新聞事件</v>
      </c>
      <c r="U827" s="20" t="n">
        <f aca="false">IF(R827="維持",K827,IF(R827="排除",0,IFERROR(INDEX(事件規則!$C$2:$C$53,MATCH(S827,事件規則!$A$2:$A$53,0)),"")))</f>
        <v>0</v>
      </c>
      <c r="V827" s="21"/>
      <c r="W827" s="22"/>
      <c r="X827" s="10" t="str">
        <f aca="false">IF(AND(R827="修改",S827=""),"請選新事件代碼",IF(AND(R827&lt;&gt;"修改",S827&lt;&gt;""),"只有「修改」才需填代碼",""))</f>
        <v/>
      </c>
      <c r="Y827" s="21"/>
      <c r="Z827" s="22"/>
      <c r="AA827" s="12" t="s">
        <v>2519</v>
      </c>
      <c r="AB827" s="24"/>
    </row>
    <row r="828" customFormat="false" ht="29.85" hidden="false" customHeight="false" outlineLevel="0" collapsed="false">
      <c r="A828" s="15" t="n">
        <v>827</v>
      </c>
      <c r="B828" s="9" t="s">
        <v>55</v>
      </c>
      <c r="C828" s="9" t="s">
        <v>66</v>
      </c>
      <c r="D828" s="10" t="s">
        <v>67</v>
      </c>
      <c r="E828" s="11" t="s">
        <v>2520</v>
      </c>
      <c r="F828" s="17"/>
      <c r="G828" s="12" t="s">
        <v>949</v>
      </c>
      <c r="H828" s="13" t="n">
        <v>-0.036</v>
      </c>
      <c r="I828" s="14"/>
      <c r="J828" s="17"/>
      <c r="K828" s="9"/>
      <c r="L828" s="15" t="s">
        <v>50</v>
      </c>
      <c r="M828" s="16" t="s">
        <v>51</v>
      </c>
      <c r="N828" s="14"/>
      <c r="O828" s="15" t="s">
        <v>52</v>
      </c>
      <c r="P828" s="17" t="s">
        <v>53</v>
      </c>
      <c r="Q828" s="15"/>
      <c r="R828" s="18" t="s">
        <v>51</v>
      </c>
      <c r="S828" s="19"/>
      <c r="T828" s="17" t="str">
        <f aca="false">IF(R828="維持",J828,IF(R828="排除","無關新聞事件",IFERROR(INDEX(事件規則!$B$2:$B$53,MATCH(S828,事件規則!$A$2:$A$53,0)),"")))</f>
        <v>無關新聞事件</v>
      </c>
      <c r="U828" s="20" t="n">
        <f aca="false">IF(R828="維持",K828,IF(R828="排除",0,IFERROR(INDEX(事件規則!$C$2:$C$53,MATCH(S828,事件規則!$A$2:$A$53,0)),"")))</f>
        <v>0</v>
      </c>
      <c r="V828" s="21"/>
      <c r="W828" s="22"/>
      <c r="X828" s="10" t="str">
        <f aca="false">IF(AND(R828="修改",S828=""),"請選新事件代碼",IF(AND(R828&lt;&gt;"修改",S828&lt;&gt;""),"只有「修改」才需填代碼",""))</f>
        <v/>
      </c>
      <c r="Y828" s="21"/>
      <c r="Z828" s="22"/>
      <c r="AA828" s="12" t="s">
        <v>2521</v>
      </c>
      <c r="AB828" s="24"/>
    </row>
    <row r="829" customFormat="false" ht="29.85" hidden="false" customHeight="false" outlineLevel="0" collapsed="false">
      <c r="A829" s="15" t="n">
        <v>828</v>
      </c>
      <c r="B829" s="9" t="s">
        <v>55</v>
      </c>
      <c r="C829" s="9" t="s">
        <v>2233</v>
      </c>
      <c r="D829" s="10" t="s">
        <v>2234</v>
      </c>
      <c r="E829" s="11" t="s">
        <v>2522</v>
      </c>
      <c r="F829" s="17"/>
      <c r="G829" s="12" t="s">
        <v>949</v>
      </c>
      <c r="H829" s="13" t="n">
        <v>-0.036</v>
      </c>
      <c r="I829" s="14"/>
      <c r="J829" s="17"/>
      <c r="K829" s="9"/>
      <c r="L829" s="15" t="s">
        <v>50</v>
      </c>
      <c r="M829" s="16" t="s">
        <v>51</v>
      </c>
      <c r="N829" s="14"/>
      <c r="O829" s="15" t="s">
        <v>52</v>
      </c>
      <c r="P829" s="17" t="s">
        <v>53</v>
      </c>
      <c r="Q829" s="15"/>
      <c r="R829" s="18" t="s">
        <v>51</v>
      </c>
      <c r="S829" s="19"/>
      <c r="T829" s="17" t="str">
        <f aca="false">IF(R829="維持",J829,IF(R829="排除","無關新聞事件",IFERROR(INDEX(事件規則!$B$2:$B$53,MATCH(S829,事件規則!$A$2:$A$53,0)),"")))</f>
        <v>無關新聞事件</v>
      </c>
      <c r="U829" s="20" t="n">
        <f aca="false">IF(R829="維持",K829,IF(R829="排除",0,IFERROR(INDEX(事件規則!$C$2:$C$53,MATCH(S829,事件規則!$A$2:$A$53,0)),"")))</f>
        <v>0</v>
      </c>
      <c r="V829" s="21"/>
      <c r="W829" s="22"/>
      <c r="X829" s="10" t="str">
        <f aca="false">IF(AND(R829="修改",S829=""),"請選新事件代碼",IF(AND(R829&lt;&gt;"修改",S829&lt;&gt;""),"只有「修改」才需填代碼",""))</f>
        <v/>
      </c>
      <c r="Y829" s="21"/>
      <c r="Z829" s="22"/>
      <c r="AA829" s="12" t="s">
        <v>2523</v>
      </c>
      <c r="AB829" s="24"/>
    </row>
    <row r="830" customFormat="false" ht="29.85" hidden="false" customHeight="false" outlineLevel="0" collapsed="false">
      <c r="A830" s="15" t="n">
        <v>829</v>
      </c>
      <c r="B830" s="9" t="s">
        <v>112</v>
      </c>
      <c r="C830" s="9" t="s">
        <v>2233</v>
      </c>
      <c r="D830" s="10" t="s">
        <v>2234</v>
      </c>
      <c r="E830" s="11" t="s">
        <v>2524</v>
      </c>
      <c r="F830" s="17"/>
      <c r="G830" s="12" t="s">
        <v>105</v>
      </c>
      <c r="H830" s="13" t="n">
        <v>-0.036</v>
      </c>
      <c r="I830" s="14"/>
      <c r="J830" s="17"/>
      <c r="K830" s="9"/>
      <c r="L830" s="15" t="s">
        <v>50</v>
      </c>
      <c r="M830" s="16" t="s">
        <v>51</v>
      </c>
      <c r="N830" s="14"/>
      <c r="O830" s="15" t="s">
        <v>52</v>
      </c>
      <c r="P830" s="17" t="s">
        <v>53</v>
      </c>
      <c r="Q830" s="15"/>
      <c r="R830" s="18" t="s">
        <v>51</v>
      </c>
      <c r="S830" s="19"/>
      <c r="T830" s="17" t="str">
        <f aca="false">IF(R830="維持",J830,IF(R830="排除","無關新聞事件",IFERROR(INDEX(事件規則!$B$2:$B$53,MATCH(S830,事件規則!$A$2:$A$53,0)),"")))</f>
        <v>無關新聞事件</v>
      </c>
      <c r="U830" s="20" t="n">
        <f aca="false">IF(R830="維持",K830,IF(R830="排除",0,IFERROR(INDEX(事件規則!$C$2:$C$53,MATCH(S830,事件規則!$A$2:$A$53,0)),"")))</f>
        <v>0</v>
      </c>
      <c r="V830" s="21"/>
      <c r="W830" s="22"/>
      <c r="X830" s="10" t="str">
        <f aca="false">IF(AND(R830="修改",S830=""),"請選新事件代碼",IF(AND(R830&lt;&gt;"修改",S830&lt;&gt;""),"只有「修改」才需填代碼",""))</f>
        <v/>
      </c>
      <c r="Y830" s="21"/>
      <c r="Z830" s="22"/>
      <c r="AA830" s="12" t="s">
        <v>2525</v>
      </c>
      <c r="AB830" s="24"/>
    </row>
    <row r="831" customFormat="false" ht="29.85" hidden="false" customHeight="false" outlineLevel="0" collapsed="false">
      <c r="A831" s="15" t="n">
        <v>830</v>
      </c>
      <c r="B831" s="9" t="s">
        <v>55</v>
      </c>
      <c r="C831" s="9" t="s">
        <v>540</v>
      </c>
      <c r="D831" s="10" t="s">
        <v>541</v>
      </c>
      <c r="E831" s="11" t="s">
        <v>2526</v>
      </c>
      <c r="F831" s="17"/>
      <c r="G831" s="12" t="s">
        <v>949</v>
      </c>
      <c r="H831" s="13" t="n">
        <v>-0.036</v>
      </c>
      <c r="I831" s="14"/>
      <c r="J831" s="17"/>
      <c r="K831" s="9"/>
      <c r="L831" s="15" t="s">
        <v>50</v>
      </c>
      <c r="M831" s="16" t="s">
        <v>51</v>
      </c>
      <c r="N831" s="14"/>
      <c r="O831" s="15" t="s">
        <v>52</v>
      </c>
      <c r="P831" s="17" t="s">
        <v>53</v>
      </c>
      <c r="Q831" s="15"/>
      <c r="R831" s="18" t="s">
        <v>51</v>
      </c>
      <c r="S831" s="19"/>
      <c r="T831" s="17" t="str">
        <f aca="false">IF(R831="維持",J831,IF(R831="排除","無關新聞事件",IFERROR(INDEX(事件規則!$B$2:$B$53,MATCH(S831,事件規則!$A$2:$A$53,0)),"")))</f>
        <v>無關新聞事件</v>
      </c>
      <c r="U831" s="20" t="n">
        <f aca="false">IF(R831="維持",K831,IF(R831="排除",0,IFERROR(INDEX(事件規則!$C$2:$C$53,MATCH(S831,事件規則!$A$2:$A$53,0)),"")))</f>
        <v>0</v>
      </c>
      <c r="V831" s="21"/>
      <c r="W831" s="22"/>
      <c r="X831" s="10" t="str">
        <f aca="false">IF(AND(R831="修改",S831=""),"請選新事件代碼",IF(AND(R831&lt;&gt;"修改",S831&lt;&gt;""),"只有「修改」才需填代碼",""))</f>
        <v/>
      </c>
      <c r="Y831" s="21"/>
      <c r="Z831" s="22"/>
      <c r="AA831" s="12" t="s">
        <v>2527</v>
      </c>
      <c r="AB831" s="24"/>
    </row>
    <row r="832" customFormat="false" ht="29.85" hidden="false" customHeight="false" outlineLevel="0" collapsed="false">
      <c r="A832" s="15" t="n">
        <v>831</v>
      </c>
      <c r="B832" s="9" t="s">
        <v>112</v>
      </c>
      <c r="C832" s="9" t="s">
        <v>344</v>
      </c>
      <c r="D832" s="10" t="s">
        <v>345</v>
      </c>
      <c r="E832" s="11" t="s">
        <v>2528</v>
      </c>
      <c r="F832" s="17"/>
      <c r="G832" s="12" t="s">
        <v>1136</v>
      </c>
      <c r="H832" s="13" t="n">
        <v>-0.036</v>
      </c>
      <c r="I832" s="14"/>
      <c r="J832" s="17"/>
      <c r="K832" s="9"/>
      <c r="L832" s="15" t="s">
        <v>50</v>
      </c>
      <c r="M832" s="16" t="s">
        <v>51</v>
      </c>
      <c r="N832" s="14"/>
      <c r="O832" s="15" t="s">
        <v>52</v>
      </c>
      <c r="P832" s="17" t="s">
        <v>53</v>
      </c>
      <c r="Q832" s="15"/>
      <c r="R832" s="18" t="s">
        <v>51</v>
      </c>
      <c r="S832" s="19"/>
      <c r="T832" s="17" t="str">
        <f aca="false">IF(R832="維持",J832,IF(R832="排除","無關新聞事件",IFERROR(INDEX(事件規則!$B$2:$B$53,MATCH(S832,事件規則!$A$2:$A$53,0)),"")))</f>
        <v>無關新聞事件</v>
      </c>
      <c r="U832" s="20" t="n">
        <f aca="false">IF(R832="維持",K832,IF(R832="排除",0,IFERROR(INDEX(事件規則!$C$2:$C$53,MATCH(S832,事件規則!$A$2:$A$53,0)),"")))</f>
        <v>0</v>
      </c>
      <c r="V832" s="21"/>
      <c r="W832" s="22"/>
      <c r="X832" s="10" t="str">
        <f aca="false">IF(AND(R832="修改",S832=""),"請選新事件代碼",IF(AND(R832&lt;&gt;"修改",S832&lt;&gt;""),"只有「修改」才需填代碼",""))</f>
        <v/>
      </c>
      <c r="Y832" s="21"/>
      <c r="Z832" s="22"/>
      <c r="AA832" s="12" t="s">
        <v>2529</v>
      </c>
      <c r="AB832" s="24"/>
    </row>
    <row r="833" customFormat="false" ht="29.85" hidden="false" customHeight="false" outlineLevel="0" collapsed="false">
      <c r="A833" s="15" t="n">
        <v>832</v>
      </c>
      <c r="B833" s="9" t="s">
        <v>55</v>
      </c>
      <c r="C833" s="9" t="s">
        <v>2219</v>
      </c>
      <c r="D833" s="10" t="s">
        <v>2220</v>
      </c>
      <c r="E833" s="11" t="s">
        <v>2530</v>
      </c>
      <c r="F833" s="17"/>
      <c r="G833" s="12" t="s">
        <v>949</v>
      </c>
      <c r="H833" s="13" t="n">
        <v>-0.036</v>
      </c>
      <c r="I833" s="14"/>
      <c r="J833" s="17"/>
      <c r="K833" s="9"/>
      <c r="L833" s="15" t="s">
        <v>50</v>
      </c>
      <c r="M833" s="16" t="s">
        <v>51</v>
      </c>
      <c r="N833" s="14"/>
      <c r="O833" s="15" t="s">
        <v>52</v>
      </c>
      <c r="P833" s="17" t="s">
        <v>53</v>
      </c>
      <c r="Q833" s="15"/>
      <c r="R833" s="18" t="s">
        <v>51</v>
      </c>
      <c r="S833" s="19"/>
      <c r="T833" s="17" t="str">
        <f aca="false">IF(R833="維持",J833,IF(R833="排除","無關新聞事件",IFERROR(INDEX(事件規則!$B$2:$B$53,MATCH(S833,事件規則!$A$2:$A$53,0)),"")))</f>
        <v>無關新聞事件</v>
      </c>
      <c r="U833" s="20" t="n">
        <f aca="false">IF(R833="維持",K833,IF(R833="排除",0,IFERROR(INDEX(事件規則!$C$2:$C$53,MATCH(S833,事件規則!$A$2:$A$53,0)),"")))</f>
        <v>0</v>
      </c>
      <c r="V833" s="21"/>
      <c r="W833" s="22"/>
      <c r="X833" s="10" t="str">
        <f aca="false">IF(AND(R833="修改",S833=""),"請選新事件代碼",IF(AND(R833&lt;&gt;"修改",S833&lt;&gt;""),"只有「修改」才需填代碼",""))</f>
        <v/>
      </c>
      <c r="Y833" s="21"/>
      <c r="Z833" s="22"/>
      <c r="AA833" s="12" t="s">
        <v>2531</v>
      </c>
      <c r="AB833" s="24"/>
    </row>
    <row r="834" customFormat="false" ht="29.85" hidden="false" customHeight="false" outlineLevel="0" collapsed="false">
      <c r="A834" s="15" t="n">
        <v>833</v>
      </c>
      <c r="B834" s="9" t="s">
        <v>55</v>
      </c>
      <c r="C834" s="9" t="s">
        <v>1318</v>
      </c>
      <c r="D834" s="10" t="s">
        <v>1319</v>
      </c>
      <c r="E834" s="11" t="s">
        <v>2532</v>
      </c>
      <c r="F834" s="17"/>
      <c r="G834" s="12" t="s">
        <v>2033</v>
      </c>
      <c r="H834" s="13" t="n">
        <v>-0.036</v>
      </c>
      <c r="I834" s="14"/>
      <c r="J834" s="17"/>
      <c r="K834" s="9"/>
      <c r="L834" s="15" t="s">
        <v>50</v>
      </c>
      <c r="M834" s="16" t="s">
        <v>51</v>
      </c>
      <c r="N834" s="14"/>
      <c r="O834" s="15" t="s">
        <v>52</v>
      </c>
      <c r="P834" s="17" t="s">
        <v>53</v>
      </c>
      <c r="Q834" s="15"/>
      <c r="R834" s="18" t="s">
        <v>51</v>
      </c>
      <c r="S834" s="19"/>
      <c r="T834" s="17" t="str">
        <f aca="false">IF(R834="維持",J834,IF(R834="排除","無關新聞事件",IFERROR(INDEX(事件規則!$B$2:$B$53,MATCH(S834,事件規則!$A$2:$A$53,0)),"")))</f>
        <v>無關新聞事件</v>
      </c>
      <c r="U834" s="20" t="n">
        <f aca="false">IF(R834="維持",K834,IF(R834="排除",0,IFERROR(INDEX(事件規則!$C$2:$C$53,MATCH(S834,事件規則!$A$2:$A$53,0)),"")))</f>
        <v>0</v>
      </c>
      <c r="V834" s="21"/>
      <c r="W834" s="22"/>
      <c r="X834" s="10" t="str">
        <f aca="false">IF(AND(R834="修改",S834=""),"請選新事件代碼",IF(AND(R834&lt;&gt;"修改",S834&lt;&gt;""),"只有「修改」才需填代碼",""))</f>
        <v/>
      </c>
      <c r="Y834" s="21"/>
      <c r="Z834" s="22"/>
      <c r="AA834" s="12" t="s">
        <v>2533</v>
      </c>
      <c r="AB834" s="24"/>
    </row>
    <row r="835" customFormat="false" ht="29.85" hidden="false" customHeight="false" outlineLevel="0" collapsed="false">
      <c r="A835" s="15" t="n">
        <v>834</v>
      </c>
      <c r="B835" s="9" t="s">
        <v>112</v>
      </c>
      <c r="C835" s="9" t="s">
        <v>2124</v>
      </c>
      <c r="D835" s="10" t="s">
        <v>2125</v>
      </c>
      <c r="E835" s="11" t="s">
        <v>2534</v>
      </c>
      <c r="F835" s="17"/>
      <c r="G835" s="12" t="s">
        <v>949</v>
      </c>
      <c r="H835" s="13" t="n">
        <v>-0.036</v>
      </c>
      <c r="I835" s="14"/>
      <c r="J835" s="17"/>
      <c r="K835" s="9"/>
      <c r="L835" s="15" t="s">
        <v>50</v>
      </c>
      <c r="M835" s="16" t="s">
        <v>51</v>
      </c>
      <c r="N835" s="14"/>
      <c r="O835" s="15" t="s">
        <v>52</v>
      </c>
      <c r="P835" s="17" t="s">
        <v>53</v>
      </c>
      <c r="Q835" s="15"/>
      <c r="R835" s="18" t="s">
        <v>51</v>
      </c>
      <c r="S835" s="19"/>
      <c r="T835" s="17" t="str">
        <f aca="false">IF(R835="維持",J835,IF(R835="排除","無關新聞事件",IFERROR(INDEX(事件規則!$B$2:$B$53,MATCH(S835,事件規則!$A$2:$A$53,0)),"")))</f>
        <v>無關新聞事件</v>
      </c>
      <c r="U835" s="20" t="n">
        <f aca="false">IF(R835="維持",K835,IF(R835="排除",0,IFERROR(INDEX(事件規則!$C$2:$C$53,MATCH(S835,事件規則!$A$2:$A$53,0)),"")))</f>
        <v>0</v>
      </c>
      <c r="V835" s="21"/>
      <c r="W835" s="22"/>
      <c r="X835" s="10" t="str">
        <f aca="false">IF(AND(R835="修改",S835=""),"請選新事件代碼",IF(AND(R835&lt;&gt;"修改",S835&lt;&gt;""),"只有「修改」才需填代碼",""))</f>
        <v/>
      </c>
      <c r="Y835" s="21"/>
      <c r="Z835" s="22"/>
      <c r="AA835" s="12" t="s">
        <v>2535</v>
      </c>
      <c r="AB835" s="24"/>
    </row>
    <row r="836" customFormat="false" ht="29.85" hidden="false" customHeight="false" outlineLevel="0" collapsed="false">
      <c r="A836" s="15" t="n">
        <v>835</v>
      </c>
      <c r="B836" s="9" t="s">
        <v>112</v>
      </c>
      <c r="C836" s="9" t="s">
        <v>1899</v>
      </c>
      <c r="D836" s="10" t="s">
        <v>1900</v>
      </c>
      <c r="E836" s="11" t="s">
        <v>2536</v>
      </c>
      <c r="F836" s="17"/>
      <c r="G836" s="12" t="s">
        <v>105</v>
      </c>
      <c r="H836" s="13" t="n">
        <v>-0.036</v>
      </c>
      <c r="I836" s="14"/>
      <c r="J836" s="17"/>
      <c r="K836" s="9"/>
      <c r="L836" s="15" t="s">
        <v>50</v>
      </c>
      <c r="M836" s="16" t="s">
        <v>51</v>
      </c>
      <c r="N836" s="14"/>
      <c r="O836" s="15" t="s">
        <v>52</v>
      </c>
      <c r="P836" s="17" t="s">
        <v>53</v>
      </c>
      <c r="Q836" s="15"/>
      <c r="R836" s="18" t="s">
        <v>51</v>
      </c>
      <c r="S836" s="19"/>
      <c r="T836" s="17" t="str">
        <f aca="false">IF(R836="維持",J836,IF(R836="排除","無關新聞事件",IFERROR(INDEX(事件規則!$B$2:$B$53,MATCH(S836,事件規則!$A$2:$A$53,0)),"")))</f>
        <v>無關新聞事件</v>
      </c>
      <c r="U836" s="20" t="n">
        <f aca="false">IF(R836="維持",K836,IF(R836="排除",0,IFERROR(INDEX(事件規則!$C$2:$C$53,MATCH(S836,事件規則!$A$2:$A$53,0)),"")))</f>
        <v>0</v>
      </c>
      <c r="V836" s="21"/>
      <c r="W836" s="22"/>
      <c r="X836" s="10" t="str">
        <f aca="false">IF(AND(R836="修改",S836=""),"請選新事件代碼",IF(AND(R836&lt;&gt;"修改",S836&lt;&gt;""),"只有「修改」才需填代碼",""))</f>
        <v/>
      </c>
      <c r="Y836" s="21"/>
      <c r="Z836" s="22"/>
      <c r="AA836" s="12" t="s">
        <v>2537</v>
      </c>
      <c r="AB836" s="24"/>
    </row>
    <row r="837" customFormat="false" ht="29.85" hidden="false" customHeight="false" outlineLevel="0" collapsed="false">
      <c r="A837" s="15" t="n">
        <v>836</v>
      </c>
      <c r="B837" s="9" t="s">
        <v>112</v>
      </c>
      <c r="C837" s="9" t="s">
        <v>344</v>
      </c>
      <c r="D837" s="10" t="s">
        <v>345</v>
      </c>
      <c r="E837" s="11" t="s">
        <v>2538</v>
      </c>
      <c r="F837" s="17"/>
      <c r="G837" s="12" t="s">
        <v>1136</v>
      </c>
      <c r="H837" s="13" t="n">
        <v>-0.036</v>
      </c>
      <c r="I837" s="14"/>
      <c r="J837" s="17"/>
      <c r="K837" s="9"/>
      <c r="L837" s="15" t="s">
        <v>50</v>
      </c>
      <c r="M837" s="16" t="s">
        <v>51</v>
      </c>
      <c r="N837" s="14"/>
      <c r="O837" s="15" t="s">
        <v>52</v>
      </c>
      <c r="P837" s="17" t="s">
        <v>53</v>
      </c>
      <c r="Q837" s="15"/>
      <c r="R837" s="18" t="s">
        <v>51</v>
      </c>
      <c r="S837" s="19"/>
      <c r="T837" s="17" t="str">
        <f aca="false">IF(R837="維持",J837,IF(R837="排除","無關新聞事件",IFERROR(INDEX(事件規則!$B$2:$B$53,MATCH(S837,事件規則!$A$2:$A$53,0)),"")))</f>
        <v>無關新聞事件</v>
      </c>
      <c r="U837" s="20" t="n">
        <f aca="false">IF(R837="維持",K837,IF(R837="排除",0,IFERROR(INDEX(事件規則!$C$2:$C$53,MATCH(S837,事件規則!$A$2:$A$53,0)),"")))</f>
        <v>0</v>
      </c>
      <c r="V837" s="21"/>
      <c r="W837" s="22"/>
      <c r="X837" s="10" t="str">
        <f aca="false">IF(AND(R837="修改",S837=""),"請選新事件代碼",IF(AND(R837&lt;&gt;"修改",S837&lt;&gt;""),"只有「修改」才需填代碼",""))</f>
        <v/>
      </c>
      <c r="Y837" s="21"/>
      <c r="Z837" s="22"/>
      <c r="AA837" s="12" t="s">
        <v>2539</v>
      </c>
      <c r="AB837" s="24"/>
    </row>
    <row r="838" customFormat="false" ht="29.85" hidden="false" customHeight="false" outlineLevel="0" collapsed="false">
      <c r="A838" s="15" t="n">
        <v>837</v>
      </c>
      <c r="B838" s="9" t="s">
        <v>112</v>
      </c>
      <c r="C838" s="9" t="s">
        <v>1391</v>
      </c>
      <c r="D838" s="10" t="s">
        <v>1392</v>
      </c>
      <c r="E838" s="11" t="s">
        <v>2540</v>
      </c>
      <c r="F838" s="17"/>
      <c r="G838" s="12" t="s">
        <v>105</v>
      </c>
      <c r="H838" s="13" t="n">
        <v>-0.036</v>
      </c>
      <c r="I838" s="14"/>
      <c r="J838" s="17"/>
      <c r="K838" s="9"/>
      <c r="L838" s="15" t="s">
        <v>50</v>
      </c>
      <c r="M838" s="16" t="s">
        <v>51</v>
      </c>
      <c r="N838" s="14"/>
      <c r="O838" s="15" t="s">
        <v>52</v>
      </c>
      <c r="P838" s="17" t="s">
        <v>53</v>
      </c>
      <c r="Q838" s="15"/>
      <c r="R838" s="18" t="s">
        <v>51</v>
      </c>
      <c r="S838" s="19"/>
      <c r="T838" s="17" t="str">
        <f aca="false">IF(R838="維持",J838,IF(R838="排除","無關新聞事件",IFERROR(INDEX(事件規則!$B$2:$B$53,MATCH(S838,事件規則!$A$2:$A$53,0)),"")))</f>
        <v>無關新聞事件</v>
      </c>
      <c r="U838" s="20" t="n">
        <f aca="false">IF(R838="維持",K838,IF(R838="排除",0,IFERROR(INDEX(事件規則!$C$2:$C$53,MATCH(S838,事件規則!$A$2:$A$53,0)),"")))</f>
        <v>0</v>
      </c>
      <c r="V838" s="21"/>
      <c r="W838" s="22"/>
      <c r="X838" s="10" t="str">
        <f aca="false">IF(AND(R838="修改",S838=""),"請選新事件代碼",IF(AND(R838&lt;&gt;"修改",S838&lt;&gt;""),"只有「修改」才需填代碼",""))</f>
        <v/>
      </c>
      <c r="Y838" s="21"/>
      <c r="Z838" s="22"/>
      <c r="AA838" s="12" t="s">
        <v>2541</v>
      </c>
      <c r="AB838" s="24"/>
    </row>
    <row r="839" customFormat="false" ht="29.85" hidden="false" customHeight="false" outlineLevel="0" collapsed="false">
      <c r="A839" s="15" t="n">
        <v>838</v>
      </c>
      <c r="B839" s="9" t="s">
        <v>112</v>
      </c>
      <c r="C839" s="9" t="s">
        <v>1899</v>
      </c>
      <c r="D839" s="10" t="s">
        <v>1900</v>
      </c>
      <c r="E839" s="11" t="s">
        <v>2542</v>
      </c>
      <c r="F839" s="17"/>
      <c r="G839" s="12" t="s">
        <v>1136</v>
      </c>
      <c r="H839" s="13" t="n">
        <v>-0.036</v>
      </c>
      <c r="I839" s="14"/>
      <c r="J839" s="17"/>
      <c r="K839" s="9"/>
      <c r="L839" s="15" t="s">
        <v>50</v>
      </c>
      <c r="M839" s="16" t="s">
        <v>51</v>
      </c>
      <c r="N839" s="14"/>
      <c r="O839" s="15" t="s">
        <v>52</v>
      </c>
      <c r="P839" s="17" t="s">
        <v>53</v>
      </c>
      <c r="Q839" s="15"/>
      <c r="R839" s="18" t="s">
        <v>51</v>
      </c>
      <c r="S839" s="19"/>
      <c r="T839" s="17" t="str">
        <f aca="false">IF(R839="維持",J839,IF(R839="排除","無關新聞事件",IFERROR(INDEX(事件規則!$B$2:$B$53,MATCH(S839,事件規則!$A$2:$A$53,0)),"")))</f>
        <v>無關新聞事件</v>
      </c>
      <c r="U839" s="20" t="n">
        <f aca="false">IF(R839="維持",K839,IF(R839="排除",0,IFERROR(INDEX(事件規則!$C$2:$C$53,MATCH(S839,事件規則!$A$2:$A$53,0)),"")))</f>
        <v>0</v>
      </c>
      <c r="V839" s="21"/>
      <c r="W839" s="22"/>
      <c r="X839" s="10" t="str">
        <f aca="false">IF(AND(R839="修改",S839=""),"請選新事件代碼",IF(AND(R839&lt;&gt;"修改",S839&lt;&gt;""),"只有「修改」才需填代碼",""))</f>
        <v/>
      </c>
      <c r="Y839" s="21"/>
      <c r="Z839" s="22"/>
      <c r="AA839" s="12" t="s">
        <v>2543</v>
      </c>
      <c r="AB839" s="24"/>
    </row>
    <row r="840" customFormat="false" ht="29.85" hidden="false" customHeight="false" outlineLevel="0" collapsed="false">
      <c r="A840" s="15" t="n">
        <v>839</v>
      </c>
      <c r="B840" s="9" t="s">
        <v>112</v>
      </c>
      <c r="C840" s="9" t="s">
        <v>550</v>
      </c>
      <c r="D840" s="10" t="s">
        <v>551</v>
      </c>
      <c r="E840" s="11" t="s">
        <v>2544</v>
      </c>
      <c r="F840" s="17"/>
      <c r="G840" s="12" t="s">
        <v>949</v>
      </c>
      <c r="H840" s="13" t="n">
        <v>-0.036</v>
      </c>
      <c r="I840" s="14"/>
      <c r="J840" s="17"/>
      <c r="K840" s="9"/>
      <c r="L840" s="15" t="s">
        <v>50</v>
      </c>
      <c r="M840" s="16" t="s">
        <v>51</v>
      </c>
      <c r="N840" s="14"/>
      <c r="O840" s="15" t="s">
        <v>52</v>
      </c>
      <c r="P840" s="17" t="s">
        <v>53</v>
      </c>
      <c r="Q840" s="15"/>
      <c r="R840" s="18" t="s">
        <v>51</v>
      </c>
      <c r="S840" s="19"/>
      <c r="T840" s="17" t="str">
        <f aca="false">IF(R840="維持",J840,IF(R840="排除","無關新聞事件",IFERROR(INDEX(事件規則!$B$2:$B$53,MATCH(S840,事件規則!$A$2:$A$53,0)),"")))</f>
        <v>無關新聞事件</v>
      </c>
      <c r="U840" s="20" t="n">
        <f aca="false">IF(R840="維持",K840,IF(R840="排除",0,IFERROR(INDEX(事件規則!$C$2:$C$53,MATCH(S840,事件規則!$A$2:$A$53,0)),"")))</f>
        <v>0</v>
      </c>
      <c r="V840" s="21"/>
      <c r="W840" s="22"/>
      <c r="X840" s="10" t="str">
        <f aca="false">IF(AND(R840="修改",S840=""),"請選新事件代碼",IF(AND(R840&lt;&gt;"修改",S840&lt;&gt;""),"只有「修改」才需填代碼",""))</f>
        <v/>
      </c>
      <c r="Y840" s="21"/>
      <c r="Z840" s="22"/>
      <c r="AA840" s="12" t="s">
        <v>2545</v>
      </c>
      <c r="AB840" s="24"/>
    </row>
    <row r="841" customFormat="false" ht="29.85" hidden="false" customHeight="false" outlineLevel="0" collapsed="false">
      <c r="A841" s="15" t="n">
        <v>840</v>
      </c>
      <c r="B841" s="9" t="s">
        <v>45</v>
      </c>
      <c r="C841" s="9" t="s">
        <v>1086</v>
      </c>
      <c r="D841" s="10" t="s">
        <v>1087</v>
      </c>
      <c r="E841" s="11" t="s">
        <v>2546</v>
      </c>
      <c r="F841" s="17"/>
      <c r="G841" s="12" t="s">
        <v>1136</v>
      </c>
      <c r="H841" s="13" t="n">
        <v>-0.036</v>
      </c>
      <c r="I841" s="14"/>
      <c r="J841" s="17"/>
      <c r="K841" s="9"/>
      <c r="L841" s="15" t="s">
        <v>50</v>
      </c>
      <c r="M841" s="16" t="s">
        <v>51</v>
      </c>
      <c r="N841" s="14"/>
      <c r="O841" s="15" t="s">
        <v>52</v>
      </c>
      <c r="P841" s="17" t="s">
        <v>53</v>
      </c>
      <c r="Q841" s="15"/>
      <c r="R841" s="18" t="s">
        <v>51</v>
      </c>
      <c r="S841" s="19"/>
      <c r="T841" s="17" t="str">
        <f aca="false">IF(R841="維持",J841,IF(R841="排除","無關新聞事件",IFERROR(INDEX(事件規則!$B$2:$B$53,MATCH(S841,事件規則!$A$2:$A$53,0)),"")))</f>
        <v>無關新聞事件</v>
      </c>
      <c r="U841" s="20" t="n">
        <f aca="false">IF(R841="維持",K841,IF(R841="排除",0,IFERROR(INDEX(事件規則!$C$2:$C$53,MATCH(S841,事件規則!$A$2:$A$53,0)),"")))</f>
        <v>0</v>
      </c>
      <c r="V841" s="21"/>
      <c r="W841" s="22"/>
      <c r="X841" s="10" t="str">
        <f aca="false">IF(AND(R841="修改",S841=""),"請選新事件代碼",IF(AND(R841&lt;&gt;"修改",S841&lt;&gt;""),"只有「修改」才需填代碼",""))</f>
        <v/>
      </c>
      <c r="Y841" s="21"/>
      <c r="Z841" s="22"/>
      <c r="AA841" s="12" t="s">
        <v>2547</v>
      </c>
      <c r="AB841" s="24"/>
    </row>
    <row r="842" customFormat="false" ht="29.85" hidden="false" customHeight="false" outlineLevel="0" collapsed="false">
      <c r="A842" s="15" t="n">
        <v>841</v>
      </c>
      <c r="B842" s="9" t="s">
        <v>45</v>
      </c>
      <c r="C842" s="9" t="s">
        <v>1086</v>
      </c>
      <c r="D842" s="10" t="s">
        <v>1087</v>
      </c>
      <c r="E842" s="11" t="s">
        <v>2548</v>
      </c>
      <c r="F842" s="17"/>
      <c r="G842" s="12" t="s">
        <v>1136</v>
      </c>
      <c r="H842" s="13" t="n">
        <v>-0.036</v>
      </c>
      <c r="I842" s="14"/>
      <c r="J842" s="17"/>
      <c r="K842" s="9"/>
      <c r="L842" s="15" t="s">
        <v>50</v>
      </c>
      <c r="M842" s="16" t="s">
        <v>51</v>
      </c>
      <c r="N842" s="14"/>
      <c r="O842" s="15" t="s">
        <v>52</v>
      </c>
      <c r="P842" s="17" t="s">
        <v>53</v>
      </c>
      <c r="Q842" s="15"/>
      <c r="R842" s="18" t="s">
        <v>51</v>
      </c>
      <c r="S842" s="19"/>
      <c r="T842" s="17" t="str">
        <f aca="false">IF(R842="維持",J842,IF(R842="排除","無關新聞事件",IFERROR(INDEX(事件規則!$B$2:$B$53,MATCH(S842,事件規則!$A$2:$A$53,0)),"")))</f>
        <v>無關新聞事件</v>
      </c>
      <c r="U842" s="20" t="n">
        <f aca="false">IF(R842="維持",K842,IF(R842="排除",0,IFERROR(INDEX(事件規則!$C$2:$C$53,MATCH(S842,事件規則!$A$2:$A$53,0)),"")))</f>
        <v>0</v>
      </c>
      <c r="V842" s="21"/>
      <c r="W842" s="22"/>
      <c r="X842" s="10" t="str">
        <f aca="false">IF(AND(R842="修改",S842=""),"請選新事件代碼",IF(AND(R842&lt;&gt;"修改",S842&lt;&gt;""),"只有「修改」才需填代碼",""))</f>
        <v/>
      </c>
      <c r="Y842" s="21"/>
      <c r="Z842" s="22"/>
      <c r="AA842" s="12" t="s">
        <v>2549</v>
      </c>
      <c r="AB842" s="24"/>
    </row>
    <row r="843" customFormat="false" ht="29.85" hidden="false" customHeight="false" outlineLevel="0" collapsed="false">
      <c r="A843" s="15" t="n">
        <v>842</v>
      </c>
      <c r="B843" s="9" t="s">
        <v>45</v>
      </c>
      <c r="C843" s="9" t="s">
        <v>1086</v>
      </c>
      <c r="D843" s="10" t="s">
        <v>1087</v>
      </c>
      <c r="E843" s="11" t="s">
        <v>2550</v>
      </c>
      <c r="F843" s="17"/>
      <c r="G843" s="12" t="s">
        <v>1136</v>
      </c>
      <c r="H843" s="13" t="n">
        <v>-0.036</v>
      </c>
      <c r="I843" s="14"/>
      <c r="J843" s="17"/>
      <c r="K843" s="9"/>
      <c r="L843" s="15" t="s">
        <v>50</v>
      </c>
      <c r="M843" s="16" t="s">
        <v>51</v>
      </c>
      <c r="N843" s="14"/>
      <c r="O843" s="15" t="s">
        <v>52</v>
      </c>
      <c r="P843" s="17" t="s">
        <v>53</v>
      </c>
      <c r="Q843" s="15"/>
      <c r="R843" s="18" t="s">
        <v>51</v>
      </c>
      <c r="S843" s="19"/>
      <c r="T843" s="17" t="str">
        <f aca="false">IF(R843="維持",J843,IF(R843="排除","無關新聞事件",IFERROR(INDEX(事件規則!$B$2:$B$53,MATCH(S843,事件規則!$A$2:$A$53,0)),"")))</f>
        <v>無關新聞事件</v>
      </c>
      <c r="U843" s="20" t="n">
        <f aca="false">IF(R843="維持",K843,IF(R843="排除",0,IFERROR(INDEX(事件規則!$C$2:$C$53,MATCH(S843,事件規則!$A$2:$A$53,0)),"")))</f>
        <v>0</v>
      </c>
      <c r="V843" s="21"/>
      <c r="W843" s="22"/>
      <c r="X843" s="10" t="str">
        <f aca="false">IF(AND(R843="修改",S843=""),"請選新事件代碼",IF(AND(R843&lt;&gt;"修改",S843&lt;&gt;""),"只有「修改」才需填代碼",""))</f>
        <v/>
      </c>
      <c r="Y843" s="21"/>
      <c r="Z843" s="22"/>
      <c r="AA843" s="12" t="s">
        <v>2551</v>
      </c>
      <c r="AB843" s="24"/>
    </row>
    <row r="844" customFormat="false" ht="29.85" hidden="false" customHeight="false" outlineLevel="0" collapsed="false">
      <c r="A844" s="15" t="n">
        <v>843</v>
      </c>
      <c r="B844" s="9" t="s">
        <v>45</v>
      </c>
      <c r="C844" s="9" t="s">
        <v>1147</v>
      </c>
      <c r="D844" s="10" t="s">
        <v>1148</v>
      </c>
      <c r="E844" s="11" t="s">
        <v>2552</v>
      </c>
      <c r="F844" s="17"/>
      <c r="G844" s="12" t="s">
        <v>176</v>
      </c>
      <c r="H844" s="13" t="n">
        <v>-0.036</v>
      </c>
      <c r="I844" s="14"/>
      <c r="J844" s="17"/>
      <c r="K844" s="9"/>
      <c r="L844" s="15" t="s">
        <v>50</v>
      </c>
      <c r="M844" s="16" t="s">
        <v>51</v>
      </c>
      <c r="N844" s="14"/>
      <c r="O844" s="15" t="s">
        <v>52</v>
      </c>
      <c r="P844" s="17" t="s">
        <v>53</v>
      </c>
      <c r="Q844" s="15"/>
      <c r="R844" s="18" t="s">
        <v>51</v>
      </c>
      <c r="S844" s="19"/>
      <c r="T844" s="17" t="str">
        <f aca="false">IF(R844="維持",J844,IF(R844="排除","無關新聞事件",IFERROR(INDEX(事件規則!$B$2:$B$53,MATCH(S844,事件規則!$A$2:$A$53,0)),"")))</f>
        <v>無關新聞事件</v>
      </c>
      <c r="U844" s="20" t="n">
        <f aca="false">IF(R844="維持",K844,IF(R844="排除",0,IFERROR(INDEX(事件規則!$C$2:$C$53,MATCH(S844,事件規則!$A$2:$A$53,0)),"")))</f>
        <v>0</v>
      </c>
      <c r="V844" s="21"/>
      <c r="W844" s="22"/>
      <c r="X844" s="10" t="str">
        <f aca="false">IF(AND(R844="修改",S844=""),"請選新事件代碼",IF(AND(R844&lt;&gt;"修改",S844&lt;&gt;""),"只有「修改」才需填代碼",""))</f>
        <v/>
      </c>
      <c r="Y844" s="21"/>
      <c r="Z844" s="22"/>
      <c r="AA844" s="12" t="s">
        <v>2553</v>
      </c>
      <c r="AB844" s="24"/>
    </row>
    <row r="845" customFormat="false" ht="29.85" hidden="false" customHeight="false" outlineLevel="0" collapsed="false">
      <c r="A845" s="15" t="n">
        <v>844</v>
      </c>
      <c r="B845" s="9" t="s">
        <v>45</v>
      </c>
      <c r="C845" s="9" t="s">
        <v>1086</v>
      </c>
      <c r="D845" s="10" t="s">
        <v>1087</v>
      </c>
      <c r="E845" s="11" t="s">
        <v>2554</v>
      </c>
      <c r="F845" s="17"/>
      <c r="G845" s="12" t="s">
        <v>1136</v>
      </c>
      <c r="H845" s="13" t="n">
        <v>-0.036</v>
      </c>
      <c r="I845" s="14"/>
      <c r="J845" s="17"/>
      <c r="K845" s="9"/>
      <c r="L845" s="15" t="s">
        <v>50</v>
      </c>
      <c r="M845" s="16" t="s">
        <v>51</v>
      </c>
      <c r="N845" s="14"/>
      <c r="O845" s="15" t="s">
        <v>52</v>
      </c>
      <c r="P845" s="17" t="s">
        <v>53</v>
      </c>
      <c r="Q845" s="15"/>
      <c r="R845" s="18" t="s">
        <v>51</v>
      </c>
      <c r="S845" s="19"/>
      <c r="T845" s="17" t="str">
        <f aca="false">IF(R845="維持",J845,IF(R845="排除","無關新聞事件",IFERROR(INDEX(事件規則!$B$2:$B$53,MATCH(S845,事件規則!$A$2:$A$53,0)),"")))</f>
        <v>無關新聞事件</v>
      </c>
      <c r="U845" s="20" t="n">
        <f aca="false">IF(R845="維持",K845,IF(R845="排除",0,IFERROR(INDEX(事件規則!$C$2:$C$53,MATCH(S845,事件規則!$A$2:$A$53,0)),"")))</f>
        <v>0</v>
      </c>
      <c r="V845" s="21"/>
      <c r="W845" s="22"/>
      <c r="X845" s="10" t="str">
        <f aca="false">IF(AND(R845="修改",S845=""),"請選新事件代碼",IF(AND(R845&lt;&gt;"修改",S845&lt;&gt;""),"只有「修改」才需填代碼",""))</f>
        <v/>
      </c>
      <c r="Y845" s="21"/>
      <c r="Z845" s="22"/>
      <c r="AA845" s="12" t="s">
        <v>2555</v>
      </c>
      <c r="AB845" s="24"/>
    </row>
    <row r="846" customFormat="false" ht="29.85" hidden="false" customHeight="false" outlineLevel="0" collapsed="false">
      <c r="A846" s="15" t="n">
        <v>845</v>
      </c>
      <c r="B846" s="9" t="s">
        <v>45</v>
      </c>
      <c r="C846" s="9" t="s">
        <v>2556</v>
      </c>
      <c r="D846" s="10" t="s">
        <v>2557</v>
      </c>
      <c r="E846" s="11" t="s">
        <v>2558</v>
      </c>
      <c r="F846" s="17"/>
      <c r="G846" s="12" t="s">
        <v>949</v>
      </c>
      <c r="H846" s="13" t="n">
        <v>-0.036</v>
      </c>
      <c r="I846" s="14"/>
      <c r="J846" s="17"/>
      <c r="K846" s="9"/>
      <c r="L846" s="15" t="s">
        <v>50</v>
      </c>
      <c r="M846" s="16" t="s">
        <v>51</v>
      </c>
      <c r="N846" s="14"/>
      <c r="O846" s="15" t="s">
        <v>52</v>
      </c>
      <c r="P846" s="17" t="s">
        <v>53</v>
      </c>
      <c r="Q846" s="15"/>
      <c r="R846" s="18" t="s">
        <v>51</v>
      </c>
      <c r="S846" s="19"/>
      <c r="T846" s="17" t="str">
        <f aca="false">IF(R846="維持",J846,IF(R846="排除","無關新聞事件",IFERROR(INDEX(事件規則!$B$2:$B$53,MATCH(S846,事件規則!$A$2:$A$53,0)),"")))</f>
        <v>無關新聞事件</v>
      </c>
      <c r="U846" s="20" t="n">
        <f aca="false">IF(R846="維持",K846,IF(R846="排除",0,IFERROR(INDEX(事件規則!$C$2:$C$53,MATCH(S846,事件規則!$A$2:$A$53,0)),"")))</f>
        <v>0</v>
      </c>
      <c r="V846" s="21"/>
      <c r="W846" s="22"/>
      <c r="X846" s="10" t="str">
        <f aca="false">IF(AND(R846="修改",S846=""),"請選新事件代碼",IF(AND(R846&lt;&gt;"修改",S846&lt;&gt;""),"只有「修改」才需填代碼",""))</f>
        <v/>
      </c>
      <c r="Y846" s="21"/>
      <c r="Z846" s="22"/>
      <c r="AA846" s="12" t="s">
        <v>2559</v>
      </c>
      <c r="AB846" s="24"/>
    </row>
    <row r="847" customFormat="false" ht="29.85" hidden="false" customHeight="false" outlineLevel="0" collapsed="false">
      <c r="A847" s="15" t="n">
        <v>846</v>
      </c>
      <c r="B847" s="9" t="s">
        <v>45</v>
      </c>
      <c r="C847" s="9" t="s">
        <v>71</v>
      </c>
      <c r="D847" s="10" t="s">
        <v>72</v>
      </c>
      <c r="E847" s="11" t="s">
        <v>2560</v>
      </c>
      <c r="F847" s="17"/>
      <c r="G847" s="12" t="s">
        <v>1136</v>
      </c>
      <c r="H847" s="13" t="n">
        <v>-0.036</v>
      </c>
      <c r="I847" s="14"/>
      <c r="J847" s="17"/>
      <c r="K847" s="9"/>
      <c r="L847" s="15" t="s">
        <v>50</v>
      </c>
      <c r="M847" s="16" t="s">
        <v>51</v>
      </c>
      <c r="N847" s="14"/>
      <c r="O847" s="15" t="s">
        <v>52</v>
      </c>
      <c r="P847" s="17" t="s">
        <v>53</v>
      </c>
      <c r="Q847" s="15"/>
      <c r="R847" s="18" t="s">
        <v>51</v>
      </c>
      <c r="S847" s="19"/>
      <c r="T847" s="17" t="str">
        <f aca="false">IF(R847="維持",J847,IF(R847="排除","無關新聞事件",IFERROR(INDEX(事件規則!$B$2:$B$53,MATCH(S847,事件規則!$A$2:$A$53,0)),"")))</f>
        <v>無關新聞事件</v>
      </c>
      <c r="U847" s="20" t="n">
        <f aca="false">IF(R847="維持",K847,IF(R847="排除",0,IFERROR(INDEX(事件規則!$C$2:$C$53,MATCH(S847,事件規則!$A$2:$A$53,0)),"")))</f>
        <v>0</v>
      </c>
      <c r="V847" s="21"/>
      <c r="W847" s="22"/>
      <c r="X847" s="10" t="str">
        <f aca="false">IF(AND(R847="修改",S847=""),"請選新事件代碼",IF(AND(R847&lt;&gt;"修改",S847&lt;&gt;""),"只有「修改」才需填代碼",""))</f>
        <v/>
      </c>
      <c r="Y847" s="21"/>
      <c r="Z847" s="22"/>
      <c r="AA847" s="12" t="s">
        <v>2561</v>
      </c>
      <c r="AB847" s="24"/>
    </row>
    <row r="848" customFormat="false" ht="29.85" hidden="false" customHeight="false" outlineLevel="0" collapsed="false">
      <c r="A848" s="15" t="n">
        <v>847</v>
      </c>
      <c r="B848" s="9" t="s">
        <v>45</v>
      </c>
      <c r="C848" s="9" t="s">
        <v>716</v>
      </c>
      <c r="D848" s="10" t="s">
        <v>717</v>
      </c>
      <c r="E848" s="11" t="s">
        <v>2562</v>
      </c>
      <c r="F848" s="17"/>
      <c r="G848" s="12" t="s">
        <v>949</v>
      </c>
      <c r="H848" s="13" t="n">
        <v>-0.036</v>
      </c>
      <c r="I848" s="14"/>
      <c r="J848" s="17"/>
      <c r="K848" s="9"/>
      <c r="L848" s="15" t="s">
        <v>50</v>
      </c>
      <c r="M848" s="16" t="s">
        <v>51</v>
      </c>
      <c r="N848" s="14"/>
      <c r="O848" s="15" t="s">
        <v>52</v>
      </c>
      <c r="P848" s="17" t="s">
        <v>53</v>
      </c>
      <c r="Q848" s="15"/>
      <c r="R848" s="18" t="s">
        <v>51</v>
      </c>
      <c r="S848" s="19"/>
      <c r="T848" s="17" t="str">
        <f aca="false">IF(R848="維持",J848,IF(R848="排除","無關新聞事件",IFERROR(INDEX(事件規則!$B$2:$B$53,MATCH(S848,事件規則!$A$2:$A$53,0)),"")))</f>
        <v>無關新聞事件</v>
      </c>
      <c r="U848" s="20" t="n">
        <f aca="false">IF(R848="維持",K848,IF(R848="排除",0,IFERROR(INDEX(事件規則!$C$2:$C$53,MATCH(S848,事件規則!$A$2:$A$53,0)),"")))</f>
        <v>0</v>
      </c>
      <c r="V848" s="21"/>
      <c r="W848" s="22"/>
      <c r="X848" s="10" t="str">
        <f aca="false">IF(AND(R848="修改",S848=""),"請選新事件代碼",IF(AND(R848&lt;&gt;"修改",S848&lt;&gt;""),"只有「修改」才需填代碼",""))</f>
        <v/>
      </c>
      <c r="Y848" s="21"/>
      <c r="Z848" s="22"/>
      <c r="AA848" s="12" t="s">
        <v>2563</v>
      </c>
      <c r="AB848" s="24"/>
    </row>
    <row r="849" customFormat="false" ht="29.85" hidden="false" customHeight="false" outlineLevel="0" collapsed="false">
      <c r="A849" s="15" t="n">
        <v>848</v>
      </c>
      <c r="B849" s="9" t="s">
        <v>81</v>
      </c>
      <c r="C849" s="9" t="s">
        <v>2564</v>
      </c>
      <c r="D849" s="10" t="s">
        <v>2565</v>
      </c>
      <c r="E849" s="11" t="s">
        <v>2566</v>
      </c>
      <c r="F849" s="17"/>
      <c r="G849" s="12" t="s">
        <v>949</v>
      </c>
      <c r="H849" s="13" t="n">
        <v>-0.036</v>
      </c>
      <c r="I849" s="14"/>
      <c r="J849" s="17"/>
      <c r="K849" s="9"/>
      <c r="L849" s="15" t="s">
        <v>50</v>
      </c>
      <c r="M849" s="16" t="s">
        <v>51</v>
      </c>
      <c r="N849" s="14"/>
      <c r="O849" s="15" t="s">
        <v>52</v>
      </c>
      <c r="P849" s="17" t="s">
        <v>53</v>
      </c>
      <c r="Q849" s="15"/>
      <c r="R849" s="18" t="s">
        <v>51</v>
      </c>
      <c r="S849" s="19"/>
      <c r="T849" s="17" t="str">
        <f aca="false">IF(R849="維持",J849,IF(R849="排除","無關新聞事件",IFERROR(INDEX(事件規則!$B$2:$B$53,MATCH(S849,事件規則!$A$2:$A$53,0)),"")))</f>
        <v>無關新聞事件</v>
      </c>
      <c r="U849" s="20" t="n">
        <f aca="false">IF(R849="維持",K849,IF(R849="排除",0,IFERROR(INDEX(事件規則!$C$2:$C$53,MATCH(S849,事件規則!$A$2:$A$53,0)),"")))</f>
        <v>0</v>
      </c>
      <c r="V849" s="21"/>
      <c r="W849" s="22"/>
      <c r="X849" s="10" t="str">
        <f aca="false">IF(AND(R849="修改",S849=""),"請選新事件代碼",IF(AND(R849&lt;&gt;"修改",S849&lt;&gt;""),"只有「修改」才需填代碼",""))</f>
        <v/>
      </c>
      <c r="Y849" s="21"/>
      <c r="Z849" s="22"/>
      <c r="AA849" s="12" t="s">
        <v>2567</v>
      </c>
      <c r="AB849" s="24"/>
    </row>
    <row r="850" customFormat="false" ht="29.85" hidden="false" customHeight="false" outlineLevel="0" collapsed="false">
      <c r="A850" s="15" t="n">
        <v>849</v>
      </c>
      <c r="B850" s="9" t="s">
        <v>45</v>
      </c>
      <c r="C850" s="9" t="s">
        <v>913</v>
      </c>
      <c r="D850" s="10" t="s">
        <v>914</v>
      </c>
      <c r="E850" s="11" t="s">
        <v>2568</v>
      </c>
      <c r="F850" s="17"/>
      <c r="G850" s="12" t="s">
        <v>1136</v>
      </c>
      <c r="H850" s="13" t="n">
        <v>-0.036</v>
      </c>
      <c r="I850" s="14"/>
      <c r="J850" s="17"/>
      <c r="K850" s="9"/>
      <c r="L850" s="15" t="s">
        <v>50</v>
      </c>
      <c r="M850" s="16" t="s">
        <v>51</v>
      </c>
      <c r="N850" s="14"/>
      <c r="O850" s="15" t="s">
        <v>52</v>
      </c>
      <c r="P850" s="17" t="s">
        <v>53</v>
      </c>
      <c r="Q850" s="15"/>
      <c r="R850" s="18" t="s">
        <v>51</v>
      </c>
      <c r="S850" s="19"/>
      <c r="T850" s="17" t="str">
        <f aca="false">IF(R850="維持",J850,IF(R850="排除","無關新聞事件",IFERROR(INDEX(事件規則!$B$2:$B$53,MATCH(S850,事件規則!$A$2:$A$53,0)),"")))</f>
        <v>無關新聞事件</v>
      </c>
      <c r="U850" s="20" t="n">
        <f aca="false">IF(R850="維持",K850,IF(R850="排除",0,IFERROR(INDEX(事件規則!$C$2:$C$53,MATCH(S850,事件規則!$A$2:$A$53,0)),"")))</f>
        <v>0</v>
      </c>
      <c r="V850" s="21"/>
      <c r="W850" s="22"/>
      <c r="X850" s="10" t="str">
        <f aca="false">IF(AND(R850="修改",S850=""),"請選新事件代碼",IF(AND(R850&lt;&gt;"修改",S850&lt;&gt;""),"只有「修改」才需填代碼",""))</f>
        <v/>
      </c>
      <c r="Y850" s="21"/>
      <c r="Z850" s="22"/>
      <c r="AA850" s="12" t="s">
        <v>2569</v>
      </c>
      <c r="AB850" s="24"/>
    </row>
    <row r="851" customFormat="false" ht="29.85" hidden="false" customHeight="false" outlineLevel="0" collapsed="false">
      <c r="A851" s="15" t="n">
        <v>850</v>
      </c>
      <c r="B851" s="9" t="s">
        <v>81</v>
      </c>
      <c r="C851" s="9" t="s">
        <v>449</v>
      </c>
      <c r="D851" s="10" t="s">
        <v>450</v>
      </c>
      <c r="E851" s="11" t="s">
        <v>2570</v>
      </c>
      <c r="F851" s="17"/>
      <c r="G851" s="12" t="s">
        <v>1136</v>
      </c>
      <c r="H851" s="13" t="n">
        <v>-0.036</v>
      </c>
      <c r="I851" s="14"/>
      <c r="J851" s="17"/>
      <c r="K851" s="9"/>
      <c r="L851" s="15" t="s">
        <v>50</v>
      </c>
      <c r="M851" s="16" t="s">
        <v>51</v>
      </c>
      <c r="N851" s="14"/>
      <c r="O851" s="15" t="s">
        <v>52</v>
      </c>
      <c r="P851" s="17" t="s">
        <v>53</v>
      </c>
      <c r="Q851" s="15"/>
      <c r="R851" s="18" t="s">
        <v>51</v>
      </c>
      <c r="S851" s="19"/>
      <c r="T851" s="17" t="str">
        <f aca="false">IF(R851="維持",J851,IF(R851="排除","無關新聞事件",IFERROR(INDEX(事件規則!$B$2:$B$53,MATCH(S851,事件規則!$A$2:$A$53,0)),"")))</f>
        <v>無關新聞事件</v>
      </c>
      <c r="U851" s="20" t="n">
        <f aca="false">IF(R851="維持",K851,IF(R851="排除",0,IFERROR(INDEX(事件規則!$C$2:$C$53,MATCH(S851,事件規則!$A$2:$A$53,0)),"")))</f>
        <v>0</v>
      </c>
      <c r="V851" s="21"/>
      <c r="W851" s="22"/>
      <c r="X851" s="10" t="str">
        <f aca="false">IF(AND(R851="修改",S851=""),"請選新事件代碼",IF(AND(R851&lt;&gt;"修改",S851&lt;&gt;""),"只有「修改」才需填代碼",""))</f>
        <v/>
      </c>
      <c r="Y851" s="21"/>
      <c r="Z851" s="22"/>
      <c r="AA851" s="12" t="s">
        <v>2571</v>
      </c>
      <c r="AB851" s="24"/>
    </row>
    <row r="852" customFormat="false" ht="29.85" hidden="false" customHeight="false" outlineLevel="0" collapsed="false">
      <c r="A852" s="15" t="n">
        <v>851</v>
      </c>
      <c r="B852" s="9" t="s">
        <v>81</v>
      </c>
      <c r="C852" s="9" t="s">
        <v>957</v>
      </c>
      <c r="D852" s="10" t="s">
        <v>958</v>
      </c>
      <c r="E852" s="11" t="s">
        <v>2572</v>
      </c>
      <c r="F852" s="17"/>
      <c r="G852" s="12" t="s">
        <v>142</v>
      </c>
      <c r="H852" s="13" t="n">
        <v>-0.036</v>
      </c>
      <c r="I852" s="14"/>
      <c r="J852" s="17"/>
      <c r="K852" s="9"/>
      <c r="L852" s="15" t="s">
        <v>50</v>
      </c>
      <c r="M852" s="16" t="s">
        <v>51</v>
      </c>
      <c r="N852" s="14"/>
      <c r="O852" s="15" t="s">
        <v>52</v>
      </c>
      <c r="P852" s="17" t="s">
        <v>53</v>
      </c>
      <c r="Q852" s="15"/>
      <c r="R852" s="18" t="s">
        <v>51</v>
      </c>
      <c r="S852" s="19"/>
      <c r="T852" s="17" t="str">
        <f aca="false">IF(R852="維持",J852,IF(R852="排除","無關新聞事件",IFERROR(INDEX(事件規則!$B$2:$B$53,MATCH(S852,事件規則!$A$2:$A$53,0)),"")))</f>
        <v>無關新聞事件</v>
      </c>
      <c r="U852" s="20" t="n">
        <f aca="false">IF(R852="維持",K852,IF(R852="排除",0,IFERROR(INDEX(事件規則!$C$2:$C$53,MATCH(S852,事件規則!$A$2:$A$53,0)),"")))</f>
        <v>0</v>
      </c>
      <c r="V852" s="21"/>
      <c r="W852" s="22"/>
      <c r="X852" s="10" t="str">
        <f aca="false">IF(AND(R852="修改",S852=""),"請選新事件代碼",IF(AND(R852&lt;&gt;"修改",S852&lt;&gt;""),"只有「修改」才需填代碼",""))</f>
        <v/>
      </c>
      <c r="Y852" s="21"/>
      <c r="Z852" s="22"/>
      <c r="AA852" s="12" t="s">
        <v>2573</v>
      </c>
      <c r="AB852" s="24"/>
    </row>
    <row r="853" customFormat="false" ht="29.85" hidden="false" customHeight="false" outlineLevel="0" collapsed="false">
      <c r="A853" s="15" t="n">
        <v>852</v>
      </c>
      <c r="B853" s="9" t="s">
        <v>45</v>
      </c>
      <c r="C853" s="9" t="s">
        <v>957</v>
      </c>
      <c r="D853" s="10" t="s">
        <v>958</v>
      </c>
      <c r="E853" s="11" t="s">
        <v>2574</v>
      </c>
      <c r="F853" s="17"/>
      <c r="G853" s="12" t="s">
        <v>949</v>
      </c>
      <c r="H853" s="13" t="n">
        <v>-0.036</v>
      </c>
      <c r="I853" s="14"/>
      <c r="J853" s="17"/>
      <c r="K853" s="9"/>
      <c r="L853" s="15" t="s">
        <v>50</v>
      </c>
      <c r="M853" s="16" t="s">
        <v>51</v>
      </c>
      <c r="N853" s="14"/>
      <c r="O853" s="15" t="s">
        <v>52</v>
      </c>
      <c r="P853" s="17" t="s">
        <v>53</v>
      </c>
      <c r="Q853" s="15"/>
      <c r="R853" s="18" t="s">
        <v>51</v>
      </c>
      <c r="S853" s="19"/>
      <c r="T853" s="17" t="str">
        <f aca="false">IF(R853="維持",J853,IF(R853="排除","無關新聞事件",IFERROR(INDEX(事件規則!$B$2:$B$53,MATCH(S853,事件規則!$A$2:$A$53,0)),"")))</f>
        <v>無關新聞事件</v>
      </c>
      <c r="U853" s="20" t="n">
        <f aca="false">IF(R853="維持",K853,IF(R853="排除",0,IFERROR(INDEX(事件規則!$C$2:$C$53,MATCH(S853,事件規則!$A$2:$A$53,0)),"")))</f>
        <v>0</v>
      </c>
      <c r="V853" s="21"/>
      <c r="W853" s="22"/>
      <c r="X853" s="10" t="str">
        <f aca="false">IF(AND(R853="修改",S853=""),"請選新事件代碼",IF(AND(R853&lt;&gt;"修改",S853&lt;&gt;""),"只有「修改」才需填代碼",""))</f>
        <v/>
      </c>
      <c r="Y853" s="21"/>
      <c r="Z853" s="22"/>
      <c r="AA853" s="12" t="s">
        <v>2575</v>
      </c>
      <c r="AB853" s="24"/>
    </row>
    <row r="854" customFormat="false" ht="29.85" hidden="false" customHeight="false" outlineLevel="0" collapsed="false">
      <c r="A854" s="15" t="n">
        <v>853</v>
      </c>
      <c r="B854" s="9" t="s">
        <v>45</v>
      </c>
      <c r="C854" s="9" t="s">
        <v>2055</v>
      </c>
      <c r="D854" s="10" t="s">
        <v>2056</v>
      </c>
      <c r="E854" s="11" t="s">
        <v>2576</v>
      </c>
      <c r="F854" s="17"/>
      <c r="G854" s="12" t="s">
        <v>1136</v>
      </c>
      <c r="H854" s="13" t="n">
        <v>-0.036</v>
      </c>
      <c r="I854" s="14"/>
      <c r="J854" s="17"/>
      <c r="K854" s="9"/>
      <c r="L854" s="15" t="s">
        <v>50</v>
      </c>
      <c r="M854" s="16" t="s">
        <v>51</v>
      </c>
      <c r="N854" s="14"/>
      <c r="O854" s="15" t="s">
        <v>52</v>
      </c>
      <c r="P854" s="17" t="s">
        <v>53</v>
      </c>
      <c r="Q854" s="15"/>
      <c r="R854" s="18" t="s">
        <v>51</v>
      </c>
      <c r="S854" s="19"/>
      <c r="T854" s="17" t="str">
        <f aca="false">IF(R854="維持",J854,IF(R854="排除","無關新聞事件",IFERROR(INDEX(事件規則!$B$2:$B$53,MATCH(S854,事件規則!$A$2:$A$53,0)),"")))</f>
        <v>無關新聞事件</v>
      </c>
      <c r="U854" s="20" t="n">
        <f aca="false">IF(R854="維持",K854,IF(R854="排除",0,IFERROR(INDEX(事件規則!$C$2:$C$53,MATCH(S854,事件規則!$A$2:$A$53,0)),"")))</f>
        <v>0</v>
      </c>
      <c r="V854" s="21"/>
      <c r="W854" s="22"/>
      <c r="X854" s="10" t="str">
        <f aca="false">IF(AND(R854="修改",S854=""),"請選新事件代碼",IF(AND(R854&lt;&gt;"修改",S854&lt;&gt;""),"只有「修改」才需填代碼",""))</f>
        <v/>
      </c>
      <c r="Y854" s="21"/>
      <c r="Z854" s="22"/>
      <c r="AA854" s="12" t="s">
        <v>2577</v>
      </c>
      <c r="AB854" s="24"/>
    </row>
    <row r="855" customFormat="false" ht="29.85" hidden="false" customHeight="false" outlineLevel="0" collapsed="false">
      <c r="A855" s="15" t="n">
        <v>854</v>
      </c>
      <c r="B855" s="9" t="s">
        <v>45</v>
      </c>
      <c r="C855" s="9" t="s">
        <v>268</v>
      </c>
      <c r="D855" s="10" t="s">
        <v>269</v>
      </c>
      <c r="E855" s="11" t="s">
        <v>2578</v>
      </c>
      <c r="F855" s="17"/>
      <c r="G855" s="12" t="s">
        <v>142</v>
      </c>
      <c r="H855" s="13" t="n">
        <v>-0.035</v>
      </c>
      <c r="I855" s="14"/>
      <c r="J855" s="17"/>
      <c r="K855" s="9"/>
      <c r="L855" s="15" t="s">
        <v>50</v>
      </c>
      <c r="M855" s="16" t="s">
        <v>51</v>
      </c>
      <c r="N855" s="14"/>
      <c r="O855" s="15" t="s">
        <v>52</v>
      </c>
      <c r="P855" s="17" t="s">
        <v>53</v>
      </c>
      <c r="Q855" s="15"/>
      <c r="R855" s="18" t="s">
        <v>51</v>
      </c>
      <c r="S855" s="19"/>
      <c r="T855" s="17" t="str">
        <f aca="false">IF(R855="維持",J855,IF(R855="排除","無關新聞事件",IFERROR(INDEX(事件規則!$B$2:$B$53,MATCH(S855,事件規則!$A$2:$A$53,0)),"")))</f>
        <v>無關新聞事件</v>
      </c>
      <c r="U855" s="20" t="n">
        <f aca="false">IF(R855="維持",K855,IF(R855="排除",0,IFERROR(INDEX(事件規則!$C$2:$C$53,MATCH(S855,事件規則!$A$2:$A$53,0)),"")))</f>
        <v>0</v>
      </c>
      <c r="V855" s="21"/>
      <c r="W855" s="22"/>
      <c r="X855" s="10" t="str">
        <f aca="false">IF(AND(R855="修改",S855=""),"請選新事件代碼",IF(AND(R855&lt;&gt;"修改",S855&lt;&gt;""),"只有「修改」才需填代碼",""))</f>
        <v/>
      </c>
      <c r="Y855" s="21"/>
      <c r="Z855" s="22"/>
      <c r="AA855" s="12" t="s">
        <v>2579</v>
      </c>
      <c r="AB855" s="24"/>
    </row>
    <row r="856" customFormat="false" ht="29.85" hidden="false" customHeight="false" outlineLevel="0" collapsed="false">
      <c r="A856" s="15" t="n">
        <v>855</v>
      </c>
      <c r="B856" s="9" t="s">
        <v>112</v>
      </c>
      <c r="C856" s="9" t="s">
        <v>1151</v>
      </c>
      <c r="D856" s="10" t="s">
        <v>1152</v>
      </c>
      <c r="E856" s="11" t="s">
        <v>2580</v>
      </c>
      <c r="F856" s="17"/>
      <c r="G856" s="12" t="s">
        <v>949</v>
      </c>
      <c r="H856" s="13" t="n">
        <v>-0.035</v>
      </c>
      <c r="I856" s="14"/>
      <c r="J856" s="17"/>
      <c r="K856" s="9"/>
      <c r="L856" s="15" t="s">
        <v>50</v>
      </c>
      <c r="M856" s="16" t="s">
        <v>51</v>
      </c>
      <c r="N856" s="14"/>
      <c r="O856" s="15" t="s">
        <v>52</v>
      </c>
      <c r="P856" s="17" t="s">
        <v>53</v>
      </c>
      <c r="Q856" s="15"/>
      <c r="R856" s="18" t="s">
        <v>51</v>
      </c>
      <c r="S856" s="19"/>
      <c r="T856" s="17" t="str">
        <f aca="false">IF(R856="維持",J856,IF(R856="排除","無關新聞事件",IFERROR(INDEX(事件規則!$B$2:$B$53,MATCH(S856,事件規則!$A$2:$A$53,0)),"")))</f>
        <v>無關新聞事件</v>
      </c>
      <c r="U856" s="20" t="n">
        <f aca="false">IF(R856="維持",K856,IF(R856="排除",0,IFERROR(INDEX(事件規則!$C$2:$C$53,MATCH(S856,事件規則!$A$2:$A$53,0)),"")))</f>
        <v>0</v>
      </c>
      <c r="V856" s="21"/>
      <c r="W856" s="22"/>
      <c r="X856" s="10" t="str">
        <f aca="false">IF(AND(R856="修改",S856=""),"請選新事件代碼",IF(AND(R856&lt;&gt;"修改",S856&lt;&gt;""),"只有「修改」才需填代碼",""))</f>
        <v/>
      </c>
      <c r="Y856" s="21"/>
      <c r="Z856" s="22"/>
      <c r="AA856" s="12" t="s">
        <v>2581</v>
      </c>
      <c r="AB856" s="24"/>
    </row>
    <row r="857" customFormat="false" ht="29.85" hidden="false" customHeight="false" outlineLevel="0" collapsed="false">
      <c r="A857" s="15" t="n">
        <v>856</v>
      </c>
      <c r="B857" s="9" t="s">
        <v>112</v>
      </c>
      <c r="C857" s="9" t="s">
        <v>1672</v>
      </c>
      <c r="D857" s="10" t="s">
        <v>1673</v>
      </c>
      <c r="E857" s="11" t="s">
        <v>2582</v>
      </c>
      <c r="F857" s="17"/>
      <c r="G857" s="12" t="s">
        <v>105</v>
      </c>
      <c r="H857" s="13" t="n">
        <v>-0.035</v>
      </c>
      <c r="I857" s="14"/>
      <c r="J857" s="17"/>
      <c r="K857" s="9"/>
      <c r="L857" s="15" t="s">
        <v>50</v>
      </c>
      <c r="M857" s="16" t="s">
        <v>51</v>
      </c>
      <c r="N857" s="14"/>
      <c r="O857" s="15" t="s">
        <v>52</v>
      </c>
      <c r="P857" s="17" t="s">
        <v>53</v>
      </c>
      <c r="Q857" s="15"/>
      <c r="R857" s="18" t="s">
        <v>51</v>
      </c>
      <c r="S857" s="19"/>
      <c r="T857" s="17" t="str">
        <f aca="false">IF(R857="維持",J857,IF(R857="排除","無關新聞事件",IFERROR(INDEX(事件規則!$B$2:$B$53,MATCH(S857,事件規則!$A$2:$A$53,0)),"")))</f>
        <v>無關新聞事件</v>
      </c>
      <c r="U857" s="20" t="n">
        <f aca="false">IF(R857="維持",K857,IF(R857="排除",0,IFERROR(INDEX(事件規則!$C$2:$C$53,MATCH(S857,事件規則!$A$2:$A$53,0)),"")))</f>
        <v>0</v>
      </c>
      <c r="V857" s="21"/>
      <c r="W857" s="22"/>
      <c r="X857" s="10" t="str">
        <f aca="false">IF(AND(R857="修改",S857=""),"請選新事件代碼",IF(AND(R857&lt;&gt;"修改",S857&lt;&gt;""),"只有「修改」才需填代碼",""))</f>
        <v/>
      </c>
      <c r="Y857" s="21"/>
      <c r="Z857" s="22"/>
      <c r="AA857" s="12" t="s">
        <v>2583</v>
      </c>
      <c r="AB857" s="24"/>
    </row>
    <row r="858" customFormat="false" ht="29.85" hidden="false" customHeight="false" outlineLevel="0" collapsed="false">
      <c r="A858" s="15" t="n">
        <v>857</v>
      </c>
      <c r="B858" s="9" t="s">
        <v>112</v>
      </c>
      <c r="C858" s="9" t="s">
        <v>344</v>
      </c>
      <c r="D858" s="10" t="s">
        <v>345</v>
      </c>
      <c r="E858" s="11" t="s">
        <v>2584</v>
      </c>
      <c r="F858" s="17"/>
      <c r="G858" s="12" t="s">
        <v>1136</v>
      </c>
      <c r="H858" s="13" t="n">
        <v>-0.035</v>
      </c>
      <c r="I858" s="14"/>
      <c r="J858" s="17"/>
      <c r="K858" s="9"/>
      <c r="L858" s="15" t="s">
        <v>50</v>
      </c>
      <c r="M858" s="16" t="s">
        <v>51</v>
      </c>
      <c r="N858" s="14"/>
      <c r="O858" s="15" t="s">
        <v>52</v>
      </c>
      <c r="P858" s="17" t="s">
        <v>53</v>
      </c>
      <c r="Q858" s="15"/>
      <c r="R858" s="18" t="s">
        <v>51</v>
      </c>
      <c r="S858" s="19"/>
      <c r="T858" s="17" t="str">
        <f aca="false">IF(R858="維持",J858,IF(R858="排除","無關新聞事件",IFERROR(INDEX(事件規則!$B$2:$B$53,MATCH(S858,事件規則!$A$2:$A$53,0)),"")))</f>
        <v>無關新聞事件</v>
      </c>
      <c r="U858" s="20" t="n">
        <f aca="false">IF(R858="維持",K858,IF(R858="排除",0,IFERROR(INDEX(事件規則!$C$2:$C$53,MATCH(S858,事件規則!$A$2:$A$53,0)),"")))</f>
        <v>0</v>
      </c>
      <c r="V858" s="21"/>
      <c r="W858" s="22"/>
      <c r="X858" s="10" t="str">
        <f aca="false">IF(AND(R858="修改",S858=""),"請選新事件代碼",IF(AND(R858&lt;&gt;"修改",S858&lt;&gt;""),"只有「修改」才需填代碼",""))</f>
        <v/>
      </c>
      <c r="Y858" s="21"/>
      <c r="Z858" s="22"/>
      <c r="AA858" s="12" t="s">
        <v>2585</v>
      </c>
      <c r="AB858" s="24"/>
    </row>
    <row r="859" customFormat="false" ht="29.85" hidden="false" customHeight="false" outlineLevel="0" collapsed="false">
      <c r="A859" s="15" t="n">
        <v>858</v>
      </c>
      <c r="B859" s="9" t="s">
        <v>112</v>
      </c>
      <c r="C859" s="9" t="s">
        <v>1151</v>
      </c>
      <c r="D859" s="10" t="s">
        <v>1152</v>
      </c>
      <c r="E859" s="11" t="s">
        <v>2586</v>
      </c>
      <c r="F859" s="17"/>
      <c r="G859" s="12" t="s">
        <v>2033</v>
      </c>
      <c r="H859" s="13" t="n">
        <v>-0.035</v>
      </c>
      <c r="I859" s="14"/>
      <c r="J859" s="17"/>
      <c r="K859" s="9"/>
      <c r="L859" s="15" t="s">
        <v>50</v>
      </c>
      <c r="M859" s="16" t="s">
        <v>51</v>
      </c>
      <c r="N859" s="14"/>
      <c r="O859" s="15" t="s">
        <v>52</v>
      </c>
      <c r="P859" s="17" t="s">
        <v>53</v>
      </c>
      <c r="Q859" s="15"/>
      <c r="R859" s="18" t="s">
        <v>51</v>
      </c>
      <c r="S859" s="19"/>
      <c r="T859" s="17" t="str">
        <f aca="false">IF(R859="維持",J859,IF(R859="排除","無關新聞事件",IFERROR(INDEX(事件規則!$B$2:$B$53,MATCH(S859,事件規則!$A$2:$A$53,0)),"")))</f>
        <v>無關新聞事件</v>
      </c>
      <c r="U859" s="20" t="n">
        <f aca="false">IF(R859="維持",K859,IF(R859="排除",0,IFERROR(INDEX(事件規則!$C$2:$C$53,MATCH(S859,事件規則!$A$2:$A$53,0)),"")))</f>
        <v>0</v>
      </c>
      <c r="V859" s="21"/>
      <c r="W859" s="22"/>
      <c r="X859" s="10" t="str">
        <f aca="false">IF(AND(R859="修改",S859=""),"請選新事件代碼",IF(AND(R859&lt;&gt;"修改",S859&lt;&gt;""),"只有「修改」才需填代碼",""))</f>
        <v/>
      </c>
      <c r="Y859" s="21"/>
      <c r="Z859" s="22"/>
      <c r="AA859" s="12" t="s">
        <v>2587</v>
      </c>
      <c r="AB859" s="24"/>
    </row>
    <row r="860" customFormat="false" ht="29.85" hidden="false" customHeight="false" outlineLevel="0" collapsed="false">
      <c r="A860" s="15" t="n">
        <v>859</v>
      </c>
      <c r="B860" s="9" t="s">
        <v>112</v>
      </c>
      <c r="C860" s="9" t="s">
        <v>1672</v>
      </c>
      <c r="D860" s="10" t="s">
        <v>1673</v>
      </c>
      <c r="E860" s="11" t="s">
        <v>2588</v>
      </c>
      <c r="F860" s="17"/>
      <c r="G860" s="12" t="s">
        <v>176</v>
      </c>
      <c r="H860" s="13" t="n">
        <v>-0.035</v>
      </c>
      <c r="I860" s="14"/>
      <c r="J860" s="17"/>
      <c r="K860" s="9"/>
      <c r="L860" s="15" t="s">
        <v>50</v>
      </c>
      <c r="M860" s="16" t="s">
        <v>51</v>
      </c>
      <c r="N860" s="14"/>
      <c r="O860" s="15" t="s">
        <v>52</v>
      </c>
      <c r="P860" s="17" t="s">
        <v>53</v>
      </c>
      <c r="Q860" s="15"/>
      <c r="R860" s="18" t="s">
        <v>51</v>
      </c>
      <c r="S860" s="19"/>
      <c r="T860" s="17" t="str">
        <f aca="false">IF(R860="維持",J860,IF(R860="排除","無關新聞事件",IFERROR(INDEX(事件規則!$B$2:$B$53,MATCH(S860,事件規則!$A$2:$A$53,0)),"")))</f>
        <v>無關新聞事件</v>
      </c>
      <c r="U860" s="20" t="n">
        <f aca="false">IF(R860="維持",K860,IF(R860="排除",0,IFERROR(INDEX(事件規則!$C$2:$C$53,MATCH(S860,事件規則!$A$2:$A$53,0)),"")))</f>
        <v>0</v>
      </c>
      <c r="V860" s="21"/>
      <c r="W860" s="22"/>
      <c r="X860" s="10" t="str">
        <f aca="false">IF(AND(R860="修改",S860=""),"請選新事件代碼",IF(AND(R860&lt;&gt;"修改",S860&lt;&gt;""),"只有「修改」才需填代碼",""))</f>
        <v/>
      </c>
      <c r="Y860" s="21"/>
      <c r="Z860" s="22"/>
      <c r="AA860" s="12" t="s">
        <v>2589</v>
      </c>
      <c r="AB860" s="24"/>
    </row>
    <row r="861" customFormat="false" ht="29.85" hidden="false" customHeight="false" outlineLevel="0" collapsed="false">
      <c r="A861" s="15" t="n">
        <v>860</v>
      </c>
      <c r="B861" s="9" t="s">
        <v>112</v>
      </c>
      <c r="C861" s="9" t="s">
        <v>326</v>
      </c>
      <c r="D861" s="10" t="s">
        <v>326</v>
      </c>
      <c r="E861" s="11" t="s">
        <v>2590</v>
      </c>
      <c r="F861" s="17"/>
      <c r="G861" s="12" t="s">
        <v>105</v>
      </c>
      <c r="H861" s="13" t="n">
        <v>-0.035</v>
      </c>
      <c r="I861" s="14"/>
      <c r="J861" s="17"/>
      <c r="K861" s="9"/>
      <c r="L861" s="15" t="s">
        <v>50</v>
      </c>
      <c r="M861" s="16" t="s">
        <v>51</v>
      </c>
      <c r="N861" s="14"/>
      <c r="O861" s="15" t="s">
        <v>52</v>
      </c>
      <c r="P861" s="17" t="s">
        <v>53</v>
      </c>
      <c r="Q861" s="15"/>
      <c r="R861" s="18" t="s">
        <v>51</v>
      </c>
      <c r="S861" s="19"/>
      <c r="T861" s="17" t="str">
        <f aca="false">IF(R861="維持",J861,IF(R861="排除","無關新聞事件",IFERROR(INDEX(事件規則!$B$2:$B$53,MATCH(S861,事件規則!$A$2:$A$53,0)),"")))</f>
        <v>無關新聞事件</v>
      </c>
      <c r="U861" s="20" t="n">
        <f aca="false">IF(R861="維持",K861,IF(R861="排除",0,IFERROR(INDEX(事件規則!$C$2:$C$53,MATCH(S861,事件規則!$A$2:$A$53,0)),"")))</f>
        <v>0</v>
      </c>
      <c r="V861" s="21"/>
      <c r="W861" s="22"/>
      <c r="X861" s="10" t="str">
        <f aca="false">IF(AND(R861="修改",S861=""),"請選新事件代碼",IF(AND(R861&lt;&gt;"修改",S861&lt;&gt;""),"只有「修改」才需填代碼",""))</f>
        <v/>
      </c>
      <c r="Y861" s="21"/>
      <c r="Z861" s="22"/>
      <c r="AA861" s="12" t="s">
        <v>2591</v>
      </c>
      <c r="AB861" s="24"/>
    </row>
    <row r="862" customFormat="false" ht="29.85" hidden="false" customHeight="false" outlineLevel="0" collapsed="false">
      <c r="A862" s="15" t="n">
        <v>861</v>
      </c>
      <c r="B862" s="9" t="s">
        <v>112</v>
      </c>
      <c r="C862" s="9" t="s">
        <v>917</v>
      </c>
      <c r="D862" s="10" t="s">
        <v>918</v>
      </c>
      <c r="E862" s="11" t="s">
        <v>2592</v>
      </c>
      <c r="F862" s="17"/>
      <c r="G862" s="12" t="s">
        <v>2033</v>
      </c>
      <c r="H862" s="13" t="n">
        <v>-0.035</v>
      </c>
      <c r="I862" s="14"/>
      <c r="J862" s="17"/>
      <c r="K862" s="9"/>
      <c r="L862" s="15" t="s">
        <v>50</v>
      </c>
      <c r="M862" s="16" t="s">
        <v>51</v>
      </c>
      <c r="N862" s="14"/>
      <c r="O862" s="15" t="s">
        <v>52</v>
      </c>
      <c r="P862" s="17" t="s">
        <v>53</v>
      </c>
      <c r="Q862" s="15"/>
      <c r="R862" s="18" t="s">
        <v>51</v>
      </c>
      <c r="S862" s="19"/>
      <c r="T862" s="17" t="str">
        <f aca="false">IF(R862="維持",J862,IF(R862="排除","無關新聞事件",IFERROR(INDEX(事件規則!$B$2:$B$53,MATCH(S862,事件規則!$A$2:$A$53,0)),"")))</f>
        <v>無關新聞事件</v>
      </c>
      <c r="U862" s="20" t="n">
        <f aca="false">IF(R862="維持",K862,IF(R862="排除",0,IFERROR(INDEX(事件規則!$C$2:$C$53,MATCH(S862,事件規則!$A$2:$A$53,0)),"")))</f>
        <v>0</v>
      </c>
      <c r="V862" s="21"/>
      <c r="W862" s="22"/>
      <c r="X862" s="10" t="str">
        <f aca="false">IF(AND(R862="修改",S862=""),"請選新事件代碼",IF(AND(R862&lt;&gt;"修改",S862&lt;&gt;""),"只有「修改」才需填代碼",""))</f>
        <v/>
      </c>
      <c r="Y862" s="21"/>
      <c r="Z862" s="22"/>
      <c r="AA862" s="12" t="s">
        <v>2593</v>
      </c>
      <c r="AB862" s="24"/>
    </row>
    <row r="863" customFormat="false" ht="29.85" hidden="false" customHeight="false" outlineLevel="0" collapsed="false">
      <c r="A863" s="15" t="n">
        <v>862</v>
      </c>
      <c r="B863" s="9" t="s">
        <v>112</v>
      </c>
      <c r="C863" s="9" t="s">
        <v>869</v>
      </c>
      <c r="D863" s="10" t="s">
        <v>870</v>
      </c>
      <c r="E863" s="11" t="s">
        <v>2594</v>
      </c>
      <c r="F863" s="17"/>
      <c r="G863" s="12" t="s">
        <v>949</v>
      </c>
      <c r="H863" s="13" t="n">
        <v>-0.035</v>
      </c>
      <c r="I863" s="14"/>
      <c r="J863" s="17"/>
      <c r="K863" s="9"/>
      <c r="L863" s="15" t="s">
        <v>50</v>
      </c>
      <c r="M863" s="16" t="s">
        <v>51</v>
      </c>
      <c r="N863" s="14"/>
      <c r="O863" s="15" t="s">
        <v>52</v>
      </c>
      <c r="P863" s="17" t="s">
        <v>53</v>
      </c>
      <c r="Q863" s="15"/>
      <c r="R863" s="18" t="s">
        <v>51</v>
      </c>
      <c r="S863" s="19"/>
      <c r="T863" s="17" t="str">
        <f aca="false">IF(R863="維持",J863,IF(R863="排除","無關新聞事件",IFERROR(INDEX(事件規則!$B$2:$B$53,MATCH(S863,事件規則!$A$2:$A$53,0)),"")))</f>
        <v>無關新聞事件</v>
      </c>
      <c r="U863" s="20" t="n">
        <f aca="false">IF(R863="維持",K863,IF(R863="排除",0,IFERROR(INDEX(事件規則!$C$2:$C$53,MATCH(S863,事件規則!$A$2:$A$53,0)),"")))</f>
        <v>0</v>
      </c>
      <c r="V863" s="21"/>
      <c r="W863" s="22"/>
      <c r="X863" s="10" t="str">
        <f aca="false">IF(AND(R863="修改",S863=""),"請選新事件代碼",IF(AND(R863&lt;&gt;"修改",S863&lt;&gt;""),"只有「修改」才需填代碼",""))</f>
        <v/>
      </c>
      <c r="Y863" s="21"/>
      <c r="Z863" s="22"/>
      <c r="AA863" s="12" t="s">
        <v>2595</v>
      </c>
      <c r="AB863" s="24"/>
    </row>
    <row r="864" customFormat="false" ht="29.85" hidden="false" customHeight="false" outlineLevel="0" collapsed="false">
      <c r="A864" s="15" t="n">
        <v>863</v>
      </c>
      <c r="B864" s="9" t="s">
        <v>112</v>
      </c>
      <c r="C864" s="9" t="s">
        <v>344</v>
      </c>
      <c r="D864" s="10" t="s">
        <v>345</v>
      </c>
      <c r="E864" s="11" t="s">
        <v>2596</v>
      </c>
      <c r="F864" s="17"/>
      <c r="G864" s="12" t="s">
        <v>1136</v>
      </c>
      <c r="H864" s="13" t="n">
        <v>-0.035</v>
      </c>
      <c r="I864" s="14"/>
      <c r="J864" s="17"/>
      <c r="K864" s="9"/>
      <c r="L864" s="15" t="s">
        <v>50</v>
      </c>
      <c r="M864" s="16" t="s">
        <v>51</v>
      </c>
      <c r="N864" s="14"/>
      <c r="O864" s="15" t="s">
        <v>52</v>
      </c>
      <c r="P864" s="17" t="s">
        <v>53</v>
      </c>
      <c r="Q864" s="15"/>
      <c r="R864" s="18" t="s">
        <v>51</v>
      </c>
      <c r="S864" s="19"/>
      <c r="T864" s="17" t="str">
        <f aca="false">IF(R864="維持",J864,IF(R864="排除","無關新聞事件",IFERROR(INDEX(事件規則!$B$2:$B$53,MATCH(S864,事件規則!$A$2:$A$53,0)),"")))</f>
        <v>無關新聞事件</v>
      </c>
      <c r="U864" s="20" t="n">
        <f aca="false">IF(R864="維持",K864,IF(R864="排除",0,IFERROR(INDEX(事件規則!$C$2:$C$53,MATCH(S864,事件規則!$A$2:$A$53,0)),"")))</f>
        <v>0</v>
      </c>
      <c r="V864" s="21"/>
      <c r="W864" s="22"/>
      <c r="X864" s="10" t="str">
        <f aca="false">IF(AND(R864="修改",S864=""),"請選新事件代碼",IF(AND(R864&lt;&gt;"修改",S864&lt;&gt;""),"只有「修改」才需填代碼",""))</f>
        <v/>
      </c>
      <c r="Y864" s="21"/>
      <c r="Z864" s="22"/>
      <c r="AA864" s="12" t="s">
        <v>2597</v>
      </c>
      <c r="AB864" s="24"/>
    </row>
    <row r="865" customFormat="false" ht="29.85" hidden="false" customHeight="false" outlineLevel="0" collapsed="false">
      <c r="A865" s="15" t="n">
        <v>864</v>
      </c>
      <c r="B865" s="9" t="s">
        <v>112</v>
      </c>
      <c r="C865" s="9" t="s">
        <v>2598</v>
      </c>
      <c r="D865" s="10" t="s">
        <v>2599</v>
      </c>
      <c r="E865" s="11" t="s">
        <v>2600</v>
      </c>
      <c r="F865" s="17"/>
      <c r="G865" s="12" t="s">
        <v>105</v>
      </c>
      <c r="H865" s="13" t="n">
        <v>-0.035</v>
      </c>
      <c r="I865" s="14"/>
      <c r="J865" s="17"/>
      <c r="K865" s="9"/>
      <c r="L865" s="15" t="s">
        <v>50</v>
      </c>
      <c r="M865" s="16" t="s">
        <v>51</v>
      </c>
      <c r="N865" s="14"/>
      <c r="O865" s="15" t="s">
        <v>52</v>
      </c>
      <c r="P865" s="17" t="s">
        <v>53</v>
      </c>
      <c r="Q865" s="15"/>
      <c r="R865" s="18" t="s">
        <v>51</v>
      </c>
      <c r="S865" s="19"/>
      <c r="T865" s="17" t="str">
        <f aca="false">IF(R865="維持",J865,IF(R865="排除","無關新聞事件",IFERROR(INDEX(事件規則!$B$2:$B$53,MATCH(S865,事件規則!$A$2:$A$53,0)),"")))</f>
        <v>無關新聞事件</v>
      </c>
      <c r="U865" s="20" t="n">
        <f aca="false">IF(R865="維持",K865,IF(R865="排除",0,IFERROR(INDEX(事件規則!$C$2:$C$53,MATCH(S865,事件規則!$A$2:$A$53,0)),"")))</f>
        <v>0</v>
      </c>
      <c r="V865" s="21"/>
      <c r="W865" s="22"/>
      <c r="X865" s="10" t="str">
        <f aca="false">IF(AND(R865="修改",S865=""),"請選新事件代碼",IF(AND(R865&lt;&gt;"修改",S865&lt;&gt;""),"只有「修改」才需填代碼",""))</f>
        <v/>
      </c>
      <c r="Y865" s="21"/>
      <c r="Z865" s="22"/>
      <c r="AA865" s="12" t="s">
        <v>2601</v>
      </c>
      <c r="AB865" s="24"/>
    </row>
    <row r="866" customFormat="false" ht="29.85" hidden="false" customHeight="false" outlineLevel="0" collapsed="false">
      <c r="A866" s="15" t="n">
        <v>865</v>
      </c>
      <c r="B866" s="9" t="s">
        <v>112</v>
      </c>
      <c r="C866" s="9" t="s">
        <v>2319</v>
      </c>
      <c r="D866" s="10" t="s">
        <v>2320</v>
      </c>
      <c r="E866" s="11" t="s">
        <v>2602</v>
      </c>
      <c r="F866" s="17"/>
      <c r="G866" s="12" t="s">
        <v>949</v>
      </c>
      <c r="H866" s="13" t="n">
        <v>-0.035</v>
      </c>
      <c r="I866" s="14"/>
      <c r="J866" s="17"/>
      <c r="K866" s="9"/>
      <c r="L866" s="15" t="s">
        <v>50</v>
      </c>
      <c r="M866" s="16" t="s">
        <v>51</v>
      </c>
      <c r="N866" s="14"/>
      <c r="O866" s="15" t="s">
        <v>52</v>
      </c>
      <c r="P866" s="17" t="s">
        <v>53</v>
      </c>
      <c r="Q866" s="15"/>
      <c r="R866" s="18" t="s">
        <v>51</v>
      </c>
      <c r="S866" s="19"/>
      <c r="T866" s="17" t="str">
        <f aca="false">IF(R866="維持",J866,IF(R866="排除","無關新聞事件",IFERROR(INDEX(事件規則!$B$2:$B$53,MATCH(S866,事件規則!$A$2:$A$53,0)),"")))</f>
        <v>無關新聞事件</v>
      </c>
      <c r="U866" s="20" t="n">
        <f aca="false">IF(R866="維持",K866,IF(R866="排除",0,IFERROR(INDEX(事件規則!$C$2:$C$53,MATCH(S866,事件規則!$A$2:$A$53,0)),"")))</f>
        <v>0</v>
      </c>
      <c r="V866" s="21"/>
      <c r="W866" s="22"/>
      <c r="X866" s="10" t="str">
        <f aca="false">IF(AND(R866="修改",S866=""),"請選新事件代碼",IF(AND(R866&lt;&gt;"修改",S866&lt;&gt;""),"只有「修改」才需填代碼",""))</f>
        <v/>
      </c>
      <c r="Y866" s="21"/>
      <c r="Z866" s="22"/>
      <c r="AA866" s="12" t="s">
        <v>2603</v>
      </c>
      <c r="AB866" s="24"/>
    </row>
    <row r="867" customFormat="false" ht="29.85" hidden="false" customHeight="false" outlineLevel="0" collapsed="false">
      <c r="A867" s="15" t="n">
        <v>866</v>
      </c>
      <c r="B867" s="9" t="s">
        <v>112</v>
      </c>
      <c r="C867" s="9" t="s">
        <v>294</v>
      </c>
      <c r="D867" s="10" t="s">
        <v>295</v>
      </c>
      <c r="E867" s="11" t="s">
        <v>2604</v>
      </c>
      <c r="F867" s="17"/>
      <c r="G867" s="12" t="s">
        <v>949</v>
      </c>
      <c r="H867" s="13" t="n">
        <v>-0.035</v>
      </c>
      <c r="I867" s="14"/>
      <c r="J867" s="17"/>
      <c r="K867" s="9"/>
      <c r="L867" s="15" t="s">
        <v>50</v>
      </c>
      <c r="M867" s="16" t="s">
        <v>51</v>
      </c>
      <c r="N867" s="14"/>
      <c r="O867" s="15" t="s">
        <v>52</v>
      </c>
      <c r="P867" s="17" t="s">
        <v>53</v>
      </c>
      <c r="Q867" s="15"/>
      <c r="R867" s="18" t="s">
        <v>51</v>
      </c>
      <c r="S867" s="19"/>
      <c r="T867" s="17" t="str">
        <f aca="false">IF(R867="維持",J867,IF(R867="排除","無關新聞事件",IFERROR(INDEX(事件規則!$B$2:$B$53,MATCH(S867,事件規則!$A$2:$A$53,0)),"")))</f>
        <v>無關新聞事件</v>
      </c>
      <c r="U867" s="20" t="n">
        <f aca="false">IF(R867="維持",K867,IF(R867="排除",0,IFERROR(INDEX(事件規則!$C$2:$C$53,MATCH(S867,事件規則!$A$2:$A$53,0)),"")))</f>
        <v>0</v>
      </c>
      <c r="V867" s="21"/>
      <c r="W867" s="22"/>
      <c r="X867" s="10" t="str">
        <f aca="false">IF(AND(R867="修改",S867=""),"請選新事件代碼",IF(AND(R867&lt;&gt;"修改",S867&lt;&gt;""),"只有「修改」才需填代碼",""))</f>
        <v/>
      </c>
      <c r="Y867" s="21"/>
      <c r="Z867" s="22"/>
      <c r="AA867" s="12" t="s">
        <v>2605</v>
      </c>
      <c r="AB867" s="24"/>
    </row>
    <row r="868" customFormat="false" ht="29.85" hidden="false" customHeight="false" outlineLevel="0" collapsed="false">
      <c r="A868" s="15" t="n">
        <v>867</v>
      </c>
      <c r="B868" s="9" t="s">
        <v>112</v>
      </c>
      <c r="C868" s="9" t="s">
        <v>2041</v>
      </c>
      <c r="D868" s="10" t="s">
        <v>2042</v>
      </c>
      <c r="E868" s="11" t="s">
        <v>2606</v>
      </c>
      <c r="F868" s="17"/>
      <c r="G868" s="12" t="s">
        <v>2033</v>
      </c>
      <c r="H868" s="13" t="n">
        <v>-0.035</v>
      </c>
      <c r="I868" s="14"/>
      <c r="J868" s="17"/>
      <c r="K868" s="9"/>
      <c r="L868" s="15" t="s">
        <v>50</v>
      </c>
      <c r="M868" s="16" t="s">
        <v>51</v>
      </c>
      <c r="N868" s="14"/>
      <c r="O868" s="15" t="s">
        <v>52</v>
      </c>
      <c r="P868" s="17" t="s">
        <v>53</v>
      </c>
      <c r="Q868" s="15"/>
      <c r="R868" s="18" t="s">
        <v>51</v>
      </c>
      <c r="S868" s="19"/>
      <c r="T868" s="17" t="str">
        <f aca="false">IF(R868="維持",J868,IF(R868="排除","無關新聞事件",IFERROR(INDEX(事件規則!$B$2:$B$53,MATCH(S868,事件規則!$A$2:$A$53,0)),"")))</f>
        <v>無關新聞事件</v>
      </c>
      <c r="U868" s="20" t="n">
        <f aca="false">IF(R868="維持",K868,IF(R868="排除",0,IFERROR(INDEX(事件規則!$C$2:$C$53,MATCH(S868,事件規則!$A$2:$A$53,0)),"")))</f>
        <v>0</v>
      </c>
      <c r="V868" s="21"/>
      <c r="W868" s="22"/>
      <c r="X868" s="10" t="str">
        <f aca="false">IF(AND(R868="修改",S868=""),"請選新事件代碼",IF(AND(R868&lt;&gt;"修改",S868&lt;&gt;""),"只有「修改」才需填代碼",""))</f>
        <v/>
      </c>
      <c r="Y868" s="21"/>
      <c r="Z868" s="22"/>
      <c r="AA868" s="12" t="s">
        <v>2607</v>
      </c>
      <c r="AB868" s="24"/>
    </row>
    <row r="869" customFormat="false" ht="29.85" hidden="false" customHeight="false" outlineLevel="0" collapsed="false">
      <c r="A869" s="15" t="n">
        <v>868</v>
      </c>
      <c r="B869" s="9" t="s">
        <v>112</v>
      </c>
      <c r="C869" s="9" t="s">
        <v>2608</v>
      </c>
      <c r="D869" s="10" t="s">
        <v>2609</v>
      </c>
      <c r="E869" s="11" t="s">
        <v>2610</v>
      </c>
      <c r="F869" s="17"/>
      <c r="G869" s="12" t="s">
        <v>105</v>
      </c>
      <c r="H869" s="13" t="n">
        <v>-0.035</v>
      </c>
      <c r="I869" s="14"/>
      <c r="J869" s="17"/>
      <c r="K869" s="9"/>
      <c r="L869" s="15" t="s">
        <v>50</v>
      </c>
      <c r="M869" s="16" t="s">
        <v>51</v>
      </c>
      <c r="N869" s="14"/>
      <c r="O869" s="15" t="s">
        <v>52</v>
      </c>
      <c r="P869" s="17" t="s">
        <v>53</v>
      </c>
      <c r="Q869" s="15"/>
      <c r="R869" s="18" t="s">
        <v>51</v>
      </c>
      <c r="S869" s="19"/>
      <c r="T869" s="17" t="str">
        <f aca="false">IF(R869="維持",J869,IF(R869="排除","無關新聞事件",IFERROR(INDEX(事件規則!$B$2:$B$53,MATCH(S869,事件規則!$A$2:$A$53,0)),"")))</f>
        <v>無關新聞事件</v>
      </c>
      <c r="U869" s="20" t="n">
        <f aca="false">IF(R869="維持",K869,IF(R869="排除",0,IFERROR(INDEX(事件規則!$C$2:$C$53,MATCH(S869,事件規則!$A$2:$A$53,0)),"")))</f>
        <v>0</v>
      </c>
      <c r="V869" s="21"/>
      <c r="W869" s="22"/>
      <c r="X869" s="10" t="str">
        <f aca="false">IF(AND(R869="修改",S869=""),"請選新事件代碼",IF(AND(R869&lt;&gt;"修改",S869&lt;&gt;""),"只有「修改」才需填代碼",""))</f>
        <v/>
      </c>
      <c r="Y869" s="21"/>
      <c r="Z869" s="22"/>
      <c r="AA869" s="12" t="s">
        <v>2611</v>
      </c>
      <c r="AB869" s="24"/>
    </row>
    <row r="870" customFormat="false" ht="29.85" hidden="false" customHeight="false" outlineLevel="0" collapsed="false">
      <c r="A870" s="15" t="n">
        <v>869</v>
      </c>
      <c r="B870" s="9" t="s">
        <v>45</v>
      </c>
      <c r="C870" s="9" t="s">
        <v>123</v>
      </c>
      <c r="D870" s="10" t="s">
        <v>124</v>
      </c>
      <c r="E870" s="11" t="s">
        <v>2612</v>
      </c>
      <c r="F870" s="17"/>
      <c r="G870" s="12" t="s">
        <v>1136</v>
      </c>
      <c r="H870" s="13" t="n">
        <v>-0.035</v>
      </c>
      <c r="I870" s="14"/>
      <c r="J870" s="17"/>
      <c r="K870" s="9"/>
      <c r="L870" s="15" t="s">
        <v>50</v>
      </c>
      <c r="M870" s="16" t="s">
        <v>51</v>
      </c>
      <c r="N870" s="14"/>
      <c r="O870" s="15" t="s">
        <v>52</v>
      </c>
      <c r="P870" s="17" t="s">
        <v>53</v>
      </c>
      <c r="Q870" s="15"/>
      <c r="R870" s="18" t="s">
        <v>51</v>
      </c>
      <c r="S870" s="19"/>
      <c r="T870" s="17" t="str">
        <f aca="false">IF(R870="維持",J870,IF(R870="排除","無關新聞事件",IFERROR(INDEX(事件規則!$B$2:$B$53,MATCH(S870,事件規則!$A$2:$A$53,0)),"")))</f>
        <v>無關新聞事件</v>
      </c>
      <c r="U870" s="20" t="n">
        <f aca="false">IF(R870="維持",K870,IF(R870="排除",0,IFERROR(INDEX(事件規則!$C$2:$C$53,MATCH(S870,事件規則!$A$2:$A$53,0)),"")))</f>
        <v>0</v>
      </c>
      <c r="V870" s="21"/>
      <c r="W870" s="22"/>
      <c r="X870" s="10" t="str">
        <f aca="false">IF(AND(R870="修改",S870=""),"請選新事件代碼",IF(AND(R870&lt;&gt;"修改",S870&lt;&gt;""),"只有「修改」才需填代碼",""))</f>
        <v/>
      </c>
      <c r="Y870" s="21"/>
      <c r="Z870" s="22"/>
      <c r="AA870" s="12" t="s">
        <v>2613</v>
      </c>
      <c r="AB870" s="24"/>
    </row>
    <row r="871" customFormat="false" ht="29.85" hidden="false" customHeight="false" outlineLevel="0" collapsed="false">
      <c r="A871" s="15" t="n">
        <v>870</v>
      </c>
      <c r="B871" s="9" t="s">
        <v>55</v>
      </c>
      <c r="C871" s="9" t="s">
        <v>2219</v>
      </c>
      <c r="D871" s="10" t="s">
        <v>2220</v>
      </c>
      <c r="E871" s="11" t="s">
        <v>2614</v>
      </c>
      <c r="F871" s="17"/>
      <c r="G871" s="12" t="s">
        <v>1136</v>
      </c>
      <c r="H871" s="13" t="n">
        <v>-0.035</v>
      </c>
      <c r="I871" s="14"/>
      <c r="J871" s="17"/>
      <c r="K871" s="9"/>
      <c r="L871" s="15" t="s">
        <v>50</v>
      </c>
      <c r="M871" s="16" t="s">
        <v>51</v>
      </c>
      <c r="N871" s="14"/>
      <c r="O871" s="15" t="s">
        <v>52</v>
      </c>
      <c r="P871" s="17" t="s">
        <v>53</v>
      </c>
      <c r="Q871" s="15"/>
      <c r="R871" s="18" t="s">
        <v>51</v>
      </c>
      <c r="S871" s="19"/>
      <c r="T871" s="17" t="str">
        <f aca="false">IF(R871="維持",J871,IF(R871="排除","無關新聞事件",IFERROR(INDEX(事件規則!$B$2:$B$53,MATCH(S871,事件規則!$A$2:$A$53,0)),"")))</f>
        <v>無關新聞事件</v>
      </c>
      <c r="U871" s="20" t="n">
        <f aca="false">IF(R871="維持",K871,IF(R871="排除",0,IFERROR(INDEX(事件規則!$C$2:$C$53,MATCH(S871,事件規則!$A$2:$A$53,0)),"")))</f>
        <v>0</v>
      </c>
      <c r="V871" s="21"/>
      <c r="W871" s="22"/>
      <c r="X871" s="10" t="str">
        <f aca="false">IF(AND(R871="修改",S871=""),"請選新事件代碼",IF(AND(R871&lt;&gt;"修改",S871&lt;&gt;""),"只有「修改」才需填代碼",""))</f>
        <v/>
      </c>
      <c r="Y871" s="21"/>
      <c r="Z871" s="22"/>
      <c r="AA871" s="12" t="s">
        <v>2615</v>
      </c>
      <c r="AB871" s="24"/>
    </row>
    <row r="872" customFormat="false" ht="29.85" hidden="false" customHeight="false" outlineLevel="0" collapsed="false">
      <c r="A872" s="15" t="n">
        <v>871</v>
      </c>
      <c r="B872" s="9" t="s">
        <v>112</v>
      </c>
      <c r="C872" s="9" t="s">
        <v>2315</v>
      </c>
      <c r="D872" s="10" t="s">
        <v>2316</v>
      </c>
      <c r="E872" s="11" t="s">
        <v>2616</v>
      </c>
      <c r="F872" s="17"/>
      <c r="G872" s="12" t="s">
        <v>105</v>
      </c>
      <c r="H872" s="13" t="n">
        <v>-0.035</v>
      </c>
      <c r="I872" s="14"/>
      <c r="J872" s="17"/>
      <c r="K872" s="9"/>
      <c r="L872" s="15" t="s">
        <v>50</v>
      </c>
      <c r="M872" s="16" t="s">
        <v>51</v>
      </c>
      <c r="N872" s="14"/>
      <c r="O872" s="15" t="s">
        <v>52</v>
      </c>
      <c r="P872" s="17" t="s">
        <v>53</v>
      </c>
      <c r="Q872" s="15"/>
      <c r="R872" s="18" t="s">
        <v>51</v>
      </c>
      <c r="S872" s="19"/>
      <c r="T872" s="17" t="str">
        <f aca="false">IF(R872="維持",J872,IF(R872="排除","無關新聞事件",IFERROR(INDEX(事件規則!$B$2:$B$53,MATCH(S872,事件規則!$A$2:$A$53,0)),"")))</f>
        <v>無關新聞事件</v>
      </c>
      <c r="U872" s="20" t="n">
        <f aca="false">IF(R872="維持",K872,IF(R872="排除",0,IFERROR(INDEX(事件規則!$C$2:$C$53,MATCH(S872,事件規則!$A$2:$A$53,0)),"")))</f>
        <v>0</v>
      </c>
      <c r="V872" s="21"/>
      <c r="W872" s="22"/>
      <c r="X872" s="10" t="str">
        <f aca="false">IF(AND(R872="修改",S872=""),"請選新事件代碼",IF(AND(R872&lt;&gt;"修改",S872&lt;&gt;""),"只有「修改」才需填代碼",""))</f>
        <v/>
      </c>
      <c r="Y872" s="21"/>
      <c r="Z872" s="22"/>
      <c r="AA872" s="12" t="s">
        <v>2617</v>
      </c>
      <c r="AB872" s="24"/>
    </row>
    <row r="873" customFormat="false" ht="29.85" hidden="false" customHeight="false" outlineLevel="0" collapsed="false">
      <c r="A873" s="15" t="n">
        <v>872</v>
      </c>
      <c r="B873" s="9" t="s">
        <v>112</v>
      </c>
      <c r="C873" s="9" t="s">
        <v>344</v>
      </c>
      <c r="D873" s="10" t="s">
        <v>345</v>
      </c>
      <c r="E873" s="11" t="s">
        <v>2618</v>
      </c>
      <c r="F873" s="17"/>
      <c r="G873" s="12" t="s">
        <v>1136</v>
      </c>
      <c r="H873" s="13" t="n">
        <v>-0.035</v>
      </c>
      <c r="I873" s="14"/>
      <c r="J873" s="17"/>
      <c r="K873" s="9"/>
      <c r="L873" s="15" t="s">
        <v>50</v>
      </c>
      <c r="M873" s="16" t="s">
        <v>51</v>
      </c>
      <c r="N873" s="14"/>
      <c r="O873" s="15" t="s">
        <v>52</v>
      </c>
      <c r="P873" s="17" t="s">
        <v>53</v>
      </c>
      <c r="Q873" s="15"/>
      <c r="R873" s="18" t="s">
        <v>51</v>
      </c>
      <c r="S873" s="19"/>
      <c r="T873" s="17" t="str">
        <f aca="false">IF(R873="維持",J873,IF(R873="排除","無關新聞事件",IFERROR(INDEX(事件規則!$B$2:$B$53,MATCH(S873,事件規則!$A$2:$A$53,0)),"")))</f>
        <v>無關新聞事件</v>
      </c>
      <c r="U873" s="20" t="n">
        <f aca="false">IF(R873="維持",K873,IF(R873="排除",0,IFERROR(INDEX(事件規則!$C$2:$C$53,MATCH(S873,事件規則!$A$2:$A$53,0)),"")))</f>
        <v>0</v>
      </c>
      <c r="V873" s="21"/>
      <c r="W873" s="22"/>
      <c r="X873" s="10" t="str">
        <f aca="false">IF(AND(R873="修改",S873=""),"請選新事件代碼",IF(AND(R873&lt;&gt;"修改",S873&lt;&gt;""),"只有「修改」才需填代碼",""))</f>
        <v/>
      </c>
      <c r="Y873" s="21"/>
      <c r="Z873" s="22"/>
      <c r="AA873" s="12" t="s">
        <v>2619</v>
      </c>
      <c r="AB873" s="24"/>
    </row>
    <row r="874" customFormat="false" ht="29.85" hidden="false" customHeight="false" outlineLevel="0" collapsed="false">
      <c r="A874" s="15" t="n">
        <v>873</v>
      </c>
      <c r="B874" s="9" t="s">
        <v>112</v>
      </c>
      <c r="C874" s="9" t="s">
        <v>2041</v>
      </c>
      <c r="D874" s="10" t="s">
        <v>2042</v>
      </c>
      <c r="E874" s="11" t="s">
        <v>2620</v>
      </c>
      <c r="F874" s="17"/>
      <c r="G874" s="12" t="s">
        <v>2033</v>
      </c>
      <c r="H874" s="13" t="n">
        <v>-0.035</v>
      </c>
      <c r="I874" s="14"/>
      <c r="J874" s="17"/>
      <c r="K874" s="9"/>
      <c r="L874" s="15" t="s">
        <v>50</v>
      </c>
      <c r="M874" s="16" t="s">
        <v>51</v>
      </c>
      <c r="N874" s="14"/>
      <c r="O874" s="15" t="s">
        <v>52</v>
      </c>
      <c r="P874" s="17" t="s">
        <v>53</v>
      </c>
      <c r="Q874" s="15"/>
      <c r="R874" s="18" t="s">
        <v>51</v>
      </c>
      <c r="S874" s="19"/>
      <c r="T874" s="17" t="str">
        <f aca="false">IF(R874="維持",J874,IF(R874="排除","無關新聞事件",IFERROR(INDEX(事件規則!$B$2:$B$53,MATCH(S874,事件規則!$A$2:$A$53,0)),"")))</f>
        <v>無關新聞事件</v>
      </c>
      <c r="U874" s="20" t="n">
        <f aca="false">IF(R874="維持",K874,IF(R874="排除",0,IFERROR(INDEX(事件規則!$C$2:$C$53,MATCH(S874,事件規則!$A$2:$A$53,0)),"")))</f>
        <v>0</v>
      </c>
      <c r="V874" s="21"/>
      <c r="W874" s="22"/>
      <c r="X874" s="10" t="str">
        <f aca="false">IF(AND(R874="修改",S874=""),"請選新事件代碼",IF(AND(R874&lt;&gt;"修改",S874&lt;&gt;""),"只有「修改」才需填代碼",""))</f>
        <v/>
      </c>
      <c r="Y874" s="21"/>
      <c r="Z874" s="22"/>
      <c r="AA874" s="12" t="s">
        <v>2621</v>
      </c>
      <c r="AB874" s="24"/>
    </row>
    <row r="875" customFormat="false" ht="29.85" hidden="false" customHeight="false" outlineLevel="0" collapsed="false">
      <c r="A875" s="15" t="n">
        <v>874</v>
      </c>
      <c r="B875" s="9" t="s">
        <v>55</v>
      </c>
      <c r="C875" s="9" t="s">
        <v>404</v>
      </c>
      <c r="D875" s="10" t="s">
        <v>405</v>
      </c>
      <c r="E875" s="11" t="s">
        <v>2622</v>
      </c>
      <c r="F875" s="17"/>
      <c r="G875" s="12" t="s">
        <v>105</v>
      </c>
      <c r="H875" s="13" t="n">
        <v>-0.035</v>
      </c>
      <c r="I875" s="14"/>
      <c r="J875" s="17"/>
      <c r="K875" s="9"/>
      <c r="L875" s="15" t="s">
        <v>50</v>
      </c>
      <c r="M875" s="16" t="s">
        <v>51</v>
      </c>
      <c r="N875" s="14"/>
      <c r="O875" s="15" t="s">
        <v>52</v>
      </c>
      <c r="P875" s="17" t="s">
        <v>53</v>
      </c>
      <c r="Q875" s="15"/>
      <c r="R875" s="18" t="s">
        <v>51</v>
      </c>
      <c r="S875" s="19"/>
      <c r="T875" s="17" t="str">
        <f aca="false">IF(R875="維持",J875,IF(R875="排除","無關新聞事件",IFERROR(INDEX(事件規則!$B$2:$B$53,MATCH(S875,事件規則!$A$2:$A$53,0)),"")))</f>
        <v>無關新聞事件</v>
      </c>
      <c r="U875" s="20" t="n">
        <f aca="false">IF(R875="維持",K875,IF(R875="排除",0,IFERROR(INDEX(事件規則!$C$2:$C$53,MATCH(S875,事件規則!$A$2:$A$53,0)),"")))</f>
        <v>0</v>
      </c>
      <c r="V875" s="21"/>
      <c r="W875" s="22"/>
      <c r="X875" s="10" t="str">
        <f aca="false">IF(AND(R875="修改",S875=""),"請選新事件代碼",IF(AND(R875&lt;&gt;"修改",S875&lt;&gt;""),"只有「修改」才需填代碼",""))</f>
        <v/>
      </c>
      <c r="Y875" s="21"/>
      <c r="Z875" s="22"/>
      <c r="AA875" s="12" t="s">
        <v>2623</v>
      </c>
      <c r="AB875" s="24"/>
    </row>
    <row r="876" customFormat="false" ht="29.85" hidden="false" customHeight="false" outlineLevel="0" collapsed="false">
      <c r="A876" s="15" t="n">
        <v>875</v>
      </c>
      <c r="B876" s="9" t="s">
        <v>55</v>
      </c>
      <c r="C876" s="9" t="s">
        <v>66</v>
      </c>
      <c r="D876" s="10" t="s">
        <v>67</v>
      </c>
      <c r="E876" s="11" t="s">
        <v>2624</v>
      </c>
      <c r="F876" s="17"/>
      <c r="G876" s="12" t="s">
        <v>949</v>
      </c>
      <c r="H876" s="13" t="n">
        <v>-0.035</v>
      </c>
      <c r="I876" s="14"/>
      <c r="J876" s="17"/>
      <c r="K876" s="9"/>
      <c r="L876" s="15" t="s">
        <v>50</v>
      </c>
      <c r="M876" s="16" t="s">
        <v>51</v>
      </c>
      <c r="N876" s="14"/>
      <c r="O876" s="15" t="s">
        <v>52</v>
      </c>
      <c r="P876" s="17" t="s">
        <v>53</v>
      </c>
      <c r="Q876" s="15"/>
      <c r="R876" s="18" t="s">
        <v>51</v>
      </c>
      <c r="S876" s="19"/>
      <c r="T876" s="17" t="str">
        <f aca="false">IF(R876="維持",J876,IF(R876="排除","無關新聞事件",IFERROR(INDEX(事件規則!$B$2:$B$53,MATCH(S876,事件規則!$A$2:$A$53,0)),"")))</f>
        <v>無關新聞事件</v>
      </c>
      <c r="U876" s="20" t="n">
        <f aca="false">IF(R876="維持",K876,IF(R876="排除",0,IFERROR(INDEX(事件規則!$C$2:$C$53,MATCH(S876,事件規則!$A$2:$A$53,0)),"")))</f>
        <v>0</v>
      </c>
      <c r="V876" s="21"/>
      <c r="W876" s="22"/>
      <c r="X876" s="10" t="str">
        <f aca="false">IF(AND(R876="修改",S876=""),"請選新事件代碼",IF(AND(R876&lt;&gt;"修改",S876&lt;&gt;""),"只有「修改」才需填代碼",""))</f>
        <v/>
      </c>
      <c r="Y876" s="21"/>
      <c r="Z876" s="22"/>
      <c r="AA876" s="12" t="s">
        <v>2625</v>
      </c>
      <c r="AB876" s="24"/>
    </row>
    <row r="877" customFormat="false" ht="29.85" hidden="false" customHeight="false" outlineLevel="0" collapsed="false">
      <c r="A877" s="15" t="n">
        <v>876</v>
      </c>
      <c r="B877" s="9" t="s">
        <v>55</v>
      </c>
      <c r="C877" s="9" t="s">
        <v>873</v>
      </c>
      <c r="D877" s="10" t="s">
        <v>874</v>
      </c>
      <c r="E877" s="11" t="s">
        <v>2626</v>
      </c>
      <c r="F877" s="17"/>
      <c r="G877" s="12" t="s">
        <v>949</v>
      </c>
      <c r="H877" s="13" t="n">
        <v>-0.035</v>
      </c>
      <c r="I877" s="14"/>
      <c r="J877" s="17"/>
      <c r="K877" s="9"/>
      <c r="L877" s="15" t="s">
        <v>50</v>
      </c>
      <c r="M877" s="16" t="s">
        <v>51</v>
      </c>
      <c r="N877" s="14"/>
      <c r="O877" s="15" t="s">
        <v>52</v>
      </c>
      <c r="P877" s="17" t="s">
        <v>53</v>
      </c>
      <c r="Q877" s="15"/>
      <c r="R877" s="18" t="s">
        <v>51</v>
      </c>
      <c r="S877" s="19"/>
      <c r="T877" s="17" t="str">
        <f aca="false">IF(R877="維持",J877,IF(R877="排除","無關新聞事件",IFERROR(INDEX(事件規則!$B$2:$B$53,MATCH(S877,事件規則!$A$2:$A$53,0)),"")))</f>
        <v>無關新聞事件</v>
      </c>
      <c r="U877" s="20" t="n">
        <f aca="false">IF(R877="維持",K877,IF(R877="排除",0,IFERROR(INDEX(事件規則!$C$2:$C$53,MATCH(S877,事件規則!$A$2:$A$53,0)),"")))</f>
        <v>0</v>
      </c>
      <c r="V877" s="21"/>
      <c r="W877" s="22"/>
      <c r="X877" s="10" t="str">
        <f aca="false">IF(AND(R877="修改",S877=""),"請選新事件代碼",IF(AND(R877&lt;&gt;"修改",S877&lt;&gt;""),"只有「修改」才需填代碼",""))</f>
        <v/>
      </c>
      <c r="Y877" s="21"/>
      <c r="Z877" s="22"/>
      <c r="AA877" s="12" t="s">
        <v>2627</v>
      </c>
      <c r="AB877" s="24"/>
    </row>
    <row r="878" customFormat="false" ht="29.85" hidden="false" customHeight="false" outlineLevel="0" collapsed="false">
      <c r="A878" s="15" t="n">
        <v>877</v>
      </c>
      <c r="B878" s="9" t="s">
        <v>81</v>
      </c>
      <c r="C878" s="9" t="s">
        <v>449</v>
      </c>
      <c r="D878" s="10" t="s">
        <v>450</v>
      </c>
      <c r="E878" s="11" t="s">
        <v>2628</v>
      </c>
      <c r="F878" s="17"/>
      <c r="G878" s="12" t="s">
        <v>1136</v>
      </c>
      <c r="H878" s="13" t="n">
        <v>-0.035</v>
      </c>
      <c r="I878" s="14"/>
      <c r="J878" s="17"/>
      <c r="K878" s="9"/>
      <c r="L878" s="15" t="s">
        <v>50</v>
      </c>
      <c r="M878" s="16" t="s">
        <v>51</v>
      </c>
      <c r="N878" s="14"/>
      <c r="O878" s="15" t="s">
        <v>52</v>
      </c>
      <c r="P878" s="17" t="s">
        <v>53</v>
      </c>
      <c r="Q878" s="15"/>
      <c r="R878" s="18" t="s">
        <v>51</v>
      </c>
      <c r="S878" s="19"/>
      <c r="T878" s="17" t="str">
        <f aca="false">IF(R878="維持",J878,IF(R878="排除","無關新聞事件",IFERROR(INDEX(事件規則!$B$2:$B$53,MATCH(S878,事件規則!$A$2:$A$53,0)),"")))</f>
        <v>無關新聞事件</v>
      </c>
      <c r="U878" s="20" t="n">
        <f aca="false">IF(R878="維持",K878,IF(R878="排除",0,IFERROR(INDEX(事件規則!$C$2:$C$53,MATCH(S878,事件規則!$A$2:$A$53,0)),"")))</f>
        <v>0</v>
      </c>
      <c r="V878" s="21"/>
      <c r="W878" s="22"/>
      <c r="X878" s="10" t="str">
        <f aca="false">IF(AND(R878="修改",S878=""),"請選新事件代碼",IF(AND(R878&lt;&gt;"修改",S878&lt;&gt;""),"只有「修改」才需填代碼",""))</f>
        <v/>
      </c>
      <c r="Y878" s="21"/>
      <c r="Z878" s="22"/>
      <c r="AA878" s="12" t="s">
        <v>2629</v>
      </c>
      <c r="AB878" s="24"/>
    </row>
    <row r="879" customFormat="false" ht="29.85" hidden="false" customHeight="false" outlineLevel="0" collapsed="false">
      <c r="A879" s="15" t="n">
        <v>878</v>
      </c>
      <c r="B879" s="9" t="s">
        <v>81</v>
      </c>
      <c r="C879" s="9" t="s">
        <v>973</v>
      </c>
      <c r="D879" s="10" t="s">
        <v>974</v>
      </c>
      <c r="E879" s="11" t="s">
        <v>2630</v>
      </c>
      <c r="F879" s="17"/>
      <c r="G879" s="12" t="s">
        <v>49</v>
      </c>
      <c r="H879" s="13" t="n">
        <v>-0.035</v>
      </c>
      <c r="I879" s="14"/>
      <c r="J879" s="17"/>
      <c r="K879" s="9"/>
      <c r="L879" s="15" t="s">
        <v>50</v>
      </c>
      <c r="M879" s="16" t="s">
        <v>51</v>
      </c>
      <c r="N879" s="14"/>
      <c r="O879" s="15" t="s">
        <v>52</v>
      </c>
      <c r="P879" s="17" t="s">
        <v>53</v>
      </c>
      <c r="Q879" s="15"/>
      <c r="R879" s="18" t="s">
        <v>51</v>
      </c>
      <c r="S879" s="19"/>
      <c r="T879" s="17" t="str">
        <f aca="false">IF(R879="維持",J879,IF(R879="排除","無關新聞事件",IFERROR(INDEX(事件規則!$B$2:$B$53,MATCH(S879,事件規則!$A$2:$A$53,0)),"")))</f>
        <v>無關新聞事件</v>
      </c>
      <c r="U879" s="20" t="n">
        <f aca="false">IF(R879="維持",K879,IF(R879="排除",0,IFERROR(INDEX(事件規則!$C$2:$C$53,MATCH(S879,事件規則!$A$2:$A$53,0)),"")))</f>
        <v>0</v>
      </c>
      <c r="V879" s="21"/>
      <c r="W879" s="22"/>
      <c r="X879" s="10" t="str">
        <f aca="false">IF(AND(R879="修改",S879=""),"請選新事件代碼",IF(AND(R879&lt;&gt;"修改",S879&lt;&gt;""),"只有「修改」才需填代碼",""))</f>
        <v/>
      </c>
      <c r="Y879" s="21"/>
      <c r="Z879" s="22"/>
      <c r="AA879" s="12" t="s">
        <v>2631</v>
      </c>
      <c r="AB879" s="24"/>
    </row>
    <row r="880" customFormat="false" ht="29.85" hidden="false" customHeight="false" outlineLevel="0" collapsed="false">
      <c r="A880" s="15" t="n">
        <v>879</v>
      </c>
      <c r="B880" s="9" t="s">
        <v>81</v>
      </c>
      <c r="C880" s="9" t="s">
        <v>2424</v>
      </c>
      <c r="D880" s="10" t="s">
        <v>2425</v>
      </c>
      <c r="E880" s="11" t="s">
        <v>2632</v>
      </c>
      <c r="F880" s="17"/>
      <c r="G880" s="12" t="s">
        <v>105</v>
      </c>
      <c r="H880" s="13" t="n">
        <v>-0.035</v>
      </c>
      <c r="I880" s="14"/>
      <c r="J880" s="17"/>
      <c r="K880" s="9"/>
      <c r="L880" s="15" t="s">
        <v>50</v>
      </c>
      <c r="M880" s="16" t="s">
        <v>51</v>
      </c>
      <c r="N880" s="14"/>
      <c r="O880" s="15" t="s">
        <v>52</v>
      </c>
      <c r="P880" s="17" t="s">
        <v>53</v>
      </c>
      <c r="Q880" s="15"/>
      <c r="R880" s="18" t="s">
        <v>51</v>
      </c>
      <c r="S880" s="19"/>
      <c r="T880" s="17" t="str">
        <f aca="false">IF(R880="維持",J880,IF(R880="排除","無關新聞事件",IFERROR(INDEX(事件規則!$B$2:$B$53,MATCH(S880,事件規則!$A$2:$A$53,0)),"")))</f>
        <v>無關新聞事件</v>
      </c>
      <c r="U880" s="20" t="n">
        <f aca="false">IF(R880="維持",K880,IF(R880="排除",0,IFERROR(INDEX(事件規則!$C$2:$C$53,MATCH(S880,事件規則!$A$2:$A$53,0)),"")))</f>
        <v>0</v>
      </c>
      <c r="V880" s="21"/>
      <c r="W880" s="22"/>
      <c r="X880" s="10" t="str">
        <f aca="false">IF(AND(R880="修改",S880=""),"請選新事件代碼",IF(AND(R880&lt;&gt;"修改",S880&lt;&gt;""),"只有「修改」才需填代碼",""))</f>
        <v/>
      </c>
      <c r="Y880" s="21"/>
      <c r="Z880" s="22"/>
      <c r="AA880" s="12" t="s">
        <v>2633</v>
      </c>
      <c r="AB880" s="24"/>
    </row>
    <row r="881" customFormat="false" ht="29.85" hidden="false" customHeight="false" outlineLevel="0" collapsed="false">
      <c r="A881" s="15" t="n">
        <v>880</v>
      </c>
      <c r="B881" s="9" t="s">
        <v>45</v>
      </c>
      <c r="C881" s="9" t="s">
        <v>678</v>
      </c>
      <c r="D881" s="10" t="s">
        <v>679</v>
      </c>
      <c r="E881" s="11" t="s">
        <v>2634</v>
      </c>
      <c r="F881" s="17"/>
      <c r="G881" s="12" t="s">
        <v>176</v>
      </c>
      <c r="H881" s="13" t="n">
        <v>-0.035</v>
      </c>
      <c r="I881" s="14"/>
      <c r="J881" s="17"/>
      <c r="K881" s="9"/>
      <c r="L881" s="15" t="s">
        <v>50</v>
      </c>
      <c r="M881" s="16" t="s">
        <v>51</v>
      </c>
      <c r="N881" s="14"/>
      <c r="O881" s="15" t="s">
        <v>52</v>
      </c>
      <c r="P881" s="17" t="s">
        <v>53</v>
      </c>
      <c r="Q881" s="15"/>
      <c r="R881" s="18" t="s">
        <v>51</v>
      </c>
      <c r="S881" s="19"/>
      <c r="T881" s="17" t="str">
        <f aca="false">IF(R881="維持",J881,IF(R881="排除","無關新聞事件",IFERROR(INDEX(事件規則!$B$2:$B$53,MATCH(S881,事件規則!$A$2:$A$53,0)),"")))</f>
        <v>無關新聞事件</v>
      </c>
      <c r="U881" s="20" t="n">
        <f aca="false">IF(R881="維持",K881,IF(R881="排除",0,IFERROR(INDEX(事件規則!$C$2:$C$53,MATCH(S881,事件規則!$A$2:$A$53,0)),"")))</f>
        <v>0</v>
      </c>
      <c r="V881" s="21"/>
      <c r="W881" s="22"/>
      <c r="X881" s="10" t="str">
        <f aca="false">IF(AND(R881="修改",S881=""),"請選新事件代碼",IF(AND(R881&lt;&gt;"修改",S881&lt;&gt;""),"只有「修改」才需填代碼",""))</f>
        <v/>
      </c>
      <c r="Y881" s="21"/>
      <c r="Z881" s="22"/>
      <c r="AA881" s="12" t="s">
        <v>2635</v>
      </c>
      <c r="AB881" s="24"/>
    </row>
    <row r="882" customFormat="false" ht="29.85" hidden="false" customHeight="false" outlineLevel="0" collapsed="false">
      <c r="A882" s="15" t="n">
        <v>881</v>
      </c>
      <c r="B882" s="9" t="s">
        <v>45</v>
      </c>
      <c r="C882" s="9" t="s">
        <v>419</v>
      </c>
      <c r="D882" s="10" t="s">
        <v>420</v>
      </c>
      <c r="E882" s="11" t="s">
        <v>2636</v>
      </c>
      <c r="F882" s="17"/>
      <c r="G882" s="12" t="s">
        <v>2637</v>
      </c>
      <c r="H882" s="13" t="n">
        <v>-0.035</v>
      </c>
      <c r="I882" s="14"/>
      <c r="J882" s="17"/>
      <c r="K882" s="9"/>
      <c r="L882" s="15" t="s">
        <v>50</v>
      </c>
      <c r="M882" s="16" t="s">
        <v>51</v>
      </c>
      <c r="N882" s="14"/>
      <c r="O882" s="15" t="s">
        <v>52</v>
      </c>
      <c r="P882" s="17" t="s">
        <v>53</v>
      </c>
      <c r="Q882" s="15"/>
      <c r="R882" s="18" t="s">
        <v>51</v>
      </c>
      <c r="S882" s="19"/>
      <c r="T882" s="17" t="str">
        <f aca="false">IF(R882="維持",J882,IF(R882="排除","無關新聞事件",IFERROR(INDEX(事件規則!$B$2:$B$53,MATCH(S882,事件規則!$A$2:$A$53,0)),"")))</f>
        <v>無關新聞事件</v>
      </c>
      <c r="U882" s="20" t="n">
        <f aca="false">IF(R882="維持",K882,IF(R882="排除",0,IFERROR(INDEX(事件規則!$C$2:$C$53,MATCH(S882,事件規則!$A$2:$A$53,0)),"")))</f>
        <v>0</v>
      </c>
      <c r="V882" s="21"/>
      <c r="W882" s="22"/>
      <c r="X882" s="10" t="str">
        <f aca="false">IF(AND(R882="修改",S882=""),"請選新事件代碼",IF(AND(R882&lt;&gt;"修改",S882&lt;&gt;""),"只有「修改」才需填代碼",""))</f>
        <v/>
      </c>
      <c r="Y882" s="21"/>
      <c r="Z882" s="22"/>
      <c r="AA882" s="12" t="s">
        <v>2638</v>
      </c>
      <c r="AB882" s="24"/>
    </row>
    <row r="883" customFormat="false" ht="29.85" hidden="false" customHeight="false" outlineLevel="0" collapsed="false">
      <c r="A883" s="15" t="n">
        <v>882</v>
      </c>
      <c r="B883" s="9" t="s">
        <v>45</v>
      </c>
      <c r="C883" s="9" t="s">
        <v>92</v>
      </c>
      <c r="D883" s="10" t="s">
        <v>93</v>
      </c>
      <c r="E883" s="11" t="s">
        <v>2639</v>
      </c>
      <c r="F883" s="17"/>
      <c r="G883" s="12" t="s">
        <v>1136</v>
      </c>
      <c r="H883" s="13" t="n">
        <v>-0.035</v>
      </c>
      <c r="I883" s="14"/>
      <c r="J883" s="17"/>
      <c r="K883" s="9"/>
      <c r="L883" s="15" t="s">
        <v>50</v>
      </c>
      <c r="M883" s="16" t="s">
        <v>51</v>
      </c>
      <c r="N883" s="14"/>
      <c r="O883" s="15" t="s">
        <v>52</v>
      </c>
      <c r="P883" s="17" t="s">
        <v>53</v>
      </c>
      <c r="Q883" s="15"/>
      <c r="R883" s="18" t="s">
        <v>51</v>
      </c>
      <c r="S883" s="19"/>
      <c r="T883" s="17" t="str">
        <f aca="false">IF(R883="維持",J883,IF(R883="排除","無關新聞事件",IFERROR(INDEX(事件規則!$B$2:$B$53,MATCH(S883,事件規則!$A$2:$A$53,0)),"")))</f>
        <v>無關新聞事件</v>
      </c>
      <c r="U883" s="20" t="n">
        <f aca="false">IF(R883="維持",K883,IF(R883="排除",0,IFERROR(INDEX(事件規則!$C$2:$C$53,MATCH(S883,事件規則!$A$2:$A$53,0)),"")))</f>
        <v>0</v>
      </c>
      <c r="V883" s="21"/>
      <c r="W883" s="22"/>
      <c r="X883" s="10" t="str">
        <f aca="false">IF(AND(R883="修改",S883=""),"請選新事件代碼",IF(AND(R883&lt;&gt;"修改",S883&lt;&gt;""),"只有「修改」才需填代碼",""))</f>
        <v/>
      </c>
      <c r="Y883" s="21"/>
      <c r="Z883" s="22"/>
      <c r="AA883" s="12" t="s">
        <v>2640</v>
      </c>
      <c r="AB883" s="24"/>
    </row>
    <row r="884" customFormat="false" ht="29.85" hidden="false" customHeight="false" outlineLevel="0" collapsed="false">
      <c r="A884" s="15" t="n">
        <v>883</v>
      </c>
      <c r="B884" s="9" t="s">
        <v>55</v>
      </c>
      <c r="C884" s="9" t="s">
        <v>1318</v>
      </c>
      <c r="D884" s="10" t="s">
        <v>1319</v>
      </c>
      <c r="E884" s="11" t="s">
        <v>2641</v>
      </c>
      <c r="F884" s="17"/>
      <c r="G884" s="12" t="s">
        <v>95</v>
      </c>
      <c r="H884" s="13" t="n">
        <v>-0.035</v>
      </c>
      <c r="I884" s="14"/>
      <c r="J884" s="17"/>
      <c r="K884" s="9"/>
      <c r="L884" s="15" t="s">
        <v>50</v>
      </c>
      <c r="M884" s="16" t="s">
        <v>51</v>
      </c>
      <c r="N884" s="14"/>
      <c r="O884" s="15" t="s">
        <v>52</v>
      </c>
      <c r="P884" s="17" t="s">
        <v>53</v>
      </c>
      <c r="Q884" s="15"/>
      <c r="R884" s="18" t="s">
        <v>51</v>
      </c>
      <c r="S884" s="19"/>
      <c r="T884" s="17" t="str">
        <f aca="false">IF(R884="維持",J884,IF(R884="排除","無關新聞事件",IFERROR(INDEX(事件規則!$B$2:$B$53,MATCH(S884,事件規則!$A$2:$A$53,0)),"")))</f>
        <v>無關新聞事件</v>
      </c>
      <c r="U884" s="20" t="n">
        <f aca="false">IF(R884="維持",K884,IF(R884="排除",0,IFERROR(INDEX(事件規則!$C$2:$C$53,MATCH(S884,事件規則!$A$2:$A$53,0)),"")))</f>
        <v>0</v>
      </c>
      <c r="V884" s="21"/>
      <c r="W884" s="22"/>
      <c r="X884" s="10" t="str">
        <f aca="false">IF(AND(R884="修改",S884=""),"請選新事件代碼",IF(AND(R884&lt;&gt;"修改",S884&lt;&gt;""),"只有「修改」才需填代碼",""))</f>
        <v/>
      </c>
      <c r="Y884" s="21"/>
      <c r="Z884" s="22"/>
      <c r="AA884" s="12" t="s">
        <v>2642</v>
      </c>
      <c r="AB884" s="24"/>
    </row>
    <row r="885" customFormat="false" ht="29.85" hidden="false" customHeight="false" outlineLevel="0" collapsed="false">
      <c r="A885" s="15" t="n">
        <v>884</v>
      </c>
      <c r="B885" s="9" t="s">
        <v>55</v>
      </c>
      <c r="C885" s="9" t="s">
        <v>873</v>
      </c>
      <c r="D885" s="10" t="s">
        <v>874</v>
      </c>
      <c r="E885" s="11" t="s">
        <v>2643</v>
      </c>
      <c r="F885" s="17"/>
      <c r="G885" s="12" t="s">
        <v>949</v>
      </c>
      <c r="H885" s="13" t="n">
        <v>-0.035</v>
      </c>
      <c r="I885" s="14"/>
      <c r="J885" s="17"/>
      <c r="K885" s="9"/>
      <c r="L885" s="15" t="s">
        <v>50</v>
      </c>
      <c r="M885" s="16" t="s">
        <v>51</v>
      </c>
      <c r="N885" s="14"/>
      <c r="O885" s="15" t="s">
        <v>52</v>
      </c>
      <c r="P885" s="17" t="s">
        <v>53</v>
      </c>
      <c r="Q885" s="15"/>
      <c r="R885" s="18" t="s">
        <v>51</v>
      </c>
      <c r="S885" s="19"/>
      <c r="T885" s="17" t="str">
        <f aca="false">IF(R885="維持",J885,IF(R885="排除","無關新聞事件",IFERROR(INDEX(事件規則!$B$2:$B$53,MATCH(S885,事件規則!$A$2:$A$53,0)),"")))</f>
        <v>無關新聞事件</v>
      </c>
      <c r="U885" s="20" t="n">
        <f aca="false">IF(R885="維持",K885,IF(R885="排除",0,IFERROR(INDEX(事件規則!$C$2:$C$53,MATCH(S885,事件規則!$A$2:$A$53,0)),"")))</f>
        <v>0</v>
      </c>
      <c r="V885" s="21"/>
      <c r="W885" s="22"/>
      <c r="X885" s="10" t="str">
        <f aca="false">IF(AND(R885="修改",S885=""),"請選新事件代碼",IF(AND(R885&lt;&gt;"修改",S885&lt;&gt;""),"只有「修改」才需填代碼",""))</f>
        <v/>
      </c>
      <c r="Y885" s="21"/>
      <c r="Z885" s="22"/>
      <c r="AA885" s="12" t="s">
        <v>2644</v>
      </c>
      <c r="AB885" s="24"/>
    </row>
    <row r="886" customFormat="false" ht="29.85" hidden="false" customHeight="false" outlineLevel="0" collapsed="false">
      <c r="A886" s="15" t="n">
        <v>885</v>
      </c>
      <c r="B886" s="9" t="s">
        <v>55</v>
      </c>
      <c r="C886" s="9" t="s">
        <v>113</v>
      </c>
      <c r="D886" s="10" t="s">
        <v>114</v>
      </c>
      <c r="E886" s="11" t="s">
        <v>2645</v>
      </c>
      <c r="F886" s="17"/>
      <c r="G886" s="12" t="s">
        <v>1136</v>
      </c>
      <c r="H886" s="13" t="n">
        <v>-0.035</v>
      </c>
      <c r="I886" s="14"/>
      <c r="J886" s="17"/>
      <c r="K886" s="9"/>
      <c r="L886" s="15" t="s">
        <v>50</v>
      </c>
      <c r="M886" s="16" t="s">
        <v>51</v>
      </c>
      <c r="N886" s="14"/>
      <c r="O886" s="15" t="s">
        <v>52</v>
      </c>
      <c r="P886" s="17" t="s">
        <v>53</v>
      </c>
      <c r="Q886" s="15"/>
      <c r="R886" s="18" t="s">
        <v>51</v>
      </c>
      <c r="S886" s="19"/>
      <c r="T886" s="17" t="str">
        <f aca="false">IF(R886="維持",J886,IF(R886="排除","無關新聞事件",IFERROR(INDEX(事件規則!$B$2:$B$53,MATCH(S886,事件規則!$A$2:$A$53,0)),"")))</f>
        <v>無關新聞事件</v>
      </c>
      <c r="U886" s="20" t="n">
        <f aca="false">IF(R886="維持",K886,IF(R886="排除",0,IFERROR(INDEX(事件規則!$C$2:$C$53,MATCH(S886,事件規則!$A$2:$A$53,0)),"")))</f>
        <v>0</v>
      </c>
      <c r="V886" s="21"/>
      <c r="W886" s="22"/>
      <c r="X886" s="10" t="str">
        <f aca="false">IF(AND(R886="修改",S886=""),"請選新事件代碼",IF(AND(R886&lt;&gt;"修改",S886&lt;&gt;""),"只有「修改」才需填代碼",""))</f>
        <v/>
      </c>
      <c r="Y886" s="21"/>
      <c r="Z886" s="22"/>
      <c r="AA886" s="12" t="s">
        <v>2646</v>
      </c>
      <c r="AB886" s="24"/>
    </row>
    <row r="887" customFormat="false" ht="29.85" hidden="false" customHeight="false" outlineLevel="0" collapsed="false">
      <c r="A887" s="15" t="n">
        <v>886</v>
      </c>
      <c r="B887" s="9" t="s">
        <v>55</v>
      </c>
      <c r="C887" s="9" t="s">
        <v>294</v>
      </c>
      <c r="D887" s="10" t="s">
        <v>295</v>
      </c>
      <c r="E887" s="11" t="s">
        <v>2647</v>
      </c>
      <c r="F887" s="17"/>
      <c r="G887" s="12" t="s">
        <v>2033</v>
      </c>
      <c r="H887" s="13" t="n">
        <v>-0.035</v>
      </c>
      <c r="I887" s="14"/>
      <c r="J887" s="17"/>
      <c r="K887" s="9"/>
      <c r="L887" s="15" t="s">
        <v>50</v>
      </c>
      <c r="M887" s="16" t="s">
        <v>51</v>
      </c>
      <c r="N887" s="14"/>
      <c r="O887" s="15" t="s">
        <v>52</v>
      </c>
      <c r="P887" s="17" t="s">
        <v>53</v>
      </c>
      <c r="Q887" s="15"/>
      <c r="R887" s="18" t="s">
        <v>51</v>
      </c>
      <c r="S887" s="19"/>
      <c r="T887" s="17" t="str">
        <f aca="false">IF(R887="維持",J887,IF(R887="排除","無關新聞事件",IFERROR(INDEX(事件規則!$B$2:$B$53,MATCH(S887,事件規則!$A$2:$A$53,0)),"")))</f>
        <v>無關新聞事件</v>
      </c>
      <c r="U887" s="20" t="n">
        <f aca="false">IF(R887="維持",K887,IF(R887="排除",0,IFERROR(INDEX(事件規則!$C$2:$C$53,MATCH(S887,事件規則!$A$2:$A$53,0)),"")))</f>
        <v>0</v>
      </c>
      <c r="V887" s="21"/>
      <c r="W887" s="22"/>
      <c r="X887" s="10" t="str">
        <f aca="false">IF(AND(R887="修改",S887=""),"請選新事件代碼",IF(AND(R887&lt;&gt;"修改",S887&lt;&gt;""),"只有「修改」才需填代碼",""))</f>
        <v/>
      </c>
      <c r="Y887" s="21"/>
      <c r="Z887" s="22"/>
      <c r="AA887" s="12" t="s">
        <v>2648</v>
      </c>
      <c r="AB887" s="24"/>
    </row>
    <row r="888" customFormat="false" ht="29.85" hidden="false" customHeight="false" outlineLevel="0" collapsed="false">
      <c r="A888" s="15" t="n">
        <v>887</v>
      </c>
      <c r="B888" s="9" t="s">
        <v>55</v>
      </c>
      <c r="C888" s="9" t="s">
        <v>2169</v>
      </c>
      <c r="D888" s="10" t="s">
        <v>2170</v>
      </c>
      <c r="E888" s="11" t="s">
        <v>2649</v>
      </c>
      <c r="F888" s="17"/>
      <c r="G888" s="12" t="s">
        <v>1136</v>
      </c>
      <c r="H888" s="13" t="n">
        <v>-0.035</v>
      </c>
      <c r="I888" s="14"/>
      <c r="J888" s="17"/>
      <c r="K888" s="9"/>
      <c r="L888" s="15" t="s">
        <v>50</v>
      </c>
      <c r="M888" s="16" t="s">
        <v>51</v>
      </c>
      <c r="N888" s="14"/>
      <c r="O888" s="15" t="s">
        <v>52</v>
      </c>
      <c r="P888" s="17" t="s">
        <v>53</v>
      </c>
      <c r="Q888" s="15"/>
      <c r="R888" s="18" t="s">
        <v>51</v>
      </c>
      <c r="S888" s="19"/>
      <c r="T888" s="17" t="str">
        <f aca="false">IF(R888="維持",J888,IF(R888="排除","無關新聞事件",IFERROR(INDEX(事件規則!$B$2:$B$53,MATCH(S888,事件規則!$A$2:$A$53,0)),"")))</f>
        <v>無關新聞事件</v>
      </c>
      <c r="U888" s="20" t="n">
        <f aca="false">IF(R888="維持",K888,IF(R888="排除",0,IFERROR(INDEX(事件規則!$C$2:$C$53,MATCH(S888,事件規則!$A$2:$A$53,0)),"")))</f>
        <v>0</v>
      </c>
      <c r="V888" s="21"/>
      <c r="W888" s="22"/>
      <c r="X888" s="10" t="str">
        <f aca="false">IF(AND(R888="修改",S888=""),"請選新事件代碼",IF(AND(R888&lt;&gt;"修改",S888&lt;&gt;""),"只有「修改」才需填代碼",""))</f>
        <v/>
      </c>
      <c r="Y888" s="21"/>
      <c r="Z888" s="22"/>
      <c r="AA888" s="12" t="s">
        <v>2650</v>
      </c>
      <c r="AB888" s="24"/>
    </row>
    <row r="889" customFormat="false" ht="29.85" hidden="false" customHeight="false" outlineLevel="0" collapsed="false">
      <c r="A889" s="15" t="n">
        <v>888</v>
      </c>
      <c r="B889" s="9" t="s">
        <v>55</v>
      </c>
      <c r="C889" s="9" t="s">
        <v>2514</v>
      </c>
      <c r="D889" s="10" t="s">
        <v>2515</v>
      </c>
      <c r="E889" s="11" t="s">
        <v>2651</v>
      </c>
      <c r="F889" s="17"/>
      <c r="G889" s="12" t="s">
        <v>1136</v>
      </c>
      <c r="H889" s="13" t="n">
        <v>-0.035</v>
      </c>
      <c r="I889" s="14"/>
      <c r="J889" s="17"/>
      <c r="K889" s="9"/>
      <c r="L889" s="15" t="s">
        <v>50</v>
      </c>
      <c r="M889" s="16" t="s">
        <v>51</v>
      </c>
      <c r="N889" s="14"/>
      <c r="O889" s="15" t="s">
        <v>52</v>
      </c>
      <c r="P889" s="17" t="s">
        <v>53</v>
      </c>
      <c r="Q889" s="15"/>
      <c r="R889" s="18" t="s">
        <v>51</v>
      </c>
      <c r="S889" s="19"/>
      <c r="T889" s="17" t="str">
        <f aca="false">IF(R889="維持",J889,IF(R889="排除","無關新聞事件",IFERROR(INDEX(事件規則!$B$2:$B$53,MATCH(S889,事件規則!$A$2:$A$53,0)),"")))</f>
        <v>無關新聞事件</v>
      </c>
      <c r="U889" s="20" t="n">
        <f aca="false">IF(R889="維持",K889,IF(R889="排除",0,IFERROR(INDEX(事件規則!$C$2:$C$53,MATCH(S889,事件規則!$A$2:$A$53,0)),"")))</f>
        <v>0</v>
      </c>
      <c r="V889" s="21"/>
      <c r="W889" s="22"/>
      <c r="X889" s="10" t="str">
        <f aca="false">IF(AND(R889="修改",S889=""),"請選新事件代碼",IF(AND(R889&lt;&gt;"修改",S889&lt;&gt;""),"只有「修改」才需填代碼",""))</f>
        <v/>
      </c>
      <c r="Y889" s="21"/>
      <c r="Z889" s="22"/>
      <c r="AA889" s="12" t="s">
        <v>2652</v>
      </c>
      <c r="AB889" s="24"/>
    </row>
    <row r="890" customFormat="false" ht="29.85" hidden="false" customHeight="false" outlineLevel="0" collapsed="false">
      <c r="A890" s="15" t="n">
        <v>889</v>
      </c>
      <c r="B890" s="9" t="s">
        <v>55</v>
      </c>
      <c r="C890" s="9" t="s">
        <v>2083</v>
      </c>
      <c r="D890" s="10" t="s">
        <v>2084</v>
      </c>
      <c r="E890" s="11" t="s">
        <v>2653</v>
      </c>
      <c r="F890" s="17"/>
      <c r="G890" s="12" t="s">
        <v>105</v>
      </c>
      <c r="H890" s="13" t="n">
        <v>-0.035</v>
      </c>
      <c r="I890" s="14"/>
      <c r="J890" s="17"/>
      <c r="K890" s="9"/>
      <c r="L890" s="15" t="s">
        <v>50</v>
      </c>
      <c r="M890" s="16" t="s">
        <v>51</v>
      </c>
      <c r="N890" s="14"/>
      <c r="O890" s="15" t="s">
        <v>52</v>
      </c>
      <c r="P890" s="17" t="s">
        <v>53</v>
      </c>
      <c r="Q890" s="15"/>
      <c r="R890" s="18" t="s">
        <v>51</v>
      </c>
      <c r="S890" s="19"/>
      <c r="T890" s="17" t="str">
        <f aca="false">IF(R890="維持",J890,IF(R890="排除","無關新聞事件",IFERROR(INDEX(事件規則!$B$2:$B$53,MATCH(S890,事件規則!$A$2:$A$53,0)),"")))</f>
        <v>無關新聞事件</v>
      </c>
      <c r="U890" s="20" t="n">
        <f aca="false">IF(R890="維持",K890,IF(R890="排除",0,IFERROR(INDEX(事件規則!$C$2:$C$53,MATCH(S890,事件規則!$A$2:$A$53,0)),"")))</f>
        <v>0</v>
      </c>
      <c r="V890" s="21"/>
      <c r="W890" s="22"/>
      <c r="X890" s="10" t="str">
        <f aca="false">IF(AND(R890="修改",S890=""),"請選新事件代碼",IF(AND(R890&lt;&gt;"修改",S890&lt;&gt;""),"只有「修改」才需填代碼",""))</f>
        <v/>
      </c>
      <c r="Y890" s="21"/>
      <c r="Z890" s="22"/>
      <c r="AA890" s="12" t="s">
        <v>2654</v>
      </c>
      <c r="AB890" s="24"/>
    </row>
    <row r="891" customFormat="false" ht="29.85" hidden="false" customHeight="false" outlineLevel="0" collapsed="false">
      <c r="A891" s="15" t="n">
        <v>890</v>
      </c>
      <c r="B891" s="9" t="s">
        <v>55</v>
      </c>
      <c r="C891" s="9" t="s">
        <v>2371</v>
      </c>
      <c r="D891" s="10" t="s">
        <v>2372</v>
      </c>
      <c r="E891" s="11" t="s">
        <v>2655</v>
      </c>
      <c r="F891" s="17"/>
      <c r="G891" s="12" t="s">
        <v>949</v>
      </c>
      <c r="H891" s="13" t="n">
        <v>-0.035</v>
      </c>
      <c r="I891" s="14"/>
      <c r="J891" s="17"/>
      <c r="K891" s="9"/>
      <c r="L891" s="15" t="s">
        <v>50</v>
      </c>
      <c r="M891" s="16" t="s">
        <v>51</v>
      </c>
      <c r="N891" s="14"/>
      <c r="O891" s="15" t="s">
        <v>52</v>
      </c>
      <c r="P891" s="17" t="s">
        <v>53</v>
      </c>
      <c r="Q891" s="15"/>
      <c r="R891" s="18" t="s">
        <v>51</v>
      </c>
      <c r="S891" s="19"/>
      <c r="T891" s="17" t="str">
        <f aca="false">IF(R891="維持",J891,IF(R891="排除","無關新聞事件",IFERROR(INDEX(事件規則!$B$2:$B$53,MATCH(S891,事件規則!$A$2:$A$53,0)),"")))</f>
        <v>無關新聞事件</v>
      </c>
      <c r="U891" s="20" t="n">
        <f aca="false">IF(R891="維持",K891,IF(R891="排除",0,IFERROR(INDEX(事件規則!$C$2:$C$53,MATCH(S891,事件規則!$A$2:$A$53,0)),"")))</f>
        <v>0</v>
      </c>
      <c r="V891" s="21"/>
      <c r="W891" s="22"/>
      <c r="X891" s="10" t="str">
        <f aca="false">IF(AND(R891="修改",S891=""),"請選新事件代碼",IF(AND(R891&lt;&gt;"修改",S891&lt;&gt;""),"只有「修改」才需填代碼",""))</f>
        <v/>
      </c>
      <c r="Y891" s="21"/>
      <c r="Z891" s="22"/>
      <c r="AA891" s="12" t="s">
        <v>2656</v>
      </c>
      <c r="AB891" s="24"/>
    </row>
    <row r="892" customFormat="false" ht="29.85" hidden="false" customHeight="false" outlineLevel="0" collapsed="false">
      <c r="A892" s="15" t="n">
        <v>891</v>
      </c>
      <c r="B892" s="9" t="s">
        <v>55</v>
      </c>
      <c r="C892" s="9" t="s">
        <v>315</v>
      </c>
      <c r="D892" s="10" t="s">
        <v>316</v>
      </c>
      <c r="E892" s="11" t="s">
        <v>2657</v>
      </c>
      <c r="F892" s="17"/>
      <c r="G892" s="12" t="s">
        <v>105</v>
      </c>
      <c r="H892" s="13" t="n">
        <v>-0.035</v>
      </c>
      <c r="I892" s="14"/>
      <c r="J892" s="17"/>
      <c r="K892" s="9"/>
      <c r="L892" s="15" t="s">
        <v>50</v>
      </c>
      <c r="M892" s="16" t="s">
        <v>51</v>
      </c>
      <c r="N892" s="14"/>
      <c r="O892" s="15" t="s">
        <v>52</v>
      </c>
      <c r="P892" s="17" t="s">
        <v>53</v>
      </c>
      <c r="Q892" s="15"/>
      <c r="R892" s="18" t="s">
        <v>51</v>
      </c>
      <c r="S892" s="19"/>
      <c r="T892" s="17" t="str">
        <f aca="false">IF(R892="維持",J892,IF(R892="排除","無關新聞事件",IFERROR(INDEX(事件規則!$B$2:$B$53,MATCH(S892,事件規則!$A$2:$A$53,0)),"")))</f>
        <v>無關新聞事件</v>
      </c>
      <c r="U892" s="20" t="n">
        <f aca="false">IF(R892="維持",K892,IF(R892="排除",0,IFERROR(INDEX(事件規則!$C$2:$C$53,MATCH(S892,事件規則!$A$2:$A$53,0)),"")))</f>
        <v>0</v>
      </c>
      <c r="V892" s="21"/>
      <c r="W892" s="22"/>
      <c r="X892" s="10" t="str">
        <f aca="false">IF(AND(R892="修改",S892=""),"請選新事件代碼",IF(AND(R892&lt;&gt;"修改",S892&lt;&gt;""),"只有「修改」才需填代碼",""))</f>
        <v/>
      </c>
      <c r="Y892" s="21"/>
      <c r="Z892" s="22"/>
      <c r="AA892" s="12" t="s">
        <v>2658</v>
      </c>
      <c r="AB892" s="24"/>
    </row>
    <row r="893" customFormat="false" ht="29.85" hidden="false" customHeight="false" outlineLevel="0" collapsed="false">
      <c r="A893" s="15" t="n">
        <v>892</v>
      </c>
      <c r="B893" s="9" t="s">
        <v>55</v>
      </c>
      <c r="C893" s="9" t="s">
        <v>2659</v>
      </c>
      <c r="D893" s="10" t="s">
        <v>2660</v>
      </c>
      <c r="E893" s="11" t="s">
        <v>2661</v>
      </c>
      <c r="F893" s="17"/>
      <c r="G893" s="12" t="s">
        <v>105</v>
      </c>
      <c r="H893" s="13" t="n">
        <v>-0.035</v>
      </c>
      <c r="I893" s="14"/>
      <c r="J893" s="17"/>
      <c r="K893" s="9"/>
      <c r="L893" s="15" t="s">
        <v>50</v>
      </c>
      <c r="M893" s="16" t="s">
        <v>51</v>
      </c>
      <c r="N893" s="14"/>
      <c r="O893" s="15" t="s">
        <v>52</v>
      </c>
      <c r="P893" s="17" t="s">
        <v>53</v>
      </c>
      <c r="Q893" s="15"/>
      <c r="R893" s="18" t="s">
        <v>51</v>
      </c>
      <c r="S893" s="19"/>
      <c r="T893" s="17" t="str">
        <f aca="false">IF(R893="維持",J893,IF(R893="排除","無關新聞事件",IFERROR(INDEX(事件規則!$B$2:$B$53,MATCH(S893,事件規則!$A$2:$A$53,0)),"")))</f>
        <v>無關新聞事件</v>
      </c>
      <c r="U893" s="20" t="n">
        <f aca="false">IF(R893="維持",K893,IF(R893="排除",0,IFERROR(INDEX(事件規則!$C$2:$C$53,MATCH(S893,事件規則!$A$2:$A$53,0)),"")))</f>
        <v>0</v>
      </c>
      <c r="V893" s="21"/>
      <c r="W893" s="22"/>
      <c r="X893" s="10" t="str">
        <f aca="false">IF(AND(R893="修改",S893=""),"請選新事件代碼",IF(AND(R893&lt;&gt;"修改",S893&lt;&gt;""),"只有「修改」才需填代碼",""))</f>
        <v/>
      </c>
      <c r="Y893" s="21"/>
      <c r="Z893" s="22"/>
      <c r="AA893" s="12" t="s">
        <v>2662</v>
      </c>
      <c r="AB893" s="24"/>
    </row>
    <row r="894" customFormat="false" ht="29.85" hidden="false" customHeight="false" outlineLevel="0" collapsed="false">
      <c r="A894" s="15" t="n">
        <v>893</v>
      </c>
      <c r="B894" s="9" t="s">
        <v>55</v>
      </c>
      <c r="C894" s="9" t="s">
        <v>303</v>
      </c>
      <c r="D894" s="10" t="s">
        <v>304</v>
      </c>
      <c r="E894" s="11" t="s">
        <v>2663</v>
      </c>
      <c r="F894" s="17"/>
      <c r="G894" s="12" t="s">
        <v>1136</v>
      </c>
      <c r="H894" s="13" t="n">
        <v>-0.035</v>
      </c>
      <c r="I894" s="14"/>
      <c r="J894" s="17"/>
      <c r="K894" s="9"/>
      <c r="L894" s="15" t="s">
        <v>50</v>
      </c>
      <c r="M894" s="16" t="s">
        <v>51</v>
      </c>
      <c r="N894" s="14"/>
      <c r="O894" s="15" t="s">
        <v>52</v>
      </c>
      <c r="P894" s="17" t="s">
        <v>53</v>
      </c>
      <c r="Q894" s="15"/>
      <c r="R894" s="18" t="s">
        <v>51</v>
      </c>
      <c r="S894" s="19"/>
      <c r="T894" s="17" t="str">
        <f aca="false">IF(R894="維持",J894,IF(R894="排除","無關新聞事件",IFERROR(INDEX(事件規則!$B$2:$B$53,MATCH(S894,事件規則!$A$2:$A$53,0)),"")))</f>
        <v>無關新聞事件</v>
      </c>
      <c r="U894" s="20" t="n">
        <f aca="false">IF(R894="維持",K894,IF(R894="排除",0,IFERROR(INDEX(事件規則!$C$2:$C$53,MATCH(S894,事件規則!$A$2:$A$53,0)),"")))</f>
        <v>0</v>
      </c>
      <c r="V894" s="21"/>
      <c r="W894" s="22"/>
      <c r="X894" s="10" t="str">
        <f aca="false">IF(AND(R894="修改",S894=""),"請選新事件代碼",IF(AND(R894&lt;&gt;"修改",S894&lt;&gt;""),"只有「修改」才需填代碼",""))</f>
        <v/>
      </c>
      <c r="Y894" s="21"/>
      <c r="Z894" s="22"/>
      <c r="AA894" s="12" t="s">
        <v>2664</v>
      </c>
      <c r="AB894" s="24"/>
    </row>
    <row r="895" customFormat="false" ht="29.85" hidden="false" customHeight="false" outlineLevel="0" collapsed="false">
      <c r="A895" s="15" t="n">
        <v>894</v>
      </c>
      <c r="B895" s="9" t="s">
        <v>45</v>
      </c>
      <c r="C895" s="9" t="s">
        <v>1086</v>
      </c>
      <c r="D895" s="10" t="s">
        <v>1087</v>
      </c>
      <c r="E895" s="11" t="s">
        <v>2665</v>
      </c>
      <c r="F895" s="17"/>
      <c r="G895" s="12" t="s">
        <v>1136</v>
      </c>
      <c r="H895" s="13" t="n">
        <v>-0.035</v>
      </c>
      <c r="I895" s="14"/>
      <c r="J895" s="17"/>
      <c r="K895" s="9"/>
      <c r="L895" s="15" t="s">
        <v>50</v>
      </c>
      <c r="M895" s="16" t="s">
        <v>51</v>
      </c>
      <c r="N895" s="14"/>
      <c r="O895" s="15" t="s">
        <v>52</v>
      </c>
      <c r="P895" s="17" t="s">
        <v>53</v>
      </c>
      <c r="Q895" s="15"/>
      <c r="R895" s="18" t="s">
        <v>51</v>
      </c>
      <c r="S895" s="19"/>
      <c r="T895" s="17" t="str">
        <f aca="false">IF(R895="維持",J895,IF(R895="排除","無關新聞事件",IFERROR(INDEX(事件規則!$B$2:$B$53,MATCH(S895,事件規則!$A$2:$A$53,0)),"")))</f>
        <v>無關新聞事件</v>
      </c>
      <c r="U895" s="20" t="n">
        <f aca="false">IF(R895="維持",K895,IF(R895="排除",0,IFERROR(INDEX(事件規則!$C$2:$C$53,MATCH(S895,事件規則!$A$2:$A$53,0)),"")))</f>
        <v>0</v>
      </c>
      <c r="V895" s="21"/>
      <c r="W895" s="22"/>
      <c r="X895" s="10" t="str">
        <f aca="false">IF(AND(R895="修改",S895=""),"請選新事件代碼",IF(AND(R895&lt;&gt;"修改",S895&lt;&gt;""),"只有「修改」才需填代碼",""))</f>
        <v/>
      </c>
      <c r="Y895" s="21"/>
      <c r="Z895" s="22"/>
      <c r="AA895" s="12" t="s">
        <v>2666</v>
      </c>
      <c r="AB895" s="24"/>
    </row>
    <row r="896" customFormat="false" ht="29.85" hidden="false" customHeight="false" outlineLevel="0" collapsed="false">
      <c r="A896" s="15" t="n">
        <v>895</v>
      </c>
      <c r="B896" s="9" t="s">
        <v>45</v>
      </c>
      <c r="C896" s="9" t="s">
        <v>2667</v>
      </c>
      <c r="D896" s="10" t="s">
        <v>2668</v>
      </c>
      <c r="E896" s="11" t="s">
        <v>2669</v>
      </c>
      <c r="F896" s="17"/>
      <c r="G896" s="12" t="s">
        <v>176</v>
      </c>
      <c r="H896" s="13" t="n">
        <v>-0.035</v>
      </c>
      <c r="I896" s="14"/>
      <c r="J896" s="17"/>
      <c r="K896" s="9"/>
      <c r="L896" s="15" t="s">
        <v>50</v>
      </c>
      <c r="M896" s="16" t="s">
        <v>51</v>
      </c>
      <c r="N896" s="14"/>
      <c r="O896" s="15" t="s">
        <v>52</v>
      </c>
      <c r="P896" s="17" t="s">
        <v>53</v>
      </c>
      <c r="Q896" s="15"/>
      <c r="R896" s="18" t="s">
        <v>51</v>
      </c>
      <c r="S896" s="19"/>
      <c r="T896" s="17" t="str">
        <f aca="false">IF(R896="維持",J896,IF(R896="排除","無關新聞事件",IFERROR(INDEX(事件規則!$B$2:$B$53,MATCH(S896,事件規則!$A$2:$A$53,0)),"")))</f>
        <v>無關新聞事件</v>
      </c>
      <c r="U896" s="20" t="n">
        <f aca="false">IF(R896="維持",K896,IF(R896="排除",0,IFERROR(INDEX(事件規則!$C$2:$C$53,MATCH(S896,事件規則!$A$2:$A$53,0)),"")))</f>
        <v>0</v>
      </c>
      <c r="V896" s="21"/>
      <c r="W896" s="22"/>
      <c r="X896" s="10" t="str">
        <f aca="false">IF(AND(R896="修改",S896=""),"請選新事件代碼",IF(AND(R896&lt;&gt;"修改",S896&lt;&gt;""),"只有「修改」才需填代碼",""))</f>
        <v/>
      </c>
      <c r="Y896" s="21"/>
      <c r="Z896" s="22"/>
      <c r="AA896" s="12" t="s">
        <v>2670</v>
      </c>
      <c r="AB896" s="24"/>
    </row>
    <row r="897" customFormat="false" ht="29.85" hidden="false" customHeight="false" outlineLevel="0" collapsed="false">
      <c r="A897" s="15" t="n">
        <v>896</v>
      </c>
      <c r="B897" s="9" t="s">
        <v>45</v>
      </c>
      <c r="C897" s="9" t="s">
        <v>1086</v>
      </c>
      <c r="D897" s="10" t="s">
        <v>1087</v>
      </c>
      <c r="E897" s="11" t="s">
        <v>2671</v>
      </c>
      <c r="F897" s="17"/>
      <c r="G897" s="12" t="s">
        <v>1136</v>
      </c>
      <c r="H897" s="13" t="n">
        <v>-0.035</v>
      </c>
      <c r="I897" s="14"/>
      <c r="J897" s="17"/>
      <c r="K897" s="9"/>
      <c r="L897" s="15" t="s">
        <v>50</v>
      </c>
      <c r="M897" s="16" t="s">
        <v>51</v>
      </c>
      <c r="N897" s="14"/>
      <c r="O897" s="15" t="s">
        <v>52</v>
      </c>
      <c r="P897" s="17" t="s">
        <v>53</v>
      </c>
      <c r="Q897" s="15"/>
      <c r="R897" s="18" t="s">
        <v>51</v>
      </c>
      <c r="S897" s="19"/>
      <c r="T897" s="17" t="str">
        <f aca="false">IF(R897="維持",J897,IF(R897="排除","無關新聞事件",IFERROR(INDEX(事件規則!$B$2:$B$53,MATCH(S897,事件規則!$A$2:$A$53,0)),"")))</f>
        <v>無關新聞事件</v>
      </c>
      <c r="U897" s="20" t="n">
        <f aca="false">IF(R897="維持",K897,IF(R897="排除",0,IFERROR(INDEX(事件規則!$C$2:$C$53,MATCH(S897,事件規則!$A$2:$A$53,0)),"")))</f>
        <v>0</v>
      </c>
      <c r="V897" s="21"/>
      <c r="W897" s="22"/>
      <c r="X897" s="10" t="str">
        <f aca="false">IF(AND(R897="修改",S897=""),"請選新事件代碼",IF(AND(R897&lt;&gt;"修改",S897&lt;&gt;""),"只有「修改」才需填代碼",""))</f>
        <v/>
      </c>
      <c r="Y897" s="21"/>
      <c r="Z897" s="22"/>
      <c r="AA897" s="12" t="s">
        <v>2672</v>
      </c>
      <c r="AB897" s="24"/>
    </row>
    <row r="898" customFormat="false" ht="29.85" hidden="false" customHeight="false" outlineLevel="0" collapsed="false">
      <c r="A898" s="15" t="n">
        <v>897</v>
      </c>
      <c r="B898" s="9" t="s">
        <v>45</v>
      </c>
      <c r="C898" s="9" t="s">
        <v>113</v>
      </c>
      <c r="D898" s="10" t="s">
        <v>114</v>
      </c>
      <c r="E898" s="11" t="s">
        <v>2673</v>
      </c>
      <c r="F898" s="17"/>
      <c r="G898" s="12" t="s">
        <v>949</v>
      </c>
      <c r="H898" s="13" t="n">
        <v>-0.035</v>
      </c>
      <c r="I898" s="14"/>
      <c r="J898" s="17"/>
      <c r="K898" s="9"/>
      <c r="L898" s="15" t="s">
        <v>50</v>
      </c>
      <c r="M898" s="16" t="s">
        <v>51</v>
      </c>
      <c r="N898" s="14"/>
      <c r="O898" s="15" t="s">
        <v>52</v>
      </c>
      <c r="P898" s="17" t="s">
        <v>53</v>
      </c>
      <c r="Q898" s="15"/>
      <c r="R898" s="18" t="s">
        <v>51</v>
      </c>
      <c r="S898" s="19"/>
      <c r="T898" s="17" t="str">
        <f aca="false">IF(R898="維持",J898,IF(R898="排除","無關新聞事件",IFERROR(INDEX(事件規則!$B$2:$B$53,MATCH(S898,事件規則!$A$2:$A$53,0)),"")))</f>
        <v>無關新聞事件</v>
      </c>
      <c r="U898" s="20" t="n">
        <f aca="false">IF(R898="維持",K898,IF(R898="排除",0,IFERROR(INDEX(事件規則!$C$2:$C$53,MATCH(S898,事件規則!$A$2:$A$53,0)),"")))</f>
        <v>0</v>
      </c>
      <c r="V898" s="21"/>
      <c r="W898" s="22"/>
      <c r="X898" s="10" t="str">
        <f aca="false">IF(AND(R898="修改",S898=""),"請選新事件代碼",IF(AND(R898&lt;&gt;"修改",S898&lt;&gt;""),"只有「修改」才需填代碼",""))</f>
        <v/>
      </c>
      <c r="Y898" s="21"/>
      <c r="Z898" s="22"/>
      <c r="AA898" s="12" t="s">
        <v>2674</v>
      </c>
      <c r="AB898" s="24"/>
    </row>
    <row r="899" customFormat="false" ht="29.85" hidden="false" customHeight="false" outlineLevel="0" collapsed="false">
      <c r="A899" s="15" t="n">
        <v>898</v>
      </c>
      <c r="B899" s="9" t="s">
        <v>55</v>
      </c>
      <c r="C899" s="9" t="s">
        <v>973</v>
      </c>
      <c r="D899" s="10" t="s">
        <v>974</v>
      </c>
      <c r="E899" s="11" t="s">
        <v>2675</v>
      </c>
      <c r="F899" s="17"/>
      <c r="G899" s="12" t="s">
        <v>949</v>
      </c>
      <c r="H899" s="13" t="n">
        <v>-0.035</v>
      </c>
      <c r="I899" s="14"/>
      <c r="J899" s="17"/>
      <c r="K899" s="9"/>
      <c r="L899" s="15" t="s">
        <v>50</v>
      </c>
      <c r="M899" s="16" t="s">
        <v>51</v>
      </c>
      <c r="N899" s="14"/>
      <c r="O899" s="15" t="s">
        <v>52</v>
      </c>
      <c r="P899" s="17" t="s">
        <v>53</v>
      </c>
      <c r="Q899" s="15"/>
      <c r="R899" s="18" t="s">
        <v>51</v>
      </c>
      <c r="S899" s="19"/>
      <c r="T899" s="17" t="str">
        <f aca="false">IF(R899="維持",J899,IF(R899="排除","無關新聞事件",IFERROR(INDEX(事件規則!$B$2:$B$53,MATCH(S899,事件規則!$A$2:$A$53,0)),"")))</f>
        <v>無關新聞事件</v>
      </c>
      <c r="U899" s="20" t="n">
        <f aca="false">IF(R899="維持",K899,IF(R899="排除",0,IFERROR(INDEX(事件規則!$C$2:$C$53,MATCH(S899,事件規則!$A$2:$A$53,0)),"")))</f>
        <v>0</v>
      </c>
      <c r="V899" s="21"/>
      <c r="W899" s="22"/>
      <c r="X899" s="10" t="str">
        <f aca="false">IF(AND(R899="修改",S899=""),"請選新事件代碼",IF(AND(R899&lt;&gt;"修改",S899&lt;&gt;""),"只有「修改」才需填代碼",""))</f>
        <v/>
      </c>
      <c r="Y899" s="21"/>
      <c r="Z899" s="22"/>
      <c r="AA899" s="12" t="s">
        <v>2676</v>
      </c>
      <c r="AB899" s="24"/>
    </row>
    <row r="900" customFormat="false" ht="29.85" hidden="false" customHeight="false" outlineLevel="0" collapsed="false">
      <c r="A900" s="15" t="n">
        <v>899</v>
      </c>
      <c r="B900" s="9" t="s">
        <v>55</v>
      </c>
      <c r="C900" s="9" t="s">
        <v>2677</v>
      </c>
      <c r="D900" s="10" t="s">
        <v>2678</v>
      </c>
      <c r="E900" s="11" t="s">
        <v>2679</v>
      </c>
      <c r="F900" s="17"/>
      <c r="G900" s="12" t="s">
        <v>1136</v>
      </c>
      <c r="H900" s="13" t="n">
        <v>-0.035</v>
      </c>
      <c r="I900" s="14"/>
      <c r="J900" s="17"/>
      <c r="K900" s="9"/>
      <c r="L900" s="15" t="s">
        <v>50</v>
      </c>
      <c r="M900" s="16" t="s">
        <v>51</v>
      </c>
      <c r="N900" s="14"/>
      <c r="O900" s="15" t="s">
        <v>52</v>
      </c>
      <c r="P900" s="17" t="s">
        <v>53</v>
      </c>
      <c r="Q900" s="15"/>
      <c r="R900" s="18" t="s">
        <v>51</v>
      </c>
      <c r="S900" s="19"/>
      <c r="T900" s="17" t="str">
        <f aca="false">IF(R900="維持",J900,IF(R900="排除","無關新聞事件",IFERROR(INDEX(事件規則!$B$2:$B$53,MATCH(S900,事件規則!$A$2:$A$53,0)),"")))</f>
        <v>無關新聞事件</v>
      </c>
      <c r="U900" s="20" t="n">
        <f aca="false">IF(R900="維持",K900,IF(R900="排除",0,IFERROR(INDEX(事件規則!$C$2:$C$53,MATCH(S900,事件規則!$A$2:$A$53,0)),"")))</f>
        <v>0</v>
      </c>
      <c r="V900" s="21"/>
      <c r="W900" s="22"/>
      <c r="X900" s="10" t="str">
        <f aca="false">IF(AND(R900="修改",S900=""),"請選新事件代碼",IF(AND(R900&lt;&gt;"修改",S900&lt;&gt;""),"只有「修改」才需填代碼",""))</f>
        <v/>
      </c>
      <c r="Y900" s="21"/>
      <c r="Z900" s="22"/>
      <c r="AA900" s="12" t="s">
        <v>2680</v>
      </c>
      <c r="AB900" s="24"/>
    </row>
    <row r="901" customFormat="false" ht="29.85" hidden="false" customHeight="false" outlineLevel="0" collapsed="false">
      <c r="A901" s="15" t="n">
        <v>900</v>
      </c>
      <c r="B901" s="9" t="s">
        <v>55</v>
      </c>
      <c r="C901" s="9" t="s">
        <v>2681</v>
      </c>
      <c r="D901" s="10" t="s">
        <v>2682</v>
      </c>
      <c r="E901" s="11" t="s">
        <v>2683</v>
      </c>
      <c r="F901" s="17"/>
      <c r="G901" s="12" t="s">
        <v>2681</v>
      </c>
      <c r="H901" s="13" t="n">
        <v>-0.035</v>
      </c>
      <c r="I901" s="14"/>
      <c r="J901" s="17"/>
      <c r="K901" s="9"/>
      <c r="L901" s="15" t="s">
        <v>50</v>
      </c>
      <c r="M901" s="16" t="s">
        <v>51</v>
      </c>
      <c r="N901" s="14"/>
      <c r="O901" s="15" t="s">
        <v>52</v>
      </c>
      <c r="P901" s="17" t="s">
        <v>53</v>
      </c>
      <c r="Q901" s="15"/>
      <c r="R901" s="18" t="s">
        <v>51</v>
      </c>
      <c r="S901" s="19"/>
      <c r="T901" s="17" t="str">
        <f aca="false">IF(R901="維持",J901,IF(R901="排除","無關新聞事件",IFERROR(INDEX(事件規則!$B$2:$B$53,MATCH(S901,事件規則!$A$2:$A$53,0)),"")))</f>
        <v>無關新聞事件</v>
      </c>
      <c r="U901" s="20" t="n">
        <f aca="false">IF(R901="維持",K901,IF(R901="排除",0,IFERROR(INDEX(事件規則!$C$2:$C$53,MATCH(S901,事件規則!$A$2:$A$53,0)),"")))</f>
        <v>0</v>
      </c>
      <c r="V901" s="21"/>
      <c r="W901" s="22"/>
      <c r="X901" s="10" t="str">
        <f aca="false">IF(AND(R901="修改",S901=""),"請選新事件代碼",IF(AND(R901&lt;&gt;"修改",S901&lt;&gt;""),"只有「修改」才需填代碼",""))</f>
        <v/>
      </c>
      <c r="Y901" s="21"/>
      <c r="Z901" s="22"/>
      <c r="AA901" s="12" t="s">
        <v>2684</v>
      </c>
      <c r="AB901" s="24"/>
    </row>
    <row r="902" customFormat="false" ht="29.85" hidden="false" customHeight="false" outlineLevel="0" collapsed="false">
      <c r="A902" s="15" t="n">
        <v>901</v>
      </c>
      <c r="B902" s="9" t="s">
        <v>112</v>
      </c>
      <c r="C902" s="9" t="s">
        <v>2424</v>
      </c>
      <c r="D902" s="10" t="s">
        <v>2425</v>
      </c>
      <c r="E902" s="11" t="s">
        <v>2685</v>
      </c>
      <c r="F902" s="17"/>
      <c r="G902" s="12" t="s">
        <v>949</v>
      </c>
      <c r="H902" s="13" t="n">
        <v>-0.035</v>
      </c>
      <c r="I902" s="14"/>
      <c r="J902" s="17"/>
      <c r="K902" s="9"/>
      <c r="L902" s="15" t="s">
        <v>50</v>
      </c>
      <c r="M902" s="16" t="s">
        <v>51</v>
      </c>
      <c r="N902" s="14"/>
      <c r="O902" s="15" t="s">
        <v>52</v>
      </c>
      <c r="P902" s="17" t="s">
        <v>53</v>
      </c>
      <c r="Q902" s="15"/>
      <c r="R902" s="18" t="s">
        <v>51</v>
      </c>
      <c r="S902" s="19"/>
      <c r="T902" s="17" t="str">
        <f aca="false">IF(R902="維持",J902,IF(R902="排除","無關新聞事件",IFERROR(INDEX(事件規則!$B$2:$B$53,MATCH(S902,事件規則!$A$2:$A$53,0)),"")))</f>
        <v>無關新聞事件</v>
      </c>
      <c r="U902" s="20" t="n">
        <f aca="false">IF(R902="維持",K902,IF(R902="排除",0,IFERROR(INDEX(事件規則!$C$2:$C$53,MATCH(S902,事件規則!$A$2:$A$53,0)),"")))</f>
        <v>0</v>
      </c>
      <c r="V902" s="21"/>
      <c r="W902" s="22"/>
      <c r="X902" s="10" t="str">
        <f aca="false">IF(AND(R902="修改",S902=""),"請選新事件代碼",IF(AND(R902&lt;&gt;"修改",S902&lt;&gt;""),"只有「修改」才需填代碼",""))</f>
        <v/>
      </c>
      <c r="Y902" s="21"/>
      <c r="Z902" s="22"/>
      <c r="AA902" s="12" t="s">
        <v>2686</v>
      </c>
      <c r="AB902" s="24"/>
    </row>
    <row r="903" customFormat="false" ht="29.85" hidden="false" customHeight="false" outlineLevel="0" collapsed="false">
      <c r="A903" s="15" t="n">
        <v>902</v>
      </c>
      <c r="B903" s="9" t="s">
        <v>112</v>
      </c>
      <c r="C903" s="9" t="s">
        <v>1899</v>
      </c>
      <c r="D903" s="10" t="s">
        <v>1900</v>
      </c>
      <c r="E903" s="11" t="s">
        <v>2687</v>
      </c>
      <c r="F903" s="17"/>
      <c r="G903" s="12" t="s">
        <v>105</v>
      </c>
      <c r="H903" s="13" t="n">
        <v>-0.035</v>
      </c>
      <c r="I903" s="14"/>
      <c r="J903" s="17"/>
      <c r="K903" s="9"/>
      <c r="L903" s="15" t="s">
        <v>50</v>
      </c>
      <c r="M903" s="16" t="s">
        <v>51</v>
      </c>
      <c r="N903" s="14"/>
      <c r="O903" s="15" t="s">
        <v>52</v>
      </c>
      <c r="P903" s="17" t="s">
        <v>53</v>
      </c>
      <c r="Q903" s="15"/>
      <c r="R903" s="18" t="s">
        <v>51</v>
      </c>
      <c r="S903" s="19"/>
      <c r="T903" s="17" t="str">
        <f aca="false">IF(R903="維持",J903,IF(R903="排除","無關新聞事件",IFERROR(INDEX(事件規則!$B$2:$B$53,MATCH(S903,事件規則!$A$2:$A$53,0)),"")))</f>
        <v>無關新聞事件</v>
      </c>
      <c r="U903" s="20" t="n">
        <f aca="false">IF(R903="維持",K903,IF(R903="排除",0,IFERROR(INDEX(事件規則!$C$2:$C$53,MATCH(S903,事件規則!$A$2:$A$53,0)),"")))</f>
        <v>0</v>
      </c>
      <c r="V903" s="21"/>
      <c r="W903" s="22"/>
      <c r="X903" s="10" t="str">
        <f aca="false">IF(AND(R903="修改",S903=""),"請選新事件代碼",IF(AND(R903&lt;&gt;"修改",S903&lt;&gt;""),"只有「修改」才需填代碼",""))</f>
        <v/>
      </c>
      <c r="Y903" s="21"/>
      <c r="Z903" s="22"/>
      <c r="AA903" s="12" t="s">
        <v>2688</v>
      </c>
      <c r="AB903" s="24"/>
    </row>
    <row r="904" customFormat="false" ht="29.85" hidden="false" customHeight="false" outlineLevel="0" collapsed="false">
      <c r="A904" s="15" t="n">
        <v>903</v>
      </c>
      <c r="B904" s="9" t="s">
        <v>112</v>
      </c>
      <c r="C904" s="9" t="s">
        <v>2689</v>
      </c>
      <c r="D904" s="10" t="s">
        <v>2690</v>
      </c>
      <c r="E904" s="11" t="s">
        <v>2691</v>
      </c>
      <c r="F904" s="17"/>
      <c r="G904" s="12" t="s">
        <v>1136</v>
      </c>
      <c r="H904" s="13" t="n">
        <v>-0.035</v>
      </c>
      <c r="I904" s="14"/>
      <c r="J904" s="17"/>
      <c r="K904" s="9"/>
      <c r="L904" s="15" t="s">
        <v>50</v>
      </c>
      <c r="M904" s="16" t="s">
        <v>51</v>
      </c>
      <c r="N904" s="14"/>
      <c r="O904" s="15" t="s">
        <v>52</v>
      </c>
      <c r="P904" s="17" t="s">
        <v>53</v>
      </c>
      <c r="Q904" s="15"/>
      <c r="R904" s="18" t="s">
        <v>51</v>
      </c>
      <c r="S904" s="19"/>
      <c r="T904" s="17" t="str">
        <f aca="false">IF(R904="維持",J904,IF(R904="排除","無關新聞事件",IFERROR(INDEX(事件規則!$B$2:$B$53,MATCH(S904,事件規則!$A$2:$A$53,0)),"")))</f>
        <v>無關新聞事件</v>
      </c>
      <c r="U904" s="20" t="n">
        <f aca="false">IF(R904="維持",K904,IF(R904="排除",0,IFERROR(INDEX(事件規則!$C$2:$C$53,MATCH(S904,事件規則!$A$2:$A$53,0)),"")))</f>
        <v>0</v>
      </c>
      <c r="V904" s="21"/>
      <c r="W904" s="22"/>
      <c r="X904" s="10" t="str">
        <f aca="false">IF(AND(R904="修改",S904=""),"請選新事件代碼",IF(AND(R904&lt;&gt;"修改",S904&lt;&gt;""),"只有「修改」才需填代碼",""))</f>
        <v/>
      </c>
      <c r="Y904" s="21"/>
      <c r="Z904" s="22"/>
      <c r="AA904" s="12" t="s">
        <v>2692</v>
      </c>
      <c r="AB904" s="24"/>
    </row>
    <row r="905" customFormat="false" ht="29.85" hidden="false" customHeight="false" outlineLevel="0" collapsed="false">
      <c r="A905" s="15" t="n">
        <v>904</v>
      </c>
      <c r="B905" s="9" t="s">
        <v>45</v>
      </c>
      <c r="C905" s="9" t="s">
        <v>1151</v>
      </c>
      <c r="D905" s="10" t="s">
        <v>1152</v>
      </c>
      <c r="E905" s="11" t="s">
        <v>2693</v>
      </c>
      <c r="F905" s="17"/>
      <c r="G905" s="12" t="s">
        <v>949</v>
      </c>
      <c r="H905" s="13" t="n">
        <v>-0.035</v>
      </c>
      <c r="I905" s="14"/>
      <c r="J905" s="17"/>
      <c r="K905" s="9"/>
      <c r="L905" s="15" t="s">
        <v>50</v>
      </c>
      <c r="M905" s="16" t="s">
        <v>51</v>
      </c>
      <c r="N905" s="14"/>
      <c r="O905" s="15" t="s">
        <v>52</v>
      </c>
      <c r="P905" s="17" t="s">
        <v>53</v>
      </c>
      <c r="Q905" s="15"/>
      <c r="R905" s="18" t="s">
        <v>51</v>
      </c>
      <c r="S905" s="19"/>
      <c r="T905" s="17" t="str">
        <f aca="false">IF(R905="維持",J905,IF(R905="排除","無關新聞事件",IFERROR(INDEX(事件規則!$B$2:$B$53,MATCH(S905,事件規則!$A$2:$A$53,0)),"")))</f>
        <v>無關新聞事件</v>
      </c>
      <c r="U905" s="20" t="n">
        <f aca="false">IF(R905="維持",K905,IF(R905="排除",0,IFERROR(INDEX(事件規則!$C$2:$C$53,MATCH(S905,事件規則!$A$2:$A$53,0)),"")))</f>
        <v>0</v>
      </c>
      <c r="V905" s="21"/>
      <c r="W905" s="22"/>
      <c r="X905" s="10" t="str">
        <f aca="false">IF(AND(R905="修改",S905=""),"請選新事件代碼",IF(AND(R905&lt;&gt;"修改",S905&lt;&gt;""),"只有「修改」才需填代碼",""))</f>
        <v/>
      </c>
      <c r="Y905" s="21"/>
      <c r="Z905" s="22"/>
      <c r="AA905" s="12" t="s">
        <v>2694</v>
      </c>
      <c r="AB905" s="24"/>
    </row>
    <row r="906" customFormat="false" ht="29.85" hidden="false" customHeight="false" outlineLevel="0" collapsed="false">
      <c r="A906" s="15" t="n">
        <v>905</v>
      </c>
      <c r="B906" s="9" t="s">
        <v>45</v>
      </c>
      <c r="C906" s="9" t="s">
        <v>973</v>
      </c>
      <c r="D906" s="10" t="s">
        <v>974</v>
      </c>
      <c r="E906" s="11" t="s">
        <v>2695</v>
      </c>
      <c r="F906" s="17"/>
      <c r="G906" s="12" t="s">
        <v>949</v>
      </c>
      <c r="H906" s="13" t="n">
        <v>-0.035</v>
      </c>
      <c r="I906" s="14"/>
      <c r="J906" s="17"/>
      <c r="K906" s="9"/>
      <c r="L906" s="15" t="s">
        <v>50</v>
      </c>
      <c r="M906" s="16" t="s">
        <v>51</v>
      </c>
      <c r="N906" s="14"/>
      <c r="O906" s="15" t="s">
        <v>52</v>
      </c>
      <c r="P906" s="17" t="s">
        <v>53</v>
      </c>
      <c r="Q906" s="15"/>
      <c r="R906" s="18" t="s">
        <v>51</v>
      </c>
      <c r="S906" s="19"/>
      <c r="T906" s="17" t="str">
        <f aca="false">IF(R906="維持",J906,IF(R906="排除","無關新聞事件",IFERROR(INDEX(事件規則!$B$2:$B$53,MATCH(S906,事件規則!$A$2:$A$53,0)),"")))</f>
        <v>無關新聞事件</v>
      </c>
      <c r="U906" s="20" t="n">
        <f aca="false">IF(R906="維持",K906,IF(R906="排除",0,IFERROR(INDEX(事件規則!$C$2:$C$53,MATCH(S906,事件規則!$A$2:$A$53,0)),"")))</f>
        <v>0</v>
      </c>
      <c r="V906" s="21"/>
      <c r="W906" s="22"/>
      <c r="X906" s="10" t="str">
        <f aca="false">IF(AND(R906="修改",S906=""),"請選新事件代碼",IF(AND(R906&lt;&gt;"修改",S906&lt;&gt;""),"只有「修改」才需填代碼",""))</f>
        <v/>
      </c>
      <c r="Y906" s="21"/>
      <c r="Z906" s="22"/>
      <c r="AA906" s="12" t="s">
        <v>2696</v>
      </c>
      <c r="AB906" s="24"/>
    </row>
    <row r="907" customFormat="false" ht="29.85" hidden="false" customHeight="false" outlineLevel="0" collapsed="false">
      <c r="A907" s="15" t="n">
        <v>906</v>
      </c>
      <c r="B907" s="9" t="s">
        <v>112</v>
      </c>
      <c r="C907" s="9" t="s">
        <v>2697</v>
      </c>
      <c r="D907" s="10" t="s">
        <v>2698</v>
      </c>
      <c r="E907" s="11" t="s">
        <v>2699</v>
      </c>
      <c r="F907" s="17"/>
      <c r="G907" s="12" t="s">
        <v>176</v>
      </c>
      <c r="H907" s="13" t="n">
        <v>-0.035</v>
      </c>
      <c r="I907" s="14"/>
      <c r="J907" s="17"/>
      <c r="K907" s="9"/>
      <c r="L907" s="15" t="s">
        <v>50</v>
      </c>
      <c r="M907" s="16" t="s">
        <v>51</v>
      </c>
      <c r="N907" s="14"/>
      <c r="O907" s="15" t="s">
        <v>52</v>
      </c>
      <c r="P907" s="17" t="s">
        <v>53</v>
      </c>
      <c r="Q907" s="15"/>
      <c r="R907" s="18" t="s">
        <v>51</v>
      </c>
      <c r="S907" s="19"/>
      <c r="T907" s="17" t="str">
        <f aca="false">IF(R907="維持",J907,IF(R907="排除","無關新聞事件",IFERROR(INDEX(事件規則!$B$2:$B$53,MATCH(S907,事件規則!$A$2:$A$53,0)),"")))</f>
        <v>無關新聞事件</v>
      </c>
      <c r="U907" s="20" t="n">
        <f aca="false">IF(R907="維持",K907,IF(R907="排除",0,IFERROR(INDEX(事件規則!$C$2:$C$53,MATCH(S907,事件規則!$A$2:$A$53,0)),"")))</f>
        <v>0</v>
      </c>
      <c r="V907" s="21"/>
      <c r="W907" s="22"/>
      <c r="X907" s="10" t="str">
        <f aca="false">IF(AND(R907="修改",S907=""),"請選新事件代碼",IF(AND(R907&lt;&gt;"修改",S907&lt;&gt;""),"只有「修改」才需填代碼",""))</f>
        <v/>
      </c>
      <c r="Y907" s="21"/>
      <c r="Z907" s="22"/>
      <c r="AA907" s="12" t="s">
        <v>2700</v>
      </c>
      <c r="AB907" s="24"/>
    </row>
    <row r="908" customFormat="false" ht="29.85" hidden="false" customHeight="false" outlineLevel="0" collapsed="false">
      <c r="A908" s="15" t="n">
        <v>907</v>
      </c>
      <c r="B908" s="9" t="s">
        <v>112</v>
      </c>
      <c r="C908" s="9" t="s">
        <v>917</v>
      </c>
      <c r="D908" s="10" t="s">
        <v>918</v>
      </c>
      <c r="E908" s="11" t="s">
        <v>2701</v>
      </c>
      <c r="F908" s="17"/>
      <c r="G908" s="12" t="s">
        <v>2033</v>
      </c>
      <c r="H908" s="13" t="n">
        <v>-0.035</v>
      </c>
      <c r="I908" s="14"/>
      <c r="J908" s="17"/>
      <c r="K908" s="9"/>
      <c r="L908" s="15" t="s">
        <v>50</v>
      </c>
      <c r="M908" s="16" t="s">
        <v>51</v>
      </c>
      <c r="N908" s="14"/>
      <c r="O908" s="15" t="s">
        <v>52</v>
      </c>
      <c r="P908" s="17" t="s">
        <v>53</v>
      </c>
      <c r="Q908" s="15"/>
      <c r="R908" s="18" t="s">
        <v>51</v>
      </c>
      <c r="S908" s="19"/>
      <c r="T908" s="17" t="str">
        <f aca="false">IF(R908="維持",J908,IF(R908="排除","無關新聞事件",IFERROR(INDEX(事件規則!$B$2:$B$53,MATCH(S908,事件規則!$A$2:$A$53,0)),"")))</f>
        <v>無關新聞事件</v>
      </c>
      <c r="U908" s="20" t="n">
        <f aca="false">IF(R908="維持",K908,IF(R908="排除",0,IFERROR(INDEX(事件規則!$C$2:$C$53,MATCH(S908,事件規則!$A$2:$A$53,0)),"")))</f>
        <v>0</v>
      </c>
      <c r="V908" s="21"/>
      <c r="W908" s="22"/>
      <c r="X908" s="10" t="str">
        <f aca="false">IF(AND(R908="修改",S908=""),"請選新事件代碼",IF(AND(R908&lt;&gt;"修改",S908&lt;&gt;""),"只有「修改」才需填代碼",""))</f>
        <v/>
      </c>
      <c r="Y908" s="21"/>
      <c r="Z908" s="22"/>
      <c r="AA908" s="12" t="s">
        <v>2702</v>
      </c>
      <c r="AB908" s="24"/>
    </row>
    <row r="909" customFormat="false" ht="29.85" hidden="false" customHeight="false" outlineLevel="0" collapsed="false">
      <c r="A909" s="15" t="n">
        <v>908</v>
      </c>
      <c r="B909" s="9" t="s">
        <v>112</v>
      </c>
      <c r="C909" s="9" t="s">
        <v>2703</v>
      </c>
      <c r="D909" s="10" t="s">
        <v>2704</v>
      </c>
      <c r="E909" s="11" t="s">
        <v>2705</v>
      </c>
      <c r="F909" s="17"/>
      <c r="G909" s="12" t="s">
        <v>105</v>
      </c>
      <c r="H909" s="13" t="n">
        <v>-0.035</v>
      </c>
      <c r="I909" s="14"/>
      <c r="J909" s="17"/>
      <c r="K909" s="9"/>
      <c r="L909" s="15" t="s">
        <v>50</v>
      </c>
      <c r="M909" s="16" t="s">
        <v>51</v>
      </c>
      <c r="N909" s="14"/>
      <c r="O909" s="15" t="s">
        <v>52</v>
      </c>
      <c r="P909" s="17" t="s">
        <v>53</v>
      </c>
      <c r="Q909" s="15"/>
      <c r="R909" s="18" t="s">
        <v>51</v>
      </c>
      <c r="S909" s="19"/>
      <c r="T909" s="17" t="str">
        <f aca="false">IF(R909="維持",J909,IF(R909="排除","無關新聞事件",IFERROR(INDEX(事件規則!$B$2:$B$53,MATCH(S909,事件規則!$A$2:$A$53,0)),"")))</f>
        <v>無關新聞事件</v>
      </c>
      <c r="U909" s="20" t="n">
        <f aca="false">IF(R909="維持",K909,IF(R909="排除",0,IFERROR(INDEX(事件規則!$C$2:$C$53,MATCH(S909,事件規則!$A$2:$A$53,0)),"")))</f>
        <v>0</v>
      </c>
      <c r="V909" s="21"/>
      <c r="W909" s="22"/>
      <c r="X909" s="10" t="str">
        <f aca="false">IF(AND(R909="修改",S909=""),"請選新事件代碼",IF(AND(R909&lt;&gt;"修改",S909&lt;&gt;""),"只有「修改」才需填代碼",""))</f>
        <v/>
      </c>
      <c r="Y909" s="21"/>
      <c r="Z909" s="22"/>
      <c r="AA909" s="12" t="s">
        <v>2706</v>
      </c>
      <c r="AB909" s="24"/>
    </row>
    <row r="910" customFormat="false" ht="29.85" hidden="false" customHeight="false" outlineLevel="0" collapsed="false">
      <c r="A910" s="15" t="n">
        <v>909</v>
      </c>
      <c r="B910" s="9" t="s">
        <v>112</v>
      </c>
      <c r="C910" s="9" t="s">
        <v>66</v>
      </c>
      <c r="D910" s="10" t="s">
        <v>67</v>
      </c>
      <c r="E910" s="11" t="s">
        <v>2707</v>
      </c>
      <c r="F910" s="17"/>
      <c r="G910" s="12" t="s">
        <v>105</v>
      </c>
      <c r="H910" s="13" t="n">
        <v>-0.035</v>
      </c>
      <c r="I910" s="14"/>
      <c r="J910" s="17"/>
      <c r="K910" s="9"/>
      <c r="L910" s="15" t="s">
        <v>50</v>
      </c>
      <c r="M910" s="16" t="s">
        <v>51</v>
      </c>
      <c r="N910" s="14"/>
      <c r="O910" s="15" t="s">
        <v>52</v>
      </c>
      <c r="P910" s="17" t="s">
        <v>53</v>
      </c>
      <c r="Q910" s="15"/>
      <c r="R910" s="18" t="s">
        <v>51</v>
      </c>
      <c r="S910" s="19"/>
      <c r="T910" s="17" t="str">
        <f aca="false">IF(R910="維持",J910,IF(R910="排除","無關新聞事件",IFERROR(INDEX(事件規則!$B$2:$B$53,MATCH(S910,事件規則!$A$2:$A$53,0)),"")))</f>
        <v>無關新聞事件</v>
      </c>
      <c r="U910" s="20" t="n">
        <f aca="false">IF(R910="維持",K910,IF(R910="排除",0,IFERROR(INDEX(事件規則!$C$2:$C$53,MATCH(S910,事件規則!$A$2:$A$53,0)),"")))</f>
        <v>0</v>
      </c>
      <c r="V910" s="21"/>
      <c r="W910" s="22"/>
      <c r="X910" s="10" t="str">
        <f aca="false">IF(AND(R910="修改",S910=""),"請選新事件代碼",IF(AND(R910&lt;&gt;"修改",S910&lt;&gt;""),"只有「修改」才需填代碼",""))</f>
        <v/>
      </c>
      <c r="Y910" s="21"/>
      <c r="Z910" s="22"/>
      <c r="AA910" s="12" t="s">
        <v>2708</v>
      </c>
      <c r="AB910" s="24"/>
    </row>
    <row r="911" customFormat="false" ht="29.85" hidden="false" customHeight="false" outlineLevel="0" collapsed="false">
      <c r="A911" s="15" t="n">
        <v>910</v>
      </c>
      <c r="B911" s="9" t="s">
        <v>45</v>
      </c>
      <c r="C911" s="9" t="s">
        <v>315</v>
      </c>
      <c r="D911" s="10" t="s">
        <v>316</v>
      </c>
      <c r="E911" s="11" t="s">
        <v>2709</v>
      </c>
      <c r="F911" s="17"/>
      <c r="G911" s="12" t="s">
        <v>949</v>
      </c>
      <c r="H911" s="13" t="n">
        <v>-0.035</v>
      </c>
      <c r="I911" s="14"/>
      <c r="J911" s="17"/>
      <c r="K911" s="9"/>
      <c r="L911" s="15" t="s">
        <v>50</v>
      </c>
      <c r="M911" s="16" t="s">
        <v>51</v>
      </c>
      <c r="N911" s="14"/>
      <c r="O911" s="15" t="s">
        <v>52</v>
      </c>
      <c r="P911" s="17" t="s">
        <v>53</v>
      </c>
      <c r="Q911" s="15"/>
      <c r="R911" s="18" t="s">
        <v>51</v>
      </c>
      <c r="S911" s="19"/>
      <c r="T911" s="17" t="str">
        <f aca="false">IF(R911="維持",J911,IF(R911="排除","無關新聞事件",IFERROR(INDEX(事件規則!$B$2:$B$53,MATCH(S911,事件規則!$A$2:$A$53,0)),"")))</f>
        <v>無關新聞事件</v>
      </c>
      <c r="U911" s="20" t="n">
        <f aca="false">IF(R911="維持",K911,IF(R911="排除",0,IFERROR(INDEX(事件規則!$C$2:$C$53,MATCH(S911,事件規則!$A$2:$A$53,0)),"")))</f>
        <v>0</v>
      </c>
      <c r="V911" s="21"/>
      <c r="W911" s="22"/>
      <c r="X911" s="10" t="str">
        <f aca="false">IF(AND(R911="修改",S911=""),"請選新事件代碼",IF(AND(R911&lt;&gt;"修改",S911&lt;&gt;""),"只有「修改」才需填代碼",""))</f>
        <v/>
      </c>
      <c r="Y911" s="21"/>
      <c r="Z911" s="22"/>
      <c r="AA911" s="12" t="s">
        <v>2710</v>
      </c>
      <c r="AB911" s="24"/>
    </row>
    <row r="912" customFormat="false" ht="29.85" hidden="false" customHeight="false" outlineLevel="0" collapsed="false">
      <c r="A912" s="15" t="n">
        <v>911</v>
      </c>
      <c r="B912" s="9" t="s">
        <v>45</v>
      </c>
      <c r="C912" s="9" t="s">
        <v>303</v>
      </c>
      <c r="D912" s="10" t="s">
        <v>304</v>
      </c>
      <c r="E912" s="11" t="s">
        <v>2711</v>
      </c>
      <c r="F912" s="17"/>
      <c r="G912" s="12" t="s">
        <v>949</v>
      </c>
      <c r="H912" s="13" t="n">
        <v>-0.035</v>
      </c>
      <c r="I912" s="14"/>
      <c r="J912" s="17"/>
      <c r="K912" s="9"/>
      <c r="L912" s="15" t="s">
        <v>50</v>
      </c>
      <c r="M912" s="16" t="s">
        <v>51</v>
      </c>
      <c r="N912" s="14"/>
      <c r="O912" s="15" t="s">
        <v>52</v>
      </c>
      <c r="P912" s="17" t="s">
        <v>53</v>
      </c>
      <c r="Q912" s="15"/>
      <c r="R912" s="18" t="s">
        <v>51</v>
      </c>
      <c r="S912" s="19"/>
      <c r="T912" s="17" t="str">
        <f aca="false">IF(R912="維持",J912,IF(R912="排除","無關新聞事件",IFERROR(INDEX(事件規則!$B$2:$B$53,MATCH(S912,事件規則!$A$2:$A$53,0)),"")))</f>
        <v>無關新聞事件</v>
      </c>
      <c r="U912" s="20" t="n">
        <f aca="false">IF(R912="維持",K912,IF(R912="排除",0,IFERROR(INDEX(事件規則!$C$2:$C$53,MATCH(S912,事件規則!$A$2:$A$53,0)),"")))</f>
        <v>0</v>
      </c>
      <c r="V912" s="21"/>
      <c r="W912" s="22"/>
      <c r="X912" s="10" t="str">
        <f aca="false">IF(AND(R912="修改",S912=""),"請選新事件代碼",IF(AND(R912&lt;&gt;"修改",S912&lt;&gt;""),"只有「修改」才需填代碼",""))</f>
        <v/>
      </c>
      <c r="Y912" s="21"/>
      <c r="Z912" s="22"/>
      <c r="AA912" s="12" t="s">
        <v>2712</v>
      </c>
      <c r="AB912" s="24"/>
    </row>
    <row r="913" customFormat="false" ht="29.85" hidden="false" customHeight="false" outlineLevel="0" collapsed="false">
      <c r="A913" s="15" t="n">
        <v>912</v>
      </c>
      <c r="B913" s="9" t="s">
        <v>55</v>
      </c>
      <c r="C913" s="9" t="s">
        <v>913</v>
      </c>
      <c r="D913" s="10" t="s">
        <v>914</v>
      </c>
      <c r="E913" s="11" t="s">
        <v>2713</v>
      </c>
      <c r="F913" s="17"/>
      <c r="G913" s="12" t="s">
        <v>1136</v>
      </c>
      <c r="H913" s="13" t="n">
        <v>-0.035</v>
      </c>
      <c r="I913" s="14"/>
      <c r="J913" s="17"/>
      <c r="K913" s="9"/>
      <c r="L913" s="15" t="s">
        <v>50</v>
      </c>
      <c r="M913" s="16" t="s">
        <v>51</v>
      </c>
      <c r="N913" s="14"/>
      <c r="O913" s="15" t="s">
        <v>52</v>
      </c>
      <c r="P913" s="17" t="s">
        <v>53</v>
      </c>
      <c r="Q913" s="15"/>
      <c r="R913" s="18" t="s">
        <v>51</v>
      </c>
      <c r="S913" s="19"/>
      <c r="T913" s="17" t="str">
        <f aca="false">IF(R913="維持",J913,IF(R913="排除","無關新聞事件",IFERROR(INDEX(事件規則!$B$2:$B$53,MATCH(S913,事件規則!$A$2:$A$53,0)),"")))</f>
        <v>無關新聞事件</v>
      </c>
      <c r="U913" s="20" t="n">
        <f aca="false">IF(R913="維持",K913,IF(R913="排除",0,IFERROR(INDEX(事件規則!$C$2:$C$53,MATCH(S913,事件規則!$A$2:$A$53,0)),"")))</f>
        <v>0</v>
      </c>
      <c r="V913" s="21"/>
      <c r="W913" s="22"/>
      <c r="X913" s="10" t="str">
        <f aca="false">IF(AND(R913="修改",S913=""),"請選新事件代碼",IF(AND(R913&lt;&gt;"修改",S913&lt;&gt;""),"只有「修改」才需填代碼",""))</f>
        <v/>
      </c>
      <c r="Y913" s="21"/>
      <c r="Z913" s="22"/>
      <c r="AA913" s="12" t="s">
        <v>2714</v>
      </c>
      <c r="AB913" s="24"/>
    </row>
    <row r="914" customFormat="false" ht="29.85" hidden="false" customHeight="false" outlineLevel="0" collapsed="false">
      <c r="A914" s="15" t="n">
        <v>913</v>
      </c>
      <c r="B914" s="9" t="s">
        <v>55</v>
      </c>
      <c r="C914" s="9" t="s">
        <v>639</v>
      </c>
      <c r="D914" s="10" t="s">
        <v>640</v>
      </c>
      <c r="E914" s="11" t="s">
        <v>2715</v>
      </c>
      <c r="F914" s="17"/>
      <c r="G914" s="12" t="s">
        <v>2716</v>
      </c>
      <c r="H914" s="13" t="n">
        <v>-0.034</v>
      </c>
      <c r="I914" s="14"/>
      <c r="J914" s="17"/>
      <c r="K914" s="9"/>
      <c r="L914" s="15" t="s">
        <v>50</v>
      </c>
      <c r="M914" s="16" t="s">
        <v>51</v>
      </c>
      <c r="N914" s="14"/>
      <c r="O914" s="15" t="s">
        <v>52</v>
      </c>
      <c r="P914" s="17" t="s">
        <v>53</v>
      </c>
      <c r="Q914" s="15"/>
      <c r="R914" s="18" t="s">
        <v>51</v>
      </c>
      <c r="S914" s="19"/>
      <c r="T914" s="17" t="str">
        <f aca="false">IF(R914="維持",J914,IF(R914="排除","無關新聞事件",IFERROR(INDEX(事件規則!$B$2:$B$53,MATCH(S914,事件規則!$A$2:$A$53,0)),"")))</f>
        <v>無關新聞事件</v>
      </c>
      <c r="U914" s="20" t="n">
        <f aca="false">IF(R914="維持",K914,IF(R914="排除",0,IFERROR(INDEX(事件規則!$C$2:$C$53,MATCH(S914,事件規則!$A$2:$A$53,0)),"")))</f>
        <v>0</v>
      </c>
      <c r="V914" s="21"/>
      <c r="W914" s="22"/>
      <c r="X914" s="10" t="str">
        <f aca="false">IF(AND(R914="修改",S914=""),"請選新事件代碼",IF(AND(R914&lt;&gt;"修改",S914&lt;&gt;""),"只有「修改」才需填代碼",""))</f>
        <v/>
      </c>
      <c r="Y914" s="21"/>
      <c r="Z914" s="22"/>
      <c r="AA914" s="12" t="s">
        <v>2717</v>
      </c>
      <c r="AB914" s="24"/>
    </row>
    <row r="915" customFormat="false" ht="29.85" hidden="false" customHeight="false" outlineLevel="0" collapsed="false">
      <c r="A915" s="15" t="n">
        <v>914</v>
      </c>
      <c r="B915" s="9" t="s">
        <v>55</v>
      </c>
      <c r="C915" s="9" t="s">
        <v>404</v>
      </c>
      <c r="D915" s="10" t="s">
        <v>405</v>
      </c>
      <c r="E915" s="11" t="s">
        <v>2718</v>
      </c>
      <c r="F915" s="17"/>
      <c r="G915" s="12" t="s">
        <v>105</v>
      </c>
      <c r="H915" s="13" t="n">
        <v>-0.034</v>
      </c>
      <c r="I915" s="14"/>
      <c r="J915" s="17"/>
      <c r="K915" s="9"/>
      <c r="L915" s="15" t="s">
        <v>50</v>
      </c>
      <c r="M915" s="16" t="s">
        <v>51</v>
      </c>
      <c r="N915" s="14"/>
      <c r="O915" s="15" t="s">
        <v>52</v>
      </c>
      <c r="P915" s="17" t="s">
        <v>53</v>
      </c>
      <c r="Q915" s="15"/>
      <c r="R915" s="18" t="s">
        <v>51</v>
      </c>
      <c r="S915" s="19"/>
      <c r="T915" s="17" t="str">
        <f aca="false">IF(R915="維持",J915,IF(R915="排除","無關新聞事件",IFERROR(INDEX(事件規則!$B$2:$B$53,MATCH(S915,事件規則!$A$2:$A$53,0)),"")))</f>
        <v>無關新聞事件</v>
      </c>
      <c r="U915" s="20" t="n">
        <f aca="false">IF(R915="維持",K915,IF(R915="排除",0,IFERROR(INDEX(事件規則!$C$2:$C$53,MATCH(S915,事件規則!$A$2:$A$53,0)),"")))</f>
        <v>0</v>
      </c>
      <c r="V915" s="21"/>
      <c r="W915" s="22"/>
      <c r="X915" s="10" t="str">
        <f aca="false">IF(AND(R915="修改",S915=""),"請選新事件代碼",IF(AND(R915&lt;&gt;"修改",S915&lt;&gt;""),"只有「修改」才需填代碼",""))</f>
        <v/>
      </c>
      <c r="Y915" s="21"/>
      <c r="Z915" s="22"/>
      <c r="AA915" s="12" t="s">
        <v>2719</v>
      </c>
      <c r="AB915" s="24"/>
    </row>
    <row r="916" customFormat="false" ht="29.85" hidden="false" customHeight="false" outlineLevel="0" collapsed="false">
      <c r="A916" s="15" t="n">
        <v>915</v>
      </c>
      <c r="B916" s="9" t="s">
        <v>55</v>
      </c>
      <c r="C916" s="9" t="s">
        <v>873</v>
      </c>
      <c r="D916" s="10" t="s">
        <v>874</v>
      </c>
      <c r="E916" s="11" t="s">
        <v>2720</v>
      </c>
      <c r="F916" s="17"/>
      <c r="G916" s="12" t="s">
        <v>949</v>
      </c>
      <c r="H916" s="13" t="n">
        <v>-0.034</v>
      </c>
      <c r="I916" s="14"/>
      <c r="J916" s="17"/>
      <c r="K916" s="9"/>
      <c r="L916" s="15" t="s">
        <v>50</v>
      </c>
      <c r="M916" s="16" t="s">
        <v>51</v>
      </c>
      <c r="N916" s="14"/>
      <c r="O916" s="15" t="s">
        <v>52</v>
      </c>
      <c r="P916" s="17" t="s">
        <v>53</v>
      </c>
      <c r="Q916" s="15"/>
      <c r="R916" s="18" t="s">
        <v>51</v>
      </c>
      <c r="S916" s="19"/>
      <c r="T916" s="17" t="str">
        <f aca="false">IF(R916="維持",J916,IF(R916="排除","無關新聞事件",IFERROR(INDEX(事件規則!$B$2:$B$53,MATCH(S916,事件規則!$A$2:$A$53,0)),"")))</f>
        <v>無關新聞事件</v>
      </c>
      <c r="U916" s="20" t="n">
        <f aca="false">IF(R916="維持",K916,IF(R916="排除",0,IFERROR(INDEX(事件規則!$C$2:$C$53,MATCH(S916,事件規則!$A$2:$A$53,0)),"")))</f>
        <v>0</v>
      </c>
      <c r="V916" s="21"/>
      <c r="W916" s="22"/>
      <c r="X916" s="10" t="str">
        <f aca="false">IF(AND(R916="修改",S916=""),"請選新事件代碼",IF(AND(R916&lt;&gt;"修改",S916&lt;&gt;""),"只有「修改」才需填代碼",""))</f>
        <v/>
      </c>
      <c r="Y916" s="21"/>
      <c r="Z916" s="22"/>
      <c r="AA916" s="12" t="s">
        <v>2721</v>
      </c>
      <c r="AB916" s="24"/>
    </row>
    <row r="917" customFormat="false" ht="29.85" hidden="false" customHeight="false" outlineLevel="0" collapsed="false">
      <c r="A917" s="15" t="n">
        <v>916</v>
      </c>
      <c r="B917" s="9" t="s">
        <v>55</v>
      </c>
      <c r="C917" s="9" t="s">
        <v>2722</v>
      </c>
      <c r="D917" s="10" t="s">
        <v>2723</v>
      </c>
      <c r="E917" s="11" t="s">
        <v>2724</v>
      </c>
      <c r="F917" s="17"/>
      <c r="G917" s="12" t="s">
        <v>1136</v>
      </c>
      <c r="H917" s="13" t="n">
        <v>-0.034</v>
      </c>
      <c r="I917" s="14"/>
      <c r="J917" s="17"/>
      <c r="K917" s="9"/>
      <c r="L917" s="15" t="s">
        <v>50</v>
      </c>
      <c r="M917" s="16" t="s">
        <v>51</v>
      </c>
      <c r="N917" s="14"/>
      <c r="O917" s="15" t="s">
        <v>52</v>
      </c>
      <c r="P917" s="17" t="s">
        <v>53</v>
      </c>
      <c r="Q917" s="15"/>
      <c r="R917" s="18" t="s">
        <v>51</v>
      </c>
      <c r="S917" s="19"/>
      <c r="T917" s="17" t="str">
        <f aca="false">IF(R917="維持",J917,IF(R917="排除","無關新聞事件",IFERROR(INDEX(事件規則!$B$2:$B$53,MATCH(S917,事件規則!$A$2:$A$53,0)),"")))</f>
        <v>無關新聞事件</v>
      </c>
      <c r="U917" s="20" t="n">
        <f aca="false">IF(R917="維持",K917,IF(R917="排除",0,IFERROR(INDEX(事件規則!$C$2:$C$53,MATCH(S917,事件規則!$A$2:$A$53,0)),"")))</f>
        <v>0</v>
      </c>
      <c r="V917" s="21"/>
      <c r="W917" s="22"/>
      <c r="X917" s="10" t="str">
        <f aca="false">IF(AND(R917="修改",S917=""),"請選新事件代碼",IF(AND(R917&lt;&gt;"修改",S917&lt;&gt;""),"只有「修改」才需填代碼",""))</f>
        <v/>
      </c>
      <c r="Y917" s="21"/>
      <c r="Z917" s="22"/>
      <c r="AA917" s="12" t="s">
        <v>2725</v>
      </c>
      <c r="AB917" s="24"/>
    </row>
    <row r="918" customFormat="false" ht="29.85" hidden="false" customHeight="false" outlineLevel="0" collapsed="false">
      <c r="A918" s="15" t="n">
        <v>917</v>
      </c>
      <c r="B918" s="9" t="s">
        <v>55</v>
      </c>
      <c r="C918" s="9" t="s">
        <v>449</v>
      </c>
      <c r="D918" s="10" t="s">
        <v>450</v>
      </c>
      <c r="E918" s="11" t="s">
        <v>2726</v>
      </c>
      <c r="F918" s="17"/>
      <c r="G918" s="12" t="s">
        <v>1136</v>
      </c>
      <c r="H918" s="13" t="n">
        <v>-0.034</v>
      </c>
      <c r="I918" s="14"/>
      <c r="J918" s="17"/>
      <c r="K918" s="9"/>
      <c r="L918" s="15" t="s">
        <v>50</v>
      </c>
      <c r="M918" s="16" t="s">
        <v>51</v>
      </c>
      <c r="N918" s="14"/>
      <c r="O918" s="15" t="s">
        <v>52</v>
      </c>
      <c r="P918" s="17" t="s">
        <v>53</v>
      </c>
      <c r="Q918" s="15"/>
      <c r="R918" s="18" t="s">
        <v>51</v>
      </c>
      <c r="S918" s="19"/>
      <c r="T918" s="17" t="str">
        <f aca="false">IF(R918="維持",J918,IF(R918="排除","無關新聞事件",IFERROR(INDEX(事件規則!$B$2:$B$53,MATCH(S918,事件規則!$A$2:$A$53,0)),"")))</f>
        <v>無關新聞事件</v>
      </c>
      <c r="U918" s="20" t="n">
        <f aca="false">IF(R918="維持",K918,IF(R918="排除",0,IFERROR(INDEX(事件規則!$C$2:$C$53,MATCH(S918,事件規則!$A$2:$A$53,0)),"")))</f>
        <v>0</v>
      </c>
      <c r="V918" s="21"/>
      <c r="W918" s="22"/>
      <c r="X918" s="10" t="str">
        <f aca="false">IF(AND(R918="修改",S918=""),"請選新事件代碼",IF(AND(R918&lt;&gt;"修改",S918&lt;&gt;""),"只有「修改」才需填代碼",""))</f>
        <v/>
      </c>
      <c r="Y918" s="21"/>
      <c r="Z918" s="22"/>
      <c r="AA918" s="12" t="s">
        <v>2727</v>
      </c>
      <c r="AB918" s="24"/>
    </row>
    <row r="919" customFormat="false" ht="29.85" hidden="false" customHeight="false" outlineLevel="0" collapsed="false">
      <c r="A919" s="15" t="n">
        <v>918</v>
      </c>
      <c r="B919" s="9" t="s">
        <v>55</v>
      </c>
      <c r="C919" s="9" t="s">
        <v>873</v>
      </c>
      <c r="D919" s="10" t="s">
        <v>874</v>
      </c>
      <c r="E919" s="11" t="s">
        <v>2728</v>
      </c>
      <c r="F919" s="17"/>
      <c r="G919" s="12" t="s">
        <v>949</v>
      </c>
      <c r="H919" s="13" t="n">
        <v>-0.034</v>
      </c>
      <c r="I919" s="14"/>
      <c r="J919" s="17"/>
      <c r="K919" s="9"/>
      <c r="L919" s="15" t="s">
        <v>50</v>
      </c>
      <c r="M919" s="16" t="s">
        <v>51</v>
      </c>
      <c r="N919" s="14"/>
      <c r="O919" s="15" t="s">
        <v>52</v>
      </c>
      <c r="P919" s="17" t="s">
        <v>53</v>
      </c>
      <c r="Q919" s="15"/>
      <c r="R919" s="18" t="s">
        <v>51</v>
      </c>
      <c r="S919" s="19"/>
      <c r="T919" s="17" t="str">
        <f aca="false">IF(R919="維持",J919,IF(R919="排除","無關新聞事件",IFERROR(INDEX(事件規則!$B$2:$B$53,MATCH(S919,事件規則!$A$2:$A$53,0)),"")))</f>
        <v>無關新聞事件</v>
      </c>
      <c r="U919" s="20" t="n">
        <f aca="false">IF(R919="維持",K919,IF(R919="排除",0,IFERROR(INDEX(事件規則!$C$2:$C$53,MATCH(S919,事件規則!$A$2:$A$53,0)),"")))</f>
        <v>0</v>
      </c>
      <c r="V919" s="21"/>
      <c r="W919" s="22"/>
      <c r="X919" s="10" t="str">
        <f aca="false">IF(AND(R919="修改",S919=""),"請選新事件代碼",IF(AND(R919&lt;&gt;"修改",S919&lt;&gt;""),"只有「修改」才需填代碼",""))</f>
        <v/>
      </c>
      <c r="Y919" s="21"/>
      <c r="Z919" s="22"/>
      <c r="AA919" s="12" t="s">
        <v>2729</v>
      </c>
      <c r="AB919" s="24"/>
    </row>
    <row r="920" customFormat="false" ht="29.85" hidden="false" customHeight="false" outlineLevel="0" collapsed="false">
      <c r="A920" s="15" t="n">
        <v>919</v>
      </c>
      <c r="B920" s="9" t="s">
        <v>55</v>
      </c>
      <c r="C920" s="9" t="s">
        <v>2730</v>
      </c>
      <c r="D920" s="10" t="s">
        <v>2731</v>
      </c>
      <c r="E920" s="11" t="s">
        <v>2732</v>
      </c>
      <c r="F920" s="17"/>
      <c r="G920" s="12" t="s">
        <v>949</v>
      </c>
      <c r="H920" s="13" t="n">
        <v>-0.034</v>
      </c>
      <c r="I920" s="14"/>
      <c r="J920" s="17"/>
      <c r="K920" s="9"/>
      <c r="L920" s="15" t="s">
        <v>50</v>
      </c>
      <c r="M920" s="16" t="s">
        <v>51</v>
      </c>
      <c r="N920" s="14"/>
      <c r="O920" s="15" t="s">
        <v>52</v>
      </c>
      <c r="P920" s="17" t="s">
        <v>53</v>
      </c>
      <c r="Q920" s="15"/>
      <c r="R920" s="18" t="s">
        <v>51</v>
      </c>
      <c r="S920" s="19"/>
      <c r="T920" s="17" t="str">
        <f aca="false">IF(R920="維持",J920,IF(R920="排除","無關新聞事件",IFERROR(INDEX(事件規則!$B$2:$B$53,MATCH(S920,事件規則!$A$2:$A$53,0)),"")))</f>
        <v>無關新聞事件</v>
      </c>
      <c r="U920" s="20" t="n">
        <f aca="false">IF(R920="維持",K920,IF(R920="排除",0,IFERROR(INDEX(事件規則!$C$2:$C$53,MATCH(S920,事件規則!$A$2:$A$53,0)),"")))</f>
        <v>0</v>
      </c>
      <c r="V920" s="21"/>
      <c r="W920" s="22"/>
      <c r="X920" s="10" t="str">
        <f aca="false">IF(AND(R920="修改",S920=""),"請選新事件代碼",IF(AND(R920&lt;&gt;"修改",S920&lt;&gt;""),"只有「修改」才需填代碼",""))</f>
        <v/>
      </c>
      <c r="Y920" s="21"/>
      <c r="Z920" s="22"/>
      <c r="AA920" s="12" t="s">
        <v>2733</v>
      </c>
      <c r="AB920" s="24"/>
    </row>
    <row r="921" customFormat="false" ht="29.85" hidden="false" customHeight="false" outlineLevel="0" collapsed="false">
      <c r="A921" s="15" t="n">
        <v>920</v>
      </c>
      <c r="B921" s="9" t="s">
        <v>55</v>
      </c>
      <c r="C921" s="9" t="s">
        <v>449</v>
      </c>
      <c r="D921" s="10" t="s">
        <v>450</v>
      </c>
      <c r="E921" s="11" t="s">
        <v>2734</v>
      </c>
      <c r="F921" s="17"/>
      <c r="G921" s="12" t="s">
        <v>1136</v>
      </c>
      <c r="H921" s="13" t="n">
        <v>-0.034</v>
      </c>
      <c r="I921" s="14"/>
      <c r="J921" s="17"/>
      <c r="K921" s="9"/>
      <c r="L921" s="15" t="s">
        <v>50</v>
      </c>
      <c r="M921" s="16" t="s">
        <v>51</v>
      </c>
      <c r="N921" s="14"/>
      <c r="O921" s="15" t="s">
        <v>52</v>
      </c>
      <c r="P921" s="17" t="s">
        <v>53</v>
      </c>
      <c r="Q921" s="15"/>
      <c r="R921" s="18" t="s">
        <v>51</v>
      </c>
      <c r="S921" s="19"/>
      <c r="T921" s="17" t="str">
        <f aca="false">IF(R921="維持",J921,IF(R921="排除","無關新聞事件",IFERROR(INDEX(事件規則!$B$2:$B$53,MATCH(S921,事件規則!$A$2:$A$53,0)),"")))</f>
        <v>無關新聞事件</v>
      </c>
      <c r="U921" s="20" t="n">
        <f aca="false">IF(R921="維持",K921,IF(R921="排除",0,IFERROR(INDEX(事件規則!$C$2:$C$53,MATCH(S921,事件規則!$A$2:$A$53,0)),"")))</f>
        <v>0</v>
      </c>
      <c r="V921" s="21"/>
      <c r="W921" s="22"/>
      <c r="X921" s="10" t="str">
        <f aca="false">IF(AND(R921="修改",S921=""),"請選新事件代碼",IF(AND(R921&lt;&gt;"修改",S921&lt;&gt;""),"只有「修改」才需填代碼",""))</f>
        <v/>
      </c>
      <c r="Y921" s="21"/>
      <c r="Z921" s="22"/>
      <c r="AA921" s="12" t="s">
        <v>2735</v>
      </c>
      <c r="AB921" s="24"/>
    </row>
    <row r="922" customFormat="false" ht="29.85" hidden="false" customHeight="false" outlineLevel="0" collapsed="false">
      <c r="A922" s="15" t="n">
        <v>921</v>
      </c>
      <c r="B922" s="9" t="s">
        <v>55</v>
      </c>
      <c r="C922" s="9" t="s">
        <v>1920</v>
      </c>
      <c r="D922" s="10" t="s">
        <v>1921</v>
      </c>
      <c r="E922" s="11" t="s">
        <v>2736</v>
      </c>
      <c r="F922" s="17"/>
      <c r="G922" s="12" t="s">
        <v>1136</v>
      </c>
      <c r="H922" s="13" t="n">
        <v>-0.034</v>
      </c>
      <c r="I922" s="14"/>
      <c r="J922" s="17"/>
      <c r="K922" s="9"/>
      <c r="L922" s="15" t="s">
        <v>50</v>
      </c>
      <c r="M922" s="16" t="s">
        <v>51</v>
      </c>
      <c r="N922" s="14"/>
      <c r="O922" s="15" t="s">
        <v>52</v>
      </c>
      <c r="P922" s="17" t="s">
        <v>53</v>
      </c>
      <c r="Q922" s="15"/>
      <c r="R922" s="18" t="s">
        <v>51</v>
      </c>
      <c r="S922" s="19"/>
      <c r="T922" s="17" t="str">
        <f aca="false">IF(R922="維持",J922,IF(R922="排除","無關新聞事件",IFERROR(INDEX(事件規則!$B$2:$B$53,MATCH(S922,事件規則!$A$2:$A$53,0)),"")))</f>
        <v>無關新聞事件</v>
      </c>
      <c r="U922" s="20" t="n">
        <f aca="false">IF(R922="維持",K922,IF(R922="排除",0,IFERROR(INDEX(事件規則!$C$2:$C$53,MATCH(S922,事件規則!$A$2:$A$53,0)),"")))</f>
        <v>0</v>
      </c>
      <c r="V922" s="21"/>
      <c r="W922" s="22"/>
      <c r="X922" s="10" t="str">
        <f aca="false">IF(AND(R922="修改",S922=""),"請選新事件代碼",IF(AND(R922&lt;&gt;"修改",S922&lt;&gt;""),"只有「修改」才需填代碼",""))</f>
        <v/>
      </c>
      <c r="Y922" s="21"/>
      <c r="Z922" s="22"/>
      <c r="AA922" s="12" t="s">
        <v>2737</v>
      </c>
      <c r="AB922" s="24"/>
    </row>
    <row r="923" customFormat="false" ht="29.85" hidden="false" customHeight="false" outlineLevel="0" collapsed="false">
      <c r="A923" s="15" t="n">
        <v>922</v>
      </c>
      <c r="B923" s="9" t="s">
        <v>55</v>
      </c>
      <c r="C923" s="9" t="s">
        <v>716</v>
      </c>
      <c r="D923" s="10" t="s">
        <v>717</v>
      </c>
      <c r="E923" s="11" t="s">
        <v>2738</v>
      </c>
      <c r="F923" s="17"/>
      <c r="G923" s="12" t="s">
        <v>949</v>
      </c>
      <c r="H923" s="13" t="n">
        <v>-0.034</v>
      </c>
      <c r="I923" s="14"/>
      <c r="J923" s="17"/>
      <c r="K923" s="9"/>
      <c r="L923" s="15" t="s">
        <v>50</v>
      </c>
      <c r="M923" s="16" t="s">
        <v>51</v>
      </c>
      <c r="N923" s="14"/>
      <c r="O923" s="15" t="s">
        <v>52</v>
      </c>
      <c r="P923" s="17" t="s">
        <v>53</v>
      </c>
      <c r="Q923" s="15"/>
      <c r="R923" s="18" t="s">
        <v>51</v>
      </c>
      <c r="S923" s="19"/>
      <c r="T923" s="17" t="str">
        <f aca="false">IF(R923="維持",J923,IF(R923="排除","無關新聞事件",IFERROR(INDEX(事件規則!$B$2:$B$53,MATCH(S923,事件規則!$A$2:$A$53,0)),"")))</f>
        <v>無關新聞事件</v>
      </c>
      <c r="U923" s="20" t="n">
        <f aca="false">IF(R923="維持",K923,IF(R923="排除",0,IFERROR(INDEX(事件規則!$C$2:$C$53,MATCH(S923,事件規則!$A$2:$A$53,0)),"")))</f>
        <v>0</v>
      </c>
      <c r="V923" s="21"/>
      <c r="W923" s="22"/>
      <c r="X923" s="10" t="str">
        <f aca="false">IF(AND(R923="修改",S923=""),"請選新事件代碼",IF(AND(R923&lt;&gt;"修改",S923&lt;&gt;""),"只有「修改」才需填代碼",""))</f>
        <v/>
      </c>
      <c r="Y923" s="21"/>
      <c r="Z923" s="22"/>
      <c r="AA923" s="12" t="s">
        <v>2739</v>
      </c>
      <c r="AB923" s="24"/>
    </row>
    <row r="924" customFormat="false" ht="29.85" hidden="false" customHeight="false" outlineLevel="0" collapsed="false">
      <c r="A924" s="15" t="n">
        <v>923</v>
      </c>
      <c r="B924" s="9" t="s">
        <v>45</v>
      </c>
      <c r="C924" s="9" t="s">
        <v>1415</v>
      </c>
      <c r="D924" s="10" t="s">
        <v>1416</v>
      </c>
      <c r="E924" s="11" t="s">
        <v>2740</v>
      </c>
      <c r="F924" s="17"/>
      <c r="G924" s="12" t="s">
        <v>949</v>
      </c>
      <c r="H924" s="13" t="n">
        <v>-0.034</v>
      </c>
      <c r="I924" s="14"/>
      <c r="J924" s="17"/>
      <c r="K924" s="9"/>
      <c r="L924" s="15" t="s">
        <v>50</v>
      </c>
      <c r="M924" s="16" t="s">
        <v>51</v>
      </c>
      <c r="N924" s="14"/>
      <c r="O924" s="15" t="s">
        <v>52</v>
      </c>
      <c r="P924" s="17" t="s">
        <v>53</v>
      </c>
      <c r="Q924" s="15"/>
      <c r="R924" s="18" t="s">
        <v>51</v>
      </c>
      <c r="S924" s="19"/>
      <c r="T924" s="17" t="str">
        <f aca="false">IF(R924="維持",J924,IF(R924="排除","無關新聞事件",IFERROR(INDEX(事件規則!$B$2:$B$53,MATCH(S924,事件規則!$A$2:$A$53,0)),"")))</f>
        <v>無關新聞事件</v>
      </c>
      <c r="U924" s="20" t="n">
        <f aca="false">IF(R924="維持",K924,IF(R924="排除",0,IFERROR(INDEX(事件規則!$C$2:$C$53,MATCH(S924,事件規則!$A$2:$A$53,0)),"")))</f>
        <v>0</v>
      </c>
      <c r="V924" s="21"/>
      <c r="W924" s="22"/>
      <c r="X924" s="10" t="str">
        <f aca="false">IF(AND(R924="修改",S924=""),"請選新事件代碼",IF(AND(R924&lt;&gt;"修改",S924&lt;&gt;""),"只有「修改」才需填代碼",""))</f>
        <v/>
      </c>
      <c r="Y924" s="21"/>
      <c r="Z924" s="22"/>
      <c r="AA924" s="12" t="s">
        <v>2741</v>
      </c>
      <c r="AB924" s="24"/>
    </row>
    <row r="925" customFormat="false" ht="29.85" hidden="false" customHeight="false" outlineLevel="0" collapsed="false">
      <c r="A925" s="15" t="n">
        <v>924</v>
      </c>
      <c r="B925" s="9" t="s">
        <v>112</v>
      </c>
      <c r="C925" s="9" t="s">
        <v>414</v>
      </c>
      <c r="D925" s="10" t="s">
        <v>415</v>
      </c>
      <c r="E925" s="11" t="s">
        <v>2742</v>
      </c>
      <c r="F925" s="17"/>
      <c r="G925" s="12" t="s">
        <v>116</v>
      </c>
      <c r="H925" s="13" t="n">
        <v>-0.034</v>
      </c>
      <c r="I925" s="14"/>
      <c r="J925" s="17"/>
      <c r="K925" s="9"/>
      <c r="L925" s="15" t="s">
        <v>50</v>
      </c>
      <c r="M925" s="16" t="s">
        <v>51</v>
      </c>
      <c r="N925" s="14"/>
      <c r="O925" s="15" t="s">
        <v>52</v>
      </c>
      <c r="P925" s="17" t="s">
        <v>53</v>
      </c>
      <c r="Q925" s="15"/>
      <c r="R925" s="18" t="s">
        <v>51</v>
      </c>
      <c r="S925" s="19"/>
      <c r="T925" s="17" t="str">
        <f aca="false">IF(R925="維持",J925,IF(R925="排除","無關新聞事件",IFERROR(INDEX(事件規則!$B$2:$B$53,MATCH(S925,事件規則!$A$2:$A$53,0)),"")))</f>
        <v>無關新聞事件</v>
      </c>
      <c r="U925" s="20" t="n">
        <f aca="false">IF(R925="維持",K925,IF(R925="排除",0,IFERROR(INDEX(事件規則!$C$2:$C$53,MATCH(S925,事件規則!$A$2:$A$53,0)),"")))</f>
        <v>0</v>
      </c>
      <c r="V925" s="21"/>
      <c r="W925" s="22"/>
      <c r="X925" s="10" t="str">
        <f aca="false">IF(AND(R925="修改",S925=""),"請選新事件代碼",IF(AND(R925&lt;&gt;"修改",S925&lt;&gt;""),"只有「修改」才需填代碼",""))</f>
        <v/>
      </c>
      <c r="Y925" s="21"/>
      <c r="Z925" s="22"/>
      <c r="AA925" s="12" t="s">
        <v>2743</v>
      </c>
      <c r="AB925" s="24"/>
    </row>
    <row r="926" customFormat="false" ht="29.85" hidden="false" customHeight="false" outlineLevel="0" collapsed="false">
      <c r="A926" s="15" t="n">
        <v>925</v>
      </c>
      <c r="B926" s="9" t="s">
        <v>112</v>
      </c>
      <c r="C926" s="9" t="s">
        <v>2124</v>
      </c>
      <c r="D926" s="10" t="s">
        <v>2125</v>
      </c>
      <c r="E926" s="11" t="s">
        <v>2744</v>
      </c>
      <c r="F926" s="17"/>
      <c r="G926" s="12" t="s">
        <v>164</v>
      </c>
      <c r="H926" s="13" t="n">
        <v>-0.034</v>
      </c>
      <c r="I926" s="14"/>
      <c r="J926" s="17"/>
      <c r="K926" s="9"/>
      <c r="L926" s="15" t="s">
        <v>50</v>
      </c>
      <c r="M926" s="16" t="s">
        <v>51</v>
      </c>
      <c r="N926" s="14"/>
      <c r="O926" s="15" t="s">
        <v>52</v>
      </c>
      <c r="P926" s="17" t="s">
        <v>53</v>
      </c>
      <c r="Q926" s="15"/>
      <c r="R926" s="18" t="s">
        <v>51</v>
      </c>
      <c r="S926" s="19"/>
      <c r="T926" s="17" t="str">
        <f aca="false">IF(R926="維持",J926,IF(R926="排除","無關新聞事件",IFERROR(INDEX(事件規則!$B$2:$B$53,MATCH(S926,事件規則!$A$2:$A$53,0)),"")))</f>
        <v>無關新聞事件</v>
      </c>
      <c r="U926" s="20" t="n">
        <f aca="false">IF(R926="維持",K926,IF(R926="排除",0,IFERROR(INDEX(事件規則!$C$2:$C$53,MATCH(S926,事件規則!$A$2:$A$53,0)),"")))</f>
        <v>0</v>
      </c>
      <c r="V926" s="21"/>
      <c r="W926" s="22"/>
      <c r="X926" s="10" t="str">
        <f aca="false">IF(AND(R926="修改",S926=""),"請選新事件代碼",IF(AND(R926&lt;&gt;"修改",S926&lt;&gt;""),"只有「修改」才需填代碼",""))</f>
        <v/>
      </c>
      <c r="Y926" s="21"/>
      <c r="Z926" s="22"/>
      <c r="AA926" s="12" t="s">
        <v>2745</v>
      </c>
      <c r="AB926" s="24"/>
    </row>
    <row r="927" customFormat="false" ht="29.85" hidden="false" customHeight="false" outlineLevel="0" collapsed="false">
      <c r="A927" s="15" t="n">
        <v>926</v>
      </c>
      <c r="B927" s="9" t="s">
        <v>112</v>
      </c>
      <c r="C927" s="9" t="s">
        <v>326</v>
      </c>
      <c r="D927" s="10" t="s">
        <v>326</v>
      </c>
      <c r="E927" s="11" t="s">
        <v>2746</v>
      </c>
      <c r="F927" s="17"/>
      <c r="G927" s="12" t="s">
        <v>949</v>
      </c>
      <c r="H927" s="13" t="n">
        <v>-0.034</v>
      </c>
      <c r="I927" s="14"/>
      <c r="J927" s="17"/>
      <c r="K927" s="9"/>
      <c r="L927" s="15" t="s">
        <v>50</v>
      </c>
      <c r="M927" s="16" t="s">
        <v>51</v>
      </c>
      <c r="N927" s="14"/>
      <c r="O927" s="15" t="s">
        <v>52</v>
      </c>
      <c r="P927" s="17" t="s">
        <v>53</v>
      </c>
      <c r="Q927" s="15"/>
      <c r="R927" s="18" t="s">
        <v>51</v>
      </c>
      <c r="S927" s="19"/>
      <c r="T927" s="17" t="str">
        <f aca="false">IF(R927="維持",J927,IF(R927="排除","無關新聞事件",IFERROR(INDEX(事件規則!$B$2:$B$53,MATCH(S927,事件規則!$A$2:$A$53,0)),"")))</f>
        <v>無關新聞事件</v>
      </c>
      <c r="U927" s="20" t="n">
        <f aca="false">IF(R927="維持",K927,IF(R927="排除",0,IFERROR(INDEX(事件規則!$C$2:$C$53,MATCH(S927,事件規則!$A$2:$A$53,0)),"")))</f>
        <v>0</v>
      </c>
      <c r="V927" s="21"/>
      <c r="W927" s="22"/>
      <c r="X927" s="10" t="str">
        <f aca="false">IF(AND(R927="修改",S927=""),"請選新事件代碼",IF(AND(R927&lt;&gt;"修改",S927&lt;&gt;""),"只有「修改」才需填代碼",""))</f>
        <v/>
      </c>
      <c r="Y927" s="21"/>
      <c r="Z927" s="22"/>
      <c r="AA927" s="12" t="s">
        <v>2747</v>
      </c>
      <c r="AB927" s="24"/>
    </row>
    <row r="928" customFormat="false" ht="29.85" hidden="false" customHeight="false" outlineLevel="0" collapsed="false">
      <c r="A928" s="15" t="n">
        <v>927</v>
      </c>
      <c r="B928" s="9" t="s">
        <v>81</v>
      </c>
      <c r="C928" s="15"/>
      <c r="D928" s="10" t="s">
        <v>721</v>
      </c>
      <c r="E928" s="11" t="s">
        <v>2748</v>
      </c>
      <c r="F928" s="17"/>
      <c r="G928" s="12" t="s">
        <v>142</v>
      </c>
      <c r="H928" s="13" t="n">
        <v>-0.034</v>
      </c>
      <c r="I928" s="14"/>
      <c r="J928" s="17"/>
      <c r="K928" s="9"/>
      <c r="L928" s="15" t="s">
        <v>50</v>
      </c>
      <c r="M928" s="16" t="s">
        <v>51</v>
      </c>
      <c r="N928" s="14"/>
      <c r="O928" s="15" t="s">
        <v>52</v>
      </c>
      <c r="P928" s="17" t="s">
        <v>53</v>
      </c>
      <c r="Q928" s="15"/>
      <c r="R928" s="18" t="s">
        <v>51</v>
      </c>
      <c r="S928" s="19"/>
      <c r="T928" s="17" t="str">
        <f aca="false">IF(R928="維持",J928,IF(R928="排除","無關新聞事件",IFERROR(INDEX(事件規則!$B$2:$B$53,MATCH(S928,事件規則!$A$2:$A$53,0)),"")))</f>
        <v>無關新聞事件</v>
      </c>
      <c r="U928" s="20" t="n">
        <f aca="false">IF(R928="維持",K928,IF(R928="排除",0,IFERROR(INDEX(事件規則!$C$2:$C$53,MATCH(S928,事件規則!$A$2:$A$53,0)),"")))</f>
        <v>0</v>
      </c>
      <c r="V928" s="21"/>
      <c r="W928" s="22"/>
      <c r="X928" s="10" t="str">
        <f aca="false">IF(AND(R928="修改",S928=""),"請選新事件代碼",IF(AND(R928&lt;&gt;"修改",S928&lt;&gt;""),"只有「修改」才需填代碼",""))</f>
        <v/>
      </c>
      <c r="Y928" s="21"/>
      <c r="Z928" s="22"/>
      <c r="AA928" s="12" t="s">
        <v>2749</v>
      </c>
      <c r="AB928" s="24"/>
    </row>
    <row r="929" customFormat="false" ht="29.85" hidden="false" customHeight="false" outlineLevel="0" collapsed="false">
      <c r="A929" s="15" t="n">
        <v>928</v>
      </c>
      <c r="B929" s="9" t="s">
        <v>112</v>
      </c>
      <c r="C929" s="9" t="s">
        <v>2293</v>
      </c>
      <c r="D929" s="10" t="s">
        <v>2294</v>
      </c>
      <c r="E929" s="11" t="s">
        <v>2750</v>
      </c>
      <c r="F929" s="17"/>
      <c r="G929" s="12" t="s">
        <v>949</v>
      </c>
      <c r="H929" s="13" t="n">
        <v>-0.034</v>
      </c>
      <c r="I929" s="14"/>
      <c r="J929" s="17"/>
      <c r="K929" s="9"/>
      <c r="L929" s="15" t="s">
        <v>50</v>
      </c>
      <c r="M929" s="16" t="s">
        <v>51</v>
      </c>
      <c r="N929" s="14"/>
      <c r="O929" s="15" t="s">
        <v>52</v>
      </c>
      <c r="P929" s="17" t="s">
        <v>53</v>
      </c>
      <c r="Q929" s="15"/>
      <c r="R929" s="18" t="s">
        <v>51</v>
      </c>
      <c r="S929" s="19"/>
      <c r="T929" s="17" t="str">
        <f aca="false">IF(R929="維持",J929,IF(R929="排除","無關新聞事件",IFERROR(INDEX(事件規則!$B$2:$B$53,MATCH(S929,事件規則!$A$2:$A$53,0)),"")))</f>
        <v>無關新聞事件</v>
      </c>
      <c r="U929" s="20" t="n">
        <f aca="false">IF(R929="維持",K929,IF(R929="排除",0,IFERROR(INDEX(事件規則!$C$2:$C$53,MATCH(S929,事件規則!$A$2:$A$53,0)),"")))</f>
        <v>0</v>
      </c>
      <c r="V929" s="21"/>
      <c r="W929" s="22"/>
      <c r="X929" s="10" t="str">
        <f aca="false">IF(AND(R929="修改",S929=""),"請選新事件代碼",IF(AND(R929&lt;&gt;"修改",S929&lt;&gt;""),"只有「修改」才需填代碼",""))</f>
        <v/>
      </c>
      <c r="Y929" s="21"/>
      <c r="Z929" s="22"/>
      <c r="AA929" s="12" t="s">
        <v>2751</v>
      </c>
      <c r="AB929" s="24"/>
    </row>
    <row r="930" customFormat="false" ht="29.85" hidden="false" customHeight="false" outlineLevel="0" collapsed="false">
      <c r="A930" s="15" t="n">
        <v>929</v>
      </c>
      <c r="B930" s="9" t="s">
        <v>112</v>
      </c>
      <c r="C930" s="9" t="s">
        <v>2752</v>
      </c>
      <c r="D930" s="10" t="s">
        <v>2753</v>
      </c>
      <c r="E930" s="11" t="s">
        <v>2754</v>
      </c>
      <c r="F930" s="17"/>
      <c r="G930" s="12" t="s">
        <v>949</v>
      </c>
      <c r="H930" s="13" t="n">
        <v>-0.034</v>
      </c>
      <c r="I930" s="14"/>
      <c r="J930" s="17"/>
      <c r="K930" s="9"/>
      <c r="L930" s="15" t="s">
        <v>50</v>
      </c>
      <c r="M930" s="16" t="s">
        <v>51</v>
      </c>
      <c r="N930" s="14"/>
      <c r="O930" s="15" t="s">
        <v>52</v>
      </c>
      <c r="P930" s="17" t="s">
        <v>53</v>
      </c>
      <c r="Q930" s="15"/>
      <c r="R930" s="18" t="s">
        <v>51</v>
      </c>
      <c r="S930" s="19"/>
      <c r="T930" s="17" t="str">
        <f aca="false">IF(R930="維持",J930,IF(R930="排除","無關新聞事件",IFERROR(INDEX(事件規則!$B$2:$B$53,MATCH(S930,事件規則!$A$2:$A$53,0)),"")))</f>
        <v>無關新聞事件</v>
      </c>
      <c r="U930" s="20" t="n">
        <f aca="false">IF(R930="維持",K930,IF(R930="排除",0,IFERROR(INDEX(事件規則!$C$2:$C$53,MATCH(S930,事件規則!$A$2:$A$53,0)),"")))</f>
        <v>0</v>
      </c>
      <c r="V930" s="21"/>
      <c r="W930" s="22"/>
      <c r="X930" s="10" t="str">
        <f aca="false">IF(AND(R930="修改",S930=""),"請選新事件代碼",IF(AND(R930&lt;&gt;"修改",S930&lt;&gt;""),"只有「修改」才需填代碼",""))</f>
        <v/>
      </c>
      <c r="Y930" s="21"/>
      <c r="Z930" s="22"/>
      <c r="AA930" s="12" t="s">
        <v>2755</v>
      </c>
      <c r="AB930" s="24"/>
    </row>
    <row r="931" customFormat="false" ht="29.85" hidden="false" customHeight="false" outlineLevel="0" collapsed="false">
      <c r="A931" s="15" t="n">
        <v>930</v>
      </c>
      <c r="B931" s="9" t="s">
        <v>112</v>
      </c>
      <c r="C931" s="9" t="s">
        <v>831</v>
      </c>
      <c r="D931" s="10" t="s">
        <v>832</v>
      </c>
      <c r="E931" s="11" t="s">
        <v>2756</v>
      </c>
      <c r="F931" s="17"/>
      <c r="G931" s="12" t="s">
        <v>949</v>
      </c>
      <c r="H931" s="13" t="n">
        <v>-0.034</v>
      </c>
      <c r="I931" s="14"/>
      <c r="J931" s="17"/>
      <c r="K931" s="9"/>
      <c r="L931" s="15" t="s">
        <v>50</v>
      </c>
      <c r="M931" s="16" t="s">
        <v>51</v>
      </c>
      <c r="N931" s="14"/>
      <c r="O931" s="15" t="s">
        <v>52</v>
      </c>
      <c r="P931" s="17" t="s">
        <v>53</v>
      </c>
      <c r="Q931" s="15"/>
      <c r="R931" s="18" t="s">
        <v>51</v>
      </c>
      <c r="S931" s="19"/>
      <c r="T931" s="17" t="str">
        <f aca="false">IF(R931="維持",J931,IF(R931="排除","無關新聞事件",IFERROR(INDEX(事件規則!$B$2:$B$53,MATCH(S931,事件規則!$A$2:$A$53,0)),"")))</f>
        <v>無關新聞事件</v>
      </c>
      <c r="U931" s="20" t="n">
        <f aca="false">IF(R931="維持",K931,IF(R931="排除",0,IFERROR(INDEX(事件規則!$C$2:$C$53,MATCH(S931,事件規則!$A$2:$A$53,0)),"")))</f>
        <v>0</v>
      </c>
      <c r="V931" s="21"/>
      <c r="W931" s="22"/>
      <c r="X931" s="10" t="str">
        <f aca="false">IF(AND(R931="修改",S931=""),"請選新事件代碼",IF(AND(R931&lt;&gt;"修改",S931&lt;&gt;""),"只有「修改」才需填代碼",""))</f>
        <v/>
      </c>
      <c r="Y931" s="21"/>
      <c r="Z931" s="22"/>
      <c r="AA931" s="12" t="s">
        <v>2757</v>
      </c>
      <c r="AB931" s="24"/>
    </row>
    <row r="932" customFormat="false" ht="29.85" hidden="false" customHeight="false" outlineLevel="0" collapsed="false">
      <c r="A932" s="15" t="n">
        <v>931</v>
      </c>
      <c r="B932" s="9" t="s">
        <v>112</v>
      </c>
      <c r="C932" s="9" t="s">
        <v>672</v>
      </c>
      <c r="D932" s="10" t="s">
        <v>673</v>
      </c>
      <c r="E932" s="11" t="s">
        <v>2758</v>
      </c>
      <c r="F932" s="17"/>
      <c r="G932" s="12" t="s">
        <v>949</v>
      </c>
      <c r="H932" s="13" t="n">
        <v>-0.034</v>
      </c>
      <c r="I932" s="14"/>
      <c r="J932" s="17"/>
      <c r="K932" s="9"/>
      <c r="L932" s="15" t="s">
        <v>50</v>
      </c>
      <c r="M932" s="16" t="s">
        <v>51</v>
      </c>
      <c r="N932" s="14"/>
      <c r="O932" s="15" t="s">
        <v>52</v>
      </c>
      <c r="P932" s="17" t="s">
        <v>53</v>
      </c>
      <c r="Q932" s="15"/>
      <c r="R932" s="18" t="s">
        <v>51</v>
      </c>
      <c r="S932" s="19"/>
      <c r="T932" s="17" t="str">
        <f aca="false">IF(R932="維持",J932,IF(R932="排除","無關新聞事件",IFERROR(INDEX(事件規則!$B$2:$B$53,MATCH(S932,事件規則!$A$2:$A$53,0)),"")))</f>
        <v>無關新聞事件</v>
      </c>
      <c r="U932" s="20" t="n">
        <f aca="false">IF(R932="維持",K932,IF(R932="排除",0,IFERROR(INDEX(事件規則!$C$2:$C$53,MATCH(S932,事件規則!$A$2:$A$53,0)),"")))</f>
        <v>0</v>
      </c>
      <c r="V932" s="21"/>
      <c r="W932" s="22"/>
      <c r="X932" s="10" t="str">
        <f aca="false">IF(AND(R932="修改",S932=""),"請選新事件代碼",IF(AND(R932&lt;&gt;"修改",S932&lt;&gt;""),"只有「修改」才需填代碼",""))</f>
        <v/>
      </c>
      <c r="Y932" s="21"/>
      <c r="Z932" s="22"/>
      <c r="AA932" s="12" t="s">
        <v>2759</v>
      </c>
      <c r="AB932" s="24"/>
    </row>
    <row r="933" customFormat="false" ht="29.85" hidden="false" customHeight="false" outlineLevel="0" collapsed="false">
      <c r="A933" s="15" t="n">
        <v>932</v>
      </c>
      <c r="B933" s="9" t="s">
        <v>112</v>
      </c>
      <c r="C933" s="9" t="s">
        <v>1196</v>
      </c>
      <c r="D933" s="10" t="s">
        <v>1197</v>
      </c>
      <c r="E933" s="11" t="s">
        <v>2760</v>
      </c>
      <c r="F933" s="17"/>
      <c r="G933" s="12" t="s">
        <v>105</v>
      </c>
      <c r="H933" s="13" t="n">
        <v>-0.034</v>
      </c>
      <c r="I933" s="14"/>
      <c r="J933" s="17"/>
      <c r="K933" s="9"/>
      <c r="L933" s="15" t="s">
        <v>50</v>
      </c>
      <c r="M933" s="16" t="s">
        <v>51</v>
      </c>
      <c r="N933" s="14"/>
      <c r="O933" s="15" t="s">
        <v>52</v>
      </c>
      <c r="P933" s="17" t="s">
        <v>53</v>
      </c>
      <c r="Q933" s="15"/>
      <c r="R933" s="18" t="s">
        <v>51</v>
      </c>
      <c r="S933" s="19"/>
      <c r="T933" s="17" t="str">
        <f aca="false">IF(R933="維持",J933,IF(R933="排除","無關新聞事件",IFERROR(INDEX(事件規則!$B$2:$B$53,MATCH(S933,事件規則!$A$2:$A$53,0)),"")))</f>
        <v>無關新聞事件</v>
      </c>
      <c r="U933" s="20" t="n">
        <f aca="false">IF(R933="維持",K933,IF(R933="排除",0,IFERROR(INDEX(事件規則!$C$2:$C$53,MATCH(S933,事件規則!$A$2:$A$53,0)),"")))</f>
        <v>0</v>
      </c>
      <c r="V933" s="21"/>
      <c r="W933" s="22"/>
      <c r="X933" s="10" t="str">
        <f aca="false">IF(AND(R933="修改",S933=""),"請選新事件代碼",IF(AND(R933&lt;&gt;"修改",S933&lt;&gt;""),"只有「修改」才需填代碼",""))</f>
        <v/>
      </c>
      <c r="Y933" s="21"/>
      <c r="Z933" s="22"/>
      <c r="AA933" s="12" t="s">
        <v>2761</v>
      </c>
      <c r="AB933" s="24"/>
    </row>
    <row r="934" customFormat="false" ht="29.85" hidden="false" customHeight="false" outlineLevel="0" collapsed="false">
      <c r="A934" s="15" t="n">
        <v>933</v>
      </c>
      <c r="B934" s="9" t="s">
        <v>112</v>
      </c>
      <c r="C934" s="9" t="s">
        <v>1727</v>
      </c>
      <c r="D934" s="10" t="s">
        <v>1728</v>
      </c>
      <c r="E934" s="11" t="s">
        <v>2762</v>
      </c>
      <c r="F934" s="17"/>
      <c r="G934" s="12" t="s">
        <v>105</v>
      </c>
      <c r="H934" s="13" t="n">
        <v>-0.034</v>
      </c>
      <c r="I934" s="14"/>
      <c r="J934" s="17"/>
      <c r="K934" s="9"/>
      <c r="L934" s="15" t="s">
        <v>50</v>
      </c>
      <c r="M934" s="16" t="s">
        <v>51</v>
      </c>
      <c r="N934" s="14"/>
      <c r="O934" s="15" t="s">
        <v>52</v>
      </c>
      <c r="P934" s="17" t="s">
        <v>53</v>
      </c>
      <c r="Q934" s="15"/>
      <c r="R934" s="18" t="s">
        <v>51</v>
      </c>
      <c r="S934" s="19"/>
      <c r="T934" s="17" t="str">
        <f aca="false">IF(R934="維持",J934,IF(R934="排除","無關新聞事件",IFERROR(INDEX(事件規則!$B$2:$B$53,MATCH(S934,事件規則!$A$2:$A$53,0)),"")))</f>
        <v>無關新聞事件</v>
      </c>
      <c r="U934" s="20" t="n">
        <f aca="false">IF(R934="維持",K934,IF(R934="排除",0,IFERROR(INDEX(事件規則!$C$2:$C$53,MATCH(S934,事件規則!$A$2:$A$53,0)),"")))</f>
        <v>0</v>
      </c>
      <c r="V934" s="21"/>
      <c r="W934" s="22"/>
      <c r="X934" s="10" t="str">
        <f aca="false">IF(AND(R934="修改",S934=""),"請選新事件代碼",IF(AND(R934&lt;&gt;"修改",S934&lt;&gt;""),"只有「修改」才需填代碼",""))</f>
        <v/>
      </c>
      <c r="Y934" s="21"/>
      <c r="Z934" s="22"/>
      <c r="AA934" s="12" t="s">
        <v>2763</v>
      </c>
      <c r="AB934" s="24"/>
    </row>
    <row r="935" customFormat="false" ht="29.85" hidden="false" customHeight="false" outlineLevel="0" collapsed="false">
      <c r="A935" s="15" t="n">
        <v>934</v>
      </c>
      <c r="B935" s="9" t="s">
        <v>112</v>
      </c>
      <c r="C935" s="9" t="s">
        <v>1805</v>
      </c>
      <c r="D935" s="10" t="s">
        <v>1806</v>
      </c>
      <c r="E935" s="11" t="s">
        <v>2764</v>
      </c>
      <c r="F935" s="17"/>
      <c r="G935" s="12" t="s">
        <v>105</v>
      </c>
      <c r="H935" s="13" t="n">
        <v>-0.034</v>
      </c>
      <c r="I935" s="14"/>
      <c r="J935" s="17"/>
      <c r="K935" s="9"/>
      <c r="L935" s="15" t="s">
        <v>50</v>
      </c>
      <c r="M935" s="16" t="s">
        <v>51</v>
      </c>
      <c r="N935" s="14"/>
      <c r="O935" s="15" t="s">
        <v>52</v>
      </c>
      <c r="P935" s="17" t="s">
        <v>53</v>
      </c>
      <c r="Q935" s="15"/>
      <c r="R935" s="18" t="s">
        <v>51</v>
      </c>
      <c r="S935" s="19"/>
      <c r="T935" s="17" t="str">
        <f aca="false">IF(R935="維持",J935,IF(R935="排除","無關新聞事件",IFERROR(INDEX(事件規則!$B$2:$B$53,MATCH(S935,事件規則!$A$2:$A$53,0)),"")))</f>
        <v>無關新聞事件</v>
      </c>
      <c r="U935" s="20" t="n">
        <f aca="false">IF(R935="維持",K935,IF(R935="排除",0,IFERROR(INDEX(事件規則!$C$2:$C$53,MATCH(S935,事件規則!$A$2:$A$53,0)),"")))</f>
        <v>0</v>
      </c>
      <c r="V935" s="21"/>
      <c r="W935" s="22"/>
      <c r="X935" s="10" t="str">
        <f aca="false">IF(AND(R935="修改",S935=""),"請選新事件代碼",IF(AND(R935&lt;&gt;"修改",S935&lt;&gt;""),"只有「修改」才需填代碼",""))</f>
        <v/>
      </c>
      <c r="Y935" s="21"/>
      <c r="Z935" s="22"/>
      <c r="AA935" s="12" t="s">
        <v>2765</v>
      </c>
      <c r="AB935" s="24"/>
    </row>
    <row r="936" customFormat="false" ht="29.85" hidden="false" customHeight="false" outlineLevel="0" collapsed="false">
      <c r="A936" s="15" t="n">
        <v>935</v>
      </c>
      <c r="B936" s="9" t="s">
        <v>112</v>
      </c>
      <c r="C936" s="9" t="s">
        <v>716</v>
      </c>
      <c r="D936" s="10" t="s">
        <v>717</v>
      </c>
      <c r="E936" s="11" t="s">
        <v>2766</v>
      </c>
      <c r="F936" s="17"/>
      <c r="G936" s="12" t="s">
        <v>949</v>
      </c>
      <c r="H936" s="13" t="n">
        <v>-0.034</v>
      </c>
      <c r="I936" s="14"/>
      <c r="J936" s="17"/>
      <c r="K936" s="9"/>
      <c r="L936" s="15" t="s">
        <v>50</v>
      </c>
      <c r="M936" s="16" t="s">
        <v>51</v>
      </c>
      <c r="N936" s="14"/>
      <c r="O936" s="15" t="s">
        <v>52</v>
      </c>
      <c r="P936" s="17" t="s">
        <v>53</v>
      </c>
      <c r="Q936" s="15"/>
      <c r="R936" s="18" t="s">
        <v>51</v>
      </c>
      <c r="S936" s="19"/>
      <c r="T936" s="17" t="str">
        <f aca="false">IF(R936="維持",J936,IF(R936="排除","無關新聞事件",IFERROR(INDEX(事件規則!$B$2:$B$53,MATCH(S936,事件規則!$A$2:$A$53,0)),"")))</f>
        <v>無關新聞事件</v>
      </c>
      <c r="U936" s="20" t="n">
        <f aca="false">IF(R936="維持",K936,IF(R936="排除",0,IFERROR(INDEX(事件規則!$C$2:$C$53,MATCH(S936,事件規則!$A$2:$A$53,0)),"")))</f>
        <v>0</v>
      </c>
      <c r="V936" s="21"/>
      <c r="W936" s="22"/>
      <c r="X936" s="10" t="str">
        <f aca="false">IF(AND(R936="修改",S936=""),"請選新事件代碼",IF(AND(R936&lt;&gt;"修改",S936&lt;&gt;""),"只有「修改」才需填代碼",""))</f>
        <v/>
      </c>
      <c r="Y936" s="21"/>
      <c r="Z936" s="22"/>
      <c r="AA936" s="12" t="s">
        <v>2767</v>
      </c>
      <c r="AB936" s="24"/>
    </row>
    <row r="937" customFormat="false" ht="29.85" hidden="false" customHeight="false" outlineLevel="0" collapsed="false">
      <c r="A937" s="15" t="n">
        <v>936</v>
      </c>
      <c r="B937" s="9" t="s">
        <v>112</v>
      </c>
      <c r="C937" s="9" t="s">
        <v>242</v>
      </c>
      <c r="D937" s="10" t="s">
        <v>243</v>
      </c>
      <c r="E937" s="11" t="s">
        <v>2768</v>
      </c>
      <c r="F937" s="17"/>
      <c r="G937" s="12" t="s">
        <v>1136</v>
      </c>
      <c r="H937" s="13" t="n">
        <v>-0.034</v>
      </c>
      <c r="I937" s="14"/>
      <c r="J937" s="17"/>
      <c r="K937" s="9"/>
      <c r="L937" s="15" t="s">
        <v>50</v>
      </c>
      <c r="M937" s="16" t="s">
        <v>51</v>
      </c>
      <c r="N937" s="14"/>
      <c r="O937" s="15" t="s">
        <v>52</v>
      </c>
      <c r="P937" s="17" t="s">
        <v>53</v>
      </c>
      <c r="Q937" s="15"/>
      <c r="R937" s="18" t="s">
        <v>51</v>
      </c>
      <c r="S937" s="19"/>
      <c r="T937" s="17" t="str">
        <f aca="false">IF(R937="維持",J937,IF(R937="排除","無關新聞事件",IFERROR(INDEX(事件規則!$B$2:$B$53,MATCH(S937,事件規則!$A$2:$A$53,0)),"")))</f>
        <v>無關新聞事件</v>
      </c>
      <c r="U937" s="20" t="n">
        <f aca="false">IF(R937="維持",K937,IF(R937="排除",0,IFERROR(INDEX(事件規則!$C$2:$C$53,MATCH(S937,事件規則!$A$2:$A$53,0)),"")))</f>
        <v>0</v>
      </c>
      <c r="V937" s="21"/>
      <c r="W937" s="22"/>
      <c r="X937" s="10" t="str">
        <f aca="false">IF(AND(R937="修改",S937=""),"請選新事件代碼",IF(AND(R937&lt;&gt;"修改",S937&lt;&gt;""),"只有「修改」才需填代碼",""))</f>
        <v/>
      </c>
      <c r="Y937" s="21"/>
      <c r="Z937" s="22"/>
      <c r="AA937" s="12" t="s">
        <v>2769</v>
      </c>
      <c r="AB937" s="24"/>
    </row>
    <row r="938" customFormat="false" ht="29.85" hidden="false" customHeight="false" outlineLevel="0" collapsed="false">
      <c r="A938" s="15" t="n">
        <v>937</v>
      </c>
      <c r="B938" s="9" t="s">
        <v>112</v>
      </c>
      <c r="C938" s="9" t="s">
        <v>917</v>
      </c>
      <c r="D938" s="10" t="s">
        <v>918</v>
      </c>
      <c r="E938" s="11" t="s">
        <v>2770</v>
      </c>
      <c r="F938" s="17"/>
      <c r="G938" s="12" t="s">
        <v>2033</v>
      </c>
      <c r="H938" s="13" t="n">
        <v>-0.034</v>
      </c>
      <c r="I938" s="14"/>
      <c r="J938" s="17"/>
      <c r="K938" s="9"/>
      <c r="L938" s="15" t="s">
        <v>50</v>
      </c>
      <c r="M938" s="16" t="s">
        <v>51</v>
      </c>
      <c r="N938" s="14"/>
      <c r="O938" s="15" t="s">
        <v>52</v>
      </c>
      <c r="P938" s="17" t="s">
        <v>53</v>
      </c>
      <c r="Q938" s="15"/>
      <c r="R938" s="18" t="s">
        <v>51</v>
      </c>
      <c r="S938" s="19"/>
      <c r="T938" s="17" t="str">
        <f aca="false">IF(R938="維持",J938,IF(R938="排除","無關新聞事件",IFERROR(INDEX(事件規則!$B$2:$B$53,MATCH(S938,事件規則!$A$2:$A$53,0)),"")))</f>
        <v>無關新聞事件</v>
      </c>
      <c r="U938" s="20" t="n">
        <f aca="false">IF(R938="維持",K938,IF(R938="排除",0,IFERROR(INDEX(事件規則!$C$2:$C$53,MATCH(S938,事件規則!$A$2:$A$53,0)),"")))</f>
        <v>0</v>
      </c>
      <c r="V938" s="21"/>
      <c r="W938" s="22"/>
      <c r="X938" s="10" t="str">
        <f aca="false">IF(AND(R938="修改",S938=""),"請選新事件代碼",IF(AND(R938&lt;&gt;"修改",S938&lt;&gt;""),"只有「修改」才需填代碼",""))</f>
        <v/>
      </c>
      <c r="Y938" s="21"/>
      <c r="Z938" s="22"/>
      <c r="AA938" s="12" t="s">
        <v>2771</v>
      </c>
      <c r="AB938" s="24"/>
    </row>
    <row r="939" customFormat="false" ht="29.85" hidden="false" customHeight="false" outlineLevel="0" collapsed="false">
      <c r="A939" s="15" t="n">
        <v>938</v>
      </c>
      <c r="B939" s="9" t="s">
        <v>112</v>
      </c>
      <c r="C939" s="9" t="s">
        <v>1151</v>
      </c>
      <c r="D939" s="10" t="s">
        <v>1152</v>
      </c>
      <c r="E939" s="11" t="s">
        <v>2772</v>
      </c>
      <c r="F939" s="17"/>
      <c r="G939" s="12" t="s">
        <v>1136</v>
      </c>
      <c r="H939" s="13" t="n">
        <v>-0.034</v>
      </c>
      <c r="I939" s="14"/>
      <c r="J939" s="17"/>
      <c r="K939" s="9"/>
      <c r="L939" s="15" t="s">
        <v>50</v>
      </c>
      <c r="M939" s="16" t="s">
        <v>51</v>
      </c>
      <c r="N939" s="14"/>
      <c r="O939" s="15" t="s">
        <v>52</v>
      </c>
      <c r="P939" s="17" t="s">
        <v>53</v>
      </c>
      <c r="Q939" s="15"/>
      <c r="R939" s="18" t="s">
        <v>51</v>
      </c>
      <c r="S939" s="19"/>
      <c r="T939" s="17" t="str">
        <f aca="false">IF(R939="維持",J939,IF(R939="排除","無關新聞事件",IFERROR(INDEX(事件規則!$B$2:$B$53,MATCH(S939,事件規則!$A$2:$A$53,0)),"")))</f>
        <v>無關新聞事件</v>
      </c>
      <c r="U939" s="20" t="n">
        <f aca="false">IF(R939="維持",K939,IF(R939="排除",0,IFERROR(INDEX(事件規則!$C$2:$C$53,MATCH(S939,事件規則!$A$2:$A$53,0)),"")))</f>
        <v>0</v>
      </c>
      <c r="V939" s="21"/>
      <c r="W939" s="22"/>
      <c r="X939" s="10" t="str">
        <f aca="false">IF(AND(R939="修改",S939=""),"請選新事件代碼",IF(AND(R939&lt;&gt;"修改",S939&lt;&gt;""),"只有「修改」才需填代碼",""))</f>
        <v/>
      </c>
      <c r="Y939" s="21"/>
      <c r="Z939" s="22"/>
      <c r="AA939" s="12" t="s">
        <v>2773</v>
      </c>
      <c r="AB939" s="24"/>
    </row>
    <row r="940" customFormat="false" ht="29.85" hidden="false" customHeight="false" outlineLevel="0" collapsed="false">
      <c r="A940" s="15" t="n">
        <v>939</v>
      </c>
      <c r="B940" s="9" t="s">
        <v>112</v>
      </c>
      <c r="C940" s="9" t="s">
        <v>1151</v>
      </c>
      <c r="D940" s="10" t="s">
        <v>1152</v>
      </c>
      <c r="E940" s="11" t="s">
        <v>2774</v>
      </c>
      <c r="F940" s="17"/>
      <c r="G940" s="12" t="s">
        <v>949</v>
      </c>
      <c r="H940" s="13" t="n">
        <v>-0.034</v>
      </c>
      <c r="I940" s="14"/>
      <c r="J940" s="17"/>
      <c r="K940" s="9"/>
      <c r="L940" s="15" t="s">
        <v>50</v>
      </c>
      <c r="M940" s="16" t="s">
        <v>51</v>
      </c>
      <c r="N940" s="14"/>
      <c r="O940" s="15" t="s">
        <v>52</v>
      </c>
      <c r="P940" s="17" t="s">
        <v>53</v>
      </c>
      <c r="Q940" s="15"/>
      <c r="R940" s="18" t="s">
        <v>51</v>
      </c>
      <c r="S940" s="19"/>
      <c r="T940" s="17" t="str">
        <f aca="false">IF(R940="維持",J940,IF(R940="排除","無關新聞事件",IFERROR(INDEX(事件規則!$B$2:$B$53,MATCH(S940,事件規則!$A$2:$A$53,0)),"")))</f>
        <v>無關新聞事件</v>
      </c>
      <c r="U940" s="20" t="n">
        <f aca="false">IF(R940="維持",K940,IF(R940="排除",0,IFERROR(INDEX(事件規則!$C$2:$C$53,MATCH(S940,事件規則!$A$2:$A$53,0)),"")))</f>
        <v>0</v>
      </c>
      <c r="V940" s="21"/>
      <c r="W940" s="22"/>
      <c r="X940" s="10" t="str">
        <f aca="false">IF(AND(R940="修改",S940=""),"請選新事件代碼",IF(AND(R940&lt;&gt;"修改",S940&lt;&gt;""),"只有「修改」才需填代碼",""))</f>
        <v/>
      </c>
      <c r="Y940" s="21"/>
      <c r="Z940" s="22"/>
      <c r="AA940" s="12" t="s">
        <v>2775</v>
      </c>
      <c r="AB940" s="24"/>
    </row>
    <row r="941" customFormat="false" ht="29.85" hidden="false" customHeight="false" outlineLevel="0" collapsed="false">
      <c r="A941" s="15" t="n">
        <v>940</v>
      </c>
      <c r="B941" s="9" t="s">
        <v>112</v>
      </c>
      <c r="C941" s="9" t="s">
        <v>1916</v>
      </c>
      <c r="D941" s="10" t="s">
        <v>1917</v>
      </c>
      <c r="E941" s="11" t="s">
        <v>2776</v>
      </c>
      <c r="F941" s="17"/>
      <c r="G941" s="12" t="s">
        <v>176</v>
      </c>
      <c r="H941" s="13" t="n">
        <v>-0.034</v>
      </c>
      <c r="I941" s="14"/>
      <c r="J941" s="17"/>
      <c r="K941" s="9"/>
      <c r="L941" s="15" t="s">
        <v>50</v>
      </c>
      <c r="M941" s="16" t="s">
        <v>51</v>
      </c>
      <c r="N941" s="14"/>
      <c r="O941" s="15" t="s">
        <v>52</v>
      </c>
      <c r="P941" s="17" t="s">
        <v>53</v>
      </c>
      <c r="Q941" s="15"/>
      <c r="R941" s="18" t="s">
        <v>51</v>
      </c>
      <c r="S941" s="19"/>
      <c r="T941" s="17" t="str">
        <f aca="false">IF(R941="維持",J941,IF(R941="排除","無關新聞事件",IFERROR(INDEX(事件規則!$B$2:$B$53,MATCH(S941,事件規則!$A$2:$A$53,0)),"")))</f>
        <v>無關新聞事件</v>
      </c>
      <c r="U941" s="20" t="n">
        <f aca="false">IF(R941="維持",K941,IF(R941="排除",0,IFERROR(INDEX(事件規則!$C$2:$C$53,MATCH(S941,事件規則!$A$2:$A$53,0)),"")))</f>
        <v>0</v>
      </c>
      <c r="V941" s="21"/>
      <c r="W941" s="22"/>
      <c r="X941" s="10" t="str">
        <f aca="false">IF(AND(R941="修改",S941=""),"請選新事件代碼",IF(AND(R941&lt;&gt;"修改",S941&lt;&gt;""),"只有「修改」才需填代碼",""))</f>
        <v/>
      </c>
      <c r="Y941" s="21"/>
      <c r="Z941" s="22"/>
      <c r="AA941" s="12" t="s">
        <v>2777</v>
      </c>
      <c r="AB941" s="24"/>
    </row>
    <row r="942" customFormat="false" ht="29.85" hidden="false" customHeight="false" outlineLevel="0" collapsed="false">
      <c r="A942" s="15" t="n">
        <v>941</v>
      </c>
      <c r="B942" s="9" t="s">
        <v>112</v>
      </c>
      <c r="C942" s="9" t="s">
        <v>344</v>
      </c>
      <c r="D942" s="10" t="s">
        <v>345</v>
      </c>
      <c r="E942" s="11" t="s">
        <v>2778</v>
      </c>
      <c r="F942" s="17"/>
      <c r="G942" s="12" t="s">
        <v>1136</v>
      </c>
      <c r="H942" s="13" t="n">
        <v>-0.034</v>
      </c>
      <c r="I942" s="14"/>
      <c r="J942" s="17"/>
      <c r="K942" s="9"/>
      <c r="L942" s="15" t="s">
        <v>50</v>
      </c>
      <c r="M942" s="16" t="s">
        <v>51</v>
      </c>
      <c r="N942" s="14"/>
      <c r="O942" s="15" t="s">
        <v>52</v>
      </c>
      <c r="P942" s="17" t="s">
        <v>53</v>
      </c>
      <c r="Q942" s="15"/>
      <c r="R942" s="18" t="s">
        <v>51</v>
      </c>
      <c r="S942" s="19"/>
      <c r="T942" s="17" t="str">
        <f aca="false">IF(R942="維持",J942,IF(R942="排除","無關新聞事件",IFERROR(INDEX(事件規則!$B$2:$B$53,MATCH(S942,事件規則!$A$2:$A$53,0)),"")))</f>
        <v>無關新聞事件</v>
      </c>
      <c r="U942" s="20" t="n">
        <f aca="false">IF(R942="維持",K942,IF(R942="排除",0,IFERROR(INDEX(事件規則!$C$2:$C$53,MATCH(S942,事件規則!$A$2:$A$53,0)),"")))</f>
        <v>0</v>
      </c>
      <c r="V942" s="21"/>
      <c r="W942" s="22"/>
      <c r="X942" s="10" t="str">
        <f aca="false">IF(AND(R942="修改",S942=""),"請選新事件代碼",IF(AND(R942&lt;&gt;"修改",S942&lt;&gt;""),"只有「修改」才需填代碼",""))</f>
        <v/>
      </c>
      <c r="Y942" s="21"/>
      <c r="Z942" s="22"/>
      <c r="AA942" s="12" t="s">
        <v>2779</v>
      </c>
      <c r="AB942" s="24"/>
    </row>
    <row r="943" customFormat="false" ht="29.85" hidden="false" customHeight="false" outlineLevel="0" collapsed="false">
      <c r="A943" s="15" t="n">
        <v>942</v>
      </c>
      <c r="B943" s="9" t="s">
        <v>112</v>
      </c>
      <c r="C943" s="9" t="s">
        <v>2598</v>
      </c>
      <c r="D943" s="10" t="s">
        <v>2599</v>
      </c>
      <c r="E943" s="11" t="s">
        <v>2780</v>
      </c>
      <c r="F943" s="17"/>
      <c r="G943" s="12" t="s">
        <v>949</v>
      </c>
      <c r="H943" s="13" t="n">
        <v>-0.034</v>
      </c>
      <c r="I943" s="14"/>
      <c r="J943" s="17"/>
      <c r="K943" s="9"/>
      <c r="L943" s="15" t="s">
        <v>50</v>
      </c>
      <c r="M943" s="16" t="s">
        <v>51</v>
      </c>
      <c r="N943" s="14"/>
      <c r="O943" s="15" t="s">
        <v>52</v>
      </c>
      <c r="P943" s="17" t="s">
        <v>53</v>
      </c>
      <c r="Q943" s="15"/>
      <c r="R943" s="18" t="s">
        <v>51</v>
      </c>
      <c r="S943" s="19"/>
      <c r="T943" s="17" t="str">
        <f aca="false">IF(R943="維持",J943,IF(R943="排除","無關新聞事件",IFERROR(INDEX(事件規則!$B$2:$B$53,MATCH(S943,事件規則!$A$2:$A$53,0)),"")))</f>
        <v>無關新聞事件</v>
      </c>
      <c r="U943" s="20" t="n">
        <f aca="false">IF(R943="維持",K943,IF(R943="排除",0,IFERROR(INDEX(事件規則!$C$2:$C$53,MATCH(S943,事件規則!$A$2:$A$53,0)),"")))</f>
        <v>0</v>
      </c>
      <c r="V943" s="21"/>
      <c r="W943" s="22"/>
      <c r="X943" s="10" t="str">
        <f aca="false">IF(AND(R943="修改",S943=""),"請選新事件代碼",IF(AND(R943&lt;&gt;"修改",S943&lt;&gt;""),"只有「修改」才需填代碼",""))</f>
        <v/>
      </c>
      <c r="Y943" s="21"/>
      <c r="Z943" s="22"/>
      <c r="AA943" s="12" t="s">
        <v>2781</v>
      </c>
      <c r="AB943" s="24"/>
    </row>
    <row r="944" customFormat="false" ht="29.85" hidden="false" customHeight="false" outlineLevel="0" collapsed="false">
      <c r="A944" s="15" t="n">
        <v>943</v>
      </c>
      <c r="B944" s="9" t="s">
        <v>112</v>
      </c>
      <c r="C944" s="9" t="s">
        <v>113</v>
      </c>
      <c r="D944" s="10" t="s">
        <v>114</v>
      </c>
      <c r="E944" s="11" t="s">
        <v>2782</v>
      </c>
      <c r="F944" s="17"/>
      <c r="G944" s="12" t="s">
        <v>1136</v>
      </c>
      <c r="H944" s="13" t="n">
        <v>-0.034</v>
      </c>
      <c r="I944" s="14"/>
      <c r="J944" s="17"/>
      <c r="K944" s="9"/>
      <c r="L944" s="15" t="s">
        <v>50</v>
      </c>
      <c r="M944" s="16" t="s">
        <v>51</v>
      </c>
      <c r="N944" s="14"/>
      <c r="O944" s="15" t="s">
        <v>52</v>
      </c>
      <c r="P944" s="17" t="s">
        <v>53</v>
      </c>
      <c r="Q944" s="15"/>
      <c r="R944" s="18" t="s">
        <v>51</v>
      </c>
      <c r="S944" s="19"/>
      <c r="T944" s="17" t="str">
        <f aca="false">IF(R944="維持",J944,IF(R944="排除","無關新聞事件",IFERROR(INDEX(事件規則!$B$2:$B$53,MATCH(S944,事件規則!$A$2:$A$53,0)),"")))</f>
        <v>無關新聞事件</v>
      </c>
      <c r="U944" s="20" t="n">
        <f aca="false">IF(R944="維持",K944,IF(R944="排除",0,IFERROR(INDEX(事件規則!$C$2:$C$53,MATCH(S944,事件規則!$A$2:$A$53,0)),"")))</f>
        <v>0</v>
      </c>
      <c r="V944" s="21"/>
      <c r="W944" s="22"/>
      <c r="X944" s="10" t="str">
        <f aca="false">IF(AND(R944="修改",S944=""),"請選新事件代碼",IF(AND(R944&lt;&gt;"修改",S944&lt;&gt;""),"只有「修改」才需填代碼",""))</f>
        <v/>
      </c>
      <c r="Y944" s="21"/>
      <c r="Z944" s="22"/>
      <c r="AA944" s="12" t="s">
        <v>2783</v>
      </c>
      <c r="AB944" s="24"/>
    </row>
    <row r="945" customFormat="false" ht="29.85" hidden="false" customHeight="false" outlineLevel="0" collapsed="false">
      <c r="A945" s="15" t="n">
        <v>944</v>
      </c>
      <c r="B945" s="9" t="s">
        <v>45</v>
      </c>
      <c r="C945" s="9" t="s">
        <v>294</v>
      </c>
      <c r="D945" s="10" t="s">
        <v>295</v>
      </c>
      <c r="E945" s="11" t="s">
        <v>2784</v>
      </c>
      <c r="F945" s="17"/>
      <c r="G945" s="12" t="s">
        <v>949</v>
      </c>
      <c r="H945" s="13" t="n">
        <v>-0.034</v>
      </c>
      <c r="I945" s="14"/>
      <c r="J945" s="17"/>
      <c r="K945" s="9"/>
      <c r="L945" s="15" t="s">
        <v>50</v>
      </c>
      <c r="M945" s="16" t="s">
        <v>51</v>
      </c>
      <c r="N945" s="14"/>
      <c r="O945" s="15" t="s">
        <v>52</v>
      </c>
      <c r="P945" s="17" t="s">
        <v>53</v>
      </c>
      <c r="Q945" s="15"/>
      <c r="R945" s="18" t="s">
        <v>51</v>
      </c>
      <c r="S945" s="19"/>
      <c r="T945" s="17" t="str">
        <f aca="false">IF(R945="維持",J945,IF(R945="排除","無關新聞事件",IFERROR(INDEX(事件規則!$B$2:$B$53,MATCH(S945,事件規則!$A$2:$A$53,0)),"")))</f>
        <v>無關新聞事件</v>
      </c>
      <c r="U945" s="20" t="n">
        <f aca="false">IF(R945="維持",K945,IF(R945="排除",0,IFERROR(INDEX(事件規則!$C$2:$C$53,MATCH(S945,事件規則!$A$2:$A$53,0)),"")))</f>
        <v>0</v>
      </c>
      <c r="V945" s="21"/>
      <c r="W945" s="22"/>
      <c r="X945" s="10" t="str">
        <f aca="false">IF(AND(R945="修改",S945=""),"請選新事件代碼",IF(AND(R945&lt;&gt;"修改",S945&lt;&gt;""),"只有「修改」才需填代碼",""))</f>
        <v/>
      </c>
      <c r="Y945" s="21"/>
      <c r="Z945" s="22"/>
      <c r="AA945" s="12" t="s">
        <v>2785</v>
      </c>
      <c r="AB945" s="24"/>
    </row>
    <row r="946" customFormat="false" ht="29.85" hidden="false" customHeight="false" outlineLevel="0" collapsed="false">
      <c r="A946" s="15" t="n">
        <v>945</v>
      </c>
      <c r="B946" s="9" t="s">
        <v>45</v>
      </c>
      <c r="C946" s="9" t="s">
        <v>2786</v>
      </c>
      <c r="D946" s="10" t="s">
        <v>277</v>
      </c>
      <c r="E946" s="11" t="s">
        <v>2787</v>
      </c>
      <c r="F946" s="17"/>
      <c r="G946" s="12" t="s">
        <v>49</v>
      </c>
      <c r="H946" s="13" t="n">
        <v>-0.034</v>
      </c>
      <c r="I946" s="14"/>
      <c r="J946" s="17"/>
      <c r="K946" s="9"/>
      <c r="L946" s="15" t="s">
        <v>50</v>
      </c>
      <c r="M946" s="16" t="s">
        <v>51</v>
      </c>
      <c r="N946" s="14"/>
      <c r="O946" s="15" t="s">
        <v>52</v>
      </c>
      <c r="P946" s="17" t="s">
        <v>53</v>
      </c>
      <c r="Q946" s="15"/>
      <c r="R946" s="18" t="s">
        <v>51</v>
      </c>
      <c r="S946" s="19"/>
      <c r="T946" s="17" t="str">
        <f aca="false">IF(R946="維持",J946,IF(R946="排除","無關新聞事件",IFERROR(INDEX(事件規則!$B$2:$B$53,MATCH(S946,事件規則!$A$2:$A$53,0)),"")))</f>
        <v>無關新聞事件</v>
      </c>
      <c r="U946" s="20" t="n">
        <f aca="false">IF(R946="維持",K946,IF(R946="排除",0,IFERROR(INDEX(事件規則!$C$2:$C$53,MATCH(S946,事件規則!$A$2:$A$53,0)),"")))</f>
        <v>0</v>
      </c>
      <c r="V946" s="21"/>
      <c r="W946" s="22"/>
      <c r="X946" s="10" t="str">
        <f aca="false">IF(AND(R946="修改",S946=""),"請選新事件代碼",IF(AND(R946&lt;&gt;"修改",S946&lt;&gt;""),"只有「修改」才需填代碼",""))</f>
        <v/>
      </c>
      <c r="Y946" s="21"/>
      <c r="Z946" s="22"/>
      <c r="AA946" s="12" t="s">
        <v>2788</v>
      </c>
      <c r="AB946" s="24"/>
    </row>
    <row r="947" customFormat="false" ht="29.85" hidden="false" customHeight="false" outlineLevel="0" collapsed="false">
      <c r="A947" s="15" t="n">
        <v>946</v>
      </c>
      <c r="B947" s="9" t="s">
        <v>45</v>
      </c>
      <c r="C947" s="9" t="s">
        <v>92</v>
      </c>
      <c r="D947" s="10" t="s">
        <v>93</v>
      </c>
      <c r="E947" s="11" t="s">
        <v>2789</v>
      </c>
      <c r="F947" s="17"/>
      <c r="G947" s="12" t="s">
        <v>949</v>
      </c>
      <c r="H947" s="13" t="n">
        <v>-0.034</v>
      </c>
      <c r="I947" s="14"/>
      <c r="J947" s="17"/>
      <c r="K947" s="9"/>
      <c r="L947" s="15" t="s">
        <v>50</v>
      </c>
      <c r="M947" s="16" t="s">
        <v>51</v>
      </c>
      <c r="N947" s="14"/>
      <c r="O947" s="15" t="s">
        <v>52</v>
      </c>
      <c r="P947" s="17" t="s">
        <v>53</v>
      </c>
      <c r="Q947" s="15"/>
      <c r="R947" s="18" t="s">
        <v>51</v>
      </c>
      <c r="S947" s="19"/>
      <c r="T947" s="17" t="str">
        <f aca="false">IF(R947="維持",J947,IF(R947="排除","無關新聞事件",IFERROR(INDEX(事件規則!$B$2:$B$53,MATCH(S947,事件規則!$A$2:$A$53,0)),"")))</f>
        <v>無關新聞事件</v>
      </c>
      <c r="U947" s="20" t="n">
        <f aca="false">IF(R947="維持",K947,IF(R947="排除",0,IFERROR(INDEX(事件規則!$C$2:$C$53,MATCH(S947,事件規則!$A$2:$A$53,0)),"")))</f>
        <v>0</v>
      </c>
      <c r="V947" s="21"/>
      <c r="W947" s="22"/>
      <c r="X947" s="10" t="str">
        <f aca="false">IF(AND(R947="修改",S947=""),"請選新事件代碼",IF(AND(R947&lt;&gt;"修改",S947&lt;&gt;""),"只有「修改」才需填代碼",""))</f>
        <v/>
      </c>
      <c r="Y947" s="21"/>
      <c r="Z947" s="22"/>
      <c r="AA947" s="12" t="s">
        <v>2790</v>
      </c>
      <c r="AB947" s="24"/>
    </row>
    <row r="948" customFormat="false" ht="29.85" hidden="false" customHeight="false" outlineLevel="0" collapsed="false">
      <c r="A948" s="15" t="n">
        <v>947</v>
      </c>
      <c r="B948" s="9" t="s">
        <v>81</v>
      </c>
      <c r="C948" s="9" t="s">
        <v>1406</v>
      </c>
      <c r="D948" s="10" t="s">
        <v>1407</v>
      </c>
      <c r="E948" s="11" t="s">
        <v>2791</v>
      </c>
      <c r="F948" s="17"/>
      <c r="G948" s="12" t="s">
        <v>142</v>
      </c>
      <c r="H948" s="13" t="n">
        <v>-0.034</v>
      </c>
      <c r="I948" s="14"/>
      <c r="J948" s="17"/>
      <c r="K948" s="9"/>
      <c r="L948" s="15" t="s">
        <v>50</v>
      </c>
      <c r="M948" s="16" t="s">
        <v>51</v>
      </c>
      <c r="N948" s="14"/>
      <c r="O948" s="15" t="s">
        <v>52</v>
      </c>
      <c r="P948" s="17" t="s">
        <v>53</v>
      </c>
      <c r="Q948" s="15"/>
      <c r="R948" s="18" t="s">
        <v>51</v>
      </c>
      <c r="S948" s="19"/>
      <c r="T948" s="17" t="str">
        <f aca="false">IF(R948="維持",J948,IF(R948="排除","無關新聞事件",IFERROR(INDEX(事件規則!$B$2:$B$53,MATCH(S948,事件規則!$A$2:$A$53,0)),"")))</f>
        <v>無關新聞事件</v>
      </c>
      <c r="U948" s="20" t="n">
        <f aca="false">IF(R948="維持",K948,IF(R948="排除",0,IFERROR(INDEX(事件規則!$C$2:$C$53,MATCH(S948,事件規則!$A$2:$A$53,0)),"")))</f>
        <v>0</v>
      </c>
      <c r="V948" s="21"/>
      <c r="W948" s="22"/>
      <c r="X948" s="10" t="str">
        <f aca="false">IF(AND(R948="修改",S948=""),"請選新事件代碼",IF(AND(R948&lt;&gt;"修改",S948&lt;&gt;""),"只有「修改」才需填代碼",""))</f>
        <v/>
      </c>
      <c r="Y948" s="21"/>
      <c r="Z948" s="22"/>
      <c r="AA948" s="12" t="s">
        <v>2792</v>
      </c>
      <c r="AB948" s="24"/>
    </row>
    <row r="949" customFormat="false" ht="29.85" hidden="false" customHeight="false" outlineLevel="0" collapsed="false">
      <c r="A949" s="15" t="n">
        <v>948</v>
      </c>
      <c r="B949" s="9" t="s">
        <v>112</v>
      </c>
      <c r="C949" s="9" t="s">
        <v>2041</v>
      </c>
      <c r="D949" s="10" t="s">
        <v>2042</v>
      </c>
      <c r="E949" s="11" t="s">
        <v>2793</v>
      </c>
      <c r="F949" s="17"/>
      <c r="G949" s="12" t="s">
        <v>105</v>
      </c>
      <c r="H949" s="13" t="n">
        <v>-0.034</v>
      </c>
      <c r="I949" s="14"/>
      <c r="J949" s="17"/>
      <c r="K949" s="9"/>
      <c r="L949" s="15" t="s">
        <v>50</v>
      </c>
      <c r="M949" s="16" t="s">
        <v>51</v>
      </c>
      <c r="N949" s="14"/>
      <c r="O949" s="15" t="s">
        <v>52</v>
      </c>
      <c r="P949" s="17" t="s">
        <v>53</v>
      </c>
      <c r="Q949" s="15"/>
      <c r="R949" s="18" t="s">
        <v>51</v>
      </c>
      <c r="S949" s="19"/>
      <c r="T949" s="17" t="str">
        <f aca="false">IF(R949="維持",J949,IF(R949="排除","無關新聞事件",IFERROR(INDEX(事件規則!$B$2:$B$53,MATCH(S949,事件規則!$A$2:$A$53,0)),"")))</f>
        <v>無關新聞事件</v>
      </c>
      <c r="U949" s="20" t="n">
        <f aca="false">IF(R949="維持",K949,IF(R949="排除",0,IFERROR(INDEX(事件規則!$C$2:$C$53,MATCH(S949,事件規則!$A$2:$A$53,0)),"")))</f>
        <v>0</v>
      </c>
      <c r="V949" s="21"/>
      <c r="W949" s="22"/>
      <c r="X949" s="10" t="str">
        <f aca="false">IF(AND(R949="修改",S949=""),"請選新事件代碼",IF(AND(R949&lt;&gt;"修改",S949&lt;&gt;""),"只有「修改」才需填代碼",""))</f>
        <v/>
      </c>
      <c r="Y949" s="21"/>
      <c r="Z949" s="22"/>
      <c r="AA949" s="12" t="s">
        <v>2794</v>
      </c>
      <c r="AB949" s="24"/>
    </row>
    <row r="950" customFormat="false" ht="29.85" hidden="false" customHeight="false" outlineLevel="0" collapsed="false">
      <c r="A950" s="15" t="n">
        <v>949</v>
      </c>
      <c r="B950" s="9" t="s">
        <v>112</v>
      </c>
      <c r="C950" s="9" t="s">
        <v>2041</v>
      </c>
      <c r="D950" s="10" t="s">
        <v>2042</v>
      </c>
      <c r="E950" s="11" t="s">
        <v>2795</v>
      </c>
      <c r="F950" s="17"/>
      <c r="G950" s="12" t="s">
        <v>105</v>
      </c>
      <c r="H950" s="13" t="n">
        <v>-0.034</v>
      </c>
      <c r="I950" s="14"/>
      <c r="J950" s="17"/>
      <c r="K950" s="9"/>
      <c r="L950" s="15" t="s">
        <v>50</v>
      </c>
      <c r="M950" s="16" t="s">
        <v>51</v>
      </c>
      <c r="N950" s="14"/>
      <c r="O950" s="15" t="s">
        <v>52</v>
      </c>
      <c r="P950" s="17" t="s">
        <v>53</v>
      </c>
      <c r="Q950" s="15"/>
      <c r="R950" s="18" t="s">
        <v>51</v>
      </c>
      <c r="S950" s="19"/>
      <c r="T950" s="17" t="str">
        <f aca="false">IF(R950="維持",J950,IF(R950="排除","無關新聞事件",IFERROR(INDEX(事件規則!$B$2:$B$53,MATCH(S950,事件規則!$A$2:$A$53,0)),"")))</f>
        <v>無關新聞事件</v>
      </c>
      <c r="U950" s="20" t="n">
        <f aca="false">IF(R950="維持",K950,IF(R950="排除",0,IFERROR(INDEX(事件規則!$C$2:$C$53,MATCH(S950,事件規則!$A$2:$A$53,0)),"")))</f>
        <v>0</v>
      </c>
      <c r="V950" s="21"/>
      <c r="W950" s="22"/>
      <c r="X950" s="10" t="str">
        <f aca="false">IF(AND(R950="修改",S950=""),"請選新事件代碼",IF(AND(R950&lt;&gt;"修改",S950&lt;&gt;""),"只有「修改」才需填代碼",""))</f>
        <v/>
      </c>
      <c r="Y950" s="21"/>
      <c r="Z950" s="22"/>
      <c r="AA950" s="12" t="s">
        <v>2796</v>
      </c>
      <c r="AB950" s="24"/>
    </row>
    <row r="951" customFormat="false" ht="29.85" hidden="false" customHeight="false" outlineLevel="0" collapsed="false">
      <c r="A951" s="15" t="n">
        <v>950</v>
      </c>
      <c r="B951" s="9" t="s">
        <v>55</v>
      </c>
      <c r="C951" s="9" t="s">
        <v>987</v>
      </c>
      <c r="D951" s="10" t="s">
        <v>988</v>
      </c>
      <c r="E951" s="11" t="s">
        <v>2797</v>
      </c>
      <c r="F951" s="17"/>
      <c r="G951" s="12" t="s">
        <v>949</v>
      </c>
      <c r="H951" s="13" t="n">
        <v>-0.034</v>
      </c>
      <c r="I951" s="14"/>
      <c r="J951" s="17"/>
      <c r="K951" s="9"/>
      <c r="L951" s="15" t="s">
        <v>50</v>
      </c>
      <c r="M951" s="16" t="s">
        <v>51</v>
      </c>
      <c r="N951" s="14"/>
      <c r="O951" s="15" t="s">
        <v>52</v>
      </c>
      <c r="P951" s="17" t="s">
        <v>53</v>
      </c>
      <c r="Q951" s="15"/>
      <c r="R951" s="18" t="s">
        <v>51</v>
      </c>
      <c r="S951" s="19"/>
      <c r="T951" s="17" t="str">
        <f aca="false">IF(R951="維持",J951,IF(R951="排除","無關新聞事件",IFERROR(INDEX(事件規則!$B$2:$B$53,MATCH(S951,事件規則!$A$2:$A$53,0)),"")))</f>
        <v>無關新聞事件</v>
      </c>
      <c r="U951" s="20" t="n">
        <f aca="false">IF(R951="維持",K951,IF(R951="排除",0,IFERROR(INDEX(事件規則!$C$2:$C$53,MATCH(S951,事件規則!$A$2:$A$53,0)),"")))</f>
        <v>0</v>
      </c>
      <c r="V951" s="21"/>
      <c r="W951" s="22"/>
      <c r="X951" s="10" t="str">
        <f aca="false">IF(AND(R951="修改",S951=""),"請選新事件代碼",IF(AND(R951&lt;&gt;"修改",S951&lt;&gt;""),"只有「修改」才需填代碼",""))</f>
        <v/>
      </c>
      <c r="Y951" s="21"/>
      <c r="Z951" s="22"/>
      <c r="AA951" s="12" t="s">
        <v>2798</v>
      </c>
      <c r="AB951" s="24"/>
    </row>
    <row r="952" customFormat="false" ht="29.85" hidden="false" customHeight="false" outlineLevel="0" collapsed="false">
      <c r="A952" s="15" t="n">
        <v>951</v>
      </c>
      <c r="B952" s="9" t="s">
        <v>45</v>
      </c>
      <c r="C952" s="9" t="s">
        <v>1086</v>
      </c>
      <c r="D952" s="10" t="s">
        <v>1087</v>
      </c>
      <c r="E952" s="11" t="s">
        <v>2799</v>
      </c>
      <c r="F952" s="17"/>
      <c r="G952" s="12" t="s">
        <v>1136</v>
      </c>
      <c r="H952" s="13" t="n">
        <v>-0.034</v>
      </c>
      <c r="I952" s="14"/>
      <c r="J952" s="17"/>
      <c r="K952" s="9"/>
      <c r="L952" s="15" t="s">
        <v>50</v>
      </c>
      <c r="M952" s="16" t="s">
        <v>51</v>
      </c>
      <c r="N952" s="14"/>
      <c r="O952" s="15" t="s">
        <v>52</v>
      </c>
      <c r="P952" s="17" t="s">
        <v>53</v>
      </c>
      <c r="Q952" s="15"/>
      <c r="R952" s="18" t="s">
        <v>51</v>
      </c>
      <c r="S952" s="19"/>
      <c r="T952" s="17" t="str">
        <f aca="false">IF(R952="維持",J952,IF(R952="排除","無關新聞事件",IFERROR(INDEX(事件規則!$B$2:$B$53,MATCH(S952,事件規則!$A$2:$A$53,0)),"")))</f>
        <v>無關新聞事件</v>
      </c>
      <c r="U952" s="20" t="n">
        <f aca="false">IF(R952="維持",K952,IF(R952="排除",0,IFERROR(INDEX(事件規則!$C$2:$C$53,MATCH(S952,事件規則!$A$2:$A$53,0)),"")))</f>
        <v>0</v>
      </c>
      <c r="V952" s="21"/>
      <c r="W952" s="22"/>
      <c r="X952" s="10" t="str">
        <f aca="false">IF(AND(R952="修改",S952=""),"請選新事件代碼",IF(AND(R952&lt;&gt;"修改",S952&lt;&gt;""),"只有「修改」才需填代碼",""))</f>
        <v/>
      </c>
      <c r="Y952" s="21"/>
      <c r="Z952" s="22"/>
      <c r="AA952" s="12" t="s">
        <v>2800</v>
      </c>
      <c r="AB952" s="24"/>
    </row>
    <row r="953" customFormat="false" ht="29.85" hidden="false" customHeight="false" outlineLevel="0" collapsed="false">
      <c r="A953" s="15" t="n">
        <v>952</v>
      </c>
      <c r="B953" s="9" t="s">
        <v>45</v>
      </c>
      <c r="C953" s="9" t="s">
        <v>981</v>
      </c>
      <c r="D953" s="10" t="s">
        <v>982</v>
      </c>
      <c r="E953" s="11" t="s">
        <v>2801</v>
      </c>
      <c r="F953" s="17"/>
      <c r="G953" s="12" t="s">
        <v>949</v>
      </c>
      <c r="H953" s="13" t="n">
        <v>-0.034</v>
      </c>
      <c r="I953" s="14"/>
      <c r="J953" s="17"/>
      <c r="K953" s="9"/>
      <c r="L953" s="15" t="s">
        <v>50</v>
      </c>
      <c r="M953" s="16" t="s">
        <v>51</v>
      </c>
      <c r="N953" s="14"/>
      <c r="O953" s="15" t="s">
        <v>52</v>
      </c>
      <c r="P953" s="17" t="s">
        <v>53</v>
      </c>
      <c r="Q953" s="15"/>
      <c r="R953" s="18" t="s">
        <v>51</v>
      </c>
      <c r="S953" s="19"/>
      <c r="T953" s="17" t="str">
        <f aca="false">IF(R953="維持",J953,IF(R953="排除","無關新聞事件",IFERROR(INDEX(事件規則!$B$2:$B$53,MATCH(S953,事件規則!$A$2:$A$53,0)),"")))</f>
        <v>無關新聞事件</v>
      </c>
      <c r="U953" s="20" t="n">
        <f aca="false">IF(R953="維持",K953,IF(R953="排除",0,IFERROR(INDEX(事件規則!$C$2:$C$53,MATCH(S953,事件規則!$A$2:$A$53,0)),"")))</f>
        <v>0</v>
      </c>
      <c r="V953" s="21"/>
      <c r="W953" s="22"/>
      <c r="X953" s="10" t="str">
        <f aca="false">IF(AND(R953="修改",S953=""),"請選新事件代碼",IF(AND(R953&lt;&gt;"修改",S953&lt;&gt;""),"只有「修改」才需填代碼",""))</f>
        <v/>
      </c>
      <c r="Y953" s="21"/>
      <c r="Z953" s="22"/>
      <c r="AA953" s="12" t="s">
        <v>2802</v>
      </c>
      <c r="AB953" s="24"/>
    </row>
    <row r="954" customFormat="false" ht="29.85" hidden="false" customHeight="false" outlineLevel="0" collapsed="false">
      <c r="A954" s="15" t="n">
        <v>953</v>
      </c>
      <c r="B954" s="9" t="s">
        <v>45</v>
      </c>
      <c r="C954" s="9" t="s">
        <v>1151</v>
      </c>
      <c r="D954" s="10" t="s">
        <v>1152</v>
      </c>
      <c r="E954" s="11" t="s">
        <v>2803</v>
      </c>
      <c r="F954" s="17"/>
      <c r="G954" s="12" t="s">
        <v>949</v>
      </c>
      <c r="H954" s="13" t="n">
        <v>-0.034</v>
      </c>
      <c r="I954" s="14"/>
      <c r="J954" s="17"/>
      <c r="K954" s="9"/>
      <c r="L954" s="15" t="s">
        <v>50</v>
      </c>
      <c r="M954" s="16" t="s">
        <v>51</v>
      </c>
      <c r="N954" s="14"/>
      <c r="O954" s="15" t="s">
        <v>52</v>
      </c>
      <c r="P954" s="17" t="s">
        <v>53</v>
      </c>
      <c r="Q954" s="15"/>
      <c r="R954" s="18" t="s">
        <v>51</v>
      </c>
      <c r="S954" s="19"/>
      <c r="T954" s="17" t="str">
        <f aca="false">IF(R954="維持",J954,IF(R954="排除","無關新聞事件",IFERROR(INDEX(事件規則!$B$2:$B$53,MATCH(S954,事件規則!$A$2:$A$53,0)),"")))</f>
        <v>無關新聞事件</v>
      </c>
      <c r="U954" s="20" t="n">
        <f aca="false">IF(R954="維持",K954,IF(R954="排除",0,IFERROR(INDEX(事件規則!$C$2:$C$53,MATCH(S954,事件規則!$A$2:$A$53,0)),"")))</f>
        <v>0</v>
      </c>
      <c r="V954" s="21"/>
      <c r="W954" s="22"/>
      <c r="X954" s="10" t="str">
        <f aca="false">IF(AND(R954="修改",S954=""),"請選新事件代碼",IF(AND(R954&lt;&gt;"修改",S954&lt;&gt;""),"只有「修改」才需填代碼",""))</f>
        <v/>
      </c>
      <c r="Y954" s="21"/>
      <c r="Z954" s="22"/>
      <c r="AA954" s="12" t="s">
        <v>2804</v>
      </c>
      <c r="AB954" s="24"/>
    </row>
    <row r="955" customFormat="false" ht="29.85" hidden="false" customHeight="false" outlineLevel="0" collapsed="false">
      <c r="A955" s="15" t="n">
        <v>954</v>
      </c>
      <c r="B955" s="9" t="s">
        <v>45</v>
      </c>
      <c r="C955" s="9" t="s">
        <v>1086</v>
      </c>
      <c r="D955" s="10" t="s">
        <v>1087</v>
      </c>
      <c r="E955" s="11" t="s">
        <v>2805</v>
      </c>
      <c r="F955" s="17"/>
      <c r="G955" s="12" t="s">
        <v>1136</v>
      </c>
      <c r="H955" s="13" t="n">
        <v>-0.034</v>
      </c>
      <c r="I955" s="14"/>
      <c r="J955" s="17"/>
      <c r="K955" s="9"/>
      <c r="L955" s="15" t="s">
        <v>50</v>
      </c>
      <c r="M955" s="16" t="s">
        <v>51</v>
      </c>
      <c r="N955" s="14"/>
      <c r="O955" s="15" t="s">
        <v>52</v>
      </c>
      <c r="P955" s="17" t="s">
        <v>53</v>
      </c>
      <c r="Q955" s="15"/>
      <c r="R955" s="18" t="s">
        <v>51</v>
      </c>
      <c r="S955" s="19"/>
      <c r="T955" s="17" t="str">
        <f aca="false">IF(R955="維持",J955,IF(R955="排除","無關新聞事件",IFERROR(INDEX(事件規則!$B$2:$B$53,MATCH(S955,事件規則!$A$2:$A$53,0)),"")))</f>
        <v>無關新聞事件</v>
      </c>
      <c r="U955" s="20" t="n">
        <f aca="false">IF(R955="維持",K955,IF(R955="排除",0,IFERROR(INDEX(事件規則!$C$2:$C$53,MATCH(S955,事件規則!$A$2:$A$53,0)),"")))</f>
        <v>0</v>
      </c>
      <c r="V955" s="21"/>
      <c r="W955" s="22"/>
      <c r="X955" s="10" t="str">
        <f aca="false">IF(AND(R955="修改",S955=""),"請選新事件代碼",IF(AND(R955&lt;&gt;"修改",S955&lt;&gt;""),"只有「修改」才需填代碼",""))</f>
        <v/>
      </c>
      <c r="Y955" s="21"/>
      <c r="Z955" s="22"/>
      <c r="AA955" s="12" t="s">
        <v>2806</v>
      </c>
      <c r="AB955" s="24"/>
    </row>
    <row r="956" customFormat="false" ht="29.85" hidden="false" customHeight="false" outlineLevel="0" collapsed="false">
      <c r="A956" s="15" t="n">
        <v>955</v>
      </c>
      <c r="B956" s="9" t="s">
        <v>45</v>
      </c>
      <c r="C956" s="9" t="s">
        <v>2134</v>
      </c>
      <c r="D956" s="10" t="s">
        <v>2135</v>
      </c>
      <c r="E956" s="11" t="s">
        <v>2807</v>
      </c>
      <c r="F956" s="17"/>
      <c r="G956" s="12" t="s">
        <v>1136</v>
      </c>
      <c r="H956" s="13" t="n">
        <v>-0.034</v>
      </c>
      <c r="I956" s="14"/>
      <c r="J956" s="17"/>
      <c r="K956" s="9"/>
      <c r="L956" s="15" t="s">
        <v>50</v>
      </c>
      <c r="M956" s="16" t="s">
        <v>51</v>
      </c>
      <c r="N956" s="14"/>
      <c r="O956" s="15" t="s">
        <v>52</v>
      </c>
      <c r="P956" s="17" t="s">
        <v>53</v>
      </c>
      <c r="Q956" s="15"/>
      <c r="R956" s="18" t="s">
        <v>51</v>
      </c>
      <c r="S956" s="19"/>
      <c r="T956" s="17" t="str">
        <f aca="false">IF(R956="維持",J956,IF(R956="排除","無關新聞事件",IFERROR(INDEX(事件規則!$B$2:$B$53,MATCH(S956,事件規則!$A$2:$A$53,0)),"")))</f>
        <v>無關新聞事件</v>
      </c>
      <c r="U956" s="20" t="n">
        <f aca="false">IF(R956="維持",K956,IF(R956="排除",0,IFERROR(INDEX(事件規則!$C$2:$C$53,MATCH(S956,事件規則!$A$2:$A$53,0)),"")))</f>
        <v>0</v>
      </c>
      <c r="V956" s="21"/>
      <c r="W956" s="22"/>
      <c r="X956" s="10" t="str">
        <f aca="false">IF(AND(R956="修改",S956=""),"請選新事件代碼",IF(AND(R956&lt;&gt;"修改",S956&lt;&gt;""),"只有「修改」才需填代碼",""))</f>
        <v/>
      </c>
      <c r="Y956" s="21"/>
      <c r="Z956" s="22"/>
      <c r="AA956" s="12" t="s">
        <v>2808</v>
      </c>
      <c r="AB956" s="24"/>
    </row>
    <row r="957" customFormat="false" ht="29.85" hidden="false" customHeight="false" outlineLevel="0" collapsed="false">
      <c r="A957" s="15" t="n">
        <v>956</v>
      </c>
      <c r="B957" s="9" t="s">
        <v>45</v>
      </c>
      <c r="C957" s="9" t="s">
        <v>720</v>
      </c>
      <c r="D957" s="10" t="s">
        <v>721</v>
      </c>
      <c r="E957" s="11" t="s">
        <v>2809</v>
      </c>
      <c r="F957" s="17"/>
      <c r="G957" s="12" t="s">
        <v>949</v>
      </c>
      <c r="H957" s="13" t="n">
        <v>-0.034</v>
      </c>
      <c r="I957" s="14"/>
      <c r="J957" s="17"/>
      <c r="K957" s="9"/>
      <c r="L957" s="15" t="s">
        <v>50</v>
      </c>
      <c r="M957" s="16" t="s">
        <v>51</v>
      </c>
      <c r="N957" s="14"/>
      <c r="O957" s="15" t="s">
        <v>52</v>
      </c>
      <c r="P957" s="17" t="s">
        <v>53</v>
      </c>
      <c r="Q957" s="15"/>
      <c r="R957" s="18" t="s">
        <v>51</v>
      </c>
      <c r="S957" s="19"/>
      <c r="T957" s="17" t="str">
        <f aca="false">IF(R957="維持",J957,IF(R957="排除","無關新聞事件",IFERROR(INDEX(事件規則!$B$2:$B$53,MATCH(S957,事件規則!$A$2:$A$53,0)),"")))</f>
        <v>無關新聞事件</v>
      </c>
      <c r="U957" s="20" t="n">
        <f aca="false">IF(R957="維持",K957,IF(R957="排除",0,IFERROR(INDEX(事件規則!$C$2:$C$53,MATCH(S957,事件規則!$A$2:$A$53,0)),"")))</f>
        <v>0</v>
      </c>
      <c r="V957" s="21"/>
      <c r="W957" s="22"/>
      <c r="X957" s="10" t="str">
        <f aca="false">IF(AND(R957="修改",S957=""),"請選新事件代碼",IF(AND(R957&lt;&gt;"修改",S957&lt;&gt;""),"只有「修改」才需填代碼",""))</f>
        <v/>
      </c>
      <c r="Y957" s="21"/>
      <c r="Z957" s="22"/>
      <c r="AA957" s="12" t="s">
        <v>2810</v>
      </c>
      <c r="AB957" s="24"/>
    </row>
    <row r="958" customFormat="false" ht="29.85" hidden="false" customHeight="false" outlineLevel="0" collapsed="false">
      <c r="A958" s="15" t="n">
        <v>957</v>
      </c>
      <c r="B958" s="9" t="s">
        <v>45</v>
      </c>
      <c r="C958" s="9" t="s">
        <v>219</v>
      </c>
      <c r="D958" s="10" t="s">
        <v>220</v>
      </c>
      <c r="E958" s="11" t="s">
        <v>2811</v>
      </c>
      <c r="F958" s="17"/>
      <c r="G958" s="12" t="s">
        <v>949</v>
      </c>
      <c r="H958" s="13" t="n">
        <v>-0.034</v>
      </c>
      <c r="I958" s="14"/>
      <c r="J958" s="17"/>
      <c r="K958" s="9"/>
      <c r="L958" s="15" t="s">
        <v>50</v>
      </c>
      <c r="M958" s="16" t="s">
        <v>51</v>
      </c>
      <c r="N958" s="14"/>
      <c r="O958" s="15" t="s">
        <v>52</v>
      </c>
      <c r="P958" s="17" t="s">
        <v>53</v>
      </c>
      <c r="Q958" s="15"/>
      <c r="R958" s="18" t="s">
        <v>51</v>
      </c>
      <c r="S958" s="19"/>
      <c r="T958" s="17" t="str">
        <f aca="false">IF(R958="維持",J958,IF(R958="排除","無關新聞事件",IFERROR(INDEX(事件規則!$B$2:$B$53,MATCH(S958,事件規則!$A$2:$A$53,0)),"")))</f>
        <v>無關新聞事件</v>
      </c>
      <c r="U958" s="20" t="n">
        <f aca="false">IF(R958="維持",K958,IF(R958="排除",0,IFERROR(INDEX(事件規則!$C$2:$C$53,MATCH(S958,事件規則!$A$2:$A$53,0)),"")))</f>
        <v>0</v>
      </c>
      <c r="V958" s="21"/>
      <c r="W958" s="22"/>
      <c r="X958" s="10" t="str">
        <f aca="false">IF(AND(R958="修改",S958=""),"請選新事件代碼",IF(AND(R958&lt;&gt;"修改",S958&lt;&gt;""),"只有「修改」才需填代碼",""))</f>
        <v/>
      </c>
      <c r="Y958" s="21"/>
      <c r="Z958" s="22"/>
      <c r="AA958" s="12" t="s">
        <v>2812</v>
      </c>
      <c r="AB958" s="24"/>
    </row>
    <row r="959" customFormat="false" ht="29.85" hidden="false" customHeight="false" outlineLevel="0" collapsed="false">
      <c r="A959" s="15" t="n">
        <v>958</v>
      </c>
      <c r="B959" s="9" t="s">
        <v>45</v>
      </c>
      <c r="C959" s="9" t="s">
        <v>1086</v>
      </c>
      <c r="D959" s="10" t="s">
        <v>1087</v>
      </c>
      <c r="E959" s="11" t="s">
        <v>2813</v>
      </c>
      <c r="F959" s="17"/>
      <c r="G959" s="12" t="s">
        <v>1136</v>
      </c>
      <c r="H959" s="13" t="n">
        <v>-0.034</v>
      </c>
      <c r="I959" s="14"/>
      <c r="J959" s="17"/>
      <c r="K959" s="9"/>
      <c r="L959" s="15" t="s">
        <v>50</v>
      </c>
      <c r="M959" s="16" t="s">
        <v>51</v>
      </c>
      <c r="N959" s="14"/>
      <c r="O959" s="15" t="s">
        <v>52</v>
      </c>
      <c r="P959" s="17" t="s">
        <v>53</v>
      </c>
      <c r="Q959" s="15"/>
      <c r="R959" s="18" t="s">
        <v>51</v>
      </c>
      <c r="S959" s="19"/>
      <c r="T959" s="17" t="str">
        <f aca="false">IF(R959="維持",J959,IF(R959="排除","無關新聞事件",IFERROR(INDEX(事件規則!$B$2:$B$53,MATCH(S959,事件規則!$A$2:$A$53,0)),"")))</f>
        <v>無關新聞事件</v>
      </c>
      <c r="U959" s="20" t="n">
        <f aca="false">IF(R959="維持",K959,IF(R959="排除",0,IFERROR(INDEX(事件規則!$C$2:$C$53,MATCH(S959,事件規則!$A$2:$A$53,0)),"")))</f>
        <v>0</v>
      </c>
      <c r="V959" s="21"/>
      <c r="W959" s="22"/>
      <c r="X959" s="10" t="str">
        <f aca="false">IF(AND(R959="修改",S959=""),"請選新事件代碼",IF(AND(R959&lt;&gt;"修改",S959&lt;&gt;""),"只有「修改」才需填代碼",""))</f>
        <v/>
      </c>
      <c r="Y959" s="21"/>
      <c r="Z959" s="22"/>
      <c r="AA959" s="12" t="s">
        <v>2814</v>
      </c>
      <c r="AB959" s="24"/>
    </row>
    <row r="960" customFormat="false" ht="29.85" hidden="false" customHeight="false" outlineLevel="0" collapsed="false">
      <c r="A960" s="15" t="n">
        <v>959</v>
      </c>
      <c r="B960" s="9" t="s">
        <v>45</v>
      </c>
      <c r="C960" s="9" t="s">
        <v>1151</v>
      </c>
      <c r="D960" s="10" t="s">
        <v>1152</v>
      </c>
      <c r="E960" s="11" t="s">
        <v>2815</v>
      </c>
      <c r="F960" s="17"/>
      <c r="G960" s="12" t="s">
        <v>1136</v>
      </c>
      <c r="H960" s="13" t="n">
        <v>-0.034</v>
      </c>
      <c r="I960" s="14"/>
      <c r="J960" s="17"/>
      <c r="K960" s="9"/>
      <c r="L960" s="15" t="s">
        <v>50</v>
      </c>
      <c r="M960" s="16" t="s">
        <v>51</v>
      </c>
      <c r="N960" s="14"/>
      <c r="O960" s="15" t="s">
        <v>52</v>
      </c>
      <c r="P960" s="17" t="s">
        <v>53</v>
      </c>
      <c r="Q960" s="15"/>
      <c r="R960" s="18" t="s">
        <v>51</v>
      </c>
      <c r="S960" s="19"/>
      <c r="T960" s="17" t="str">
        <f aca="false">IF(R960="維持",J960,IF(R960="排除","無關新聞事件",IFERROR(INDEX(事件規則!$B$2:$B$53,MATCH(S960,事件規則!$A$2:$A$53,0)),"")))</f>
        <v>無關新聞事件</v>
      </c>
      <c r="U960" s="20" t="n">
        <f aca="false">IF(R960="維持",K960,IF(R960="排除",0,IFERROR(INDEX(事件規則!$C$2:$C$53,MATCH(S960,事件規則!$A$2:$A$53,0)),"")))</f>
        <v>0</v>
      </c>
      <c r="V960" s="21"/>
      <c r="W960" s="22"/>
      <c r="X960" s="10" t="str">
        <f aca="false">IF(AND(R960="修改",S960=""),"請選新事件代碼",IF(AND(R960&lt;&gt;"修改",S960&lt;&gt;""),"只有「修改」才需填代碼",""))</f>
        <v/>
      </c>
      <c r="Y960" s="21"/>
      <c r="Z960" s="22"/>
      <c r="AA960" s="12" t="s">
        <v>2816</v>
      </c>
      <c r="AB960" s="24"/>
    </row>
    <row r="961" customFormat="false" ht="29.85" hidden="false" customHeight="false" outlineLevel="0" collapsed="false">
      <c r="A961" s="15" t="n">
        <v>960</v>
      </c>
      <c r="B961" s="9" t="s">
        <v>45</v>
      </c>
      <c r="C961" s="9" t="s">
        <v>1318</v>
      </c>
      <c r="D961" s="10" t="s">
        <v>1319</v>
      </c>
      <c r="E961" s="11" t="s">
        <v>2817</v>
      </c>
      <c r="F961" s="17"/>
      <c r="G961" s="12" t="s">
        <v>949</v>
      </c>
      <c r="H961" s="13" t="n">
        <v>-0.034</v>
      </c>
      <c r="I961" s="14"/>
      <c r="J961" s="17"/>
      <c r="K961" s="9"/>
      <c r="L961" s="15" t="s">
        <v>50</v>
      </c>
      <c r="M961" s="16" t="s">
        <v>51</v>
      </c>
      <c r="N961" s="14"/>
      <c r="O961" s="15" t="s">
        <v>52</v>
      </c>
      <c r="P961" s="17" t="s">
        <v>53</v>
      </c>
      <c r="Q961" s="15"/>
      <c r="R961" s="18" t="s">
        <v>51</v>
      </c>
      <c r="S961" s="19"/>
      <c r="T961" s="17" t="str">
        <f aca="false">IF(R961="維持",J961,IF(R961="排除","無關新聞事件",IFERROR(INDEX(事件規則!$B$2:$B$53,MATCH(S961,事件規則!$A$2:$A$53,0)),"")))</f>
        <v>無關新聞事件</v>
      </c>
      <c r="U961" s="20" t="n">
        <f aca="false">IF(R961="維持",K961,IF(R961="排除",0,IFERROR(INDEX(事件規則!$C$2:$C$53,MATCH(S961,事件規則!$A$2:$A$53,0)),"")))</f>
        <v>0</v>
      </c>
      <c r="V961" s="21"/>
      <c r="W961" s="22"/>
      <c r="X961" s="10" t="str">
        <f aca="false">IF(AND(R961="修改",S961=""),"請選新事件代碼",IF(AND(R961&lt;&gt;"修改",S961&lt;&gt;""),"只有「修改」才需填代碼",""))</f>
        <v/>
      </c>
      <c r="Y961" s="21"/>
      <c r="Z961" s="22"/>
      <c r="AA961" s="12" t="s">
        <v>2818</v>
      </c>
      <c r="AB961" s="24"/>
    </row>
    <row r="962" customFormat="false" ht="29.85" hidden="false" customHeight="false" outlineLevel="0" collapsed="false">
      <c r="A962" s="15" t="n">
        <v>961</v>
      </c>
      <c r="B962" s="9" t="s">
        <v>45</v>
      </c>
      <c r="C962" s="9" t="s">
        <v>242</v>
      </c>
      <c r="D962" s="10" t="s">
        <v>243</v>
      </c>
      <c r="E962" s="11" t="s">
        <v>2819</v>
      </c>
      <c r="F962" s="17"/>
      <c r="G962" s="12" t="s">
        <v>1136</v>
      </c>
      <c r="H962" s="13" t="n">
        <v>-0.034</v>
      </c>
      <c r="I962" s="14"/>
      <c r="J962" s="17"/>
      <c r="K962" s="9"/>
      <c r="L962" s="15" t="s">
        <v>50</v>
      </c>
      <c r="M962" s="16" t="s">
        <v>51</v>
      </c>
      <c r="N962" s="14"/>
      <c r="O962" s="15" t="s">
        <v>52</v>
      </c>
      <c r="P962" s="17" t="s">
        <v>53</v>
      </c>
      <c r="Q962" s="15"/>
      <c r="R962" s="18" t="s">
        <v>51</v>
      </c>
      <c r="S962" s="19"/>
      <c r="T962" s="17" t="str">
        <f aca="false">IF(R962="維持",J962,IF(R962="排除","無關新聞事件",IFERROR(INDEX(事件規則!$B$2:$B$53,MATCH(S962,事件規則!$A$2:$A$53,0)),"")))</f>
        <v>無關新聞事件</v>
      </c>
      <c r="U962" s="20" t="n">
        <f aca="false">IF(R962="維持",K962,IF(R962="排除",0,IFERROR(INDEX(事件規則!$C$2:$C$53,MATCH(S962,事件規則!$A$2:$A$53,0)),"")))</f>
        <v>0</v>
      </c>
      <c r="V962" s="21"/>
      <c r="W962" s="22"/>
      <c r="X962" s="10" t="str">
        <f aca="false">IF(AND(R962="修改",S962=""),"請選新事件代碼",IF(AND(R962&lt;&gt;"修改",S962&lt;&gt;""),"只有「修改」才需填代碼",""))</f>
        <v/>
      </c>
      <c r="Y962" s="21"/>
      <c r="Z962" s="22"/>
      <c r="AA962" s="12" t="s">
        <v>2820</v>
      </c>
      <c r="AB962" s="24"/>
    </row>
    <row r="963" customFormat="false" ht="29.85" hidden="false" customHeight="false" outlineLevel="0" collapsed="false">
      <c r="A963" s="15" t="n">
        <v>962</v>
      </c>
      <c r="B963" s="9" t="s">
        <v>45</v>
      </c>
      <c r="C963" s="9" t="s">
        <v>107</v>
      </c>
      <c r="D963" s="10" t="s">
        <v>108</v>
      </c>
      <c r="E963" s="11" t="s">
        <v>2821</v>
      </c>
      <c r="F963" s="17"/>
      <c r="G963" s="12" t="s">
        <v>176</v>
      </c>
      <c r="H963" s="13" t="n">
        <v>-0.034</v>
      </c>
      <c r="I963" s="14"/>
      <c r="J963" s="17"/>
      <c r="K963" s="9"/>
      <c r="L963" s="15" t="s">
        <v>50</v>
      </c>
      <c r="M963" s="16" t="s">
        <v>51</v>
      </c>
      <c r="N963" s="14"/>
      <c r="O963" s="15" t="s">
        <v>52</v>
      </c>
      <c r="P963" s="17" t="s">
        <v>53</v>
      </c>
      <c r="Q963" s="15"/>
      <c r="R963" s="18" t="s">
        <v>51</v>
      </c>
      <c r="S963" s="19"/>
      <c r="T963" s="17" t="str">
        <f aca="false">IF(R963="維持",J963,IF(R963="排除","無關新聞事件",IFERROR(INDEX(事件規則!$B$2:$B$53,MATCH(S963,事件規則!$A$2:$A$53,0)),"")))</f>
        <v>無關新聞事件</v>
      </c>
      <c r="U963" s="20" t="n">
        <f aca="false">IF(R963="維持",K963,IF(R963="排除",0,IFERROR(INDEX(事件規則!$C$2:$C$53,MATCH(S963,事件規則!$A$2:$A$53,0)),"")))</f>
        <v>0</v>
      </c>
      <c r="V963" s="21"/>
      <c r="W963" s="22"/>
      <c r="X963" s="10" t="str">
        <f aca="false">IF(AND(R963="修改",S963=""),"請選新事件代碼",IF(AND(R963&lt;&gt;"修改",S963&lt;&gt;""),"只有「修改」才需填代碼",""))</f>
        <v/>
      </c>
      <c r="Y963" s="21"/>
      <c r="Z963" s="22"/>
      <c r="AA963" s="12" t="s">
        <v>2822</v>
      </c>
      <c r="AB963" s="24"/>
    </row>
    <row r="964" customFormat="false" ht="29.85" hidden="false" customHeight="false" outlineLevel="0" collapsed="false">
      <c r="A964" s="15" t="n">
        <v>963</v>
      </c>
      <c r="B964" s="9" t="s">
        <v>45</v>
      </c>
      <c r="C964" s="9" t="s">
        <v>289</v>
      </c>
      <c r="D964" s="10" t="s">
        <v>290</v>
      </c>
      <c r="E964" s="11" t="s">
        <v>2823</v>
      </c>
      <c r="F964" s="17"/>
      <c r="G964" s="12" t="s">
        <v>176</v>
      </c>
      <c r="H964" s="13" t="n">
        <v>-0.034</v>
      </c>
      <c r="I964" s="14"/>
      <c r="J964" s="17"/>
      <c r="K964" s="9"/>
      <c r="L964" s="15" t="s">
        <v>50</v>
      </c>
      <c r="M964" s="16" t="s">
        <v>51</v>
      </c>
      <c r="N964" s="14"/>
      <c r="O964" s="15" t="s">
        <v>52</v>
      </c>
      <c r="P964" s="17" t="s">
        <v>53</v>
      </c>
      <c r="Q964" s="15"/>
      <c r="R964" s="18" t="s">
        <v>51</v>
      </c>
      <c r="S964" s="19"/>
      <c r="T964" s="17" t="str">
        <f aca="false">IF(R964="維持",J964,IF(R964="排除","無關新聞事件",IFERROR(INDEX(事件規則!$B$2:$B$53,MATCH(S964,事件規則!$A$2:$A$53,0)),"")))</f>
        <v>無關新聞事件</v>
      </c>
      <c r="U964" s="20" t="n">
        <f aca="false">IF(R964="維持",K964,IF(R964="排除",0,IFERROR(INDEX(事件規則!$C$2:$C$53,MATCH(S964,事件規則!$A$2:$A$53,0)),"")))</f>
        <v>0</v>
      </c>
      <c r="V964" s="21"/>
      <c r="W964" s="22"/>
      <c r="X964" s="10" t="str">
        <f aca="false">IF(AND(R964="修改",S964=""),"請選新事件代碼",IF(AND(R964&lt;&gt;"修改",S964&lt;&gt;""),"只有「修改」才需填代碼",""))</f>
        <v/>
      </c>
      <c r="Y964" s="21"/>
      <c r="Z964" s="22"/>
      <c r="AA964" s="12" t="s">
        <v>2824</v>
      </c>
      <c r="AB964" s="24"/>
    </row>
    <row r="965" customFormat="false" ht="29.85" hidden="false" customHeight="false" outlineLevel="0" collapsed="false">
      <c r="A965" s="15" t="n">
        <v>964</v>
      </c>
      <c r="B965" s="9" t="s">
        <v>45</v>
      </c>
      <c r="C965" s="9" t="s">
        <v>1303</v>
      </c>
      <c r="D965" s="10" t="s">
        <v>1304</v>
      </c>
      <c r="E965" s="11" t="s">
        <v>2825</v>
      </c>
      <c r="F965" s="17"/>
      <c r="G965" s="12" t="s">
        <v>949</v>
      </c>
      <c r="H965" s="13" t="n">
        <v>-0.034</v>
      </c>
      <c r="I965" s="14"/>
      <c r="J965" s="17"/>
      <c r="K965" s="9"/>
      <c r="L965" s="15" t="s">
        <v>50</v>
      </c>
      <c r="M965" s="16" t="s">
        <v>51</v>
      </c>
      <c r="N965" s="14"/>
      <c r="O965" s="15" t="s">
        <v>52</v>
      </c>
      <c r="P965" s="17" t="s">
        <v>53</v>
      </c>
      <c r="Q965" s="15"/>
      <c r="R965" s="18" t="s">
        <v>51</v>
      </c>
      <c r="S965" s="19"/>
      <c r="T965" s="17" t="str">
        <f aca="false">IF(R965="維持",J965,IF(R965="排除","無關新聞事件",IFERROR(INDEX(事件規則!$B$2:$B$53,MATCH(S965,事件規則!$A$2:$A$53,0)),"")))</f>
        <v>無關新聞事件</v>
      </c>
      <c r="U965" s="20" t="n">
        <f aca="false">IF(R965="維持",K965,IF(R965="排除",0,IFERROR(INDEX(事件規則!$C$2:$C$53,MATCH(S965,事件規則!$A$2:$A$53,0)),"")))</f>
        <v>0</v>
      </c>
      <c r="V965" s="21"/>
      <c r="W965" s="22"/>
      <c r="X965" s="10" t="str">
        <f aca="false">IF(AND(R965="修改",S965=""),"請選新事件代碼",IF(AND(R965&lt;&gt;"修改",S965&lt;&gt;""),"只有「修改」才需填代碼",""))</f>
        <v/>
      </c>
      <c r="Y965" s="21"/>
      <c r="Z965" s="22"/>
      <c r="AA965" s="12" t="s">
        <v>2826</v>
      </c>
      <c r="AB965" s="24"/>
    </row>
    <row r="966" customFormat="false" ht="29.85" hidden="false" customHeight="false" outlineLevel="0" collapsed="false">
      <c r="A966" s="15" t="n">
        <v>965</v>
      </c>
      <c r="B966" s="9" t="s">
        <v>45</v>
      </c>
      <c r="C966" s="9" t="s">
        <v>223</v>
      </c>
      <c r="D966" s="10" t="s">
        <v>224</v>
      </c>
      <c r="E966" s="11" t="s">
        <v>2807</v>
      </c>
      <c r="F966" s="17"/>
      <c r="G966" s="12" t="s">
        <v>1136</v>
      </c>
      <c r="H966" s="13" t="n">
        <v>-0.034</v>
      </c>
      <c r="I966" s="14"/>
      <c r="J966" s="17"/>
      <c r="K966" s="9"/>
      <c r="L966" s="15" t="s">
        <v>50</v>
      </c>
      <c r="M966" s="16" t="s">
        <v>51</v>
      </c>
      <c r="N966" s="14"/>
      <c r="O966" s="15" t="s">
        <v>52</v>
      </c>
      <c r="P966" s="17" t="s">
        <v>53</v>
      </c>
      <c r="Q966" s="15"/>
      <c r="R966" s="18" t="s">
        <v>51</v>
      </c>
      <c r="S966" s="19"/>
      <c r="T966" s="17" t="str">
        <f aca="false">IF(R966="維持",J966,IF(R966="排除","無關新聞事件",IFERROR(INDEX(事件規則!$B$2:$B$53,MATCH(S966,事件規則!$A$2:$A$53,0)),"")))</f>
        <v>無關新聞事件</v>
      </c>
      <c r="U966" s="20" t="n">
        <f aca="false">IF(R966="維持",K966,IF(R966="排除",0,IFERROR(INDEX(事件規則!$C$2:$C$53,MATCH(S966,事件規則!$A$2:$A$53,0)),"")))</f>
        <v>0</v>
      </c>
      <c r="V966" s="21"/>
      <c r="W966" s="22"/>
      <c r="X966" s="10" t="str">
        <f aca="false">IF(AND(R966="修改",S966=""),"請選新事件代碼",IF(AND(R966&lt;&gt;"修改",S966&lt;&gt;""),"只有「修改」才需填代碼",""))</f>
        <v/>
      </c>
      <c r="Y966" s="21"/>
      <c r="Z966" s="22"/>
      <c r="AA966" s="12" t="s">
        <v>2827</v>
      </c>
      <c r="AB966" s="24"/>
    </row>
    <row r="967" customFormat="false" ht="29.85" hidden="false" customHeight="false" outlineLevel="0" collapsed="false">
      <c r="A967" s="15" t="n">
        <v>966</v>
      </c>
      <c r="B967" s="9" t="s">
        <v>45</v>
      </c>
      <c r="C967" s="9" t="s">
        <v>1441</v>
      </c>
      <c r="D967" s="10" t="s">
        <v>1442</v>
      </c>
      <c r="E967" s="11" t="s">
        <v>2807</v>
      </c>
      <c r="F967" s="17"/>
      <c r="G967" s="12" t="s">
        <v>1136</v>
      </c>
      <c r="H967" s="13" t="n">
        <v>-0.034</v>
      </c>
      <c r="I967" s="14"/>
      <c r="J967" s="17"/>
      <c r="K967" s="9"/>
      <c r="L967" s="15" t="s">
        <v>50</v>
      </c>
      <c r="M967" s="16" t="s">
        <v>51</v>
      </c>
      <c r="N967" s="14"/>
      <c r="O967" s="15" t="s">
        <v>52</v>
      </c>
      <c r="P967" s="17" t="s">
        <v>53</v>
      </c>
      <c r="Q967" s="15"/>
      <c r="R967" s="18" t="s">
        <v>51</v>
      </c>
      <c r="S967" s="19"/>
      <c r="T967" s="17" t="str">
        <f aca="false">IF(R967="維持",J967,IF(R967="排除","無關新聞事件",IFERROR(INDEX(事件規則!$B$2:$B$53,MATCH(S967,事件規則!$A$2:$A$53,0)),"")))</f>
        <v>無關新聞事件</v>
      </c>
      <c r="U967" s="20" t="n">
        <f aca="false">IF(R967="維持",K967,IF(R967="排除",0,IFERROR(INDEX(事件規則!$C$2:$C$53,MATCH(S967,事件規則!$A$2:$A$53,0)),"")))</f>
        <v>0</v>
      </c>
      <c r="V967" s="21"/>
      <c r="W967" s="22"/>
      <c r="X967" s="10" t="str">
        <f aca="false">IF(AND(R967="修改",S967=""),"請選新事件代碼",IF(AND(R967&lt;&gt;"修改",S967&lt;&gt;""),"只有「修改」才需填代碼",""))</f>
        <v/>
      </c>
      <c r="Y967" s="21"/>
      <c r="Z967" s="22"/>
      <c r="AA967" s="12" t="s">
        <v>2828</v>
      </c>
      <c r="AB967" s="24"/>
    </row>
    <row r="968" customFormat="false" ht="29.85" hidden="false" customHeight="false" outlineLevel="0" collapsed="false">
      <c r="A968" s="15" t="n">
        <v>967</v>
      </c>
      <c r="B968" s="9" t="s">
        <v>45</v>
      </c>
      <c r="C968" s="9" t="s">
        <v>2829</v>
      </c>
      <c r="D968" s="10" t="s">
        <v>2830</v>
      </c>
      <c r="E968" s="11" t="s">
        <v>2807</v>
      </c>
      <c r="F968" s="17"/>
      <c r="G968" s="12" t="s">
        <v>1136</v>
      </c>
      <c r="H968" s="13" t="n">
        <v>-0.034</v>
      </c>
      <c r="I968" s="14"/>
      <c r="J968" s="17"/>
      <c r="K968" s="9"/>
      <c r="L968" s="15" t="s">
        <v>50</v>
      </c>
      <c r="M968" s="16" t="s">
        <v>51</v>
      </c>
      <c r="N968" s="14"/>
      <c r="O968" s="15" t="s">
        <v>52</v>
      </c>
      <c r="P968" s="17" t="s">
        <v>53</v>
      </c>
      <c r="Q968" s="15"/>
      <c r="R968" s="18" t="s">
        <v>51</v>
      </c>
      <c r="S968" s="19"/>
      <c r="T968" s="17" t="str">
        <f aca="false">IF(R968="維持",J968,IF(R968="排除","無關新聞事件",IFERROR(INDEX(事件規則!$B$2:$B$53,MATCH(S968,事件規則!$A$2:$A$53,0)),"")))</f>
        <v>無關新聞事件</v>
      </c>
      <c r="U968" s="20" t="n">
        <f aca="false">IF(R968="維持",K968,IF(R968="排除",0,IFERROR(INDEX(事件規則!$C$2:$C$53,MATCH(S968,事件規則!$A$2:$A$53,0)),"")))</f>
        <v>0</v>
      </c>
      <c r="V968" s="21"/>
      <c r="W968" s="22"/>
      <c r="X968" s="10" t="str">
        <f aca="false">IF(AND(R968="修改",S968=""),"請選新事件代碼",IF(AND(R968&lt;&gt;"修改",S968&lt;&gt;""),"只有「修改」才需填代碼",""))</f>
        <v/>
      </c>
      <c r="Y968" s="21"/>
      <c r="Z968" s="22"/>
      <c r="AA968" s="12" t="s">
        <v>2831</v>
      </c>
      <c r="AB968" s="24"/>
    </row>
    <row r="969" customFormat="false" ht="29.85" hidden="false" customHeight="false" outlineLevel="0" collapsed="false">
      <c r="A969" s="15" t="n">
        <v>968</v>
      </c>
      <c r="B969" s="9" t="s">
        <v>55</v>
      </c>
      <c r="C969" s="9" t="s">
        <v>969</v>
      </c>
      <c r="D969" s="10" t="s">
        <v>970</v>
      </c>
      <c r="E969" s="11" t="s">
        <v>2832</v>
      </c>
      <c r="F969" s="17"/>
      <c r="G969" s="12" t="s">
        <v>949</v>
      </c>
      <c r="H969" s="13" t="n">
        <v>-0.034</v>
      </c>
      <c r="I969" s="14"/>
      <c r="J969" s="17"/>
      <c r="K969" s="9"/>
      <c r="L969" s="15" t="s">
        <v>50</v>
      </c>
      <c r="M969" s="16" t="s">
        <v>51</v>
      </c>
      <c r="N969" s="14"/>
      <c r="O969" s="15" t="s">
        <v>52</v>
      </c>
      <c r="P969" s="17" t="s">
        <v>53</v>
      </c>
      <c r="Q969" s="15"/>
      <c r="R969" s="18" t="s">
        <v>51</v>
      </c>
      <c r="S969" s="19"/>
      <c r="T969" s="17" t="str">
        <f aca="false">IF(R969="維持",J969,IF(R969="排除","無關新聞事件",IFERROR(INDEX(事件規則!$B$2:$B$53,MATCH(S969,事件規則!$A$2:$A$53,0)),"")))</f>
        <v>無關新聞事件</v>
      </c>
      <c r="U969" s="20" t="n">
        <f aca="false">IF(R969="維持",K969,IF(R969="排除",0,IFERROR(INDEX(事件規則!$C$2:$C$53,MATCH(S969,事件規則!$A$2:$A$53,0)),"")))</f>
        <v>0</v>
      </c>
      <c r="V969" s="21"/>
      <c r="W969" s="22"/>
      <c r="X969" s="10" t="str">
        <f aca="false">IF(AND(R969="修改",S969=""),"請選新事件代碼",IF(AND(R969&lt;&gt;"修改",S969&lt;&gt;""),"只有「修改」才需填代碼",""))</f>
        <v/>
      </c>
      <c r="Y969" s="21"/>
      <c r="Z969" s="22"/>
      <c r="AA969" s="12" t="s">
        <v>2833</v>
      </c>
      <c r="AB969" s="24"/>
    </row>
    <row r="970" customFormat="false" ht="29.85" hidden="false" customHeight="false" outlineLevel="0" collapsed="false">
      <c r="A970" s="15" t="n">
        <v>969</v>
      </c>
      <c r="B970" s="9" t="s">
        <v>55</v>
      </c>
      <c r="C970" s="9" t="s">
        <v>2834</v>
      </c>
      <c r="D970" s="10" t="s">
        <v>2835</v>
      </c>
      <c r="E970" s="11" t="s">
        <v>2836</v>
      </c>
      <c r="F970" s="17"/>
      <c r="G970" s="12" t="s">
        <v>105</v>
      </c>
      <c r="H970" s="13" t="n">
        <v>-0.034</v>
      </c>
      <c r="I970" s="14"/>
      <c r="J970" s="17"/>
      <c r="K970" s="9"/>
      <c r="L970" s="15" t="s">
        <v>50</v>
      </c>
      <c r="M970" s="16" t="s">
        <v>51</v>
      </c>
      <c r="N970" s="14"/>
      <c r="O970" s="15" t="s">
        <v>52</v>
      </c>
      <c r="P970" s="17" t="s">
        <v>53</v>
      </c>
      <c r="Q970" s="15"/>
      <c r="R970" s="18" t="s">
        <v>51</v>
      </c>
      <c r="S970" s="19"/>
      <c r="T970" s="17" t="str">
        <f aca="false">IF(R970="維持",J970,IF(R970="排除","無關新聞事件",IFERROR(INDEX(事件規則!$B$2:$B$53,MATCH(S970,事件規則!$A$2:$A$53,0)),"")))</f>
        <v>無關新聞事件</v>
      </c>
      <c r="U970" s="20" t="n">
        <f aca="false">IF(R970="維持",K970,IF(R970="排除",0,IFERROR(INDEX(事件規則!$C$2:$C$53,MATCH(S970,事件規則!$A$2:$A$53,0)),"")))</f>
        <v>0</v>
      </c>
      <c r="V970" s="21"/>
      <c r="W970" s="22"/>
      <c r="X970" s="10" t="str">
        <f aca="false">IF(AND(R970="修改",S970=""),"請選新事件代碼",IF(AND(R970&lt;&gt;"修改",S970&lt;&gt;""),"只有「修改」才需填代碼",""))</f>
        <v/>
      </c>
      <c r="Y970" s="21"/>
      <c r="Z970" s="22"/>
      <c r="AA970" s="12" t="s">
        <v>2837</v>
      </c>
      <c r="AB970" s="24"/>
    </row>
    <row r="971" customFormat="false" ht="29.85" hidden="false" customHeight="false" outlineLevel="0" collapsed="false">
      <c r="A971" s="15" t="n">
        <v>970</v>
      </c>
      <c r="B971" s="9" t="s">
        <v>55</v>
      </c>
      <c r="C971" s="9" t="s">
        <v>672</v>
      </c>
      <c r="D971" s="10" t="s">
        <v>673</v>
      </c>
      <c r="E971" s="11" t="s">
        <v>2838</v>
      </c>
      <c r="F971" s="17"/>
      <c r="G971" s="12" t="s">
        <v>2033</v>
      </c>
      <c r="H971" s="13" t="n">
        <v>-0.034</v>
      </c>
      <c r="I971" s="14"/>
      <c r="J971" s="17"/>
      <c r="K971" s="9"/>
      <c r="L971" s="15" t="s">
        <v>50</v>
      </c>
      <c r="M971" s="16" t="s">
        <v>51</v>
      </c>
      <c r="N971" s="14"/>
      <c r="O971" s="15" t="s">
        <v>52</v>
      </c>
      <c r="P971" s="17" t="s">
        <v>53</v>
      </c>
      <c r="Q971" s="15"/>
      <c r="R971" s="18" t="s">
        <v>51</v>
      </c>
      <c r="S971" s="19"/>
      <c r="T971" s="17" t="str">
        <f aca="false">IF(R971="維持",J971,IF(R971="排除","無關新聞事件",IFERROR(INDEX(事件規則!$B$2:$B$53,MATCH(S971,事件規則!$A$2:$A$53,0)),"")))</f>
        <v>無關新聞事件</v>
      </c>
      <c r="U971" s="20" t="n">
        <f aca="false">IF(R971="維持",K971,IF(R971="排除",0,IFERROR(INDEX(事件規則!$C$2:$C$53,MATCH(S971,事件規則!$A$2:$A$53,0)),"")))</f>
        <v>0</v>
      </c>
      <c r="V971" s="21"/>
      <c r="W971" s="22"/>
      <c r="X971" s="10" t="str">
        <f aca="false">IF(AND(R971="修改",S971=""),"請選新事件代碼",IF(AND(R971&lt;&gt;"修改",S971&lt;&gt;""),"只有「修改」才需填代碼",""))</f>
        <v/>
      </c>
      <c r="Y971" s="21"/>
      <c r="Z971" s="22"/>
      <c r="AA971" s="12" t="s">
        <v>2839</v>
      </c>
      <c r="AB971" s="24"/>
    </row>
    <row r="972" customFormat="false" ht="29.85" hidden="false" customHeight="false" outlineLevel="0" collapsed="false">
      <c r="A972" s="15" t="n">
        <v>971</v>
      </c>
      <c r="B972" s="9" t="s">
        <v>55</v>
      </c>
      <c r="C972" s="9" t="s">
        <v>476</v>
      </c>
      <c r="D972" s="10" t="s">
        <v>477</v>
      </c>
      <c r="E972" s="11" t="s">
        <v>2840</v>
      </c>
      <c r="F972" s="17"/>
      <c r="G972" s="12" t="s">
        <v>2841</v>
      </c>
      <c r="H972" s="13" t="n">
        <v>-0.034</v>
      </c>
      <c r="I972" s="14"/>
      <c r="J972" s="17"/>
      <c r="K972" s="9"/>
      <c r="L972" s="15" t="s">
        <v>50</v>
      </c>
      <c r="M972" s="16" t="s">
        <v>51</v>
      </c>
      <c r="N972" s="14"/>
      <c r="O972" s="15" t="s">
        <v>52</v>
      </c>
      <c r="P972" s="17" t="s">
        <v>53</v>
      </c>
      <c r="Q972" s="15"/>
      <c r="R972" s="18" t="s">
        <v>51</v>
      </c>
      <c r="S972" s="19"/>
      <c r="T972" s="17" t="str">
        <f aca="false">IF(R972="維持",J972,IF(R972="排除","無關新聞事件",IFERROR(INDEX(事件規則!$B$2:$B$53,MATCH(S972,事件規則!$A$2:$A$53,0)),"")))</f>
        <v>無關新聞事件</v>
      </c>
      <c r="U972" s="20" t="n">
        <f aca="false">IF(R972="維持",K972,IF(R972="排除",0,IFERROR(INDEX(事件規則!$C$2:$C$53,MATCH(S972,事件規則!$A$2:$A$53,0)),"")))</f>
        <v>0</v>
      </c>
      <c r="V972" s="21"/>
      <c r="W972" s="22"/>
      <c r="X972" s="10" t="str">
        <f aca="false">IF(AND(R972="修改",S972=""),"請選新事件代碼",IF(AND(R972&lt;&gt;"修改",S972&lt;&gt;""),"只有「修改」才需填代碼",""))</f>
        <v/>
      </c>
      <c r="Y972" s="21"/>
      <c r="Z972" s="22"/>
      <c r="AA972" s="12" t="s">
        <v>2842</v>
      </c>
      <c r="AB972" s="24"/>
    </row>
    <row r="973" customFormat="false" ht="29.85" hidden="false" customHeight="false" outlineLevel="0" collapsed="false">
      <c r="A973" s="15" t="n">
        <v>972</v>
      </c>
      <c r="B973" s="9" t="s">
        <v>55</v>
      </c>
      <c r="C973" s="9" t="s">
        <v>66</v>
      </c>
      <c r="D973" s="10" t="s">
        <v>67</v>
      </c>
      <c r="E973" s="11" t="s">
        <v>2843</v>
      </c>
      <c r="F973" s="17"/>
      <c r="G973" s="12" t="s">
        <v>1136</v>
      </c>
      <c r="H973" s="13" t="n">
        <v>-0.034</v>
      </c>
      <c r="I973" s="14"/>
      <c r="J973" s="17"/>
      <c r="K973" s="9"/>
      <c r="L973" s="15" t="s">
        <v>50</v>
      </c>
      <c r="M973" s="16" t="s">
        <v>51</v>
      </c>
      <c r="N973" s="14"/>
      <c r="O973" s="15" t="s">
        <v>52</v>
      </c>
      <c r="P973" s="17" t="s">
        <v>53</v>
      </c>
      <c r="Q973" s="15"/>
      <c r="R973" s="18" t="s">
        <v>51</v>
      </c>
      <c r="S973" s="19"/>
      <c r="T973" s="17" t="str">
        <f aca="false">IF(R973="維持",J973,IF(R973="排除","無關新聞事件",IFERROR(INDEX(事件規則!$B$2:$B$53,MATCH(S973,事件規則!$A$2:$A$53,0)),"")))</f>
        <v>無關新聞事件</v>
      </c>
      <c r="U973" s="20" t="n">
        <f aca="false">IF(R973="維持",K973,IF(R973="排除",0,IFERROR(INDEX(事件規則!$C$2:$C$53,MATCH(S973,事件規則!$A$2:$A$53,0)),"")))</f>
        <v>0</v>
      </c>
      <c r="V973" s="21"/>
      <c r="W973" s="22"/>
      <c r="X973" s="10" t="str">
        <f aca="false">IF(AND(R973="修改",S973=""),"請選新事件代碼",IF(AND(R973&lt;&gt;"修改",S973&lt;&gt;""),"只有「修改」才需填代碼",""))</f>
        <v/>
      </c>
      <c r="Y973" s="21"/>
      <c r="Z973" s="22"/>
      <c r="AA973" s="12" t="s">
        <v>2844</v>
      </c>
      <c r="AB973" s="24"/>
    </row>
    <row r="974" customFormat="false" ht="29.85" hidden="false" customHeight="false" outlineLevel="0" collapsed="false">
      <c r="A974" s="15" t="n">
        <v>973</v>
      </c>
      <c r="B974" s="9" t="s">
        <v>55</v>
      </c>
      <c r="C974" s="9" t="s">
        <v>2514</v>
      </c>
      <c r="D974" s="10" t="s">
        <v>2515</v>
      </c>
      <c r="E974" s="11" t="s">
        <v>2845</v>
      </c>
      <c r="F974" s="17"/>
      <c r="G974" s="12" t="s">
        <v>1136</v>
      </c>
      <c r="H974" s="13" t="n">
        <v>-0.034</v>
      </c>
      <c r="I974" s="14"/>
      <c r="J974" s="17"/>
      <c r="K974" s="9"/>
      <c r="L974" s="15" t="s">
        <v>50</v>
      </c>
      <c r="M974" s="16" t="s">
        <v>51</v>
      </c>
      <c r="N974" s="14"/>
      <c r="O974" s="15" t="s">
        <v>52</v>
      </c>
      <c r="P974" s="17" t="s">
        <v>53</v>
      </c>
      <c r="Q974" s="15"/>
      <c r="R974" s="18" t="s">
        <v>51</v>
      </c>
      <c r="S974" s="19"/>
      <c r="T974" s="17" t="str">
        <f aca="false">IF(R974="維持",J974,IF(R974="排除","無關新聞事件",IFERROR(INDEX(事件規則!$B$2:$B$53,MATCH(S974,事件規則!$A$2:$A$53,0)),"")))</f>
        <v>無關新聞事件</v>
      </c>
      <c r="U974" s="20" t="n">
        <f aca="false">IF(R974="維持",K974,IF(R974="排除",0,IFERROR(INDEX(事件規則!$C$2:$C$53,MATCH(S974,事件規則!$A$2:$A$53,0)),"")))</f>
        <v>0</v>
      </c>
      <c r="V974" s="21"/>
      <c r="W974" s="22"/>
      <c r="X974" s="10" t="str">
        <f aca="false">IF(AND(R974="修改",S974=""),"請選新事件代碼",IF(AND(R974&lt;&gt;"修改",S974&lt;&gt;""),"只有「修改」才需填代碼",""))</f>
        <v/>
      </c>
      <c r="Y974" s="21"/>
      <c r="Z974" s="22"/>
      <c r="AA974" s="12" t="s">
        <v>2846</v>
      </c>
      <c r="AB974" s="24"/>
    </row>
    <row r="975" customFormat="false" ht="29.85" hidden="false" customHeight="false" outlineLevel="0" collapsed="false">
      <c r="A975" s="15" t="n">
        <v>974</v>
      </c>
      <c r="B975" s="9" t="s">
        <v>81</v>
      </c>
      <c r="C975" s="9" t="s">
        <v>268</v>
      </c>
      <c r="D975" s="10" t="s">
        <v>269</v>
      </c>
      <c r="E975" s="11" t="s">
        <v>2847</v>
      </c>
      <c r="F975" s="17"/>
      <c r="G975" s="12" t="s">
        <v>142</v>
      </c>
      <c r="H975" s="13" t="n">
        <v>-0.034</v>
      </c>
      <c r="I975" s="14"/>
      <c r="J975" s="17"/>
      <c r="K975" s="9"/>
      <c r="L975" s="15" t="s">
        <v>50</v>
      </c>
      <c r="M975" s="16" t="s">
        <v>51</v>
      </c>
      <c r="N975" s="14"/>
      <c r="O975" s="15" t="s">
        <v>52</v>
      </c>
      <c r="P975" s="17" t="s">
        <v>53</v>
      </c>
      <c r="Q975" s="15"/>
      <c r="R975" s="18" t="s">
        <v>51</v>
      </c>
      <c r="S975" s="19"/>
      <c r="T975" s="17" t="str">
        <f aca="false">IF(R975="維持",J975,IF(R975="排除","無關新聞事件",IFERROR(INDEX(事件規則!$B$2:$B$53,MATCH(S975,事件規則!$A$2:$A$53,0)),"")))</f>
        <v>無關新聞事件</v>
      </c>
      <c r="U975" s="20" t="n">
        <f aca="false">IF(R975="維持",K975,IF(R975="排除",0,IFERROR(INDEX(事件規則!$C$2:$C$53,MATCH(S975,事件規則!$A$2:$A$53,0)),"")))</f>
        <v>0</v>
      </c>
      <c r="V975" s="21"/>
      <c r="W975" s="22"/>
      <c r="X975" s="10" t="str">
        <f aca="false">IF(AND(R975="修改",S975=""),"請選新事件代碼",IF(AND(R975&lt;&gt;"修改",S975&lt;&gt;""),"只有「修改」才需填代碼",""))</f>
        <v/>
      </c>
      <c r="Y975" s="21"/>
      <c r="Z975" s="22"/>
      <c r="AA975" s="12" t="s">
        <v>2848</v>
      </c>
      <c r="AB975" s="24"/>
    </row>
    <row r="976" customFormat="false" ht="29.85" hidden="false" customHeight="false" outlineLevel="0" collapsed="false">
      <c r="A976" s="15" t="n">
        <v>975</v>
      </c>
      <c r="B976" s="9" t="s">
        <v>81</v>
      </c>
      <c r="C976" s="9" t="s">
        <v>987</v>
      </c>
      <c r="D976" s="10" t="s">
        <v>988</v>
      </c>
      <c r="E976" s="11" t="s">
        <v>2849</v>
      </c>
      <c r="F976" s="17"/>
      <c r="G976" s="12" t="s">
        <v>949</v>
      </c>
      <c r="H976" s="13" t="n">
        <v>-0.034</v>
      </c>
      <c r="I976" s="14"/>
      <c r="J976" s="17"/>
      <c r="K976" s="9"/>
      <c r="L976" s="15" t="s">
        <v>50</v>
      </c>
      <c r="M976" s="16" t="s">
        <v>51</v>
      </c>
      <c r="N976" s="14"/>
      <c r="O976" s="15" t="s">
        <v>52</v>
      </c>
      <c r="P976" s="17" t="s">
        <v>53</v>
      </c>
      <c r="Q976" s="15"/>
      <c r="R976" s="18" t="s">
        <v>51</v>
      </c>
      <c r="S976" s="19"/>
      <c r="T976" s="17" t="str">
        <f aca="false">IF(R976="維持",J976,IF(R976="排除","無關新聞事件",IFERROR(INDEX(事件規則!$B$2:$B$53,MATCH(S976,事件規則!$A$2:$A$53,0)),"")))</f>
        <v>無關新聞事件</v>
      </c>
      <c r="U976" s="20" t="n">
        <f aca="false">IF(R976="維持",K976,IF(R976="排除",0,IFERROR(INDEX(事件規則!$C$2:$C$53,MATCH(S976,事件規則!$A$2:$A$53,0)),"")))</f>
        <v>0</v>
      </c>
      <c r="V976" s="21"/>
      <c r="W976" s="22"/>
      <c r="X976" s="10" t="str">
        <f aca="false">IF(AND(R976="修改",S976=""),"請選新事件代碼",IF(AND(R976&lt;&gt;"修改",S976&lt;&gt;""),"只有「修改」才需填代碼",""))</f>
        <v/>
      </c>
      <c r="Y976" s="21"/>
      <c r="Z976" s="22"/>
      <c r="AA976" s="12" t="s">
        <v>2850</v>
      </c>
      <c r="AB976" s="24"/>
    </row>
    <row r="977" customFormat="false" ht="29.85" hidden="false" customHeight="false" outlineLevel="0" collapsed="false">
      <c r="A977" s="15" t="n">
        <v>976</v>
      </c>
      <c r="B977" s="9" t="s">
        <v>112</v>
      </c>
      <c r="C977" s="9" t="s">
        <v>219</v>
      </c>
      <c r="D977" s="10" t="s">
        <v>220</v>
      </c>
      <c r="E977" s="11" t="s">
        <v>2851</v>
      </c>
      <c r="F977" s="17"/>
      <c r="G977" s="12" t="s">
        <v>949</v>
      </c>
      <c r="H977" s="13" t="n">
        <v>-0.033</v>
      </c>
      <c r="I977" s="14"/>
      <c r="J977" s="17"/>
      <c r="K977" s="9"/>
      <c r="L977" s="15" t="s">
        <v>50</v>
      </c>
      <c r="M977" s="16" t="s">
        <v>51</v>
      </c>
      <c r="N977" s="14"/>
      <c r="O977" s="15" t="s">
        <v>52</v>
      </c>
      <c r="P977" s="17" t="s">
        <v>53</v>
      </c>
      <c r="Q977" s="15"/>
      <c r="R977" s="18" t="s">
        <v>51</v>
      </c>
      <c r="S977" s="19"/>
      <c r="T977" s="17" t="str">
        <f aca="false">IF(R977="維持",J977,IF(R977="排除","無關新聞事件",IFERROR(INDEX(事件規則!$B$2:$B$53,MATCH(S977,事件規則!$A$2:$A$53,0)),"")))</f>
        <v>無關新聞事件</v>
      </c>
      <c r="U977" s="20" t="n">
        <f aca="false">IF(R977="維持",K977,IF(R977="排除",0,IFERROR(INDEX(事件規則!$C$2:$C$53,MATCH(S977,事件規則!$A$2:$A$53,0)),"")))</f>
        <v>0</v>
      </c>
      <c r="V977" s="21"/>
      <c r="W977" s="22"/>
      <c r="X977" s="10" t="str">
        <f aca="false">IF(AND(R977="修改",S977=""),"請選新事件代碼",IF(AND(R977&lt;&gt;"修改",S977&lt;&gt;""),"只有「修改」才需填代碼",""))</f>
        <v/>
      </c>
      <c r="Y977" s="21"/>
      <c r="Z977" s="22"/>
      <c r="AA977" s="12" t="s">
        <v>2852</v>
      </c>
      <c r="AB977" s="24"/>
    </row>
    <row r="978" customFormat="false" ht="29.85" hidden="false" customHeight="false" outlineLevel="0" collapsed="false">
      <c r="A978" s="15" t="n">
        <v>977</v>
      </c>
      <c r="B978" s="9" t="s">
        <v>112</v>
      </c>
      <c r="C978" s="9" t="s">
        <v>242</v>
      </c>
      <c r="D978" s="10" t="s">
        <v>243</v>
      </c>
      <c r="E978" s="11" t="s">
        <v>2853</v>
      </c>
      <c r="F978" s="17"/>
      <c r="G978" s="12" t="s">
        <v>105</v>
      </c>
      <c r="H978" s="13" t="n">
        <v>-0.033</v>
      </c>
      <c r="I978" s="14"/>
      <c r="J978" s="17"/>
      <c r="K978" s="9"/>
      <c r="L978" s="15" t="s">
        <v>50</v>
      </c>
      <c r="M978" s="16" t="s">
        <v>51</v>
      </c>
      <c r="N978" s="14"/>
      <c r="O978" s="15" t="s">
        <v>52</v>
      </c>
      <c r="P978" s="17" t="s">
        <v>53</v>
      </c>
      <c r="Q978" s="15"/>
      <c r="R978" s="18" t="s">
        <v>51</v>
      </c>
      <c r="S978" s="19"/>
      <c r="T978" s="17" t="str">
        <f aca="false">IF(R978="維持",J978,IF(R978="排除","無關新聞事件",IFERROR(INDEX(事件規則!$B$2:$B$53,MATCH(S978,事件規則!$A$2:$A$53,0)),"")))</f>
        <v>無關新聞事件</v>
      </c>
      <c r="U978" s="20" t="n">
        <f aca="false">IF(R978="維持",K978,IF(R978="排除",0,IFERROR(INDEX(事件規則!$C$2:$C$53,MATCH(S978,事件規則!$A$2:$A$53,0)),"")))</f>
        <v>0</v>
      </c>
      <c r="V978" s="21"/>
      <c r="W978" s="22"/>
      <c r="X978" s="10" t="str">
        <f aca="false">IF(AND(R978="修改",S978=""),"請選新事件代碼",IF(AND(R978&lt;&gt;"修改",S978&lt;&gt;""),"只有「修改」才需填代碼",""))</f>
        <v/>
      </c>
      <c r="Y978" s="21"/>
      <c r="Z978" s="22"/>
      <c r="AA978" s="12" t="s">
        <v>2854</v>
      </c>
      <c r="AB978" s="24"/>
    </row>
    <row r="979" customFormat="false" ht="29.85" hidden="false" customHeight="false" outlineLevel="0" collapsed="false">
      <c r="A979" s="15" t="n">
        <v>978</v>
      </c>
      <c r="B979" s="9" t="s">
        <v>112</v>
      </c>
      <c r="C979" s="9" t="s">
        <v>260</v>
      </c>
      <c r="D979" s="10" t="s">
        <v>261</v>
      </c>
      <c r="E979" s="11" t="s">
        <v>2855</v>
      </c>
      <c r="F979" s="17"/>
      <c r="G979" s="12" t="s">
        <v>949</v>
      </c>
      <c r="H979" s="13" t="n">
        <v>-0.033</v>
      </c>
      <c r="I979" s="14"/>
      <c r="J979" s="17"/>
      <c r="K979" s="9"/>
      <c r="L979" s="15" t="s">
        <v>50</v>
      </c>
      <c r="M979" s="16" t="s">
        <v>51</v>
      </c>
      <c r="N979" s="14"/>
      <c r="O979" s="15" t="s">
        <v>52</v>
      </c>
      <c r="P979" s="17" t="s">
        <v>53</v>
      </c>
      <c r="Q979" s="15"/>
      <c r="R979" s="18" t="s">
        <v>51</v>
      </c>
      <c r="S979" s="19"/>
      <c r="T979" s="17" t="str">
        <f aca="false">IF(R979="維持",J979,IF(R979="排除","無關新聞事件",IFERROR(INDEX(事件規則!$B$2:$B$53,MATCH(S979,事件規則!$A$2:$A$53,0)),"")))</f>
        <v>無關新聞事件</v>
      </c>
      <c r="U979" s="20" t="n">
        <f aca="false">IF(R979="維持",K979,IF(R979="排除",0,IFERROR(INDEX(事件規則!$C$2:$C$53,MATCH(S979,事件規則!$A$2:$A$53,0)),"")))</f>
        <v>0</v>
      </c>
      <c r="V979" s="21"/>
      <c r="W979" s="22"/>
      <c r="X979" s="10" t="str">
        <f aca="false">IF(AND(R979="修改",S979=""),"請選新事件代碼",IF(AND(R979&lt;&gt;"修改",S979&lt;&gt;""),"只有「修改」才需填代碼",""))</f>
        <v/>
      </c>
      <c r="Y979" s="21"/>
      <c r="Z979" s="22"/>
      <c r="AA979" s="12" t="s">
        <v>2856</v>
      </c>
      <c r="AB979" s="24"/>
    </row>
    <row r="980" customFormat="false" ht="29.85" hidden="false" customHeight="false" outlineLevel="0" collapsed="false">
      <c r="A980" s="15" t="n">
        <v>979</v>
      </c>
      <c r="B980" s="9" t="s">
        <v>112</v>
      </c>
      <c r="C980" s="9" t="s">
        <v>1151</v>
      </c>
      <c r="D980" s="10" t="s">
        <v>1152</v>
      </c>
      <c r="E980" s="11" t="s">
        <v>2857</v>
      </c>
      <c r="F980" s="17"/>
      <c r="G980" s="12" t="s">
        <v>105</v>
      </c>
      <c r="H980" s="13" t="n">
        <v>-0.033</v>
      </c>
      <c r="I980" s="14"/>
      <c r="J980" s="17"/>
      <c r="K980" s="9"/>
      <c r="L980" s="15" t="s">
        <v>50</v>
      </c>
      <c r="M980" s="16" t="s">
        <v>51</v>
      </c>
      <c r="N980" s="14"/>
      <c r="O980" s="15" t="s">
        <v>52</v>
      </c>
      <c r="P980" s="17" t="s">
        <v>53</v>
      </c>
      <c r="Q980" s="15"/>
      <c r="R980" s="18" t="s">
        <v>51</v>
      </c>
      <c r="S980" s="19"/>
      <c r="T980" s="17" t="str">
        <f aca="false">IF(R980="維持",J980,IF(R980="排除","無關新聞事件",IFERROR(INDEX(事件規則!$B$2:$B$53,MATCH(S980,事件規則!$A$2:$A$53,0)),"")))</f>
        <v>無關新聞事件</v>
      </c>
      <c r="U980" s="20" t="n">
        <f aca="false">IF(R980="維持",K980,IF(R980="排除",0,IFERROR(INDEX(事件規則!$C$2:$C$53,MATCH(S980,事件規則!$A$2:$A$53,0)),"")))</f>
        <v>0</v>
      </c>
      <c r="V980" s="21"/>
      <c r="W980" s="22"/>
      <c r="X980" s="10" t="str">
        <f aca="false">IF(AND(R980="修改",S980=""),"請選新事件代碼",IF(AND(R980&lt;&gt;"修改",S980&lt;&gt;""),"只有「修改」才需填代碼",""))</f>
        <v/>
      </c>
      <c r="Y980" s="21"/>
      <c r="Z980" s="22"/>
      <c r="AA980" s="12" t="s">
        <v>2858</v>
      </c>
      <c r="AB980" s="24"/>
    </row>
    <row r="981" customFormat="false" ht="29.85" hidden="false" customHeight="false" outlineLevel="0" collapsed="false">
      <c r="A981" s="15" t="n">
        <v>980</v>
      </c>
      <c r="B981" s="9" t="s">
        <v>112</v>
      </c>
      <c r="C981" s="9" t="s">
        <v>1406</v>
      </c>
      <c r="D981" s="10" t="s">
        <v>1407</v>
      </c>
      <c r="E981" s="11" t="s">
        <v>2859</v>
      </c>
      <c r="F981" s="17"/>
      <c r="G981" s="12" t="s">
        <v>2033</v>
      </c>
      <c r="H981" s="13" t="n">
        <v>-0.033</v>
      </c>
      <c r="I981" s="14"/>
      <c r="J981" s="17"/>
      <c r="K981" s="9"/>
      <c r="L981" s="15" t="s">
        <v>50</v>
      </c>
      <c r="M981" s="16" t="s">
        <v>51</v>
      </c>
      <c r="N981" s="14"/>
      <c r="O981" s="15" t="s">
        <v>52</v>
      </c>
      <c r="P981" s="17" t="s">
        <v>53</v>
      </c>
      <c r="Q981" s="15"/>
      <c r="R981" s="18" t="s">
        <v>51</v>
      </c>
      <c r="S981" s="19"/>
      <c r="T981" s="17" t="str">
        <f aca="false">IF(R981="維持",J981,IF(R981="排除","無關新聞事件",IFERROR(INDEX(事件規則!$B$2:$B$53,MATCH(S981,事件規則!$A$2:$A$53,0)),"")))</f>
        <v>無關新聞事件</v>
      </c>
      <c r="U981" s="20" t="n">
        <f aca="false">IF(R981="維持",K981,IF(R981="排除",0,IFERROR(INDEX(事件規則!$C$2:$C$53,MATCH(S981,事件規則!$A$2:$A$53,0)),"")))</f>
        <v>0</v>
      </c>
      <c r="V981" s="21"/>
      <c r="W981" s="22"/>
      <c r="X981" s="10" t="str">
        <f aca="false">IF(AND(R981="修改",S981=""),"請選新事件代碼",IF(AND(R981&lt;&gt;"修改",S981&lt;&gt;""),"只有「修改」才需填代碼",""))</f>
        <v/>
      </c>
      <c r="Y981" s="21"/>
      <c r="Z981" s="22"/>
      <c r="AA981" s="12" t="s">
        <v>2860</v>
      </c>
      <c r="AB981" s="24"/>
    </row>
    <row r="982" customFormat="false" ht="29.85" hidden="false" customHeight="false" outlineLevel="0" collapsed="false">
      <c r="A982" s="15" t="n">
        <v>981</v>
      </c>
      <c r="B982" s="9" t="s">
        <v>112</v>
      </c>
      <c r="C982" s="9" t="s">
        <v>825</v>
      </c>
      <c r="D982" s="10" t="s">
        <v>826</v>
      </c>
      <c r="E982" s="11" t="s">
        <v>2861</v>
      </c>
      <c r="F982" s="17"/>
      <c r="G982" s="12" t="s">
        <v>105</v>
      </c>
      <c r="H982" s="13" t="n">
        <v>-0.033</v>
      </c>
      <c r="I982" s="14"/>
      <c r="J982" s="17"/>
      <c r="K982" s="9"/>
      <c r="L982" s="15" t="s">
        <v>50</v>
      </c>
      <c r="M982" s="16" t="s">
        <v>51</v>
      </c>
      <c r="N982" s="14"/>
      <c r="O982" s="15" t="s">
        <v>52</v>
      </c>
      <c r="P982" s="17" t="s">
        <v>53</v>
      </c>
      <c r="Q982" s="15"/>
      <c r="R982" s="18" t="s">
        <v>51</v>
      </c>
      <c r="S982" s="19"/>
      <c r="T982" s="17" t="str">
        <f aca="false">IF(R982="維持",J982,IF(R982="排除","無關新聞事件",IFERROR(INDEX(事件規則!$B$2:$B$53,MATCH(S982,事件規則!$A$2:$A$53,0)),"")))</f>
        <v>無關新聞事件</v>
      </c>
      <c r="U982" s="20" t="n">
        <f aca="false">IF(R982="維持",K982,IF(R982="排除",0,IFERROR(INDEX(事件規則!$C$2:$C$53,MATCH(S982,事件規則!$A$2:$A$53,0)),"")))</f>
        <v>0</v>
      </c>
      <c r="V982" s="21"/>
      <c r="W982" s="22"/>
      <c r="X982" s="10" t="str">
        <f aca="false">IF(AND(R982="修改",S982=""),"請選新事件代碼",IF(AND(R982&lt;&gt;"修改",S982&lt;&gt;""),"只有「修改」才需填代碼",""))</f>
        <v/>
      </c>
      <c r="Y982" s="21"/>
      <c r="Z982" s="22"/>
      <c r="AA982" s="12" t="s">
        <v>2862</v>
      </c>
      <c r="AB982" s="24"/>
    </row>
    <row r="983" customFormat="false" ht="29.85" hidden="false" customHeight="false" outlineLevel="0" collapsed="false">
      <c r="A983" s="15" t="n">
        <v>982</v>
      </c>
      <c r="B983" s="9" t="s">
        <v>112</v>
      </c>
      <c r="C983" s="9" t="s">
        <v>1979</v>
      </c>
      <c r="D983" s="10" t="s">
        <v>1980</v>
      </c>
      <c r="E983" s="11" t="s">
        <v>2863</v>
      </c>
      <c r="F983" s="17"/>
      <c r="G983" s="12" t="s">
        <v>2864</v>
      </c>
      <c r="H983" s="13" t="n">
        <v>-0.033</v>
      </c>
      <c r="I983" s="14"/>
      <c r="J983" s="17"/>
      <c r="K983" s="9"/>
      <c r="L983" s="15" t="s">
        <v>50</v>
      </c>
      <c r="M983" s="16" t="s">
        <v>51</v>
      </c>
      <c r="N983" s="14"/>
      <c r="O983" s="15" t="s">
        <v>52</v>
      </c>
      <c r="P983" s="17" t="s">
        <v>53</v>
      </c>
      <c r="Q983" s="15"/>
      <c r="R983" s="18" t="s">
        <v>51</v>
      </c>
      <c r="S983" s="19"/>
      <c r="T983" s="17" t="str">
        <f aca="false">IF(R983="維持",J983,IF(R983="排除","無關新聞事件",IFERROR(INDEX(事件規則!$B$2:$B$53,MATCH(S983,事件規則!$A$2:$A$53,0)),"")))</f>
        <v>無關新聞事件</v>
      </c>
      <c r="U983" s="20" t="n">
        <f aca="false">IF(R983="維持",K983,IF(R983="排除",0,IFERROR(INDEX(事件規則!$C$2:$C$53,MATCH(S983,事件規則!$A$2:$A$53,0)),"")))</f>
        <v>0</v>
      </c>
      <c r="V983" s="21"/>
      <c r="W983" s="22"/>
      <c r="X983" s="10" t="str">
        <f aca="false">IF(AND(R983="修改",S983=""),"請選新事件代碼",IF(AND(R983&lt;&gt;"修改",S983&lt;&gt;""),"只有「修改」才需填代碼",""))</f>
        <v/>
      </c>
      <c r="Y983" s="21"/>
      <c r="Z983" s="22"/>
      <c r="AA983" s="12" t="s">
        <v>2865</v>
      </c>
      <c r="AB983" s="24"/>
    </row>
    <row r="984" customFormat="false" ht="29.85" hidden="false" customHeight="false" outlineLevel="0" collapsed="false">
      <c r="A984" s="15" t="n">
        <v>983</v>
      </c>
      <c r="B984" s="9" t="s">
        <v>45</v>
      </c>
      <c r="C984" s="9" t="s">
        <v>113</v>
      </c>
      <c r="D984" s="10" t="s">
        <v>114</v>
      </c>
      <c r="E984" s="11" t="s">
        <v>2866</v>
      </c>
      <c r="F984" s="17"/>
      <c r="G984" s="12" t="s">
        <v>1136</v>
      </c>
      <c r="H984" s="13" t="n">
        <v>-0.033</v>
      </c>
      <c r="I984" s="14"/>
      <c r="J984" s="17"/>
      <c r="K984" s="9"/>
      <c r="L984" s="15" t="s">
        <v>50</v>
      </c>
      <c r="M984" s="16" t="s">
        <v>51</v>
      </c>
      <c r="N984" s="14"/>
      <c r="O984" s="15" t="s">
        <v>52</v>
      </c>
      <c r="P984" s="17" t="s">
        <v>53</v>
      </c>
      <c r="Q984" s="15"/>
      <c r="R984" s="18" t="s">
        <v>51</v>
      </c>
      <c r="S984" s="19"/>
      <c r="T984" s="17" t="str">
        <f aca="false">IF(R984="維持",J984,IF(R984="排除","無關新聞事件",IFERROR(INDEX(事件規則!$B$2:$B$53,MATCH(S984,事件規則!$A$2:$A$53,0)),"")))</f>
        <v>無關新聞事件</v>
      </c>
      <c r="U984" s="20" t="n">
        <f aca="false">IF(R984="維持",K984,IF(R984="排除",0,IFERROR(INDEX(事件規則!$C$2:$C$53,MATCH(S984,事件規則!$A$2:$A$53,0)),"")))</f>
        <v>0</v>
      </c>
      <c r="V984" s="21"/>
      <c r="W984" s="22"/>
      <c r="X984" s="10" t="str">
        <f aca="false">IF(AND(R984="修改",S984=""),"請選新事件代碼",IF(AND(R984&lt;&gt;"修改",S984&lt;&gt;""),"只有「修改」才需填代碼",""))</f>
        <v/>
      </c>
      <c r="Y984" s="21"/>
      <c r="Z984" s="22"/>
      <c r="AA984" s="12" t="s">
        <v>2867</v>
      </c>
      <c r="AB984" s="24"/>
    </row>
    <row r="985" customFormat="false" ht="29.85" hidden="false" customHeight="false" outlineLevel="0" collapsed="false">
      <c r="A985" s="15" t="n">
        <v>984</v>
      </c>
      <c r="B985" s="9" t="s">
        <v>45</v>
      </c>
      <c r="C985" s="9" t="s">
        <v>260</v>
      </c>
      <c r="D985" s="10" t="s">
        <v>261</v>
      </c>
      <c r="E985" s="11" t="s">
        <v>2868</v>
      </c>
      <c r="F985" s="17"/>
      <c r="G985" s="12" t="s">
        <v>949</v>
      </c>
      <c r="H985" s="13" t="n">
        <v>-0.033</v>
      </c>
      <c r="I985" s="14"/>
      <c r="J985" s="17"/>
      <c r="K985" s="9"/>
      <c r="L985" s="15" t="s">
        <v>50</v>
      </c>
      <c r="M985" s="16" t="s">
        <v>51</v>
      </c>
      <c r="N985" s="14"/>
      <c r="O985" s="15" t="s">
        <v>52</v>
      </c>
      <c r="P985" s="17" t="s">
        <v>53</v>
      </c>
      <c r="Q985" s="15"/>
      <c r="R985" s="18" t="s">
        <v>51</v>
      </c>
      <c r="S985" s="19"/>
      <c r="T985" s="17" t="str">
        <f aca="false">IF(R985="維持",J985,IF(R985="排除","無關新聞事件",IFERROR(INDEX(事件規則!$B$2:$B$53,MATCH(S985,事件規則!$A$2:$A$53,0)),"")))</f>
        <v>無關新聞事件</v>
      </c>
      <c r="U985" s="20" t="n">
        <f aca="false">IF(R985="維持",K985,IF(R985="排除",0,IFERROR(INDEX(事件規則!$C$2:$C$53,MATCH(S985,事件規則!$A$2:$A$53,0)),"")))</f>
        <v>0</v>
      </c>
      <c r="V985" s="21"/>
      <c r="W985" s="22"/>
      <c r="X985" s="10" t="str">
        <f aca="false">IF(AND(R985="修改",S985=""),"請選新事件代碼",IF(AND(R985&lt;&gt;"修改",S985&lt;&gt;""),"只有「修改」才需填代碼",""))</f>
        <v/>
      </c>
      <c r="Y985" s="21"/>
      <c r="Z985" s="22"/>
      <c r="AA985" s="12" t="s">
        <v>2869</v>
      </c>
      <c r="AB985" s="24"/>
    </row>
    <row r="986" customFormat="false" ht="29.85" hidden="false" customHeight="false" outlineLevel="0" collapsed="false">
      <c r="A986" s="15" t="n">
        <v>985</v>
      </c>
      <c r="B986" s="9" t="s">
        <v>45</v>
      </c>
      <c r="C986" s="9" t="s">
        <v>1180</v>
      </c>
      <c r="D986" s="10" t="s">
        <v>1181</v>
      </c>
      <c r="E986" s="11" t="s">
        <v>2870</v>
      </c>
      <c r="F986" s="17"/>
      <c r="G986" s="12" t="s">
        <v>1136</v>
      </c>
      <c r="H986" s="13" t="n">
        <v>-0.033</v>
      </c>
      <c r="I986" s="14"/>
      <c r="J986" s="17"/>
      <c r="K986" s="9"/>
      <c r="L986" s="15" t="s">
        <v>50</v>
      </c>
      <c r="M986" s="16" t="s">
        <v>51</v>
      </c>
      <c r="N986" s="14"/>
      <c r="O986" s="15" t="s">
        <v>52</v>
      </c>
      <c r="P986" s="17" t="s">
        <v>53</v>
      </c>
      <c r="Q986" s="15"/>
      <c r="R986" s="18" t="s">
        <v>51</v>
      </c>
      <c r="S986" s="19"/>
      <c r="T986" s="17" t="str">
        <f aca="false">IF(R986="維持",J986,IF(R986="排除","無關新聞事件",IFERROR(INDEX(事件規則!$B$2:$B$53,MATCH(S986,事件規則!$A$2:$A$53,0)),"")))</f>
        <v>無關新聞事件</v>
      </c>
      <c r="U986" s="20" t="n">
        <f aca="false">IF(R986="維持",K986,IF(R986="排除",0,IFERROR(INDEX(事件規則!$C$2:$C$53,MATCH(S986,事件規則!$A$2:$A$53,0)),"")))</f>
        <v>0</v>
      </c>
      <c r="V986" s="21"/>
      <c r="W986" s="22"/>
      <c r="X986" s="10" t="str">
        <f aca="false">IF(AND(R986="修改",S986=""),"請選新事件代碼",IF(AND(R986&lt;&gt;"修改",S986&lt;&gt;""),"只有「修改」才需填代碼",""))</f>
        <v/>
      </c>
      <c r="Y986" s="21"/>
      <c r="Z986" s="22"/>
      <c r="AA986" s="12" t="s">
        <v>2871</v>
      </c>
      <c r="AB986" s="24"/>
    </row>
    <row r="987" customFormat="false" ht="29.85" hidden="false" customHeight="false" outlineLevel="0" collapsed="false">
      <c r="A987" s="15" t="n">
        <v>986</v>
      </c>
      <c r="B987" s="9" t="s">
        <v>45</v>
      </c>
      <c r="C987" s="9" t="s">
        <v>885</v>
      </c>
      <c r="D987" s="10" t="s">
        <v>886</v>
      </c>
      <c r="E987" s="11" t="s">
        <v>2872</v>
      </c>
      <c r="F987" s="17"/>
      <c r="G987" s="12" t="s">
        <v>95</v>
      </c>
      <c r="H987" s="13" t="n">
        <v>-0.033</v>
      </c>
      <c r="I987" s="14"/>
      <c r="J987" s="17"/>
      <c r="K987" s="9"/>
      <c r="L987" s="15" t="s">
        <v>50</v>
      </c>
      <c r="M987" s="16" t="s">
        <v>51</v>
      </c>
      <c r="N987" s="14"/>
      <c r="O987" s="15" t="s">
        <v>52</v>
      </c>
      <c r="P987" s="17" t="s">
        <v>53</v>
      </c>
      <c r="Q987" s="15"/>
      <c r="R987" s="18" t="s">
        <v>51</v>
      </c>
      <c r="S987" s="19"/>
      <c r="T987" s="17" t="str">
        <f aca="false">IF(R987="維持",J987,IF(R987="排除","無關新聞事件",IFERROR(INDEX(事件規則!$B$2:$B$53,MATCH(S987,事件規則!$A$2:$A$53,0)),"")))</f>
        <v>無關新聞事件</v>
      </c>
      <c r="U987" s="20" t="n">
        <f aca="false">IF(R987="維持",K987,IF(R987="排除",0,IFERROR(INDEX(事件規則!$C$2:$C$53,MATCH(S987,事件規則!$A$2:$A$53,0)),"")))</f>
        <v>0</v>
      </c>
      <c r="V987" s="21"/>
      <c r="W987" s="22"/>
      <c r="X987" s="10" t="str">
        <f aca="false">IF(AND(R987="修改",S987=""),"請選新事件代碼",IF(AND(R987&lt;&gt;"修改",S987&lt;&gt;""),"只有「修改」才需填代碼",""))</f>
        <v/>
      </c>
      <c r="Y987" s="21"/>
      <c r="Z987" s="22"/>
      <c r="AA987" s="12" t="s">
        <v>2873</v>
      </c>
      <c r="AB987" s="24"/>
    </row>
    <row r="988" customFormat="false" ht="29.85" hidden="false" customHeight="false" outlineLevel="0" collapsed="false">
      <c r="A988" s="15" t="n">
        <v>987</v>
      </c>
      <c r="B988" s="9" t="s">
        <v>45</v>
      </c>
      <c r="C988" s="9" t="s">
        <v>2424</v>
      </c>
      <c r="D988" s="10" t="s">
        <v>2425</v>
      </c>
      <c r="E988" s="11" t="s">
        <v>2874</v>
      </c>
      <c r="F988" s="17"/>
      <c r="G988" s="12" t="s">
        <v>949</v>
      </c>
      <c r="H988" s="13" t="n">
        <v>-0.033</v>
      </c>
      <c r="I988" s="14"/>
      <c r="J988" s="17"/>
      <c r="K988" s="9"/>
      <c r="L988" s="15" t="s">
        <v>50</v>
      </c>
      <c r="M988" s="16" t="s">
        <v>51</v>
      </c>
      <c r="N988" s="14"/>
      <c r="O988" s="15" t="s">
        <v>52</v>
      </c>
      <c r="P988" s="17" t="s">
        <v>53</v>
      </c>
      <c r="Q988" s="15"/>
      <c r="R988" s="18" t="s">
        <v>51</v>
      </c>
      <c r="S988" s="19"/>
      <c r="T988" s="17" t="str">
        <f aca="false">IF(R988="維持",J988,IF(R988="排除","無關新聞事件",IFERROR(INDEX(事件規則!$B$2:$B$53,MATCH(S988,事件規則!$A$2:$A$53,0)),"")))</f>
        <v>無關新聞事件</v>
      </c>
      <c r="U988" s="20" t="n">
        <f aca="false">IF(R988="維持",K988,IF(R988="排除",0,IFERROR(INDEX(事件規則!$C$2:$C$53,MATCH(S988,事件規則!$A$2:$A$53,0)),"")))</f>
        <v>0</v>
      </c>
      <c r="V988" s="21"/>
      <c r="W988" s="22"/>
      <c r="X988" s="10" t="str">
        <f aca="false">IF(AND(R988="修改",S988=""),"請選新事件代碼",IF(AND(R988&lt;&gt;"修改",S988&lt;&gt;""),"只有「修改」才需填代碼",""))</f>
        <v/>
      </c>
      <c r="Y988" s="21"/>
      <c r="Z988" s="22"/>
      <c r="AA988" s="12" t="s">
        <v>2875</v>
      </c>
      <c r="AB988" s="24"/>
    </row>
    <row r="989" customFormat="false" ht="29.85" hidden="false" customHeight="false" outlineLevel="0" collapsed="false">
      <c r="A989" s="15" t="n">
        <v>988</v>
      </c>
      <c r="B989" s="9" t="s">
        <v>45</v>
      </c>
      <c r="C989" s="9" t="s">
        <v>299</v>
      </c>
      <c r="D989" s="10" t="s">
        <v>300</v>
      </c>
      <c r="E989" s="11" t="s">
        <v>2876</v>
      </c>
      <c r="F989" s="17"/>
      <c r="G989" s="12" t="s">
        <v>949</v>
      </c>
      <c r="H989" s="13" t="n">
        <v>-0.033</v>
      </c>
      <c r="I989" s="14"/>
      <c r="J989" s="17"/>
      <c r="K989" s="9"/>
      <c r="L989" s="15" t="s">
        <v>50</v>
      </c>
      <c r="M989" s="16" t="s">
        <v>51</v>
      </c>
      <c r="N989" s="14"/>
      <c r="O989" s="15" t="s">
        <v>52</v>
      </c>
      <c r="P989" s="17" t="s">
        <v>53</v>
      </c>
      <c r="Q989" s="15"/>
      <c r="R989" s="18" t="s">
        <v>51</v>
      </c>
      <c r="S989" s="19"/>
      <c r="T989" s="17" t="str">
        <f aca="false">IF(R989="維持",J989,IF(R989="排除","無關新聞事件",IFERROR(INDEX(事件規則!$B$2:$B$53,MATCH(S989,事件規則!$A$2:$A$53,0)),"")))</f>
        <v>無關新聞事件</v>
      </c>
      <c r="U989" s="20" t="n">
        <f aca="false">IF(R989="維持",K989,IF(R989="排除",0,IFERROR(INDEX(事件規則!$C$2:$C$53,MATCH(S989,事件規則!$A$2:$A$53,0)),"")))</f>
        <v>0</v>
      </c>
      <c r="V989" s="21"/>
      <c r="W989" s="22"/>
      <c r="X989" s="10" t="str">
        <f aca="false">IF(AND(R989="修改",S989=""),"請選新事件代碼",IF(AND(R989&lt;&gt;"修改",S989&lt;&gt;""),"只有「修改」才需填代碼",""))</f>
        <v/>
      </c>
      <c r="Y989" s="21"/>
      <c r="Z989" s="22"/>
      <c r="AA989" s="12" t="s">
        <v>2877</v>
      </c>
      <c r="AB989" s="24"/>
    </row>
    <row r="990" customFormat="false" ht="29.85" hidden="false" customHeight="false" outlineLevel="0" collapsed="false">
      <c r="A990" s="15" t="n">
        <v>989</v>
      </c>
      <c r="B990" s="9" t="s">
        <v>45</v>
      </c>
      <c r="C990" s="9" t="s">
        <v>1017</v>
      </c>
      <c r="D990" s="10" t="s">
        <v>1018</v>
      </c>
      <c r="E990" s="11" t="s">
        <v>2878</v>
      </c>
      <c r="F990" s="17"/>
      <c r="G990" s="12" t="s">
        <v>105</v>
      </c>
      <c r="H990" s="13" t="n">
        <v>-0.033</v>
      </c>
      <c r="I990" s="14"/>
      <c r="J990" s="17"/>
      <c r="K990" s="9"/>
      <c r="L990" s="15" t="s">
        <v>50</v>
      </c>
      <c r="M990" s="16" t="s">
        <v>51</v>
      </c>
      <c r="N990" s="14"/>
      <c r="O990" s="15" t="s">
        <v>52</v>
      </c>
      <c r="P990" s="17" t="s">
        <v>53</v>
      </c>
      <c r="Q990" s="15"/>
      <c r="R990" s="18" t="s">
        <v>51</v>
      </c>
      <c r="S990" s="19"/>
      <c r="T990" s="17" t="str">
        <f aca="false">IF(R990="維持",J990,IF(R990="排除","無關新聞事件",IFERROR(INDEX(事件規則!$B$2:$B$53,MATCH(S990,事件規則!$A$2:$A$53,0)),"")))</f>
        <v>無關新聞事件</v>
      </c>
      <c r="U990" s="20" t="n">
        <f aca="false">IF(R990="維持",K990,IF(R990="排除",0,IFERROR(INDEX(事件規則!$C$2:$C$53,MATCH(S990,事件規則!$A$2:$A$53,0)),"")))</f>
        <v>0</v>
      </c>
      <c r="V990" s="21"/>
      <c r="W990" s="22"/>
      <c r="X990" s="10" t="str">
        <f aca="false">IF(AND(R990="修改",S990=""),"請選新事件代碼",IF(AND(R990&lt;&gt;"修改",S990&lt;&gt;""),"只有「修改」才需填代碼",""))</f>
        <v/>
      </c>
      <c r="Y990" s="21"/>
      <c r="Z990" s="22"/>
      <c r="AA990" s="12" t="s">
        <v>2879</v>
      </c>
      <c r="AB990" s="24"/>
    </row>
    <row r="991" customFormat="false" ht="29.85" hidden="false" customHeight="false" outlineLevel="0" collapsed="false">
      <c r="A991" s="15" t="n">
        <v>990</v>
      </c>
      <c r="B991" s="9" t="s">
        <v>55</v>
      </c>
      <c r="C991" s="9" t="s">
        <v>113</v>
      </c>
      <c r="D991" s="10" t="s">
        <v>114</v>
      </c>
      <c r="E991" s="11" t="s">
        <v>2880</v>
      </c>
      <c r="F991" s="17"/>
      <c r="G991" s="12" t="s">
        <v>949</v>
      </c>
      <c r="H991" s="13" t="n">
        <v>-0.033</v>
      </c>
      <c r="I991" s="14"/>
      <c r="J991" s="17"/>
      <c r="K991" s="9"/>
      <c r="L991" s="15" t="s">
        <v>50</v>
      </c>
      <c r="M991" s="16" t="s">
        <v>51</v>
      </c>
      <c r="N991" s="14"/>
      <c r="O991" s="15" t="s">
        <v>52</v>
      </c>
      <c r="P991" s="17" t="s">
        <v>53</v>
      </c>
      <c r="Q991" s="15"/>
      <c r="R991" s="18" t="s">
        <v>51</v>
      </c>
      <c r="S991" s="19"/>
      <c r="T991" s="17" t="str">
        <f aca="false">IF(R991="維持",J991,IF(R991="排除","無關新聞事件",IFERROR(INDEX(事件規則!$B$2:$B$53,MATCH(S991,事件規則!$A$2:$A$53,0)),"")))</f>
        <v>無關新聞事件</v>
      </c>
      <c r="U991" s="20" t="n">
        <f aca="false">IF(R991="維持",K991,IF(R991="排除",0,IFERROR(INDEX(事件規則!$C$2:$C$53,MATCH(S991,事件規則!$A$2:$A$53,0)),"")))</f>
        <v>0</v>
      </c>
      <c r="V991" s="21"/>
      <c r="W991" s="22"/>
      <c r="X991" s="10" t="str">
        <f aca="false">IF(AND(R991="修改",S991=""),"請選新事件代碼",IF(AND(R991&lt;&gt;"修改",S991&lt;&gt;""),"只有「修改」才需填代碼",""))</f>
        <v/>
      </c>
      <c r="Y991" s="21"/>
      <c r="Z991" s="22"/>
      <c r="AA991" s="12" t="s">
        <v>2881</v>
      </c>
      <c r="AB991" s="24"/>
    </row>
    <row r="992" customFormat="false" ht="29.85" hidden="false" customHeight="false" outlineLevel="0" collapsed="false">
      <c r="A992" s="15" t="n">
        <v>991</v>
      </c>
      <c r="B992" s="9" t="s">
        <v>45</v>
      </c>
      <c r="C992" s="9" t="s">
        <v>889</v>
      </c>
      <c r="D992" s="10" t="s">
        <v>890</v>
      </c>
      <c r="E992" s="11" t="s">
        <v>2882</v>
      </c>
      <c r="F992" s="17"/>
      <c r="G992" s="12" t="s">
        <v>1136</v>
      </c>
      <c r="H992" s="13" t="n">
        <v>-0.033</v>
      </c>
      <c r="I992" s="14"/>
      <c r="J992" s="17"/>
      <c r="K992" s="9"/>
      <c r="L992" s="15" t="s">
        <v>50</v>
      </c>
      <c r="M992" s="16" t="s">
        <v>51</v>
      </c>
      <c r="N992" s="14"/>
      <c r="O992" s="15" t="s">
        <v>52</v>
      </c>
      <c r="P992" s="17" t="s">
        <v>53</v>
      </c>
      <c r="Q992" s="15"/>
      <c r="R992" s="18" t="s">
        <v>51</v>
      </c>
      <c r="S992" s="19"/>
      <c r="T992" s="17" t="str">
        <f aca="false">IF(R992="維持",J992,IF(R992="排除","無關新聞事件",IFERROR(INDEX(事件規則!$B$2:$B$53,MATCH(S992,事件規則!$A$2:$A$53,0)),"")))</f>
        <v>無關新聞事件</v>
      </c>
      <c r="U992" s="20" t="n">
        <f aca="false">IF(R992="維持",K992,IF(R992="排除",0,IFERROR(INDEX(事件規則!$C$2:$C$53,MATCH(S992,事件規則!$A$2:$A$53,0)),"")))</f>
        <v>0</v>
      </c>
      <c r="V992" s="21"/>
      <c r="W992" s="22"/>
      <c r="X992" s="10" t="str">
        <f aca="false">IF(AND(R992="修改",S992=""),"請選新事件代碼",IF(AND(R992&lt;&gt;"修改",S992&lt;&gt;""),"只有「修改」才需填代碼",""))</f>
        <v/>
      </c>
      <c r="Y992" s="21"/>
      <c r="Z992" s="22"/>
      <c r="AA992" s="12" t="s">
        <v>2883</v>
      </c>
      <c r="AB992" s="24"/>
    </row>
    <row r="993" customFormat="false" ht="29.85" hidden="false" customHeight="false" outlineLevel="0" collapsed="false">
      <c r="A993" s="15" t="n">
        <v>992</v>
      </c>
      <c r="B993" s="9" t="s">
        <v>81</v>
      </c>
      <c r="C993" s="9" t="s">
        <v>973</v>
      </c>
      <c r="D993" s="10" t="s">
        <v>974</v>
      </c>
      <c r="E993" s="11" t="s">
        <v>2884</v>
      </c>
      <c r="F993" s="17"/>
      <c r="G993" s="12" t="s">
        <v>105</v>
      </c>
      <c r="H993" s="13" t="n">
        <v>-0.033</v>
      </c>
      <c r="I993" s="14"/>
      <c r="J993" s="17"/>
      <c r="K993" s="9"/>
      <c r="L993" s="15" t="s">
        <v>50</v>
      </c>
      <c r="M993" s="16" t="s">
        <v>51</v>
      </c>
      <c r="N993" s="14"/>
      <c r="O993" s="15" t="s">
        <v>52</v>
      </c>
      <c r="P993" s="17" t="s">
        <v>53</v>
      </c>
      <c r="Q993" s="15"/>
      <c r="R993" s="18" t="s">
        <v>51</v>
      </c>
      <c r="S993" s="19"/>
      <c r="T993" s="17" t="str">
        <f aca="false">IF(R993="維持",J993,IF(R993="排除","無關新聞事件",IFERROR(INDEX(事件規則!$B$2:$B$53,MATCH(S993,事件規則!$A$2:$A$53,0)),"")))</f>
        <v>無關新聞事件</v>
      </c>
      <c r="U993" s="20" t="n">
        <f aca="false">IF(R993="維持",K993,IF(R993="排除",0,IFERROR(INDEX(事件規則!$C$2:$C$53,MATCH(S993,事件規則!$A$2:$A$53,0)),"")))</f>
        <v>0</v>
      </c>
      <c r="V993" s="21"/>
      <c r="W993" s="22"/>
      <c r="X993" s="10" t="str">
        <f aca="false">IF(AND(R993="修改",S993=""),"請選新事件代碼",IF(AND(R993&lt;&gt;"修改",S993&lt;&gt;""),"只有「修改」才需填代碼",""))</f>
        <v/>
      </c>
      <c r="Y993" s="21"/>
      <c r="Z993" s="22"/>
      <c r="AA993" s="12" t="s">
        <v>2885</v>
      </c>
      <c r="AB993" s="24"/>
    </row>
    <row r="994" customFormat="false" ht="29.85" hidden="false" customHeight="false" outlineLevel="0" collapsed="false">
      <c r="A994" s="15" t="n">
        <v>993</v>
      </c>
      <c r="B994" s="9" t="s">
        <v>45</v>
      </c>
      <c r="C994" s="9" t="s">
        <v>315</v>
      </c>
      <c r="D994" s="10" t="s">
        <v>316</v>
      </c>
      <c r="E994" s="11" t="s">
        <v>2886</v>
      </c>
      <c r="F994" s="17"/>
      <c r="G994" s="12" t="s">
        <v>949</v>
      </c>
      <c r="H994" s="13" t="n">
        <v>-0.033</v>
      </c>
      <c r="I994" s="14"/>
      <c r="J994" s="17"/>
      <c r="K994" s="9"/>
      <c r="L994" s="15" t="s">
        <v>50</v>
      </c>
      <c r="M994" s="16" t="s">
        <v>51</v>
      </c>
      <c r="N994" s="14"/>
      <c r="O994" s="15" t="s">
        <v>52</v>
      </c>
      <c r="P994" s="17" t="s">
        <v>53</v>
      </c>
      <c r="Q994" s="15"/>
      <c r="R994" s="18" t="s">
        <v>51</v>
      </c>
      <c r="S994" s="19"/>
      <c r="T994" s="17" t="str">
        <f aca="false">IF(R994="維持",J994,IF(R994="排除","無關新聞事件",IFERROR(INDEX(事件規則!$B$2:$B$53,MATCH(S994,事件規則!$A$2:$A$53,0)),"")))</f>
        <v>無關新聞事件</v>
      </c>
      <c r="U994" s="20" t="n">
        <f aca="false">IF(R994="維持",K994,IF(R994="排除",0,IFERROR(INDEX(事件規則!$C$2:$C$53,MATCH(S994,事件規則!$A$2:$A$53,0)),"")))</f>
        <v>0</v>
      </c>
      <c r="V994" s="21"/>
      <c r="W994" s="22"/>
      <c r="X994" s="10" t="str">
        <f aca="false">IF(AND(R994="修改",S994=""),"請選新事件代碼",IF(AND(R994&lt;&gt;"修改",S994&lt;&gt;""),"只有「修改」才需填代碼",""))</f>
        <v/>
      </c>
      <c r="Y994" s="21"/>
      <c r="Z994" s="22"/>
      <c r="AA994" s="12" t="s">
        <v>2887</v>
      </c>
      <c r="AB994" s="24"/>
    </row>
    <row r="995" customFormat="false" ht="29.85" hidden="false" customHeight="false" outlineLevel="0" collapsed="false">
      <c r="A995" s="15" t="n">
        <v>994</v>
      </c>
      <c r="B995" s="9" t="s">
        <v>55</v>
      </c>
      <c r="C995" s="9" t="s">
        <v>404</v>
      </c>
      <c r="D995" s="10" t="s">
        <v>405</v>
      </c>
      <c r="E995" s="11" t="s">
        <v>2888</v>
      </c>
      <c r="F995" s="17"/>
      <c r="G995" s="12" t="s">
        <v>105</v>
      </c>
      <c r="H995" s="13" t="n">
        <v>-0.033</v>
      </c>
      <c r="I995" s="14"/>
      <c r="J995" s="17"/>
      <c r="K995" s="9"/>
      <c r="L995" s="15" t="s">
        <v>50</v>
      </c>
      <c r="M995" s="16" t="s">
        <v>51</v>
      </c>
      <c r="N995" s="14"/>
      <c r="O995" s="15" t="s">
        <v>52</v>
      </c>
      <c r="P995" s="17" t="s">
        <v>53</v>
      </c>
      <c r="Q995" s="15"/>
      <c r="R995" s="18" t="s">
        <v>51</v>
      </c>
      <c r="S995" s="19"/>
      <c r="T995" s="17" t="str">
        <f aca="false">IF(R995="維持",J995,IF(R995="排除","無關新聞事件",IFERROR(INDEX(事件規則!$B$2:$B$53,MATCH(S995,事件規則!$A$2:$A$53,0)),"")))</f>
        <v>無關新聞事件</v>
      </c>
      <c r="U995" s="20" t="n">
        <f aca="false">IF(R995="維持",K995,IF(R995="排除",0,IFERROR(INDEX(事件規則!$C$2:$C$53,MATCH(S995,事件規則!$A$2:$A$53,0)),"")))</f>
        <v>0</v>
      </c>
      <c r="V995" s="21"/>
      <c r="W995" s="22"/>
      <c r="X995" s="10" t="str">
        <f aca="false">IF(AND(R995="修改",S995=""),"請選新事件代碼",IF(AND(R995&lt;&gt;"修改",S995&lt;&gt;""),"只有「修改」才需填代碼",""))</f>
        <v/>
      </c>
      <c r="Y995" s="21"/>
      <c r="Z995" s="22"/>
      <c r="AA995" s="12" t="s">
        <v>2889</v>
      </c>
      <c r="AB995" s="24"/>
    </row>
    <row r="996" customFormat="false" ht="29.85" hidden="false" customHeight="false" outlineLevel="0" collapsed="false">
      <c r="A996" s="15" t="n">
        <v>995</v>
      </c>
      <c r="B996" s="9" t="s">
        <v>45</v>
      </c>
      <c r="C996" s="9" t="s">
        <v>2169</v>
      </c>
      <c r="D996" s="10" t="s">
        <v>2170</v>
      </c>
      <c r="E996" s="11" t="s">
        <v>2890</v>
      </c>
      <c r="F996" s="17"/>
      <c r="G996" s="12" t="s">
        <v>176</v>
      </c>
      <c r="H996" s="13" t="n">
        <v>-0.033</v>
      </c>
      <c r="I996" s="14"/>
      <c r="J996" s="17"/>
      <c r="K996" s="9"/>
      <c r="L996" s="15" t="s">
        <v>50</v>
      </c>
      <c r="M996" s="16" t="s">
        <v>51</v>
      </c>
      <c r="N996" s="14"/>
      <c r="O996" s="15" t="s">
        <v>52</v>
      </c>
      <c r="P996" s="17" t="s">
        <v>53</v>
      </c>
      <c r="Q996" s="15"/>
      <c r="R996" s="18" t="s">
        <v>51</v>
      </c>
      <c r="S996" s="19"/>
      <c r="T996" s="17" t="str">
        <f aca="false">IF(R996="維持",J996,IF(R996="排除","無關新聞事件",IFERROR(INDEX(事件規則!$B$2:$B$53,MATCH(S996,事件規則!$A$2:$A$53,0)),"")))</f>
        <v>無關新聞事件</v>
      </c>
      <c r="U996" s="20" t="n">
        <f aca="false">IF(R996="維持",K996,IF(R996="排除",0,IFERROR(INDEX(事件規則!$C$2:$C$53,MATCH(S996,事件規則!$A$2:$A$53,0)),"")))</f>
        <v>0</v>
      </c>
      <c r="V996" s="21"/>
      <c r="W996" s="22"/>
      <c r="X996" s="10" t="str">
        <f aca="false">IF(AND(R996="修改",S996=""),"請選新事件代碼",IF(AND(R996&lt;&gt;"修改",S996&lt;&gt;""),"只有「修改」才需填代碼",""))</f>
        <v/>
      </c>
      <c r="Y996" s="21"/>
      <c r="Z996" s="22"/>
      <c r="AA996" s="12" t="s">
        <v>2891</v>
      </c>
      <c r="AB996" s="24"/>
    </row>
    <row r="997" customFormat="false" ht="29.85" hidden="false" customHeight="false" outlineLevel="0" collapsed="false">
      <c r="A997" s="15" t="n">
        <v>996</v>
      </c>
      <c r="B997" s="9" t="s">
        <v>45</v>
      </c>
      <c r="C997" s="9" t="s">
        <v>232</v>
      </c>
      <c r="D997" s="10" t="s">
        <v>233</v>
      </c>
      <c r="E997" s="11" t="s">
        <v>2892</v>
      </c>
      <c r="F997" s="17"/>
      <c r="G997" s="12" t="s">
        <v>49</v>
      </c>
      <c r="H997" s="13" t="n">
        <v>-0.033</v>
      </c>
      <c r="I997" s="14"/>
      <c r="J997" s="17"/>
      <c r="K997" s="9"/>
      <c r="L997" s="15" t="s">
        <v>50</v>
      </c>
      <c r="M997" s="16" t="s">
        <v>51</v>
      </c>
      <c r="N997" s="14"/>
      <c r="O997" s="15" t="s">
        <v>52</v>
      </c>
      <c r="P997" s="17" t="s">
        <v>53</v>
      </c>
      <c r="Q997" s="15"/>
      <c r="R997" s="18" t="s">
        <v>51</v>
      </c>
      <c r="S997" s="19"/>
      <c r="T997" s="17" t="str">
        <f aca="false">IF(R997="維持",J997,IF(R997="排除","無關新聞事件",IFERROR(INDEX(事件規則!$B$2:$B$53,MATCH(S997,事件規則!$A$2:$A$53,0)),"")))</f>
        <v>無關新聞事件</v>
      </c>
      <c r="U997" s="20" t="n">
        <f aca="false">IF(R997="維持",K997,IF(R997="排除",0,IFERROR(INDEX(事件規則!$C$2:$C$53,MATCH(S997,事件規則!$A$2:$A$53,0)),"")))</f>
        <v>0</v>
      </c>
      <c r="V997" s="21"/>
      <c r="W997" s="22"/>
      <c r="X997" s="10" t="str">
        <f aca="false">IF(AND(R997="修改",S997=""),"請選新事件代碼",IF(AND(R997&lt;&gt;"修改",S997&lt;&gt;""),"只有「修改」才需填代碼",""))</f>
        <v/>
      </c>
      <c r="Y997" s="21"/>
      <c r="Z997" s="22"/>
      <c r="AA997" s="12" t="s">
        <v>2893</v>
      </c>
      <c r="AB997" s="24"/>
    </row>
    <row r="998" customFormat="false" ht="29.85" hidden="false" customHeight="false" outlineLevel="0" collapsed="false">
      <c r="A998" s="15" t="n">
        <v>997</v>
      </c>
      <c r="B998" s="9" t="s">
        <v>55</v>
      </c>
      <c r="C998" s="9" t="s">
        <v>2894</v>
      </c>
      <c r="D998" s="10" t="s">
        <v>2895</v>
      </c>
      <c r="E998" s="11" t="s">
        <v>2896</v>
      </c>
      <c r="F998" s="17"/>
      <c r="G998" s="12" t="s">
        <v>1136</v>
      </c>
      <c r="H998" s="13" t="n">
        <v>-0.033</v>
      </c>
      <c r="I998" s="14"/>
      <c r="J998" s="17"/>
      <c r="K998" s="9"/>
      <c r="L998" s="15" t="s">
        <v>50</v>
      </c>
      <c r="M998" s="16" t="s">
        <v>51</v>
      </c>
      <c r="N998" s="14"/>
      <c r="O998" s="15" t="s">
        <v>52</v>
      </c>
      <c r="P998" s="17" t="s">
        <v>53</v>
      </c>
      <c r="Q998" s="15"/>
      <c r="R998" s="18" t="s">
        <v>51</v>
      </c>
      <c r="S998" s="19"/>
      <c r="T998" s="17" t="str">
        <f aca="false">IF(R998="維持",J998,IF(R998="排除","無關新聞事件",IFERROR(INDEX(事件規則!$B$2:$B$53,MATCH(S998,事件規則!$A$2:$A$53,0)),"")))</f>
        <v>無關新聞事件</v>
      </c>
      <c r="U998" s="20" t="n">
        <f aca="false">IF(R998="維持",K998,IF(R998="排除",0,IFERROR(INDEX(事件規則!$C$2:$C$53,MATCH(S998,事件規則!$A$2:$A$53,0)),"")))</f>
        <v>0</v>
      </c>
      <c r="V998" s="21"/>
      <c r="W998" s="22"/>
      <c r="X998" s="10" t="str">
        <f aca="false">IF(AND(R998="修改",S998=""),"請選新事件代碼",IF(AND(R998&lt;&gt;"修改",S998&lt;&gt;""),"只有「修改」才需填代碼",""))</f>
        <v/>
      </c>
      <c r="Y998" s="21"/>
      <c r="Z998" s="22"/>
      <c r="AA998" s="12" t="s">
        <v>2897</v>
      </c>
      <c r="AB998" s="24"/>
    </row>
    <row r="999" customFormat="false" ht="29.85" hidden="false" customHeight="false" outlineLevel="0" collapsed="false">
      <c r="A999" s="15" t="n">
        <v>998</v>
      </c>
      <c r="B999" s="9" t="s">
        <v>45</v>
      </c>
      <c r="C999" s="9" t="s">
        <v>957</v>
      </c>
      <c r="D999" s="10" t="s">
        <v>958</v>
      </c>
      <c r="E999" s="11" t="s">
        <v>2898</v>
      </c>
      <c r="F999" s="17"/>
      <c r="G999" s="12" t="s">
        <v>949</v>
      </c>
      <c r="H999" s="13" t="n">
        <v>-0.033</v>
      </c>
      <c r="I999" s="14"/>
      <c r="J999" s="17"/>
      <c r="K999" s="9"/>
      <c r="L999" s="15" t="s">
        <v>50</v>
      </c>
      <c r="M999" s="16" t="s">
        <v>51</v>
      </c>
      <c r="N999" s="14"/>
      <c r="O999" s="15" t="s">
        <v>52</v>
      </c>
      <c r="P999" s="17" t="s">
        <v>53</v>
      </c>
      <c r="Q999" s="15"/>
      <c r="R999" s="18" t="s">
        <v>51</v>
      </c>
      <c r="S999" s="19"/>
      <c r="T999" s="17" t="str">
        <f aca="false">IF(R999="維持",J999,IF(R999="排除","無關新聞事件",IFERROR(INDEX(事件規則!$B$2:$B$53,MATCH(S999,事件規則!$A$2:$A$53,0)),"")))</f>
        <v>無關新聞事件</v>
      </c>
      <c r="U999" s="20" t="n">
        <f aca="false">IF(R999="維持",K999,IF(R999="排除",0,IFERROR(INDEX(事件規則!$C$2:$C$53,MATCH(S999,事件規則!$A$2:$A$53,0)),"")))</f>
        <v>0</v>
      </c>
      <c r="V999" s="21"/>
      <c r="W999" s="22"/>
      <c r="X999" s="10" t="str">
        <f aca="false">IF(AND(R999="修改",S999=""),"請選新事件代碼",IF(AND(R999&lt;&gt;"修改",S999&lt;&gt;""),"只有「修改」才需填代碼",""))</f>
        <v/>
      </c>
      <c r="Y999" s="21"/>
      <c r="Z999" s="22"/>
      <c r="AA999" s="12" t="s">
        <v>2899</v>
      </c>
      <c r="AB999" s="24"/>
    </row>
    <row r="1000" customFormat="false" ht="29.85" hidden="false" customHeight="false" outlineLevel="0" collapsed="false">
      <c r="A1000" s="15" t="n">
        <v>999</v>
      </c>
      <c r="B1000" s="9" t="s">
        <v>55</v>
      </c>
      <c r="C1000" s="9" t="s">
        <v>2424</v>
      </c>
      <c r="D1000" s="10" t="s">
        <v>2425</v>
      </c>
      <c r="E1000" s="11" t="s">
        <v>2900</v>
      </c>
      <c r="F1000" s="17"/>
      <c r="G1000" s="12" t="s">
        <v>949</v>
      </c>
      <c r="H1000" s="13" t="n">
        <v>-0.033</v>
      </c>
      <c r="I1000" s="14"/>
      <c r="J1000" s="17"/>
      <c r="K1000" s="9"/>
      <c r="L1000" s="15" t="s">
        <v>50</v>
      </c>
      <c r="M1000" s="16" t="s">
        <v>51</v>
      </c>
      <c r="N1000" s="14"/>
      <c r="O1000" s="15" t="s">
        <v>52</v>
      </c>
      <c r="P1000" s="17" t="s">
        <v>53</v>
      </c>
      <c r="Q1000" s="15"/>
      <c r="R1000" s="18" t="s">
        <v>51</v>
      </c>
      <c r="S1000" s="19"/>
      <c r="T1000" s="17" t="str">
        <f aca="false">IF(R1000="維持",J1000,IF(R1000="排除","無關新聞事件",IFERROR(INDEX(事件規則!$B$2:$B$53,MATCH(S1000,事件規則!$A$2:$A$53,0)),"")))</f>
        <v>無關新聞事件</v>
      </c>
      <c r="U1000" s="20" t="n">
        <f aca="false">IF(R1000="維持",K1000,IF(R1000="排除",0,IFERROR(INDEX(事件規則!$C$2:$C$53,MATCH(S1000,事件規則!$A$2:$A$53,0)),"")))</f>
        <v>0</v>
      </c>
      <c r="V1000" s="21"/>
      <c r="W1000" s="22"/>
      <c r="X1000" s="10" t="str">
        <f aca="false">IF(AND(R1000="修改",S1000=""),"請選新事件代碼",IF(AND(R1000&lt;&gt;"修改",S1000&lt;&gt;""),"只有「修改」才需填代碼",""))</f>
        <v/>
      </c>
      <c r="Y1000" s="21"/>
      <c r="Z1000" s="22"/>
      <c r="AA1000" s="12" t="s">
        <v>2901</v>
      </c>
      <c r="AB1000" s="24"/>
    </row>
    <row r="1001" customFormat="false" ht="29.85" hidden="false" customHeight="false" outlineLevel="0" collapsed="false">
      <c r="A1001" s="15" t="n">
        <v>1000</v>
      </c>
      <c r="B1001" s="9" t="s">
        <v>55</v>
      </c>
      <c r="C1001" s="9" t="s">
        <v>355</v>
      </c>
      <c r="D1001" s="10" t="s">
        <v>356</v>
      </c>
      <c r="E1001" s="11" t="s">
        <v>2902</v>
      </c>
      <c r="F1001" s="17"/>
      <c r="G1001" s="12" t="s">
        <v>2903</v>
      </c>
      <c r="H1001" s="13" t="n">
        <v>-0.033</v>
      </c>
      <c r="I1001" s="14"/>
      <c r="J1001" s="17"/>
      <c r="K1001" s="9"/>
      <c r="L1001" s="15" t="s">
        <v>50</v>
      </c>
      <c r="M1001" s="16" t="s">
        <v>51</v>
      </c>
      <c r="N1001" s="14"/>
      <c r="O1001" s="15" t="s">
        <v>52</v>
      </c>
      <c r="P1001" s="17" t="s">
        <v>53</v>
      </c>
      <c r="Q1001" s="15"/>
      <c r="R1001" s="18" t="s">
        <v>51</v>
      </c>
      <c r="S1001" s="19"/>
      <c r="T1001" s="17" t="str">
        <f aca="false">IF(R1001="維持",J1001,IF(R1001="排除","無關新聞事件",IFERROR(INDEX(事件規則!$B$2:$B$53,MATCH(S1001,事件規則!$A$2:$A$53,0)),"")))</f>
        <v>無關新聞事件</v>
      </c>
      <c r="U1001" s="20" t="n">
        <f aca="false">IF(R1001="維持",K1001,IF(R1001="排除",0,IFERROR(INDEX(事件規則!$C$2:$C$53,MATCH(S1001,事件規則!$A$2:$A$53,0)),"")))</f>
        <v>0</v>
      </c>
      <c r="V1001" s="21"/>
      <c r="W1001" s="22"/>
      <c r="X1001" s="10" t="str">
        <f aca="false">IF(AND(R1001="修改",S1001=""),"請選新事件代碼",IF(AND(R1001&lt;&gt;"修改",S1001&lt;&gt;""),"只有「修改」才需填代碼",""))</f>
        <v/>
      </c>
      <c r="Y1001" s="21"/>
      <c r="Z1001" s="22"/>
      <c r="AA1001" s="12" t="s">
        <v>2904</v>
      </c>
      <c r="AB1001" s="24"/>
    </row>
    <row r="1002" customFormat="false" ht="29.85" hidden="false" customHeight="false" outlineLevel="0" collapsed="false">
      <c r="A1002" s="15" t="n">
        <v>1001</v>
      </c>
      <c r="B1002" s="9" t="s">
        <v>81</v>
      </c>
      <c r="C1002" s="9" t="s">
        <v>449</v>
      </c>
      <c r="D1002" s="10" t="s">
        <v>450</v>
      </c>
      <c r="E1002" s="11" t="s">
        <v>2905</v>
      </c>
      <c r="F1002" s="17"/>
      <c r="G1002" s="12" t="s">
        <v>1136</v>
      </c>
      <c r="H1002" s="13" t="n">
        <v>-0.033</v>
      </c>
      <c r="I1002" s="14"/>
      <c r="J1002" s="17"/>
      <c r="K1002" s="9"/>
      <c r="L1002" s="15" t="s">
        <v>50</v>
      </c>
      <c r="M1002" s="16" t="s">
        <v>51</v>
      </c>
      <c r="N1002" s="14"/>
      <c r="O1002" s="15" t="s">
        <v>52</v>
      </c>
      <c r="P1002" s="17" t="s">
        <v>53</v>
      </c>
      <c r="Q1002" s="15"/>
      <c r="R1002" s="18" t="s">
        <v>51</v>
      </c>
      <c r="S1002" s="19"/>
      <c r="T1002" s="17" t="str">
        <f aca="false">IF(R1002="維持",J1002,IF(R1002="排除","無關新聞事件",IFERROR(INDEX(事件規則!$B$2:$B$53,MATCH(S1002,事件規則!$A$2:$A$53,0)),"")))</f>
        <v>無關新聞事件</v>
      </c>
      <c r="U1002" s="20" t="n">
        <f aca="false">IF(R1002="維持",K1002,IF(R1002="排除",0,IFERROR(INDEX(事件規則!$C$2:$C$53,MATCH(S1002,事件規則!$A$2:$A$53,0)),"")))</f>
        <v>0</v>
      </c>
      <c r="V1002" s="21"/>
      <c r="W1002" s="22"/>
      <c r="X1002" s="10" t="str">
        <f aca="false">IF(AND(R1002="修改",S1002=""),"請選新事件代碼",IF(AND(R1002&lt;&gt;"修改",S1002&lt;&gt;""),"只有「修改」才需填代碼",""))</f>
        <v/>
      </c>
      <c r="Y1002" s="21"/>
      <c r="Z1002" s="22"/>
      <c r="AA1002" s="12" t="s">
        <v>2906</v>
      </c>
      <c r="AB1002" s="24"/>
    </row>
    <row r="1003" customFormat="false" ht="29.85" hidden="false" customHeight="false" outlineLevel="0" collapsed="false">
      <c r="A1003" s="15" t="n">
        <v>1002</v>
      </c>
      <c r="B1003" s="9" t="s">
        <v>45</v>
      </c>
      <c r="C1003" s="9" t="s">
        <v>1196</v>
      </c>
      <c r="D1003" s="10" t="s">
        <v>1197</v>
      </c>
      <c r="E1003" s="11" t="s">
        <v>2907</v>
      </c>
      <c r="F1003" s="17"/>
      <c r="G1003" s="12" t="s">
        <v>1136</v>
      </c>
      <c r="H1003" s="13" t="n">
        <v>-0.033</v>
      </c>
      <c r="I1003" s="14"/>
      <c r="J1003" s="17"/>
      <c r="K1003" s="9"/>
      <c r="L1003" s="15" t="s">
        <v>50</v>
      </c>
      <c r="M1003" s="16" t="s">
        <v>51</v>
      </c>
      <c r="N1003" s="14"/>
      <c r="O1003" s="15" t="s">
        <v>52</v>
      </c>
      <c r="P1003" s="17" t="s">
        <v>53</v>
      </c>
      <c r="Q1003" s="15"/>
      <c r="R1003" s="18" t="s">
        <v>51</v>
      </c>
      <c r="S1003" s="19"/>
      <c r="T1003" s="17" t="str">
        <f aca="false">IF(R1003="維持",J1003,IF(R1003="排除","無關新聞事件",IFERROR(INDEX(事件規則!$B$2:$B$53,MATCH(S1003,事件規則!$A$2:$A$53,0)),"")))</f>
        <v>無關新聞事件</v>
      </c>
      <c r="U1003" s="20" t="n">
        <f aca="false">IF(R1003="維持",K1003,IF(R1003="排除",0,IFERROR(INDEX(事件規則!$C$2:$C$53,MATCH(S1003,事件規則!$A$2:$A$53,0)),"")))</f>
        <v>0</v>
      </c>
      <c r="V1003" s="21"/>
      <c r="W1003" s="22"/>
      <c r="X1003" s="10" t="str">
        <f aca="false">IF(AND(R1003="修改",S1003=""),"請選新事件代碼",IF(AND(R1003&lt;&gt;"修改",S1003&lt;&gt;""),"只有「修改」才需填代碼",""))</f>
        <v/>
      </c>
      <c r="Y1003" s="21"/>
      <c r="Z1003" s="22"/>
      <c r="AA1003" s="12" t="s">
        <v>2908</v>
      </c>
      <c r="AB1003" s="24"/>
    </row>
    <row r="1004" customFormat="false" ht="29.85" hidden="false" customHeight="false" outlineLevel="0" collapsed="false">
      <c r="A1004" s="15" t="n">
        <v>1003</v>
      </c>
      <c r="B1004" s="9" t="s">
        <v>55</v>
      </c>
      <c r="C1004" s="9" t="s">
        <v>289</v>
      </c>
      <c r="D1004" s="10" t="s">
        <v>290</v>
      </c>
      <c r="E1004" s="11" t="s">
        <v>2909</v>
      </c>
      <c r="F1004" s="17"/>
      <c r="G1004" s="12" t="s">
        <v>105</v>
      </c>
      <c r="H1004" s="13" t="n">
        <v>-0.033</v>
      </c>
      <c r="I1004" s="14"/>
      <c r="J1004" s="17"/>
      <c r="K1004" s="9"/>
      <c r="L1004" s="15" t="s">
        <v>50</v>
      </c>
      <c r="M1004" s="16" t="s">
        <v>51</v>
      </c>
      <c r="N1004" s="14"/>
      <c r="O1004" s="15" t="s">
        <v>52</v>
      </c>
      <c r="P1004" s="17" t="s">
        <v>53</v>
      </c>
      <c r="Q1004" s="15"/>
      <c r="R1004" s="18" t="s">
        <v>51</v>
      </c>
      <c r="S1004" s="19"/>
      <c r="T1004" s="17" t="str">
        <f aca="false">IF(R1004="維持",J1004,IF(R1004="排除","無關新聞事件",IFERROR(INDEX(事件規則!$B$2:$B$53,MATCH(S1004,事件規則!$A$2:$A$53,0)),"")))</f>
        <v>無關新聞事件</v>
      </c>
      <c r="U1004" s="20" t="n">
        <f aca="false">IF(R1004="維持",K1004,IF(R1004="排除",0,IFERROR(INDEX(事件規則!$C$2:$C$53,MATCH(S1004,事件規則!$A$2:$A$53,0)),"")))</f>
        <v>0</v>
      </c>
      <c r="V1004" s="21"/>
      <c r="W1004" s="22"/>
      <c r="X1004" s="10" t="str">
        <f aca="false">IF(AND(R1004="修改",S1004=""),"請選新事件代碼",IF(AND(R1004&lt;&gt;"修改",S1004&lt;&gt;""),"只有「修改」才需填代碼",""))</f>
        <v/>
      </c>
      <c r="Y1004" s="21"/>
      <c r="Z1004" s="22"/>
      <c r="AA1004" s="12" t="s">
        <v>2910</v>
      </c>
      <c r="AB1004" s="24"/>
    </row>
    <row r="1005" customFormat="false" ht="29.85" hidden="false" customHeight="false" outlineLevel="0" collapsed="false">
      <c r="A1005" s="15" t="n">
        <v>1004</v>
      </c>
      <c r="B1005" s="9" t="s">
        <v>55</v>
      </c>
      <c r="C1005" s="9" t="s">
        <v>2008</v>
      </c>
      <c r="D1005" s="10" t="s">
        <v>2009</v>
      </c>
      <c r="E1005" s="11" t="s">
        <v>2911</v>
      </c>
      <c r="F1005" s="17"/>
      <c r="G1005" s="12" t="s">
        <v>2033</v>
      </c>
      <c r="H1005" s="13" t="n">
        <v>-0.033</v>
      </c>
      <c r="I1005" s="14"/>
      <c r="J1005" s="17"/>
      <c r="K1005" s="9"/>
      <c r="L1005" s="15" t="s">
        <v>50</v>
      </c>
      <c r="M1005" s="16" t="s">
        <v>51</v>
      </c>
      <c r="N1005" s="14"/>
      <c r="O1005" s="15" t="s">
        <v>52</v>
      </c>
      <c r="P1005" s="17" t="s">
        <v>53</v>
      </c>
      <c r="Q1005" s="15"/>
      <c r="R1005" s="18" t="s">
        <v>51</v>
      </c>
      <c r="S1005" s="19"/>
      <c r="T1005" s="17" t="str">
        <f aca="false">IF(R1005="維持",J1005,IF(R1005="排除","無關新聞事件",IFERROR(INDEX(事件規則!$B$2:$B$53,MATCH(S1005,事件規則!$A$2:$A$53,0)),"")))</f>
        <v>無關新聞事件</v>
      </c>
      <c r="U1005" s="20" t="n">
        <f aca="false">IF(R1005="維持",K1005,IF(R1005="排除",0,IFERROR(INDEX(事件規則!$C$2:$C$53,MATCH(S1005,事件規則!$A$2:$A$53,0)),"")))</f>
        <v>0</v>
      </c>
      <c r="V1005" s="21"/>
      <c r="W1005" s="22"/>
      <c r="X1005" s="10" t="str">
        <f aca="false">IF(AND(R1005="修改",S1005=""),"請選新事件代碼",IF(AND(R1005&lt;&gt;"修改",S1005&lt;&gt;""),"只有「修改」才需填代碼",""))</f>
        <v/>
      </c>
      <c r="Y1005" s="21"/>
      <c r="Z1005" s="22"/>
      <c r="AA1005" s="12" t="s">
        <v>2912</v>
      </c>
      <c r="AB1005" s="24"/>
    </row>
    <row r="1006" customFormat="false" ht="29.85" hidden="false" customHeight="false" outlineLevel="0" collapsed="false">
      <c r="A1006" s="15" t="n">
        <v>1005</v>
      </c>
      <c r="B1006" s="9" t="s">
        <v>55</v>
      </c>
      <c r="C1006" s="9" t="s">
        <v>2083</v>
      </c>
      <c r="D1006" s="10" t="s">
        <v>2084</v>
      </c>
      <c r="E1006" s="11" t="s">
        <v>2913</v>
      </c>
      <c r="F1006" s="17"/>
      <c r="G1006" s="12" t="s">
        <v>105</v>
      </c>
      <c r="H1006" s="13" t="n">
        <v>-0.033</v>
      </c>
      <c r="I1006" s="14"/>
      <c r="J1006" s="17"/>
      <c r="K1006" s="9"/>
      <c r="L1006" s="15" t="s">
        <v>50</v>
      </c>
      <c r="M1006" s="16" t="s">
        <v>51</v>
      </c>
      <c r="N1006" s="14"/>
      <c r="O1006" s="15" t="s">
        <v>52</v>
      </c>
      <c r="P1006" s="17" t="s">
        <v>53</v>
      </c>
      <c r="Q1006" s="15"/>
      <c r="R1006" s="18" t="s">
        <v>51</v>
      </c>
      <c r="S1006" s="19"/>
      <c r="T1006" s="17" t="str">
        <f aca="false">IF(R1006="維持",J1006,IF(R1006="排除","無關新聞事件",IFERROR(INDEX(事件規則!$B$2:$B$53,MATCH(S1006,事件規則!$A$2:$A$53,0)),"")))</f>
        <v>無關新聞事件</v>
      </c>
      <c r="U1006" s="20" t="n">
        <f aca="false">IF(R1006="維持",K1006,IF(R1006="排除",0,IFERROR(INDEX(事件規則!$C$2:$C$53,MATCH(S1006,事件規則!$A$2:$A$53,0)),"")))</f>
        <v>0</v>
      </c>
      <c r="V1006" s="21"/>
      <c r="W1006" s="22"/>
      <c r="X1006" s="10" t="str">
        <f aca="false">IF(AND(R1006="修改",S1006=""),"請選新事件代碼",IF(AND(R1006&lt;&gt;"修改",S1006&lt;&gt;""),"只有「修改」才需填代碼",""))</f>
        <v/>
      </c>
      <c r="Y1006" s="21"/>
      <c r="Z1006" s="22"/>
      <c r="AA1006" s="12" t="s">
        <v>2914</v>
      </c>
      <c r="AB1006" s="24"/>
    </row>
    <row r="1007" customFormat="false" ht="29.85" hidden="false" customHeight="false" outlineLevel="0" collapsed="false">
      <c r="A1007" s="15" t="n">
        <v>1006</v>
      </c>
      <c r="B1007" s="9" t="s">
        <v>55</v>
      </c>
      <c r="C1007" s="9" t="s">
        <v>344</v>
      </c>
      <c r="D1007" s="10" t="s">
        <v>345</v>
      </c>
      <c r="E1007" s="11" t="s">
        <v>2915</v>
      </c>
      <c r="F1007" s="17"/>
      <c r="G1007" s="12" t="s">
        <v>949</v>
      </c>
      <c r="H1007" s="13" t="n">
        <v>-0.033</v>
      </c>
      <c r="I1007" s="14"/>
      <c r="J1007" s="17"/>
      <c r="K1007" s="9"/>
      <c r="L1007" s="15" t="s">
        <v>50</v>
      </c>
      <c r="M1007" s="16" t="s">
        <v>51</v>
      </c>
      <c r="N1007" s="14"/>
      <c r="O1007" s="15" t="s">
        <v>52</v>
      </c>
      <c r="P1007" s="17" t="s">
        <v>53</v>
      </c>
      <c r="Q1007" s="15"/>
      <c r="R1007" s="18" t="s">
        <v>51</v>
      </c>
      <c r="S1007" s="19"/>
      <c r="T1007" s="17" t="str">
        <f aca="false">IF(R1007="維持",J1007,IF(R1007="排除","無關新聞事件",IFERROR(INDEX(事件規則!$B$2:$B$53,MATCH(S1007,事件規則!$A$2:$A$53,0)),"")))</f>
        <v>無關新聞事件</v>
      </c>
      <c r="U1007" s="20" t="n">
        <f aca="false">IF(R1007="維持",K1007,IF(R1007="排除",0,IFERROR(INDEX(事件規則!$C$2:$C$53,MATCH(S1007,事件規則!$A$2:$A$53,0)),"")))</f>
        <v>0</v>
      </c>
      <c r="V1007" s="21"/>
      <c r="W1007" s="22"/>
      <c r="X1007" s="10" t="str">
        <f aca="false">IF(AND(R1007="修改",S1007=""),"請選新事件代碼",IF(AND(R1007&lt;&gt;"修改",S1007&lt;&gt;""),"只有「修改」才需填代碼",""))</f>
        <v/>
      </c>
      <c r="Y1007" s="21"/>
      <c r="Z1007" s="22"/>
      <c r="AA1007" s="12" t="s">
        <v>2916</v>
      </c>
      <c r="AB1007" s="24"/>
    </row>
    <row r="1008" customFormat="false" ht="29.85" hidden="false" customHeight="false" outlineLevel="0" collapsed="false">
      <c r="A1008" s="15" t="n">
        <v>1007</v>
      </c>
      <c r="B1008" s="9" t="s">
        <v>55</v>
      </c>
      <c r="C1008" s="9" t="s">
        <v>2659</v>
      </c>
      <c r="D1008" s="10" t="s">
        <v>2660</v>
      </c>
      <c r="E1008" s="11" t="s">
        <v>2917</v>
      </c>
      <c r="F1008" s="17"/>
      <c r="G1008" s="12" t="s">
        <v>105</v>
      </c>
      <c r="H1008" s="13" t="n">
        <v>-0.033</v>
      </c>
      <c r="I1008" s="14"/>
      <c r="J1008" s="17"/>
      <c r="K1008" s="9"/>
      <c r="L1008" s="15" t="s">
        <v>50</v>
      </c>
      <c r="M1008" s="16" t="s">
        <v>51</v>
      </c>
      <c r="N1008" s="14"/>
      <c r="O1008" s="15" t="s">
        <v>52</v>
      </c>
      <c r="P1008" s="17" t="s">
        <v>53</v>
      </c>
      <c r="Q1008" s="15"/>
      <c r="R1008" s="18" t="s">
        <v>51</v>
      </c>
      <c r="S1008" s="19"/>
      <c r="T1008" s="17" t="str">
        <f aca="false">IF(R1008="維持",J1008,IF(R1008="排除","無關新聞事件",IFERROR(INDEX(事件規則!$B$2:$B$53,MATCH(S1008,事件規則!$A$2:$A$53,0)),"")))</f>
        <v>無關新聞事件</v>
      </c>
      <c r="U1008" s="20" t="n">
        <f aca="false">IF(R1008="維持",K1008,IF(R1008="排除",0,IFERROR(INDEX(事件規則!$C$2:$C$53,MATCH(S1008,事件規則!$A$2:$A$53,0)),"")))</f>
        <v>0</v>
      </c>
      <c r="V1008" s="21"/>
      <c r="W1008" s="22"/>
      <c r="X1008" s="10" t="str">
        <f aca="false">IF(AND(R1008="修改",S1008=""),"請選新事件代碼",IF(AND(R1008&lt;&gt;"修改",S1008&lt;&gt;""),"只有「修改」才需填代碼",""))</f>
        <v/>
      </c>
      <c r="Y1008" s="21"/>
      <c r="Z1008" s="22"/>
      <c r="AA1008" s="12" t="s">
        <v>2918</v>
      </c>
      <c r="AB1008" s="24"/>
    </row>
    <row r="1009" customFormat="false" ht="29.85" hidden="false" customHeight="false" outlineLevel="0" collapsed="false">
      <c r="A1009" s="15" t="n">
        <v>1008</v>
      </c>
      <c r="B1009" s="9" t="s">
        <v>55</v>
      </c>
      <c r="C1009" s="9" t="s">
        <v>2894</v>
      </c>
      <c r="D1009" s="10" t="s">
        <v>2895</v>
      </c>
      <c r="E1009" s="11" t="s">
        <v>2919</v>
      </c>
      <c r="F1009" s="17"/>
      <c r="G1009" s="12" t="s">
        <v>1136</v>
      </c>
      <c r="H1009" s="13" t="n">
        <v>-0.033</v>
      </c>
      <c r="I1009" s="14"/>
      <c r="J1009" s="17"/>
      <c r="K1009" s="9"/>
      <c r="L1009" s="15" t="s">
        <v>50</v>
      </c>
      <c r="M1009" s="16" t="s">
        <v>51</v>
      </c>
      <c r="N1009" s="14"/>
      <c r="O1009" s="15" t="s">
        <v>52</v>
      </c>
      <c r="P1009" s="17" t="s">
        <v>53</v>
      </c>
      <c r="Q1009" s="15"/>
      <c r="R1009" s="18" t="s">
        <v>51</v>
      </c>
      <c r="S1009" s="19"/>
      <c r="T1009" s="17" t="str">
        <f aca="false">IF(R1009="維持",J1009,IF(R1009="排除","無關新聞事件",IFERROR(INDEX(事件規則!$B$2:$B$53,MATCH(S1009,事件規則!$A$2:$A$53,0)),"")))</f>
        <v>無關新聞事件</v>
      </c>
      <c r="U1009" s="20" t="n">
        <f aca="false">IF(R1009="維持",K1009,IF(R1009="排除",0,IFERROR(INDEX(事件規則!$C$2:$C$53,MATCH(S1009,事件規則!$A$2:$A$53,0)),"")))</f>
        <v>0</v>
      </c>
      <c r="V1009" s="21"/>
      <c r="W1009" s="22"/>
      <c r="X1009" s="10" t="str">
        <f aca="false">IF(AND(R1009="修改",S1009=""),"請選新事件代碼",IF(AND(R1009&lt;&gt;"修改",S1009&lt;&gt;""),"只有「修改」才需填代碼",""))</f>
        <v/>
      </c>
      <c r="Y1009" s="21"/>
      <c r="Z1009" s="22"/>
      <c r="AA1009" s="12" t="s">
        <v>2920</v>
      </c>
      <c r="AB1009" s="24"/>
    </row>
    <row r="1010" customFormat="false" ht="29.85" hidden="false" customHeight="false" outlineLevel="0" collapsed="false">
      <c r="A1010" s="15" t="n">
        <v>1009</v>
      </c>
      <c r="B1010" s="9" t="s">
        <v>55</v>
      </c>
      <c r="C1010" s="9" t="s">
        <v>639</v>
      </c>
      <c r="D1010" s="10" t="s">
        <v>640</v>
      </c>
      <c r="E1010" s="11" t="s">
        <v>2921</v>
      </c>
      <c r="F1010" s="17"/>
      <c r="G1010" s="12" t="s">
        <v>949</v>
      </c>
      <c r="H1010" s="13" t="n">
        <v>-0.033</v>
      </c>
      <c r="I1010" s="14"/>
      <c r="J1010" s="17"/>
      <c r="K1010" s="9"/>
      <c r="L1010" s="15" t="s">
        <v>50</v>
      </c>
      <c r="M1010" s="16" t="s">
        <v>51</v>
      </c>
      <c r="N1010" s="14"/>
      <c r="O1010" s="15" t="s">
        <v>52</v>
      </c>
      <c r="P1010" s="17" t="s">
        <v>53</v>
      </c>
      <c r="Q1010" s="15"/>
      <c r="R1010" s="18" t="s">
        <v>51</v>
      </c>
      <c r="S1010" s="19"/>
      <c r="T1010" s="17" t="str">
        <f aca="false">IF(R1010="維持",J1010,IF(R1010="排除","無關新聞事件",IFERROR(INDEX(事件規則!$B$2:$B$53,MATCH(S1010,事件規則!$A$2:$A$53,0)),"")))</f>
        <v>無關新聞事件</v>
      </c>
      <c r="U1010" s="20" t="n">
        <f aca="false">IF(R1010="維持",K1010,IF(R1010="排除",0,IFERROR(INDEX(事件規則!$C$2:$C$53,MATCH(S1010,事件規則!$A$2:$A$53,0)),"")))</f>
        <v>0</v>
      </c>
      <c r="V1010" s="21"/>
      <c r="W1010" s="22"/>
      <c r="X1010" s="10" t="str">
        <f aca="false">IF(AND(R1010="修改",S1010=""),"請選新事件代碼",IF(AND(R1010&lt;&gt;"修改",S1010&lt;&gt;""),"只有「修改」才需填代碼",""))</f>
        <v/>
      </c>
      <c r="Y1010" s="21"/>
      <c r="Z1010" s="22"/>
      <c r="AA1010" s="12" t="s">
        <v>2922</v>
      </c>
      <c r="AB1010" s="24"/>
    </row>
    <row r="1011" customFormat="false" ht="29.85" hidden="false" customHeight="false" outlineLevel="0" collapsed="false">
      <c r="A1011" s="15" t="n">
        <v>1010</v>
      </c>
      <c r="B1011" s="9" t="s">
        <v>55</v>
      </c>
      <c r="C1011" s="9" t="s">
        <v>260</v>
      </c>
      <c r="D1011" s="10" t="s">
        <v>261</v>
      </c>
      <c r="E1011" s="11" t="s">
        <v>2923</v>
      </c>
      <c r="F1011" s="17"/>
      <c r="G1011" s="12" t="s">
        <v>949</v>
      </c>
      <c r="H1011" s="13" t="n">
        <v>-0.033</v>
      </c>
      <c r="I1011" s="14"/>
      <c r="J1011" s="17"/>
      <c r="K1011" s="9"/>
      <c r="L1011" s="15" t="s">
        <v>50</v>
      </c>
      <c r="M1011" s="16" t="s">
        <v>51</v>
      </c>
      <c r="N1011" s="14"/>
      <c r="O1011" s="15" t="s">
        <v>52</v>
      </c>
      <c r="P1011" s="17" t="s">
        <v>53</v>
      </c>
      <c r="Q1011" s="15"/>
      <c r="R1011" s="18" t="s">
        <v>51</v>
      </c>
      <c r="S1011" s="19"/>
      <c r="T1011" s="17" t="str">
        <f aca="false">IF(R1011="維持",J1011,IF(R1011="排除","無關新聞事件",IFERROR(INDEX(事件規則!$B$2:$B$53,MATCH(S1011,事件規則!$A$2:$A$53,0)),"")))</f>
        <v>無關新聞事件</v>
      </c>
      <c r="U1011" s="20" t="n">
        <f aca="false">IF(R1011="維持",K1011,IF(R1011="排除",0,IFERROR(INDEX(事件規則!$C$2:$C$53,MATCH(S1011,事件規則!$A$2:$A$53,0)),"")))</f>
        <v>0</v>
      </c>
      <c r="V1011" s="21"/>
      <c r="W1011" s="22"/>
      <c r="X1011" s="10" t="str">
        <f aca="false">IF(AND(R1011="修改",S1011=""),"請選新事件代碼",IF(AND(R1011&lt;&gt;"修改",S1011&lt;&gt;""),"只有「修改」才需填代碼",""))</f>
        <v/>
      </c>
      <c r="Y1011" s="21"/>
      <c r="Z1011" s="22"/>
      <c r="AA1011" s="12" t="s">
        <v>2924</v>
      </c>
      <c r="AB1011" s="24"/>
    </row>
    <row r="1012" customFormat="false" ht="29.85" hidden="false" customHeight="false" outlineLevel="0" collapsed="false">
      <c r="A1012" s="15" t="n">
        <v>1011</v>
      </c>
      <c r="B1012" s="9" t="s">
        <v>112</v>
      </c>
      <c r="C1012" s="9" t="s">
        <v>1151</v>
      </c>
      <c r="D1012" s="10" t="s">
        <v>1152</v>
      </c>
      <c r="E1012" s="11" t="s">
        <v>2925</v>
      </c>
      <c r="F1012" s="17"/>
      <c r="G1012" s="12" t="s">
        <v>2033</v>
      </c>
      <c r="H1012" s="13" t="n">
        <v>-0.033</v>
      </c>
      <c r="I1012" s="14"/>
      <c r="J1012" s="17"/>
      <c r="K1012" s="9"/>
      <c r="L1012" s="15" t="s">
        <v>50</v>
      </c>
      <c r="M1012" s="16" t="s">
        <v>51</v>
      </c>
      <c r="N1012" s="14"/>
      <c r="O1012" s="15" t="s">
        <v>52</v>
      </c>
      <c r="P1012" s="17" t="s">
        <v>53</v>
      </c>
      <c r="Q1012" s="15"/>
      <c r="R1012" s="18" t="s">
        <v>51</v>
      </c>
      <c r="S1012" s="19"/>
      <c r="T1012" s="17" t="str">
        <f aca="false">IF(R1012="維持",J1012,IF(R1012="排除","無關新聞事件",IFERROR(INDEX(事件規則!$B$2:$B$53,MATCH(S1012,事件規則!$A$2:$A$53,0)),"")))</f>
        <v>無關新聞事件</v>
      </c>
      <c r="U1012" s="20" t="n">
        <f aca="false">IF(R1012="維持",K1012,IF(R1012="排除",0,IFERROR(INDEX(事件規則!$C$2:$C$53,MATCH(S1012,事件規則!$A$2:$A$53,0)),"")))</f>
        <v>0</v>
      </c>
      <c r="V1012" s="21"/>
      <c r="W1012" s="22"/>
      <c r="X1012" s="10" t="str">
        <f aca="false">IF(AND(R1012="修改",S1012=""),"請選新事件代碼",IF(AND(R1012&lt;&gt;"修改",S1012&lt;&gt;""),"只有「修改」才需填代碼",""))</f>
        <v/>
      </c>
      <c r="Y1012" s="21"/>
      <c r="Z1012" s="22"/>
      <c r="AA1012" s="12" t="s">
        <v>2926</v>
      </c>
      <c r="AB1012" s="24"/>
    </row>
    <row r="1013" customFormat="false" ht="29.85" hidden="false" customHeight="false" outlineLevel="0" collapsed="false">
      <c r="A1013" s="15" t="n">
        <v>1012</v>
      </c>
      <c r="B1013" s="9" t="s">
        <v>55</v>
      </c>
      <c r="C1013" s="9" t="s">
        <v>2598</v>
      </c>
      <c r="D1013" s="10" t="s">
        <v>2599</v>
      </c>
      <c r="E1013" s="11" t="s">
        <v>2927</v>
      </c>
      <c r="F1013" s="17"/>
      <c r="G1013" s="12" t="s">
        <v>949</v>
      </c>
      <c r="H1013" s="13" t="n">
        <v>-0.033</v>
      </c>
      <c r="I1013" s="14"/>
      <c r="J1013" s="17"/>
      <c r="K1013" s="9"/>
      <c r="L1013" s="15" t="s">
        <v>50</v>
      </c>
      <c r="M1013" s="16" t="s">
        <v>51</v>
      </c>
      <c r="N1013" s="14"/>
      <c r="O1013" s="15" t="s">
        <v>52</v>
      </c>
      <c r="P1013" s="17" t="s">
        <v>53</v>
      </c>
      <c r="Q1013" s="15"/>
      <c r="R1013" s="18" t="s">
        <v>51</v>
      </c>
      <c r="S1013" s="19"/>
      <c r="T1013" s="17" t="str">
        <f aca="false">IF(R1013="維持",J1013,IF(R1013="排除","無關新聞事件",IFERROR(INDEX(事件規則!$B$2:$B$53,MATCH(S1013,事件規則!$A$2:$A$53,0)),"")))</f>
        <v>無關新聞事件</v>
      </c>
      <c r="U1013" s="20" t="n">
        <f aca="false">IF(R1013="維持",K1013,IF(R1013="排除",0,IFERROR(INDEX(事件規則!$C$2:$C$53,MATCH(S1013,事件規則!$A$2:$A$53,0)),"")))</f>
        <v>0</v>
      </c>
      <c r="V1013" s="21"/>
      <c r="W1013" s="22"/>
      <c r="X1013" s="10" t="str">
        <f aca="false">IF(AND(R1013="修改",S1013=""),"請選新事件代碼",IF(AND(R1013&lt;&gt;"修改",S1013&lt;&gt;""),"只有「修改」才需填代碼",""))</f>
        <v/>
      </c>
      <c r="Y1013" s="21"/>
      <c r="Z1013" s="22"/>
      <c r="AA1013" s="12" t="s">
        <v>2928</v>
      </c>
      <c r="AB1013" s="24"/>
    </row>
    <row r="1014" customFormat="false" ht="29.85" hidden="false" customHeight="false" outlineLevel="0" collapsed="false">
      <c r="A1014" s="15" t="n">
        <v>1013</v>
      </c>
      <c r="B1014" s="9" t="s">
        <v>55</v>
      </c>
      <c r="C1014" s="9" t="s">
        <v>113</v>
      </c>
      <c r="D1014" s="10" t="s">
        <v>114</v>
      </c>
      <c r="E1014" s="11" t="s">
        <v>2929</v>
      </c>
      <c r="F1014" s="17"/>
      <c r="G1014" s="12" t="s">
        <v>1136</v>
      </c>
      <c r="H1014" s="13" t="n">
        <v>-0.033</v>
      </c>
      <c r="I1014" s="14"/>
      <c r="J1014" s="17"/>
      <c r="K1014" s="9"/>
      <c r="L1014" s="15" t="s">
        <v>50</v>
      </c>
      <c r="M1014" s="16" t="s">
        <v>51</v>
      </c>
      <c r="N1014" s="14"/>
      <c r="O1014" s="15" t="s">
        <v>52</v>
      </c>
      <c r="P1014" s="17" t="s">
        <v>53</v>
      </c>
      <c r="Q1014" s="15"/>
      <c r="R1014" s="18" t="s">
        <v>51</v>
      </c>
      <c r="S1014" s="19"/>
      <c r="T1014" s="17" t="str">
        <f aca="false">IF(R1014="維持",J1014,IF(R1014="排除","無關新聞事件",IFERROR(INDEX(事件規則!$B$2:$B$53,MATCH(S1014,事件規則!$A$2:$A$53,0)),"")))</f>
        <v>無關新聞事件</v>
      </c>
      <c r="U1014" s="20" t="n">
        <f aca="false">IF(R1014="維持",K1014,IF(R1014="排除",0,IFERROR(INDEX(事件規則!$C$2:$C$53,MATCH(S1014,事件規則!$A$2:$A$53,0)),"")))</f>
        <v>0</v>
      </c>
      <c r="V1014" s="21"/>
      <c r="W1014" s="22"/>
      <c r="X1014" s="10" t="str">
        <f aca="false">IF(AND(R1014="修改",S1014=""),"請選新事件代碼",IF(AND(R1014&lt;&gt;"修改",S1014&lt;&gt;""),"只有「修改」才需填代碼",""))</f>
        <v/>
      </c>
      <c r="Y1014" s="21"/>
      <c r="Z1014" s="22"/>
      <c r="AA1014" s="12" t="s">
        <v>2930</v>
      </c>
      <c r="AB1014" s="24"/>
    </row>
    <row r="1015" customFormat="false" ht="29.85" hidden="false" customHeight="false" outlineLevel="0" collapsed="false">
      <c r="A1015" s="15" t="n">
        <v>1014</v>
      </c>
      <c r="B1015" s="9" t="s">
        <v>81</v>
      </c>
      <c r="C1015" s="9" t="s">
        <v>326</v>
      </c>
      <c r="D1015" s="10" t="s">
        <v>326</v>
      </c>
      <c r="E1015" s="11" t="s">
        <v>2931</v>
      </c>
      <c r="F1015" s="17"/>
      <c r="G1015" s="12" t="s">
        <v>1136</v>
      </c>
      <c r="H1015" s="13" t="n">
        <v>-0.033</v>
      </c>
      <c r="I1015" s="14"/>
      <c r="J1015" s="17"/>
      <c r="K1015" s="9"/>
      <c r="L1015" s="15" t="s">
        <v>50</v>
      </c>
      <c r="M1015" s="16" t="s">
        <v>51</v>
      </c>
      <c r="N1015" s="14"/>
      <c r="O1015" s="15" t="s">
        <v>52</v>
      </c>
      <c r="P1015" s="17" t="s">
        <v>53</v>
      </c>
      <c r="Q1015" s="15"/>
      <c r="R1015" s="18" t="s">
        <v>51</v>
      </c>
      <c r="S1015" s="19"/>
      <c r="T1015" s="17" t="str">
        <f aca="false">IF(R1015="維持",J1015,IF(R1015="排除","無關新聞事件",IFERROR(INDEX(事件規則!$B$2:$B$53,MATCH(S1015,事件規則!$A$2:$A$53,0)),"")))</f>
        <v>無關新聞事件</v>
      </c>
      <c r="U1015" s="20" t="n">
        <f aca="false">IF(R1015="維持",K1015,IF(R1015="排除",0,IFERROR(INDEX(事件規則!$C$2:$C$53,MATCH(S1015,事件規則!$A$2:$A$53,0)),"")))</f>
        <v>0</v>
      </c>
      <c r="V1015" s="21"/>
      <c r="W1015" s="22"/>
      <c r="X1015" s="10" t="str">
        <f aca="false">IF(AND(R1015="修改",S1015=""),"請選新事件代碼",IF(AND(R1015&lt;&gt;"修改",S1015&lt;&gt;""),"只有「修改」才需填代碼",""))</f>
        <v/>
      </c>
      <c r="Y1015" s="21"/>
      <c r="Z1015" s="22"/>
      <c r="AA1015" s="12" t="s">
        <v>2932</v>
      </c>
      <c r="AB1015" s="24"/>
    </row>
    <row r="1016" customFormat="false" ht="29.85" hidden="false" customHeight="false" outlineLevel="0" collapsed="false">
      <c r="A1016" s="15" t="n">
        <v>1015</v>
      </c>
      <c r="B1016" s="9" t="s">
        <v>81</v>
      </c>
      <c r="C1016" s="9" t="s">
        <v>1441</v>
      </c>
      <c r="D1016" s="10" t="s">
        <v>1442</v>
      </c>
      <c r="E1016" s="11" t="s">
        <v>2933</v>
      </c>
      <c r="F1016" s="17"/>
      <c r="G1016" s="12" t="s">
        <v>176</v>
      </c>
      <c r="H1016" s="13" t="n">
        <v>-0.033</v>
      </c>
      <c r="I1016" s="14"/>
      <c r="J1016" s="17"/>
      <c r="K1016" s="9"/>
      <c r="L1016" s="15" t="s">
        <v>50</v>
      </c>
      <c r="M1016" s="16" t="s">
        <v>51</v>
      </c>
      <c r="N1016" s="14"/>
      <c r="O1016" s="15" t="s">
        <v>52</v>
      </c>
      <c r="P1016" s="17" t="s">
        <v>53</v>
      </c>
      <c r="Q1016" s="15"/>
      <c r="R1016" s="18" t="s">
        <v>51</v>
      </c>
      <c r="S1016" s="19"/>
      <c r="T1016" s="17" t="str">
        <f aca="false">IF(R1016="維持",J1016,IF(R1016="排除","無關新聞事件",IFERROR(INDEX(事件規則!$B$2:$B$53,MATCH(S1016,事件規則!$A$2:$A$53,0)),"")))</f>
        <v>無關新聞事件</v>
      </c>
      <c r="U1016" s="20" t="n">
        <f aca="false">IF(R1016="維持",K1016,IF(R1016="排除",0,IFERROR(INDEX(事件規則!$C$2:$C$53,MATCH(S1016,事件規則!$A$2:$A$53,0)),"")))</f>
        <v>0</v>
      </c>
      <c r="V1016" s="21"/>
      <c r="W1016" s="22"/>
      <c r="X1016" s="10" t="str">
        <f aca="false">IF(AND(R1016="修改",S1016=""),"請選新事件代碼",IF(AND(R1016&lt;&gt;"修改",S1016&lt;&gt;""),"只有「修改」才需填代碼",""))</f>
        <v/>
      </c>
      <c r="Y1016" s="21"/>
      <c r="Z1016" s="22"/>
      <c r="AA1016" s="12" t="s">
        <v>2934</v>
      </c>
      <c r="AB1016" s="24"/>
    </row>
    <row r="1017" customFormat="false" ht="29.85" hidden="false" customHeight="false" outlineLevel="0" collapsed="false">
      <c r="A1017" s="15" t="n">
        <v>1016</v>
      </c>
      <c r="B1017" s="9" t="s">
        <v>112</v>
      </c>
      <c r="C1017" s="9" t="s">
        <v>196</v>
      </c>
      <c r="D1017" s="10" t="s">
        <v>197</v>
      </c>
      <c r="E1017" s="11" t="s">
        <v>2935</v>
      </c>
      <c r="F1017" s="17"/>
      <c r="G1017" s="12" t="s">
        <v>105</v>
      </c>
      <c r="H1017" s="13" t="n">
        <v>-0.033</v>
      </c>
      <c r="I1017" s="14"/>
      <c r="J1017" s="17"/>
      <c r="K1017" s="9"/>
      <c r="L1017" s="15" t="s">
        <v>50</v>
      </c>
      <c r="M1017" s="16" t="s">
        <v>51</v>
      </c>
      <c r="N1017" s="14"/>
      <c r="O1017" s="15" t="s">
        <v>52</v>
      </c>
      <c r="P1017" s="17" t="s">
        <v>53</v>
      </c>
      <c r="Q1017" s="15"/>
      <c r="R1017" s="18" t="s">
        <v>51</v>
      </c>
      <c r="S1017" s="19"/>
      <c r="T1017" s="17" t="str">
        <f aca="false">IF(R1017="維持",J1017,IF(R1017="排除","無關新聞事件",IFERROR(INDEX(事件規則!$B$2:$B$53,MATCH(S1017,事件規則!$A$2:$A$53,0)),"")))</f>
        <v>無關新聞事件</v>
      </c>
      <c r="U1017" s="20" t="n">
        <f aca="false">IF(R1017="維持",K1017,IF(R1017="排除",0,IFERROR(INDEX(事件規則!$C$2:$C$53,MATCH(S1017,事件規則!$A$2:$A$53,0)),"")))</f>
        <v>0</v>
      </c>
      <c r="V1017" s="21"/>
      <c r="W1017" s="22"/>
      <c r="X1017" s="10" t="str">
        <f aca="false">IF(AND(R1017="修改",S1017=""),"請選新事件代碼",IF(AND(R1017&lt;&gt;"修改",S1017&lt;&gt;""),"只有「修改」才需填代碼",""))</f>
        <v/>
      </c>
      <c r="Y1017" s="21"/>
      <c r="Z1017" s="22"/>
      <c r="AA1017" s="12" t="s">
        <v>2936</v>
      </c>
      <c r="AB1017" s="24"/>
    </row>
    <row r="1018" customFormat="false" ht="29.85" hidden="false" customHeight="false" outlineLevel="0" collapsed="false">
      <c r="A1018" s="15" t="n">
        <v>1017</v>
      </c>
      <c r="B1018" s="9" t="s">
        <v>112</v>
      </c>
      <c r="C1018" s="9" t="s">
        <v>2008</v>
      </c>
      <c r="D1018" s="10" t="s">
        <v>2009</v>
      </c>
      <c r="E1018" s="11" t="s">
        <v>2911</v>
      </c>
      <c r="F1018" s="17"/>
      <c r="G1018" s="12" t="s">
        <v>1136</v>
      </c>
      <c r="H1018" s="13" t="n">
        <v>-0.033</v>
      </c>
      <c r="I1018" s="14"/>
      <c r="J1018" s="17"/>
      <c r="K1018" s="9"/>
      <c r="L1018" s="15" t="s">
        <v>50</v>
      </c>
      <c r="M1018" s="16" t="s">
        <v>51</v>
      </c>
      <c r="N1018" s="14"/>
      <c r="O1018" s="15" t="s">
        <v>52</v>
      </c>
      <c r="P1018" s="17" t="s">
        <v>53</v>
      </c>
      <c r="Q1018" s="15"/>
      <c r="R1018" s="18" t="s">
        <v>51</v>
      </c>
      <c r="S1018" s="19"/>
      <c r="T1018" s="17" t="str">
        <f aca="false">IF(R1018="維持",J1018,IF(R1018="排除","無關新聞事件",IFERROR(INDEX(事件規則!$B$2:$B$53,MATCH(S1018,事件規則!$A$2:$A$53,0)),"")))</f>
        <v>無關新聞事件</v>
      </c>
      <c r="U1018" s="20" t="n">
        <f aca="false">IF(R1018="維持",K1018,IF(R1018="排除",0,IFERROR(INDEX(事件規則!$C$2:$C$53,MATCH(S1018,事件規則!$A$2:$A$53,0)),"")))</f>
        <v>0</v>
      </c>
      <c r="V1018" s="21"/>
      <c r="W1018" s="22"/>
      <c r="X1018" s="10" t="str">
        <f aca="false">IF(AND(R1018="修改",S1018=""),"請選新事件代碼",IF(AND(R1018&lt;&gt;"修改",S1018&lt;&gt;""),"只有「修改」才需填代碼",""))</f>
        <v/>
      </c>
      <c r="Y1018" s="21"/>
      <c r="Z1018" s="22"/>
      <c r="AA1018" s="12" t="s">
        <v>2937</v>
      </c>
      <c r="AB1018" s="24"/>
    </row>
    <row r="1019" customFormat="false" ht="29.85" hidden="false" customHeight="false" outlineLevel="0" collapsed="false">
      <c r="A1019" s="15" t="n">
        <v>1018</v>
      </c>
      <c r="B1019" s="9" t="s">
        <v>112</v>
      </c>
      <c r="C1019" s="9" t="s">
        <v>2894</v>
      </c>
      <c r="D1019" s="10" t="s">
        <v>2895</v>
      </c>
      <c r="E1019" s="11" t="s">
        <v>2938</v>
      </c>
      <c r="F1019" s="17"/>
      <c r="G1019" s="12" t="s">
        <v>105</v>
      </c>
      <c r="H1019" s="13" t="n">
        <v>-0.033</v>
      </c>
      <c r="I1019" s="14"/>
      <c r="J1019" s="17"/>
      <c r="K1019" s="9"/>
      <c r="L1019" s="15" t="s">
        <v>50</v>
      </c>
      <c r="M1019" s="16" t="s">
        <v>51</v>
      </c>
      <c r="N1019" s="14"/>
      <c r="O1019" s="15" t="s">
        <v>52</v>
      </c>
      <c r="P1019" s="17" t="s">
        <v>53</v>
      </c>
      <c r="Q1019" s="15"/>
      <c r="R1019" s="18" t="s">
        <v>51</v>
      </c>
      <c r="S1019" s="19"/>
      <c r="T1019" s="17" t="str">
        <f aca="false">IF(R1019="維持",J1019,IF(R1019="排除","無關新聞事件",IFERROR(INDEX(事件規則!$B$2:$B$53,MATCH(S1019,事件規則!$A$2:$A$53,0)),"")))</f>
        <v>無關新聞事件</v>
      </c>
      <c r="U1019" s="20" t="n">
        <f aca="false">IF(R1019="維持",K1019,IF(R1019="排除",0,IFERROR(INDEX(事件規則!$C$2:$C$53,MATCH(S1019,事件規則!$A$2:$A$53,0)),"")))</f>
        <v>0</v>
      </c>
      <c r="V1019" s="21"/>
      <c r="W1019" s="22"/>
      <c r="X1019" s="10" t="str">
        <f aca="false">IF(AND(R1019="修改",S1019=""),"請選新事件代碼",IF(AND(R1019&lt;&gt;"修改",S1019&lt;&gt;""),"只有「修改」才需填代碼",""))</f>
        <v/>
      </c>
      <c r="Y1019" s="21"/>
      <c r="Z1019" s="22"/>
      <c r="AA1019" s="12" t="s">
        <v>2939</v>
      </c>
      <c r="AB1019" s="24"/>
    </row>
    <row r="1020" customFormat="false" ht="29.85" hidden="false" customHeight="false" outlineLevel="0" collapsed="false">
      <c r="A1020" s="15" t="n">
        <v>1019</v>
      </c>
      <c r="B1020" s="9" t="s">
        <v>112</v>
      </c>
      <c r="C1020" s="9" t="s">
        <v>550</v>
      </c>
      <c r="D1020" s="10" t="s">
        <v>551</v>
      </c>
      <c r="E1020" s="11" t="s">
        <v>2940</v>
      </c>
      <c r="F1020" s="17"/>
      <c r="G1020" s="12" t="s">
        <v>949</v>
      </c>
      <c r="H1020" s="13" t="n">
        <v>-0.033</v>
      </c>
      <c r="I1020" s="14"/>
      <c r="J1020" s="17"/>
      <c r="K1020" s="9"/>
      <c r="L1020" s="15" t="s">
        <v>50</v>
      </c>
      <c r="M1020" s="16" t="s">
        <v>51</v>
      </c>
      <c r="N1020" s="14"/>
      <c r="O1020" s="15" t="s">
        <v>52</v>
      </c>
      <c r="P1020" s="17" t="s">
        <v>53</v>
      </c>
      <c r="Q1020" s="15"/>
      <c r="R1020" s="18" t="s">
        <v>51</v>
      </c>
      <c r="S1020" s="19"/>
      <c r="T1020" s="17" t="str">
        <f aca="false">IF(R1020="維持",J1020,IF(R1020="排除","無關新聞事件",IFERROR(INDEX(事件規則!$B$2:$B$53,MATCH(S1020,事件規則!$A$2:$A$53,0)),"")))</f>
        <v>無關新聞事件</v>
      </c>
      <c r="U1020" s="20" t="n">
        <f aca="false">IF(R1020="維持",K1020,IF(R1020="排除",0,IFERROR(INDEX(事件規則!$C$2:$C$53,MATCH(S1020,事件規則!$A$2:$A$53,0)),"")))</f>
        <v>0</v>
      </c>
      <c r="V1020" s="21"/>
      <c r="W1020" s="22"/>
      <c r="X1020" s="10" t="str">
        <f aca="false">IF(AND(R1020="修改",S1020=""),"請選新事件代碼",IF(AND(R1020&lt;&gt;"修改",S1020&lt;&gt;""),"只有「修改」才需填代碼",""))</f>
        <v/>
      </c>
      <c r="Y1020" s="21"/>
      <c r="Z1020" s="22"/>
      <c r="AA1020" s="12" t="s">
        <v>2941</v>
      </c>
      <c r="AB1020" s="24"/>
    </row>
    <row r="1021" customFormat="false" ht="29.85" hidden="false" customHeight="false" outlineLevel="0" collapsed="false">
      <c r="A1021" s="15" t="n">
        <v>1020</v>
      </c>
      <c r="B1021" s="9" t="s">
        <v>112</v>
      </c>
      <c r="C1021" s="9" t="s">
        <v>2942</v>
      </c>
      <c r="D1021" s="10" t="s">
        <v>2943</v>
      </c>
      <c r="E1021" s="11" t="s">
        <v>2944</v>
      </c>
      <c r="F1021" s="17"/>
      <c r="G1021" s="12" t="s">
        <v>176</v>
      </c>
      <c r="H1021" s="13" t="n">
        <v>-0.033</v>
      </c>
      <c r="I1021" s="14"/>
      <c r="J1021" s="17"/>
      <c r="K1021" s="9"/>
      <c r="L1021" s="15" t="s">
        <v>50</v>
      </c>
      <c r="M1021" s="16" t="s">
        <v>51</v>
      </c>
      <c r="N1021" s="14"/>
      <c r="O1021" s="15" t="s">
        <v>52</v>
      </c>
      <c r="P1021" s="17" t="s">
        <v>53</v>
      </c>
      <c r="Q1021" s="15"/>
      <c r="R1021" s="18" t="s">
        <v>51</v>
      </c>
      <c r="S1021" s="19"/>
      <c r="T1021" s="17" t="str">
        <f aca="false">IF(R1021="維持",J1021,IF(R1021="排除","無關新聞事件",IFERROR(INDEX(事件規則!$B$2:$B$53,MATCH(S1021,事件規則!$A$2:$A$53,0)),"")))</f>
        <v>無關新聞事件</v>
      </c>
      <c r="U1021" s="20" t="n">
        <f aca="false">IF(R1021="維持",K1021,IF(R1021="排除",0,IFERROR(INDEX(事件規則!$C$2:$C$53,MATCH(S1021,事件規則!$A$2:$A$53,0)),"")))</f>
        <v>0</v>
      </c>
      <c r="V1021" s="21"/>
      <c r="W1021" s="22"/>
      <c r="X1021" s="10" t="str">
        <f aca="false">IF(AND(R1021="修改",S1021=""),"請選新事件代碼",IF(AND(R1021&lt;&gt;"修改",S1021&lt;&gt;""),"只有「修改」才需填代碼",""))</f>
        <v/>
      </c>
      <c r="Y1021" s="21"/>
      <c r="Z1021" s="22"/>
      <c r="AA1021" s="12" t="s">
        <v>2945</v>
      </c>
      <c r="AB1021" s="24"/>
    </row>
    <row r="1022" customFormat="false" ht="29.85" hidden="false" customHeight="false" outlineLevel="0" collapsed="false">
      <c r="A1022" s="15" t="n">
        <v>1021</v>
      </c>
      <c r="B1022" s="9" t="s">
        <v>112</v>
      </c>
      <c r="C1022" s="9" t="s">
        <v>2049</v>
      </c>
      <c r="D1022" s="10" t="s">
        <v>2050</v>
      </c>
      <c r="E1022" s="11" t="s">
        <v>2946</v>
      </c>
      <c r="F1022" s="17"/>
      <c r="G1022" s="12" t="s">
        <v>105</v>
      </c>
      <c r="H1022" s="13" t="n">
        <v>-0.033</v>
      </c>
      <c r="I1022" s="14"/>
      <c r="J1022" s="17"/>
      <c r="K1022" s="9"/>
      <c r="L1022" s="15" t="s">
        <v>50</v>
      </c>
      <c r="M1022" s="16" t="s">
        <v>51</v>
      </c>
      <c r="N1022" s="14"/>
      <c r="O1022" s="15" t="s">
        <v>52</v>
      </c>
      <c r="P1022" s="17" t="s">
        <v>53</v>
      </c>
      <c r="Q1022" s="15"/>
      <c r="R1022" s="18" t="s">
        <v>51</v>
      </c>
      <c r="S1022" s="19"/>
      <c r="T1022" s="17" t="str">
        <f aca="false">IF(R1022="維持",J1022,IF(R1022="排除","無關新聞事件",IFERROR(INDEX(事件規則!$B$2:$B$53,MATCH(S1022,事件規則!$A$2:$A$53,0)),"")))</f>
        <v>無關新聞事件</v>
      </c>
      <c r="U1022" s="20" t="n">
        <f aca="false">IF(R1022="維持",K1022,IF(R1022="排除",0,IFERROR(INDEX(事件規則!$C$2:$C$53,MATCH(S1022,事件規則!$A$2:$A$53,0)),"")))</f>
        <v>0</v>
      </c>
      <c r="V1022" s="21"/>
      <c r="W1022" s="22"/>
      <c r="X1022" s="10" t="str">
        <f aca="false">IF(AND(R1022="修改",S1022=""),"請選新事件代碼",IF(AND(R1022&lt;&gt;"修改",S1022&lt;&gt;""),"只有「修改」才需填代碼",""))</f>
        <v/>
      </c>
      <c r="Y1022" s="21"/>
      <c r="Z1022" s="22"/>
      <c r="AA1022" s="12" t="s">
        <v>2947</v>
      </c>
      <c r="AB1022" s="24"/>
    </row>
    <row r="1023" customFormat="false" ht="29.85" hidden="false" customHeight="false" outlineLevel="0" collapsed="false">
      <c r="A1023" s="15" t="n">
        <v>1022</v>
      </c>
      <c r="B1023" s="9" t="s">
        <v>112</v>
      </c>
      <c r="C1023" s="9" t="s">
        <v>1805</v>
      </c>
      <c r="D1023" s="10" t="s">
        <v>1806</v>
      </c>
      <c r="E1023" s="11" t="s">
        <v>2948</v>
      </c>
      <c r="F1023" s="17"/>
      <c r="G1023" s="12" t="s">
        <v>949</v>
      </c>
      <c r="H1023" s="13" t="n">
        <v>-0.033</v>
      </c>
      <c r="I1023" s="14"/>
      <c r="J1023" s="17"/>
      <c r="K1023" s="9"/>
      <c r="L1023" s="15" t="s">
        <v>50</v>
      </c>
      <c r="M1023" s="16" t="s">
        <v>51</v>
      </c>
      <c r="N1023" s="14"/>
      <c r="O1023" s="15" t="s">
        <v>52</v>
      </c>
      <c r="P1023" s="17" t="s">
        <v>53</v>
      </c>
      <c r="Q1023" s="15"/>
      <c r="R1023" s="18" t="s">
        <v>51</v>
      </c>
      <c r="S1023" s="19"/>
      <c r="T1023" s="17" t="str">
        <f aca="false">IF(R1023="維持",J1023,IF(R1023="排除","無關新聞事件",IFERROR(INDEX(事件規則!$B$2:$B$53,MATCH(S1023,事件規則!$A$2:$A$53,0)),"")))</f>
        <v>無關新聞事件</v>
      </c>
      <c r="U1023" s="20" t="n">
        <f aca="false">IF(R1023="維持",K1023,IF(R1023="排除",0,IFERROR(INDEX(事件規則!$C$2:$C$53,MATCH(S1023,事件規則!$A$2:$A$53,0)),"")))</f>
        <v>0</v>
      </c>
      <c r="V1023" s="21"/>
      <c r="W1023" s="22"/>
      <c r="X1023" s="10" t="str">
        <f aca="false">IF(AND(R1023="修改",S1023=""),"請選新事件代碼",IF(AND(R1023&lt;&gt;"修改",S1023&lt;&gt;""),"只有「修改」才需填代碼",""))</f>
        <v/>
      </c>
      <c r="Y1023" s="21"/>
      <c r="Z1023" s="22"/>
      <c r="AA1023" s="12" t="s">
        <v>2949</v>
      </c>
      <c r="AB1023" s="24"/>
    </row>
    <row r="1024" customFormat="false" ht="29.85" hidden="false" customHeight="false" outlineLevel="0" collapsed="false">
      <c r="A1024" s="15" t="n">
        <v>1023</v>
      </c>
      <c r="B1024" s="9" t="s">
        <v>112</v>
      </c>
      <c r="C1024" s="9" t="s">
        <v>144</v>
      </c>
      <c r="D1024" s="10" t="s">
        <v>145</v>
      </c>
      <c r="E1024" s="11" t="s">
        <v>2950</v>
      </c>
      <c r="F1024" s="17"/>
      <c r="G1024" s="12" t="s">
        <v>176</v>
      </c>
      <c r="H1024" s="13" t="n">
        <v>-0.033</v>
      </c>
      <c r="I1024" s="14"/>
      <c r="J1024" s="17"/>
      <c r="K1024" s="9"/>
      <c r="L1024" s="15" t="s">
        <v>50</v>
      </c>
      <c r="M1024" s="16" t="s">
        <v>51</v>
      </c>
      <c r="N1024" s="14"/>
      <c r="O1024" s="15" t="s">
        <v>52</v>
      </c>
      <c r="P1024" s="17" t="s">
        <v>53</v>
      </c>
      <c r="Q1024" s="15"/>
      <c r="R1024" s="18" t="s">
        <v>51</v>
      </c>
      <c r="S1024" s="19"/>
      <c r="T1024" s="17" t="str">
        <f aca="false">IF(R1024="維持",J1024,IF(R1024="排除","無關新聞事件",IFERROR(INDEX(事件規則!$B$2:$B$53,MATCH(S1024,事件規則!$A$2:$A$53,0)),"")))</f>
        <v>無關新聞事件</v>
      </c>
      <c r="U1024" s="20" t="n">
        <f aca="false">IF(R1024="維持",K1024,IF(R1024="排除",0,IFERROR(INDEX(事件規則!$C$2:$C$53,MATCH(S1024,事件規則!$A$2:$A$53,0)),"")))</f>
        <v>0</v>
      </c>
      <c r="V1024" s="21"/>
      <c r="W1024" s="22"/>
      <c r="X1024" s="10" t="str">
        <f aca="false">IF(AND(R1024="修改",S1024=""),"請選新事件代碼",IF(AND(R1024&lt;&gt;"修改",S1024&lt;&gt;""),"只有「修改」才需填代碼",""))</f>
        <v/>
      </c>
      <c r="Y1024" s="21"/>
      <c r="Z1024" s="22"/>
      <c r="AA1024" s="12" t="s">
        <v>2951</v>
      </c>
      <c r="AB1024" s="24"/>
    </row>
    <row r="1025" customFormat="false" ht="29.85" hidden="false" customHeight="false" outlineLevel="0" collapsed="false">
      <c r="A1025" s="15" t="n">
        <v>1024</v>
      </c>
      <c r="B1025" s="9" t="s">
        <v>81</v>
      </c>
      <c r="C1025" s="9" t="s">
        <v>2514</v>
      </c>
      <c r="D1025" s="10" t="s">
        <v>2515</v>
      </c>
      <c r="E1025" s="11" t="s">
        <v>2952</v>
      </c>
      <c r="F1025" s="17"/>
      <c r="G1025" s="12" t="s">
        <v>105</v>
      </c>
      <c r="H1025" s="13" t="n">
        <v>-0.033</v>
      </c>
      <c r="I1025" s="14"/>
      <c r="J1025" s="17"/>
      <c r="K1025" s="9"/>
      <c r="L1025" s="15" t="s">
        <v>50</v>
      </c>
      <c r="M1025" s="16" t="s">
        <v>51</v>
      </c>
      <c r="N1025" s="14"/>
      <c r="O1025" s="15" t="s">
        <v>52</v>
      </c>
      <c r="P1025" s="17" t="s">
        <v>53</v>
      </c>
      <c r="Q1025" s="15"/>
      <c r="R1025" s="18" t="s">
        <v>51</v>
      </c>
      <c r="S1025" s="19"/>
      <c r="T1025" s="17" t="str">
        <f aca="false">IF(R1025="維持",J1025,IF(R1025="排除","無關新聞事件",IFERROR(INDEX(事件規則!$B$2:$B$53,MATCH(S1025,事件規則!$A$2:$A$53,0)),"")))</f>
        <v>無關新聞事件</v>
      </c>
      <c r="U1025" s="20" t="n">
        <f aca="false">IF(R1025="維持",K1025,IF(R1025="排除",0,IFERROR(INDEX(事件規則!$C$2:$C$53,MATCH(S1025,事件規則!$A$2:$A$53,0)),"")))</f>
        <v>0</v>
      </c>
      <c r="V1025" s="21"/>
      <c r="W1025" s="22"/>
      <c r="X1025" s="10" t="str">
        <f aca="false">IF(AND(R1025="修改",S1025=""),"請選新事件代碼",IF(AND(R1025&lt;&gt;"修改",S1025&lt;&gt;""),"只有「修改」才需填代碼",""))</f>
        <v/>
      </c>
      <c r="Y1025" s="21"/>
      <c r="Z1025" s="22"/>
      <c r="AA1025" s="12" t="s">
        <v>2953</v>
      </c>
      <c r="AB1025" s="24"/>
    </row>
    <row r="1026" customFormat="false" ht="29.85" hidden="false" customHeight="false" outlineLevel="0" collapsed="false">
      <c r="A1026" s="15" t="n">
        <v>1025</v>
      </c>
      <c r="B1026" s="9" t="s">
        <v>81</v>
      </c>
      <c r="C1026" s="9" t="s">
        <v>1899</v>
      </c>
      <c r="D1026" s="10" t="s">
        <v>1900</v>
      </c>
      <c r="E1026" s="11" t="s">
        <v>2954</v>
      </c>
      <c r="F1026" s="17"/>
      <c r="G1026" s="12" t="s">
        <v>105</v>
      </c>
      <c r="H1026" s="13" t="n">
        <v>-0.033</v>
      </c>
      <c r="I1026" s="14"/>
      <c r="J1026" s="17"/>
      <c r="K1026" s="9"/>
      <c r="L1026" s="15" t="s">
        <v>50</v>
      </c>
      <c r="M1026" s="16" t="s">
        <v>51</v>
      </c>
      <c r="N1026" s="14"/>
      <c r="O1026" s="15" t="s">
        <v>52</v>
      </c>
      <c r="P1026" s="17" t="s">
        <v>53</v>
      </c>
      <c r="Q1026" s="15"/>
      <c r="R1026" s="18" t="s">
        <v>51</v>
      </c>
      <c r="S1026" s="19"/>
      <c r="T1026" s="17" t="str">
        <f aca="false">IF(R1026="維持",J1026,IF(R1026="排除","無關新聞事件",IFERROR(INDEX(事件規則!$B$2:$B$53,MATCH(S1026,事件規則!$A$2:$A$53,0)),"")))</f>
        <v>無關新聞事件</v>
      </c>
      <c r="U1026" s="20" t="n">
        <f aca="false">IF(R1026="維持",K1026,IF(R1026="排除",0,IFERROR(INDEX(事件規則!$C$2:$C$53,MATCH(S1026,事件規則!$A$2:$A$53,0)),"")))</f>
        <v>0</v>
      </c>
      <c r="V1026" s="21"/>
      <c r="W1026" s="22"/>
      <c r="X1026" s="10" t="str">
        <f aca="false">IF(AND(R1026="修改",S1026=""),"請選新事件代碼",IF(AND(R1026&lt;&gt;"修改",S1026&lt;&gt;""),"只有「修改」才需填代碼",""))</f>
        <v/>
      </c>
      <c r="Y1026" s="21"/>
      <c r="Z1026" s="22"/>
      <c r="AA1026" s="12" t="s">
        <v>2955</v>
      </c>
      <c r="AB1026" s="24"/>
    </row>
    <row r="1027" customFormat="false" ht="29.85" hidden="false" customHeight="false" outlineLevel="0" collapsed="false">
      <c r="A1027" s="15" t="n">
        <v>1026</v>
      </c>
      <c r="B1027" s="9" t="s">
        <v>55</v>
      </c>
      <c r="C1027" s="9" t="s">
        <v>672</v>
      </c>
      <c r="D1027" s="10" t="s">
        <v>673</v>
      </c>
      <c r="E1027" s="11" t="s">
        <v>2956</v>
      </c>
      <c r="F1027" s="17"/>
      <c r="G1027" s="12" t="s">
        <v>2033</v>
      </c>
      <c r="H1027" s="13" t="n">
        <v>-0.033</v>
      </c>
      <c r="I1027" s="14"/>
      <c r="J1027" s="17"/>
      <c r="K1027" s="9"/>
      <c r="L1027" s="15" t="s">
        <v>50</v>
      </c>
      <c r="M1027" s="16" t="s">
        <v>51</v>
      </c>
      <c r="N1027" s="14"/>
      <c r="O1027" s="15" t="s">
        <v>52</v>
      </c>
      <c r="P1027" s="17" t="s">
        <v>53</v>
      </c>
      <c r="Q1027" s="15"/>
      <c r="R1027" s="18" t="s">
        <v>51</v>
      </c>
      <c r="S1027" s="19"/>
      <c r="T1027" s="17" t="str">
        <f aca="false">IF(R1027="維持",J1027,IF(R1027="排除","無關新聞事件",IFERROR(INDEX(事件規則!$B$2:$B$53,MATCH(S1027,事件規則!$A$2:$A$53,0)),"")))</f>
        <v>無關新聞事件</v>
      </c>
      <c r="U1027" s="20" t="n">
        <f aca="false">IF(R1027="維持",K1027,IF(R1027="排除",0,IFERROR(INDEX(事件規則!$C$2:$C$53,MATCH(S1027,事件規則!$A$2:$A$53,0)),"")))</f>
        <v>0</v>
      </c>
      <c r="V1027" s="21"/>
      <c r="W1027" s="22"/>
      <c r="X1027" s="10" t="str">
        <f aca="false">IF(AND(R1027="修改",S1027=""),"請選新事件代碼",IF(AND(R1027&lt;&gt;"修改",S1027&lt;&gt;""),"只有「修改」才需填代碼",""))</f>
        <v/>
      </c>
      <c r="Y1027" s="21"/>
      <c r="Z1027" s="22"/>
      <c r="AA1027" s="12" t="s">
        <v>2957</v>
      </c>
      <c r="AB1027" s="24"/>
    </row>
    <row r="1028" customFormat="false" ht="29.85" hidden="false" customHeight="false" outlineLevel="0" collapsed="false">
      <c r="A1028" s="15" t="n">
        <v>1027</v>
      </c>
      <c r="B1028" s="9" t="s">
        <v>45</v>
      </c>
      <c r="C1028" s="9" t="s">
        <v>2263</v>
      </c>
      <c r="D1028" s="10" t="s">
        <v>2264</v>
      </c>
      <c r="E1028" s="11" t="s">
        <v>2958</v>
      </c>
      <c r="F1028" s="17"/>
      <c r="G1028" s="12" t="s">
        <v>949</v>
      </c>
      <c r="H1028" s="13" t="n">
        <v>-0.032</v>
      </c>
      <c r="I1028" s="14"/>
      <c r="J1028" s="17"/>
      <c r="K1028" s="9"/>
      <c r="L1028" s="15" t="s">
        <v>50</v>
      </c>
      <c r="M1028" s="16" t="s">
        <v>51</v>
      </c>
      <c r="N1028" s="14"/>
      <c r="O1028" s="15" t="s">
        <v>52</v>
      </c>
      <c r="P1028" s="17" t="s">
        <v>53</v>
      </c>
      <c r="Q1028" s="15"/>
      <c r="R1028" s="18" t="s">
        <v>51</v>
      </c>
      <c r="S1028" s="19"/>
      <c r="T1028" s="17" t="str">
        <f aca="false">IF(R1028="維持",J1028,IF(R1028="排除","無關新聞事件",IFERROR(INDEX(事件規則!$B$2:$B$53,MATCH(S1028,事件規則!$A$2:$A$53,0)),"")))</f>
        <v>無關新聞事件</v>
      </c>
      <c r="U1028" s="20" t="n">
        <f aca="false">IF(R1028="維持",K1028,IF(R1028="排除",0,IFERROR(INDEX(事件規則!$C$2:$C$53,MATCH(S1028,事件規則!$A$2:$A$53,0)),"")))</f>
        <v>0</v>
      </c>
      <c r="V1028" s="21"/>
      <c r="W1028" s="22"/>
      <c r="X1028" s="10" t="str">
        <f aca="false">IF(AND(R1028="修改",S1028=""),"請選新事件代碼",IF(AND(R1028&lt;&gt;"修改",S1028&lt;&gt;""),"只有「修改」才需填代碼",""))</f>
        <v/>
      </c>
      <c r="Y1028" s="21"/>
      <c r="Z1028" s="22"/>
      <c r="AA1028" s="12" t="s">
        <v>2959</v>
      </c>
      <c r="AB1028" s="24"/>
    </row>
    <row r="1029" customFormat="false" ht="29.85" hidden="false" customHeight="false" outlineLevel="0" collapsed="false">
      <c r="A1029" s="15" t="n">
        <v>1028</v>
      </c>
      <c r="B1029" s="9" t="s">
        <v>45</v>
      </c>
      <c r="C1029" s="9" t="s">
        <v>92</v>
      </c>
      <c r="D1029" s="10" t="s">
        <v>93</v>
      </c>
      <c r="E1029" s="11" t="s">
        <v>2960</v>
      </c>
      <c r="F1029" s="17"/>
      <c r="G1029" s="12" t="s">
        <v>949</v>
      </c>
      <c r="H1029" s="13" t="n">
        <v>-0.032</v>
      </c>
      <c r="I1029" s="14"/>
      <c r="J1029" s="17"/>
      <c r="K1029" s="9"/>
      <c r="L1029" s="15" t="s">
        <v>50</v>
      </c>
      <c r="M1029" s="16" t="s">
        <v>51</v>
      </c>
      <c r="N1029" s="14"/>
      <c r="O1029" s="15" t="s">
        <v>52</v>
      </c>
      <c r="P1029" s="17" t="s">
        <v>53</v>
      </c>
      <c r="Q1029" s="15"/>
      <c r="R1029" s="18" t="s">
        <v>51</v>
      </c>
      <c r="S1029" s="19"/>
      <c r="T1029" s="17" t="str">
        <f aca="false">IF(R1029="維持",J1029,IF(R1029="排除","無關新聞事件",IFERROR(INDEX(事件規則!$B$2:$B$53,MATCH(S1029,事件規則!$A$2:$A$53,0)),"")))</f>
        <v>無關新聞事件</v>
      </c>
      <c r="U1029" s="20" t="n">
        <f aca="false">IF(R1029="維持",K1029,IF(R1029="排除",0,IFERROR(INDEX(事件規則!$C$2:$C$53,MATCH(S1029,事件規則!$A$2:$A$53,0)),"")))</f>
        <v>0</v>
      </c>
      <c r="V1029" s="21"/>
      <c r="W1029" s="22"/>
      <c r="X1029" s="10" t="str">
        <f aca="false">IF(AND(R1029="修改",S1029=""),"請選新事件代碼",IF(AND(R1029&lt;&gt;"修改",S1029&lt;&gt;""),"只有「修改」才需填代碼",""))</f>
        <v/>
      </c>
      <c r="Y1029" s="21"/>
      <c r="Z1029" s="22"/>
      <c r="AA1029" s="12" t="s">
        <v>2961</v>
      </c>
      <c r="AB1029" s="24"/>
    </row>
    <row r="1030" customFormat="false" ht="29.85" hidden="false" customHeight="false" outlineLevel="0" collapsed="false">
      <c r="A1030" s="15" t="n">
        <v>1029</v>
      </c>
      <c r="B1030" s="9" t="s">
        <v>45</v>
      </c>
      <c r="C1030" s="9" t="s">
        <v>2962</v>
      </c>
      <c r="D1030" s="10" t="s">
        <v>2963</v>
      </c>
      <c r="E1030" s="11" t="s">
        <v>2964</v>
      </c>
      <c r="F1030" s="17"/>
      <c r="G1030" s="12" t="s">
        <v>164</v>
      </c>
      <c r="H1030" s="13" t="n">
        <v>-0.032</v>
      </c>
      <c r="I1030" s="14"/>
      <c r="J1030" s="17"/>
      <c r="K1030" s="9"/>
      <c r="L1030" s="15" t="s">
        <v>50</v>
      </c>
      <c r="M1030" s="16" t="s">
        <v>51</v>
      </c>
      <c r="N1030" s="14"/>
      <c r="O1030" s="15" t="s">
        <v>52</v>
      </c>
      <c r="P1030" s="17" t="s">
        <v>53</v>
      </c>
      <c r="Q1030" s="15"/>
      <c r="R1030" s="18" t="s">
        <v>51</v>
      </c>
      <c r="S1030" s="19"/>
      <c r="T1030" s="17" t="str">
        <f aca="false">IF(R1030="維持",J1030,IF(R1030="排除","無關新聞事件",IFERROR(INDEX(事件規則!$B$2:$B$53,MATCH(S1030,事件規則!$A$2:$A$53,0)),"")))</f>
        <v>無關新聞事件</v>
      </c>
      <c r="U1030" s="20" t="n">
        <f aca="false">IF(R1030="維持",K1030,IF(R1030="排除",0,IFERROR(INDEX(事件規則!$C$2:$C$53,MATCH(S1030,事件規則!$A$2:$A$53,0)),"")))</f>
        <v>0</v>
      </c>
      <c r="V1030" s="21"/>
      <c r="W1030" s="22"/>
      <c r="X1030" s="10" t="str">
        <f aca="false">IF(AND(R1030="修改",S1030=""),"請選新事件代碼",IF(AND(R1030&lt;&gt;"修改",S1030&lt;&gt;""),"只有「修改」才需填代碼",""))</f>
        <v/>
      </c>
      <c r="Y1030" s="21"/>
      <c r="Z1030" s="22"/>
      <c r="AA1030" s="12" t="s">
        <v>2965</v>
      </c>
      <c r="AB1030" s="24"/>
    </row>
    <row r="1031" customFormat="false" ht="29.85" hidden="false" customHeight="false" outlineLevel="0" collapsed="false">
      <c r="A1031" s="15" t="n">
        <v>1030</v>
      </c>
      <c r="B1031" s="9" t="s">
        <v>45</v>
      </c>
      <c r="C1031" s="9" t="s">
        <v>2966</v>
      </c>
      <c r="D1031" s="10" t="s">
        <v>2967</v>
      </c>
      <c r="E1031" s="11" t="s">
        <v>2968</v>
      </c>
      <c r="F1031" s="17"/>
      <c r="G1031" s="12" t="s">
        <v>949</v>
      </c>
      <c r="H1031" s="13" t="n">
        <v>-0.032</v>
      </c>
      <c r="I1031" s="14"/>
      <c r="J1031" s="17"/>
      <c r="K1031" s="9"/>
      <c r="L1031" s="15" t="s">
        <v>50</v>
      </c>
      <c r="M1031" s="16" t="s">
        <v>51</v>
      </c>
      <c r="N1031" s="14"/>
      <c r="O1031" s="15" t="s">
        <v>52</v>
      </c>
      <c r="P1031" s="17" t="s">
        <v>53</v>
      </c>
      <c r="Q1031" s="15"/>
      <c r="R1031" s="18" t="s">
        <v>51</v>
      </c>
      <c r="S1031" s="19"/>
      <c r="T1031" s="17" t="str">
        <f aca="false">IF(R1031="維持",J1031,IF(R1031="排除","無關新聞事件",IFERROR(INDEX(事件規則!$B$2:$B$53,MATCH(S1031,事件規則!$A$2:$A$53,0)),"")))</f>
        <v>無關新聞事件</v>
      </c>
      <c r="U1031" s="20" t="n">
        <f aca="false">IF(R1031="維持",K1031,IF(R1031="排除",0,IFERROR(INDEX(事件規則!$C$2:$C$53,MATCH(S1031,事件規則!$A$2:$A$53,0)),"")))</f>
        <v>0</v>
      </c>
      <c r="V1031" s="21"/>
      <c r="W1031" s="22"/>
      <c r="X1031" s="10" t="str">
        <f aca="false">IF(AND(R1031="修改",S1031=""),"請選新事件代碼",IF(AND(R1031&lt;&gt;"修改",S1031&lt;&gt;""),"只有「修改」才需填代碼",""))</f>
        <v/>
      </c>
      <c r="Y1031" s="21"/>
      <c r="Z1031" s="22"/>
      <c r="AA1031" s="12" t="s">
        <v>2969</v>
      </c>
      <c r="AB1031" s="24"/>
    </row>
    <row r="1032" customFormat="false" ht="29.85" hidden="false" customHeight="false" outlineLevel="0" collapsed="false">
      <c r="A1032" s="15" t="n">
        <v>1031</v>
      </c>
      <c r="B1032" s="9" t="s">
        <v>45</v>
      </c>
      <c r="C1032" s="9" t="s">
        <v>1086</v>
      </c>
      <c r="D1032" s="10" t="s">
        <v>1087</v>
      </c>
      <c r="E1032" s="11" t="s">
        <v>2970</v>
      </c>
      <c r="F1032" s="17"/>
      <c r="G1032" s="12" t="s">
        <v>1136</v>
      </c>
      <c r="H1032" s="13" t="n">
        <v>-0.032</v>
      </c>
      <c r="I1032" s="14"/>
      <c r="J1032" s="17"/>
      <c r="K1032" s="9"/>
      <c r="L1032" s="15" t="s">
        <v>50</v>
      </c>
      <c r="M1032" s="16" t="s">
        <v>51</v>
      </c>
      <c r="N1032" s="14"/>
      <c r="O1032" s="15" t="s">
        <v>52</v>
      </c>
      <c r="P1032" s="17" t="s">
        <v>53</v>
      </c>
      <c r="Q1032" s="15"/>
      <c r="R1032" s="18" t="s">
        <v>51</v>
      </c>
      <c r="S1032" s="19"/>
      <c r="T1032" s="17" t="str">
        <f aca="false">IF(R1032="維持",J1032,IF(R1032="排除","無關新聞事件",IFERROR(INDEX(事件規則!$B$2:$B$53,MATCH(S1032,事件規則!$A$2:$A$53,0)),"")))</f>
        <v>無關新聞事件</v>
      </c>
      <c r="U1032" s="20" t="n">
        <f aca="false">IF(R1032="維持",K1032,IF(R1032="排除",0,IFERROR(INDEX(事件規則!$C$2:$C$53,MATCH(S1032,事件規則!$A$2:$A$53,0)),"")))</f>
        <v>0</v>
      </c>
      <c r="V1032" s="21"/>
      <c r="W1032" s="22"/>
      <c r="X1032" s="10" t="str">
        <f aca="false">IF(AND(R1032="修改",S1032=""),"請選新事件代碼",IF(AND(R1032&lt;&gt;"修改",S1032&lt;&gt;""),"只有「修改」才需填代碼",""))</f>
        <v/>
      </c>
      <c r="Y1032" s="21"/>
      <c r="Z1032" s="22"/>
      <c r="AA1032" s="12" t="s">
        <v>2971</v>
      </c>
      <c r="AB1032" s="24"/>
    </row>
    <row r="1033" customFormat="false" ht="29.85" hidden="false" customHeight="false" outlineLevel="0" collapsed="false">
      <c r="A1033" s="15" t="n">
        <v>1032</v>
      </c>
      <c r="B1033" s="9" t="s">
        <v>55</v>
      </c>
      <c r="C1033" s="9" t="s">
        <v>873</v>
      </c>
      <c r="D1033" s="10" t="s">
        <v>874</v>
      </c>
      <c r="E1033" s="11" t="s">
        <v>2972</v>
      </c>
      <c r="F1033" s="17"/>
      <c r="G1033" s="12" t="s">
        <v>949</v>
      </c>
      <c r="H1033" s="13" t="n">
        <v>-0.032</v>
      </c>
      <c r="I1033" s="14"/>
      <c r="J1033" s="17"/>
      <c r="K1033" s="9"/>
      <c r="L1033" s="15" t="s">
        <v>50</v>
      </c>
      <c r="M1033" s="16" t="s">
        <v>51</v>
      </c>
      <c r="N1033" s="14"/>
      <c r="O1033" s="15" t="s">
        <v>52</v>
      </c>
      <c r="P1033" s="17" t="s">
        <v>53</v>
      </c>
      <c r="Q1033" s="15"/>
      <c r="R1033" s="18" t="s">
        <v>51</v>
      </c>
      <c r="S1033" s="19"/>
      <c r="T1033" s="17" t="str">
        <f aca="false">IF(R1033="維持",J1033,IF(R1033="排除","無關新聞事件",IFERROR(INDEX(事件規則!$B$2:$B$53,MATCH(S1033,事件規則!$A$2:$A$53,0)),"")))</f>
        <v>無關新聞事件</v>
      </c>
      <c r="U1033" s="20" t="n">
        <f aca="false">IF(R1033="維持",K1033,IF(R1033="排除",0,IFERROR(INDEX(事件規則!$C$2:$C$53,MATCH(S1033,事件規則!$A$2:$A$53,0)),"")))</f>
        <v>0</v>
      </c>
      <c r="V1033" s="21"/>
      <c r="W1033" s="22"/>
      <c r="X1033" s="10" t="str">
        <f aca="false">IF(AND(R1033="修改",S1033=""),"請選新事件代碼",IF(AND(R1033&lt;&gt;"修改",S1033&lt;&gt;""),"只有「修改」才需填代碼",""))</f>
        <v/>
      </c>
      <c r="Y1033" s="21"/>
      <c r="Z1033" s="22"/>
      <c r="AA1033" s="12" t="s">
        <v>2973</v>
      </c>
      <c r="AB1033" s="24"/>
    </row>
    <row r="1034" customFormat="false" ht="29.85" hidden="false" customHeight="false" outlineLevel="0" collapsed="false">
      <c r="A1034" s="15" t="n">
        <v>1033</v>
      </c>
      <c r="B1034" s="9" t="s">
        <v>45</v>
      </c>
      <c r="C1034" s="9" t="s">
        <v>1334</v>
      </c>
      <c r="D1034" s="10" t="s">
        <v>1335</v>
      </c>
      <c r="E1034" s="11" t="s">
        <v>2974</v>
      </c>
      <c r="F1034" s="17"/>
      <c r="G1034" s="12" t="s">
        <v>1056</v>
      </c>
      <c r="H1034" s="13" t="n">
        <v>-0.032</v>
      </c>
      <c r="I1034" s="14"/>
      <c r="J1034" s="17"/>
      <c r="K1034" s="9"/>
      <c r="L1034" s="15" t="s">
        <v>50</v>
      </c>
      <c r="M1034" s="16" t="s">
        <v>51</v>
      </c>
      <c r="N1034" s="14"/>
      <c r="O1034" s="15" t="s">
        <v>52</v>
      </c>
      <c r="P1034" s="17" t="s">
        <v>53</v>
      </c>
      <c r="Q1034" s="15"/>
      <c r="R1034" s="18" t="s">
        <v>51</v>
      </c>
      <c r="S1034" s="19"/>
      <c r="T1034" s="17" t="str">
        <f aca="false">IF(R1034="維持",J1034,IF(R1034="排除","無關新聞事件",IFERROR(INDEX(事件規則!$B$2:$B$53,MATCH(S1034,事件規則!$A$2:$A$53,0)),"")))</f>
        <v>無關新聞事件</v>
      </c>
      <c r="U1034" s="20" t="n">
        <f aca="false">IF(R1034="維持",K1034,IF(R1034="排除",0,IFERROR(INDEX(事件規則!$C$2:$C$53,MATCH(S1034,事件規則!$A$2:$A$53,0)),"")))</f>
        <v>0</v>
      </c>
      <c r="V1034" s="21"/>
      <c r="W1034" s="22"/>
      <c r="X1034" s="10" t="str">
        <f aca="false">IF(AND(R1034="修改",S1034=""),"請選新事件代碼",IF(AND(R1034&lt;&gt;"修改",S1034&lt;&gt;""),"只有「修改」才需填代碼",""))</f>
        <v/>
      </c>
      <c r="Y1034" s="21"/>
      <c r="Z1034" s="22"/>
      <c r="AA1034" s="12" t="s">
        <v>2975</v>
      </c>
      <c r="AB1034" s="24"/>
    </row>
    <row r="1035" customFormat="false" ht="29.85" hidden="false" customHeight="false" outlineLevel="0" collapsed="false">
      <c r="A1035" s="15" t="n">
        <v>1034</v>
      </c>
      <c r="B1035" s="9" t="s">
        <v>45</v>
      </c>
      <c r="C1035" s="9" t="s">
        <v>1727</v>
      </c>
      <c r="D1035" s="10" t="s">
        <v>1728</v>
      </c>
      <c r="E1035" s="11" t="s">
        <v>2976</v>
      </c>
      <c r="F1035" s="17"/>
      <c r="G1035" s="12" t="s">
        <v>2977</v>
      </c>
      <c r="H1035" s="13" t="n">
        <v>-0.032</v>
      </c>
      <c r="I1035" s="14"/>
      <c r="J1035" s="17"/>
      <c r="K1035" s="9"/>
      <c r="L1035" s="15" t="s">
        <v>50</v>
      </c>
      <c r="M1035" s="16" t="s">
        <v>51</v>
      </c>
      <c r="N1035" s="14"/>
      <c r="O1035" s="15" t="s">
        <v>52</v>
      </c>
      <c r="P1035" s="17" t="s">
        <v>53</v>
      </c>
      <c r="Q1035" s="15"/>
      <c r="R1035" s="18" t="s">
        <v>51</v>
      </c>
      <c r="S1035" s="19"/>
      <c r="T1035" s="17" t="str">
        <f aca="false">IF(R1035="維持",J1035,IF(R1035="排除","無關新聞事件",IFERROR(INDEX(事件規則!$B$2:$B$53,MATCH(S1035,事件規則!$A$2:$A$53,0)),"")))</f>
        <v>無關新聞事件</v>
      </c>
      <c r="U1035" s="20" t="n">
        <f aca="false">IF(R1035="維持",K1035,IF(R1035="排除",0,IFERROR(INDEX(事件規則!$C$2:$C$53,MATCH(S1035,事件規則!$A$2:$A$53,0)),"")))</f>
        <v>0</v>
      </c>
      <c r="V1035" s="21"/>
      <c r="W1035" s="22"/>
      <c r="X1035" s="10" t="str">
        <f aca="false">IF(AND(R1035="修改",S1035=""),"請選新事件代碼",IF(AND(R1035&lt;&gt;"修改",S1035&lt;&gt;""),"只有「修改」才需填代碼",""))</f>
        <v/>
      </c>
      <c r="Y1035" s="21"/>
      <c r="Z1035" s="22"/>
      <c r="AA1035" s="12" t="s">
        <v>2978</v>
      </c>
      <c r="AB1035" s="24"/>
    </row>
    <row r="1036" customFormat="false" ht="29.85" hidden="false" customHeight="false" outlineLevel="0" collapsed="false">
      <c r="A1036" s="15" t="n">
        <v>1035</v>
      </c>
      <c r="B1036" s="9" t="s">
        <v>45</v>
      </c>
      <c r="C1036" s="9" t="s">
        <v>1747</v>
      </c>
      <c r="D1036" s="10" t="s">
        <v>1748</v>
      </c>
      <c r="E1036" s="11" t="s">
        <v>2979</v>
      </c>
      <c r="F1036" s="17"/>
      <c r="G1036" s="12" t="s">
        <v>949</v>
      </c>
      <c r="H1036" s="13" t="n">
        <v>-0.032</v>
      </c>
      <c r="I1036" s="14"/>
      <c r="J1036" s="17"/>
      <c r="K1036" s="9"/>
      <c r="L1036" s="15" t="s">
        <v>50</v>
      </c>
      <c r="M1036" s="16" t="s">
        <v>51</v>
      </c>
      <c r="N1036" s="14"/>
      <c r="O1036" s="15" t="s">
        <v>52</v>
      </c>
      <c r="P1036" s="17" t="s">
        <v>53</v>
      </c>
      <c r="Q1036" s="15"/>
      <c r="R1036" s="18" t="s">
        <v>51</v>
      </c>
      <c r="S1036" s="19"/>
      <c r="T1036" s="17" t="str">
        <f aca="false">IF(R1036="維持",J1036,IF(R1036="排除","無關新聞事件",IFERROR(INDEX(事件規則!$B$2:$B$53,MATCH(S1036,事件規則!$A$2:$A$53,0)),"")))</f>
        <v>無關新聞事件</v>
      </c>
      <c r="U1036" s="20" t="n">
        <f aca="false">IF(R1036="維持",K1036,IF(R1036="排除",0,IFERROR(INDEX(事件規則!$C$2:$C$53,MATCH(S1036,事件規則!$A$2:$A$53,0)),"")))</f>
        <v>0</v>
      </c>
      <c r="V1036" s="21"/>
      <c r="W1036" s="22"/>
      <c r="X1036" s="10" t="str">
        <f aca="false">IF(AND(R1036="修改",S1036=""),"請選新事件代碼",IF(AND(R1036&lt;&gt;"修改",S1036&lt;&gt;""),"只有「修改」才需填代碼",""))</f>
        <v/>
      </c>
      <c r="Y1036" s="21"/>
      <c r="Z1036" s="22"/>
      <c r="AA1036" s="12" t="s">
        <v>2980</v>
      </c>
      <c r="AB1036" s="24"/>
    </row>
    <row r="1037" customFormat="false" ht="29.85" hidden="false" customHeight="false" outlineLevel="0" collapsed="false">
      <c r="A1037" s="15" t="n">
        <v>1036</v>
      </c>
      <c r="B1037" s="9" t="s">
        <v>45</v>
      </c>
      <c r="C1037" s="9" t="s">
        <v>576</v>
      </c>
      <c r="D1037" s="10" t="s">
        <v>577</v>
      </c>
      <c r="E1037" s="11" t="s">
        <v>2981</v>
      </c>
      <c r="F1037" s="17"/>
      <c r="G1037" s="12" t="s">
        <v>949</v>
      </c>
      <c r="H1037" s="13" t="n">
        <v>-0.032</v>
      </c>
      <c r="I1037" s="14"/>
      <c r="J1037" s="17"/>
      <c r="K1037" s="9"/>
      <c r="L1037" s="15" t="s">
        <v>50</v>
      </c>
      <c r="M1037" s="16" t="s">
        <v>51</v>
      </c>
      <c r="N1037" s="14"/>
      <c r="O1037" s="15" t="s">
        <v>52</v>
      </c>
      <c r="P1037" s="17" t="s">
        <v>53</v>
      </c>
      <c r="Q1037" s="15"/>
      <c r="R1037" s="18" t="s">
        <v>51</v>
      </c>
      <c r="S1037" s="19"/>
      <c r="T1037" s="17" t="str">
        <f aca="false">IF(R1037="維持",J1037,IF(R1037="排除","無關新聞事件",IFERROR(INDEX(事件規則!$B$2:$B$53,MATCH(S1037,事件規則!$A$2:$A$53,0)),"")))</f>
        <v>無關新聞事件</v>
      </c>
      <c r="U1037" s="20" t="n">
        <f aca="false">IF(R1037="維持",K1037,IF(R1037="排除",0,IFERROR(INDEX(事件規則!$C$2:$C$53,MATCH(S1037,事件規則!$A$2:$A$53,0)),"")))</f>
        <v>0</v>
      </c>
      <c r="V1037" s="21"/>
      <c r="W1037" s="22"/>
      <c r="X1037" s="10" t="str">
        <f aca="false">IF(AND(R1037="修改",S1037=""),"請選新事件代碼",IF(AND(R1037&lt;&gt;"修改",S1037&lt;&gt;""),"只有「修改」才需填代碼",""))</f>
        <v/>
      </c>
      <c r="Y1037" s="21"/>
      <c r="Z1037" s="22"/>
      <c r="AA1037" s="12" t="s">
        <v>2982</v>
      </c>
      <c r="AB1037" s="24"/>
    </row>
    <row r="1038" customFormat="false" ht="29.85" hidden="false" customHeight="false" outlineLevel="0" collapsed="false">
      <c r="A1038" s="15" t="n">
        <v>1037</v>
      </c>
      <c r="B1038" s="9" t="s">
        <v>45</v>
      </c>
      <c r="C1038" s="9" t="s">
        <v>440</v>
      </c>
      <c r="D1038" s="10" t="s">
        <v>441</v>
      </c>
      <c r="E1038" s="11" t="s">
        <v>2983</v>
      </c>
      <c r="F1038" s="17"/>
      <c r="G1038" s="12" t="s">
        <v>949</v>
      </c>
      <c r="H1038" s="13" t="n">
        <v>-0.032</v>
      </c>
      <c r="I1038" s="14"/>
      <c r="J1038" s="17"/>
      <c r="K1038" s="9"/>
      <c r="L1038" s="15" t="s">
        <v>50</v>
      </c>
      <c r="M1038" s="16" t="s">
        <v>51</v>
      </c>
      <c r="N1038" s="14"/>
      <c r="O1038" s="15" t="s">
        <v>52</v>
      </c>
      <c r="P1038" s="17" t="s">
        <v>53</v>
      </c>
      <c r="Q1038" s="15"/>
      <c r="R1038" s="18" t="s">
        <v>51</v>
      </c>
      <c r="S1038" s="19"/>
      <c r="T1038" s="17" t="str">
        <f aca="false">IF(R1038="維持",J1038,IF(R1038="排除","無關新聞事件",IFERROR(INDEX(事件規則!$B$2:$B$53,MATCH(S1038,事件規則!$A$2:$A$53,0)),"")))</f>
        <v>無關新聞事件</v>
      </c>
      <c r="U1038" s="20" t="n">
        <f aca="false">IF(R1038="維持",K1038,IF(R1038="排除",0,IFERROR(INDEX(事件規則!$C$2:$C$53,MATCH(S1038,事件規則!$A$2:$A$53,0)),"")))</f>
        <v>0</v>
      </c>
      <c r="V1038" s="21"/>
      <c r="W1038" s="22"/>
      <c r="X1038" s="10" t="str">
        <f aca="false">IF(AND(R1038="修改",S1038=""),"請選新事件代碼",IF(AND(R1038&lt;&gt;"修改",S1038&lt;&gt;""),"只有「修改」才需填代碼",""))</f>
        <v/>
      </c>
      <c r="Y1038" s="21"/>
      <c r="Z1038" s="22"/>
      <c r="AA1038" s="12" t="s">
        <v>2984</v>
      </c>
      <c r="AB1038" s="24"/>
    </row>
    <row r="1039" customFormat="false" ht="29.85" hidden="false" customHeight="false" outlineLevel="0" collapsed="false">
      <c r="A1039" s="15" t="n">
        <v>1038</v>
      </c>
      <c r="B1039" s="9" t="s">
        <v>45</v>
      </c>
      <c r="C1039" s="9" t="s">
        <v>987</v>
      </c>
      <c r="D1039" s="10" t="s">
        <v>988</v>
      </c>
      <c r="E1039" s="11" t="s">
        <v>2985</v>
      </c>
      <c r="F1039" s="17"/>
      <c r="G1039" s="12" t="s">
        <v>1068</v>
      </c>
      <c r="H1039" s="13" t="n">
        <v>-0.032</v>
      </c>
      <c r="I1039" s="14"/>
      <c r="J1039" s="17"/>
      <c r="K1039" s="9"/>
      <c r="L1039" s="15" t="s">
        <v>50</v>
      </c>
      <c r="M1039" s="16" t="s">
        <v>51</v>
      </c>
      <c r="N1039" s="14"/>
      <c r="O1039" s="15" t="s">
        <v>52</v>
      </c>
      <c r="P1039" s="17" t="s">
        <v>53</v>
      </c>
      <c r="Q1039" s="15"/>
      <c r="R1039" s="18" t="s">
        <v>51</v>
      </c>
      <c r="S1039" s="19"/>
      <c r="T1039" s="17" t="str">
        <f aca="false">IF(R1039="維持",J1039,IF(R1039="排除","無關新聞事件",IFERROR(INDEX(事件規則!$B$2:$B$53,MATCH(S1039,事件規則!$A$2:$A$53,0)),"")))</f>
        <v>無關新聞事件</v>
      </c>
      <c r="U1039" s="20" t="n">
        <f aca="false">IF(R1039="維持",K1039,IF(R1039="排除",0,IFERROR(INDEX(事件規則!$C$2:$C$53,MATCH(S1039,事件規則!$A$2:$A$53,0)),"")))</f>
        <v>0</v>
      </c>
      <c r="V1039" s="21"/>
      <c r="W1039" s="22"/>
      <c r="X1039" s="10" t="str">
        <f aca="false">IF(AND(R1039="修改",S1039=""),"請選新事件代碼",IF(AND(R1039&lt;&gt;"修改",S1039&lt;&gt;""),"只有「修改」才需填代碼",""))</f>
        <v/>
      </c>
      <c r="Y1039" s="21"/>
      <c r="Z1039" s="22"/>
      <c r="AA1039" s="12" t="s">
        <v>2986</v>
      </c>
      <c r="AB1039" s="24"/>
    </row>
    <row r="1040" customFormat="false" ht="29.85" hidden="false" customHeight="false" outlineLevel="0" collapsed="false">
      <c r="A1040" s="15" t="n">
        <v>1039</v>
      </c>
      <c r="B1040" s="9" t="s">
        <v>45</v>
      </c>
      <c r="C1040" s="9" t="s">
        <v>2319</v>
      </c>
      <c r="D1040" s="10" t="s">
        <v>2320</v>
      </c>
      <c r="E1040" s="11" t="s">
        <v>2987</v>
      </c>
      <c r="F1040" s="17"/>
      <c r="G1040" s="12" t="s">
        <v>949</v>
      </c>
      <c r="H1040" s="13" t="n">
        <v>-0.032</v>
      </c>
      <c r="I1040" s="14"/>
      <c r="J1040" s="17"/>
      <c r="K1040" s="9"/>
      <c r="L1040" s="15" t="s">
        <v>50</v>
      </c>
      <c r="M1040" s="16" t="s">
        <v>51</v>
      </c>
      <c r="N1040" s="14"/>
      <c r="O1040" s="15" t="s">
        <v>52</v>
      </c>
      <c r="P1040" s="17" t="s">
        <v>53</v>
      </c>
      <c r="Q1040" s="15"/>
      <c r="R1040" s="18" t="s">
        <v>51</v>
      </c>
      <c r="S1040" s="19"/>
      <c r="T1040" s="17" t="str">
        <f aca="false">IF(R1040="維持",J1040,IF(R1040="排除","無關新聞事件",IFERROR(INDEX(事件規則!$B$2:$B$53,MATCH(S1040,事件規則!$A$2:$A$53,0)),"")))</f>
        <v>無關新聞事件</v>
      </c>
      <c r="U1040" s="20" t="n">
        <f aca="false">IF(R1040="維持",K1040,IF(R1040="排除",0,IFERROR(INDEX(事件規則!$C$2:$C$53,MATCH(S1040,事件規則!$A$2:$A$53,0)),"")))</f>
        <v>0</v>
      </c>
      <c r="V1040" s="21"/>
      <c r="W1040" s="22"/>
      <c r="X1040" s="10" t="str">
        <f aca="false">IF(AND(R1040="修改",S1040=""),"請選新事件代碼",IF(AND(R1040&lt;&gt;"修改",S1040&lt;&gt;""),"只有「修改」才需填代碼",""))</f>
        <v/>
      </c>
      <c r="Y1040" s="21"/>
      <c r="Z1040" s="22"/>
      <c r="AA1040" s="12" t="s">
        <v>2988</v>
      </c>
      <c r="AB1040" s="24"/>
    </row>
    <row r="1041" customFormat="false" ht="29.85" hidden="false" customHeight="false" outlineLevel="0" collapsed="false">
      <c r="A1041" s="15" t="n">
        <v>1040</v>
      </c>
      <c r="B1041" s="9" t="s">
        <v>112</v>
      </c>
      <c r="C1041" s="9" t="s">
        <v>1727</v>
      </c>
      <c r="D1041" s="10" t="s">
        <v>1728</v>
      </c>
      <c r="E1041" s="11" t="s">
        <v>2989</v>
      </c>
      <c r="F1041" s="17"/>
      <c r="G1041" s="12" t="s">
        <v>949</v>
      </c>
      <c r="H1041" s="13" t="n">
        <v>-0.032</v>
      </c>
      <c r="I1041" s="14"/>
      <c r="J1041" s="17"/>
      <c r="K1041" s="9"/>
      <c r="L1041" s="15" t="s">
        <v>50</v>
      </c>
      <c r="M1041" s="16" t="s">
        <v>51</v>
      </c>
      <c r="N1041" s="14"/>
      <c r="O1041" s="15" t="s">
        <v>52</v>
      </c>
      <c r="P1041" s="17" t="s">
        <v>53</v>
      </c>
      <c r="Q1041" s="15"/>
      <c r="R1041" s="18" t="s">
        <v>51</v>
      </c>
      <c r="S1041" s="19"/>
      <c r="T1041" s="17" t="str">
        <f aca="false">IF(R1041="維持",J1041,IF(R1041="排除","無關新聞事件",IFERROR(INDEX(事件規則!$B$2:$B$53,MATCH(S1041,事件規則!$A$2:$A$53,0)),"")))</f>
        <v>無關新聞事件</v>
      </c>
      <c r="U1041" s="20" t="n">
        <f aca="false">IF(R1041="維持",K1041,IF(R1041="排除",0,IFERROR(INDEX(事件規則!$C$2:$C$53,MATCH(S1041,事件規則!$A$2:$A$53,0)),"")))</f>
        <v>0</v>
      </c>
      <c r="V1041" s="21"/>
      <c r="W1041" s="22"/>
      <c r="X1041" s="10" t="str">
        <f aca="false">IF(AND(R1041="修改",S1041=""),"請選新事件代碼",IF(AND(R1041&lt;&gt;"修改",S1041&lt;&gt;""),"只有「修改」才需填代碼",""))</f>
        <v/>
      </c>
      <c r="Y1041" s="21"/>
      <c r="Z1041" s="22"/>
      <c r="AA1041" s="12" t="s">
        <v>2990</v>
      </c>
      <c r="AB1041" s="24"/>
    </row>
    <row r="1042" customFormat="false" ht="29.85" hidden="false" customHeight="false" outlineLevel="0" collapsed="false">
      <c r="A1042" s="15" t="n">
        <v>1041</v>
      </c>
      <c r="B1042" s="9" t="s">
        <v>112</v>
      </c>
      <c r="C1042" s="9" t="s">
        <v>156</v>
      </c>
      <c r="D1042" s="10" t="s">
        <v>157</v>
      </c>
      <c r="E1042" s="11" t="s">
        <v>2991</v>
      </c>
      <c r="F1042" s="17"/>
      <c r="G1042" s="12" t="s">
        <v>105</v>
      </c>
      <c r="H1042" s="13" t="n">
        <v>-0.032</v>
      </c>
      <c r="I1042" s="14"/>
      <c r="J1042" s="17"/>
      <c r="K1042" s="9"/>
      <c r="L1042" s="15" t="s">
        <v>50</v>
      </c>
      <c r="M1042" s="16" t="s">
        <v>51</v>
      </c>
      <c r="N1042" s="14"/>
      <c r="O1042" s="15" t="s">
        <v>52</v>
      </c>
      <c r="P1042" s="17" t="s">
        <v>53</v>
      </c>
      <c r="Q1042" s="15"/>
      <c r="R1042" s="18" t="s">
        <v>51</v>
      </c>
      <c r="S1042" s="19"/>
      <c r="T1042" s="17" t="str">
        <f aca="false">IF(R1042="維持",J1042,IF(R1042="排除","無關新聞事件",IFERROR(INDEX(事件規則!$B$2:$B$53,MATCH(S1042,事件規則!$A$2:$A$53,0)),"")))</f>
        <v>無關新聞事件</v>
      </c>
      <c r="U1042" s="20" t="n">
        <f aca="false">IF(R1042="維持",K1042,IF(R1042="排除",0,IFERROR(INDEX(事件規則!$C$2:$C$53,MATCH(S1042,事件規則!$A$2:$A$53,0)),"")))</f>
        <v>0</v>
      </c>
      <c r="V1042" s="21"/>
      <c r="W1042" s="22"/>
      <c r="X1042" s="10" t="str">
        <f aca="false">IF(AND(R1042="修改",S1042=""),"請選新事件代碼",IF(AND(R1042&lt;&gt;"修改",S1042&lt;&gt;""),"只有「修改」才需填代碼",""))</f>
        <v/>
      </c>
      <c r="Y1042" s="21"/>
      <c r="Z1042" s="22"/>
      <c r="AA1042" s="12" t="s">
        <v>2992</v>
      </c>
      <c r="AB1042" s="24"/>
    </row>
    <row r="1043" customFormat="false" ht="29.85" hidden="false" customHeight="false" outlineLevel="0" collapsed="false">
      <c r="A1043" s="15" t="n">
        <v>1042</v>
      </c>
      <c r="B1043" s="9" t="s">
        <v>112</v>
      </c>
      <c r="C1043" s="9" t="s">
        <v>404</v>
      </c>
      <c r="D1043" s="10" t="s">
        <v>405</v>
      </c>
      <c r="E1043" s="11" t="s">
        <v>2993</v>
      </c>
      <c r="F1043" s="17"/>
      <c r="G1043" s="12" t="s">
        <v>105</v>
      </c>
      <c r="H1043" s="13" t="n">
        <v>-0.032</v>
      </c>
      <c r="I1043" s="14"/>
      <c r="J1043" s="17"/>
      <c r="K1043" s="9"/>
      <c r="L1043" s="15" t="s">
        <v>50</v>
      </c>
      <c r="M1043" s="16" t="s">
        <v>51</v>
      </c>
      <c r="N1043" s="14"/>
      <c r="O1043" s="15" t="s">
        <v>52</v>
      </c>
      <c r="P1043" s="17" t="s">
        <v>53</v>
      </c>
      <c r="Q1043" s="15"/>
      <c r="R1043" s="18" t="s">
        <v>51</v>
      </c>
      <c r="S1043" s="19"/>
      <c r="T1043" s="17" t="str">
        <f aca="false">IF(R1043="維持",J1043,IF(R1043="排除","無關新聞事件",IFERROR(INDEX(事件規則!$B$2:$B$53,MATCH(S1043,事件規則!$A$2:$A$53,0)),"")))</f>
        <v>無關新聞事件</v>
      </c>
      <c r="U1043" s="20" t="n">
        <f aca="false">IF(R1043="維持",K1043,IF(R1043="排除",0,IFERROR(INDEX(事件規則!$C$2:$C$53,MATCH(S1043,事件規則!$A$2:$A$53,0)),"")))</f>
        <v>0</v>
      </c>
      <c r="V1043" s="21"/>
      <c r="W1043" s="22"/>
      <c r="X1043" s="10" t="str">
        <f aca="false">IF(AND(R1043="修改",S1043=""),"請選新事件代碼",IF(AND(R1043&lt;&gt;"修改",S1043&lt;&gt;""),"只有「修改」才需填代碼",""))</f>
        <v/>
      </c>
      <c r="Y1043" s="21"/>
      <c r="Z1043" s="22"/>
      <c r="AA1043" s="12" t="s">
        <v>2994</v>
      </c>
      <c r="AB1043" s="24"/>
    </row>
    <row r="1044" customFormat="false" ht="29.85" hidden="false" customHeight="false" outlineLevel="0" collapsed="false">
      <c r="A1044" s="15" t="n">
        <v>1043</v>
      </c>
      <c r="B1044" s="9" t="s">
        <v>55</v>
      </c>
      <c r="C1044" s="9" t="s">
        <v>1116</v>
      </c>
      <c r="D1044" s="10" t="s">
        <v>1117</v>
      </c>
      <c r="E1044" s="11" t="s">
        <v>2995</v>
      </c>
      <c r="F1044" s="17"/>
      <c r="G1044" s="12" t="s">
        <v>2996</v>
      </c>
      <c r="H1044" s="13" t="n">
        <v>-0.032</v>
      </c>
      <c r="I1044" s="14"/>
      <c r="J1044" s="17"/>
      <c r="K1044" s="9"/>
      <c r="L1044" s="15" t="s">
        <v>50</v>
      </c>
      <c r="M1044" s="16" t="s">
        <v>51</v>
      </c>
      <c r="N1044" s="14"/>
      <c r="O1044" s="15" t="s">
        <v>52</v>
      </c>
      <c r="P1044" s="17" t="s">
        <v>53</v>
      </c>
      <c r="Q1044" s="15"/>
      <c r="R1044" s="18" t="s">
        <v>51</v>
      </c>
      <c r="S1044" s="19"/>
      <c r="T1044" s="17" t="str">
        <f aca="false">IF(R1044="維持",J1044,IF(R1044="排除","無關新聞事件",IFERROR(INDEX(事件規則!$B$2:$B$53,MATCH(S1044,事件規則!$A$2:$A$53,0)),"")))</f>
        <v>無關新聞事件</v>
      </c>
      <c r="U1044" s="20" t="n">
        <f aca="false">IF(R1044="維持",K1044,IF(R1044="排除",0,IFERROR(INDEX(事件規則!$C$2:$C$53,MATCH(S1044,事件規則!$A$2:$A$53,0)),"")))</f>
        <v>0</v>
      </c>
      <c r="V1044" s="21"/>
      <c r="W1044" s="22"/>
      <c r="X1044" s="10" t="str">
        <f aca="false">IF(AND(R1044="修改",S1044=""),"請選新事件代碼",IF(AND(R1044&lt;&gt;"修改",S1044&lt;&gt;""),"只有「修改」才需填代碼",""))</f>
        <v/>
      </c>
      <c r="Y1044" s="21"/>
      <c r="Z1044" s="22"/>
      <c r="AA1044" s="12" t="s">
        <v>2997</v>
      </c>
      <c r="AB1044" s="24"/>
    </row>
    <row r="1045" customFormat="false" ht="29.85" hidden="false" customHeight="false" outlineLevel="0" collapsed="false">
      <c r="A1045" s="15" t="n">
        <v>1044</v>
      </c>
      <c r="B1045" s="9" t="s">
        <v>55</v>
      </c>
      <c r="C1045" s="9" t="s">
        <v>188</v>
      </c>
      <c r="D1045" s="10" t="s">
        <v>189</v>
      </c>
      <c r="E1045" s="11" t="s">
        <v>2998</v>
      </c>
      <c r="F1045" s="17"/>
      <c r="G1045" s="12" t="s">
        <v>2999</v>
      </c>
      <c r="H1045" s="13" t="n">
        <v>-0.032</v>
      </c>
      <c r="I1045" s="14"/>
      <c r="J1045" s="17"/>
      <c r="K1045" s="9"/>
      <c r="L1045" s="15" t="s">
        <v>50</v>
      </c>
      <c r="M1045" s="16" t="s">
        <v>51</v>
      </c>
      <c r="N1045" s="14"/>
      <c r="O1045" s="15" t="s">
        <v>52</v>
      </c>
      <c r="P1045" s="17" t="s">
        <v>53</v>
      </c>
      <c r="Q1045" s="15"/>
      <c r="R1045" s="18" t="s">
        <v>51</v>
      </c>
      <c r="S1045" s="19"/>
      <c r="T1045" s="17" t="str">
        <f aca="false">IF(R1045="維持",J1045,IF(R1045="排除","無關新聞事件",IFERROR(INDEX(事件規則!$B$2:$B$53,MATCH(S1045,事件規則!$A$2:$A$53,0)),"")))</f>
        <v>無關新聞事件</v>
      </c>
      <c r="U1045" s="20" t="n">
        <f aca="false">IF(R1045="維持",K1045,IF(R1045="排除",0,IFERROR(INDEX(事件規則!$C$2:$C$53,MATCH(S1045,事件規則!$A$2:$A$53,0)),"")))</f>
        <v>0</v>
      </c>
      <c r="V1045" s="21"/>
      <c r="W1045" s="22"/>
      <c r="X1045" s="10" t="str">
        <f aca="false">IF(AND(R1045="修改",S1045=""),"請選新事件代碼",IF(AND(R1045&lt;&gt;"修改",S1045&lt;&gt;""),"只有「修改」才需填代碼",""))</f>
        <v/>
      </c>
      <c r="Y1045" s="21"/>
      <c r="Z1045" s="22"/>
      <c r="AA1045" s="12" t="s">
        <v>3000</v>
      </c>
      <c r="AB1045" s="24"/>
    </row>
    <row r="1046" customFormat="false" ht="29.85" hidden="false" customHeight="false" outlineLevel="0" collapsed="false">
      <c r="A1046" s="15" t="n">
        <v>1045</v>
      </c>
      <c r="B1046" s="9" t="s">
        <v>55</v>
      </c>
      <c r="C1046" s="9" t="s">
        <v>118</v>
      </c>
      <c r="D1046" s="10" t="s">
        <v>119</v>
      </c>
      <c r="E1046" s="11" t="s">
        <v>3001</v>
      </c>
      <c r="F1046" s="17"/>
      <c r="G1046" s="12" t="s">
        <v>1269</v>
      </c>
      <c r="H1046" s="13" t="n">
        <v>-0.032</v>
      </c>
      <c r="I1046" s="14"/>
      <c r="J1046" s="17"/>
      <c r="K1046" s="9"/>
      <c r="L1046" s="15" t="s">
        <v>50</v>
      </c>
      <c r="M1046" s="16" t="s">
        <v>51</v>
      </c>
      <c r="N1046" s="14"/>
      <c r="O1046" s="15" t="s">
        <v>52</v>
      </c>
      <c r="P1046" s="17" t="s">
        <v>53</v>
      </c>
      <c r="Q1046" s="15"/>
      <c r="R1046" s="18" t="s">
        <v>51</v>
      </c>
      <c r="S1046" s="19"/>
      <c r="T1046" s="17" t="str">
        <f aca="false">IF(R1046="維持",J1046,IF(R1046="排除","無關新聞事件",IFERROR(INDEX(事件規則!$B$2:$B$53,MATCH(S1046,事件規則!$A$2:$A$53,0)),"")))</f>
        <v>無關新聞事件</v>
      </c>
      <c r="U1046" s="20" t="n">
        <f aca="false">IF(R1046="維持",K1046,IF(R1046="排除",0,IFERROR(INDEX(事件規則!$C$2:$C$53,MATCH(S1046,事件規則!$A$2:$A$53,0)),"")))</f>
        <v>0</v>
      </c>
      <c r="V1046" s="21"/>
      <c r="W1046" s="22"/>
      <c r="X1046" s="10" t="str">
        <f aca="false">IF(AND(R1046="修改",S1046=""),"請選新事件代碼",IF(AND(R1046&lt;&gt;"修改",S1046&lt;&gt;""),"只有「修改」才需填代碼",""))</f>
        <v/>
      </c>
      <c r="Y1046" s="21"/>
      <c r="Z1046" s="22"/>
      <c r="AA1046" s="12" t="s">
        <v>3002</v>
      </c>
      <c r="AB1046" s="24"/>
    </row>
    <row r="1047" customFormat="false" ht="29.85" hidden="false" customHeight="false" outlineLevel="0" collapsed="false">
      <c r="A1047" s="15" t="n">
        <v>1046</v>
      </c>
      <c r="B1047" s="9" t="s">
        <v>55</v>
      </c>
      <c r="C1047" s="9" t="s">
        <v>595</v>
      </c>
      <c r="D1047" s="10" t="s">
        <v>596</v>
      </c>
      <c r="E1047" s="11" t="s">
        <v>3003</v>
      </c>
      <c r="F1047" s="17"/>
      <c r="G1047" s="12" t="s">
        <v>949</v>
      </c>
      <c r="H1047" s="13" t="n">
        <v>-0.032</v>
      </c>
      <c r="I1047" s="14"/>
      <c r="J1047" s="17"/>
      <c r="K1047" s="9"/>
      <c r="L1047" s="15" t="s">
        <v>50</v>
      </c>
      <c r="M1047" s="16" t="s">
        <v>51</v>
      </c>
      <c r="N1047" s="14"/>
      <c r="O1047" s="15" t="s">
        <v>52</v>
      </c>
      <c r="P1047" s="17" t="s">
        <v>53</v>
      </c>
      <c r="Q1047" s="15"/>
      <c r="R1047" s="18" t="s">
        <v>51</v>
      </c>
      <c r="S1047" s="19"/>
      <c r="T1047" s="17" t="str">
        <f aca="false">IF(R1047="維持",J1047,IF(R1047="排除","無關新聞事件",IFERROR(INDEX(事件規則!$B$2:$B$53,MATCH(S1047,事件規則!$A$2:$A$53,0)),"")))</f>
        <v>無關新聞事件</v>
      </c>
      <c r="U1047" s="20" t="n">
        <f aca="false">IF(R1047="維持",K1047,IF(R1047="排除",0,IFERROR(INDEX(事件規則!$C$2:$C$53,MATCH(S1047,事件規則!$A$2:$A$53,0)),"")))</f>
        <v>0</v>
      </c>
      <c r="V1047" s="21"/>
      <c r="W1047" s="22"/>
      <c r="X1047" s="10" t="str">
        <f aca="false">IF(AND(R1047="修改",S1047=""),"請選新事件代碼",IF(AND(R1047&lt;&gt;"修改",S1047&lt;&gt;""),"只有「修改」才需填代碼",""))</f>
        <v/>
      </c>
      <c r="Y1047" s="21"/>
      <c r="Z1047" s="22"/>
      <c r="AA1047" s="12" t="s">
        <v>3004</v>
      </c>
      <c r="AB1047" s="24"/>
    </row>
    <row r="1048" customFormat="false" ht="29.85" hidden="false" customHeight="false" outlineLevel="0" collapsed="false">
      <c r="A1048" s="15" t="n">
        <v>1047</v>
      </c>
      <c r="B1048" s="9" t="s">
        <v>55</v>
      </c>
      <c r="C1048" s="9" t="s">
        <v>1231</v>
      </c>
      <c r="D1048" s="10" t="s">
        <v>1232</v>
      </c>
      <c r="E1048" s="11" t="s">
        <v>3005</v>
      </c>
      <c r="F1048" s="17"/>
      <c r="G1048" s="12" t="s">
        <v>1680</v>
      </c>
      <c r="H1048" s="13" t="n">
        <v>-0.032</v>
      </c>
      <c r="I1048" s="14"/>
      <c r="J1048" s="17"/>
      <c r="K1048" s="9"/>
      <c r="L1048" s="15" t="s">
        <v>50</v>
      </c>
      <c r="M1048" s="16" t="s">
        <v>51</v>
      </c>
      <c r="N1048" s="14"/>
      <c r="O1048" s="15" t="s">
        <v>52</v>
      </c>
      <c r="P1048" s="17" t="s">
        <v>53</v>
      </c>
      <c r="Q1048" s="15"/>
      <c r="R1048" s="18" t="s">
        <v>51</v>
      </c>
      <c r="S1048" s="19"/>
      <c r="T1048" s="17" t="str">
        <f aca="false">IF(R1048="維持",J1048,IF(R1048="排除","無關新聞事件",IFERROR(INDEX(事件規則!$B$2:$B$53,MATCH(S1048,事件規則!$A$2:$A$53,0)),"")))</f>
        <v>無關新聞事件</v>
      </c>
      <c r="U1048" s="20" t="n">
        <f aca="false">IF(R1048="維持",K1048,IF(R1048="排除",0,IFERROR(INDEX(事件規則!$C$2:$C$53,MATCH(S1048,事件規則!$A$2:$A$53,0)),"")))</f>
        <v>0</v>
      </c>
      <c r="V1048" s="21"/>
      <c r="W1048" s="22"/>
      <c r="X1048" s="10" t="str">
        <f aca="false">IF(AND(R1048="修改",S1048=""),"請選新事件代碼",IF(AND(R1048&lt;&gt;"修改",S1048&lt;&gt;""),"只有「修改」才需填代碼",""))</f>
        <v/>
      </c>
      <c r="Y1048" s="21"/>
      <c r="Z1048" s="22"/>
      <c r="AA1048" s="12" t="s">
        <v>3006</v>
      </c>
      <c r="AB1048" s="24"/>
    </row>
    <row r="1049" customFormat="false" ht="29.85" hidden="false" customHeight="false" outlineLevel="0" collapsed="false">
      <c r="A1049" s="15" t="n">
        <v>1048</v>
      </c>
      <c r="B1049" s="9" t="s">
        <v>55</v>
      </c>
      <c r="C1049" s="9" t="s">
        <v>404</v>
      </c>
      <c r="D1049" s="10" t="s">
        <v>405</v>
      </c>
      <c r="E1049" s="11" t="s">
        <v>3007</v>
      </c>
      <c r="F1049" s="17"/>
      <c r="G1049" s="12" t="s">
        <v>105</v>
      </c>
      <c r="H1049" s="13" t="n">
        <v>-0.032</v>
      </c>
      <c r="I1049" s="14"/>
      <c r="J1049" s="17"/>
      <c r="K1049" s="9"/>
      <c r="L1049" s="15" t="s">
        <v>50</v>
      </c>
      <c r="M1049" s="16" t="s">
        <v>51</v>
      </c>
      <c r="N1049" s="14"/>
      <c r="O1049" s="15" t="s">
        <v>52</v>
      </c>
      <c r="P1049" s="17" t="s">
        <v>53</v>
      </c>
      <c r="Q1049" s="15"/>
      <c r="R1049" s="18" t="s">
        <v>51</v>
      </c>
      <c r="S1049" s="19"/>
      <c r="T1049" s="17" t="str">
        <f aca="false">IF(R1049="維持",J1049,IF(R1049="排除","無關新聞事件",IFERROR(INDEX(事件規則!$B$2:$B$53,MATCH(S1049,事件規則!$A$2:$A$53,0)),"")))</f>
        <v>無關新聞事件</v>
      </c>
      <c r="U1049" s="20" t="n">
        <f aca="false">IF(R1049="維持",K1049,IF(R1049="排除",0,IFERROR(INDEX(事件規則!$C$2:$C$53,MATCH(S1049,事件規則!$A$2:$A$53,0)),"")))</f>
        <v>0</v>
      </c>
      <c r="V1049" s="21"/>
      <c r="W1049" s="22"/>
      <c r="X1049" s="10" t="str">
        <f aca="false">IF(AND(R1049="修改",S1049=""),"請選新事件代碼",IF(AND(R1049&lt;&gt;"修改",S1049&lt;&gt;""),"只有「修改」才需填代碼",""))</f>
        <v/>
      </c>
      <c r="Y1049" s="21"/>
      <c r="Z1049" s="22"/>
      <c r="AA1049" s="12" t="s">
        <v>3008</v>
      </c>
      <c r="AB1049" s="24"/>
    </row>
    <row r="1050" customFormat="false" ht="29.85" hidden="false" customHeight="false" outlineLevel="0" collapsed="false">
      <c r="A1050" s="15" t="n">
        <v>1049</v>
      </c>
      <c r="B1050" s="9" t="s">
        <v>55</v>
      </c>
      <c r="C1050" s="9" t="s">
        <v>2424</v>
      </c>
      <c r="D1050" s="10" t="s">
        <v>2425</v>
      </c>
      <c r="E1050" s="11" t="s">
        <v>3009</v>
      </c>
      <c r="F1050" s="17"/>
      <c r="G1050" s="12" t="s">
        <v>105</v>
      </c>
      <c r="H1050" s="13" t="n">
        <v>-0.032</v>
      </c>
      <c r="I1050" s="14"/>
      <c r="J1050" s="17"/>
      <c r="K1050" s="9"/>
      <c r="L1050" s="15" t="s">
        <v>50</v>
      </c>
      <c r="M1050" s="16" t="s">
        <v>51</v>
      </c>
      <c r="N1050" s="14"/>
      <c r="O1050" s="15" t="s">
        <v>52</v>
      </c>
      <c r="P1050" s="17" t="s">
        <v>53</v>
      </c>
      <c r="Q1050" s="15"/>
      <c r="R1050" s="18" t="s">
        <v>51</v>
      </c>
      <c r="S1050" s="19"/>
      <c r="T1050" s="17" t="str">
        <f aca="false">IF(R1050="維持",J1050,IF(R1050="排除","無關新聞事件",IFERROR(INDEX(事件規則!$B$2:$B$53,MATCH(S1050,事件規則!$A$2:$A$53,0)),"")))</f>
        <v>無關新聞事件</v>
      </c>
      <c r="U1050" s="20" t="n">
        <f aca="false">IF(R1050="維持",K1050,IF(R1050="排除",0,IFERROR(INDEX(事件規則!$C$2:$C$53,MATCH(S1050,事件規則!$A$2:$A$53,0)),"")))</f>
        <v>0</v>
      </c>
      <c r="V1050" s="21"/>
      <c r="W1050" s="22"/>
      <c r="X1050" s="10" t="str">
        <f aca="false">IF(AND(R1050="修改",S1050=""),"請選新事件代碼",IF(AND(R1050&lt;&gt;"修改",S1050&lt;&gt;""),"只有「修改」才需填代碼",""))</f>
        <v/>
      </c>
      <c r="Y1050" s="21"/>
      <c r="Z1050" s="22"/>
      <c r="AA1050" s="12" t="s">
        <v>3010</v>
      </c>
      <c r="AB1050" s="24"/>
    </row>
    <row r="1051" customFormat="false" ht="29.85" hidden="false" customHeight="false" outlineLevel="0" collapsed="false">
      <c r="A1051" s="15" t="n">
        <v>1050</v>
      </c>
      <c r="B1051" s="9" t="s">
        <v>55</v>
      </c>
      <c r="C1051" s="9" t="s">
        <v>3011</v>
      </c>
      <c r="D1051" s="10" t="s">
        <v>3012</v>
      </c>
      <c r="E1051" s="11" t="s">
        <v>3013</v>
      </c>
      <c r="F1051" s="17"/>
      <c r="G1051" s="12" t="s">
        <v>949</v>
      </c>
      <c r="H1051" s="13" t="n">
        <v>-0.032</v>
      </c>
      <c r="I1051" s="14"/>
      <c r="J1051" s="17"/>
      <c r="K1051" s="9"/>
      <c r="L1051" s="15" t="s">
        <v>50</v>
      </c>
      <c r="M1051" s="16" t="s">
        <v>51</v>
      </c>
      <c r="N1051" s="14"/>
      <c r="O1051" s="15" t="s">
        <v>52</v>
      </c>
      <c r="P1051" s="17" t="s">
        <v>53</v>
      </c>
      <c r="Q1051" s="15"/>
      <c r="R1051" s="18" t="s">
        <v>51</v>
      </c>
      <c r="S1051" s="19"/>
      <c r="T1051" s="17" t="str">
        <f aca="false">IF(R1051="維持",J1051,IF(R1051="排除","無關新聞事件",IFERROR(INDEX(事件規則!$B$2:$B$53,MATCH(S1051,事件規則!$A$2:$A$53,0)),"")))</f>
        <v>無關新聞事件</v>
      </c>
      <c r="U1051" s="20" t="n">
        <f aca="false">IF(R1051="維持",K1051,IF(R1051="排除",0,IFERROR(INDEX(事件規則!$C$2:$C$53,MATCH(S1051,事件規則!$A$2:$A$53,0)),"")))</f>
        <v>0</v>
      </c>
      <c r="V1051" s="21"/>
      <c r="W1051" s="22"/>
      <c r="X1051" s="10" t="str">
        <f aca="false">IF(AND(R1051="修改",S1051=""),"請選新事件代碼",IF(AND(R1051&lt;&gt;"修改",S1051&lt;&gt;""),"只有「修改」才需填代碼",""))</f>
        <v/>
      </c>
      <c r="Y1051" s="21"/>
      <c r="Z1051" s="22"/>
      <c r="AA1051" s="12" t="s">
        <v>3014</v>
      </c>
      <c r="AB1051" s="24"/>
    </row>
    <row r="1052" customFormat="false" ht="29.85" hidden="false" customHeight="false" outlineLevel="0" collapsed="false">
      <c r="A1052" s="15" t="n">
        <v>1051</v>
      </c>
      <c r="B1052" s="9" t="s">
        <v>55</v>
      </c>
      <c r="C1052" s="9" t="s">
        <v>973</v>
      </c>
      <c r="D1052" s="10" t="s">
        <v>974</v>
      </c>
      <c r="E1052" s="11" t="s">
        <v>3015</v>
      </c>
      <c r="F1052" s="17"/>
      <c r="G1052" s="12" t="s">
        <v>49</v>
      </c>
      <c r="H1052" s="13" t="n">
        <v>-0.032</v>
      </c>
      <c r="I1052" s="14"/>
      <c r="J1052" s="17"/>
      <c r="K1052" s="9"/>
      <c r="L1052" s="15" t="s">
        <v>50</v>
      </c>
      <c r="M1052" s="16" t="s">
        <v>51</v>
      </c>
      <c r="N1052" s="14"/>
      <c r="O1052" s="15" t="s">
        <v>52</v>
      </c>
      <c r="P1052" s="17" t="s">
        <v>53</v>
      </c>
      <c r="Q1052" s="15"/>
      <c r="R1052" s="18" t="s">
        <v>51</v>
      </c>
      <c r="S1052" s="19"/>
      <c r="T1052" s="17" t="str">
        <f aca="false">IF(R1052="維持",J1052,IF(R1052="排除","無關新聞事件",IFERROR(INDEX(事件規則!$B$2:$B$53,MATCH(S1052,事件規則!$A$2:$A$53,0)),"")))</f>
        <v>無關新聞事件</v>
      </c>
      <c r="U1052" s="20" t="n">
        <f aca="false">IF(R1052="維持",K1052,IF(R1052="排除",0,IFERROR(INDEX(事件規則!$C$2:$C$53,MATCH(S1052,事件規則!$A$2:$A$53,0)),"")))</f>
        <v>0</v>
      </c>
      <c r="V1052" s="21"/>
      <c r="W1052" s="22"/>
      <c r="X1052" s="10" t="str">
        <f aca="false">IF(AND(R1052="修改",S1052=""),"請選新事件代碼",IF(AND(R1052&lt;&gt;"修改",S1052&lt;&gt;""),"只有「修改」才需填代碼",""))</f>
        <v/>
      </c>
      <c r="Y1052" s="21"/>
      <c r="Z1052" s="22"/>
      <c r="AA1052" s="12" t="s">
        <v>3016</v>
      </c>
      <c r="AB1052" s="24"/>
    </row>
    <row r="1053" customFormat="false" ht="29.85" hidden="false" customHeight="false" outlineLevel="0" collapsed="false">
      <c r="A1053" s="15" t="n">
        <v>1052</v>
      </c>
      <c r="B1053" s="9" t="s">
        <v>55</v>
      </c>
      <c r="C1053" s="9" t="s">
        <v>2514</v>
      </c>
      <c r="D1053" s="10" t="s">
        <v>2515</v>
      </c>
      <c r="E1053" s="11" t="s">
        <v>3017</v>
      </c>
      <c r="F1053" s="17"/>
      <c r="G1053" s="12" t="s">
        <v>49</v>
      </c>
      <c r="H1053" s="13" t="n">
        <v>-0.032</v>
      </c>
      <c r="I1053" s="14"/>
      <c r="J1053" s="17"/>
      <c r="K1053" s="9"/>
      <c r="L1053" s="15" t="s">
        <v>50</v>
      </c>
      <c r="M1053" s="16" t="s">
        <v>51</v>
      </c>
      <c r="N1053" s="14"/>
      <c r="O1053" s="15" t="s">
        <v>52</v>
      </c>
      <c r="P1053" s="17" t="s">
        <v>53</v>
      </c>
      <c r="Q1053" s="15"/>
      <c r="R1053" s="18" t="s">
        <v>51</v>
      </c>
      <c r="S1053" s="19"/>
      <c r="T1053" s="17" t="str">
        <f aca="false">IF(R1053="維持",J1053,IF(R1053="排除","無關新聞事件",IFERROR(INDEX(事件規則!$B$2:$B$53,MATCH(S1053,事件規則!$A$2:$A$53,0)),"")))</f>
        <v>無關新聞事件</v>
      </c>
      <c r="U1053" s="20" t="n">
        <f aca="false">IF(R1053="維持",K1053,IF(R1053="排除",0,IFERROR(INDEX(事件規則!$C$2:$C$53,MATCH(S1053,事件規則!$A$2:$A$53,0)),"")))</f>
        <v>0</v>
      </c>
      <c r="V1053" s="21"/>
      <c r="W1053" s="22"/>
      <c r="X1053" s="10" t="str">
        <f aca="false">IF(AND(R1053="修改",S1053=""),"請選新事件代碼",IF(AND(R1053&lt;&gt;"修改",S1053&lt;&gt;""),"只有「修改」才需填代碼",""))</f>
        <v/>
      </c>
      <c r="Y1053" s="21"/>
      <c r="Z1053" s="22"/>
      <c r="AA1053" s="12" t="s">
        <v>3018</v>
      </c>
      <c r="AB1053" s="24"/>
    </row>
    <row r="1054" customFormat="false" ht="29.85" hidden="false" customHeight="false" outlineLevel="0" collapsed="false">
      <c r="A1054" s="15" t="n">
        <v>1053</v>
      </c>
      <c r="B1054" s="9" t="s">
        <v>112</v>
      </c>
      <c r="C1054" s="9" t="s">
        <v>1001</v>
      </c>
      <c r="D1054" s="10" t="s">
        <v>1002</v>
      </c>
      <c r="E1054" s="11" t="s">
        <v>3019</v>
      </c>
      <c r="F1054" s="17"/>
      <c r="G1054" s="12" t="s">
        <v>176</v>
      </c>
      <c r="H1054" s="13" t="n">
        <v>-0.032</v>
      </c>
      <c r="I1054" s="14"/>
      <c r="J1054" s="17"/>
      <c r="K1054" s="9"/>
      <c r="L1054" s="15" t="s">
        <v>50</v>
      </c>
      <c r="M1054" s="16" t="s">
        <v>51</v>
      </c>
      <c r="N1054" s="14"/>
      <c r="O1054" s="15" t="s">
        <v>52</v>
      </c>
      <c r="P1054" s="17" t="s">
        <v>53</v>
      </c>
      <c r="Q1054" s="15"/>
      <c r="R1054" s="18" t="s">
        <v>51</v>
      </c>
      <c r="S1054" s="19"/>
      <c r="T1054" s="17" t="str">
        <f aca="false">IF(R1054="維持",J1054,IF(R1054="排除","無關新聞事件",IFERROR(INDEX(事件規則!$B$2:$B$53,MATCH(S1054,事件規則!$A$2:$A$53,0)),"")))</f>
        <v>無關新聞事件</v>
      </c>
      <c r="U1054" s="20" t="n">
        <f aca="false">IF(R1054="維持",K1054,IF(R1054="排除",0,IFERROR(INDEX(事件規則!$C$2:$C$53,MATCH(S1054,事件規則!$A$2:$A$53,0)),"")))</f>
        <v>0</v>
      </c>
      <c r="V1054" s="21"/>
      <c r="W1054" s="22"/>
      <c r="X1054" s="10" t="str">
        <f aca="false">IF(AND(R1054="修改",S1054=""),"請選新事件代碼",IF(AND(R1054&lt;&gt;"修改",S1054&lt;&gt;""),"只有「修改」才需填代碼",""))</f>
        <v/>
      </c>
      <c r="Y1054" s="21"/>
      <c r="Z1054" s="22"/>
      <c r="AA1054" s="12" t="s">
        <v>3020</v>
      </c>
      <c r="AB1054" s="24"/>
    </row>
    <row r="1055" customFormat="false" ht="29.85" hidden="false" customHeight="false" outlineLevel="0" collapsed="false">
      <c r="A1055" s="15" t="n">
        <v>1054</v>
      </c>
      <c r="B1055" s="9" t="s">
        <v>112</v>
      </c>
      <c r="C1055" s="9" t="s">
        <v>2037</v>
      </c>
      <c r="D1055" s="10" t="s">
        <v>2038</v>
      </c>
      <c r="E1055" s="11" t="s">
        <v>3021</v>
      </c>
      <c r="F1055" s="17"/>
      <c r="G1055" s="12" t="s">
        <v>949</v>
      </c>
      <c r="H1055" s="13" t="n">
        <v>-0.032</v>
      </c>
      <c r="I1055" s="14"/>
      <c r="J1055" s="17"/>
      <c r="K1055" s="9"/>
      <c r="L1055" s="15" t="s">
        <v>50</v>
      </c>
      <c r="M1055" s="16" t="s">
        <v>51</v>
      </c>
      <c r="N1055" s="14"/>
      <c r="O1055" s="15" t="s">
        <v>52</v>
      </c>
      <c r="P1055" s="17" t="s">
        <v>53</v>
      </c>
      <c r="Q1055" s="15"/>
      <c r="R1055" s="18" t="s">
        <v>51</v>
      </c>
      <c r="S1055" s="19"/>
      <c r="T1055" s="17" t="str">
        <f aca="false">IF(R1055="維持",J1055,IF(R1055="排除","無關新聞事件",IFERROR(INDEX(事件規則!$B$2:$B$53,MATCH(S1055,事件規則!$A$2:$A$53,0)),"")))</f>
        <v>無關新聞事件</v>
      </c>
      <c r="U1055" s="20" t="n">
        <f aca="false">IF(R1055="維持",K1055,IF(R1055="排除",0,IFERROR(INDEX(事件規則!$C$2:$C$53,MATCH(S1055,事件規則!$A$2:$A$53,0)),"")))</f>
        <v>0</v>
      </c>
      <c r="V1055" s="21"/>
      <c r="W1055" s="22"/>
      <c r="X1055" s="10" t="str">
        <f aca="false">IF(AND(R1055="修改",S1055=""),"請選新事件代碼",IF(AND(R1055&lt;&gt;"修改",S1055&lt;&gt;""),"只有「修改」才需填代碼",""))</f>
        <v/>
      </c>
      <c r="Y1055" s="21"/>
      <c r="Z1055" s="22"/>
      <c r="AA1055" s="12" t="s">
        <v>3022</v>
      </c>
      <c r="AB1055" s="24"/>
    </row>
    <row r="1056" customFormat="false" ht="29.85" hidden="false" customHeight="false" outlineLevel="0" collapsed="false">
      <c r="A1056" s="15" t="n">
        <v>1055</v>
      </c>
      <c r="B1056" s="9" t="s">
        <v>112</v>
      </c>
      <c r="C1056" s="9" t="s">
        <v>1151</v>
      </c>
      <c r="D1056" s="10" t="s">
        <v>1152</v>
      </c>
      <c r="E1056" s="11" t="s">
        <v>3023</v>
      </c>
      <c r="F1056" s="17"/>
      <c r="G1056" s="12" t="s">
        <v>2033</v>
      </c>
      <c r="H1056" s="13" t="n">
        <v>-0.032</v>
      </c>
      <c r="I1056" s="14"/>
      <c r="J1056" s="17"/>
      <c r="K1056" s="9"/>
      <c r="L1056" s="15" t="s">
        <v>50</v>
      </c>
      <c r="M1056" s="16" t="s">
        <v>51</v>
      </c>
      <c r="N1056" s="14"/>
      <c r="O1056" s="15" t="s">
        <v>52</v>
      </c>
      <c r="P1056" s="17" t="s">
        <v>53</v>
      </c>
      <c r="Q1056" s="15"/>
      <c r="R1056" s="18" t="s">
        <v>51</v>
      </c>
      <c r="S1056" s="19"/>
      <c r="T1056" s="17" t="str">
        <f aca="false">IF(R1056="維持",J1056,IF(R1056="排除","無關新聞事件",IFERROR(INDEX(事件規則!$B$2:$B$53,MATCH(S1056,事件規則!$A$2:$A$53,0)),"")))</f>
        <v>無關新聞事件</v>
      </c>
      <c r="U1056" s="20" t="n">
        <f aca="false">IF(R1056="維持",K1056,IF(R1056="排除",0,IFERROR(INDEX(事件規則!$C$2:$C$53,MATCH(S1056,事件規則!$A$2:$A$53,0)),"")))</f>
        <v>0</v>
      </c>
      <c r="V1056" s="21"/>
      <c r="W1056" s="22"/>
      <c r="X1056" s="10" t="str">
        <f aca="false">IF(AND(R1056="修改",S1056=""),"請選新事件代碼",IF(AND(R1056&lt;&gt;"修改",S1056&lt;&gt;""),"只有「修改」才需填代碼",""))</f>
        <v/>
      </c>
      <c r="Y1056" s="21"/>
      <c r="Z1056" s="22"/>
      <c r="AA1056" s="12" t="s">
        <v>3024</v>
      </c>
      <c r="AB1056" s="24"/>
    </row>
    <row r="1057" customFormat="false" ht="29.85" hidden="false" customHeight="false" outlineLevel="0" collapsed="false">
      <c r="A1057" s="15" t="n">
        <v>1056</v>
      </c>
      <c r="B1057" s="9" t="s">
        <v>81</v>
      </c>
      <c r="C1057" s="9" t="s">
        <v>3025</v>
      </c>
      <c r="D1057" s="10" t="s">
        <v>3026</v>
      </c>
      <c r="E1057" s="11" t="s">
        <v>3027</v>
      </c>
      <c r="F1057" s="17"/>
      <c r="G1057" s="12" t="s">
        <v>59</v>
      </c>
      <c r="H1057" s="13" t="n">
        <v>-0.032</v>
      </c>
      <c r="I1057" s="14"/>
      <c r="J1057" s="17"/>
      <c r="K1057" s="9"/>
      <c r="L1057" s="15" t="s">
        <v>50</v>
      </c>
      <c r="M1057" s="16" t="s">
        <v>51</v>
      </c>
      <c r="N1057" s="14"/>
      <c r="O1057" s="15" t="s">
        <v>52</v>
      </c>
      <c r="P1057" s="17" t="s">
        <v>53</v>
      </c>
      <c r="Q1057" s="15"/>
      <c r="R1057" s="18" t="s">
        <v>51</v>
      </c>
      <c r="S1057" s="19"/>
      <c r="T1057" s="17" t="str">
        <f aca="false">IF(R1057="維持",J1057,IF(R1057="排除","無關新聞事件",IFERROR(INDEX(事件規則!$B$2:$B$53,MATCH(S1057,事件規則!$A$2:$A$53,0)),"")))</f>
        <v>無關新聞事件</v>
      </c>
      <c r="U1057" s="20" t="n">
        <f aca="false">IF(R1057="維持",K1057,IF(R1057="排除",0,IFERROR(INDEX(事件規則!$C$2:$C$53,MATCH(S1057,事件規則!$A$2:$A$53,0)),"")))</f>
        <v>0</v>
      </c>
      <c r="V1057" s="21"/>
      <c r="W1057" s="22"/>
      <c r="X1057" s="10" t="str">
        <f aca="false">IF(AND(R1057="修改",S1057=""),"請選新事件代碼",IF(AND(R1057&lt;&gt;"修改",S1057&lt;&gt;""),"只有「修改」才需填代碼",""))</f>
        <v/>
      </c>
      <c r="Y1057" s="21"/>
      <c r="Z1057" s="22"/>
      <c r="AA1057" s="12" t="s">
        <v>3028</v>
      </c>
      <c r="AB1057" s="24"/>
    </row>
    <row r="1058" customFormat="false" ht="29.85" hidden="false" customHeight="false" outlineLevel="0" collapsed="false">
      <c r="A1058" s="15" t="n">
        <v>1057</v>
      </c>
      <c r="B1058" s="9" t="s">
        <v>81</v>
      </c>
      <c r="C1058" s="9" t="s">
        <v>957</v>
      </c>
      <c r="D1058" s="10" t="s">
        <v>958</v>
      </c>
      <c r="E1058" s="11" t="s">
        <v>3029</v>
      </c>
      <c r="F1058" s="17"/>
      <c r="G1058" s="12" t="s">
        <v>949</v>
      </c>
      <c r="H1058" s="13" t="n">
        <v>-0.032</v>
      </c>
      <c r="I1058" s="14"/>
      <c r="J1058" s="17"/>
      <c r="K1058" s="9"/>
      <c r="L1058" s="15" t="s">
        <v>50</v>
      </c>
      <c r="M1058" s="16" t="s">
        <v>51</v>
      </c>
      <c r="N1058" s="14"/>
      <c r="O1058" s="15" t="s">
        <v>52</v>
      </c>
      <c r="P1058" s="17" t="s">
        <v>53</v>
      </c>
      <c r="Q1058" s="15"/>
      <c r="R1058" s="18" t="s">
        <v>51</v>
      </c>
      <c r="S1058" s="19"/>
      <c r="T1058" s="17" t="str">
        <f aca="false">IF(R1058="維持",J1058,IF(R1058="排除","無關新聞事件",IFERROR(INDEX(事件規則!$B$2:$B$53,MATCH(S1058,事件規則!$A$2:$A$53,0)),"")))</f>
        <v>無關新聞事件</v>
      </c>
      <c r="U1058" s="20" t="n">
        <f aca="false">IF(R1058="維持",K1058,IF(R1058="排除",0,IFERROR(INDEX(事件規則!$C$2:$C$53,MATCH(S1058,事件規則!$A$2:$A$53,0)),"")))</f>
        <v>0</v>
      </c>
      <c r="V1058" s="21"/>
      <c r="W1058" s="22"/>
      <c r="X1058" s="10" t="str">
        <f aca="false">IF(AND(R1058="修改",S1058=""),"請選新事件代碼",IF(AND(R1058&lt;&gt;"修改",S1058&lt;&gt;""),"只有「修改」才需填代碼",""))</f>
        <v/>
      </c>
      <c r="Y1058" s="21"/>
      <c r="Z1058" s="22"/>
      <c r="AA1058" s="12" t="s">
        <v>3030</v>
      </c>
      <c r="AB1058" s="24"/>
    </row>
    <row r="1059" customFormat="false" ht="29.85" hidden="false" customHeight="false" outlineLevel="0" collapsed="false">
      <c r="A1059" s="15" t="n">
        <v>1058</v>
      </c>
      <c r="B1059" s="9" t="s">
        <v>81</v>
      </c>
      <c r="C1059" s="9" t="s">
        <v>973</v>
      </c>
      <c r="D1059" s="10" t="s">
        <v>974</v>
      </c>
      <c r="E1059" s="11" t="s">
        <v>3031</v>
      </c>
      <c r="F1059" s="17"/>
      <c r="G1059" s="12" t="s">
        <v>949</v>
      </c>
      <c r="H1059" s="13" t="n">
        <v>-0.032</v>
      </c>
      <c r="I1059" s="14"/>
      <c r="J1059" s="17"/>
      <c r="K1059" s="9"/>
      <c r="L1059" s="15" t="s">
        <v>50</v>
      </c>
      <c r="M1059" s="16" t="s">
        <v>51</v>
      </c>
      <c r="N1059" s="14"/>
      <c r="O1059" s="15" t="s">
        <v>52</v>
      </c>
      <c r="P1059" s="17" t="s">
        <v>53</v>
      </c>
      <c r="Q1059" s="15"/>
      <c r="R1059" s="18" t="s">
        <v>51</v>
      </c>
      <c r="S1059" s="19"/>
      <c r="T1059" s="17" t="str">
        <f aca="false">IF(R1059="維持",J1059,IF(R1059="排除","無關新聞事件",IFERROR(INDEX(事件規則!$B$2:$B$53,MATCH(S1059,事件規則!$A$2:$A$53,0)),"")))</f>
        <v>無關新聞事件</v>
      </c>
      <c r="U1059" s="20" t="n">
        <f aca="false">IF(R1059="維持",K1059,IF(R1059="排除",0,IFERROR(INDEX(事件規則!$C$2:$C$53,MATCH(S1059,事件規則!$A$2:$A$53,0)),"")))</f>
        <v>0</v>
      </c>
      <c r="V1059" s="21"/>
      <c r="W1059" s="22"/>
      <c r="X1059" s="10" t="str">
        <f aca="false">IF(AND(R1059="修改",S1059=""),"請選新事件代碼",IF(AND(R1059&lt;&gt;"修改",S1059&lt;&gt;""),"只有「修改」才需填代碼",""))</f>
        <v/>
      </c>
      <c r="Y1059" s="21"/>
      <c r="Z1059" s="22"/>
      <c r="AA1059" s="12" t="s">
        <v>3032</v>
      </c>
      <c r="AB1059" s="24"/>
    </row>
    <row r="1060" customFormat="false" ht="29.85" hidden="false" customHeight="false" outlineLevel="0" collapsed="false">
      <c r="A1060" s="15" t="n">
        <v>1059</v>
      </c>
      <c r="B1060" s="9" t="s">
        <v>81</v>
      </c>
      <c r="C1060" s="9" t="s">
        <v>92</v>
      </c>
      <c r="D1060" s="10" t="s">
        <v>93</v>
      </c>
      <c r="E1060" s="11" t="s">
        <v>3033</v>
      </c>
      <c r="F1060" s="17"/>
      <c r="G1060" s="12" t="s">
        <v>949</v>
      </c>
      <c r="H1060" s="13" t="n">
        <v>-0.032</v>
      </c>
      <c r="I1060" s="14"/>
      <c r="J1060" s="17"/>
      <c r="K1060" s="9"/>
      <c r="L1060" s="15" t="s">
        <v>50</v>
      </c>
      <c r="M1060" s="16" t="s">
        <v>51</v>
      </c>
      <c r="N1060" s="14"/>
      <c r="O1060" s="15" t="s">
        <v>52</v>
      </c>
      <c r="P1060" s="17" t="s">
        <v>53</v>
      </c>
      <c r="Q1060" s="15"/>
      <c r="R1060" s="18" t="s">
        <v>51</v>
      </c>
      <c r="S1060" s="19"/>
      <c r="T1060" s="17" t="str">
        <f aca="false">IF(R1060="維持",J1060,IF(R1060="排除","無關新聞事件",IFERROR(INDEX(事件規則!$B$2:$B$53,MATCH(S1060,事件規則!$A$2:$A$53,0)),"")))</f>
        <v>無關新聞事件</v>
      </c>
      <c r="U1060" s="20" t="n">
        <f aca="false">IF(R1060="維持",K1060,IF(R1060="排除",0,IFERROR(INDEX(事件規則!$C$2:$C$53,MATCH(S1060,事件規則!$A$2:$A$53,0)),"")))</f>
        <v>0</v>
      </c>
      <c r="V1060" s="21"/>
      <c r="W1060" s="22"/>
      <c r="X1060" s="10" t="str">
        <f aca="false">IF(AND(R1060="修改",S1060=""),"請選新事件代碼",IF(AND(R1060&lt;&gt;"修改",S1060&lt;&gt;""),"只有「修改」才需填代碼",""))</f>
        <v/>
      </c>
      <c r="Y1060" s="21"/>
      <c r="Z1060" s="22"/>
      <c r="AA1060" s="12" t="s">
        <v>3034</v>
      </c>
      <c r="AB1060" s="24"/>
    </row>
    <row r="1061" customFormat="false" ht="29.85" hidden="false" customHeight="false" outlineLevel="0" collapsed="false">
      <c r="A1061" s="15" t="n">
        <v>1060</v>
      </c>
      <c r="B1061" s="9" t="s">
        <v>55</v>
      </c>
      <c r="C1061" s="9" t="s">
        <v>3035</v>
      </c>
      <c r="D1061" s="10" t="s">
        <v>3036</v>
      </c>
      <c r="E1061" s="11" t="s">
        <v>3037</v>
      </c>
      <c r="F1061" s="17"/>
      <c r="G1061" s="12" t="s">
        <v>105</v>
      </c>
      <c r="H1061" s="13" t="n">
        <v>-0.032</v>
      </c>
      <c r="I1061" s="14"/>
      <c r="J1061" s="17"/>
      <c r="K1061" s="9"/>
      <c r="L1061" s="15" t="s">
        <v>50</v>
      </c>
      <c r="M1061" s="16" t="s">
        <v>51</v>
      </c>
      <c r="N1061" s="14"/>
      <c r="O1061" s="15" t="s">
        <v>52</v>
      </c>
      <c r="P1061" s="17" t="s">
        <v>53</v>
      </c>
      <c r="Q1061" s="15"/>
      <c r="R1061" s="18" t="s">
        <v>51</v>
      </c>
      <c r="S1061" s="19"/>
      <c r="T1061" s="17" t="str">
        <f aca="false">IF(R1061="維持",J1061,IF(R1061="排除","無關新聞事件",IFERROR(INDEX(事件規則!$B$2:$B$53,MATCH(S1061,事件規則!$A$2:$A$53,0)),"")))</f>
        <v>無關新聞事件</v>
      </c>
      <c r="U1061" s="20" t="n">
        <f aca="false">IF(R1061="維持",K1061,IF(R1061="排除",0,IFERROR(INDEX(事件規則!$C$2:$C$53,MATCH(S1061,事件規則!$A$2:$A$53,0)),"")))</f>
        <v>0</v>
      </c>
      <c r="V1061" s="21"/>
      <c r="W1061" s="22"/>
      <c r="X1061" s="10" t="str">
        <f aca="false">IF(AND(R1061="修改",S1061=""),"請選新事件代碼",IF(AND(R1061&lt;&gt;"修改",S1061&lt;&gt;""),"只有「修改」才需填代碼",""))</f>
        <v/>
      </c>
      <c r="Y1061" s="21"/>
      <c r="Z1061" s="22"/>
      <c r="AA1061" s="12" t="s">
        <v>3038</v>
      </c>
      <c r="AB1061" s="24"/>
    </row>
    <row r="1062" customFormat="false" ht="29.85" hidden="false" customHeight="false" outlineLevel="0" collapsed="false">
      <c r="A1062" s="15" t="n">
        <v>1061</v>
      </c>
      <c r="B1062" s="9" t="s">
        <v>55</v>
      </c>
      <c r="C1062" s="9" t="s">
        <v>1078</v>
      </c>
      <c r="D1062" s="10" t="s">
        <v>1079</v>
      </c>
      <c r="E1062" s="11" t="s">
        <v>3039</v>
      </c>
      <c r="F1062" s="17"/>
      <c r="G1062" s="12" t="s">
        <v>1136</v>
      </c>
      <c r="H1062" s="13" t="n">
        <v>-0.032</v>
      </c>
      <c r="I1062" s="14"/>
      <c r="J1062" s="17"/>
      <c r="K1062" s="9"/>
      <c r="L1062" s="15" t="s">
        <v>50</v>
      </c>
      <c r="M1062" s="16" t="s">
        <v>51</v>
      </c>
      <c r="N1062" s="14"/>
      <c r="O1062" s="15" t="s">
        <v>52</v>
      </c>
      <c r="P1062" s="17" t="s">
        <v>53</v>
      </c>
      <c r="Q1062" s="15"/>
      <c r="R1062" s="18" t="s">
        <v>51</v>
      </c>
      <c r="S1062" s="19"/>
      <c r="T1062" s="17" t="str">
        <f aca="false">IF(R1062="維持",J1062,IF(R1062="排除","無關新聞事件",IFERROR(INDEX(事件規則!$B$2:$B$53,MATCH(S1062,事件規則!$A$2:$A$53,0)),"")))</f>
        <v>無關新聞事件</v>
      </c>
      <c r="U1062" s="20" t="n">
        <f aca="false">IF(R1062="維持",K1062,IF(R1062="排除",0,IFERROR(INDEX(事件規則!$C$2:$C$53,MATCH(S1062,事件規則!$A$2:$A$53,0)),"")))</f>
        <v>0</v>
      </c>
      <c r="V1062" s="21"/>
      <c r="W1062" s="22"/>
      <c r="X1062" s="10" t="str">
        <f aca="false">IF(AND(R1062="修改",S1062=""),"請選新事件代碼",IF(AND(R1062&lt;&gt;"修改",S1062&lt;&gt;""),"只有「修改」才需填代碼",""))</f>
        <v/>
      </c>
      <c r="Y1062" s="21"/>
      <c r="Z1062" s="22"/>
      <c r="AA1062" s="12" t="s">
        <v>3040</v>
      </c>
      <c r="AB1062" s="24"/>
    </row>
    <row r="1063" customFormat="false" ht="29.85" hidden="false" customHeight="false" outlineLevel="0" collapsed="false">
      <c r="A1063" s="15" t="n">
        <v>1062</v>
      </c>
      <c r="B1063" s="9" t="s">
        <v>112</v>
      </c>
      <c r="C1063" s="9" t="s">
        <v>3041</v>
      </c>
      <c r="D1063" s="10" t="s">
        <v>3042</v>
      </c>
      <c r="E1063" s="11" t="s">
        <v>3043</v>
      </c>
      <c r="F1063" s="17"/>
      <c r="G1063" s="12" t="s">
        <v>949</v>
      </c>
      <c r="H1063" s="13" t="n">
        <v>-0.032</v>
      </c>
      <c r="I1063" s="14"/>
      <c r="J1063" s="17"/>
      <c r="K1063" s="9"/>
      <c r="L1063" s="15" t="s">
        <v>50</v>
      </c>
      <c r="M1063" s="16" t="s">
        <v>51</v>
      </c>
      <c r="N1063" s="14"/>
      <c r="O1063" s="15" t="s">
        <v>52</v>
      </c>
      <c r="P1063" s="17" t="s">
        <v>53</v>
      </c>
      <c r="Q1063" s="15"/>
      <c r="R1063" s="18" t="s">
        <v>51</v>
      </c>
      <c r="S1063" s="19"/>
      <c r="T1063" s="17" t="str">
        <f aca="false">IF(R1063="維持",J1063,IF(R1063="排除","無關新聞事件",IFERROR(INDEX(事件規則!$B$2:$B$53,MATCH(S1063,事件規則!$A$2:$A$53,0)),"")))</f>
        <v>無關新聞事件</v>
      </c>
      <c r="U1063" s="20" t="n">
        <f aca="false">IF(R1063="維持",K1063,IF(R1063="排除",0,IFERROR(INDEX(事件規則!$C$2:$C$53,MATCH(S1063,事件規則!$A$2:$A$53,0)),"")))</f>
        <v>0</v>
      </c>
      <c r="V1063" s="21"/>
      <c r="W1063" s="22"/>
      <c r="X1063" s="10" t="str">
        <f aca="false">IF(AND(R1063="修改",S1063=""),"請選新事件代碼",IF(AND(R1063&lt;&gt;"修改",S1063&lt;&gt;""),"只有「修改」才需填代碼",""))</f>
        <v/>
      </c>
      <c r="Y1063" s="21"/>
      <c r="Z1063" s="22"/>
      <c r="AA1063" s="12" t="s">
        <v>3044</v>
      </c>
      <c r="AB1063" s="24"/>
    </row>
    <row r="1064" customFormat="false" ht="29.85" hidden="false" customHeight="false" outlineLevel="0" collapsed="false">
      <c r="A1064" s="15" t="n">
        <v>1063</v>
      </c>
      <c r="B1064" s="9" t="s">
        <v>55</v>
      </c>
      <c r="C1064" s="9" t="s">
        <v>1086</v>
      </c>
      <c r="D1064" s="10" t="s">
        <v>1087</v>
      </c>
      <c r="E1064" s="11" t="s">
        <v>3045</v>
      </c>
      <c r="F1064" s="17"/>
      <c r="G1064" s="12" t="s">
        <v>949</v>
      </c>
      <c r="H1064" s="13" t="n">
        <v>-0.032</v>
      </c>
      <c r="I1064" s="14"/>
      <c r="J1064" s="17"/>
      <c r="K1064" s="9"/>
      <c r="L1064" s="15" t="s">
        <v>50</v>
      </c>
      <c r="M1064" s="16" t="s">
        <v>51</v>
      </c>
      <c r="N1064" s="14"/>
      <c r="O1064" s="15" t="s">
        <v>52</v>
      </c>
      <c r="P1064" s="17" t="s">
        <v>53</v>
      </c>
      <c r="Q1064" s="15"/>
      <c r="R1064" s="18" t="s">
        <v>51</v>
      </c>
      <c r="S1064" s="19"/>
      <c r="T1064" s="17" t="str">
        <f aca="false">IF(R1064="維持",J1064,IF(R1064="排除","無關新聞事件",IFERROR(INDEX(事件規則!$B$2:$B$53,MATCH(S1064,事件規則!$A$2:$A$53,0)),"")))</f>
        <v>無關新聞事件</v>
      </c>
      <c r="U1064" s="20" t="n">
        <f aca="false">IF(R1064="維持",K1064,IF(R1064="排除",0,IFERROR(INDEX(事件規則!$C$2:$C$53,MATCH(S1064,事件規則!$A$2:$A$53,0)),"")))</f>
        <v>0</v>
      </c>
      <c r="V1064" s="21"/>
      <c r="W1064" s="22"/>
      <c r="X1064" s="10" t="str">
        <f aca="false">IF(AND(R1064="修改",S1064=""),"請選新事件代碼",IF(AND(R1064&lt;&gt;"修改",S1064&lt;&gt;""),"只有「修改」才需填代碼",""))</f>
        <v/>
      </c>
      <c r="Y1064" s="21"/>
      <c r="Z1064" s="22"/>
      <c r="AA1064" s="12" t="s">
        <v>3046</v>
      </c>
      <c r="AB1064" s="24"/>
    </row>
    <row r="1065" customFormat="false" ht="29.85" hidden="false" customHeight="false" outlineLevel="0" collapsed="false">
      <c r="A1065" s="15" t="n">
        <v>1064</v>
      </c>
      <c r="B1065" s="9" t="s">
        <v>112</v>
      </c>
      <c r="C1065" s="9" t="s">
        <v>2598</v>
      </c>
      <c r="D1065" s="10" t="s">
        <v>2599</v>
      </c>
      <c r="E1065" s="11" t="s">
        <v>3047</v>
      </c>
      <c r="F1065" s="17"/>
      <c r="G1065" s="12" t="s">
        <v>3048</v>
      </c>
      <c r="H1065" s="13" t="n">
        <v>-0.032</v>
      </c>
      <c r="I1065" s="14"/>
      <c r="J1065" s="17"/>
      <c r="K1065" s="9"/>
      <c r="L1065" s="15" t="s">
        <v>50</v>
      </c>
      <c r="M1065" s="16" t="s">
        <v>51</v>
      </c>
      <c r="N1065" s="14"/>
      <c r="O1065" s="15" t="s">
        <v>52</v>
      </c>
      <c r="P1065" s="17" t="s">
        <v>53</v>
      </c>
      <c r="Q1065" s="15"/>
      <c r="R1065" s="18" t="s">
        <v>51</v>
      </c>
      <c r="S1065" s="19"/>
      <c r="T1065" s="17" t="str">
        <f aca="false">IF(R1065="維持",J1065,IF(R1065="排除","無關新聞事件",IFERROR(INDEX(事件規則!$B$2:$B$53,MATCH(S1065,事件規則!$A$2:$A$53,0)),"")))</f>
        <v>無關新聞事件</v>
      </c>
      <c r="U1065" s="20" t="n">
        <f aca="false">IF(R1065="維持",K1065,IF(R1065="排除",0,IFERROR(INDEX(事件規則!$C$2:$C$53,MATCH(S1065,事件規則!$A$2:$A$53,0)),"")))</f>
        <v>0</v>
      </c>
      <c r="V1065" s="21"/>
      <c r="W1065" s="22"/>
      <c r="X1065" s="10" t="str">
        <f aca="false">IF(AND(R1065="修改",S1065=""),"請選新事件代碼",IF(AND(R1065&lt;&gt;"修改",S1065&lt;&gt;""),"只有「修改」才需填代碼",""))</f>
        <v/>
      </c>
      <c r="Y1065" s="21"/>
      <c r="Z1065" s="22"/>
      <c r="AA1065" s="12" t="s">
        <v>3049</v>
      </c>
      <c r="AB1065" s="24"/>
    </row>
    <row r="1066" customFormat="false" ht="29.85" hidden="false" customHeight="false" outlineLevel="0" collapsed="false">
      <c r="A1066" s="15" t="n">
        <v>1065</v>
      </c>
      <c r="B1066" s="9" t="s">
        <v>112</v>
      </c>
      <c r="C1066" s="9" t="s">
        <v>445</v>
      </c>
      <c r="D1066" s="10" t="s">
        <v>446</v>
      </c>
      <c r="E1066" s="11" t="s">
        <v>3050</v>
      </c>
      <c r="F1066" s="17"/>
      <c r="G1066" s="12" t="s">
        <v>2033</v>
      </c>
      <c r="H1066" s="13" t="n">
        <v>-0.032</v>
      </c>
      <c r="I1066" s="14"/>
      <c r="J1066" s="17"/>
      <c r="K1066" s="9"/>
      <c r="L1066" s="15" t="s">
        <v>50</v>
      </c>
      <c r="M1066" s="16" t="s">
        <v>51</v>
      </c>
      <c r="N1066" s="14"/>
      <c r="O1066" s="15" t="s">
        <v>52</v>
      </c>
      <c r="P1066" s="17" t="s">
        <v>53</v>
      </c>
      <c r="Q1066" s="15"/>
      <c r="R1066" s="18" t="s">
        <v>51</v>
      </c>
      <c r="S1066" s="19"/>
      <c r="T1066" s="17" t="str">
        <f aca="false">IF(R1066="維持",J1066,IF(R1066="排除","無關新聞事件",IFERROR(INDEX(事件規則!$B$2:$B$53,MATCH(S1066,事件規則!$A$2:$A$53,0)),"")))</f>
        <v>無關新聞事件</v>
      </c>
      <c r="U1066" s="20" t="n">
        <f aca="false">IF(R1066="維持",K1066,IF(R1066="排除",0,IFERROR(INDEX(事件規則!$C$2:$C$53,MATCH(S1066,事件規則!$A$2:$A$53,0)),"")))</f>
        <v>0</v>
      </c>
      <c r="V1066" s="21"/>
      <c r="W1066" s="22"/>
      <c r="X1066" s="10" t="str">
        <f aca="false">IF(AND(R1066="修改",S1066=""),"請選新事件代碼",IF(AND(R1066&lt;&gt;"修改",S1066&lt;&gt;""),"只有「修改」才需填代碼",""))</f>
        <v/>
      </c>
      <c r="Y1066" s="21"/>
      <c r="Z1066" s="22"/>
      <c r="AA1066" s="12" t="s">
        <v>3051</v>
      </c>
      <c r="AB1066" s="24"/>
    </row>
    <row r="1067" customFormat="false" ht="29.85" hidden="false" customHeight="false" outlineLevel="0" collapsed="false">
      <c r="A1067" s="15" t="n">
        <v>1066</v>
      </c>
      <c r="B1067" s="9" t="s">
        <v>112</v>
      </c>
      <c r="C1067" s="9" t="s">
        <v>672</v>
      </c>
      <c r="D1067" s="10" t="s">
        <v>673</v>
      </c>
      <c r="E1067" s="11" t="s">
        <v>3052</v>
      </c>
      <c r="F1067" s="17"/>
      <c r="G1067" s="12" t="s">
        <v>164</v>
      </c>
      <c r="H1067" s="13" t="n">
        <v>-0.032</v>
      </c>
      <c r="I1067" s="14"/>
      <c r="J1067" s="17"/>
      <c r="K1067" s="9"/>
      <c r="L1067" s="15" t="s">
        <v>50</v>
      </c>
      <c r="M1067" s="16" t="s">
        <v>51</v>
      </c>
      <c r="N1067" s="14"/>
      <c r="O1067" s="15" t="s">
        <v>52</v>
      </c>
      <c r="P1067" s="17" t="s">
        <v>53</v>
      </c>
      <c r="Q1067" s="15"/>
      <c r="R1067" s="18" t="s">
        <v>51</v>
      </c>
      <c r="S1067" s="19"/>
      <c r="T1067" s="17" t="str">
        <f aca="false">IF(R1067="維持",J1067,IF(R1067="排除","無關新聞事件",IFERROR(INDEX(事件規則!$B$2:$B$53,MATCH(S1067,事件規則!$A$2:$A$53,0)),"")))</f>
        <v>無關新聞事件</v>
      </c>
      <c r="U1067" s="20" t="n">
        <f aca="false">IF(R1067="維持",K1067,IF(R1067="排除",0,IFERROR(INDEX(事件規則!$C$2:$C$53,MATCH(S1067,事件規則!$A$2:$A$53,0)),"")))</f>
        <v>0</v>
      </c>
      <c r="V1067" s="21"/>
      <c r="W1067" s="22"/>
      <c r="X1067" s="10" t="str">
        <f aca="false">IF(AND(R1067="修改",S1067=""),"請選新事件代碼",IF(AND(R1067&lt;&gt;"修改",S1067&lt;&gt;""),"只有「修改」才需填代碼",""))</f>
        <v/>
      </c>
      <c r="Y1067" s="21"/>
      <c r="Z1067" s="22"/>
      <c r="AA1067" s="12" t="s">
        <v>3053</v>
      </c>
      <c r="AB1067" s="24"/>
    </row>
    <row r="1068" customFormat="false" ht="29.85" hidden="false" customHeight="false" outlineLevel="0" collapsed="false">
      <c r="A1068" s="15" t="n">
        <v>1067</v>
      </c>
      <c r="B1068" s="9" t="s">
        <v>112</v>
      </c>
      <c r="C1068" s="9" t="s">
        <v>2049</v>
      </c>
      <c r="D1068" s="10" t="s">
        <v>2050</v>
      </c>
      <c r="E1068" s="11" t="s">
        <v>3054</v>
      </c>
      <c r="F1068" s="17"/>
      <c r="G1068" s="12" t="s">
        <v>949</v>
      </c>
      <c r="H1068" s="13" t="n">
        <v>-0.032</v>
      </c>
      <c r="I1068" s="14"/>
      <c r="J1068" s="17"/>
      <c r="K1068" s="9"/>
      <c r="L1068" s="15" t="s">
        <v>50</v>
      </c>
      <c r="M1068" s="16" t="s">
        <v>51</v>
      </c>
      <c r="N1068" s="14"/>
      <c r="O1068" s="15" t="s">
        <v>52</v>
      </c>
      <c r="P1068" s="17" t="s">
        <v>53</v>
      </c>
      <c r="Q1068" s="15"/>
      <c r="R1068" s="18" t="s">
        <v>51</v>
      </c>
      <c r="S1068" s="19"/>
      <c r="T1068" s="17" t="str">
        <f aca="false">IF(R1068="維持",J1068,IF(R1068="排除","無關新聞事件",IFERROR(INDEX(事件規則!$B$2:$B$53,MATCH(S1068,事件規則!$A$2:$A$53,0)),"")))</f>
        <v>無關新聞事件</v>
      </c>
      <c r="U1068" s="20" t="n">
        <f aca="false">IF(R1068="維持",K1068,IF(R1068="排除",0,IFERROR(INDEX(事件規則!$C$2:$C$53,MATCH(S1068,事件規則!$A$2:$A$53,0)),"")))</f>
        <v>0</v>
      </c>
      <c r="V1068" s="21"/>
      <c r="W1068" s="22"/>
      <c r="X1068" s="10" t="str">
        <f aca="false">IF(AND(R1068="修改",S1068=""),"請選新事件代碼",IF(AND(R1068&lt;&gt;"修改",S1068&lt;&gt;""),"只有「修改」才需填代碼",""))</f>
        <v/>
      </c>
      <c r="Y1068" s="21"/>
      <c r="Z1068" s="22"/>
      <c r="AA1068" s="12" t="s">
        <v>3055</v>
      </c>
      <c r="AB1068" s="24"/>
    </row>
    <row r="1069" customFormat="false" ht="29.85" hidden="false" customHeight="false" outlineLevel="0" collapsed="false">
      <c r="A1069" s="15" t="n">
        <v>1068</v>
      </c>
      <c r="B1069" s="9" t="s">
        <v>112</v>
      </c>
      <c r="C1069" s="9" t="s">
        <v>2233</v>
      </c>
      <c r="D1069" s="10" t="s">
        <v>2234</v>
      </c>
      <c r="E1069" s="11" t="s">
        <v>3056</v>
      </c>
      <c r="F1069" s="17"/>
      <c r="G1069" s="12" t="s">
        <v>949</v>
      </c>
      <c r="H1069" s="13" t="n">
        <v>-0.032</v>
      </c>
      <c r="I1069" s="14"/>
      <c r="J1069" s="17"/>
      <c r="K1069" s="9"/>
      <c r="L1069" s="15" t="s">
        <v>50</v>
      </c>
      <c r="M1069" s="16" t="s">
        <v>51</v>
      </c>
      <c r="N1069" s="14"/>
      <c r="O1069" s="15" t="s">
        <v>52</v>
      </c>
      <c r="P1069" s="17" t="s">
        <v>53</v>
      </c>
      <c r="Q1069" s="15"/>
      <c r="R1069" s="18" t="s">
        <v>51</v>
      </c>
      <c r="S1069" s="19"/>
      <c r="T1069" s="17" t="str">
        <f aca="false">IF(R1069="維持",J1069,IF(R1069="排除","無關新聞事件",IFERROR(INDEX(事件規則!$B$2:$B$53,MATCH(S1069,事件規則!$A$2:$A$53,0)),"")))</f>
        <v>無關新聞事件</v>
      </c>
      <c r="U1069" s="20" t="n">
        <f aca="false">IF(R1069="維持",K1069,IF(R1069="排除",0,IFERROR(INDEX(事件規則!$C$2:$C$53,MATCH(S1069,事件規則!$A$2:$A$53,0)),"")))</f>
        <v>0</v>
      </c>
      <c r="V1069" s="21"/>
      <c r="W1069" s="22"/>
      <c r="X1069" s="10" t="str">
        <f aca="false">IF(AND(R1069="修改",S1069=""),"請選新事件代碼",IF(AND(R1069&lt;&gt;"修改",S1069&lt;&gt;""),"只有「修改」才需填代碼",""))</f>
        <v/>
      </c>
      <c r="Y1069" s="21"/>
      <c r="Z1069" s="22"/>
      <c r="AA1069" s="12" t="s">
        <v>3057</v>
      </c>
      <c r="AB1069" s="24"/>
    </row>
    <row r="1070" customFormat="false" ht="29.85" hidden="false" customHeight="false" outlineLevel="0" collapsed="false">
      <c r="A1070" s="15" t="n">
        <v>1069</v>
      </c>
      <c r="B1070" s="9" t="s">
        <v>112</v>
      </c>
      <c r="C1070" s="9" t="s">
        <v>1672</v>
      </c>
      <c r="D1070" s="10" t="s">
        <v>1673</v>
      </c>
      <c r="E1070" s="11" t="s">
        <v>3058</v>
      </c>
      <c r="F1070" s="17"/>
      <c r="G1070" s="12" t="s">
        <v>164</v>
      </c>
      <c r="H1070" s="13" t="n">
        <v>-0.032</v>
      </c>
      <c r="I1070" s="14"/>
      <c r="J1070" s="17"/>
      <c r="K1070" s="9"/>
      <c r="L1070" s="15" t="s">
        <v>50</v>
      </c>
      <c r="M1070" s="16" t="s">
        <v>51</v>
      </c>
      <c r="N1070" s="14"/>
      <c r="O1070" s="15" t="s">
        <v>52</v>
      </c>
      <c r="P1070" s="17" t="s">
        <v>53</v>
      </c>
      <c r="Q1070" s="15"/>
      <c r="R1070" s="18" t="s">
        <v>51</v>
      </c>
      <c r="S1070" s="19"/>
      <c r="T1070" s="17" t="str">
        <f aca="false">IF(R1070="維持",J1070,IF(R1070="排除","無關新聞事件",IFERROR(INDEX(事件規則!$B$2:$B$53,MATCH(S1070,事件規則!$A$2:$A$53,0)),"")))</f>
        <v>無關新聞事件</v>
      </c>
      <c r="U1070" s="20" t="n">
        <f aca="false">IF(R1070="維持",K1070,IF(R1070="排除",0,IFERROR(INDEX(事件規則!$C$2:$C$53,MATCH(S1070,事件規則!$A$2:$A$53,0)),"")))</f>
        <v>0</v>
      </c>
      <c r="V1070" s="21"/>
      <c r="W1070" s="22"/>
      <c r="X1070" s="10" t="str">
        <f aca="false">IF(AND(R1070="修改",S1070=""),"請選新事件代碼",IF(AND(R1070&lt;&gt;"修改",S1070&lt;&gt;""),"只有「修改」才需填代碼",""))</f>
        <v/>
      </c>
      <c r="Y1070" s="21"/>
      <c r="Z1070" s="22"/>
      <c r="AA1070" s="12" t="s">
        <v>3059</v>
      </c>
      <c r="AB1070" s="24"/>
    </row>
    <row r="1071" customFormat="false" ht="29.85" hidden="false" customHeight="false" outlineLevel="0" collapsed="false">
      <c r="A1071" s="15" t="n">
        <v>1070</v>
      </c>
      <c r="B1071" s="9" t="s">
        <v>112</v>
      </c>
      <c r="C1071" s="9" t="s">
        <v>3060</v>
      </c>
      <c r="D1071" s="10" t="s">
        <v>3061</v>
      </c>
      <c r="E1071" s="11" t="s">
        <v>3062</v>
      </c>
      <c r="F1071" s="17"/>
      <c r="G1071" s="12" t="s">
        <v>1136</v>
      </c>
      <c r="H1071" s="13" t="n">
        <v>-0.032</v>
      </c>
      <c r="I1071" s="14"/>
      <c r="J1071" s="17"/>
      <c r="K1071" s="9"/>
      <c r="L1071" s="15" t="s">
        <v>50</v>
      </c>
      <c r="M1071" s="16" t="s">
        <v>51</v>
      </c>
      <c r="N1071" s="14"/>
      <c r="O1071" s="15" t="s">
        <v>52</v>
      </c>
      <c r="P1071" s="17" t="s">
        <v>53</v>
      </c>
      <c r="Q1071" s="15"/>
      <c r="R1071" s="18" t="s">
        <v>51</v>
      </c>
      <c r="S1071" s="19"/>
      <c r="T1071" s="17" t="str">
        <f aca="false">IF(R1071="維持",J1071,IF(R1071="排除","無關新聞事件",IFERROR(INDEX(事件規則!$B$2:$B$53,MATCH(S1071,事件規則!$A$2:$A$53,0)),"")))</f>
        <v>無關新聞事件</v>
      </c>
      <c r="U1071" s="20" t="n">
        <f aca="false">IF(R1071="維持",K1071,IF(R1071="排除",0,IFERROR(INDEX(事件規則!$C$2:$C$53,MATCH(S1071,事件規則!$A$2:$A$53,0)),"")))</f>
        <v>0</v>
      </c>
      <c r="V1071" s="21"/>
      <c r="W1071" s="22"/>
      <c r="X1071" s="10" t="str">
        <f aca="false">IF(AND(R1071="修改",S1071=""),"請選新事件代碼",IF(AND(R1071&lt;&gt;"修改",S1071&lt;&gt;""),"只有「修改」才需填代碼",""))</f>
        <v/>
      </c>
      <c r="Y1071" s="21"/>
      <c r="Z1071" s="22"/>
      <c r="AA1071" s="12" t="s">
        <v>3063</v>
      </c>
      <c r="AB1071" s="24"/>
    </row>
    <row r="1072" customFormat="false" ht="29.85" hidden="false" customHeight="false" outlineLevel="0" collapsed="false">
      <c r="A1072" s="15" t="n">
        <v>1071</v>
      </c>
      <c r="B1072" s="9" t="s">
        <v>112</v>
      </c>
      <c r="C1072" s="9" t="s">
        <v>1151</v>
      </c>
      <c r="D1072" s="10" t="s">
        <v>1152</v>
      </c>
      <c r="E1072" s="11" t="s">
        <v>3064</v>
      </c>
      <c r="F1072" s="17"/>
      <c r="G1072" s="12" t="s">
        <v>949</v>
      </c>
      <c r="H1072" s="13" t="n">
        <v>-0.032</v>
      </c>
      <c r="I1072" s="14"/>
      <c r="J1072" s="17"/>
      <c r="K1072" s="9"/>
      <c r="L1072" s="15" t="s">
        <v>50</v>
      </c>
      <c r="M1072" s="16" t="s">
        <v>51</v>
      </c>
      <c r="N1072" s="14"/>
      <c r="O1072" s="15" t="s">
        <v>52</v>
      </c>
      <c r="P1072" s="17" t="s">
        <v>53</v>
      </c>
      <c r="Q1072" s="15"/>
      <c r="R1072" s="18" t="s">
        <v>51</v>
      </c>
      <c r="S1072" s="19"/>
      <c r="T1072" s="17" t="str">
        <f aca="false">IF(R1072="維持",J1072,IF(R1072="排除","無關新聞事件",IFERROR(INDEX(事件規則!$B$2:$B$53,MATCH(S1072,事件規則!$A$2:$A$53,0)),"")))</f>
        <v>無關新聞事件</v>
      </c>
      <c r="U1072" s="20" t="n">
        <f aca="false">IF(R1072="維持",K1072,IF(R1072="排除",0,IFERROR(INDEX(事件規則!$C$2:$C$53,MATCH(S1072,事件規則!$A$2:$A$53,0)),"")))</f>
        <v>0</v>
      </c>
      <c r="V1072" s="21"/>
      <c r="W1072" s="22"/>
      <c r="X1072" s="10" t="str">
        <f aca="false">IF(AND(R1072="修改",S1072=""),"請選新事件代碼",IF(AND(R1072&lt;&gt;"修改",S1072&lt;&gt;""),"只有「修改」才需填代碼",""))</f>
        <v/>
      </c>
      <c r="Y1072" s="21"/>
      <c r="Z1072" s="22"/>
      <c r="AA1072" s="12" t="s">
        <v>3065</v>
      </c>
      <c r="AB1072" s="24"/>
    </row>
    <row r="1073" customFormat="false" ht="29.85" hidden="false" customHeight="false" outlineLevel="0" collapsed="false">
      <c r="A1073" s="15" t="n">
        <v>1072</v>
      </c>
      <c r="B1073" s="9" t="s">
        <v>55</v>
      </c>
      <c r="C1073" s="9" t="s">
        <v>873</v>
      </c>
      <c r="D1073" s="10" t="s">
        <v>874</v>
      </c>
      <c r="E1073" s="11" t="s">
        <v>3066</v>
      </c>
      <c r="F1073" s="17"/>
      <c r="G1073" s="12" t="s">
        <v>949</v>
      </c>
      <c r="H1073" s="13" t="n">
        <v>-0.032</v>
      </c>
      <c r="I1073" s="14"/>
      <c r="J1073" s="17"/>
      <c r="K1073" s="9"/>
      <c r="L1073" s="15" t="s">
        <v>50</v>
      </c>
      <c r="M1073" s="16" t="s">
        <v>51</v>
      </c>
      <c r="N1073" s="14"/>
      <c r="O1073" s="15" t="s">
        <v>52</v>
      </c>
      <c r="P1073" s="17" t="s">
        <v>53</v>
      </c>
      <c r="Q1073" s="15"/>
      <c r="R1073" s="18" t="s">
        <v>51</v>
      </c>
      <c r="S1073" s="19"/>
      <c r="T1073" s="17" t="str">
        <f aca="false">IF(R1073="維持",J1073,IF(R1073="排除","無關新聞事件",IFERROR(INDEX(事件規則!$B$2:$B$53,MATCH(S1073,事件規則!$A$2:$A$53,0)),"")))</f>
        <v>無關新聞事件</v>
      </c>
      <c r="U1073" s="20" t="n">
        <f aca="false">IF(R1073="維持",K1073,IF(R1073="排除",0,IFERROR(INDEX(事件規則!$C$2:$C$53,MATCH(S1073,事件規則!$A$2:$A$53,0)),"")))</f>
        <v>0</v>
      </c>
      <c r="V1073" s="21"/>
      <c r="W1073" s="22"/>
      <c r="X1073" s="10" t="str">
        <f aca="false">IF(AND(R1073="修改",S1073=""),"請選新事件代碼",IF(AND(R1073&lt;&gt;"修改",S1073&lt;&gt;""),"只有「修改」才需填代碼",""))</f>
        <v/>
      </c>
      <c r="Y1073" s="21"/>
      <c r="Z1073" s="22"/>
      <c r="AA1073" s="12" t="s">
        <v>3067</v>
      </c>
      <c r="AB1073" s="24"/>
    </row>
    <row r="1074" customFormat="false" ht="29.85" hidden="false" customHeight="false" outlineLevel="0" collapsed="false">
      <c r="A1074" s="15" t="n">
        <v>1073</v>
      </c>
      <c r="B1074" s="9" t="s">
        <v>55</v>
      </c>
      <c r="C1074" s="9" t="s">
        <v>1318</v>
      </c>
      <c r="D1074" s="10" t="s">
        <v>1319</v>
      </c>
      <c r="E1074" s="11" t="s">
        <v>3001</v>
      </c>
      <c r="F1074" s="17"/>
      <c r="G1074" s="12" t="s">
        <v>1269</v>
      </c>
      <c r="H1074" s="13" t="n">
        <v>-0.032</v>
      </c>
      <c r="I1074" s="14"/>
      <c r="J1074" s="17"/>
      <c r="K1074" s="9"/>
      <c r="L1074" s="15" t="s">
        <v>50</v>
      </c>
      <c r="M1074" s="16" t="s">
        <v>51</v>
      </c>
      <c r="N1074" s="14"/>
      <c r="O1074" s="15" t="s">
        <v>52</v>
      </c>
      <c r="P1074" s="17" t="s">
        <v>53</v>
      </c>
      <c r="Q1074" s="15"/>
      <c r="R1074" s="18" t="s">
        <v>51</v>
      </c>
      <c r="S1074" s="19"/>
      <c r="T1074" s="17" t="str">
        <f aca="false">IF(R1074="維持",J1074,IF(R1074="排除","無關新聞事件",IFERROR(INDEX(事件規則!$B$2:$B$53,MATCH(S1074,事件規則!$A$2:$A$53,0)),"")))</f>
        <v>無關新聞事件</v>
      </c>
      <c r="U1074" s="20" t="n">
        <f aca="false">IF(R1074="維持",K1074,IF(R1074="排除",0,IFERROR(INDEX(事件規則!$C$2:$C$53,MATCH(S1074,事件規則!$A$2:$A$53,0)),"")))</f>
        <v>0</v>
      </c>
      <c r="V1074" s="21"/>
      <c r="W1074" s="22"/>
      <c r="X1074" s="10" t="str">
        <f aca="false">IF(AND(R1074="修改",S1074=""),"請選新事件代碼",IF(AND(R1074&lt;&gt;"修改",S1074&lt;&gt;""),"只有「修改」才需填代碼",""))</f>
        <v/>
      </c>
      <c r="Y1074" s="21"/>
      <c r="Z1074" s="22"/>
      <c r="AA1074" s="12" t="s">
        <v>3068</v>
      </c>
      <c r="AB1074" s="24"/>
    </row>
    <row r="1075" customFormat="false" ht="29.85" hidden="false" customHeight="false" outlineLevel="0" collapsed="false">
      <c r="A1075" s="15" t="n">
        <v>1074</v>
      </c>
      <c r="B1075" s="9" t="s">
        <v>45</v>
      </c>
      <c r="C1075" s="9" t="s">
        <v>250</v>
      </c>
      <c r="D1075" s="10" t="s">
        <v>251</v>
      </c>
      <c r="E1075" s="11" t="s">
        <v>3069</v>
      </c>
      <c r="F1075" s="17"/>
      <c r="G1075" s="12" t="s">
        <v>176</v>
      </c>
      <c r="H1075" s="13" t="n">
        <v>-0.032</v>
      </c>
      <c r="I1075" s="14"/>
      <c r="J1075" s="17"/>
      <c r="K1075" s="9"/>
      <c r="L1075" s="15" t="s">
        <v>50</v>
      </c>
      <c r="M1075" s="16" t="s">
        <v>51</v>
      </c>
      <c r="N1075" s="14"/>
      <c r="O1075" s="15" t="s">
        <v>52</v>
      </c>
      <c r="P1075" s="17" t="s">
        <v>53</v>
      </c>
      <c r="Q1075" s="15"/>
      <c r="R1075" s="18" t="s">
        <v>51</v>
      </c>
      <c r="S1075" s="19"/>
      <c r="T1075" s="17" t="str">
        <f aca="false">IF(R1075="維持",J1075,IF(R1075="排除","無關新聞事件",IFERROR(INDEX(事件規則!$B$2:$B$53,MATCH(S1075,事件規則!$A$2:$A$53,0)),"")))</f>
        <v>無關新聞事件</v>
      </c>
      <c r="U1075" s="20" t="n">
        <f aca="false">IF(R1075="維持",K1075,IF(R1075="排除",0,IFERROR(INDEX(事件規則!$C$2:$C$53,MATCH(S1075,事件規則!$A$2:$A$53,0)),"")))</f>
        <v>0</v>
      </c>
      <c r="V1075" s="21"/>
      <c r="W1075" s="22"/>
      <c r="X1075" s="10" t="str">
        <f aca="false">IF(AND(R1075="修改",S1075=""),"請選新事件代碼",IF(AND(R1075&lt;&gt;"修改",S1075&lt;&gt;""),"只有「修改」才需填代碼",""))</f>
        <v/>
      </c>
      <c r="Y1075" s="21"/>
      <c r="Z1075" s="22"/>
      <c r="AA1075" s="12" t="s">
        <v>3070</v>
      </c>
      <c r="AB1075" s="24"/>
    </row>
    <row r="1076" customFormat="false" ht="29.85" hidden="false" customHeight="false" outlineLevel="0" collapsed="false">
      <c r="A1076" s="15" t="n">
        <v>1075</v>
      </c>
      <c r="B1076" s="9" t="s">
        <v>55</v>
      </c>
      <c r="C1076" s="9" t="s">
        <v>2134</v>
      </c>
      <c r="D1076" s="10" t="s">
        <v>2135</v>
      </c>
      <c r="E1076" s="11" t="s">
        <v>3071</v>
      </c>
      <c r="F1076" s="17"/>
      <c r="G1076" s="12" t="s">
        <v>95</v>
      </c>
      <c r="H1076" s="13" t="n">
        <v>-0.032</v>
      </c>
      <c r="I1076" s="14"/>
      <c r="J1076" s="17"/>
      <c r="K1076" s="9"/>
      <c r="L1076" s="15" t="s">
        <v>50</v>
      </c>
      <c r="M1076" s="16" t="s">
        <v>51</v>
      </c>
      <c r="N1076" s="14"/>
      <c r="O1076" s="15" t="s">
        <v>52</v>
      </c>
      <c r="P1076" s="17" t="s">
        <v>53</v>
      </c>
      <c r="Q1076" s="15"/>
      <c r="R1076" s="18" t="s">
        <v>51</v>
      </c>
      <c r="S1076" s="19"/>
      <c r="T1076" s="17" t="str">
        <f aca="false">IF(R1076="維持",J1076,IF(R1076="排除","無關新聞事件",IFERROR(INDEX(事件規則!$B$2:$B$53,MATCH(S1076,事件規則!$A$2:$A$53,0)),"")))</f>
        <v>無關新聞事件</v>
      </c>
      <c r="U1076" s="20" t="n">
        <f aca="false">IF(R1076="維持",K1076,IF(R1076="排除",0,IFERROR(INDEX(事件規則!$C$2:$C$53,MATCH(S1076,事件規則!$A$2:$A$53,0)),"")))</f>
        <v>0</v>
      </c>
      <c r="V1076" s="21"/>
      <c r="W1076" s="22"/>
      <c r="X1076" s="10" t="str">
        <f aca="false">IF(AND(R1076="修改",S1076=""),"請選新事件代碼",IF(AND(R1076&lt;&gt;"修改",S1076&lt;&gt;""),"只有「修改」才需填代碼",""))</f>
        <v/>
      </c>
      <c r="Y1076" s="21"/>
      <c r="Z1076" s="22"/>
      <c r="AA1076" s="12" t="s">
        <v>3072</v>
      </c>
      <c r="AB1076" s="24"/>
    </row>
    <row r="1077" customFormat="false" ht="29.85" hidden="false" customHeight="false" outlineLevel="0" collapsed="false">
      <c r="A1077" s="15" t="n">
        <v>1076</v>
      </c>
      <c r="B1077" s="9" t="s">
        <v>55</v>
      </c>
      <c r="C1077" s="9" t="s">
        <v>2703</v>
      </c>
      <c r="D1077" s="10" t="s">
        <v>2704</v>
      </c>
      <c r="E1077" s="11" t="s">
        <v>3073</v>
      </c>
      <c r="F1077" s="17"/>
      <c r="G1077" s="12" t="s">
        <v>105</v>
      </c>
      <c r="H1077" s="13" t="n">
        <v>-0.032</v>
      </c>
      <c r="I1077" s="14"/>
      <c r="J1077" s="17"/>
      <c r="K1077" s="9"/>
      <c r="L1077" s="15" t="s">
        <v>50</v>
      </c>
      <c r="M1077" s="16" t="s">
        <v>51</v>
      </c>
      <c r="N1077" s="14"/>
      <c r="O1077" s="15" t="s">
        <v>52</v>
      </c>
      <c r="P1077" s="17" t="s">
        <v>53</v>
      </c>
      <c r="Q1077" s="15"/>
      <c r="R1077" s="18" t="s">
        <v>51</v>
      </c>
      <c r="S1077" s="19"/>
      <c r="T1077" s="17" t="str">
        <f aca="false">IF(R1077="維持",J1077,IF(R1077="排除","無關新聞事件",IFERROR(INDEX(事件規則!$B$2:$B$53,MATCH(S1077,事件規則!$A$2:$A$53,0)),"")))</f>
        <v>無關新聞事件</v>
      </c>
      <c r="U1077" s="20" t="n">
        <f aca="false">IF(R1077="維持",K1077,IF(R1077="排除",0,IFERROR(INDEX(事件規則!$C$2:$C$53,MATCH(S1077,事件規則!$A$2:$A$53,0)),"")))</f>
        <v>0</v>
      </c>
      <c r="V1077" s="21"/>
      <c r="W1077" s="22"/>
      <c r="X1077" s="10" t="str">
        <f aca="false">IF(AND(R1077="修改",S1077=""),"請選新事件代碼",IF(AND(R1077&lt;&gt;"修改",S1077&lt;&gt;""),"只有「修改」才需填代碼",""))</f>
        <v/>
      </c>
      <c r="Y1077" s="21"/>
      <c r="Z1077" s="22"/>
      <c r="AA1077" s="12" t="s">
        <v>3074</v>
      </c>
      <c r="AB1077" s="24"/>
    </row>
    <row r="1078" customFormat="false" ht="29.85" hidden="false" customHeight="false" outlineLevel="0" collapsed="false">
      <c r="A1078" s="15" t="n">
        <v>1077</v>
      </c>
      <c r="B1078" s="9" t="s">
        <v>45</v>
      </c>
      <c r="C1078" s="9" t="s">
        <v>3075</v>
      </c>
      <c r="D1078" s="10" t="s">
        <v>3076</v>
      </c>
      <c r="E1078" s="11" t="s">
        <v>3077</v>
      </c>
      <c r="F1078" s="17"/>
      <c r="G1078" s="12" t="s">
        <v>949</v>
      </c>
      <c r="H1078" s="13" t="n">
        <v>-0.031</v>
      </c>
      <c r="I1078" s="14"/>
      <c r="J1078" s="17"/>
      <c r="K1078" s="9"/>
      <c r="L1078" s="15" t="s">
        <v>50</v>
      </c>
      <c r="M1078" s="16" t="s">
        <v>51</v>
      </c>
      <c r="N1078" s="14"/>
      <c r="O1078" s="15" t="s">
        <v>52</v>
      </c>
      <c r="P1078" s="17" t="s">
        <v>53</v>
      </c>
      <c r="Q1078" s="15"/>
      <c r="R1078" s="18" t="s">
        <v>51</v>
      </c>
      <c r="S1078" s="19"/>
      <c r="T1078" s="17" t="str">
        <f aca="false">IF(R1078="維持",J1078,IF(R1078="排除","無關新聞事件",IFERROR(INDEX(事件規則!$B$2:$B$53,MATCH(S1078,事件規則!$A$2:$A$53,0)),"")))</f>
        <v>無關新聞事件</v>
      </c>
      <c r="U1078" s="20" t="n">
        <f aca="false">IF(R1078="維持",K1078,IF(R1078="排除",0,IFERROR(INDEX(事件規則!$C$2:$C$53,MATCH(S1078,事件規則!$A$2:$A$53,0)),"")))</f>
        <v>0</v>
      </c>
      <c r="V1078" s="21"/>
      <c r="W1078" s="22"/>
      <c r="X1078" s="10" t="str">
        <f aca="false">IF(AND(R1078="修改",S1078=""),"請選新事件代碼",IF(AND(R1078&lt;&gt;"修改",S1078&lt;&gt;""),"只有「修改」才需填代碼",""))</f>
        <v/>
      </c>
      <c r="Y1078" s="21"/>
      <c r="Z1078" s="22"/>
      <c r="AA1078" s="12" t="s">
        <v>3078</v>
      </c>
      <c r="AB1078" s="24"/>
    </row>
    <row r="1079" customFormat="false" ht="29.85" hidden="false" customHeight="false" outlineLevel="0" collapsed="false">
      <c r="A1079" s="15" t="n">
        <v>1078</v>
      </c>
      <c r="B1079" s="9" t="s">
        <v>55</v>
      </c>
      <c r="C1079" s="9" t="s">
        <v>489</v>
      </c>
      <c r="D1079" s="10" t="s">
        <v>490</v>
      </c>
      <c r="E1079" s="11" t="s">
        <v>3079</v>
      </c>
      <c r="F1079" s="17"/>
      <c r="G1079" s="12" t="s">
        <v>949</v>
      </c>
      <c r="H1079" s="13" t="n">
        <v>-0.031</v>
      </c>
      <c r="I1079" s="14"/>
      <c r="J1079" s="17"/>
      <c r="K1079" s="9"/>
      <c r="L1079" s="15" t="s">
        <v>50</v>
      </c>
      <c r="M1079" s="16" t="s">
        <v>51</v>
      </c>
      <c r="N1079" s="14"/>
      <c r="O1079" s="15" t="s">
        <v>52</v>
      </c>
      <c r="P1079" s="17" t="s">
        <v>53</v>
      </c>
      <c r="Q1079" s="15"/>
      <c r="R1079" s="18" t="s">
        <v>51</v>
      </c>
      <c r="S1079" s="19"/>
      <c r="T1079" s="17" t="str">
        <f aca="false">IF(R1079="維持",J1079,IF(R1079="排除","無關新聞事件",IFERROR(INDEX(事件規則!$B$2:$B$53,MATCH(S1079,事件規則!$A$2:$A$53,0)),"")))</f>
        <v>無關新聞事件</v>
      </c>
      <c r="U1079" s="20" t="n">
        <f aca="false">IF(R1079="維持",K1079,IF(R1079="排除",0,IFERROR(INDEX(事件規則!$C$2:$C$53,MATCH(S1079,事件規則!$A$2:$A$53,0)),"")))</f>
        <v>0</v>
      </c>
      <c r="V1079" s="21"/>
      <c r="W1079" s="22"/>
      <c r="X1079" s="10" t="str">
        <f aca="false">IF(AND(R1079="修改",S1079=""),"請選新事件代碼",IF(AND(R1079&lt;&gt;"修改",S1079&lt;&gt;""),"只有「修改」才需填代碼",""))</f>
        <v/>
      </c>
      <c r="Y1079" s="21"/>
      <c r="Z1079" s="22"/>
      <c r="AA1079" s="12" t="s">
        <v>3080</v>
      </c>
      <c r="AB1079" s="24"/>
    </row>
    <row r="1080" customFormat="false" ht="29.85" hidden="false" customHeight="false" outlineLevel="0" collapsed="false">
      <c r="A1080" s="15" t="n">
        <v>1079</v>
      </c>
      <c r="B1080" s="9" t="s">
        <v>55</v>
      </c>
      <c r="C1080" s="9" t="s">
        <v>889</v>
      </c>
      <c r="D1080" s="10" t="s">
        <v>890</v>
      </c>
      <c r="E1080" s="11" t="s">
        <v>3081</v>
      </c>
      <c r="F1080" s="17"/>
      <c r="G1080" s="12" t="s">
        <v>1136</v>
      </c>
      <c r="H1080" s="13" t="n">
        <v>-0.031</v>
      </c>
      <c r="I1080" s="14"/>
      <c r="J1080" s="17"/>
      <c r="K1080" s="9"/>
      <c r="L1080" s="15" t="s">
        <v>50</v>
      </c>
      <c r="M1080" s="16" t="s">
        <v>51</v>
      </c>
      <c r="N1080" s="14"/>
      <c r="O1080" s="15" t="s">
        <v>52</v>
      </c>
      <c r="P1080" s="17" t="s">
        <v>53</v>
      </c>
      <c r="Q1080" s="15"/>
      <c r="R1080" s="18" t="s">
        <v>51</v>
      </c>
      <c r="S1080" s="19"/>
      <c r="T1080" s="17" t="str">
        <f aca="false">IF(R1080="維持",J1080,IF(R1080="排除","無關新聞事件",IFERROR(INDEX(事件規則!$B$2:$B$53,MATCH(S1080,事件規則!$A$2:$A$53,0)),"")))</f>
        <v>無關新聞事件</v>
      </c>
      <c r="U1080" s="20" t="n">
        <f aca="false">IF(R1080="維持",K1080,IF(R1080="排除",0,IFERROR(INDEX(事件規則!$C$2:$C$53,MATCH(S1080,事件規則!$A$2:$A$53,0)),"")))</f>
        <v>0</v>
      </c>
      <c r="V1080" s="21"/>
      <c r="W1080" s="22"/>
      <c r="X1080" s="10" t="str">
        <f aca="false">IF(AND(R1080="修改",S1080=""),"請選新事件代碼",IF(AND(R1080&lt;&gt;"修改",S1080&lt;&gt;""),"只有「修改」才需填代碼",""))</f>
        <v/>
      </c>
      <c r="Y1080" s="21"/>
      <c r="Z1080" s="22"/>
      <c r="AA1080" s="12" t="s">
        <v>3082</v>
      </c>
      <c r="AB1080" s="24"/>
    </row>
    <row r="1081" customFormat="false" ht="29.85" hidden="false" customHeight="false" outlineLevel="0" collapsed="false">
      <c r="A1081" s="15" t="n">
        <v>1080</v>
      </c>
      <c r="B1081" s="9" t="s">
        <v>45</v>
      </c>
      <c r="C1081" s="9" t="s">
        <v>113</v>
      </c>
      <c r="D1081" s="10" t="s">
        <v>114</v>
      </c>
      <c r="E1081" s="11" t="s">
        <v>3083</v>
      </c>
      <c r="F1081" s="17"/>
      <c r="G1081" s="12" t="s">
        <v>1136</v>
      </c>
      <c r="H1081" s="13" t="n">
        <v>-0.031</v>
      </c>
      <c r="I1081" s="14"/>
      <c r="J1081" s="17"/>
      <c r="K1081" s="9"/>
      <c r="L1081" s="15" t="s">
        <v>50</v>
      </c>
      <c r="M1081" s="16" t="s">
        <v>51</v>
      </c>
      <c r="N1081" s="14"/>
      <c r="O1081" s="15" t="s">
        <v>52</v>
      </c>
      <c r="P1081" s="17" t="s">
        <v>53</v>
      </c>
      <c r="Q1081" s="15"/>
      <c r="R1081" s="18" t="s">
        <v>51</v>
      </c>
      <c r="S1081" s="19"/>
      <c r="T1081" s="17" t="str">
        <f aca="false">IF(R1081="維持",J1081,IF(R1081="排除","無關新聞事件",IFERROR(INDEX(事件規則!$B$2:$B$53,MATCH(S1081,事件規則!$A$2:$A$53,0)),"")))</f>
        <v>無關新聞事件</v>
      </c>
      <c r="U1081" s="20" t="n">
        <f aca="false">IF(R1081="維持",K1081,IF(R1081="排除",0,IFERROR(INDEX(事件規則!$C$2:$C$53,MATCH(S1081,事件規則!$A$2:$A$53,0)),"")))</f>
        <v>0</v>
      </c>
      <c r="V1081" s="21"/>
      <c r="W1081" s="22"/>
      <c r="X1081" s="10" t="str">
        <f aca="false">IF(AND(R1081="修改",S1081=""),"請選新事件代碼",IF(AND(R1081&lt;&gt;"修改",S1081&lt;&gt;""),"只有「修改」才需填代碼",""))</f>
        <v/>
      </c>
      <c r="Y1081" s="21"/>
      <c r="Z1081" s="22"/>
      <c r="AA1081" s="12" t="s">
        <v>3084</v>
      </c>
      <c r="AB1081" s="24"/>
    </row>
    <row r="1082" customFormat="false" ht="29.85" hidden="false" customHeight="false" outlineLevel="0" collapsed="false">
      <c r="A1082" s="15" t="n">
        <v>1081</v>
      </c>
      <c r="B1082" s="9" t="s">
        <v>45</v>
      </c>
      <c r="C1082" s="9" t="s">
        <v>3041</v>
      </c>
      <c r="D1082" s="10" t="s">
        <v>3042</v>
      </c>
      <c r="E1082" s="11" t="s">
        <v>3085</v>
      </c>
      <c r="F1082" s="17"/>
      <c r="G1082" s="12" t="s">
        <v>949</v>
      </c>
      <c r="H1082" s="13" t="n">
        <v>-0.031</v>
      </c>
      <c r="I1082" s="14"/>
      <c r="J1082" s="17"/>
      <c r="K1082" s="9"/>
      <c r="L1082" s="15" t="s">
        <v>50</v>
      </c>
      <c r="M1082" s="16" t="s">
        <v>51</v>
      </c>
      <c r="N1082" s="14"/>
      <c r="O1082" s="15" t="s">
        <v>52</v>
      </c>
      <c r="P1082" s="17" t="s">
        <v>53</v>
      </c>
      <c r="Q1082" s="15"/>
      <c r="R1082" s="18" t="s">
        <v>51</v>
      </c>
      <c r="S1082" s="19"/>
      <c r="T1082" s="17" t="str">
        <f aca="false">IF(R1082="維持",J1082,IF(R1082="排除","無關新聞事件",IFERROR(INDEX(事件規則!$B$2:$B$53,MATCH(S1082,事件規則!$A$2:$A$53,0)),"")))</f>
        <v>無關新聞事件</v>
      </c>
      <c r="U1082" s="20" t="n">
        <f aca="false">IF(R1082="維持",K1082,IF(R1082="排除",0,IFERROR(INDEX(事件規則!$C$2:$C$53,MATCH(S1082,事件規則!$A$2:$A$53,0)),"")))</f>
        <v>0</v>
      </c>
      <c r="V1082" s="21"/>
      <c r="W1082" s="22"/>
      <c r="X1082" s="10" t="str">
        <f aca="false">IF(AND(R1082="修改",S1082=""),"請選新事件代碼",IF(AND(R1082&lt;&gt;"修改",S1082&lt;&gt;""),"只有「修改」才需填代碼",""))</f>
        <v/>
      </c>
      <c r="Y1082" s="21"/>
      <c r="Z1082" s="22"/>
      <c r="AA1082" s="12" t="s">
        <v>3086</v>
      </c>
      <c r="AB1082" s="24"/>
    </row>
    <row r="1083" customFormat="false" ht="29.85" hidden="false" customHeight="false" outlineLevel="0" collapsed="false">
      <c r="A1083" s="15" t="n">
        <v>1082</v>
      </c>
      <c r="B1083" s="9" t="s">
        <v>55</v>
      </c>
      <c r="C1083" s="9" t="s">
        <v>2146</v>
      </c>
      <c r="D1083" s="10" t="s">
        <v>2147</v>
      </c>
      <c r="E1083" s="11" t="s">
        <v>3087</v>
      </c>
      <c r="F1083" s="17"/>
      <c r="G1083" s="12" t="s">
        <v>949</v>
      </c>
      <c r="H1083" s="13" t="n">
        <v>-0.031</v>
      </c>
      <c r="I1083" s="14"/>
      <c r="J1083" s="17"/>
      <c r="K1083" s="9"/>
      <c r="L1083" s="15" t="s">
        <v>50</v>
      </c>
      <c r="M1083" s="16" t="s">
        <v>51</v>
      </c>
      <c r="N1083" s="14"/>
      <c r="O1083" s="15" t="s">
        <v>52</v>
      </c>
      <c r="P1083" s="17" t="s">
        <v>53</v>
      </c>
      <c r="Q1083" s="15"/>
      <c r="R1083" s="18" t="s">
        <v>51</v>
      </c>
      <c r="S1083" s="19"/>
      <c r="T1083" s="17" t="str">
        <f aca="false">IF(R1083="維持",J1083,IF(R1083="排除","無關新聞事件",IFERROR(INDEX(事件規則!$B$2:$B$53,MATCH(S1083,事件規則!$A$2:$A$53,0)),"")))</f>
        <v>無關新聞事件</v>
      </c>
      <c r="U1083" s="20" t="n">
        <f aca="false">IF(R1083="維持",K1083,IF(R1083="排除",0,IFERROR(INDEX(事件規則!$C$2:$C$53,MATCH(S1083,事件規則!$A$2:$A$53,0)),"")))</f>
        <v>0</v>
      </c>
      <c r="V1083" s="21"/>
      <c r="W1083" s="22"/>
      <c r="X1083" s="10" t="str">
        <f aca="false">IF(AND(R1083="修改",S1083=""),"請選新事件代碼",IF(AND(R1083&lt;&gt;"修改",S1083&lt;&gt;""),"只有「修改」才需填代碼",""))</f>
        <v/>
      </c>
      <c r="Y1083" s="21"/>
      <c r="Z1083" s="22"/>
      <c r="AA1083" s="12" t="s">
        <v>3088</v>
      </c>
      <c r="AB1083" s="24"/>
    </row>
    <row r="1084" customFormat="false" ht="29.85" hidden="false" customHeight="false" outlineLevel="0" collapsed="false">
      <c r="A1084" s="15" t="n">
        <v>1083</v>
      </c>
      <c r="B1084" s="9" t="s">
        <v>55</v>
      </c>
      <c r="C1084" s="9" t="s">
        <v>97</v>
      </c>
      <c r="D1084" s="10" t="s">
        <v>98</v>
      </c>
      <c r="E1084" s="11" t="s">
        <v>3089</v>
      </c>
      <c r="F1084" s="17"/>
      <c r="G1084" s="12" t="s">
        <v>176</v>
      </c>
      <c r="H1084" s="13" t="n">
        <v>-0.031</v>
      </c>
      <c r="I1084" s="14"/>
      <c r="J1084" s="17"/>
      <c r="K1084" s="9"/>
      <c r="L1084" s="15" t="s">
        <v>50</v>
      </c>
      <c r="M1084" s="16" t="s">
        <v>51</v>
      </c>
      <c r="N1084" s="14"/>
      <c r="O1084" s="15" t="s">
        <v>52</v>
      </c>
      <c r="P1084" s="17" t="s">
        <v>53</v>
      </c>
      <c r="Q1084" s="15"/>
      <c r="R1084" s="18" t="s">
        <v>51</v>
      </c>
      <c r="S1084" s="19"/>
      <c r="T1084" s="17" t="str">
        <f aca="false">IF(R1084="維持",J1084,IF(R1084="排除","無關新聞事件",IFERROR(INDEX(事件規則!$B$2:$B$53,MATCH(S1084,事件規則!$A$2:$A$53,0)),"")))</f>
        <v>無關新聞事件</v>
      </c>
      <c r="U1084" s="20" t="n">
        <f aca="false">IF(R1084="維持",K1084,IF(R1084="排除",0,IFERROR(INDEX(事件規則!$C$2:$C$53,MATCH(S1084,事件規則!$A$2:$A$53,0)),"")))</f>
        <v>0</v>
      </c>
      <c r="V1084" s="21"/>
      <c r="W1084" s="22"/>
      <c r="X1084" s="10" t="str">
        <f aca="false">IF(AND(R1084="修改",S1084=""),"請選新事件代碼",IF(AND(R1084&lt;&gt;"修改",S1084&lt;&gt;""),"只有「修改」才需填代碼",""))</f>
        <v/>
      </c>
      <c r="Y1084" s="21"/>
      <c r="Z1084" s="22"/>
      <c r="AA1084" s="12" t="s">
        <v>3090</v>
      </c>
      <c r="AB1084" s="24"/>
    </row>
    <row r="1085" customFormat="false" ht="29.85" hidden="false" customHeight="false" outlineLevel="0" collapsed="false">
      <c r="A1085" s="15" t="n">
        <v>1084</v>
      </c>
      <c r="B1085" s="9" t="s">
        <v>81</v>
      </c>
      <c r="C1085" s="9" t="s">
        <v>118</v>
      </c>
      <c r="D1085" s="10" t="s">
        <v>119</v>
      </c>
      <c r="E1085" s="11" t="s">
        <v>3091</v>
      </c>
      <c r="F1085" s="17"/>
      <c r="G1085" s="12" t="s">
        <v>105</v>
      </c>
      <c r="H1085" s="13" t="n">
        <v>-0.031</v>
      </c>
      <c r="I1085" s="14"/>
      <c r="J1085" s="17"/>
      <c r="K1085" s="9"/>
      <c r="L1085" s="15" t="s">
        <v>50</v>
      </c>
      <c r="M1085" s="16" t="s">
        <v>51</v>
      </c>
      <c r="N1085" s="14"/>
      <c r="O1085" s="15" t="s">
        <v>52</v>
      </c>
      <c r="P1085" s="17" t="s">
        <v>53</v>
      </c>
      <c r="Q1085" s="15"/>
      <c r="R1085" s="18" t="s">
        <v>51</v>
      </c>
      <c r="S1085" s="19"/>
      <c r="T1085" s="17" t="str">
        <f aca="false">IF(R1085="維持",J1085,IF(R1085="排除","無關新聞事件",IFERROR(INDEX(事件規則!$B$2:$B$53,MATCH(S1085,事件規則!$A$2:$A$53,0)),"")))</f>
        <v>無關新聞事件</v>
      </c>
      <c r="U1085" s="20" t="n">
        <f aca="false">IF(R1085="維持",K1085,IF(R1085="排除",0,IFERROR(INDEX(事件規則!$C$2:$C$53,MATCH(S1085,事件規則!$A$2:$A$53,0)),"")))</f>
        <v>0</v>
      </c>
      <c r="V1085" s="21"/>
      <c r="W1085" s="22"/>
      <c r="X1085" s="10" t="str">
        <f aca="false">IF(AND(R1085="修改",S1085=""),"請選新事件代碼",IF(AND(R1085&lt;&gt;"修改",S1085&lt;&gt;""),"只有「修改」才需填代碼",""))</f>
        <v/>
      </c>
      <c r="Y1085" s="21"/>
      <c r="Z1085" s="22"/>
      <c r="AA1085" s="12" t="s">
        <v>3092</v>
      </c>
      <c r="AB1085" s="24"/>
    </row>
    <row r="1086" customFormat="false" ht="29.85" hidden="false" customHeight="false" outlineLevel="0" collapsed="false">
      <c r="A1086" s="15" t="n">
        <v>1085</v>
      </c>
      <c r="B1086" s="9" t="s">
        <v>55</v>
      </c>
      <c r="C1086" s="9" t="s">
        <v>3093</v>
      </c>
      <c r="D1086" s="10" t="s">
        <v>3094</v>
      </c>
      <c r="E1086" s="11" t="s">
        <v>3095</v>
      </c>
      <c r="F1086" s="17"/>
      <c r="G1086" s="12" t="s">
        <v>949</v>
      </c>
      <c r="H1086" s="13" t="n">
        <v>-0.031</v>
      </c>
      <c r="I1086" s="14"/>
      <c r="J1086" s="17"/>
      <c r="K1086" s="9"/>
      <c r="L1086" s="15" t="s">
        <v>50</v>
      </c>
      <c r="M1086" s="16" t="s">
        <v>51</v>
      </c>
      <c r="N1086" s="14"/>
      <c r="O1086" s="15" t="s">
        <v>52</v>
      </c>
      <c r="P1086" s="17" t="s">
        <v>53</v>
      </c>
      <c r="Q1086" s="15"/>
      <c r="R1086" s="18" t="s">
        <v>51</v>
      </c>
      <c r="S1086" s="19"/>
      <c r="T1086" s="17" t="str">
        <f aca="false">IF(R1086="維持",J1086,IF(R1086="排除","無關新聞事件",IFERROR(INDEX(事件規則!$B$2:$B$53,MATCH(S1086,事件規則!$A$2:$A$53,0)),"")))</f>
        <v>無關新聞事件</v>
      </c>
      <c r="U1086" s="20" t="n">
        <f aca="false">IF(R1086="維持",K1086,IF(R1086="排除",0,IFERROR(INDEX(事件規則!$C$2:$C$53,MATCH(S1086,事件規則!$A$2:$A$53,0)),"")))</f>
        <v>0</v>
      </c>
      <c r="V1086" s="21"/>
      <c r="W1086" s="22"/>
      <c r="X1086" s="10" t="str">
        <f aca="false">IF(AND(R1086="修改",S1086=""),"請選新事件代碼",IF(AND(R1086&lt;&gt;"修改",S1086&lt;&gt;""),"只有「修改」才需填代碼",""))</f>
        <v/>
      </c>
      <c r="Y1086" s="21"/>
      <c r="Z1086" s="22"/>
      <c r="AA1086" s="12" t="s">
        <v>3096</v>
      </c>
      <c r="AB1086" s="24"/>
    </row>
    <row r="1087" customFormat="false" ht="29.85" hidden="false" customHeight="false" outlineLevel="0" collapsed="false">
      <c r="A1087" s="15" t="n">
        <v>1086</v>
      </c>
      <c r="B1087" s="9" t="s">
        <v>55</v>
      </c>
      <c r="C1087" s="9" t="s">
        <v>2233</v>
      </c>
      <c r="D1087" s="10" t="s">
        <v>2234</v>
      </c>
      <c r="E1087" s="11" t="s">
        <v>3097</v>
      </c>
      <c r="F1087" s="17"/>
      <c r="G1087" s="12" t="s">
        <v>949</v>
      </c>
      <c r="H1087" s="13" t="n">
        <v>-0.031</v>
      </c>
      <c r="I1087" s="14"/>
      <c r="J1087" s="17"/>
      <c r="K1087" s="9"/>
      <c r="L1087" s="15" t="s">
        <v>50</v>
      </c>
      <c r="M1087" s="16" t="s">
        <v>51</v>
      </c>
      <c r="N1087" s="14"/>
      <c r="O1087" s="15" t="s">
        <v>52</v>
      </c>
      <c r="P1087" s="17" t="s">
        <v>53</v>
      </c>
      <c r="Q1087" s="15"/>
      <c r="R1087" s="18" t="s">
        <v>51</v>
      </c>
      <c r="S1087" s="19"/>
      <c r="T1087" s="17" t="str">
        <f aca="false">IF(R1087="維持",J1087,IF(R1087="排除","無關新聞事件",IFERROR(INDEX(事件規則!$B$2:$B$53,MATCH(S1087,事件規則!$A$2:$A$53,0)),"")))</f>
        <v>無關新聞事件</v>
      </c>
      <c r="U1087" s="20" t="n">
        <f aca="false">IF(R1087="維持",K1087,IF(R1087="排除",0,IFERROR(INDEX(事件規則!$C$2:$C$53,MATCH(S1087,事件規則!$A$2:$A$53,0)),"")))</f>
        <v>0</v>
      </c>
      <c r="V1087" s="21"/>
      <c r="W1087" s="22"/>
      <c r="X1087" s="10" t="str">
        <f aca="false">IF(AND(R1087="修改",S1087=""),"請選新事件代碼",IF(AND(R1087&lt;&gt;"修改",S1087&lt;&gt;""),"只有「修改」才需填代碼",""))</f>
        <v/>
      </c>
      <c r="Y1087" s="21"/>
      <c r="Z1087" s="22"/>
      <c r="AA1087" s="12" t="s">
        <v>3098</v>
      </c>
      <c r="AB1087" s="24"/>
    </row>
    <row r="1088" customFormat="false" ht="29.85" hidden="false" customHeight="false" outlineLevel="0" collapsed="false">
      <c r="A1088" s="15" t="n">
        <v>1087</v>
      </c>
      <c r="B1088" s="9" t="s">
        <v>55</v>
      </c>
      <c r="C1088" s="9" t="s">
        <v>2371</v>
      </c>
      <c r="D1088" s="10" t="s">
        <v>2372</v>
      </c>
      <c r="E1088" s="11" t="s">
        <v>3099</v>
      </c>
      <c r="F1088" s="17"/>
      <c r="G1088" s="12" t="s">
        <v>105</v>
      </c>
      <c r="H1088" s="13" t="n">
        <v>-0.031</v>
      </c>
      <c r="I1088" s="14"/>
      <c r="J1088" s="17"/>
      <c r="K1088" s="9"/>
      <c r="L1088" s="15" t="s">
        <v>50</v>
      </c>
      <c r="M1088" s="16" t="s">
        <v>51</v>
      </c>
      <c r="N1088" s="14"/>
      <c r="O1088" s="15" t="s">
        <v>52</v>
      </c>
      <c r="P1088" s="17" t="s">
        <v>53</v>
      </c>
      <c r="Q1088" s="15"/>
      <c r="R1088" s="18" t="s">
        <v>51</v>
      </c>
      <c r="S1088" s="19"/>
      <c r="T1088" s="17" t="str">
        <f aca="false">IF(R1088="維持",J1088,IF(R1088="排除","無關新聞事件",IFERROR(INDEX(事件規則!$B$2:$B$53,MATCH(S1088,事件規則!$A$2:$A$53,0)),"")))</f>
        <v>無關新聞事件</v>
      </c>
      <c r="U1088" s="20" t="n">
        <f aca="false">IF(R1088="維持",K1088,IF(R1088="排除",0,IFERROR(INDEX(事件規則!$C$2:$C$53,MATCH(S1088,事件規則!$A$2:$A$53,0)),"")))</f>
        <v>0</v>
      </c>
      <c r="V1088" s="21"/>
      <c r="W1088" s="22"/>
      <c r="X1088" s="10" t="str">
        <f aca="false">IF(AND(R1088="修改",S1088=""),"請選新事件代碼",IF(AND(R1088&lt;&gt;"修改",S1088&lt;&gt;""),"只有「修改」才需填代碼",""))</f>
        <v/>
      </c>
      <c r="Y1088" s="21"/>
      <c r="Z1088" s="22"/>
      <c r="AA1088" s="12" t="s">
        <v>3100</v>
      </c>
      <c r="AB1088" s="24"/>
    </row>
    <row r="1089" customFormat="false" ht="29.85" hidden="false" customHeight="false" outlineLevel="0" collapsed="false">
      <c r="A1089" s="15" t="n">
        <v>1088</v>
      </c>
      <c r="B1089" s="9" t="s">
        <v>112</v>
      </c>
      <c r="C1089" s="9" t="s">
        <v>3101</v>
      </c>
      <c r="D1089" s="10" t="s">
        <v>3102</v>
      </c>
      <c r="E1089" s="11" t="s">
        <v>3103</v>
      </c>
      <c r="F1089" s="17"/>
      <c r="G1089" s="12" t="s">
        <v>105</v>
      </c>
      <c r="H1089" s="13" t="n">
        <v>-0.031</v>
      </c>
      <c r="I1089" s="14"/>
      <c r="J1089" s="17"/>
      <c r="K1089" s="9"/>
      <c r="L1089" s="15" t="s">
        <v>50</v>
      </c>
      <c r="M1089" s="16" t="s">
        <v>51</v>
      </c>
      <c r="N1089" s="14"/>
      <c r="O1089" s="15" t="s">
        <v>52</v>
      </c>
      <c r="P1089" s="17" t="s">
        <v>53</v>
      </c>
      <c r="Q1089" s="15"/>
      <c r="R1089" s="18" t="s">
        <v>51</v>
      </c>
      <c r="S1089" s="19"/>
      <c r="T1089" s="17" t="str">
        <f aca="false">IF(R1089="維持",J1089,IF(R1089="排除","無關新聞事件",IFERROR(INDEX(事件規則!$B$2:$B$53,MATCH(S1089,事件規則!$A$2:$A$53,0)),"")))</f>
        <v>無關新聞事件</v>
      </c>
      <c r="U1089" s="20" t="n">
        <f aca="false">IF(R1089="維持",K1089,IF(R1089="排除",0,IFERROR(INDEX(事件規則!$C$2:$C$53,MATCH(S1089,事件規則!$A$2:$A$53,0)),"")))</f>
        <v>0</v>
      </c>
      <c r="V1089" s="21"/>
      <c r="W1089" s="22"/>
      <c r="X1089" s="10" t="str">
        <f aca="false">IF(AND(R1089="修改",S1089=""),"請選新事件代碼",IF(AND(R1089&lt;&gt;"修改",S1089&lt;&gt;""),"只有「修改」才需填代碼",""))</f>
        <v/>
      </c>
      <c r="Y1089" s="21"/>
      <c r="Z1089" s="22"/>
      <c r="AA1089" s="12" t="s">
        <v>3104</v>
      </c>
      <c r="AB1089" s="24"/>
    </row>
    <row r="1090" customFormat="false" ht="29.85" hidden="false" customHeight="false" outlineLevel="0" collapsed="false">
      <c r="A1090" s="15" t="n">
        <v>1089</v>
      </c>
      <c r="B1090" s="9" t="s">
        <v>55</v>
      </c>
      <c r="C1090" s="9" t="s">
        <v>1805</v>
      </c>
      <c r="D1090" s="10" t="s">
        <v>1806</v>
      </c>
      <c r="E1090" s="11" t="s">
        <v>3105</v>
      </c>
      <c r="F1090" s="17"/>
      <c r="G1090" s="12" t="s">
        <v>949</v>
      </c>
      <c r="H1090" s="13" t="n">
        <v>-0.031</v>
      </c>
      <c r="I1090" s="14"/>
      <c r="J1090" s="17"/>
      <c r="K1090" s="9"/>
      <c r="L1090" s="15" t="s">
        <v>50</v>
      </c>
      <c r="M1090" s="16" t="s">
        <v>51</v>
      </c>
      <c r="N1090" s="14"/>
      <c r="O1090" s="15" t="s">
        <v>52</v>
      </c>
      <c r="P1090" s="17" t="s">
        <v>53</v>
      </c>
      <c r="Q1090" s="15"/>
      <c r="R1090" s="18" t="s">
        <v>51</v>
      </c>
      <c r="S1090" s="19"/>
      <c r="T1090" s="17" t="str">
        <f aca="false">IF(R1090="維持",J1090,IF(R1090="排除","無關新聞事件",IFERROR(INDEX(事件規則!$B$2:$B$53,MATCH(S1090,事件規則!$A$2:$A$53,0)),"")))</f>
        <v>無關新聞事件</v>
      </c>
      <c r="U1090" s="20" t="n">
        <f aca="false">IF(R1090="維持",K1090,IF(R1090="排除",0,IFERROR(INDEX(事件規則!$C$2:$C$53,MATCH(S1090,事件規則!$A$2:$A$53,0)),"")))</f>
        <v>0</v>
      </c>
      <c r="V1090" s="21"/>
      <c r="W1090" s="22"/>
      <c r="X1090" s="10" t="str">
        <f aca="false">IF(AND(R1090="修改",S1090=""),"請選新事件代碼",IF(AND(R1090&lt;&gt;"修改",S1090&lt;&gt;""),"只有「修改」才需填代碼",""))</f>
        <v/>
      </c>
      <c r="Y1090" s="21"/>
      <c r="Z1090" s="22"/>
      <c r="AA1090" s="12" t="s">
        <v>3106</v>
      </c>
      <c r="AB1090" s="24"/>
    </row>
    <row r="1091" customFormat="false" ht="29.85" hidden="false" customHeight="false" outlineLevel="0" collapsed="false">
      <c r="A1091" s="15" t="n">
        <v>1090</v>
      </c>
      <c r="B1091" s="9" t="s">
        <v>112</v>
      </c>
      <c r="C1091" s="9" t="s">
        <v>1151</v>
      </c>
      <c r="D1091" s="10" t="s">
        <v>1152</v>
      </c>
      <c r="E1091" s="11" t="s">
        <v>3107</v>
      </c>
      <c r="F1091" s="17"/>
      <c r="G1091" s="12" t="s">
        <v>949</v>
      </c>
      <c r="H1091" s="13" t="n">
        <v>-0.031</v>
      </c>
      <c r="I1091" s="14"/>
      <c r="J1091" s="17"/>
      <c r="K1091" s="9"/>
      <c r="L1091" s="15" t="s">
        <v>50</v>
      </c>
      <c r="M1091" s="16" t="s">
        <v>51</v>
      </c>
      <c r="N1091" s="14"/>
      <c r="O1091" s="15" t="s">
        <v>52</v>
      </c>
      <c r="P1091" s="17" t="s">
        <v>53</v>
      </c>
      <c r="Q1091" s="15"/>
      <c r="R1091" s="18" t="s">
        <v>51</v>
      </c>
      <c r="S1091" s="19"/>
      <c r="T1091" s="17" t="str">
        <f aca="false">IF(R1091="維持",J1091,IF(R1091="排除","無關新聞事件",IFERROR(INDEX(事件規則!$B$2:$B$53,MATCH(S1091,事件規則!$A$2:$A$53,0)),"")))</f>
        <v>無關新聞事件</v>
      </c>
      <c r="U1091" s="20" t="n">
        <f aca="false">IF(R1091="維持",K1091,IF(R1091="排除",0,IFERROR(INDEX(事件規則!$C$2:$C$53,MATCH(S1091,事件規則!$A$2:$A$53,0)),"")))</f>
        <v>0</v>
      </c>
      <c r="V1091" s="21"/>
      <c r="W1091" s="22"/>
      <c r="X1091" s="10" t="str">
        <f aca="false">IF(AND(R1091="修改",S1091=""),"請選新事件代碼",IF(AND(R1091&lt;&gt;"修改",S1091&lt;&gt;""),"只有「修改」才需填代碼",""))</f>
        <v/>
      </c>
      <c r="Y1091" s="21"/>
      <c r="Z1091" s="22"/>
      <c r="AA1091" s="12" t="s">
        <v>3108</v>
      </c>
      <c r="AB1091" s="24"/>
    </row>
    <row r="1092" customFormat="false" ht="29.85" hidden="false" customHeight="false" outlineLevel="0" collapsed="false">
      <c r="A1092" s="15" t="n">
        <v>1091</v>
      </c>
      <c r="B1092" s="9" t="s">
        <v>45</v>
      </c>
      <c r="C1092" s="9" t="s">
        <v>1021</v>
      </c>
      <c r="D1092" s="10" t="s">
        <v>1022</v>
      </c>
      <c r="E1092" s="11" t="s">
        <v>3109</v>
      </c>
      <c r="F1092" s="17"/>
      <c r="G1092" s="12" t="s">
        <v>949</v>
      </c>
      <c r="H1092" s="13" t="n">
        <v>-0.031</v>
      </c>
      <c r="I1092" s="14"/>
      <c r="J1092" s="17"/>
      <c r="K1092" s="9"/>
      <c r="L1092" s="15" t="s">
        <v>50</v>
      </c>
      <c r="M1092" s="16" t="s">
        <v>51</v>
      </c>
      <c r="N1092" s="14"/>
      <c r="O1092" s="15" t="s">
        <v>52</v>
      </c>
      <c r="P1092" s="17" t="s">
        <v>53</v>
      </c>
      <c r="Q1092" s="15"/>
      <c r="R1092" s="18" t="s">
        <v>51</v>
      </c>
      <c r="S1092" s="19"/>
      <c r="T1092" s="17" t="str">
        <f aca="false">IF(R1092="維持",J1092,IF(R1092="排除","無關新聞事件",IFERROR(INDEX(事件規則!$B$2:$B$53,MATCH(S1092,事件規則!$A$2:$A$53,0)),"")))</f>
        <v>無關新聞事件</v>
      </c>
      <c r="U1092" s="20" t="n">
        <f aca="false">IF(R1092="維持",K1092,IF(R1092="排除",0,IFERROR(INDEX(事件規則!$C$2:$C$53,MATCH(S1092,事件規則!$A$2:$A$53,0)),"")))</f>
        <v>0</v>
      </c>
      <c r="V1092" s="21"/>
      <c r="W1092" s="22"/>
      <c r="X1092" s="10" t="str">
        <f aca="false">IF(AND(R1092="修改",S1092=""),"請選新事件代碼",IF(AND(R1092&lt;&gt;"修改",S1092&lt;&gt;""),"只有「修改」才需填代碼",""))</f>
        <v/>
      </c>
      <c r="Y1092" s="21"/>
      <c r="Z1092" s="22"/>
      <c r="AA1092" s="12" t="s">
        <v>3110</v>
      </c>
      <c r="AB1092" s="24"/>
    </row>
    <row r="1093" customFormat="false" ht="29.85" hidden="false" customHeight="false" outlineLevel="0" collapsed="false">
      <c r="A1093" s="15" t="n">
        <v>1092</v>
      </c>
      <c r="B1093" s="9" t="s">
        <v>112</v>
      </c>
      <c r="C1093" s="9" t="s">
        <v>344</v>
      </c>
      <c r="D1093" s="10" t="s">
        <v>345</v>
      </c>
      <c r="E1093" s="11" t="s">
        <v>3111</v>
      </c>
      <c r="F1093" s="17"/>
      <c r="G1093" s="12" t="s">
        <v>1136</v>
      </c>
      <c r="H1093" s="13" t="n">
        <v>-0.031</v>
      </c>
      <c r="I1093" s="14"/>
      <c r="J1093" s="17"/>
      <c r="K1093" s="9"/>
      <c r="L1093" s="15" t="s">
        <v>50</v>
      </c>
      <c r="M1093" s="16" t="s">
        <v>51</v>
      </c>
      <c r="N1093" s="14"/>
      <c r="O1093" s="15" t="s">
        <v>52</v>
      </c>
      <c r="P1093" s="17" t="s">
        <v>53</v>
      </c>
      <c r="Q1093" s="15"/>
      <c r="R1093" s="18" t="s">
        <v>51</v>
      </c>
      <c r="S1093" s="19"/>
      <c r="T1093" s="17" t="str">
        <f aca="false">IF(R1093="維持",J1093,IF(R1093="排除","無關新聞事件",IFERROR(INDEX(事件規則!$B$2:$B$53,MATCH(S1093,事件規則!$A$2:$A$53,0)),"")))</f>
        <v>無關新聞事件</v>
      </c>
      <c r="U1093" s="20" t="n">
        <f aca="false">IF(R1093="維持",K1093,IF(R1093="排除",0,IFERROR(INDEX(事件規則!$C$2:$C$53,MATCH(S1093,事件規則!$A$2:$A$53,0)),"")))</f>
        <v>0</v>
      </c>
      <c r="V1093" s="21"/>
      <c r="W1093" s="22"/>
      <c r="X1093" s="10" t="str">
        <f aca="false">IF(AND(R1093="修改",S1093=""),"請選新事件代碼",IF(AND(R1093&lt;&gt;"修改",S1093&lt;&gt;""),"只有「修改」才需填代碼",""))</f>
        <v/>
      </c>
      <c r="Y1093" s="21"/>
      <c r="Z1093" s="22"/>
      <c r="AA1093" s="12" t="s">
        <v>3112</v>
      </c>
      <c r="AB1093" s="24"/>
    </row>
    <row r="1094" customFormat="false" ht="29.85" hidden="false" customHeight="false" outlineLevel="0" collapsed="false">
      <c r="A1094" s="15" t="n">
        <v>1093</v>
      </c>
      <c r="B1094" s="9" t="s">
        <v>112</v>
      </c>
      <c r="C1094" s="9" t="s">
        <v>3113</v>
      </c>
      <c r="D1094" s="10" t="s">
        <v>3114</v>
      </c>
      <c r="E1094" s="11" t="s">
        <v>3115</v>
      </c>
      <c r="F1094" s="17"/>
      <c r="G1094" s="12" t="s">
        <v>443</v>
      </c>
      <c r="H1094" s="13" t="n">
        <v>-0.031</v>
      </c>
      <c r="I1094" s="14"/>
      <c r="J1094" s="17"/>
      <c r="K1094" s="9"/>
      <c r="L1094" s="15" t="s">
        <v>50</v>
      </c>
      <c r="M1094" s="16" t="s">
        <v>51</v>
      </c>
      <c r="N1094" s="14"/>
      <c r="O1094" s="15" t="s">
        <v>52</v>
      </c>
      <c r="P1094" s="17" t="s">
        <v>53</v>
      </c>
      <c r="Q1094" s="15"/>
      <c r="R1094" s="18" t="s">
        <v>51</v>
      </c>
      <c r="S1094" s="19"/>
      <c r="T1094" s="17" t="str">
        <f aca="false">IF(R1094="維持",J1094,IF(R1094="排除","無關新聞事件",IFERROR(INDEX(事件規則!$B$2:$B$53,MATCH(S1094,事件規則!$A$2:$A$53,0)),"")))</f>
        <v>無關新聞事件</v>
      </c>
      <c r="U1094" s="20" t="n">
        <f aca="false">IF(R1094="維持",K1094,IF(R1094="排除",0,IFERROR(INDEX(事件規則!$C$2:$C$53,MATCH(S1094,事件規則!$A$2:$A$53,0)),"")))</f>
        <v>0</v>
      </c>
      <c r="V1094" s="21"/>
      <c r="W1094" s="22"/>
      <c r="X1094" s="10" t="str">
        <f aca="false">IF(AND(R1094="修改",S1094=""),"請選新事件代碼",IF(AND(R1094&lt;&gt;"修改",S1094&lt;&gt;""),"只有「修改」才需填代碼",""))</f>
        <v/>
      </c>
      <c r="Y1094" s="21"/>
      <c r="Z1094" s="22"/>
      <c r="AA1094" s="12" t="s">
        <v>3116</v>
      </c>
      <c r="AB1094" s="24"/>
    </row>
    <row r="1095" customFormat="false" ht="29.85" hidden="false" customHeight="false" outlineLevel="0" collapsed="false">
      <c r="A1095" s="15" t="n">
        <v>1094</v>
      </c>
      <c r="B1095" s="9" t="s">
        <v>112</v>
      </c>
      <c r="C1095" s="9" t="s">
        <v>3117</v>
      </c>
      <c r="D1095" s="10" t="s">
        <v>3118</v>
      </c>
      <c r="E1095" s="11" t="s">
        <v>3119</v>
      </c>
      <c r="F1095" s="17"/>
      <c r="G1095" s="12" t="s">
        <v>105</v>
      </c>
      <c r="H1095" s="13" t="n">
        <v>-0.031</v>
      </c>
      <c r="I1095" s="14"/>
      <c r="J1095" s="17"/>
      <c r="K1095" s="9"/>
      <c r="L1095" s="15" t="s">
        <v>50</v>
      </c>
      <c r="M1095" s="16" t="s">
        <v>51</v>
      </c>
      <c r="N1095" s="14"/>
      <c r="O1095" s="15" t="s">
        <v>52</v>
      </c>
      <c r="P1095" s="17" t="s">
        <v>53</v>
      </c>
      <c r="Q1095" s="15"/>
      <c r="R1095" s="18" t="s">
        <v>51</v>
      </c>
      <c r="S1095" s="19"/>
      <c r="T1095" s="17" t="str">
        <f aca="false">IF(R1095="維持",J1095,IF(R1095="排除","無關新聞事件",IFERROR(INDEX(事件規則!$B$2:$B$53,MATCH(S1095,事件規則!$A$2:$A$53,0)),"")))</f>
        <v>無關新聞事件</v>
      </c>
      <c r="U1095" s="20" t="n">
        <f aca="false">IF(R1095="維持",K1095,IF(R1095="排除",0,IFERROR(INDEX(事件規則!$C$2:$C$53,MATCH(S1095,事件規則!$A$2:$A$53,0)),"")))</f>
        <v>0</v>
      </c>
      <c r="V1095" s="21"/>
      <c r="W1095" s="22"/>
      <c r="X1095" s="10" t="str">
        <f aca="false">IF(AND(R1095="修改",S1095=""),"請選新事件代碼",IF(AND(R1095&lt;&gt;"修改",S1095&lt;&gt;""),"只有「修改」才需填代碼",""))</f>
        <v/>
      </c>
      <c r="Y1095" s="21"/>
      <c r="Z1095" s="22"/>
      <c r="AA1095" s="12" t="s">
        <v>3120</v>
      </c>
      <c r="AB1095" s="24"/>
    </row>
    <row r="1096" customFormat="false" ht="29.85" hidden="false" customHeight="false" outlineLevel="0" collapsed="false">
      <c r="A1096" s="15" t="n">
        <v>1095</v>
      </c>
      <c r="B1096" s="9" t="s">
        <v>112</v>
      </c>
      <c r="C1096" s="9" t="s">
        <v>716</v>
      </c>
      <c r="D1096" s="10" t="s">
        <v>717</v>
      </c>
      <c r="E1096" s="11" t="s">
        <v>3121</v>
      </c>
      <c r="F1096" s="17"/>
      <c r="G1096" s="12" t="s">
        <v>949</v>
      </c>
      <c r="H1096" s="13" t="n">
        <v>-0.031</v>
      </c>
      <c r="I1096" s="14"/>
      <c r="J1096" s="17"/>
      <c r="K1096" s="9"/>
      <c r="L1096" s="15" t="s">
        <v>50</v>
      </c>
      <c r="M1096" s="16" t="s">
        <v>51</v>
      </c>
      <c r="N1096" s="14"/>
      <c r="O1096" s="15" t="s">
        <v>52</v>
      </c>
      <c r="P1096" s="17" t="s">
        <v>53</v>
      </c>
      <c r="Q1096" s="15"/>
      <c r="R1096" s="18" t="s">
        <v>51</v>
      </c>
      <c r="S1096" s="19"/>
      <c r="T1096" s="17" t="str">
        <f aca="false">IF(R1096="維持",J1096,IF(R1096="排除","無關新聞事件",IFERROR(INDEX(事件規則!$B$2:$B$53,MATCH(S1096,事件規則!$A$2:$A$53,0)),"")))</f>
        <v>無關新聞事件</v>
      </c>
      <c r="U1096" s="20" t="n">
        <f aca="false">IF(R1096="維持",K1096,IF(R1096="排除",0,IFERROR(INDEX(事件規則!$C$2:$C$53,MATCH(S1096,事件規則!$A$2:$A$53,0)),"")))</f>
        <v>0</v>
      </c>
      <c r="V1096" s="21"/>
      <c r="W1096" s="22"/>
      <c r="X1096" s="10" t="str">
        <f aca="false">IF(AND(R1096="修改",S1096=""),"請選新事件代碼",IF(AND(R1096&lt;&gt;"修改",S1096&lt;&gt;""),"只有「修改」才需填代碼",""))</f>
        <v/>
      </c>
      <c r="Y1096" s="21"/>
      <c r="Z1096" s="22"/>
      <c r="AA1096" s="12" t="s">
        <v>3122</v>
      </c>
      <c r="AB1096" s="24"/>
    </row>
    <row r="1097" customFormat="false" ht="29.85" hidden="false" customHeight="false" outlineLevel="0" collapsed="false">
      <c r="A1097" s="15" t="n">
        <v>1096</v>
      </c>
      <c r="B1097" s="9" t="s">
        <v>112</v>
      </c>
      <c r="C1097" s="9" t="s">
        <v>196</v>
      </c>
      <c r="D1097" s="10" t="s">
        <v>197</v>
      </c>
      <c r="E1097" s="11" t="s">
        <v>3123</v>
      </c>
      <c r="F1097" s="17"/>
      <c r="G1097" s="12" t="s">
        <v>105</v>
      </c>
      <c r="H1097" s="13" t="n">
        <v>-0.031</v>
      </c>
      <c r="I1097" s="14"/>
      <c r="J1097" s="17"/>
      <c r="K1097" s="9"/>
      <c r="L1097" s="15" t="s">
        <v>50</v>
      </c>
      <c r="M1097" s="16" t="s">
        <v>51</v>
      </c>
      <c r="N1097" s="14"/>
      <c r="O1097" s="15" t="s">
        <v>52</v>
      </c>
      <c r="P1097" s="17" t="s">
        <v>53</v>
      </c>
      <c r="Q1097" s="15"/>
      <c r="R1097" s="18" t="s">
        <v>51</v>
      </c>
      <c r="S1097" s="19"/>
      <c r="T1097" s="17" t="str">
        <f aca="false">IF(R1097="維持",J1097,IF(R1097="排除","無關新聞事件",IFERROR(INDEX(事件規則!$B$2:$B$53,MATCH(S1097,事件規則!$A$2:$A$53,0)),"")))</f>
        <v>無關新聞事件</v>
      </c>
      <c r="U1097" s="20" t="n">
        <f aca="false">IF(R1097="維持",K1097,IF(R1097="排除",0,IFERROR(INDEX(事件規則!$C$2:$C$53,MATCH(S1097,事件規則!$A$2:$A$53,0)),"")))</f>
        <v>0</v>
      </c>
      <c r="V1097" s="21"/>
      <c r="W1097" s="22"/>
      <c r="X1097" s="10" t="str">
        <f aca="false">IF(AND(R1097="修改",S1097=""),"請選新事件代碼",IF(AND(R1097&lt;&gt;"修改",S1097&lt;&gt;""),"只有「修改」才需填代碼",""))</f>
        <v/>
      </c>
      <c r="Y1097" s="21"/>
      <c r="Z1097" s="22"/>
      <c r="AA1097" s="12" t="s">
        <v>3124</v>
      </c>
      <c r="AB1097" s="24"/>
    </row>
    <row r="1098" customFormat="false" ht="29.85" hidden="false" customHeight="false" outlineLevel="0" collapsed="false">
      <c r="A1098" s="15" t="n">
        <v>1097</v>
      </c>
      <c r="B1098" s="9" t="s">
        <v>112</v>
      </c>
      <c r="C1098" s="9" t="s">
        <v>1899</v>
      </c>
      <c r="D1098" s="10" t="s">
        <v>1900</v>
      </c>
      <c r="E1098" s="11" t="s">
        <v>3125</v>
      </c>
      <c r="F1098" s="17"/>
      <c r="G1098" s="12" t="s">
        <v>949</v>
      </c>
      <c r="H1098" s="13" t="n">
        <v>-0.031</v>
      </c>
      <c r="I1098" s="14"/>
      <c r="J1098" s="17"/>
      <c r="K1098" s="9"/>
      <c r="L1098" s="15" t="s">
        <v>50</v>
      </c>
      <c r="M1098" s="16" t="s">
        <v>51</v>
      </c>
      <c r="N1098" s="14"/>
      <c r="O1098" s="15" t="s">
        <v>52</v>
      </c>
      <c r="P1098" s="17" t="s">
        <v>53</v>
      </c>
      <c r="Q1098" s="15"/>
      <c r="R1098" s="18" t="s">
        <v>51</v>
      </c>
      <c r="S1098" s="19"/>
      <c r="T1098" s="17" t="str">
        <f aca="false">IF(R1098="維持",J1098,IF(R1098="排除","無關新聞事件",IFERROR(INDEX(事件規則!$B$2:$B$53,MATCH(S1098,事件規則!$A$2:$A$53,0)),"")))</f>
        <v>無關新聞事件</v>
      </c>
      <c r="U1098" s="20" t="n">
        <f aca="false">IF(R1098="維持",K1098,IF(R1098="排除",0,IFERROR(INDEX(事件規則!$C$2:$C$53,MATCH(S1098,事件規則!$A$2:$A$53,0)),"")))</f>
        <v>0</v>
      </c>
      <c r="V1098" s="21"/>
      <c r="W1098" s="22"/>
      <c r="X1098" s="10" t="str">
        <f aca="false">IF(AND(R1098="修改",S1098=""),"請選新事件代碼",IF(AND(R1098&lt;&gt;"修改",S1098&lt;&gt;""),"只有「修改」才需填代碼",""))</f>
        <v/>
      </c>
      <c r="Y1098" s="21"/>
      <c r="Z1098" s="22"/>
      <c r="AA1098" s="12" t="s">
        <v>3126</v>
      </c>
      <c r="AB1098" s="24"/>
    </row>
    <row r="1099" customFormat="false" ht="29.85" hidden="false" customHeight="false" outlineLevel="0" collapsed="false">
      <c r="A1099" s="15" t="n">
        <v>1098</v>
      </c>
      <c r="B1099" s="9" t="s">
        <v>112</v>
      </c>
      <c r="C1099" s="9" t="s">
        <v>3117</v>
      </c>
      <c r="D1099" s="10" t="s">
        <v>3118</v>
      </c>
      <c r="E1099" s="11" t="s">
        <v>3127</v>
      </c>
      <c r="F1099" s="17"/>
      <c r="G1099" s="12" t="s">
        <v>105</v>
      </c>
      <c r="H1099" s="13" t="n">
        <v>-0.031</v>
      </c>
      <c r="I1099" s="14"/>
      <c r="J1099" s="17"/>
      <c r="K1099" s="9"/>
      <c r="L1099" s="15" t="s">
        <v>50</v>
      </c>
      <c r="M1099" s="16" t="s">
        <v>51</v>
      </c>
      <c r="N1099" s="14"/>
      <c r="O1099" s="15" t="s">
        <v>52</v>
      </c>
      <c r="P1099" s="17" t="s">
        <v>53</v>
      </c>
      <c r="Q1099" s="15"/>
      <c r="R1099" s="18" t="s">
        <v>51</v>
      </c>
      <c r="S1099" s="19"/>
      <c r="T1099" s="17" t="str">
        <f aca="false">IF(R1099="維持",J1099,IF(R1099="排除","無關新聞事件",IFERROR(INDEX(事件規則!$B$2:$B$53,MATCH(S1099,事件規則!$A$2:$A$53,0)),"")))</f>
        <v>無關新聞事件</v>
      </c>
      <c r="U1099" s="20" t="n">
        <f aca="false">IF(R1099="維持",K1099,IF(R1099="排除",0,IFERROR(INDEX(事件規則!$C$2:$C$53,MATCH(S1099,事件規則!$A$2:$A$53,0)),"")))</f>
        <v>0</v>
      </c>
      <c r="V1099" s="21"/>
      <c r="W1099" s="22"/>
      <c r="X1099" s="10" t="str">
        <f aca="false">IF(AND(R1099="修改",S1099=""),"請選新事件代碼",IF(AND(R1099&lt;&gt;"修改",S1099&lt;&gt;""),"只有「修改」才需填代碼",""))</f>
        <v/>
      </c>
      <c r="Y1099" s="21"/>
      <c r="Z1099" s="22"/>
      <c r="AA1099" s="12" t="s">
        <v>3128</v>
      </c>
      <c r="AB1099" s="24"/>
    </row>
    <row r="1100" customFormat="false" ht="29.85" hidden="false" customHeight="false" outlineLevel="0" collapsed="false">
      <c r="A1100" s="15" t="n">
        <v>1099</v>
      </c>
      <c r="B1100" s="9" t="s">
        <v>112</v>
      </c>
      <c r="C1100" s="9" t="s">
        <v>1196</v>
      </c>
      <c r="D1100" s="10" t="s">
        <v>1197</v>
      </c>
      <c r="E1100" s="11" t="s">
        <v>3129</v>
      </c>
      <c r="F1100" s="17"/>
      <c r="G1100" s="12" t="s">
        <v>949</v>
      </c>
      <c r="H1100" s="13" t="n">
        <v>-0.031</v>
      </c>
      <c r="I1100" s="14"/>
      <c r="J1100" s="17"/>
      <c r="K1100" s="9"/>
      <c r="L1100" s="15" t="s">
        <v>50</v>
      </c>
      <c r="M1100" s="16" t="s">
        <v>51</v>
      </c>
      <c r="N1100" s="14"/>
      <c r="O1100" s="15" t="s">
        <v>52</v>
      </c>
      <c r="P1100" s="17" t="s">
        <v>53</v>
      </c>
      <c r="Q1100" s="15"/>
      <c r="R1100" s="18" t="s">
        <v>51</v>
      </c>
      <c r="S1100" s="19"/>
      <c r="T1100" s="17" t="str">
        <f aca="false">IF(R1100="維持",J1100,IF(R1100="排除","無關新聞事件",IFERROR(INDEX(事件規則!$B$2:$B$53,MATCH(S1100,事件規則!$A$2:$A$53,0)),"")))</f>
        <v>無關新聞事件</v>
      </c>
      <c r="U1100" s="20" t="n">
        <f aca="false">IF(R1100="維持",K1100,IF(R1100="排除",0,IFERROR(INDEX(事件規則!$C$2:$C$53,MATCH(S1100,事件規則!$A$2:$A$53,0)),"")))</f>
        <v>0</v>
      </c>
      <c r="V1100" s="21"/>
      <c r="W1100" s="22"/>
      <c r="X1100" s="10" t="str">
        <f aca="false">IF(AND(R1100="修改",S1100=""),"請選新事件代碼",IF(AND(R1100&lt;&gt;"修改",S1100&lt;&gt;""),"只有「修改」才需填代碼",""))</f>
        <v/>
      </c>
      <c r="Y1100" s="21"/>
      <c r="Z1100" s="22"/>
      <c r="AA1100" s="12" t="s">
        <v>3130</v>
      </c>
      <c r="AB1100" s="24"/>
    </row>
    <row r="1101" customFormat="false" ht="29.85" hidden="false" customHeight="false" outlineLevel="0" collapsed="false">
      <c r="A1101" s="15" t="n">
        <v>1100</v>
      </c>
      <c r="B1101" s="9" t="s">
        <v>112</v>
      </c>
      <c r="C1101" s="9" t="s">
        <v>1086</v>
      </c>
      <c r="D1101" s="10" t="s">
        <v>1087</v>
      </c>
      <c r="E1101" s="11" t="s">
        <v>3131</v>
      </c>
      <c r="F1101" s="17"/>
      <c r="G1101" s="12" t="s">
        <v>949</v>
      </c>
      <c r="H1101" s="13" t="n">
        <v>-0.031</v>
      </c>
      <c r="I1101" s="14"/>
      <c r="J1101" s="17"/>
      <c r="K1101" s="9"/>
      <c r="L1101" s="15" t="s">
        <v>50</v>
      </c>
      <c r="M1101" s="16" t="s">
        <v>51</v>
      </c>
      <c r="N1101" s="14"/>
      <c r="O1101" s="15" t="s">
        <v>52</v>
      </c>
      <c r="P1101" s="17" t="s">
        <v>53</v>
      </c>
      <c r="Q1101" s="15"/>
      <c r="R1101" s="18" t="s">
        <v>51</v>
      </c>
      <c r="S1101" s="19"/>
      <c r="T1101" s="17" t="str">
        <f aca="false">IF(R1101="維持",J1101,IF(R1101="排除","無關新聞事件",IFERROR(INDEX(事件規則!$B$2:$B$53,MATCH(S1101,事件規則!$A$2:$A$53,0)),"")))</f>
        <v>無關新聞事件</v>
      </c>
      <c r="U1101" s="20" t="n">
        <f aca="false">IF(R1101="維持",K1101,IF(R1101="排除",0,IFERROR(INDEX(事件規則!$C$2:$C$53,MATCH(S1101,事件規則!$A$2:$A$53,0)),"")))</f>
        <v>0</v>
      </c>
      <c r="V1101" s="21"/>
      <c r="W1101" s="22"/>
      <c r="X1101" s="10" t="str">
        <f aca="false">IF(AND(R1101="修改",S1101=""),"請選新事件代碼",IF(AND(R1101&lt;&gt;"修改",S1101&lt;&gt;""),"只有「修改」才需填代碼",""))</f>
        <v/>
      </c>
      <c r="Y1101" s="21"/>
      <c r="Z1101" s="22"/>
      <c r="AA1101" s="12" t="s">
        <v>3132</v>
      </c>
      <c r="AB1101" s="24"/>
    </row>
    <row r="1102" customFormat="false" ht="29.85" hidden="false" customHeight="false" outlineLevel="0" collapsed="false">
      <c r="A1102" s="15" t="n">
        <v>1101</v>
      </c>
      <c r="B1102" s="9" t="s">
        <v>112</v>
      </c>
      <c r="C1102" s="9" t="s">
        <v>672</v>
      </c>
      <c r="D1102" s="10" t="s">
        <v>673</v>
      </c>
      <c r="E1102" s="11" t="s">
        <v>3133</v>
      </c>
      <c r="F1102" s="17"/>
      <c r="G1102" s="12" t="s">
        <v>176</v>
      </c>
      <c r="H1102" s="13" t="n">
        <v>-0.031</v>
      </c>
      <c r="I1102" s="14"/>
      <c r="J1102" s="17"/>
      <c r="K1102" s="9"/>
      <c r="L1102" s="15" t="s">
        <v>50</v>
      </c>
      <c r="M1102" s="16" t="s">
        <v>51</v>
      </c>
      <c r="N1102" s="14"/>
      <c r="O1102" s="15" t="s">
        <v>52</v>
      </c>
      <c r="P1102" s="17" t="s">
        <v>53</v>
      </c>
      <c r="Q1102" s="15"/>
      <c r="R1102" s="18" t="s">
        <v>51</v>
      </c>
      <c r="S1102" s="19"/>
      <c r="T1102" s="17" t="str">
        <f aca="false">IF(R1102="維持",J1102,IF(R1102="排除","無關新聞事件",IFERROR(INDEX(事件規則!$B$2:$B$53,MATCH(S1102,事件規則!$A$2:$A$53,0)),"")))</f>
        <v>無關新聞事件</v>
      </c>
      <c r="U1102" s="20" t="n">
        <f aca="false">IF(R1102="維持",K1102,IF(R1102="排除",0,IFERROR(INDEX(事件規則!$C$2:$C$53,MATCH(S1102,事件規則!$A$2:$A$53,0)),"")))</f>
        <v>0</v>
      </c>
      <c r="V1102" s="21"/>
      <c r="W1102" s="22"/>
      <c r="X1102" s="10" t="str">
        <f aca="false">IF(AND(R1102="修改",S1102=""),"請選新事件代碼",IF(AND(R1102&lt;&gt;"修改",S1102&lt;&gt;""),"只有「修改」才需填代碼",""))</f>
        <v/>
      </c>
      <c r="Y1102" s="21"/>
      <c r="Z1102" s="22"/>
      <c r="AA1102" s="12" t="s">
        <v>3134</v>
      </c>
      <c r="AB1102" s="24"/>
    </row>
    <row r="1103" customFormat="false" ht="29.85" hidden="false" customHeight="false" outlineLevel="0" collapsed="false">
      <c r="A1103" s="15" t="n">
        <v>1102</v>
      </c>
      <c r="B1103" s="9" t="s">
        <v>112</v>
      </c>
      <c r="C1103" s="9" t="s">
        <v>3135</v>
      </c>
      <c r="D1103" s="10" t="s">
        <v>3136</v>
      </c>
      <c r="E1103" s="11" t="s">
        <v>3137</v>
      </c>
      <c r="F1103" s="17"/>
      <c r="G1103" s="12" t="s">
        <v>49</v>
      </c>
      <c r="H1103" s="13" t="n">
        <v>-0.031</v>
      </c>
      <c r="I1103" s="14"/>
      <c r="J1103" s="17"/>
      <c r="K1103" s="9"/>
      <c r="L1103" s="15" t="s">
        <v>50</v>
      </c>
      <c r="M1103" s="16" t="s">
        <v>51</v>
      </c>
      <c r="N1103" s="14"/>
      <c r="O1103" s="15" t="s">
        <v>52</v>
      </c>
      <c r="P1103" s="17" t="s">
        <v>53</v>
      </c>
      <c r="Q1103" s="15"/>
      <c r="R1103" s="18" t="s">
        <v>51</v>
      </c>
      <c r="S1103" s="19"/>
      <c r="T1103" s="17" t="str">
        <f aca="false">IF(R1103="維持",J1103,IF(R1103="排除","無關新聞事件",IFERROR(INDEX(事件規則!$B$2:$B$53,MATCH(S1103,事件規則!$A$2:$A$53,0)),"")))</f>
        <v>無關新聞事件</v>
      </c>
      <c r="U1103" s="20" t="n">
        <f aca="false">IF(R1103="維持",K1103,IF(R1103="排除",0,IFERROR(INDEX(事件規則!$C$2:$C$53,MATCH(S1103,事件規則!$A$2:$A$53,0)),"")))</f>
        <v>0</v>
      </c>
      <c r="V1103" s="21"/>
      <c r="W1103" s="22"/>
      <c r="X1103" s="10" t="str">
        <f aca="false">IF(AND(R1103="修改",S1103=""),"請選新事件代碼",IF(AND(R1103&lt;&gt;"修改",S1103&lt;&gt;""),"只有「修改」才需填代碼",""))</f>
        <v/>
      </c>
      <c r="Y1103" s="21"/>
      <c r="Z1103" s="22"/>
      <c r="AA1103" s="12" t="s">
        <v>3138</v>
      </c>
      <c r="AB1103" s="24"/>
    </row>
    <row r="1104" customFormat="false" ht="29.85" hidden="false" customHeight="false" outlineLevel="0" collapsed="false">
      <c r="A1104" s="15" t="n">
        <v>1103</v>
      </c>
      <c r="B1104" s="9" t="s">
        <v>112</v>
      </c>
      <c r="C1104" s="9" t="s">
        <v>268</v>
      </c>
      <c r="D1104" s="10" t="s">
        <v>269</v>
      </c>
      <c r="E1104" s="11" t="s">
        <v>3139</v>
      </c>
      <c r="F1104" s="17"/>
      <c r="G1104" s="12" t="s">
        <v>176</v>
      </c>
      <c r="H1104" s="13" t="n">
        <v>-0.031</v>
      </c>
      <c r="I1104" s="14"/>
      <c r="J1104" s="17"/>
      <c r="K1104" s="9"/>
      <c r="L1104" s="15" t="s">
        <v>50</v>
      </c>
      <c r="M1104" s="16" t="s">
        <v>51</v>
      </c>
      <c r="N1104" s="14"/>
      <c r="O1104" s="15" t="s">
        <v>52</v>
      </c>
      <c r="P1104" s="17" t="s">
        <v>53</v>
      </c>
      <c r="Q1104" s="15"/>
      <c r="R1104" s="18" t="s">
        <v>51</v>
      </c>
      <c r="S1104" s="19"/>
      <c r="T1104" s="17" t="str">
        <f aca="false">IF(R1104="維持",J1104,IF(R1104="排除","無關新聞事件",IFERROR(INDEX(事件規則!$B$2:$B$53,MATCH(S1104,事件規則!$A$2:$A$53,0)),"")))</f>
        <v>無關新聞事件</v>
      </c>
      <c r="U1104" s="20" t="n">
        <f aca="false">IF(R1104="維持",K1104,IF(R1104="排除",0,IFERROR(INDEX(事件規則!$C$2:$C$53,MATCH(S1104,事件規則!$A$2:$A$53,0)),"")))</f>
        <v>0</v>
      </c>
      <c r="V1104" s="21"/>
      <c r="W1104" s="22"/>
      <c r="X1104" s="10" t="str">
        <f aca="false">IF(AND(R1104="修改",S1104=""),"請選新事件代碼",IF(AND(R1104&lt;&gt;"修改",S1104&lt;&gt;""),"只有「修改」才需填代碼",""))</f>
        <v/>
      </c>
      <c r="Y1104" s="21"/>
      <c r="Z1104" s="22"/>
      <c r="AA1104" s="12" t="s">
        <v>3140</v>
      </c>
      <c r="AB1104" s="24"/>
    </row>
    <row r="1105" customFormat="false" ht="29.85" hidden="false" customHeight="false" outlineLevel="0" collapsed="false">
      <c r="A1105" s="15" t="n">
        <v>1104</v>
      </c>
      <c r="B1105" s="9" t="s">
        <v>55</v>
      </c>
      <c r="C1105" s="9" t="s">
        <v>3141</v>
      </c>
      <c r="D1105" s="10" t="s">
        <v>3142</v>
      </c>
      <c r="E1105" s="11" t="s">
        <v>3143</v>
      </c>
      <c r="F1105" s="17"/>
      <c r="G1105" s="12" t="s">
        <v>1136</v>
      </c>
      <c r="H1105" s="13" t="n">
        <v>-0.031</v>
      </c>
      <c r="I1105" s="14"/>
      <c r="J1105" s="17"/>
      <c r="K1105" s="9"/>
      <c r="L1105" s="15" t="s">
        <v>50</v>
      </c>
      <c r="M1105" s="16" t="s">
        <v>51</v>
      </c>
      <c r="N1105" s="14"/>
      <c r="O1105" s="15" t="s">
        <v>52</v>
      </c>
      <c r="P1105" s="17" t="s">
        <v>53</v>
      </c>
      <c r="Q1105" s="15"/>
      <c r="R1105" s="18" t="s">
        <v>51</v>
      </c>
      <c r="S1105" s="19"/>
      <c r="T1105" s="17" t="str">
        <f aca="false">IF(R1105="維持",J1105,IF(R1105="排除","無關新聞事件",IFERROR(INDEX(事件規則!$B$2:$B$53,MATCH(S1105,事件規則!$A$2:$A$53,0)),"")))</f>
        <v>無關新聞事件</v>
      </c>
      <c r="U1105" s="20" t="n">
        <f aca="false">IF(R1105="維持",K1105,IF(R1105="排除",0,IFERROR(INDEX(事件規則!$C$2:$C$53,MATCH(S1105,事件規則!$A$2:$A$53,0)),"")))</f>
        <v>0</v>
      </c>
      <c r="V1105" s="21"/>
      <c r="W1105" s="22"/>
      <c r="X1105" s="10" t="str">
        <f aca="false">IF(AND(R1105="修改",S1105=""),"請選新事件代碼",IF(AND(R1105&lt;&gt;"修改",S1105&lt;&gt;""),"只有「修改」才需填代碼",""))</f>
        <v/>
      </c>
      <c r="Y1105" s="21"/>
      <c r="Z1105" s="22"/>
      <c r="AA1105" s="12" t="s">
        <v>3144</v>
      </c>
      <c r="AB1105" s="24"/>
    </row>
    <row r="1106" customFormat="false" ht="29.85" hidden="false" customHeight="false" outlineLevel="0" collapsed="false">
      <c r="A1106" s="15" t="n">
        <v>1105</v>
      </c>
      <c r="B1106" s="9" t="s">
        <v>81</v>
      </c>
      <c r="C1106" s="9" t="s">
        <v>2169</v>
      </c>
      <c r="D1106" s="10" t="s">
        <v>2170</v>
      </c>
      <c r="E1106" s="11" t="s">
        <v>3145</v>
      </c>
      <c r="F1106" s="17"/>
      <c r="G1106" s="12" t="s">
        <v>105</v>
      </c>
      <c r="H1106" s="13" t="n">
        <v>-0.031</v>
      </c>
      <c r="I1106" s="14"/>
      <c r="J1106" s="17"/>
      <c r="K1106" s="9"/>
      <c r="L1106" s="15" t="s">
        <v>50</v>
      </c>
      <c r="M1106" s="16" t="s">
        <v>51</v>
      </c>
      <c r="N1106" s="14"/>
      <c r="O1106" s="15" t="s">
        <v>52</v>
      </c>
      <c r="P1106" s="17" t="s">
        <v>53</v>
      </c>
      <c r="Q1106" s="15"/>
      <c r="R1106" s="18" t="s">
        <v>51</v>
      </c>
      <c r="S1106" s="19"/>
      <c r="T1106" s="17" t="str">
        <f aca="false">IF(R1106="維持",J1106,IF(R1106="排除","無關新聞事件",IFERROR(INDEX(事件規則!$B$2:$B$53,MATCH(S1106,事件規則!$A$2:$A$53,0)),"")))</f>
        <v>無關新聞事件</v>
      </c>
      <c r="U1106" s="20" t="n">
        <f aca="false">IF(R1106="維持",K1106,IF(R1106="排除",0,IFERROR(INDEX(事件規則!$C$2:$C$53,MATCH(S1106,事件規則!$A$2:$A$53,0)),"")))</f>
        <v>0</v>
      </c>
      <c r="V1106" s="21"/>
      <c r="W1106" s="22"/>
      <c r="X1106" s="10" t="str">
        <f aca="false">IF(AND(R1106="修改",S1106=""),"請選新事件代碼",IF(AND(R1106&lt;&gt;"修改",S1106&lt;&gt;""),"只有「修改」才需填代碼",""))</f>
        <v/>
      </c>
      <c r="Y1106" s="21"/>
      <c r="Z1106" s="22"/>
      <c r="AA1106" s="12" t="s">
        <v>3146</v>
      </c>
      <c r="AB1106" s="24"/>
    </row>
    <row r="1107" customFormat="false" ht="29.85" hidden="false" customHeight="false" outlineLevel="0" collapsed="false">
      <c r="A1107" s="15" t="n">
        <v>1106</v>
      </c>
      <c r="B1107" s="9" t="s">
        <v>45</v>
      </c>
      <c r="C1107" s="9" t="s">
        <v>202</v>
      </c>
      <c r="D1107" s="10" t="s">
        <v>203</v>
      </c>
      <c r="E1107" s="11" t="s">
        <v>3147</v>
      </c>
      <c r="F1107" s="17"/>
      <c r="G1107" s="12" t="s">
        <v>3148</v>
      </c>
      <c r="H1107" s="13" t="n">
        <v>-0.031</v>
      </c>
      <c r="I1107" s="14"/>
      <c r="J1107" s="17"/>
      <c r="K1107" s="9"/>
      <c r="L1107" s="15" t="s">
        <v>50</v>
      </c>
      <c r="M1107" s="16" t="s">
        <v>51</v>
      </c>
      <c r="N1107" s="14"/>
      <c r="O1107" s="15" t="s">
        <v>52</v>
      </c>
      <c r="P1107" s="17" t="s">
        <v>53</v>
      </c>
      <c r="Q1107" s="15"/>
      <c r="R1107" s="18" t="s">
        <v>51</v>
      </c>
      <c r="S1107" s="19"/>
      <c r="T1107" s="17" t="str">
        <f aca="false">IF(R1107="維持",J1107,IF(R1107="排除","無關新聞事件",IFERROR(INDEX(事件規則!$B$2:$B$53,MATCH(S1107,事件規則!$A$2:$A$53,0)),"")))</f>
        <v>無關新聞事件</v>
      </c>
      <c r="U1107" s="20" t="n">
        <f aca="false">IF(R1107="維持",K1107,IF(R1107="排除",0,IFERROR(INDEX(事件規則!$C$2:$C$53,MATCH(S1107,事件規則!$A$2:$A$53,0)),"")))</f>
        <v>0</v>
      </c>
      <c r="V1107" s="21"/>
      <c r="W1107" s="22"/>
      <c r="X1107" s="10" t="str">
        <f aca="false">IF(AND(R1107="修改",S1107=""),"請選新事件代碼",IF(AND(R1107&lt;&gt;"修改",S1107&lt;&gt;""),"只有「修改」才需填代碼",""))</f>
        <v/>
      </c>
      <c r="Y1107" s="21"/>
      <c r="Z1107" s="22"/>
      <c r="AA1107" s="12" t="s">
        <v>3149</v>
      </c>
      <c r="AB1107" s="24"/>
    </row>
    <row r="1108" customFormat="false" ht="29.85" hidden="false" customHeight="false" outlineLevel="0" collapsed="false">
      <c r="A1108" s="15" t="n">
        <v>1107</v>
      </c>
      <c r="B1108" s="9" t="s">
        <v>45</v>
      </c>
      <c r="C1108" s="9" t="s">
        <v>1021</v>
      </c>
      <c r="D1108" s="10" t="s">
        <v>1022</v>
      </c>
      <c r="E1108" s="11" t="s">
        <v>3150</v>
      </c>
      <c r="F1108" s="17"/>
      <c r="G1108" s="12" t="s">
        <v>949</v>
      </c>
      <c r="H1108" s="13" t="n">
        <v>-0.031</v>
      </c>
      <c r="I1108" s="14"/>
      <c r="J1108" s="17"/>
      <c r="K1108" s="9"/>
      <c r="L1108" s="15" t="s">
        <v>50</v>
      </c>
      <c r="M1108" s="16" t="s">
        <v>51</v>
      </c>
      <c r="N1108" s="14"/>
      <c r="O1108" s="15" t="s">
        <v>52</v>
      </c>
      <c r="P1108" s="17" t="s">
        <v>53</v>
      </c>
      <c r="Q1108" s="15"/>
      <c r="R1108" s="18" t="s">
        <v>51</v>
      </c>
      <c r="S1108" s="19"/>
      <c r="T1108" s="17" t="str">
        <f aca="false">IF(R1108="維持",J1108,IF(R1108="排除","無關新聞事件",IFERROR(INDEX(事件規則!$B$2:$B$53,MATCH(S1108,事件規則!$A$2:$A$53,0)),"")))</f>
        <v>無關新聞事件</v>
      </c>
      <c r="U1108" s="20" t="n">
        <f aca="false">IF(R1108="維持",K1108,IF(R1108="排除",0,IFERROR(INDEX(事件規則!$C$2:$C$53,MATCH(S1108,事件規則!$A$2:$A$53,0)),"")))</f>
        <v>0</v>
      </c>
      <c r="V1108" s="21"/>
      <c r="W1108" s="22"/>
      <c r="X1108" s="10" t="str">
        <f aca="false">IF(AND(R1108="修改",S1108=""),"請選新事件代碼",IF(AND(R1108&lt;&gt;"修改",S1108&lt;&gt;""),"只有「修改」才需填代碼",""))</f>
        <v/>
      </c>
      <c r="Y1108" s="21"/>
      <c r="Z1108" s="22"/>
      <c r="AA1108" s="12" t="s">
        <v>3151</v>
      </c>
      <c r="AB1108" s="24"/>
    </row>
    <row r="1109" customFormat="false" ht="29.85" hidden="false" customHeight="false" outlineLevel="0" collapsed="false">
      <c r="A1109" s="15" t="n">
        <v>1108</v>
      </c>
      <c r="B1109" s="9" t="s">
        <v>45</v>
      </c>
      <c r="C1109" s="9" t="s">
        <v>113</v>
      </c>
      <c r="D1109" s="10" t="s">
        <v>114</v>
      </c>
      <c r="E1109" s="11" t="s">
        <v>3152</v>
      </c>
      <c r="F1109" s="17"/>
      <c r="G1109" s="12" t="s">
        <v>949</v>
      </c>
      <c r="H1109" s="13" t="n">
        <v>-0.031</v>
      </c>
      <c r="I1109" s="14"/>
      <c r="J1109" s="17"/>
      <c r="K1109" s="9"/>
      <c r="L1109" s="15" t="s">
        <v>50</v>
      </c>
      <c r="M1109" s="16" t="s">
        <v>51</v>
      </c>
      <c r="N1109" s="14"/>
      <c r="O1109" s="15" t="s">
        <v>52</v>
      </c>
      <c r="P1109" s="17" t="s">
        <v>53</v>
      </c>
      <c r="Q1109" s="15"/>
      <c r="R1109" s="18" t="s">
        <v>51</v>
      </c>
      <c r="S1109" s="19"/>
      <c r="T1109" s="17" t="str">
        <f aca="false">IF(R1109="維持",J1109,IF(R1109="排除","無關新聞事件",IFERROR(INDEX(事件規則!$B$2:$B$53,MATCH(S1109,事件規則!$A$2:$A$53,0)),"")))</f>
        <v>無關新聞事件</v>
      </c>
      <c r="U1109" s="20" t="n">
        <f aca="false">IF(R1109="維持",K1109,IF(R1109="排除",0,IFERROR(INDEX(事件規則!$C$2:$C$53,MATCH(S1109,事件規則!$A$2:$A$53,0)),"")))</f>
        <v>0</v>
      </c>
      <c r="V1109" s="21"/>
      <c r="W1109" s="22"/>
      <c r="X1109" s="10" t="str">
        <f aca="false">IF(AND(R1109="修改",S1109=""),"請選新事件代碼",IF(AND(R1109&lt;&gt;"修改",S1109&lt;&gt;""),"只有「修改」才需填代碼",""))</f>
        <v/>
      </c>
      <c r="Y1109" s="21"/>
      <c r="Z1109" s="22"/>
      <c r="AA1109" s="12" t="s">
        <v>3153</v>
      </c>
      <c r="AB1109" s="24"/>
    </row>
    <row r="1110" customFormat="false" ht="29.85" hidden="false" customHeight="false" outlineLevel="0" collapsed="false">
      <c r="A1110" s="15" t="n">
        <v>1109</v>
      </c>
      <c r="B1110" s="9" t="s">
        <v>45</v>
      </c>
      <c r="C1110" s="9" t="s">
        <v>1555</v>
      </c>
      <c r="D1110" s="10" t="s">
        <v>1556</v>
      </c>
      <c r="E1110" s="11" t="s">
        <v>3154</v>
      </c>
      <c r="F1110" s="17"/>
      <c r="G1110" s="12" t="s">
        <v>949</v>
      </c>
      <c r="H1110" s="13" t="n">
        <v>-0.031</v>
      </c>
      <c r="I1110" s="14"/>
      <c r="J1110" s="17"/>
      <c r="K1110" s="9"/>
      <c r="L1110" s="15" t="s">
        <v>50</v>
      </c>
      <c r="M1110" s="16" t="s">
        <v>51</v>
      </c>
      <c r="N1110" s="14"/>
      <c r="O1110" s="15" t="s">
        <v>52</v>
      </c>
      <c r="P1110" s="17" t="s">
        <v>53</v>
      </c>
      <c r="Q1110" s="15"/>
      <c r="R1110" s="18" t="s">
        <v>51</v>
      </c>
      <c r="S1110" s="19"/>
      <c r="T1110" s="17" t="str">
        <f aca="false">IF(R1110="維持",J1110,IF(R1110="排除","無關新聞事件",IFERROR(INDEX(事件規則!$B$2:$B$53,MATCH(S1110,事件規則!$A$2:$A$53,0)),"")))</f>
        <v>無關新聞事件</v>
      </c>
      <c r="U1110" s="20" t="n">
        <f aca="false">IF(R1110="維持",K1110,IF(R1110="排除",0,IFERROR(INDEX(事件規則!$C$2:$C$53,MATCH(S1110,事件規則!$A$2:$A$53,0)),"")))</f>
        <v>0</v>
      </c>
      <c r="V1110" s="21"/>
      <c r="W1110" s="22"/>
      <c r="X1110" s="10" t="str">
        <f aca="false">IF(AND(R1110="修改",S1110=""),"請選新事件代碼",IF(AND(R1110&lt;&gt;"修改",S1110&lt;&gt;""),"只有「修改」才需填代碼",""))</f>
        <v/>
      </c>
      <c r="Y1110" s="21"/>
      <c r="Z1110" s="22"/>
      <c r="AA1110" s="12" t="s">
        <v>3155</v>
      </c>
      <c r="AB1110" s="24"/>
    </row>
    <row r="1111" customFormat="false" ht="29.85" hidden="false" customHeight="false" outlineLevel="0" collapsed="false">
      <c r="A1111" s="15" t="n">
        <v>1110</v>
      </c>
      <c r="B1111" s="9" t="s">
        <v>45</v>
      </c>
      <c r="C1111" s="9" t="s">
        <v>1555</v>
      </c>
      <c r="D1111" s="10" t="s">
        <v>1556</v>
      </c>
      <c r="E1111" s="11" t="s">
        <v>3156</v>
      </c>
      <c r="F1111" s="17"/>
      <c r="G1111" s="12" t="s">
        <v>949</v>
      </c>
      <c r="H1111" s="13" t="n">
        <v>-0.031</v>
      </c>
      <c r="I1111" s="14"/>
      <c r="J1111" s="17"/>
      <c r="K1111" s="9"/>
      <c r="L1111" s="15" t="s">
        <v>50</v>
      </c>
      <c r="M1111" s="16" t="s">
        <v>51</v>
      </c>
      <c r="N1111" s="14"/>
      <c r="O1111" s="15" t="s">
        <v>52</v>
      </c>
      <c r="P1111" s="17" t="s">
        <v>53</v>
      </c>
      <c r="Q1111" s="15"/>
      <c r="R1111" s="18" t="s">
        <v>51</v>
      </c>
      <c r="S1111" s="19"/>
      <c r="T1111" s="17" t="str">
        <f aca="false">IF(R1111="維持",J1111,IF(R1111="排除","無關新聞事件",IFERROR(INDEX(事件規則!$B$2:$B$53,MATCH(S1111,事件規則!$A$2:$A$53,0)),"")))</f>
        <v>無關新聞事件</v>
      </c>
      <c r="U1111" s="20" t="n">
        <f aca="false">IF(R1111="維持",K1111,IF(R1111="排除",0,IFERROR(INDEX(事件規則!$C$2:$C$53,MATCH(S1111,事件規則!$A$2:$A$53,0)),"")))</f>
        <v>0</v>
      </c>
      <c r="V1111" s="21"/>
      <c r="W1111" s="22"/>
      <c r="X1111" s="10" t="str">
        <f aca="false">IF(AND(R1111="修改",S1111=""),"請選新事件代碼",IF(AND(R1111&lt;&gt;"修改",S1111&lt;&gt;""),"只有「修改」才需填代碼",""))</f>
        <v/>
      </c>
      <c r="Y1111" s="21"/>
      <c r="Z1111" s="22"/>
      <c r="AA1111" s="12" t="s">
        <v>3157</v>
      </c>
      <c r="AB1111" s="24"/>
    </row>
    <row r="1112" customFormat="false" ht="29.85" hidden="false" customHeight="false" outlineLevel="0" collapsed="false">
      <c r="A1112" s="15" t="n">
        <v>1111</v>
      </c>
      <c r="B1112" s="9" t="s">
        <v>45</v>
      </c>
      <c r="C1112" s="9" t="s">
        <v>1555</v>
      </c>
      <c r="D1112" s="10" t="s">
        <v>1556</v>
      </c>
      <c r="E1112" s="11" t="s">
        <v>3158</v>
      </c>
      <c r="F1112" s="17"/>
      <c r="G1112" s="12" t="s">
        <v>949</v>
      </c>
      <c r="H1112" s="13" t="n">
        <v>-0.031</v>
      </c>
      <c r="I1112" s="14"/>
      <c r="J1112" s="17"/>
      <c r="K1112" s="9"/>
      <c r="L1112" s="15" t="s">
        <v>50</v>
      </c>
      <c r="M1112" s="16" t="s">
        <v>51</v>
      </c>
      <c r="N1112" s="14"/>
      <c r="O1112" s="15" t="s">
        <v>52</v>
      </c>
      <c r="P1112" s="17" t="s">
        <v>53</v>
      </c>
      <c r="Q1112" s="15"/>
      <c r="R1112" s="18" t="s">
        <v>51</v>
      </c>
      <c r="S1112" s="19"/>
      <c r="T1112" s="17" t="str">
        <f aca="false">IF(R1112="維持",J1112,IF(R1112="排除","無關新聞事件",IFERROR(INDEX(事件規則!$B$2:$B$53,MATCH(S1112,事件規則!$A$2:$A$53,0)),"")))</f>
        <v>無關新聞事件</v>
      </c>
      <c r="U1112" s="20" t="n">
        <f aca="false">IF(R1112="維持",K1112,IF(R1112="排除",0,IFERROR(INDEX(事件規則!$C$2:$C$53,MATCH(S1112,事件規則!$A$2:$A$53,0)),"")))</f>
        <v>0</v>
      </c>
      <c r="V1112" s="21"/>
      <c r="W1112" s="22"/>
      <c r="X1112" s="10" t="str">
        <f aca="false">IF(AND(R1112="修改",S1112=""),"請選新事件代碼",IF(AND(R1112&lt;&gt;"修改",S1112&lt;&gt;""),"只有「修改」才需填代碼",""))</f>
        <v/>
      </c>
      <c r="Y1112" s="21"/>
      <c r="Z1112" s="22"/>
      <c r="AA1112" s="12" t="s">
        <v>3159</v>
      </c>
      <c r="AB1112" s="24"/>
    </row>
    <row r="1113" customFormat="false" ht="29.85" hidden="false" customHeight="false" outlineLevel="0" collapsed="false">
      <c r="A1113" s="15" t="n">
        <v>1112</v>
      </c>
      <c r="B1113" s="9" t="s">
        <v>112</v>
      </c>
      <c r="C1113" s="9" t="s">
        <v>2598</v>
      </c>
      <c r="D1113" s="10" t="s">
        <v>2599</v>
      </c>
      <c r="E1113" s="11" t="s">
        <v>3160</v>
      </c>
      <c r="F1113" s="17"/>
      <c r="G1113" s="12" t="s">
        <v>105</v>
      </c>
      <c r="H1113" s="13" t="n">
        <v>-0.031</v>
      </c>
      <c r="I1113" s="14"/>
      <c r="J1113" s="17"/>
      <c r="K1113" s="9"/>
      <c r="L1113" s="15" t="s">
        <v>50</v>
      </c>
      <c r="M1113" s="16" t="s">
        <v>51</v>
      </c>
      <c r="N1113" s="14"/>
      <c r="O1113" s="15" t="s">
        <v>52</v>
      </c>
      <c r="P1113" s="17" t="s">
        <v>53</v>
      </c>
      <c r="Q1113" s="15"/>
      <c r="R1113" s="18" t="s">
        <v>51</v>
      </c>
      <c r="S1113" s="19"/>
      <c r="T1113" s="17" t="str">
        <f aca="false">IF(R1113="維持",J1113,IF(R1113="排除","無關新聞事件",IFERROR(INDEX(事件規則!$B$2:$B$53,MATCH(S1113,事件規則!$A$2:$A$53,0)),"")))</f>
        <v>無關新聞事件</v>
      </c>
      <c r="U1113" s="20" t="n">
        <f aca="false">IF(R1113="維持",K1113,IF(R1113="排除",0,IFERROR(INDEX(事件規則!$C$2:$C$53,MATCH(S1113,事件規則!$A$2:$A$53,0)),"")))</f>
        <v>0</v>
      </c>
      <c r="V1113" s="21"/>
      <c r="W1113" s="22"/>
      <c r="X1113" s="10" t="str">
        <f aca="false">IF(AND(R1113="修改",S1113=""),"請選新事件代碼",IF(AND(R1113&lt;&gt;"修改",S1113&lt;&gt;""),"只有「修改」才需填代碼",""))</f>
        <v/>
      </c>
      <c r="Y1113" s="21"/>
      <c r="Z1113" s="22"/>
      <c r="AA1113" s="12" t="s">
        <v>3161</v>
      </c>
      <c r="AB1113" s="24"/>
    </row>
    <row r="1114" customFormat="false" ht="29.85" hidden="false" customHeight="false" outlineLevel="0" collapsed="false">
      <c r="A1114" s="15" t="n">
        <v>1113</v>
      </c>
      <c r="B1114" s="9" t="s">
        <v>45</v>
      </c>
      <c r="C1114" s="9" t="s">
        <v>1555</v>
      </c>
      <c r="D1114" s="10" t="s">
        <v>1556</v>
      </c>
      <c r="E1114" s="11" t="s">
        <v>3162</v>
      </c>
      <c r="F1114" s="17"/>
      <c r="G1114" s="12" t="s">
        <v>949</v>
      </c>
      <c r="H1114" s="13" t="n">
        <v>-0.031</v>
      </c>
      <c r="I1114" s="14"/>
      <c r="J1114" s="17"/>
      <c r="K1114" s="9"/>
      <c r="L1114" s="15" t="s">
        <v>50</v>
      </c>
      <c r="M1114" s="16" t="s">
        <v>51</v>
      </c>
      <c r="N1114" s="14"/>
      <c r="O1114" s="15" t="s">
        <v>52</v>
      </c>
      <c r="P1114" s="17" t="s">
        <v>53</v>
      </c>
      <c r="Q1114" s="15"/>
      <c r="R1114" s="18" t="s">
        <v>51</v>
      </c>
      <c r="S1114" s="19"/>
      <c r="T1114" s="17" t="str">
        <f aca="false">IF(R1114="維持",J1114,IF(R1114="排除","無關新聞事件",IFERROR(INDEX(事件規則!$B$2:$B$53,MATCH(S1114,事件規則!$A$2:$A$53,0)),"")))</f>
        <v>無關新聞事件</v>
      </c>
      <c r="U1114" s="20" t="n">
        <f aca="false">IF(R1114="維持",K1114,IF(R1114="排除",0,IFERROR(INDEX(事件規則!$C$2:$C$53,MATCH(S1114,事件規則!$A$2:$A$53,0)),"")))</f>
        <v>0</v>
      </c>
      <c r="V1114" s="21"/>
      <c r="W1114" s="22"/>
      <c r="X1114" s="10" t="str">
        <f aca="false">IF(AND(R1114="修改",S1114=""),"請選新事件代碼",IF(AND(R1114&lt;&gt;"修改",S1114&lt;&gt;""),"只有「修改」才需填代碼",""))</f>
        <v/>
      </c>
      <c r="Y1114" s="21"/>
      <c r="Z1114" s="22"/>
      <c r="AA1114" s="12" t="s">
        <v>3163</v>
      </c>
      <c r="AB1114" s="24"/>
    </row>
    <row r="1115" customFormat="false" ht="29.85" hidden="false" customHeight="false" outlineLevel="0" collapsed="false">
      <c r="A1115" s="15" t="n">
        <v>1114</v>
      </c>
      <c r="B1115" s="9" t="s">
        <v>45</v>
      </c>
      <c r="C1115" s="9" t="s">
        <v>917</v>
      </c>
      <c r="D1115" s="10" t="s">
        <v>918</v>
      </c>
      <c r="E1115" s="11" t="s">
        <v>3164</v>
      </c>
      <c r="F1115" s="17"/>
      <c r="G1115" s="12" t="s">
        <v>1068</v>
      </c>
      <c r="H1115" s="13" t="n">
        <v>-0.031</v>
      </c>
      <c r="I1115" s="14"/>
      <c r="J1115" s="17"/>
      <c r="K1115" s="9"/>
      <c r="L1115" s="15" t="s">
        <v>50</v>
      </c>
      <c r="M1115" s="16" t="s">
        <v>51</v>
      </c>
      <c r="N1115" s="14"/>
      <c r="O1115" s="15" t="s">
        <v>52</v>
      </c>
      <c r="P1115" s="17" t="s">
        <v>53</v>
      </c>
      <c r="Q1115" s="15"/>
      <c r="R1115" s="18" t="s">
        <v>51</v>
      </c>
      <c r="S1115" s="19"/>
      <c r="T1115" s="17" t="str">
        <f aca="false">IF(R1115="維持",J1115,IF(R1115="排除","無關新聞事件",IFERROR(INDEX(事件規則!$B$2:$B$53,MATCH(S1115,事件規則!$A$2:$A$53,0)),"")))</f>
        <v>無關新聞事件</v>
      </c>
      <c r="U1115" s="20" t="n">
        <f aca="false">IF(R1115="維持",K1115,IF(R1115="排除",0,IFERROR(INDEX(事件規則!$C$2:$C$53,MATCH(S1115,事件規則!$A$2:$A$53,0)),"")))</f>
        <v>0</v>
      </c>
      <c r="V1115" s="21"/>
      <c r="W1115" s="22"/>
      <c r="X1115" s="10" t="str">
        <f aca="false">IF(AND(R1115="修改",S1115=""),"請選新事件代碼",IF(AND(R1115&lt;&gt;"修改",S1115&lt;&gt;""),"只有「修改」才需填代碼",""))</f>
        <v/>
      </c>
      <c r="Y1115" s="21"/>
      <c r="Z1115" s="22"/>
      <c r="AA1115" s="12" t="s">
        <v>3165</v>
      </c>
      <c r="AB1115" s="24"/>
    </row>
    <row r="1116" customFormat="false" ht="29.85" hidden="false" customHeight="false" outlineLevel="0" collapsed="false">
      <c r="A1116" s="15" t="n">
        <v>1115</v>
      </c>
      <c r="B1116" s="9" t="s">
        <v>45</v>
      </c>
      <c r="C1116" s="9" t="s">
        <v>161</v>
      </c>
      <c r="D1116" s="10" t="s">
        <v>162</v>
      </c>
      <c r="E1116" s="11" t="s">
        <v>3166</v>
      </c>
      <c r="F1116" s="17"/>
      <c r="G1116" s="12" t="s">
        <v>142</v>
      </c>
      <c r="H1116" s="13" t="n">
        <v>-0.031</v>
      </c>
      <c r="I1116" s="14"/>
      <c r="J1116" s="17"/>
      <c r="K1116" s="9"/>
      <c r="L1116" s="15" t="s">
        <v>50</v>
      </c>
      <c r="M1116" s="16" t="s">
        <v>51</v>
      </c>
      <c r="N1116" s="14"/>
      <c r="O1116" s="15" t="s">
        <v>52</v>
      </c>
      <c r="P1116" s="17" t="s">
        <v>53</v>
      </c>
      <c r="Q1116" s="15"/>
      <c r="R1116" s="18" t="s">
        <v>51</v>
      </c>
      <c r="S1116" s="19"/>
      <c r="T1116" s="17" t="str">
        <f aca="false">IF(R1116="維持",J1116,IF(R1116="排除","無關新聞事件",IFERROR(INDEX(事件規則!$B$2:$B$53,MATCH(S1116,事件規則!$A$2:$A$53,0)),"")))</f>
        <v>無關新聞事件</v>
      </c>
      <c r="U1116" s="20" t="n">
        <f aca="false">IF(R1116="維持",K1116,IF(R1116="排除",0,IFERROR(INDEX(事件規則!$C$2:$C$53,MATCH(S1116,事件規則!$A$2:$A$53,0)),"")))</f>
        <v>0</v>
      </c>
      <c r="V1116" s="21"/>
      <c r="W1116" s="22"/>
      <c r="X1116" s="10" t="str">
        <f aca="false">IF(AND(R1116="修改",S1116=""),"請選新事件代碼",IF(AND(R1116&lt;&gt;"修改",S1116&lt;&gt;""),"只有「修改」才需填代碼",""))</f>
        <v/>
      </c>
      <c r="Y1116" s="21"/>
      <c r="Z1116" s="22"/>
      <c r="AA1116" s="12" t="s">
        <v>3167</v>
      </c>
      <c r="AB1116" s="24"/>
    </row>
    <row r="1117" customFormat="false" ht="29.85" hidden="false" customHeight="false" outlineLevel="0" collapsed="false">
      <c r="A1117" s="15" t="n">
        <v>1116</v>
      </c>
      <c r="B1117" s="9" t="s">
        <v>45</v>
      </c>
      <c r="C1117" s="9" t="s">
        <v>196</v>
      </c>
      <c r="D1117" s="10" t="s">
        <v>197</v>
      </c>
      <c r="E1117" s="11" t="s">
        <v>3168</v>
      </c>
      <c r="F1117" s="17"/>
      <c r="G1117" s="12" t="s">
        <v>949</v>
      </c>
      <c r="H1117" s="13" t="n">
        <v>-0.031</v>
      </c>
      <c r="I1117" s="14"/>
      <c r="J1117" s="17"/>
      <c r="K1117" s="9"/>
      <c r="L1117" s="15" t="s">
        <v>50</v>
      </c>
      <c r="M1117" s="16" t="s">
        <v>51</v>
      </c>
      <c r="N1117" s="14"/>
      <c r="O1117" s="15" t="s">
        <v>52</v>
      </c>
      <c r="P1117" s="17" t="s">
        <v>53</v>
      </c>
      <c r="Q1117" s="15"/>
      <c r="R1117" s="18" t="s">
        <v>51</v>
      </c>
      <c r="S1117" s="19"/>
      <c r="T1117" s="17" t="str">
        <f aca="false">IF(R1117="維持",J1117,IF(R1117="排除","無關新聞事件",IFERROR(INDEX(事件規則!$B$2:$B$53,MATCH(S1117,事件規則!$A$2:$A$53,0)),"")))</f>
        <v>無關新聞事件</v>
      </c>
      <c r="U1117" s="20" t="n">
        <f aca="false">IF(R1117="維持",K1117,IF(R1117="排除",0,IFERROR(INDEX(事件規則!$C$2:$C$53,MATCH(S1117,事件規則!$A$2:$A$53,0)),"")))</f>
        <v>0</v>
      </c>
      <c r="V1117" s="21"/>
      <c r="W1117" s="22"/>
      <c r="X1117" s="10" t="str">
        <f aca="false">IF(AND(R1117="修改",S1117=""),"請選新事件代碼",IF(AND(R1117&lt;&gt;"修改",S1117&lt;&gt;""),"只有「修改」才需填代碼",""))</f>
        <v/>
      </c>
      <c r="Y1117" s="21"/>
      <c r="Z1117" s="22"/>
      <c r="AA1117" s="12" t="s">
        <v>3169</v>
      </c>
      <c r="AB1117" s="24"/>
    </row>
    <row r="1118" customFormat="false" ht="29.85" hidden="false" customHeight="false" outlineLevel="0" collapsed="false">
      <c r="A1118" s="15" t="n">
        <v>1117</v>
      </c>
      <c r="B1118" s="9" t="s">
        <v>45</v>
      </c>
      <c r="C1118" s="9" t="s">
        <v>3117</v>
      </c>
      <c r="D1118" s="10" t="s">
        <v>3118</v>
      </c>
      <c r="E1118" s="11" t="s">
        <v>3170</v>
      </c>
      <c r="F1118" s="17"/>
      <c r="G1118" s="12" t="s">
        <v>949</v>
      </c>
      <c r="H1118" s="13" t="n">
        <v>-0.031</v>
      </c>
      <c r="I1118" s="14"/>
      <c r="J1118" s="17"/>
      <c r="K1118" s="9"/>
      <c r="L1118" s="15" t="s">
        <v>50</v>
      </c>
      <c r="M1118" s="16" t="s">
        <v>51</v>
      </c>
      <c r="N1118" s="14"/>
      <c r="O1118" s="15" t="s">
        <v>52</v>
      </c>
      <c r="P1118" s="17" t="s">
        <v>53</v>
      </c>
      <c r="Q1118" s="15"/>
      <c r="R1118" s="18" t="s">
        <v>51</v>
      </c>
      <c r="S1118" s="19"/>
      <c r="T1118" s="17" t="str">
        <f aca="false">IF(R1118="維持",J1118,IF(R1118="排除","無關新聞事件",IFERROR(INDEX(事件規則!$B$2:$B$53,MATCH(S1118,事件規則!$A$2:$A$53,0)),"")))</f>
        <v>無關新聞事件</v>
      </c>
      <c r="U1118" s="20" t="n">
        <f aca="false">IF(R1118="維持",K1118,IF(R1118="排除",0,IFERROR(INDEX(事件規則!$C$2:$C$53,MATCH(S1118,事件規則!$A$2:$A$53,0)),"")))</f>
        <v>0</v>
      </c>
      <c r="V1118" s="21"/>
      <c r="W1118" s="22"/>
      <c r="X1118" s="10" t="str">
        <f aca="false">IF(AND(R1118="修改",S1118=""),"請選新事件代碼",IF(AND(R1118&lt;&gt;"修改",S1118&lt;&gt;""),"只有「修改」才需填代碼",""))</f>
        <v/>
      </c>
      <c r="Y1118" s="21"/>
      <c r="Z1118" s="22"/>
      <c r="AA1118" s="12" t="s">
        <v>3171</v>
      </c>
      <c r="AB1118" s="24"/>
    </row>
    <row r="1119" customFormat="false" ht="29.85" hidden="false" customHeight="false" outlineLevel="0" collapsed="false">
      <c r="A1119" s="15" t="n">
        <v>1118</v>
      </c>
      <c r="B1119" s="9" t="s">
        <v>45</v>
      </c>
      <c r="C1119" s="9" t="s">
        <v>1162</v>
      </c>
      <c r="D1119" s="10" t="s">
        <v>1163</v>
      </c>
      <c r="E1119" s="11" t="s">
        <v>3172</v>
      </c>
      <c r="F1119" s="17"/>
      <c r="G1119" s="12" t="s">
        <v>949</v>
      </c>
      <c r="H1119" s="13" t="n">
        <v>-0.031</v>
      </c>
      <c r="I1119" s="14"/>
      <c r="J1119" s="17"/>
      <c r="K1119" s="9"/>
      <c r="L1119" s="15" t="s">
        <v>50</v>
      </c>
      <c r="M1119" s="16" t="s">
        <v>51</v>
      </c>
      <c r="N1119" s="14"/>
      <c r="O1119" s="15" t="s">
        <v>52</v>
      </c>
      <c r="P1119" s="17" t="s">
        <v>53</v>
      </c>
      <c r="Q1119" s="15"/>
      <c r="R1119" s="18" t="s">
        <v>51</v>
      </c>
      <c r="S1119" s="19"/>
      <c r="T1119" s="17" t="str">
        <f aca="false">IF(R1119="維持",J1119,IF(R1119="排除","無關新聞事件",IFERROR(INDEX(事件規則!$B$2:$B$53,MATCH(S1119,事件規則!$A$2:$A$53,0)),"")))</f>
        <v>無關新聞事件</v>
      </c>
      <c r="U1119" s="20" t="n">
        <f aca="false">IF(R1119="維持",K1119,IF(R1119="排除",0,IFERROR(INDEX(事件規則!$C$2:$C$53,MATCH(S1119,事件規則!$A$2:$A$53,0)),"")))</f>
        <v>0</v>
      </c>
      <c r="V1119" s="21"/>
      <c r="W1119" s="22"/>
      <c r="X1119" s="10" t="str">
        <f aca="false">IF(AND(R1119="修改",S1119=""),"請選新事件代碼",IF(AND(R1119&lt;&gt;"修改",S1119&lt;&gt;""),"只有「修改」才需填代碼",""))</f>
        <v/>
      </c>
      <c r="Y1119" s="21"/>
      <c r="Z1119" s="22"/>
      <c r="AA1119" s="12" t="s">
        <v>3173</v>
      </c>
      <c r="AB1119" s="24"/>
    </row>
    <row r="1120" customFormat="false" ht="29.85" hidden="false" customHeight="false" outlineLevel="0" collapsed="false">
      <c r="A1120" s="15" t="n">
        <v>1119</v>
      </c>
      <c r="B1120" s="9" t="s">
        <v>112</v>
      </c>
      <c r="C1120" s="9" t="s">
        <v>1001</v>
      </c>
      <c r="D1120" s="10" t="s">
        <v>1002</v>
      </c>
      <c r="E1120" s="11" t="s">
        <v>3174</v>
      </c>
      <c r="F1120" s="17"/>
      <c r="G1120" s="12" t="s">
        <v>105</v>
      </c>
      <c r="H1120" s="13" t="n">
        <v>-0.031</v>
      </c>
      <c r="I1120" s="14"/>
      <c r="J1120" s="17"/>
      <c r="K1120" s="9"/>
      <c r="L1120" s="15" t="s">
        <v>50</v>
      </c>
      <c r="M1120" s="16" t="s">
        <v>51</v>
      </c>
      <c r="N1120" s="14"/>
      <c r="O1120" s="15" t="s">
        <v>52</v>
      </c>
      <c r="P1120" s="17" t="s">
        <v>53</v>
      </c>
      <c r="Q1120" s="15"/>
      <c r="R1120" s="18" t="s">
        <v>51</v>
      </c>
      <c r="S1120" s="19"/>
      <c r="T1120" s="17" t="str">
        <f aca="false">IF(R1120="維持",J1120,IF(R1120="排除","無關新聞事件",IFERROR(INDEX(事件規則!$B$2:$B$53,MATCH(S1120,事件規則!$A$2:$A$53,0)),"")))</f>
        <v>無關新聞事件</v>
      </c>
      <c r="U1120" s="20" t="n">
        <f aca="false">IF(R1120="維持",K1120,IF(R1120="排除",0,IFERROR(INDEX(事件規則!$C$2:$C$53,MATCH(S1120,事件規則!$A$2:$A$53,0)),"")))</f>
        <v>0</v>
      </c>
      <c r="V1120" s="21"/>
      <c r="W1120" s="22"/>
      <c r="X1120" s="10" t="str">
        <f aca="false">IF(AND(R1120="修改",S1120=""),"請選新事件代碼",IF(AND(R1120&lt;&gt;"修改",S1120&lt;&gt;""),"只有「修改」才需填代碼",""))</f>
        <v/>
      </c>
      <c r="Y1120" s="21"/>
      <c r="Z1120" s="22"/>
      <c r="AA1120" s="12" t="s">
        <v>3175</v>
      </c>
      <c r="AB1120" s="24"/>
    </row>
    <row r="1121" customFormat="false" ht="29.85" hidden="false" customHeight="false" outlineLevel="0" collapsed="false">
      <c r="A1121" s="15" t="n">
        <v>1120</v>
      </c>
      <c r="B1121" s="9" t="s">
        <v>55</v>
      </c>
      <c r="C1121" s="9" t="s">
        <v>445</v>
      </c>
      <c r="D1121" s="10" t="s">
        <v>446</v>
      </c>
      <c r="E1121" s="11" t="s">
        <v>3176</v>
      </c>
      <c r="F1121" s="17"/>
      <c r="G1121" s="12" t="s">
        <v>2903</v>
      </c>
      <c r="H1121" s="13" t="n">
        <v>-0.031</v>
      </c>
      <c r="I1121" s="14"/>
      <c r="J1121" s="17"/>
      <c r="K1121" s="9"/>
      <c r="L1121" s="15" t="s">
        <v>50</v>
      </c>
      <c r="M1121" s="16" t="s">
        <v>51</v>
      </c>
      <c r="N1121" s="14"/>
      <c r="O1121" s="15" t="s">
        <v>52</v>
      </c>
      <c r="P1121" s="17" t="s">
        <v>53</v>
      </c>
      <c r="Q1121" s="15"/>
      <c r="R1121" s="18" t="s">
        <v>51</v>
      </c>
      <c r="S1121" s="19"/>
      <c r="T1121" s="17" t="str">
        <f aca="false">IF(R1121="維持",J1121,IF(R1121="排除","無關新聞事件",IFERROR(INDEX(事件規則!$B$2:$B$53,MATCH(S1121,事件規則!$A$2:$A$53,0)),"")))</f>
        <v>無關新聞事件</v>
      </c>
      <c r="U1121" s="20" t="n">
        <f aca="false">IF(R1121="維持",K1121,IF(R1121="排除",0,IFERROR(INDEX(事件規則!$C$2:$C$53,MATCH(S1121,事件規則!$A$2:$A$53,0)),"")))</f>
        <v>0</v>
      </c>
      <c r="V1121" s="21"/>
      <c r="W1121" s="22"/>
      <c r="X1121" s="10" t="str">
        <f aca="false">IF(AND(R1121="修改",S1121=""),"請選新事件代碼",IF(AND(R1121&lt;&gt;"修改",S1121&lt;&gt;""),"只有「修改」才需填代碼",""))</f>
        <v/>
      </c>
      <c r="Y1121" s="21"/>
      <c r="Z1121" s="22"/>
      <c r="AA1121" s="12" t="s">
        <v>3177</v>
      </c>
      <c r="AB1121" s="24"/>
    </row>
    <row r="1122" customFormat="false" ht="29.85" hidden="false" customHeight="false" outlineLevel="0" collapsed="false">
      <c r="A1122" s="15" t="n">
        <v>1121</v>
      </c>
      <c r="B1122" s="9" t="s">
        <v>112</v>
      </c>
      <c r="C1122" s="9" t="s">
        <v>1639</v>
      </c>
      <c r="D1122" s="10" t="s">
        <v>1640</v>
      </c>
      <c r="E1122" s="11" t="s">
        <v>3178</v>
      </c>
      <c r="F1122" s="17"/>
      <c r="G1122" s="12" t="s">
        <v>1136</v>
      </c>
      <c r="H1122" s="13" t="n">
        <v>-0.031</v>
      </c>
      <c r="I1122" s="14"/>
      <c r="J1122" s="17"/>
      <c r="K1122" s="9"/>
      <c r="L1122" s="15" t="s">
        <v>50</v>
      </c>
      <c r="M1122" s="16" t="s">
        <v>51</v>
      </c>
      <c r="N1122" s="14"/>
      <c r="O1122" s="15" t="s">
        <v>52</v>
      </c>
      <c r="P1122" s="17" t="s">
        <v>53</v>
      </c>
      <c r="Q1122" s="15"/>
      <c r="R1122" s="18" t="s">
        <v>51</v>
      </c>
      <c r="S1122" s="19"/>
      <c r="T1122" s="17" t="str">
        <f aca="false">IF(R1122="維持",J1122,IF(R1122="排除","無關新聞事件",IFERROR(INDEX(事件規則!$B$2:$B$53,MATCH(S1122,事件規則!$A$2:$A$53,0)),"")))</f>
        <v>無關新聞事件</v>
      </c>
      <c r="U1122" s="20" t="n">
        <f aca="false">IF(R1122="維持",K1122,IF(R1122="排除",0,IFERROR(INDEX(事件規則!$C$2:$C$53,MATCH(S1122,事件規則!$A$2:$A$53,0)),"")))</f>
        <v>0</v>
      </c>
      <c r="V1122" s="21"/>
      <c r="W1122" s="22"/>
      <c r="X1122" s="10" t="str">
        <f aca="false">IF(AND(R1122="修改",S1122=""),"請選新事件代碼",IF(AND(R1122&lt;&gt;"修改",S1122&lt;&gt;""),"只有「修改」才需填代碼",""))</f>
        <v/>
      </c>
      <c r="Y1122" s="21"/>
      <c r="Z1122" s="22"/>
      <c r="AA1122" s="12" t="s">
        <v>3179</v>
      </c>
      <c r="AB1122" s="24"/>
    </row>
    <row r="1123" customFormat="false" ht="29.85" hidden="false" customHeight="false" outlineLevel="0" collapsed="false">
      <c r="A1123" s="15" t="n">
        <v>1122</v>
      </c>
      <c r="B1123" s="9" t="s">
        <v>81</v>
      </c>
      <c r="C1123" s="9" t="s">
        <v>3180</v>
      </c>
      <c r="D1123" s="10" t="s">
        <v>3181</v>
      </c>
      <c r="E1123" s="11" t="s">
        <v>3182</v>
      </c>
      <c r="F1123" s="17"/>
      <c r="G1123" s="12" t="s">
        <v>949</v>
      </c>
      <c r="H1123" s="13" t="n">
        <v>-0.031</v>
      </c>
      <c r="I1123" s="14"/>
      <c r="J1123" s="17"/>
      <c r="K1123" s="9"/>
      <c r="L1123" s="15" t="s">
        <v>50</v>
      </c>
      <c r="M1123" s="16" t="s">
        <v>51</v>
      </c>
      <c r="N1123" s="14"/>
      <c r="O1123" s="15" t="s">
        <v>52</v>
      </c>
      <c r="P1123" s="17" t="s">
        <v>53</v>
      </c>
      <c r="Q1123" s="15"/>
      <c r="R1123" s="18" t="s">
        <v>51</v>
      </c>
      <c r="S1123" s="19"/>
      <c r="T1123" s="17" t="str">
        <f aca="false">IF(R1123="維持",J1123,IF(R1123="排除","無關新聞事件",IFERROR(INDEX(事件規則!$B$2:$B$53,MATCH(S1123,事件規則!$A$2:$A$53,0)),"")))</f>
        <v>無關新聞事件</v>
      </c>
      <c r="U1123" s="20" t="n">
        <f aca="false">IF(R1123="維持",K1123,IF(R1123="排除",0,IFERROR(INDEX(事件規則!$C$2:$C$53,MATCH(S1123,事件規則!$A$2:$A$53,0)),"")))</f>
        <v>0</v>
      </c>
      <c r="V1123" s="21"/>
      <c r="W1123" s="22"/>
      <c r="X1123" s="10" t="str">
        <f aca="false">IF(AND(R1123="修改",S1123=""),"請選新事件代碼",IF(AND(R1123&lt;&gt;"修改",S1123&lt;&gt;""),"只有「修改」才需填代碼",""))</f>
        <v/>
      </c>
      <c r="Y1123" s="21"/>
      <c r="Z1123" s="22"/>
      <c r="AA1123" s="12" t="s">
        <v>3183</v>
      </c>
      <c r="AB1123" s="24"/>
    </row>
    <row r="1124" customFormat="false" ht="29.85" hidden="false" customHeight="false" outlineLevel="0" collapsed="false">
      <c r="A1124" s="15" t="n">
        <v>1123</v>
      </c>
      <c r="B1124" s="9" t="s">
        <v>112</v>
      </c>
      <c r="C1124" s="9" t="s">
        <v>1017</v>
      </c>
      <c r="D1124" s="10" t="s">
        <v>1018</v>
      </c>
      <c r="E1124" s="11" t="s">
        <v>3184</v>
      </c>
      <c r="F1124" s="17"/>
      <c r="G1124" s="12" t="s">
        <v>105</v>
      </c>
      <c r="H1124" s="13" t="n">
        <v>-0.031</v>
      </c>
      <c r="I1124" s="14"/>
      <c r="J1124" s="17"/>
      <c r="K1124" s="9"/>
      <c r="L1124" s="15" t="s">
        <v>50</v>
      </c>
      <c r="M1124" s="16" t="s">
        <v>51</v>
      </c>
      <c r="N1124" s="14"/>
      <c r="O1124" s="15" t="s">
        <v>52</v>
      </c>
      <c r="P1124" s="17" t="s">
        <v>53</v>
      </c>
      <c r="Q1124" s="15"/>
      <c r="R1124" s="18" t="s">
        <v>51</v>
      </c>
      <c r="S1124" s="19"/>
      <c r="T1124" s="17" t="str">
        <f aca="false">IF(R1124="維持",J1124,IF(R1124="排除","無關新聞事件",IFERROR(INDEX(事件規則!$B$2:$B$53,MATCH(S1124,事件規則!$A$2:$A$53,0)),"")))</f>
        <v>無關新聞事件</v>
      </c>
      <c r="U1124" s="20" t="n">
        <f aca="false">IF(R1124="維持",K1124,IF(R1124="排除",0,IFERROR(INDEX(事件規則!$C$2:$C$53,MATCH(S1124,事件規則!$A$2:$A$53,0)),"")))</f>
        <v>0</v>
      </c>
      <c r="V1124" s="21"/>
      <c r="W1124" s="22"/>
      <c r="X1124" s="10" t="str">
        <f aca="false">IF(AND(R1124="修改",S1124=""),"請選新事件代碼",IF(AND(R1124&lt;&gt;"修改",S1124&lt;&gt;""),"只有「修改」才需填代碼",""))</f>
        <v/>
      </c>
      <c r="Y1124" s="21"/>
      <c r="Z1124" s="22"/>
      <c r="AA1124" s="12" t="s">
        <v>3185</v>
      </c>
      <c r="AB1124" s="24"/>
    </row>
    <row r="1125" customFormat="false" ht="29.85" hidden="false" customHeight="false" outlineLevel="0" collapsed="false">
      <c r="A1125" s="15" t="n">
        <v>1124</v>
      </c>
      <c r="B1125" s="9" t="s">
        <v>45</v>
      </c>
      <c r="C1125" s="9" t="s">
        <v>3186</v>
      </c>
      <c r="D1125" s="10" t="s">
        <v>3187</v>
      </c>
      <c r="E1125" s="11" t="s">
        <v>3188</v>
      </c>
      <c r="F1125" s="17"/>
      <c r="G1125" s="12" t="s">
        <v>949</v>
      </c>
      <c r="H1125" s="13" t="n">
        <v>-0.031</v>
      </c>
      <c r="I1125" s="14"/>
      <c r="J1125" s="17"/>
      <c r="K1125" s="9"/>
      <c r="L1125" s="15" t="s">
        <v>50</v>
      </c>
      <c r="M1125" s="16" t="s">
        <v>51</v>
      </c>
      <c r="N1125" s="14"/>
      <c r="O1125" s="15" t="s">
        <v>52</v>
      </c>
      <c r="P1125" s="17" t="s">
        <v>53</v>
      </c>
      <c r="Q1125" s="15"/>
      <c r="R1125" s="18" t="s">
        <v>51</v>
      </c>
      <c r="S1125" s="19"/>
      <c r="T1125" s="17" t="str">
        <f aca="false">IF(R1125="維持",J1125,IF(R1125="排除","無關新聞事件",IFERROR(INDEX(事件規則!$B$2:$B$53,MATCH(S1125,事件規則!$A$2:$A$53,0)),"")))</f>
        <v>無關新聞事件</v>
      </c>
      <c r="U1125" s="20" t="n">
        <f aca="false">IF(R1125="維持",K1125,IF(R1125="排除",0,IFERROR(INDEX(事件規則!$C$2:$C$53,MATCH(S1125,事件規則!$A$2:$A$53,0)),"")))</f>
        <v>0</v>
      </c>
      <c r="V1125" s="21"/>
      <c r="W1125" s="22"/>
      <c r="X1125" s="10" t="str">
        <f aca="false">IF(AND(R1125="修改",S1125=""),"請選新事件代碼",IF(AND(R1125&lt;&gt;"修改",S1125&lt;&gt;""),"只有「修改」才需填代碼",""))</f>
        <v/>
      </c>
      <c r="Y1125" s="21"/>
      <c r="Z1125" s="22"/>
      <c r="AA1125" s="12" t="s">
        <v>3189</v>
      </c>
      <c r="AB1125" s="24"/>
    </row>
    <row r="1126" customFormat="false" ht="29.85" hidden="false" customHeight="false" outlineLevel="0" collapsed="false">
      <c r="A1126" s="15" t="n">
        <v>1125</v>
      </c>
      <c r="B1126" s="9" t="s">
        <v>45</v>
      </c>
      <c r="C1126" s="9" t="s">
        <v>250</v>
      </c>
      <c r="D1126" s="10" t="s">
        <v>251</v>
      </c>
      <c r="E1126" s="11" t="s">
        <v>3190</v>
      </c>
      <c r="F1126" s="17"/>
      <c r="G1126" s="12" t="s">
        <v>176</v>
      </c>
      <c r="H1126" s="13" t="n">
        <v>-0.031</v>
      </c>
      <c r="I1126" s="14"/>
      <c r="J1126" s="17"/>
      <c r="K1126" s="9"/>
      <c r="L1126" s="15" t="s">
        <v>50</v>
      </c>
      <c r="M1126" s="16" t="s">
        <v>51</v>
      </c>
      <c r="N1126" s="14"/>
      <c r="O1126" s="15" t="s">
        <v>52</v>
      </c>
      <c r="P1126" s="17" t="s">
        <v>53</v>
      </c>
      <c r="Q1126" s="15"/>
      <c r="R1126" s="18" t="s">
        <v>51</v>
      </c>
      <c r="S1126" s="19"/>
      <c r="T1126" s="17" t="str">
        <f aca="false">IF(R1126="維持",J1126,IF(R1126="排除","無關新聞事件",IFERROR(INDEX(事件規則!$B$2:$B$53,MATCH(S1126,事件規則!$A$2:$A$53,0)),"")))</f>
        <v>無關新聞事件</v>
      </c>
      <c r="U1126" s="20" t="n">
        <f aca="false">IF(R1126="維持",K1126,IF(R1126="排除",0,IFERROR(INDEX(事件規則!$C$2:$C$53,MATCH(S1126,事件規則!$A$2:$A$53,0)),"")))</f>
        <v>0</v>
      </c>
      <c r="V1126" s="21"/>
      <c r="W1126" s="22"/>
      <c r="X1126" s="10" t="str">
        <f aca="false">IF(AND(R1126="修改",S1126=""),"請選新事件代碼",IF(AND(R1126&lt;&gt;"修改",S1126&lt;&gt;""),"只有「修改」才需填代碼",""))</f>
        <v/>
      </c>
      <c r="Y1126" s="21"/>
      <c r="Z1126" s="22"/>
      <c r="AA1126" s="12" t="s">
        <v>3191</v>
      </c>
      <c r="AB1126" s="24"/>
    </row>
    <row r="1127" customFormat="false" ht="29.85" hidden="false" customHeight="false" outlineLevel="0" collapsed="false">
      <c r="A1127" s="15" t="n">
        <v>1126</v>
      </c>
      <c r="B1127" s="9" t="s">
        <v>112</v>
      </c>
      <c r="C1127" s="9" t="s">
        <v>1070</v>
      </c>
      <c r="D1127" s="10" t="s">
        <v>1071</v>
      </c>
      <c r="E1127" s="11" t="s">
        <v>3192</v>
      </c>
      <c r="F1127" s="17"/>
      <c r="G1127" s="12" t="s">
        <v>105</v>
      </c>
      <c r="H1127" s="13" t="n">
        <v>-0.031</v>
      </c>
      <c r="I1127" s="14"/>
      <c r="J1127" s="17"/>
      <c r="K1127" s="9"/>
      <c r="L1127" s="15" t="s">
        <v>50</v>
      </c>
      <c r="M1127" s="16" t="s">
        <v>51</v>
      </c>
      <c r="N1127" s="14"/>
      <c r="O1127" s="15" t="s">
        <v>52</v>
      </c>
      <c r="P1127" s="17" t="s">
        <v>53</v>
      </c>
      <c r="Q1127" s="15"/>
      <c r="R1127" s="18" t="s">
        <v>51</v>
      </c>
      <c r="S1127" s="19"/>
      <c r="T1127" s="17" t="str">
        <f aca="false">IF(R1127="維持",J1127,IF(R1127="排除","無關新聞事件",IFERROR(INDEX(事件規則!$B$2:$B$53,MATCH(S1127,事件規則!$A$2:$A$53,0)),"")))</f>
        <v>無關新聞事件</v>
      </c>
      <c r="U1127" s="20" t="n">
        <f aca="false">IF(R1127="維持",K1127,IF(R1127="排除",0,IFERROR(INDEX(事件規則!$C$2:$C$53,MATCH(S1127,事件規則!$A$2:$A$53,0)),"")))</f>
        <v>0</v>
      </c>
      <c r="V1127" s="21"/>
      <c r="W1127" s="22"/>
      <c r="X1127" s="10" t="str">
        <f aca="false">IF(AND(R1127="修改",S1127=""),"請選新事件代碼",IF(AND(R1127&lt;&gt;"修改",S1127&lt;&gt;""),"只有「修改」才需填代碼",""))</f>
        <v/>
      </c>
      <c r="Y1127" s="21"/>
      <c r="Z1127" s="22"/>
      <c r="AA1127" s="12" t="s">
        <v>3193</v>
      </c>
      <c r="AB1127" s="24"/>
    </row>
    <row r="1128" customFormat="false" ht="29.85" hidden="false" customHeight="false" outlineLevel="0" collapsed="false">
      <c r="A1128" s="15" t="n">
        <v>1127</v>
      </c>
      <c r="B1128" s="9" t="s">
        <v>112</v>
      </c>
      <c r="C1128" s="9" t="s">
        <v>505</v>
      </c>
      <c r="D1128" s="10" t="s">
        <v>506</v>
      </c>
      <c r="E1128" s="11" t="s">
        <v>3194</v>
      </c>
      <c r="F1128" s="17"/>
      <c r="G1128" s="12" t="s">
        <v>105</v>
      </c>
      <c r="H1128" s="13" t="n">
        <v>-0.031</v>
      </c>
      <c r="I1128" s="14"/>
      <c r="J1128" s="17"/>
      <c r="K1128" s="9"/>
      <c r="L1128" s="15" t="s">
        <v>50</v>
      </c>
      <c r="M1128" s="16" t="s">
        <v>51</v>
      </c>
      <c r="N1128" s="14"/>
      <c r="O1128" s="15" t="s">
        <v>52</v>
      </c>
      <c r="P1128" s="17" t="s">
        <v>53</v>
      </c>
      <c r="Q1128" s="15"/>
      <c r="R1128" s="18" t="s">
        <v>51</v>
      </c>
      <c r="S1128" s="19"/>
      <c r="T1128" s="17" t="str">
        <f aca="false">IF(R1128="維持",J1128,IF(R1128="排除","無關新聞事件",IFERROR(INDEX(事件規則!$B$2:$B$53,MATCH(S1128,事件規則!$A$2:$A$53,0)),"")))</f>
        <v>無關新聞事件</v>
      </c>
      <c r="U1128" s="20" t="n">
        <f aca="false">IF(R1128="維持",K1128,IF(R1128="排除",0,IFERROR(INDEX(事件規則!$C$2:$C$53,MATCH(S1128,事件規則!$A$2:$A$53,0)),"")))</f>
        <v>0</v>
      </c>
      <c r="V1128" s="21"/>
      <c r="W1128" s="22"/>
      <c r="X1128" s="10" t="str">
        <f aca="false">IF(AND(R1128="修改",S1128=""),"請選新事件代碼",IF(AND(R1128&lt;&gt;"修改",S1128&lt;&gt;""),"只有「修改」才需填代碼",""))</f>
        <v/>
      </c>
      <c r="Y1128" s="21"/>
      <c r="Z1128" s="22"/>
      <c r="AA1128" s="12" t="s">
        <v>3195</v>
      </c>
      <c r="AB1128" s="24"/>
    </row>
    <row r="1129" customFormat="false" ht="29.85" hidden="false" customHeight="false" outlineLevel="0" collapsed="false">
      <c r="A1129" s="15" t="n">
        <v>1128</v>
      </c>
      <c r="B1129" s="9" t="s">
        <v>45</v>
      </c>
      <c r="C1129" s="9" t="s">
        <v>957</v>
      </c>
      <c r="D1129" s="10" t="s">
        <v>958</v>
      </c>
      <c r="E1129" s="11" t="s">
        <v>3196</v>
      </c>
      <c r="F1129" s="17"/>
      <c r="G1129" s="12" t="s">
        <v>1068</v>
      </c>
      <c r="H1129" s="13" t="n">
        <v>-0.031</v>
      </c>
      <c r="I1129" s="14"/>
      <c r="J1129" s="17"/>
      <c r="K1129" s="9"/>
      <c r="L1129" s="15" t="s">
        <v>50</v>
      </c>
      <c r="M1129" s="16" t="s">
        <v>51</v>
      </c>
      <c r="N1129" s="14"/>
      <c r="O1129" s="15" t="s">
        <v>52</v>
      </c>
      <c r="P1129" s="17" t="s">
        <v>53</v>
      </c>
      <c r="Q1129" s="15"/>
      <c r="R1129" s="18" t="s">
        <v>51</v>
      </c>
      <c r="S1129" s="19"/>
      <c r="T1129" s="17" t="str">
        <f aca="false">IF(R1129="維持",J1129,IF(R1129="排除","無關新聞事件",IFERROR(INDEX(事件規則!$B$2:$B$53,MATCH(S1129,事件規則!$A$2:$A$53,0)),"")))</f>
        <v>無關新聞事件</v>
      </c>
      <c r="U1129" s="20" t="n">
        <f aca="false">IF(R1129="維持",K1129,IF(R1129="排除",0,IFERROR(INDEX(事件規則!$C$2:$C$53,MATCH(S1129,事件規則!$A$2:$A$53,0)),"")))</f>
        <v>0</v>
      </c>
      <c r="V1129" s="21"/>
      <c r="W1129" s="22"/>
      <c r="X1129" s="10" t="str">
        <f aca="false">IF(AND(R1129="修改",S1129=""),"請選新事件代碼",IF(AND(R1129&lt;&gt;"修改",S1129&lt;&gt;""),"只有「修改」才需填代碼",""))</f>
        <v/>
      </c>
      <c r="Y1129" s="21"/>
      <c r="Z1129" s="22"/>
      <c r="AA1129" s="12" t="s">
        <v>3197</v>
      </c>
      <c r="AB1129" s="24"/>
    </row>
    <row r="1130" customFormat="false" ht="29.85" hidden="false" customHeight="false" outlineLevel="0" collapsed="false">
      <c r="A1130" s="15" t="n">
        <v>1129</v>
      </c>
      <c r="B1130" s="9" t="s">
        <v>112</v>
      </c>
      <c r="C1130" s="9" t="s">
        <v>917</v>
      </c>
      <c r="D1130" s="10" t="s">
        <v>918</v>
      </c>
      <c r="E1130" s="11" t="s">
        <v>3198</v>
      </c>
      <c r="F1130" s="17"/>
      <c r="G1130" s="12" t="s">
        <v>2033</v>
      </c>
      <c r="H1130" s="13" t="n">
        <v>-0.031</v>
      </c>
      <c r="I1130" s="14"/>
      <c r="J1130" s="17"/>
      <c r="K1130" s="9"/>
      <c r="L1130" s="15" t="s">
        <v>50</v>
      </c>
      <c r="M1130" s="16" t="s">
        <v>51</v>
      </c>
      <c r="N1130" s="14"/>
      <c r="O1130" s="15" t="s">
        <v>52</v>
      </c>
      <c r="P1130" s="17" t="s">
        <v>53</v>
      </c>
      <c r="Q1130" s="15"/>
      <c r="R1130" s="18" t="s">
        <v>51</v>
      </c>
      <c r="S1130" s="19"/>
      <c r="T1130" s="17" t="str">
        <f aca="false">IF(R1130="維持",J1130,IF(R1130="排除","無關新聞事件",IFERROR(INDEX(事件規則!$B$2:$B$53,MATCH(S1130,事件規則!$A$2:$A$53,0)),"")))</f>
        <v>無關新聞事件</v>
      </c>
      <c r="U1130" s="20" t="n">
        <f aca="false">IF(R1130="維持",K1130,IF(R1130="排除",0,IFERROR(INDEX(事件規則!$C$2:$C$53,MATCH(S1130,事件規則!$A$2:$A$53,0)),"")))</f>
        <v>0</v>
      </c>
      <c r="V1130" s="21"/>
      <c r="W1130" s="22"/>
      <c r="X1130" s="10" t="str">
        <f aca="false">IF(AND(R1130="修改",S1130=""),"請選新事件代碼",IF(AND(R1130&lt;&gt;"修改",S1130&lt;&gt;""),"只有「修改」才需填代碼",""))</f>
        <v/>
      </c>
      <c r="Y1130" s="21"/>
      <c r="Z1130" s="22"/>
      <c r="AA1130" s="12" t="s">
        <v>3199</v>
      </c>
      <c r="AB1130" s="24"/>
    </row>
    <row r="1131" customFormat="false" ht="29.85" hidden="false" customHeight="false" outlineLevel="0" collapsed="false">
      <c r="A1131" s="15" t="n">
        <v>1130</v>
      </c>
      <c r="B1131" s="9" t="s">
        <v>112</v>
      </c>
      <c r="C1131" s="9" t="s">
        <v>3117</v>
      </c>
      <c r="D1131" s="10" t="s">
        <v>3118</v>
      </c>
      <c r="E1131" s="11" t="s">
        <v>3200</v>
      </c>
      <c r="F1131" s="17"/>
      <c r="G1131" s="12" t="s">
        <v>949</v>
      </c>
      <c r="H1131" s="13" t="n">
        <v>-0.031</v>
      </c>
      <c r="I1131" s="14"/>
      <c r="J1131" s="17"/>
      <c r="K1131" s="9"/>
      <c r="L1131" s="15" t="s">
        <v>50</v>
      </c>
      <c r="M1131" s="16" t="s">
        <v>51</v>
      </c>
      <c r="N1131" s="14"/>
      <c r="O1131" s="15" t="s">
        <v>52</v>
      </c>
      <c r="P1131" s="17" t="s">
        <v>53</v>
      </c>
      <c r="Q1131" s="15"/>
      <c r="R1131" s="18" t="s">
        <v>51</v>
      </c>
      <c r="S1131" s="19"/>
      <c r="T1131" s="17" t="str">
        <f aca="false">IF(R1131="維持",J1131,IF(R1131="排除","無關新聞事件",IFERROR(INDEX(事件規則!$B$2:$B$53,MATCH(S1131,事件規則!$A$2:$A$53,0)),"")))</f>
        <v>無關新聞事件</v>
      </c>
      <c r="U1131" s="20" t="n">
        <f aca="false">IF(R1131="維持",K1131,IF(R1131="排除",0,IFERROR(INDEX(事件規則!$C$2:$C$53,MATCH(S1131,事件規則!$A$2:$A$53,0)),"")))</f>
        <v>0</v>
      </c>
      <c r="V1131" s="21"/>
      <c r="W1131" s="22"/>
      <c r="X1131" s="10" t="str">
        <f aca="false">IF(AND(R1131="修改",S1131=""),"請選新事件代碼",IF(AND(R1131&lt;&gt;"修改",S1131&lt;&gt;""),"只有「修改」才需填代碼",""))</f>
        <v/>
      </c>
      <c r="Y1131" s="21"/>
      <c r="Z1131" s="22"/>
      <c r="AA1131" s="12" t="s">
        <v>3201</v>
      </c>
      <c r="AB1131" s="24"/>
    </row>
    <row r="1132" customFormat="false" ht="29.85" hidden="false" customHeight="false" outlineLevel="0" collapsed="false">
      <c r="A1132" s="15" t="n">
        <v>1131</v>
      </c>
      <c r="B1132" s="9" t="s">
        <v>45</v>
      </c>
      <c r="C1132" s="9" t="s">
        <v>682</v>
      </c>
      <c r="D1132" s="10" t="s">
        <v>683</v>
      </c>
      <c r="E1132" s="11" t="s">
        <v>3202</v>
      </c>
      <c r="F1132" s="17"/>
      <c r="G1132" s="12" t="s">
        <v>176</v>
      </c>
      <c r="H1132" s="13" t="n">
        <v>-0.031</v>
      </c>
      <c r="I1132" s="14"/>
      <c r="J1132" s="17"/>
      <c r="K1132" s="9"/>
      <c r="L1132" s="15" t="s">
        <v>50</v>
      </c>
      <c r="M1132" s="16" t="s">
        <v>51</v>
      </c>
      <c r="N1132" s="14"/>
      <c r="O1132" s="15" t="s">
        <v>52</v>
      </c>
      <c r="P1132" s="17" t="s">
        <v>53</v>
      </c>
      <c r="Q1132" s="15"/>
      <c r="R1132" s="18" t="s">
        <v>51</v>
      </c>
      <c r="S1132" s="19"/>
      <c r="T1132" s="17" t="str">
        <f aca="false">IF(R1132="維持",J1132,IF(R1132="排除","無關新聞事件",IFERROR(INDEX(事件規則!$B$2:$B$53,MATCH(S1132,事件規則!$A$2:$A$53,0)),"")))</f>
        <v>無關新聞事件</v>
      </c>
      <c r="U1132" s="20" t="n">
        <f aca="false">IF(R1132="維持",K1132,IF(R1132="排除",0,IFERROR(INDEX(事件規則!$C$2:$C$53,MATCH(S1132,事件規則!$A$2:$A$53,0)),"")))</f>
        <v>0</v>
      </c>
      <c r="V1132" s="21"/>
      <c r="W1132" s="22"/>
      <c r="X1132" s="10" t="str">
        <f aca="false">IF(AND(R1132="修改",S1132=""),"請選新事件代碼",IF(AND(R1132&lt;&gt;"修改",S1132&lt;&gt;""),"只有「修改」才需填代碼",""))</f>
        <v/>
      </c>
      <c r="Y1132" s="21"/>
      <c r="Z1132" s="22"/>
      <c r="AA1132" s="12" t="s">
        <v>3203</v>
      </c>
      <c r="AB1132" s="24"/>
    </row>
    <row r="1133" customFormat="false" ht="29.85" hidden="false" customHeight="false" outlineLevel="0" collapsed="false">
      <c r="A1133" s="15" t="n">
        <v>1132</v>
      </c>
      <c r="B1133" s="9" t="s">
        <v>112</v>
      </c>
      <c r="C1133" s="9" t="s">
        <v>344</v>
      </c>
      <c r="D1133" s="10" t="s">
        <v>345</v>
      </c>
      <c r="E1133" s="11" t="s">
        <v>3204</v>
      </c>
      <c r="F1133" s="17"/>
      <c r="G1133" s="12" t="s">
        <v>1136</v>
      </c>
      <c r="H1133" s="13" t="n">
        <v>-0.031</v>
      </c>
      <c r="I1133" s="14"/>
      <c r="J1133" s="17"/>
      <c r="K1133" s="9"/>
      <c r="L1133" s="15" t="s">
        <v>50</v>
      </c>
      <c r="M1133" s="16" t="s">
        <v>51</v>
      </c>
      <c r="N1133" s="14"/>
      <c r="O1133" s="15" t="s">
        <v>52</v>
      </c>
      <c r="P1133" s="17" t="s">
        <v>53</v>
      </c>
      <c r="Q1133" s="15"/>
      <c r="R1133" s="18" t="s">
        <v>51</v>
      </c>
      <c r="S1133" s="19"/>
      <c r="T1133" s="17" t="str">
        <f aca="false">IF(R1133="維持",J1133,IF(R1133="排除","無關新聞事件",IFERROR(INDEX(事件規則!$B$2:$B$53,MATCH(S1133,事件規則!$A$2:$A$53,0)),"")))</f>
        <v>無關新聞事件</v>
      </c>
      <c r="U1133" s="20" t="n">
        <f aca="false">IF(R1133="維持",K1133,IF(R1133="排除",0,IFERROR(INDEX(事件規則!$C$2:$C$53,MATCH(S1133,事件規則!$A$2:$A$53,0)),"")))</f>
        <v>0</v>
      </c>
      <c r="V1133" s="21"/>
      <c r="W1133" s="22"/>
      <c r="X1133" s="10" t="str">
        <f aca="false">IF(AND(R1133="修改",S1133=""),"請選新事件代碼",IF(AND(R1133&lt;&gt;"修改",S1133&lt;&gt;""),"只有「修改」才需填代碼",""))</f>
        <v/>
      </c>
      <c r="Y1133" s="21"/>
      <c r="Z1133" s="22"/>
      <c r="AA1133" s="12" t="s">
        <v>3205</v>
      </c>
      <c r="AB1133" s="24"/>
    </row>
    <row r="1134" customFormat="false" ht="29.85" hidden="false" customHeight="false" outlineLevel="0" collapsed="false">
      <c r="A1134" s="15" t="n">
        <v>1133</v>
      </c>
      <c r="B1134" s="9" t="s">
        <v>45</v>
      </c>
      <c r="C1134" s="9" t="s">
        <v>1555</v>
      </c>
      <c r="D1134" s="10" t="s">
        <v>1556</v>
      </c>
      <c r="E1134" s="11" t="s">
        <v>3206</v>
      </c>
      <c r="F1134" s="17"/>
      <c r="G1134" s="12" t="s">
        <v>949</v>
      </c>
      <c r="H1134" s="13" t="n">
        <v>-0.03</v>
      </c>
      <c r="I1134" s="14"/>
      <c r="J1134" s="17"/>
      <c r="K1134" s="9"/>
      <c r="L1134" s="15" t="s">
        <v>50</v>
      </c>
      <c r="M1134" s="16" t="s">
        <v>51</v>
      </c>
      <c r="N1134" s="14"/>
      <c r="O1134" s="15" t="s">
        <v>52</v>
      </c>
      <c r="P1134" s="17" t="s">
        <v>53</v>
      </c>
      <c r="Q1134" s="15"/>
      <c r="R1134" s="18" t="s">
        <v>51</v>
      </c>
      <c r="S1134" s="19"/>
      <c r="T1134" s="17" t="str">
        <f aca="false">IF(R1134="維持",J1134,IF(R1134="排除","無關新聞事件",IFERROR(INDEX(事件規則!$B$2:$B$53,MATCH(S1134,事件規則!$A$2:$A$53,0)),"")))</f>
        <v>無關新聞事件</v>
      </c>
      <c r="U1134" s="20" t="n">
        <f aca="false">IF(R1134="維持",K1134,IF(R1134="排除",0,IFERROR(INDEX(事件規則!$C$2:$C$53,MATCH(S1134,事件規則!$A$2:$A$53,0)),"")))</f>
        <v>0</v>
      </c>
      <c r="V1134" s="21"/>
      <c r="W1134" s="22"/>
      <c r="X1134" s="10" t="str">
        <f aca="false">IF(AND(R1134="修改",S1134=""),"請選新事件代碼",IF(AND(R1134&lt;&gt;"修改",S1134&lt;&gt;""),"只有「修改」才需填代碼",""))</f>
        <v/>
      </c>
      <c r="Y1134" s="21"/>
      <c r="Z1134" s="22"/>
      <c r="AA1134" s="12" t="s">
        <v>3207</v>
      </c>
      <c r="AB1134" s="24"/>
    </row>
    <row r="1135" customFormat="false" ht="29.85" hidden="false" customHeight="false" outlineLevel="0" collapsed="false">
      <c r="A1135" s="15" t="n">
        <v>1134</v>
      </c>
      <c r="B1135" s="9" t="s">
        <v>81</v>
      </c>
      <c r="C1135" s="9" t="s">
        <v>2484</v>
      </c>
      <c r="D1135" s="10" t="s">
        <v>2485</v>
      </c>
      <c r="E1135" s="11" t="s">
        <v>3208</v>
      </c>
      <c r="F1135" s="17"/>
      <c r="G1135" s="12" t="s">
        <v>176</v>
      </c>
      <c r="H1135" s="13" t="n">
        <v>-0.03</v>
      </c>
      <c r="I1135" s="14"/>
      <c r="J1135" s="17"/>
      <c r="K1135" s="9"/>
      <c r="L1135" s="15" t="s">
        <v>50</v>
      </c>
      <c r="M1135" s="16" t="s">
        <v>51</v>
      </c>
      <c r="N1135" s="14"/>
      <c r="O1135" s="15" t="s">
        <v>52</v>
      </c>
      <c r="P1135" s="17" t="s">
        <v>53</v>
      </c>
      <c r="Q1135" s="15"/>
      <c r="R1135" s="18" t="s">
        <v>51</v>
      </c>
      <c r="S1135" s="19"/>
      <c r="T1135" s="17" t="str">
        <f aca="false">IF(R1135="維持",J1135,IF(R1135="排除","無關新聞事件",IFERROR(INDEX(事件規則!$B$2:$B$53,MATCH(S1135,事件規則!$A$2:$A$53,0)),"")))</f>
        <v>無關新聞事件</v>
      </c>
      <c r="U1135" s="20" t="n">
        <f aca="false">IF(R1135="維持",K1135,IF(R1135="排除",0,IFERROR(INDEX(事件規則!$C$2:$C$53,MATCH(S1135,事件規則!$A$2:$A$53,0)),"")))</f>
        <v>0</v>
      </c>
      <c r="V1135" s="21"/>
      <c r="W1135" s="22"/>
      <c r="X1135" s="10" t="str">
        <f aca="false">IF(AND(R1135="修改",S1135=""),"請選新事件代碼",IF(AND(R1135&lt;&gt;"修改",S1135&lt;&gt;""),"只有「修改」才需填代碼",""))</f>
        <v/>
      </c>
      <c r="Y1135" s="21"/>
      <c r="Z1135" s="22"/>
      <c r="AA1135" s="12" t="s">
        <v>3209</v>
      </c>
      <c r="AB1135" s="24"/>
    </row>
    <row r="1136" customFormat="false" ht="29.85" hidden="false" customHeight="false" outlineLevel="0" collapsed="false">
      <c r="A1136" s="15" t="n">
        <v>1135</v>
      </c>
      <c r="B1136" s="9" t="s">
        <v>81</v>
      </c>
      <c r="C1136" s="9" t="s">
        <v>178</v>
      </c>
      <c r="D1136" s="10" t="s">
        <v>179</v>
      </c>
      <c r="E1136" s="11" t="s">
        <v>3210</v>
      </c>
      <c r="F1136" s="17"/>
      <c r="G1136" s="12" t="s">
        <v>1136</v>
      </c>
      <c r="H1136" s="13" t="n">
        <v>-0.03</v>
      </c>
      <c r="I1136" s="14"/>
      <c r="J1136" s="17"/>
      <c r="K1136" s="9"/>
      <c r="L1136" s="15" t="s">
        <v>50</v>
      </c>
      <c r="M1136" s="16" t="s">
        <v>51</v>
      </c>
      <c r="N1136" s="14"/>
      <c r="O1136" s="15" t="s">
        <v>52</v>
      </c>
      <c r="P1136" s="17" t="s">
        <v>53</v>
      </c>
      <c r="Q1136" s="15"/>
      <c r="R1136" s="18" t="s">
        <v>51</v>
      </c>
      <c r="S1136" s="19"/>
      <c r="T1136" s="17" t="str">
        <f aca="false">IF(R1136="維持",J1136,IF(R1136="排除","無關新聞事件",IFERROR(INDEX(事件規則!$B$2:$B$53,MATCH(S1136,事件規則!$A$2:$A$53,0)),"")))</f>
        <v>無關新聞事件</v>
      </c>
      <c r="U1136" s="20" t="n">
        <f aca="false">IF(R1136="維持",K1136,IF(R1136="排除",0,IFERROR(INDEX(事件規則!$C$2:$C$53,MATCH(S1136,事件規則!$A$2:$A$53,0)),"")))</f>
        <v>0</v>
      </c>
      <c r="V1136" s="21"/>
      <c r="W1136" s="22"/>
      <c r="X1136" s="10" t="str">
        <f aca="false">IF(AND(R1136="修改",S1136=""),"請選新事件代碼",IF(AND(R1136&lt;&gt;"修改",S1136&lt;&gt;""),"只有「修改」才需填代碼",""))</f>
        <v/>
      </c>
      <c r="Y1136" s="21"/>
      <c r="Z1136" s="22"/>
      <c r="AA1136" s="12" t="s">
        <v>3211</v>
      </c>
      <c r="AB1136" s="24"/>
    </row>
    <row r="1137" customFormat="false" ht="29.85" hidden="false" customHeight="false" outlineLevel="0" collapsed="false">
      <c r="A1137" s="15" t="n">
        <v>1136</v>
      </c>
      <c r="B1137" s="9" t="s">
        <v>112</v>
      </c>
      <c r="C1137" s="9" t="s">
        <v>3117</v>
      </c>
      <c r="D1137" s="10" t="s">
        <v>3118</v>
      </c>
      <c r="E1137" s="11" t="s">
        <v>3212</v>
      </c>
      <c r="F1137" s="17"/>
      <c r="G1137" s="12" t="s">
        <v>949</v>
      </c>
      <c r="H1137" s="13" t="n">
        <v>-0.03</v>
      </c>
      <c r="I1137" s="14"/>
      <c r="J1137" s="17"/>
      <c r="K1137" s="9"/>
      <c r="L1137" s="15" t="s">
        <v>50</v>
      </c>
      <c r="M1137" s="16" t="s">
        <v>51</v>
      </c>
      <c r="N1137" s="14"/>
      <c r="O1137" s="15" t="s">
        <v>52</v>
      </c>
      <c r="P1137" s="17" t="s">
        <v>53</v>
      </c>
      <c r="Q1137" s="15"/>
      <c r="R1137" s="18" t="s">
        <v>51</v>
      </c>
      <c r="S1137" s="19"/>
      <c r="T1137" s="17" t="str">
        <f aca="false">IF(R1137="維持",J1137,IF(R1137="排除","無關新聞事件",IFERROR(INDEX(事件規則!$B$2:$B$53,MATCH(S1137,事件規則!$A$2:$A$53,0)),"")))</f>
        <v>無關新聞事件</v>
      </c>
      <c r="U1137" s="20" t="n">
        <f aca="false">IF(R1137="維持",K1137,IF(R1137="排除",0,IFERROR(INDEX(事件規則!$C$2:$C$53,MATCH(S1137,事件規則!$A$2:$A$53,0)),"")))</f>
        <v>0</v>
      </c>
      <c r="V1137" s="21"/>
      <c r="W1137" s="22"/>
      <c r="X1137" s="10" t="str">
        <f aca="false">IF(AND(R1137="修改",S1137=""),"請選新事件代碼",IF(AND(R1137&lt;&gt;"修改",S1137&lt;&gt;""),"只有「修改」才需填代碼",""))</f>
        <v/>
      </c>
      <c r="Y1137" s="21"/>
      <c r="Z1137" s="22"/>
      <c r="AA1137" s="12" t="s">
        <v>3213</v>
      </c>
      <c r="AB1137" s="24"/>
    </row>
    <row r="1138" customFormat="false" ht="29.85" hidden="false" customHeight="false" outlineLevel="0" collapsed="false">
      <c r="A1138" s="15" t="n">
        <v>1137</v>
      </c>
      <c r="B1138" s="9" t="s">
        <v>112</v>
      </c>
      <c r="C1138" s="9" t="s">
        <v>2219</v>
      </c>
      <c r="D1138" s="10" t="s">
        <v>2220</v>
      </c>
      <c r="E1138" s="11" t="s">
        <v>3214</v>
      </c>
      <c r="F1138" s="17"/>
      <c r="G1138" s="12" t="s">
        <v>105</v>
      </c>
      <c r="H1138" s="13" t="n">
        <v>-0.03</v>
      </c>
      <c r="I1138" s="14"/>
      <c r="J1138" s="17"/>
      <c r="K1138" s="9"/>
      <c r="L1138" s="15" t="s">
        <v>50</v>
      </c>
      <c r="M1138" s="16" t="s">
        <v>51</v>
      </c>
      <c r="N1138" s="14"/>
      <c r="O1138" s="15" t="s">
        <v>52</v>
      </c>
      <c r="P1138" s="17" t="s">
        <v>53</v>
      </c>
      <c r="Q1138" s="15"/>
      <c r="R1138" s="18" t="s">
        <v>51</v>
      </c>
      <c r="S1138" s="19"/>
      <c r="T1138" s="17" t="str">
        <f aca="false">IF(R1138="維持",J1138,IF(R1138="排除","無關新聞事件",IFERROR(INDEX(事件規則!$B$2:$B$53,MATCH(S1138,事件規則!$A$2:$A$53,0)),"")))</f>
        <v>無關新聞事件</v>
      </c>
      <c r="U1138" s="20" t="n">
        <f aca="false">IF(R1138="維持",K1138,IF(R1138="排除",0,IFERROR(INDEX(事件規則!$C$2:$C$53,MATCH(S1138,事件規則!$A$2:$A$53,0)),"")))</f>
        <v>0</v>
      </c>
      <c r="V1138" s="21"/>
      <c r="W1138" s="22"/>
      <c r="X1138" s="10" t="str">
        <f aca="false">IF(AND(R1138="修改",S1138=""),"請選新事件代碼",IF(AND(R1138&lt;&gt;"修改",S1138&lt;&gt;""),"只有「修改」才需填代碼",""))</f>
        <v/>
      </c>
      <c r="Y1138" s="21"/>
      <c r="Z1138" s="22"/>
      <c r="AA1138" s="12" t="s">
        <v>3215</v>
      </c>
      <c r="AB1138" s="24"/>
    </row>
    <row r="1139" customFormat="false" ht="29.85" hidden="false" customHeight="false" outlineLevel="0" collapsed="false">
      <c r="A1139" s="15" t="n">
        <v>1138</v>
      </c>
      <c r="B1139" s="9" t="s">
        <v>45</v>
      </c>
      <c r="C1139" s="9" t="s">
        <v>1555</v>
      </c>
      <c r="D1139" s="10" t="s">
        <v>1556</v>
      </c>
      <c r="E1139" s="11" t="s">
        <v>3216</v>
      </c>
      <c r="F1139" s="17"/>
      <c r="G1139" s="12" t="s">
        <v>949</v>
      </c>
      <c r="H1139" s="13" t="n">
        <v>-0.03</v>
      </c>
      <c r="I1139" s="14"/>
      <c r="J1139" s="17"/>
      <c r="K1139" s="9"/>
      <c r="L1139" s="15" t="s">
        <v>50</v>
      </c>
      <c r="M1139" s="16" t="s">
        <v>51</v>
      </c>
      <c r="N1139" s="14"/>
      <c r="O1139" s="15" t="s">
        <v>52</v>
      </c>
      <c r="P1139" s="17" t="s">
        <v>53</v>
      </c>
      <c r="Q1139" s="15"/>
      <c r="R1139" s="18" t="s">
        <v>51</v>
      </c>
      <c r="S1139" s="19"/>
      <c r="T1139" s="17" t="str">
        <f aca="false">IF(R1139="維持",J1139,IF(R1139="排除","無關新聞事件",IFERROR(INDEX(事件規則!$B$2:$B$53,MATCH(S1139,事件規則!$A$2:$A$53,0)),"")))</f>
        <v>無關新聞事件</v>
      </c>
      <c r="U1139" s="20" t="n">
        <f aca="false">IF(R1139="維持",K1139,IF(R1139="排除",0,IFERROR(INDEX(事件規則!$C$2:$C$53,MATCH(S1139,事件規則!$A$2:$A$53,0)),"")))</f>
        <v>0</v>
      </c>
      <c r="V1139" s="21"/>
      <c r="W1139" s="22"/>
      <c r="X1139" s="10" t="str">
        <f aca="false">IF(AND(R1139="修改",S1139=""),"請選新事件代碼",IF(AND(R1139&lt;&gt;"修改",S1139&lt;&gt;""),"只有「修改」才需填代碼",""))</f>
        <v/>
      </c>
      <c r="Y1139" s="21"/>
      <c r="Z1139" s="22"/>
      <c r="AA1139" s="12" t="s">
        <v>3217</v>
      </c>
      <c r="AB1139" s="24"/>
    </row>
    <row r="1140" customFormat="false" ht="29.85" hidden="false" customHeight="false" outlineLevel="0" collapsed="false">
      <c r="A1140" s="15" t="n">
        <v>1139</v>
      </c>
      <c r="B1140" s="9" t="s">
        <v>45</v>
      </c>
      <c r="C1140" s="9" t="s">
        <v>166</v>
      </c>
      <c r="D1140" s="10" t="s">
        <v>167</v>
      </c>
      <c r="E1140" s="11" t="s">
        <v>3218</v>
      </c>
      <c r="F1140" s="17"/>
      <c r="G1140" s="12" t="s">
        <v>949</v>
      </c>
      <c r="H1140" s="13" t="n">
        <v>-0.03</v>
      </c>
      <c r="I1140" s="14"/>
      <c r="J1140" s="17"/>
      <c r="K1140" s="9"/>
      <c r="L1140" s="15" t="s">
        <v>50</v>
      </c>
      <c r="M1140" s="16" t="s">
        <v>51</v>
      </c>
      <c r="N1140" s="14"/>
      <c r="O1140" s="15" t="s">
        <v>52</v>
      </c>
      <c r="P1140" s="17" t="s">
        <v>53</v>
      </c>
      <c r="Q1140" s="15"/>
      <c r="R1140" s="18" t="s">
        <v>51</v>
      </c>
      <c r="S1140" s="19"/>
      <c r="T1140" s="17" t="str">
        <f aca="false">IF(R1140="維持",J1140,IF(R1140="排除","無關新聞事件",IFERROR(INDEX(事件規則!$B$2:$B$53,MATCH(S1140,事件規則!$A$2:$A$53,0)),"")))</f>
        <v>無關新聞事件</v>
      </c>
      <c r="U1140" s="20" t="n">
        <f aca="false">IF(R1140="維持",K1140,IF(R1140="排除",0,IFERROR(INDEX(事件規則!$C$2:$C$53,MATCH(S1140,事件規則!$A$2:$A$53,0)),"")))</f>
        <v>0</v>
      </c>
      <c r="V1140" s="21"/>
      <c r="W1140" s="22"/>
      <c r="X1140" s="10" t="str">
        <f aca="false">IF(AND(R1140="修改",S1140=""),"請選新事件代碼",IF(AND(R1140&lt;&gt;"修改",S1140&lt;&gt;""),"只有「修改」才需填代碼",""))</f>
        <v/>
      </c>
      <c r="Y1140" s="21"/>
      <c r="Z1140" s="22"/>
      <c r="AA1140" s="12" t="s">
        <v>3219</v>
      </c>
      <c r="AB1140" s="24"/>
    </row>
    <row r="1141" customFormat="false" ht="29.85" hidden="false" customHeight="false" outlineLevel="0" collapsed="false">
      <c r="A1141" s="15" t="n">
        <v>1140</v>
      </c>
      <c r="B1141" s="9" t="s">
        <v>55</v>
      </c>
      <c r="C1141" s="9" t="s">
        <v>831</v>
      </c>
      <c r="D1141" s="10" t="s">
        <v>832</v>
      </c>
      <c r="E1141" s="11" t="s">
        <v>3220</v>
      </c>
      <c r="F1141" s="17"/>
      <c r="G1141" s="12" t="s">
        <v>3221</v>
      </c>
      <c r="H1141" s="13" t="n">
        <v>-0.03</v>
      </c>
      <c r="I1141" s="14"/>
      <c r="J1141" s="17"/>
      <c r="K1141" s="9"/>
      <c r="L1141" s="15" t="s">
        <v>50</v>
      </c>
      <c r="M1141" s="16" t="s">
        <v>51</v>
      </c>
      <c r="N1141" s="14"/>
      <c r="O1141" s="15" t="s">
        <v>52</v>
      </c>
      <c r="P1141" s="17" t="s">
        <v>53</v>
      </c>
      <c r="Q1141" s="15"/>
      <c r="R1141" s="18" t="s">
        <v>51</v>
      </c>
      <c r="S1141" s="19"/>
      <c r="T1141" s="17" t="str">
        <f aca="false">IF(R1141="維持",J1141,IF(R1141="排除","無關新聞事件",IFERROR(INDEX(事件規則!$B$2:$B$53,MATCH(S1141,事件規則!$A$2:$A$53,0)),"")))</f>
        <v>無關新聞事件</v>
      </c>
      <c r="U1141" s="20" t="n">
        <f aca="false">IF(R1141="維持",K1141,IF(R1141="排除",0,IFERROR(INDEX(事件規則!$C$2:$C$53,MATCH(S1141,事件規則!$A$2:$A$53,0)),"")))</f>
        <v>0</v>
      </c>
      <c r="V1141" s="21"/>
      <c r="W1141" s="22"/>
      <c r="X1141" s="10" t="str">
        <f aca="false">IF(AND(R1141="修改",S1141=""),"請選新事件代碼",IF(AND(R1141&lt;&gt;"修改",S1141&lt;&gt;""),"只有「修改」才需填代碼",""))</f>
        <v/>
      </c>
      <c r="Y1141" s="21"/>
      <c r="Z1141" s="22"/>
      <c r="AA1141" s="12" t="s">
        <v>3222</v>
      </c>
      <c r="AB1141" s="24"/>
    </row>
    <row r="1142" customFormat="false" ht="29.85" hidden="false" customHeight="false" outlineLevel="0" collapsed="false">
      <c r="A1142" s="15" t="n">
        <v>1141</v>
      </c>
      <c r="B1142" s="9" t="s">
        <v>45</v>
      </c>
      <c r="C1142" s="9" t="s">
        <v>113</v>
      </c>
      <c r="D1142" s="10" t="s">
        <v>114</v>
      </c>
      <c r="E1142" s="11" t="s">
        <v>3223</v>
      </c>
      <c r="F1142" s="17"/>
      <c r="G1142" s="12" t="s">
        <v>949</v>
      </c>
      <c r="H1142" s="13" t="n">
        <v>-0.03</v>
      </c>
      <c r="I1142" s="14"/>
      <c r="J1142" s="17"/>
      <c r="K1142" s="9"/>
      <c r="L1142" s="15" t="s">
        <v>50</v>
      </c>
      <c r="M1142" s="16" t="s">
        <v>51</v>
      </c>
      <c r="N1142" s="14"/>
      <c r="O1142" s="15" t="s">
        <v>52</v>
      </c>
      <c r="P1142" s="17" t="s">
        <v>53</v>
      </c>
      <c r="Q1142" s="15"/>
      <c r="R1142" s="18" t="s">
        <v>51</v>
      </c>
      <c r="S1142" s="19"/>
      <c r="T1142" s="17" t="str">
        <f aca="false">IF(R1142="維持",J1142,IF(R1142="排除","無關新聞事件",IFERROR(INDEX(事件規則!$B$2:$B$53,MATCH(S1142,事件規則!$A$2:$A$53,0)),"")))</f>
        <v>無關新聞事件</v>
      </c>
      <c r="U1142" s="20" t="n">
        <f aca="false">IF(R1142="維持",K1142,IF(R1142="排除",0,IFERROR(INDEX(事件規則!$C$2:$C$53,MATCH(S1142,事件規則!$A$2:$A$53,0)),"")))</f>
        <v>0</v>
      </c>
      <c r="V1142" s="21"/>
      <c r="W1142" s="22"/>
      <c r="X1142" s="10" t="str">
        <f aca="false">IF(AND(R1142="修改",S1142=""),"請選新事件代碼",IF(AND(R1142&lt;&gt;"修改",S1142&lt;&gt;""),"只有「修改」才需填代碼",""))</f>
        <v/>
      </c>
      <c r="Y1142" s="21"/>
      <c r="Z1142" s="22"/>
      <c r="AA1142" s="12" t="s">
        <v>3224</v>
      </c>
      <c r="AB1142" s="24"/>
    </row>
    <row r="1143" customFormat="false" ht="29.85" hidden="false" customHeight="false" outlineLevel="0" collapsed="false">
      <c r="A1143" s="15" t="n">
        <v>1142</v>
      </c>
      <c r="B1143" s="9" t="s">
        <v>45</v>
      </c>
      <c r="C1143" s="9" t="s">
        <v>1555</v>
      </c>
      <c r="D1143" s="10" t="s">
        <v>1556</v>
      </c>
      <c r="E1143" s="11" t="s">
        <v>3225</v>
      </c>
      <c r="F1143" s="17"/>
      <c r="G1143" s="12" t="s">
        <v>949</v>
      </c>
      <c r="H1143" s="13" t="n">
        <v>-0.03</v>
      </c>
      <c r="I1143" s="14"/>
      <c r="J1143" s="17"/>
      <c r="K1143" s="9"/>
      <c r="L1143" s="15" t="s">
        <v>50</v>
      </c>
      <c r="M1143" s="16" t="s">
        <v>51</v>
      </c>
      <c r="N1143" s="14"/>
      <c r="O1143" s="15" t="s">
        <v>52</v>
      </c>
      <c r="P1143" s="17" t="s">
        <v>53</v>
      </c>
      <c r="Q1143" s="15"/>
      <c r="R1143" s="18" t="s">
        <v>51</v>
      </c>
      <c r="S1143" s="19"/>
      <c r="T1143" s="17" t="str">
        <f aca="false">IF(R1143="維持",J1143,IF(R1143="排除","無關新聞事件",IFERROR(INDEX(事件規則!$B$2:$B$53,MATCH(S1143,事件規則!$A$2:$A$53,0)),"")))</f>
        <v>無關新聞事件</v>
      </c>
      <c r="U1143" s="20" t="n">
        <f aca="false">IF(R1143="維持",K1143,IF(R1143="排除",0,IFERROR(INDEX(事件規則!$C$2:$C$53,MATCH(S1143,事件規則!$A$2:$A$53,0)),"")))</f>
        <v>0</v>
      </c>
      <c r="V1143" s="21"/>
      <c r="W1143" s="22"/>
      <c r="X1143" s="10" t="str">
        <f aca="false">IF(AND(R1143="修改",S1143=""),"請選新事件代碼",IF(AND(R1143&lt;&gt;"修改",S1143&lt;&gt;""),"只有「修改」才需填代碼",""))</f>
        <v/>
      </c>
      <c r="Y1143" s="21"/>
      <c r="Z1143" s="22"/>
      <c r="AA1143" s="12" t="s">
        <v>3226</v>
      </c>
      <c r="AB1143" s="24"/>
    </row>
    <row r="1144" customFormat="false" ht="29.85" hidden="false" customHeight="false" outlineLevel="0" collapsed="false">
      <c r="A1144" s="15" t="n">
        <v>1143</v>
      </c>
      <c r="B1144" s="9" t="s">
        <v>45</v>
      </c>
      <c r="C1144" s="9" t="s">
        <v>917</v>
      </c>
      <c r="D1144" s="10" t="s">
        <v>918</v>
      </c>
      <c r="E1144" s="11" t="s">
        <v>3227</v>
      </c>
      <c r="F1144" s="17"/>
      <c r="G1144" s="12" t="s">
        <v>1068</v>
      </c>
      <c r="H1144" s="13" t="n">
        <v>-0.03</v>
      </c>
      <c r="I1144" s="14"/>
      <c r="J1144" s="17"/>
      <c r="K1144" s="9"/>
      <c r="L1144" s="15" t="s">
        <v>50</v>
      </c>
      <c r="M1144" s="16" t="s">
        <v>51</v>
      </c>
      <c r="N1144" s="14"/>
      <c r="O1144" s="15" t="s">
        <v>52</v>
      </c>
      <c r="P1144" s="17" t="s">
        <v>53</v>
      </c>
      <c r="Q1144" s="15"/>
      <c r="R1144" s="18" t="s">
        <v>51</v>
      </c>
      <c r="S1144" s="19"/>
      <c r="T1144" s="17" t="str">
        <f aca="false">IF(R1144="維持",J1144,IF(R1144="排除","無關新聞事件",IFERROR(INDEX(事件規則!$B$2:$B$53,MATCH(S1144,事件規則!$A$2:$A$53,0)),"")))</f>
        <v>無關新聞事件</v>
      </c>
      <c r="U1144" s="20" t="n">
        <f aca="false">IF(R1144="維持",K1144,IF(R1144="排除",0,IFERROR(INDEX(事件規則!$C$2:$C$53,MATCH(S1144,事件規則!$A$2:$A$53,0)),"")))</f>
        <v>0</v>
      </c>
      <c r="V1144" s="21"/>
      <c r="W1144" s="22"/>
      <c r="X1144" s="10" t="str">
        <f aca="false">IF(AND(R1144="修改",S1144=""),"請選新事件代碼",IF(AND(R1144&lt;&gt;"修改",S1144&lt;&gt;""),"只有「修改」才需填代碼",""))</f>
        <v/>
      </c>
      <c r="Y1144" s="21"/>
      <c r="Z1144" s="22"/>
      <c r="AA1144" s="12" t="s">
        <v>3228</v>
      </c>
      <c r="AB1144" s="24"/>
    </row>
    <row r="1145" customFormat="false" ht="29.85" hidden="false" customHeight="false" outlineLevel="0" collapsed="false">
      <c r="A1145" s="15" t="n">
        <v>1144</v>
      </c>
      <c r="B1145" s="9" t="s">
        <v>45</v>
      </c>
      <c r="C1145" s="9" t="s">
        <v>3229</v>
      </c>
      <c r="D1145" s="10" t="s">
        <v>3230</v>
      </c>
      <c r="E1145" s="11" t="s">
        <v>3231</v>
      </c>
      <c r="F1145" s="17"/>
      <c r="G1145" s="12" t="s">
        <v>949</v>
      </c>
      <c r="H1145" s="13" t="n">
        <v>-0.03</v>
      </c>
      <c r="I1145" s="14"/>
      <c r="J1145" s="17"/>
      <c r="K1145" s="9"/>
      <c r="L1145" s="15" t="s">
        <v>50</v>
      </c>
      <c r="M1145" s="16" t="s">
        <v>51</v>
      </c>
      <c r="N1145" s="14"/>
      <c r="O1145" s="15" t="s">
        <v>52</v>
      </c>
      <c r="P1145" s="17" t="s">
        <v>53</v>
      </c>
      <c r="Q1145" s="15"/>
      <c r="R1145" s="18" t="s">
        <v>51</v>
      </c>
      <c r="S1145" s="19"/>
      <c r="T1145" s="17" t="str">
        <f aca="false">IF(R1145="維持",J1145,IF(R1145="排除","無關新聞事件",IFERROR(INDEX(事件規則!$B$2:$B$53,MATCH(S1145,事件規則!$A$2:$A$53,0)),"")))</f>
        <v>無關新聞事件</v>
      </c>
      <c r="U1145" s="20" t="n">
        <f aca="false">IF(R1145="維持",K1145,IF(R1145="排除",0,IFERROR(INDEX(事件規則!$C$2:$C$53,MATCH(S1145,事件規則!$A$2:$A$53,0)),"")))</f>
        <v>0</v>
      </c>
      <c r="V1145" s="21"/>
      <c r="W1145" s="22"/>
      <c r="X1145" s="10" t="str">
        <f aca="false">IF(AND(R1145="修改",S1145=""),"請選新事件代碼",IF(AND(R1145&lt;&gt;"修改",S1145&lt;&gt;""),"只有「修改」才需填代碼",""))</f>
        <v/>
      </c>
      <c r="Y1145" s="21"/>
      <c r="Z1145" s="22"/>
      <c r="AA1145" s="12" t="s">
        <v>3232</v>
      </c>
      <c r="AB1145" s="24"/>
    </row>
    <row r="1146" customFormat="false" ht="29.85" hidden="false" customHeight="false" outlineLevel="0" collapsed="false">
      <c r="A1146" s="15" t="n">
        <v>1145</v>
      </c>
      <c r="B1146" s="9" t="s">
        <v>45</v>
      </c>
      <c r="C1146" s="9" t="s">
        <v>3233</v>
      </c>
      <c r="D1146" s="10" t="s">
        <v>3234</v>
      </c>
      <c r="E1146" s="11" t="s">
        <v>3235</v>
      </c>
      <c r="F1146" s="17"/>
      <c r="G1146" s="12" t="s">
        <v>2033</v>
      </c>
      <c r="H1146" s="13" t="n">
        <v>-0.03</v>
      </c>
      <c r="I1146" s="14"/>
      <c r="J1146" s="17"/>
      <c r="K1146" s="9"/>
      <c r="L1146" s="15" t="s">
        <v>50</v>
      </c>
      <c r="M1146" s="16" t="s">
        <v>51</v>
      </c>
      <c r="N1146" s="14"/>
      <c r="O1146" s="15" t="s">
        <v>52</v>
      </c>
      <c r="P1146" s="17" t="s">
        <v>53</v>
      </c>
      <c r="Q1146" s="15"/>
      <c r="R1146" s="18" t="s">
        <v>51</v>
      </c>
      <c r="S1146" s="19"/>
      <c r="T1146" s="17" t="str">
        <f aca="false">IF(R1146="維持",J1146,IF(R1146="排除","無關新聞事件",IFERROR(INDEX(事件規則!$B$2:$B$53,MATCH(S1146,事件規則!$A$2:$A$53,0)),"")))</f>
        <v>無關新聞事件</v>
      </c>
      <c r="U1146" s="20" t="n">
        <f aca="false">IF(R1146="維持",K1146,IF(R1146="排除",0,IFERROR(INDEX(事件規則!$C$2:$C$53,MATCH(S1146,事件規則!$A$2:$A$53,0)),"")))</f>
        <v>0</v>
      </c>
      <c r="V1146" s="21"/>
      <c r="W1146" s="22"/>
      <c r="X1146" s="10" t="str">
        <f aca="false">IF(AND(R1146="修改",S1146=""),"請選新事件代碼",IF(AND(R1146&lt;&gt;"修改",S1146&lt;&gt;""),"只有「修改」才需填代碼",""))</f>
        <v/>
      </c>
      <c r="Y1146" s="21"/>
      <c r="Z1146" s="22"/>
      <c r="AA1146" s="12" t="s">
        <v>3236</v>
      </c>
      <c r="AB1146" s="24"/>
    </row>
    <row r="1147" customFormat="false" ht="29.85" hidden="false" customHeight="false" outlineLevel="0" collapsed="false">
      <c r="A1147" s="15" t="n">
        <v>1146</v>
      </c>
      <c r="B1147" s="9" t="s">
        <v>45</v>
      </c>
      <c r="C1147" s="9" t="s">
        <v>672</v>
      </c>
      <c r="D1147" s="10" t="s">
        <v>673</v>
      </c>
      <c r="E1147" s="11" t="s">
        <v>3237</v>
      </c>
      <c r="F1147" s="17"/>
      <c r="G1147" s="12" t="s">
        <v>3238</v>
      </c>
      <c r="H1147" s="13" t="n">
        <v>-0.03</v>
      </c>
      <c r="I1147" s="14"/>
      <c r="J1147" s="17"/>
      <c r="K1147" s="9"/>
      <c r="L1147" s="15" t="s">
        <v>50</v>
      </c>
      <c r="M1147" s="16" t="s">
        <v>51</v>
      </c>
      <c r="N1147" s="14"/>
      <c r="O1147" s="15" t="s">
        <v>52</v>
      </c>
      <c r="P1147" s="17" t="s">
        <v>53</v>
      </c>
      <c r="Q1147" s="15"/>
      <c r="R1147" s="18" t="s">
        <v>51</v>
      </c>
      <c r="S1147" s="19"/>
      <c r="T1147" s="17" t="str">
        <f aca="false">IF(R1147="維持",J1147,IF(R1147="排除","無關新聞事件",IFERROR(INDEX(事件規則!$B$2:$B$53,MATCH(S1147,事件規則!$A$2:$A$53,0)),"")))</f>
        <v>無關新聞事件</v>
      </c>
      <c r="U1147" s="20" t="n">
        <f aca="false">IF(R1147="維持",K1147,IF(R1147="排除",0,IFERROR(INDEX(事件規則!$C$2:$C$53,MATCH(S1147,事件規則!$A$2:$A$53,0)),"")))</f>
        <v>0</v>
      </c>
      <c r="V1147" s="21"/>
      <c r="W1147" s="22"/>
      <c r="X1147" s="10" t="str">
        <f aca="false">IF(AND(R1147="修改",S1147=""),"請選新事件代碼",IF(AND(R1147&lt;&gt;"修改",S1147&lt;&gt;""),"只有「修改」才需填代碼",""))</f>
        <v/>
      </c>
      <c r="Y1147" s="21"/>
      <c r="Z1147" s="22"/>
      <c r="AA1147" s="12" t="s">
        <v>3239</v>
      </c>
      <c r="AB1147" s="24"/>
    </row>
    <row r="1148" customFormat="false" ht="29.85" hidden="false" customHeight="false" outlineLevel="0" collapsed="false">
      <c r="A1148" s="15" t="n">
        <v>1147</v>
      </c>
      <c r="B1148" s="9" t="s">
        <v>45</v>
      </c>
      <c r="C1148" s="9" t="s">
        <v>2130</v>
      </c>
      <c r="D1148" s="10" t="s">
        <v>2131</v>
      </c>
      <c r="E1148" s="11" t="s">
        <v>3240</v>
      </c>
      <c r="F1148" s="17"/>
      <c r="G1148" s="12" t="s">
        <v>949</v>
      </c>
      <c r="H1148" s="13" t="n">
        <v>-0.03</v>
      </c>
      <c r="I1148" s="14"/>
      <c r="J1148" s="17"/>
      <c r="K1148" s="9"/>
      <c r="L1148" s="15" t="s">
        <v>50</v>
      </c>
      <c r="M1148" s="16" t="s">
        <v>51</v>
      </c>
      <c r="N1148" s="14"/>
      <c r="O1148" s="15" t="s">
        <v>52</v>
      </c>
      <c r="P1148" s="17" t="s">
        <v>53</v>
      </c>
      <c r="Q1148" s="15"/>
      <c r="R1148" s="18" t="s">
        <v>51</v>
      </c>
      <c r="S1148" s="19"/>
      <c r="T1148" s="17" t="str">
        <f aca="false">IF(R1148="維持",J1148,IF(R1148="排除","無關新聞事件",IFERROR(INDEX(事件規則!$B$2:$B$53,MATCH(S1148,事件規則!$A$2:$A$53,0)),"")))</f>
        <v>無關新聞事件</v>
      </c>
      <c r="U1148" s="20" t="n">
        <f aca="false">IF(R1148="維持",K1148,IF(R1148="排除",0,IFERROR(INDEX(事件規則!$C$2:$C$53,MATCH(S1148,事件規則!$A$2:$A$53,0)),"")))</f>
        <v>0</v>
      </c>
      <c r="V1148" s="21"/>
      <c r="W1148" s="22"/>
      <c r="X1148" s="10" t="str">
        <f aca="false">IF(AND(R1148="修改",S1148=""),"請選新事件代碼",IF(AND(R1148&lt;&gt;"修改",S1148&lt;&gt;""),"只有「修改」才需填代碼",""))</f>
        <v/>
      </c>
      <c r="Y1148" s="21"/>
      <c r="Z1148" s="22"/>
      <c r="AA1148" s="12" t="s">
        <v>3241</v>
      </c>
      <c r="AB1148" s="24"/>
    </row>
    <row r="1149" customFormat="false" ht="29.85" hidden="false" customHeight="false" outlineLevel="0" collapsed="false">
      <c r="A1149" s="15" t="n">
        <v>1148</v>
      </c>
      <c r="B1149" s="9" t="s">
        <v>45</v>
      </c>
      <c r="C1149" s="9" t="s">
        <v>315</v>
      </c>
      <c r="D1149" s="10" t="s">
        <v>316</v>
      </c>
      <c r="E1149" s="11" t="s">
        <v>3242</v>
      </c>
      <c r="F1149" s="17"/>
      <c r="G1149" s="12" t="s">
        <v>1136</v>
      </c>
      <c r="H1149" s="13" t="n">
        <v>-0.03</v>
      </c>
      <c r="I1149" s="14"/>
      <c r="J1149" s="17"/>
      <c r="K1149" s="9"/>
      <c r="L1149" s="15" t="s">
        <v>50</v>
      </c>
      <c r="M1149" s="16" t="s">
        <v>51</v>
      </c>
      <c r="N1149" s="14"/>
      <c r="O1149" s="15" t="s">
        <v>52</v>
      </c>
      <c r="P1149" s="17" t="s">
        <v>53</v>
      </c>
      <c r="Q1149" s="15"/>
      <c r="R1149" s="18" t="s">
        <v>51</v>
      </c>
      <c r="S1149" s="19"/>
      <c r="T1149" s="17" t="str">
        <f aca="false">IF(R1149="維持",J1149,IF(R1149="排除","無關新聞事件",IFERROR(INDEX(事件規則!$B$2:$B$53,MATCH(S1149,事件規則!$A$2:$A$53,0)),"")))</f>
        <v>無關新聞事件</v>
      </c>
      <c r="U1149" s="20" t="n">
        <f aca="false">IF(R1149="維持",K1149,IF(R1149="排除",0,IFERROR(INDEX(事件規則!$C$2:$C$53,MATCH(S1149,事件規則!$A$2:$A$53,0)),"")))</f>
        <v>0</v>
      </c>
      <c r="V1149" s="21"/>
      <c r="W1149" s="22"/>
      <c r="X1149" s="10" t="str">
        <f aca="false">IF(AND(R1149="修改",S1149=""),"請選新事件代碼",IF(AND(R1149&lt;&gt;"修改",S1149&lt;&gt;""),"只有「修改」才需填代碼",""))</f>
        <v/>
      </c>
      <c r="Y1149" s="21"/>
      <c r="Z1149" s="22"/>
      <c r="AA1149" s="12" t="s">
        <v>3243</v>
      </c>
      <c r="AB1149" s="24"/>
    </row>
    <row r="1150" customFormat="false" ht="29.85" hidden="false" customHeight="false" outlineLevel="0" collapsed="false">
      <c r="A1150" s="15" t="n">
        <v>1149</v>
      </c>
      <c r="B1150" s="9" t="s">
        <v>55</v>
      </c>
      <c r="C1150" s="9" t="s">
        <v>3244</v>
      </c>
      <c r="D1150" s="10" t="s">
        <v>3245</v>
      </c>
      <c r="E1150" s="11" t="s">
        <v>3246</v>
      </c>
      <c r="F1150" s="17"/>
      <c r="G1150" s="12" t="s">
        <v>949</v>
      </c>
      <c r="H1150" s="13" t="n">
        <v>-0.03</v>
      </c>
      <c r="I1150" s="14"/>
      <c r="J1150" s="17"/>
      <c r="K1150" s="9"/>
      <c r="L1150" s="15" t="s">
        <v>50</v>
      </c>
      <c r="M1150" s="16" t="s">
        <v>51</v>
      </c>
      <c r="N1150" s="14"/>
      <c r="O1150" s="15" t="s">
        <v>52</v>
      </c>
      <c r="P1150" s="17" t="s">
        <v>53</v>
      </c>
      <c r="Q1150" s="15"/>
      <c r="R1150" s="18" t="s">
        <v>51</v>
      </c>
      <c r="S1150" s="19"/>
      <c r="T1150" s="17" t="str">
        <f aca="false">IF(R1150="維持",J1150,IF(R1150="排除","無關新聞事件",IFERROR(INDEX(事件規則!$B$2:$B$53,MATCH(S1150,事件規則!$A$2:$A$53,0)),"")))</f>
        <v>無關新聞事件</v>
      </c>
      <c r="U1150" s="20" t="n">
        <f aca="false">IF(R1150="維持",K1150,IF(R1150="排除",0,IFERROR(INDEX(事件規則!$C$2:$C$53,MATCH(S1150,事件規則!$A$2:$A$53,0)),"")))</f>
        <v>0</v>
      </c>
      <c r="V1150" s="21"/>
      <c r="W1150" s="22"/>
      <c r="X1150" s="10" t="str">
        <f aca="false">IF(AND(R1150="修改",S1150=""),"請選新事件代碼",IF(AND(R1150&lt;&gt;"修改",S1150&lt;&gt;""),"只有「修改」才需填代碼",""))</f>
        <v/>
      </c>
      <c r="Y1150" s="21"/>
      <c r="Z1150" s="22"/>
      <c r="AA1150" s="12" t="s">
        <v>3247</v>
      </c>
      <c r="AB1150" s="24"/>
    </row>
    <row r="1151" customFormat="false" ht="29.85" hidden="false" customHeight="false" outlineLevel="0" collapsed="false">
      <c r="A1151" s="15" t="n">
        <v>1150</v>
      </c>
      <c r="B1151" s="9" t="s">
        <v>55</v>
      </c>
      <c r="C1151" s="9" t="s">
        <v>740</v>
      </c>
      <c r="D1151" s="10" t="s">
        <v>741</v>
      </c>
      <c r="E1151" s="11" t="s">
        <v>3248</v>
      </c>
      <c r="F1151" s="17"/>
      <c r="G1151" s="12" t="s">
        <v>949</v>
      </c>
      <c r="H1151" s="13" t="n">
        <v>-0.03</v>
      </c>
      <c r="I1151" s="14"/>
      <c r="J1151" s="17"/>
      <c r="K1151" s="9"/>
      <c r="L1151" s="15" t="s">
        <v>50</v>
      </c>
      <c r="M1151" s="16" t="s">
        <v>51</v>
      </c>
      <c r="N1151" s="14"/>
      <c r="O1151" s="15" t="s">
        <v>52</v>
      </c>
      <c r="P1151" s="17" t="s">
        <v>53</v>
      </c>
      <c r="Q1151" s="15"/>
      <c r="R1151" s="18" t="s">
        <v>51</v>
      </c>
      <c r="S1151" s="19"/>
      <c r="T1151" s="17" t="str">
        <f aca="false">IF(R1151="維持",J1151,IF(R1151="排除","無關新聞事件",IFERROR(INDEX(事件規則!$B$2:$B$53,MATCH(S1151,事件規則!$A$2:$A$53,0)),"")))</f>
        <v>無關新聞事件</v>
      </c>
      <c r="U1151" s="20" t="n">
        <f aca="false">IF(R1151="維持",K1151,IF(R1151="排除",0,IFERROR(INDEX(事件規則!$C$2:$C$53,MATCH(S1151,事件規則!$A$2:$A$53,0)),"")))</f>
        <v>0</v>
      </c>
      <c r="V1151" s="21"/>
      <c r="W1151" s="22"/>
      <c r="X1151" s="10" t="str">
        <f aca="false">IF(AND(R1151="修改",S1151=""),"請選新事件代碼",IF(AND(R1151&lt;&gt;"修改",S1151&lt;&gt;""),"只有「修改」才需填代碼",""))</f>
        <v/>
      </c>
      <c r="Y1151" s="21"/>
      <c r="Z1151" s="22"/>
      <c r="AA1151" s="12" t="s">
        <v>3249</v>
      </c>
      <c r="AB1151" s="24"/>
    </row>
    <row r="1152" customFormat="false" ht="29.85" hidden="false" customHeight="false" outlineLevel="0" collapsed="false">
      <c r="A1152" s="15" t="n">
        <v>1151</v>
      </c>
      <c r="B1152" s="9" t="s">
        <v>55</v>
      </c>
      <c r="C1152" s="9" t="s">
        <v>118</v>
      </c>
      <c r="D1152" s="10" t="s">
        <v>119</v>
      </c>
      <c r="E1152" s="11" t="s">
        <v>3250</v>
      </c>
      <c r="F1152" s="17"/>
      <c r="G1152" s="12" t="s">
        <v>49</v>
      </c>
      <c r="H1152" s="13" t="n">
        <v>-0.03</v>
      </c>
      <c r="I1152" s="14"/>
      <c r="J1152" s="17"/>
      <c r="K1152" s="9"/>
      <c r="L1152" s="15" t="s">
        <v>50</v>
      </c>
      <c r="M1152" s="16" t="s">
        <v>51</v>
      </c>
      <c r="N1152" s="14"/>
      <c r="O1152" s="15" t="s">
        <v>52</v>
      </c>
      <c r="P1152" s="17" t="s">
        <v>53</v>
      </c>
      <c r="Q1152" s="15"/>
      <c r="R1152" s="18" t="s">
        <v>51</v>
      </c>
      <c r="S1152" s="19"/>
      <c r="T1152" s="17" t="str">
        <f aca="false">IF(R1152="維持",J1152,IF(R1152="排除","無關新聞事件",IFERROR(INDEX(事件規則!$B$2:$B$53,MATCH(S1152,事件規則!$A$2:$A$53,0)),"")))</f>
        <v>無關新聞事件</v>
      </c>
      <c r="U1152" s="20" t="n">
        <f aca="false">IF(R1152="維持",K1152,IF(R1152="排除",0,IFERROR(INDEX(事件規則!$C$2:$C$53,MATCH(S1152,事件規則!$A$2:$A$53,0)),"")))</f>
        <v>0</v>
      </c>
      <c r="V1152" s="21"/>
      <c r="W1152" s="22"/>
      <c r="X1152" s="10" t="str">
        <f aca="false">IF(AND(R1152="修改",S1152=""),"請選新事件代碼",IF(AND(R1152&lt;&gt;"修改",S1152&lt;&gt;""),"只有「修改」才需填代碼",""))</f>
        <v/>
      </c>
      <c r="Y1152" s="21"/>
      <c r="Z1152" s="22"/>
      <c r="AA1152" s="12" t="s">
        <v>3251</v>
      </c>
      <c r="AB1152" s="24"/>
    </row>
    <row r="1153" customFormat="false" ht="29.85" hidden="false" customHeight="false" outlineLevel="0" collapsed="false">
      <c r="A1153" s="15" t="n">
        <v>1152</v>
      </c>
      <c r="B1153" s="9" t="s">
        <v>112</v>
      </c>
      <c r="C1153" s="9" t="s">
        <v>2219</v>
      </c>
      <c r="D1153" s="10" t="s">
        <v>2220</v>
      </c>
      <c r="E1153" s="11" t="s">
        <v>3252</v>
      </c>
      <c r="F1153" s="17"/>
      <c r="G1153" s="12" t="s">
        <v>105</v>
      </c>
      <c r="H1153" s="13" t="n">
        <v>-0.03</v>
      </c>
      <c r="I1153" s="14"/>
      <c r="J1153" s="17"/>
      <c r="K1153" s="9"/>
      <c r="L1153" s="15" t="s">
        <v>50</v>
      </c>
      <c r="M1153" s="16" t="s">
        <v>51</v>
      </c>
      <c r="N1153" s="14"/>
      <c r="O1153" s="15" t="s">
        <v>52</v>
      </c>
      <c r="P1153" s="17" t="s">
        <v>53</v>
      </c>
      <c r="Q1153" s="15"/>
      <c r="R1153" s="18" t="s">
        <v>51</v>
      </c>
      <c r="S1153" s="19"/>
      <c r="T1153" s="17" t="str">
        <f aca="false">IF(R1153="維持",J1153,IF(R1153="排除","無關新聞事件",IFERROR(INDEX(事件規則!$B$2:$B$53,MATCH(S1153,事件規則!$A$2:$A$53,0)),"")))</f>
        <v>無關新聞事件</v>
      </c>
      <c r="U1153" s="20" t="n">
        <f aca="false">IF(R1153="維持",K1153,IF(R1153="排除",0,IFERROR(INDEX(事件規則!$C$2:$C$53,MATCH(S1153,事件規則!$A$2:$A$53,0)),"")))</f>
        <v>0</v>
      </c>
      <c r="V1153" s="21"/>
      <c r="W1153" s="22"/>
      <c r="X1153" s="10" t="str">
        <f aca="false">IF(AND(R1153="修改",S1153=""),"請選新事件代碼",IF(AND(R1153&lt;&gt;"修改",S1153&lt;&gt;""),"只有「修改」才需填代碼",""))</f>
        <v/>
      </c>
      <c r="Y1153" s="21"/>
      <c r="Z1153" s="22"/>
      <c r="AA1153" s="12" t="s">
        <v>3253</v>
      </c>
      <c r="AB1153" s="24"/>
    </row>
    <row r="1154" customFormat="false" ht="29.85" hidden="false" customHeight="false" outlineLevel="0" collapsed="false">
      <c r="A1154" s="15" t="n">
        <v>1153</v>
      </c>
      <c r="B1154" s="9" t="s">
        <v>112</v>
      </c>
      <c r="C1154" s="9" t="s">
        <v>889</v>
      </c>
      <c r="D1154" s="10" t="s">
        <v>890</v>
      </c>
      <c r="E1154" s="11" t="s">
        <v>3254</v>
      </c>
      <c r="F1154" s="17"/>
      <c r="G1154" s="12" t="s">
        <v>949</v>
      </c>
      <c r="H1154" s="13" t="n">
        <v>-0.03</v>
      </c>
      <c r="I1154" s="14"/>
      <c r="J1154" s="17"/>
      <c r="K1154" s="9"/>
      <c r="L1154" s="15" t="s">
        <v>50</v>
      </c>
      <c r="M1154" s="16" t="s">
        <v>51</v>
      </c>
      <c r="N1154" s="14"/>
      <c r="O1154" s="15" t="s">
        <v>52</v>
      </c>
      <c r="P1154" s="17" t="s">
        <v>53</v>
      </c>
      <c r="Q1154" s="15"/>
      <c r="R1154" s="18" t="s">
        <v>51</v>
      </c>
      <c r="S1154" s="19"/>
      <c r="T1154" s="17" t="str">
        <f aca="false">IF(R1154="維持",J1154,IF(R1154="排除","無關新聞事件",IFERROR(INDEX(事件規則!$B$2:$B$53,MATCH(S1154,事件規則!$A$2:$A$53,0)),"")))</f>
        <v>無關新聞事件</v>
      </c>
      <c r="U1154" s="20" t="n">
        <f aca="false">IF(R1154="維持",K1154,IF(R1154="排除",0,IFERROR(INDEX(事件規則!$C$2:$C$53,MATCH(S1154,事件規則!$A$2:$A$53,0)),"")))</f>
        <v>0</v>
      </c>
      <c r="V1154" s="21"/>
      <c r="W1154" s="22"/>
      <c r="X1154" s="10" t="str">
        <f aca="false">IF(AND(R1154="修改",S1154=""),"請選新事件代碼",IF(AND(R1154&lt;&gt;"修改",S1154&lt;&gt;""),"只有「修改」才需填代碼",""))</f>
        <v/>
      </c>
      <c r="Y1154" s="21"/>
      <c r="Z1154" s="22"/>
      <c r="AA1154" s="12" t="s">
        <v>3255</v>
      </c>
      <c r="AB1154" s="24"/>
    </row>
    <row r="1155" customFormat="false" ht="29.85" hidden="false" customHeight="false" outlineLevel="0" collapsed="false">
      <c r="A1155" s="15" t="n">
        <v>1154</v>
      </c>
      <c r="B1155" s="9" t="s">
        <v>112</v>
      </c>
      <c r="C1155" s="9" t="s">
        <v>2041</v>
      </c>
      <c r="D1155" s="10" t="s">
        <v>2042</v>
      </c>
      <c r="E1155" s="11" t="s">
        <v>3256</v>
      </c>
      <c r="F1155" s="17"/>
      <c r="G1155" s="12" t="s">
        <v>2033</v>
      </c>
      <c r="H1155" s="13" t="n">
        <v>-0.03</v>
      </c>
      <c r="I1155" s="14"/>
      <c r="J1155" s="17"/>
      <c r="K1155" s="9"/>
      <c r="L1155" s="15" t="s">
        <v>50</v>
      </c>
      <c r="M1155" s="16" t="s">
        <v>51</v>
      </c>
      <c r="N1155" s="14"/>
      <c r="O1155" s="15" t="s">
        <v>52</v>
      </c>
      <c r="P1155" s="17" t="s">
        <v>53</v>
      </c>
      <c r="Q1155" s="15"/>
      <c r="R1155" s="18" t="s">
        <v>51</v>
      </c>
      <c r="S1155" s="19"/>
      <c r="T1155" s="17" t="str">
        <f aca="false">IF(R1155="維持",J1155,IF(R1155="排除","無關新聞事件",IFERROR(INDEX(事件規則!$B$2:$B$53,MATCH(S1155,事件規則!$A$2:$A$53,0)),"")))</f>
        <v>無關新聞事件</v>
      </c>
      <c r="U1155" s="20" t="n">
        <f aca="false">IF(R1155="維持",K1155,IF(R1155="排除",0,IFERROR(INDEX(事件規則!$C$2:$C$53,MATCH(S1155,事件規則!$A$2:$A$53,0)),"")))</f>
        <v>0</v>
      </c>
      <c r="V1155" s="21"/>
      <c r="W1155" s="22"/>
      <c r="X1155" s="10" t="str">
        <f aca="false">IF(AND(R1155="修改",S1155=""),"請選新事件代碼",IF(AND(R1155&lt;&gt;"修改",S1155&lt;&gt;""),"只有「修改」才需填代碼",""))</f>
        <v/>
      </c>
      <c r="Y1155" s="21"/>
      <c r="Z1155" s="22"/>
      <c r="AA1155" s="12" t="s">
        <v>3257</v>
      </c>
      <c r="AB1155" s="24"/>
    </row>
    <row r="1156" customFormat="false" ht="29.85" hidden="false" customHeight="false" outlineLevel="0" collapsed="false">
      <c r="A1156" s="15" t="n">
        <v>1155</v>
      </c>
      <c r="B1156" s="9" t="s">
        <v>112</v>
      </c>
      <c r="C1156" s="9" t="s">
        <v>2703</v>
      </c>
      <c r="D1156" s="10" t="s">
        <v>2704</v>
      </c>
      <c r="E1156" s="11" t="s">
        <v>3258</v>
      </c>
      <c r="F1156" s="17"/>
      <c r="G1156" s="12" t="s">
        <v>949</v>
      </c>
      <c r="H1156" s="13" t="n">
        <v>-0.03</v>
      </c>
      <c r="I1156" s="14"/>
      <c r="J1156" s="17"/>
      <c r="K1156" s="9"/>
      <c r="L1156" s="15" t="s">
        <v>50</v>
      </c>
      <c r="M1156" s="16" t="s">
        <v>51</v>
      </c>
      <c r="N1156" s="14"/>
      <c r="O1156" s="15" t="s">
        <v>52</v>
      </c>
      <c r="P1156" s="17" t="s">
        <v>53</v>
      </c>
      <c r="Q1156" s="15"/>
      <c r="R1156" s="18" t="s">
        <v>51</v>
      </c>
      <c r="S1156" s="19"/>
      <c r="T1156" s="17" t="str">
        <f aca="false">IF(R1156="維持",J1156,IF(R1156="排除","無關新聞事件",IFERROR(INDEX(事件規則!$B$2:$B$53,MATCH(S1156,事件規則!$A$2:$A$53,0)),"")))</f>
        <v>無關新聞事件</v>
      </c>
      <c r="U1156" s="20" t="n">
        <f aca="false">IF(R1156="維持",K1156,IF(R1156="排除",0,IFERROR(INDEX(事件規則!$C$2:$C$53,MATCH(S1156,事件規則!$A$2:$A$53,0)),"")))</f>
        <v>0</v>
      </c>
      <c r="V1156" s="21"/>
      <c r="W1156" s="22"/>
      <c r="X1156" s="10" t="str">
        <f aca="false">IF(AND(R1156="修改",S1156=""),"請選新事件代碼",IF(AND(R1156&lt;&gt;"修改",S1156&lt;&gt;""),"只有「修改」才需填代碼",""))</f>
        <v/>
      </c>
      <c r="Y1156" s="21"/>
      <c r="Z1156" s="22"/>
      <c r="AA1156" s="12" t="s">
        <v>3259</v>
      </c>
      <c r="AB1156" s="24"/>
    </row>
    <row r="1157" customFormat="false" ht="29.85" hidden="false" customHeight="false" outlineLevel="0" collapsed="false">
      <c r="A1157" s="15" t="n">
        <v>1156</v>
      </c>
      <c r="B1157" s="9" t="s">
        <v>45</v>
      </c>
      <c r="C1157" s="9" t="s">
        <v>315</v>
      </c>
      <c r="D1157" s="10" t="s">
        <v>316</v>
      </c>
      <c r="E1157" s="11" t="s">
        <v>3260</v>
      </c>
      <c r="F1157" s="17"/>
      <c r="G1157" s="12" t="s">
        <v>949</v>
      </c>
      <c r="H1157" s="13" t="n">
        <v>-0.03</v>
      </c>
      <c r="I1157" s="14"/>
      <c r="J1157" s="17"/>
      <c r="K1157" s="9"/>
      <c r="L1157" s="15" t="s">
        <v>50</v>
      </c>
      <c r="M1157" s="16" t="s">
        <v>51</v>
      </c>
      <c r="N1157" s="14"/>
      <c r="O1157" s="15" t="s">
        <v>52</v>
      </c>
      <c r="P1157" s="17" t="s">
        <v>53</v>
      </c>
      <c r="Q1157" s="15"/>
      <c r="R1157" s="18" t="s">
        <v>51</v>
      </c>
      <c r="S1157" s="19"/>
      <c r="T1157" s="17" t="str">
        <f aca="false">IF(R1157="維持",J1157,IF(R1157="排除","無關新聞事件",IFERROR(INDEX(事件規則!$B$2:$B$53,MATCH(S1157,事件規則!$A$2:$A$53,0)),"")))</f>
        <v>無關新聞事件</v>
      </c>
      <c r="U1157" s="20" t="n">
        <f aca="false">IF(R1157="維持",K1157,IF(R1157="排除",0,IFERROR(INDEX(事件規則!$C$2:$C$53,MATCH(S1157,事件規則!$A$2:$A$53,0)),"")))</f>
        <v>0</v>
      </c>
      <c r="V1157" s="21"/>
      <c r="W1157" s="22"/>
      <c r="X1157" s="10" t="str">
        <f aca="false">IF(AND(R1157="修改",S1157=""),"請選新事件代碼",IF(AND(R1157&lt;&gt;"修改",S1157&lt;&gt;""),"只有「修改」才需填代碼",""))</f>
        <v/>
      </c>
      <c r="Y1157" s="21"/>
      <c r="Z1157" s="22"/>
      <c r="AA1157" s="12" t="s">
        <v>3261</v>
      </c>
      <c r="AB1157" s="24"/>
    </row>
    <row r="1158" customFormat="false" ht="29.85" hidden="false" customHeight="false" outlineLevel="0" collapsed="false">
      <c r="A1158" s="15" t="n">
        <v>1157</v>
      </c>
      <c r="B1158" s="9" t="s">
        <v>45</v>
      </c>
      <c r="C1158" s="9" t="s">
        <v>1555</v>
      </c>
      <c r="D1158" s="10" t="s">
        <v>1556</v>
      </c>
      <c r="E1158" s="11" t="s">
        <v>3262</v>
      </c>
      <c r="F1158" s="17"/>
      <c r="G1158" s="12" t="s">
        <v>949</v>
      </c>
      <c r="H1158" s="13" t="n">
        <v>-0.03</v>
      </c>
      <c r="I1158" s="14"/>
      <c r="J1158" s="17"/>
      <c r="K1158" s="9"/>
      <c r="L1158" s="15" t="s">
        <v>50</v>
      </c>
      <c r="M1158" s="16" t="s">
        <v>51</v>
      </c>
      <c r="N1158" s="14"/>
      <c r="O1158" s="15" t="s">
        <v>52</v>
      </c>
      <c r="P1158" s="17" t="s">
        <v>53</v>
      </c>
      <c r="Q1158" s="15"/>
      <c r="R1158" s="18" t="s">
        <v>51</v>
      </c>
      <c r="S1158" s="19"/>
      <c r="T1158" s="17" t="str">
        <f aca="false">IF(R1158="維持",J1158,IF(R1158="排除","無關新聞事件",IFERROR(INDEX(事件規則!$B$2:$B$53,MATCH(S1158,事件規則!$A$2:$A$53,0)),"")))</f>
        <v>無關新聞事件</v>
      </c>
      <c r="U1158" s="20" t="n">
        <f aca="false">IF(R1158="維持",K1158,IF(R1158="排除",0,IFERROR(INDEX(事件規則!$C$2:$C$53,MATCH(S1158,事件規則!$A$2:$A$53,0)),"")))</f>
        <v>0</v>
      </c>
      <c r="V1158" s="21"/>
      <c r="W1158" s="22"/>
      <c r="X1158" s="10" t="str">
        <f aca="false">IF(AND(R1158="修改",S1158=""),"請選新事件代碼",IF(AND(R1158&lt;&gt;"修改",S1158&lt;&gt;""),"只有「修改」才需填代碼",""))</f>
        <v/>
      </c>
      <c r="Y1158" s="21"/>
      <c r="Z1158" s="22"/>
      <c r="AA1158" s="12" t="s">
        <v>3263</v>
      </c>
      <c r="AB1158" s="24"/>
    </row>
    <row r="1159" customFormat="false" ht="29.85" hidden="false" customHeight="false" outlineLevel="0" collapsed="false">
      <c r="A1159" s="15" t="n">
        <v>1158</v>
      </c>
      <c r="B1159" s="9" t="s">
        <v>112</v>
      </c>
      <c r="C1159" s="9" t="s">
        <v>1180</v>
      </c>
      <c r="D1159" s="10" t="s">
        <v>1181</v>
      </c>
      <c r="E1159" s="11" t="s">
        <v>3264</v>
      </c>
      <c r="F1159" s="17"/>
      <c r="G1159" s="12" t="s">
        <v>949</v>
      </c>
      <c r="H1159" s="13" t="n">
        <v>-0.03</v>
      </c>
      <c r="I1159" s="14"/>
      <c r="J1159" s="17"/>
      <c r="K1159" s="9"/>
      <c r="L1159" s="15" t="s">
        <v>50</v>
      </c>
      <c r="M1159" s="16" t="s">
        <v>51</v>
      </c>
      <c r="N1159" s="14"/>
      <c r="O1159" s="15" t="s">
        <v>52</v>
      </c>
      <c r="P1159" s="17" t="s">
        <v>53</v>
      </c>
      <c r="Q1159" s="15"/>
      <c r="R1159" s="18" t="s">
        <v>51</v>
      </c>
      <c r="S1159" s="19"/>
      <c r="T1159" s="17" t="str">
        <f aca="false">IF(R1159="維持",J1159,IF(R1159="排除","無關新聞事件",IFERROR(INDEX(事件規則!$B$2:$B$53,MATCH(S1159,事件規則!$A$2:$A$53,0)),"")))</f>
        <v>無關新聞事件</v>
      </c>
      <c r="U1159" s="20" t="n">
        <f aca="false">IF(R1159="維持",K1159,IF(R1159="排除",0,IFERROR(INDEX(事件規則!$C$2:$C$53,MATCH(S1159,事件規則!$A$2:$A$53,0)),"")))</f>
        <v>0</v>
      </c>
      <c r="V1159" s="21"/>
      <c r="W1159" s="22"/>
      <c r="X1159" s="10" t="str">
        <f aca="false">IF(AND(R1159="修改",S1159=""),"請選新事件代碼",IF(AND(R1159&lt;&gt;"修改",S1159&lt;&gt;""),"只有「修改」才需填代碼",""))</f>
        <v/>
      </c>
      <c r="Y1159" s="21"/>
      <c r="Z1159" s="22"/>
      <c r="AA1159" s="12" t="s">
        <v>3265</v>
      </c>
      <c r="AB1159" s="24"/>
    </row>
    <row r="1160" customFormat="false" ht="29.85" hidden="false" customHeight="false" outlineLevel="0" collapsed="false">
      <c r="A1160" s="15" t="n">
        <v>1159</v>
      </c>
      <c r="B1160" s="9" t="s">
        <v>112</v>
      </c>
      <c r="C1160" s="9" t="s">
        <v>2041</v>
      </c>
      <c r="D1160" s="10" t="s">
        <v>2042</v>
      </c>
      <c r="E1160" s="11" t="s">
        <v>3266</v>
      </c>
      <c r="F1160" s="17"/>
      <c r="G1160" s="12" t="s">
        <v>2033</v>
      </c>
      <c r="H1160" s="13" t="n">
        <v>-0.03</v>
      </c>
      <c r="I1160" s="14"/>
      <c r="J1160" s="17"/>
      <c r="K1160" s="9"/>
      <c r="L1160" s="15" t="s">
        <v>50</v>
      </c>
      <c r="M1160" s="16" t="s">
        <v>51</v>
      </c>
      <c r="N1160" s="14"/>
      <c r="O1160" s="15" t="s">
        <v>52</v>
      </c>
      <c r="P1160" s="17" t="s">
        <v>53</v>
      </c>
      <c r="Q1160" s="15"/>
      <c r="R1160" s="18" t="s">
        <v>51</v>
      </c>
      <c r="S1160" s="19"/>
      <c r="T1160" s="17" t="str">
        <f aca="false">IF(R1160="維持",J1160,IF(R1160="排除","無關新聞事件",IFERROR(INDEX(事件規則!$B$2:$B$53,MATCH(S1160,事件規則!$A$2:$A$53,0)),"")))</f>
        <v>無關新聞事件</v>
      </c>
      <c r="U1160" s="20" t="n">
        <f aca="false">IF(R1160="維持",K1160,IF(R1160="排除",0,IFERROR(INDEX(事件規則!$C$2:$C$53,MATCH(S1160,事件規則!$A$2:$A$53,0)),"")))</f>
        <v>0</v>
      </c>
      <c r="V1160" s="21"/>
      <c r="W1160" s="22"/>
      <c r="X1160" s="10" t="str">
        <f aca="false">IF(AND(R1160="修改",S1160=""),"請選新事件代碼",IF(AND(R1160&lt;&gt;"修改",S1160&lt;&gt;""),"只有「修改」才需填代碼",""))</f>
        <v/>
      </c>
      <c r="Y1160" s="21"/>
      <c r="Z1160" s="22"/>
      <c r="AA1160" s="12" t="s">
        <v>3267</v>
      </c>
      <c r="AB1160" s="24"/>
    </row>
    <row r="1161" customFormat="false" ht="29.85" hidden="false" customHeight="false" outlineLevel="0" collapsed="false">
      <c r="A1161" s="15" t="n">
        <v>1160</v>
      </c>
      <c r="B1161" s="9" t="s">
        <v>112</v>
      </c>
      <c r="C1161" s="9" t="s">
        <v>987</v>
      </c>
      <c r="D1161" s="10" t="s">
        <v>988</v>
      </c>
      <c r="E1161" s="11" t="s">
        <v>3268</v>
      </c>
      <c r="F1161" s="17"/>
      <c r="G1161" s="12" t="s">
        <v>1068</v>
      </c>
      <c r="H1161" s="13" t="n">
        <v>-0.03</v>
      </c>
      <c r="I1161" s="14"/>
      <c r="J1161" s="17"/>
      <c r="K1161" s="9"/>
      <c r="L1161" s="15" t="s">
        <v>50</v>
      </c>
      <c r="M1161" s="16" t="s">
        <v>51</v>
      </c>
      <c r="N1161" s="14"/>
      <c r="O1161" s="15" t="s">
        <v>52</v>
      </c>
      <c r="P1161" s="17" t="s">
        <v>53</v>
      </c>
      <c r="Q1161" s="15"/>
      <c r="R1161" s="18" t="s">
        <v>51</v>
      </c>
      <c r="S1161" s="19"/>
      <c r="T1161" s="17" t="str">
        <f aca="false">IF(R1161="維持",J1161,IF(R1161="排除","無關新聞事件",IFERROR(INDEX(事件規則!$B$2:$B$53,MATCH(S1161,事件規則!$A$2:$A$53,0)),"")))</f>
        <v>無關新聞事件</v>
      </c>
      <c r="U1161" s="20" t="n">
        <f aca="false">IF(R1161="維持",K1161,IF(R1161="排除",0,IFERROR(INDEX(事件規則!$C$2:$C$53,MATCH(S1161,事件規則!$A$2:$A$53,0)),"")))</f>
        <v>0</v>
      </c>
      <c r="V1161" s="21"/>
      <c r="W1161" s="22"/>
      <c r="X1161" s="10" t="str">
        <f aca="false">IF(AND(R1161="修改",S1161=""),"請選新事件代碼",IF(AND(R1161&lt;&gt;"修改",S1161&lt;&gt;""),"只有「修改」才需填代碼",""))</f>
        <v/>
      </c>
      <c r="Y1161" s="21"/>
      <c r="Z1161" s="22"/>
      <c r="AA1161" s="12" t="s">
        <v>3269</v>
      </c>
      <c r="AB1161" s="24"/>
    </row>
    <row r="1162" customFormat="false" ht="29.85" hidden="false" customHeight="false" outlineLevel="0" collapsed="false">
      <c r="A1162" s="15" t="n">
        <v>1161</v>
      </c>
      <c r="B1162" s="9" t="s">
        <v>112</v>
      </c>
      <c r="C1162" s="9" t="s">
        <v>563</v>
      </c>
      <c r="D1162" s="10" t="s">
        <v>564</v>
      </c>
      <c r="E1162" s="11" t="s">
        <v>3270</v>
      </c>
      <c r="F1162" s="17"/>
      <c r="G1162" s="12" t="s">
        <v>105</v>
      </c>
      <c r="H1162" s="13" t="n">
        <v>-0.03</v>
      </c>
      <c r="I1162" s="14"/>
      <c r="J1162" s="17"/>
      <c r="K1162" s="9"/>
      <c r="L1162" s="15" t="s">
        <v>50</v>
      </c>
      <c r="M1162" s="16" t="s">
        <v>51</v>
      </c>
      <c r="N1162" s="14"/>
      <c r="O1162" s="15" t="s">
        <v>52</v>
      </c>
      <c r="P1162" s="17" t="s">
        <v>53</v>
      </c>
      <c r="Q1162" s="15"/>
      <c r="R1162" s="18" t="s">
        <v>51</v>
      </c>
      <c r="S1162" s="19"/>
      <c r="T1162" s="17" t="str">
        <f aca="false">IF(R1162="維持",J1162,IF(R1162="排除","無關新聞事件",IFERROR(INDEX(事件規則!$B$2:$B$53,MATCH(S1162,事件規則!$A$2:$A$53,0)),"")))</f>
        <v>無關新聞事件</v>
      </c>
      <c r="U1162" s="20" t="n">
        <f aca="false">IF(R1162="維持",K1162,IF(R1162="排除",0,IFERROR(INDEX(事件規則!$C$2:$C$53,MATCH(S1162,事件規則!$A$2:$A$53,0)),"")))</f>
        <v>0</v>
      </c>
      <c r="V1162" s="21"/>
      <c r="W1162" s="22"/>
      <c r="X1162" s="10" t="str">
        <f aca="false">IF(AND(R1162="修改",S1162=""),"請選新事件代碼",IF(AND(R1162&lt;&gt;"修改",S1162&lt;&gt;""),"只有「修改」才需填代碼",""))</f>
        <v/>
      </c>
      <c r="Y1162" s="21"/>
      <c r="Z1162" s="22"/>
      <c r="AA1162" s="12" t="s">
        <v>3271</v>
      </c>
      <c r="AB1162" s="24"/>
    </row>
    <row r="1163" customFormat="false" ht="29.85" hidden="false" customHeight="false" outlineLevel="0" collapsed="false">
      <c r="A1163" s="15" t="n">
        <v>1162</v>
      </c>
      <c r="B1163" s="9" t="s">
        <v>112</v>
      </c>
      <c r="C1163" s="9" t="s">
        <v>2371</v>
      </c>
      <c r="D1163" s="10" t="s">
        <v>2372</v>
      </c>
      <c r="E1163" s="11" t="s">
        <v>3272</v>
      </c>
      <c r="F1163" s="17"/>
      <c r="G1163" s="12" t="s">
        <v>949</v>
      </c>
      <c r="H1163" s="13" t="n">
        <v>-0.03</v>
      </c>
      <c r="I1163" s="14"/>
      <c r="J1163" s="17"/>
      <c r="K1163" s="9"/>
      <c r="L1163" s="15" t="s">
        <v>50</v>
      </c>
      <c r="M1163" s="16" t="s">
        <v>51</v>
      </c>
      <c r="N1163" s="14"/>
      <c r="O1163" s="15" t="s">
        <v>52</v>
      </c>
      <c r="P1163" s="17" t="s">
        <v>53</v>
      </c>
      <c r="Q1163" s="15"/>
      <c r="R1163" s="18" t="s">
        <v>51</v>
      </c>
      <c r="S1163" s="19"/>
      <c r="T1163" s="17" t="str">
        <f aca="false">IF(R1163="維持",J1163,IF(R1163="排除","無關新聞事件",IFERROR(INDEX(事件規則!$B$2:$B$53,MATCH(S1163,事件規則!$A$2:$A$53,0)),"")))</f>
        <v>無關新聞事件</v>
      </c>
      <c r="U1163" s="20" t="n">
        <f aca="false">IF(R1163="維持",K1163,IF(R1163="排除",0,IFERROR(INDEX(事件規則!$C$2:$C$53,MATCH(S1163,事件規則!$A$2:$A$53,0)),"")))</f>
        <v>0</v>
      </c>
      <c r="V1163" s="21"/>
      <c r="W1163" s="22"/>
      <c r="X1163" s="10" t="str">
        <f aca="false">IF(AND(R1163="修改",S1163=""),"請選新事件代碼",IF(AND(R1163&lt;&gt;"修改",S1163&lt;&gt;""),"只有「修改」才需填代碼",""))</f>
        <v/>
      </c>
      <c r="Y1163" s="21"/>
      <c r="Z1163" s="22"/>
      <c r="AA1163" s="12" t="s">
        <v>3273</v>
      </c>
      <c r="AB1163" s="24"/>
    </row>
    <row r="1164" customFormat="false" ht="29.85" hidden="false" customHeight="false" outlineLevel="0" collapsed="false">
      <c r="A1164" s="15" t="n">
        <v>1163</v>
      </c>
      <c r="B1164" s="9" t="s">
        <v>112</v>
      </c>
      <c r="C1164" s="9" t="s">
        <v>1934</v>
      </c>
      <c r="D1164" s="10" t="s">
        <v>1935</v>
      </c>
      <c r="E1164" s="11" t="s">
        <v>3274</v>
      </c>
      <c r="F1164" s="17"/>
      <c r="G1164" s="12" t="s">
        <v>949</v>
      </c>
      <c r="H1164" s="13" t="n">
        <v>-0.03</v>
      </c>
      <c r="I1164" s="14"/>
      <c r="J1164" s="17"/>
      <c r="K1164" s="9"/>
      <c r="L1164" s="15" t="s">
        <v>50</v>
      </c>
      <c r="M1164" s="16" t="s">
        <v>51</v>
      </c>
      <c r="N1164" s="14"/>
      <c r="O1164" s="15" t="s">
        <v>52</v>
      </c>
      <c r="P1164" s="17" t="s">
        <v>53</v>
      </c>
      <c r="Q1164" s="15"/>
      <c r="R1164" s="18" t="s">
        <v>51</v>
      </c>
      <c r="S1164" s="19"/>
      <c r="T1164" s="17" t="str">
        <f aca="false">IF(R1164="維持",J1164,IF(R1164="排除","無關新聞事件",IFERROR(INDEX(事件規則!$B$2:$B$53,MATCH(S1164,事件規則!$A$2:$A$53,0)),"")))</f>
        <v>無關新聞事件</v>
      </c>
      <c r="U1164" s="20" t="n">
        <f aca="false">IF(R1164="維持",K1164,IF(R1164="排除",0,IFERROR(INDEX(事件規則!$C$2:$C$53,MATCH(S1164,事件規則!$A$2:$A$53,0)),"")))</f>
        <v>0</v>
      </c>
      <c r="V1164" s="21"/>
      <c r="W1164" s="22"/>
      <c r="X1164" s="10" t="str">
        <f aca="false">IF(AND(R1164="修改",S1164=""),"請選新事件代碼",IF(AND(R1164&lt;&gt;"修改",S1164&lt;&gt;""),"只有「修改」才需填代碼",""))</f>
        <v/>
      </c>
      <c r="Y1164" s="21"/>
      <c r="Z1164" s="22"/>
      <c r="AA1164" s="12" t="s">
        <v>3275</v>
      </c>
      <c r="AB1164" s="24"/>
    </row>
    <row r="1165" customFormat="false" ht="29.85" hidden="false" customHeight="false" outlineLevel="0" collapsed="false">
      <c r="A1165" s="15" t="n">
        <v>1164</v>
      </c>
      <c r="B1165" s="9" t="s">
        <v>81</v>
      </c>
      <c r="C1165" s="9" t="s">
        <v>118</v>
      </c>
      <c r="D1165" s="10" t="s">
        <v>119</v>
      </c>
      <c r="E1165" s="11" t="s">
        <v>3276</v>
      </c>
      <c r="F1165" s="17"/>
      <c r="G1165" s="12" t="s">
        <v>105</v>
      </c>
      <c r="H1165" s="13" t="n">
        <v>-0.03</v>
      </c>
      <c r="I1165" s="14"/>
      <c r="J1165" s="17"/>
      <c r="K1165" s="9"/>
      <c r="L1165" s="15" t="s">
        <v>50</v>
      </c>
      <c r="M1165" s="16" t="s">
        <v>51</v>
      </c>
      <c r="N1165" s="14"/>
      <c r="O1165" s="15" t="s">
        <v>52</v>
      </c>
      <c r="P1165" s="17" t="s">
        <v>53</v>
      </c>
      <c r="Q1165" s="15"/>
      <c r="R1165" s="18" t="s">
        <v>51</v>
      </c>
      <c r="S1165" s="19"/>
      <c r="T1165" s="17" t="str">
        <f aca="false">IF(R1165="維持",J1165,IF(R1165="排除","無關新聞事件",IFERROR(INDEX(事件規則!$B$2:$B$53,MATCH(S1165,事件規則!$A$2:$A$53,0)),"")))</f>
        <v>無關新聞事件</v>
      </c>
      <c r="U1165" s="20" t="n">
        <f aca="false">IF(R1165="維持",K1165,IF(R1165="排除",0,IFERROR(INDEX(事件規則!$C$2:$C$53,MATCH(S1165,事件規則!$A$2:$A$53,0)),"")))</f>
        <v>0</v>
      </c>
      <c r="V1165" s="21"/>
      <c r="W1165" s="22"/>
      <c r="X1165" s="10" t="str">
        <f aca="false">IF(AND(R1165="修改",S1165=""),"請選新事件代碼",IF(AND(R1165&lt;&gt;"修改",S1165&lt;&gt;""),"只有「修改」才需填代碼",""))</f>
        <v/>
      </c>
      <c r="Y1165" s="21"/>
      <c r="Z1165" s="22"/>
      <c r="AA1165" s="12" t="s">
        <v>3277</v>
      </c>
      <c r="AB1165" s="24"/>
    </row>
    <row r="1166" customFormat="false" ht="29.85" hidden="false" customHeight="false" outlineLevel="0" collapsed="false">
      <c r="A1166" s="15" t="n">
        <v>1165</v>
      </c>
      <c r="B1166" s="9" t="s">
        <v>81</v>
      </c>
      <c r="C1166" s="9" t="s">
        <v>118</v>
      </c>
      <c r="D1166" s="10" t="s">
        <v>119</v>
      </c>
      <c r="E1166" s="11" t="s">
        <v>3278</v>
      </c>
      <c r="F1166" s="17"/>
      <c r="G1166" s="12" t="s">
        <v>105</v>
      </c>
      <c r="H1166" s="13" t="n">
        <v>-0.03</v>
      </c>
      <c r="I1166" s="14"/>
      <c r="J1166" s="17"/>
      <c r="K1166" s="9"/>
      <c r="L1166" s="15" t="s">
        <v>50</v>
      </c>
      <c r="M1166" s="16" t="s">
        <v>51</v>
      </c>
      <c r="N1166" s="14"/>
      <c r="O1166" s="15" t="s">
        <v>52</v>
      </c>
      <c r="P1166" s="17" t="s">
        <v>53</v>
      </c>
      <c r="Q1166" s="15"/>
      <c r="R1166" s="18" t="s">
        <v>51</v>
      </c>
      <c r="S1166" s="19"/>
      <c r="T1166" s="17" t="str">
        <f aca="false">IF(R1166="維持",J1166,IF(R1166="排除","無關新聞事件",IFERROR(INDEX(事件規則!$B$2:$B$53,MATCH(S1166,事件規則!$A$2:$A$53,0)),"")))</f>
        <v>無關新聞事件</v>
      </c>
      <c r="U1166" s="20" t="n">
        <f aca="false">IF(R1166="維持",K1166,IF(R1166="排除",0,IFERROR(INDEX(事件規則!$C$2:$C$53,MATCH(S1166,事件規則!$A$2:$A$53,0)),"")))</f>
        <v>0</v>
      </c>
      <c r="V1166" s="21"/>
      <c r="W1166" s="22"/>
      <c r="X1166" s="10" t="str">
        <f aca="false">IF(AND(R1166="修改",S1166=""),"請選新事件代碼",IF(AND(R1166&lt;&gt;"修改",S1166&lt;&gt;""),"只有「修改」才需填代碼",""))</f>
        <v/>
      </c>
      <c r="Y1166" s="21"/>
      <c r="Z1166" s="22"/>
      <c r="AA1166" s="12" t="s">
        <v>3279</v>
      </c>
      <c r="AB1166" s="24"/>
    </row>
    <row r="1167" customFormat="false" ht="29.85" hidden="false" customHeight="false" outlineLevel="0" collapsed="false">
      <c r="A1167" s="15" t="n">
        <v>1166</v>
      </c>
      <c r="B1167" s="9" t="s">
        <v>81</v>
      </c>
      <c r="C1167" s="9" t="s">
        <v>1036</v>
      </c>
      <c r="D1167" s="10" t="s">
        <v>1037</v>
      </c>
      <c r="E1167" s="11" t="s">
        <v>3280</v>
      </c>
      <c r="F1167" s="17"/>
      <c r="G1167" s="12" t="s">
        <v>949</v>
      </c>
      <c r="H1167" s="13" t="n">
        <v>-0.03</v>
      </c>
      <c r="I1167" s="14"/>
      <c r="J1167" s="17"/>
      <c r="K1167" s="9"/>
      <c r="L1167" s="15" t="s">
        <v>50</v>
      </c>
      <c r="M1167" s="16" t="s">
        <v>51</v>
      </c>
      <c r="N1167" s="14"/>
      <c r="O1167" s="15" t="s">
        <v>52</v>
      </c>
      <c r="P1167" s="17" t="s">
        <v>53</v>
      </c>
      <c r="Q1167" s="15"/>
      <c r="R1167" s="18" t="s">
        <v>51</v>
      </c>
      <c r="S1167" s="19"/>
      <c r="T1167" s="17" t="str">
        <f aca="false">IF(R1167="維持",J1167,IF(R1167="排除","無關新聞事件",IFERROR(INDEX(事件規則!$B$2:$B$53,MATCH(S1167,事件規則!$A$2:$A$53,0)),"")))</f>
        <v>無關新聞事件</v>
      </c>
      <c r="U1167" s="20" t="n">
        <f aca="false">IF(R1167="維持",K1167,IF(R1167="排除",0,IFERROR(INDEX(事件規則!$C$2:$C$53,MATCH(S1167,事件規則!$A$2:$A$53,0)),"")))</f>
        <v>0</v>
      </c>
      <c r="V1167" s="21"/>
      <c r="W1167" s="22"/>
      <c r="X1167" s="10" t="str">
        <f aca="false">IF(AND(R1167="修改",S1167=""),"請選新事件代碼",IF(AND(R1167&lt;&gt;"修改",S1167&lt;&gt;""),"只有「修改」才需填代碼",""))</f>
        <v/>
      </c>
      <c r="Y1167" s="21"/>
      <c r="Z1167" s="22"/>
      <c r="AA1167" s="12" t="s">
        <v>3281</v>
      </c>
      <c r="AB1167" s="24"/>
    </row>
    <row r="1168" customFormat="false" ht="29.85" hidden="false" customHeight="false" outlineLevel="0" collapsed="false">
      <c r="A1168" s="15" t="n">
        <v>1167</v>
      </c>
      <c r="B1168" s="9" t="s">
        <v>55</v>
      </c>
      <c r="C1168" s="9" t="s">
        <v>2083</v>
      </c>
      <c r="D1168" s="10" t="s">
        <v>2084</v>
      </c>
      <c r="E1168" s="11" t="s">
        <v>3282</v>
      </c>
      <c r="F1168" s="17"/>
      <c r="G1168" s="12" t="s">
        <v>105</v>
      </c>
      <c r="H1168" s="13" t="n">
        <v>-0.03</v>
      </c>
      <c r="I1168" s="14"/>
      <c r="J1168" s="17"/>
      <c r="K1168" s="9"/>
      <c r="L1168" s="15" t="s">
        <v>50</v>
      </c>
      <c r="M1168" s="16" t="s">
        <v>51</v>
      </c>
      <c r="N1168" s="14"/>
      <c r="O1168" s="15" t="s">
        <v>52</v>
      </c>
      <c r="P1168" s="17" t="s">
        <v>53</v>
      </c>
      <c r="Q1168" s="15"/>
      <c r="R1168" s="18" t="s">
        <v>51</v>
      </c>
      <c r="S1168" s="19"/>
      <c r="T1168" s="17" t="str">
        <f aca="false">IF(R1168="維持",J1168,IF(R1168="排除","無關新聞事件",IFERROR(INDEX(事件規則!$B$2:$B$53,MATCH(S1168,事件規則!$A$2:$A$53,0)),"")))</f>
        <v>無關新聞事件</v>
      </c>
      <c r="U1168" s="20" t="n">
        <f aca="false">IF(R1168="維持",K1168,IF(R1168="排除",0,IFERROR(INDEX(事件規則!$C$2:$C$53,MATCH(S1168,事件規則!$A$2:$A$53,0)),"")))</f>
        <v>0</v>
      </c>
      <c r="V1168" s="21"/>
      <c r="W1168" s="22"/>
      <c r="X1168" s="10" t="str">
        <f aca="false">IF(AND(R1168="修改",S1168=""),"請選新事件代碼",IF(AND(R1168&lt;&gt;"修改",S1168&lt;&gt;""),"只有「修改」才需填代碼",""))</f>
        <v/>
      </c>
      <c r="Y1168" s="21"/>
      <c r="Z1168" s="22"/>
      <c r="AA1168" s="12" t="s">
        <v>3283</v>
      </c>
      <c r="AB1168" s="24"/>
    </row>
    <row r="1169" customFormat="false" ht="29.85" hidden="false" customHeight="false" outlineLevel="0" collapsed="false">
      <c r="A1169" s="15" t="n">
        <v>1168</v>
      </c>
      <c r="B1169" s="9" t="s">
        <v>45</v>
      </c>
      <c r="C1169" s="9" t="s">
        <v>2681</v>
      </c>
      <c r="D1169" s="10" t="s">
        <v>2682</v>
      </c>
      <c r="E1169" s="11" t="s">
        <v>3284</v>
      </c>
      <c r="F1169" s="17"/>
      <c r="G1169" s="12" t="s">
        <v>2681</v>
      </c>
      <c r="H1169" s="13" t="n">
        <v>-0.03</v>
      </c>
      <c r="I1169" s="14"/>
      <c r="J1169" s="17"/>
      <c r="K1169" s="9"/>
      <c r="L1169" s="15" t="s">
        <v>50</v>
      </c>
      <c r="M1169" s="16" t="s">
        <v>51</v>
      </c>
      <c r="N1169" s="14"/>
      <c r="O1169" s="15" t="s">
        <v>52</v>
      </c>
      <c r="P1169" s="17" t="s">
        <v>53</v>
      </c>
      <c r="Q1169" s="15"/>
      <c r="R1169" s="18" t="s">
        <v>51</v>
      </c>
      <c r="S1169" s="19"/>
      <c r="T1169" s="17" t="str">
        <f aca="false">IF(R1169="維持",J1169,IF(R1169="排除","無關新聞事件",IFERROR(INDEX(事件規則!$B$2:$B$53,MATCH(S1169,事件規則!$A$2:$A$53,0)),"")))</f>
        <v>無關新聞事件</v>
      </c>
      <c r="U1169" s="20" t="n">
        <f aca="false">IF(R1169="維持",K1169,IF(R1169="排除",0,IFERROR(INDEX(事件規則!$C$2:$C$53,MATCH(S1169,事件規則!$A$2:$A$53,0)),"")))</f>
        <v>0</v>
      </c>
      <c r="V1169" s="21"/>
      <c r="W1169" s="22"/>
      <c r="X1169" s="10" t="str">
        <f aca="false">IF(AND(R1169="修改",S1169=""),"請選新事件代碼",IF(AND(R1169&lt;&gt;"修改",S1169&lt;&gt;""),"只有「修改」才需填代碼",""))</f>
        <v/>
      </c>
      <c r="Y1169" s="21"/>
      <c r="Z1169" s="22"/>
      <c r="AA1169" s="12" t="s">
        <v>3285</v>
      </c>
      <c r="AB1169" s="24"/>
    </row>
    <row r="1170" customFormat="false" ht="29.85" hidden="false" customHeight="false" outlineLevel="0" collapsed="false">
      <c r="A1170" s="15" t="n">
        <v>1169</v>
      </c>
      <c r="B1170" s="9" t="s">
        <v>45</v>
      </c>
      <c r="C1170" s="9" t="s">
        <v>294</v>
      </c>
      <c r="D1170" s="10" t="s">
        <v>295</v>
      </c>
      <c r="E1170" s="11" t="s">
        <v>3286</v>
      </c>
      <c r="F1170" s="17"/>
      <c r="G1170" s="12" t="s">
        <v>2033</v>
      </c>
      <c r="H1170" s="13" t="n">
        <v>-0.03</v>
      </c>
      <c r="I1170" s="14"/>
      <c r="J1170" s="17"/>
      <c r="K1170" s="9"/>
      <c r="L1170" s="15" t="s">
        <v>50</v>
      </c>
      <c r="M1170" s="16" t="s">
        <v>51</v>
      </c>
      <c r="N1170" s="14"/>
      <c r="O1170" s="15" t="s">
        <v>52</v>
      </c>
      <c r="P1170" s="17" t="s">
        <v>53</v>
      </c>
      <c r="Q1170" s="15"/>
      <c r="R1170" s="18" t="s">
        <v>51</v>
      </c>
      <c r="S1170" s="19"/>
      <c r="T1170" s="17" t="str">
        <f aca="false">IF(R1170="維持",J1170,IF(R1170="排除","無關新聞事件",IFERROR(INDEX(事件規則!$B$2:$B$53,MATCH(S1170,事件規則!$A$2:$A$53,0)),"")))</f>
        <v>無關新聞事件</v>
      </c>
      <c r="U1170" s="20" t="n">
        <f aca="false">IF(R1170="維持",K1170,IF(R1170="排除",0,IFERROR(INDEX(事件規則!$C$2:$C$53,MATCH(S1170,事件規則!$A$2:$A$53,0)),"")))</f>
        <v>0</v>
      </c>
      <c r="V1170" s="21"/>
      <c r="W1170" s="22"/>
      <c r="X1170" s="10" t="str">
        <f aca="false">IF(AND(R1170="修改",S1170=""),"請選新事件代碼",IF(AND(R1170&lt;&gt;"修改",S1170&lt;&gt;""),"只有「修改」才需填代碼",""))</f>
        <v/>
      </c>
      <c r="Y1170" s="21"/>
      <c r="Z1170" s="22"/>
      <c r="AA1170" s="12" t="s">
        <v>3287</v>
      </c>
      <c r="AB1170" s="24"/>
    </row>
    <row r="1171" customFormat="false" ht="29.85" hidden="false" customHeight="false" outlineLevel="0" collapsed="false">
      <c r="A1171" s="15" t="n">
        <v>1170</v>
      </c>
      <c r="B1171" s="9" t="s">
        <v>45</v>
      </c>
      <c r="C1171" s="9" t="s">
        <v>3117</v>
      </c>
      <c r="D1171" s="10" t="s">
        <v>3118</v>
      </c>
      <c r="E1171" s="11" t="s">
        <v>3288</v>
      </c>
      <c r="F1171" s="17"/>
      <c r="G1171" s="12" t="s">
        <v>1136</v>
      </c>
      <c r="H1171" s="13" t="n">
        <v>-0.03</v>
      </c>
      <c r="I1171" s="14"/>
      <c r="J1171" s="17"/>
      <c r="K1171" s="9"/>
      <c r="L1171" s="15" t="s">
        <v>50</v>
      </c>
      <c r="M1171" s="16" t="s">
        <v>51</v>
      </c>
      <c r="N1171" s="14"/>
      <c r="O1171" s="15" t="s">
        <v>52</v>
      </c>
      <c r="P1171" s="17" t="s">
        <v>53</v>
      </c>
      <c r="Q1171" s="15"/>
      <c r="R1171" s="18" t="s">
        <v>51</v>
      </c>
      <c r="S1171" s="19"/>
      <c r="T1171" s="17" t="str">
        <f aca="false">IF(R1171="維持",J1171,IF(R1171="排除","無關新聞事件",IFERROR(INDEX(事件規則!$B$2:$B$53,MATCH(S1171,事件規則!$A$2:$A$53,0)),"")))</f>
        <v>無關新聞事件</v>
      </c>
      <c r="U1171" s="20" t="n">
        <f aca="false">IF(R1171="維持",K1171,IF(R1171="排除",0,IFERROR(INDEX(事件規則!$C$2:$C$53,MATCH(S1171,事件規則!$A$2:$A$53,0)),"")))</f>
        <v>0</v>
      </c>
      <c r="V1171" s="21"/>
      <c r="W1171" s="22"/>
      <c r="X1171" s="10" t="str">
        <f aca="false">IF(AND(R1171="修改",S1171=""),"請選新事件代碼",IF(AND(R1171&lt;&gt;"修改",S1171&lt;&gt;""),"只有「修改」才需填代碼",""))</f>
        <v/>
      </c>
      <c r="Y1171" s="21"/>
      <c r="Z1171" s="22"/>
      <c r="AA1171" s="12" t="s">
        <v>3289</v>
      </c>
      <c r="AB1171" s="24"/>
    </row>
    <row r="1172" customFormat="false" ht="29.85" hidden="false" customHeight="false" outlineLevel="0" collapsed="false">
      <c r="A1172" s="15" t="n">
        <v>1171</v>
      </c>
      <c r="B1172" s="9" t="s">
        <v>45</v>
      </c>
      <c r="C1172" s="9" t="s">
        <v>716</v>
      </c>
      <c r="D1172" s="10" t="s">
        <v>717</v>
      </c>
      <c r="E1172" s="11" t="s">
        <v>3290</v>
      </c>
      <c r="F1172" s="17"/>
      <c r="G1172" s="12" t="s">
        <v>3291</v>
      </c>
      <c r="H1172" s="13" t="n">
        <v>-0.03</v>
      </c>
      <c r="I1172" s="14"/>
      <c r="J1172" s="17"/>
      <c r="K1172" s="9"/>
      <c r="L1172" s="15" t="s">
        <v>50</v>
      </c>
      <c r="M1172" s="16" t="s">
        <v>51</v>
      </c>
      <c r="N1172" s="14"/>
      <c r="O1172" s="15" t="s">
        <v>52</v>
      </c>
      <c r="P1172" s="17" t="s">
        <v>53</v>
      </c>
      <c r="Q1172" s="15"/>
      <c r="R1172" s="18" t="s">
        <v>51</v>
      </c>
      <c r="S1172" s="19"/>
      <c r="T1172" s="17" t="str">
        <f aca="false">IF(R1172="維持",J1172,IF(R1172="排除","無關新聞事件",IFERROR(INDEX(事件規則!$B$2:$B$53,MATCH(S1172,事件規則!$A$2:$A$53,0)),"")))</f>
        <v>無關新聞事件</v>
      </c>
      <c r="U1172" s="20" t="n">
        <f aca="false">IF(R1172="維持",K1172,IF(R1172="排除",0,IFERROR(INDEX(事件規則!$C$2:$C$53,MATCH(S1172,事件規則!$A$2:$A$53,0)),"")))</f>
        <v>0</v>
      </c>
      <c r="V1172" s="21"/>
      <c r="W1172" s="22"/>
      <c r="X1172" s="10" t="str">
        <f aca="false">IF(AND(R1172="修改",S1172=""),"請選新事件代碼",IF(AND(R1172&lt;&gt;"修改",S1172&lt;&gt;""),"只有「修改」才需填代碼",""))</f>
        <v/>
      </c>
      <c r="Y1172" s="21"/>
      <c r="Z1172" s="22"/>
      <c r="AA1172" s="12" t="s">
        <v>3292</v>
      </c>
      <c r="AB1172" s="24"/>
    </row>
    <row r="1173" customFormat="false" ht="29.85" hidden="false" customHeight="false" outlineLevel="0" collapsed="false">
      <c r="A1173" s="15" t="n">
        <v>1172</v>
      </c>
      <c r="B1173" s="9" t="s">
        <v>45</v>
      </c>
      <c r="C1173" s="9" t="s">
        <v>831</v>
      </c>
      <c r="D1173" s="10" t="s">
        <v>832</v>
      </c>
      <c r="E1173" s="11" t="s">
        <v>3220</v>
      </c>
      <c r="F1173" s="17"/>
      <c r="G1173" s="12" t="s">
        <v>3221</v>
      </c>
      <c r="H1173" s="13" t="n">
        <v>-0.03</v>
      </c>
      <c r="I1173" s="14"/>
      <c r="J1173" s="17"/>
      <c r="K1173" s="9"/>
      <c r="L1173" s="15" t="s">
        <v>50</v>
      </c>
      <c r="M1173" s="16" t="s">
        <v>51</v>
      </c>
      <c r="N1173" s="14"/>
      <c r="O1173" s="15" t="s">
        <v>52</v>
      </c>
      <c r="P1173" s="17" t="s">
        <v>53</v>
      </c>
      <c r="Q1173" s="15"/>
      <c r="R1173" s="18" t="s">
        <v>51</v>
      </c>
      <c r="S1173" s="19"/>
      <c r="T1173" s="17" t="str">
        <f aca="false">IF(R1173="維持",J1173,IF(R1173="排除","無關新聞事件",IFERROR(INDEX(事件規則!$B$2:$B$53,MATCH(S1173,事件規則!$A$2:$A$53,0)),"")))</f>
        <v>無關新聞事件</v>
      </c>
      <c r="U1173" s="20" t="n">
        <f aca="false">IF(R1173="維持",K1173,IF(R1173="排除",0,IFERROR(INDEX(事件規則!$C$2:$C$53,MATCH(S1173,事件規則!$A$2:$A$53,0)),"")))</f>
        <v>0</v>
      </c>
      <c r="V1173" s="21"/>
      <c r="W1173" s="22"/>
      <c r="X1173" s="10" t="str">
        <f aca="false">IF(AND(R1173="修改",S1173=""),"請選新事件代碼",IF(AND(R1173&lt;&gt;"修改",S1173&lt;&gt;""),"只有「修改」才需填代碼",""))</f>
        <v/>
      </c>
      <c r="Y1173" s="21"/>
      <c r="Z1173" s="22"/>
      <c r="AA1173" s="12" t="s">
        <v>3222</v>
      </c>
      <c r="AB1173" s="24"/>
    </row>
    <row r="1174" customFormat="false" ht="29.85" hidden="false" customHeight="false" outlineLevel="0" collapsed="false">
      <c r="A1174" s="15" t="n">
        <v>1173</v>
      </c>
      <c r="B1174" s="9" t="s">
        <v>45</v>
      </c>
      <c r="C1174" s="9" t="s">
        <v>1805</v>
      </c>
      <c r="D1174" s="10" t="s">
        <v>1806</v>
      </c>
      <c r="E1174" s="11" t="s">
        <v>3293</v>
      </c>
      <c r="F1174" s="17"/>
      <c r="G1174" s="12" t="s">
        <v>949</v>
      </c>
      <c r="H1174" s="13" t="n">
        <v>-0.03</v>
      </c>
      <c r="I1174" s="14"/>
      <c r="J1174" s="17"/>
      <c r="K1174" s="9"/>
      <c r="L1174" s="15" t="s">
        <v>50</v>
      </c>
      <c r="M1174" s="16" t="s">
        <v>51</v>
      </c>
      <c r="N1174" s="14"/>
      <c r="O1174" s="15" t="s">
        <v>52</v>
      </c>
      <c r="P1174" s="17" t="s">
        <v>53</v>
      </c>
      <c r="Q1174" s="15"/>
      <c r="R1174" s="18" t="s">
        <v>51</v>
      </c>
      <c r="S1174" s="19"/>
      <c r="T1174" s="17" t="str">
        <f aca="false">IF(R1174="維持",J1174,IF(R1174="排除","無關新聞事件",IFERROR(INDEX(事件規則!$B$2:$B$53,MATCH(S1174,事件規則!$A$2:$A$53,0)),"")))</f>
        <v>無關新聞事件</v>
      </c>
      <c r="U1174" s="20" t="n">
        <f aca="false">IF(R1174="維持",K1174,IF(R1174="排除",0,IFERROR(INDEX(事件規則!$C$2:$C$53,MATCH(S1174,事件規則!$A$2:$A$53,0)),"")))</f>
        <v>0</v>
      </c>
      <c r="V1174" s="21"/>
      <c r="W1174" s="22"/>
      <c r="X1174" s="10" t="str">
        <f aca="false">IF(AND(R1174="修改",S1174=""),"請選新事件代碼",IF(AND(R1174&lt;&gt;"修改",S1174&lt;&gt;""),"只有「修改」才需填代碼",""))</f>
        <v/>
      </c>
      <c r="Y1174" s="21"/>
      <c r="Z1174" s="22"/>
      <c r="AA1174" s="12" t="s">
        <v>3294</v>
      </c>
      <c r="AB1174" s="24"/>
    </row>
    <row r="1175" customFormat="false" ht="29.85" hidden="false" customHeight="false" outlineLevel="0" collapsed="false">
      <c r="A1175" s="15" t="n">
        <v>1174</v>
      </c>
      <c r="B1175" s="9" t="s">
        <v>112</v>
      </c>
      <c r="C1175" s="9" t="s">
        <v>1415</v>
      </c>
      <c r="D1175" s="10" t="s">
        <v>1416</v>
      </c>
      <c r="E1175" s="11" t="s">
        <v>3295</v>
      </c>
      <c r="F1175" s="17"/>
      <c r="G1175" s="12" t="s">
        <v>164</v>
      </c>
      <c r="H1175" s="13" t="n">
        <v>-0.03</v>
      </c>
      <c r="I1175" s="14"/>
      <c r="J1175" s="17"/>
      <c r="K1175" s="9"/>
      <c r="L1175" s="15" t="s">
        <v>50</v>
      </c>
      <c r="M1175" s="16" t="s">
        <v>51</v>
      </c>
      <c r="N1175" s="14"/>
      <c r="O1175" s="15" t="s">
        <v>52</v>
      </c>
      <c r="P1175" s="17" t="s">
        <v>53</v>
      </c>
      <c r="Q1175" s="15"/>
      <c r="R1175" s="18" t="s">
        <v>51</v>
      </c>
      <c r="S1175" s="19"/>
      <c r="T1175" s="17" t="str">
        <f aca="false">IF(R1175="維持",J1175,IF(R1175="排除","無關新聞事件",IFERROR(INDEX(事件規則!$B$2:$B$53,MATCH(S1175,事件規則!$A$2:$A$53,0)),"")))</f>
        <v>無關新聞事件</v>
      </c>
      <c r="U1175" s="20" t="n">
        <f aca="false">IF(R1175="維持",K1175,IF(R1175="排除",0,IFERROR(INDEX(事件規則!$C$2:$C$53,MATCH(S1175,事件規則!$A$2:$A$53,0)),"")))</f>
        <v>0</v>
      </c>
      <c r="V1175" s="21"/>
      <c r="W1175" s="22"/>
      <c r="X1175" s="10" t="str">
        <f aca="false">IF(AND(R1175="修改",S1175=""),"請選新事件代碼",IF(AND(R1175&lt;&gt;"修改",S1175&lt;&gt;""),"只有「修改」才需填代碼",""))</f>
        <v/>
      </c>
      <c r="Y1175" s="21"/>
      <c r="Z1175" s="22"/>
      <c r="AA1175" s="12" t="s">
        <v>3296</v>
      </c>
      <c r="AB1175" s="24"/>
    </row>
    <row r="1176" customFormat="false" ht="29.85" hidden="false" customHeight="false" outlineLevel="0" collapsed="false">
      <c r="A1176" s="15" t="n">
        <v>1175</v>
      </c>
      <c r="B1176" s="9" t="s">
        <v>112</v>
      </c>
      <c r="C1176" s="9" t="s">
        <v>1592</v>
      </c>
      <c r="D1176" s="10" t="s">
        <v>1593</v>
      </c>
      <c r="E1176" s="11" t="s">
        <v>3297</v>
      </c>
      <c r="F1176" s="17"/>
      <c r="G1176" s="12" t="s">
        <v>949</v>
      </c>
      <c r="H1176" s="13" t="n">
        <v>-0.03</v>
      </c>
      <c r="I1176" s="14"/>
      <c r="J1176" s="17"/>
      <c r="K1176" s="9"/>
      <c r="L1176" s="15" t="s">
        <v>50</v>
      </c>
      <c r="M1176" s="16" t="s">
        <v>51</v>
      </c>
      <c r="N1176" s="14"/>
      <c r="O1176" s="15" t="s">
        <v>52</v>
      </c>
      <c r="P1176" s="17" t="s">
        <v>53</v>
      </c>
      <c r="Q1176" s="15"/>
      <c r="R1176" s="18" t="s">
        <v>51</v>
      </c>
      <c r="S1176" s="19"/>
      <c r="T1176" s="17" t="str">
        <f aca="false">IF(R1176="維持",J1176,IF(R1176="排除","無關新聞事件",IFERROR(INDEX(事件規則!$B$2:$B$53,MATCH(S1176,事件規則!$A$2:$A$53,0)),"")))</f>
        <v>無關新聞事件</v>
      </c>
      <c r="U1176" s="20" t="n">
        <f aca="false">IF(R1176="維持",K1176,IF(R1176="排除",0,IFERROR(INDEX(事件規則!$C$2:$C$53,MATCH(S1176,事件規則!$A$2:$A$53,0)),"")))</f>
        <v>0</v>
      </c>
      <c r="V1176" s="21"/>
      <c r="W1176" s="22"/>
      <c r="X1176" s="10" t="str">
        <f aca="false">IF(AND(R1176="修改",S1176=""),"請選新事件代碼",IF(AND(R1176&lt;&gt;"修改",S1176&lt;&gt;""),"只有「修改」才需填代碼",""))</f>
        <v/>
      </c>
      <c r="Y1176" s="21"/>
      <c r="Z1176" s="22"/>
      <c r="AA1176" s="12" t="s">
        <v>3298</v>
      </c>
      <c r="AB1176" s="24"/>
    </row>
    <row r="1177" customFormat="false" ht="29.85" hidden="false" customHeight="false" outlineLevel="0" collapsed="false">
      <c r="A1177" s="15" t="n">
        <v>1176</v>
      </c>
      <c r="B1177" s="9" t="s">
        <v>55</v>
      </c>
      <c r="C1177" s="9" t="s">
        <v>1934</v>
      </c>
      <c r="D1177" s="10" t="s">
        <v>1935</v>
      </c>
      <c r="E1177" s="11" t="s">
        <v>3299</v>
      </c>
      <c r="F1177" s="17"/>
      <c r="G1177" s="12" t="s">
        <v>176</v>
      </c>
      <c r="H1177" s="13" t="n">
        <v>-0.03</v>
      </c>
      <c r="I1177" s="14"/>
      <c r="J1177" s="17"/>
      <c r="K1177" s="9"/>
      <c r="L1177" s="15" t="s">
        <v>50</v>
      </c>
      <c r="M1177" s="16" t="s">
        <v>51</v>
      </c>
      <c r="N1177" s="14"/>
      <c r="O1177" s="15" t="s">
        <v>52</v>
      </c>
      <c r="P1177" s="17" t="s">
        <v>53</v>
      </c>
      <c r="Q1177" s="15"/>
      <c r="R1177" s="18" t="s">
        <v>51</v>
      </c>
      <c r="S1177" s="19"/>
      <c r="T1177" s="17" t="str">
        <f aca="false">IF(R1177="維持",J1177,IF(R1177="排除","無關新聞事件",IFERROR(INDEX(事件規則!$B$2:$B$53,MATCH(S1177,事件規則!$A$2:$A$53,0)),"")))</f>
        <v>無關新聞事件</v>
      </c>
      <c r="U1177" s="20" t="n">
        <f aca="false">IF(R1177="維持",K1177,IF(R1177="排除",0,IFERROR(INDEX(事件規則!$C$2:$C$53,MATCH(S1177,事件規則!$A$2:$A$53,0)),"")))</f>
        <v>0</v>
      </c>
      <c r="V1177" s="21"/>
      <c r="W1177" s="22"/>
      <c r="X1177" s="10" t="str">
        <f aca="false">IF(AND(R1177="修改",S1177=""),"請選新事件代碼",IF(AND(R1177&lt;&gt;"修改",S1177&lt;&gt;""),"只有「修改」才需填代碼",""))</f>
        <v/>
      </c>
      <c r="Y1177" s="21"/>
      <c r="Z1177" s="22"/>
      <c r="AA1177" s="12" t="s">
        <v>3300</v>
      </c>
      <c r="AB1177" s="24"/>
    </row>
    <row r="1178" customFormat="false" ht="29.85" hidden="false" customHeight="false" outlineLevel="0" collapsed="false">
      <c r="A1178" s="15" t="n">
        <v>1177</v>
      </c>
      <c r="B1178" s="9" t="s">
        <v>45</v>
      </c>
      <c r="C1178" s="9" t="s">
        <v>1555</v>
      </c>
      <c r="D1178" s="10" t="s">
        <v>1556</v>
      </c>
      <c r="E1178" s="11" t="s">
        <v>3301</v>
      </c>
      <c r="F1178" s="17"/>
      <c r="G1178" s="12" t="s">
        <v>949</v>
      </c>
      <c r="H1178" s="13" t="n">
        <v>-0.03</v>
      </c>
      <c r="I1178" s="14"/>
      <c r="J1178" s="17"/>
      <c r="K1178" s="9"/>
      <c r="L1178" s="15" t="s">
        <v>50</v>
      </c>
      <c r="M1178" s="16" t="s">
        <v>51</v>
      </c>
      <c r="N1178" s="14"/>
      <c r="O1178" s="15" t="s">
        <v>52</v>
      </c>
      <c r="P1178" s="17" t="s">
        <v>53</v>
      </c>
      <c r="Q1178" s="15"/>
      <c r="R1178" s="18" t="s">
        <v>51</v>
      </c>
      <c r="S1178" s="19"/>
      <c r="T1178" s="17" t="str">
        <f aca="false">IF(R1178="維持",J1178,IF(R1178="排除","無關新聞事件",IFERROR(INDEX(事件規則!$B$2:$B$53,MATCH(S1178,事件規則!$A$2:$A$53,0)),"")))</f>
        <v>無關新聞事件</v>
      </c>
      <c r="U1178" s="20" t="n">
        <f aca="false">IF(R1178="維持",K1178,IF(R1178="排除",0,IFERROR(INDEX(事件規則!$C$2:$C$53,MATCH(S1178,事件規則!$A$2:$A$53,0)),"")))</f>
        <v>0</v>
      </c>
      <c r="V1178" s="21"/>
      <c r="W1178" s="22"/>
      <c r="X1178" s="10" t="str">
        <f aca="false">IF(AND(R1178="修改",S1178=""),"請選新事件代碼",IF(AND(R1178&lt;&gt;"修改",S1178&lt;&gt;""),"只有「修改」才需填代碼",""))</f>
        <v/>
      </c>
      <c r="Y1178" s="21"/>
      <c r="Z1178" s="22"/>
      <c r="AA1178" s="12" t="s">
        <v>3302</v>
      </c>
      <c r="AB1178" s="24"/>
    </row>
    <row r="1179" customFormat="false" ht="29.85" hidden="false" customHeight="false" outlineLevel="0" collapsed="false">
      <c r="A1179" s="15" t="n">
        <v>1178</v>
      </c>
      <c r="B1179" s="9" t="s">
        <v>55</v>
      </c>
      <c r="C1179" s="9" t="s">
        <v>445</v>
      </c>
      <c r="D1179" s="10" t="s">
        <v>446</v>
      </c>
      <c r="E1179" s="11" t="s">
        <v>3303</v>
      </c>
      <c r="F1179" s="17"/>
      <c r="G1179" s="12" t="s">
        <v>3304</v>
      </c>
      <c r="H1179" s="13" t="n">
        <v>-0.03</v>
      </c>
      <c r="I1179" s="14"/>
      <c r="J1179" s="17"/>
      <c r="K1179" s="9"/>
      <c r="L1179" s="15" t="s">
        <v>50</v>
      </c>
      <c r="M1179" s="16" t="s">
        <v>51</v>
      </c>
      <c r="N1179" s="14"/>
      <c r="O1179" s="15" t="s">
        <v>52</v>
      </c>
      <c r="P1179" s="17" t="s">
        <v>53</v>
      </c>
      <c r="Q1179" s="15"/>
      <c r="R1179" s="18" t="s">
        <v>51</v>
      </c>
      <c r="S1179" s="19"/>
      <c r="T1179" s="17" t="str">
        <f aca="false">IF(R1179="維持",J1179,IF(R1179="排除","無關新聞事件",IFERROR(INDEX(事件規則!$B$2:$B$53,MATCH(S1179,事件規則!$A$2:$A$53,0)),"")))</f>
        <v>無關新聞事件</v>
      </c>
      <c r="U1179" s="20" t="n">
        <f aca="false">IF(R1179="維持",K1179,IF(R1179="排除",0,IFERROR(INDEX(事件規則!$C$2:$C$53,MATCH(S1179,事件規則!$A$2:$A$53,0)),"")))</f>
        <v>0</v>
      </c>
      <c r="V1179" s="21"/>
      <c r="W1179" s="22"/>
      <c r="X1179" s="10" t="str">
        <f aca="false">IF(AND(R1179="修改",S1179=""),"請選新事件代碼",IF(AND(R1179&lt;&gt;"修改",S1179&lt;&gt;""),"只有「修改」才需填代碼",""))</f>
        <v/>
      </c>
      <c r="Y1179" s="21"/>
      <c r="Z1179" s="22"/>
      <c r="AA1179" s="12" t="s">
        <v>3305</v>
      </c>
      <c r="AB1179" s="24"/>
    </row>
    <row r="1180" customFormat="false" ht="29.85" hidden="false" customHeight="false" outlineLevel="0" collapsed="false">
      <c r="A1180" s="15" t="n">
        <v>1179</v>
      </c>
      <c r="B1180" s="9" t="s">
        <v>55</v>
      </c>
      <c r="C1180" s="9" t="s">
        <v>118</v>
      </c>
      <c r="D1180" s="10" t="s">
        <v>119</v>
      </c>
      <c r="E1180" s="11" t="s">
        <v>3306</v>
      </c>
      <c r="F1180" s="17"/>
      <c r="G1180" s="12" t="s">
        <v>1136</v>
      </c>
      <c r="H1180" s="13" t="n">
        <v>-0.03</v>
      </c>
      <c r="I1180" s="14"/>
      <c r="J1180" s="17"/>
      <c r="K1180" s="9"/>
      <c r="L1180" s="15" t="s">
        <v>50</v>
      </c>
      <c r="M1180" s="16" t="s">
        <v>51</v>
      </c>
      <c r="N1180" s="14"/>
      <c r="O1180" s="15" t="s">
        <v>52</v>
      </c>
      <c r="P1180" s="17" t="s">
        <v>53</v>
      </c>
      <c r="Q1180" s="15"/>
      <c r="R1180" s="18" t="s">
        <v>51</v>
      </c>
      <c r="S1180" s="19"/>
      <c r="T1180" s="17" t="str">
        <f aca="false">IF(R1180="維持",J1180,IF(R1180="排除","無關新聞事件",IFERROR(INDEX(事件規則!$B$2:$B$53,MATCH(S1180,事件規則!$A$2:$A$53,0)),"")))</f>
        <v>無關新聞事件</v>
      </c>
      <c r="U1180" s="20" t="n">
        <f aca="false">IF(R1180="維持",K1180,IF(R1180="排除",0,IFERROR(INDEX(事件規則!$C$2:$C$53,MATCH(S1180,事件規則!$A$2:$A$53,0)),"")))</f>
        <v>0</v>
      </c>
      <c r="V1180" s="21"/>
      <c r="W1180" s="22"/>
      <c r="X1180" s="10" t="str">
        <f aca="false">IF(AND(R1180="修改",S1180=""),"請選新事件代碼",IF(AND(R1180&lt;&gt;"修改",S1180&lt;&gt;""),"只有「修改」才需填代碼",""))</f>
        <v/>
      </c>
      <c r="Y1180" s="21"/>
      <c r="Z1180" s="22"/>
      <c r="AA1180" s="12" t="s">
        <v>3307</v>
      </c>
      <c r="AB1180" s="24"/>
    </row>
    <row r="1181" customFormat="false" ht="29.85" hidden="false" customHeight="false" outlineLevel="0" collapsed="false">
      <c r="A1181" s="15" t="n">
        <v>1180</v>
      </c>
      <c r="B1181" s="9" t="s">
        <v>45</v>
      </c>
      <c r="C1181" s="9" t="s">
        <v>113</v>
      </c>
      <c r="D1181" s="10" t="s">
        <v>114</v>
      </c>
      <c r="E1181" s="11" t="s">
        <v>3308</v>
      </c>
      <c r="F1181" s="17"/>
      <c r="G1181" s="12" t="s">
        <v>949</v>
      </c>
      <c r="H1181" s="13" t="n">
        <v>-0.03</v>
      </c>
      <c r="I1181" s="14"/>
      <c r="J1181" s="17"/>
      <c r="K1181" s="9"/>
      <c r="L1181" s="15" t="s">
        <v>50</v>
      </c>
      <c r="M1181" s="16" t="s">
        <v>51</v>
      </c>
      <c r="N1181" s="14"/>
      <c r="O1181" s="15" t="s">
        <v>52</v>
      </c>
      <c r="P1181" s="17" t="s">
        <v>53</v>
      </c>
      <c r="Q1181" s="15"/>
      <c r="R1181" s="18" t="s">
        <v>51</v>
      </c>
      <c r="S1181" s="19"/>
      <c r="T1181" s="17" t="str">
        <f aca="false">IF(R1181="維持",J1181,IF(R1181="排除","無關新聞事件",IFERROR(INDEX(事件規則!$B$2:$B$53,MATCH(S1181,事件規則!$A$2:$A$53,0)),"")))</f>
        <v>無關新聞事件</v>
      </c>
      <c r="U1181" s="20" t="n">
        <f aca="false">IF(R1181="維持",K1181,IF(R1181="排除",0,IFERROR(INDEX(事件規則!$C$2:$C$53,MATCH(S1181,事件規則!$A$2:$A$53,0)),"")))</f>
        <v>0</v>
      </c>
      <c r="V1181" s="21"/>
      <c r="W1181" s="22"/>
      <c r="X1181" s="10" t="str">
        <f aca="false">IF(AND(R1181="修改",S1181=""),"請選新事件代碼",IF(AND(R1181&lt;&gt;"修改",S1181&lt;&gt;""),"只有「修改」才需填代碼",""))</f>
        <v/>
      </c>
      <c r="Y1181" s="21"/>
      <c r="Z1181" s="22"/>
      <c r="AA1181" s="12" t="s">
        <v>3309</v>
      </c>
      <c r="AB1181" s="24"/>
    </row>
    <row r="1182" customFormat="false" ht="29.85" hidden="false" customHeight="false" outlineLevel="0" collapsed="false">
      <c r="A1182" s="15" t="n">
        <v>1181</v>
      </c>
      <c r="B1182" s="9" t="s">
        <v>45</v>
      </c>
      <c r="C1182" s="9" t="s">
        <v>672</v>
      </c>
      <c r="D1182" s="10" t="s">
        <v>673</v>
      </c>
      <c r="E1182" s="11" t="s">
        <v>3310</v>
      </c>
      <c r="F1182" s="17"/>
      <c r="G1182" s="12" t="s">
        <v>164</v>
      </c>
      <c r="H1182" s="13" t="n">
        <v>-0.029</v>
      </c>
      <c r="I1182" s="14"/>
      <c r="J1182" s="17"/>
      <c r="K1182" s="9"/>
      <c r="L1182" s="15" t="s">
        <v>50</v>
      </c>
      <c r="M1182" s="16" t="s">
        <v>51</v>
      </c>
      <c r="N1182" s="14"/>
      <c r="O1182" s="15" t="s">
        <v>52</v>
      </c>
      <c r="P1182" s="17" t="s">
        <v>53</v>
      </c>
      <c r="Q1182" s="15"/>
      <c r="R1182" s="18" t="s">
        <v>51</v>
      </c>
      <c r="S1182" s="19"/>
      <c r="T1182" s="17" t="str">
        <f aca="false">IF(R1182="維持",J1182,IF(R1182="排除","無關新聞事件",IFERROR(INDEX(事件規則!$B$2:$B$53,MATCH(S1182,事件規則!$A$2:$A$53,0)),"")))</f>
        <v>無關新聞事件</v>
      </c>
      <c r="U1182" s="20" t="n">
        <f aca="false">IF(R1182="維持",K1182,IF(R1182="排除",0,IFERROR(INDEX(事件規則!$C$2:$C$53,MATCH(S1182,事件規則!$A$2:$A$53,0)),"")))</f>
        <v>0</v>
      </c>
      <c r="V1182" s="21"/>
      <c r="W1182" s="22"/>
      <c r="X1182" s="10" t="str">
        <f aca="false">IF(AND(R1182="修改",S1182=""),"請選新事件代碼",IF(AND(R1182&lt;&gt;"修改",S1182&lt;&gt;""),"只有「修改」才需填代碼",""))</f>
        <v/>
      </c>
      <c r="Y1182" s="21"/>
      <c r="Z1182" s="22"/>
      <c r="AA1182" s="12" t="s">
        <v>3311</v>
      </c>
      <c r="AB1182" s="24"/>
    </row>
    <row r="1183" customFormat="false" ht="29.85" hidden="false" customHeight="false" outlineLevel="0" collapsed="false">
      <c r="A1183" s="15" t="n">
        <v>1182</v>
      </c>
      <c r="B1183" s="9" t="s">
        <v>45</v>
      </c>
      <c r="C1183" s="9" t="s">
        <v>1941</v>
      </c>
      <c r="D1183" s="10" t="s">
        <v>1942</v>
      </c>
      <c r="E1183" s="11" t="s">
        <v>3312</v>
      </c>
      <c r="F1183" s="17"/>
      <c r="G1183" s="12" t="s">
        <v>176</v>
      </c>
      <c r="H1183" s="13" t="n">
        <v>-0.029</v>
      </c>
      <c r="I1183" s="14"/>
      <c r="J1183" s="17"/>
      <c r="K1183" s="9"/>
      <c r="L1183" s="15" t="s">
        <v>50</v>
      </c>
      <c r="M1183" s="16" t="s">
        <v>51</v>
      </c>
      <c r="N1183" s="14"/>
      <c r="O1183" s="15" t="s">
        <v>52</v>
      </c>
      <c r="P1183" s="17" t="s">
        <v>53</v>
      </c>
      <c r="Q1183" s="15"/>
      <c r="R1183" s="18" t="s">
        <v>51</v>
      </c>
      <c r="S1183" s="19"/>
      <c r="T1183" s="17" t="str">
        <f aca="false">IF(R1183="維持",J1183,IF(R1183="排除","無關新聞事件",IFERROR(INDEX(事件規則!$B$2:$B$53,MATCH(S1183,事件規則!$A$2:$A$53,0)),"")))</f>
        <v>無關新聞事件</v>
      </c>
      <c r="U1183" s="20" t="n">
        <f aca="false">IF(R1183="維持",K1183,IF(R1183="排除",0,IFERROR(INDEX(事件規則!$C$2:$C$53,MATCH(S1183,事件規則!$A$2:$A$53,0)),"")))</f>
        <v>0</v>
      </c>
      <c r="V1183" s="21"/>
      <c r="W1183" s="22"/>
      <c r="X1183" s="10" t="str">
        <f aca="false">IF(AND(R1183="修改",S1183=""),"請選新事件代碼",IF(AND(R1183&lt;&gt;"修改",S1183&lt;&gt;""),"只有「修改」才需填代碼",""))</f>
        <v/>
      </c>
      <c r="Y1183" s="21"/>
      <c r="Z1183" s="22"/>
      <c r="AA1183" s="12" t="s">
        <v>3313</v>
      </c>
      <c r="AB1183" s="24"/>
    </row>
    <row r="1184" customFormat="false" ht="29.85" hidden="false" customHeight="false" outlineLevel="0" collapsed="false">
      <c r="A1184" s="15" t="n">
        <v>1183</v>
      </c>
      <c r="B1184" s="9" t="s">
        <v>45</v>
      </c>
      <c r="C1184" s="9" t="s">
        <v>3233</v>
      </c>
      <c r="D1184" s="10" t="s">
        <v>3234</v>
      </c>
      <c r="E1184" s="11" t="s">
        <v>3314</v>
      </c>
      <c r="F1184" s="17"/>
      <c r="G1184" s="12" t="s">
        <v>176</v>
      </c>
      <c r="H1184" s="13" t="n">
        <v>-0.029</v>
      </c>
      <c r="I1184" s="14"/>
      <c r="J1184" s="17"/>
      <c r="K1184" s="9"/>
      <c r="L1184" s="15" t="s">
        <v>50</v>
      </c>
      <c r="M1184" s="16" t="s">
        <v>51</v>
      </c>
      <c r="N1184" s="14"/>
      <c r="O1184" s="15" t="s">
        <v>52</v>
      </c>
      <c r="P1184" s="17" t="s">
        <v>53</v>
      </c>
      <c r="Q1184" s="15"/>
      <c r="R1184" s="18" t="s">
        <v>51</v>
      </c>
      <c r="S1184" s="19"/>
      <c r="T1184" s="17" t="str">
        <f aca="false">IF(R1184="維持",J1184,IF(R1184="排除","無關新聞事件",IFERROR(INDEX(事件規則!$B$2:$B$53,MATCH(S1184,事件規則!$A$2:$A$53,0)),"")))</f>
        <v>無關新聞事件</v>
      </c>
      <c r="U1184" s="20" t="n">
        <f aca="false">IF(R1184="維持",K1184,IF(R1184="排除",0,IFERROR(INDEX(事件規則!$C$2:$C$53,MATCH(S1184,事件規則!$A$2:$A$53,0)),"")))</f>
        <v>0</v>
      </c>
      <c r="V1184" s="21"/>
      <c r="W1184" s="22"/>
      <c r="X1184" s="10" t="str">
        <f aca="false">IF(AND(R1184="修改",S1184=""),"請選新事件代碼",IF(AND(R1184&lt;&gt;"修改",S1184&lt;&gt;""),"只有「修改」才需填代碼",""))</f>
        <v/>
      </c>
      <c r="Y1184" s="21"/>
      <c r="Z1184" s="22"/>
      <c r="AA1184" s="12" t="s">
        <v>3315</v>
      </c>
      <c r="AB1184" s="24"/>
    </row>
    <row r="1185" customFormat="false" ht="29.85" hidden="false" customHeight="false" outlineLevel="0" collapsed="false">
      <c r="A1185" s="15" t="n">
        <v>1184</v>
      </c>
      <c r="B1185" s="9" t="s">
        <v>45</v>
      </c>
      <c r="C1185" s="9" t="s">
        <v>289</v>
      </c>
      <c r="D1185" s="10" t="s">
        <v>290</v>
      </c>
      <c r="E1185" s="11" t="s">
        <v>3316</v>
      </c>
      <c r="F1185" s="17"/>
      <c r="G1185" s="12" t="s">
        <v>105</v>
      </c>
      <c r="H1185" s="13" t="n">
        <v>-0.029</v>
      </c>
      <c r="I1185" s="14"/>
      <c r="J1185" s="17"/>
      <c r="K1185" s="9"/>
      <c r="L1185" s="15" t="s">
        <v>50</v>
      </c>
      <c r="M1185" s="16" t="s">
        <v>51</v>
      </c>
      <c r="N1185" s="14"/>
      <c r="O1185" s="15" t="s">
        <v>52</v>
      </c>
      <c r="P1185" s="17" t="s">
        <v>53</v>
      </c>
      <c r="Q1185" s="15"/>
      <c r="R1185" s="18" t="s">
        <v>51</v>
      </c>
      <c r="S1185" s="19"/>
      <c r="T1185" s="17" t="str">
        <f aca="false">IF(R1185="維持",J1185,IF(R1185="排除","無關新聞事件",IFERROR(INDEX(事件規則!$B$2:$B$53,MATCH(S1185,事件規則!$A$2:$A$53,0)),"")))</f>
        <v>無關新聞事件</v>
      </c>
      <c r="U1185" s="20" t="n">
        <f aca="false">IF(R1185="維持",K1185,IF(R1185="排除",0,IFERROR(INDEX(事件規則!$C$2:$C$53,MATCH(S1185,事件規則!$A$2:$A$53,0)),"")))</f>
        <v>0</v>
      </c>
      <c r="V1185" s="21"/>
      <c r="W1185" s="22"/>
      <c r="X1185" s="10" t="str">
        <f aca="false">IF(AND(R1185="修改",S1185=""),"請選新事件代碼",IF(AND(R1185&lt;&gt;"修改",S1185&lt;&gt;""),"只有「修改」才需填代碼",""))</f>
        <v/>
      </c>
      <c r="Y1185" s="21"/>
      <c r="Z1185" s="22"/>
      <c r="AA1185" s="12" t="s">
        <v>3317</v>
      </c>
      <c r="AB1185" s="24"/>
    </row>
    <row r="1186" customFormat="false" ht="29.85" hidden="false" customHeight="false" outlineLevel="0" collapsed="false">
      <c r="A1186" s="15" t="n">
        <v>1185</v>
      </c>
      <c r="B1186" s="9" t="s">
        <v>45</v>
      </c>
      <c r="C1186" s="9" t="s">
        <v>2303</v>
      </c>
      <c r="D1186" s="10" t="s">
        <v>2304</v>
      </c>
      <c r="E1186" s="11" t="s">
        <v>3318</v>
      </c>
      <c r="F1186" s="17"/>
      <c r="G1186" s="12" t="s">
        <v>176</v>
      </c>
      <c r="H1186" s="13" t="n">
        <v>-0.029</v>
      </c>
      <c r="I1186" s="14"/>
      <c r="J1186" s="17"/>
      <c r="K1186" s="9"/>
      <c r="L1186" s="15" t="s">
        <v>50</v>
      </c>
      <c r="M1186" s="16" t="s">
        <v>51</v>
      </c>
      <c r="N1186" s="14"/>
      <c r="O1186" s="15" t="s">
        <v>52</v>
      </c>
      <c r="P1186" s="17" t="s">
        <v>53</v>
      </c>
      <c r="Q1186" s="15"/>
      <c r="R1186" s="18" t="s">
        <v>51</v>
      </c>
      <c r="S1186" s="19"/>
      <c r="T1186" s="17" t="str">
        <f aca="false">IF(R1186="維持",J1186,IF(R1186="排除","無關新聞事件",IFERROR(INDEX(事件規則!$B$2:$B$53,MATCH(S1186,事件規則!$A$2:$A$53,0)),"")))</f>
        <v>無關新聞事件</v>
      </c>
      <c r="U1186" s="20" t="n">
        <f aca="false">IF(R1186="維持",K1186,IF(R1186="排除",0,IFERROR(INDEX(事件規則!$C$2:$C$53,MATCH(S1186,事件規則!$A$2:$A$53,0)),"")))</f>
        <v>0</v>
      </c>
      <c r="V1186" s="21"/>
      <c r="W1186" s="22"/>
      <c r="X1186" s="10" t="str">
        <f aca="false">IF(AND(R1186="修改",S1186=""),"請選新事件代碼",IF(AND(R1186&lt;&gt;"修改",S1186&lt;&gt;""),"只有「修改」才需填代碼",""))</f>
        <v/>
      </c>
      <c r="Y1186" s="21"/>
      <c r="Z1186" s="22"/>
      <c r="AA1186" s="12" t="s">
        <v>3319</v>
      </c>
      <c r="AB1186" s="24"/>
    </row>
    <row r="1187" customFormat="false" ht="29.85" hidden="false" customHeight="false" outlineLevel="0" collapsed="false">
      <c r="A1187" s="15" t="n">
        <v>1186</v>
      </c>
      <c r="B1187" s="9" t="s">
        <v>45</v>
      </c>
      <c r="C1187" s="9" t="s">
        <v>118</v>
      </c>
      <c r="D1187" s="10" t="s">
        <v>119</v>
      </c>
      <c r="E1187" s="11" t="s">
        <v>3320</v>
      </c>
      <c r="F1187" s="17"/>
      <c r="G1187" s="12" t="s">
        <v>1136</v>
      </c>
      <c r="H1187" s="13" t="n">
        <v>-0.029</v>
      </c>
      <c r="I1187" s="14"/>
      <c r="J1187" s="17"/>
      <c r="K1187" s="9"/>
      <c r="L1187" s="15" t="s">
        <v>50</v>
      </c>
      <c r="M1187" s="16" t="s">
        <v>51</v>
      </c>
      <c r="N1187" s="14"/>
      <c r="O1187" s="15" t="s">
        <v>52</v>
      </c>
      <c r="P1187" s="17" t="s">
        <v>53</v>
      </c>
      <c r="Q1187" s="15"/>
      <c r="R1187" s="18" t="s">
        <v>51</v>
      </c>
      <c r="S1187" s="19"/>
      <c r="T1187" s="17" t="str">
        <f aca="false">IF(R1187="維持",J1187,IF(R1187="排除","無關新聞事件",IFERROR(INDEX(事件規則!$B$2:$B$53,MATCH(S1187,事件規則!$A$2:$A$53,0)),"")))</f>
        <v>無關新聞事件</v>
      </c>
      <c r="U1187" s="20" t="n">
        <f aca="false">IF(R1187="維持",K1187,IF(R1187="排除",0,IFERROR(INDEX(事件規則!$C$2:$C$53,MATCH(S1187,事件規則!$A$2:$A$53,0)),"")))</f>
        <v>0</v>
      </c>
      <c r="V1187" s="21"/>
      <c r="W1187" s="22"/>
      <c r="X1187" s="10" t="str">
        <f aca="false">IF(AND(R1187="修改",S1187=""),"請選新事件代碼",IF(AND(R1187&lt;&gt;"修改",S1187&lt;&gt;""),"只有「修改」才需填代碼",""))</f>
        <v/>
      </c>
      <c r="Y1187" s="21"/>
      <c r="Z1187" s="22"/>
      <c r="AA1187" s="12" t="s">
        <v>3321</v>
      </c>
      <c r="AB1187" s="24"/>
    </row>
    <row r="1188" customFormat="false" ht="29.85" hidden="false" customHeight="false" outlineLevel="0" collapsed="false">
      <c r="A1188" s="15" t="n">
        <v>1187</v>
      </c>
      <c r="B1188" s="9" t="s">
        <v>45</v>
      </c>
      <c r="C1188" s="9" t="s">
        <v>1555</v>
      </c>
      <c r="D1188" s="10" t="s">
        <v>1556</v>
      </c>
      <c r="E1188" s="11" t="s">
        <v>3322</v>
      </c>
      <c r="F1188" s="17"/>
      <c r="G1188" s="12" t="s">
        <v>949</v>
      </c>
      <c r="H1188" s="13" t="n">
        <v>-0.029</v>
      </c>
      <c r="I1188" s="14"/>
      <c r="J1188" s="17"/>
      <c r="K1188" s="9"/>
      <c r="L1188" s="15" t="s">
        <v>50</v>
      </c>
      <c r="M1188" s="16" t="s">
        <v>51</v>
      </c>
      <c r="N1188" s="14"/>
      <c r="O1188" s="15" t="s">
        <v>52</v>
      </c>
      <c r="P1188" s="17" t="s">
        <v>53</v>
      </c>
      <c r="Q1188" s="15"/>
      <c r="R1188" s="18" t="s">
        <v>51</v>
      </c>
      <c r="S1188" s="19"/>
      <c r="T1188" s="17" t="str">
        <f aca="false">IF(R1188="維持",J1188,IF(R1188="排除","無關新聞事件",IFERROR(INDEX(事件規則!$B$2:$B$53,MATCH(S1188,事件規則!$A$2:$A$53,0)),"")))</f>
        <v>無關新聞事件</v>
      </c>
      <c r="U1188" s="20" t="n">
        <f aca="false">IF(R1188="維持",K1188,IF(R1188="排除",0,IFERROR(INDEX(事件規則!$C$2:$C$53,MATCH(S1188,事件規則!$A$2:$A$53,0)),"")))</f>
        <v>0</v>
      </c>
      <c r="V1188" s="21"/>
      <c r="W1188" s="22"/>
      <c r="X1188" s="10" t="str">
        <f aca="false">IF(AND(R1188="修改",S1188=""),"請選新事件代碼",IF(AND(R1188&lt;&gt;"修改",S1188&lt;&gt;""),"只有「修改」才需填代碼",""))</f>
        <v/>
      </c>
      <c r="Y1188" s="21"/>
      <c r="Z1188" s="22"/>
      <c r="AA1188" s="12" t="s">
        <v>3323</v>
      </c>
      <c r="AB1188" s="24"/>
    </row>
    <row r="1189" customFormat="false" ht="29.85" hidden="false" customHeight="false" outlineLevel="0" collapsed="false">
      <c r="A1189" s="15" t="n">
        <v>1188</v>
      </c>
      <c r="B1189" s="9" t="s">
        <v>45</v>
      </c>
      <c r="C1189" s="9" t="s">
        <v>326</v>
      </c>
      <c r="D1189" s="10" t="s">
        <v>326</v>
      </c>
      <c r="E1189" s="11" t="s">
        <v>3324</v>
      </c>
      <c r="F1189" s="17"/>
      <c r="G1189" s="12" t="s">
        <v>95</v>
      </c>
      <c r="H1189" s="13" t="n">
        <v>-0.029</v>
      </c>
      <c r="I1189" s="14"/>
      <c r="J1189" s="17"/>
      <c r="K1189" s="9"/>
      <c r="L1189" s="15" t="s">
        <v>50</v>
      </c>
      <c r="M1189" s="16" t="s">
        <v>51</v>
      </c>
      <c r="N1189" s="14"/>
      <c r="O1189" s="15" t="s">
        <v>52</v>
      </c>
      <c r="P1189" s="17" t="s">
        <v>53</v>
      </c>
      <c r="Q1189" s="15"/>
      <c r="R1189" s="18" t="s">
        <v>51</v>
      </c>
      <c r="S1189" s="19"/>
      <c r="T1189" s="17" t="str">
        <f aca="false">IF(R1189="維持",J1189,IF(R1189="排除","無關新聞事件",IFERROR(INDEX(事件規則!$B$2:$B$53,MATCH(S1189,事件規則!$A$2:$A$53,0)),"")))</f>
        <v>無關新聞事件</v>
      </c>
      <c r="U1189" s="20" t="n">
        <f aca="false">IF(R1189="維持",K1189,IF(R1189="排除",0,IFERROR(INDEX(事件規則!$C$2:$C$53,MATCH(S1189,事件規則!$A$2:$A$53,0)),"")))</f>
        <v>0</v>
      </c>
      <c r="V1189" s="21"/>
      <c r="W1189" s="22"/>
      <c r="X1189" s="10" t="str">
        <f aca="false">IF(AND(R1189="修改",S1189=""),"請選新事件代碼",IF(AND(R1189&lt;&gt;"修改",S1189&lt;&gt;""),"只有「修改」才需填代碼",""))</f>
        <v/>
      </c>
      <c r="Y1189" s="21"/>
      <c r="Z1189" s="22"/>
      <c r="AA1189" s="12" t="s">
        <v>3325</v>
      </c>
      <c r="AB1189" s="24"/>
    </row>
    <row r="1190" customFormat="false" ht="29.85" hidden="false" customHeight="false" outlineLevel="0" collapsed="false">
      <c r="A1190" s="15" t="n">
        <v>1189</v>
      </c>
      <c r="B1190" s="9" t="s">
        <v>45</v>
      </c>
      <c r="C1190" s="9" t="s">
        <v>3326</v>
      </c>
      <c r="D1190" s="10" t="s">
        <v>2045</v>
      </c>
      <c r="E1190" s="11" t="s">
        <v>3327</v>
      </c>
      <c r="F1190" s="17"/>
      <c r="G1190" s="12" t="s">
        <v>49</v>
      </c>
      <c r="H1190" s="13" t="n">
        <v>-0.029</v>
      </c>
      <c r="I1190" s="14"/>
      <c r="J1190" s="17"/>
      <c r="K1190" s="9"/>
      <c r="L1190" s="15" t="s">
        <v>50</v>
      </c>
      <c r="M1190" s="16" t="s">
        <v>51</v>
      </c>
      <c r="N1190" s="14"/>
      <c r="O1190" s="15" t="s">
        <v>52</v>
      </c>
      <c r="P1190" s="17" t="s">
        <v>53</v>
      </c>
      <c r="Q1190" s="15"/>
      <c r="R1190" s="18" t="s">
        <v>51</v>
      </c>
      <c r="S1190" s="19"/>
      <c r="T1190" s="17" t="str">
        <f aca="false">IF(R1190="維持",J1190,IF(R1190="排除","無關新聞事件",IFERROR(INDEX(事件規則!$B$2:$B$53,MATCH(S1190,事件規則!$A$2:$A$53,0)),"")))</f>
        <v>無關新聞事件</v>
      </c>
      <c r="U1190" s="20" t="n">
        <f aca="false">IF(R1190="維持",K1190,IF(R1190="排除",0,IFERROR(INDEX(事件規則!$C$2:$C$53,MATCH(S1190,事件規則!$A$2:$A$53,0)),"")))</f>
        <v>0</v>
      </c>
      <c r="V1190" s="21"/>
      <c r="W1190" s="22"/>
      <c r="X1190" s="10" t="str">
        <f aca="false">IF(AND(R1190="修改",S1190=""),"請選新事件代碼",IF(AND(R1190&lt;&gt;"修改",S1190&lt;&gt;""),"只有「修改」才需填代碼",""))</f>
        <v/>
      </c>
      <c r="Y1190" s="21"/>
      <c r="Z1190" s="22"/>
      <c r="AA1190" s="12" t="s">
        <v>3328</v>
      </c>
      <c r="AB1190" s="24"/>
    </row>
    <row r="1191" customFormat="false" ht="29.85" hidden="false" customHeight="false" outlineLevel="0" collapsed="false">
      <c r="A1191" s="15" t="n">
        <v>1190</v>
      </c>
      <c r="B1191" s="9" t="s">
        <v>45</v>
      </c>
      <c r="C1191" s="9" t="s">
        <v>1001</v>
      </c>
      <c r="D1191" s="10" t="s">
        <v>1002</v>
      </c>
      <c r="E1191" s="11" t="s">
        <v>3329</v>
      </c>
      <c r="F1191" s="17"/>
      <c r="G1191" s="12" t="s">
        <v>95</v>
      </c>
      <c r="H1191" s="13" t="n">
        <v>-0.029</v>
      </c>
      <c r="I1191" s="14"/>
      <c r="J1191" s="17"/>
      <c r="K1191" s="9"/>
      <c r="L1191" s="15" t="s">
        <v>50</v>
      </c>
      <c r="M1191" s="16" t="s">
        <v>51</v>
      </c>
      <c r="N1191" s="14"/>
      <c r="O1191" s="15" t="s">
        <v>52</v>
      </c>
      <c r="P1191" s="17" t="s">
        <v>53</v>
      </c>
      <c r="Q1191" s="15"/>
      <c r="R1191" s="18" t="s">
        <v>51</v>
      </c>
      <c r="S1191" s="19"/>
      <c r="T1191" s="17" t="str">
        <f aca="false">IF(R1191="維持",J1191,IF(R1191="排除","無關新聞事件",IFERROR(INDEX(事件規則!$B$2:$B$53,MATCH(S1191,事件規則!$A$2:$A$53,0)),"")))</f>
        <v>無關新聞事件</v>
      </c>
      <c r="U1191" s="20" t="n">
        <f aca="false">IF(R1191="維持",K1191,IF(R1191="排除",0,IFERROR(INDEX(事件規則!$C$2:$C$53,MATCH(S1191,事件規則!$A$2:$A$53,0)),"")))</f>
        <v>0</v>
      </c>
      <c r="V1191" s="21"/>
      <c r="W1191" s="22"/>
      <c r="X1191" s="10" t="str">
        <f aca="false">IF(AND(R1191="修改",S1191=""),"請選新事件代碼",IF(AND(R1191&lt;&gt;"修改",S1191&lt;&gt;""),"只有「修改」才需填代碼",""))</f>
        <v/>
      </c>
      <c r="Y1191" s="21"/>
      <c r="Z1191" s="22"/>
      <c r="AA1191" s="12" t="s">
        <v>3330</v>
      </c>
      <c r="AB1191" s="24"/>
    </row>
    <row r="1192" customFormat="false" ht="29.85" hidden="false" customHeight="false" outlineLevel="0" collapsed="false">
      <c r="A1192" s="15" t="n">
        <v>1191</v>
      </c>
      <c r="B1192" s="9" t="s">
        <v>45</v>
      </c>
      <c r="C1192" s="9" t="s">
        <v>1899</v>
      </c>
      <c r="D1192" s="10" t="s">
        <v>1900</v>
      </c>
      <c r="E1192" s="11" t="s">
        <v>3331</v>
      </c>
      <c r="F1192" s="17"/>
      <c r="G1192" s="12" t="s">
        <v>95</v>
      </c>
      <c r="H1192" s="13" t="n">
        <v>-0.029</v>
      </c>
      <c r="I1192" s="14"/>
      <c r="J1192" s="17"/>
      <c r="K1192" s="9"/>
      <c r="L1192" s="15" t="s">
        <v>50</v>
      </c>
      <c r="M1192" s="16" t="s">
        <v>51</v>
      </c>
      <c r="N1192" s="14"/>
      <c r="O1192" s="15" t="s">
        <v>52</v>
      </c>
      <c r="P1192" s="17" t="s">
        <v>53</v>
      </c>
      <c r="Q1192" s="15"/>
      <c r="R1192" s="18" t="s">
        <v>51</v>
      </c>
      <c r="S1192" s="19"/>
      <c r="T1192" s="17" t="str">
        <f aca="false">IF(R1192="維持",J1192,IF(R1192="排除","無關新聞事件",IFERROR(INDEX(事件規則!$B$2:$B$53,MATCH(S1192,事件規則!$A$2:$A$53,0)),"")))</f>
        <v>無關新聞事件</v>
      </c>
      <c r="U1192" s="20" t="n">
        <f aca="false">IF(R1192="維持",K1192,IF(R1192="排除",0,IFERROR(INDEX(事件規則!$C$2:$C$53,MATCH(S1192,事件規則!$A$2:$A$53,0)),"")))</f>
        <v>0</v>
      </c>
      <c r="V1192" s="21"/>
      <c r="W1192" s="22"/>
      <c r="X1192" s="10" t="str">
        <f aca="false">IF(AND(R1192="修改",S1192=""),"請選新事件代碼",IF(AND(R1192&lt;&gt;"修改",S1192&lt;&gt;""),"只有「修改」才需填代碼",""))</f>
        <v/>
      </c>
      <c r="Y1192" s="21"/>
      <c r="Z1192" s="22"/>
      <c r="AA1192" s="12" t="s">
        <v>3332</v>
      </c>
      <c r="AB1192" s="24"/>
    </row>
    <row r="1193" customFormat="false" ht="29.85" hidden="false" customHeight="false" outlineLevel="0" collapsed="false">
      <c r="A1193" s="15" t="n">
        <v>1192</v>
      </c>
      <c r="B1193" s="9" t="s">
        <v>45</v>
      </c>
      <c r="C1193" s="9" t="s">
        <v>1555</v>
      </c>
      <c r="D1193" s="10" t="s">
        <v>1556</v>
      </c>
      <c r="E1193" s="11" t="s">
        <v>3333</v>
      </c>
      <c r="F1193" s="17"/>
      <c r="G1193" s="12" t="s">
        <v>949</v>
      </c>
      <c r="H1193" s="13" t="n">
        <v>-0.029</v>
      </c>
      <c r="I1193" s="14"/>
      <c r="J1193" s="17"/>
      <c r="K1193" s="9"/>
      <c r="L1193" s="15" t="s">
        <v>50</v>
      </c>
      <c r="M1193" s="16" t="s">
        <v>51</v>
      </c>
      <c r="N1193" s="14"/>
      <c r="O1193" s="15" t="s">
        <v>52</v>
      </c>
      <c r="P1193" s="17" t="s">
        <v>53</v>
      </c>
      <c r="Q1193" s="15"/>
      <c r="R1193" s="18" t="s">
        <v>51</v>
      </c>
      <c r="S1193" s="19"/>
      <c r="T1193" s="17" t="str">
        <f aca="false">IF(R1193="維持",J1193,IF(R1193="排除","無關新聞事件",IFERROR(INDEX(事件規則!$B$2:$B$53,MATCH(S1193,事件規則!$A$2:$A$53,0)),"")))</f>
        <v>無關新聞事件</v>
      </c>
      <c r="U1193" s="20" t="n">
        <f aca="false">IF(R1193="維持",K1193,IF(R1193="排除",0,IFERROR(INDEX(事件規則!$C$2:$C$53,MATCH(S1193,事件規則!$A$2:$A$53,0)),"")))</f>
        <v>0</v>
      </c>
      <c r="V1193" s="21"/>
      <c r="W1193" s="22"/>
      <c r="X1193" s="10" t="str">
        <f aca="false">IF(AND(R1193="修改",S1193=""),"請選新事件代碼",IF(AND(R1193&lt;&gt;"修改",S1193&lt;&gt;""),"只有「修改」才需填代碼",""))</f>
        <v/>
      </c>
      <c r="Y1193" s="21"/>
      <c r="Z1193" s="22"/>
      <c r="AA1193" s="12" t="s">
        <v>3334</v>
      </c>
      <c r="AB1193" s="24"/>
    </row>
    <row r="1194" customFormat="false" ht="29.85" hidden="false" customHeight="false" outlineLevel="0" collapsed="false">
      <c r="A1194" s="15" t="n">
        <v>1193</v>
      </c>
      <c r="B1194" s="9" t="s">
        <v>55</v>
      </c>
      <c r="C1194" s="9" t="s">
        <v>289</v>
      </c>
      <c r="D1194" s="10" t="s">
        <v>290</v>
      </c>
      <c r="E1194" s="11" t="s">
        <v>3335</v>
      </c>
      <c r="F1194" s="17"/>
      <c r="G1194" s="12" t="s">
        <v>176</v>
      </c>
      <c r="H1194" s="13" t="n">
        <v>-0.029</v>
      </c>
      <c r="I1194" s="14"/>
      <c r="J1194" s="17"/>
      <c r="K1194" s="9"/>
      <c r="L1194" s="15" t="s">
        <v>50</v>
      </c>
      <c r="M1194" s="16" t="s">
        <v>51</v>
      </c>
      <c r="N1194" s="14"/>
      <c r="O1194" s="15" t="s">
        <v>52</v>
      </c>
      <c r="P1194" s="17" t="s">
        <v>53</v>
      </c>
      <c r="Q1194" s="15"/>
      <c r="R1194" s="18" t="s">
        <v>51</v>
      </c>
      <c r="S1194" s="19"/>
      <c r="T1194" s="17" t="str">
        <f aca="false">IF(R1194="維持",J1194,IF(R1194="排除","無關新聞事件",IFERROR(INDEX(事件規則!$B$2:$B$53,MATCH(S1194,事件規則!$A$2:$A$53,0)),"")))</f>
        <v>無關新聞事件</v>
      </c>
      <c r="U1194" s="20" t="n">
        <f aca="false">IF(R1194="維持",K1194,IF(R1194="排除",0,IFERROR(INDEX(事件規則!$C$2:$C$53,MATCH(S1194,事件規則!$A$2:$A$53,0)),"")))</f>
        <v>0</v>
      </c>
      <c r="V1194" s="21"/>
      <c r="W1194" s="22"/>
      <c r="X1194" s="10" t="str">
        <f aca="false">IF(AND(R1194="修改",S1194=""),"請選新事件代碼",IF(AND(R1194&lt;&gt;"修改",S1194&lt;&gt;""),"只有「修改」才需填代碼",""))</f>
        <v/>
      </c>
      <c r="Y1194" s="21"/>
      <c r="Z1194" s="22"/>
      <c r="AA1194" s="12" t="s">
        <v>3336</v>
      </c>
      <c r="AB1194" s="24"/>
    </row>
    <row r="1195" customFormat="false" ht="29.85" hidden="false" customHeight="false" outlineLevel="0" collapsed="false">
      <c r="A1195" s="15" t="n">
        <v>1194</v>
      </c>
      <c r="B1195" s="9" t="s">
        <v>55</v>
      </c>
      <c r="C1195" s="9" t="s">
        <v>2598</v>
      </c>
      <c r="D1195" s="10" t="s">
        <v>2599</v>
      </c>
      <c r="E1195" s="11" t="s">
        <v>3337</v>
      </c>
      <c r="F1195" s="17"/>
      <c r="G1195" s="12" t="s">
        <v>176</v>
      </c>
      <c r="H1195" s="13" t="n">
        <v>-0.029</v>
      </c>
      <c r="I1195" s="14"/>
      <c r="J1195" s="17"/>
      <c r="K1195" s="9"/>
      <c r="L1195" s="15" t="s">
        <v>50</v>
      </c>
      <c r="M1195" s="16" t="s">
        <v>51</v>
      </c>
      <c r="N1195" s="14"/>
      <c r="O1195" s="15" t="s">
        <v>52</v>
      </c>
      <c r="P1195" s="17" t="s">
        <v>53</v>
      </c>
      <c r="Q1195" s="15"/>
      <c r="R1195" s="18" t="s">
        <v>51</v>
      </c>
      <c r="S1195" s="19"/>
      <c r="T1195" s="17" t="str">
        <f aca="false">IF(R1195="維持",J1195,IF(R1195="排除","無關新聞事件",IFERROR(INDEX(事件規則!$B$2:$B$53,MATCH(S1195,事件規則!$A$2:$A$53,0)),"")))</f>
        <v>無關新聞事件</v>
      </c>
      <c r="U1195" s="20" t="n">
        <f aca="false">IF(R1195="維持",K1195,IF(R1195="排除",0,IFERROR(INDEX(事件規則!$C$2:$C$53,MATCH(S1195,事件規則!$A$2:$A$53,0)),"")))</f>
        <v>0</v>
      </c>
      <c r="V1195" s="21"/>
      <c r="W1195" s="22"/>
      <c r="X1195" s="10" t="str">
        <f aca="false">IF(AND(R1195="修改",S1195=""),"請選新事件代碼",IF(AND(R1195&lt;&gt;"修改",S1195&lt;&gt;""),"只有「修改」才需填代碼",""))</f>
        <v/>
      </c>
      <c r="Y1195" s="21"/>
      <c r="Z1195" s="22"/>
      <c r="AA1195" s="12" t="s">
        <v>3338</v>
      </c>
      <c r="AB1195" s="24"/>
    </row>
    <row r="1196" customFormat="false" ht="29.85" hidden="false" customHeight="false" outlineLevel="0" collapsed="false">
      <c r="A1196" s="15" t="n">
        <v>1195</v>
      </c>
      <c r="B1196" s="9" t="s">
        <v>45</v>
      </c>
      <c r="C1196" s="9" t="s">
        <v>1555</v>
      </c>
      <c r="D1196" s="10" t="s">
        <v>1556</v>
      </c>
      <c r="E1196" s="11" t="s">
        <v>3339</v>
      </c>
      <c r="F1196" s="17"/>
      <c r="G1196" s="12" t="s">
        <v>949</v>
      </c>
      <c r="H1196" s="13" t="n">
        <v>-0.029</v>
      </c>
      <c r="I1196" s="14"/>
      <c r="J1196" s="17"/>
      <c r="K1196" s="9"/>
      <c r="L1196" s="15" t="s">
        <v>50</v>
      </c>
      <c r="M1196" s="16" t="s">
        <v>51</v>
      </c>
      <c r="N1196" s="14"/>
      <c r="O1196" s="15" t="s">
        <v>52</v>
      </c>
      <c r="P1196" s="17" t="s">
        <v>53</v>
      </c>
      <c r="Q1196" s="15"/>
      <c r="R1196" s="18" t="s">
        <v>51</v>
      </c>
      <c r="S1196" s="19"/>
      <c r="T1196" s="17" t="str">
        <f aca="false">IF(R1196="維持",J1196,IF(R1196="排除","無關新聞事件",IFERROR(INDEX(事件規則!$B$2:$B$53,MATCH(S1196,事件規則!$A$2:$A$53,0)),"")))</f>
        <v>無關新聞事件</v>
      </c>
      <c r="U1196" s="20" t="n">
        <f aca="false">IF(R1196="維持",K1196,IF(R1196="排除",0,IFERROR(INDEX(事件規則!$C$2:$C$53,MATCH(S1196,事件規則!$A$2:$A$53,0)),"")))</f>
        <v>0</v>
      </c>
      <c r="V1196" s="21"/>
      <c r="W1196" s="22"/>
      <c r="X1196" s="10" t="str">
        <f aca="false">IF(AND(R1196="修改",S1196=""),"請選新事件代碼",IF(AND(R1196&lt;&gt;"修改",S1196&lt;&gt;""),"只有「修改」才需填代碼",""))</f>
        <v/>
      </c>
      <c r="Y1196" s="21"/>
      <c r="Z1196" s="22"/>
      <c r="AA1196" s="12" t="s">
        <v>3340</v>
      </c>
      <c r="AB1196" s="24"/>
    </row>
    <row r="1197" customFormat="false" ht="29.85" hidden="false" customHeight="false" outlineLevel="0" collapsed="false">
      <c r="A1197" s="15" t="n">
        <v>1196</v>
      </c>
      <c r="B1197" s="9" t="s">
        <v>45</v>
      </c>
      <c r="C1197" s="9" t="s">
        <v>3341</v>
      </c>
      <c r="D1197" s="10" t="s">
        <v>3342</v>
      </c>
      <c r="E1197" s="11" t="s">
        <v>3343</v>
      </c>
      <c r="F1197" s="17"/>
      <c r="G1197" s="12" t="s">
        <v>949</v>
      </c>
      <c r="H1197" s="13" t="n">
        <v>-0.029</v>
      </c>
      <c r="I1197" s="14"/>
      <c r="J1197" s="17"/>
      <c r="K1197" s="9"/>
      <c r="L1197" s="15" t="s">
        <v>50</v>
      </c>
      <c r="M1197" s="16" t="s">
        <v>51</v>
      </c>
      <c r="N1197" s="14"/>
      <c r="O1197" s="15" t="s">
        <v>52</v>
      </c>
      <c r="P1197" s="17" t="s">
        <v>53</v>
      </c>
      <c r="Q1197" s="15"/>
      <c r="R1197" s="18" t="s">
        <v>51</v>
      </c>
      <c r="S1197" s="19"/>
      <c r="T1197" s="17" t="str">
        <f aca="false">IF(R1197="維持",J1197,IF(R1197="排除","無關新聞事件",IFERROR(INDEX(事件規則!$B$2:$B$53,MATCH(S1197,事件規則!$A$2:$A$53,0)),"")))</f>
        <v>無關新聞事件</v>
      </c>
      <c r="U1197" s="20" t="n">
        <f aca="false">IF(R1197="維持",K1197,IF(R1197="排除",0,IFERROR(INDEX(事件規則!$C$2:$C$53,MATCH(S1197,事件規則!$A$2:$A$53,0)),"")))</f>
        <v>0</v>
      </c>
      <c r="V1197" s="21"/>
      <c r="W1197" s="22"/>
      <c r="X1197" s="10" t="str">
        <f aca="false">IF(AND(R1197="修改",S1197=""),"請選新事件代碼",IF(AND(R1197&lt;&gt;"修改",S1197&lt;&gt;""),"只有「修改」才需填代碼",""))</f>
        <v/>
      </c>
      <c r="Y1197" s="21"/>
      <c r="Z1197" s="22"/>
      <c r="AA1197" s="12" t="s">
        <v>3344</v>
      </c>
      <c r="AB1197" s="24"/>
    </row>
    <row r="1198" customFormat="false" ht="29.85" hidden="false" customHeight="false" outlineLevel="0" collapsed="false">
      <c r="A1198" s="15" t="n">
        <v>1197</v>
      </c>
      <c r="B1198" s="9" t="s">
        <v>45</v>
      </c>
      <c r="C1198" s="9" t="s">
        <v>1555</v>
      </c>
      <c r="D1198" s="10" t="s">
        <v>1556</v>
      </c>
      <c r="E1198" s="11" t="s">
        <v>3345</v>
      </c>
      <c r="F1198" s="17"/>
      <c r="G1198" s="12" t="s">
        <v>949</v>
      </c>
      <c r="H1198" s="13" t="n">
        <v>-0.029</v>
      </c>
      <c r="I1198" s="14"/>
      <c r="J1198" s="17"/>
      <c r="K1198" s="9"/>
      <c r="L1198" s="15" t="s">
        <v>50</v>
      </c>
      <c r="M1198" s="16" t="s">
        <v>51</v>
      </c>
      <c r="N1198" s="14"/>
      <c r="O1198" s="15" t="s">
        <v>52</v>
      </c>
      <c r="P1198" s="17" t="s">
        <v>53</v>
      </c>
      <c r="Q1198" s="15"/>
      <c r="R1198" s="18" t="s">
        <v>51</v>
      </c>
      <c r="S1198" s="19"/>
      <c r="T1198" s="17" t="str">
        <f aca="false">IF(R1198="維持",J1198,IF(R1198="排除","無關新聞事件",IFERROR(INDEX(事件規則!$B$2:$B$53,MATCH(S1198,事件規則!$A$2:$A$53,0)),"")))</f>
        <v>無關新聞事件</v>
      </c>
      <c r="U1198" s="20" t="n">
        <f aca="false">IF(R1198="維持",K1198,IF(R1198="排除",0,IFERROR(INDEX(事件規則!$C$2:$C$53,MATCH(S1198,事件規則!$A$2:$A$53,0)),"")))</f>
        <v>0</v>
      </c>
      <c r="V1198" s="21"/>
      <c r="W1198" s="22"/>
      <c r="X1198" s="10" t="str">
        <f aca="false">IF(AND(R1198="修改",S1198=""),"請選新事件代碼",IF(AND(R1198&lt;&gt;"修改",S1198&lt;&gt;""),"只有「修改」才需填代碼",""))</f>
        <v/>
      </c>
      <c r="Y1198" s="21"/>
      <c r="Z1198" s="22"/>
      <c r="AA1198" s="12" t="s">
        <v>3346</v>
      </c>
      <c r="AB1198" s="24"/>
    </row>
    <row r="1199" customFormat="false" ht="29.85" hidden="false" customHeight="false" outlineLevel="0" collapsed="false">
      <c r="A1199" s="15" t="n">
        <v>1198</v>
      </c>
      <c r="B1199" s="9" t="s">
        <v>45</v>
      </c>
      <c r="C1199" s="9" t="s">
        <v>1555</v>
      </c>
      <c r="D1199" s="10" t="s">
        <v>1556</v>
      </c>
      <c r="E1199" s="11" t="s">
        <v>3347</v>
      </c>
      <c r="F1199" s="17"/>
      <c r="G1199" s="12" t="s">
        <v>949</v>
      </c>
      <c r="H1199" s="13" t="n">
        <v>-0.029</v>
      </c>
      <c r="I1199" s="14"/>
      <c r="J1199" s="17"/>
      <c r="K1199" s="9"/>
      <c r="L1199" s="15" t="s">
        <v>50</v>
      </c>
      <c r="M1199" s="16" t="s">
        <v>51</v>
      </c>
      <c r="N1199" s="14"/>
      <c r="O1199" s="15" t="s">
        <v>52</v>
      </c>
      <c r="P1199" s="17" t="s">
        <v>53</v>
      </c>
      <c r="Q1199" s="15"/>
      <c r="R1199" s="18" t="s">
        <v>51</v>
      </c>
      <c r="S1199" s="19"/>
      <c r="T1199" s="17" t="str">
        <f aca="false">IF(R1199="維持",J1199,IF(R1199="排除","無關新聞事件",IFERROR(INDEX(事件規則!$B$2:$B$53,MATCH(S1199,事件規則!$A$2:$A$53,0)),"")))</f>
        <v>無關新聞事件</v>
      </c>
      <c r="U1199" s="20" t="n">
        <f aca="false">IF(R1199="維持",K1199,IF(R1199="排除",0,IFERROR(INDEX(事件規則!$C$2:$C$53,MATCH(S1199,事件規則!$A$2:$A$53,0)),"")))</f>
        <v>0</v>
      </c>
      <c r="V1199" s="21"/>
      <c r="W1199" s="22"/>
      <c r="X1199" s="10" t="str">
        <f aca="false">IF(AND(R1199="修改",S1199=""),"請選新事件代碼",IF(AND(R1199&lt;&gt;"修改",S1199&lt;&gt;""),"只有「修改」才需填代碼",""))</f>
        <v/>
      </c>
      <c r="Y1199" s="21"/>
      <c r="Z1199" s="22"/>
      <c r="AA1199" s="12" t="s">
        <v>3348</v>
      </c>
      <c r="AB1199" s="24"/>
    </row>
    <row r="1200" customFormat="false" ht="29.85" hidden="false" customHeight="false" outlineLevel="0" collapsed="false">
      <c r="A1200" s="15" t="n">
        <v>1199</v>
      </c>
      <c r="B1200" s="9" t="s">
        <v>45</v>
      </c>
      <c r="C1200" s="9" t="s">
        <v>1555</v>
      </c>
      <c r="D1200" s="10" t="s">
        <v>1556</v>
      </c>
      <c r="E1200" s="11" t="s">
        <v>3349</v>
      </c>
      <c r="F1200" s="17"/>
      <c r="G1200" s="12" t="s">
        <v>949</v>
      </c>
      <c r="H1200" s="13" t="n">
        <v>-0.029</v>
      </c>
      <c r="I1200" s="14"/>
      <c r="J1200" s="17"/>
      <c r="K1200" s="9"/>
      <c r="L1200" s="15" t="s">
        <v>50</v>
      </c>
      <c r="M1200" s="16" t="s">
        <v>51</v>
      </c>
      <c r="N1200" s="14"/>
      <c r="O1200" s="15" t="s">
        <v>52</v>
      </c>
      <c r="P1200" s="17" t="s">
        <v>53</v>
      </c>
      <c r="Q1200" s="15"/>
      <c r="R1200" s="18" t="s">
        <v>51</v>
      </c>
      <c r="S1200" s="19"/>
      <c r="T1200" s="17" t="str">
        <f aca="false">IF(R1200="維持",J1200,IF(R1200="排除","無關新聞事件",IFERROR(INDEX(事件規則!$B$2:$B$53,MATCH(S1200,事件規則!$A$2:$A$53,0)),"")))</f>
        <v>無關新聞事件</v>
      </c>
      <c r="U1200" s="20" t="n">
        <f aca="false">IF(R1200="維持",K1200,IF(R1200="排除",0,IFERROR(INDEX(事件規則!$C$2:$C$53,MATCH(S1200,事件規則!$A$2:$A$53,0)),"")))</f>
        <v>0</v>
      </c>
      <c r="V1200" s="21"/>
      <c r="W1200" s="22"/>
      <c r="X1200" s="10" t="str">
        <f aca="false">IF(AND(R1200="修改",S1200=""),"請選新事件代碼",IF(AND(R1200&lt;&gt;"修改",S1200&lt;&gt;""),"只有「修改」才需填代碼",""))</f>
        <v/>
      </c>
      <c r="Y1200" s="21"/>
      <c r="Z1200" s="22"/>
      <c r="AA1200" s="12" t="s">
        <v>3350</v>
      </c>
      <c r="AB1200" s="24"/>
    </row>
    <row r="1201" customFormat="false" ht="29.85" hidden="false" customHeight="false" outlineLevel="0" collapsed="false">
      <c r="A1201" s="15" t="n">
        <v>1200</v>
      </c>
      <c r="B1201" s="9" t="s">
        <v>45</v>
      </c>
      <c r="C1201" s="9" t="s">
        <v>1555</v>
      </c>
      <c r="D1201" s="10" t="s">
        <v>1556</v>
      </c>
      <c r="E1201" s="11" t="s">
        <v>3351</v>
      </c>
      <c r="F1201" s="17"/>
      <c r="G1201" s="12" t="s">
        <v>949</v>
      </c>
      <c r="H1201" s="13" t="n">
        <v>-0.029</v>
      </c>
      <c r="I1201" s="14"/>
      <c r="J1201" s="17"/>
      <c r="K1201" s="9"/>
      <c r="L1201" s="15" t="s">
        <v>50</v>
      </c>
      <c r="M1201" s="16" t="s">
        <v>51</v>
      </c>
      <c r="N1201" s="14"/>
      <c r="O1201" s="15" t="s">
        <v>52</v>
      </c>
      <c r="P1201" s="17" t="s">
        <v>53</v>
      </c>
      <c r="Q1201" s="15"/>
      <c r="R1201" s="18" t="s">
        <v>51</v>
      </c>
      <c r="S1201" s="19"/>
      <c r="T1201" s="17" t="str">
        <f aca="false">IF(R1201="維持",J1201,IF(R1201="排除","無關新聞事件",IFERROR(INDEX(事件規則!$B$2:$B$53,MATCH(S1201,事件規則!$A$2:$A$53,0)),"")))</f>
        <v>無關新聞事件</v>
      </c>
      <c r="U1201" s="20" t="n">
        <f aca="false">IF(R1201="維持",K1201,IF(R1201="排除",0,IFERROR(INDEX(事件規則!$C$2:$C$53,MATCH(S1201,事件規則!$A$2:$A$53,0)),"")))</f>
        <v>0</v>
      </c>
      <c r="V1201" s="21"/>
      <c r="W1201" s="22"/>
      <c r="X1201" s="10" t="str">
        <f aca="false">IF(AND(R1201="修改",S1201=""),"請選新事件代碼",IF(AND(R1201&lt;&gt;"修改",S1201&lt;&gt;""),"只有「修改」才需填代碼",""))</f>
        <v/>
      </c>
      <c r="Y1201" s="21"/>
      <c r="Z1201" s="22"/>
      <c r="AA1201" s="12" t="s">
        <v>3352</v>
      </c>
      <c r="AB1201" s="24"/>
    </row>
    <row r="1202" customFormat="false" ht="29.85" hidden="false" customHeight="false" outlineLevel="0" collapsed="false">
      <c r="A1202" s="15" t="n">
        <v>1201</v>
      </c>
      <c r="B1202" s="9" t="s">
        <v>45</v>
      </c>
      <c r="C1202" s="9" t="s">
        <v>1555</v>
      </c>
      <c r="D1202" s="10" t="s">
        <v>1556</v>
      </c>
      <c r="E1202" s="11" t="s">
        <v>3353</v>
      </c>
      <c r="F1202" s="17"/>
      <c r="G1202" s="12" t="s">
        <v>949</v>
      </c>
      <c r="H1202" s="13" t="n">
        <v>-0.029</v>
      </c>
      <c r="I1202" s="14"/>
      <c r="J1202" s="17"/>
      <c r="K1202" s="9"/>
      <c r="L1202" s="15" t="s">
        <v>50</v>
      </c>
      <c r="M1202" s="16" t="s">
        <v>51</v>
      </c>
      <c r="N1202" s="14"/>
      <c r="O1202" s="15" t="s">
        <v>52</v>
      </c>
      <c r="P1202" s="17" t="s">
        <v>53</v>
      </c>
      <c r="Q1202" s="15"/>
      <c r="R1202" s="18" t="s">
        <v>51</v>
      </c>
      <c r="S1202" s="19"/>
      <c r="T1202" s="17" t="str">
        <f aca="false">IF(R1202="維持",J1202,IF(R1202="排除","無關新聞事件",IFERROR(INDEX(事件規則!$B$2:$B$53,MATCH(S1202,事件規則!$A$2:$A$53,0)),"")))</f>
        <v>無關新聞事件</v>
      </c>
      <c r="U1202" s="20" t="n">
        <f aca="false">IF(R1202="維持",K1202,IF(R1202="排除",0,IFERROR(INDEX(事件規則!$C$2:$C$53,MATCH(S1202,事件規則!$A$2:$A$53,0)),"")))</f>
        <v>0</v>
      </c>
      <c r="V1202" s="21"/>
      <c r="W1202" s="22"/>
      <c r="X1202" s="10" t="str">
        <f aca="false">IF(AND(R1202="修改",S1202=""),"請選新事件代碼",IF(AND(R1202&lt;&gt;"修改",S1202&lt;&gt;""),"只有「修改」才需填代碼",""))</f>
        <v/>
      </c>
      <c r="Y1202" s="21"/>
      <c r="Z1202" s="22"/>
      <c r="AA1202" s="12" t="s">
        <v>3354</v>
      </c>
      <c r="AB1202" s="24"/>
    </row>
    <row r="1203" customFormat="false" ht="29.85" hidden="false" customHeight="false" outlineLevel="0" collapsed="false">
      <c r="A1203" s="15" t="n">
        <v>1202</v>
      </c>
      <c r="B1203" s="9" t="s">
        <v>55</v>
      </c>
      <c r="C1203" s="9" t="s">
        <v>1555</v>
      </c>
      <c r="D1203" s="10" t="s">
        <v>1556</v>
      </c>
      <c r="E1203" s="11" t="s">
        <v>3355</v>
      </c>
      <c r="F1203" s="17"/>
      <c r="G1203" s="12" t="s">
        <v>949</v>
      </c>
      <c r="H1203" s="13" t="n">
        <v>-0.029</v>
      </c>
      <c r="I1203" s="14"/>
      <c r="J1203" s="17"/>
      <c r="K1203" s="9"/>
      <c r="L1203" s="15" t="s">
        <v>50</v>
      </c>
      <c r="M1203" s="16" t="s">
        <v>51</v>
      </c>
      <c r="N1203" s="14"/>
      <c r="O1203" s="15" t="s">
        <v>52</v>
      </c>
      <c r="P1203" s="17" t="s">
        <v>53</v>
      </c>
      <c r="Q1203" s="15"/>
      <c r="R1203" s="18" t="s">
        <v>51</v>
      </c>
      <c r="S1203" s="19"/>
      <c r="T1203" s="17" t="str">
        <f aca="false">IF(R1203="維持",J1203,IF(R1203="排除","無關新聞事件",IFERROR(INDEX(事件規則!$B$2:$B$53,MATCH(S1203,事件規則!$A$2:$A$53,0)),"")))</f>
        <v>無關新聞事件</v>
      </c>
      <c r="U1203" s="20" t="n">
        <f aca="false">IF(R1203="維持",K1203,IF(R1203="排除",0,IFERROR(INDEX(事件規則!$C$2:$C$53,MATCH(S1203,事件規則!$A$2:$A$53,0)),"")))</f>
        <v>0</v>
      </c>
      <c r="V1203" s="21"/>
      <c r="W1203" s="22"/>
      <c r="X1203" s="10" t="str">
        <f aca="false">IF(AND(R1203="修改",S1203=""),"請選新事件代碼",IF(AND(R1203&lt;&gt;"修改",S1203&lt;&gt;""),"只有「修改」才需填代碼",""))</f>
        <v/>
      </c>
      <c r="Y1203" s="21"/>
      <c r="Z1203" s="22"/>
      <c r="AA1203" s="12" t="s">
        <v>3356</v>
      </c>
      <c r="AB1203" s="24"/>
    </row>
    <row r="1204" customFormat="false" ht="29.85" hidden="false" customHeight="false" outlineLevel="0" collapsed="false">
      <c r="A1204" s="15" t="n">
        <v>1203</v>
      </c>
      <c r="B1204" s="9" t="s">
        <v>55</v>
      </c>
      <c r="C1204" s="9" t="s">
        <v>1555</v>
      </c>
      <c r="D1204" s="10" t="s">
        <v>1556</v>
      </c>
      <c r="E1204" s="11" t="s">
        <v>3357</v>
      </c>
      <c r="F1204" s="17"/>
      <c r="G1204" s="12" t="s">
        <v>949</v>
      </c>
      <c r="H1204" s="13" t="n">
        <v>-0.029</v>
      </c>
      <c r="I1204" s="14"/>
      <c r="J1204" s="17"/>
      <c r="K1204" s="9"/>
      <c r="L1204" s="15" t="s">
        <v>50</v>
      </c>
      <c r="M1204" s="16" t="s">
        <v>51</v>
      </c>
      <c r="N1204" s="14"/>
      <c r="O1204" s="15" t="s">
        <v>52</v>
      </c>
      <c r="P1204" s="17" t="s">
        <v>53</v>
      </c>
      <c r="Q1204" s="15"/>
      <c r="R1204" s="18" t="s">
        <v>51</v>
      </c>
      <c r="S1204" s="19"/>
      <c r="T1204" s="17" t="str">
        <f aca="false">IF(R1204="維持",J1204,IF(R1204="排除","無關新聞事件",IFERROR(INDEX(事件規則!$B$2:$B$53,MATCH(S1204,事件規則!$A$2:$A$53,0)),"")))</f>
        <v>無關新聞事件</v>
      </c>
      <c r="U1204" s="20" t="n">
        <f aca="false">IF(R1204="維持",K1204,IF(R1204="排除",0,IFERROR(INDEX(事件規則!$C$2:$C$53,MATCH(S1204,事件規則!$A$2:$A$53,0)),"")))</f>
        <v>0</v>
      </c>
      <c r="V1204" s="21"/>
      <c r="W1204" s="22"/>
      <c r="X1204" s="10" t="str">
        <f aca="false">IF(AND(R1204="修改",S1204=""),"請選新事件代碼",IF(AND(R1204&lt;&gt;"修改",S1204&lt;&gt;""),"只有「修改」才需填代碼",""))</f>
        <v/>
      </c>
      <c r="Y1204" s="21"/>
      <c r="Z1204" s="22"/>
      <c r="AA1204" s="12" t="s">
        <v>3358</v>
      </c>
      <c r="AB1204" s="24"/>
    </row>
    <row r="1205" customFormat="false" ht="29.85" hidden="false" customHeight="false" outlineLevel="0" collapsed="false">
      <c r="A1205" s="15" t="n">
        <v>1204</v>
      </c>
      <c r="B1205" s="9" t="s">
        <v>55</v>
      </c>
      <c r="C1205" s="9" t="s">
        <v>344</v>
      </c>
      <c r="D1205" s="10" t="s">
        <v>345</v>
      </c>
      <c r="E1205" s="11" t="s">
        <v>3359</v>
      </c>
      <c r="F1205" s="17"/>
      <c r="G1205" s="12" t="s">
        <v>949</v>
      </c>
      <c r="H1205" s="13" t="n">
        <v>-0.029</v>
      </c>
      <c r="I1205" s="14"/>
      <c r="J1205" s="17"/>
      <c r="K1205" s="9"/>
      <c r="L1205" s="15" t="s">
        <v>50</v>
      </c>
      <c r="M1205" s="16" t="s">
        <v>51</v>
      </c>
      <c r="N1205" s="14"/>
      <c r="O1205" s="15" t="s">
        <v>52</v>
      </c>
      <c r="P1205" s="17" t="s">
        <v>53</v>
      </c>
      <c r="Q1205" s="15"/>
      <c r="R1205" s="18" t="s">
        <v>51</v>
      </c>
      <c r="S1205" s="19"/>
      <c r="T1205" s="17" t="str">
        <f aca="false">IF(R1205="維持",J1205,IF(R1205="排除","無關新聞事件",IFERROR(INDEX(事件規則!$B$2:$B$53,MATCH(S1205,事件規則!$A$2:$A$53,0)),"")))</f>
        <v>無關新聞事件</v>
      </c>
      <c r="U1205" s="20" t="n">
        <f aca="false">IF(R1205="維持",K1205,IF(R1205="排除",0,IFERROR(INDEX(事件規則!$C$2:$C$53,MATCH(S1205,事件規則!$A$2:$A$53,0)),"")))</f>
        <v>0</v>
      </c>
      <c r="V1205" s="21"/>
      <c r="W1205" s="22"/>
      <c r="X1205" s="10" t="str">
        <f aca="false">IF(AND(R1205="修改",S1205=""),"請選新事件代碼",IF(AND(R1205&lt;&gt;"修改",S1205&lt;&gt;""),"只有「修改」才需填代碼",""))</f>
        <v/>
      </c>
      <c r="Y1205" s="21"/>
      <c r="Z1205" s="22"/>
      <c r="AA1205" s="12" t="s">
        <v>3360</v>
      </c>
      <c r="AB1205" s="24"/>
    </row>
    <row r="1206" customFormat="false" ht="29.85" hidden="false" customHeight="false" outlineLevel="0" collapsed="false">
      <c r="A1206" s="15" t="n">
        <v>1205</v>
      </c>
      <c r="B1206" s="9" t="s">
        <v>55</v>
      </c>
      <c r="C1206" s="9" t="s">
        <v>1555</v>
      </c>
      <c r="D1206" s="10" t="s">
        <v>1556</v>
      </c>
      <c r="E1206" s="11" t="s">
        <v>3361</v>
      </c>
      <c r="F1206" s="17"/>
      <c r="G1206" s="12" t="s">
        <v>949</v>
      </c>
      <c r="H1206" s="13" t="n">
        <v>-0.029</v>
      </c>
      <c r="I1206" s="14"/>
      <c r="J1206" s="17"/>
      <c r="K1206" s="9"/>
      <c r="L1206" s="15" t="s">
        <v>50</v>
      </c>
      <c r="M1206" s="16" t="s">
        <v>51</v>
      </c>
      <c r="N1206" s="14"/>
      <c r="O1206" s="15" t="s">
        <v>52</v>
      </c>
      <c r="P1206" s="17" t="s">
        <v>53</v>
      </c>
      <c r="Q1206" s="15"/>
      <c r="R1206" s="18" t="s">
        <v>51</v>
      </c>
      <c r="S1206" s="19"/>
      <c r="T1206" s="17" t="str">
        <f aca="false">IF(R1206="維持",J1206,IF(R1206="排除","無關新聞事件",IFERROR(INDEX(事件規則!$B$2:$B$53,MATCH(S1206,事件規則!$A$2:$A$53,0)),"")))</f>
        <v>無關新聞事件</v>
      </c>
      <c r="U1206" s="20" t="n">
        <f aca="false">IF(R1206="維持",K1206,IF(R1206="排除",0,IFERROR(INDEX(事件規則!$C$2:$C$53,MATCH(S1206,事件規則!$A$2:$A$53,0)),"")))</f>
        <v>0</v>
      </c>
      <c r="V1206" s="21"/>
      <c r="W1206" s="22"/>
      <c r="X1206" s="10" t="str">
        <f aca="false">IF(AND(R1206="修改",S1206=""),"請選新事件代碼",IF(AND(R1206&lt;&gt;"修改",S1206&lt;&gt;""),"只有「修改」才需填代碼",""))</f>
        <v/>
      </c>
      <c r="Y1206" s="21"/>
      <c r="Z1206" s="22"/>
      <c r="AA1206" s="12" t="s">
        <v>3362</v>
      </c>
      <c r="AB1206" s="24"/>
    </row>
    <row r="1207" customFormat="false" ht="29.85" hidden="false" customHeight="false" outlineLevel="0" collapsed="false">
      <c r="A1207" s="15" t="n">
        <v>1206</v>
      </c>
      <c r="B1207" s="9" t="s">
        <v>55</v>
      </c>
      <c r="C1207" s="9" t="s">
        <v>232</v>
      </c>
      <c r="D1207" s="10" t="s">
        <v>233</v>
      </c>
      <c r="E1207" s="11" t="s">
        <v>3363</v>
      </c>
      <c r="F1207" s="17"/>
      <c r="G1207" s="12" t="s">
        <v>95</v>
      </c>
      <c r="H1207" s="13" t="n">
        <v>-0.029</v>
      </c>
      <c r="I1207" s="14"/>
      <c r="J1207" s="17"/>
      <c r="K1207" s="9"/>
      <c r="L1207" s="15" t="s">
        <v>50</v>
      </c>
      <c r="M1207" s="16" t="s">
        <v>51</v>
      </c>
      <c r="N1207" s="14"/>
      <c r="O1207" s="15" t="s">
        <v>52</v>
      </c>
      <c r="P1207" s="17" t="s">
        <v>53</v>
      </c>
      <c r="Q1207" s="15"/>
      <c r="R1207" s="18" t="s">
        <v>51</v>
      </c>
      <c r="S1207" s="19"/>
      <c r="T1207" s="17" t="str">
        <f aca="false">IF(R1207="維持",J1207,IF(R1207="排除","無關新聞事件",IFERROR(INDEX(事件規則!$B$2:$B$53,MATCH(S1207,事件規則!$A$2:$A$53,0)),"")))</f>
        <v>無關新聞事件</v>
      </c>
      <c r="U1207" s="20" t="n">
        <f aca="false">IF(R1207="維持",K1207,IF(R1207="排除",0,IFERROR(INDEX(事件規則!$C$2:$C$53,MATCH(S1207,事件規則!$A$2:$A$53,0)),"")))</f>
        <v>0</v>
      </c>
      <c r="V1207" s="21"/>
      <c r="W1207" s="22"/>
      <c r="X1207" s="10" t="str">
        <f aca="false">IF(AND(R1207="修改",S1207=""),"請選新事件代碼",IF(AND(R1207&lt;&gt;"修改",S1207&lt;&gt;""),"只有「修改」才需填代碼",""))</f>
        <v/>
      </c>
      <c r="Y1207" s="21"/>
      <c r="Z1207" s="22"/>
      <c r="AA1207" s="12" t="s">
        <v>3364</v>
      </c>
      <c r="AB1207" s="24"/>
    </row>
    <row r="1208" customFormat="false" ht="29.85" hidden="false" customHeight="false" outlineLevel="0" collapsed="false">
      <c r="A1208" s="15" t="n">
        <v>1207</v>
      </c>
      <c r="B1208" s="9" t="s">
        <v>55</v>
      </c>
      <c r="C1208" s="9" t="s">
        <v>1555</v>
      </c>
      <c r="D1208" s="10" t="s">
        <v>1556</v>
      </c>
      <c r="E1208" s="11" t="s">
        <v>3365</v>
      </c>
      <c r="F1208" s="17"/>
      <c r="G1208" s="12" t="s">
        <v>949</v>
      </c>
      <c r="H1208" s="13" t="n">
        <v>-0.029</v>
      </c>
      <c r="I1208" s="14"/>
      <c r="J1208" s="17"/>
      <c r="K1208" s="9"/>
      <c r="L1208" s="15" t="s">
        <v>50</v>
      </c>
      <c r="M1208" s="16" t="s">
        <v>51</v>
      </c>
      <c r="N1208" s="14"/>
      <c r="O1208" s="15" t="s">
        <v>52</v>
      </c>
      <c r="P1208" s="17" t="s">
        <v>53</v>
      </c>
      <c r="Q1208" s="15"/>
      <c r="R1208" s="18" t="s">
        <v>51</v>
      </c>
      <c r="S1208" s="19"/>
      <c r="T1208" s="17" t="str">
        <f aca="false">IF(R1208="維持",J1208,IF(R1208="排除","無關新聞事件",IFERROR(INDEX(事件規則!$B$2:$B$53,MATCH(S1208,事件規則!$A$2:$A$53,0)),"")))</f>
        <v>無關新聞事件</v>
      </c>
      <c r="U1208" s="20" t="n">
        <f aca="false">IF(R1208="維持",K1208,IF(R1208="排除",0,IFERROR(INDEX(事件規則!$C$2:$C$53,MATCH(S1208,事件規則!$A$2:$A$53,0)),"")))</f>
        <v>0</v>
      </c>
      <c r="V1208" s="21"/>
      <c r="W1208" s="22"/>
      <c r="X1208" s="10" t="str">
        <f aca="false">IF(AND(R1208="修改",S1208=""),"請選新事件代碼",IF(AND(R1208&lt;&gt;"修改",S1208&lt;&gt;""),"只有「修改」才需填代碼",""))</f>
        <v/>
      </c>
      <c r="Y1208" s="21"/>
      <c r="Z1208" s="22"/>
      <c r="AA1208" s="12" t="s">
        <v>3366</v>
      </c>
      <c r="AB1208" s="24"/>
    </row>
    <row r="1209" customFormat="false" ht="29.85" hidden="false" customHeight="false" outlineLevel="0" collapsed="false">
      <c r="A1209" s="15" t="n">
        <v>1208</v>
      </c>
      <c r="B1209" s="9" t="s">
        <v>55</v>
      </c>
      <c r="C1209" s="9" t="s">
        <v>92</v>
      </c>
      <c r="D1209" s="10" t="s">
        <v>93</v>
      </c>
      <c r="E1209" s="11" t="s">
        <v>3367</v>
      </c>
      <c r="F1209" s="17"/>
      <c r="G1209" s="12" t="s">
        <v>949</v>
      </c>
      <c r="H1209" s="13" t="n">
        <v>-0.029</v>
      </c>
      <c r="I1209" s="14"/>
      <c r="J1209" s="17"/>
      <c r="K1209" s="9"/>
      <c r="L1209" s="15" t="s">
        <v>50</v>
      </c>
      <c r="M1209" s="16" t="s">
        <v>51</v>
      </c>
      <c r="N1209" s="14"/>
      <c r="O1209" s="15" t="s">
        <v>52</v>
      </c>
      <c r="P1209" s="17" t="s">
        <v>53</v>
      </c>
      <c r="Q1209" s="15"/>
      <c r="R1209" s="18" t="s">
        <v>51</v>
      </c>
      <c r="S1209" s="19"/>
      <c r="T1209" s="17" t="str">
        <f aca="false">IF(R1209="維持",J1209,IF(R1209="排除","無關新聞事件",IFERROR(INDEX(事件規則!$B$2:$B$53,MATCH(S1209,事件規則!$A$2:$A$53,0)),"")))</f>
        <v>無關新聞事件</v>
      </c>
      <c r="U1209" s="20" t="n">
        <f aca="false">IF(R1209="維持",K1209,IF(R1209="排除",0,IFERROR(INDEX(事件規則!$C$2:$C$53,MATCH(S1209,事件規則!$A$2:$A$53,0)),"")))</f>
        <v>0</v>
      </c>
      <c r="V1209" s="21"/>
      <c r="W1209" s="22"/>
      <c r="X1209" s="10" t="str">
        <f aca="false">IF(AND(R1209="修改",S1209=""),"請選新事件代碼",IF(AND(R1209&lt;&gt;"修改",S1209&lt;&gt;""),"只有「修改」才需填代碼",""))</f>
        <v/>
      </c>
      <c r="Y1209" s="21"/>
      <c r="Z1209" s="22"/>
      <c r="AA1209" s="12" t="s">
        <v>3368</v>
      </c>
      <c r="AB1209" s="24"/>
    </row>
    <row r="1210" customFormat="false" ht="29.85" hidden="false" customHeight="false" outlineLevel="0" collapsed="false">
      <c r="A1210" s="15" t="n">
        <v>1209</v>
      </c>
      <c r="B1210" s="9" t="s">
        <v>55</v>
      </c>
      <c r="C1210" s="9" t="s">
        <v>303</v>
      </c>
      <c r="D1210" s="10" t="s">
        <v>304</v>
      </c>
      <c r="E1210" s="11" t="s">
        <v>3369</v>
      </c>
      <c r="F1210" s="17"/>
      <c r="G1210" s="12" t="s">
        <v>121</v>
      </c>
      <c r="H1210" s="13" t="n">
        <v>-0.029</v>
      </c>
      <c r="I1210" s="14"/>
      <c r="J1210" s="17"/>
      <c r="K1210" s="9"/>
      <c r="L1210" s="15" t="s">
        <v>50</v>
      </c>
      <c r="M1210" s="16" t="s">
        <v>51</v>
      </c>
      <c r="N1210" s="14"/>
      <c r="O1210" s="15" t="s">
        <v>52</v>
      </c>
      <c r="P1210" s="17" t="s">
        <v>53</v>
      </c>
      <c r="Q1210" s="15"/>
      <c r="R1210" s="18" t="s">
        <v>51</v>
      </c>
      <c r="S1210" s="19"/>
      <c r="T1210" s="17" t="str">
        <f aca="false">IF(R1210="維持",J1210,IF(R1210="排除","無關新聞事件",IFERROR(INDEX(事件規則!$B$2:$B$53,MATCH(S1210,事件規則!$A$2:$A$53,0)),"")))</f>
        <v>無關新聞事件</v>
      </c>
      <c r="U1210" s="20" t="n">
        <f aca="false">IF(R1210="維持",K1210,IF(R1210="排除",0,IFERROR(INDEX(事件規則!$C$2:$C$53,MATCH(S1210,事件規則!$A$2:$A$53,0)),"")))</f>
        <v>0</v>
      </c>
      <c r="V1210" s="21"/>
      <c r="W1210" s="22"/>
      <c r="X1210" s="10" t="str">
        <f aca="false">IF(AND(R1210="修改",S1210=""),"請選新事件代碼",IF(AND(R1210&lt;&gt;"修改",S1210&lt;&gt;""),"只有「修改」才需填代碼",""))</f>
        <v/>
      </c>
      <c r="Y1210" s="21"/>
      <c r="Z1210" s="22"/>
      <c r="AA1210" s="12" t="s">
        <v>3370</v>
      </c>
      <c r="AB1210" s="24"/>
    </row>
    <row r="1211" customFormat="false" ht="29.85" hidden="false" customHeight="false" outlineLevel="0" collapsed="false">
      <c r="A1211" s="15" t="n">
        <v>1210</v>
      </c>
      <c r="B1211" s="9" t="s">
        <v>55</v>
      </c>
      <c r="C1211" s="9" t="s">
        <v>987</v>
      </c>
      <c r="D1211" s="10" t="s">
        <v>988</v>
      </c>
      <c r="E1211" s="11" t="s">
        <v>3371</v>
      </c>
      <c r="F1211" s="17"/>
      <c r="G1211" s="12" t="s">
        <v>142</v>
      </c>
      <c r="H1211" s="13" t="n">
        <v>-0.029</v>
      </c>
      <c r="I1211" s="14"/>
      <c r="J1211" s="17"/>
      <c r="K1211" s="9"/>
      <c r="L1211" s="15" t="s">
        <v>50</v>
      </c>
      <c r="M1211" s="16" t="s">
        <v>51</v>
      </c>
      <c r="N1211" s="14"/>
      <c r="O1211" s="15" t="s">
        <v>52</v>
      </c>
      <c r="P1211" s="17" t="s">
        <v>53</v>
      </c>
      <c r="Q1211" s="15"/>
      <c r="R1211" s="18" t="s">
        <v>51</v>
      </c>
      <c r="S1211" s="19"/>
      <c r="T1211" s="17" t="str">
        <f aca="false">IF(R1211="維持",J1211,IF(R1211="排除","無關新聞事件",IFERROR(INDEX(事件規則!$B$2:$B$53,MATCH(S1211,事件規則!$A$2:$A$53,0)),"")))</f>
        <v>無關新聞事件</v>
      </c>
      <c r="U1211" s="20" t="n">
        <f aca="false">IF(R1211="維持",K1211,IF(R1211="排除",0,IFERROR(INDEX(事件規則!$C$2:$C$53,MATCH(S1211,事件規則!$A$2:$A$53,0)),"")))</f>
        <v>0</v>
      </c>
      <c r="V1211" s="21"/>
      <c r="W1211" s="22"/>
      <c r="X1211" s="10" t="str">
        <f aca="false">IF(AND(R1211="修改",S1211=""),"請選新事件代碼",IF(AND(R1211&lt;&gt;"修改",S1211&lt;&gt;""),"只有「修改」才需填代碼",""))</f>
        <v/>
      </c>
      <c r="Y1211" s="21"/>
      <c r="Z1211" s="22"/>
      <c r="AA1211" s="12" t="s">
        <v>3372</v>
      </c>
      <c r="AB1211" s="24"/>
    </row>
    <row r="1212" customFormat="false" ht="29.85" hidden="false" customHeight="false" outlineLevel="0" collapsed="false">
      <c r="A1212" s="15" t="n">
        <v>1211</v>
      </c>
      <c r="B1212" s="9" t="s">
        <v>55</v>
      </c>
      <c r="C1212" s="9" t="s">
        <v>3373</v>
      </c>
      <c r="D1212" s="10" t="s">
        <v>3374</v>
      </c>
      <c r="E1212" s="11" t="s">
        <v>3375</v>
      </c>
      <c r="F1212" s="17"/>
      <c r="G1212" s="12" t="s">
        <v>176</v>
      </c>
      <c r="H1212" s="13" t="n">
        <v>-0.029</v>
      </c>
      <c r="I1212" s="14"/>
      <c r="J1212" s="17"/>
      <c r="K1212" s="9"/>
      <c r="L1212" s="15" t="s">
        <v>50</v>
      </c>
      <c r="M1212" s="16" t="s">
        <v>51</v>
      </c>
      <c r="N1212" s="14"/>
      <c r="O1212" s="15" t="s">
        <v>52</v>
      </c>
      <c r="P1212" s="17" t="s">
        <v>53</v>
      </c>
      <c r="Q1212" s="15"/>
      <c r="R1212" s="18" t="s">
        <v>51</v>
      </c>
      <c r="S1212" s="19"/>
      <c r="T1212" s="17" t="str">
        <f aca="false">IF(R1212="維持",J1212,IF(R1212="排除","無關新聞事件",IFERROR(INDEX(事件規則!$B$2:$B$53,MATCH(S1212,事件規則!$A$2:$A$53,0)),"")))</f>
        <v>無關新聞事件</v>
      </c>
      <c r="U1212" s="20" t="n">
        <f aca="false">IF(R1212="維持",K1212,IF(R1212="排除",0,IFERROR(INDEX(事件規則!$C$2:$C$53,MATCH(S1212,事件規則!$A$2:$A$53,0)),"")))</f>
        <v>0</v>
      </c>
      <c r="V1212" s="21"/>
      <c r="W1212" s="22"/>
      <c r="X1212" s="10" t="str">
        <f aca="false">IF(AND(R1212="修改",S1212=""),"請選新事件代碼",IF(AND(R1212&lt;&gt;"修改",S1212&lt;&gt;""),"只有「修改」才需填代碼",""))</f>
        <v/>
      </c>
      <c r="Y1212" s="21"/>
      <c r="Z1212" s="22"/>
      <c r="AA1212" s="12" t="s">
        <v>3376</v>
      </c>
      <c r="AB1212" s="24"/>
    </row>
    <row r="1213" customFormat="false" ht="29.85" hidden="false" customHeight="false" outlineLevel="0" collapsed="false">
      <c r="A1213" s="15" t="n">
        <v>1212</v>
      </c>
      <c r="B1213" s="9" t="s">
        <v>45</v>
      </c>
      <c r="C1213" s="9" t="s">
        <v>1555</v>
      </c>
      <c r="D1213" s="10" t="s">
        <v>1556</v>
      </c>
      <c r="E1213" s="11" t="s">
        <v>3377</v>
      </c>
      <c r="F1213" s="17"/>
      <c r="G1213" s="12" t="s">
        <v>949</v>
      </c>
      <c r="H1213" s="13" t="n">
        <v>-0.029</v>
      </c>
      <c r="I1213" s="14"/>
      <c r="J1213" s="17"/>
      <c r="K1213" s="9"/>
      <c r="L1213" s="15" t="s">
        <v>50</v>
      </c>
      <c r="M1213" s="16" t="s">
        <v>51</v>
      </c>
      <c r="N1213" s="14"/>
      <c r="O1213" s="15" t="s">
        <v>52</v>
      </c>
      <c r="P1213" s="17" t="s">
        <v>53</v>
      </c>
      <c r="Q1213" s="15"/>
      <c r="R1213" s="18" t="s">
        <v>51</v>
      </c>
      <c r="S1213" s="19"/>
      <c r="T1213" s="17" t="str">
        <f aca="false">IF(R1213="維持",J1213,IF(R1213="排除","無關新聞事件",IFERROR(INDEX(事件規則!$B$2:$B$53,MATCH(S1213,事件規則!$A$2:$A$53,0)),"")))</f>
        <v>無關新聞事件</v>
      </c>
      <c r="U1213" s="20" t="n">
        <f aca="false">IF(R1213="維持",K1213,IF(R1213="排除",0,IFERROR(INDEX(事件規則!$C$2:$C$53,MATCH(S1213,事件規則!$A$2:$A$53,0)),"")))</f>
        <v>0</v>
      </c>
      <c r="V1213" s="21"/>
      <c r="W1213" s="22"/>
      <c r="X1213" s="10" t="str">
        <f aca="false">IF(AND(R1213="修改",S1213=""),"請選新事件代碼",IF(AND(R1213&lt;&gt;"修改",S1213&lt;&gt;""),"只有「修改」才需填代碼",""))</f>
        <v/>
      </c>
      <c r="Y1213" s="21"/>
      <c r="Z1213" s="22"/>
      <c r="AA1213" s="12" t="s">
        <v>3378</v>
      </c>
      <c r="AB1213" s="24"/>
    </row>
    <row r="1214" customFormat="false" ht="29.85" hidden="false" customHeight="false" outlineLevel="0" collapsed="false">
      <c r="A1214" s="15" t="n">
        <v>1213</v>
      </c>
      <c r="B1214" s="9" t="s">
        <v>81</v>
      </c>
      <c r="C1214" s="9" t="s">
        <v>716</v>
      </c>
      <c r="D1214" s="10" t="s">
        <v>717</v>
      </c>
      <c r="E1214" s="11" t="s">
        <v>3379</v>
      </c>
      <c r="F1214" s="17"/>
      <c r="G1214" s="12" t="s">
        <v>949</v>
      </c>
      <c r="H1214" s="13" t="n">
        <v>-0.029</v>
      </c>
      <c r="I1214" s="14"/>
      <c r="J1214" s="17"/>
      <c r="K1214" s="9"/>
      <c r="L1214" s="15" t="s">
        <v>50</v>
      </c>
      <c r="M1214" s="16" t="s">
        <v>51</v>
      </c>
      <c r="N1214" s="14"/>
      <c r="O1214" s="15" t="s">
        <v>52</v>
      </c>
      <c r="P1214" s="17" t="s">
        <v>53</v>
      </c>
      <c r="Q1214" s="15"/>
      <c r="R1214" s="18" t="s">
        <v>51</v>
      </c>
      <c r="S1214" s="19"/>
      <c r="T1214" s="17" t="str">
        <f aca="false">IF(R1214="維持",J1214,IF(R1214="排除","無關新聞事件",IFERROR(INDEX(事件規則!$B$2:$B$53,MATCH(S1214,事件規則!$A$2:$A$53,0)),"")))</f>
        <v>無關新聞事件</v>
      </c>
      <c r="U1214" s="20" t="n">
        <f aca="false">IF(R1214="維持",K1214,IF(R1214="排除",0,IFERROR(INDEX(事件規則!$C$2:$C$53,MATCH(S1214,事件規則!$A$2:$A$53,0)),"")))</f>
        <v>0</v>
      </c>
      <c r="V1214" s="21"/>
      <c r="W1214" s="22"/>
      <c r="X1214" s="10" t="str">
        <f aca="false">IF(AND(R1214="修改",S1214=""),"請選新事件代碼",IF(AND(R1214&lt;&gt;"修改",S1214&lt;&gt;""),"只有「修改」才需填代碼",""))</f>
        <v/>
      </c>
      <c r="Y1214" s="21"/>
      <c r="Z1214" s="22"/>
      <c r="AA1214" s="12" t="s">
        <v>3380</v>
      </c>
      <c r="AB1214" s="24"/>
    </row>
    <row r="1215" customFormat="false" ht="29.85" hidden="false" customHeight="false" outlineLevel="0" collapsed="false">
      <c r="A1215" s="15" t="n">
        <v>1214</v>
      </c>
      <c r="B1215" s="9" t="s">
        <v>81</v>
      </c>
      <c r="C1215" s="9" t="s">
        <v>250</v>
      </c>
      <c r="D1215" s="10" t="s">
        <v>251</v>
      </c>
      <c r="E1215" s="11" t="s">
        <v>3381</v>
      </c>
      <c r="F1215" s="17"/>
      <c r="G1215" s="12" t="s">
        <v>176</v>
      </c>
      <c r="H1215" s="13" t="n">
        <v>-0.029</v>
      </c>
      <c r="I1215" s="14"/>
      <c r="J1215" s="17"/>
      <c r="K1215" s="9"/>
      <c r="L1215" s="15" t="s">
        <v>50</v>
      </c>
      <c r="M1215" s="16" t="s">
        <v>51</v>
      </c>
      <c r="N1215" s="14"/>
      <c r="O1215" s="15" t="s">
        <v>52</v>
      </c>
      <c r="P1215" s="17" t="s">
        <v>53</v>
      </c>
      <c r="Q1215" s="15"/>
      <c r="R1215" s="18" t="s">
        <v>51</v>
      </c>
      <c r="S1215" s="19"/>
      <c r="T1215" s="17" t="str">
        <f aca="false">IF(R1215="維持",J1215,IF(R1215="排除","無關新聞事件",IFERROR(INDEX(事件規則!$B$2:$B$53,MATCH(S1215,事件規則!$A$2:$A$53,0)),"")))</f>
        <v>無關新聞事件</v>
      </c>
      <c r="U1215" s="20" t="n">
        <f aca="false">IF(R1215="維持",K1215,IF(R1215="排除",0,IFERROR(INDEX(事件規則!$C$2:$C$53,MATCH(S1215,事件規則!$A$2:$A$53,0)),"")))</f>
        <v>0</v>
      </c>
      <c r="V1215" s="21"/>
      <c r="W1215" s="22"/>
      <c r="X1215" s="10" t="str">
        <f aca="false">IF(AND(R1215="修改",S1215=""),"請選新事件代碼",IF(AND(R1215&lt;&gt;"修改",S1215&lt;&gt;""),"只有「修改」才需填代碼",""))</f>
        <v/>
      </c>
      <c r="Y1215" s="21"/>
      <c r="Z1215" s="22"/>
      <c r="AA1215" s="12" t="s">
        <v>3382</v>
      </c>
      <c r="AB1215" s="24"/>
    </row>
    <row r="1216" customFormat="false" ht="29.85" hidden="false" customHeight="false" outlineLevel="0" collapsed="false">
      <c r="A1216" s="15" t="n">
        <v>1215</v>
      </c>
      <c r="B1216" s="9" t="s">
        <v>81</v>
      </c>
      <c r="C1216" s="9" t="s">
        <v>299</v>
      </c>
      <c r="D1216" s="10" t="s">
        <v>300</v>
      </c>
      <c r="E1216" s="11" t="s">
        <v>3383</v>
      </c>
      <c r="F1216" s="17"/>
      <c r="G1216" s="12" t="s">
        <v>105</v>
      </c>
      <c r="H1216" s="13" t="n">
        <v>-0.029</v>
      </c>
      <c r="I1216" s="14"/>
      <c r="J1216" s="17"/>
      <c r="K1216" s="9"/>
      <c r="L1216" s="15" t="s">
        <v>50</v>
      </c>
      <c r="M1216" s="16" t="s">
        <v>51</v>
      </c>
      <c r="N1216" s="14"/>
      <c r="O1216" s="15" t="s">
        <v>52</v>
      </c>
      <c r="P1216" s="17" t="s">
        <v>53</v>
      </c>
      <c r="Q1216" s="15"/>
      <c r="R1216" s="18" t="s">
        <v>51</v>
      </c>
      <c r="S1216" s="19"/>
      <c r="T1216" s="17" t="str">
        <f aca="false">IF(R1216="維持",J1216,IF(R1216="排除","無關新聞事件",IFERROR(INDEX(事件規則!$B$2:$B$53,MATCH(S1216,事件規則!$A$2:$A$53,0)),"")))</f>
        <v>無關新聞事件</v>
      </c>
      <c r="U1216" s="20" t="n">
        <f aca="false">IF(R1216="維持",K1216,IF(R1216="排除",0,IFERROR(INDEX(事件規則!$C$2:$C$53,MATCH(S1216,事件規則!$A$2:$A$53,0)),"")))</f>
        <v>0</v>
      </c>
      <c r="V1216" s="21"/>
      <c r="W1216" s="22"/>
      <c r="X1216" s="10" t="str">
        <f aca="false">IF(AND(R1216="修改",S1216=""),"請選新事件代碼",IF(AND(R1216&lt;&gt;"修改",S1216&lt;&gt;""),"只有「修改」才需填代碼",""))</f>
        <v/>
      </c>
      <c r="Y1216" s="21"/>
      <c r="Z1216" s="22"/>
      <c r="AA1216" s="12" t="s">
        <v>3384</v>
      </c>
      <c r="AB1216" s="24"/>
    </row>
    <row r="1217" customFormat="false" ht="29.85" hidden="false" customHeight="false" outlineLevel="0" collapsed="false">
      <c r="A1217" s="15" t="n">
        <v>1216</v>
      </c>
      <c r="B1217" s="9" t="s">
        <v>55</v>
      </c>
      <c r="C1217" s="9" t="s">
        <v>188</v>
      </c>
      <c r="D1217" s="10" t="s">
        <v>189</v>
      </c>
      <c r="E1217" s="11" t="s">
        <v>3385</v>
      </c>
      <c r="F1217" s="17"/>
      <c r="G1217" s="12" t="s">
        <v>105</v>
      </c>
      <c r="H1217" s="13" t="n">
        <v>-0.029</v>
      </c>
      <c r="I1217" s="14"/>
      <c r="J1217" s="17"/>
      <c r="K1217" s="9"/>
      <c r="L1217" s="15" t="s">
        <v>50</v>
      </c>
      <c r="M1217" s="16" t="s">
        <v>51</v>
      </c>
      <c r="N1217" s="14"/>
      <c r="O1217" s="15" t="s">
        <v>52</v>
      </c>
      <c r="P1217" s="17" t="s">
        <v>53</v>
      </c>
      <c r="Q1217" s="15"/>
      <c r="R1217" s="18" t="s">
        <v>51</v>
      </c>
      <c r="S1217" s="19"/>
      <c r="T1217" s="17" t="str">
        <f aca="false">IF(R1217="維持",J1217,IF(R1217="排除","無關新聞事件",IFERROR(INDEX(事件規則!$B$2:$B$53,MATCH(S1217,事件規則!$A$2:$A$53,0)),"")))</f>
        <v>無關新聞事件</v>
      </c>
      <c r="U1217" s="20" t="n">
        <f aca="false">IF(R1217="維持",K1217,IF(R1217="排除",0,IFERROR(INDEX(事件規則!$C$2:$C$53,MATCH(S1217,事件規則!$A$2:$A$53,0)),"")))</f>
        <v>0</v>
      </c>
      <c r="V1217" s="21"/>
      <c r="W1217" s="22"/>
      <c r="X1217" s="10" t="str">
        <f aca="false">IF(AND(R1217="修改",S1217=""),"請選新事件代碼",IF(AND(R1217&lt;&gt;"修改",S1217&lt;&gt;""),"只有「修改」才需填代碼",""))</f>
        <v/>
      </c>
      <c r="Y1217" s="21"/>
      <c r="Z1217" s="22"/>
      <c r="AA1217" s="12" t="s">
        <v>3386</v>
      </c>
      <c r="AB1217" s="24"/>
    </row>
    <row r="1218" customFormat="false" ht="29.85" hidden="false" customHeight="false" outlineLevel="0" collapsed="false">
      <c r="A1218" s="15" t="n">
        <v>1217</v>
      </c>
      <c r="B1218" s="9" t="s">
        <v>112</v>
      </c>
      <c r="C1218" s="9" t="s">
        <v>2508</v>
      </c>
      <c r="D1218" s="10" t="s">
        <v>2509</v>
      </c>
      <c r="E1218" s="11" t="s">
        <v>3387</v>
      </c>
      <c r="F1218" s="17"/>
      <c r="G1218" s="12" t="s">
        <v>949</v>
      </c>
      <c r="H1218" s="13" t="n">
        <v>-0.029</v>
      </c>
      <c r="I1218" s="14"/>
      <c r="J1218" s="17"/>
      <c r="K1218" s="9"/>
      <c r="L1218" s="15" t="s">
        <v>50</v>
      </c>
      <c r="M1218" s="16" t="s">
        <v>51</v>
      </c>
      <c r="N1218" s="14"/>
      <c r="O1218" s="15" t="s">
        <v>52</v>
      </c>
      <c r="P1218" s="17" t="s">
        <v>53</v>
      </c>
      <c r="Q1218" s="15"/>
      <c r="R1218" s="18" t="s">
        <v>51</v>
      </c>
      <c r="S1218" s="19"/>
      <c r="T1218" s="17" t="str">
        <f aca="false">IF(R1218="維持",J1218,IF(R1218="排除","無關新聞事件",IFERROR(INDEX(事件規則!$B$2:$B$53,MATCH(S1218,事件規則!$A$2:$A$53,0)),"")))</f>
        <v>無關新聞事件</v>
      </c>
      <c r="U1218" s="20" t="n">
        <f aca="false">IF(R1218="維持",K1218,IF(R1218="排除",0,IFERROR(INDEX(事件規則!$C$2:$C$53,MATCH(S1218,事件規則!$A$2:$A$53,0)),"")))</f>
        <v>0</v>
      </c>
      <c r="V1218" s="21"/>
      <c r="W1218" s="22"/>
      <c r="X1218" s="10" t="str">
        <f aca="false">IF(AND(R1218="修改",S1218=""),"請選新事件代碼",IF(AND(R1218&lt;&gt;"修改",S1218&lt;&gt;""),"只有「修改」才需填代碼",""))</f>
        <v/>
      </c>
      <c r="Y1218" s="21"/>
      <c r="Z1218" s="22"/>
      <c r="AA1218" s="12" t="s">
        <v>3388</v>
      </c>
      <c r="AB1218" s="24"/>
    </row>
    <row r="1219" customFormat="false" ht="29.85" hidden="false" customHeight="false" outlineLevel="0" collapsed="false">
      <c r="A1219" s="15" t="n">
        <v>1218</v>
      </c>
      <c r="B1219" s="9" t="s">
        <v>112</v>
      </c>
      <c r="C1219" s="9" t="s">
        <v>563</v>
      </c>
      <c r="D1219" s="10" t="s">
        <v>564</v>
      </c>
      <c r="E1219" s="11" t="s">
        <v>3389</v>
      </c>
      <c r="F1219" s="17"/>
      <c r="G1219" s="12" t="s">
        <v>105</v>
      </c>
      <c r="H1219" s="13" t="n">
        <v>-0.029</v>
      </c>
      <c r="I1219" s="14"/>
      <c r="J1219" s="17"/>
      <c r="K1219" s="9"/>
      <c r="L1219" s="15" t="s">
        <v>50</v>
      </c>
      <c r="M1219" s="16" t="s">
        <v>51</v>
      </c>
      <c r="N1219" s="14"/>
      <c r="O1219" s="15" t="s">
        <v>52</v>
      </c>
      <c r="P1219" s="17" t="s">
        <v>53</v>
      </c>
      <c r="Q1219" s="15"/>
      <c r="R1219" s="18" t="s">
        <v>51</v>
      </c>
      <c r="S1219" s="19"/>
      <c r="T1219" s="17" t="str">
        <f aca="false">IF(R1219="維持",J1219,IF(R1219="排除","無關新聞事件",IFERROR(INDEX(事件規則!$B$2:$B$53,MATCH(S1219,事件規則!$A$2:$A$53,0)),"")))</f>
        <v>無關新聞事件</v>
      </c>
      <c r="U1219" s="20" t="n">
        <f aca="false">IF(R1219="維持",K1219,IF(R1219="排除",0,IFERROR(INDEX(事件規則!$C$2:$C$53,MATCH(S1219,事件規則!$A$2:$A$53,0)),"")))</f>
        <v>0</v>
      </c>
      <c r="V1219" s="21"/>
      <c r="W1219" s="22"/>
      <c r="X1219" s="10" t="str">
        <f aca="false">IF(AND(R1219="修改",S1219=""),"請選新事件代碼",IF(AND(R1219&lt;&gt;"修改",S1219&lt;&gt;""),"只有「修改」才需填代碼",""))</f>
        <v/>
      </c>
      <c r="Y1219" s="21"/>
      <c r="Z1219" s="22"/>
      <c r="AA1219" s="12" t="s">
        <v>3390</v>
      </c>
      <c r="AB1219" s="24"/>
    </row>
    <row r="1220" customFormat="false" ht="29.85" hidden="false" customHeight="false" outlineLevel="0" collapsed="false">
      <c r="A1220" s="15" t="n">
        <v>1219</v>
      </c>
      <c r="B1220" s="9" t="s">
        <v>45</v>
      </c>
      <c r="C1220" s="9" t="s">
        <v>1555</v>
      </c>
      <c r="D1220" s="10" t="s">
        <v>1556</v>
      </c>
      <c r="E1220" s="11" t="s">
        <v>3391</v>
      </c>
      <c r="F1220" s="17"/>
      <c r="G1220" s="12" t="s">
        <v>949</v>
      </c>
      <c r="H1220" s="13" t="n">
        <v>-0.029</v>
      </c>
      <c r="I1220" s="14"/>
      <c r="J1220" s="17"/>
      <c r="K1220" s="9"/>
      <c r="L1220" s="15" t="s">
        <v>50</v>
      </c>
      <c r="M1220" s="16" t="s">
        <v>51</v>
      </c>
      <c r="N1220" s="14"/>
      <c r="O1220" s="15" t="s">
        <v>52</v>
      </c>
      <c r="P1220" s="17" t="s">
        <v>53</v>
      </c>
      <c r="Q1220" s="15"/>
      <c r="R1220" s="18" t="s">
        <v>51</v>
      </c>
      <c r="S1220" s="19"/>
      <c r="T1220" s="17" t="str">
        <f aca="false">IF(R1220="維持",J1220,IF(R1220="排除","無關新聞事件",IFERROR(INDEX(事件規則!$B$2:$B$53,MATCH(S1220,事件規則!$A$2:$A$53,0)),"")))</f>
        <v>無關新聞事件</v>
      </c>
      <c r="U1220" s="20" t="n">
        <f aca="false">IF(R1220="維持",K1220,IF(R1220="排除",0,IFERROR(INDEX(事件規則!$C$2:$C$53,MATCH(S1220,事件規則!$A$2:$A$53,0)),"")))</f>
        <v>0</v>
      </c>
      <c r="V1220" s="21"/>
      <c r="W1220" s="22"/>
      <c r="X1220" s="10" t="str">
        <f aca="false">IF(AND(R1220="修改",S1220=""),"請選新事件代碼",IF(AND(R1220&lt;&gt;"修改",S1220&lt;&gt;""),"只有「修改」才需填代碼",""))</f>
        <v/>
      </c>
      <c r="Y1220" s="21"/>
      <c r="Z1220" s="22"/>
      <c r="AA1220" s="12" t="s">
        <v>3392</v>
      </c>
      <c r="AB1220" s="24"/>
    </row>
    <row r="1221" customFormat="false" ht="29.85" hidden="false" customHeight="false" outlineLevel="0" collapsed="false">
      <c r="A1221" s="15" t="n">
        <v>1220</v>
      </c>
      <c r="B1221" s="9" t="s">
        <v>81</v>
      </c>
      <c r="C1221" s="9" t="s">
        <v>524</v>
      </c>
      <c r="D1221" s="10" t="s">
        <v>525</v>
      </c>
      <c r="E1221" s="11" t="s">
        <v>3393</v>
      </c>
      <c r="F1221" s="17"/>
      <c r="G1221" s="12" t="s">
        <v>949</v>
      </c>
      <c r="H1221" s="13" t="n">
        <v>-0.029</v>
      </c>
      <c r="I1221" s="14"/>
      <c r="J1221" s="17"/>
      <c r="K1221" s="9"/>
      <c r="L1221" s="15" t="s">
        <v>50</v>
      </c>
      <c r="M1221" s="16" t="s">
        <v>51</v>
      </c>
      <c r="N1221" s="14"/>
      <c r="O1221" s="15" t="s">
        <v>52</v>
      </c>
      <c r="P1221" s="17" t="s">
        <v>53</v>
      </c>
      <c r="Q1221" s="15"/>
      <c r="R1221" s="18" t="s">
        <v>51</v>
      </c>
      <c r="S1221" s="19"/>
      <c r="T1221" s="17" t="str">
        <f aca="false">IF(R1221="維持",J1221,IF(R1221="排除","無關新聞事件",IFERROR(INDEX(事件規則!$B$2:$B$53,MATCH(S1221,事件規則!$A$2:$A$53,0)),"")))</f>
        <v>無關新聞事件</v>
      </c>
      <c r="U1221" s="20" t="n">
        <f aca="false">IF(R1221="維持",K1221,IF(R1221="排除",0,IFERROR(INDEX(事件規則!$C$2:$C$53,MATCH(S1221,事件規則!$A$2:$A$53,0)),"")))</f>
        <v>0</v>
      </c>
      <c r="V1221" s="21"/>
      <c r="W1221" s="22"/>
      <c r="X1221" s="10" t="str">
        <f aca="false">IF(AND(R1221="修改",S1221=""),"請選新事件代碼",IF(AND(R1221&lt;&gt;"修改",S1221&lt;&gt;""),"只有「修改」才需填代碼",""))</f>
        <v/>
      </c>
      <c r="Y1221" s="21"/>
      <c r="Z1221" s="22"/>
      <c r="AA1221" s="12" t="s">
        <v>3394</v>
      </c>
      <c r="AB1221" s="24"/>
    </row>
    <row r="1222" customFormat="false" ht="29.85" hidden="false" customHeight="false" outlineLevel="0" collapsed="false">
      <c r="A1222" s="15" t="n">
        <v>1221</v>
      </c>
      <c r="B1222" s="9" t="s">
        <v>112</v>
      </c>
      <c r="C1222" s="9" t="s">
        <v>3117</v>
      </c>
      <c r="D1222" s="10" t="s">
        <v>3118</v>
      </c>
      <c r="E1222" s="11" t="s">
        <v>3395</v>
      </c>
      <c r="F1222" s="17"/>
      <c r="G1222" s="12" t="s">
        <v>949</v>
      </c>
      <c r="H1222" s="13" t="n">
        <v>-0.029</v>
      </c>
      <c r="I1222" s="14"/>
      <c r="J1222" s="17"/>
      <c r="K1222" s="9"/>
      <c r="L1222" s="15" t="s">
        <v>50</v>
      </c>
      <c r="M1222" s="16" t="s">
        <v>51</v>
      </c>
      <c r="N1222" s="14"/>
      <c r="O1222" s="15" t="s">
        <v>52</v>
      </c>
      <c r="P1222" s="17" t="s">
        <v>53</v>
      </c>
      <c r="Q1222" s="15"/>
      <c r="R1222" s="18" t="s">
        <v>51</v>
      </c>
      <c r="S1222" s="19"/>
      <c r="T1222" s="17" t="str">
        <f aca="false">IF(R1222="維持",J1222,IF(R1222="排除","無關新聞事件",IFERROR(INDEX(事件規則!$B$2:$B$53,MATCH(S1222,事件規則!$A$2:$A$53,0)),"")))</f>
        <v>無關新聞事件</v>
      </c>
      <c r="U1222" s="20" t="n">
        <f aca="false">IF(R1222="維持",K1222,IF(R1222="排除",0,IFERROR(INDEX(事件規則!$C$2:$C$53,MATCH(S1222,事件規則!$A$2:$A$53,0)),"")))</f>
        <v>0</v>
      </c>
      <c r="V1222" s="21"/>
      <c r="W1222" s="22"/>
      <c r="X1222" s="10" t="str">
        <f aca="false">IF(AND(R1222="修改",S1222=""),"請選新事件代碼",IF(AND(R1222&lt;&gt;"修改",S1222&lt;&gt;""),"只有「修改」才需填代碼",""))</f>
        <v/>
      </c>
      <c r="Y1222" s="21"/>
      <c r="Z1222" s="22"/>
      <c r="AA1222" s="12" t="s">
        <v>3396</v>
      </c>
      <c r="AB1222" s="24"/>
    </row>
    <row r="1223" customFormat="false" ht="29.85" hidden="false" customHeight="false" outlineLevel="0" collapsed="false">
      <c r="A1223" s="15" t="n">
        <v>1222</v>
      </c>
      <c r="B1223" s="9" t="s">
        <v>112</v>
      </c>
      <c r="C1223" s="9" t="s">
        <v>580</v>
      </c>
      <c r="D1223" s="10" t="s">
        <v>581</v>
      </c>
      <c r="E1223" s="11" t="s">
        <v>3397</v>
      </c>
      <c r="F1223" s="17"/>
      <c r="G1223" s="12" t="s">
        <v>949</v>
      </c>
      <c r="H1223" s="13" t="n">
        <v>-0.029</v>
      </c>
      <c r="I1223" s="14"/>
      <c r="J1223" s="17"/>
      <c r="K1223" s="9"/>
      <c r="L1223" s="15" t="s">
        <v>50</v>
      </c>
      <c r="M1223" s="16" t="s">
        <v>51</v>
      </c>
      <c r="N1223" s="14"/>
      <c r="O1223" s="15" t="s">
        <v>52</v>
      </c>
      <c r="P1223" s="17" t="s">
        <v>53</v>
      </c>
      <c r="Q1223" s="15"/>
      <c r="R1223" s="18" t="s">
        <v>51</v>
      </c>
      <c r="S1223" s="19"/>
      <c r="T1223" s="17" t="str">
        <f aca="false">IF(R1223="維持",J1223,IF(R1223="排除","無關新聞事件",IFERROR(INDEX(事件規則!$B$2:$B$53,MATCH(S1223,事件規則!$A$2:$A$53,0)),"")))</f>
        <v>無關新聞事件</v>
      </c>
      <c r="U1223" s="20" t="n">
        <f aca="false">IF(R1223="維持",K1223,IF(R1223="排除",0,IFERROR(INDEX(事件規則!$C$2:$C$53,MATCH(S1223,事件規則!$A$2:$A$53,0)),"")))</f>
        <v>0</v>
      </c>
      <c r="V1223" s="21"/>
      <c r="W1223" s="22"/>
      <c r="X1223" s="10" t="str">
        <f aca="false">IF(AND(R1223="修改",S1223=""),"請選新事件代碼",IF(AND(R1223&lt;&gt;"修改",S1223&lt;&gt;""),"只有「修改」才需填代碼",""))</f>
        <v/>
      </c>
      <c r="Y1223" s="21"/>
      <c r="Z1223" s="22"/>
      <c r="AA1223" s="12" t="s">
        <v>3398</v>
      </c>
      <c r="AB1223" s="24"/>
    </row>
    <row r="1224" customFormat="false" ht="29.85" hidden="false" customHeight="false" outlineLevel="0" collapsed="false">
      <c r="A1224" s="15" t="n">
        <v>1223</v>
      </c>
      <c r="B1224" s="9" t="s">
        <v>112</v>
      </c>
      <c r="C1224" s="9" t="s">
        <v>156</v>
      </c>
      <c r="D1224" s="10" t="s">
        <v>157</v>
      </c>
      <c r="E1224" s="11" t="s">
        <v>3399</v>
      </c>
      <c r="F1224" s="17"/>
      <c r="G1224" s="12" t="s">
        <v>949</v>
      </c>
      <c r="H1224" s="13" t="n">
        <v>-0.029</v>
      </c>
      <c r="I1224" s="14"/>
      <c r="J1224" s="17"/>
      <c r="K1224" s="9"/>
      <c r="L1224" s="15" t="s">
        <v>50</v>
      </c>
      <c r="M1224" s="16" t="s">
        <v>51</v>
      </c>
      <c r="N1224" s="14"/>
      <c r="O1224" s="15" t="s">
        <v>52</v>
      </c>
      <c r="P1224" s="17" t="s">
        <v>53</v>
      </c>
      <c r="Q1224" s="15"/>
      <c r="R1224" s="18" t="s">
        <v>51</v>
      </c>
      <c r="S1224" s="19"/>
      <c r="T1224" s="17" t="str">
        <f aca="false">IF(R1224="維持",J1224,IF(R1224="排除","無關新聞事件",IFERROR(INDEX(事件規則!$B$2:$B$53,MATCH(S1224,事件規則!$A$2:$A$53,0)),"")))</f>
        <v>無關新聞事件</v>
      </c>
      <c r="U1224" s="20" t="n">
        <f aca="false">IF(R1224="維持",K1224,IF(R1224="排除",0,IFERROR(INDEX(事件規則!$C$2:$C$53,MATCH(S1224,事件規則!$A$2:$A$53,0)),"")))</f>
        <v>0</v>
      </c>
      <c r="V1224" s="21"/>
      <c r="W1224" s="22"/>
      <c r="X1224" s="10" t="str">
        <f aca="false">IF(AND(R1224="修改",S1224=""),"請選新事件代碼",IF(AND(R1224&lt;&gt;"修改",S1224&lt;&gt;""),"只有「修改」才需填代碼",""))</f>
        <v/>
      </c>
      <c r="Y1224" s="21"/>
      <c r="Z1224" s="22"/>
      <c r="AA1224" s="12" t="s">
        <v>3400</v>
      </c>
      <c r="AB1224" s="24"/>
    </row>
    <row r="1225" customFormat="false" ht="29.85" hidden="false" customHeight="false" outlineLevel="0" collapsed="false">
      <c r="A1225" s="15" t="n">
        <v>1224</v>
      </c>
      <c r="B1225" s="9" t="s">
        <v>112</v>
      </c>
      <c r="C1225" s="9" t="s">
        <v>2598</v>
      </c>
      <c r="D1225" s="10" t="s">
        <v>2599</v>
      </c>
      <c r="E1225" s="11" t="s">
        <v>3401</v>
      </c>
      <c r="F1225" s="17"/>
      <c r="G1225" s="12" t="s">
        <v>949</v>
      </c>
      <c r="H1225" s="13" t="n">
        <v>-0.029</v>
      </c>
      <c r="I1225" s="14"/>
      <c r="J1225" s="17"/>
      <c r="K1225" s="9"/>
      <c r="L1225" s="15" t="s">
        <v>50</v>
      </c>
      <c r="M1225" s="16" t="s">
        <v>51</v>
      </c>
      <c r="N1225" s="14"/>
      <c r="O1225" s="15" t="s">
        <v>52</v>
      </c>
      <c r="P1225" s="17" t="s">
        <v>53</v>
      </c>
      <c r="Q1225" s="15"/>
      <c r="R1225" s="18" t="s">
        <v>51</v>
      </c>
      <c r="S1225" s="19"/>
      <c r="T1225" s="17" t="str">
        <f aca="false">IF(R1225="維持",J1225,IF(R1225="排除","無關新聞事件",IFERROR(INDEX(事件規則!$B$2:$B$53,MATCH(S1225,事件規則!$A$2:$A$53,0)),"")))</f>
        <v>無關新聞事件</v>
      </c>
      <c r="U1225" s="20" t="n">
        <f aca="false">IF(R1225="維持",K1225,IF(R1225="排除",0,IFERROR(INDEX(事件規則!$C$2:$C$53,MATCH(S1225,事件規則!$A$2:$A$53,0)),"")))</f>
        <v>0</v>
      </c>
      <c r="V1225" s="21"/>
      <c r="W1225" s="22"/>
      <c r="X1225" s="10" t="str">
        <f aca="false">IF(AND(R1225="修改",S1225=""),"請選新事件代碼",IF(AND(R1225&lt;&gt;"修改",S1225&lt;&gt;""),"只有「修改」才需填代碼",""))</f>
        <v/>
      </c>
      <c r="Y1225" s="21"/>
      <c r="Z1225" s="22"/>
      <c r="AA1225" s="12" t="s">
        <v>3402</v>
      </c>
      <c r="AB1225" s="24"/>
    </row>
    <row r="1226" customFormat="false" ht="29.85" hidden="false" customHeight="false" outlineLevel="0" collapsed="false">
      <c r="A1226" s="15" t="n">
        <v>1225</v>
      </c>
      <c r="B1226" s="9" t="s">
        <v>112</v>
      </c>
      <c r="C1226" s="9" t="s">
        <v>2752</v>
      </c>
      <c r="D1226" s="10" t="s">
        <v>2753</v>
      </c>
      <c r="E1226" s="11" t="s">
        <v>3403</v>
      </c>
      <c r="F1226" s="17"/>
      <c r="G1226" s="12" t="s">
        <v>949</v>
      </c>
      <c r="H1226" s="13" t="n">
        <v>-0.029</v>
      </c>
      <c r="I1226" s="14"/>
      <c r="J1226" s="17"/>
      <c r="K1226" s="9"/>
      <c r="L1226" s="15" t="s">
        <v>50</v>
      </c>
      <c r="M1226" s="16" t="s">
        <v>51</v>
      </c>
      <c r="N1226" s="14"/>
      <c r="O1226" s="15" t="s">
        <v>52</v>
      </c>
      <c r="P1226" s="17" t="s">
        <v>53</v>
      </c>
      <c r="Q1226" s="15"/>
      <c r="R1226" s="18" t="s">
        <v>51</v>
      </c>
      <c r="S1226" s="19"/>
      <c r="T1226" s="17" t="str">
        <f aca="false">IF(R1226="維持",J1226,IF(R1226="排除","無關新聞事件",IFERROR(INDEX(事件規則!$B$2:$B$53,MATCH(S1226,事件規則!$A$2:$A$53,0)),"")))</f>
        <v>無關新聞事件</v>
      </c>
      <c r="U1226" s="20" t="n">
        <f aca="false">IF(R1226="維持",K1226,IF(R1226="排除",0,IFERROR(INDEX(事件規則!$C$2:$C$53,MATCH(S1226,事件規則!$A$2:$A$53,0)),"")))</f>
        <v>0</v>
      </c>
      <c r="V1226" s="21"/>
      <c r="W1226" s="22"/>
      <c r="X1226" s="10" t="str">
        <f aca="false">IF(AND(R1226="修改",S1226=""),"請選新事件代碼",IF(AND(R1226&lt;&gt;"修改",S1226&lt;&gt;""),"只有「修改」才需填代碼",""))</f>
        <v/>
      </c>
      <c r="Y1226" s="21"/>
      <c r="Z1226" s="22"/>
      <c r="AA1226" s="12" t="s">
        <v>3404</v>
      </c>
      <c r="AB1226" s="24"/>
    </row>
    <row r="1227" customFormat="false" ht="29.85" hidden="false" customHeight="false" outlineLevel="0" collapsed="false">
      <c r="A1227" s="15" t="n">
        <v>1226</v>
      </c>
      <c r="B1227" s="9" t="s">
        <v>112</v>
      </c>
      <c r="C1227" s="9" t="s">
        <v>1979</v>
      </c>
      <c r="D1227" s="10" t="s">
        <v>1980</v>
      </c>
      <c r="E1227" s="11" t="s">
        <v>3405</v>
      </c>
      <c r="F1227" s="17"/>
      <c r="G1227" s="12" t="s">
        <v>949</v>
      </c>
      <c r="H1227" s="13" t="n">
        <v>-0.029</v>
      </c>
      <c r="I1227" s="14"/>
      <c r="J1227" s="17"/>
      <c r="K1227" s="9"/>
      <c r="L1227" s="15" t="s">
        <v>50</v>
      </c>
      <c r="M1227" s="16" t="s">
        <v>51</v>
      </c>
      <c r="N1227" s="14"/>
      <c r="O1227" s="15" t="s">
        <v>52</v>
      </c>
      <c r="P1227" s="17" t="s">
        <v>53</v>
      </c>
      <c r="Q1227" s="15"/>
      <c r="R1227" s="18" t="s">
        <v>51</v>
      </c>
      <c r="S1227" s="19"/>
      <c r="T1227" s="17" t="str">
        <f aca="false">IF(R1227="維持",J1227,IF(R1227="排除","無關新聞事件",IFERROR(INDEX(事件規則!$B$2:$B$53,MATCH(S1227,事件規則!$A$2:$A$53,0)),"")))</f>
        <v>無關新聞事件</v>
      </c>
      <c r="U1227" s="20" t="n">
        <f aca="false">IF(R1227="維持",K1227,IF(R1227="排除",0,IFERROR(INDEX(事件規則!$C$2:$C$53,MATCH(S1227,事件規則!$A$2:$A$53,0)),"")))</f>
        <v>0</v>
      </c>
      <c r="V1227" s="21"/>
      <c r="W1227" s="22"/>
      <c r="X1227" s="10" t="str">
        <f aca="false">IF(AND(R1227="修改",S1227=""),"請選新事件代碼",IF(AND(R1227&lt;&gt;"修改",S1227&lt;&gt;""),"只有「修改」才需填代碼",""))</f>
        <v/>
      </c>
      <c r="Y1227" s="21"/>
      <c r="Z1227" s="22"/>
      <c r="AA1227" s="12" t="s">
        <v>3406</v>
      </c>
      <c r="AB1227" s="24"/>
    </row>
    <row r="1228" customFormat="false" ht="29.85" hidden="false" customHeight="false" outlineLevel="0" collapsed="false">
      <c r="A1228" s="15" t="n">
        <v>1227</v>
      </c>
      <c r="B1228" s="9" t="s">
        <v>112</v>
      </c>
      <c r="C1228" s="9" t="s">
        <v>917</v>
      </c>
      <c r="D1228" s="10" t="s">
        <v>918</v>
      </c>
      <c r="E1228" s="11" t="s">
        <v>3407</v>
      </c>
      <c r="F1228" s="17"/>
      <c r="G1228" s="12" t="s">
        <v>2033</v>
      </c>
      <c r="H1228" s="13" t="n">
        <v>-0.029</v>
      </c>
      <c r="I1228" s="14"/>
      <c r="J1228" s="17"/>
      <c r="K1228" s="9"/>
      <c r="L1228" s="15" t="s">
        <v>50</v>
      </c>
      <c r="M1228" s="16" t="s">
        <v>51</v>
      </c>
      <c r="N1228" s="14"/>
      <c r="O1228" s="15" t="s">
        <v>52</v>
      </c>
      <c r="P1228" s="17" t="s">
        <v>53</v>
      </c>
      <c r="Q1228" s="15"/>
      <c r="R1228" s="18" t="s">
        <v>51</v>
      </c>
      <c r="S1228" s="19"/>
      <c r="T1228" s="17" t="str">
        <f aca="false">IF(R1228="維持",J1228,IF(R1228="排除","無關新聞事件",IFERROR(INDEX(事件規則!$B$2:$B$53,MATCH(S1228,事件規則!$A$2:$A$53,0)),"")))</f>
        <v>無關新聞事件</v>
      </c>
      <c r="U1228" s="20" t="n">
        <f aca="false">IF(R1228="維持",K1228,IF(R1228="排除",0,IFERROR(INDEX(事件規則!$C$2:$C$53,MATCH(S1228,事件規則!$A$2:$A$53,0)),"")))</f>
        <v>0</v>
      </c>
      <c r="V1228" s="21"/>
      <c r="W1228" s="22"/>
      <c r="X1228" s="10" t="str">
        <f aca="false">IF(AND(R1228="修改",S1228=""),"請選新事件代碼",IF(AND(R1228&lt;&gt;"修改",S1228&lt;&gt;""),"只有「修改」才需填代碼",""))</f>
        <v/>
      </c>
      <c r="Y1228" s="21"/>
      <c r="Z1228" s="22"/>
      <c r="AA1228" s="12" t="s">
        <v>3408</v>
      </c>
      <c r="AB1228" s="24"/>
    </row>
    <row r="1229" customFormat="false" ht="29.85" hidden="false" customHeight="false" outlineLevel="0" collapsed="false">
      <c r="A1229" s="15" t="n">
        <v>1228</v>
      </c>
      <c r="B1229" s="9" t="s">
        <v>112</v>
      </c>
      <c r="C1229" s="9" t="s">
        <v>720</v>
      </c>
      <c r="D1229" s="10" t="s">
        <v>721</v>
      </c>
      <c r="E1229" s="11" t="s">
        <v>3409</v>
      </c>
      <c r="F1229" s="17"/>
      <c r="G1229" s="12" t="s">
        <v>176</v>
      </c>
      <c r="H1229" s="13" t="n">
        <v>-0.029</v>
      </c>
      <c r="I1229" s="14"/>
      <c r="J1229" s="17"/>
      <c r="K1229" s="9"/>
      <c r="L1229" s="15" t="s">
        <v>50</v>
      </c>
      <c r="M1229" s="16" t="s">
        <v>51</v>
      </c>
      <c r="N1229" s="14"/>
      <c r="O1229" s="15" t="s">
        <v>52</v>
      </c>
      <c r="P1229" s="17" t="s">
        <v>53</v>
      </c>
      <c r="Q1229" s="15"/>
      <c r="R1229" s="18" t="s">
        <v>51</v>
      </c>
      <c r="S1229" s="19"/>
      <c r="T1229" s="17" t="str">
        <f aca="false">IF(R1229="維持",J1229,IF(R1229="排除","無關新聞事件",IFERROR(INDEX(事件規則!$B$2:$B$53,MATCH(S1229,事件規則!$A$2:$A$53,0)),"")))</f>
        <v>無關新聞事件</v>
      </c>
      <c r="U1229" s="20" t="n">
        <f aca="false">IF(R1229="維持",K1229,IF(R1229="排除",0,IFERROR(INDEX(事件規則!$C$2:$C$53,MATCH(S1229,事件規則!$A$2:$A$53,0)),"")))</f>
        <v>0</v>
      </c>
      <c r="V1229" s="21"/>
      <c r="W1229" s="22"/>
      <c r="X1229" s="10" t="str">
        <f aca="false">IF(AND(R1229="修改",S1229=""),"請選新事件代碼",IF(AND(R1229&lt;&gt;"修改",S1229&lt;&gt;""),"只有「修改」才需填代碼",""))</f>
        <v/>
      </c>
      <c r="Y1229" s="21"/>
      <c r="Z1229" s="22"/>
      <c r="AA1229" s="12" t="s">
        <v>3410</v>
      </c>
      <c r="AB1229" s="24"/>
    </row>
    <row r="1230" customFormat="false" ht="29.85" hidden="false" customHeight="false" outlineLevel="0" collapsed="false">
      <c r="A1230" s="15" t="n">
        <v>1229</v>
      </c>
      <c r="B1230" s="9" t="s">
        <v>112</v>
      </c>
      <c r="C1230" s="9" t="s">
        <v>242</v>
      </c>
      <c r="D1230" s="10" t="s">
        <v>243</v>
      </c>
      <c r="E1230" s="11" t="s">
        <v>3411</v>
      </c>
      <c r="F1230" s="17"/>
      <c r="G1230" s="12" t="s">
        <v>105</v>
      </c>
      <c r="H1230" s="13" t="n">
        <v>-0.029</v>
      </c>
      <c r="I1230" s="14"/>
      <c r="J1230" s="17"/>
      <c r="K1230" s="9"/>
      <c r="L1230" s="15" t="s">
        <v>50</v>
      </c>
      <c r="M1230" s="16" t="s">
        <v>51</v>
      </c>
      <c r="N1230" s="14"/>
      <c r="O1230" s="15" t="s">
        <v>52</v>
      </c>
      <c r="P1230" s="17" t="s">
        <v>53</v>
      </c>
      <c r="Q1230" s="15"/>
      <c r="R1230" s="18" t="s">
        <v>51</v>
      </c>
      <c r="S1230" s="19"/>
      <c r="T1230" s="17" t="str">
        <f aca="false">IF(R1230="維持",J1230,IF(R1230="排除","無關新聞事件",IFERROR(INDEX(事件規則!$B$2:$B$53,MATCH(S1230,事件規則!$A$2:$A$53,0)),"")))</f>
        <v>無關新聞事件</v>
      </c>
      <c r="U1230" s="20" t="n">
        <f aca="false">IF(R1230="維持",K1230,IF(R1230="排除",0,IFERROR(INDEX(事件規則!$C$2:$C$53,MATCH(S1230,事件規則!$A$2:$A$53,0)),"")))</f>
        <v>0</v>
      </c>
      <c r="V1230" s="21"/>
      <c r="W1230" s="22"/>
      <c r="X1230" s="10" t="str">
        <f aca="false">IF(AND(R1230="修改",S1230=""),"請選新事件代碼",IF(AND(R1230&lt;&gt;"修改",S1230&lt;&gt;""),"只有「修改」才需填代碼",""))</f>
        <v/>
      </c>
      <c r="Y1230" s="21"/>
      <c r="Z1230" s="22"/>
      <c r="AA1230" s="12" t="s">
        <v>3412</v>
      </c>
      <c r="AB1230" s="24"/>
    </row>
    <row r="1231" customFormat="false" ht="29.85" hidden="false" customHeight="false" outlineLevel="0" collapsed="false">
      <c r="A1231" s="15" t="n">
        <v>1230</v>
      </c>
      <c r="B1231" s="9" t="s">
        <v>112</v>
      </c>
      <c r="C1231" s="9" t="s">
        <v>3413</v>
      </c>
      <c r="D1231" s="10" t="s">
        <v>3414</v>
      </c>
      <c r="E1231" s="11" t="s">
        <v>3415</v>
      </c>
      <c r="F1231" s="17"/>
      <c r="G1231" s="12" t="s">
        <v>949</v>
      </c>
      <c r="H1231" s="13" t="n">
        <v>-0.029</v>
      </c>
      <c r="I1231" s="14"/>
      <c r="J1231" s="17"/>
      <c r="K1231" s="9"/>
      <c r="L1231" s="15" t="s">
        <v>50</v>
      </c>
      <c r="M1231" s="16" t="s">
        <v>51</v>
      </c>
      <c r="N1231" s="14"/>
      <c r="O1231" s="15" t="s">
        <v>52</v>
      </c>
      <c r="P1231" s="17" t="s">
        <v>53</v>
      </c>
      <c r="Q1231" s="15"/>
      <c r="R1231" s="18" t="s">
        <v>51</v>
      </c>
      <c r="S1231" s="19"/>
      <c r="T1231" s="17" t="str">
        <f aca="false">IF(R1231="維持",J1231,IF(R1231="排除","無關新聞事件",IFERROR(INDEX(事件規則!$B$2:$B$53,MATCH(S1231,事件規則!$A$2:$A$53,0)),"")))</f>
        <v>無關新聞事件</v>
      </c>
      <c r="U1231" s="20" t="n">
        <f aca="false">IF(R1231="維持",K1231,IF(R1231="排除",0,IFERROR(INDEX(事件規則!$C$2:$C$53,MATCH(S1231,事件規則!$A$2:$A$53,0)),"")))</f>
        <v>0</v>
      </c>
      <c r="V1231" s="21"/>
      <c r="W1231" s="22"/>
      <c r="X1231" s="10" t="str">
        <f aca="false">IF(AND(R1231="修改",S1231=""),"請選新事件代碼",IF(AND(R1231&lt;&gt;"修改",S1231&lt;&gt;""),"只有「修改」才需填代碼",""))</f>
        <v/>
      </c>
      <c r="Y1231" s="21"/>
      <c r="Z1231" s="22"/>
      <c r="AA1231" s="12" t="s">
        <v>3416</v>
      </c>
      <c r="AB1231" s="24"/>
    </row>
    <row r="1232" customFormat="false" ht="29.85" hidden="false" customHeight="false" outlineLevel="0" collapsed="false">
      <c r="A1232" s="15" t="n">
        <v>1231</v>
      </c>
      <c r="B1232" s="9" t="s">
        <v>45</v>
      </c>
      <c r="C1232" s="9" t="s">
        <v>1727</v>
      </c>
      <c r="D1232" s="10" t="s">
        <v>1728</v>
      </c>
      <c r="E1232" s="11" t="s">
        <v>3417</v>
      </c>
      <c r="F1232" s="17"/>
      <c r="G1232" s="12" t="s">
        <v>949</v>
      </c>
      <c r="H1232" s="13" t="n">
        <v>-0.028</v>
      </c>
      <c r="I1232" s="14"/>
      <c r="J1232" s="17"/>
      <c r="K1232" s="9"/>
      <c r="L1232" s="15" t="s">
        <v>50</v>
      </c>
      <c r="M1232" s="16" t="s">
        <v>51</v>
      </c>
      <c r="N1232" s="14"/>
      <c r="O1232" s="15" t="s">
        <v>52</v>
      </c>
      <c r="P1232" s="17" t="s">
        <v>53</v>
      </c>
      <c r="Q1232" s="15"/>
      <c r="R1232" s="18" t="s">
        <v>51</v>
      </c>
      <c r="S1232" s="19"/>
      <c r="T1232" s="17" t="str">
        <f aca="false">IF(R1232="維持",J1232,IF(R1232="排除","無關新聞事件",IFERROR(INDEX(事件規則!$B$2:$B$53,MATCH(S1232,事件規則!$A$2:$A$53,0)),"")))</f>
        <v>無關新聞事件</v>
      </c>
      <c r="U1232" s="20" t="n">
        <f aca="false">IF(R1232="維持",K1232,IF(R1232="排除",0,IFERROR(INDEX(事件規則!$C$2:$C$53,MATCH(S1232,事件規則!$A$2:$A$53,0)),"")))</f>
        <v>0</v>
      </c>
      <c r="V1232" s="21"/>
      <c r="W1232" s="22"/>
      <c r="X1232" s="10" t="str">
        <f aca="false">IF(AND(R1232="修改",S1232=""),"請選新事件代碼",IF(AND(R1232&lt;&gt;"修改",S1232&lt;&gt;""),"只有「修改」才需填代碼",""))</f>
        <v/>
      </c>
      <c r="Y1232" s="21"/>
      <c r="Z1232" s="22"/>
      <c r="AA1232" s="12" t="s">
        <v>3418</v>
      </c>
      <c r="AB1232" s="24"/>
    </row>
    <row r="1233" customFormat="false" ht="29.85" hidden="false" customHeight="false" outlineLevel="0" collapsed="false">
      <c r="A1233" s="15" t="n">
        <v>1232</v>
      </c>
      <c r="B1233" s="9" t="s">
        <v>55</v>
      </c>
      <c r="C1233" s="9" t="s">
        <v>404</v>
      </c>
      <c r="D1233" s="10" t="s">
        <v>405</v>
      </c>
      <c r="E1233" s="11" t="s">
        <v>3419</v>
      </c>
      <c r="F1233" s="17"/>
      <c r="G1233" s="12" t="s">
        <v>3420</v>
      </c>
      <c r="H1233" s="13" t="n">
        <v>-0.028</v>
      </c>
      <c r="I1233" s="14"/>
      <c r="J1233" s="17"/>
      <c r="K1233" s="9"/>
      <c r="L1233" s="15" t="s">
        <v>50</v>
      </c>
      <c r="M1233" s="16" t="s">
        <v>51</v>
      </c>
      <c r="N1233" s="14"/>
      <c r="O1233" s="15" t="s">
        <v>52</v>
      </c>
      <c r="P1233" s="17" t="s">
        <v>53</v>
      </c>
      <c r="Q1233" s="15"/>
      <c r="R1233" s="18" t="s">
        <v>51</v>
      </c>
      <c r="S1233" s="19"/>
      <c r="T1233" s="17" t="str">
        <f aca="false">IF(R1233="維持",J1233,IF(R1233="排除","無關新聞事件",IFERROR(INDEX(事件規則!$B$2:$B$53,MATCH(S1233,事件規則!$A$2:$A$53,0)),"")))</f>
        <v>無關新聞事件</v>
      </c>
      <c r="U1233" s="20" t="n">
        <f aca="false">IF(R1233="維持",K1233,IF(R1233="排除",0,IFERROR(INDEX(事件規則!$C$2:$C$53,MATCH(S1233,事件規則!$A$2:$A$53,0)),"")))</f>
        <v>0</v>
      </c>
      <c r="V1233" s="21"/>
      <c r="W1233" s="22"/>
      <c r="X1233" s="10" t="str">
        <f aca="false">IF(AND(R1233="修改",S1233=""),"請選新事件代碼",IF(AND(R1233&lt;&gt;"修改",S1233&lt;&gt;""),"只有「修改」才需填代碼",""))</f>
        <v/>
      </c>
      <c r="Y1233" s="21"/>
      <c r="Z1233" s="22"/>
      <c r="AA1233" s="12" t="s">
        <v>3421</v>
      </c>
      <c r="AB1233" s="24"/>
    </row>
    <row r="1234" customFormat="false" ht="29.85" hidden="false" customHeight="false" outlineLevel="0" collapsed="false">
      <c r="A1234" s="15" t="n">
        <v>1233</v>
      </c>
      <c r="B1234" s="9" t="s">
        <v>55</v>
      </c>
      <c r="C1234" s="9" t="s">
        <v>1555</v>
      </c>
      <c r="D1234" s="10" t="s">
        <v>1556</v>
      </c>
      <c r="E1234" s="11" t="s">
        <v>3422</v>
      </c>
      <c r="F1234" s="17"/>
      <c r="G1234" s="12" t="s">
        <v>949</v>
      </c>
      <c r="H1234" s="13" t="n">
        <v>-0.028</v>
      </c>
      <c r="I1234" s="14"/>
      <c r="J1234" s="17"/>
      <c r="K1234" s="9"/>
      <c r="L1234" s="15" t="s">
        <v>50</v>
      </c>
      <c r="M1234" s="16" t="s">
        <v>51</v>
      </c>
      <c r="N1234" s="14"/>
      <c r="O1234" s="15" t="s">
        <v>52</v>
      </c>
      <c r="P1234" s="17" t="s">
        <v>53</v>
      </c>
      <c r="Q1234" s="15"/>
      <c r="R1234" s="18" t="s">
        <v>51</v>
      </c>
      <c r="S1234" s="19"/>
      <c r="T1234" s="17" t="str">
        <f aca="false">IF(R1234="維持",J1234,IF(R1234="排除","無關新聞事件",IFERROR(INDEX(事件規則!$B$2:$B$53,MATCH(S1234,事件規則!$A$2:$A$53,0)),"")))</f>
        <v>無關新聞事件</v>
      </c>
      <c r="U1234" s="20" t="n">
        <f aca="false">IF(R1234="維持",K1234,IF(R1234="排除",0,IFERROR(INDEX(事件規則!$C$2:$C$53,MATCH(S1234,事件規則!$A$2:$A$53,0)),"")))</f>
        <v>0</v>
      </c>
      <c r="V1234" s="21"/>
      <c r="W1234" s="22"/>
      <c r="X1234" s="10" t="str">
        <f aca="false">IF(AND(R1234="修改",S1234=""),"請選新事件代碼",IF(AND(R1234&lt;&gt;"修改",S1234&lt;&gt;""),"只有「修改」才需填代碼",""))</f>
        <v/>
      </c>
      <c r="Y1234" s="21"/>
      <c r="Z1234" s="22"/>
      <c r="AA1234" s="12" t="s">
        <v>3423</v>
      </c>
      <c r="AB1234" s="24"/>
    </row>
    <row r="1235" customFormat="false" ht="29.85" hidden="false" customHeight="false" outlineLevel="0" collapsed="false">
      <c r="A1235" s="15" t="n">
        <v>1234</v>
      </c>
      <c r="B1235" s="9" t="s">
        <v>55</v>
      </c>
      <c r="C1235" s="9" t="s">
        <v>71</v>
      </c>
      <c r="D1235" s="10" t="s">
        <v>72</v>
      </c>
      <c r="E1235" s="11" t="s">
        <v>3424</v>
      </c>
      <c r="F1235" s="17"/>
      <c r="G1235" s="12" t="s">
        <v>949</v>
      </c>
      <c r="H1235" s="13" t="n">
        <v>-0.028</v>
      </c>
      <c r="I1235" s="14"/>
      <c r="J1235" s="17"/>
      <c r="K1235" s="9"/>
      <c r="L1235" s="15" t="s">
        <v>50</v>
      </c>
      <c r="M1235" s="16" t="s">
        <v>51</v>
      </c>
      <c r="N1235" s="14"/>
      <c r="O1235" s="15" t="s">
        <v>52</v>
      </c>
      <c r="P1235" s="17" t="s">
        <v>53</v>
      </c>
      <c r="Q1235" s="15"/>
      <c r="R1235" s="18" t="s">
        <v>51</v>
      </c>
      <c r="S1235" s="19"/>
      <c r="T1235" s="17" t="str">
        <f aca="false">IF(R1235="維持",J1235,IF(R1235="排除","無關新聞事件",IFERROR(INDEX(事件規則!$B$2:$B$53,MATCH(S1235,事件規則!$A$2:$A$53,0)),"")))</f>
        <v>無關新聞事件</v>
      </c>
      <c r="U1235" s="20" t="n">
        <f aca="false">IF(R1235="維持",K1235,IF(R1235="排除",0,IFERROR(INDEX(事件規則!$C$2:$C$53,MATCH(S1235,事件規則!$A$2:$A$53,0)),"")))</f>
        <v>0</v>
      </c>
      <c r="V1235" s="21"/>
      <c r="W1235" s="22"/>
      <c r="X1235" s="10" t="str">
        <f aca="false">IF(AND(R1235="修改",S1235=""),"請選新事件代碼",IF(AND(R1235&lt;&gt;"修改",S1235&lt;&gt;""),"只有「修改」才需填代碼",""))</f>
        <v/>
      </c>
      <c r="Y1235" s="21"/>
      <c r="Z1235" s="22"/>
      <c r="AA1235" s="12" t="s">
        <v>3425</v>
      </c>
      <c r="AB1235" s="24"/>
    </row>
    <row r="1236" customFormat="false" ht="29.85" hidden="false" customHeight="false" outlineLevel="0" collapsed="false">
      <c r="A1236" s="15" t="n">
        <v>1235</v>
      </c>
      <c r="B1236" s="9" t="s">
        <v>45</v>
      </c>
      <c r="C1236" s="9" t="s">
        <v>3426</v>
      </c>
      <c r="D1236" s="10" t="s">
        <v>3427</v>
      </c>
      <c r="E1236" s="11" t="s">
        <v>3428</v>
      </c>
      <c r="F1236" s="17"/>
      <c r="G1236" s="12" t="s">
        <v>176</v>
      </c>
      <c r="H1236" s="13" t="n">
        <v>-0.028</v>
      </c>
      <c r="I1236" s="14"/>
      <c r="J1236" s="17"/>
      <c r="K1236" s="9"/>
      <c r="L1236" s="15" t="s">
        <v>50</v>
      </c>
      <c r="M1236" s="16" t="s">
        <v>51</v>
      </c>
      <c r="N1236" s="14"/>
      <c r="O1236" s="15" t="s">
        <v>52</v>
      </c>
      <c r="P1236" s="17" t="s">
        <v>53</v>
      </c>
      <c r="Q1236" s="15"/>
      <c r="R1236" s="18" t="s">
        <v>51</v>
      </c>
      <c r="S1236" s="19"/>
      <c r="T1236" s="17" t="str">
        <f aca="false">IF(R1236="維持",J1236,IF(R1236="排除","無關新聞事件",IFERROR(INDEX(事件規則!$B$2:$B$53,MATCH(S1236,事件規則!$A$2:$A$53,0)),"")))</f>
        <v>無關新聞事件</v>
      </c>
      <c r="U1236" s="20" t="n">
        <f aca="false">IF(R1236="維持",K1236,IF(R1236="排除",0,IFERROR(INDEX(事件規則!$C$2:$C$53,MATCH(S1236,事件規則!$A$2:$A$53,0)),"")))</f>
        <v>0</v>
      </c>
      <c r="V1236" s="21"/>
      <c r="W1236" s="22"/>
      <c r="X1236" s="10" t="str">
        <f aca="false">IF(AND(R1236="修改",S1236=""),"請選新事件代碼",IF(AND(R1236&lt;&gt;"修改",S1236&lt;&gt;""),"只有「修改」才需填代碼",""))</f>
        <v/>
      </c>
      <c r="Y1236" s="21"/>
      <c r="Z1236" s="22"/>
      <c r="AA1236" s="12" t="s">
        <v>3429</v>
      </c>
      <c r="AB1236" s="24"/>
    </row>
    <row r="1237" customFormat="false" ht="29.85" hidden="false" customHeight="false" outlineLevel="0" collapsed="false">
      <c r="A1237" s="15" t="n">
        <v>1236</v>
      </c>
      <c r="B1237" s="9" t="s">
        <v>45</v>
      </c>
      <c r="C1237" s="9" t="s">
        <v>118</v>
      </c>
      <c r="D1237" s="10" t="s">
        <v>119</v>
      </c>
      <c r="E1237" s="11" t="s">
        <v>3430</v>
      </c>
      <c r="F1237" s="17"/>
      <c r="G1237" s="12" t="s">
        <v>949</v>
      </c>
      <c r="H1237" s="13" t="n">
        <v>-0.028</v>
      </c>
      <c r="I1237" s="14"/>
      <c r="J1237" s="17"/>
      <c r="K1237" s="9"/>
      <c r="L1237" s="15" t="s">
        <v>50</v>
      </c>
      <c r="M1237" s="16" t="s">
        <v>51</v>
      </c>
      <c r="N1237" s="14"/>
      <c r="O1237" s="15" t="s">
        <v>52</v>
      </c>
      <c r="P1237" s="17" t="s">
        <v>53</v>
      </c>
      <c r="Q1237" s="15"/>
      <c r="R1237" s="18" t="s">
        <v>51</v>
      </c>
      <c r="S1237" s="19"/>
      <c r="T1237" s="17" t="str">
        <f aca="false">IF(R1237="維持",J1237,IF(R1237="排除","無關新聞事件",IFERROR(INDEX(事件規則!$B$2:$B$53,MATCH(S1237,事件規則!$A$2:$A$53,0)),"")))</f>
        <v>無關新聞事件</v>
      </c>
      <c r="U1237" s="20" t="n">
        <f aca="false">IF(R1237="維持",K1237,IF(R1237="排除",0,IFERROR(INDEX(事件規則!$C$2:$C$53,MATCH(S1237,事件規則!$A$2:$A$53,0)),"")))</f>
        <v>0</v>
      </c>
      <c r="V1237" s="21"/>
      <c r="W1237" s="22"/>
      <c r="X1237" s="10" t="str">
        <f aca="false">IF(AND(R1237="修改",S1237=""),"請選新事件代碼",IF(AND(R1237&lt;&gt;"修改",S1237&lt;&gt;""),"只有「修改」才需填代碼",""))</f>
        <v/>
      </c>
      <c r="Y1237" s="21"/>
      <c r="Z1237" s="22"/>
      <c r="AA1237" s="12" t="s">
        <v>3431</v>
      </c>
      <c r="AB1237" s="24"/>
    </row>
    <row r="1238" customFormat="false" ht="29.85" hidden="false" customHeight="false" outlineLevel="0" collapsed="false">
      <c r="A1238" s="15" t="n">
        <v>1237</v>
      </c>
      <c r="B1238" s="9" t="s">
        <v>45</v>
      </c>
      <c r="C1238" s="9" t="s">
        <v>289</v>
      </c>
      <c r="D1238" s="10" t="s">
        <v>290</v>
      </c>
      <c r="E1238" s="11" t="s">
        <v>3432</v>
      </c>
      <c r="F1238" s="17"/>
      <c r="G1238" s="12" t="s">
        <v>176</v>
      </c>
      <c r="H1238" s="13" t="n">
        <v>-0.028</v>
      </c>
      <c r="I1238" s="14"/>
      <c r="J1238" s="17"/>
      <c r="K1238" s="9"/>
      <c r="L1238" s="15" t="s">
        <v>50</v>
      </c>
      <c r="M1238" s="16" t="s">
        <v>51</v>
      </c>
      <c r="N1238" s="14"/>
      <c r="O1238" s="15" t="s">
        <v>52</v>
      </c>
      <c r="P1238" s="17" t="s">
        <v>53</v>
      </c>
      <c r="Q1238" s="15"/>
      <c r="R1238" s="18" t="s">
        <v>51</v>
      </c>
      <c r="S1238" s="19"/>
      <c r="T1238" s="17" t="str">
        <f aca="false">IF(R1238="維持",J1238,IF(R1238="排除","無關新聞事件",IFERROR(INDEX(事件規則!$B$2:$B$53,MATCH(S1238,事件規則!$A$2:$A$53,0)),"")))</f>
        <v>無關新聞事件</v>
      </c>
      <c r="U1238" s="20" t="n">
        <f aca="false">IF(R1238="維持",K1238,IF(R1238="排除",0,IFERROR(INDEX(事件規則!$C$2:$C$53,MATCH(S1238,事件規則!$A$2:$A$53,0)),"")))</f>
        <v>0</v>
      </c>
      <c r="V1238" s="21"/>
      <c r="W1238" s="22"/>
      <c r="X1238" s="10" t="str">
        <f aca="false">IF(AND(R1238="修改",S1238=""),"請選新事件代碼",IF(AND(R1238&lt;&gt;"修改",S1238&lt;&gt;""),"只有「修改」才需填代碼",""))</f>
        <v/>
      </c>
      <c r="Y1238" s="21"/>
      <c r="Z1238" s="22"/>
      <c r="AA1238" s="12" t="s">
        <v>3433</v>
      </c>
      <c r="AB1238" s="24"/>
    </row>
    <row r="1239" customFormat="false" ht="29.85" hidden="false" customHeight="false" outlineLevel="0" collapsed="false">
      <c r="A1239" s="15" t="n">
        <v>1238</v>
      </c>
      <c r="B1239" s="9" t="s">
        <v>55</v>
      </c>
      <c r="C1239" s="9" t="s">
        <v>469</v>
      </c>
      <c r="D1239" s="10" t="s">
        <v>470</v>
      </c>
      <c r="E1239" s="11" t="s">
        <v>3434</v>
      </c>
      <c r="F1239" s="17"/>
      <c r="G1239" s="12" t="s">
        <v>949</v>
      </c>
      <c r="H1239" s="13" t="n">
        <v>-0.028</v>
      </c>
      <c r="I1239" s="14"/>
      <c r="J1239" s="17"/>
      <c r="K1239" s="9"/>
      <c r="L1239" s="15" t="s">
        <v>50</v>
      </c>
      <c r="M1239" s="16" t="s">
        <v>51</v>
      </c>
      <c r="N1239" s="14"/>
      <c r="O1239" s="15" t="s">
        <v>52</v>
      </c>
      <c r="P1239" s="17" t="s">
        <v>53</v>
      </c>
      <c r="Q1239" s="15"/>
      <c r="R1239" s="18" t="s">
        <v>51</v>
      </c>
      <c r="S1239" s="19"/>
      <c r="T1239" s="17" t="str">
        <f aca="false">IF(R1239="維持",J1239,IF(R1239="排除","無關新聞事件",IFERROR(INDEX(事件規則!$B$2:$B$53,MATCH(S1239,事件規則!$A$2:$A$53,0)),"")))</f>
        <v>無關新聞事件</v>
      </c>
      <c r="U1239" s="20" t="n">
        <f aca="false">IF(R1239="維持",K1239,IF(R1239="排除",0,IFERROR(INDEX(事件規則!$C$2:$C$53,MATCH(S1239,事件規則!$A$2:$A$53,0)),"")))</f>
        <v>0</v>
      </c>
      <c r="V1239" s="21"/>
      <c r="W1239" s="22"/>
      <c r="X1239" s="10" t="str">
        <f aca="false">IF(AND(R1239="修改",S1239=""),"請選新事件代碼",IF(AND(R1239&lt;&gt;"修改",S1239&lt;&gt;""),"只有「修改」才需填代碼",""))</f>
        <v/>
      </c>
      <c r="Y1239" s="21"/>
      <c r="Z1239" s="22"/>
      <c r="AA1239" s="12" t="s">
        <v>3435</v>
      </c>
      <c r="AB1239" s="24"/>
    </row>
    <row r="1240" customFormat="false" ht="29.85" hidden="false" customHeight="false" outlineLevel="0" collapsed="false">
      <c r="A1240" s="15" t="n">
        <v>1239</v>
      </c>
      <c r="B1240" s="9" t="s">
        <v>55</v>
      </c>
      <c r="C1240" s="9" t="s">
        <v>720</v>
      </c>
      <c r="D1240" s="10" t="s">
        <v>721</v>
      </c>
      <c r="E1240" s="11" t="s">
        <v>3436</v>
      </c>
      <c r="F1240" s="17"/>
      <c r="G1240" s="12" t="s">
        <v>176</v>
      </c>
      <c r="H1240" s="13" t="n">
        <v>-0.028</v>
      </c>
      <c r="I1240" s="14"/>
      <c r="J1240" s="17"/>
      <c r="K1240" s="9"/>
      <c r="L1240" s="15" t="s">
        <v>50</v>
      </c>
      <c r="M1240" s="16" t="s">
        <v>51</v>
      </c>
      <c r="N1240" s="14"/>
      <c r="O1240" s="15" t="s">
        <v>52</v>
      </c>
      <c r="P1240" s="17" t="s">
        <v>53</v>
      </c>
      <c r="Q1240" s="15"/>
      <c r="R1240" s="18" t="s">
        <v>51</v>
      </c>
      <c r="S1240" s="19"/>
      <c r="T1240" s="17" t="str">
        <f aca="false">IF(R1240="維持",J1240,IF(R1240="排除","無關新聞事件",IFERROR(INDEX(事件規則!$B$2:$B$53,MATCH(S1240,事件規則!$A$2:$A$53,0)),"")))</f>
        <v>無關新聞事件</v>
      </c>
      <c r="U1240" s="20" t="n">
        <f aca="false">IF(R1240="維持",K1240,IF(R1240="排除",0,IFERROR(INDEX(事件規則!$C$2:$C$53,MATCH(S1240,事件規則!$A$2:$A$53,0)),"")))</f>
        <v>0</v>
      </c>
      <c r="V1240" s="21"/>
      <c r="W1240" s="22"/>
      <c r="X1240" s="10" t="str">
        <f aca="false">IF(AND(R1240="修改",S1240=""),"請選新事件代碼",IF(AND(R1240&lt;&gt;"修改",S1240&lt;&gt;""),"只有「修改」才需填代碼",""))</f>
        <v/>
      </c>
      <c r="Y1240" s="21"/>
      <c r="Z1240" s="22"/>
      <c r="AA1240" s="12" t="s">
        <v>3437</v>
      </c>
      <c r="AB1240" s="24"/>
    </row>
    <row r="1241" customFormat="false" ht="29.85" hidden="false" customHeight="false" outlineLevel="0" collapsed="false">
      <c r="A1241" s="15" t="n">
        <v>1240</v>
      </c>
      <c r="B1241" s="9" t="s">
        <v>45</v>
      </c>
      <c r="C1241" s="9" t="s">
        <v>1555</v>
      </c>
      <c r="D1241" s="10" t="s">
        <v>1556</v>
      </c>
      <c r="E1241" s="11" t="s">
        <v>3438</v>
      </c>
      <c r="F1241" s="17"/>
      <c r="G1241" s="12" t="s">
        <v>949</v>
      </c>
      <c r="H1241" s="13" t="n">
        <v>-0.028</v>
      </c>
      <c r="I1241" s="14"/>
      <c r="J1241" s="17"/>
      <c r="K1241" s="9"/>
      <c r="L1241" s="15" t="s">
        <v>50</v>
      </c>
      <c r="M1241" s="16" t="s">
        <v>51</v>
      </c>
      <c r="N1241" s="14"/>
      <c r="O1241" s="15" t="s">
        <v>52</v>
      </c>
      <c r="P1241" s="17" t="s">
        <v>53</v>
      </c>
      <c r="Q1241" s="15"/>
      <c r="R1241" s="18" t="s">
        <v>51</v>
      </c>
      <c r="S1241" s="19"/>
      <c r="T1241" s="17" t="str">
        <f aca="false">IF(R1241="維持",J1241,IF(R1241="排除","無關新聞事件",IFERROR(INDEX(事件規則!$B$2:$B$53,MATCH(S1241,事件規則!$A$2:$A$53,0)),"")))</f>
        <v>無關新聞事件</v>
      </c>
      <c r="U1241" s="20" t="n">
        <f aca="false">IF(R1241="維持",K1241,IF(R1241="排除",0,IFERROR(INDEX(事件規則!$C$2:$C$53,MATCH(S1241,事件規則!$A$2:$A$53,0)),"")))</f>
        <v>0</v>
      </c>
      <c r="V1241" s="21"/>
      <c r="W1241" s="22"/>
      <c r="X1241" s="10" t="str">
        <f aca="false">IF(AND(R1241="修改",S1241=""),"請選新事件代碼",IF(AND(R1241&lt;&gt;"修改",S1241&lt;&gt;""),"只有「修改」才需填代碼",""))</f>
        <v/>
      </c>
      <c r="Y1241" s="21"/>
      <c r="Z1241" s="22"/>
      <c r="AA1241" s="12" t="s">
        <v>3439</v>
      </c>
      <c r="AB1241" s="24"/>
    </row>
    <row r="1242" customFormat="false" ht="29.85" hidden="false" customHeight="false" outlineLevel="0" collapsed="false">
      <c r="A1242" s="15" t="n">
        <v>1241</v>
      </c>
      <c r="B1242" s="9" t="s">
        <v>45</v>
      </c>
      <c r="C1242" s="9" t="s">
        <v>1555</v>
      </c>
      <c r="D1242" s="10" t="s">
        <v>1556</v>
      </c>
      <c r="E1242" s="11" t="s">
        <v>3440</v>
      </c>
      <c r="F1242" s="17"/>
      <c r="G1242" s="12" t="s">
        <v>949</v>
      </c>
      <c r="H1242" s="13" t="n">
        <v>-0.028</v>
      </c>
      <c r="I1242" s="14"/>
      <c r="J1242" s="17"/>
      <c r="K1242" s="9"/>
      <c r="L1242" s="15" t="s">
        <v>50</v>
      </c>
      <c r="M1242" s="16" t="s">
        <v>51</v>
      </c>
      <c r="N1242" s="14"/>
      <c r="O1242" s="15" t="s">
        <v>52</v>
      </c>
      <c r="P1242" s="17" t="s">
        <v>53</v>
      </c>
      <c r="Q1242" s="15"/>
      <c r="R1242" s="18" t="s">
        <v>51</v>
      </c>
      <c r="S1242" s="19"/>
      <c r="T1242" s="17" t="str">
        <f aca="false">IF(R1242="維持",J1242,IF(R1242="排除","無關新聞事件",IFERROR(INDEX(事件規則!$B$2:$B$53,MATCH(S1242,事件規則!$A$2:$A$53,0)),"")))</f>
        <v>無關新聞事件</v>
      </c>
      <c r="U1242" s="20" t="n">
        <f aca="false">IF(R1242="維持",K1242,IF(R1242="排除",0,IFERROR(INDEX(事件規則!$C$2:$C$53,MATCH(S1242,事件規則!$A$2:$A$53,0)),"")))</f>
        <v>0</v>
      </c>
      <c r="V1242" s="21"/>
      <c r="W1242" s="22"/>
      <c r="X1242" s="10" t="str">
        <f aca="false">IF(AND(R1242="修改",S1242=""),"請選新事件代碼",IF(AND(R1242&lt;&gt;"修改",S1242&lt;&gt;""),"只有「修改」才需填代碼",""))</f>
        <v/>
      </c>
      <c r="Y1242" s="21"/>
      <c r="Z1242" s="22"/>
      <c r="AA1242" s="12" t="s">
        <v>3441</v>
      </c>
      <c r="AB1242" s="24"/>
    </row>
    <row r="1243" customFormat="false" ht="29.85" hidden="false" customHeight="false" outlineLevel="0" collapsed="false">
      <c r="A1243" s="15" t="n">
        <v>1242</v>
      </c>
      <c r="B1243" s="9" t="s">
        <v>45</v>
      </c>
      <c r="C1243" s="9" t="s">
        <v>1555</v>
      </c>
      <c r="D1243" s="10" t="s">
        <v>1556</v>
      </c>
      <c r="E1243" s="11" t="s">
        <v>3442</v>
      </c>
      <c r="F1243" s="17"/>
      <c r="G1243" s="12" t="s">
        <v>949</v>
      </c>
      <c r="H1243" s="13" t="n">
        <v>-0.028</v>
      </c>
      <c r="I1243" s="14"/>
      <c r="J1243" s="17"/>
      <c r="K1243" s="9"/>
      <c r="L1243" s="15" t="s">
        <v>50</v>
      </c>
      <c r="M1243" s="16" t="s">
        <v>51</v>
      </c>
      <c r="N1243" s="14"/>
      <c r="O1243" s="15" t="s">
        <v>52</v>
      </c>
      <c r="P1243" s="17" t="s">
        <v>53</v>
      </c>
      <c r="Q1243" s="15"/>
      <c r="R1243" s="18" t="s">
        <v>51</v>
      </c>
      <c r="S1243" s="19"/>
      <c r="T1243" s="17" t="str">
        <f aca="false">IF(R1243="維持",J1243,IF(R1243="排除","無關新聞事件",IFERROR(INDEX(事件規則!$B$2:$B$53,MATCH(S1243,事件規則!$A$2:$A$53,0)),"")))</f>
        <v>無關新聞事件</v>
      </c>
      <c r="U1243" s="20" t="n">
        <f aca="false">IF(R1243="維持",K1243,IF(R1243="排除",0,IFERROR(INDEX(事件規則!$C$2:$C$53,MATCH(S1243,事件規則!$A$2:$A$53,0)),"")))</f>
        <v>0</v>
      </c>
      <c r="V1243" s="21"/>
      <c r="W1243" s="22"/>
      <c r="X1243" s="10" t="str">
        <f aca="false">IF(AND(R1243="修改",S1243=""),"請選新事件代碼",IF(AND(R1243&lt;&gt;"修改",S1243&lt;&gt;""),"只有「修改」才需填代碼",""))</f>
        <v/>
      </c>
      <c r="Y1243" s="21"/>
      <c r="Z1243" s="22"/>
      <c r="AA1243" s="12" t="s">
        <v>3443</v>
      </c>
      <c r="AB1243" s="24"/>
    </row>
    <row r="1244" customFormat="false" ht="29.85" hidden="false" customHeight="false" outlineLevel="0" collapsed="false">
      <c r="A1244" s="15" t="n">
        <v>1243</v>
      </c>
      <c r="B1244" s="9" t="s">
        <v>45</v>
      </c>
      <c r="C1244" s="9" t="s">
        <v>344</v>
      </c>
      <c r="D1244" s="10" t="s">
        <v>345</v>
      </c>
      <c r="E1244" s="11" t="s">
        <v>3444</v>
      </c>
      <c r="F1244" s="17"/>
      <c r="G1244" s="12" t="s">
        <v>142</v>
      </c>
      <c r="H1244" s="13" t="n">
        <v>-0.028</v>
      </c>
      <c r="I1244" s="14"/>
      <c r="J1244" s="17"/>
      <c r="K1244" s="9"/>
      <c r="L1244" s="15" t="s">
        <v>50</v>
      </c>
      <c r="M1244" s="16" t="s">
        <v>51</v>
      </c>
      <c r="N1244" s="14"/>
      <c r="O1244" s="15" t="s">
        <v>52</v>
      </c>
      <c r="P1244" s="17" t="s">
        <v>53</v>
      </c>
      <c r="Q1244" s="15"/>
      <c r="R1244" s="18" t="s">
        <v>51</v>
      </c>
      <c r="S1244" s="19"/>
      <c r="T1244" s="17" t="str">
        <f aca="false">IF(R1244="維持",J1244,IF(R1244="排除","無關新聞事件",IFERROR(INDEX(事件規則!$B$2:$B$53,MATCH(S1244,事件規則!$A$2:$A$53,0)),"")))</f>
        <v>無關新聞事件</v>
      </c>
      <c r="U1244" s="20" t="n">
        <f aca="false">IF(R1244="維持",K1244,IF(R1244="排除",0,IFERROR(INDEX(事件規則!$C$2:$C$53,MATCH(S1244,事件規則!$A$2:$A$53,0)),"")))</f>
        <v>0</v>
      </c>
      <c r="V1244" s="21"/>
      <c r="W1244" s="22"/>
      <c r="X1244" s="10" t="str">
        <f aca="false">IF(AND(R1244="修改",S1244=""),"請選新事件代碼",IF(AND(R1244&lt;&gt;"修改",S1244&lt;&gt;""),"只有「修改」才需填代碼",""))</f>
        <v/>
      </c>
      <c r="Y1244" s="21"/>
      <c r="Z1244" s="22"/>
      <c r="AA1244" s="12" t="s">
        <v>3445</v>
      </c>
      <c r="AB1244" s="24"/>
    </row>
    <row r="1245" customFormat="false" ht="29.85" hidden="false" customHeight="false" outlineLevel="0" collapsed="false">
      <c r="A1245" s="15" t="n">
        <v>1244</v>
      </c>
      <c r="B1245" s="9" t="s">
        <v>45</v>
      </c>
      <c r="C1245" s="9" t="s">
        <v>710</v>
      </c>
      <c r="D1245" s="10" t="s">
        <v>711</v>
      </c>
      <c r="E1245" s="11" t="s">
        <v>3446</v>
      </c>
      <c r="F1245" s="17"/>
      <c r="G1245" s="12" t="s">
        <v>176</v>
      </c>
      <c r="H1245" s="13" t="n">
        <v>-0.028</v>
      </c>
      <c r="I1245" s="14"/>
      <c r="J1245" s="17"/>
      <c r="K1245" s="9"/>
      <c r="L1245" s="15" t="s">
        <v>50</v>
      </c>
      <c r="M1245" s="16" t="s">
        <v>51</v>
      </c>
      <c r="N1245" s="14"/>
      <c r="O1245" s="15" t="s">
        <v>52</v>
      </c>
      <c r="P1245" s="17" t="s">
        <v>53</v>
      </c>
      <c r="Q1245" s="15"/>
      <c r="R1245" s="18" t="s">
        <v>51</v>
      </c>
      <c r="S1245" s="19"/>
      <c r="T1245" s="17" t="str">
        <f aca="false">IF(R1245="維持",J1245,IF(R1245="排除","無關新聞事件",IFERROR(INDEX(事件規則!$B$2:$B$53,MATCH(S1245,事件規則!$A$2:$A$53,0)),"")))</f>
        <v>無關新聞事件</v>
      </c>
      <c r="U1245" s="20" t="n">
        <f aca="false">IF(R1245="維持",K1245,IF(R1245="排除",0,IFERROR(INDEX(事件規則!$C$2:$C$53,MATCH(S1245,事件規則!$A$2:$A$53,0)),"")))</f>
        <v>0</v>
      </c>
      <c r="V1245" s="21"/>
      <c r="W1245" s="22"/>
      <c r="X1245" s="10" t="str">
        <f aca="false">IF(AND(R1245="修改",S1245=""),"請選新事件代碼",IF(AND(R1245&lt;&gt;"修改",S1245&lt;&gt;""),"只有「修改」才需填代碼",""))</f>
        <v/>
      </c>
      <c r="Y1245" s="21"/>
      <c r="Z1245" s="22"/>
      <c r="AA1245" s="12" t="s">
        <v>3447</v>
      </c>
      <c r="AB1245" s="24"/>
    </row>
    <row r="1246" customFormat="false" ht="29.85" hidden="false" customHeight="false" outlineLevel="0" collapsed="false">
      <c r="A1246" s="15" t="n">
        <v>1245</v>
      </c>
      <c r="B1246" s="9" t="s">
        <v>45</v>
      </c>
      <c r="C1246" s="9" t="s">
        <v>1555</v>
      </c>
      <c r="D1246" s="10" t="s">
        <v>1556</v>
      </c>
      <c r="E1246" s="11" t="s">
        <v>3448</v>
      </c>
      <c r="F1246" s="17"/>
      <c r="G1246" s="12" t="s">
        <v>949</v>
      </c>
      <c r="H1246" s="13" t="n">
        <v>-0.028</v>
      </c>
      <c r="I1246" s="14"/>
      <c r="J1246" s="17"/>
      <c r="K1246" s="9"/>
      <c r="L1246" s="15" t="s">
        <v>50</v>
      </c>
      <c r="M1246" s="16" t="s">
        <v>51</v>
      </c>
      <c r="N1246" s="14"/>
      <c r="O1246" s="15" t="s">
        <v>52</v>
      </c>
      <c r="P1246" s="17" t="s">
        <v>53</v>
      </c>
      <c r="Q1246" s="15"/>
      <c r="R1246" s="18" t="s">
        <v>51</v>
      </c>
      <c r="S1246" s="19"/>
      <c r="T1246" s="17" t="str">
        <f aca="false">IF(R1246="維持",J1246,IF(R1246="排除","無關新聞事件",IFERROR(INDEX(事件規則!$B$2:$B$53,MATCH(S1246,事件規則!$A$2:$A$53,0)),"")))</f>
        <v>無關新聞事件</v>
      </c>
      <c r="U1246" s="20" t="n">
        <f aca="false">IF(R1246="維持",K1246,IF(R1246="排除",0,IFERROR(INDEX(事件規則!$C$2:$C$53,MATCH(S1246,事件規則!$A$2:$A$53,0)),"")))</f>
        <v>0</v>
      </c>
      <c r="V1246" s="21"/>
      <c r="W1246" s="22"/>
      <c r="X1246" s="10" t="str">
        <f aca="false">IF(AND(R1246="修改",S1246=""),"請選新事件代碼",IF(AND(R1246&lt;&gt;"修改",S1246&lt;&gt;""),"只有「修改」才需填代碼",""))</f>
        <v/>
      </c>
      <c r="Y1246" s="21"/>
      <c r="Z1246" s="22"/>
      <c r="AA1246" s="12" t="s">
        <v>3449</v>
      </c>
      <c r="AB1246" s="24"/>
    </row>
    <row r="1247" customFormat="false" ht="29.85" hidden="false" customHeight="false" outlineLevel="0" collapsed="false">
      <c r="A1247" s="15" t="n">
        <v>1246</v>
      </c>
      <c r="B1247" s="9" t="s">
        <v>45</v>
      </c>
      <c r="C1247" s="9" t="s">
        <v>1555</v>
      </c>
      <c r="D1247" s="10" t="s">
        <v>1556</v>
      </c>
      <c r="E1247" s="11" t="s">
        <v>3450</v>
      </c>
      <c r="F1247" s="17"/>
      <c r="G1247" s="12" t="s">
        <v>949</v>
      </c>
      <c r="H1247" s="13" t="n">
        <v>-0.028</v>
      </c>
      <c r="I1247" s="14"/>
      <c r="J1247" s="17"/>
      <c r="K1247" s="9"/>
      <c r="L1247" s="15" t="s">
        <v>50</v>
      </c>
      <c r="M1247" s="16" t="s">
        <v>51</v>
      </c>
      <c r="N1247" s="14"/>
      <c r="O1247" s="15" t="s">
        <v>52</v>
      </c>
      <c r="P1247" s="17" t="s">
        <v>53</v>
      </c>
      <c r="Q1247" s="15"/>
      <c r="R1247" s="18" t="s">
        <v>51</v>
      </c>
      <c r="S1247" s="19"/>
      <c r="T1247" s="17" t="str">
        <f aca="false">IF(R1247="維持",J1247,IF(R1247="排除","無關新聞事件",IFERROR(INDEX(事件規則!$B$2:$B$53,MATCH(S1247,事件規則!$A$2:$A$53,0)),"")))</f>
        <v>無關新聞事件</v>
      </c>
      <c r="U1247" s="20" t="n">
        <f aca="false">IF(R1247="維持",K1247,IF(R1247="排除",0,IFERROR(INDEX(事件規則!$C$2:$C$53,MATCH(S1247,事件規則!$A$2:$A$53,0)),"")))</f>
        <v>0</v>
      </c>
      <c r="V1247" s="21"/>
      <c r="W1247" s="22"/>
      <c r="X1247" s="10" t="str">
        <f aca="false">IF(AND(R1247="修改",S1247=""),"請選新事件代碼",IF(AND(R1247&lt;&gt;"修改",S1247&lt;&gt;""),"只有「修改」才需填代碼",""))</f>
        <v/>
      </c>
      <c r="Y1247" s="21"/>
      <c r="Z1247" s="22"/>
      <c r="AA1247" s="12" t="s">
        <v>3451</v>
      </c>
      <c r="AB1247" s="24"/>
    </row>
    <row r="1248" customFormat="false" ht="29.85" hidden="false" customHeight="false" outlineLevel="0" collapsed="false">
      <c r="A1248" s="15" t="n">
        <v>1247</v>
      </c>
      <c r="B1248" s="9" t="s">
        <v>45</v>
      </c>
      <c r="C1248" s="9" t="s">
        <v>404</v>
      </c>
      <c r="D1248" s="10" t="s">
        <v>405</v>
      </c>
      <c r="E1248" s="11" t="s">
        <v>3452</v>
      </c>
      <c r="F1248" s="17"/>
      <c r="G1248" s="12" t="s">
        <v>3453</v>
      </c>
      <c r="H1248" s="13" t="n">
        <v>-0.028</v>
      </c>
      <c r="I1248" s="14"/>
      <c r="J1248" s="17"/>
      <c r="K1248" s="9"/>
      <c r="L1248" s="15" t="s">
        <v>50</v>
      </c>
      <c r="M1248" s="16" t="s">
        <v>51</v>
      </c>
      <c r="N1248" s="14"/>
      <c r="O1248" s="15" t="s">
        <v>52</v>
      </c>
      <c r="P1248" s="17" t="s">
        <v>53</v>
      </c>
      <c r="Q1248" s="15"/>
      <c r="R1248" s="18" t="s">
        <v>51</v>
      </c>
      <c r="S1248" s="19"/>
      <c r="T1248" s="17" t="str">
        <f aca="false">IF(R1248="維持",J1248,IF(R1248="排除","無關新聞事件",IFERROR(INDEX(事件規則!$B$2:$B$53,MATCH(S1248,事件規則!$A$2:$A$53,0)),"")))</f>
        <v>無關新聞事件</v>
      </c>
      <c r="U1248" s="20" t="n">
        <f aca="false">IF(R1248="維持",K1248,IF(R1248="排除",0,IFERROR(INDEX(事件規則!$C$2:$C$53,MATCH(S1248,事件規則!$A$2:$A$53,0)),"")))</f>
        <v>0</v>
      </c>
      <c r="V1248" s="21"/>
      <c r="W1248" s="22"/>
      <c r="X1248" s="10" t="str">
        <f aca="false">IF(AND(R1248="修改",S1248=""),"請選新事件代碼",IF(AND(R1248&lt;&gt;"修改",S1248&lt;&gt;""),"只有「修改」才需填代碼",""))</f>
        <v/>
      </c>
      <c r="Y1248" s="21"/>
      <c r="Z1248" s="22"/>
      <c r="AA1248" s="12" t="s">
        <v>3454</v>
      </c>
      <c r="AB1248" s="24"/>
    </row>
    <row r="1249" customFormat="false" ht="29.85" hidden="false" customHeight="false" outlineLevel="0" collapsed="false">
      <c r="A1249" s="15" t="n">
        <v>1248</v>
      </c>
      <c r="B1249" s="9" t="s">
        <v>45</v>
      </c>
      <c r="C1249" s="9" t="s">
        <v>1555</v>
      </c>
      <c r="D1249" s="10" t="s">
        <v>1556</v>
      </c>
      <c r="E1249" s="11" t="s">
        <v>3455</v>
      </c>
      <c r="F1249" s="17"/>
      <c r="G1249" s="12" t="s">
        <v>949</v>
      </c>
      <c r="H1249" s="13" t="n">
        <v>-0.028</v>
      </c>
      <c r="I1249" s="14"/>
      <c r="J1249" s="17"/>
      <c r="K1249" s="9"/>
      <c r="L1249" s="15" t="s">
        <v>50</v>
      </c>
      <c r="M1249" s="16" t="s">
        <v>51</v>
      </c>
      <c r="N1249" s="14"/>
      <c r="O1249" s="15" t="s">
        <v>52</v>
      </c>
      <c r="P1249" s="17" t="s">
        <v>53</v>
      </c>
      <c r="Q1249" s="15"/>
      <c r="R1249" s="18" t="s">
        <v>51</v>
      </c>
      <c r="S1249" s="19"/>
      <c r="T1249" s="17" t="str">
        <f aca="false">IF(R1249="維持",J1249,IF(R1249="排除","無關新聞事件",IFERROR(INDEX(事件規則!$B$2:$B$53,MATCH(S1249,事件規則!$A$2:$A$53,0)),"")))</f>
        <v>無關新聞事件</v>
      </c>
      <c r="U1249" s="20" t="n">
        <f aca="false">IF(R1249="維持",K1249,IF(R1249="排除",0,IFERROR(INDEX(事件規則!$C$2:$C$53,MATCH(S1249,事件規則!$A$2:$A$53,0)),"")))</f>
        <v>0</v>
      </c>
      <c r="V1249" s="21"/>
      <c r="W1249" s="22"/>
      <c r="X1249" s="10" t="str">
        <f aca="false">IF(AND(R1249="修改",S1249=""),"請選新事件代碼",IF(AND(R1249&lt;&gt;"修改",S1249&lt;&gt;""),"只有「修改」才需填代碼",""))</f>
        <v/>
      </c>
      <c r="Y1249" s="21"/>
      <c r="Z1249" s="22"/>
      <c r="AA1249" s="12" t="s">
        <v>3456</v>
      </c>
      <c r="AB1249" s="24"/>
    </row>
    <row r="1250" customFormat="false" ht="29.85" hidden="false" customHeight="false" outlineLevel="0" collapsed="false">
      <c r="A1250" s="15" t="n">
        <v>1249</v>
      </c>
      <c r="B1250" s="9" t="s">
        <v>81</v>
      </c>
      <c r="C1250" s="9" t="s">
        <v>825</v>
      </c>
      <c r="D1250" s="10" t="s">
        <v>826</v>
      </c>
      <c r="E1250" s="11" t="s">
        <v>3457</v>
      </c>
      <c r="F1250" s="17"/>
      <c r="G1250" s="12" t="s">
        <v>1068</v>
      </c>
      <c r="H1250" s="13" t="n">
        <v>-0.028</v>
      </c>
      <c r="I1250" s="14"/>
      <c r="J1250" s="17"/>
      <c r="K1250" s="9"/>
      <c r="L1250" s="15" t="s">
        <v>50</v>
      </c>
      <c r="M1250" s="16" t="s">
        <v>51</v>
      </c>
      <c r="N1250" s="14"/>
      <c r="O1250" s="15" t="s">
        <v>52</v>
      </c>
      <c r="P1250" s="17" t="s">
        <v>53</v>
      </c>
      <c r="Q1250" s="15"/>
      <c r="R1250" s="18" t="s">
        <v>51</v>
      </c>
      <c r="S1250" s="19"/>
      <c r="T1250" s="17" t="str">
        <f aca="false">IF(R1250="維持",J1250,IF(R1250="排除","無關新聞事件",IFERROR(INDEX(事件規則!$B$2:$B$53,MATCH(S1250,事件規則!$A$2:$A$53,0)),"")))</f>
        <v>無關新聞事件</v>
      </c>
      <c r="U1250" s="20" t="n">
        <f aca="false">IF(R1250="維持",K1250,IF(R1250="排除",0,IFERROR(INDEX(事件規則!$C$2:$C$53,MATCH(S1250,事件規則!$A$2:$A$53,0)),"")))</f>
        <v>0</v>
      </c>
      <c r="V1250" s="21"/>
      <c r="W1250" s="22"/>
      <c r="X1250" s="10" t="str">
        <f aca="false">IF(AND(R1250="修改",S1250=""),"請選新事件代碼",IF(AND(R1250&lt;&gt;"修改",S1250&lt;&gt;""),"只有「修改」才需填代碼",""))</f>
        <v/>
      </c>
      <c r="Y1250" s="21"/>
      <c r="Z1250" s="22"/>
      <c r="AA1250" s="12" t="s">
        <v>3458</v>
      </c>
      <c r="AB1250" s="24"/>
    </row>
    <row r="1251" customFormat="false" ht="29.85" hidden="false" customHeight="false" outlineLevel="0" collapsed="false">
      <c r="A1251" s="15" t="n">
        <v>1250</v>
      </c>
      <c r="B1251" s="9" t="s">
        <v>81</v>
      </c>
      <c r="C1251" s="9" t="s">
        <v>113</v>
      </c>
      <c r="D1251" s="10" t="s">
        <v>114</v>
      </c>
      <c r="E1251" s="11" t="s">
        <v>3459</v>
      </c>
      <c r="F1251" s="17"/>
      <c r="G1251" s="12" t="s">
        <v>142</v>
      </c>
      <c r="H1251" s="13" t="n">
        <v>-0.028</v>
      </c>
      <c r="I1251" s="14"/>
      <c r="J1251" s="17"/>
      <c r="K1251" s="9"/>
      <c r="L1251" s="15" t="s">
        <v>50</v>
      </c>
      <c r="M1251" s="16" t="s">
        <v>51</v>
      </c>
      <c r="N1251" s="14"/>
      <c r="O1251" s="15" t="s">
        <v>52</v>
      </c>
      <c r="P1251" s="17" t="s">
        <v>53</v>
      </c>
      <c r="Q1251" s="15"/>
      <c r="R1251" s="18" t="s">
        <v>51</v>
      </c>
      <c r="S1251" s="19"/>
      <c r="T1251" s="17" t="str">
        <f aca="false">IF(R1251="維持",J1251,IF(R1251="排除","無關新聞事件",IFERROR(INDEX(事件規則!$B$2:$B$53,MATCH(S1251,事件規則!$A$2:$A$53,0)),"")))</f>
        <v>無關新聞事件</v>
      </c>
      <c r="U1251" s="20" t="n">
        <f aca="false">IF(R1251="維持",K1251,IF(R1251="排除",0,IFERROR(INDEX(事件規則!$C$2:$C$53,MATCH(S1251,事件規則!$A$2:$A$53,0)),"")))</f>
        <v>0</v>
      </c>
      <c r="V1251" s="21"/>
      <c r="W1251" s="22"/>
      <c r="X1251" s="10" t="str">
        <f aca="false">IF(AND(R1251="修改",S1251=""),"請選新事件代碼",IF(AND(R1251&lt;&gt;"修改",S1251&lt;&gt;""),"只有「修改」才需填代碼",""))</f>
        <v/>
      </c>
      <c r="Y1251" s="21"/>
      <c r="Z1251" s="22"/>
      <c r="AA1251" s="12" t="s">
        <v>3460</v>
      </c>
      <c r="AB1251" s="24"/>
    </row>
    <row r="1252" customFormat="false" ht="29.85" hidden="false" customHeight="false" outlineLevel="0" collapsed="false">
      <c r="A1252" s="15" t="n">
        <v>1251</v>
      </c>
      <c r="B1252" s="9" t="s">
        <v>81</v>
      </c>
      <c r="C1252" s="9" t="s">
        <v>957</v>
      </c>
      <c r="D1252" s="10" t="s">
        <v>958</v>
      </c>
      <c r="E1252" s="11" t="s">
        <v>3461</v>
      </c>
      <c r="F1252" s="17"/>
      <c r="G1252" s="12" t="s">
        <v>3462</v>
      </c>
      <c r="H1252" s="13" t="n">
        <v>-0.028</v>
      </c>
      <c r="I1252" s="14"/>
      <c r="J1252" s="17"/>
      <c r="K1252" s="9"/>
      <c r="L1252" s="15" t="s">
        <v>50</v>
      </c>
      <c r="M1252" s="16" t="s">
        <v>51</v>
      </c>
      <c r="N1252" s="14"/>
      <c r="O1252" s="15" t="s">
        <v>52</v>
      </c>
      <c r="P1252" s="17" t="s">
        <v>53</v>
      </c>
      <c r="Q1252" s="15"/>
      <c r="R1252" s="18" t="s">
        <v>51</v>
      </c>
      <c r="S1252" s="19"/>
      <c r="T1252" s="17" t="str">
        <f aca="false">IF(R1252="維持",J1252,IF(R1252="排除","無關新聞事件",IFERROR(INDEX(事件規則!$B$2:$B$53,MATCH(S1252,事件規則!$A$2:$A$53,0)),"")))</f>
        <v>無關新聞事件</v>
      </c>
      <c r="U1252" s="20" t="n">
        <f aca="false">IF(R1252="維持",K1252,IF(R1252="排除",0,IFERROR(INDEX(事件規則!$C$2:$C$53,MATCH(S1252,事件規則!$A$2:$A$53,0)),"")))</f>
        <v>0</v>
      </c>
      <c r="V1252" s="21"/>
      <c r="W1252" s="22"/>
      <c r="X1252" s="10" t="str">
        <f aca="false">IF(AND(R1252="修改",S1252=""),"請選新事件代碼",IF(AND(R1252&lt;&gt;"修改",S1252&lt;&gt;""),"只有「修改」才需填代碼",""))</f>
        <v/>
      </c>
      <c r="Y1252" s="21"/>
      <c r="Z1252" s="22"/>
      <c r="AA1252" s="12" t="s">
        <v>3463</v>
      </c>
      <c r="AB1252" s="24"/>
    </row>
    <row r="1253" customFormat="false" ht="29.85" hidden="false" customHeight="false" outlineLevel="0" collapsed="false">
      <c r="A1253" s="15" t="n">
        <v>1252</v>
      </c>
      <c r="B1253" s="9" t="s">
        <v>45</v>
      </c>
      <c r="C1253" s="9" t="s">
        <v>1555</v>
      </c>
      <c r="D1253" s="10" t="s">
        <v>1556</v>
      </c>
      <c r="E1253" s="11" t="s">
        <v>3464</v>
      </c>
      <c r="F1253" s="17"/>
      <c r="G1253" s="12" t="s">
        <v>949</v>
      </c>
      <c r="H1253" s="13" t="n">
        <v>-0.028</v>
      </c>
      <c r="I1253" s="14"/>
      <c r="J1253" s="17"/>
      <c r="K1253" s="9"/>
      <c r="L1253" s="15" t="s">
        <v>50</v>
      </c>
      <c r="M1253" s="16" t="s">
        <v>51</v>
      </c>
      <c r="N1253" s="14"/>
      <c r="O1253" s="15" t="s">
        <v>52</v>
      </c>
      <c r="P1253" s="17" t="s">
        <v>53</v>
      </c>
      <c r="Q1253" s="15"/>
      <c r="R1253" s="18" t="s">
        <v>51</v>
      </c>
      <c r="S1253" s="19"/>
      <c r="T1253" s="17" t="str">
        <f aca="false">IF(R1253="維持",J1253,IF(R1253="排除","無關新聞事件",IFERROR(INDEX(事件規則!$B$2:$B$53,MATCH(S1253,事件規則!$A$2:$A$53,0)),"")))</f>
        <v>無關新聞事件</v>
      </c>
      <c r="U1253" s="20" t="n">
        <f aca="false">IF(R1253="維持",K1253,IF(R1253="排除",0,IFERROR(INDEX(事件規則!$C$2:$C$53,MATCH(S1253,事件規則!$A$2:$A$53,0)),"")))</f>
        <v>0</v>
      </c>
      <c r="V1253" s="21"/>
      <c r="W1253" s="22"/>
      <c r="X1253" s="10" t="str">
        <f aca="false">IF(AND(R1253="修改",S1253=""),"請選新事件代碼",IF(AND(R1253&lt;&gt;"修改",S1253&lt;&gt;""),"只有「修改」才需填代碼",""))</f>
        <v/>
      </c>
      <c r="Y1253" s="21"/>
      <c r="Z1253" s="22"/>
      <c r="AA1253" s="12" t="s">
        <v>3465</v>
      </c>
      <c r="AB1253" s="24"/>
    </row>
    <row r="1254" customFormat="false" ht="29.85" hidden="false" customHeight="false" outlineLevel="0" collapsed="false">
      <c r="A1254" s="15" t="n">
        <v>1253</v>
      </c>
      <c r="B1254" s="9" t="s">
        <v>45</v>
      </c>
      <c r="C1254" s="9" t="s">
        <v>973</v>
      </c>
      <c r="D1254" s="10" t="s">
        <v>974</v>
      </c>
      <c r="E1254" s="11" t="s">
        <v>3466</v>
      </c>
      <c r="F1254" s="17"/>
      <c r="G1254" s="12" t="s">
        <v>169</v>
      </c>
      <c r="H1254" s="13" t="n">
        <v>-0.028</v>
      </c>
      <c r="I1254" s="14"/>
      <c r="J1254" s="17"/>
      <c r="K1254" s="9"/>
      <c r="L1254" s="15" t="s">
        <v>50</v>
      </c>
      <c r="M1254" s="16" t="s">
        <v>51</v>
      </c>
      <c r="N1254" s="14"/>
      <c r="O1254" s="15" t="s">
        <v>52</v>
      </c>
      <c r="P1254" s="17" t="s">
        <v>53</v>
      </c>
      <c r="Q1254" s="15"/>
      <c r="R1254" s="18" t="s">
        <v>51</v>
      </c>
      <c r="S1254" s="19"/>
      <c r="T1254" s="17" t="str">
        <f aca="false">IF(R1254="維持",J1254,IF(R1254="排除","無關新聞事件",IFERROR(INDEX(事件規則!$B$2:$B$53,MATCH(S1254,事件規則!$A$2:$A$53,0)),"")))</f>
        <v>無關新聞事件</v>
      </c>
      <c r="U1254" s="20" t="n">
        <f aca="false">IF(R1254="維持",K1254,IF(R1254="排除",0,IFERROR(INDEX(事件規則!$C$2:$C$53,MATCH(S1254,事件規則!$A$2:$A$53,0)),"")))</f>
        <v>0</v>
      </c>
      <c r="V1254" s="21"/>
      <c r="W1254" s="22"/>
      <c r="X1254" s="10" t="str">
        <f aca="false">IF(AND(R1254="修改",S1254=""),"請選新事件代碼",IF(AND(R1254&lt;&gt;"修改",S1254&lt;&gt;""),"只有「修改」才需填代碼",""))</f>
        <v/>
      </c>
      <c r="Y1254" s="21"/>
      <c r="Z1254" s="22"/>
      <c r="AA1254" s="12" t="s">
        <v>3467</v>
      </c>
      <c r="AB1254" s="24"/>
    </row>
    <row r="1255" customFormat="false" ht="29.85" hidden="false" customHeight="false" outlineLevel="0" collapsed="false">
      <c r="A1255" s="15" t="n">
        <v>1254</v>
      </c>
      <c r="B1255" s="9" t="s">
        <v>112</v>
      </c>
      <c r="C1255" s="9" t="s">
        <v>889</v>
      </c>
      <c r="D1255" s="10" t="s">
        <v>890</v>
      </c>
      <c r="E1255" s="11" t="s">
        <v>3468</v>
      </c>
      <c r="F1255" s="17"/>
      <c r="G1255" s="12" t="s">
        <v>949</v>
      </c>
      <c r="H1255" s="13" t="n">
        <v>-0.028</v>
      </c>
      <c r="I1255" s="14"/>
      <c r="J1255" s="17"/>
      <c r="K1255" s="9"/>
      <c r="L1255" s="15" t="s">
        <v>50</v>
      </c>
      <c r="M1255" s="16" t="s">
        <v>51</v>
      </c>
      <c r="N1255" s="14"/>
      <c r="O1255" s="15" t="s">
        <v>52</v>
      </c>
      <c r="P1255" s="17" t="s">
        <v>53</v>
      </c>
      <c r="Q1255" s="15"/>
      <c r="R1255" s="18" t="s">
        <v>51</v>
      </c>
      <c r="S1255" s="19"/>
      <c r="T1255" s="17" t="str">
        <f aca="false">IF(R1255="維持",J1255,IF(R1255="排除","無關新聞事件",IFERROR(INDEX(事件規則!$B$2:$B$53,MATCH(S1255,事件規則!$A$2:$A$53,0)),"")))</f>
        <v>無關新聞事件</v>
      </c>
      <c r="U1255" s="20" t="n">
        <f aca="false">IF(R1255="維持",K1255,IF(R1255="排除",0,IFERROR(INDEX(事件規則!$C$2:$C$53,MATCH(S1255,事件規則!$A$2:$A$53,0)),"")))</f>
        <v>0</v>
      </c>
      <c r="V1255" s="21"/>
      <c r="W1255" s="22"/>
      <c r="X1255" s="10" t="str">
        <f aca="false">IF(AND(R1255="修改",S1255=""),"請選新事件代碼",IF(AND(R1255&lt;&gt;"修改",S1255&lt;&gt;""),"只有「修改」才需填代碼",""))</f>
        <v/>
      </c>
      <c r="Y1255" s="21"/>
      <c r="Z1255" s="22"/>
      <c r="AA1255" s="12" t="s">
        <v>3469</v>
      </c>
      <c r="AB1255" s="24"/>
    </row>
    <row r="1256" customFormat="false" ht="29.85" hidden="false" customHeight="false" outlineLevel="0" collapsed="false">
      <c r="A1256" s="15" t="n">
        <v>1255</v>
      </c>
      <c r="B1256" s="9" t="s">
        <v>45</v>
      </c>
      <c r="C1256" s="9" t="s">
        <v>1555</v>
      </c>
      <c r="D1256" s="10" t="s">
        <v>1556</v>
      </c>
      <c r="E1256" s="11" t="s">
        <v>3470</v>
      </c>
      <c r="F1256" s="17"/>
      <c r="G1256" s="12" t="s">
        <v>949</v>
      </c>
      <c r="H1256" s="13" t="n">
        <v>-0.028</v>
      </c>
      <c r="I1256" s="14"/>
      <c r="J1256" s="17"/>
      <c r="K1256" s="9"/>
      <c r="L1256" s="15" t="s">
        <v>50</v>
      </c>
      <c r="M1256" s="16" t="s">
        <v>51</v>
      </c>
      <c r="N1256" s="14"/>
      <c r="O1256" s="15" t="s">
        <v>52</v>
      </c>
      <c r="P1256" s="17" t="s">
        <v>53</v>
      </c>
      <c r="Q1256" s="15"/>
      <c r="R1256" s="18" t="s">
        <v>51</v>
      </c>
      <c r="S1256" s="19"/>
      <c r="T1256" s="17" t="str">
        <f aca="false">IF(R1256="維持",J1256,IF(R1256="排除","無關新聞事件",IFERROR(INDEX(事件規則!$B$2:$B$53,MATCH(S1256,事件規則!$A$2:$A$53,0)),"")))</f>
        <v>無關新聞事件</v>
      </c>
      <c r="U1256" s="20" t="n">
        <f aca="false">IF(R1256="維持",K1256,IF(R1256="排除",0,IFERROR(INDEX(事件規則!$C$2:$C$53,MATCH(S1256,事件規則!$A$2:$A$53,0)),"")))</f>
        <v>0</v>
      </c>
      <c r="V1256" s="21"/>
      <c r="W1256" s="22"/>
      <c r="X1256" s="10" t="str">
        <f aca="false">IF(AND(R1256="修改",S1256=""),"請選新事件代碼",IF(AND(R1256&lt;&gt;"修改",S1256&lt;&gt;""),"只有「修改」才需填代碼",""))</f>
        <v/>
      </c>
      <c r="Y1256" s="21"/>
      <c r="Z1256" s="22"/>
      <c r="AA1256" s="12" t="s">
        <v>3471</v>
      </c>
      <c r="AB1256" s="24"/>
    </row>
    <row r="1257" customFormat="false" ht="29.85" hidden="false" customHeight="false" outlineLevel="0" collapsed="false">
      <c r="A1257" s="15" t="n">
        <v>1256</v>
      </c>
      <c r="B1257" s="9" t="s">
        <v>45</v>
      </c>
      <c r="C1257" s="9" t="s">
        <v>1555</v>
      </c>
      <c r="D1257" s="10" t="s">
        <v>1556</v>
      </c>
      <c r="E1257" s="11" t="s">
        <v>3472</v>
      </c>
      <c r="F1257" s="17"/>
      <c r="G1257" s="12" t="s">
        <v>949</v>
      </c>
      <c r="H1257" s="13" t="n">
        <v>-0.028</v>
      </c>
      <c r="I1257" s="14"/>
      <c r="J1257" s="17"/>
      <c r="K1257" s="9"/>
      <c r="L1257" s="15" t="s">
        <v>50</v>
      </c>
      <c r="M1257" s="16" t="s">
        <v>51</v>
      </c>
      <c r="N1257" s="14"/>
      <c r="O1257" s="15" t="s">
        <v>52</v>
      </c>
      <c r="P1257" s="17" t="s">
        <v>53</v>
      </c>
      <c r="Q1257" s="15"/>
      <c r="R1257" s="18" t="s">
        <v>51</v>
      </c>
      <c r="S1257" s="19"/>
      <c r="T1257" s="17" t="str">
        <f aca="false">IF(R1257="維持",J1257,IF(R1257="排除","無關新聞事件",IFERROR(INDEX(事件規則!$B$2:$B$53,MATCH(S1257,事件規則!$A$2:$A$53,0)),"")))</f>
        <v>無關新聞事件</v>
      </c>
      <c r="U1257" s="20" t="n">
        <f aca="false">IF(R1257="維持",K1257,IF(R1257="排除",0,IFERROR(INDEX(事件規則!$C$2:$C$53,MATCH(S1257,事件規則!$A$2:$A$53,0)),"")))</f>
        <v>0</v>
      </c>
      <c r="V1257" s="21"/>
      <c r="W1257" s="22"/>
      <c r="X1257" s="10" t="str">
        <f aca="false">IF(AND(R1257="修改",S1257=""),"請選新事件代碼",IF(AND(R1257&lt;&gt;"修改",S1257&lt;&gt;""),"只有「修改」才需填代碼",""))</f>
        <v/>
      </c>
      <c r="Y1257" s="21"/>
      <c r="Z1257" s="22"/>
      <c r="AA1257" s="12" t="s">
        <v>3473</v>
      </c>
      <c r="AB1257" s="24"/>
    </row>
    <row r="1258" customFormat="false" ht="29.85" hidden="false" customHeight="false" outlineLevel="0" collapsed="false">
      <c r="A1258" s="15" t="n">
        <v>1257</v>
      </c>
      <c r="B1258" s="9" t="s">
        <v>112</v>
      </c>
      <c r="C1258" s="9" t="s">
        <v>917</v>
      </c>
      <c r="D1258" s="10" t="s">
        <v>918</v>
      </c>
      <c r="E1258" s="11" t="s">
        <v>3474</v>
      </c>
      <c r="F1258" s="17"/>
      <c r="G1258" s="12" t="s">
        <v>105</v>
      </c>
      <c r="H1258" s="13" t="n">
        <v>-0.028</v>
      </c>
      <c r="I1258" s="14"/>
      <c r="J1258" s="17"/>
      <c r="K1258" s="9"/>
      <c r="L1258" s="15" t="s">
        <v>50</v>
      </c>
      <c r="M1258" s="16" t="s">
        <v>51</v>
      </c>
      <c r="N1258" s="14"/>
      <c r="O1258" s="15" t="s">
        <v>52</v>
      </c>
      <c r="P1258" s="17" t="s">
        <v>53</v>
      </c>
      <c r="Q1258" s="15"/>
      <c r="R1258" s="18" t="s">
        <v>51</v>
      </c>
      <c r="S1258" s="19"/>
      <c r="T1258" s="17" t="str">
        <f aca="false">IF(R1258="維持",J1258,IF(R1258="排除","無關新聞事件",IFERROR(INDEX(事件規則!$B$2:$B$53,MATCH(S1258,事件規則!$A$2:$A$53,0)),"")))</f>
        <v>無關新聞事件</v>
      </c>
      <c r="U1258" s="20" t="n">
        <f aca="false">IF(R1258="維持",K1258,IF(R1258="排除",0,IFERROR(INDEX(事件規則!$C$2:$C$53,MATCH(S1258,事件規則!$A$2:$A$53,0)),"")))</f>
        <v>0</v>
      </c>
      <c r="V1258" s="21"/>
      <c r="W1258" s="22"/>
      <c r="X1258" s="10" t="str">
        <f aca="false">IF(AND(R1258="修改",S1258=""),"請選新事件代碼",IF(AND(R1258&lt;&gt;"修改",S1258&lt;&gt;""),"只有「修改」才需填代碼",""))</f>
        <v/>
      </c>
      <c r="Y1258" s="21"/>
      <c r="Z1258" s="22"/>
      <c r="AA1258" s="12" t="s">
        <v>3475</v>
      </c>
      <c r="AB1258" s="24"/>
    </row>
    <row r="1259" customFormat="false" ht="29.85" hidden="false" customHeight="false" outlineLevel="0" collapsed="false">
      <c r="A1259" s="15" t="n">
        <v>1258</v>
      </c>
      <c r="B1259" s="9" t="s">
        <v>112</v>
      </c>
      <c r="C1259" s="9" t="s">
        <v>2432</v>
      </c>
      <c r="D1259" s="10" t="s">
        <v>2433</v>
      </c>
      <c r="E1259" s="11" t="s">
        <v>3476</v>
      </c>
      <c r="F1259" s="17"/>
      <c r="G1259" s="12" t="s">
        <v>176</v>
      </c>
      <c r="H1259" s="13" t="n">
        <v>-0.028</v>
      </c>
      <c r="I1259" s="14"/>
      <c r="J1259" s="17"/>
      <c r="K1259" s="9"/>
      <c r="L1259" s="15" t="s">
        <v>50</v>
      </c>
      <c r="M1259" s="16" t="s">
        <v>51</v>
      </c>
      <c r="N1259" s="14"/>
      <c r="O1259" s="15" t="s">
        <v>52</v>
      </c>
      <c r="P1259" s="17" t="s">
        <v>53</v>
      </c>
      <c r="Q1259" s="15"/>
      <c r="R1259" s="18" t="s">
        <v>51</v>
      </c>
      <c r="S1259" s="19"/>
      <c r="T1259" s="17" t="str">
        <f aca="false">IF(R1259="維持",J1259,IF(R1259="排除","無關新聞事件",IFERROR(INDEX(事件規則!$B$2:$B$53,MATCH(S1259,事件規則!$A$2:$A$53,0)),"")))</f>
        <v>無關新聞事件</v>
      </c>
      <c r="U1259" s="20" t="n">
        <f aca="false">IF(R1259="維持",K1259,IF(R1259="排除",0,IFERROR(INDEX(事件規則!$C$2:$C$53,MATCH(S1259,事件規則!$A$2:$A$53,0)),"")))</f>
        <v>0</v>
      </c>
      <c r="V1259" s="21"/>
      <c r="W1259" s="22"/>
      <c r="X1259" s="10" t="str">
        <f aca="false">IF(AND(R1259="修改",S1259=""),"請選新事件代碼",IF(AND(R1259&lt;&gt;"修改",S1259&lt;&gt;""),"只有「修改」才需填代碼",""))</f>
        <v/>
      </c>
      <c r="Y1259" s="21"/>
      <c r="Z1259" s="22"/>
      <c r="AA1259" s="12" t="s">
        <v>3477</v>
      </c>
      <c r="AB1259" s="24"/>
    </row>
    <row r="1260" customFormat="false" ht="29.85" hidden="false" customHeight="false" outlineLevel="0" collapsed="false">
      <c r="A1260" s="15" t="n">
        <v>1259</v>
      </c>
      <c r="B1260" s="9" t="s">
        <v>55</v>
      </c>
      <c r="C1260" s="9" t="s">
        <v>315</v>
      </c>
      <c r="D1260" s="10" t="s">
        <v>316</v>
      </c>
      <c r="E1260" s="11" t="s">
        <v>3478</v>
      </c>
      <c r="F1260" s="17"/>
      <c r="G1260" s="12" t="s">
        <v>949</v>
      </c>
      <c r="H1260" s="13" t="n">
        <v>-0.028</v>
      </c>
      <c r="I1260" s="14"/>
      <c r="J1260" s="17"/>
      <c r="K1260" s="9"/>
      <c r="L1260" s="15" t="s">
        <v>50</v>
      </c>
      <c r="M1260" s="16" t="s">
        <v>51</v>
      </c>
      <c r="N1260" s="14"/>
      <c r="O1260" s="15" t="s">
        <v>52</v>
      </c>
      <c r="P1260" s="17" t="s">
        <v>53</v>
      </c>
      <c r="Q1260" s="15"/>
      <c r="R1260" s="18" t="s">
        <v>51</v>
      </c>
      <c r="S1260" s="19"/>
      <c r="T1260" s="17" t="str">
        <f aca="false">IF(R1260="維持",J1260,IF(R1260="排除","無關新聞事件",IFERROR(INDEX(事件規則!$B$2:$B$53,MATCH(S1260,事件規則!$A$2:$A$53,0)),"")))</f>
        <v>無關新聞事件</v>
      </c>
      <c r="U1260" s="20" t="n">
        <f aca="false">IF(R1260="維持",K1260,IF(R1260="排除",0,IFERROR(INDEX(事件規則!$C$2:$C$53,MATCH(S1260,事件規則!$A$2:$A$53,0)),"")))</f>
        <v>0</v>
      </c>
      <c r="V1260" s="21"/>
      <c r="W1260" s="22"/>
      <c r="X1260" s="10" t="str">
        <f aca="false">IF(AND(R1260="修改",S1260=""),"請選新事件代碼",IF(AND(R1260&lt;&gt;"修改",S1260&lt;&gt;""),"只有「修改」才需填代碼",""))</f>
        <v/>
      </c>
      <c r="Y1260" s="21"/>
      <c r="Z1260" s="22"/>
      <c r="AA1260" s="12" t="s">
        <v>3479</v>
      </c>
      <c r="AB1260" s="24"/>
    </row>
    <row r="1261" customFormat="false" ht="29.85" hidden="false" customHeight="false" outlineLevel="0" collapsed="false">
      <c r="A1261" s="15" t="n">
        <v>1260</v>
      </c>
      <c r="B1261" s="9" t="s">
        <v>45</v>
      </c>
      <c r="C1261" s="9" t="s">
        <v>476</v>
      </c>
      <c r="D1261" s="10" t="s">
        <v>477</v>
      </c>
      <c r="E1261" s="11" t="s">
        <v>3480</v>
      </c>
      <c r="F1261" s="17"/>
      <c r="G1261" s="12" t="s">
        <v>3481</v>
      </c>
      <c r="H1261" s="13" t="n">
        <v>-0.028</v>
      </c>
      <c r="I1261" s="14"/>
      <c r="J1261" s="17"/>
      <c r="K1261" s="9"/>
      <c r="L1261" s="15" t="s">
        <v>50</v>
      </c>
      <c r="M1261" s="16" t="s">
        <v>51</v>
      </c>
      <c r="N1261" s="14"/>
      <c r="O1261" s="15" t="s">
        <v>52</v>
      </c>
      <c r="P1261" s="17" t="s">
        <v>53</v>
      </c>
      <c r="Q1261" s="15"/>
      <c r="R1261" s="18" t="s">
        <v>51</v>
      </c>
      <c r="S1261" s="19"/>
      <c r="T1261" s="17" t="str">
        <f aca="false">IF(R1261="維持",J1261,IF(R1261="排除","無關新聞事件",IFERROR(INDEX(事件規則!$B$2:$B$53,MATCH(S1261,事件規則!$A$2:$A$53,0)),"")))</f>
        <v>無關新聞事件</v>
      </c>
      <c r="U1261" s="20" t="n">
        <f aca="false">IF(R1261="維持",K1261,IF(R1261="排除",0,IFERROR(INDEX(事件規則!$C$2:$C$53,MATCH(S1261,事件規則!$A$2:$A$53,0)),"")))</f>
        <v>0</v>
      </c>
      <c r="V1261" s="21"/>
      <c r="W1261" s="22"/>
      <c r="X1261" s="10" t="str">
        <f aca="false">IF(AND(R1261="修改",S1261=""),"請選新事件代碼",IF(AND(R1261&lt;&gt;"修改",S1261&lt;&gt;""),"只有「修改」才需填代碼",""))</f>
        <v/>
      </c>
      <c r="Y1261" s="21"/>
      <c r="Z1261" s="22"/>
      <c r="AA1261" s="12" t="s">
        <v>3482</v>
      </c>
      <c r="AB1261" s="24"/>
    </row>
    <row r="1262" customFormat="false" ht="29.85" hidden="false" customHeight="false" outlineLevel="0" collapsed="false">
      <c r="A1262" s="15" t="n">
        <v>1261</v>
      </c>
      <c r="B1262" s="9" t="s">
        <v>55</v>
      </c>
      <c r="C1262" s="9" t="s">
        <v>973</v>
      </c>
      <c r="D1262" s="10" t="s">
        <v>974</v>
      </c>
      <c r="E1262" s="11" t="s">
        <v>3483</v>
      </c>
      <c r="F1262" s="17"/>
      <c r="G1262" s="12" t="s">
        <v>49</v>
      </c>
      <c r="H1262" s="13" t="n">
        <v>-0.028</v>
      </c>
      <c r="I1262" s="14"/>
      <c r="J1262" s="17"/>
      <c r="K1262" s="9"/>
      <c r="L1262" s="15" t="s">
        <v>50</v>
      </c>
      <c r="M1262" s="16" t="s">
        <v>51</v>
      </c>
      <c r="N1262" s="14"/>
      <c r="O1262" s="15" t="s">
        <v>52</v>
      </c>
      <c r="P1262" s="17" t="s">
        <v>53</v>
      </c>
      <c r="Q1262" s="15"/>
      <c r="R1262" s="18" t="s">
        <v>51</v>
      </c>
      <c r="S1262" s="19"/>
      <c r="T1262" s="17" t="str">
        <f aca="false">IF(R1262="維持",J1262,IF(R1262="排除","無關新聞事件",IFERROR(INDEX(事件規則!$B$2:$B$53,MATCH(S1262,事件規則!$A$2:$A$53,0)),"")))</f>
        <v>無關新聞事件</v>
      </c>
      <c r="U1262" s="20" t="n">
        <f aca="false">IF(R1262="維持",K1262,IF(R1262="排除",0,IFERROR(INDEX(事件規則!$C$2:$C$53,MATCH(S1262,事件規則!$A$2:$A$53,0)),"")))</f>
        <v>0</v>
      </c>
      <c r="V1262" s="21"/>
      <c r="W1262" s="22"/>
      <c r="X1262" s="10" t="str">
        <f aca="false">IF(AND(R1262="修改",S1262=""),"請選新事件代碼",IF(AND(R1262&lt;&gt;"修改",S1262&lt;&gt;""),"只有「修改」才需填代碼",""))</f>
        <v/>
      </c>
      <c r="Y1262" s="21"/>
      <c r="Z1262" s="22"/>
      <c r="AA1262" s="12" t="s">
        <v>3484</v>
      </c>
      <c r="AB1262" s="24"/>
    </row>
    <row r="1263" customFormat="false" ht="29.85" hidden="false" customHeight="false" outlineLevel="0" collapsed="false">
      <c r="A1263" s="15" t="n">
        <v>1262</v>
      </c>
      <c r="B1263" s="9" t="s">
        <v>55</v>
      </c>
      <c r="C1263" s="9" t="s">
        <v>751</v>
      </c>
      <c r="D1263" s="10" t="s">
        <v>752</v>
      </c>
      <c r="E1263" s="11" t="s">
        <v>3485</v>
      </c>
      <c r="F1263" s="17"/>
      <c r="G1263" s="12" t="s">
        <v>949</v>
      </c>
      <c r="H1263" s="13" t="n">
        <v>-0.028</v>
      </c>
      <c r="I1263" s="14"/>
      <c r="J1263" s="17"/>
      <c r="K1263" s="9"/>
      <c r="L1263" s="15" t="s">
        <v>50</v>
      </c>
      <c r="M1263" s="16" t="s">
        <v>51</v>
      </c>
      <c r="N1263" s="14"/>
      <c r="O1263" s="15" t="s">
        <v>52</v>
      </c>
      <c r="P1263" s="17" t="s">
        <v>53</v>
      </c>
      <c r="Q1263" s="15"/>
      <c r="R1263" s="18" t="s">
        <v>51</v>
      </c>
      <c r="S1263" s="19"/>
      <c r="T1263" s="17" t="str">
        <f aca="false">IF(R1263="維持",J1263,IF(R1263="排除","無關新聞事件",IFERROR(INDEX(事件規則!$B$2:$B$53,MATCH(S1263,事件規則!$A$2:$A$53,0)),"")))</f>
        <v>無關新聞事件</v>
      </c>
      <c r="U1263" s="20" t="n">
        <f aca="false">IF(R1263="維持",K1263,IF(R1263="排除",0,IFERROR(INDEX(事件規則!$C$2:$C$53,MATCH(S1263,事件規則!$A$2:$A$53,0)),"")))</f>
        <v>0</v>
      </c>
      <c r="V1263" s="21"/>
      <c r="W1263" s="22"/>
      <c r="X1263" s="10" t="str">
        <f aca="false">IF(AND(R1263="修改",S1263=""),"請選新事件代碼",IF(AND(R1263&lt;&gt;"修改",S1263&lt;&gt;""),"只有「修改」才需填代碼",""))</f>
        <v/>
      </c>
      <c r="Y1263" s="21"/>
      <c r="Z1263" s="22"/>
      <c r="AA1263" s="12" t="s">
        <v>3486</v>
      </c>
      <c r="AB1263" s="24"/>
    </row>
    <row r="1264" customFormat="false" ht="29.85" hidden="false" customHeight="false" outlineLevel="0" collapsed="false">
      <c r="A1264" s="15" t="n">
        <v>1263</v>
      </c>
      <c r="B1264" s="9" t="s">
        <v>112</v>
      </c>
      <c r="C1264" s="9" t="s">
        <v>917</v>
      </c>
      <c r="D1264" s="10" t="s">
        <v>918</v>
      </c>
      <c r="E1264" s="11" t="s">
        <v>3487</v>
      </c>
      <c r="F1264" s="17"/>
      <c r="G1264" s="12" t="s">
        <v>1068</v>
      </c>
      <c r="H1264" s="13" t="n">
        <v>-0.028</v>
      </c>
      <c r="I1264" s="14"/>
      <c r="J1264" s="17"/>
      <c r="K1264" s="9"/>
      <c r="L1264" s="15" t="s">
        <v>50</v>
      </c>
      <c r="M1264" s="16" t="s">
        <v>51</v>
      </c>
      <c r="N1264" s="14"/>
      <c r="O1264" s="15" t="s">
        <v>52</v>
      </c>
      <c r="P1264" s="17" t="s">
        <v>53</v>
      </c>
      <c r="Q1264" s="15"/>
      <c r="R1264" s="18" t="s">
        <v>51</v>
      </c>
      <c r="S1264" s="19"/>
      <c r="T1264" s="17" t="str">
        <f aca="false">IF(R1264="維持",J1264,IF(R1264="排除","無關新聞事件",IFERROR(INDEX(事件規則!$B$2:$B$53,MATCH(S1264,事件規則!$A$2:$A$53,0)),"")))</f>
        <v>無關新聞事件</v>
      </c>
      <c r="U1264" s="20" t="n">
        <f aca="false">IF(R1264="維持",K1264,IF(R1264="排除",0,IFERROR(INDEX(事件規則!$C$2:$C$53,MATCH(S1264,事件規則!$A$2:$A$53,0)),"")))</f>
        <v>0</v>
      </c>
      <c r="V1264" s="21"/>
      <c r="W1264" s="22"/>
      <c r="X1264" s="10" t="str">
        <f aca="false">IF(AND(R1264="修改",S1264=""),"請選新事件代碼",IF(AND(R1264&lt;&gt;"修改",S1264&lt;&gt;""),"只有「修改」才需填代碼",""))</f>
        <v/>
      </c>
      <c r="Y1264" s="21"/>
      <c r="Z1264" s="22"/>
      <c r="AA1264" s="12" t="s">
        <v>3488</v>
      </c>
      <c r="AB1264" s="24"/>
    </row>
    <row r="1265" customFormat="false" ht="29.85" hidden="false" customHeight="false" outlineLevel="0" collapsed="false">
      <c r="A1265" s="15" t="n">
        <v>1264</v>
      </c>
      <c r="B1265" s="9" t="s">
        <v>112</v>
      </c>
      <c r="C1265" s="9" t="s">
        <v>156</v>
      </c>
      <c r="D1265" s="10" t="s">
        <v>157</v>
      </c>
      <c r="E1265" s="11" t="s">
        <v>3489</v>
      </c>
      <c r="F1265" s="17"/>
      <c r="G1265" s="12" t="s">
        <v>2033</v>
      </c>
      <c r="H1265" s="13" t="n">
        <v>-0.028</v>
      </c>
      <c r="I1265" s="14"/>
      <c r="J1265" s="17"/>
      <c r="K1265" s="9"/>
      <c r="L1265" s="15" t="s">
        <v>50</v>
      </c>
      <c r="M1265" s="16" t="s">
        <v>51</v>
      </c>
      <c r="N1265" s="14"/>
      <c r="O1265" s="15" t="s">
        <v>52</v>
      </c>
      <c r="P1265" s="17" t="s">
        <v>53</v>
      </c>
      <c r="Q1265" s="15"/>
      <c r="R1265" s="18" t="s">
        <v>51</v>
      </c>
      <c r="S1265" s="19"/>
      <c r="T1265" s="17" t="str">
        <f aca="false">IF(R1265="維持",J1265,IF(R1265="排除","無關新聞事件",IFERROR(INDEX(事件規則!$B$2:$B$53,MATCH(S1265,事件規則!$A$2:$A$53,0)),"")))</f>
        <v>無關新聞事件</v>
      </c>
      <c r="U1265" s="20" t="n">
        <f aca="false">IF(R1265="維持",K1265,IF(R1265="排除",0,IFERROR(INDEX(事件規則!$C$2:$C$53,MATCH(S1265,事件規則!$A$2:$A$53,0)),"")))</f>
        <v>0</v>
      </c>
      <c r="V1265" s="21"/>
      <c r="W1265" s="22"/>
      <c r="X1265" s="10" t="str">
        <f aca="false">IF(AND(R1265="修改",S1265=""),"請選新事件代碼",IF(AND(R1265&lt;&gt;"修改",S1265&lt;&gt;""),"只有「修改」才需填代碼",""))</f>
        <v/>
      </c>
      <c r="Y1265" s="21"/>
      <c r="Z1265" s="22"/>
      <c r="AA1265" s="12" t="s">
        <v>3490</v>
      </c>
      <c r="AB1265" s="24"/>
    </row>
    <row r="1266" customFormat="false" ht="29.85" hidden="false" customHeight="false" outlineLevel="0" collapsed="false">
      <c r="A1266" s="15" t="n">
        <v>1265</v>
      </c>
      <c r="B1266" s="9" t="s">
        <v>112</v>
      </c>
      <c r="C1266" s="9" t="s">
        <v>563</v>
      </c>
      <c r="D1266" s="10" t="s">
        <v>564</v>
      </c>
      <c r="E1266" s="11" t="s">
        <v>3491</v>
      </c>
      <c r="F1266" s="17"/>
      <c r="G1266" s="12" t="s">
        <v>105</v>
      </c>
      <c r="H1266" s="13" t="n">
        <v>-0.028</v>
      </c>
      <c r="I1266" s="14"/>
      <c r="J1266" s="17"/>
      <c r="K1266" s="9"/>
      <c r="L1266" s="15" t="s">
        <v>50</v>
      </c>
      <c r="M1266" s="16" t="s">
        <v>51</v>
      </c>
      <c r="N1266" s="14"/>
      <c r="O1266" s="15" t="s">
        <v>52</v>
      </c>
      <c r="P1266" s="17" t="s">
        <v>53</v>
      </c>
      <c r="Q1266" s="15"/>
      <c r="R1266" s="18" t="s">
        <v>51</v>
      </c>
      <c r="S1266" s="19"/>
      <c r="T1266" s="17" t="str">
        <f aca="false">IF(R1266="維持",J1266,IF(R1266="排除","無關新聞事件",IFERROR(INDEX(事件規則!$B$2:$B$53,MATCH(S1266,事件規則!$A$2:$A$53,0)),"")))</f>
        <v>無關新聞事件</v>
      </c>
      <c r="U1266" s="20" t="n">
        <f aca="false">IF(R1266="維持",K1266,IF(R1266="排除",0,IFERROR(INDEX(事件規則!$C$2:$C$53,MATCH(S1266,事件規則!$A$2:$A$53,0)),"")))</f>
        <v>0</v>
      </c>
      <c r="V1266" s="21"/>
      <c r="W1266" s="22"/>
      <c r="X1266" s="10" t="str">
        <f aca="false">IF(AND(R1266="修改",S1266=""),"請選新事件代碼",IF(AND(R1266&lt;&gt;"修改",S1266&lt;&gt;""),"只有「修改」才需填代碼",""))</f>
        <v/>
      </c>
      <c r="Y1266" s="21"/>
      <c r="Z1266" s="22"/>
      <c r="AA1266" s="12" t="s">
        <v>3492</v>
      </c>
      <c r="AB1266" s="24"/>
    </row>
    <row r="1267" customFormat="false" ht="29.85" hidden="false" customHeight="false" outlineLevel="0" collapsed="false">
      <c r="A1267" s="15" t="n">
        <v>1266</v>
      </c>
      <c r="B1267" s="9" t="s">
        <v>112</v>
      </c>
      <c r="C1267" s="9" t="s">
        <v>3135</v>
      </c>
      <c r="D1267" s="10" t="s">
        <v>3136</v>
      </c>
      <c r="E1267" s="11" t="s">
        <v>3493</v>
      </c>
      <c r="F1267" s="17"/>
      <c r="G1267" s="12" t="s">
        <v>49</v>
      </c>
      <c r="H1267" s="13" t="n">
        <v>-0.028</v>
      </c>
      <c r="I1267" s="14"/>
      <c r="J1267" s="17"/>
      <c r="K1267" s="9"/>
      <c r="L1267" s="15" t="s">
        <v>50</v>
      </c>
      <c r="M1267" s="16" t="s">
        <v>51</v>
      </c>
      <c r="N1267" s="14"/>
      <c r="O1267" s="15" t="s">
        <v>52</v>
      </c>
      <c r="P1267" s="17" t="s">
        <v>53</v>
      </c>
      <c r="Q1267" s="15"/>
      <c r="R1267" s="18" t="s">
        <v>51</v>
      </c>
      <c r="S1267" s="19"/>
      <c r="T1267" s="17" t="str">
        <f aca="false">IF(R1267="維持",J1267,IF(R1267="排除","無關新聞事件",IFERROR(INDEX(事件規則!$B$2:$B$53,MATCH(S1267,事件規則!$A$2:$A$53,0)),"")))</f>
        <v>無關新聞事件</v>
      </c>
      <c r="U1267" s="20" t="n">
        <f aca="false">IF(R1267="維持",K1267,IF(R1267="排除",0,IFERROR(INDEX(事件規則!$C$2:$C$53,MATCH(S1267,事件規則!$A$2:$A$53,0)),"")))</f>
        <v>0</v>
      </c>
      <c r="V1267" s="21"/>
      <c r="W1267" s="22"/>
      <c r="X1267" s="10" t="str">
        <f aca="false">IF(AND(R1267="修改",S1267=""),"請選新事件代碼",IF(AND(R1267&lt;&gt;"修改",S1267&lt;&gt;""),"只有「修改」才需填代碼",""))</f>
        <v/>
      </c>
      <c r="Y1267" s="21"/>
      <c r="Z1267" s="22"/>
      <c r="AA1267" s="12" t="s">
        <v>3494</v>
      </c>
      <c r="AB1267" s="24"/>
    </row>
    <row r="1268" customFormat="false" ht="29.85" hidden="false" customHeight="false" outlineLevel="0" collapsed="false">
      <c r="A1268" s="15" t="n">
        <v>1267</v>
      </c>
      <c r="B1268" s="9" t="s">
        <v>112</v>
      </c>
      <c r="C1268" s="9" t="s">
        <v>156</v>
      </c>
      <c r="D1268" s="10" t="s">
        <v>157</v>
      </c>
      <c r="E1268" s="11" t="s">
        <v>3495</v>
      </c>
      <c r="F1268" s="17"/>
      <c r="G1268" s="12" t="s">
        <v>2033</v>
      </c>
      <c r="H1268" s="13" t="n">
        <v>-0.028</v>
      </c>
      <c r="I1268" s="14"/>
      <c r="J1268" s="17"/>
      <c r="K1268" s="9"/>
      <c r="L1268" s="15" t="s">
        <v>50</v>
      </c>
      <c r="M1268" s="16" t="s">
        <v>51</v>
      </c>
      <c r="N1268" s="14"/>
      <c r="O1268" s="15" t="s">
        <v>52</v>
      </c>
      <c r="P1268" s="17" t="s">
        <v>53</v>
      </c>
      <c r="Q1268" s="15"/>
      <c r="R1268" s="18" t="s">
        <v>51</v>
      </c>
      <c r="S1268" s="19"/>
      <c r="T1268" s="17" t="str">
        <f aca="false">IF(R1268="維持",J1268,IF(R1268="排除","無關新聞事件",IFERROR(INDEX(事件規則!$B$2:$B$53,MATCH(S1268,事件規則!$A$2:$A$53,0)),"")))</f>
        <v>無關新聞事件</v>
      </c>
      <c r="U1268" s="20" t="n">
        <f aca="false">IF(R1268="維持",K1268,IF(R1268="排除",0,IFERROR(INDEX(事件規則!$C$2:$C$53,MATCH(S1268,事件規則!$A$2:$A$53,0)),"")))</f>
        <v>0</v>
      </c>
      <c r="V1268" s="21"/>
      <c r="W1268" s="22"/>
      <c r="X1268" s="10" t="str">
        <f aca="false">IF(AND(R1268="修改",S1268=""),"請選新事件代碼",IF(AND(R1268&lt;&gt;"修改",S1268&lt;&gt;""),"只有「修改」才需填代碼",""))</f>
        <v/>
      </c>
      <c r="Y1268" s="21"/>
      <c r="Z1268" s="22"/>
      <c r="AA1268" s="12" t="s">
        <v>3496</v>
      </c>
      <c r="AB1268" s="24"/>
    </row>
    <row r="1269" customFormat="false" ht="29.85" hidden="false" customHeight="false" outlineLevel="0" collapsed="false">
      <c r="A1269" s="15" t="n">
        <v>1268</v>
      </c>
      <c r="B1269" s="9" t="s">
        <v>112</v>
      </c>
      <c r="C1269" s="9" t="s">
        <v>3497</v>
      </c>
      <c r="D1269" s="10" t="s">
        <v>3498</v>
      </c>
      <c r="E1269" s="11" t="s">
        <v>3499</v>
      </c>
      <c r="F1269" s="17"/>
      <c r="G1269" s="12" t="s">
        <v>949</v>
      </c>
      <c r="H1269" s="13" t="n">
        <v>-0.028</v>
      </c>
      <c r="I1269" s="14"/>
      <c r="J1269" s="17"/>
      <c r="K1269" s="9"/>
      <c r="L1269" s="15" t="s">
        <v>50</v>
      </c>
      <c r="M1269" s="16" t="s">
        <v>51</v>
      </c>
      <c r="N1269" s="14"/>
      <c r="O1269" s="15" t="s">
        <v>52</v>
      </c>
      <c r="P1269" s="17" t="s">
        <v>53</v>
      </c>
      <c r="Q1269" s="15"/>
      <c r="R1269" s="18" t="s">
        <v>51</v>
      </c>
      <c r="S1269" s="19"/>
      <c r="T1269" s="17" t="str">
        <f aca="false">IF(R1269="維持",J1269,IF(R1269="排除","無關新聞事件",IFERROR(INDEX(事件規則!$B$2:$B$53,MATCH(S1269,事件規則!$A$2:$A$53,0)),"")))</f>
        <v>無關新聞事件</v>
      </c>
      <c r="U1269" s="20" t="n">
        <f aca="false">IF(R1269="維持",K1269,IF(R1269="排除",0,IFERROR(INDEX(事件規則!$C$2:$C$53,MATCH(S1269,事件規則!$A$2:$A$53,0)),"")))</f>
        <v>0</v>
      </c>
      <c r="V1269" s="21"/>
      <c r="W1269" s="22"/>
      <c r="X1269" s="10" t="str">
        <f aca="false">IF(AND(R1269="修改",S1269=""),"請選新事件代碼",IF(AND(R1269&lt;&gt;"修改",S1269&lt;&gt;""),"只有「修改」才需填代碼",""))</f>
        <v/>
      </c>
      <c r="Y1269" s="21"/>
      <c r="Z1269" s="22"/>
      <c r="AA1269" s="12" t="s">
        <v>3500</v>
      </c>
      <c r="AB1269" s="24"/>
    </row>
    <row r="1270" customFormat="false" ht="29.85" hidden="false" customHeight="false" outlineLevel="0" collapsed="false">
      <c r="A1270" s="15" t="n">
        <v>1269</v>
      </c>
      <c r="B1270" s="9" t="s">
        <v>112</v>
      </c>
      <c r="C1270" s="9" t="s">
        <v>917</v>
      </c>
      <c r="D1270" s="10" t="s">
        <v>918</v>
      </c>
      <c r="E1270" s="11" t="s">
        <v>3501</v>
      </c>
      <c r="F1270" s="17"/>
      <c r="G1270" s="12" t="s">
        <v>176</v>
      </c>
      <c r="H1270" s="13" t="n">
        <v>-0.028</v>
      </c>
      <c r="I1270" s="14"/>
      <c r="J1270" s="17"/>
      <c r="K1270" s="9"/>
      <c r="L1270" s="15" t="s">
        <v>50</v>
      </c>
      <c r="M1270" s="16" t="s">
        <v>51</v>
      </c>
      <c r="N1270" s="14"/>
      <c r="O1270" s="15" t="s">
        <v>52</v>
      </c>
      <c r="P1270" s="17" t="s">
        <v>53</v>
      </c>
      <c r="Q1270" s="15"/>
      <c r="R1270" s="18" t="s">
        <v>51</v>
      </c>
      <c r="S1270" s="19"/>
      <c r="T1270" s="17" t="str">
        <f aca="false">IF(R1270="維持",J1270,IF(R1270="排除","無關新聞事件",IFERROR(INDEX(事件規則!$B$2:$B$53,MATCH(S1270,事件規則!$A$2:$A$53,0)),"")))</f>
        <v>無關新聞事件</v>
      </c>
      <c r="U1270" s="20" t="n">
        <f aca="false">IF(R1270="維持",K1270,IF(R1270="排除",0,IFERROR(INDEX(事件規則!$C$2:$C$53,MATCH(S1270,事件規則!$A$2:$A$53,0)),"")))</f>
        <v>0</v>
      </c>
      <c r="V1270" s="21"/>
      <c r="W1270" s="22"/>
      <c r="X1270" s="10" t="str">
        <f aca="false">IF(AND(R1270="修改",S1270=""),"請選新事件代碼",IF(AND(R1270&lt;&gt;"修改",S1270&lt;&gt;""),"只有「修改」才需填代碼",""))</f>
        <v/>
      </c>
      <c r="Y1270" s="21"/>
      <c r="Z1270" s="22"/>
      <c r="AA1270" s="12" t="s">
        <v>3502</v>
      </c>
      <c r="AB1270" s="24"/>
    </row>
    <row r="1271" customFormat="false" ht="29.85" hidden="false" customHeight="false" outlineLevel="0" collapsed="false">
      <c r="A1271" s="15" t="n">
        <v>1270</v>
      </c>
      <c r="B1271" s="9" t="s">
        <v>112</v>
      </c>
      <c r="C1271" s="9" t="s">
        <v>61</v>
      </c>
      <c r="D1271" s="10" t="s">
        <v>62</v>
      </c>
      <c r="E1271" s="11" t="s">
        <v>3503</v>
      </c>
      <c r="F1271" s="17"/>
      <c r="G1271" s="12" t="s">
        <v>949</v>
      </c>
      <c r="H1271" s="13" t="n">
        <v>-0.028</v>
      </c>
      <c r="I1271" s="14"/>
      <c r="J1271" s="17"/>
      <c r="K1271" s="9"/>
      <c r="L1271" s="15" t="s">
        <v>50</v>
      </c>
      <c r="M1271" s="16" t="s">
        <v>51</v>
      </c>
      <c r="N1271" s="14"/>
      <c r="O1271" s="15" t="s">
        <v>52</v>
      </c>
      <c r="P1271" s="17" t="s">
        <v>53</v>
      </c>
      <c r="Q1271" s="15"/>
      <c r="R1271" s="18" t="s">
        <v>51</v>
      </c>
      <c r="S1271" s="19"/>
      <c r="T1271" s="17" t="str">
        <f aca="false">IF(R1271="維持",J1271,IF(R1271="排除","無關新聞事件",IFERROR(INDEX(事件規則!$B$2:$B$53,MATCH(S1271,事件規則!$A$2:$A$53,0)),"")))</f>
        <v>無關新聞事件</v>
      </c>
      <c r="U1271" s="20" t="n">
        <f aca="false">IF(R1271="維持",K1271,IF(R1271="排除",0,IFERROR(INDEX(事件規則!$C$2:$C$53,MATCH(S1271,事件規則!$A$2:$A$53,0)),"")))</f>
        <v>0</v>
      </c>
      <c r="V1271" s="21"/>
      <c r="W1271" s="22"/>
      <c r="X1271" s="10" t="str">
        <f aca="false">IF(AND(R1271="修改",S1271=""),"請選新事件代碼",IF(AND(R1271&lt;&gt;"修改",S1271&lt;&gt;""),"只有「修改」才需填代碼",""))</f>
        <v/>
      </c>
      <c r="Y1271" s="21"/>
      <c r="Z1271" s="22"/>
      <c r="AA1271" s="12" t="s">
        <v>3504</v>
      </c>
      <c r="AB1271" s="24"/>
    </row>
    <row r="1272" customFormat="false" ht="29.85" hidden="false" customHeight="false" outlineLevel="0" collapsed="false">
      <c r="A1272" s="15" t="n">
        <v>1271</v>
      </c>
      <c r="B1272" s="9" t="s">
        <v>112</v>
      </c>
      <c r="C1272" s="9" t="s">
        <v>135</v>
      </c>
      <c r="D1272" s="10" t="s">
        <v>136</v>
      </c>
      <c r="E1272" s="11" t="s">
        <v>3505</v>
      </c>
      <c r="F1272" s="17"/>
      <c r="G1272" s="12" t="s">
        <v>105</v>
      </c>
      <c r="H1272" s="13" t="n">
        <v>-0.028</v>
      </c>
      <c r="I1272" s="14"/>
      <c r="J1272" s="17"/>
      <c r="K1272" s="9"/>
      <c r="L1272" s="15" t="s">
        <v>50</v>
      </c>
      <c r="M1272" s="16" t="s">
        <v>51</v>
      </c>
      <c r="N1272" s="14"/>
      <c r="O1272" s="15" t="s">
        <v>52</v>
      </c>
      <c r="P1272" s="17" t="s">
        <v>53</v>
      </c>
      <c r="Q1272" s="15"/>
      <c r="R1272" s="18" t="s">
        <v>51</v>
      </c>
      <c r="S1272" s="19"/>
      <c r="T1272" s="17" t="str">
        <f aca="false">IF(R1272="維持",J1272,IF(R1272="排除","無關新聞事件",IFERROR(INDEX(事件規則!$B$2:$B$53,MATCH(S1272,事件規則!$A$2:$A$53,0)),"")))</f>
        <v>無關新聞事件</v>
      </c>
      <c r="U1272" s="20" t="n">
        <f aca="false">IF(R1272="維持",K1272,IF(R1272="排除",0,IFERROR(INDEX(事件規則!$C$2:$C$53,MATCH(S1272,事件規則!$A$2:$A$53,0)),"")))</f>
        <v>0</v>
      </c>
      <c r="V1272" s="21"/>
      <c r="W1272" s="22"/>
      <c r="X1272" s="10" t="str">
        <f aca="false">IF(AND(R1272="修改",S1272=""),"請選新事件代碼",IF(AND(R1272&lt;&gt;"修改",S1272&lt;&gt;""),"只有「修改」才需填代碼",""))</f>
        <v/>
      </c>
      <c r="Y1272" s="21"/>
      <c r="Z1272" s="22"/>
      <c r="AA1272" s="12" t="s">
        <v>3506</v>
      </c>
      <c r="AB1272" s="24"/>
    </row>
    <row r="1273" customFormat="false" ht="29.85" hidden="false" customHeight="false" outlineLevel="0" collapsed="false">
      <c r="A1273" s="15" t="n">
        <v>1272</v>
      </c>
      <c r="B1273" s="9" t="s">
        <v>45</v>
      </c>
      <c r="C1273" s="9" t="s">
        <v>294</v>
      </c>
      <c r="D1273" s="10" t="s">
        <v>295</v>
      </c>
      <c r="E1273" s="11" t="s">
        <v>3507</v>
      </c>
      <c r="F1273" s="17"/>
      <c r="G1273" s="12" t="s">
        <v>3508</v>
      </c>
      <c r="H1273" s="13" t="n">
        <v>-0.028</v>
      </c>
      <c r="I1273" s="14"/>
      <c r="J1273" s="17"/>
      <c r="K1273" s="9"/>
      <c r="L1273" s="15" t="s">
        <v>50</v>
      </c>
      <c r="M1273" s="16" t="s">
        <v>51</v>
      </c>
      <c r="N1273" s="14"/>
      <c r="O1273" s="15" t="s">
        <v>52</v>
      </c>
      <c r="P1273" s="17" t="s">
        <v>53</v>
      </c>
      <c r="Q1273" s="15"/>
      <c r="R1273" s="18" t="s">
        <v>51</v>
      </c>
      <c r="S1273" s="19"/>
      <c r="T1273" s="17" t="str">
        <f aca="false">IF(R1273="維持",J1273,IF(R1273="排除","無關新聞事件",IFERROR(INDEX(事件規則!$B$2:$B$53,MATCH(S1273,事件規則!$A$2:$A$53,0)),"")))</f>
        <v>無關新聞事件</v>
      </c>
      <c r="U1273" s="20" t="n">
        <f aca="false">IF(R1273="維持",K1273,IF(R1273="排除",0,IFERROR(INDEX(事件規則!$C$2:$C$53,MATCH(S1273,事件規則!$A$2:$A$53,0)),"")))</f>
        <v>0</v>
      </c>
      <c r="V1273" s="21"/>
      <c r="W1273" s="22"/>
      <c r="X1273" s="10" t="str">
        <f aca="false">IF(AND(R1273="修改",S1273=""),"請選新事件代碼",IF(AND(R1273&lt;&gt;"修改",S1273&lt;&gt;""),"只有「修改」才需填代碼",""))</f>
        <v/>
      </c>
      <c r="Y1273" s="21"/>
      <c r="Z1273" s="22"/>
      <c r="AA1273" s="12" t="s">
        <v>3509</v>
      </c>
      <c r="AB1273" s="24"/>
    </row>
    <row r="1274" customFormat="false" ht="29.85" hidden="false" customHeight="false" outlineLevel="0" collapsed="false">
      <c r="A1274" s="15" t="n">
        <v>1273</v>
      </c>
      <c r="B1274" s="9" t="s">
        <v>45</v>
      </c>
      <c r="C1274" s="9" t="s">
        <v>118</v>
      </c>
      <c r="D1274" s="10" t="s">
        <v>119</v>
      </c>
      <c r="E1274" s="11" t="s">
        <v>3510</v>
      </c>
      <c r="F1274" s="17"/>
      <c r="G1274" s="12" t="s">
        <v>1843</v>
      </c>
      <c r="H1274" s="13" t="n">
        <v>-0.027</v>
      </c>
      <c r="I1274" s="14"/>
      <c r="J1274" s="17"/>
      <c r="K1274" s="9"/>
      <c r="L1274" s="15" t="s">
        <v>50</v>
      </c>
      <c r="M1274" s="16" t="s">
        <v>51</v>
      </c>
      <c r="N1274" s="14"/>
      <c r="O1274" s="15" t="s">
        <v>52</v>
      </c>
      <c r="P1274" s="17" t="s">
        <v>53</v>
      </c>
      <c r="Q1274" s="15"/>
      <c r="R1274" s="18" t="s">
        <v>51</v>
      </c>
      <c r="S1274" s="19"/>
      <c r="T1274" s="17" t="str">
        <f aca="false">IF(R1274="維持",J1274,IF(R1274="排除","無關新聞事件",IFERROR(INDEX(事件規則!$B$2:$B$53,MATCH(S1274,事件規則!$A$2:$A$53,0)),"")))</f>
        <v>無關新聞事件</v>
      </c>
      <c r="U1274" s="20" t="n">
        <f aca="false">IF(R1274="維持",K1274,IF(R1274="排除",0,IFERROR(INDEX(事件規則!$C$2:$C$53,MATCH(S1274,事件規則!$A$2:$A$53,0)),"")))</f>
        <v>0</v>
      </c>
      <c r="V1274" s="21"/>
      <c r="W1274" s="22"/>
      <c r="X1274" s="10" t="str">
        <f aca="false">IF(AND(R1274="修改",S1274=""),"請選新事件代碼",IF(AND(R1274&lt;&gt;"修改",S1274&lt;&gt;""),"只有「修改」才需填代碼",""))</f>
        <v/>
      </c>
      <c r="Y1274" s="21"/>
      <c r="Z1274" s="22"/>
      <c r="AA1274" s="12" t="s">
        <v>3511</v>
      </c>
      <c r="AB1274" s="24"/>
    </row>
    <row r="1275" customFormat="false" ht="29.85" hidden="false" customHeight="false" outlineLevel="0" collapsed="false">
      <c r="A1275" s="15" t="n">
        <v>1274</v>
      </c>
      <c r="B1275" s="9" t="s">
        <v>45</v>
      </c>
      <c r="C1275" s="9" t="s">
        <v>303</v>
      </c>
      <c r="D1275" s="10" t="s">
        <v>304</v>
      </c>
      <c r="E1275" s="11" t="s">
        <v>3512</v>
      </c>
      <c r="F1275" s="17"/>
      <c r="G1275" s="12" t="s">
        <v>1266</v>
      </c>
      <c r="H1275" s="13" t="n">
        <v>-0.027</v>
      </c>
      <c r="I1275" s="14"/>
      <c r="J1275" s="17"/>
      <c r="K1275" s="9"/>
      <c r="L1275" s="15" t="s">
        <v>50</v>
      </c>
      <c r="M1275" s="16" t="s">
        <v>51</v>
      </c>
      <c r="N1275" s="14"/>
      <c r="O1275" s="15" t="s">
        <v>52</v>
      </c>
      <c r="P1275" s="17" t="s">
        <v>53</v>
      </c>
      <c r="Q1275" s="15"/>
      <c r="R1275" s="18" t="s">
        <v>51</v>
      </c>
      <c r="S1275" s="19"/>
      <c r="T1275" s="17" t="str">
        <f aca="false">IF(R1275="維持",J1275,IF(R1275="排除","無關新聞事件",IFERROR(INDEX(事件規則!$B$2:$B$53,MATCH(S1275,事件規則!$A$2:$A$53,0)),"")))</f>
        <v>無關新聞事件</v>
      </c>
      <c r="U1275" s="20" t="n">
        <f aca="false">IF(R1275="維持",K1275,IF(R1275="排除",0,IFERROR(INDEX(事件規則!$C$2:$C$53,MATCH(S1275,事件規則!$A$2:$A$53,0)),"")))</f>
        <v>0</v>
      </c>
      <c r="V1275" s="21"/>
      <c r="W1275" s="22"/>
      <c r="X1275" s="10" t="str">
        <f aca="false">IF(AND(R1275="修改",S1275=""),"請選新事件代碼",IF(AND(R1275&lt;&gt;"修改",S1275&lt;&gt;""),"只有「修改」才需填代碼",""))</f>
        <v/>
      </c>
      <c r="Y1275" s="21"/>
      <c r="Z1275" s="22"/>
      <c r="AA1275" s="12" t="s">
        <v>3513</v>
      </c>
      <c r="AB1275" s="24"/>
    </row>
    <row r="1276" customFormat="false" ht="29.85" hidden="false" customHeight="false" outlineLevel="0" collapsed="false">
      <c r="A1276" s="15" t="n">
        <v>1275</v>
      </c>
      <c r="B1276" s="9" t="s">
        <v>45</v>
      </c>
      <c r="C1276" s="9" t="s">
        <v>917</v>
      </c>
      <c r="D1276" s="10" t="s">
        <v>918</v>
      </c>
      <c r="E1276" s="11" t="s">
        <v>3514</v>
      </c>
      <c r="F1276" s="17"/>
      <c r="G1276" s="12" t="s">
        <v>949</v>
      </c>
      <c r="H1276" s="13" t="n">
        <v>-0.027</v>
      </c>
      <c r="I1276" s="14"/>
      <c r="J1276" s="17"/>
      <c r="K1276" s="9"/>
      <c r="L1276" s="15" t="s">
        <v>50</v>
      </c>
      <c r="M1276" s="16" t="s">
        <v>51</v>
      </c>
      <c r="N1276" s="14"/>
      <c r="O1276" s="15" t="s">
        <v>52</v>
      </c>
      <c r="P1276" s="17" t="s">
        <v>53</v>
      </c>
      <c r="Q1276" s="15"/>
      <c r="R1276" s="18" t="s">
        <v>51</v>
      </c>
      <c r="S1276" s="19"/>
      <c r="T1276" s="17" t="str">
        <f aca="false">IF(R1276="維持",J1276,IF(R1276="排除","無關新聞事件",IFERROR(INDEX(事件規則!$B$2:$B$53,MATCH(S1276,事件規則!$A$2:$A$53,0)),"")))</f>
        <v>無關新聞事件</v>
      </c>
      <c r="U1276" s="20" t="n">
        <f aca="false">IF(R1276="維持",K1276,IF(R1276="排除",0,IFERROR(INDEX(事件規則!$C$2:$C$53,MATCH(S1276,事件規則!$A$2:$A$53,0)),"")))</f>
        <v>0</v>
      </c>
      <c r="V1276" s="21"/>
      <c r="W1276" s="22"/>
      <c r="X1276" s="10" t="str">
        <f aca="false">IF(AND(R1276="修改",S1276=""),"請選新事件代碼",IF(AND(R1276&lt;&gt;"修改",S1276&lt;&gt;""),"只有「修改」才需填代碼",""))</f>
        <v/>
      </c>
      <c r="Y1276" s="21"/>
      <c r="Z1276" s="22"/>
      <c r="AA1276" s="12" t="s">
        <v>3515</v>
      </c>
      <c r="AB1276" s="24"/>
    </row>
    <row r="1277" customFormat="false" ht="29.85" hidden="false" customHeight="false" outlineLevel="0" collapsed="false">
      <c r="A1277" s="15" t="n">
        <v>1276</v>
      </c>
      <c r="B1277" s="9" t="s">
        <v>45</v>
      </c>
      <c r="C1277" s="9" t="s">
        <v>1555</v>
      </c>
      <c r="D1277" s="10" t="s">
        <v>1556</v>
      </c>
      <c r="E1277" s="11" t="s">
        <v>3516</v>
      </c>
      <c r="F1277" s="17"/>
      <c r="G1277" s="12" t="s">
        <v>949</v>
      </c>
      <c r="H1277" s="13" t="n">
        <v>-0.027</v>
      </c>
      <c r="I1277" s="14"/>
      <c r="J1277" s="17"/>
      <c r="K1277" s="9"/>
      <c r="L1277" s="15" t="s">
        <v>50</v>
      </c>
      <c r="M1277" s="16" t="s">
        <v>51</v>
      </c>
      <c r="N1277" s="14"/>
      <c r="O1277" s="15" t="s">
        <v>52</v>
      </c>
      <c r="P1277" s="17" t="s">
        <v>53</v>
      </c>
      <c r="Q1277" s="15"/>
      <c r="R1277" s="18" t="s">
        <v>51</v>
      </c>
      <c r="S1277" s="19"/>
      <c r="T1277" s="17" t="str">
        <f aca="false">IF(R1277="維持",J1277,IF(R1277="排除","無關新聞事件",IFERROR(INDEX(事件規則!$B$2:$B$53,MATCH(S1277,事件規則!$A$2:$A$53,0)),"")))</f>
        <v>無關新聞事件</v>
      </c>
      <c r="U1277" s="20" t="n">
        <f aca="false">IF(R1277="維持",K1277,IF(R1277="排除",0,IFERROR(INDEX(事件規則!$C$2:$C$53,MATCH(S1277,事件規則!$A$2:$A$53,0)),"")))</f>
        <v>0</v>
      </c>
      <c r="V1277" s="21"/>
      <c r="W1277" s="22"/>
      <c r="X1277" s="10" t="str">
        <f aca="false">IF(AND(R1277="修改",S1277=""),"請選新事件代碼",IF(AND(R1277&lt;&gt;"修改",S1277&lt;&gt;""),"只有「修改」才需填代碼",""))</f>
        <v/>
      </c>
      <c r="Y1277" s="21"/>
      <c r="Z1277" s="22"/>
      <c r="AA1277" s="12" t="s">
        <v>3517</v>
      </c>
      <c r="AB1277" s="24"/>
    </row>
    <row r="1278" customFormat="false" ht="29.85" hidden="false" customHeight="false" outlineLevel="0" collapsed="false">
      <c r="A1278" s="15" t="n">
        <v>1277</v>
      </c>
      <c r="B1278" s="9" t="s">
        <v>45</v>
      </c>
      <c r="C1278" s="9" t="s">
        <v>3518</v>
      </c>
      <c r="D1278" s="10" t="s">
        <v>3519</v>
      </c>
      <c r="E1278" s="11" t="s">
        <v>3520</v>
      </c>
      <c r="F1278" s="17"/>
      <c r="G1278" s="12" t="s">
        <v>949</v>
      </c>
      <c r="H1278" s="13" t="n">
        <v>-0.027</v>
      </c>
      <c r="I1278" s="14"/>
      <c r="J1278" s="17"/>
      <c r="K1278" s="9"/>
      <c r="L1278" s="15" t="s">
        <v>50</v>
      </c>
      <c r="M1278" s="16" t="s">
        <v>51</v>
      </c>
      <c r="N1278" s="14"/>
      <c r="O1278" s="15" t="s">
        <v>52</v>
      </c>
      <c r="P1278" s="17" t="s">
        <v>53</v>
      </c>
      <c r="Q1278" s="15"/>
      <c r="R1278" s="18" t="s">
        <v>51</v>
      </c>
      <c r="S1278" s="19"/>
      <c r="T1278" s="17" t="str">
        <f aca="false">IF(R1278="維持",J1278,IF(R1278="排除","無關新聞事件",IFERROR(INDEX(事件規則!$B$2:$B$53,MATCH(S1278,事件規則!$A$2:$A$53,0)),"")))</f>
        <v>無關新聞事件</v>
      </c>
      <c r="U1278" s="20" t="n">
        <f aca="false">IF(R1278="維持",K1278,IF(R1278="排除",0,IFERROR(INDEX(事件規則!$C$2:$C$53,MATCH(S1278,事件規則!$A$2:$A$53,0)),"")))</f>
        <v>0</v>
      </c>
      <c r="V1278" s="21"/>
      <c r="W1278" s="22"/>
      <c r="X1278" s="10" t="str">
        <f aca="false">IF(AND(R1278="修改",S1278=""),"請選新事件代碼",IF(AND(R1278&lt;&gt;"修改",S1278&lt;&gt;""),"只有「修改」才需填代碼",""))</f>
        <v/>
      </c>
      <c r="Y1278" s="21"/>
      <c r="Z1278" s="22"/>
      <c r="AA1278" s="12" t="s">
        <v>3521</v>
      </c>
      <c r="AB1278" s="24"/>
    </row>
    <row r="1279" customFormat="false" ht="29.85" hidden="false" customHeight="false" outlineLevel="0" collapsed="false">
      <c r="A1279" s="15" t="n">
        <v>1278</v>
      </c>
      <c r="B1279" s="9" t="s">
        <v>45</v>
      </c>
      <c r="C1279" s="9" t="s">
        <v>3522</v>
      </c>
      <c r="D1279" s="10" t="s">
        <v>3523</v>
      </c>
      <c r="E1279" s="11" t="s">
        <v>3524</v>
      </c>
      <c r="F1279" s="17"/>
      <c r="G1279" s="12" t="s">
        <v>949</v>
      </c>
      <c r="H1279" s="13" t="n">
        <v>-0.027</v>
      </c>
      <c r="I1279" s="14"/>
      <c r="J1279" s="17"/>
      <c r="K1279" s="9"/>
      <c r="L1279" s="15" t="s">
        <v>50</v>
      </c>
      <c r="M1279" s="16" t="s">
        <v>51</v>
      </c>
      <c r="N1279" s="14"/>
      <c r="O1279" s="15" t="s">
        <v>52</v>
      </c>
      <c r="P1279" s="17" t="s">
        <v>53</v>
      </c>
      <c r="Q1279" s="15"/>
      <c r="R1279" s="18" t="s">
        <v>51</v>
      </c>
      <c r="S1279" s="19"/>
      <c r="T1279" s="17" t="str">
        <f aca="false">IF(R1279="維持",J1279,IF(R1279="排除","無關新聞事件",IFERROR(INDEX(事件規則!$B$2:$B$53,MATCH(S1279,事件規則!$A$2:$A$53,0)),"")))</f>
        <v>無關新聞事件</v>
      </c>
      <c r="U1279" s="20" t="n">
        <f aca="false">IF(R1279="維持",K1279,IF(R1279="排除",0,IFERROR(INDEX(事件規則!$C$2:$C$53,MATCH(S1279,事件規則!$A$2:$A$53,0)),"")))</f>
        <v>0</v>
      </c>
      <c r="V1279" s="21"/>
      <c r="W1279" s="22"/>
      <c r="X1279" s="10" t="str">
        <f aca="false">IF(AND(R1279="修改",S1279=""),"請選新事件代碼",IF(AND(R1279&lt;&gt;"修改",S1279&lt;&gt;""),"只有「修改」才需填代碼",""))</f>
        <v/>
      </c>
      <c r="Y1279" s="21"/>
      <c r="Z1279" s="22"/>
      <c r="AA1279" s="12" t="s">
        <v>3525</v>
      </c>
      <c r="AB1279" s="24"/>
    </row>
    <row r="1280" customFormat="false" ht="29.85" hidden="false" customHeight="false" outlineLevel="0" collapsed="false">
      <c r="A1280" s="15" t="n">
        <v>1279</v>
      </c>
      <c r="B1280" s="9" t="s">
        <v>45</v>
      </c>
      <c r="C1280" s="9" t="s">
        <v>1987</v>
      </c>
      <c r="D1280" s="10" t="s">
        <v>1988</v>
      </c>
      <c r="E1280" s="11" t="s">
        <v>3526</v>
      </c>
      <c r="F1280" s="17"/>
      <c r="G1280" s="12" t="s">
        <v>1136</v>
      </c>
      <c r="H1280" s="13" t="n">
        <v>-0.027</v>
      </c>
      <c r="I1280" s="14"/>
      <c r="J1280" s="17"/>
      <c r="K1280" s="9"/>
      <c r="L1280" s="15" t="s">
        <v>50</v>
      </c>
      <c r="M1280" s="16" t="s">
        <v>51</v>
      </c>
      <c r="N1280" s="14"/>
      <c r="O1280" s="15" t="s">
        <v>52</v>
      </c>
      <c r="P1280" s="17" t="s">
        <v>53</v>
      </c>
      <c r="Q1280" s="15"/>
      <c r="R1280" s="18" t="s">
        <v>51</v>
      </c>
      <c r="S1280" s="19"/>
      <c r="T1280" s="17" t="str">
        <f aca="false">IF(R1280="維持",J1280,IF(R1280="排除","無關新聞事件",IFERROR(INDEX(事件規則!$B$2:$B$53,MATCH(S1280,事件規則!$A$2:$A$53,0)),"")))</f>
        <v>無關新聞事件</v>
      </c>
      <c r="U1280" s="20" t="n">
        <f aca="false">IF(R1280="維持",K1280,IF(R1280="排除",0,IFERROR(INDEX(事件規則!$C$2:$C$53,MATCH(S1280,事件規則!$A$2:$A$53,0)),"")))</f>
        <v>0</v>
      </c>
      <c r="V1280" s="21"/>
      <c r="W1280" s="22"/>
      <c r="X1280" s="10" t="str">
        <f aca="false">IF(AND(R1280="修改",S1280=""),"請選新事件代碼",IF(AND(R1280&lt;&gt;"修改",S1280&lt;&gt;""),"只有「修改」才需填代碼",""))</f>
        <v/>
      </c>
      <c r="Y1280" s="21"/>
      <c r="Z1280" s="22"/>
      <c r="AA1280" s="12" t="s">
        <v>3527</v>
      </c>
      <c r="AB1280" s="24"/>
    </row>
    <row r="1281" customFormat="false" ht="29.85" hidden="false" customHeight="false" outlineLevel="0" collapsed="false">
      <c r="A1281" s="15" t="n">
        <v>1280</v>
      </c>
      <c r="B1281" s="9" t="s">
        <v>45</v>
      </c>
      <c r="C1281" s="9" t="s">
        <v>427</v>
      </c>
      <c r="D1281" s="10" t="s">
        <v>428</v>
      </c>
      <c r="E1281" s="11" t="s">
        <v>3528</v>
      </c>
      <c r="F1281" s="17"/>
      <c r="G1281" s="12" t="s">
        <v>3529</v>
      </c>
      <c r="H1281" s="13" t="n">
        <v>-0.027</v>
      </c>
      <c r="I1281" s="14"/>
      <c r="J1281" s="17"/>
      <c r="K1281" s="9"/>
      <c r="L1281" s="15" t="s">
        <v>50</v>
      </c>
      <c r="M1281" s="16" t="s">
        <v>51</v>
      </c>
      <c r="N1281" s="14"/>
      <c r="O1281" s="15" t="s">
        <v>52</v>
      </c>
      <c r="P1281" s="17" t="s">
        <v>53</v>
      </c>
      <c r="Q1281" s="15"/>
      <c r="R1281" s="18" t="s">
        <v>51</v>
      </c>
      <c r="S1281" s="19"/>
      <c r="T1281" s="17" t="str">
        <f aca="false">IF(R1281="維持",J1281,IF(R1281="排除","無關新聞事件",IFERROR(INDEX(事件規則!$B$2:$B$53,MATCH(S1281,事件規則!$A$2:$A$53,0)),"")))</f>
        <v>無關新聞事件</v>
      </c>
      <c r="U1281" s="20" t="n">
        <f aca="false">IF(R1281="維持",K1281,IF(R1281="排除",0,IFERROR(INDEX(事件規則!$C$2:$C$53,MATCH(S1281,事件規則!$A$2:$A$53,0)),"")))</f>
        <v>0</v>
      </c>
      <c r="V1281" s="21"/>
      <c r="W1281" s="22"/>
      <c r="X1281" s="10" t="str">
        <f aca="false">IF(AND(R1281="修改",S1281=""),"請選新事件代碼",IF(AND(R1281&lt;&gt;"修改",S1281&lt;&gt;""),"只有「修改」才需填代碼",""))</f>
        <v/>
      </c>
      <c r="Y1281" s="21"/>
      <c r="Z1281" s="22"/>
      <c r="AA1281" s="12" t="s">
        <v>3530</v>
      </c>
      <c r="AB1281" s="24"/>
    </row>
    <row r="1282" customFormat="false" ht="29.85" hidden="false" customHeight="false" outlineLevel="0" collapsed="false">
      <c r="A1282" s="15" t="n">
        <v>1281</v>
      </c>
      <c r="B1282" s="9" t="s">
        <v>55</v>
      </c>
      <c r="C1282" s="9" t="s">
        <v>1893</v>
      </c>
      <c r="D1282" s="10" t="s">
        <v>1894</v>
      </c>
      <c r="E1282" s="11" t="s">
        <v>3531</v>
      </c>
      <c r="F1282" s="17"/>
      <c r="G1282" s="12" t="s">
        <v>176</v>
      </c>
      <c r="H1282" s="13" t="n">
        <v>-0.027</v>
      </c>
      <c r="I1282" s="14"/>
      <c r="J1282" s="17"/>
      <c r="K1282" s="9"/>
      <c r="L1282" s="15" t="s">
        <v>50</v>
      </c>
      <c r="M1282" s="16" t="s">
        <v>51</v>
      </c>
      <c r="N1282" s="14"/>
      <c r="O1282" s="15" t="s">
        <v>52</v>
      </c>
      <c r="P1282" s="17" t="s">
        <v>53</v>
      </c>
      <c r="Q1282" s="15"/>
      <c r="R1282" s="18" t="s">
        <v>51</v>
      </c>
      <c r="S1282" s="19"/>
      <c r="T1282" s="17" t="str">
        <f aca="false">IF(R1282="維持",J1282,IF(R1282="排除","無關新聞事件",IFERROR(INDEX(事件規則!$B$2:$B$53,MATCH(S1282,事件規則!$A$2:$A$53,0)),"")))</f>
        <v>無關新聞事件</v>
      </c>
      <c r="U1282" s="20" t="n">
        <f aca="false">IF(R1282="維持",K1282,IF(R1282="排除",0,IFERROR(INDEX(事件規則!$C$2:$C$53,MATCH(S1282,事件規則!$A$2:$A$53,0)),"")))</f>
        <v>0</v>
      </c>
      <c r="V1282" s="21"/>
      <c r="W1282" s="22"/>
      <c r="X1282" s="10" t="str">
        <f aca="false">IF(AND(R1282="修改",S1282=""),"請選新事件代碼",IF(AND(R1282&lt;&gt;"修改",S1282&lt;&gt;""),"只有「修改」才需填代碼",""))</f>
        <v/>
      </c>
      <c r="Y1282" s="21"/>
      <c r="Z1282" s="22"/>
      <c r="AA1282" s="12" t="s">
        <v>3532</v>
      </c>
      <c r="AB1282" s="24"/>
    </row>
    <row r="1283" customFormat="false" ht="29.85" hidden="false" customHeight="false" outlineLevel="0" collapsed="false">
      <c r="A1283" s="15" t="n">
        <v>1282</v>
      </c>
      <c r="B1283" s="9" t="s">
        <v>45</v>
      </c>
      <c r="C1283" s="9" t="s">
        <v>3533</v>
      </c>
      <c r="D1283" s="10" t="s">
        <v>3534</v>
      </c>
      <c r="E1283" s="11" t="s">
        <v>3535</v>
      </c>
      <c r="F1283" s="17"/>
      <c r="G1283" s="12" t="s">
        <v>59</v>
      </c>
      <c r="H1283" s="13" t="n">
        <v>-0.027</v>
      </c>
      <c r="I1283" s="14"/>
      <c r="J1283" s="17"/>
      <c r="K1283" s="9"/>
      <c r="L1283" s="15" t="s">
        <v>50</v>
      </c>
      <c r="M1283" s="16" t="s">
        <v>51</v>
      </c>
      <c r="N1283" s="14"/>
      <c r="O1283" s="15" t="s">
        <v>52</v>
      </c>
      <c r="P1283" s="17" t="s">
        <v>53</v>
      </c>
      <c r="Q1283" s="15"/>
      <c r="R1283" s="18" t="s">
        <v>51</v>
      </c>
      <c r="S1283" s="19"/>
      <c r="T1283" s="17" t="str">
        <f aca="false">IF(R1283="維持",J1283,IF(R1283="排除","無關新聞事件",IFERROR(INDEX(事件規則!$B$2:$B$53,MATCH(S1283,事件規則!$A$2:$A$53,0)),"")))</f>
        <v>無關新聞事件</v>
      </c>
      <c r="U1283" s="20" t="n">
        <f aca="false">IF(R1283="維持",K1283,IF(R1283="排除",0,IFERROR(INDEX(事件規則!$C$2:$C$53,MATCH(S1283,事件規則!$A$2:$A$53,0)),"")))</f>
        <v>0</v>
      </c>
      <c r="V1283" s="21"/>
      <c r="W1283" s="22"/>
      <c r="X1283" s="10" t="str">
        <f aca="false">IF(AND(R1283="修改",S1283=""),"請選新事件代碼",IF(AND(R1283&lt;&gt;"修改",S1283&lt;&gt;""),"只有「修改」才需填代碼",""))</f>
        <v/>
      </c>
      <c r="Y1283" s="21"/>
      <c r="Z1283" s="22"/>
      <c r="AA1283" s="12" t="s">
        <v>3536</v>
      </c>
      <c r="AB1283" s="24"/>
    </row>
    <row r="1284" customFormat="false" ht="29.85" hidden="false" customHeight="false" outlineLevel="0" collapsed="false">
      <c r="A1284" s="15" t="n">
        <v>1283</v>
      </c>
      <c r="B1284" s="9" t="s">
        <v>81</v>
      </c>
      <c r="C1284" s="9" t="s">
        <v>427</v>
      </c>
      <c r="D1284" s="10" t="s">
        <v>428</v>
      </c>
      <c r="E1284" s="11" t="s">
        <v>3537</v>
      </c>
      <c r="F1284" s="17"/>
      <c r="G1284" s="12" t="s">
        <v>3538</v>
      </c>
      <c r="H1284" s="13" t="n">
        <v>-0.027</v>
      </c>
      <c r="I1284" s="14"/>
      <c r="J1284" s="17"/>
      <c r="K1284" s="9"/>
      <c r="L1284" s="15" t="s">
        <v>50</v>
      </c>
      <c r="M1284" s="16" t="s">
        <v>51</v>
      </c>
      <c r="N1284" s="14"/>
      <c r="O1284" s="15" t="s">
        <v>52</v>
      </c>
      <c r="P1284" s="17" t="s">
        <v>53</v>
      </c>
      <c r="Q1284" s="15"/>
      <c r="R1284" s="18" t="s">
        <v>51</v>
      </c>
      <c r="S1284" s="19"/>
      <c r="T1284" s="17" t="str">
        <f aca="false">IF(R1284="維持",J1284,IF(R1284="排除","無關新聞事件",IFERROR(INDEX(事件規則!$B$2:$B$53,MATCH(S1284,事件規則!$A$2:$A$53,0)),"")))</f>
        <v>無關新聞事件</v>
      </c>
      <c r="U1284" s="20" t="n">
        <f aca="false">IF(R1284="維持",K1284,IF(R1284="排除",0,IFERROR(INDEX(事件規則!$C$2:$C$53,MATCH(S1284,事件規則!$A$2:$A$53,0)),"")))</f>
        <v>0</v>
      </c>
      <c r="V1284" s="21"/>
      <c r="W1284" s="22"/>
      <c r="X1284" s="10" t="str">
        <f aca="false">IF(AND(R1284="修改",S1284=""),"請選新事件代碼",IF(AND(R1284&lt;&gt;"修改",S1284&lt;&gt;""),"只有「修改」才需填代碼",""))</f>
        <v/>
      </c>
      <c r="Y1284" s="21"/>
      <c r="Z1284" s="22"/>
      <c r="AA1284" s="12" t="s">
        <v>3539</v>
      </c>
      <c r="AB1284" s="24"/>
    </row>
    <row r="1285" customFormat="false" ht="29.85" hidden="false" customHeight="false" outlineLevel="0" collapsed="false">
      <c r="A1285" s="15" t="n">
        <v>1284</v>
      </c>
      <c r="B1285" s="9" t="s">
        <v>81</v>
      </c>
      <c r="C1285" s="9" t="s">
        <v>360</v>
      </c>
      <c r="D1285" s="10" t="s">
        <v>361</v>
      </c>
      <c r="E1285" s="11" t="s">
        <v>3540</v>
      </c>
      <c r="F1285" s="17"/>
      <c r="G1285" s="12" t="s">
        <v>949</v>
      </c>
      <c r="H1285" s="13" t="n">
        <v>-0.027</v>
      </c>
      <c r="I1285" s="14"/>
      <c r="J1285" s="17"/>
      <c r="K1285" s="9"/>
      <c r="L1285" s="15" t="s">
        <v>50</v>
      </c>
      <c r="M1285" s="16" t="s">
        <v>51</v>
      </c>
      <c r="N1285" s="14"/>
      <c r="O1285" s="15" t="s">
        <v>52</v>
      </c>
      <c r="P1285" s="17" t="s">
        <v>53</v>
      </c>
      <c r="Q1285" s="15"/>
      <c r="R1285" s="18" t="s">
        <v>51</v>
      </c>
      <c r="S1285" s="19"/>
      <c r="T1285" s="17" t="str">
        <f aca="false">IF(R1285="維持",J1285,IF(R1285="排除","無關新聞事件",IFERROR(INDEX(事件規則!$B$2:$B$53,MATCH(S1285,事件規則!$A$2:$A$53,0)),"")))</f>
        <v>無關新聞事件</v>
      </c>
      <c r="U1285" s="20" t="n">
        <f aca="false">IF(R1285="維持",K1285,IF(R1285="排除",0,IFERROR(INDEX(事件規則!$C$2:$C$53,MATCH(S1285,事件規則!$A$2:$A$53,0)),"")))</f>
        <v>0</v>
      </c>
      <c r="V1285" s="21"/>
      <c r="W1285" s="22"/>
      <c r="X1285" s="10" t="str">
        <f aca="false">IF(AND(R1285="修改",S1285=""),"請選新事件代碼",IF(AND(R1285&lt;&gt;"修改",S1285&lt;&gt;""),"只有「修改」才需填代碼",""))</f>
        <v/>
      </c>
      <c r="Y1285" s="21"/>
      <c r="Z1285" s="22"/>
      <c r="AA1285" s="12" t="s">
        <v>3541</v>
      </c>
      <c r="AB1285" s="24"/>
    </row>
    <row r="1286" customFormat="false" ht="29.85" hidden="false" customHeight="false" outlineLevel="0" collapsed="false">
      <c r="A1286" s="15" t="n">
        <v>1285</v>
      </c>
      <c r="B1286" s="9" t="s">
        <v>81</v>
      </c>
      <c r="C1286" s="9" t="s">
        <v>118</v>
      </c>
      <c r="D1286" s="10" t="s">
        <v>119</v>
      </c>
      <c r="E1286" s="11" t="s">
        <v>3542</v>
      </c>
      <c r="F1286" s="17"/>
      <c r="G1286" s="12" t="s">
        <v>105</v>
      </c>
      <c r="H1286" s="13" t="n">
        <v>-0.027</v>
      </c>
      <c r="I1286" s="14"/>
      <c r="J1286" s="17"/>
      <c r="K1286" s="9"/>
      <c r="L1286" s="15" t="s">
        <v>50</v>
      </c>
      <c r="M1286" s="16" t="s">
        <v>51</v>
      </c>
      <c r="N1286" s="14"/>
      <c r="O1286" s="15" t="s">
        <v>52</v>
      </c>
      <c r="P1286" s="17" t="s">
        <v>53</v>
      </c>
      <c r="Q1286" s="15"/>
      <c r="R1286" s="18" t="s">
        <v>51</v>
      </c>
      <c r="S1286" s="19"/>
      <c r="T1286" s="17" t="str">
        <f aca="false">IF(R1286="維持",J1286,IF(R1286="排除","無關新聞事件",IFERROR(INDEX(事件規則!$B$2:$B$53,MATCH(S1286,事件規則!$A$2:$A$53,0)),"")))</f>
        <v>無關新聞事件</v>
      </c>
      <c r="U1286" s="20" t="n">
        <f aca="false">IF(R1286="維持",K1286,IF(R1286="排除",0,IFERROR(INDEX(事件規則!$C$2:$C$53,MATCH(S1286,事件規則!$A$2:$A$53,0)),"")))</f>
        <v>0</v>
      </c>
      <c r="V1286" s="21"/>
      <c r="W1286" s="22"/>
      <c r="X1286" s="10" t="str">
        <f aca="false">IF(AND(R1286="修改",S1286=""),"請選新事件代碼",IF(AND(R1286&lt;&gt;"修改",S1286&lt;&gt;""),"只有「修改」才需填代碼",""))</f>
        <v/>
      </c>
      <c r="Y1286" s="21"/>
      <c r="Z1286" s="22"/>
      <c r="AA1286" s="12" t="s">
        <v>3543</v>
      </c>
      <c r="AB1286" s="24"/>
    </row>
    <row r="1287" customFormat="false" ht="29.85" hidden="false" customHeight="false" outlineLevel="0" collapsed="false">
      <c r="A1287" s="15" t="n">
        <v>1286</v>
      </c>
      <c r="B1287" s="9" t="s">
        <v>45</v>
      </c>
      <c r="C1287" s="9" t="s">
        <v>219</v>
      </c>
      <c r="D1287" s="10" t="s">
        <v>220</v>
      </c>
      <c r="E1287" s="11" t="s">
        <v>3544</v>
      </c>
      <c r="F1287" s="17"/>
      <c r="G1287" s="12" t="s">
        <v>949</v>
      </c>
      <c r="H1287" s="13" t="n">
        <v>-0.027</v>
      </c>
      <c r="I1287" s="14"/>
      <c r="J1287" s="17"/>
      <c r="K1287" s="9"/>
      <c r="L1287" s="15" t="s">
        <v>50</v>
      </c>
      <c r="M1287" s="16" t="s">
        <v>51</v>
      </c>
      <c r="N1287" s="14"/>
      <c r="O1287" s="15" t="s">
        <v>52</v>
      </c>
      <c r="P1287" s="17" t="s">
        <v>53</v>
      </c>
      <c r="Q1287" s="15"/>
      <c r="R1287" s="18" t="s">
        <v>51</v>
      </c>
      <c r="S1287" s="19"/>
      <c r="T1287" s="17" t="str">
        <f aca="false">IF(R1287="維持",J1287,IF(R1287="排除","無關新聞事件",IFERROR(INDEX(事件規則!$B$2:$B$53,MATCH(S1287,事件規則!$A$2:$A$53,0)),"")))</f>
        <v>無關新聞事件</v>
      </c>
      <c r="U1287" s="20" t="n">
        <f aca="false">IF(R1287="維持",K1287,IF(R1287="排除",0,IFERROR(INDEX(事件規則!$C$2:$C$53,MATCH(S1287,事件規則!$A$2:$A$53,0)),"")))</f>
        <v>0</v>
      </c>
      <c r="V1287" s="21"/>
      <c r="W1287" s="22"/>
      <c r="X1287" s="10" t="str">
        <f aca="false">IF(AND(R1287="修改",S1287=""),"請選新事件代碼",IF(AND(R1287&lt;&gt;"修改",S1287&lt;&gt;""),"只有「修改」才需填代碼",""))</f>
        <v/>
      </c>
      <c r="Y1287" s="21"/>
      <c r="Z1287" s="22"/>
      <c r="AA1287" s="12" t="s">
        <v>3545</v>
      </c>
      <c r="AB1287" s="24"/>
    </row>
    <row r="1288" customFormat="false" ht="29.85" hidden="false" customHeight="false" outlineLevel="0" collapsed="false">
      <c r="A1288" s="15" t="n">
        <v>1287</v>
      </c>
      <c r="B1288" s="9" t="s">
        <v>81</v>
      </c>
      <c r="C1288" s="9" t="s">
        <v>744</v>
      </c>
      <c r="D1288" s="10" t="s">
        <v>745</v>
      </c>
      <c r="E1288" s="11" t="s">
        <v>3546</v>
      </c>
      <c r="F1288" s="17"/>
      <c r="G1288" s="12" t="s">
        <v>949</v>
      </c>
      <c r="H1288" s="13" t="n">
        <v>-0.027</v>
      </c>
      <c r="I1288" s="14"/>
      <c r="J1288" s="17"/>
      <c r="K1288" s="9"/>
      <c r="L1288" s="15" t="s">
        <v>50</v>
      </c>
      <c r="M1288" s="16" t="s">
        <v>51</v>
      </c>
      <c r="N1288" s="14"/>
      <c r="O1288" s="15" t="s">
        <v>52</v>
      </c>
      <c r="P1288" s="17" t="s">
        <v>53</v>
      </c>
      <c r="Q1288" s="15"/>
      <c r="R1288" s="18" t="s">
        <v>51</v>
      </c>
      <c r="S1288" s="19"/>
      <c r="T1288" s="17" t="str">
        <f aca="false">IF(R1288="維持",J1288,IF(R1288="排除","無關新聞事件",IFERROR(INDEX(事件規則!$B$2:$B$53,MATCH(S1288,事件規則!$A$2:$A$53,0)),"")))</f>
        <v>無關新聞事件</v>
      </c>
      <c r="U1288" s="20" t="n">
        <f aca="false">IF(R1288="維持",K1288,IF(R1288="排除",0,IFERROR(INDEX(事件規則!$C$2:$C$53,MATCH(S1288,事件規則!$A$2:$A$53,0)),"")))</f>
        <v>0</v>
      </c>
      <c r="V1288" s="21"/>
      <c r="W1288" s="22"/>
      <c r="X1288" s="10" t="str">
        <f aca="false">IF(AND(R1288="修改",S1288=""),"請選新事件代碼",IF(AND(R1288&lt;&gt;"修改",S1288&lt;&gt;""),"只有「修改」才需填代碼",""))</f>
        <v/>
      </c>
      <c r="Y1288" s="21"/>
      <c r="Z1288" s="22"/>
      <c r="AA1288" s="12" t="s">
        <v>3547</v>
      </c>
      <c r="AB1288" s="24"/>
    </row>
    <row r="1289" customFormat="false" ht="29.85" hidden="false" customHeight="false" outlineLevel="0" collapsed="false">
      <c r="A1289" s="15" t="n">
        <v>1288</v>
      </c>
      <c r="B1289" s="9" t="s">
        <v>45</v>
      </c>
      <c r="C1289" s="9" t="s">
        <v>1717</v>
      </c>
      <c r="D1289" s="10" t="s">
        <v>1718</v>
      </c>
      <c r="E1289" s="11" t="s">
        <v>3548</v>
      </c>
      <c r="F1289" s="17"/>
      <c r="G1289" s="12" t="s">
        <v>949</v>
      </c>
      <c r="H1289" s="13" t="n">
        <v>-0.027</v>
      </c>
      <c r="I1289" s="14"/>
      <c r="J1289" s="17"/>
      <c r="K1289" s="9"/>
      <c r="L1289" s="15" t="s">
        <v>50</v>
      </c>
      <c r="M1289" s="16" t="s">
        <v>51</v>
      </c>
      <c r="N1289" s="14"/>
      <c r="O1289" s="15" t="s">
        <v>52</v>
      </c>
      <c r="P1289" s="17" t="s">
        <v>53</v>
      </c>
      <c r="Q1289" s="15"/>
      <c r="R1289" s="18" t="s">
        <v>51</v>
      </c>
      <c r="S1289" s="19"/>
      <c r="T1289" s="17" t="str">
        <f aca="false">IF(R1289="維持",J1289,IF(R1289="排除","無關新聞事件",IFERROR(INDEX(事件規則!$B$2:$B$53,MATCH(S1289,事件規則!$A$2:$A$53,0)),"")))</f>
        <v>無關新聞事件</v>
      </c>
      <c r="U1289" s="20" t="n">
        <f aca="false">IF(R1289="維持",K1289,IF(R1289="排除",0,IFERROR(INDEX(事件規則!$C$2:$C$53,MATCH(S1289,事件規則!$A$2:$A$53,0)),"")))</f>
        <v>0</v>
      </c>
      <c r="V1289" s="21"/>
      <c r="W1289" s="22"/>
      <c r="X1289" s="10" t="str">
        <f aca="false">IF(AND(R1289="修改",S1289=""),"請選新事件代碼",IF(AND(R1289&lt;&gt;"修改",S1289&lt;&gt;""),"只有「修改」才需填代碼",""))</f>
        <v/>
      </c>
      <c r="Y1289" s="21"/>
      <c r="Z1289" s="22"/>
      <c r="AA1289" s="12" t="s">
        <v>3549</v>
      </c>
      <c r="AB1289" s="24"/>
    </row>
    <row r="1290" customFormat="false" ht="29.85" hidden="false" customHeight="false" outlineLevel="0" collapsed="false">
      <c r="A1290" s="15" t="n">
        <v>1289</v>
      </c>
      <c r="B1290" s="9" t="s">
        <v>45</v>
      </c>
      <c r="C1290" s="9" t="s">
        <v>3522</v>
      </c>
      <c r="D1290" s="10" t="s">
        <v>3523</v>
      </c>
      <c r="E1290" s="11" t="s">
        <v>3550</v>
      </c>
      <c r="F1290" s="17"/>
      <c r="G1290" s="12" t="s">
        <v>1136</v>
      </c>
      <c r="H1290" s="13" t="n">
        <v>-0.027</v>
      </c>
      <c r="I1290" s="14"/>
      <c r="J1290" s="17"/>
      <c r="K1290" s="9"/>
      <c r="L1290" s="15" t="s">
        <v>50</v>
      </c>
      <c r="M1290" s="16" t="s">
        <v>51</v>
      </c>
      <c r="N1290" s="14"/>
      <c r="O1290" s="15" t="s">
        <v>52</v>
      </c>
      <c r="P1290" s="17" t="s">
        <v>53</v>
      </c>
      <c r="Q1290" s="15"/>
      <c r="R1290" s="18" t="s">
        <v>51</v>
      </c>
      <c r="S1290" s="19"/>
      <c r="T1290" s="17" t="str">
        <f aca="false">IF(R1290="維持",J1290,IF(R1290="排除","無關新聞事件",IFERROR(INDEX(事件規則!$B$2:$B$53,MATCH(S1290,事件規則!$A$2:$A$53,0)),"")))</f>
        <v>無關新聞事件</v>
      </c>
      <c r="U1290" s="20" t="n">
        <f aca="false">IF(R1290="維持",K1290,IF(R1290="排除",0,IFERROR(INDEX(事件規則!$C$2:$C$53,MATCH(S1290,事件規則!$A$2:$A$53,0)),"")))</f>
        <v>0</v>
      </c>
      <c r="V1290" s="21"/>
      <c r="W1290" s="22"/>
      <c r="X1290" s="10" t="str">
        <f aca="false">IF(AND(R1290="修改",S1290=""),"請選新事件代碼",IF(AND(R1290&lt;&gt;"修改",S1290&lt;&gt;""),"只有「修改」才需填代碼",""))</f>
        <v/>
      </c>
      <c r="Y1290" s="21"/>
      <c r="Z1290" s="22"/>
      <c r="AA1290" s="12" t="s">
        <v>3551</v>
      </c>
      <c r="AB1290" s="24"/>
    </row>
    <row r="1291" customFormat="false" ht="29.85" hidden="false" customHeight="false" outlineLevel="0" collapsed="false">
      <c r="A1291" s="15" t="n">
        <v>1290</v>
      </c>
      <c r="B1291" s="9" t="s">
        <v>45</v>
      </c>
      <c r="C1291" s="9" t="s">
        <v>1017</v>
      </c>
      <c r="D1291" s="10" t="s">
        <v>1018</v>
      </c>
      <c r="E1291" s="11" t="s">
        <v>3552</v>
      </c>
      <c r="F1291" s="17"/>
      <c r="G1291" s="12" t="s">
        <v>176</v>
      </c>
      <c r="H1291" s="13" t="n">
        <v>-0.027</v>
      </c>
      <c r="I1291" s="14"/>
      <c r="J1291" s="17"/>
      <c r="K1291" s="9"/>
      <c r="L1291" s="15" t="s">
        <v>50</v>
      </c>
      <c r="M1291" s="16" t="s">
        <v>51</v>
      </c>
      <c r="N1291" s="14"/>
      <c r="O1291" s="15" t="s">
        <v>52</v>
      </c>
      <c r="P1291" s="17" t="s">
        <v>53</v>
      </c>
      <c r="Q1291" s="15"/>
      <c r="R1291" s="18" t="s">
        <v>51</v>
      </c>
      <c r="S1291" s="19"/>
      <c r="T1291" s="17" t="str">
        <f aca="false">IF(R1291="維持",J1291,IF(R1291="排除","無關新聞事件",IFERROR(INDEX(事件規則!$B$2:$B$53,MATCH(S1291,事件規則!$A$2:$A$53,0)),"")))</f>
        <v>無關新聞事件</v>
      </c>
      <c r="U1291" s="20" t="n">
        <f aca="false">IF(R1291="維持",K1291,IF(R1291="排除",0,IFERROR(INDEX(事件規則!$C$2:$C$53,MATCH(S1291,事件規則!$A$2:$A$53,0)),"")))</f>
        <v>0</v>
      </c>
      <c r="V1291" s="21"/>
      <c r="W1291" s="22"/>
      <c r="X1291" s="10" t="str">
        <f aca="false">IF(AND(R1291="修改",S1291=""),"請選新事件代碼",IF(AND(R1291&lt;&gt;"修改",S1291&lt;&gt;""),"只有「修改」才需填代碼",""))</f>
        <v/>
      </c>
      <c r="Y1291" s="21"/>
      <c r="Z1291" s="22"/>
      <c r="AA1291" s="12" t="s">
        <v>3553</v>
      </c>
      <c r="AB1291" s="24"/>
    </row>
    <row r="1292" customFormat="false" ht="29.85" hidden="false" customHeight="false" outlineLevel="0" collapsed="false">
      <c r="A1292" s="15" t="n">
        <v>1291</v>
      </c>
      <c r="B1292" s="9" t="s">
        <v>55</v>
      </c>
      <c r="C1292" s="9" t="s">
        <v>1734</v>
      </c>
      <c r="D1292" s="10" t="s">
        <v>1735</v>
      </c>
      <c r="E1292" s="11" t="s">
        <v>3554</v>
      </c>
      <c r="F1292" s="17"/>
      <c r="G1292" s="12" t="s">
        <v>949</v>
      </c>
      <c r="H1292" s="13" t="n">
        <v>-0.027</v>
      </c>
      <c r="I1292" s="14"/>
      <c r="J1292" s="17"/>
      <c r="K1292" s="9"/>
      <c r="L1292" s="15" t="s">
        <v>50</v>
      </c>
      <c r="M1292" s="16" t="s">
        <v>51</v>
      </c>
      <c r="N1292" s="14"/>
      <c r="O1292" s="15" t="s">
        <v>52</v>
      </c>
      <c r="P1292" s="17" t="s">
        <v>53</v>
      </c>
      <c r="Q1292" s="15"/>
      <c r="R1292" s="18" t="s">
        <v>51</v>
      </c>
      <c r="S1292" s="19"/>
      <c r="T1292" s="17" t="str">
        <f aca="false">IF(R1292="維持",J1292,IF(R1292="排除","無關新聞事件",IFERROR(INDEX(事件規則!$B$2:$B$53,MATCH(S1292,事件規則!$A$2:$A$53,0)),"")))</f>
        <v>無關新聞事件</v>
      </c>
      <c r="U1292" s="20" t="n">
        <f aca="false">IF(R1292="維持",K1292,IF(R1292="排除",0,IFERROR(INDEX(事件規則!$C$2:$C$53,MATCH(S1292,事件規則!$A$2:$A$53,0)),"")))</f>
        <v>0</v>
      </c>
      <c r="V1292" s="21"/>
      <c r="W1292" s="22"/>
      <c r="X1292" s="10" t="str">
        <f aca="false">IF(AND(R1292="修改",S1292=""),"請選新事件代碼",IF(AND(R1292&lt;&gt;"修改",S1292&lt;&gt;""),"只有「修改」才需填代碼",""))</f>
        <v/>
      </c>
      <c r="Y1292" s="21"/>
      <c r="Z1292" s="22"/>
      <c r="AA1292" s="12" t="s">
        <v>3555</v>
      </c>
      <c r="AB1292" s="24"/>
    </row>
    <row r="1293" customFormat="false" ht="29.85" hidden="false" customHeight="false" outlineLevel="0" collapsed="false">
      <c r="A1293" s="15" t="n">
        <v>1292</v>
      </c>
      <c r="B1293" s="9" t="s">
        <v>55</v>
      </c>
      <c r="C1293" s="9" t="s">
        <v>118</v>
      </c>
      <c r="D1293" s="10" t="s">
        <v>119</v>
      </c>
      <c r="E1293" s="11" t="s">
        <v>3556</v>
      </c>
      <c r="F1293" s="17"/>
      <c r="G1293" s="12" t="s">
        <v>949</v>
      </c>
      <c r="H1293" s="13" t="n">
        <v>-0.027</v>
      </c>
      <c r="I1293" s="14"/>
      <c r="J1293" s="17"/>
      <c r="K1293" s="9"/>
      <c r="L1293" s="15" t="s">
        <v>50</v>
      </c>
      <c r="M1293" s="16" t="s">
        <v>51</v>
      </c>
      <c r="N1293" s="14"/>
      <c r="O1293" s="15" t="s">
        <v>52</v>
      </c>
      <c r="P1293" s="17" t="s">
        <v>53</v>
      </c>
      <c r="Q1293" s="15"/>
      <c r="R1293" s="18" t="s">
        <v>51</v>
      </c>
      <c r="S1293" s="19"/>
      <c r="T1293" s="17" t="str">
        <f aca="false">IF(R1293="維持",J1293,IF(R1293="排除","無關新聞事件",IFERROR(INDEX(事件規則!$B$2:$B$53,MATCH(S1293,事件規則!$A$2:$A$53,0)),"")))</f>
        <v>無關新聞事件</v>
      </c>
      <c r="U1293" s="20" t="n">
        <f aca="false">IF(R1293="維持",K1293,IF(R1293="排除",0,IFERROR(INDEX(事件規則!$C$2:$C$53,MATCH(S1293,事件規則!$A$2:$A$53,0)),"")))</f>
        <v>0</v>
      </c>
      <c r="V1293" s="21"/>
      <c r="W1293" s="22"/>
      <c r="X1293" s="10" t="str">
        <f aca="false">IF(AND(R1293="修改",S1293=""),"請選新事件代碼",IF(AND(R1293&lt;&gt;"修改",S1293&lt;&gt;""),"只有「修改」才需填代碼",""))</f>
        <v/>
      </c>
      <c r="Y1293" s="21"/>
      <c r="Z1293" s="22"/>
      <c r="AA1293" s="12" t="s">
        <v>3557</v>
      </c>
      <c r="AB1293" s="24"/>
    </row>
    <row r="1294" customFormat="false" ht="29.85" hidden="false" customHeight="false" outlineLevel="0" collapsed="false">
      <c r="A1294" s="15" t="n">
        <v>1293</v>
      </c>
      <c r="B1294" s="9" t="s">
        <v>55</v>
      </c>
      <c r="C1294" s="9" t="s">
        <v>3558</v>
      </c>
      <c r="D1294" s="10" t="s">
        <v>3559</v>
      </c>
      <c r="E1294" s="11" t="s">
        <v>3560</v>
      </c>
      <c r="F1294" s="17"/>
      <c r="G1294" s="12" t="s">
        <v>3561</v>
      </c>
      <c r="H1294" s="13" t="n">
        <v>-0.027</v>
      </c>
      <c r="I1294" s="14"/>
      <c r="J1294" s="17"/>
      <c r="K1294" s="9"/>
      <c r="L1294" s="15" t="s">
        <v>50</v>
      </c>
      <c r="M1294" s="16" t="s">
        <v>51</v>
      </c>
      <c r="N1294" s="14"/>
      <c r="O1294" s="15" t="s">
        <v>52</v>
      </c>
      <c r="P1294" s="17" t="s">
        <v>53</v>
      </c>
      <c r="Q1294" s="15"/>
      <c r="R1294" s="18" t="s">
        <v>51</v>
      </c>
      <c r="S1294" s="19"/>
      <c r="T1294" s="17" t="str">
        <f aca="false">IF(R1294="維持",J1294,IF(R1294="排除","無關新聞事件",IFERROR(INDEX(事件規則!$B$2:$B$53,MATCH(S1294,事件規則!$A$2:$A$53,0)),"")))</f>
        <v>無關新聞事件</v>
      </c>
      <c r="U1294" s="20" t="n">
        <f aca="false">IF(R1294="維持",K1294,IF(R1294="排除",0,IFERROR(INDEX(事件規則!$C$2:$C$53,MATCH(S1294,事件規則!$A$2:$A$53,0)),"")))</f>
        <v>0</v>
      </c>
      <c r="V1294" s="21"/>
      <c r="W1294" s="22"/>
      <c r="X1294" s="10" t="str">
        <f aca="false">IF(AND(R1294="修改",S1294=""),"請選新事件代碼",IF(AND(R1294&lt;&gt;"修改",S1294&lt;&gt;""),"只有「修改」才需填代碼",""))</f>
        <v/>
      </c>
      <c r="Y1294" s="21"/>
      <c r="Z1294" s="22"/>
      <c r="AA1294" s="12" t="s">
        <v>3562</v>
      </c>
      <c r="AB1294" s="24"/>
    </row>
    <row r="1295" customFormat="false" ht="29.85" hidden="false" customHeight="false" outlineLevel="0" collapsed="false">
      <c r="A1295" s="15" t="n">
        <v>1294</v>
      </c>
      <c r="B1295" s="9" t="s">
        <v>55</v>
      </c>
      <c r="C1295" s="9" t="s">
        <v>61</v>
      </c>
      <c r="D1295" s="10" t="s">
        <v>62</v>
      </c>
      <c r="E1295" s="11" t="s">
        <v>3563</v>
      </c>
      <c r="F1295" s="17"/>
      <c r="G1295" s="12" t="s">
        <v>1136</v>
      </c>
      <c r="H1295" s="13" t="n">
        <v>-0.027</v>
      </c>
      <c r="I1295" s="14"/>
      <c r="J1295" s="17"/>
      <c r="K1295" s="9"/>
      <c r="L1295" s="15" t="s">
        <v>50</v>
      </c>
      <c r="M1295" s="16" t="s">
        <v>51</v>
      </c>
      <c r="N1295" s="14"/>
      <c r="O1295" s="15" t="s">
        <v>52</v>
      </c>
      <c r="P1295" s="17" t="s">
        <v>53</v>
      </c>
      <c r="Q1295" s="15"/>
      <c r="R1295" s="18" t="s">
        <v>51</v>
      </c>
      <c r="S1295" s="19"/>
      <c r="T1295" s="17" t="str">
        <f aca="false">IF(R1295="維持",J1295,IF(R1295="排除","無關新聞事件",IFERROR(INDEX(事件規則!$B$2:$B$53,MATCH(S1295,事件規則!$A$2:$A$53,0)),"")))</f>
        <v>無關新聞事件</v>
      </c>
      <c r="U1295" s="20" t="n">
        <f aca="false">IF(R1295="維持",K1295,IF(R1295="排除",0,IFERROR(INDEX(事件規則!$C$2:$C$53,MATCH(S1295,事件規則!$A$2:$A$53,0)),"")))</f>
        <v>0</v>
      </c>
      <c r="V1295" s="21"/>
      <c r="W1295" s="22"/>
      <c r="X1295" s="10" t="str">
        <f aca="false">IF(AND(R1295="修改",S1295=""),"請選新事件代碼",IF(AND(R1295&lt;&gt;"修改",S1295&lt;&gt;""),"只有「修改」才需填代碼",""))</f>
        <v/>
      </c>
      <c r="Y1295" s="21"/>
      <c r="Z1295" s="22"/>
      <c r="AA1295" s="12" t="s">
        <v>3564</v>
      </c>
      <c r="AB1295" s="24"/>
    </row>
    <row r="1296" customFormat="false" ht="29.85" hidden="false" customHeight="false" outlineLevel="0" collapsed="false">
      <c r="A1296" s="15" t="n">
        <v>1295</v>
      </c>
      <c r="B1296" s="9" t="s">
        <v>112</v>
      </c>
      <c r="C1296" s="9" t="s">
        <v>2424</v>
      </c>
      <c r="D1296" s="10" t="s">
        <v>2425</v>
      </c>
      <c r="E1296" s="11" t="s">
        <v>3565</v>
      </c>
      <c r="F1296" s="17"/>
      <c r="G1296" s="12" t="s">
        <v>949</v>
      </c>
      <c r="H1296" s="13" t="n">
        <v>-0.027</v>
      </c>
      <c r="I1296" s="14"/>
      <c r="J1296" s="17"/>
      <c r="K1296" s="9"/>
      <c r="L1296" s="15" t="s">
        <v>50</v>
      </c>
      <c r="M1296" s="16" t="s">
        <v>51</v>
      </c>
      <c r="N1296" s="14"/>
      <c r="O1296" s="15" t="s">
        <v>52</v>
      </c>
      <c r="P1296" s="17" t="s">
        <v>53</v>
      </c>
      <c r="Q1296" s="15"/>
      <c r="R1296" s="18" t="s">
        <v>51</v>
      </c>
      <c r="S1296" s="19"/>
      <c r="T1296" s="17" t="str">
        <f aca="false">IF(R1296="維持",J1296,IF(R1296="排除","無關新聞事件",IFERROR(INDEX(事件規則!$B$2:$B$53,MATCH(S1296,事件規則!$A$2:$A$53,0)),"")))</f>
        <v>無關新聞事件</v>
      </c>
      <c r="U1296" s="20" t="n">
        <f aca="false">IF(R1296="維持",K1296,IF(R1296="排除",0,IFERROR(INDEX(事件規則!$C$2:$C$53,MATCH(S1296,事件規則!$A$2:$A$53,0)),"")))</f>
        <v>0</v>
      </c>
      <c r="V1296" s="21"/>
      <c r="W1296" s="22"/>
      <c r="X1296" s="10" t="str">
        <f aca="false">IF(AND(R1296="修改",S1296=""),"請選新事件代碼",IF(AND(R1296&lt;&gt;"修改",S1296&lt;&gt;""),"只有「修改」才需填代碼",""))</f>
        <v/>
      </c>
      <c r="Y1296" s="21"/>
      <c r="Z1296" s="22"/>
      <c r="AA1296" s="12" t="s">
        <v>3566</v>
      </c>
      <c r="AB1296" s="24"/>
    </row>
    <row r="1297" customFormat="false" ht="29.85" hidden="false" customHeight="false" outlineLevel="0" collapsed="false">
      <c r="A1297" s="15" t="n">
        <v>1296</v>
      </c>
      <c r="B1297" s="9" t="s">
        <v>112</v>
      </c>
      <c r="C1297" s="9" t="s">
        <v>1661</v>
      </c>
      <c r="D1297" s="10" t="s">
        <v>1662</v>
      </c>
      <c r="E1297" s="11" t="s">
        <v>3567</v>
      </c>
      <c r="F1297" s="17"/>
      <c r="G1297" s="12" t="s">
        <v>949</v>
      </c>
      <c r="H1297" s="13" t="n">
        <v>-0.027</v>
      </c>
      <c r="I1297" s="14"/>
      <c r="J1297" s="17"/>
      <c r="K1297" s="9"/>
      <c r="L1297" s="15" t="s">
        <v>50</v>
      </c>
      <c r="M1297" s="16" t="s">
        <v>51</v>
      </c>
      <c r="N1297" s="14"/>
      <c r="O1297" s="15" t="s">
        <v>52</v>
      </c>
      <c r="P1297" s="17" t="s">
        <v>53</v>
      </c>
      <c r="Q1297" s="15"/>
      <c r="R1297" s="18" t="s">
        <v>51</v>
      </c>
      <c r="S1297" s="19"/>
      <c r="T1297" s="17" t="str">
        <f aca="false">IF(R1297="維持",J1297,IF(R1297="排除","無關新聞事件",IFERROR(INDEX(事件規則!$B$2:$B$53,MATCH(S1297,事件規則!$A$2:$A$53,0)),"")))</f>
        <v>無關新聞事件</v>
      </c>
      <c r="U1297" s="20" t="n">
        <f aca="false">IF(R1297="維持",K1297,IF(R1297="排除",0,IFERROR(INDEX(事件規則!$C$2:$C$53,MATCH(S1297,事件規則!$A$2:$A$53,0)),"")))</f>
        <v>0</v>
      </c>
      <c r="V1297" s="21"/>
      <c r="W1297" s="22"/>
      <c r="X1297" s="10" t="str">
        <f aca="false">IF(AND(R1297="修改",S1297=""),"請選新事件代碼",IF(AND(R1297&lt;&gt;"修改",S1297&lt;&gt;""),"只有「修改」才需填代碼",""))</f>
        <v/>
      </c>
      <c r="Y1297" s="21"/>
      <c r="Z1297" s="22"/>
      <c r="AA1297" s="12" t="s">
        <v>3568</v>
      </c>
      <c r="AB1297" s="24"/>
    </row>
    <row r="1298" customFormat="false" ht="29.85" hidden="false" customHeight="false" outlineLevel="0" collapsed="false">
      <c r="A1298" s="15" t="n">
        <v>1297</v>
      </c>
      <c r="B1298" s="9" t="s">
        <v>112</v>
      </c>
      <c r="C1298" s="9" t="s">
        <v>414</v>
      </c>
      <c r="D1298" s="10" t="s">
        <v>415</v>
      </c>
      <c r="E1298" s="11" t="s">
        <v>3569</v>
      </c>
      <c r="F1298" s="17"/>
      <c r="G1298" s="12" t="s">
        <v>1577</v>
      </c>
      <c r="H1298" s="13" t="n">
        <v>-0.027</v>
      </c>
      <c r="I1298" s="14"/>
      <c r="J1298" s="17"/>
      <c r="K1298" s="9"/>
      <c r="L1298" s="15" t="s">
        <v>50</v>
      </c>
      <c r="M1298" s="16" t="s">
        <v>51</v>
      </c>
      <c r="N1298" s="14"/>
      <c r="O1298" s="15" t="s">
        <v>52</v>
      </c>
      <c r="P1298" s="17" t="s">
        <v>53</v>
      </c>
      <c r="Q1298" s="15"/>
      <c r="R1298" s="18" t="s">
        <v>51</v>
      </c>
      <c r="S1298" s="19"/>
      <c r="T1298" s="17" t="str">
        <f aca="false">IF(R1298="維持",J1298,IF(R1298="排除","無關新聞事件",IFERROR(INDEX(事件規則!$B$2:$B$53,MATCH(S1298,事件規則!$A$2:$A$53,0)),"")))</f>
        <v>無關新聞事件</v>
      </c>
      <c r="U1298" s="20" t="n">
        <f aca="false">IF(R1298="維持",K1298,IF(R1298="排除",0,IFERROR(INDEX(事件規則!$C$2:$C$53,MATCH(S1298,事件規則!$A$2:$A$53,0)),"")))</f>
        <v>0</v>
      </c>
      <c r="V1298" s="21"/>
      <c r="W1298" s="22"/>
      <c r="X1298" s="10" t="str">
        <f aca="false">IF(AND(R1298="修改",S1298=""),"請選新事件代碼",IF(AND(R1298&lt;&gt;"修改",S1298&lt;&gt;""),"只有「修改」才需填代碼",""))</f>
        <v/>
      </c>
      <c r="Y1298" s="21"/>
      <c r="Z1298" s="22"/>
      <c r="AA1298" s="12" t="s">
        <v>3570</v>
      </c>
      <c r="AB1298" s="24"/>
    </row>
    <row r="1299" customFormat="false" ht="29.85" hidden="false" customHeight="false" outlineLevel="0" collapsed="false">
      <c r="A1299" s="15" t="n">
        <v>1298</v>
      </c>
      <c r="B1299" s="9" t="s">
        <v>112</v>
      </c>
      <c r="C1299" s="9" t="s">
        <v>1406</v>
      </c>
      <c r="D1299" s="10" t="s">
        <v>1407</v>
      </c>
      <c r="E1299" s="11" t="s">
        <v>3571</v>
      </c>
      <c r="F1299" s="17"/>
      <c r="G1299" s="12" t="s">
        <v>1068</v>
      </c>
      <c r="H1299" s="13" t="n">
        <v>-0.027</v>
      </c>
      <c r="I1299" s="14"/>
      <c r="J1299" s="17"/>
      <c r="K1299" s="9"/>
      <c r="L1299" s="15" t="s">
        <v>50</v>
      </c>
      <c r="M1299" s="16" t="s">
        <v>51</v>
      </c>
      <c r="N1299" s="14"/>
      <c r="O1299" s="15" t="s">
        <v>52</v>
      </c>
      <c r="P1299" s="17" t="s">
        <v>53</v>
      </c>
      <c r="Q1299" s="15"/>
      <c r="R1299" s="18" t="s">
        <v>51</v>
      </c>
      <c r="S1299" s="19"/>
      <c r="T1299" s="17" t="str">
        <f aca="false">IF(R1299="維持",J1299,IF(R1299="排除","無關新聞事件",IFERROR(INDEX(事件規則!$B$2:$B$53,MATCH(S1299,事件規則!$A$2:$A$53,0)),"")))</f>
        <v>無關新聞事件</v>
      </c>
      <c r="U1299" s="20" t="n">
        <f aca="false">IF(R1299="維持",K1299,IF(R1299="排除",0,IFERROR(INDEX(事件規則!$C$2:$C$53,MATCH(S1299,事件規則!$A$2:$A$53,0)),"")))</f>
        <v>0</v>
      </c>
      <c r="V1299" s="21"/>
      <c r="W1299" s="22"/>
      <c r="X1299" s="10" t="str">
        <f aca="false">IF(AND(R1299="修改",S1299=""),"請選新事件代碼",IF(AND(R1299&lt;&gt;"修改",S1299&lt;&gt;""),"只有「修改」才需填代碼",""))</f>
        <v/>
      </c>
      <c r="Y1299" s="21"/>
      <c r="Z1299" s="22"/>
      <c r="AA1299" s="12" t="s">
        <v>3572</v>
      </c>
      <c r="AB1299" s="24"/>
    </row>
    <row r="1300" customFormat="false" ht="29.85" hidden="false" customHeight="false" outlineLevel="0" collapsed="false">
      <c r="A1300" s="15" t="n">
        <v>1299</v>
      </c>
      <c r="B1300" s="9" t="s">
        <v>45</v>
      </c>
      <c r="C1300" s="9" t="s">
        <v>1555</v>
      </c>
      <c r="D1300" s="10" t="s">
        <v>1556</v>
      </c>
      <c r="E1300" s="11" t="s">
        <v>3573</v>
      </c>
      <c r="F1300" s="17"/>
      <c r="G1300" s="12" t="s">
        <v>949</v>
      </c>
      <c r="H1300" s="13" t="n">
        <v>-0.027</v>
      </c>
      <c r="I1300" s="14"/>
      <c r="J1300" s="17"/>
      <c r="K1300" s="9"/>
      <c r="L1300" s="15" t="s">
        <v>50</v>
      </c>
      <c r="M1300" s="16" t="s">
        <v>51</v>
      </c>
      <c r="N1300" s="14"/>
      <c r="O1300" s="15" t="s">
        <v>52</v>
      </c>
      <c r="P1300" s="17" t="s">
        <v>53</v>
      </c>
      <c r="Q1300" s="15"/>
      <c r="R1300" s="18" t="s">
        <v>51</v>
      </c>
      <c r="S1300" s="19"/>
      <c r="T1300" s="17" t="str">
        <f aca="false">IF(R1300="維持",J1300,IF(R1300="排除","無關新聞事件",IFERROR(INDEX(事件規則!$B$2:$B$53,MATCH(S1300,事件規則!$A$2:$A$53,0)),"")))</f>
        <v>無關新聞事件</v>
      </c>
      <c r="U1300" s="20" t="n">
        <f aca="false">IF(R1300="維持",K1300,IF(R1300="排除",0,IFERROR(INDEX(事件規則!$C$2:$C$53,MATCH(S1300,事件規則!$A$2:$A$53,0)),"")))</f>
        <v>0</v>
      </c>
      <c r="V1300" s="21"/>
      <c r="W1300" s="22"/>
      <c r="X1300" s="10" t="str">
        <f aca="false">IF(AND(R1300="修改",S1300=""),"請選新事件代碼",IF(AND(R1300&lt;&gt;"修改",S1300&lt;&gt;""),"只有「修改」才需填代碼",""))</f>
        <v/>
      </c>
      <c r="Y1300" s="21"/>
      <c r="Z1300" s="22"/>
      <c r="AA1300" s="12" t="s">
        <v>3574</v>
      </c>
      <c r="AB1300" s="24"/>
    </row>
    <row r="1301" customFormat="false" ht="29.85" hidden="false" customHeight="false" outlineLevel="0" collapsed="false">
      <c r="A1301" s="15" t="n">
        <v>1300</v>
      </c>
      <c r="B1301" s="9" t="s">
        <v>45</v>
      </c>
      <c r="C1301" s="9" t="s">
        <v>1555</v>
      </c>
      <c r="D1301" s="10" t="s">
        <v>1556</v>
      </c>
      <c r="E1301" s="11" t="s">
        <v>3575</v>
      </c>
      <c r="F1301" s="17"/>
      <c r="G1301" s="12" t="s">
        <v>949</v>
      </c>
      <c r="H1301" s="13" t="n">
        <v>-0.027</v>
      </c>
      <c r="I1301" s="14"/>
      <c r="J1301" s="17"/>
      <c r="K1301" s="9"/>
      <c r="L1301" s="15" t="s">
        <v>50</v>
      </c>
      <c r="M1301" s="16" t="s">
        <v>51</v>
      </c>
      <c r="N1301" s="14"/>
      <c r="O1301" s="15" t="s">
        <v>52</v>
      </c>
      <c r="P1301" s="17" t="s">
        <v>53</v>
      </c>
      <c r="Q1301" s="15"/>
      <c r="R1301" s="18" t="s">
        <v>51</v>
      </c>
      <c r="S1301" s="19"/>
      <c r="T1301" s="17" t="str">
        <f aca="false">IF(R1301="維持",J1301,IF(R1301="排除","無關新聞事件",IFERROR(INDEX(事件規則!$B$2:$B$53,MATCH(S1301,事件規則!$A$2:$A$53,0)),"")))</f>
        <v>無關新聞事件</v>
      </c>
      <c r="U1301" s="20" t="n">
        <f aca="false">IF(R1301="維持",K1301,IF(R1301="排除",0,IFERROR(INDEX(事件規則!$C$2:$C$53,MATCH(S1301,事件規則!$A$2:$A$53,0)),"")))</f>
        <v>0</v>
      </c>
      <c r="V1301" s="21"/>
      <c r="W1301" s="22"/>
      <c r="X1301" s="10" t="str">
        <f aca="false">IF(AND(R1301="修改",S1301=""),"請選新事件代碼",IF(AND(R1301&lt;&gt;"修改",S1301&lt;&gt;""),"只有「修改」才需填代碼",""))</f>
        <v/>
      </c>
      <c r="Y1301" s="21"/>
      <c r="Z1301" s="22"/>
      <c r="AA1301" s="12" t="s">
        <v>3576</v>
      </c>
      <c r="AB1301" s="24"/>
    </row>
    <row r="1302" customFormat="false" ht="29.85" hidden="false" customHeight="false" outlineLevel="0" collapsed="false">
      <c r="A1302" s="15" t="n">
        <v>1301</v>
      </c>
      <c r="B1302" s="9" t="s">
        <v>45</v>
      </c>
      <c r="C1302" s="9" t="s">
        <v>585</v>
      </c>
      <c r="D1302" s="10" t="s">
        <v>586</v>
      </c>
      <c r="E1302" s="11" t="s">
        <v>3577</v>
      </c>
      <c r="F1302" s="17"/>
      <c r="G1302" s="12" t="s">
        <v>949</v>
      </c>
      <c r="H1302" s="13" t="n">
        <v>-0.027</v>
      </c>
      <c r="I1302" s="14"/>
      <c r="J1302" s="17"/>
      <c r="K1302" s="9"/>
      <c r="L1302" s="15" t="s">
        <v>50</v>
      </c>
      <c r="M1302" s="16" t="s">
        <v>51</v>
      </c>
      <c r="N1302" s="14"/>
      <c r="O1302" s="15" t="s">
        <v>52</v>
      </c>
      <c r="P1302" s="17" t="s">
        <v>53</v>
      </c>
      <c r="Q1302" s="15"/>
      <c r="R1302" s="18" t="s">
        <v>51</v>
      </c>
      <c r="S1302" s="19"/>
      <c r="T1302" s="17" t="str">
        <f aca="false">IF(R1302="維持",J1302,IF(R1302="排除","無關新聞事件",IFERROR(INDEX(事件規則!$B$2:$B$53,MATCH(S1302,事件規則!$A$2:$A$53,0)),"")))</f>
        <v>無關新聞事件</v>
      </c>
      <c r="U1302" s="20" t="n">
        <f aca="false">IF(R1302="維持",K1302,IF(R1302="排除",0,IFERROR(INDEX(事件規則!$C$2:$C$53,MATCH(S1302,事件規則!$A$2:$A$53,0)),"")))</f>
        <v>0</v>
      </c>
      <c r="V1302" s="21"/>
      <c r="W1302" s="22"/>
      <c r="X1302" s="10" t="str">
        <f aca="false">IF(AND(R1302="修改",S1302=""),"請選新事件代碼",IF(AND(R1302&lt;&gt;"修改",S1302&lt;&gt;""),"只有「修改」才需填代碼",""))</f>
        <v/>
      </c>
      <c r="Y1302" s="21"/>
      <c r="Z1302" s="22"/>
      <c r="AA1302" s="12" t="s">
        <v>3578</v>
      </c>
      <c r="AB1302" s="24"/>
    </row>
    <row r="1303" customFormat="false" ht="29.85" hidden="false" customHeight="false" outlineLevel="0" collapsed="false">
      <c r="A1303" s="15" t="n">
        <v>1302</v>
      </c>
      <c r="B1303" s="9" t="s">
        <v>45</v>
      </c>
      <c r="C1303" s="9" t="s">
        <v>1555</v>
      </c>
      <c r="D1303" s="10" t="s">
        <v>1556</v>
      </c>
      <c r="E1303" s="11" t="s">
        <v>3579</v>
      </c>
      <c r="F1303" s="17"/>
      <c r="G1303" s="12" t="s">
        <v>949</v>
      </c>
      <c r="H1303" s="13" t="n">
        <v>-0.027</v>
      </c>
      <c r="I1303" s="14"/>
      <c r="J1303" s="17"/>
      <c r="K1303" s="9"/>
      <c r="L1303" s="15" t="s">
        <v>50</v>
      </c>
      <c r="M1303" s="16" t="s">
        <v>51</v>
      </c>
      <c r="N1303" s="14"/>
      <c r="O1303" s="15" t="s">
        <v>52</v>
      </c>
      <c r="P1303" s="17" t="s">
        <v>53</v>
      </c>
      <c r="Q1303" s="15"/>
      <c r="R1303" s="18" t="s">
        <v>51</v>
      </c>
      <c r="S1303" s="19"/>
      <c r="T1303" s="17" t="str">
        <f aca="false">IF(R1303="維持",J1303,IF(R1303="排除","無關新聞事件",IFERROR(INDEX(事件規則!$B$2:$B$53,MATCH(S1303,事件規則!$A$2:$A$53,0)),"")))</f>
        <v>無關新聞事件</v>
      </c>
      <c r="U1303" s="20" t="n">
        <f aca="false">IF(R1303="維持",K1303,IF(R1303="排除",0,IFERROR(INDEX(事件規則!$C$2:$C$53,MATCH(S1303,事件規則!$A$2:$A$53,0)),"")))</f>
        <v>0</v>
      </c>
      <c r="V1303" s="21"/>
      <c r="W1303" s="22"/>
      <c r="X1303" s="10" t="str">
        <f aca="false">IF(AND(R1303="修改",S1303=""),"請選新事件代碼",IF(AND(R1303&lt;&gt;"修改",S1303&lt;&gt;""),"只有「修改」才需填代碼",""))</f>
        <v/>
      </c>
      <c r="Y1303" s="21"/>
      <c r="Z1303" s="22"/>
      <c r="AA1303" s="12" t="s">
        <v>3580</v>
      </c>
      <c r="AB1303" s="24"/>
    </row>
    <row r="1304" customFormat="false" ht="29.85" hidden="false" customHeight="false" outlineLevel="0" collapsed="false">
      <c r="A1304" s="15" t="n">
        <v>1303</v>
      </c>
      <c r="B1304" s="9" t="s">
        <v>45</v>
      </c>
      <c r="C1304" s="9" t="s">
        <v>1555</v>
      </c>
      <c r="D1304" s="10" t="s">
        <v>1556</v>
      </c>
      <c r="E1304" s="11" t="s">
        <v>3581</v>
      </c>
      <c r="F1304" s="17"/>
      <c r="G1304" s="12" t="s">
        <v>949</v>
      </c>
      <c r="H1304" s="13" t="n">
        <v>-0.027</v>
      </c>
      <c r="I1304" s="14"/>
      <c r="J1304" s="17"/>
      <c r="K1304" s="9"/>
      <c r="L1304" s="15" t="s">
        <v>50</v>
      </c>
      <c r="M1304" s="16" t="s">
        <v>51</v>
      </c>
      <c r="N1304" s="14"/>
      <c r="O1304" s="15" t="s">
        <v>52</v>
      </c>
      <c r="P1304" s="17" t="s">
        <v>53</v>
      </c>
      <c r="Q1304" s="15"/>
      <c r="R1304" s="18" t="s">
        <v>51</v>
      </c>
      <c r="S1304" s="19"/>
      <c r="T1304" s="17" t="str">
        <f aca="false">IF(R1304="維持",J1304,IF(R1304="排除","無關新聞事件",IFERROR(INDEX(事件規則!$B$2:$B$53,MATCH(S1304,事件規則!$A$2:$A$53,0)),"")))</f>
        <v>無關新聞事件</v>
      </c>
      <c r="U1304" s="20" t="n">
        <f aca="false">IF(R1304="維持",K1304,IF(R1304="排除",0,IFERROR(INDEX(事件規則!$C$2:$C$53,MATCH(S1304,事件規則!$A$2:$A$53,0)),"")))</f>
        <v>0</v>
      </c>
      <c r="V1304" s="21"/>
      <c r="W1304" s="22"/>
      <c r="X1304" s="10" t="str">
        <f aca="false">IF(AND(R1304="修改",S1304=""),"請選新事件代碼",IF(AND(R1304&lt;&gt;"修改",S1304&lt;&gt;""),"只有「修改」才需填代碼",""))</f>
        <v/>
      </c>
      <c r="Y1304" s="21"/>
      <c r="Z1304" s="22"/>
      <c r="AA1304" s="12" t="s">
        <v>3582</v>
      </c>
      <c r="AB1304" s="24"/>
    </row>
    <row r="1305" customFormat="false" ht="29.85" hidden="false" customHeight="false" outlineLevel="0" collapsed="false">
      <c r="A1305" s="15" t="n">
        <v>1304</v>
      </c>
      <c r="B1305" s="9" t="s">
        <v>45</v>
      </c>
      <c r="C1305" s="9" t="s">
        <v>1555</v>
      </c>
      <c r="D1305" s="10" t="s">
        <v>1556</v>
      </c>
      <c r="E1305" s="11" t="s">
        <v>3583</v>
      </c>
      <c r="F1305" s="17"/>
      <c r="G1305" s="12" t="s">
        <v>949</v>
      </c>
      <c r="H1305" s="13" t="n">
        <v>-0.027</v>
      </c>
      <c r="I1305" s="14"/>
      <c r="J1305" s="17"/>
      <c r="K1305" s="9"/>
      <c r="L1305" s="15" t="s">
        <v>50</v>
      </c>
      <c r="M1305" s="16" t="s">
        <v>51</v>
      </c>
      <c r="N1305" s="14"/>
      <c r="O1305" s="15" t="s">
        <v>52</v>
      </c>
      <c r="P1305" s="17" t="s">
        <v>53</v>
      </c>
      <c r="Q1305" s="15"/>
      <c r="R1305" s="18" t="s">
        <v>51</v>
      </c>
      <c r="S1305" s="19"/>
      <c r="T1305" s="17" t="str">
        <f aca="false">IF(R1305="維持",J1305,IF(R1305="排除","無關新聞事件",IFERROR(INDEX(事件規則!$B$2:$B$53,MATCH(S1305,事件規則!$A$2:$A$53,0)),"")))</f>
        <v>無關新聞事件</v>
      </c>
      <c r="U1305" s="20" t="n">
        <f aca="false">IF(R1305="維持",K1305,IF(R1305="排除",0,IFERROR(INDEX(事件規則!$C$2:$C$53,MATCH(S1305,事件規則!$A$2:$A$53,0)),"")))</f>
        <v>0</v>
      </c>
      <c r="V1305" s="21"/>
      <c r="W1305" s="22"/>
      <c r="X1305" s="10" t="str">
        <f aca="false">IF(AND(R1305="修改",S1305=""),"請選新事件代碼",IF(AND(R1305&lt;&gt;"修改",S1305&lt;&gt;""),"只有「修改」才需填代碼",""))</f>
        <v/>
      </c>
      <c r="Y1305" s="21"/>
      <c r="Z1305" s="22"/>
      <c r="AA1305" s="12" t="s">
        <v>3584</v>
      </c>
      <c r="AB1305" s="24"/>
    </row>
    <row r="1306" customFormat="false" ht="29.85" hidden="false" customHeight="false" outlineLevel="0" collapsed="false">
      <c r="A1306" s="15" t="n">
        <v>1305</v>
      </c>
      <c r="B1306" s="9" t="s">
        <v>45</v>
      </c>
      <c r="C1306" s="9" t="s">
        <v>445</v>
      </c>
      <c r="D1306" s="10" t="s">
        <v>446</v>
      </c>
      <c r="E1306" s="11" t="s">
        <v>3585</v>
      </c>
      <c r="F1306" s="17"/>
      <c r="G1306" s="12" t="s">
        <v>176</v>
      </c>
      <c r="H1306" s="13" t="n">
        <v>-0.027</v>
      </c>
      <c r="I1306" s="14"/>
      <c r="J1306" s="17"/>
      <c r="K1306" s="9"/>
      <c r="L1306" s="15" t="s">
        <v>50</v>
      </c>
      <c r="M1306" s="16" t="s">
        <v>51</v>
      </c>
      <c r="N1306" s="14"/>
      <c r="O1306" s="15" t="s">
        <v>52</v>
      </c>
      <c r="P1306" s="17" t="s">
        <v>53</v>
      </c>
      <c r="Q1306" s="15"/>
      <c r="R1306" s="18" t="s">
        <v>51</v>
      </c>
      <c r="S1306" s="19"/>
      <c r="T1306" s="17" t="str">
        <f aca="false">IF(R1306="維持",J1306,IF(R1306="排除","無關新聞事件",IFERROR(INDEX(事件規則!$B$2:$B$53,MATCH(S1306,事件規則!$A$2:$A$53,0)),"")))</f>
        <v>無關新聞事件</v>
      </c>
      <c r="U1306" s="20" t="n">
        <f aca="false">IF(R1306="維持",K1306,IF(R1306="排除",0,IFERROR(INDEX(事件規則!$C$2:$C$53,MATCH(S1306,事件規則!$A$2:$A$53,0)),"")))</f>
        <v>0</v>
      </c>
      <c r="V1306" s="21"/>
      <c r="W1306" s="22"/>
      <c r="X1306" s="10" t="str">
        <f aca="false">IF(AND(R1306="修改",S1306=""),"請選新事件代碼",IF(AND(R1306&lt;&gt;"修改",S1306&lt;&gt;""),"只有「修改」才需填代碼",""))</f>
        <v/>
      </c>
      <c r="Y1306" s="21"/>
      <c r="Z1306" s="22"/>
      <c r="AA1306" s="12" t="s">
        <v>3586</v>
      </c>
      <c r="AB1306" s="24"/>
    </row>
    <row r="1307" customFormat="false" ht="29.85" hidden="false" customHeight="false" outlineLevel="0" collapsed="false">
      <c r="A1307" s="15" t="n">
        <v>1306</v>
      </c>
      <c r="B1307" s="9" t="s">
        <v>45</v>
      </c>
      <c r="C1307" s="9" t="s">
        <v>3587</v>
      </c>
      <c r="D1307" s="10" t="s">
        <v>3588</v>
      </c>
      <c r="E1307" s="11" t="s">
        <v>3589</v>
      </c>
      <c r="F1307" s="17"/>
      <c r="G1307" s="12" t="s">
        <v>176</v>
      </c>
      <c r="H1307" s="13" t="n">
        <v>-0.027</v>
      </c>
      <c r="I1307" s="14"/>
      <c r="J1307" s="17"/>
      <c r="K1307" s="9"/>
      <c r="L1307" s="15" t="s">
        <v>50</v>
      </c>
      <c r="M1307" s="16" t="s">
        <v>51</v>
      </c>
      <c r="N1307" s="14"/>
      <c r="O1307" s="15" t="s">
        <v>52</v>
      </c>
      <c r="P1307" s="17" t="s">
        <v>53</v>
      </c>
      <c r="Q1307" s="15"/>
      <c r="R1307" s="18" t="s">
        <v>51</v>
      </c>
      <c r="S1307" s="19"/>
      <c r="T1307" s="17" t="str">
        <f aca="false">IF(R1307="維持",J1307,IF(R1307="排除","無關新聞事件",IFERROR(INDEX(事件規則!$B$2:$B$53,MATCH(S1307,事件規則!$A$2:$A$53,0)),"")))</f>
        <v>無關新聞事件</v>
      </c>
      <c r="U1307" s="20" t="n">
        <f aca="false">IF(R1307="維持",K1307,IF(R1307="排除",0,IFERROR(INDEX(事件規則!$C$2:$C$53,MATCH(S1307,事件規則!$A$2:$A$53,0)),"")))</f>
        <v>0</v>
      </c>
      <c r="V1307" s="21"/>
      <c r="W1307" s="22"/>
      <c r="X1307" s="10" t="str">
        <f aca="false">IF(AND(R1307="修改",S1307=""),"請選新事件代碼",IF(AND(R1307&lt;&gt;"修改",S1307&lt;&gt;""),"只有「修改」才需填代碼",""))</f>
        <v/>
      </c>
      <c r="Y1307" s="21"/>
      <c r="Z1307" s="22"/>
      <c r="AA1307" s="12" t="s">
        <v>3590</v>
      </c>
      <c r="AB1307" s="24"/>
    </row>
    <row r="1308" customFormat="false" ht="29.85" hidden="false" customHeight="false" outlineLevel="0" collapsed="false">
      <c r="A1308" s="15" t="n">
        <v>1307</v>
      </c>
      <c r="B1308" s="9" t="s">
        <v>45</v>
      </c>
      <c r="C1308" s="9" t="s">
        <v>178</v>
      </c>
      <c r="D1308" s="10" t="s">
        <v>179</v>
      </c>
      <c r="E1308" s="11" t="s">
        <v>3591</v>
      </c>
      <c r="F1308" s="17"/>
      <c r="G1308" s="12" t="s">
        <v>3592</v>
      </c>
      <c r="H1308" s="13" t="n">
        <v>-0.027</v>
      </c>
      <c r="I1308" s="14"/>
      <c r="J1308" s="17"/>
      <c r="K1308" s="9"/>
      <c r="L1308" s="15" t="s">
        <v>50</v>
      </c>
      <c r="M1308" s="16" t="s">
        <v>51</v>
      </c>
      <c r="N1308" s="14"/>
      <c r="O1308" s="15" t="s">
        <v>52</v>
      </c>
      <c r="P1308" s="17" t="s">
        <v>53</v>
      </c>
      <c r="Q1308" s="15"/>
      <c r="R1308" s="18" t="s">
        <v>51</v>
      </c>
      <c r="S1308" s="19"/>
      <c r="T1308" s="17" t="str">
        <f aca="false">IF(R1308="維持",J1308,IF(R1308="排除","無關新聞事件",IFERROR(INDEX(事件規則!$B$2:$B$53,MATCH(S1308,事件規則!$A$2:$A$53,0)),"")))</f>
        <v>無關新聞事件</v>
      </c>
      <c r="U1308" s="20" t="n">
        <f aca="false">IF(R1308="維持",K1308,IF(R1308="排除",0,IFERROR(INDEX(事件規則!$C$2:$C$53,MATCH(S1308,事件規則!$A$2:$A$53,0)),"")))</f>
        <v>0</v>
      </c>
      <c r="V1308" s="21"/>
      <c r="W1308" s="22"/>
      <c r="X1308" s="10" t="str">
        <f aca="false">IF(AND(R1308="修改",S1308=""),"請選新事件代碼",IF(AND(R1308&lt;&gt;"修改",S1308&lt;&gt;""),"只有「修改」才需填代碼",""))</f>
        <v/>
      </c>
      <c r="Y1308" s="21"/>
      <c r="Z1308" s="22"/>
      <c r="AA1308" s="12" t="s">
        <v>3593</v>
      </c>
      <c r="AB1308" s="24"/>
    </row>
    <row r="1309" customFormat="false" ht="29.85" hidden="false" customHeight="false" outlineLevel="0" collapsed="false">
      <c r="A1309" s="15" t="n">
        <v>1308</v>
      </c>
      <c r="B1309" s="9" t="s">
        <v>45</v>
      </c>
      <c r="C1309" s="9" t="s">
        <v>1928</v>
      </c>
      <c r="D1309" s="10" t="s">
        <v>1929</v>
      </c>
      <c r="E1309" s="11" t="s">
        <v>3594</v>
      </c>
      <c r="F1309" s="17"/>
      <c r="G1309" s="12" t="s">
        <v>1136</v>
      </c>
      <c r="H1309" s="13" t="n">
        <v>-0.027</v>
      </c>
      <c r="I1309" s="14"/>
      <c r="J1309" s="17"/>
      <c r="K1309" s="9"/>
      <c r="L1309" s="15" t="s">
        <v>50</v>
      </c>
      <c r="M1309" s="16" t="s">
        <v>51</v>
      </c>
      <c r="N1309" s="14"/>
      <c r="O1309" s="15" t="s">
        <v>52</v>
      </c>
      <c r="P1309" s="17" t="s">
        <v>53</v>
      </c>
      <c r="Q1309" s="15"/>
      <c r="R1309" s="18" t="s">
        <v>51</v>
      </c>
      <c r="S1309" s="19"/>
      <c r="T1309" s="17" t="str">
        <f aca="false">IF(R1309="維持",J1309,IF(R1309="排除","無關新聞事件",IFERROR(INDEX(事件規則!$B$2:$B$53,MATCH(S1309,事件規則!$A$2:$A$53,0)),"")))</f>
        <v>無關新聞事件</v>
      </c>
      <c r="U1309" s="20" t="n">
        <f aca="false">IF(R1309="維持",K1309,IF(R1309="排除",0,IFERROR(INDEX(事件規則!$C$2:$C$53,MATCH(S1309,事件規則!$A$2:$A$53,0)),"")))</f>
        <v>0</v>
      </c>
      <c r="V1309" s="21"/>
      <c r="W1309" s="22"/>
      <c r="X1309" s="10" t="str">
        <f aca="false">IF(AND(R1309="修改",S1309=""),"請選新事件代碼",IF(AND(R1309&lt;&gt;"修改",S1309&lt;&gt;""),"只有「修改」才需填代碼",""))</f>
        <v/>
      </c>
      <c r="Y1309" s="21"/>
      <c r="Z1309" s="22"/>
      <c r="AA1309" s="12" t="s">
        <v>3595</v>
      </c>
      <c r="AB1309" s="24"/>
    </row>
    <row r="1310" customFormat="false" ht="29.85" hidden="false" customHeight="false" outlineLevel="0" collapsed="false">
      <c r="A1310" s="15" t="n">
        <v>1309</v>
      </c>
      <c r="B1310" s="9" t="s">
        <v>81</v>
      </c>
      <c r="C1310" s="9" t="s">
        <v>2371</v>
      </c>
      <c r="D1310" s="10" t="s">
        <v>2372</v>
      </c>
      <c r="E1310" s="11" t="s">
        <v>3596</v>
      </c>
      <c r="F1310" s="17"/>
      <c r="G1310" s="12" t="s">
        <v>1136</v>
      </c>
      <c r="H1310" s="13" t="n">
        <v>-0.027</v>
      </c>
      <c r="I1310" s="14"/>
      <c r="J1310" s="17"/>
      <c r="K1310" s="9"/>
      <c r="L1310" s="15" t="s">
        <v>50</v>
      </c>
      <c r="M1310" s="16" t="s">
        <v>51</v>
      </c>
      <c r="N1310" s="14"/>
      <c r="O1310" s="15" t="s">
        <v>52</v>
      </c>
      <c r="P1310" s="17" t="s">
        <v>53</v>
      </c>
      <c r="Q1310" s="15"/>
      <c r="R1310" s="18" t="s">
        <v>51</v>
      </c>
      <c r="S1310" s="19"/>
      <c r="T1310" s="17" t="str">
        <f aca="false">IF(R1310="維持",J1310,IF(R1310="排除","無關新聞事件",IFERROR(INDEX(事件規則!$B$2:$B$53,MATCH(S1310,事件規則!$A$2:$A$53,0)),"")))</f>
        <v>無關新聞事件</v>
      </c>
      <c r="U1310" s="20" t="n">
        <f aca="false">IF(R1310="維持",K1310,IF(R1310="排除",0,IFERROR(INDEX(事件規則!$C$2:$C$53,MATCH(S1310,事件規則!$A$2:$A$53,0)),"")))</f>
        <v>0</v>
      </c>
      <c r="V1310" s="21"/>
      <c r="W1310" s="22"/>
      <c r="X1310" s="10" t="str">
        <f aca="false">IF(AND(R1310="修改",S1310=""),"請選新事件代碼",IF(AND(R1310&lt;&gt;"修改",S1310&lt;&gt;""),"只有「修改」才需填代碼",""))</f>
        <v/>
      </c>
      <c r="Y1310" s="21"/>
      <c r="Z1310" s="22"/>
      <c r="AA1310" s="12" t="s">
        <v>3597</v>
      </c>
      <c r="AB1310" s="24"/>
    </row>
    <row r="1311" customFormat="false" ht="29.85" hidden="false" customHeight="false" outlineLevel="0" collapsed="false">
      <c r="A1311" s="15" t="n">
        <v>1310</v>
      </c>
      <c r="B1311" s="9" t="s">
        <v>81</v>
      </c>
      <c r="C1311" s="9" t="s">
        <v>315</v>
      </c>
      <c r="D1311" s="10" t="s">
        <v>316</v>
      </c>
      <c r="E1311" s="11" t="s">
        <v>3598</v>
      </c>
      <c r="F1311" s="17"/>
      <c r="G1311" s="12" t="s">
        <v>1136</v>
      </c>
      <c r="H1311" s="13" t="n">
        <v>-0.027</v>
      </c>
      <c r="I1311" s="14"/>
      <c r="J1311" s="17"/>
      <c r="K1311" s="9"/>
      <c r="L1311" s="15" t="s">
        <v>50</v>
      </c>
      <c r="M1311" s="16" t="s">
        <v>51</v>
      </c>
      <c r="N1311" s="14"/>
      <c r="O1311" s="15" t="s">
        <v>52</v>
      </c>
      <c r="P1311" s="17" t="s">
        <v>53</v>
      </c>
      <c r="Q1311" s="15"/>
      <c r="R1311" s="18" t="s">
        <v>51</v>
      </c>
      <c r="S1311" s="19"/>
      <c r="T1311" s="17" t="str">
        <f aca="false">IF(R1311="維持",J1311,IF(R1311="排除","無關新聞事件",IFERROR(INDEX(事件規則!$B$2:$B$53,MATCH(S1311,事件規則!$A$2:$A$53,0)),"")))</f>
        <v>無關新聞事件</v>
      </c>
      <c r="U1311" s="20" t="n">
        <f aca="false">IF(R1311="維持",K1311,IF(R1311="排除",0,IFERROR(INDEX(事件規則!$C$2:$C$53,MATCH(S1311,事件規則!$A$2:$A$53,0)),"")))</f>
        <v>0</v>
      </c>
      <c r="V1311" s="21"/>
      <c r="W1311" s="22"/>
      <c r="X1311" s="10" t="str">
        <f aca="false">IF(AND(R1311="修改",S1311=""),"請選新事件代碼",IF(AND(R1311&lt;&gt;"修改",S1311&lt;&gt;""),"只有「修改」才需填代碼",""))</f>
        <v/>
      </c>
      <c r="Y1311" s="21"/>
      <c r="Z1311" s="22"/>
      <c r="AA1311" s="12" t="s">
        <v>3599</v>
      </c>
      <c r="AB1311" s="24"/>
    </row>
    <row r="1312" customFormat="false" ht="29.85" hidden="false" customHeight="false" outlineLevel="0" collapsed="false">
      <c r="A1312" s="15" t="n">
        <v>1311</v>
      </c>
      <c r="B1312" s="9" t="s">
        <v>55</v>
      </c>
      <c r="C1312" s="9" t="s">
        <v>1546</v>
      </c>
      <c r="D1312" s="10" t="s">
        <v>1547</v>
      </c>
      <c r="E1312" s="11" t="s">
        <v>3600</v>
      </c>
      <c r="F1312" s="17"/>
      <c r="G1312" s="12" t="s">
        <v>3221</v>
      </c>
      <c r="H1312" s="13" t="n">
        <v>-0.027</v>
      </c>
      <c r="I1312" s="14"/>
      <c r="J1312" s="17"/>
      <c r="K1312" s="9"/>
      <c r="L1312" s="15" t="s">
        <v>50</v>
      </c>
      <c r="M1312" s="16" t="s">
        <v>51</v>
      </c>
      <c r="N1312" s="14"/>
      <c r="O1312" s="15" t="s">
        <v>52</v>
      </c>
      <c r="P1312" s="17" t="s">
        <v>53</v>
      </c>
      <c r="Q1312" s="15"/>
      <c r="R1312" s="18" t="s">
        <v>51</v>
      </c>
      <c r="S1312" s="19"/>
      <c r="T1312" s="17" t="str">
        <f aca="false">IF(R1312="維持",J1312,IF(R1312="排除","無關新聞事件",IFERROR(INDEX(事件規則!$B$2:$B$53,MATCH(S1312,事件規則!$A$2:$A$53,0)),"")))</f>
        <v>無關新聞事件</v>
      </c>
      <c r="U1312" s="20" t="n">
        <f aca="false">IF(R1312="維持",K1312,IF(R1312="排除",0,IFERROR(INDEX(事件規則!$C$2:$C$53,MATCH(S1312,事件規則!$A$2:$A$53,0)),"")))</f>
        <v>0</v>
      </c>
      <c r="V1312" s="21"/>
      <c r="W1312" s="22"/>
      <c r="X1312" s="10" t="str">
        <f aca="false">IF(AND(R1312="修改",S1312=""),"請選新事件代碼",IF(AND(R1312&lt;&gt;"修改",S1312&lt;&gt;""),"只有「修改」才需填代碼",""))</f>
        <v/>
      </c>
      <c r="Y1312" s="21"/>
      <c r="Z1312" s="22"/>
      <c r="AA1312" s="12" t="s">
        <v>3601</v>
      </c>
      <c r="AB1312" s="24"/>
    </row>
    <row r="1313" customFormat="false" ht="29.85" hidden="false" customHeight="false" outlineLevel="0" collapsed="false">
      <c r="A1313" s="15" t="n">
        <v>1312</v>
      </c>
      <c r="B1313" s="9" t="s">
        <v>55</v>
      </c>
      <c r="C1313" s="9" t="s">
        <v>3041</v>
      </c>
      <c r="D1313" s="10" t="s">
        <v>3042</v>
      </c>
      <c r="E1313" s="11" t="s">
        <v>3602</v>
      </c>
      <c r="F1313" s="17"/>
      <c r="G1313" s="12" t="s">
        <v>949</v>
      </c>
      <c r="H1313" s="13" t="n">
        <v>-0.027</v>
      </c>
      <c r="I1313" s="14"/>
      <c r="J1313" s="17"/>
      <c r="K1313" s="9"/>
      <c r="L1313" s="15" t="s">
        <v>50</v>
      </c>
      <c r="M1313" s="16" t="s">
        <v>51</v>
      </c>
      <c r="N1313" s="14"/>
      <c r="O1313" s="15" t="s">
        <v>52</v>
      </c>
      <c r="P1313" s="17" t="s">
        <v>53</v>
      </c>
      <c r="Q1313" s="15"/>
      <c r="R1313" s="18" t="s">
        <v>51</v>
      </c>
      <c r="S1313" s="19"/>
      <c r="T1313" s="17" t="str">
        <f aca="false">IF(R1313="維持",J1313,IF(R1313="排除","無關新聞事件",IFERROR(INDEX(事件規則!$B$2:$B$53,MATCH(S1313,事件規則!$A$2:$A$53,0)),"")))</f>
        <v>無關新聞事件</v>
      </c>
      <c r="U1313" s="20" t="n">
        <f aca="false">IF(R1313="維持",K1313,IF(R1313="排除",0,IFERROR(INDEX(事件規則!$C$2:$C$53,MATCH(S1313,事件規則!$A$2:$A$53,0)),"")))</f>
        <v>0</v>
      </c>
      <c r="V1313" s="21"/>
      <c r="W1313" s="22"/>
      <c r="X1313" s="10" t="str">
        <f aca="false">IF(AND(R1313="修改",S1313=""),"請選新事件代碼",IF(AND(R1313&lt;&gt;"修改",S1313&lt;&gt;""),"只有「修改」才需填代碼",""))</f>
        <v/>
      </c>
      <c r="Y1313" s="21"/>
      <c r="Z1313" s="22"/>
      <c r="AA1313" s="12" t="s">
        <v>3603</v>
      </c>
      <c r="AB1313" s="24"/>
    </row>
    <row r="1314" customFormat="false" ht="29.85" hidden="false" customHeight="false" outlineLevel="0" collapsed="false">
      <c r="A1314" s="15" t="n">
        <v>1313</v>
      </c>
      <c r="B1314" s="9" t="s">
        <v>55</v>
      </c>
      <c r="C1314" s="9" t="s">
        <v>1001</v>
      </c>
      <c r="D1314" s="10" t="s">
        <v>1002</v>
      </c>
      <c r="E1314" s="11" t="s">
        <v>3604</v>
      </c>
      <c r="F1314" s="17"/>
      <c r="G1314" s="12" t="s">
        <v>3221</v>
      </c>
      <c r="H1314" s="13" t="n">
        <v>-0.027</v>
      </c>
      <c r="I1314" s="14"/>
      <c r="J1314" s="17"/>
      <c r="K1314" s="9"/>
      <c r="L1314" s="15" t="s">
        <v>50</v>
      </c>
      <c r="M1314" s="16" t="s">
        <v>51</v>
      </c>
      <c r="N1314" s="14"/>
      <c r="O1314" s="15" t="s">
        <v>52</v>
      </c>
      <c r="P1314" s="17" t="s">
        <v>53</v>
      </c>
      <c r="Q1314" s="15"/>
      <c r="R1314" s="18" t="s">
        <v>51</v>
      </c>
      <c r="S1314" s="19"/>
      <c r="T1314" s="17" t="str">
        <f aca="false">IF(R1314="維持",J1314,IF(R1314="排除","無關新聞事件",IFERROR(INDEX(事件規則!$B$2:$B$53,MATCH(S1314,事件規則!$A$2:$A$53,0)),"")))</f>
        <v>無關新聞事件</v>
      </c>
      <c r="U1314" s="20" t="n">
        <f aca="false">IF(R1314="維持",K1314,IF(R1314="排除",0,IFERROR(INDEX(事件規則!$C$2:$C$53,MATCH(S1314,事件規則!$A$2:$A$53,0)),"")))</f>
        <v>0</v>
      </c>
      <c r="V1314" s="21"/>
      <c r="W1314" s="22"/>
      <c r="X1314" s="10" t="str">
        <f aca="false">IF(AND(R1314="修改",S1314=""),"請選新事件代碼",IF(AND(R1314&lt;&gt;"修改",S1314&lt;&gt;""),"只有「修改」才需填代碼",""))</f>
        <v/>
      </c>
      <c r="Y1314" s="21"/>
      <c r="Z1314" s="22"/>
      <c r="AA1314" s="12" t="s">
        <v>3605</v>
      </c>
      <c r="AB1314" s="24"/>
    </row>
    <row r="1315" customFormat="false" ht="35.05" hidden="false" customHeight="false" outlineLevel="0" collapsed="false">
      <c r="A1315" s="15" t="n">
        <v>1314</v>
      </c>
      <c r="B1315" s="9" t="s">
        <v>55</v>
      </c>
      <c r="C1315" s="9" t="s">
        <v>3606</v>
      </c>
      <c r="D1315" s="10" t="s">
        <v>3607</v>
      </c>
      <c r="E1315" s="11" t="s">
        <v>3608</v>
      </c>
      <c r="F1315" s="17"/>
      <c r="G1315" s="12" t="s">
        <v>176</v>
      </c>
      <c r="H1315" s="13" t="n">
        <v>-0.027</v>
      </c>
      <c r="I1315" s="14"/>
      <c r="J1315" s="17"/>
      <c r="K1315" s="9"/>
      <c r="L1315" s="15" t="s">
        <v>50</v>
      </c>
      <c r="M1315" s="16" t="s">
        <v>51</v>
      </c>
      <c r="N1315" s="14"/>
      <c r="O1315" s="15" t="s">
        <v>52</v>
      </c>
      <c r="P1315" s="17" t="s">
        <v>53</v>
      </c>
      <c r="Q1315" s="15"/>
      <c r="R1315" s="18" t="s">
        <v>51</v>
      </c>
      <c r="S1315" s="19"/>
      <c r="T1315" s="17" t="str">
        <f aca="false">IF(R1315="維持",J1315,IF(R1315="排除","無關新聞事件",IFERROR(INDEX(事件規則!$B$2:$B$53,MATCH(S1315,事件規則!$A$2:$A$53,0)),"")))</f>
        <v>無關新聞事件</v>
      </c>
      <c r="U1315" s="20" t="n">
        <f aca="false">IF(R1315="維持",K1315,IF(R1315="排除",0,IFERROR(INDEX(事件規則!$C$2:$C$53,MATCH(S1315,事件規則!$A$2:$A$53,0)),"")))</f>
        <v>0</v>
      </c>
      <c r="V1315" s="21"/>
      <c r="W1315" s="22"/>
      <c r="X1315" s="10" t="str">
        <f aca="false">IF(AND(R1315="修改",S1315=""),"請選新事件代碼",IF(AND(R1315&lt;&gt;"修改",S1315&lt;&gt;""),"只有「修改」才需填代碼",""))</f>
        <v/>
      </c>
      <c r="Y1315" s="21"/>
      <c r="Z1315" s="22"/>
      <c r="AA1315" s="12" t="s">
        <v>3609</v>
      </c>
      <c r="AB1315" s="24"/>
    </row>
    <row r="1316" customFormat="false" ht="29.85" hidden="false" customHeight="false" outlineLevel="0" collapsed="false">
      <c r="A1316" s="15" t="n">
        <v>1315</v>
      </c>
      <c r="B1316" s="9" t="s">
        <v>45</v>
      </c>
      <c r="C1316" s="9" t="s">
        <v>1555</v>
      </c>
      <c r="D1316" s="10" t="s">
        <v>1556</v>
      </c>
      <c r="E1316" s="11" t="s">
        <v>3610</v>
      </c>
      <c r="F1316" s="17"/>
      <c r="G1316" s="12" t="s">
        <v>949</v>
      </c>
      <c r="H1316" s="13" t="n">
        <v>-0.027</v>
      </c>
      <c r="I1316" s="14"/>
      <c r="J1316" s="17"/>
      <c r="K1316" s="9"/>
      <c r="L1316" s="15" t="s">
        <v>50</v>
      </c>
      <c r="M1316" s="16" t="s">
        <v>51</v>
      </c>
      <c r="N1316" s="14"/>
      <c r="O1316" s="15" t="s">
        <v>52</v>
      </c>
      <c r="P1316" s="17" t="s">
        <v>53</v>
      </c>
      <c r="Q1316" s="15"/>
      <c r="R1316" s="18" t="s">
        <v>51</v>
      </c>
      <c r="S1316" s="19"/>
      <c r="T1316" s="17" t="str">
        <f aca="false">IF(R1316="維持",J1316,IF(R1316="排除","無關新聞事件",IFERROR(INDEX(事件規則!$B$2:$B$53,MATCH(S1316,事件規則!$A$2:$A$53,0)),"")))</f>
        <v>無關新聞事件</v>
      </c>
      <c r="U1316" s="20" t="n">
        <f aca="false">IF(R1316="維持",K1316,IF(R1316="排除",0,IFERROR(INDEX(事件規則!$C$2:$C$53,MATCH(S1316,事件規則!$A$2:$A$53,0)),"")))</f>
        <v>0</v>
      </c>
      <c r="V1316" s="21"/>
      <c r="W1316" s="22"/>
      <c r="X1316" s="10" t="str">
        <f aca="false">IF(AND(R1316="修改",S1316=""),"請選新事件代碼",IF(AND(R1316&lt;&gt;"修改",S1316&lt;&gt;""),"只有「修改」才需填代碼",""))</f>
        <v/>
      </c>
      <c r="Y1316" s="21"/>
      <c r="Z1316" s="22"/>
      <c r="AA1316" s="12" t="s">
        <v>3611</v>
      </c>
      <c r="AB1316" s="24"/>
    </row>
    <row r="1317" customFormat="false" ht="29.85" hidden="false" customHeight="false" outlineLevel="0" collapsed="false">
      <c r="A1317" s="15" t="n">
        <v>1316</v>
      </c>
      <c r="B1317" s="9" t="s">
        <v>45</v>
      </c>
      <c r="C1317" s="9" t="s">
        <v>1555</v>
      </c>
      <c r="D1317" s="10" t="s">
        <v>1556</v>
      </c>
      <c r="E1317" s="11" t="s">
        <v>3612</v>
      </c>
      <c r="F1317" s="17"/>
      <c r="G1317" s="12" t="s">
        <v>949</v>
      </c>
      <c r="H1317" s="13" t="n">
        <v>-0.027</v>
      </c>
      <c r="I1317" s="14"/>
      <c r="J1317" s="17"/>
      <c r="K1317" s="9"/>
      <c r="L1317" s="15" t="s">
        <v>50</v>
      </c>
      <c r="M1317" s="16" t="s">
        <v>51</v>
      </c>
      <c r="N1317" s="14"/>
      <c r="O1317" s="15" t="s">
        <v>52</v>
      </c>
      <c r="P1317" s="17" t="s">
        <v>53</v>
      </c>
      <c r="Q1317" s="15"/>
      <c r="R1317" s="18" t="s">
        <v>51</v>
      </c>
      <c r="S1317" s="19"/>
      <c r="T1317" s="17" t="str">
        <f aca="false">IF(R1317="維持",J1317,IF(R1317="排除","無關新聞事件",IFERROR(INDEX(事件規則!$B$2:$B$53,MATCH(S1317,事件規則!$A$2:$A$53,0)),"")))</f>
        <v>無關新聞事件</v>
      </c>
      <c r="U1317" s="20" t="n">
        <f aca="false">IF(R1317="維持",K1317,IF(R1317="排除",0,IFERROR(INDEX(事件規則!$C$2:$C$53,MATCH(S1317,事件規則!$A$2:$A$53,0)),"")))</f>
        <v>0</v>
      </c>
      <c r="V1317" s="21"/>
      <c r="W1317" s="22"/>
      <c r="X1317" s="10" t="str">
        <f aca="false">IF(AND(R1317="修改",S1317=""),"請選新事件代碼",IF(AND(R1317&lt;&gt;"修改",S1317&lt;&gt;""),"只有「修改」才需填代碼",""))</f>
        <v/>
      </c>
      <c r="Y1317" s="21"/>
      <c r="Z1317" s="22"/>
      <c r="AA1317" s="12" t="s">
        <v>3613</v>
      </c>
      <c r="AB1317" s="24"/>
    </row>
    <row r="1318" customFormat="false" ht="15" hidden="false" customHeight="false" outlineLevel="0" collapsed="false">
      <c r="A1318" s="15" t="n">
        <v>1317</v>
      </c>
      <c r="B1318" s="9" t="s">
        <v>112</v>
      </c>
      <c r="C1318" s="9" t="s">
        <v>1242</v>
      </c>
      <c r="D1318" s="10" t="s">
        <v>1243</v>
      </c>
      <c r="E1318" s="11" t="s">
        <v>3614</v>
      </c>
      <c r="F1318" s="17"/>
      <c r="G1318" s="12" t="s">
        <v>306</v>
      </c>
      <c r="H1318" s="13" t="n">
        <v>-0.027</v>
      </c>
      <c r="I1318" s="14"/>
      <c r="J1318" s="17"/>
      <c r="K1318" s="9"/>
      <c r="L1318" s="15" t="s">
        <v>50</v>
      </c>
      <c r="M1318" s="16" t="s">
        <v>131</v>
      </c>
      <c r="N1318" s="14" t="s">
        <v>1246</v>
      </c>
      <c r="O1318" s="15" t="s">
        <v>193</v>
      </c>
      <c r="P1318" s="10" t="s">
        <v>3615</v>
      </c>
      <c r="Q1318" s="15"/>
      <c r="R1318" s="18" t="s">
        <v>131</v>
      </c>
      <c r="S1318" s="19" t="s">
        <v>1246</v>
      </c>
      <c r="T1318" s="17" t="str">
        <f aca="false">IF(R1318="維持",J1318,IF(R1318="排除","無關新聞事件",IFERROR(INDEX(事件規則!$B$2:$B$53,MATCH(S1318,事件規則!$A$2:$A$53,0)),"")))</f>
        <v>資料外洩</v>
      </c>
      <c r="U1318" s="20" t="n">
        <f aca="false">IF(R1318="維持",K1318,IF(R1318="排除",0,IFERROR(INDEX(事件規則!$C$2:$C$53,MATCH(S1318,事件規則!$A$2:$A$53,0)),"")))</f>
        <v>3</v>
      </c>
      <c r="V1318" s="21"/>
      <c r="W1318" s="22"/>
      <c r="X1318" s="10" t="str">
        <f aca="false">IF(AND(R1318="修改",S1318=""),"請選新事件代碼",IF(AND(R1318&lt;&gt;"修改",S1318&lt;&gt;""),"只有「修改」才需填代碼",""))</f>
        <v/>
      </c>
      <c r="Y1318" s="21"/>
      <c r="Z1318" s="22"/>
      <c r="AA1318" s="12" t="s">
        <v>3616</v>
      </c>
      <c r="AB1318" s="24"/>
    </row>
    <row r="1319" customFormat="false" ht="29.85" hidden="false" customHeight="false" outlineLevel="0" collapsed="false">
      <c r="A1319" s="15" t="n">
        <v>1318</v>
      </c>
      <c r="B1319" s="9" t="s">
        <v>112</v>
      </c>
      <c r="C1319" s="9" t="s">
        <v>2293</v>
      </c>
      <c r="D1319" s="10" t="s">
        <v>2294</v>
      </c>
      <c r="E1319" s="11" t="s">
        <v>3617</v>
      </c>
      <c r="F1319" s="17"/>
      <c r="G1319" s="12" t="s">
        <v>949</v>
      </c>
      <c r="H1319" s="13" t="n">
        <v>-0.027</v>
      </c>
      <c r="I1319" s="14"/>
      <c r="J1319" s="17"/>
      <c r="K1319" s="9"/>
      <c r="L1319" s="15" t="s">
        <v>50</v>
      </c>
      <c r="M1319" s="16" t="s">
        <v>51</v>
      </c>
      <c r="N1319" s="14"/>
      <c r="O1319" s="15" t="s">
        <v>52</v>
      </c>
      <c r="P1319" s="17" t="s">
        <v>53</v>
      </c>
      <c r="Q1319" s="15"/>
      <c r="R1319" s="18" t="s">
        <v>51</v>
      </c>
      <c r="S1319" s="19"/>
      <c r="T1319" s="17" t="str">
        <f aca="false">IF(R1319="維持",J1319,IF(R1319="排除","無關新聞事件",IFERROR(INDEX(事件規則!$B$2:$B$53,MATCH(S1319,事件規則!$A$2:$A$53,0)),"")))</f>
        <v>無關新聞事件</v>
      </c>
      <c r="U1319" s="20" t="n">
        <f aca="false">IF(R1319="維持",K1319,IF(R1319="排除",0,IFERROR(INDEX(事件規則!$C$2:$C$53,MATCH(S1319,事件規則!$A$2:$A$53,0)),"")))</f>
        <v>0</v>
      </c>
      <c r="V1319" s="21"/>
      <c r="W1319" s="22"/>
      <c r="X1319" s="10" t="str">
        <f aca="false">IF(AND(R1319="修改",S1319=""),"請選新事件代碼",IF(AND(R1319&lt;&gt;"修改",S1319&lt;&gt;""),"只有「修改」才需填代碼",""))</f>
        <v/>
      </c>
      <c r="Y1319" s="21"/>
      <c r="Z1319" s="22"/>
      <c r="AA1319" s="12" t="s">
        <v>3618</v>
      </c>
      <c r="AB1319" s="24"/>
    </row>
    <row r="1320" customFormat="false" ht="29.85" hidden="false" customHeight="false" outlineLevel="0" collapsed="false">
      <c r="A1320" s="15" t="n">
        <v>1319</v>
      </c>
      <c r="B1320" s="9" t="s">
        <v>112</v>
      </c>
      <c r="C1320" s="9" t="s">
        <v>1805</v>
      </c>
      <c r="D1320" s="10" t="s">
        <v>1806</v>
      </c>
      <c r="E1320" s="11" t="s">
        <v>3619</v>
      </c>
      <c r="F1320" s="17"/>
      <c r="G1320" s="12" t="s">
        <v>949</v>
      </c>
      <c r="H1320" s="13" t="n">
        <v>-0.027</v>
      </c>
      <c r="I1320" s="14"/>
      <c r="J1320" s="17"/>
      <c r="K1320" s="9"/>
      <c r="L1320" s="15" t="s">
        <v>50</v>
      </c>
      <c r="M1320" s="16" t="s">
        <v>51</v>
      </c>
      <c r="N1320" s="14"/>
      <c r="O1320" s="15" t="s">
        <v>52</v>
      </c>
      <c r="P1320" s="17" t="s">
        <v>53</v>
      </c>
      <c r="Q1320" s="15"/>
      <c r="R1320" s="18" t="s">
        <v>51</v>
      </c>
      <c r="S1320" s="19"/>
      <c r="T1320" s="17" t="str">
        <f aca="false">IF(R1320="維持",J1320,IF(R1320="排除","無關新聞事件",IFERROR(INDEX(事件規則!$B$2:$B$53,MATCH(S1320,事件規則!$A$2:$A$53,0)),"")))</f>
        <v>無關新聞事件</v>
      </c>
      <c r="U1320" s="20" t="n">
        <f aca="false">IF(R1320="維持",K1320,IF(R1320="排除",0,IFERROR(INDEX(事件規則!$C$2:$C$53,MATCH(S1320,事件規則!$A$2:$A$53,0)),"")))</f>
        <v>0</v>
      </c>
      <c r="V1320" s="21"/>
      <c r="W1320" s="22"/>
      <c r="X1320" s="10" t="str">
        <f aca="false">IF(AND(R1320="修改",S1320=""),"請選新事件代碼",IF(AND(R1320&lt;&gt;"修改",S1320&lt;&gt;""),"只有「修改」才需填代碼",""))</f>
        <v/>
      </c>
      <c r="Y1320" s="21"/>
      <c r="Z1320" s="22"/>
      <c r="AA1320" s="12" t="s">
        <v>3620</v>
      </c>
      <c r="AB1320" s="24"/>
    </row>
    <row r="1321" customFormat="false" ht="29.85" hidden="false" customHeight="false" outlineLevel="0" collapsed="false">
      <c r="A1321" s="15" t="n">
        <v>1320</v>
      </c>
      <c r="B1321" s="9" t="s">
        <v>112</v>
      </c>
      <c r="C1321" s="9" t="s">
        <v>1987</v>
      </c>
      <c r="D1321" s="10" t="s">
        <v>1988</v>
      </c>
      <c r="E1321" s="11" t="s">
        <v>3526</v>
      </c>
      <c r="F1321" s="17"/>
      <c r="G1321" s="12" t="s">
        <v>105</v>
      </c>
      <c r="H1321" s="13" t="n">
        <v>-0.027</v>
      </c>
      <c r="I1321" s="14"/>
      <c r="J1321" s="17"/>
      <c r="K1321" s="9"/>
      <c r="L1321" s="15" t="s">
        <v>50</v>
      </c>
      <c r="M1321" s="16" t="s">
        <v>51</v>
      </c>
      <c r="N1321" s="14"/>
      <c r="O1321" s="15" t="s">
        <v>52</v>
      </c>
      <c r="P1321" s="17" t="s">
        <v>53</v>
      </c>
      <c r="Q1321" s="15"/>
      <c r="R1321" s="18" t="s">
        <v>51</v>
      </c>
      <c r="S1321" s="19"/>
      <c r="T1321" s="17" t="str">
        <f aca="false">IF(R1321="維持",J1321,IF(R1321="排除","無關新聞事件",IFERROR(INDEX(事件規則!$B$2:$B$53,MATCH(S1321,事件規則!$A$2:$A$53,0)),"")))</f>
        <v>無關新聞事件</v>
      </c>
      <c r="U1321" s="20" t="n">
        <f aca="false">IF(R1321="維持",K1321,IF(R1321="排除",0,IFERROR(INDEX(事件規則!$C$2:$C$53,MATCH(S1321,事件規則!$A$2:$A$53,0)),"")))</f>
        <v>0</v>
      </c>
      <c r="V1321" s="21"/>
      <c r="W1321" s="22"/>
      <c r="X1321" s="10" t="str">
        <f aca="false">IF(AND(R1321="修改",S1321=""),"請選新事件代碼",IF(AND(R1321&lt;&gt;"修改",S1321&lt;&gt;""),"只有「修改」才需填代碼",""))</f>
        <v/>
      </c>
      <c r="Y1321" s="21"/>
      <c r="Z1321" s="22"/>
      <c r="AA1321" s="12" t="s">
        <v>3621</v>
      </c>
      <c r="AB1321" s="24"/>
    </row>
    <row r="1322" customFormat="false" ht="29.85" hidden="false" customHeight="false" outlineLevel="0" collapsed="false">
      <c r="A1322" s="15" t="n">
        <v>1321</v>
      </c>
      <c r="B1322" s="9" t="s">
        <v>112</v>
      </c>
      <c r="C1322" s="9" t="s">
        <v>2962</v>
      </c>
      <c r="D1322" s="10" t="s">
        <v>2963</v>
      </c>
      <c r="E1322" s="11" t="s">
        <v>3622</v>
      </c>
      <c r="F1322" s="17"/>
      <c r="G1322" s="12" t="s">
        <v>949</v>
      </c>
      <c r="H1322" s="13" t="n">
        <v>-0.027</v>
      </c>
      <c r="I1322" s="14"/>
      <c r="J1322" s="17"/>
      <c r="K1322" s="9"/>
      <c r="L1322" s="15" t="s">
        <v>50</v>
      </c>
      <c r="M1322" s="16" t="s">
        <v>51</v>
      </c>
      <c r="N1322" s="14"/>
      <c r="O1322" s="15" t="s">
        <v>52</v>
      </c>
      <c r="P1322" s="17" t="s">
        <v>53</v>
      </c>
      <c r="Q1322" s="15"/>
      <c r="R1322" s="18" t="s">
        <v>51</v>
      </c>
      <c r="S1322" s="19"/>
      <c r="T1322" s="17" t="str">
        <f aca="false">IF(R1322="維持",J1322,IF(R1322="排除","無關新聞事件",IFERROR(INDEX(事件規則!$B$2:$B$53,MATCH(S1322,事件規則!$A$2:$A$53,0)),"")))</f>
        <v>無關新聞事件</v>
      </c>
      <c r="U1322" s="20" t="n">
        <f aca="false">IF(R1322="維持",K1322,IF(R1322="排除",0,IFERROR(INDEX(事件規則!$C$2:$C$53,MATCH(S1322,事件規則!$A$2:$A$53,0)),"")))</f>
        <v>0</v>
      </c>
      <c r="V1322" s="21"/>
      <c r="W1322" s="22"/>
      <c r="X1322" s="10" t="str">
        <f aca="false">IF(AND(R1322="修改",S1322=""),"請選新事件代碼",IF(AND(R1322&lt;&gt;"修改",S1322&lt;&gt;""),"只有「修改」才需填代碼",""))</f>
        <v/>
      </c>
      <c r="Y1322" s="21"/>
      <c r="Z1322" s="22"/>
      <c r="AA1322" s="12" t="s">
        <v>3623</v>
      </c>
      <c r="AB1322" s="24"/>
    </row>
    <row r="1323" customFormat="false" ht="29.85" hidden="false" customHeight="false" outlineLevel="0" collapsed="false">
      <c r="A1323" s="15" t="n">
        <v>1322</v>
      </c>
      <c r="B1323" s="9" t="s">
        <v>45</v>
      </c>
      <c r="C1323" s="9" t="s">
        <v>3624</v>
      </c>
      <c r="D1323" s="10" t="s">
        <v>3625</v>
      </c>
      <c r="E1323" s="11" t="s">
        <v>3626</v>
      </c>
      <c r="F1323" s="17"/>
      <c r="G1323" s="12" t="s">
        <v>176</v>
      </c>
      <c r="H1323" s="13" t="n">
        <v>-0.027</v>
      </c>
      <c r="I1323" s="14"/>
      <c r="J1323" s="17"/>
      <c r="K1323" s="9"/>
      <c r="L1323" s="15" t="s">
        <v>50</v>
      </c>
      <c r="M1323" s="16" t="s">
        <v>51</v>
      </c>
      <c r="N1323" s="14"/>
      <c r="O1323" s="15" t="s">
        <v>52</v>
      </c>
      <c r="P1323" s="17" t="s">
        <v>53</v>
      </c>
      <c r="Q1323" s="15"/>
      <c r="R1323" s="18" t="s">
        <v>51</v>
      </c>
      <c r="S1323" s="19"/>
      <c r="T1323" s="17" t="str">
        <f aca="false">IF(R1323="維持",J1323,IF(R1323="排除","無關新聞事件",IFERROR(INDEX(事件規則!$B$2:$B$53,MATCH(S1323,事件規則!$A$2:$A$53,0)),"")))</f>
        <v>無關新聞事件</v>
      </c>
      <c r="U1323" s="20" t="n">
        <f aca="false">IF(R1323="維持",K1323,IF(R1323="排除",0,IFERROR(INDEX(事件規則!$C$2:$C$53,MATCH(S1323,事件規則!$A$2:$A$53,0)),"")))</f>
        <v>0</v>
      </c>
      <c r="V1323" s="21"/>
      <c r="W1323" s="22"/>
      <c r="X1323" s="10" t="str">
        <f aca="false">IF(AND(R1323="修改",S1323=""),"請選新事件代碼",IF(AND(R1323&lt;&gt;"修改",S1323&lt;&gt;""),"只有「修改」才需填代碼",""))</f>
        <v/>
      </c>
      <c r="Y1323" s="21"/>
      <c r="Z1323" s="22"/>
      <c r="AA1323" s="12" t="s">
        <v>3627</v>
      </c>
      <c r="AB1323" s="24"/>
    </row>
    <row r="1324" customFormat="false" ht="29.85" hidden="false" customHeight="false" outlineLevel="0" collapsed="false">
      <c r="A1324" s="15" t="n">
        <v>1323</v>
      </c>
      <c r="B1324" s="9" t="s">
        <v>45</v>
      </c>
      <c r="C1324" s="9" t="s">
        <v>2283</v>
      </c>
      <c r="D1324" s="10" t="s">
        <v>2284</v>
      </c>
      <c r="E1324" s="11" t="s">
        <v>3628</v>
      </c>
      <c r="F1324" s="17"/>
      <c r="G1324" s="12" t="s">
        <v>105</v>
      </c>
      <c r="H1324" s="13" t="n">
        <v>-0.026</v>
      </c>
      <c r="I1324" s="14"/>
      <c r="J1324" s="17"/>
      <c r="K1324" s="9"/>
      <c r="L1324" s="15" t="s">
        <v>50</v>
      </c>
      <c r="M1324" s="16" t="s">
        <v>51</v>
      </c>
      <c r="N1324" s="14"/>
      <c r="O1324" s="15" t="s">
        <v>52</v>
      </c>
      <c r="P1324" s="17" t="s">
        <v>53</v>
      </c>
      <c r="Q1324" s="15"/>
      <c r="R1324" s="18" t="s">
        <v>51</v>
      </c>
      <c r="S1324" s="19"/>
      <c r="T1324" s="17" t="str">
        <f aca="false">IF(R1324="維持",J1324,IF(R1324="排除","無關新聞事件",IFERROR(INDEX(事件規則!$B$2:$B$53,MATCH(S1324,事件規則!$A$2:$A$53,0)),"")))</f>
        <v>無關新聞事件</v>
      </c>
      <c r="U1324" s="20" t="n">
        <f aca="false">IF(R1324="維持",K1324,IF(R1324="排除",0,IFERROR(INDEX(事件規則!$C$2:$C$53,MATCH(S1324,事件規則!$A$2:$A$53,0)),"")))</f>
        <v>0</v>
      </c>
      <c r="V1324" s="21"/>
      <c r="W1324" s="22"/>
      <c r="X1324" s="10" t="str">
        <f aca="false">IF(AND(R1324="修改",S1324=""),"請選新事件代碼",IF(AND(R1324&lt;&gt;"修改",S1324&lt;&gt;""),"只有「修改」才需填代碼",""))</f>
        <v/>
      </c>
      <c r="Y1324" s="21"/>
      <c r="Z1324" s="22"/>
      <c r="AA1324" s="12" t="s">
        <v>3629</v>
      </c>
      <c r="AB1324" s="24"/>
    </row>
    <row r="1325" customFormat="false" ht="29.85" hidden="false" customHeight="false" outlineLevel="0" collapsed="false">
      <c r="A1325" s="15" t="n">
        <v>1324</v>
      </c>
      <c r="B1325" s="9" t="s">
        <v>45</v>
      </c>
      <c r="C1325" s="9" t="s">
        <v>1017</v>
      </c>
      <c r="D1325" s="10" t="s">
        <v>1018</v>
      </c>
      <c r="E1325" s="11" t="s">
        <v>3630</v>
      </c>
      <c r="F1325" s="17"/>
      <c r="G1325" s="12" t="s">
        <v>949</v>
      </c>
      <c r="H1325" s="13" t="n">
        <v>-0.026</v>
      </c>
      <c r="I1325" s="14"/>
      <c r="J1325" s="17"/>
      <c r="K1325" s="9"/>
      <c r="L1325" s="15" t="s">
        <v>50</v>
      </c>
      <c r="M1325" s="16" t="s">
        <v>51</v>
      </c>
      <c r="N1325" s="14"/>
      <c r="O1325" s="15" t="s">
        <v>52</v>
      </c>
      <c r="P1325" s="17" t="s">
        <v>53</v>
      </c>
      <c r="Q1325" s="15"/>
      <c r="R1325" s="18" t="s">
        <v>51</v>
      </c>
      <c r="S1325" s="19"/>
      <c r="T1325" s="17" t="str">
        <f aca="false">IF(R1325="維持",J1325,IF(R1325="排除","無關新聞事件",IFERROR(INDEX(事件規則!$B$2:$B$53,MATCH(S1325,事件規則!$A$2:$A$53,0)),"")))</f>
        <v>無關新聞事件</v>
      </c>
      <c r="U1325" s="20" t="n">
        <f aca="false">IF(R1325="維持",K1325,IF(R1325="排除",0,IFERROR(INDEX(事件規則!$C$2:$C$53,MATCH(S1325,事件規則!$A$2:$A$53,0)),"")))</f>
        <v>0</v>
      </c>
      <c r="V1325" s="21"/>
      <c r="W1325" s="22"/>
      <c r="X1325" s="10" t="str">
        <f aca="false">IF(AND(R1325="修改",S1325=""),"請選新事件代碼",IF(AND(R1325&lt;&gt;"修改",S1325&lt;&gt;""),"只有「修改」才需填代碼",""))</f>
        <v/>
      </c>
      <c r="Y1325" s="21"/>
      <c r="Z1325" s="22"/>
      <c r="AA1325" s="12" t="s">
        <v>3631</v>
      </c>
      <c r="AB1325" s="24"/>
    </row>
    <row r="1326" customFormat="false" ht="29.85" hidden="false" customHeight="false" outlineLevel="0" collapsed="false">
      <c r="A1326" s="15" t="n">
        <v>1325</v>
      </c>
      <c r="B1326" s="9" t="s">
        <v>45</v>
      </c>
      <c r="C1326" s="9" t="s">
        <v>1231</v>
      </c>
      <c r="D1326" s="10" t="s">
        <v>1232</v>
      </c>
      <c r="E1326" s="11" t="s">
        <v>3632</v>
      </c>
      <c r="F1326" s="17"/>
      <c r="G1326" s="12" t="s">
        <v>3633</v>
      </c>
      <c r="H1326" s="13" t="n">
        <v>-0.026</v>
      </c>
      <c r="I1326" s="14"/>
      <c r="J1326" s="17"/>
      <c r="K1326" s="9"/>
      <c r="L1326" s="15" t="s">
        <v>50</v>
      </c>
      <c r="M1326" s="16" t="s">
        <v>51</v>
      </c>
      <c r="N1326" s="14"/>
      <c r="O1326" s="15" t="s">
        <v>52</v>
      </c>
      <c r="P1326" s="17" t="s">
        <v>53</v>
      </c>
      <c r="Q1326" s="15"/>
      <c r="R1326" s="18" t="s">
        <v>51</v>
      </c>
      <c r="S1326" s="19"/>
      <c r="T1326" s="17" t="str">
        <f aca="false">IF(R1326="維持",J1326,IF(R1326="排除","無關新聞事件",IFERROR(INDEX(事件規則!$B$2:$B$53,MATCH(S1326,事件規則!$A$2:$A$53,0)),"")))</f>
        <v>無關新聞事件</v>
      </c>
      <c r="U1326" s="20" t="n">
        <f aca="false">IF(R1326="維持",K1326,IF(R1326="排除",0,IFERROR(INDEX(事件規則!$C$2:$C$53,MATCH(S1326,事件規則!$A$2:$A$53,0)),"")))</f>
        <v>0</v>
      </c>
      <c r="V1326" s="21"/>
      <c r="W1326" s="22"/>
      <c r="X1326" s="10" t="str">
        <f aca="false">IF(AND(R1326="修改",S1326=""),"請選新事件代碼",IF(AND(R1326&lt;&gt;"修改",S1326&lt;&gt;""),"只有「修改」才需填代碼",""))</f>
        <v/>
      </c>
      <c r="Y1326" s="21"/>
      <c r="Z1326" s="22"/>
      <c r="AA1326" s="12" t="s">
        <v>3634</v>
      </c>
      <c r="AB1326" s="24"/>
    </row>
    <row r="1327" customFormat="false" ht="29.85" hidden="false" customHeight="false" outlineLevel="0" collapsed="false">
      <c r="A1327" s="15" t="n">
        <v>1326</v>
      </c>
      <c r="B1327" s="9" t="s">
        <v>45</v>
      </c>
      <c r="C1327" s="9" t="s">
        <v>775</v>
      </c>
      <c r="D1327" s="10" t="s">
        <v>776</v>
      </c>
      <c r="E1327" s="11" t="s">
        <v>3635</v>
      </c>
      <c r="F1327" s="17"/>
      <c r="G1327" s="12" t="s">
        <v>176</v>
      </c>
      <c r="H1327" s="13" t="n">
        <v>-0.026</v>
      </c>
      <c r="I1327" s="14"/>
      <c r="J1327" s="17"/>
      <c r="K1327" s="9"/>
      <c r="L1327" s="15" t="s">
        <v>50</v>
      </c>
      <c r="M1327" s="16" t="s">
        <v>51</v>
      </c>
      <c r="N1327" s="14"/>
      <c r="O1327" s="15" t="s">
        <v>52</v>
      </c>
      <c r="P1327" s="17" t="s">
        <v>53</v>
      </c>
      <c r="Q1327" s="15"/>
      <c r="R1327" s="18" t="s">
        <v>51</v>
      </c>
      <c r="S1327" s="19"/>
      <c r="T1327" s="17" t="str">
        <f aca="false">IF(R1327="維持",J1327,IF(R1327="排除","無關新聞事件",IFERROR(INDEX(事件規則!$B$2:$B$53,MATCH(S1327,事件規則!$A$2:$A$53,0)),"")))</f>
        <v>無關新聞事件</v>
      </c>
      <c r="U1327" s="20" t="n">
        <f aca="false">IF(R1327="維持",K1327,IF(R1327="排除",0,IFERROR(INDEX(事件規則!$C$2:$C$53,MATCH(S1327,事件規則!$A$2:$A$53,0)),"")))</f>
        <v>0</v>
      </c>
      <c r="V1327" s="21"/>
      <c r="W1327" s="22"/>
      <c r="X1327" s="10" t="str">
        <f aca="false">IF(AND(R1327="修改",S1327=""),"請選新事件代碼",IF(AND(R1327&lt;&gt;"修改",S1327&lt;&gt;""),"只有「修改」才需填代碼",""))</f>
        <v/>
      </c>
      <c r="Y1327" s="21"/>
      <c r="Z1327" s="22"/>
      <c r="AA1327" s="12" t="s">
        <v>3636</v>
      </c>
      <c r="AB1327" s="24"/>
    </row>
    <row r="1328" customFormat="false" ht="29.85" hidden="false" customHeight="false" outlineLevel="0" collapsed="false">
      <c r="A1328" s="15" t="n">
        <v>1327</v>
      </c>
      <c r="B1328" s="9" t="s">
        <v>45</v>
      </c>
      <c r="C1328" s="9" t="s">
        <v>1734</v>
      </c>
      <c r="D1328" s="10" t="s">
        <v>1735</v>
      </c>
      <c r="E1328" s="11" t="s">
        <v>3637</v>
      </c>
      <c r="F1328" s="17"/>
      <c r="G1328" s="12" t="s">
        <v>949</v>
      </c>
      <c r="H1328" s="13" t="n">
        <v>-0.026</v>
      </c>
      <c r="I1328" s="14"/>
      <c r="J1328" s="17"/>
      <c r="K1328" s="9"/>
      <c r="L1328" s="15" t="s">
        <v>50</v>
      </c>
      <c r="M1328" s="16" t="s">
        <v>51</v>
      </c>
      <c r="N1328" s="14"/>
      <c r="O1328" s="15" t="s">
        <v>52</v>
      </c>
      <c r="P1328" s="17" t="s">
        <v>53</v>
      </c>
      <c r="Q1328" s="15"/>
      <c r="R1328" s="18" t="s">
        <v>51</v>
      </c>
      <c r="S1328" s="19"/>
      <c r="T1328" s="17" t="str">
        <f aca="false">IF(R1328="維持",J1328,IF(R1328="排除","無關新聞事件",IFERROR(INDEX(事件規則!$B$2:$B$53,MATCH(S1328,事件規則!$A$2:$A$53,0)),"")))</f>
        <v>無關新聞事件</v>
      </c>
      <c r="U1328" s="20" t="n">
        <f aca="false">IF(R1328="維持",K1328,IF(R1328="排除",0,IFERROR(INDEX(事件規則!$C$2:$C$53,MATCH(S1328,事件規則!$A$2:$A$53,0)),"")))</f>
        <v>0</v>
      </c>
      <c r="V1328" s="21"/>
      <c r="W1328" s="22"/>
      <c r="X1328" s="10" t="str">
        <f aca="false">IF(AND(R1328="修改",S1328=""),"請選新事件代碼",IF(AND(R1328&lt;&gt;"修改",S1328&lt;&gt;""),"只有「修改」才需填代碼",""))</f>
        <v/>
      </c>
      <c r="Y1328" s="21"/>
      <c r="Z1328" s="22"/>
      <c r="AA1328" s="12" t="s">
        <v>3638</v>
      </c>
      <c r="AB1328" s="24"/>
    </row>
    <row r="1329" customFormat="false" ht="29.85" hidden="false" customHeight="false" outlineLevel="0" collapsed="false">
      <c r="A1329" s="15" t="n">
        <v>1328</v>
      </c>
      <c r="B1329" s="9" t="s">
        <v>81</v>
      </c>
      <c r="C1329" s="9" t="s">
        <v>505</v>
      </c>
      <c r="D1329" s="10" t="s">
        <v>506</v>
      </c>
      <c r="E1329" s="11" t="s">
        <v>3639</v>
      </c>
      <c r="F1329" s="17"/>
      <c r="G1329" s="12" t="s">
        <v>3640</v>
      </c>
      <c r="H1329" s="13" t="n">
        <v>-0.026</v>
      </c>
      <c r="I1329" s="14"/>
      <c r="J1329" s="17"/>
      <c r="K1329" s="9"/>
      <c r="L1329" s="15" t="s">
        <v>50</v>
      </c>
      <c r="M1329" s="16" t="s">
        <v>51</v>
      </c>
      <c r="N1329" s="14"/>
      <c r="O1329" s="15" t="s">
        <v>52</v>
      </c>
      <c r="P1329" s="17" t="s">
        <v>53</v>
      </c>
      <c r="Q1329" s="15"/>
      <c r="R1329" s="18" t="s">
        <v>51</v>
      </c>
      <c r="S1329" s="19"/>
      <c r="T1329" s="17" t="str">
        <f aca="false">IF(R1329="維持",J1329,IF(R1329="排除","無關新聞事件",IFERROR(INDEX(事件規則!$B$2:$B$53,MATCH(S1329,事件規則!$A$2:$A$53,0)),"")))</f>
        <v>無關新聞事件</v>
      </c>
      <c r="U1329" s="20" t="n">
        <f aca="false">IF(R1329="維持",K1329,IF(R1329="排除",0,IFERROR(INDEX(事件規則!$C$2:$C$53,MATCH(S1329,事件規則!$A$2:$A$53,0)),"")))</f>
        <v>0</v>
      </c>
      <c r="V1329" s="21"/>
      <c r="W1329" s="22"/>
      <c r="X1329" s="10" t="str">
        <f aca="false">IF(AND(R1329="修改",S1329=""),"請選新事件代碼",IF(AND(R1329&lt;&gt;"修改",S1329&lt;&gt;""),"只有「修改」才需填代碼",""))</f>
        <v/>
      </c>
      <c r="Y1329" s="21"/>
      <c r="Z1329" s="22"/>
      <c r="AA1329" s="12" t="s">
        <v>3641</v>
      </c>
      <c r="AB1329" s="24"/>
    </row>
    <row r="1330" customFormat="false" ht="29.85" hidden="false" customHeight="false" outlineLevel="0" collapsed="false">
      <c r="A1330" s="15" t="n">
        <v>1329</v>
      </c>
      <c r="B1330" s="9" t="s">
        <v>45</v>
      </c>
      <c r="C1330" s="9" t="s">
        <v>672</v>
      </c>
      <c r="D1330" s="10" t="s">
        <v>673</v>
      </c>
      <c r="E1330" s="11" t="s">
        <v>3642</v>
      </c>
      <c r="F1330" s="17"/>
      <c r="G1330" s="12" t="s">
        <v>3643</v>
      </c>
      <c r="H1330" s="13" t="n">
        <v>-0.026</v>
      </c>
      <c r="I1330" s="14"/>
      <c r="J1330" s="17"/>
      <c r="K1330" s="9"/>
      <c r="L1330" s="15" t="s">
        <v>50</v>
      </c>
      <c r="M1330" s="16" t="s">
        <v>51</v>
      </c>
      <c r="N1330" s="14"/>
      <c r="O1330" s="15" t="s">
        <v>52</v>
      </c>
      <c r="P1330" s="17" t="s">
        <v>53</v>
      </c>
      <c r="Q1330" s="15"/>
      <c r="R1330" s="18" t="s">
        <v>51</v>
      </c>
      <c r="S1330" s="19"/>
      <c r="T1330" s="17" t="str">
        <f aca="false">IF(R1330="維持",J1330,IF(R1330="排除","無關新聞事件",IFERROR(INDEX(事件規則!$B$2:$B$53,MATCH(S1330,事件規則!$A$2:$A$53,0)),"")))</f>
        <v>無關新聞事件</v>
      </c>
      <c r="U1330" s="20" t="n">
        <f aca="false">IF(R1330="維持",K1330,IF(R1330="排除",0,IFERROR(INDEX(事件規則!$C$2:$C$53,MATCH(S1330,事件規則!$A$2:$A$53,0)),"")))</f>
        <v>0</v>
      </c>
      <c r="V1330" s="21"/>
      <c r="W1330" s="22"/>
      <c r="X1330" s="10" t="str">
        <f aca="false">IF(AND(R1330="修改",S1330=""),"請選新事件代碼",IF(AND(R1330&lt;&gt;"修改",S1330&lt;&gt;""),"只有「修改」才需填代碼",""))</f>
        <v/>
      </c>
      <c r="Y1330" s="21"/>
      <c r="Z1330" s="22"/>
      <c r="AA1330" s="12" t="s">
        <v>3644</v>
      </c>
      <c r="AB1330" s="24"/>
    </row>
    <row r="1331" customFormat="false" ht="29.85" hidden="false" customHeight="false" outlineLevel="0" collapsed="false">
      <c r="A1331" s="15" t="n">
        <v>1330</v>
      </c>
      <c r="B1331" s="9" t="s">
        <v>81</v>
      </c>
      <c r="C1331" s="9" t="s">
        <v>3645</v>
      </c>
      <c r="D1331" s="10" t="s">
        <v>3646</v>
      </c>
      <c r="E1331" s="11" t="s">
        <v>3647</v>
      </c>
      <c r="F1331" s="17"/>
      <c r="G1331" s="12" t="s">
        <v>176</v>
      </c>
      <c r="H1331" s="13" t="n">
        <v>-0.026</v>
      </c>
      <c r="I1331" s="14"/>
      <c r="J1331" s="17"/>
      <c r="K1331" s="9"/>
      <c r="L1331" s="15" t="s">
        <v>50</v>
      </c>
      <c r="M1331" s="16" t="s">
        <v>51</v>
      </c>
      <c r="N1331" s="14"/>
      <c r="O1331" s="15" t="s">
        <v>52</v>
      </c>
      <c r="P1331" s="17" t="s">
        <v>53</v>
      </c>
      <c r="Q1331" s="15"/>
      <c r="R1331" s="18" t="s">
        <v>51</v>
      </c>
      <c r="S1331" s="19"/>
      <c r="T1331" s="17" t="str">
        <f aca="false">IF(R1331="維持",J1331,IF(R1331="排除","無關新聞事件",IFERROR(INDEX(事件規則!$B$2:$B$53,MATCH(S1331,事件規則!$A$2:$A$53,0)),"")))</f>
        <v>無關新聞事件</v>
      </c>
      <c r="U1331" s="20" t="n">
        <f aca="false">IF(R1331="維持",K1331,IF(R1331="排除",0,IFERROR(INDEX(事件規則!$C$2:$C$53,MATCH(S1331,事件規則!$A$2:$A$53,0)),"")))</f>
        <v>0</v>
      </c>
      <c r="V1331" s="21"/>
      <c r="W1331" s="22"/>
      <c r="X1331" s="10" t="str">
        <f aca="false">IF(AND(R1331="修改",S1331=""),"請選新事件代碼",IF(AND(R1331&lt;&gt;"修改",S1331&lt;&gt;""),"只有「修改」才需填代碼",""))</f>
        <v/>
      </c>
      <c r="Y1331" s="21"/>
      <c r="Z1331" s="22"/>
      <c r="AA1331" s="12" t="s">
        <v>3648</v>
      </c>
      <c r="AB1331" s="24"/>
    </row>
    <row r="1332" customFormat="false" ht="29.85" hidden="false" customHeight="false" outlineLevel="0" collapsed="false">
      <c r="A1332" s="15" t="n">
        <v>1331</v>
      </c>
      <c r="B1332" s="9" t="s">
        <v>81</v>
      </c>
      <c r="C1332" s="9" t="s">
        <v>166</v>
      </c>
      <c r="D1332" s="10" t="s">
        <v>167</v>
      </c>
      <c r="E1332" s="11" t="s">
        <v>3649</v>
      </c>
      <c r="F1332" s="17"/>
      <c r="G1332" s="12" t="s">
        <v>949</v>
      </c>
      <c r="H1332" s="13" t="n">
        <v>-0.026</v>
      </c>
      <c r="I1332" s="14"/>
      <c r="J1332" s="17"/>
      <c r="K1332" s="9"/>
      <c r="L1332" s="15" t="s">
        <v>50</v>
      </c>
      <c r="M1332" s="16" t="s">
        <v>51</v>
      </c>
      <c r="N1332" s="14"/>
      <c r="O1332" s="15" t="s">
        <v>52</v>
      </c>
      <c r="P1332" s="17" t="s">
        <v>53</v>
      </c>
      <c r="Q1332" s="15"/>
      <c r="R1332" s="18" t="s">
        <v>51</v>
      </c>
      <c r="S1332" s="19"/>
      <c r="T1332" s="17" t="str">
        <f aca="false">IF(R1332="維持",J1332,IF(R1332="排除","無關新聞事件",IFERROR(INDEX(事件規則!$B$2:$B$53,MATCH(S1332,事件規則!$A$2:$A$53,0)),"")))</f>
        <v>無關新聞事件</v>
      </c>
      <c r="U1332" s="20" t="n">
        <f aca="false">IF(R1332="維持",K1332,IF(R1332="排除",0,IFERROR(INDEX(事件規則!$C$2:$C$53,MATCH(S1332,事件規則!$A$2:$A$53,0)),"")))</f>
        <v>0</v>
      </c>
      <c r="V1332" s="21"/>
      <c r="W1332" s="22"/>
      <c r="X1332" s="10" t="str">
        <f aca="false">IF(AND(R1332="修改",S1332=""),"請選新事件代碼",IF(AND(R1332&lt;&gt;"修改",S1332&lt;&gt;""),"只有「修改」才需填代碼",""))</f>
        <v/>
      </c>
      <c r="Y1332" s="21"/>
      <c r="Z1332" s="22"/>
      <c r="AA1332" s="12" t="s">
        <v>3650</v>
      </c>
      <c r="AB1332" s="24"/>
    </row>
    <row r="1333" customFormat="false" ht="29.85" hidden="false" customHeight="false" outlineLevel="0" collapsed="false">
      <c r="A1333" s="15" t="n">
        <v>1332</v>
      </c>
      <c r="B1333" s="9" t="s">
        <v>45</v>
      </c>
      <c r="C1333" s="9" t="s">
        <v>3645</v>
      </c>
      <c r="D1333" s="10" t="s">
        <v>3646</v>
      </c>
      <c r="E1333" s="11" t="s">
        <v>3651</v>
      </c>
      <c r="F1333" s="17"/>
      <c r="G1333" s="12" t="s">
        <v>95</v>
      </c>
      <c r="H1333" s="13" t="n">
        <v>-0.026</v>
      </c>
      <c r="I1333" s="14"/>
      <c r="J1333" s="17"/>
      <c r="K1333" s="9"/>
      <c r="L1333" s="15" t="s">
        <v>50</v>
      </c>
      <c r="M1333" s="16" t="s">
        <v>51</v>
      </c>
      <c r="N1333" s="14"/>
      <c r="O1333" s="15" t="s">
        <v>52</v>
      </c>
      <c r="P1333" s="17" t="s">
        <v>53</v>
      </c>
      <c r="Q1333" s="15"/>
      <c r="R1333" s="18" t="s">
        <v>51</v>
      </c>
      <c r="S1333" s="19"/>
      <c r="T1333" s="17" t="str">
        <f aca="false">IF(R1333="維持",J1333,IF(R1333="排除","無關新聞事件",IFERROR(INDEX(事件規則!$B$2:$B$53,MATCH(S1333,事件規則!$A$2:$A$53,0)),"")))</f>
        <v>無關新聞事件</v>
      </c>
      <c r="U1333" s="20" t="n">
        <f aca="false">IF(R1333="維持",K1333,IF(R1333="排除",0,IFERROR(INDEX(事件規則!$C$2:$C$53,MATCH(S1333,事件規則!$A$2:$A$53,0)),"")))</f>
        <v>0</v>
      </c>
      <c r="V1333" s="21"/>
      <c r="W1333" s="22"/>
      <c r="X1333" s="10" t="str">
        <f aca="false">IF(AND(R1333="修改",S1333=""),"請選新事件代碼",IF(AND(R1333&lt;&gt;"修改",S1333&lt;&gt;""),"只有「修改」才需填代碼",""))</f>
        <v/>
      </c>
      <c r="Y1333" s="21"/>
      <c r="Z1333" s="22"/>
      <c r="AA1333" s="12" t="s">
        <v>3652</v>
      </c>
      <c r="AB1333" s="24"/>
    </row>
    <row r="1334" customFormat="false" ht="29.85" hidden="false" customHeight="false" outlineLevel="0" collapsed="false">
      <c r="A1334" s="15" t="n">
        <v>1333</v>
      </c>
      <c r="B1334" s="9" t="s">
        <v>45</v>
      </c>
      <c r="C1334" s="9" t="s">
        <v>1318</v>
      </c>
      <c r="D1334" s="10" t="s">
        <v>1319</v>
      </c>
      <c r="E1334" s="11" t="s">
        <v>3653</v>
      </c>
      <c r="F1334" s="17"/>
      <c r="G1334" s="12" t="s">
        <v>1068</v>
      </c>
      <c r="H1334" s="13" t="n">
        <v>-0.026</v>
      </c>
      <c r="I1334" s="14"/>
      <c r="J1334" s="17"/>
      <c r="K1334" s="9"/>
      <c r="L1334" s="15" t="s">
        <v>50</v>
      </c>
      <c r="M1334" s="16" t="s">
        <v>51</v>
      </c>
      <c r="N1334" s="14"/>
      <c r="O1334" s="15" t="s">
        <v>52</v>
      </c>
      <c r="P1334" s="17" t="s">
        <v>53</v>
      </c>
      <c r="Q1334" s="15"/>
      <c r="R1334" s="18" t="s">
        <v>51</v>
      </c>
      <c r="S1334" s="19"/>
      <c r="T1334" s="17" t="str">
        <f aca="false">IF(R1334="維持",J1334,IF(R1334="排除","無關新聞事件",IFERROR(INDEX(事件規則!$B$2:$B$53,MATCH(S1334,事件規則!$A$2:$A$53,0)),"")))</f>
        <v>無關新聞事件</v>
      </c>
      <c r="U1334" s="20" t="n">
        <f aca="false">IF(R1334="維持",K1334,IF(R1334="排除",0,IFERROR(INDEX(事件規則!$C$2:$C$53,MATCH(S1334,事件規則!$A$2:$A$53,0)),"")))</f>
        <v>0</v>
      </c>
      <c r="V1334" s="21"/>
      <c r="W1334" s="22"/>
      <c r="X1334" s="10" t="str">
        <f aca="false">IF(AND(R1334="修改",S1334=""),"請選新事件代碼",IF(AND(R1334&lt;&gt;"修改",S1334&lt;&gt;""),"只有「修改」才需填代碼",""))</f>
        <v/>
      </c>
      <c r="Y1334" s="21"/>
      <c r="Z1334" s="22"/>
      <c r="AA1334" s="12" t="s">
        <v>3654</v>
      </c>
      <c r="AB1334" s="24"/>
    </row>
    <row r="1335" customFormat="false" ht="29.85" hidden="false" customHeight="false" outlineLevel="0" collapsed="false">
      <c r="A1335" s="15" t="n">
        <v>1334</v>
      </c>
      <c r="B1335" s="9" t="s">
        <v>45</v>
      </c>
      <c r="C1335" s="9" t="s">
        <v>76</v>
      </c>
      <c r="D1335" s="10" t="s">
        <v>77</v>
      </c>
      <c r="E1335" s="11" t="s">
        <v>3655</v>
      </c>
      <c r="F1335" s="17"/>
      <c r="G1335" s="12" t="s">
        <v>1136</v>
      </c>
      <c r="H1335" s="13" t="n">
        <v>-0.026</v>
      </c>
      <c r="I1335" s="14"/>
      <c r="J1335" s="17"/>
      <c r="K1335" s="9"/>
      <c r="L1335" s="15" t="s">
        <v>50</v>
      </c>
      <c r="M1335" s="16" t="s">
        <v>51</v>
      </c>
      <c r="N1335" s="14"/>
      <c r="O1335" s="15" t="s">
        <v>52</v>
      </c>
      <c r="P1335" s="17" t="s">
        <v>53</v>
      </c>
      <c r="Q1335" s="15"/>
      <c r="R1335" s="18" t="s">
        <v>51</v>
      </c>
      <c r="S1335" s="19"/>
      <c r="T1335" s="17" t="str">
        <f aca="false">IF(R1335="維持",J1335,IF(R1335="排除","無關新聞事件",IFERROR(INDEX(事件規則!$B$2:$B$53,MATCH(S1335,事件規則!$A$2:$A$53,0)),"")))</f>
        <v>無關新聞事件</v>
      </c>
      <c r="U1335" s="20" t="n">
        <f aca="false">IF(R1335="維持",K1335,IF(R1335="排除",0,IFERROR(INDEX(事件規則!$C$2:$C$53,MATCH(S1335,事件規則!$A$2:$A$53,0)),"")))</f>
        <v>0</v>
      </c>
      <c r="V1335" s="21"/>
      <c r="W1335" s="22"/>
      <c r="X1335" s="10" t="str">
        <f aca="false">IF(AND(R1335="修改",S1335=""),"請選新事件代碼",IF(AND(R1335&lt;&gt;"修改",S1335&lt;&gt;""),"只有「修改」才需填代碼",""))</f>
        <v/>
      </c>
      <c r="Y1335" s="21"/>
      <c r="Z1335" s="22"/>
      <c r="AA1335" s="12" t="s">
        <v>3656</v>
      </c>
      <c r="AB1335" s="24"/>
    </row>
    <row r="1336" customFormat="false" ht="29.85" hidden="false" customHeight="false" outlineLevel="0" collapsed="false">
      <c r="A1336" s="15" t="n">
        <v>1335</v>
      </c>
      <c r="B1336" s="9" t="s">
        <v>45</v>
      </c>
      <c r="C1336" s="9" t="s">
        <v>1555</v>
      </c>
      <c r="D1336" s="10" t="s">
        <v>1556</v>
      </c>
      <c r="E1336" s="11" t="s">
        <v>3657</v>
      </c>
      <c r="F1336" s="17"/>
      <c r="G1336" s="12" t="s">
        <v>949</v>
      </c>
      <c r="H1336" s="13" t="n">
        <v>-0.026</v>
      </c>
      <c r="I1336" s="14"/>
      <c r="J1336" s="17"/>
      <c r="K1336" s="9"/>
      <c r="L1336" s="15" t="s">
        <v>50</v>
      </c>
      <c r="M1336" s="16" t="s">
        <v>51</v>
      </c>
      <c r="N1336" s="14"/>
      <c r="O1336" s="15" t="s">
        <v>52</v>
      </c>
      <c r="P1336" s="17" t="s">
        <v>53</v>
      </c>
      <c r="Q1336" s="15"/>
      <c r="R1336" s="18" t="s">
        <v>51</v>
      </c>
      <c r="S1336" s="19"/>
      <c r="T1336" s="17" t="str">
        <f aca="false">IF(R1336="維持",J1336,IF(R1336="排除","無關新聞事件",IFERROR(INDEX(事件規則!$B$2:$B$53,MATCH(S1336,事件規則!$A$2:$A$53,0)),"")))</f>
        <v>無關新聞事件</v>
      </c>
      <c r="U1336" s="20" t="n">
        <f aca="false">IF(R1336="維持",K1336,IF(R1336="排除",0,IFERROR(INDEX(事件規則!$C$2:$C$53,MATCH(S1336,事件規則!$A$2:$A$53,0)),"")))</f>
        <v>0</v>
      </c>
      <c r="V1336" s="21"/>
      <c r="W1336" s="22"/>
      <c r="X1336" s="10" t="str">
        <f aca="false">IF(AND(R1336="修改",S1336=""),"請選新事件代碼",IF(AND(R1336&lt;&gt;"修改",S1336&lt;&gt;""),"只有「修改」才需填代碼",""))</f>
        <v/>
      </c>
      <c r="Y1336" s="21"/>
      <c r="Z1336" s="22"/>
      <c r="AA1336" s="12" t="s">
        <v>3658</v>
      </c>
      <c r="AB1336" s="24"/>
    </row>
    <row r="1337" customFormat="false" ht="29.85" hidden="false" customHeight="false" outlineLevel="0" collapsed="false">
      <c r="A1337" s="15" t="n">
        <v>1336</v>
      </c>
      <c r="B1337" s="9" t="s">
        <v>45</v>
      </c>
      <c r="C1337" s="9" t="s">
        <v>3341</v>
      </c>
      <c r="D1337" s="10" t="s">
        <v>3342</v>
      </c>
      <c r="E1337" s="11" t="s">
        <v>3659</v>
      </c>
      <c r="F1337" s="17"/>
      <c r="G1337" s="12" t="s">
        <v>2033</v>
      </c>
      <c r="H1337" s="13" t="n">
        <v>-0.026</v>
      </c>
      <c r="I1337" s="14"/>
      <c r="J1337" s="17"/>
      <c r="K1337" s="9"/>
      <c r="L1337" s="15" t="s">
        <v>50</v>
      </c>
      <c r="M1337" s="16" t="s">
        <v>51</v>
      </c>
      <c r="N1337" s="14"/>
      <c r="O1337" s="15" t="s">
        <v>52</v>
      </c>
      <c r="P1337" s="17" t="s">
        <v>53</v>
      </c>
      <c r="Q1337" s="15"/>
      <c r="R1337" s="18" t="s">
        <v>51</v>
      </c>
      <c r="S1337" s="19"/>
      <c r="T1337" s="17" t="str">
        <f aca="false">IF(R1337="維持",J1337,IF(R1337="排除","無關新聞事件",IFERROR(INDEX(事件規則!$B$2:$B$53,MATCH(S1337,事件規則!$A$2:$A$53,0)),"")))</f>
        <v>無關新聞事件</v>
      </c>
      <c r="U1337" s="20" t="n">
        <f aca="false">IF(R1337="維持",K1337,IF(R1337="排除",0,IFERROR(INDEX(事件規則!$C$2:$C$53,MATCH(S1337,事件規則!$A$2:$A$53,0)),"")))</f>
        <v>0</v>
      </c>
      <c r="V1337" s="21"/>
      <c r="W1337" s="22"/>
      <c r="X1337" s="10" t="str">
        <f aca="false">IF(AND(R1337="修改",S1337=""),"請選新事件代碼",IF(AND(R1337&lt;&gt;"修改",S1337&lt;&gt;""),"只有「修改」才需填代碼",""))</f>
        <v/>
      </c>
      <c r="Y1337" s="21"/>
      <c r="Z1337" s="22"/>
      <c r="AA1337" s="12" t="s">
        <v>3660</v>
      </c>
      <c r="AB1337" s="24"/>
    </row>
    <row r="1338" customFormat="false" ht="29.85" hidden="false" customHeight="false" outlineLevel="0" collapsed="false">
      <c r="A1338" s="15" t="n">
        <v>1337</v>
      </c>
      <c r="B1338" s="9" t="s">
        <v>55</v>
      </c>
      <c r="C1338" s="9" t="s">
        <v>1555</v>
      </c>
      <c r="D1338" s="10" t="s">
        <v>1556</v>
      </c>
      <c r="E1338" s="11" t="s">
        <v>3661</v>
      </c>
      <c r="F1338" s="17"/>
      <c r="G1338" s="12" t="s">
        <v>949</v>
      </c>
      <c r="H1338" s="13" t="n">
        <v>-0.026</v>
      </c>
      <c r="I1338" s="14"/>
      <c r="J1338" s="17"/>
      <c r="K1338" s="9"/>
      <c r="L1338" s="15" t="s">
        <v>50</v>
      </c>
      <c r="M1338" s="16" t="s">
        <v>51</v>
      </c>
      <c r="N1338" s="14"/>
      <c r="O1338" s="15" t="s">
        <v>52</v>
      </c>
      <c r="P1338" s="17" t="s">
        <v>53</v>
      </c>
      <c r="Q1338" s="15"/>
      <c r="R1338" s="18" t="s">
        <v>51</v>
      </c>
      <c r="S1338" s="19"/>
      <c r="T1338" s="17" t="str">
        <f aca="false">IF(R1338="維持",J1338,IF(R1338="排除","無關新聞事件",IFERROR(INDEX(事件規則!$B$2:$B$53,MATCH(S1338,事件規則!$A$2:$A$53,0)),"")))</f>
        <v>無關新聞事件</v>
      </c>
      <c r="U1338" s="20" t="n">
        <f aca="false">IF(R1338="維持",K1338,IF(R1338="排除",0,IFERROR(INDEX(事件規則!$C$2:$C$53,MATCH(S1338,事件規則!$A$2:$A$53,0)),"")))</f>
        <v>0</v>
      </c>
      <c r="V1338" s="21"/>
      <c r="W1338" s="22"/>
      <c r="X1338" s="10" t="str">
        <f aca="false">IF(AND(R1338="修改",S1338=""),"請選新事件代碼",IF(AND(R1338&lt;&gt;"修改",S1338&lt;&gt;""),"只有「修改」才需填代碼",""))</f>
        <v/>
      </c>
      <c r="Y1338" s="21"/>
      <c r="Z1338" s="22"/>
      <c r="AA1338" s="12" t="s">
        <v>3662</v>
      </c>
      <c r="AB1338" s="24"/>
    </row>
    <row r="1339" customFormat="false" ht="29.85" hidden="false" customHeight="false" outlineLevel="0" collapsed="false">
      <c r="A1339" s="15" t="n">
        <v>1338</v>
      </c>
      <c r="B1339" s="9" t="s">
        <v>55</v>
      </c>
      <c r="C1339" s="9" t="s">
        <v>1555</v>
      </c>
      <c r="D1339" s="10" t="s">
        <v>1556</v>
      </c>
      <c r="E1339" s="11" t="s">
        <v>3663</v>
      </c>
      <c r="F1339" s="17"/>
      <c r="G1339" s="12" t="s">
        <v>949</v>
      </c>
      <c r="H1339" s="13" t="n">
        <v>-0.026</v>
      </c>
      <c r="I1339" s="14"/>
      <c r="J1339" s="17"/>
      <c r="K1339" s="9"/>
      <c r="L1339" s="15" t="s">
        <v>50</v>
      </c>
      <c r="M1339" s="16" t="s">
        <v>51</v>
      </c>
      <c r="N1339" s="14"/>
      <c r="O1339" s="15" t="s">
        <v>52</v>
      </c>
      <c r="P1339" s="17" t="s">
        <v>53</v>
      </c>
      <c r="Q1339" s="15"/>
      <c r="R1339" s="18" t="s">
        <v>51</v>
      </c>
      <c r="S1339" s="19"/>
      <c r="T1339" s="17" t="str">
        <f aca="false">IF(R1339="維持",J1339,IF(R1339="排除","無關新聞事件",IFERROR(INDEX(事件規則!$B$2:$B$53,MATCH(S1339,事件規則!$A$2:$A$53,0)),"")))</f>
        <v>無關新聞事件</v>
      </c>
      <c r="U1339" s="20" t="n">
        <f aca="false">IF(R1339="維持",K1339,IF(R1339="排除",0,IFERROR(INDEX(事件規則!$C$2:$C$53,MATCH(S1339,事件規則!$A$2:$A$53,0)),"")))</f>
        <v>0</v>
      </c>
      <c r="V1339" s="21"/>
      <c r="W1339" s="22"/>
      <c r="X1339" s="10" t="str">
        <f aca="false">IF(AND(R1339="修改",S1339=""),"請選新事件代碼",IF(AND(R1339&lt;&gt;"修改",S1339&lt;&gt;""),"只有「修改」才需填代碼",""))</f>
        <v/>
      </c>
      <c r="Y1339" s="21"/>
      <c r="Z1339" s="22"/>
      <c r="AA1339" s="12" t="s">
        <v>3664</v>
      </c>
      <c r="AB1339" s="24"/>
    </row>
    <row r="1340" customFormat="false" ht="29.85" hidden="false" customHeight="false" outlineLevel="0" collapsed="false">
      <c r="A1340" s="15" t="n">
        <v>1339</v>
      </c>
      <c r="B1340" s="9" t="s">
        <v>55</v>
      </c>
      <c r="C1340" s="9" t="s">
        <v>2041</v>
      </c>
      <c r="D1340" s="10" t="s">
        <v>2042</v>
      </c>
      <c r="E1340" s="11" t="s">
        <v>3665</v>
      </c>
      <c r="F1340" s="17"/>
      <c r="G1340" s="12" t="s">
        <v>49</v>
      </c>
      <c r="H1340" s="13" t="n">
        <v>-0.026</v>
      </c>
      <c r="I1340" s="14"/>
      <c r="J1340" s="17"/>
      <c r="K1340" s="9"/>
      <c r="L1340" s="15" t="s">
        <v>50</v>
      </c>
      <c r="M1340" s="16" t="s">
        <v>51</v>
      </c>
      <c r="N1340" s="14"/>
      <c r="O1340" s="15" t="s">
        <v>52</v>
      </c>
      <c r="P1340" s="17" t="s">
        <v>53</v>
      </c>
      <c r="Q1340" s="15"/>
      <c r="R1340" s="18" t="s">
        <v>51</v>
      </c>
      <c r="S1340" s="19"/>
      <c r="T1340" s="17" t="str">
        <f aca="false">IF(R1340="維持",J1340,IF(R1340="排除","無關新聞事件",IFERROR(INDEX(事件規則!$B$2:$B$53,MATCH(S1340,事件規則!$A$2:$A$53,0)),"")))</f>
        <v>無關新聞事件</v>
      </c>
      <c r="U1340" s="20" t="n">
        <f aca="false">IF(R1340="維持",K1340,IF(R1340="排除",0,IFERROR(INDEX(事件規則!$C$2:$C$53,MATCH(S1340,事件規則!$A$2:$A$53,0)),"")))</f>
        <v>0</v>
      </c>
      <c r="V1340" s="21"/>
      <c r="W1340" s="22"/>
      <c r="X1340" s="10" t="str">
        <f aca="false">IF(AND(R1340="修改",S1340=""),"請選新事件代碼",IF(AND(R1340&lt;&gt;"修改",S1340&lt;&gt;""),"只有「修改」才需填代碼",""))</f>
        <v/>
      </c>
      <c r="Y1340" s="21"/>
      <c r="Z1340" s="22"/>
      <c r="AA1340" s="12" t="s">
        <v>3666</v>
      </c>
      <c r="AB1340" s="24"/>
    </row>
    <row r="1341" customFormat="false" ht="29.85" hidden="false" customHeight="false" outlineLevel="0" collapsed="false">
      <c r="A1341" s="15" t="n">
        <v>1340</v>
      </c>
      <c r="B1341" s="9" t="s">
        <v>55</v>
      </c>
      <c r="C1341" s="9" t="s">
        <v>3522</v>
      </c>
      <c r="D1341" s="10" t="s">
        <v>3523</v>
      </c>
      <c r="E1341" s="11" t="s">
        <v>3667</v>
      </c>
      <c r="F1341" s="17"/>
      <c r="G1341" s="12" t="s">
        <v>105</v>
      </c>
      <c r="H1341" s="13" t="n">
        <v>-0.026</v>
      </c>
      <c r="I1341" s="14"/>
      <c r="J1341" s="17"/>
      <c r="K1341" s="9"/>
      <c r="L1341" s="15" t="s">
        <v>50</v>
      </c>
      <c r="M1341" s="16" t="s">
        <v>51</v>
      </c>
      <c r="N1341" s="14"/>
      <c r="O1341" s="15" t="s">
        <v>52</v>
      </c>
      <c r="P1341" s="17" t="s">
        <v>53</v>
      </c>
      <c r="Q1341" s="15"/>
      <c r="R1341" s="18" t="s">
        <v>51</v>
      </c>
      <c r="S1341" s="19"/>
      <c r="T1341" s="17" t="str">
        <f aca="false">IF(R1341="維持",J1341,IF(R1341="排除","無關新聞事件",IFERROR(INDEX(事件規則!$B$2:$B$53,MATCH(S1341,事件規則!$A$2:$A$53,0)),"")))</f>
        <v>無關新聞事件</v>
      </c>
      <c r="U1341" s="20" t="n">
        <f aca="false">IF(R1341="維持",K1341,IF(R1341="排除",0,IFERROR(INDEX(事件規則!$C$2:$C$53,MATCH(S1341,事件規則!$A$2:$A$53,0)),"")))</f>
        <v>0</v>
      </c>
      <c r="V1341" s="21"/>
      <c r="W1341" s="22"/>
      <c r="X1341" s="10" t="str">
        <f aca="false">IF(AND(R1341="修改",S1341=""),"請選新事件代碼",IF(AND(R1341&lt;&gt;"修改",S1341&lt;&gt;""),"只有「修改」才需填代碼",""))</f>
        <v/>
      </c>
      <c r="Y1341" s="21"/>
      <c r="Z1341" s="22"/>
      <c r="AA1341" s="12" t="s">
        <v>3668</v>
      </c>
      <c r="AB1341" s="24"/>
    </row>
    <row r="1342" customFormat="false" ht="29.85" hidden="false" customHeight="false" outlineLevel="0" collapsed="false">
      <c r="A1342" s="15" t="n">
        <v>1341</v>
      </c>
      <c r="B1342" s="9" t="s">
        <v>55</v>
      </c>
      <c r="C1342" s="9" t="s">
        <v>3669</v>
      </c>
      <c r="D1342" s="10" t="s">
        <v>3670</v>
      </c>
      <c r="E1342" s="11" t="s">
        <v>3665</v>
      </c>
      <c r="F1342" s="17"/>
      <c r="G1342" s="12" t="s">
        <v>49</v>
      </c>
      <c r="H1342" s="13" t="n">
        <v>-0.026</v>
      </c>
      <c r="I1342" s="14"/>
      <c r="J1342" s="17"/>
      <c r="K1342" s="9"/>
      <c r="L1342" s="15" t="s">
        <v>50</v>
      </c>
      <c r="M1342" s="16" t="s">
        <v>51</v>
      </c>
      <c r="N1342" s="14"/>
      <c r="O1342" s="15" t="s">
        <v>52</v>
      </c>
      <c r="P1342" s="17" t="s">
        <v>53</v>
      </c>
      <c r="Q1342" s="15"/>
      <c r="R1342" s="18" t="s">
        <v>51</v>
      </c>
      <c r="S1342" s="19"/>
      <c r="T1342" s="17" t="str">
        <f aca="false">IF(R1342="維持",J1342,IF(R1342="排除","無關新聞事件",IFERROR(INDEX(事件規則!$B$2:$B$53,MATCH(S1342,事件規則!$A$2:$A$53,0)),"")))</f>
        <v>無關新聞事件</v>
      </c>
      <c r="U1342" s="20" t="n">
        <f aca="false">IF(R1342="維持",K1342,IF(R1342="排除",0,IFERROR(INDEX(事件規則!$C$2:$C$53,MATCH(S1342,事件規則!$A$2:$A$53,0)),"")))</f>
        <v>0</v>
      </c>
      <c r="V1342" s="21"/>
      <c r="W1342" s="22"/>
      <c r="X1342" s="10" t="str">
        <f aca="false">IF(AND(R1342="修改",S1342=""),"請選新事件代碼",IF(AND(R1342&lt;&gt;"修改",S1342&lt;&gt;""),"只有「修改」才需填代碼",""))</f>
        <v/>
      </c>
      <c r="Y1342" s="21"/>
      <c r="Z1342" s="22"/>
      <c r="AA1342" s="12" t="s">
        <v>3671</v>
      </c>
      <c r="AB1342" s="24"/>
    </row>
    <row r="1343" customFormat="false" ht="29.85" hidden="false" customHeight="false" outlineLevel="0" collapsed="false">
      <c r="A1343" s="15" t="n">
        <v>1342</v>
      </c>
      <c r="B1343" s="9" t="s">
        <v>55</v>
      </c>
      <c r="C1343" s="9" t="s">
        <v>476</v>
      </c>
      <c r="D1343" s="10" t="s">
        <v>477</v>
      </c>
      <c r="E1343" s="11" t="s">
        <v>3665</v>
      </c>
      <c r="F1343" s="17"/>
      <c r="G1343" s="12" t="s">
        <v>49</v>
      </c>
      <c r="H1343" s="13" t="n">
        <v>-0.026</v>
      </c>
      <c r="I1343" s="14"/>
      <c r="J1343" s="17"/>
      <c r="K1343" s="9"/>
      <c r="L1343" s="15" t="s">
        <v>50</v>
      </c>
      <c r="M1343" s="16" t="s">
        <v>51</v>
      </c>
      <c r="N1343" s="14"/>
      <c r="O1343" s="15" t="s">
        <v>52</v>
      </c>
      <c r="P1343" s="17" t="s">
        <v>53</v>
      </c>
      <c r="Q1343" s="15"/>
      <c r="R1343" s="18" t="s">
        <v>51</v>
      </c>
      <c r="S1343" s="19"/>
      <c r="T1343" s="17" t="str">
        <f aca="false">IF(R1343="維持",J1343,IF(R1343="排除","無關新聞事件",IFERROR(INDEX(事件規則!$B$2:$B$53,MATCH(S1343,事件規則!$A$2:$A$53,0)),"")))</f>
        <v>無關新聞事件</v>
      </c>
      <c r="U1343" s="20" t="n">
        <f aca="false">IF(R1343="維持",K1343,IF(R1343="排除",0,IFERROR(INDEX(事件規則!$C$2:$C$53,MATCH(S1343,事件規則!$A$2:$A$53,0)),"")))</f>
        <v>0</v>
      </c>
      <c r="V1343" s="21"/>
      <c r="W1343" s="22"/>
      <c r="X1343" s="10" t="str">
        <f aca="false">IF(AND(R1343="修改",S1343=""),"請選新事件代碼",IF(AND(R1343&lt;&gt;"修改",S1343&lt;&gt;""),"只有「修改」才需填代碼",""))</f>
        <v/>
      </c>
      <c r="Y1343" s="21"/>
      <c r="Z1343" s="22"/>
      <c r="AA1343" s="12" t="s">
        <v>3672</v>
      </c>
      <c r="AB1343" s="24"/>
    </row>
    <row r="1344" customFormat="false" ht="29.85" hidden="false" customHeight="false" outlineLevel="0" collapsed="false">
      <c r="A1344" s="15" t="n">
        <v>1343</v>
      </c>
      <c r="B1344" s="9" t="s">
        <v>55</v>
      </c>
      <c r="C1344" s="9" t="s">
        <v>761</v>
      </c>
      <c r="D1344" s="10" t="s">
        <v>762</v>
      </c>
      <c r="E1344" s="11" t="s">
        <v>3673</v>
      </c>
      <c r="F1344" s="17"/>
      <c r="G1344" s="12" t="s">
        <v>3221</v>
      </c>
      <c r="H1344" s="13" t="n">
        <v>-0.026</v>
      </c>
      <c r="I1344" s="14"/>
      <c r="J1344" s="17"/>
      <c r="K1344" s="9"/>
      <c r="L1344" s="15" t="s">
        <v>50</v>
      </c>
      <c r="M1344" s="16" t="s">
        <v>51</v>
      </c>
      <c r="N1344" s="14"/>
      <c r="O1344" s="15" t="s">
        <v>52</v>
      </c>
      <c r="P1344" s="17" t="s">
        <v>53</v>
      </c>
      <c r="Q1344" s="15"/>
      <c r="R1344" s="18" t="s">
        <v>51</v>
      </c>
      <c r="S1344" s="19"/>
      <c r="T1344" s="17" t="str">
        <f aca="false">IF(R1344="維持",J1344,IF(R1344="排除","無關新聞事件",IFERROR(INDEX(事件規則!$B$2:$B$53,MATCH(S1344,事件規則!$A$2:$A$53,0)),"")))</f>
        <v>無關新聞事件</v>
      </c>
      <c r="U1344" s="20" t="n">
        <f aca="false">IF(R1344="維持",K1344,IF(R1344="排除",0,IFERROR(INDEX(事件規則!$C$2:$C$53,MATCH(S1344,事件規則!$A$2:$A$53,0)),"")))</f>
        <v>0</v>
      </c>
      <c r="V1344" s="21"/>
      <c r="W1344" s="22"/>
      <c r="X1344" s="10" t="str">
        <f aca="false">IF(AND(R1344="修改",S1344=""),"請選新事件代碼",IF(AND(R1344&lt;&gt;"修改",S1344&lt;&gt;""),"只有「修改」才需填代碼",""))</f>
        <v/>
      </c>
      <c r="Y1344" s="21"/>
      <c r="Z1344" s="22"/>
      <c r="AA1344" s="12" t="s">
        <v>3674</v>
      </c>
      <c r="AB1344" s="24"/>
    </row>
    <row r="1345" customFormat="false" ht="29.85" hidden="false" customHeight="false" outlineLevel="0" collapsed="false">
      <c r="A1345" s="15" t="n">
        <v>1344</v>
      </c>
      <c r="B1345" s="9" t="s">
        <v>55</v>
      </c>
      <c r="C1345" s="9" t="s">
        <v>1555</v>
      </c>
      <c r="D1345" s="10" t="s">
        <v>1556</v>
      </c>
      <c r="E1345" s="11" t="s">
        <v>3675</v>
      </c>
      <c r="F1345" s="17"/>
      <c r="G1345" s="12" t="s">
        <v>949</v>
      </c>
      <c r="H1345" s="13" t="n">
        <v>-0.026</v>
      </c>
      <c r="I1345" s="14"/>
      <c r="J1345" s="17"/>
      <c r="K1345" s="9"/>
      <c r="L1345" s="15" t="s">
        <v>50</v>
      </c>
      <c r="M1345" s="16" t="s">
        <v>51</v>
      </c>
      <c r="N1345" s="14"/>
      <c r="O1345" s="15" t="s">
        <v>52</v>
      </c>
      <c r="P1345" s="17" t="s">
        <v>53</v>
      </c>
      <c r="Q1345" s="15"/>
      <c r="R1345" s="18" t="s">
        <v>51</v>
      </c>
      <c r="S1345" s="19"/>
      <c r="T1345" s="17" t="str">
        <f aca="false">IF(R1345="維持",J1345,IF(R1345="排除","無關新聞事件",IFERROR(INDEX(事件規則!$B$2:$B$53,MATCH(S1345,事件規則!$A$2:$A$53,0)),"")))</f>
        <v>無關新聞事件</v>
      </c>
      <c r="U1345" s="20" t="n">
        <f aca="false">IF(R1345="維持",K1345,IF(R1345="排除",0,IFERROR(INDEX(事件規則!$C$2:$C$53,MATCH(S1345,事件規則!$A$2:$A$53,0)),"")))</f>
        <v>0</v>
      </c>
      <c r="V1345" s="21"/>
      <c r="W1345" s="22"/>
      <c r="X1345" s="10" t="str">
        <f aca="false">IF(AND(R1345="修改",S1345=""),"請選新事件代碼",IF(AND(R1345&lt;&gt;"修改",S1345&lt;&gt;""),"只有「修改」才需填代碼",""))</f>
        <v/>
      </c>
      <c r="Y1345" s="21"/>
      <c r="Z1345" s="22"/>
      <c r="AA1345" s="12" t="s">
        <v>3676</v>
      </c>
      <c r="AB1345" s="24"/>
    </row>
    <row r="1346" customFormat="false" ht="29.85" hidden="false" customHeight="false" outlineLevel="0" collapsed="false">
      <c r="A1346" s="15" t="n">
        <v>1345</v>
      </c>
      <c r="B1346" s="9" t="s">
        <v>55</v>
      </c>
      <c r="C1346" s="9" t="s">
        <v>1441</v>
      </c>
      <c r="D1346" s="10" t="s">
        <v>1442</v>
      </c>
      <c r="E1346" s="11" t="s">
        <v>3677</v>
      </c>
      <c r="F1346" s="17"/>
      <c r="G1346" s="12" t="s">
        <v>949</v>
      </c>
      <c r="H1346" s="13" t="n">
        <v>-0.026</v>
      </c>
      <c r="I1346" s="14"/>
      <c r="J1346" s="17"/>
      <c r="K1346" s="9"/>
      <c r="L1346" s="15" t="s">
        <v>50</v>
      </c>
      <c r="M1346" s="16" t="s">
        <v>51</v>
      </c>
      <c r="N1346" s="14"/>
      <c r="O1346" s="15" t="s">
        <v>52</v>
      </c>
      <c r="P1346" s="17" t="s">
        <v>53</v>
      </c>
      <c r="Q1346" s="15"/>
      <c r="R1346" s="18" t="s">
        <v>51</v>
      </c>
      <c r="S1346" s="19"/>
      <c r="T1346" s="17" t="str">
        <f aca="false">IF(R1346="維持",J1346,IF(R1346="排除","無關新聞事件",IFERROR(INDEX(事件規則!$B$2:$B$53,MATCH(S1346,事件規則!$A$2:$A$53,0)),"")))</f>
        <v>無關新聞事件</v>
      </c>
      <c r="U1346" s="20" t="n">
        <f aca="false">IF(R1346="維持",K1346,IF(R1346="排除",0,IFERROR(INDEX(事件規則!$C$2:$C$53,MATCH(S1346,事件規則!$A$2:$A$53,0)),"")))</f>
        <v>0</v>
      </c>
      <c r="V1346" s="21"/>
      <c r="W1346" s="22"/>
      <c r="X1346" s="10" t="str">
        <f aca="false">IF(AND(R1346="修改",S1346=""),"請選新事件代碼",IF(AND(R1346&lt;&gt;"修改",S1346&lt;&gt;""),"只有「修改」才需填代碼",""))</f>
        <v/>
      </c>
      <c r="Y1346" s="21"/>
      <c r="Z1346" s="22"/>
      <c r="AA1346" s="12" t="s">
        <v>3678</v>
      </c>
      <c r="AB1346" s="24"/>
    </row>
    <row r="1347" customFormat="false" ht="29.85" hidden="false" customHeight="false" outlineLevel="0" collapsed="false">
      <c r="A1347" s="15" t="n">
        <v>1346</v>
      </c>
      <c r="B1347" s="9" t="s">
        <v>55</v>
      </c>
      <c r="C1347" s="9" t="s">
        <v>1555</v>
      </c>
      <c r="D1347" s="10" t="s">
        <v>1556</v>
      </c>
      <c r="E1347" s="11" t="s">
        <v>3679</v>
      </c>
      <c r="F1347" s="17"/>
      <c r="G1347" s="12" t="s">
        <v>949</v>
      </c>
      <c r="H1347" s="13" t="n">
        <v>-0.026</v>
      </c>
      <c r="I1347" s="14"/>
      <c r="J1347" s="17"/>
      <c r="K1347" s="9"/>
      <c r="L1347" s="15" t="s">
        <v>50</v>
      </c>
      <c r="M1347" s="16" t="s">
        <v>51</v>
      </c>
      <c r="N1347" s="14"/>
      <c r="O1347" s="15" t="s">
        <v>52</v>
      </c>
      <c r="P1347" s="17" t="s">
        <v>53</v>
      </c>
      <c r="Q1347" s="15"/>
      <c r="R1347" s="18" t="s">
        <v>51</v>
      </c>
      <c r="S1347" s="19"/>
      <c r="T1347" s="17" t="str">
        <f aca="false">IF(R1347="維持",J1347,IF(R1347="排除","無關新聞事件",IFERROR(INDEX(事件規則!$B$2:$B$53,MATCH(S1347,事件規則!$A$2:$A$53,0)),"")))</f>
        <v>無關新聞事件</v>
      </c>
      <c r="U1347" s="20" t="n">
        <f aca="false">IF(R1347="維持",K1347,IF(R1347="排除",0,IFERROR(INDEX(事件規則!$C$2:$C$53,MATCH(S1347,事件規則!$A$2:$A$53,0)),"")))</f>
        <v>0</v>
      </c>
      <c r="V1347" s="21"/>
      <c r="W1347" s="22"/>
      <c r="X1347" s="10" t="str">
        <f aca="false">IF(AND(R1347="修改",S1347=""),"請選新事件代碼",IF(AND(R1347&lt;&gt;"修改",S1347&lt;&gt;""),"只有「修改」才需填代碼",""))</f>
        <v/>
      </c>
      <c r="Y1347" s="21"/>
      <c r="Z1347" s="22"/>
      <c r="AA1347" s="12" t="s">
        <v>3680</v>
      </c>
      <c r="AB1347" s="24"/>
    </row>
    <row r="1348" customFormat="false" ht="29.85" hidden="false" customHeight="false" outlineLevel="0" collapsed="false">
      <c r="A1348" s="15" t="n">
        <v>1347</v>
      </c>
      <c r="B1348" s="9" t="s">
        <v>55</v>
      </c>
      <c r="C1348" s="9" t="s">
        <v>1555</v>
      </c>
      <c r="D1348" s="10" t="s">
        <v>1556</v>
      </c>
      <c r="E1348" s="11" t="s">
        <v>3681</v>
      </c>
      <c r="F1348" s="17"/>
      <c r="G1348" s="12" t="s">
        <v>949</v>
      </c>
      <c r="H1348" s="13" t="n">
        <v>-0.026</v>
      </c>
      <c r="I1348" s="14"/>
      <c r="J1348" s="17"/>
      <c r="K1348" s="9"/>
      <c r="L1348" s="15" t="s">
        <v>50</v>
      </c>
      <c r="M1348" s="16" t="s">
        <v>51</v>
      </c>
      <c r="N1348" s="14"/>
      <c r="O1348" s="15" t="s">
        <v>52</v>
      </c>
      <c r="P1348" s="17" t="s">
        <v>53</v>
      </c>
      <c r="Q1348" s="15"/>
      <c r="R1348" s="18" t="s">
        <v>51</v>
      </c>
      <c r="S1348" s="19"/>
      <c r="T1348" s="17" t="str">
        <f aca="false">IF(R1348="維持",J1348,IF(R1348="排除","無關新聞事件",IFERROR(INDEX(事件規則!$B$2:$B$53,MATCH(S1348,事件規則!$A$2:$A$53,0)),"")))</f>
        <v>無關新聞事件</v>
      </c>
      <c r="U1348" s="20" t="n">
        <f aca="false">IF(R1348="維持",K1348,IF(R1348="排除",0,IFERROR(INDEX(事件規則!$C$2:$C$53,MATCH(S1348,事件規則!$A$2:$A$53,0)),"")))</f>
        <v>0</v>
      </c>
      <c r="V1348" s="21"/>
      <c r="W1348" s="22"/>
      <c r="X1348" s="10" t="str">
        <f aca="false">IF(AND(R1348="修改",S1348=""),"請選新事件代碼",IF(AND(R1348&lt;&gt;"修改",S1348&lt;&gt;""),"只有「修改」才需填代碼",""))</f>
        <v/>
      </c>
      <c r="Y1348" s="21"/>
      <c r="Z1348" s="22"/>
      <c r="AA1348" s="12" t="s">
        <v>3682</v>
      </c>
      <c r="AB1348" s="24"/>
    </row>
    <row r="1349" customFormat="false" ht="29.85" hidden="false" customHeight="false" outlineLevel="0" collapsed="false">
      <c r="A1349" s="15" t="n">
        <v>1348</v>
      </c>
      <c r="B1349" s="9" t="s">
        <v>55</v>
      </c>
      <c r="C1349" s="9" t="s">
        <v>349</v>
      </c>
      <c r="D1349" s="10" t="s">
        <v>350</v>
      </c>
      <c r="E1349" s="11" t="s">
        <v>3665</v>
      </c>
      <c r="F1349" s="17"/>
      <c r="G1349" s="12" t="s">
        <v>49</v>
      </c>
      <c r="H1349" s="13" t="n">
        <v>-0.026</v>
      </c>
      <c r="I1349" s="14"/>
      <c r="J1349" s="17"/>
      <c r="K1349" s="9"/>
      <c r="L1349" s="15" t="s">
        <v>50</v>
      </c>
      <c r="M1349" s="16" t="s">
        <v>51</v>
      </c>
      <c r="N1349" s="14"/>
      <c r="O1349" s="15" t="s">
        <v>52</v>
      </c>
      <c r="P1349" s="17" t="s">
        <v>53</v>
      </c>
      <c r="Q1349" s="15"/>
      <c r="R1349" s="18" t="s">
        <v>51</v>
      </c>
      <c r="S1349" s="19"/>
      <c r="T1349" s="17" t="str">
        <f aca="false">IF(R1349="維持",J1349,IF(R1349="排除","無關新聞事件",IFERROR(INDEX(事件規則!$B$2:$B$53,MATCH(S1349,事件規則!$A$2:$A$53,0)),"")))</f>
        <v>無關新聞事件</v>
      </c>
      <c r="U1349" s="20" t="n">
        <f aca="false">IF(R1349="維持",K1349,IF(R1349="排除",0,IFERROR(INDEX(事件規則!$C$2:$C$53,MATCH(S1349,事件規則!$A$2:$A$53,0)),"")))</f>
        <v>0</v>
      </c>
      <c r="V1349" s="21"/>
      <c r="W1349" s="22"/>
      <c r="X1349" s="10" t="str">
        <f aca="false">IF(AND(R1349="修改",S1349=""),"請選新事件代碼",IF(AND(R1349&lt;&gt;"修改",S1349&lt;&gt;""),"只有「修改」才需填代碼",""))</f>
        <v/>
      </c>
      <c r="Y1349" s="21"/>
      <c r="Z1349" s="22"/>
      <c r="AA1349" s="12" t="s">
        <v>3683</v>
      </c>
      <c r="AB1349" s="24"/>
    </row>
    <row r="1350" customFormat="false" ht="29.85" hidden="false" customHeight="false" outlineLevel="0" collapsed="false">
      <c r="A1350" s="15" t="n">
        <v>1349</v>
      </c>
      <c r="B1350" s="9" t="s">
        <v>55</v>
      </c>
      <c r="C1350" s="9" t="s">
        <v>303</v>
      </c>
      <c r="D1350" s="10" t="s">
        <v>304</v>
      </c>
      <c r="E1350" s="11" t="s">
        <v>3665</v>
      </c>
      <c r="F1350" s="17"/>
      <c r="G1350" s="12" t="s">
        <v>49</v>
      </c>
      <c r="H1350" s="13" t="n">
        <v>-0.026</v>
      </c>
      <c r="I1350" s="14"/>
      <c r="J1350" s="17"/>
      <c r="K1350" s="9"/>
      <c r="L1350" s="15" t="s">
        <v>50</v>
      </c>
      <c r="M1350" s="16" t="s">
        <v>51</v>
      </c>
      <c r="N1350" s="14"/>
      <c r="O1350" s="15" t="s">
        <v>52</v>
      </c>
      <c r="P1350" s="17" t="s">
        <v>53</v>
      </c>
      <c r="Q1350" s="15"/>
      <c r="R1350" s="18" t="s">
        <v>51</v>
      </c>
      <c r="S1350" s="19"/>
      <c r="T1350" s="17" t="str">
        <f aca="false">IF(R1350="維持",J1350,IF(R1350="排除","無關新聞事件",IFERROR(INDEX(事件規則!$B$2:$B$53,MATCH(S1350,事件規則!$A$2:$A$53,0)),"")))</f>
        <v>無關新聞事件</v>
      </c>
      <c r="U1350" s="20" t="n">
        <f aca="false">IF(R1350="維持",K1350,IF(R1350="排除",0,IFERROR(INDEX(事件規則!$C$2:$C$53,MATCH(S1350,事件規則!$A$2:$A$53,0)),"")))</f>
        <v>0</v>
      </c>
      <c r="V1350" s="21"/>
      <c r="W1350" s="22"/>
      <c r="X1350" s="10" t="str">
        <f aca="false">IF(AND(R1350="修改",S1350=""),"請選新事件代碼",IF(AND(R1350&lt;&gt;"修改",S1350&lt;&gt;""),"只有「修改」才需填代碼",""))</f>
        <v/>
      </c>
      <c r="Y1350" s="21"/>
      <c r="Z1350" s="22"/>
      <c r="AA1350" s="12" t="s">
        <v>3684</v>
      </c>
      <c r="AB1350" s="24"/>
    </row>
    <row r="1351" customFormat="false" ht="29.85" hidden="false" customHeight="false" outlineLevel="0" collapsed="false">
      <c r="A1351" s="15" t="n">
        <v>1350</v>
      </c>
      <c r="B1351" s="9" t="s">
        <v>55</v>
      </c>
      <c r="C1351" s="9" t="s">
        <v>751</v>
      </c>
      <c r="D1351" s="10" t="s">
        <v>752</v>
      </c>
      <c r="E1351" s="11" t="s">
        <v>3665</v>
      </c>
      <c r="F1351" s="17"/>
      <c r="G1351" s="12" t="s">
        <v>49</v>
      </c>
      <c r="H1351" s="13" t="n">
        <v>-0.026</v>
      </c>
      <c r="I1351" s="14"/>
      <c r="J1351" s="17"/>
      <c r="K1351" s="9"/>
      <c r="L1351" s="15" t="s">
        <v>50</v>
      </c>
      <c r="M1351" s="16" t="s">
        <v>51</v>
      </c>
      <c r="N1351" s="14"/>
      <c r="O1351" s="15" t="s">
        <v>52</v>
      </c>
      <c r="P1351" s="17" t="s">
        <v>53</v>
      </c>
      <c r="Q1351" s="15"/>
      <c r="R1351" s="18" t="s">
        <v>51</v>
      </c>
      <c r="S1351" s="19"/>
      <c r="T1351" s="17" t="str">
        <f aca="false">IF(R1351="維持",J1351,IF(R1351="排除","無關新聞事件",IFERROR(INDEX(事件規則!$B$2:$B$53,MATCH(S1351,事件規則!$A$2:$A$53,0)),"")))</f>
        <v>無關新聞事件</v>
      </c>
      <c r="U1351" s="20" t="n">
        <f aca="false">IF(R1351="維持",K1351,IF(R1351="排除",0,IFERROR(INDEX(事件規則!$C$2:$C$53,MATCH(S1351,事件規則!$A$2:$A$53,0)),"")))</f>
        <v>0</v>
      </c>
      <c r="V1351" s="21"/>
      <c r="W1351" s="22"/>
      <c r="X1351" s="10" t="str">
        <f aca="false">IF(AND(R1351="修改",S1351=""),"請選新事件代碼",IF(AND(R1351&lt;&gt;"修改",S1351&lt;&gt;""),"只有「修改」才需填代碼",""))</f>
        <v/>
      </c>
      <c r="Y1351" s="21"/>
      <c r="Z1351" s="22"/>
      <c r="AA1351" s="12" t="s">
        <v>3685</v>
      </c>
      <c r="AB1351" s="24"/>
    </row>
    <row r="1352" customFormat="false" ht="29.85" hidden="false" customHeight="false" outlineLevel="0" collapsed="false">
      <c r="A1352" s="15" t="n">
        <v>1351</v>
      </c>
      <c r="B1352" s="9" t="s">
        <v>55</v>
      </c>
      <c r="C1352" s="9" t="s">
        <v>445</v>
      </c>
      <c r="D1352" s="10" t="s">
        <v>446</v>
      </c>
      <c r="E1352" s="11" t="s">
        <v>3686</v>
      </c>
      <c r="F1352" s="17"/>
      <c r="G1352" s="12" t="s">
        <v>95</v>
      </c>
      <c r="H1352" s="13" t="n">
        <v>-0.026</v>
      </c>
      <c r="I1352" s="14"/>
      <c r="J1352" s="17"/>
      <c r="K1352" s="9"/>
      <c r="L1352" s="15" t="s">
        <v>50</v>
      </c>
      <c r="M1352" s="16" t="s">
        <v>51</v>
      </c>
      <c r="N1352" s="14"/>
      <c r="O1352" s="15" t="s">
        <v>52</v>
      </c>
      <c r="P1352" s="17" t="s">
        <v>53</v>
      </c>
      <c r="Q1352" s="15"/>
      <c r="R1352" s="18" t="s">
        <v>51</v>
      </c>
      <c r="S1352" s="19"/>
      <c r="T1352" s="17" t="str">
        <f aca="false">IF(R1352="維持",J1352,IF(R1352="排除","無關新聞事件",IFERROR(INDEX(事件規則!$B$2:$B$53,MATCH(S1352,事件規則!$A$2:$A$53,0)),"")))</f>
        <v>無關新聞事件</v>
      </c>
      <c r="U1352" s="20" t="n">
        <f aca="false">IF(R1352="維持",K1352,IF(R1352="排除",0,IFERROR(INDEX(事件規則!$C$2:$C$53,MATCH(S1352,事件規則!$A$2:$A$53,0)),"")))</f>
        <v>0</v>
      </c>
      <c r="V1352" s="21"/>
      <c r="W1352" s="22"/>
      <c r="X1352" s="10" t="str">
        <f aca="false">IF(AND(R1352="修改",S1352=""),"請選新事件代碼",IF(AND(R1352&lt;&gt;"修改",S1352&lt;&gt;""),"只有「修改」才需填代碼",""))</f>
        <v/>
      </c>
      <c r="Y1352" s="21"/>
      <c r="Z1352" s="22"/>
      <c r="AA1352" s="12" t="s">
        <v>3687</v>
      </c>
      <c r="AB1352" s="24"/>
    </row>
    <row r="1353" customFormat="false" ht="29.85" hidden="false" customHeight="false" outlineLevel="0" collapsed="false">
      <c r="A1353" s="15" t="n">
        <v>1352</v>
      </c>
      <c r="B1353" s="9" t="s">
        <v>55</v>
      </c>
      <c r="C1353" s="9" t="s">
        <v>294</v>
      </c>
      <c r="D1353" s="10" t="s">
        <v>295</v>
      </c>
      <c r="E1353" s="11" t="s">
        <v>3688</v>
      </c>
      <c r="F1353" s="17"/>
      <c r="G1353" s="12" t="s">
        <v>2033</v>
      </c>
      <c r="H1353" s="13" t="n">
        <v>-0.026</v>
      </c>
      <c r="I1353" s="14"/>
      <c r="J1353" s="17"/>
      <c r="K1353" s="9"/>
      <c r="L1353" s="15" t="s">
        <v>50</v>
      </c>
      <c r="M1353" s="16" t="s">
        <v>51</v>
      </c>
      <c r="N1353" s="14"/>
      <c r="O1353" s="15" t="s">
        <v>52</v>
      </c>
      <c r="P1353" s="17" t="s">
        <v>53</v>
      </c>
      <c r="Q1353" s="15"/>
      <c r="R1353" s="18" t="s">
        <v>51</v>
      </c>
      <c r="S1353" s="19"/>
      <c r="T1353" s="17" t="str">
        <f aca="false">IF(R1353="維持",J1353,IF(R1353="排除","無關新聞事件",IFERROR(INDEX(事件規則!$B$2:$B$53,MATCH(S1353,事件規則!$A$2:$A$53,0)),"")))</f>
        <v>無關新聞事件</v>
      </c>
      <c r="U1353" s="20" t="n">
        <f aca="false">IF(R1353="維持",K1353,IF(R1353="排除",0,IFERROR(INDEX(事件規則!$C$2:$C$53,MATCH(S1353,事件規則!$A$2:$A$53,0)),"")))</f>
        <v>0</v>
      </c>
      <c r="V1353" s="21"/>
      <c r="W1353" s="22"/>
      <c r="X1353" s="10" t="str">
        <f aca="false">IF(AND(R1353="修改",S1353=""),"請選新事件代碼",IF(AND(R1353&lt;&gt;"修改",S1353&lt;&gt;""),"只有「修改」才需填代碼",""))</f>
        <v/>
      </c>
      <c r="Y1353" s="21"/>
      <c r="Z1353" s="22"/>
      <c r="AA1353" s="12" t="s">
        <v>3689</v>
      </c>
      <c r="AB1353" s="24"/>
    </row>
    <row r="1354" customFormat="false" ht="29.85" hidden="false" customHeight="false" outlineLevel="0" collapsed="false">
      <c r="A1354" s="15" t="n">
        <v>1353</v>
      </c>
      <c r="B1354" s="9" t="s">
        <v>55</v>
      </c>
      <c r="C1354" s="9" t="s">
        <v>3690</v>
      </c>
      <c r="D1354" s="10" t="s">
        <v>3691</v>
      </c>
      <c r="E1354" s="11" t="s">
        <v>3692</v>
      </c>
      <c r="F1354" s="17"/>
      <c r="G1354" s="12" t="s">
        <v>3221</v>
      </c>
      <c r="H1354" s="13" t="n">
        <v>-0.026</v>
      </c>
      <c r="I1354" s="14"/>
      <c r="J1354" s="17"/>
      <c r="K1354" s="9"/>
      <c r="L1354" s="15" t="s">
        <v>50</v>
      </c>
      <c r="M1354" s="16" t="s">
        <v>51</v>
      </c>
      <c r="N1354" s="14"/>
      <c r="O1354" s="15" t="s">
        <v>52</v>
      </c>
      <c r="P1354" s="17" t="s">
        <v>53</v>
      </c>
      <c r="Q1354" s="15"/>
      <c r="R1354" s="18" t="s">
        <v>51</v>
      </c>
      <c r="S1354" s="19"/>
      <c r="T1354" s="17" t="str">
        <f aca="false">IF(R1354="維持",J1354,IF(R1354="排除","無關新聞事件",IFERROR(INDEX(事件規則!$B$2:$B$53,MATCH(S1354,事件規則!$A$2:$A$53,0)),"")))</f>
        <v>無關新聞事件</v>
      </c>
      <c r="U1354" s="20" t="n">
        <f aca="false">IF(R1354="維持",K1354,IF(R1354="排除",0,IFERROR(INDEX(事件規則!$C$2:$C$53,MATCH(S1354,事件規則!$A$2:$A$53,0)),"")))</f>
        <v>0</v>
      </c>
      <c r="V1354" s="21"/>
      <c r="W1354" s="22"/>
      <c r="X1354" s="10" t="str">
        <f aca="false">IF(AND(R1354="修改",S1354=""),"請選新事件代碼",IF(AND(R1354&lt;&gt;"修改",S1354&lt;&gt;""),"只有「修改」才需填代碼",""))</f>
        <v/>
      </c>
      <c r="Y1354" s="21"/>
      <c r="Z1354" s="22"/>
      <c r="AA1354" s="12" t="s">
        <v>3693</v>
      </c>
      <c r="AB1354" s="24"/>
    </row>
    <row r="1355" customFormat="false" ht="29.85" hidden="false" customHeight="false" outlineLevel="0" collapsed="false">
      <c r="A1355" s="15" t="n">
        <v>1354</v>
      </c>
      <c r="B1355" s="9" t="s">
        <v>55</v>
      </c>
      <c r="C1355" s="9" t="s">
        <v>3690</v>
      </c>
      <c r="D1355" s="10" t="s">
        <v>3691</v>
      </c>
      <c r="E1355" s="11" t="s">
        <v>3694</v>
      </c>
      <c r="F1355" s="17"/>
      <c r="G1355" s="12" t="s">
        <v>949</v>
      </c>
      <c r="H1355" s="13" t="n">
        <v>-0.026</v>
      </c>
      <c r="I1355" s="14"/>
      <c r="J1355" s="17"/>
      <c r="K1355" s="9"/>
      <c r="L1355" s="15" t="s">
        <v>50</v>
      </c>
      <c r="M1355" s="16" t="s">
        <v>51</v>
      </c>
      <c r="N1355" s="14"/>
      <c r="O1355" s="15" t="s">
        <v>52</v>
      </c>
      <c r="P1355" s="17" t="s">
        <v>53</v>
      </c>
      <c r="Q1355" s="15"/>
      <c r="R1355" s="18" t="s">
        <v>51</v>
      </c>
      <c r="S1355" s="19"/>
      <c r="T1355" s="17" t="str">
        <f aca="false">IF(R1355="維持",J1355,IF(R1355="排除","無關新聞事件",IFERROR(INDEX(事件規則!$B$2:$B$53,MATCH(S1355,事件規則!$A$2:$A$53,0)),"")))</f>
        <v>無關新聞事件</v>
      </c>
      <c r="U1355" s="20" t="n">
        <f aca="false">IF(R1355="維持",K1355,IF(R1355="排除",0,IFERROR(INDEX(事件規則!$C$2:$C$53,MATCH(S1355,事件規則!$A$2:$A$53,0)),"")))</f>
        <v>0</v>
      </c>
      <c r="V1355" s="21"/>
      <c r="W1355" s="22"/>
      <c r="X1355" s="10" t="str">
        <f aca="false">IF(AND(R1355="修改",S1355=""),"請選新事件代碼",IF(AND(R1355&lt;&gt;"修改",S1355&lt;&gt;""),"只有「修改」才需填代碼",""))</f>
        <v/>
      </c>
      <c r="Y1355" s="21"/>
      <c r="Z1355" s="22"/>
      <c r="AA1355" s="12" t="s">
        <v>3695</v>
      </c>
      <c r="AB1355" s="24"/>
    </row>
    <row r="1356" customFormat="false" ht="29.85" hidden="false" customHeight="false" outlineLevel="0" collapsed="false">
      <c r="A1356" s="15" t="n">
        <v>1355</v>
      </c>
      <c r="B1356" s="9" t="s">
        <v>55</v>
      </c>
      <c r="C1356" s="9" t="s">
        <v>326</v>
      </c>
      <c r="D1356" s="10" t="s">
        <v>326</v>
      </c>
      <c r="E1356" s="11" t="s">
        <v>3696</v>
      </c>
      <c r="F1356" s="17"/>
      <c r="G1356" s="12" t="s">
        <v>49</v>
      </c>
      <c r="H1356" s="13" t="n">
        <v>-0.026</v>
      </c>
      <c r="I1356" s="14"/>
      <c r="J1356" s="17"/>
      <c r="K1356" s="9"/>
      <c r="L1356" s="15" t="s">
        <v>50</v>
      </c>
      <c r="M1356" s="16" t="s">
        <v>51</v>
      </c>
      <c r="N1356" s="14"/>
      <c r="O1356" s="15" t="s">
        <v>52</v>
      </c>
      <c r="P1356" s="17" t="s">
        <v>53</v>
      </c>
      <c r="Q1356" s="15"/>
      <c r="R1356" s="18" t="s">
        <v>51</v>
      </c>
      <c r="S1356" s="19"/>
      <c r="T1356" s="17" t="str">
        <f aca="false">IF(R1356="維持",J1356,IF(R1356="排除","無關新聞事件",IFERROR(INDEX(事件規則!$B$2:$B$53,MATCH(S1356,事件規則!$A$2:$A$53,0)),"")))</f>
        <v>無關新聞事件</v>
      </c>
      <c r="U1356" s="20" t="n">
        <f aca="false">IF(R1356="維持",K1356,IF(R1356="排除",0,IFERROR(INDEX(事件規則!$C$2:$C$53,MATCH(S1356,事件規則!$A$2:$A$53,0)),"")))</f>
        <v>0</v>
      </c>
      <c r="V1356" s="21"/>
      <c r="W1356" s="22"/>
      <c r="X1356" s="10" t="str">
        <f aca="false">IF(AND(R1356="修改",S1356=""),"請選新事件代碼",IF(AND(R1356&lt;&gt;"修改",S1356&lt;&gt;""),"只有「修改」才需填代碼",""))</f>
        <v/>
      </c>
      <c r="Y1356" s="21"/>
      <c r="Z1356" s="22"/>
      <c r="AA1356" s="12" t="s">
        <v>3697</v>
      </c>
      <c r="AB1356" s="24"/>
    </row>
    <row r="1357" customFormat="false" ht="29.85" hidden="false" customHeight="false" outlineLevel="0" collapsed="false">
      <c r="A1357" s="15" t="n">
        <v>1356</v>
      </c>
      <c r="B1357" s="9" t="s">
        <v>112</v>
      </c>
      <c r="C1357" s="9" t="s">
        <v>2508</v>
      </c>
      <c r="D1357" s="10" t="s">
        <v>2509</v>
      </c>
      <c r="E1357" s="11" t="s">
        <v>3698</v>
      </c>
      <c r="F1357" s="17"/>
      <c r="G1357" s="12" t="s">
        <v>443</v>
      </c>
      <c r="H1357" s="13" t="n">
        <v>-0.026</v>
      </c>
      <c r="I1357" s="14"/>
      <c r="J1357" s="17"/>
      <c r="K1357" s="9"/>
      <c r="L1357" s="15" t="s">
        <v>50</v>
      </c>
      <c r="M1357" s="16" t="s">
        <v>51</v>
      </c>
      <c r="N1357" s="14"/>
      <c r="O1357" s="15" t="s">
        <v>52</v>
      </c>
      <c r="P1357" s="17" t="s">
        <v>53</v>
      </c>
      <c r="Q1357" s="15"/>
      <c r="R1357" s="18" t="s">
        <v>51</v>
      </c>
      <c r="S1357" s="19"/>
      <c r="T1357" s="17" t="str">
        <f aca="false">IF(R1357="維持",J1357,IF(R1357="排除","無關新聞事件",IFERROR(INDEX(事件規則!$B$2:$B$53,MATCH(S1357,事件規則!$A$2:$A$53,0)),"")))</f>
        <v>無關新聞事件</v>
      </c>
      <c r="U1357" s="20" t="n">
        <f aca="false">IF(R1357="維持",K1357,IF(R1357="排除",0,IFERROR(INDEX(事件規則!$C$2:$C$53,MATCH(S1357,事件規則!$A$2:$A$53,0)),"")))</f>
        <v>0</v>
      </c>
      <c r="V1357" s="21"/>
      <c r="W1357" s="22"/>
      <c r="X1357" s="10" t="str">
        <f aca="false">IF(AND(R1357="修改",S1357=""),"請選新事件代碼",IF(AND(R1357&lt;&gt;"修改",S1357&lt;&gt;""),"只有「修改」才需填代碼",""))</f>
        <v/>
      </c>
      <c r="Y1357" s="21"/>
      <c r="Z1357" s="22"/>
      <c r="AA1357" s="12" t="s">
        <v>3699</v>
      </c>
      <c r="AB1357" s="24"/>
    </row>
    <row r="1358" customFormat="false" ht="29.85" hidden="false" customHeight="false" outlineLevel="0" collapsed="false">
      <c r="A1358" s="15" t="n">
        <v>1357</v>
      </c>
      <c r="B1358" s="9" t="s">
        <v>112</v>
      </c>
      <c r="C1358" s="9" t="s">
        <v>563</v>
      </c>
      <c r="D1358" s="10" t="s">
        <v>564</v>
      </c>
      <c r="E1358" s="11" t="s">
        <v>3700</v>
      </c>
      <c r="F1358" s="17"/>
      <c r="G1358" s="12" t="s">
        <v>49</v>
      </c>
      <c r="H1358" s="13" t="n">
        <v>-0.026</v>
      </c>
      <c r="I1358" s="14"/>
      <c r="J1358" s="17"/>
      <c r="K1358" s="9"/>
      <c r="L1358" s="15" t="s">
        <v>50</v>
      </c>
      <c r="M1358" s="16" t="s">
        <v>51</v>
      </c>
      <c r="N1358" s="14"/>
      <c r="O1358" s="15" t="s">
        <v>52</v>
      </c>
      <c r="P1358" s="17" t="s">
        <v>53</v>
      </c>
      <c r="Q1358" s="15"/>
      <c r="R1358" s="18" t="s">
        <v>51</v>
      </c>
      <c r="S1358" s="19"/>
      <c r="T1358" s="17" t="str">
        <f aca="false">IF(R1358="維持",J1358,IF(R1358="排除","無關新聞事件",IFERROR(INDEX(事件規則!$B$2:$B$53,MATCH(S1358,事件規則!$A$2:$A$53,0)),"")))</f>
        <v>無關新聞事件</v>
      </c>
      <c r="U1358" s="20" t="n">
        <f aca="false">IF(R1358="維持",K1358,IF(R1358="排除",0,IFERROR(INDEX(事件規則!$C$2:$C$53,MATCH(S1358,事件規則!$A$2:$A$53,0)),"")))</f>
        <v>0</v>
      </c>
      <c r="V1358" s="21"/>
      <c r="W1358" s="22"/>
      <c r="X1358" s="10" t="str">
        <f aca="false">IF(AND(R1358="修改",S1358=""),"請選新事件代碼",IF(AND(R1358&lt;&gt;"修改",S1358&lt;&gt;""),"只有「修改」才需填代碼",""))</f>
        <v/>
      </c>
      <c r="Y1358" s="21"/>
      <c r="Z1358" s="22"/>
      <c r="AA1358" s="12" t="s">
        <v>3701</v>
      </c>
      <c r="AB1358" s="24"/>
    </row>
    <row r="1359" customFormat="false" ht="29.85" hidden="false" customHeight="false" outlineLevel="0" collapsed="false">
      <c r="A1359" s="15" t="n">
        <v>1358</v>
      </c>
      <c r="B1359" s="9" t="s">
        <v>112</v>
      </c>
      <c r="C1359" s="9" t="s">
        <v>1196</v>
      </c>
      <c r="D1359" s="10" t="s">
        <v>1197</v>
      </c>
      <c r="E1359" s="11" t="s">
        <v>3702</v>
      </c>
      <c r="F1359" s="17"/>
      <c r="G1359" s="12" t="s">
        <v>2033</v>
      </c>
      <c r="H1359" s="13" t="n">
        <v>-0.026</v>
      </c>
      <c r="I1359" s="14"/>
      <c r="J1359" s="17"/>
      <c r="K1359" s="9"/>
      <c r="L1359" s="15" t="s">
        <v>50</v>
      </c>
      <c r="M1359" s="16" t="s">
        <v>51</v>
      </c>
      <c r="N1359" s="14"/>
      <c r="O1359" s="15" t="s">
        <v>52</v>
      </c>
      <c r="P1359" s="17" t="s">
        <v>53</v>
      </c>
      <c r="Q1359" s="15"/>
      <c r="R1359" s="18" t="s">
        <v>51</v>
      </c>
      <c r="S1359" s="19"/>
      <c r="T1359" s="17" t="str">
        <f aca="false">IF(R1359="維持",J1359,IF(R1359="排除","無關新聞事件",IFERROR(INDEX(事件規則!$B$2:$B$53,MATCH(S1359,事件規則!$A$2:$A$53,0)),"")))</f>
        <v>無關新聞事件</v>
      </c>
      <c r="U1359" s="20" t="n">
        <f aca="false">IF(R1359="維持",K1359,IF(R1359="排除",0,IFERROR(INDEX(事件規則!$C$2:$C$53,MATCH(S1359,事件規則!$A$2:$A$53,0)),"")))</f>
        <v>0</v>
      </c>
      <c r="V1359" s="21"/>
      <c r="W1359" s="22"/>
      <c r="X1359" s="10" t="str">
        <f aca="false">IF(AND(R1359="修改",S1359=""),"請選新事件代碼",IF(AND(R1359&lt;&gt;"修改",S1359&lt;&gt;""),"只有「修改」才需填代碼",""))</f>
        <v/>
      </c>
      <c r="Y1359" s="21"/>
      <c r="Z1359" s="22"/>
      <c r="AA1359" s="12" t="s">
        <v>3703</v>
      </c>
      <c r="AB1359" s="24"/>
    </row>
    <row r="1360" customFormat="false" ht="29.85" hidden="false" customHeight="false" outlineLevel="0" collapsed="false">
      <c r="A1360" s="15" t="n">
        <v>1359</v>
      </c>
      <c r="B1360" s="9" t="s">
        <v>45</v>
      </c>
      <c r="C1360" s="9" t="s">
        <v>524</v>
      </c>
      <c r="D1360" s="10" t="s">
        <v>525</v>
      </c>
      <c r="E1360" s="11" t="s">
        <v>3704</v>
      </c>
      <c r="F1360" s="17"/>
      <c r="G1360" s="12" t="s">
        <v>3705</v>
      </c>
      <c r="H1360" s="13" t="n">
        <v>-0.026</v>
      </c>
      <c r="I1360" s="14"/>
      <c r="J1360" s="17"/>
      <c r="K1360" s="9"/>
      <c r="L1360" s="15" t="s">
        <v>50</v>
      </c>
      <c r="M1360" s="16" t="s">
        <v>51</v>
      </c>
      <c r="N1360" s="14"/>
      <c r="O1360" s="15" t="s">
        <v>52</v>
      </c>
      <c r="P1360" s="17" t="s">
        <v>53</v>
      </c>
      <c r="Q1360" s="15"/>
      <c r="R1360" s="18" t="s">
        <v>51</v>
      </c>
      <c r="S1360" s="19"/>
      <c r="T1360" s="17" t="str">
        <f aca="false">IF(R1360="維持",J1360,IF(R1360="排除","無關新聞事件",IFERROR(INDEX(事件規則!$B$2:$B$53,MATCH(S1360,事件規則!$A$2:$A$53,0)),"")))</f>
        <v>無關新聞事件</v>
      </c>
      <c r="U1360" s="20" t="n">
        <f aca="false">IF(R1360="維持",K1360,IF(R1360="排除",0,IFERROR(INDEX(事件規則!$C$2:$C$53,MATCH(S1360,事件規則!$A$2:$A$53,0)),"")))</f>
        <v>0</v>
      </c>
      <c r="V1360" s="21"/>
      <c r="W1360" s="22"/>
      <c r="X1360" s="10" t="str">
        <f aca="false">IF(AND(R1360="修改",S1360=""),"請選新事件代碼",IF(AND(R1360&lt;&gt;"修改",S1360&lt;&gt;""),"只有「修改」才需填代碼",""))</f>
        <v/>
      </c>
      <c r="Y1360" s="21"/>
      <c r="Z1360" s="22"/>
      <c r="AA1360" s="12" t="s">
        <v>3706</v>
      </c>
      <c r="AB1360" s="24"/>
    </row>
    <row r="1361" customFormat="false" ht="29.85" hidden="false" customHeight="false" outlineLevel="0" collapsed="false">
      <c r="A1361" s="15" t="n">
        <v>1360</v>
      </c>
      <c r="B1361" s="9" t="s">
        <v>45</v>
      </c>
      <c r="C1361" s="9" t="s">
        <v>289</v>
      </c>
      <c r="D1361" s="10" t="s">
        <v>290</v>
      </c>
      <c r="E1361" s="11" t="s">
        <v>3707</v>
      </c>
      <c r="F1361" s="17"/>
      <c r="G1361" s="12" t="s">
        <v>176</v>
      </c>
      <c r="H1361" s="13" t="n">
        <v>-0.026</v>
      </c>
      <c r="I1361" s="14"/>
      <c r="J1361" s="17"/>
      <c r="K1361" s="9"/>
      <c r="L1361" s="15" t="s">
        <v>50</v>
      </c>
      <c r="M1361" s="16" t="s">
        <v>51</v>
      </c>
      <c r="N1361" s="14"/>
      <c r="O1361" s="15" t="s">
        <v>52</v>
      </c>
      <c r="P1361" s="17" t="s">
        <v>53</v>
      </c>
      <c r="Q1361" s="15"/>
      <c r="R1361" s="18" t="s">
        <v>51</v>
      </c>
      <c r="S1361" s="19"/>
      <c r="T1361" s="17" t="str">
        <f aca="false">IF(R1361="維持",J1361,IF(R1361="排除","無關新聞事件",IFERROR(INDEX(事件規則!$B$2:$B$53,MATCH(S1361,事件規則!$A$2:$A$53,0)),"")))</f>
        <v>無關新聞事件</v>
      </c>
      <c r="U1361" s="20" t="n">
        <f aca="false">IF(R1361="維持",K1361,IF(R1361="排除",0,IFERROR(INDEX(事件規則!$C$2:$C$53,MATCH(S1361,事件規則!$A$2:$A$53,0)),"")))</f>
        <v>0</v>
      </c>
      <c r="V1361" s="21"/>
      <c r="W1361" s="22"/>
      <c r="X1361" s="10" t="str">
        <f aca="false">IF(AND(R1361="修改",S1361=""),"請選新事件代碼",IF(AND(R1361&lt;&gt;"修改",S1361&lt;&gt;""),"只有「修改」才需填代碼",""))</f>
        <v/>
      </c>
      <c r="Y1361" s="21"/>
      <c r="Z1361" s="22"/>
      <c r="AA1361" s="12" t="s">
        <v>3708</v>
      </c>
      <c r="AB1361" s="24"/>
    </row>
    <row r="1362" customFormat="false" ht="29.85" hidden="false" customHeight="false" outlineLevel="0" collapsed="false">
      <c r="A1362" s="15" t="n">
        <v>1361</v>
      </c>
      <c r="B1362" s="9" t="s">
        <v>45</v>
      </c>
      <c r="C1362" s="9" t="s">
        <v>260</v>
      </c>
      <c r="D1362" s="10" t="s">
        <v>261</v>
      </c>
      <c r="E1362" s="11" t="s">
        <v>3709</v>
      </c>
      <c r="F1362" s="17"/>
      <c r="G1362" s="12" t="s">
        <v>1136</v>
      </c>
      <c r="H1362" s="13" t="n">
        <v>-0.026</v>
      </c>
      <c r="I1362" s="14"/>
      <c r="J1362" s="17"/>
      <c r="K1362" s="9"/>
      <c r="L1362" s="15" t="s">
        <v>50</v>
      </c>
      <c r="M1362" s="16" t="s">
        <v>51</v>
      </c>
      <c r="N1362" s="14"/>
      <c r="O1362" s="15" t="s">
        <v>52</v>
      </c>
      <c r="P1362" s="17" t="s">
        <v>53</v>
      </c>
      <c r="Q1362" s="15"/>
      <c r="R1362" s="18" t="s">
        <v>51</v>
      </c>
      <c r="S1362" s="19"/>
      <c r="T1362" s="17" t="str">
        <f aca="false">IF(R1362="維持",J1362,IF(R1362="排除","無關新聞事件",IFERROR(INDEX(事件規則!$B$2:$B$53,MATCH(S1362,事件規則!$A$2:$A$53,0)),"")))</f>
        <v>無關新聞事件</v>
      </c>
      <c r="U1362" s="20" t="n">
        <f aca="false">IF(R1362="維持",K1362,IF(R1362="排除",0,IFERROR(INDEX(事件規則!$C$2:$C$53,MATCH(S1362,事件規則!$A$2:$A$53,0)),"")))</f>
        <v>0</v>
      </c>
      <c r="V1362" s="21"/>
      <c r="W1362" s="22"/>
      <c r="X1362" s="10" t="str">
        <f aca="false">IF(AND(R1362="修改",S1362=""),"請選新事件代碼",IF(AND(R1362&lt;&gt;"修改",S1362&lt;&gt;""),"只有「修改」才需填代碼",""))</f>
        <v/>
      </c>
      <c r="Y1362" s="21"/>
      <c r="Z1362" s="22"/>
      <c r="AA1362" s="12" t="s">
        <v>3710</v>
      </c>
      <c r="AB1362" s="24"/>
    </row>
    <row r="1363" customFormat="false" ht="29.85" hidden="false" customHeight="false" outlineLevel="0" collapsed="false">
      <c r="A1363" s="15" t="n">
        <v>1362</v>
      </c>
      <c r="B1363" s="9" t="s">
        <v>112</v>
      </c>
      <c r="C1363" s="9" t="s">
        <v>260</v>
      </c>
      <c r="D1363" s="10" t="s">
        <v>261</v>
      </c>
      <c r="E1363" s="11" t="s">
        <v>3711</v>
      </c>
      <c r="F1363" s="17"/>
      <c r="G1363" s="12" t="s">
        <v>49</v>
      </c>
      <c r="H1363" s="13" t="n">
        <v>-0.026</v>
      </c>
      <c r="I1363" s="14"/>
      <c r="J1363" s="17"/>
      <c r="K1363" s="9"/>
      <c r="L1363" s="15" t="s">
        <v>50</v>
      </c>
      <c r="M1363" s="16" t="s">
        <v>51</v>
      </c>
      <c r="N1363" s="14"/>
      <c r="O1363" s="15" t="s">
        <v>52</v>
      </c>
      <c r="P1363" s="17" t="s">
        <v>53</v>
      </c>
      <c r="Q1363" s="15"/>
      <c r="R1363" s="18" t="s">
        <v>51</v>
      </c>
      <c r="S1363" s="19"/>
      <c r="T1363" s="17" t="str">
        <f aca="false">IF(R1363="維持",J1363,IF(R1363="排除","無關新聞事件",IFERROR(INDEX(事件規則!$B$2:$B$53,MATCH(S1363,事件規則!$A$2:$A$53,0)),"")))</f>
        <v>無關新聞事件</v>
      </c>
      <c r="U1363" s="20" t="n">
        <f aca="false">IF(R1363="維持",K1363,IF(R1363="排除",0,IFERROR(INDEX(事件規則!$C$2:$C$53,MATCH(S1363,事件規則!$A$2:$A$53,0)),"")))</f>
        <v>0</v>
      </c>
      <c r="V1363" s="21"/>
      <c r="W1363" s="22"/>
      <c r="X1363" s="10" t="str">
        <f aca="false">IF(AND(R1363="修改",S1363=""),"請選新事件代碼",IF(AND(R1363&lt;&gt;"修改",S1363&lt;&gt;""),"只有「修改」才需填代碼",""))</f>
        <v/>
      </c>
      <c r="Y1363" s="21"/>
      <c r="Z1363" s="22"/>
      <c r="AA1363" s="12" t="s">
        <v>3712</v>
      </c>
      <c r="AB1363" s="24"/>
    </row>
    <row r="1364" customFormat="false" ht="29.85" hidden="false" customHeight="false" outlineLevel="0" collapsed="false">
      <c r="A1364" s="15" t="n">
        <v>1363</v>
      </c>
      <c r="B1364" s="9" t="s">
        <v>55</v>
      </c>
      <c r="C1364" s="9" t="s">
        <v>289</v>
      </c>
      <c r="D1364" s="10" t="s">
        <v>290</v>
      </c>
      <c r="E1364" s="11" t="s">
        <v>3713</v>
      </c>
      <c r="F1364" s="17"/>
      <c r="G1364" s="12" t="s">
        <v>176</v>
      </c>
      <c r="H1364" s="13" t="n">
        <v>-0.026</v>
      </c>
      <c r="I1364" s="14"/>
      <c r="J1364" s="17"/>
      <c r="K1364" s="9"/>
      <c r="L1364" s="15" t="s">
        <v>50</v>
      </c>
      <c r="M1364" s="16" t="s">
        <v>51</v>
      </c>
      <c r="N1364" s="14"/>
      <c r="O1364" s="15" t="s">
        <v>52</v>
      </c>
      <c r="P1364" s="17" t="s">
        <v>53</v>
      </c>
      <c r="Q1364" s="15"/>
      <c r="R1364" s="18" t="s">
        <v>51</v>
      </c>
      <c r="S1364" s="19"/>
      <c r="T1364" s="17" t="str">
        <f aca="false">IF(R1364="維持",J1364,IF(R1364="排除","無關新聞事件",IFERROR(INDEX(事件規則!$B$2:$B$53,MATCH(S1364,事件規則!$A$2:$A$53,0)),"")))</f>
        <v>無關新聞事件</v>
      </c>
      <c r="U1364" s="20" t="n">
        <f aca="false">IF(R1364="維持",K1364,IF(R1364="排除",0,IFERROR(INDEX(事件規則!$C$2:$C$53,MATCH(S1364,事件規則!$A$2:$A$53,0)),"")))</f>
        <v>0</v>
      </c>
      <c r="V1364" s="21"/>
      <c r="W1364" s="22"/>
      <c r="X1364" s="10" t="str">
        <f aca="false">IF(AND(R1364="修改",S1364=""),"請選新事件代碼",IF(AND(R1364&lt;&gt;"修改",S1364&lt;&gt;""),"只有「修改」才需填代碼",""))</f>
        <v/>
      </c>
      <c r="Y1364" s="21"/>
      <c r="Z1364" s="22"/>
      <c r="AA1364" s="12" t="s">
        <v>3714</v>
      </c>
      <c r="AB1364" s="24"/>
    </row>
    <row r="1365" customFormat="false" ht="29.85" hidden="false" customHeight="false" outlineLevel="0" collapsed="false">
      <c r="A1365" s="15" t="n">
        <v>1364</v>
      </c>
      <c r="B1365" s="9" t="s">
        <v>55</v>
      </c>
      <c r="C1365" s="9" t="s">
        <v>1596</v>
      </c>
      <c r="D1365" s="10" t="s">
        <v>1597</v>
      </c>
      <c r="E1365" s="11" t="s">
        <v>3715</v>
      </c>
      <c r="F1365" s="17"/>
      <c r="G1365" s="12" t="s">
        <v>3221</v>
      </c>
      <c r="H1365" s="13" t="n">
        <v>-0.026</v>
      </c>
      <c r="I1365" s="14"/>
      <c r="J1365" s="17"/>
      <c r="K1365" s="9"/>
      <c r="L1365" s="15" t="s">
        <v>50</v>
      </c>
      <c r="M1365" s="16" t="s">
        <v>51</v>
      </c>
      <c r="N1365" s="14"/>
      <c r="O1365" s="15" t="s">
        <v>52</v>
      </c>
      <c r="P1365" s="17" t="s">
        <v>53</v>
      </c>
      <c r="Q1365" s="15"/>
      <c r="R1365" s="18" t="s">
        <v>51</v>
      </c>
      <c r="S1365" s="19"/>
      <c r="T1365" s="17" t="str">
        <f aca="false">IF(R1365="維持",J1365,IF(R1365="排除","無關新聞事件",IFERROR(INDEX(事件規則!$B$2:$B$53,MATCH(S1365,事件規則!$A$2:$A$53,0)),"")))</f>
        <v>無關新聞事件</v>
      </c>
      <c r="U1365" s="20" t="n">
        <f aca="false">IF(R1365="維持",K1365,IF(R1365="排除",0,IFERROR(INDEX(事件規則!$C$2:$C$53,MATCH(S1365,事件規則!$A$2:$A$53,0)),"")))</f>
        <v>0</v>
      </c>
      <c r="V1365" s="21"/>
      <c r="W1365" s="22"/>
      <c r="X1365" s="10" t="str">
        <f aca="false">IF(AND(R1365="修改",S1365=""),"請選新事件代碼",IF(AND(R1365&lt;&gt;"修改",S1365&lt;&gt;""),"只有「修改」才需填代碼",""))</f>
        <v/>
      </c>
      <c r="Y1365" s="21"/>
      <c r="Z1365" s="22"/>
      <c r="AA1365" s="12" t="s">
        <v>3716</v>
      </c>
      <c r="AB1365" s="24"/>
    </row>
    <row r="1366" customFormat="false" ht="29.85" hidden="false" customHeight="false" outlineLevel="0" collapsed="false">
      <c r="A1366" s="15" t="n">
        <v>1365</v>
      </c>
      <c r="B1366" s="9" t="s">
        <v>112</v>
      </c>
      <c r="C1366" s="9" t="s">
        <v>207</v>
      </c>
      <c r="D1366" s="10" t="s">
        <v>208</v>
      </c>
      <c r="E1366" s="11" t="s">
        <v>3717</v>
      </c>
      <c r="F1366" s="17"/>
      <c r="G1366" s="12" t="s">
        <v>566</v>
      </c>
      <c r="H1366" s="13" t="n">
        <v>-0.026</v>
      </c>
      <c r="I1366" s="14"/>
      <c r="J1366" s="17"/>
      <c r="K1366" s="9"/>
      <c r="L1366" s="15" t="s">
        <v>50</v>
      </c>
      <c r="M1366" s="16" t="s">
        <v>51</v>
      </c>
      <c r="N1366" s="14"/>
      <c r="O1366" s="15" t="s">
        <v>52</v>
      </c>
      <c r="P1366" s="17" t="s">
        <v>53</v>
      </c>
      <c r="Q1366" s="15"/>
      <c r="R1366" s="18" t="s">
        <v>51</v>
      </c>
      <c r="S1366" s="19"/>
      <c r="T1366" s="17" t="str">
        <f aca="false">IF(R1366="維持",J1366,IF(R1366="排除","無關新聞事件",IFERROR(INDEX(事件規則!$B$2:$B$53,MATCH(S1366,事件規則!$A$2:$A$53,0)),"")))</f>
        <v>無關新聞事件</v>
      </c>
      <c r="U1366" s="20" t="n">
        <f aca="false">IF(R1366="維持",K1366,IF(R1366="排除",0,IFERROR(INDEX(事件規則!$C$2:$C$53,MATCH(S1366,事件規則!$A$2:$A$53,0)),"")))</f>
        <v>0</v>
      </c>
      <c r="V1366" s="21"/>
      <c r="W1366" s="22"/>
      <c r="X1366" s="10" t="str">
        <f aca="false">IF(AND(R1366="修改",S1366=""),"請選新事件代碼",IF(AND(R1366&lt;&gt;"修改",S1366&lt;&gt;""),"只有「修改」才需填代碼",""))</f>
        <v/>
      </c>
      <c r="Y1366" s="21"/>
      <c r="Z1366" s="22"/>
      <c r="AA1366" s="12" t="s">
        <v>3718</v>
      </c>
      <c r="AB1366" s="24"/>
    </row>
    <row r="1367" customFormat="false" ht="29.85" hidden="false" customHeight="false" outlineLevel="0" collapsed="false">
      <c r="A1367" s="15" t="n">
        <v>1366</v>
      </c>
      <c r="B1367" s="9" t="s">
        <v>112</v>
      </c>
      <c r="C1367" s="9" t="s">
        <v>1441</v>
      </c>
      <c r="D1367" s="10" t="s">
        <v>1442</v>
      </c>
      <c r="E1367" s="11" t="s">
        <v>3677</v>
      </c>
      <c r="F1367" s="17"/>
      <c r="G1367" s="12" t="s">
        <v>949</v>
      </c>
      <c r="H1367" s="13" t="n">
        <v>-0.026</v>
      </c>
      <c r="I1367" s="14"/>
      <c r="J1367" s="17"/>
      <c r="K1367" s="9"/>
      <c r="L1367" s="15" t="s">
        <v>50</v>
      </c>
      <c r="M1367" s="16" t="s">
        <v>51</v>
      </c>
      <c r="N1367" s="14"/>
      <c r="O1367" s="15" t="s">
        <v>52</v>
      </c>
      <c r="P1367" s="17" t="s">
        <v>53</v>
      </c>
      <c r="Q1367" s="15"/>
      <c r="R1367" s="18" t="s">
        <v>51</v>
      </c>
      <c r="S1367" s="19"/>
      <c r="T1367" s="17" t="str">
        <f aca="false">IF(R1367="維持",J1367,IF(R1367="排除","無關新聞事件",IFERROR(INDEX(事件規則!$B$2:$B$53,MATCH(S1367,事件規則!$A$2:$A$53,0)),"")))</f>
        <v>無關新聞事件</v>
      </c>
      <c r="U1367" s="20" t="n">
        <f aca="false">IF(R1367="維持",K1367,IF(R1367="排除",0,IFERROR(INDEX(事件規則!$C$2:$C$53,MATCH(S1367,事件規則!$A$2:$A$53,0)),"")))</f>
        <v>0</v>
      </c>
      <c r="V1367" s="21"/>
      <c r="W1367" s="22"/>
      <c r="X1367" s="10" t="str">
        <f aca="false">IF(AND(R1367="修改",S1367=""),"請選新事件代碼",IF(AND(R1367&lt;&gt;"修改",S1367&lt;&gt;""),"只有「修改」才需填代碼",""))</f>
        <v/>
      </c>
      <c r="Y1367" s="21"/>
      <c r="Z1367" s="22"/>
      <c r="AA1367" s="12" t="s">
        <v>3678</v>
      </c>
      <c r="AB1367" s="24"/>
    </row>
    <row r="1368" customFormat="false" ht="29.85" hidden="false" customHeight="false" outlineLevel="0" collapsed="false">
      <c r="A1368" s="15" t="n">
        <v>1367</v>
      </c>
      <c r="B1368" s="9" t="s">
        <v>112</v>
      </c>
      <c r="C1368" s="9" t="s">
        <v>260</v>
      </c>
      <c r="D1368" s="10" t="s">
        <v>261</v>
      </c>
      <c r="E1368" s="11" t="s">
        <v>3719</v>
      </c>
      <c r="F1368" s="17"/>
      <c r="G1368" s="12" t="s">
        <v>3720</v>
      </c>
      <c r="H1368" s="13" t="n">
        <v>-0.026</v>
      </c>
      <c r="I1368" s="14"/>
      <c r="J1368" s="17"/>
      <c r="K1368" s="9"/>
      <c r="L1368" s="15" t="s">
        <v>50</v>
      </c>
      <c r="M1368" s="16" t="s">
        <v>51</v>
      </c>
      <c r="N1368" s="14"/>
      <c r="O1368" s="15" t="s">
        <v>52</v>
      </c>
      <c r="P1368" s="17" t="s">
        <v>53</v>
      </c>
      <c r="Q1368" s="15"/>
      <c r="R1368" s="18" t="s">
        <v>51</v>
      </c>
      <c r="S1368" s="19"/>
      <c r="T1368" s="17" t="str">
        <f aca="false">IF(R1368="維持",J1368,IF(R1368="排除","無關新聞事件",IFERROR(INDEX(事件規則!$B$2:$B$53,MATCH(S1368,事件規則!$A$2:$A$53,0)),"")))</f>
        <v>無關新聞事件</v>
      </c>
      <c r="U1368" s="20" t="n">
        <f aca="false">IF(R1368="維持",K1368,IF(R1368="排除",0,IFERROR(INDEX(事件規則!$C$2:$C$53,MATCH(S1368,事件規則!$A$2:$A$53,0)),"")))</f>
        <v>0</v>
      </c>
      <c r="V1368" s="21"/>
      <c r="W1368" s="22"/>
      <c r="X1368" s="10" t="str">
        <f aca="false">IF(AND(R1368="修改",S1368=""),"請選新事件代碼",IF(AND(R1368&lt;&gt;"修改",S1368&lt;&gt;""),"只有「修改」才需填代碼",""))</f>
        <v/>
      </c>
      <c r="Y1368" s="21"/>
      <c r="Z1368" s="22"/>
      <c r="AA1368" s="12" t="s">
        <v>3721</v>
      </c>
      <c r="AB1368" s="24"/>
    </row>
    <row r="1369" customFormat="false" ht="29.85" hidden="false" customHeight="false" outlineLevel="0" collapsed="false">
      <c r="A1369" s="15" t="n">
        <v>1368</v>
      </c>
      <c r="B1369" s="9" t="s">
        <v>112</v>
      </c>
      <c r="C1369" s="9" t="s">
        <v>1028</v>
      </c>
      <c r="D1369" s="10" t="s">
        <v>1029</v>
      </c>
      <c r="E1369" s="11" t="s">
        <v>3722</v>
      </c>
      <c r="F1369" s="17"/>
      <c r="G1369" s="12" t="s">
        <v>2033</v>
      </c>
      <c r="H1369" s="13" t="n">
        <v>-0.026</v>
      </c>
      <c r="I1369" s="14"/>
      <c r="J1369" s="17"/>
      <c r="K1369" s="9"/>
      <c r="L1369" s="15" t="s">
        <v>50</v>
      </c>
      <c r="M1369" s="16" t="s">
        <v>51</v>
      </c>
      <c r="N1369" s="14"/>
      <c r="O1369" s="15" t="s">
        <v>52</v>
      </c>
      <c r="P1369" s="17" t="s">
        <v>53</v>
      </c>
      <c r="Q1369" s="15"/>
      <c r="R1369" s="18" t="s">
        <v>51</v>
      </c>
      <c r="S1369" s="19"/>
      <c r="T1369" s="17" t="str">
        <f aca="false">IF(R1369="維持",J1369,IF(R1369="排除","無關新聞事件",IFERROR(INDEX(事件規則!$B$2:$B$53,MATCH(S1369,事件規則!$A$2:$A$53,0)),"")))</f>
        <v>無關新聞事件</v>
      </c>
      <c r="U1369" s="20" t="n">
        <f aca="false">IF(R1369="維持",K1369,IF(R1369="排除",0,IFERROR(INDEX(事件規則!$C$2:$C$53,MATCH(S1369,事件規則!$A$2:$A$53,0)),"")))</f>
        <v>0</v>
      </c>
      <c r="V1369" s="21"/>
      <c r="W1369" s="22"/>
      <c r="X1369" s="10" t="str">
        <f aca="false">IF(AND(R1369="修改",S1369=""),"請選新事件代碼",IF(AND(R1369&lt;&gt;"修改",S1369&lt;&gt;""),"只有「修改」才需填代碼",""))</f>
        <v/>
      </c>
      <c r="Y1369" s="21"/>
      <c r="Z1369" s="22"/>
      <c r="AA1369" s="12" t="s">
        <v>3723</v>
      </c>
      <c r="AB1369" s="24"/>
    </row>
    <row r="1370" customFormat="false" ht="29.85" hidden="false" customHeight="false" outlineLevel="0" collapsed="false">
      <c r="A1370" s="15" t="n">
        <v>1369</v>
      </c>
      <c r="B1370" s="9" t="s">
        <v>45</v>
      </c>
      <c r="C1370" s="9" t="s">
        <v>1987</v>
      </c>
      <c r="D1370" s="10" t="s">
        <v>1988</v>
      </c>
      <c r="E1370" s="11" t="s">
        <v>3724</v>
      </c>
      <c r="F1370" s="17"/>
      <c r="G1370" s="12" t="s">
        <v>176</v>
      </c>
      <c r="H1370" s="13" t="n">
        <v>-0.025</v>
      </c>
      <c r="I1370" s="14"/>
      <c r="J1370" s="17"/>
      <c r="K1370" s="9"/>
      <c r="L1370" s="15" t="s">
        <v>50</v>
      </c>
      <c r="M1370" s="16" t="s">
        <v>51</v>
      </c>
      <c r="N1370" s="14"/>
      <c r="O1370" s="15" t="s">
        <v>52</v>
      </c>
      <c r="P1370" s="17" t="s">
        <v>53</v>
      </c>
      <c r="Q1370" s="15"/>
      <c r="R1370" s="18" t="s">
        <v>51</v>
      </c>
      <c r="S1370" s="19"/>
      <c r="T1370" s="17" t="str">
        <f aca="false">IF(R1370="維持",J1370,IF(R1370="排除","無關新聞事件",IFERROR(INDEX(事件規則!$B$2:$B$53,MATCH(S1370,事件規則!$A$2:$A$53,0)),"")))</f>
        <v>無關新聞事件</v>
      </c>
      <c r="U1370" s="20" t="n">
        <f aca="false">IF(R1370="維持",K1370,IF(R1370="排除",0,IFERROR(INDEX(事件規則!$C$2:$C$53,MATCH(S1370,事件規則!$A$2:$A$53,0)),"")))</f>
        <v>0</v>
      </c>
      <c r="V1370" s="21"/>
      <c r="W1370" s="22"/>
      <c r="X1370" s="10" t="str">
        <f aca="false">IF(AND(R1370="修改",S1370=""),"請選新事件代碼",IF(AND(R1370&lt;&gt;"修改",S1370&lt;&gt;""),"只有「修改」才需填代碼",""))</f>
        <v/>
      </c>
      <c r="Y1370" s="21"/>
      <c r="Z1370" s="22"/>
      <c r="AA1370" s="12" t="s">
        <v>3725</v>
      </c>
      <c r="AB1370" s="24"/>
    </row>
    <row r="1371" customFormat="false" ht="29.85" hidden="false" customHeight="false" outlineLevel="0" collapsed="false">
      <c r="A1371" s="15" t="n">
        <v>1370</v>
      </c>
      <c r="B1371" s="9" t="s">
        <v>45</v>
      </c>
      <c r="C1371" s="9" t="s">
        <v>178</v>
      </c>
      <c r="D1371" s="10" t="s">
        <v>179</v>
      </c>
      <c r="E1371" s="11" t="s">
        <v>3726</v>
      </c>
      <c r="F1371" s="17"/>
      <c r="G1371" s="12" t="s">
        <v>397</v>
      </c>
      <c r="H1371" s="13" t="n">
        <v>-0.025</v>
      </c>
      <c r="I1371" s="14"/>
      <c r="J1371" s="17"/>
      <c r="K1371" s="9"/>
      <c r="L1371" s="15" t="s">
        <v>50</v>
      </c>
      <c r="M1371" s="16" t="s">
        <v>51</v>
      </c>
      <c r="N1371" s="14"/>
      <c r="O1371" s="15" t="s">
        <v>52</v>
      </c>
      <c r="P1371" s="17" t="s">
        <v>53</v>
      </c>
      <c r="Q1371" s="15"/>
      <c r="R1371" s="18" t="s">
        <v>51</v>
      </c>
      <c r="S1371" s="19"/>
      <c r="T1371" s="17" t="str">
        <f aca="false">IF(R1371="維持",J1371,IF(R1371="排除","無關新聞事件",IFERROR(INDEX(事件規則!$B$2:$B$53,MATCH(S1371,事件規則!$A$2:$A$53,0)),"")))</f>
        <v>無關新聞事件</v>
      </c>
      <c r="U1371" s="20" t="n">
        <f aca="false">IF(R1371="維持",K1371,IF(R1371="排除",0,IFERROR(INDEX(事件規則!$C$2:$C$53,MATCH(S1371,事件規則!$A$2:$A$53,0)),"")))</f>
        <v>0</v>
      </c>
      <c r="V1371" s="21"/>
      <c r="W1371" s="22"/>
      <c r="X1371" s="10" t="str">
        <f aca="false">IF(AND(R1371="修改",S1371=""),"請選新事件代碼",IF(AND(R1371&lt;&gt;"修改",S1371&lt;&gt;""),"只有「修改」才需填代碼",""))</f>
        <v/>
      </c>
      <c r="Y1371" s="21"/>
      <c r="Z1371" s="22"/>
      <c r="AA1371" s="12" t="s">
        <v>3727</v>
      </c>
      <c r="AB1371" s="24"/>
    </row>
    <row r="1372" customFormat="false" ht="29.85" hidden="false" customHeight="false" outlineLevel="0" collapsed="false">
      <c r="A1372" s="15" t="n">
        <v>1371</v>
      </c>
      <c r="B1372" s="9" t="s">
        <v>45</v>
      </c>
      <c r="C1372" s="9" t="s">
        <v>1555</v>
      </c>
      <c r="D1372" s="10" t="s">
        <v>1556</v>
      </c>
      <c r="E1372" s="11" t="s">
        <v>3728</v>
      </c>
      <c r="F1372" s="17"/>
      <c r="G1372" s="12" t="s">
        <v>949</v>
      </c>
      <c r="H1372" s="13" t="n">
        <v>-0.025</v>
      </c>
      <c r="I1372" s="14"/>
      <c r="J1372" s="17"/>
      <c r="K1372" s="9"/>
      <c r="L1372" s="15" t="s">
        <v>50</v>
      </c>
      <c r="M1372" s="16" t="s">
        <v>51</v>
      </c>
      <c r="N1372" s="14"/>
      <c r="O1372" s="15" t="s">
        <v>52</v>
      </c>
      <c r="P1372" s="17" t="s">
        <v>53</v>
      </c>
      <c r="Q1372" s="15"/>
      <c r="R1372" s="18" t="s">
        <v>51</v>
      </c>
      <c r="S1372" s="19"/>
      <c r="T1372" s="17" t="str">
        <f aca="false">IF(R1372="維持",J1372,IF(R1372="排除","無關新聞事件",IFERROR(INDEX(事件規則!$B$2:$B$53,MATCH(S1372,事件規則!$A$2:$A$53,0)),"")))</f>
        <v>無關新聞事件</v>
      </c>
      <c r="U1372" s="20" t="n">
        <f aca="false">IF(R1372="維持",K1372,IF(R1372="排除",0,IFERROR(INDEX(事件規則!$C$2:$C$53,MATCH(S1372,事件規則!$A$2:$A$53,0)),"")))</f>
        <v>0</v>
      </c>
      <c r="V1372" s="21"/>
      <c r="W1372" s="22"/>
      <c r="X1372" s="10" t="str">
        <f aca="false">IF(AND(R1372="修改",S1372=""),"請選新事件代碼",IF(AND(R1372&lt;&gt;"修改",S1372&lt;&gt;""),"只有「修改」才需填代碼",""))</f>
        <v/>
      </c>
      <c r="Y1372" s="21"/>
      <c r="Z1372" s="22"/>
      <c r="AA1372" s="12" t="s">
        <v>3729</v>
      </c>
      <c r="AB1372" s="24"/>
    </row>
    <row r="1373" customFormat="false" ht="29.85" hidden="false" customHeight="false" outlineLevel="0" collapsed="false">
      <c r="A1373" s="15" t="n">
        <v>1372</v>
      </c>
      <c r="B1373" s="9" t="s">
        <v>45</v>
      </c>
      <c r="C1373" s="9" t="s">
        <v>1555</v>
      </c>
      <c r="D1373" s="10" t="s">
        <v>1556</v>
      </c>
      <c r="E1373" s="11" t="s">
        <v>3730</v>
      </c>
      <c r="F1373" s="17"/>
      <c r="G1373" s="12" t="s">
        <v>949</v>
      </c>
      <c r="H1373" s="13" t="n">
        <v>-0.025</v>
      </c>
      <c r="I1373" s="14"/>
      <c r="J1373" s="17"/>
      <c r="K1373" s="9"/>
      <c r="L1373" s="15" t="s">
        <v>50</v>
      </c>
      <c r="M1373" s="16" t="s">
        <v>51</v>
      </c>
      <c r="N1373" s="14"/>
      <c r="O1373" s="15" t="s">
        <v>52</v>
      </c>
      <c r="P1373" s="17" t="s">
        <v>53</v>
      </c>
      <c r="Q1373" s="15"/>
      <c r="R1373" s="18" t="s">
        <v>51</v>
      </c>
      <c r="S1373" s="19"/>
      <c r="T1373" s="17" t="str">
        <f aca="false">IF(R1373="維持",J1373,IF(R1373="排除","無關新聞事件",IFERROR(INDEX(事件規則!$B$2:$B$53,MATCH(S1373,事件規則!$A$2:$A$53,0)),"")))</f>
        <v>無關新聞事件</v>
      </c>
      <c r="U1373" s="20" t="n">
        <f aca="false">IF(R1373="維持",K1373,IF(R1373="排除",0,IFERROR(INDEX(事件規則!$C$2:$C$53,MATCH(S1373,事件規則!$A$2:$A$53,0)),"")))</f>
        <v>0</v>
      </c>
      <c r="V1373" s="21"/>
      <c r="W1373" s="22"/>
      <c r="X1373" s="10" t="str">
        <f aca="false">IF(AND(R1373="修改",S1373=""),"請選新事件代碼",IF(AND(R1373&lt;&gt;"修改",S1373&lt;&gt;""),"只有「修改」才需填代碼",""))</f>
        <v/>
      </c>
      <c r="Y1373" s="21"/>
      <c r="Z1373" s="22"/>
      <c r="AA1373" s="12" t="s">
        <v>3731</v>
      </c>
      <c r="AB1373" s="24"/>
    </row>
    <row r="1374" customFormat="false" ht="29.85" hidden="false" customHeight="false" outlineLevel="0" collapsed="false">
      <c r="A1374" s="15" t="n">
        <v>1373</v>
      </c>
      <c r="B1374" s="9" t="s">
        <v>45</v>
      </c>
      <c r="C1374" s="9" t="s">
        <v>1912</v>
      </c>
      <c r="D1374" s="10" t="s">
        <v>1913</v>
      </c>
      <c r="E1374" s="11" t="s">
        <v>3732</v>
      </c>
      <c r="F1374" s="17"/>
      <c r="G1374" s="12" t="s">
        <v>3733</v>
      </c>
      <c r="H1374" s="13" t="n">
        <v>-0.025</v>
      </c>
      <c r="I1374" s="14"/>
      <c r="J1374" s="17"/>
      <c r="K1374" s="9"/>
      <c r="L1374" s="15" t="s">
        <v>50</v>
      </c>
      <c r="M1374" s="16" t="s">
        <v>51</v>
      </c>
      <c r="N1374" s="14"/>
      <c r="O1374" s="15" t="s">
        <v>52</v>
      </c>
      <c r="P1374" s="17" t="s">
        <v>53</v>
      </c>
      <c r="Q1374" s="15"/>
      <c r="R1374" s="18" t="s">
        <v>51</v>
      </c>
      <c r="S1374" s="19"/>
      <c r="T1374" s="17" t="str">
        <f aca="false">IF(R1374="維持",J1374,IF(R1374="排除","無關新聞事件",IFERROR(INDEX(事件規則!$B$2:$B$53,MATCH(S1374,事件規則!$A$2:$A$53,0)),"")))</f>
        <v>無關新聞事件</v>
      </c>
      <c r="U1374" s="20" t="n">
        <f aca="false">IF(R1374="維持",K1374,IF(R1374="排除",0,IFERROR(INDEX(事件規則!$C$2:$C$53,MATCH(S1374,事件規則!$A$2:$A$53,0)),"")))</f>
        <v>0</v>
      </c>
      <c r="V1374" s="21"/>
      <c r="W1374" s="22"/>
      <c r="X1374" s="10" t="str">
        <f aca="false">IF(AND(R1374="修改",S1374=""),"請選新事件代碼",IF(AND(R1374&lt;&gt;"修改",S1374&lt;&gt;""),"只有「修改」才需填代碼",""))</f>
        <v/>
      </c>
      <c r="Y1374" s="21"/>
      <c r="Z1374" s="22"/>
      <c r="AA1374" s="12" t="s">
        <v>3734</v>
      </c>
      <c r="AB1374" s="24"/>
    </row>
    <row r="1375" customFormat="false" ht="29.85" hidden="false" customHeight="false" outlineLevel="0" collapsed="false">
      <c r="A1375" s="15" t="n">
        <v>1374</v>
      </c>
      <c r="B1375" s="9" t="s">
        <v>45</v>
      </c>
      <c r="C1375" s="9" t="s">
        <v>127</v>
      </c>
      <c r="D1375" s="10" t="s">
        <v>128</v>
      </c>
      <c r="E1375" s="11" t="s">
        <v>3735</v>
      </c>
      <c r="F1375" s="17"/>
      <c r="G1375" s="12" t="s">
        <v>49</v>
      </c>
      <c r="H1375" s="13" t="n">
        <v>-0.025</v>
      </c>
      <c r="I1375" s="14"/>
      <c r="J1375" s="17"/>
      <c r="K1375" s="9"/>
      <c r="L1375" s="15" t="s">
        <v>50</v>
      </c>
      <c r="M1375" s="16" t="s">
        <v>51</v>
      </c>
      <c r="N1375" s="14"/>
      <c r="O1375" s="15" t="s">
        <v>52</v>
      </c>
      <c r="P1375" s="17" t="s">
        <v>53</v>
      </c>
      <c r="Q1375" s="15"/>
      <c r="R1375" s="18" t="s">
        <v>51</v>
      </c>
      <c r="S1375" s="19"/>
      <c r="T1375" s="17" t="str">
        <f aca="false">IF(R1375="維持",J1375,IF(R1375="排除","無關新聞事件",IFERROR(INDEX(事件規則!$B$2:$B$53,MATCH(S1375,事件規則!$A$2:$A$53,0)),"")))</f>
        <v>無關新聞事件</v>
      </c>
      <c r="U1375" s="20" t="n">
        <f aca="false">IF(R1375="維持",K1375,IF(R1375="排除",0,IFERROR(INDEX(事件規則!$C$2:$C$53,MATCH(S1375,事件規則!$A$2:$A$53,0)),"")))</f>
        <v>0</v>
      </c>
      <c r="V1375" s="21"/>
      <c r="W1375" s="22"/>
      <c r="X1375" s="10" t="str">
        <f aca="false">IF(AND(R1375="修改",S1375=""),"請選新事件代碼",IF(AND(R1375&lt;&gt;"修改",S1375&lt;&gt;""),"只有「修改」才需填代碼",""))</f>
        <v/>
      </c>
      <c r="Y1375" s="21"/>
      <c r="Z1375" s="22"/>
      <c r="AA1375" s="12" t="s">
        <v>3736</v>
      </c>
      <c r="AB1375" s="24"/>
    </row>
    <row r="1376" customFormat="false" ht="29.85" hidden="false" customHeight="false" outlineLevel="0" collapsed="false">
      <c r="A1376" s="15" t="n">
        <v>1375</v>
      </c>
      <c r="B1376" s="9" t="s">
        <v>45</v>
      </c>
      <c r="C1376" s="9" t="s">
        <v>1310</v>
      </c>
      <c r="D1376" s="10" t="s">
        <v>1311</v>
      </c>
      <c r="E1376" s="11" t="s">
        <v>3737</v>
      </c>
      <c r="F1376" s="17"/>
      <c r="G1376" s="12" t="s">
        <v>176</v>
      </c>
      <c r="H1376" s="13" t="n">
        <v>-0.025</v>
      </c>
      <c r="I1376" s="14"/>
      <c r="J1376" s="17"/>
      <c r="K1376" s="9"/>
      <c r="L1376" s="15" t="s">
        <v>50</v>
      </c>
      <c r="M1376" s="16" t="s">
        <v>51</v>
      </c>
      <c r="N1376" s="14"/>
      <c r="O1376" s="15" t="s">
        <v>52</v>
      </c>
      <c r="P1376" s="17" t="s">
        <v>53</v>
      </c>
      <c r="Q1376" s="15"/>
      <c r="R1376" s="18" t="s">
        <v>51</v>
      </c>
      <c r="S1376" s="19"/>
      <c r="T1376" s="17" t="str">
        <f aca="false">IF(R1376="維持",J1376,IF(R1376="排除","無關新聞事件",IFERROR(INDEX(事件規則!$B$2:$B$53,MATCH(S1376,事件規則!$A$2:$A$53,0)),"")))</f>
        <v>無關新聞事件</v>
      </c>
      <c r="U1376" s="20" t="n">
        <f aca="false">IF(R1376="維持",K1376,IF(R1376="排除",0,IFERROR(INDEX(事件規則!$C$2:$C$53,MATCH(S1376,事件規則!$A$2:$A$53,0)),"")))</f>
        <v>0</v>
      </c>
      <c r="V1376" s="21"/>
      <c r="W1376" s="22"/>
      <c r="X1376" s="10" t="str">
        <f aca="false">IF(AND(R1376="修改",S1376=""),"請選新事件代碼",IF(AND(R1376&lt;&gt;"修改",S1376&lt;&gt;""),"只有「修改」才需填代碼",""))</f>
        <v/>
      </c>
      <c r="Y1376" s="21"/>
      <c r="Z1376" s="22"/>
      <c r="AA1376" s="12" t="s">
        <v>3738</v>
      </c>
      <c r="AB1376" s="24"/>
    </row>
    <row r="1377" customFormat="false" ht="29.85" hidden="false" customHeight="false" outlineLevel="0" collapsed="false">
      <c r="A1377" s="15" t="n">
        <v>1376</v>
      </c>
      <c r="B1377" s="9" t="s">
        <v>45</v>
      </c>
      <c r="C1377" s="9" t="s">
        <v>2424</v>
      </c>
      <c r="D1377" s="10" t="s">
        <v>2425</v>
      </c>
      <c r="E1377" s="11" t="s">
        <v>3739</v>
      </c>
      <c r="F1377" s="17"/>
      <c r="G1377" s="12" t="s">
        <v>105</v>
      </c>
      <c r="H1377" s="13" t="n">
        <v>-0.025</v>
      </c>
      <c r="I1377" s="14"/>
      <c r="J1377" s="17"/>
      <c r="K1377" s="9"/>
      <c r="L1377" s="15" t="s">
        <v>50</v>
      </c>
      <c r="M1377" s="16" t="s">
        <v>51</v>
      </c>
      <c r="N1377" s="14"/>
      <c r="O1377" s="15" t="s">
        <v>52</v>
      </c>
      <c r="P1377" s="17" t="s">
        <v>53</v>
      </c>
      <c r="Q1377" s="15"/>
      <c r="R1377" s="18" t="s">
        <v>51</v>
      </c>
      <c r="S1377" s="19"/>
      <c r="T1377" s="17" t="str">
        <f aca="false">IF(R1377="維持",J1377,IF(R1377="排除","無關新聞事件",IFERROR(INDEX(事件規則!$B$2:$B$53,MATCH(S1377,事件規則!$A$2:$A$53,0)),"")))</f>
        <v>無關新聞事件</v>
      </c>
      <c r="U1377" s="20" t="n">
        <f aca="false">IF(R1377="維持",K1377,IF(R1377="排除",0,IFERROR(INDEX(事件規則!$C$2:$C$53,MATCH(S1377,事件規則!$A$2:$A$53,0)),"")))</f>
        <v>0</v>
      </c>
      <c r="V1377" s="21"/>
      <c r="W1377" s="22"/>
      <c r="X1377" s="10" t="str">
        <f aca="false">IF(AND(R1377="修改",S1377=""),"請選新事件代碼",IF(AND(R1377&lt;&gt;"修改",S1377&lt;&gt;""),"只有「修改」才需填代碼",""))</f>
        <v/>
      </c>
      <c r="Y1377" s="21"/>
      <c r="Z1377" s="22"/>
      <c r="AA1377" s="12" t="s">
        <v>3740</v>
      </c>
      <c r="AB1377" s="24"/>
    </row>
    <row r="1378" customFormat="false" ht="29.85" hidden="false" customHeight="false" outlineLevel="0" collapsed="false">
      <c r="A1378" s="15" t="n">
        <v>1377</v>
      </c>
      <c r="B1378" s="9" t="s">
        <v>81</v>
      </c>
      <c r="C1378" s="9" t="s">
        <v>3741</v>
      </c>
      <c r="D1378" s="10" t="s">
        <v>3742</v>
      </c>
      <c r="E1378" s="11" t="s">
        <v>3743</v>
      </c>
      <c r="F1378" s="17"/>
      <c r="G1378" s="12" t="s">
        <v>176</v>
      </c>
      <c r="H1378" s="13" t="n">
        <v>-0.025</v>
      </c>
      <c r="I1378" s="14"/>
      <c r="J1378" s="17"/>
      <c r="K1378" s="9"/>
      <c r="L1378" s="15" t="s">
        <v>50</v>
      </c>
      <c r="M1378" s="16" t="s">
        <v>51</v>
      </c>
      <c r="N1378" s="14"/>
      <c r="O1378" s="15" t="s">
        <v>52</v>
      </c>
      <c r="P1378" s="17" t="s">
        <v>53</v>
      </c>
      <c r="Q1378" s="15"/>
      <c r="R1378" s="18" t="s">
        <v>51</v>
      </c>
      <c r="S1378" s="19"/>
      <c r="T1378" s="17" t="str">
        <f aca="false">IF(R1378="維持",J1378,IF(R1378="排除","無關新聞事件",IFERROR(INDEX(事件規則!$B$2:$B$53,MATCH(S1378,事件規則!$A$2:$A$53,0)),"")))</f>
        <v>無關新聞事件</v>
      </c>
      <c r="U1378" s="20" t="n">
        <f aca="false">IF(R1378="維持",K1378,IF(R1378="排除",0,IFERROR(INDEX(事件規則!$C$2:$C$53,MATCH(S1378,事件規則!$A$2:$A$53,0)),"")))</f>
        <v>0</v>
      </c>
      <c r="V1378" s="21"/>
      <c r="W1378" s="22"/>
      <c r="X1378" s="10" t="str">
        <f aca="false">IF(AND(R1378="修改",S1378=""),"請選新事件代碼",IF(AND(R1378&lt;&gt;"修改",S1378&lt;&gt;""),"只有「修改」才需填代碼",""))</f>
        <v/>
      </c>
      <c r="Y1378" s="21"/>
      <c r="Z1378" s="22"/>
      <c r="AA1378" s="12" t="s">
        <v>3744</v>
      </c>
      <c r="AB1378" s="24"/>
    </row>
    <row r="1379" customFormat="false" ht="29.85" hidden="false" customHeight="false" outlineLevel="0" collapsed="false">
      <c r="A1379" s="15" t="n">
        <v>1378</v>
      </c>
      <c r="B1379" s="9" t="s">
        <v>55</v>
      </c>
      <c r="C1379" s="9" t="s">
        <v>1912</v>
      </c>
      <c r="D1379" s="10" t="s">
        <v>1913</v>
      </c>
      <c r="E1379" s="11" t="s">
        <v>3732</v>
      </c>
      <c r="F1379" s="17"/>
      <c r="G1379" s="12" t="s">
        <v>3733</v>
      </c>
      <c r="H1379" s="13" t="n">
        <v>-0.025</v>
      </c>
      <c r="I1379" s="14"/>
      <c r="J1379" s="17"/>
      <c r="K1379" s="9"/>
      <c r="L1379" s="15" t="s">
        <v>50</v>
      </c>
      <c r="M1379" s="16" t="s">
        <v>51</v>
      </c>
      <c r="N1379" s="14"/>
      <c r="O1379" s="15" t="s">
        <v>52</v>
      </c>
      <c r="P1379" s="17" t="s">
        <v>53</v>
      </c>
      <c r="Q1379" s="15"/>
      <c r="R1379" s="18" t="s">
        <v>51</v>
      </c>
      <c r="S1379" s="19"/>
      <c r="T1379" s="17" t="str">
        <f aca="false">IF(R1379="維持",J1379,IF(R1379="排除","無關新聞事件",IFERROR(INDEX(事件規則!$B$2:$B$53,MATCH(S1379,事件規則!$A$2:$A$53,0)),"")))</f>
        <v>無關新聞事件</v>
      </c>
      <c r="U1379" s="20" t="n">
        <f aca="false">IF(R1379="維持",K1379,IF(R1379="排除",0,IFERROR(INDEX(事件規則!$C$2:$C$53,MATCH(S1379,事件規則!$A$2:$A$53,0)),"")))</f>
        <v>0</v>
      </c>
      <c r="V1379" s="21"/>
      <c r="W1379" s="22"/>
      <c r="X1379" s="10" t="str">
        <f aca="false">IF(AND(R1379="修改",S1379=""),"請選新事件代碼",IF(AND(R1379&lt;&gt;"修改",S1379&lt;&gt;""),"只有「修改」才需填代碼",""))</f>
        <v/>
      </c>
      <c r="Y1379" s="21"/>
      <c r="Z1379" s="22"/>
      <c r="AA1379" s="12" t="s">
        <v>3734</v>
      </c>
      <c r="AB1379" s="24"/>
    </row>
    <row r="1380" customFormat="false" ht="29.85" hidden="false" customHeight="false" outlineLevel="0" collapsed="false">
      <c r="A1380" s="15" t="n">
        <v>1379</v>
      </c>
      <c r="B1380" s="9" t="s">
        <v>45</v>
      </c>
      <c r="C1380" s="9" t="s">
        <v>1555</v>
      </c>
      <c r="D1380" s="10" t="s">
        <v>1556</v>
      </c>
      <c r="E1380" s="11" t="s">
        <v>3745</v>
      </c>
      <c r="F1380" s="17"/>
      <c r="G1380" s="12" t="s">
        <v>949</v>
      </c>
      <c r="H1380" s="13" t="n">
        <v>-0.025</v>
      </c>
      <c r="I1380" s="14"/>
      <c r="J1380" s="17"/>
      <c r="K1380" s="9"/>
      <c r="L1380" s="15" t="s">
        <v>50</v>
      </c>
      <c r="M1380" s="16" t="s">
        <v>51</v>
      </c>
      <c r="N1380" s="14"/>
      <c r="O1380" s="15" t="s">
        <v>52</v>
      </c>
      <c r="P1380" s="17" t="s">
        <v>53</v>
      </c>
      <c r="Q1380" s="15"/>
      <c r="R1380" s="18" t="s">
        <v>51</v>
      </c>
      <c r="S1380" s="19"/>
      <c r="T1380" s="17" t="str">
        <f aca="false">IF(R1380="維持",J1380,IF(R1380="排除","無關新聞事件",IFERROR(INDEX(事件規則!$B$2:$B$53,MATCH(S1380,事件規則!$A$2:$A$53,0)),"")))</f>
        <v>無關新聞事件</v>
      </c>
      <c r="U1380" s="20" t="n">
        <f aca="false">IF(R1380="維持",K1380,IF(R1380="排除",0,IFERROR(INDEX(事件規則!$C$2:$C$53,MATCH(S1380,事件規則!$A$2:$A$53,0)),"")))</f>
        <v>0</v>
      </c>
      <c r="V1380" s="21"/>
      <c r="W1380" s="22"/>
      <c r="X1380" s="10" t="str">
        <f aca="false">IF(AND(R1380="修改",S1380=""),"請選新事件代碼",IF(AND(R1380&lt;&gt;"修改",S1380&lt;&gt;""),"只有「修改」才需填代碼",""))</f>
        <v/>
      </c>
      <c r="Y1380" s="21"/>
      <c r="Z1380" s="22"/>
      <c r="AA1380" s="12" t="s">
        <v>3746</v>
      </c>
      <c r="AB1380" s="24"/>
    </row>
    <row r="1381" customFormat="false" ht="29.85" hidden="false" customHeight="false" outlineLevel="0" collapsed="false">
      <c r="A1381" s="15" t="n">
        <v>1380</v>
      </c>
      <c r="B1381" s="9" t="s">
        <v>45</v>
      </c>
      <c r="C1381" s="9" t="s">
        <v>1602</v>
      </c>
      <c r="D1381" s="10" t="s">
        <v>1603</v>
      </c>
      <c r="E1381" s="11" t="s">
        <v>3747</v>
      </c>
      <c r="F1381" s="17"/>
      <c r="G1381" s="12" t="s">
        <v>105</v>
      </c>
      <c r="H1381" s="13" t="n">
        <v>-0.025</v>
      </c>
      <c r="I1381" s="14"/>
      <c r="J1381" s="17"/>
      <c r="K1381" s="9"/>
      <c r="L1381" s="15" t="s">
        <v>50</v>
      </c>
      <c r="M1381" s="16" t="s">
        <v>51</v>
      </c>
      <c r="N1381" s="14"/>
      <c r="O1381" s="15" t="s">
        <v>52</v>
      </c>
      <c r="P1381" s="17" t="s">
        <v>53</v>
      </c>
      <c r="Q1381" s="15"/>
      <c r="R1381" s="18" t="s">
        <v>51</v>
      </c>
      <c r="S1381" s="19"/>
      <c r="T1381" s="17" t="str">
        <f aca="false">IF(R1381="維持",J1381,IF(R1381="排除","無關新聞事件",IFERROR(INDEX(事件規則!$B$2:$B$53,MATCH(S1381,事件規則!$A$2:$A$53,0)),"")))</f>
        <v>無關新聞事件</v>
      </c>
      <c r="U1381" s="20" t="n">
        <f aca="false">IF(R1381="維持",K1381,IF(R1381="排除",0,IFERROR(INDEX(事件規則!$C$2:$C$53,MATCH(S1381,事件規則!$A$2:$A$53,0)),"")))</f>
        <v>0</v>
      </c>
      <c r="V1381" s="21"/>
      <c r="W1381" s="22"/>
      <c r="X1381" s="10" t="str">
        <f aca="false">IF(AND(R1381="修改",S1381=""),"請選新事件代碼",IF(AND(R1381&lt;&gt;"修改",S1381&lt;&gt;""),"只有「修改」才需填代碼",""))</f>
        <v/>
      </c>
      <c r="Y1381" s="21"/>
      <c r="Z1381" s="22"/>
      <c r="AA1381" s="12" t="s">
        <v>3748</v>
      </c>
      <c r="AB1381" s="24"/>
    </row>
    <row r="1382" customFormat="false" ht="29.85" hidden="false" customHeight="false" outlineLevel="0" collapsed="false">
      <c r="A1382" s="15" t="n">
        <v>1381</v>
      </c>
      <c r="B1382" s="9" t="s">
        <v>45</v>
      </c>
      <c r="C1382" s="9" t="s">
        <v>71</v>
      </c>
      <c r="D1382" s="10" t="s">
        <v>72</v>
      </c>
      <c r="E1382" s="11" t="s">
        <v>3749</v>
      </c>
      <c r="F1382" s="17"/>
      <c r="G1382" s="12" t="s">
        <v>248</v>
      </c>
      <c r="H1382" s="13" t="n">
        <v>-0.025</v>
      </c>
      <c r="I1382" s="14"/>
      <c r="J1382" s="17"/>
      <c r="K1382" s="9"/>
      <c r="L1382" s="15" t="s">
        <v>50</v>
      </c>
      <c r="M1382" s="16" t="s">
        <v>51</v>
      </c>
      <c r="N1382" s="14"/>
      <c r="O1382" s="15" t="s">
        <v>52</v>
      </c>
      <c r="P1382" s="17" t="s">
        <v>53</v>
      </c>
      <c r="Q1382" s="15"/>
      <c r="R1382" s="18" t="s">
        <v>51</v>
      </c>
      <c r="S1382" s="19"/>
      <c r="T1382" s="17" t="str">
        <f aca="false">IF(R1382="維持",J1382,IF(R1382="排除","無關新聞事件",IFERROR(INDEX(事件規則!$B$2:$B$53,MATCH(S1382,事件規則!$A$2:$A$53,0)),"")))</f>
        <v>無關新聞事件</v>
      </c>
      <c r="U1382" s="20" t="n">
        <f aca="false">IF(R1382="維持",K1382,IF(R1382="排除",0,IFERROR(INDEX(事件規則!$C$2:$C$53,MATCH(S1382,事件規則!$A$2:$A$53,0)),"")))</f>
        <v>0</v>
      </c>
      <c r="V1382" s="21"/>
      <c r="W1382" s="22"/>
      <c r="X1382" s="10" t="str">
        <f aca="false">IF(AND(R1382="修改",S1382=""),"請選新事件代碼",IF(AND(R1382&lt;&gt;"修改",S1382&lt;&gt;""),"只有「修改」才需填代碼",""))</f>
        <v/>
      </c>
      <c r="Y1382" s="21"/>
      <c r="Z1382" s="22"/>
      <c r="AA1382" s="12" t="s">
        <v>3750</v>
      </c>
      <c r="AB1382" s="24"/>
    </row>
    <row r="1383" customFormat="false" ht="29.85" hidden="false" customHeight="false" outlineLevel="0" collapsed="false">
      <c r="A1383" s="15" t="n">
        <v>1382</v>
      </c>
      <c r="B1383" s="9" t="s">
        <v>45</v>
      </c>
      <c r="C1383" s="9" t="s">
        <v>2219</v>
      </c>
      <c r="D1383" s="10" t="s">
        <v>2220</v>
      </c>
      <c r="E1383" s="11" t="s">
        <v>3751</v>
      </c>
      <c r="F1383" s="17"/>
      <c r="G1383" s="12" t="s">
        <v>949</v>
      </c>
      <c r="H1383" s="13" t="n">
        <v>-0.025</v>
      </c>
      <c r="I1383" s="14"/>
      <c r="J1383" s="17"/>
      <c r="K1383" s="9"/>
      <c r="L1383" s="15" t="s">
        <v>50</v>
      </c>
      <c r="M1383" s="16" t="s">
        <v>51</v>
      </c>
      <c r="N1383" s="14"/>
      <c r="O1383" s="15" t="s">
        <v>52</v>
      </c>
      <c r="P1383" s="17" t="s">
        <v>53</v>
      </c>
      <c r="Q1383" s="15"/>
      <c r="R1383" s="18" t="s">
        <v>51</v>
      </c>
      <c r="S1383" s="19"/>
      <c r="T1383" s="17" t="str">
        <f aca="false">IF(R1383="維持",J1383,IF(R1383="排除","無關新聞事件",IFERROR(INDEX(事件規則!$B$2:$B$53,MATCH(S1383,事件規則!$A$2:$A$53,0)),"")))</f>
        <v>無關新聞事件</v>
      </c>
      <c r="U1383" s="20" t="n">
        <f aca="false">IF(R1383="維持",K1383,IF(R1383="排除",0,IFERROR(INDEX(事件規則!$C$2:$C$53,MATCH(S1383,事件規則!$A$2:$A$53,0)),"")))</f>
        <v>0</v>
      </c>
      <c r="V1383" s="21"/>
      <c r="W1383" s="22"/>
      <c r="X1383" s="10" t="str">
        <f aca="false">IF(AND(R1383="修改",S1383=""),"請選新事件代碼",IF(AND(R1383&lt;&gt;"修改",S1383&lt;&gt;""),"只有「修改」才需填代碼",""))</f>
        <v/>
      </c>
      <c r="Y1383" s="21"/>
      <c r="Z1383" s="22"/>
      <c r="AA1383" s="12" t="s">
        <v>3752</v>
      </c>
      <c r="AB1383" s="24"/>
    </row>
    <row r="1384" customFormat="false" ht="29.85" hidden="false" customHeight="false" outlineLevel="0" collapsed="false">
      <c r="A1384" s="15" t="n">
        <v>1383</v>
      </c>
      <c r="B1384" s="9" t="s">
        <v>45</v>
      </c>
      <c r="C1384" s="9" t="s">
        <v>3753</v>
      </c>
      <c r="D1384" s="10" t="s">
        <v>3754</v>
      </c>
      <c r="E1384" s="11" t="s">
        <v>3755</v>
      </c>
      <c r="F1384" s="17"/>
      <c r="G1384" s="12" t="s">
        <v>949</v>
      </c>
      <c r="H1384" s="13" t="n">
        <v>-0.025</v>
      </c>
      <c r="I1384" s="14"/>
      <c r="J1384" s="17"/>
      <c r="K1384" s="9"/>
      <c r="L1384" s="15" t="s">
        <v>50</v>
      </c>
      <c r="M1384" s="16" t="s">
        <v>51</v>
      </c>
      <c r="N1384" s="14"/>
      <c r="O1384" s="15" t="s">
        <v>52</v>
      </c>
      <c r="P1384" s="17" t="s">
        <v>53</v>
      </c>
      <c r="Q1384" s="15"/>
      <c r="R1384" s="18" t="s">
        <v>51</v>
      </c>
      <c r="S1384" s="19"/>
      <c r="T1384" s="17" t="str">
        <f aca="false">IF(R1384="維持",J1384,IF(R1384="排除","無關新聞事件",IFERROR(INDEX(事件規則!$B$2:$B$53,MATCH(S1384,事件規則!$A$2:$A$53,0)),"")))</f>
        <v>無關新聞事件</v>
      </c>
      <c r="U1384" s="20" t="n">
        <f aca="false">IF(R1384="維持",K1384,IF(R1384="排除",0,IFERROR(INDEX(事件規則!$C$2:$C$53,MATCH(S1384,事件規則!$A$2:$A$53,0)),"")))</f>
        <v>0</v>
      </c>
      <c r="V1384" s="21"/>
      <c r="W1384" s="22"/>
      <c r="X1384" s="10" t="str">
        <f aca="false">IF(AND(R1384="修改",S1384=""),"請選新事件代碼",IF(AND(R1384&lt;&gt;"修改",S1384&lt;&gt;""),"只有「修改」才需填代碼",""))</f>
        <v/>
      </c>
      <c r="Y1384" s="21"/>
      <c r="Z1384" s="22"/>
      <c r="AA1384" s="12" t="s">
        <v>3756</v>
      </c>
      <c r="AB1384" s="24"/>
    </row>
    <row r="1385" customFormat="false" ht="29.85" hidden="false" customHeight="false" outlineLevel="0" collapsed="false">
      <c r="A1385" s="15" t="n">
        <v>1384</v>
      </c>
      <c r="B1385" s="9" t="s">
        <v>55</v>
      </c>
      <c r="C1385" s="9" t="s">
        <v>2134</v>
      </c>
      <c r="D1385" s="10" t="s">
        <v>2135</v>
      </c>
      <c r="E1385" s="11" t="s">
        <v>3757</v>
      </c>
      <c r="F1385" s="17"/>
      <c r="G1385" s="12" t="s">
        <v>95</v>
      </c>
      <c r="H1385" s="13" t="n">
        <v>-0.025</v>
      </c>
      <c r="I1385" s="14"/>
      <c r="J1385" s="17"/>
      <c r="K1385" s="9"/>
      <c r="L1385" s="15" t="s">
        <v>50</v>
      </c>
      <c r="M1385" s="16" t="s">
        <v>51</v>
      </c>
      <c r="N1385" s="14"/>
      <c r="O1385" s="15" t="s">
        <v>52</v>
      </c>
      <c r="P1385" s="17" t="s">
        <v>53</v>
      </c>
      <c r="Q1385" s="15"/>
      <c r="R1385" s="18" t="s">
        <v>51</v>
      </c>
      <c r="S1385" s="19"/>
      <c r="T1385" s="17" t="str">
        <f aca="false">IF(R1385="維持",J1385,IF(R1385="排除","無關新聞事件",IFERROR(INDEX(事件規則!$B$2:$B$53,MATCH(S1385,事件規則!$A$2:$A$53,0)),"")))</f>
        <v>無關新聞事件</v>
      </c>
      <c r="U1385" s="20" t="n">
        <f aca="false">IF(R1385="維持",K1385,IF(R1385="排除",0,IFERROR(INDEX(事件規則!$C$2:$C$53,MATCH(S1385,事件規則!$A$2:$A$53,0)),"")))</f>
        <v>0</v>
      </c>
      <c r="V1385" s="21"/>
      <c r="W1385" s="22"/>
      <c r="X1385" s="10" t="str">
        <f aca="false">IF(AND(R1385="修改",S1385=""),"請選新事件代碼",IF(AND(R1385&lt;&gt;"修改",S1385&lt;&gt;""),"只有「修改」才需填代碼",""))</f>
        <v/>
      </c>
      <c r="Y1385" s="21"/>
      <c r="Z1385" s="22"/>
      <c r="AA1385" s="12" t="s">
        <v>3758</v>
      </c>
      <c r="AB1385" s="24"/>
    </row>
    <row r="1386" customFormat="false" ht="29.85" hidden="false" customHeight="false" outlineLevel="0" collapsed="false">
      <c r="A1386" s="15" t="n">
        <v>1385</v>
      </c>
      <c r="B1386" s="9" t="s">
        <v>55</v>
      </c>
      <c r="C1386" s="9" t="s">
        <v>326</v>
      </c>
      <c r="D1386" s="10" t="s">
        <v>326</v>
      </c>
      <c r="E1386" s="11" t="s">
        <v>3757</v>
      </c>
      <c r="F1386" s="17"/>
      <c r="G1386" s="12" t="s">
        <v>95</v>
      </c>
      <c r="H1386" s="13" t="n">
        <v>-0.025</v>
      </c>
      <c r="I1386" s="14"/>
      <c r="J1386" s="17"/>
      <c r="K1386" s="9"/>
      <c r="L1386" s="15" t="s">
        <v>50</v>
      </c>
      <c r="M1386" s="16" t="s">
        <v>51</v>
      </c>
      <c r="N1386" s="14"/>
      <c r="O1386" s="15" t="s">
        <v>52</v>
      </c>
      <c r="P1386" s="17" t="s">
        <v>53</v>
      </c>
      <c r="Q1386" s="15"/>
      <c r="R1386" s="18" t="s">
        <v>51</v>
      </c>
      <c r="S1386" s="19"/>
      <c r="T1386" s="17" t="str">
        <f aca="false">IF(R1386="維持",J1386,IF(R1386="排除","無關新聞事件",IFERROR(INDEX(事件規則!$B$2:$B$53,MATCH(S1386,事件規則!$A$2:$A$53,0)),"")))</f>
        <v>無關新聞事件</v>
      </c>
      <c r="U1386" s="20" t="n">
        <f aca="false">IF(R1386="維持",K1386,IF(R1386="排除",0,IFERROR(INDEX(事件規則!$C$2:$C$53,MATCH(S1386,事件規則!$A$2:$A$53,0)),"")))</f>
        <v>0</v>
      </c>
      <c r="V1386" s="21"/>
      <c r="W1386" s="22"/>
      <c r="X1386" s="10" t="str">
        <f aca="false">IF(AND(R1386="修改",S1386=""),"請選新事件代碼",IF(AND(R1386&lt;&gt;"修改",S1386&lt;&gt;""),"只有「修改」才需填代碼",""))</f>
        <v/>
      </c>
      <c r="Y1386" s="21"/>
      <c r="Z1386" s="22"/>
      <c r="AA1386" s="12" t="s">
        <v>3759</v>
      </c>
      <c r="AB1386" s="24"/>
    </row>
    <row r="1387" customFormat="false" ht="29.85" hidden="false" customHeight="false" outlineLevel="0" collapsed="false">
      <c r="A1387" s="15" t="n">
        <v>1386</v>
      </c>
      <c r="B1387" s="9" t="s">
        <v>55</v>
      </c>
      <c r="C1387" s="9" t="s">
        <v>3690</v>
      </c>
      <c r="D1387" s="10" t="s">
        <v>3691</v>
      </c>
      <c r="E1387" s="11" t="s">
        <v>3760</v>
      </c>
      <c r="F1387" s="17"/>
      <c r="G1387" s="12" t="s">
        <v>1136</v>
      </c>
      <c r="H1387" s="13" t="n">
        <v>-0.025</v>
      </c>
      <c r="I1387" s="14"/>
      <c r="J1387" s="17"/>
      <c r="K1387" s="9"/>
      <c r="L1387" s="15" t="s">
        <v>50</v>
      </c>
      <c r="M1387" s="16" t="s">
        <v>51</v>
      </c>
      <c r="N1387" s="14"/>
      <c r="O1387" s="15" t="s">
        <v>52</v>
      </c>
      <c r="P1387" s="17" t="s">
        <v>53</v>
      </c>
      <c r="Q1387" s="15"/>
      <c r="R1387" s="18" t="s">
        <v>51</v>
      </c>
      <c r="S1387" s="19"/>
      <c r="T1387" s="17" t="str">
        <f aca="false">IF(R1387="維持",J1387,IF(R1387="排除","無關新聞事件",IFERROR(INDEX(事件規則!$B$2:$B$53,MATCH(S1387,事件規則!$A$2:$A$53,0)),"")))</f>
        <v>無關新聞事件</v>
      </c>
      <c r="U1387" s="20" t="n">
        <f aca="false">IF(R1387="維持",K1387,IF(R1387="排除",0,IFERROR(INDEX(事件規則!$C$2:$C$53,MATCH(S1387,事件規則!$A$2:$A$53,0)),"")))</f>
        <v>0</v>
      </c>
      <c r="V1387" s="21"/>
      <c r="W1387" s="22"/>
      <c r="X1387" s="10" t="str">
        <f aca="false">IF(AND(R1387="修改",S1387=""),"請選新事件代碼",IF(AND(R1387&lt;&gt;"修改",S1387&lt;&gt;""),"只有「修改」才需填代碼",""))</f>
        <v/>
      </c>
      <c r="Y1387" s="21"/>
      <c r="Z1387" s="22"/>
      <c r="AA1387" s="12" t="s">
        <v>3761</v>
      </c>
      <c r="AB1387" s="24"/>
    </row>
    <row r="1388" customFormat="false" ht="29.85" hidden="false" customHeight="false" outlineLevel="0" collapsed="false">
      <c r="A1388" s="15" t="n">
        <v>1387</v>
      </c>
      <c r="B1388" s="9" t="s">
        <v>55</v>
      </c>
      <c r="C1388" s="9" t="s">
        <v>869</v>
      </c>
      <c r="D1388" s="10" t="s">
        <v>870</v>
      </c>
      <c r="E1388" s="11" t="s">
        <v>3762</v>
      </c>
      <c r="F1388" s="17"/>
      <c r="G1388" s="12" t="s">
        <v>95</v>
      </c>
      <c r="H1388" s="13" t="n">
        <v>-0.025</v>
      </c>
      <c r="I1388" s="14"/>
      <c r="J1388" s="17"/>
      <c r="K1388" s="9"/>
      <c r="L1388" s="15" t="s">
        <v>50</v>
      </c>
      <c r="M1388" s="16" t="s">
        <v>51</v>
      </c>
      <c r="N1388" s="14"/>
      <c r="O1388" s="15" t="s">
        <v>52</v>
      </c>
      <c r="P1388" s="17" t="s">
        <v>53</v>
      </c>
      <c r="Q1388" s="15"/>
      <c r="R1388" s="18" t="s">
        <v>51</v>
      </c>
      <c r="S1388" s="19"/>
      <c r="T1388" s="17" t="str">
        <f aca="false">IF(R1388="維持",J1388,IF(R1388="排除","無關新聞事件",IFERROR(INDEX(事件規則!$B$2:$B$53,MATCH(S1388,事件規則!$A$2:$A$53,0)),"")))</f>
        <v>無關新聞事件</v>
      </c>
      <c r="U1388" s="20" t="n">
        <f aca="false">IF(R1388="維持",K1388,IF(R1388="排除",0,IFERROR(INDEX(事件規則!$C$2:$C$53,MATCH(S1388,事件規則!$A$2:$A$53,0)),"")))</f>
        <v>0</v>
      </c>
      <c r="V1388" s="21"/>
      <c r="W1388" s="22"/>
      <c r="X1388" s="10" t="str">
        <f aca="false">IF(AND(R1388="修改",S1388=""),"請選新事件代碼",IF(AND(R1388&lt;&gt;"修改",S1388&lt;&gt;""),"只有「修改」才需填代碼",""))</f>
        <v/>
      </c>
      <c r="Y1388" s="21"/>
      <c r="Z1388" s="22"/>
      <c r="AA1388" s="12" t="s">
        <v>3763</v>
      </c>
      <c r="AB1388" s="24"/>
    </row>
    <row r="1389" customFormat="false" ht="29.85" hidden="false" customHeight="false" outlineLevel="0" collapsed="false">
      <c r="A1389" s="15" t="n">
        <v>1388</v>
      </c>
      <c r="B1389" s="9" t="s">
        <v>55</v>
      </c>
      <c r="C1389" s="9" t="s">
        <v>1893</v>
      </c>
      <c r="D1389" s="10" t="s">
        <v>1894</v>
      </c>
      <c r="E1389" s="11" t="s">
        <v>3764</v>
      </c>
      <c r="F1389" s="17"/>
      <c r="G1389" s="12" t="s">
        <v>176</v>
      </c>
      <c r="H1389" s="13" t="n">
        <v>-0.025</v>
      </c>
      <c r="I1389" s="14"/>
      <c r="J1389" s="17"/>
      <c r="K1389" s="9"/>
      <c r="L1389" s="15" t="s">
        <v>50</v>
      </c>
      <c r="M1389" s="16" t="s">
        <v>51</v>
      </c>
      <c r="N1389" s="14"/>
      <c r="O1389" s="15" t="s">
        <v>52</v>
      </c>
      <c r="P1389" s="17" t="s">
        <v>53</v>
      </c>
      <c r="Q1389" s="15"/>
      <c r="R1389" s="18" t="s">
        <v>51</v>
      </c>
      <c r="S1389" s="19"/>
      <c r="T1389" s="17" t="str">
        <f aca="false">IF(R1389="維持",J1389,IF(R1389="排除","無關新聞事件",IFERROR(INDEX(事件規則!$B$2:$B$53,MATCH(S1389,事件規則!$A$2:$A$53,0)),"")))</f>
        <v>無關新聞事件</v>
      </c>
      <c r="U1389" s="20" t="n">
        <f aca="false">IF(R1389="維持",K1389,IF(R1389="排除",0,IFERROR(INDEX(事件規則!$C$2:$C$53,MATCH(S1389,事件規則!$A$2:$A$53,0)),"")))</f>
        <v>0</v>
      </c>
      <c r="V1389" s="21"/>
      <c r="W1389" s="22"/>
      <c r="X1389" s="10" t="str">
        <f aca="false">IF(AND(R1389="修改",S1389=""),"請選新事件代碼",IF(AND(R1389&lt;&gt;"修改",S1389&lt;&gt;""),"只有「修改」才需填代碼",""))</f>
        <v/>
      </c>
      <c r="Y1389" s="21"/>
      <c r="Z1389" s="22"/>
      <c r="AA1389" s="12" t="s">
        <v>3765</v>
      </c>
      <c r="AB1389" s="24"/>
    </row>
    <row r="1390" customFormat="false" ht="29.85" hidden="false" customHeight="false" outlineLevel="0" collapsed="false">
      <c r="A1390" s="15" t="n">
        <v>1389</v>
      </c>
      <c r="B1390" s="9" t="s">
        <v>45</v>
      </c>
      <c r="C1390" s="9" t="s">
        <v>1555</v>
      </c>
      <c r="D1390" s="10" t="s">
        <v>1556</v>
      </c>
      <c r="E1390" s="11" t="s">
        <v>3766</v>
      </c>
      <c r="F1390" s="17"/>
      <c r="G1390" s="12" t="s">
        <v>949</v>
      </c>
      <c r="H1390" s="13" t="n">
        <v>-0.025</v>
      </c>
      <c r="I1390" s="14"/>
      <c r="J1390" s="17"/>
      <c r="K1390" s="9"/>
      <c r="L1390" s="15" t="s">
        <v>50</v>
      </c>
      <c r="M1390" s="16" t="s">
        <v>51</v>
      </c>
      <c r="N1390" s="14"/>
      <c r="O1390" s="15" t="s">
        <v>52</v>
      </c>
      <c r="P1390" s="17" t="s">
        <v>53</v>
      </c>
      <c r="Q1390" s="15"/>
      <c r="R1390" s="18" t="s">
        <v>51</v>
      </c>
      <c r="S1390" s="19"/>
      <c r="T1390" s="17" t="str">
        <f aca="false">IF(R1390="維持",J1390,IF(R1390="排除","無關新聞事件",IFERROR(INDEX(事件規則!$B$2:$B$53,MATCH(S1390,事件規則!$A$2:$A$53,0)),"")))</f>
        <v>無關新聞事件</v>
      </c>
      <c r="U1390" s="20" t="n">
        <f aca="false">IF(R1390="維持",K1390,IF(R1390="排除",0,IFERROR(INDEX(事件規則!$C$2:$C$53,MATCH(S1390,事件規則!$A$2:$A$53,0)),"")))</f>
        <v>0</v>
      </c>
      <c r="V1390" s="21"/>
      <c r="W1390" s="22"/>
      <c r="X1390" s="10" t="str">
        <f aca="false">IF(AND(R1390="修改",S1390=""),"請選新事件代碼",IF(AND(R1390&lt;&gt;"修改",S1390&lt;&gt;""),"只有「修改」才需填代碼",""))</f>
        <v/>
      </c>
      <c r="Y1390" s="21"/>
      <c r="Z1390" s="22"/>
      <c r="AA1390" s="12" t="s">
        <v>3767</v>
      </c>
      <c r="AB1390" s="24"/>
    </row>
    <row r="1391" customFormat="false" ht="29.85" hidden="false" customHeight="false" outlineLevel="0" collapsed="false">
      <c r="A1391" s="15" t="n">
        <v>1390</v>
      </c>
      <c r="B1391" s="9" t="s">
        <v>45</v>
      </c>
      <c r="C1391" s="9" t="s">
        <v>315</v>
      </c>
      <c r="D1391" s="10" t="s">
        <v>316</v>
      </c>
      <c r="E1391" s="11" t="s">
        <v>3768</v>
      </c>
      <c r="F1391" s="17"/>
      <c r="G1391" s="12" t="s">
        <v>949</v>
      </c>
      <c r="H1391" s="13" t="n">
        <v>-0.025</v>
      </c>
      <c r="I1391" s="14"/>
      <c r="J1391" s="17"/>
      <c r="K1391" s="9"/>
      <c r="L1391" s="15" t="s">
        <v>50</v>
      </c>
      <c r="M1391" s="16" t="s">
        <v>51</v>
      </c>
      <c r="N1391" s="14"/>
      <c r="O1391" s="15" t="s">
        <v>52</v>
      </c>
      <c r="P1391" s="17" t="s">
        <v>53</v>
      </c>
      <c r="Q1391" s="15"/>
      <c r="R1391" s="18" t="s">
        <v>51</v>
      </c>
      <c r="S1391" s="19"/>
      <c r="T1391" s="17" t="str">
        <f aca="false">IF(R1391="維持",J1391,IF(R1391="排除","無關新聞事件",IFERROR(INDEX(事件規則!$B$2:$B$53,MATCH(S1391,事件規則!$A$2:$A$53,0)),"")))</f>
        <v>無關新聞事件</v>
      </c>
      <c r="U1391" s="20" t="n">
        <f aca="false">IF(R1391="維持",K1391,IF(R1391="排除",0,IFERROR(INDEX(事件規則!$C$2:$C$53,MATCH(S1391,事件規則!$A$2:$A$53,0)),"")))</f>
        <v>0</v>
      </c>
      <c r="V1391" s="21"/>
      <c r="W1391" s="22"/>
      <c r="X1391" s="10" t="str">
        <f aca="false">IF(AND(R1391="修改",S1391=""),"請選新事件代碼",IF(AND(R1391&lt;&gt;"修改",S1391&lt;&gt;""),"只有「修改」才需填代碼",""))</f>
        <v/>
      </c>
      <c r="Y1391" s="21"/>
      <c r="Z1391" s="22"/>
      <c r="AA1391" s="12" t="s">
        <v>3769</v>
      </c>
      <c r="AB1391" s="24"/>
    </row>
    <row r="1392" customFormat="false" ht="29.85" hidden="false" customHeight="false" outlineLevel="0" collapsed="false">
      <c r="A1392" s="15" t="n">
        <v>1391</v>
      </c>
      <c r="B1392" s="9" t="s">
        <v>112</v>
      </c>
      <c r="C1392" s="9" t="s">
        <v>1078</v>
      </c>
      <c r="D1392" s="10" t="s">
        <v>1079</v>
      </c>
      <c r="E1392" s="11" t="s">
        <v>3770</v>
      </c>
      <c r="F1392" s="17"/>
      <c r="G1392" s="12" t="s">
        <v>949</v>
      </c>
      <c r="H1392" s="13" t="n">
        <v>-0.025</v>
      </c>
      <c r="I1392" s="14"/>
      <c r="J1392" s="17"/>
      <c r="K1392" s="9"/>
      <c r="L1392" s="15" t="s">
        <v>50</v>
      </c>
      <c r="M1392" s="16" t="s">
        <v>51</v>
      </c>
      <c r="N1392" s="14"/>
      <c r="O1392" s="15" t="s">
        <v>52</v>
      </c>
      <c r="P1392" s="17" t="s">
        <v>53</v>
      </c>
      <c r="Q1392" s="15"/>
      <c r="R1392" s="18" t="s">
        <v>51</v>
      </c>
      <c r="S1392" s="19"/>
      <c r="T1392" s="17" t="str">
        <f aca="false">IF(R1392="維持",J1392,IF(R1392="排除","無關新聞事件",IFERROR(INDEX(事件規則!$B$2:$B$53,MATCH(S1392,事件規則!$A$2:$A$53,0)),"")))</f>
        <v>無關新聞事件</v>
      </c>
      <c r="U1392" s="20" t="n">
        <f aca="false">IF(R1392="維持",K1392,IF(R1392="排除",0,IFERROR(INDEX(事件規則!$C$2:$C$53,MATCH(S1392,事件規則!$A$2:$A$53,0)),"")))</f>
        <v>0</v>
      </c>
      <c r="V1392" s="21"/>
      <c r="W1392" s="22"/>
      <c r="X1392" s="10" t="str">
        <f aca="false">IF(AND(R1392="修改",S1392=""),"請選新事件代碼",IF(AND(R1392&lt;&gt;"修改",S1392&lt;&gt;""),"只有「修改」才需填代碼",""))</f>
        <v/>
      </c>
      <c r="Y1392" s="21"/>
      <c r="Z1392" s="22"/>
      <c r="AA1392" s="12" t="s">
        <v>3771</v>
      </c>
      <c r="AB1392" s="24"/>
    </row>
    <row r="1393" customFormat="false" ht="29.85" hidden="false" customHeight="false" outlineLevel="0" collapsed="false">
      <c r="A1393" s="15" t="n">
        <v>1392</v>
      </c>
      <c r="B1393" s="9" t="s">
        <v>112</v>
      </c>
      <c r="C1393" s="9" t="s">
        <v>2041</v>
      </c>
      <c r="D1393" s="10" t="s">
        <v>2042</v>
      </c>
      <c r="E1393" s="11" t="s">
        <v>3772</v>
      </c>
      <c r="F1393" s="17"/>
      <c r="G1393" s="12" t="s">
        <v>1136</v>
      </c>
      <c r="H1393" s="13" t="n">
        <v>-0.025</v>
      </c>
      <c r="I1393" s="14"/>
      <c r="J1393" s="17"/>
      <c r="K1393" s="9"/>
      <c r="L1393" s="15" t="s">
        <v>50</v>
      </c>
      <c r="M1393" s="16" t="s">
        <v>51</v>
      </c>
      <c r="N1393" s="14"/>
      <c r="O1393" s="15" t="s">
        <v>52</v>
      </c>
      <c r="P1393" s="17" t="s">
        <v>53</v>
      </c>
      <c r="Q1393" s="15"/>
      <c r="R1393" s="18" t="s">
        <v>51</v>
      </c>
      <c r="S1393" s="19"/>
      <c r="T1393" s="17" t="str">
        <f aca="false">IF(R1393="維持",J1393,IF(R1393="排除","無關新聞事件",IFERROR(INDEX(事件規則!$B$2:$B$53,MATCH(S1393,事件規則!$A$2:$A$53,0)),"")))</f>
        <v>無關新聞事件</v>
      </c>
      <c r="U1393" s="20" t="n">
        <f aca="false">IF(R1393="維持",K1393,IF(R1393="排除",0,IFERROR(INDEX(事件規則!$C$2:$C$53,MATCH(S1393,事件規則!$A$2:$A$53,0)),"")))</f>
        <v>0</v>
      </c>
      <c r="V1393" s="21"/>
      <c r="W1393" s="22"/>
      <c r="X1393" s="10" t="str">
        <f aca="false">IF(AND(R1393="修改",S1393=""),"請選新事件代碼",IF(AND(R1393&lt;&gt;"修改",S1393&lt;&gt;""),"只有「修改」才需填代碼",""))</f>
        <v/>
      </c>
      <c r="Y1393" s="21"/>
      <c r="Z1393" s="22"/>
      <c r="AA1393" s="12" t="s">
        <v>3773</v>
      </c>
      <c r="AB1393" s="24"/>
    </row>
    <row r="1394" customFormat="false" ht="29.85" hidden="false" customHeight="false" outlineLevel="0" collapsed="false">
      <c r="A1394" s="15" t="n">
        <v>1393</v>
      </c>
      <c r="B1394" s="9" t="s">
        <v>55</v>
      </c>
      <c r="C1394" s="9" t="s">
        <v>1555</v>
      </c>
      <c r="D1394" s="10" t="s">
        <v>1556</v>
      </c>
      <c r="E1394" s="11" t="s">
        <v>3774</v>
      </c>
      <c r="F1394" s="17"/>
      <c r="G1394" s="12" t="s">
        <v>949</v>
      </c>
      <c r="H1394" s="13" t="n">
        <v>-0.025</v>
      </c>
      <c r="I1394" s="14"/>
      <c r="J1394" s="17"/>
      <c r="K1394" s="9"/>
      <c r="L1394" s="15" t="s">
        <v>50</v>
      </c>
      <c r="M1394" s="16" t="s">
        <v>51</v>
      </c>
      <c r="N1394" s="14"/>
      <c r="O1394" s="15" t="s">
        <v>52</v>
      </c>
      <c r="P1394" s="17" t="s">
        <v>53</v>
      </c>
      <c r="Q1394" s="15"/>
      <c r="R1394" s="18" t="s">
        <v>51</v>
      </c>
      <c r="S1394" s="19"/>
      <c r="T1394" s="17" t="str">
        <f aca="false">IF(R1394="維持",J1394,IF(R1394="排除","無關新聞事件",IFERROR(INDEX(事件規則!$B$2:$B$53,MATCH(S1394,事件規則!$A$2:$A$53,0)),"")))</f>
        <v>無關新聞事件</v>
      </c>
      <c r="U1394" s="20" t="n">
        <f aca="false">IF(R1394="維持",K1394,IF(R1394="排除",0,IFERROR(INDEX(事件規則!$C$2:$C$53,MATCH(S1394,事件規則!$A$2:$A$53,0)),"")))</f>
        <v>0</v>
      </c>
      <c r="V1394" s="21"/>
      <c r="W1394" s="22"/>
      <c r="X1394" s="10" t="str">
        <f aca="false">IF(AND(R1394="修改",S1394=""),"請選新事件代碼",IF(AND(R1394&lt;&gt;"修改",S1394&lt;&gt;""),"只有「修改」才需填代碼",""))</f>
        <v/>
      </c>
      <c r="Y1394" s="21"/>
      <c r="Z1394" s="22"/>
      <c r="AA1394" s="12" t="s">
        <v>3775</v>
      </c>
      <c r="AB1394" s="24"/>
    </row>
    <row r="1395" customFormat="false" ht="29.85" hidden="false" customHeight="false" outlineLevel="0" collapsed="false">
      <c r="A1395" s="15" t="n">
        <v>1394</v>
      </c>
      <c r="B1395" s="9" t="s">
        <v>55</v>
      </c>
      <c r="C1395" s="9" t="s">
        <v>563</v>
      </c>
      <c r="D1395" s="10" t="s">
        <v>564</v>
      </c>
      <c r="E1395" s="11" t="s">
        <v>3776</v>
      </c>
      <c r="F1395" s="17"/>
      <c r="G1395" s="12" t="s">
        <v>949</v>
      </c>
      <c r="H1395" s="13" t="n">
        <v>-0.025</v>
      </c>
      <c r="I1395" s="14"/>
      <c r="J1395" s="17"/>
      <c r="K1395" s="9"/>
      <c r="L1395" s="15" t="s">
        <v>50</v>
      </c>
      <c r="M1395" s="16" t="s">
        <v>51</v>
      </c>
      <c r="N1395" s="14"/>
      <c r="O1395" s="15" t="s">
        <v>52</v>
      </c>
      <c r="P1395" s="17" t="s">
        <v>53</v>
      </c>
      <c r="Q1395" s="15"/>
      <c r="R1395" s="18" t="s">
        <v>51</v>
      </c>
      <c r="S1395" s="19"/>
      <c r="T1395" s="17" t="str">
        <f aca="false">IF(R1395="維持",J1395,IF(R1395="排除","無關新聞事件",IFERROR(INDEX(事件規則!$B$2:$B$53,MATCH(S1395,事件規則!$A$2:$A$53,0)),"")))</f>
        <v>無關新聞事件</v>
      </c>
      <c r="U1395" s="20" t="n">
        <f aca="false">IF(R1395="維持",K1395,IF(R1395="排除",0,IFERROR(INDEX(事件規則!$C$2:$C$53,MATCH(S1395,事件規則!$A$2:$A$53,0)),"")))</f>
        <v>0</v>
      </c>
      <c r="V1395" s="21"/>
      <c r="W1395" s="22"/>
      <c r="X1395" s="10" t="str">
        <f aca="false">IF(AND(R1395="修改",S1395=""),"請選新事件代碼",IF(AND(R1395&lt;&gt;"修改",S1395&lt;&gt;""),"只有「修改」才需填代碼",""))</f>
        <v/>
      </c>
      <c r="Y1395" s="21"/>
      <c r="Z1395" s="22"/>
      <c r="AA1395" s="12" t="s">
        <v>3777</v>
      </c>
      <c r="AB1395" s="24"/>
    </row>
    <row r="1396" customFormat="false" ht="29.85" hidden="false" customHeight="false" outlineLevel="0" collapsed="false">
      <c r="A1396" s="15" t="n">
        <v>1395</v>
      </c>
      <c r="B1396" s="9" t="s">
        <v>112</v>
      </c>
      <c r="C1396" s="9" t="s">
        <v>1912</v>
      </c>
      <c r="D1396" s="10" t="s">
        <v>1913</v>
      </c>
      <c r="E1396" s="11" t="s">
        <v>3732</v>
      </c>
      <c r="F1396" s="17"/>
      <c r="G1396" s="12" t="s">
        <v>3733</v>
      </c>
      <c r="H1396" s="13" t="n">
        <v>-0.025</v>
      </c>
      <c r="I1396" s="14"/>
      <c r="J1396" s="17"/>
      <c r="K1396" s="9"/>
      <c r="L1396" s="15" t="s">
        <v>50</v>
      </c>
      <c r="M1396" s="16" t="s">
        <v>51</v>
      </c>
      <c r="N1396" s="14"/>
      <c r="O1396" s="15" t="s">
        <v>52</v>
      </c>
      <c r="P1396" s="17" t="s">
        <v>53</v>
      </c>
      <c r="Q1396" s="15"/>
      <c r="R1396" s="18" t="s">
        <v>51</v>
      </c>
      <c r="S1396" s="19"/>
      <c r="T1396" s="17" t="str">
        <f aca="false">IF(R1396="維持",J1396,IF(R1396="排除","無關新聞事件",IFERROR(INDEX(事件規則!$B$2:$B$53,MATCH(S1396,事件規則!$A$2:$A$53,0)),"")))</f>
        <v>無關新聞事件</v>
      </c>
      <c r="U1396" s="20" t="n">
        <f aca="false">IF(R1396="維持",K1396,IF(R1396="排除",0,IFERROR(INDEX(事件規則!$C$2:$C$53,MATCH(S1396,事件規則!$A$2:$A$53,0)),"")))</f>
        <v>0</v>
      </c>
      <c r="V1396" s="21"/>
      <c r="W1396" s="22"/>
      <c r="X1396" s="10" t="str">
        <f aca="false">IF(AND(R1396="修改",S1396=""),"請選新事件代碼",IF(AND(R1396&lt;&gt;"修改",S1396&lt;&gt;""),"只有「修改」才需填代碼",""))</f>
        <v/>
      </c>
      <c r="Y1396" s="21"/>
      <c r="Z1396" s="22"/>
      <c r="AA1396" s="12" t="s">
        <v>3734</v>
      </c>
      <c r="AB1396" s="24"/>
    </row>
    <row r="1397" customFormat="false" ht="29.85" hidden="false" customHeight="false" outlineLevel="0" collapsed="false">
      <c r="A1397" s="15" t="n">
        <v>1396</v>
      </c>
      <c r="B1397" s="9" t="s">
        <v>112</v>
      </c>
      <c r="C1397" s="9" t="s">
        <v>563</v>
      </c>
      <c r="D1397" s="10" t="s">
        <v>564</v>
      </c>
      <c r="E1397" s="11" t="s">
        <v>3778</v>
      </c>
      <c r="F1397" s="17"/>
      <c r="G1397" s="12" t="s">
        <v>949</v>
      </c>
      <c r="H1397" s="13" t="n">
        <v>-0.025</v>
      </c>
      <c r="I1397" s="14"/>
      <c r="J1397" s="17"/>
      <c r="K1397" s="9"/>
      <c r="L1397" s="15" t="s">
        <v>50</v>
      </c>
      <c r="M1397" s="16" t="s">
        <v>51</v>
      </c>
      <c r="N1397" s="14"/>
      <c r="O1397" s="15" t="s">
        <v>52</v>
      </c>
      <c r="P1397" s="17" t="s">
        <v>53</v>
      </c>
      <c r="Q1397" s="15"/>
      <c r="R1397" s="18" t="s">
        <v>51</v>
      </c>
      <c r="S1397" s="19"/>
      <c r="T1397" s="17" t="str">
        <f aca="false">IF(R1397="維持",J1397,IF(R1397="排除","無關新聞事件",IFERROR(INDEX(事件規則!$B$2:$B$53,MATCH(S1397,事件規則!$A$2:$A$53,0)),"")))</f>
        <v>無關新聞事件</v>
      </c>
      <c r="U1397" s="20" t="n">
        <f aca="false">IF(R1397="維持",K1397,IF(R1397="排除",0,IFERROR(INDEX(事件規則!$C$2:$C$53,MATCH(S1397,事件規則!$A$2:$A$53,0)),"")))</f>
        <v>0</v>
      </c>
      <c r="V1397" s="21"/>
      <c r="W1397" s="22"/>
      <c r="X1397" s="10" t="str">
        <f aca="false">IF(AND(R1397="修改",S1397=""),"請選新事件代碼",IF(AND(R1397&lt;&gt;"修改",S1397&lt;&gt;""),"只有「修改」才需填代碼",""))</f>
        <v/>
      </c>
      <c r="Y1397" s="21"/>
      <c r="Z1397" s="22"/>
      <c r="AA1397" s="12" t="s">
        <v>3779</v>
      </c>
      <c r="AB1397" s="24"/>
    </row>
    <row r="1398" customFormat="false" ht="29.85" hidden="false" customHeight="false" outlineLevel="0" collapsed="false">
      <c r="A1398" s="15" t="n">
        <v>1397</v>
      </c>
      <c r="B1398" s="9" t="s">
        <v>112</v>
      </c>
      <c r="C1398" s="9" t="s">
        <v>607</v>
      </c>
      <c r="D1398" s="10" t="s">
        <v>608</v>
      </c>
      <c r="E1398" s="11" t="s">
        <v>3780</v>
      </c>
      <c r="F1398" s="17"/>
      <c r="G1398" s="12" t="s">
        <v>176</v>
      </c>
      <c r="H1398" s="13" t="n">
        <v>-0.025</v>
      </c>
      <c r="I1398" s="14"/>
      <c r="J1398" s="17"/>
      <c r="K1398" s="9"/>
      <c r="L1398" s="15" t="s">
        <v>50</v>
      </c>
      <c r="M1398" s="16" t="s">
        <v>51</v>
      </c>
      <c r="N1398" s="14"/>
      <c r="O1398" s="15" t="s">
        <v>52</v>
      </c>
      <c r="P1398" s="17" t="s">
        <v>53</v>
      </c>
      <c r="Q1398" s="15"/>
      <c r="R1398" s="18" t="s">
        <v>51</v>
      </c>
      <c r="S1398" s="19"/>
      <c r="T1398" s="17" t="str">
        <f aca="false">IF(R1398="維持",J1398,IF(R1398="排除","無關新聞事件",IFERROR(INDEX(事件規則!$B$2:$B$53,MATCH(S1398,事件規則!$A$2:$A$53,0)),"")))</f>
        <v>無關新聞事件</v>
      </c>
      <c r="U1398" s="20" t="n">
        <f aca="false">IF(R1398="維持",K1398,IF(R1398="排除",0,IFERROR(INDEX(事件規則!$C$2:$C$53,MATCH(S1398,事件規則!$A$2:$A$53,0)),"")))</f>
        <v>0</v>
      </c>
      <c r="V1398" s="21"/>
      <c r="W1398" s="22"/>
      <c r="X1398" s="10" t="str">
        <f aca="false">IF(AND(R1398="修改",S1398=""),"請選新事件代碼",IF(AND(R1398&lt;&gt;"修改",S1398&lt;&gt;""),"只有「修改」才需填代碼",""))</f>
        <v/>
      </c>
      <c r="Y1398" s="21"/>
      <c r="Z1398" s="22"/>
      <c r="AA1398" s="12" t="s">
        <v>3781</v>
      </c>
      <c r="AB1398" s="24"/>
    </row>
    <row r="1399" customFormat="false" ht="29.85" hidden="false" customHeight="false" outlineLevel="0" collapsed="false">
      <c r="A1399" s="15" t="n">
        <v>1398</v>
      </c>
      <c r="B1399" s="9" t="s">
        <v>112</v>
      </c>
      <c r="C1399" s="9" t="s">
        <v>1078</v>
      </c>
      <c r="D1399" s="10" t="s">
        <v>1079</v>
      </c>
      <c r="E1399" s="11" t="s">
        <v>3782</v>
      </c>
      <c r="F1399" s="17"/>
      <c r="G1399" s="12" t="s">
        <v>2033</v>
      </c>
      <c r="H1399" s="13" t="n">
        <v>-0.025</v>
      </c>
      <c r="I1399" s="14"/>
      <c r="J1399" s="17"/>
      <c r="K1399" s="9"/>
      <c r="L1399" s="15" t="s">
        <v>50</v>
      </c>
      <c r="M1399" s="16" t="s">
        <v>51</v>
      </c>
      <c r="N1399" s="14"/>
      <c r="O1399" s="15" t="s">
        <v>52</v>
      </c>
      <c r="P1399" s="17" t="s">
        <v>53</v>
      </c>
      <c r="Q1399" s="15"/>
      <c r="R1399" s="18" t="s">
        <v>51</v>
      </c>
      <c r="S1399" s="19"/>
      <c r="T1399" s="17" t="str">
        <f aca="false">IF(R1399="維持",J1399,IF(R1399="排除","無關新聞事件",IFERROR(INDEX(事件規則!$B$2:$B$53,MATCH(S1399,事件規則!$A$2:$A$53,0)),"")))</f>
        <v>無關新聞事件</v>
      </c>
      <c r="U1399" s="20" t="n">
        <f aca="false">IF(R1399="維持",K1399,IF(R1399="排除",0,IFERROR(INDEX(事件規則!$C$2:$C$53,MATCH(S1399,事件規則!$A$2:$A$53,0)),"")))</f>
        <v>0</v>
      </c>
      <c r="V1399" s="21"/>
      <c r="W1399" s="22"/>
      <c r="X1399" s="10" t="str">
        <f aca="false">IF(AND(R1399="修改",S1399=""),"請選新事件代碼",IF(AND(R1399&lt;&gt;"修改",S1399&lt;&gt;""),"只有「修改」才需填代碼",""))</f>
        <v/>
      </c>
      <c r="Y1399" s="21"/>
      <c r="Z1399" s="22"/>
      <c r="AA1399" s="12" t="s">
        <v>3783</v>
      </c>
      <c r="AB1399" s="24"/>
    </row>
    <row r="1400" customFormat="false" ht="29.85" hidden="false" customHeight="false" outlineLevel="0" collapsed="false">
      <c r="A1400" s="15" t="n">
        <v>1399</v>
      </c>
      <c r="B1400" s="9" t="s">
        <v>112</v>
      </c>
      <c r="C1400" s="9" t="s">
        <v>1924</v>
      </c>
      <c r="D1400" s="10" t="s">
        <v>1925</v>
      </c>
      <c r="E1400" s="11" t="s">
        <v>3784</v>
      </c>
      <c r="F1400" s="17"/>
      <c r="G1400" s="12" t="s">
        <v>949</v>
      </c>
      <c r="H1400" s="13" t="n">
        <v>-0.025</v>
      </c>
      <c r="I1400" s="14"/>
      <c r="J1400" s="17"/>
      <c r="K1400" s="9"/>
      <c r="L1400" s="15" t="s">
        <v>50</v>
      </c>
      <c r="M1400" s="16" t="s">
        <v>51</v>
      </c>
      <c r="N1400" s="14"/>
      <c r="O1400" s="15" t="s">
        <v>52</v>
      </c>
      <c r="P1400" s="17" t="s">
        <v>53</v>
      </c>
      <c r="Q1400" s="15"/>
      <c r="R1400" s="18" t="s">
        <v>51</v>
      </c>
      <c r="S1400" s="19"/>
      <c r="T1400" s="17" t="str">
        <f aca="false">IF(R1400="維持",J1400,IF(R1400="排除","無關新聞事件",IFERROR(INDEX(事件規則!$B$2:$B$53,MATCH(S1400,事件規則!$A$2:$A$53,0)),"")))</f>
        <v>無關新聞事件</v>
      </c>
      <c r="U1400" s="20" t="n">
        <f aca="false">IF(R1400="維持",K1400,IF(R1400="排除",0,IFERROR(INDEX(事件規則!$C$2:$C$53,MATCH(S1400,事件規則!$A$2:$A$53,0)),"")))</f>
        <v>0</v>
      </c>
      <c r="V1400" s="21"/>
      <c r="W1400" s="22"/>
      <c r="X1400" s="10" t="str">
        <f aca="false">IF(AND(R1400="修改",S1400=""),"請選新事件代碼",IF(AND(R1400&lt;&gt;"修改",S1400&lt;&gt;""),"只有「修改」才需填代碼",""))</f>
        <v/>
      </c>
      <c r="Y1400" s="21"/>
      <c r="Z1400" s="22"/>
      <c r="AA1400" s="12" t="s">
        <v>3785</v>
      </c>
      <c r="AB1400" s="24"/>
    </row>
    <row r="1401" customFormat="false" ht="29.85" hidden="false" customHeight="false" outlineLevel="0" collapsed="false">
      <c r="A1401" s="15" t="n">
        <v>1400</v>
      </c>
      <c r="B1401" s="9" t="s">
        <v>112</v>
      </c>
      <c r="C1401" s="9" t="s">
        <v>1928</v>
      </c>
      <c r="D1401" s="10" t="s">
        <v>1929</v>
      </c>
      <c r="E1401" s="11" t="s">
        <v>3786</v>
      </c>
      <c r="F1401" s="17"/>
      <c r="G1401" s="12" t="s">
        <v>949</v>
      </c>
      <c r="H1401" s="13" t="n">
        <v>-0.025</v>
      </c>
      <c r="I1401" s="14"/>
      <c r="J1401" s="17"/>
      <c r="K1401" s="9"/>
      <c r="L1401" s="15" t="s">
        <v>50</v>
      </c>
      <c r="M1401" s="16" t="s">
        <v>51</v>
      </c>
      <c r="N1401" s="14"/>
      <c r="O1401" s="15" t="s">
        <v>52</v>
      </c>
      <c r="P1401" s="17" t="s">
        <v>53</v>
      </c>
      <c r="Q1401" s="15"/>
      <c r="R1401" s="18" t="s">
        <v>51</v>
      </c>
      <c r="S1401" s="19"/>
      <c r="T1401" s="17" t="str">
        <f aca="false">IF(R1401="維持",J1401,IF(R1401="排除","無關新聞事件",IFERROR(INDEX(事件規則!$B$2:$B$53,MATCH(S1401,事件規則!$A$2:$A$53,0)),"")))</f>
        <v>無關新聞事件</v>
      </c>
      <c r="U1401" s="20" t="n">
        <f aca="false">IF(R1401="維持",K1401,IF(R1401="排除",0,IFERROR(INDEX(事件規則!$C$2:$C$53,MATCH(S1401,事件規則!$A$2:$A$53,0)),"")))</f>
        <v>0</v>
      </c>
      <c r="V1401" s="21"/>
      <c r="W1401" s="22"/>
      <c r="X1401" s="10" t="str">
        <f aca="false">IF(AND(R1401="修改",S1401=""),"請選新事件代碼",IF(AND(R1401&lt;&gt;"修改",S1401&lt;&gt;""),"只有「修改」才需填代碼",""))</f>
        <v/>
      </c>
      <c r="Y1401" s="21"/>
      <c r="Z1401" s="22"/>
      <c r="AA1401" s="12" t="s">
        <v>3787</v>
      </c>
      <c r="AB1401" s="24"/>
    </row>
    <row r="1402" customFormat="false" ht="29.85" hidden="false" customHeight="false" outlineLevel="0" collapsed="false">
      <c r="A1402" s="15" t="n">
        <v>1401</v>
      </c>
      <c r="B1402" s="9" t="s">
        <v>112</v>
      </c>
      <c r="C1402" s="9" t="s">
        <v>889</v>
      </c>
      <c r="D1402" s="10" t="s">
        <v>890</v>
      </c>
      <c r="E1402" s="11" t="s">
        <v>3788</v>
      </c>
      <c r="F1402" s="17"/>
      <c r="G1402" s="12" t="s">
        <v>176</v>
      </c>
      <c r="H1402" s="13" t="n">
        <v>-0.025</v>
      </c>
      <c r="I1402" s="14"/>
      <c r="J1402" s="17"/>
      <c r="K1402" s="9"/>
      <c r="L1402" s="15" t="s">
        <v>50</v>
      </c>
      <c r="M1402" s="16" t="s">
        <v>51</v>
      </c>
      <c r="N1402" s="14"/>
      <c r="O1402" s="15" t="s">
        <v>52</v>
      </c>
      <c r="P1402" s="17" t="s">
        <v>53</v>
      </c>
      <c r="Q1402" s="15"/>
      <c r="R1402" s="18" t="s">
        <v>51</v>
      </c>
      <c r="S1402" s="19"/>
      <c r="T1402" s="17" t="str">
        <f aca="false">IF(R1402="維持",J1402,IF(R1402="排除","無關新聞事件",IFERROR(INDEX(事件規則!$B$2:$B$53,MATCH(S1402,事件規則!$A$2:$A$53,0)),"")))</f>
        <v>無關新聞事件</v>
      </c>
      <c r="U1402" s="20" t="n">
        <f aca="false">IF(R1402="維持",K1402,IF(R1402="排除",0,IFERROR(INDEX(事件規則!$C$2:$C$53,MATCH(S1402,事件規則!$A$2:$A$53,0)),"")))</f>
        <v>0</v>
      </c>
      <c r="V1402" s="21"/>
      <c r="W1402" s="22"/>
      <c r="X1402" s="10" t="str">
        <f aca="false">IF(AND(R1402="修改",S1402=""),"請選新事件代碼",IF(AND(R1402&lt;&gt;"修改",S1402&lt;&gt;""),"只有「修改」才需填代碼",""))</f>
        <v/>
      </c>
      <c r="Y1402" s="21"/>
      <c r="Z1402" s="22"/>
      <c r="AA1402" s="12" t="s">
        <v>3789</v>
      </c>
      <c r="AB1402" s="24"/>
    </row>
    <row r="1403" customFormat="false" ht="29.85" hidden="false" customHeight="false" outlineLevel="0" collapsed="false">
      <c r="A1403" s="15" t="n">
        <v>1402</v>
      </c>
      <c r="B1403" s="9" t="s">
        <v>55</v>
      </c>
      <c r="C1403" s="9" t="s">
        <v>3518</v>
      </c>
      <c r="D1403" s="10" t="s">
        <v>3519</v>
      </c>
      <c r="E1403" s="11" t="s">
        <v>3790</v>
      </c>
      <c r="F1403" s="17"/>
      <c r="G1403" s="12" t="s">
        <v>176</v>
      </c>
      <c r="H1403" s="13" t="n">
        <v>-0.025</v>
      </c>
      <c r="I1403" s="14"/>
      <c r="J1403" s="17"/>
      <c r="K1403" s="9"/>
      <c r="L1403" s="15" t="s">
        <v>50</v>
      </c>
      <c r="M1403" s="16" t="s">
        <v>51</v>
      </c>
      <c r="N1403" s="14"/>
      <c r="O1403" s="15" t="s">
        <v>52</v>
      </c>
      <c r="P1403" s="17" t="s">
        <v>53</v>
      </c>
      <c r="Q1403" s="15"/>
      <c r="R1403" s="18" t="s">
        <v>51</v>
      </c>
      <c r="S1403" s="19"/>
      <c r="T1403" s="17" t="str">
        <f aca="false">IF(R1403="維持",J1403,IF(R1403="排除","無關新聞事件",IFERROR(INDEX(事件規則!$B$2:$B$53,MATCH(S1403,事件規則!$A$2:$A$53,0)),"")))</f>
        <v>無關新聞事件</v>
      </c>
      <c r="U1403" s="20" t="n">
        <f aca="false">IF(R1403="維持",K1403,IF(R1403="排除",0,IFERROR(INDEX(事件規則!$C$2:$C$53,MATCH(S1403,事件規則!$A$2:$A$53,0)),"")))</f>
        <v>0</v>
      </c>
      <c r="V1403" s="21"/>
      <c r="W1403" s="22"/>
      <c r="X1403" s="10" t="str">
        <f aca="false">IF(AND(R1403="修改",S1403=""),"請選新事件代碼",IF(AND(R1403&lt;&gt;"修改",S1403&lt;&gt;""),"只有「修改」才需填代碼",""))</f>
        <v/>
      </c>
      <c r="Y1403" s="21"/>
      <c r="Z1403" s="22"/>
      <c r="AA1403" s="12" t="s">
        <v>3791</v>
      </c>
      <c r="AB1403" s="24"/>
    </row>
    <row r="1404" customFormat="false" ht="29.85" hidden="false" customHeight="false" outlineLevel="0" collapsed="false">
      <c r="A1404" s="15" t="n">
        <v>1403</v>
      </c>
      <c r="B1404" s="9" t="s">
        <v>112</v>
      </c>
      <c r="C1404" s="9" t="s">
        <v>831</v>
      </c>
      <c r="D1404" s="10" t="s">
        <v>832</v>
      </c>
      <c r="E1404" s="11" t="s">
        <v>3792</v>
      </c>
      <c r="F1404" s="17"/>
      <c r="G1404" s="12" t="s">
        <v>69</v>
      </c>
      <c r="H1404" s="13" t="n">
        <v>-0.024</v>
      </c>
      <c r="I1404" s="14"/>
      <c r="J1404" s="17"/>
      <c r="K1404" s="9"/>
      <c r="L1404" s="15" t="s">
        <v>50</v>
      </c>
      <c r="M1404" s="16" t="s">
        <v>51</v>
      </c>
      <c r="N1404" s="14"/>
      <c r="O1404" s="15" t="s">
        <v>52</v>
      </c>
      <c r="P1404" s="17" t="s">
        <v>53</v>
      </c>
      <c r="Q1404" s="15"/>
      <c r="R1404" s="18" t="s">
        <v>51</v>
      </c>
      <c r="S1404" s="19"/>
      <c r="T1404" s="17" t="str">
        <f aca="false">IF(R1404="維持",J1404,IF(R1404="排除","無關新聞事件",IFERROR(INDEX(事件規則!$B$2:$B$53,MATCH(S1404,事件規則!$A$2:$A$53,0)),"")))</f>
        <v>無關新聞事件</v>
      </c>
      <c r="U1404" s="20" t="n">
        <f aca="false">IF(R1404="維持",K1404,IF(R1404="排除",0,IFERROR(INDEX(事件規則!$C$2:$C$53,MATCH(S1404,事件規則!$A$2:$A$53,0)),"")))</f>
        <v>0</v>
      </c>
      <c r="V1404" s="21"/>
      <c r="W1404" s="22"/>
      <c r="X1404" s="10" t="str">
        <f aca="false">IF(AND(R1404="修改",S1404=""),"請選新事件代碼",IF(AND(R1404&lt;&gt;"修改",S1404&lt;&gt;""),"只有「修改」才需填代碼",""))</f>
        <v/>
      </c>
      <c r="Y1404" s="21"/>
      <c r="Z1404" s="22"/>
      <c r="AA1404" s="12" t="s">
        <v>3793</v>
      </c>
      <c r="AB1404" s="24"/>
    </row>
    <row r="1405" customFormat="false" ht="29.85" hidden="false" customHeight="false" outlineLevel="0" collapsed="false">
      <c r="A1405" s="15" t="n">
        <v>1404</v>
      </c>
      <c r="B1405" s="9" t="s">
        <v>112</v>
      </c>
      <c r="C1405" s="9" t="s">
        <v>1180</v>
      </c>
      <c r="D1405" s="10" t="s">
        <v>1181</v>
      </c>
      <c r="E1405" s="11" t="s">
        <v>3794</v>
      </c>
      <c r="F1405" s="17"/>
      <c r="G1405" s="12" t="s">
        <v>176</v>
      </c>
      <c r="H1405" s="13" t="n">
        <v>-0.024</v>
      </c>
      <c r="I1405" s="14"/>
      <c r="J1405" s="17"/>
      <c r="K1405" s="9"/>
      <c r="L1405" s="15" t="s">
        <v>50</v>
      </c>
      <c r="M1405" s="16" t="s">
        <v>51</v>
      </c>
      <c r="N1405" s="14"/>
      <c r="O1405" s="15" t="s">
        <v>52</v>
      </c>
      <c r="P1405" s="17" t="s">
        <v>53</v>
      </c>
      <c r="Q1405" s="15"/>
      <c r="R1405" s="18" t="s">
        <v>51</v>
      </c>
      <c r="S1405" s="19"/>
      <c r="T1405" s="17" t="str">
        <f aca="false">IF(R1405="維持",J1405,IF(R1405="排除","無關新聞事件",IFERROR(INDEX(事件規則!$B$2:$B$53,MATCH(S1405,事件規則!$A$2:$A$53,0)),"")))</f>
        <v>無關新聞事件</v>
      </c>
      <c r="U1405" s="20" t="n">
        <f aca="false">IF(R1405="維持",K1405,IF(R1405="排除",0,IFERROR(INDEX(事件規則!$C$2:$C$53,MATCH(S1405,事件規則!$A$2:$A$53,0)),"")))</f>
        <v>0</v>
      </c>
      <c r="V1405" s="21"/>
      <c r="W1405" s="22"/>
      <c r="X1405" s="10" t="str">
        <f aca="false">IF(AND(R1405="修改",S1405=""),"請選新事件代碼",IF(AND(R1405&lt;&gt;"修改",S1405&lt;&gt;""),"只有「修改」才需填代碼",""))</f>
        <v/>
      </c>
      <c r="Y1405" s="21"/>
      <c r="Z1405" s="22"/>
      <c r="AA1405" s="12" t="s">
        <v>3795</v>
      </c>
      <c r="AB1405" s="24"/>
    </row>
    <row r="1406" customFormat="false" ht="29.85" hidden="false" customHeight="false" outlineLevel="0" collapsed="false">
      <c r="A1406" s="15" t="n">
        <v>1405</v>
      </c>
      <c r="B1406" s="9" t="s">
        <v>112</v>
      </c>
      <c r="C1406" s="9" t="s">
        <v>2319</v>
      </c>
      <c r="D1406" s="10" t="s">
        <v>2320</v>
      </c>
      <c r="E1406" s="11" t="s">
        <v>3796</v>
      </c>
      <c r="F1406" s="17"/>
      <c r="G1406" s="12" t="s">
        <v>949</v>
      </c>
      <c r="H1406" s="13" t="n">
        <v>-0.024</v>
      </c>
      <c r="I1406" s="14"/>
      <c r="J1406" s="17"/>
      <c r="K1406" s="9"/>
      <c r="L1406" s="15" t="s">
        <v>50</v>
      </c>
      <c r="M1406" s="16" t="s">
        <v>51</v>
      </c>
      <c r="N1406" s="14"/>
      <c r="O1406" s="15" t="s">
        <v>52</v>
      </c>
      <c r="P1406" s="17" t="s">
        <v>53</v>
      </c>
      <c r="Q1406" s="15"/>
      <c r="R1406" s="18" t="s">
        <v>51</v>
      </c>
      <c r="S1406" s="19"/>
      <c r="T1406" s="17" t="str">
        <f aca="false">IF(R1406="維持",J1406,IF(R1406="排除","無關新聞事件",IFERROR(INDEX(事件規則!$B$2:$B$53,MATCH(S1406,事件規則!$A$2:$A$53,0)),"")))</f>
        <v>無關新聞事件</v>
      </c>
      <c r="U1406" s="20" t="n">
        <f aca="false">IF(R1406="維持",K1406,IF(R1406="排除",0,IFERROR(INDEX(事件規則!$C$2:$C$53,MATCH(S1406,事件規則!$A$2:$A$53,0)),"")))</f>
        <v>0</v>
      </c>
      <c r="V1406" s="21"/>
      <c r="W1406" s="22"/>
      <c r="X1406" s="10" t="str">
        <f aca="false">IF(AND(R1406="修改",S1406=""),"請選新事件代碼",IF(AND(R1406&lt;&gt;"修改",S1406&lt;&gt;""),"只有「修改」才需填代碼",""))</f>
        <v/>
      </c>
      <c r="Y1406" s="21"/>
      <c r="Z1406" s="22"/>
      <c r="AA1406" s="12" t="s">
        <v>3797</v>
      </c>
      <c r="AB1406" s="24"/>
    </row>
    <row r="1407" customFormat="false" ht="29.85" hidden="false" customHeight="false" outlineLevel="0" collapsed="false">
      <c r="A1407" s="15" t="n">
        <v>1406</v>
      </c>
      <c r="B1407" s="9" t="s">
        <v>112</v>
      </c>
      <c r="C1407" s="9" t="s">
        <v>2598</v>
      </c>
      <c r="D1407" s="10" t="s">
        <v>2599</v>
      </c>
      <c r="E1407" s="11" t="s">
        <v>3798</v>
      </c>
      <c r="F1407" s="17"/>
      <c r="G1407" s="12" t="s">
        <v>176</v>
      </c>
      <c r="H1407" s="13" t="n">
        <v>-0.024</v>
      </c>
      <c r="I1407" s="14"/>
      <c r="J1407" s="17"/>
      <c r="K1407" s="9"/>
      <c r="L1407" s="15" t="s">
        <v>50</v>
      </c>
      <c r="M1407" s="16" t="s">
        <v>51</v>
      </c>
      <c r="N1407" s="14"/>
      <c r="O1407" s="15" t="s">
        <v>52</v>
      </c>
      <c r="P1407" s="17" t="s">
        <v>53</v>
      </c>
      <c r="Q1407" s="15"/>
      <c r="R1407" s="18" t="s">
        <v>51</v>
      </c>
      <c r="S1407" s="19"/>
      <c r="T1407" s="17" t="str">
        <f aca="false">IF(R1407="維持",J1407,IF(R1407="排除","無關新聞事件",IFERROR(INDEX(事件規則!$B$2:$B$53,MATCH(S1407,事件規則!$A$2:$A$53,0)),"")))</f>
        <v>無關新聞事件</v>
      </c>
      <c r="U1407" s="20" t="n">
        <f aca="false">IF(R1407="維持",K1407,IF(R1407="排除",0,IFERROR(INDEX(事件規則!$C$2:$C$53,MATCH(S1407,事件規則!$A$2:$A$53,0)),"")))</f>
        <v>0</v>
      </c>
      <c r="V1407" s="21"/>
      <c r="W1407" s="22"/>
      <c r="X1407" s="10" t="str">
        <f aca="false">IF(AND(R1407="修改",S1407=""),"請選新事件代碼",IF(AND(R1407&lt;&gt;"修改",S1407&lt;&gt;""),"只有「修改」才需填代碼",""))</f>
        <v/>
      </c>
      <c r="Y1407" s="21"/>
      <c r="Z1407" s="22"/>
      <c r="AA1407" s="12" t="s">
        <v>3799</v>
      </c>
      <c r="AB1407" s="24"/>
    </row>
    <row r="1408" customFormat="false" ht="29.85" hidden="false" customHeight="false" outlineLevel="0" collapsed="false">
      <c r="A1408" s="15" t="n">
        <v>1407</v>
      </c>
      <c r="B1408" s="9" t="s">
        <v>45</v>
      </c>
      <c r="C1408" s="9" t="s">
        <v>505</v>
      </c>
      <c r="D1408" s="10" t="s">
        <v>506</v>
      </c>
      <c r="E1408" s="11" t="s">
        <v>3800</v>
      </c>
      <c r="F1408" s="17"/>
      <c r="G1408" s="12" t="s">
        <v>49</v>
      </c>
      <c r="H1408" s="13" t="n">
        <v>-0.024</v>
      </c>
      <c r="I1408" s="14"/>
      <c r="J1408" s="17"/>
      <c r="K1408" s="9"/>
      <c r="L1408" s="15" t="s">
        <v>50</v>
      </c>
      <c r="M1408" s="16" t="s">
        <v>51</v>
      </c>
      <c r="N1408" s="14"/>
      <c r="O1408" s="15" t="s">
        <v>52</v>
      </c>
      <c r="P1408" s="17" t="s">
        <v>53</v>
      </c>
      <c r="Q1408" s="15"/>
      <c r="R1408" s="18" t="s">
        <v>51</v>
      </c>
      <c r="S1408" s="19"/>
      <c r="T1408" s="17" t="str">
        <f aca="false">IF(R1408="維持",J1408,IF(R1408="排除","無關新聞事件",IFERROR(INDEX(事件規則!$B$2:$B$53,MATCH(S1408,事件規則!$A$2:$A$53,0)),"")))</f>
        <v>無關新聞事件</v>
      </c>
      <c r="U1408" s="20" t="n">
        <f aca="false">IF(R1408="維持",K1408,IF(R1408="排除",0,IFERROR(INDEX(事件規則!$C$2:$C$53,MATCH(S1408,事件規則!$A$2:$A$53,0)),"")))</f>
        <v>0</v>
      </c>
      <c r="V1408" s="21"/>
      <c r="W1408" s="22"/>
      <c r="X1408" s="10" t="str">
        <f aca="false">IF(AND(R1408="修改",S1408=""),"請選新事件代碼",IF(AND(R1408&lt;&gt;"修改",S1408&lt;&gt;""),"只有「修改」才需填代碼",""))</f>
        <v/>
      </c>
      <c r="Y1408" s="21"/>
      <c r="Z1408" s="22"/>
      <c r="AA1408" s="12" t="s">
        <v>3801</v>
      </c>
      <c r="AB1408" s="24"/>
    </row>
    <row r="1409" customFormat="false" ht="29.85" hidden="false" customHeight="false" outlineLevel="0" collapsed="false">
      <c r="A1409" s="15" t="n">
        <v>1408</v>
      </c>
      <c r="B1409" s="9" t="s">
        <v>45</v>
      </c>
      <c r="C1409" s="9" t="s">
        <v>1928</v>
      </c>
      <c r="D1409" s="10" t="s">
        <v>1929</v>
      </c>
      <c r="E1409" s="11" t="s">
        <v>3802</v>
      </c>
      <c r="F1409" s="17"/>
      <c r="G1409" s="12" t="s">
        <v>949</v>
      </c>
      <c r="H1409" s="13" t="n">
        <v>-0.024</v>
      </c>
      <c r="I1409" s="14"/>
      <c r="J1409" s="17"/>
      <c r="K1409" s="9"/>
      <c r="L1409" s="15" t="s">
        <v>50</v>
      </c>
      <c r="M1409" s="16" t="s">
        <v>51</v>
      </c>
      <c r="N1409" s="14"/>
      <c r="O1409" s="15" t="s">
        <v>52</v>
      </c>
      <c r="P1409" s="17" t="s">
        <v>53</v>
      </c>
      <c r="Q1409" s="15"/>
      <c r="R1409" s="18" t="s">
        <v>51</v>
      </c>
      <c r="S1409" s="19"/>
      <c r="T1409" s="17" t="str">
        <f aca="false">IF(R1409="維持",J1409,IF(R1409="排除","無關新聞事件",IFERROR(INDEX(事件規則!$B$2:$B$53,MATCH(S1409,事件規則!$A$2:$A$53,0)),"")))</f>
        <v>無關新聞事件</v>
      </c>
      <c r="U1409" s="20" t="n">
        <f aca="false">IF(R1409="維持",K1409,IF(R1409="排除",0,IFERROR(INDEX(事件規則!$C$2:$C$53,MATCH(S1409,事件規則!$A$2:$A$53,0)),"")))</f>
        <v>0</v>
      </c>
      <c r="V1409" s="21"/>
      <c r="W1409" s="22"/>
      <c r="X1409" s="10" t="str">
        <f aca="false">IF(AND(R1409="修改",S1409=""),"請選新事件代碼",IF(AND(R1409&lt;&gt;"修改",S1409&lt;&gt;""),"只有「修改」才需填代碼",""))</f>
        <v/>
      </c>
      <c r="Y1409" s="21"/>
      <c r="Z1409" s="22"/>
      <c r="AA1409" s="12" t="s">
        <v>3803</v>
      </c>
      <c r="AB1409" s="24"/>
    </row>
    <row r="1410" customFormat="false" ht="29.85" hidden="false" customHeight="false" outlineLevel="0" collapsed="false">
      <c r="A1410" s="15" t="n">
        <v>1409</v>
      </c>
      <c r="B1410" s="9" t="s">
        <v>45</v>
      </c>
      <c r="C1410" s="9" t="s">
        <v>1406</v>
      </c>
      <c r="D1410" s="10" t="s">
        <v>1407</v>
      </c>
      <c r="E1410" s="11" t="s">
        <v>3804</v>
      </c>
      <c r="F1410" s="17"/>
      <c r="G1410" s="12" t="s">
        <v>3221</v>
      </c>
      <c r="H1410" s="13" t="n">
        <v>-0.024</v>
      </c>
      <c r="I1410" s="14"/>
      <c r="J1410" s="17"/>
      <c r="K1410" s="9"/>
      <c r="L1410" s="15" t="s">
        <v>50</v>
      </c>
      <c r="M1410" s="16" t="s">
        <v>51</v>
      </c>
      <c r="N1410" s="14"/>
      <c r="O1410" s="15" t="s">
        <v>52</v>
      </c>
      <c r="P1410" s="17" t="s">
        <v>53</v>
      </c>
      <c r="Q1410" s="15"/>
      <c r="R1410" s="18" t="s">
        <v>51</v>
      </c>
      <c r="S1410" s="19"/>
      <c r="T1410" s="17" t="str">
        <f aca="false">IF(R1410="維持",J1410,IF(R1410="排除","無關新聞事件",IFERROR(INDEX(事件規則!$B$2:$B$53,MATCH(S1410,事件規則!$A$2:$A$53,0)),"")))</f>
        <v>無關新聞事件</v>
      </c>
      <c r="U1410" s="20" t="n">
        <f aca="false">IF(R1410="維持",K1410,IF(R1410="排除",0,IFERROR(INDEX(事件規則!$C$2:$C$53,MATCH(S1410,事件規則!$A$2:$A$53,0)),"")))</f>
        <v>0</v>
      </c>
      <c r="V1410" s="21"/>
      <c r="W1410" s="22"/>
      <c r="X1410" s="10" t="str">
        <f aca="false">IF(AND(R1410="修改",S1410=""),"請選新事件代碼",IF(AND(R1410&lt;&gt;"修改",S1410&lt;&gt;""),"只有「修改」才需填代碼",""))</f>
        <v/>
      </c>
      <c r="Y1410" s="21"/>
      <c r="Z1410" s="22"/>
      <c r="AA1410" s="12" t="s">
        <v>3805</v>
      </c>
      <c r="AB1410" s="24"/>
    </row>
    <row r="1411" customFormat="false" ht="29.85" hidden="false" customHeight="false" outlineLevel="0" collapsed="false">
      <c r="A1411" s="15" t="n">
        <v>1410</v>
      </c>
      <c r="B1411" s="9" t="s">
        <v>45</v>
      </c>
      <c r="C1411" s="9" t="s">
        <v>1596</v>
      </c>
      <c r="D1411" s="10" t="s">
        <v>1597</v>
      </c>
      <c r="E1411" s="11" t="s">
        <v>3806</v>
      </c>
      <c r="F1411" s="17"/>
      <c r="G1411" s="12" t="s">
        <v>3807</v>
      </c>
      <c r="H1411" s="13" t="n">
        <v>-0.024</v>
      </c>
      <c r="I1411" s="14"/>
      <c r="J1411" s="17"/>
      <c r="K1411" s="9"/>
      <c r="L1411" s="15" t="s">
        <v>50</v>
      </c>
      <c r="M1411" s="16" t="s">
        <v>51</v>
      </c>
      <c r="N1411" s="14"/>
      <c r="O1411" s="15" t="s">
        <v>52</v>
      </c>
      <c r="P1411" s="17" t="s">
        <v>53</v>
      </c>
      <c r="Q1411" s="15"/>
      <c r="R1411" s="18" t="s">
        <v>51</v>
      </c>
      <c r="S1411" s="19"/>
      <c r="T1411" s="17" t="str">
        <f aca="false">IF(R1411="維持",J1411,IF(R1411="排除","無關新聞事件",IFERROR(INDEX(事件規則!$B$2:$B$53,MATCH(S1411,事件規則!$A$2:$A$53,0)),"")))</f>
        <v>無關新聞事件</v>
      </c>
      <c r="U1411" s="20" t="n">
        <f aca="false">IF(R1411="維持",K1411,IF(R1411="排除",0,IFERROR(INDEX(事件規則!$C$2:$C$53,MATCH(S1411,事件規則!$A$2:$A$53,0)),"")))</f>
        <v>0</v>
      </c>
      <c r="V1411" s="21"/>
      <c r="W1411" s="22"/>
      <c r="X1411" s="10" t="str">
        <f aca="false">IF(AND(R1411="修改",S1411=""),"請選新事件代碼",IF(AND(R1411&lt;&gt;"修改",S1411&lt;&gt;""),"只有「修改」才需填代碼",""))</f>
        <v/>
      </c>
      <c r="Y1411" s="21"/>
      <c r="Z1411" s="22"/>
      <c r="AA1411" s="12" t="s">
        <v>3808</v>
      </c>
      <c r="AB1411" s="24"/>
    </row>
    <row r="1412" customFormat="false" ht="29.85" hidden="false" customHeight="false" outlineLevel="0" collapsed="false">
      <c r="A1412" s="15" t="n">
        <v>1411</v>
      </c>
      <c r="B1412" s="9" t="s">
        <v>55</v>
      </c>
      <c r="C1412" s="9" t="s">
        <v>427</v>
      </c>
      <c r="D1412" s="10" t="s">
        <v>428</v>
      </c>
      <c r="E1412" s="11" t="s">
        <v>3809</v>
      </c>
      <c r="F1412" s="17"/>
      <c r="G1412" s="12" t="s">
        <v>3221</v>
      </c>
      <c r="H1412" s="13" t="n">
        <v>-0.024</v>
      </c>
      <c r="I1412" s="14"/>
      <c r="J1412" s="17"/>
      <c r="K1412" s="9"/>
      <c r="L1412" s="15" t="s">
        <v>50</v>
      </c>
      <c r="M1412" s="16" t="s">
        <v>51</v>
      </c>
      <c r="N1412" s="14"/>
      <c r="O1412" s="15" t="s">
        <v>52</v>
      </c>
      <c r="P1412" s="17" t="s">
        <v>53</v>
      </c>
      <c r="Q1412" s="15"/>
      <c r="R1412" s="18" t="s">
        <v>51</v>
      </c>
      <c r="S1412" s="19"/>
      <c r="T1412" s="17" t="str">
        <f aca="false">IF(R1412="維持",J1412,IF(R1412="排除","無關新聞事件",IFERROR(INDEX(事件規則!$B$2:$B$53,MATCH(S1412,事件規則!$A$2:$A$53,0)),"")))</f>
        <v>無關新聞事件</v>
      </c>
      <c r="U1412" s="20" t="n">
        <f aca="false">IF(R1412="維持",K1412,IF(R1412="排除",0,IFERROR(INDEX(事件規則!$C$2:$C$53,MATCH(S1412,事件規則!$A$2:$A$53,0)),"")))</f>
        <v>0</v>
      </c>
      <c r="V1412" s="21"/>
      <c r="W1412" s="22"/>
      <c r="X1412" s="10" t="str">
        <f aca="false">IF(AND(R1412="修改",S1412=""),"請選新事件代碼",IF(AND(R1412&lt;&gt;"修改",S1412&lt;&gt;""),"只有「修改」才需填代碼",""))</f>
        <v/>
      </c>
      <c r="Y1412" s="21"/>
      <c r="Z1412" s="22"/>
      <c r="AA1412" s="12" t="s">
        <v>3810</v>
      </c>
      <c r="AB1412" s="24"/>
    </row>
    <row r="1413" customFormat="false" ht="29.85" hidden="false" customHeight="false" outlineLevel="0" collapsed="false">
      <c r="A1413" s="15" t="n">
        <v>1412</v>
      </c>
      <c r="B1413" s="9" t="s">
        <v>55</v>
      </c>
      <c r="C1413" s="9" t="s">
        <v>1082</v>
      </c>
      <c r="D1413" s="10" t="s">
        <v>1083</v>
      </c>
      <c r="E1413" s="11" t="s">
        <v>3811</v>
      </c>
      <c r="F1413" s="17"/>
      <c r="G1413" s="12" t="s">
        <v>1136</v>
      </c>
      <c r="H1413" s="13" t="n">
        <v>-0.024</v>
      </c>
      <c r="I1413" s="14"/>
      <c r="J1413" s="17"/>
      <c r="K1413" s="9"/>
      <c r="L1413" s="15" t="s">
        <v>50</v>
      </c>
      <c r="M1413" s="16" t="s">
        <v>51</v>
      </c>
      <c r="N1413" s="14"/>
      <c r="O1413" s="15" t="s">
        <v>52</v>
      </c>
      <c r="P1413" s="17" t="s">
        <v>53</v>
      </c>
      <c r="Q1413" s="15"/>
      <c r="R1413" s="18" t="s">
        <v>51</v>
      </c>
      <c r="S1413" s="19"/>
      <c r="T1413" s="17" t="str">
        <f aca="false">IF(R1413="維持",J1413,IF(R1413="排除","無關新聞事件",IFERROR(INDEX(事件規則!$B$2:$B$53,MATCH(S1413,事件規則!$A$2:$A$53,0)),"")))</f>
        <v>無關新聞事件</v>
      </c>
      <c r="U1413" s="20" t="n">
        <f aca="false">IF(R1413="維持",K1413,IF(R1413="排除",0,IFERROR(INDEX(事件規則!$C$2:$C$53,MATCH(S1413,事件規則!$A$2:$A$53,0)),"")))</f>
        <v>0</v>
      </c>
      <c r="V1413" s="21"/>
      <c r="W1413" s="22"/>
      <c r="X1413" s="10" t="str">
        <f aca="false">IF(AND(R1413="修改",S1413=""),"請選新事件代碼",IF(AND(R1413&lt;&gt;"修改",S1413&lt;&gt;""),"只有「修改」才需填代碼",""))</f>
        <v/>
      </c>
      <c r="Y1413" s="21"/>
      <c r="Z1413" s="22"/>
      <c r="AA1413" s="12" t="s">
        <v>3812</v>
      </c>
      <c r="AB1413" s="24"/>
    </row>
    <row r="1414" customFormat="false" ht="29.85" hidden="false" customHeight="false" outlineLevel="0" collapsed="false">
      <c r="A1414" s="15" t="n">
        <v>1413</v>
      </c>
      <c r="B1414" s="9" t="s">
        <v>55</v>
      </c>
      <c r="C1414" s="9" t="s">
        <v>355</v>
      </c>
      <c r="D1414" s="10" t="s">
        <v>356</v>
      </c>
      <c r="E1414" s="11" t="s">
        <v>3813</v>
      </c>
      <c r="F1414" s="17"/>
      <c r="G1414" s="12" t="s">
        <v>3733</v>
      </c>
      <c r="H1414" s="13" t="n">
        <v>-0.024</v>
      </c>
      <c r="I1414" s="14"/>
      <c r="J1414" s="17"/>
      <c r="K1414" s="9"/>
      <c r="L1414" s="15" t="s">
        <v>50</v>
      </c>
      <c r="M1414" s="16" t="s">
        <v>51</v>
      </c>
      <c r="N1414" s="14"/>
      <c r="O1414" s="15" t="s">
        <v>52</v>
      </c>
      <c r="P1414" s="17" t="s">
        <v>53</v>
      </c>
      <c r="Q1414" s="15"/>
      <c r="R1414" s="18" t="s">
        <v>51</v>
      </c>
      <c r="S1414" s="19"/>
      <c r="T1414" s="17" t="str">
        <f aca="false">IF(R1414="維持",J1414,IF(R1414="排除","無關新聞事件",IFERROR(INDEX(事件規則!$B$2:$B$53,MATCH(S1414,事件規則!$A$2:$A$53,0)),"")))</f>
        <v>無關新聞事件</v>
      </c>
      <c r="U1414" s="20" t="n">
        <f aca="false">IF(R1414="維持",K1414,IF(R1414="排除",0,IFERROR(INDEX(事件規則!$C$2:$C$53,MATCH(S1414,事件規則!$A$2:$A$53,0)),"")))</f>
        <v>0</v>
      </c>
      <c r="V1414" s="21"/>
      <c r="W1414" s="22"/>
      <c r="X1414" s="10" t="str">
        <f aca="false">IF(AND(R1414="修改",S1414=""),"請選新事件代碼",IF(AND(R1414&lt;&gt;"修改",S1414&lt;&gt;""),"只有「修改」才需填代碼",""))</f>
        <v/>
      </c>
      <c r="Y1414" s="21"/>
      <c r="Z1414" s="22"/>
      <c r="AA1414" s="12" t="s">
        <v>3814</v>
      </c>
      <c r="AB1414" s="24"/>
    </row>
    <row r="1415" customFormat="false" ht="29.85" hidden="false" customHeight="false" outlineLevel="0" collapsed="false">
      <c r="A1415" s="15" t="n">
        <v>1414</v>
      </c>
      <c r="B1415" s="9" t="s">
        <v>112</v>
      </c>
      <c r="C1415" s="9" t="s">
        <v>885</v>
      </c>
      <c r="D1415" s="10" t="s">
        <v>886</v>
      </c>
      <c r="E1415" s="11" t="s">
        <v>3815</v>
      </c>
      <c r="F1415" s="17"/>
      <c r="G1415" s="12" t="s">
        <v>3048</v>
      </c>
      <c r="H1415" s="13" t="n">
        <v>-0.024</v>
      </c>
      <c r="I1415" s="14"/>
      <c r="J1415" s="17"/>
      <c r="K1415" s="9"/>
      <c r="L1415" s="15" t="s">
        <v>50</v>
      </c>
      <c r="M1415" s="16" t="s">
        <v>51</v>
      </c>
      <c r="N1415" s="14"/>
      <c r="O1415" s="15" t="s">
        <v>52</v>
      </c>
      <c r="P1415" s="17" t="s">
        <v>53</v>
      </c>
      <c r="Q1415" s="15"/>
      <c r="R1415" s="18" t="s">
        <v>51</v>
      </c>
      <c r="S1415" s="19"/>
      <c r="T1415" s="17" t="str">
        <f aca="false">IF(R1415="維持",J1415,IF(R1415="排除","無關新聞事件",IFERROR(INDEX(事件規則!$B$2:$B$53,MATCH(S1415,事件規則!$A$2:$A$53,0)),"")))</f>
        <v>無關新聞事件</v>
      </c>
      <c r="U1415" s="20" t="n">
        <f aca="false">IF(R1415="維持",K1415,IF(R1415="排除",0,IFERROR(INDEX(事件規則!$C$2:$C$53,MATCH(S1415,事件規則!$A$2:$A$53,0)),"")))</f>
        <v>0</v>
      </c>
      <c r="V1415" s="21"/>
      <c r="W1415" s="22"/>
      <c r="X1415" s="10" t="str">
        <f aca="false">IF(AND(R1415="修改",S1415=""),"請選新事件代碼",IF(AND(R1415&lt;&gt;"修改",S1415&lt;&gt;""),"只有「修改」才需填代碼",""))</f>
        <v/>
      </c>
      <c r="Y1415" s="21"/>
      <c r="Z1415" s="22"/>
      <c r="AA1415" s="12" t="s">
        <v>3816</v>
      </c>
      <c r="AB1415" s="24"/>
    </row>
    <row r="1416" customFormat="false" ht="29.85" hidden="false" customHeight="false" outlineLevel="0" collapsed="false">
      <c r="A1416" s="15" t="n">
        <v>1415</v>
      </c>
      <c r="B1416" s="9" t="s">
        <v>112</v>
      </c>
      <c r="C1416" s="9" t="s">
        <v>2894</v>
      </c>
      <c r="D1416" s="10" t="s">
        <v>2895</v>
      </c>
      <c r="E1416" s="11" t="s">
        <v>3817</v>
      </c>
      <c r="F1416" s="17"/>
      <c r="G1416" s="12" t="s">
        <v>176</v>
      </c>
      <c r="H1416" s="13" t="n">
        <v>-0.024</v>
      </c>
      <c r="I1416" s="14"/>
      <c r="J1416" s="17"/>
      <c r="K1416" s="9"/>
      <c r="L1416" s="15" t="s">
        <v>50</v>
      </c>
      <c r="M1416" s="16" t="s">
        <v>51</v>
      </c>
      <c r="N1416" s="14"/>
      <c r="O1416" s="15" t="s">
        <v>52</v>
      </c>
      <c r="P1416" s="17" t="s">
        <v>53</v>
      </c>
      <c r="Q1416" s="15"/>
      <c r="R1416" s="18" t="s">
        <v>51</v>
      </c>
      <c r="S1416" s="19"/>
      <c r="T1416" s="17" t="str">
        <f aca="false">IF(R1416="維持",J1416,IF(R1416="排除","無關新聞事件",IFERROR(INDEX(事件規則!$B$2:$B$53,MATCH(S1416,事件規則!$A$2:$A$53,0)),"")))</f>
        <v>無關新聞事件</v>
      </c>
      <c r="U1416" s="20" t="n">
        <f aca="false">IF(R1416="維持",K1416,IF(R1416="排除",0,IFERROR(INDEX(事件規則!$C$2:$C$53,MATCH(S1416,事件規則!$A$2:$A$53,0)),"")))</f>
        <v>0</v>
      </c>
      <c r="V1416" s="21"/>
      <c r="W1416" s="22"/>
      <c r="X1416" s="10" t="str">
        <f aca="false">IF(AND(R1416="修改",S1416=""),"請選新事件代碼",IF(AND(R1416&lt;&gt;"修改",S1416&lt;&gt;""),"只有「修改」才需填代碼",""))</f>
        <v/>
      </c>
      <c r="Y1416" s="21"/>
      <c r="Z1416" s="22"/>
      <c r="AA1416" s="12" t="s">
        <v>3818</v>
      </c>
      <c r="AB1416" s="24"/>
    </row>
    <row r="1417" customFormat="false" ht="29.85" hidden="false" customHeight="false" outlineLevel="0" collapsed="false">
      <c r="A1417" s="15" t="n">
        <v>1416</v>
      </c>
      <c r="B1417" s="9" t="s">
        <v>112</v>
      </c>
      <c r="C1417" s="9" t="s">
        <v>2263</v>
      </c>
      <c r="D1417" s="10" t="s">
        <v>2264</v>
      </c>
      <c r="E1417" s="11" t="s">
        <v>3819</v>
      </c>
      <c r="F1417" s="17"/>
      <c r="G1417" s="12" t="s">
        <v>142</v>
      </c>
      <c r="H1417" s="13" t="n">
        <v>-0.024</v>
      </c>
      <c r="I1417" s="14"/>
      <c r="J1417" s="17"/>
      <c r="K1417" s="9"/>
      <c r="L1417" s="15" t="s">
        <v>50</v>
      </c>
      <c r="M1417" s="16" t="s">
        <v>51</v>
      </c>
      <c r="N1417" s="14"/>
      <c r="O1417" s="15" t="s">
        <v>52</v>
      </c>
      <c r="P1417" s="17" t="s">
        <v>53</v>
      </c>
      <c r="Q1417" s="15"/>
      <c r="R1417" s="18" t="s">
        <v>51</v>
      </c>
      <c r="S1417" s="19"/>
      <c r="T1417" s="17" t="str">
        <f aca="false">IF(R1417="維持",J1417,IF(R1417="排除","無關新聞事件",IFERROR(INDEX(事件規則!$B$2:$B$53,MATCH(S1417,事件規則!$A$2:$A$53,0)),"")))</f>
        <v>無關新聞事件</v>
      </c>
      <c r="U1417" s="20" t="n">
        <f aca="false">IF(R1417="維持",K1417,IF(R1417="排除",0,IFERROR(INDEX(事件規則!$C$2:$C$53,MATCH(S1417,事件規則!$A$2:$A$53,0)),"")))</f>
        <v>0</v>
      </c>
      <c r="V1417" s="21"/>
      <c r="W1417" s="22"/>
      <c r="X1417" s="10" t="str">
        <f aca="false">IF(AND(R1417="修改",S1417=""),"請選新事件代碼",IF(AND(R1417&lt;&gt;"修改",S1417&lt;&gt;""),"只有「修改」才需填代碼",""))</f>
        <v/>
      </c>
      <c r="Y1417" s="21"/>
      <c r="Z1417" s="22"/>
      <c r="AA1417" s="12" t="s">
        <v>3820</v>
      </c>
      <c r="AB1417" s="24"/>
    </row>
    <row r="1418" customFormat="false" ht="29.85" hidden="false" customHeight="false" outlineLevel="0" collapsed="false">
      <c r="A1418" s="15" t="n">
        <v>1417</v>
      </c>
      <c r="B1418" s="9" t="s">
        <v>112</v>
      </c>
      <c r="C1418" s="9" t="s">
        <v>3821</v>
      </c>
      <c r="D1418" s="10" t="s">
        <v>3822</v>
      </c>
      <c r="E1418" s="11" t="s">
        <v>3823</v>
      </c>
      <c r="F1418" s="17"/>
      <c r="G1418" s="12" t="s">
        <v>176</v>
      </c>
      <c r="H1418" s="13" t="n">
        <v>-0.024</v>
      </c>
      <c r="I1418" s="14"/>
      <c r="J1418" s="17"/>
      <c r="K1418" s="9"/>
      <c r="L1418" s="15" t="s">
        <v>50</v>
      </c>
      <c r="M1418" s="16" t="s">
        <v>51</v>
      </c>
      <c r="N1418" s="14"/>
      <c r="O1418" s="15" t="s">
        <v>52</v>
      </c>
      <c r="P1418" s="17" t="s">
        <v>53</v>
      </c>
      <c r="Q1418" s="15"/>
      <c r="R1418" s="18" t="s">
        <v>51</v>
      </c>
      <c r="S1418" s="19"/>
      <c r="T1418" s="17" t="str">
        <f aca="false">IF(R1418="維持",J1418,IF(R1418="排除","無關新聞事件",IFERROR(INDEX(事件規則!$B$2:$B$53,MATCH(S1418,事件規則!$A$2:$A$53,0)),"")))</f>
        <v>無關新聞事件</v>
      </c>
      <c r="U1418" s="20" t="n">
        <f aca="false">IF(R1418="維持",K1418,IF(R1418="排除",0,IFERROR(INDEX(事件規則!$C$2:$C$53,MATCH(S1418,事件規則!$A$2:$A$53,0)),"")))</f>
        <v>0</v>
      </c>
      <c r="V1418" s="21"/>
      <c r="W1418" s="22"/>
      <c r="X1418" s="10" t="str">
        <f aca="false">IF(AND(R1418="修改",S1418=""),"請選新事件代碼",IF(AND(R1418&lt;&gt;"修改",S1418&lt;&gt;""),"只有「修改」才需填代碼",""))</f>
        <v/>
      </c>
      <c r="Y1418" s="21"/>
      <c r="Z1418" s="22"/>
      <c r="AA1418" s="12" t="s">
        <v>3824</v>
      </c>
      <c r="AB1418" s="24"/>
    </row>
    <row r="1419" customFormat="false" ht="29.85" hidden="false" customHeight="false" outlineLevel="0" collapsed="false">
      <c r="A1419" s="15" t="n">
        <v>1418</v>
      </c>
      <c r="B1419" s="9" t="s">
        <v>112</v>
      </c>
      <c r="C1419" s="9" t="s">
        <v>1727</v>
      </c>
      <c r="D1419" s="10" t="s">
        <v>1728</v>
      </c>
      <c r="E1419" s="11" t="s">
        <v>3825</v>
      </c>
      <c r="F1419" s="17"/>
      <c r="G1419" s="12" t="s">
        <v>95</v>
      </c>
      <c r="H1419" s="13" t="n">
        <v>-0.024</v>
      </c>
      <c r="I1419" s="14"/>
      <c r="J1419" s="17"/>
      <c r="K1419" s="9"/>
      <c r="L1419" s="15" t="s">
        <v>50</v>
      </c>
      <c r="M1419" s="16" t="s">
        <v>51</v>
      </c>
      <c r="N1419" s="14"/>
      <c r="O1419" s="15" t="s">
        <v>52</v>
      </c>
      <c r="P1419" s="17" t="s">
        <v>53</v>
      </c>
      <c r="Q1419" s="15"/>
      <c r="R1419" s="18" t="s">
        <v>51</v>
      </c>
      <c r="S1419" s="19"/>
      <c r="T1419" s="17" t="str">
        <f aca="false">IF(R1419="維持",J1419,IF(R1419="排除","無關新聞事件",IFERROR(INDEX(事件規則!$B$2:$B$53,MATCH(S1419,事件規則!$A$2:$A$53,0)),"")))</f>
        <v>無關新聞事件</v>
      </c>
      <c r="U1419" s="20" t="n">
        <f aca="false">IF(R1419="維持",K1419,IF(R1419="排除",0,IFERROR(INDEX(事件規則!$C$2:$C$53,MATCH(S1419,事件規則!$A$2:$A$53,0)),"")))</f>
        <v>0</v>
      </c>
      <c r="V1419" s="21"/>
      <c r="W1419" s="22"/>
      <c r="X1419" s="10" t="str">
        <f aca="false">IF(AND(R1419="修改",S1419=""),"請選新事件代碼",IF(AND(R1419&lt;&gt;"修改",S1419&lt;&gt;""),"只有「修改」才需填代碼",""))</f>
        <v/>
      </c>
      <c r="Y1419" s="21"/>
      <c r="Z1419" s="22"/>
      <c r="AA1419" s="12" t="s">
        <v>3826</v>
      </c>
      <c r="AB1419" s="24"/>
    </row>
    <row r="1420" customFormat="false" ht="29.85" hidden="false" customHeight="false" outlineLevel="0" collapsed="false">
      <c r="A1420" s="15" t="n">
        <v>1419</v>
      </c>
      <c r="B1420" s="9" t="s">
        <v>55</v>
      </c>
      <c r="C1420" s="9" t="s">
        <v>3827</v>
      </c>
      <c r="D1420" s="10" t="s">
        <v>3828</v>
      </c>
      <c r="E1420" s="11" t="s">
        <v>3829</v>
      </c>
      <c r="F1420" s="17"/>
      <c r="G1420" s="12" t="s">
        <v>95</v>
      </c>
      <c r="H1420" s="13" t="n">
        <v>-0.024</v>
      </c>
      <c r="I1420" s="14"/>
      <c r="J1420" s="17"/>
      <c r="K1420" s="9"/>
      <c r="L1420" s="15" t="s">
        <v>50</v>
      </c>
      <c r="M1420" s="16" t="s">
        <v>51</v>
      </c>
      <c r="N1420" s="14"/>
      <c r="O1420" s="15" t="s">
        <v>52</v>
      </c>
      <c r="P1420" s="17" t="s">
        <v>53</v>
      </c>
      <c r="Q1420" s="15"/>
      <c r="R1420" s="18" t="s">
        <v>51</v>
      </c>
      <c r="S1420" s="19"/>
      <c r="T1420" s="17" t="str">
        <f aca="false">IF(R1420="維持",J1420,IF(R1420="排除","無關新聞事件",IFERROR(INDEX(事件規則!$B$2:$B$53,MATCH(S1420,事件規則!$A$2:$A$53,0)),"")))</f>
        <v>無關新聞事件</v>
      </c>
      <c r="U1420" s="20" t="n">
        <f aca="false">IF(R1420="維持",K1420,IF(R1420="排除",0,IFERROR(INDEX(事件規則!$C$2:$C$53,MATCH(S1420,事件規則!$A$2:$A$53,0)),"")))</f>
        <v>0</v>
      </c>
      <c r="V1420" s="21"/>
      <c r="W1420" s="22"/>
      <c r="X1420" s="10" t="str">
        <f aca="false">IF(AND(R1420="修改",S1420=""),"請選新事件代碼",IF(AND(R1420&lt;&gt;"修改",S1420&lt;&gt;""),"只有「修改」才需填代碼",""))</f>
        <v/>
      </c>
      <c r="Y1420" s="21"/>
      <c r="Z1420" s="22"/>
      <c r="AA1420" s="12" t="s">
        <v>3830</v>
      </c>
      <c r="AB1420" s="24"/>
    </row>
    <row r="1421" customFormat="false" ht="29.85" hidden="false" customHeight="false" outlineLevel="0" collapsed="false">
      <c r="A1421" s="15" t="n">
        <v>1420</v>
      </c>
      <c r="B1421" s="9" t="s">
        <v>55</v>
      </c>
      <c r="C1421" s="9" t="s">
        <v>3831</v>
      </c>
      <c r="D1421" s="10" t="s">
        <v>3832</v>
      </c>
      <c r="E1421" s="11" t="s">
        <v>3833</v>
      </c>
      <c r="F1421" s="17"/>
      <c r="G1421" s="12" t="s">
        <v>176</v>
      </c>
      <c r="H1421" s="13" t="n">
        <v>-0.024</v>
      </c>
      <c r="I1421" s="14"/>
      <c r="J1421" s="17"/>
      <c r="K1421" s="9"/>
      <c r="L1421" s="15" t="s">
        <v>50</v>
      </c>
      <c r="M1421" s="16" t="s">
        <v>51</v>
      </c>
      <c r="N1421" s="14"/>
      <c r="O1421" s="15" t="s">
        <v>52</v>
      </c>
      <c r="P1421" s="17" t="s">
        <v>53</v>
      </c>
      <c r="Q1421" s="15"/>
      <c r="R1421" s="18" t="s">
        <v>51</v>
      </c>
      <c r="S1421" s="19"/>
      <c r="T1421" s="17" t="str">
        <f aca="false">IF(R1421="維持",J1421,IF(R1421="排除","無關新聞事件",IFERROR(INDEX(事件規則!$B$2:$B$53,MATCH(S1421,事件規則!$A$2:$A$53,0)),"")))</f>
        <v>無關新聞事件</v>
      </c>
      <c r="U1421" s="20" t="n">
        <f aca="false">IF(R1421="維持",K1421,IF(R1421="排除",0,IFERROR(INDEX(事件規則!$C$2:$C$53,MATCH(S1421,事件規則!$A$2:$A$53,0)),"")))</f>
        <v>0</v>
      </c>
      <c r="V1421" s="21"/>
      <c r="W1421" s="22"/>
      <c r="X1421" s="10" t="str">
        <f aca="false">IF(AND(R1421="修改",S1421=""),"請選新事件代碼",IF(AND(R1421&lt;&gt;"修改",S1421&lt;&gt;""),"只有「修改」才需填代碼",""))</f>
        <v/>
      </c>
      <c r="Y1421" s="21"/>
      <c r="Z1421" s="22"/>
      <c r="AA1421" s="12" t="s">
        <v>3834</v>
      </c>
      <c r="AB1421" s="24"/>
    </row>
    <row r="1422" customFormat="false" ht="29.85" hidden="false" customHeight="false" outlineLevel="0" collapsed="false">
      <c r="A1422" s="15" t="n">
        <v>1421</v>
      </c>
      <c r="B1422" s="9" t="s">
        <v>55</v>
      </c>
      <c r="C1422" s="9" t="s">
        <v>3835</v>
      </c>
      <c r="D1422" s="10" t="s">
        <v>3836</v>
      </c>
      <c r="E1422" s="11" t="s">
        <v>3837</v>
      </c>
      <c r="F1422" s="17"/>
      <c r="G1422" s="12" t="s">
        <v>176</v>
      </c>
      <c r="H1422" s="13" t="n">
        <v>-0.024</v>
      </c>
      <c r="I1422" s="14"/>
      <c r="J1422" s="17"/>
      <c r="K1422" s="9"/>
      <c r="L1422" s="15" t="s">
        <v>50</v>
      </c>
      <c r="M1422" s="16" t="s">
        <v>51</v>
      </c>
      <c r="N1422" s="14"/>
      <c r="O1422" s="15" t="s">
        <v>52</v>
      </c>
      <c r="P1422" s="17" t="s">
        <v>53</v>
      </c>
      <c r="Q1422" s="15"/>
      <c r="R1422" s="18" t="s">
        <v>51</v>
      </c>
      <c r="S1422" s="19"/>
      <c r="T1422" s="17" t="str">
        <f aca="false">IF(R1422="維持",J1422,IF(R1422="排除","無關新聞事件",IFERROR(INDEX(事件規則!$B$2:$B$53,MATCH(S1422,事件規則!$A$2:$A$53,0)),"")))</f>
        <v>無關新聞事件</v>
      </c>
      <c r="U1422" s="20" t="n">
        <f aca="false">IF(R1422="維持",K1422,IF(R1422="排除",0,IFERROR(INDEX(事件規則!$C$2:$C$53,MATCH(S1422,事件規則!$A$2:$A$53,0)),"")))</f>
        <v>0</v>
      </c>
      <c r="V1422" s="21"/>
      <c r="W1422" s="22"/>
      <c r="X1422" s="10" t="str">
        <f aca="false">IF(AND(R1422="修改",S1422=""),"請選新事件代碼",IF(AND(R1422&lt;&gt;"修改",S1422&lt;&gt;""),"只有「修改」才需填代碼",""))</f>
        <v/>
      </c>
      <c r="Y1422" s="21"/>
      <c r="Z1422" s="22"/>
      <c r="AA1422" s="12" t="s">
        <v>3838</v>
      </c>
      <c r="AB1422" s="24"/>
    </row>
    <row r="1423" customFormat="false" ht="29.85" hidden="false" customHeight="false" outlineLevel="0" collapsed="false">
      <c r="A1423" s="15" t="n">
        <v>1422</v>
      </c>
      <c r="B1423" s="9" t="s">
        <v>112</v>
      </c>
      <c r="C1423" s="9" t="s">
        <v>2319</v>
      </c>
      <c r="D1423" s="10" t="s">
        <v>2320</v>
      </c>
      <c r="E1423" s="11" t="s">
        <v>3839</v>
      </c>
      <c r="F1423" s="17"/>
      <c r="G1423" s="12" t="s">
        <v>49</v>
      </c>
      <c r="H1423" s="13" t="n">
        <v>-0.024</v>
      </c>
      <c r="I1423" s="14"/>
      <c r="J1423" s="17"/>
      <c r="K1423" s="9"/>
      <c r="L1423" s="15" t="s">
        <v>50</v>
      </c>
      <c r="M1423" s="16" t="s">
        <v>51</v>
      </c>
      <c r="N1423" s="14"/>
      <c r="O1423" s="15" t="s">
        <v>52</v>
      </c>
      <c r="P1423" s="17" t="s">
        <v>53</v>
      </c>
      <c r="Q1423" s="15"/>
      <c r="R1423" s="18" t="s">
        <v>51</v>
      </c>
      <c r="S1423" s="19"/>
      <c r="T1423" s="17" t="str">
        <f aca="false">IF(R1423="維持",J1423,IF(R1423="排除","無關新聞事件",IFERROR(INDEX(事件規則!$B$2:$B$53,MATCH(S1423,事件規則!$A$2:$A$53,0)),"")))</f>
        <v>無關新聞事件</v>
      </c>
      <c r="U1423" s="20" t="n">
        <f aca="false">IF(R1423="維持",K1423,IF(R1423="排除",0,IFERROR(INDEX(事件規則!$C$2:$C$53,MATCH(S1423,事件規則!$A$2:$A$53,0)),"")))</f>
        <v>0</v>
      </c>
      <c r="V1423" s="21"/>
      <c r="W1423" s="22"/>
      <c r="X1423" s="10" t="str">
        <f aca="false">IF(AND(R1423="修改",S1423=""),"請選新事件代碼",IF(AND(R1423&lt;&gt;"修改",S1423&lt;&gt;""),"只有「修改」才需填代碼",""))</f>
        <v/>
      </c>
      <c r="Y1423" s="21"/>
      <c r="Z1423" s="22"/>
      <c r="AA1423" s="12" t="s">
        <v>3840</v>
      </c>
      <c r="AB1423" s="24"/>
    </row>
    <row r="1424" customFormat="false" ht="29.85" hidden="false" customHeight="false" outlineLevel="0" collapsed="false">
      <c r="A1424" s="15" t="n">
        <v>1423</v>
      </c>
      <c r="B1424" s="9" t="s">
        <v>55</v>
      </c>
      <c r="C1424" s="9" t="s">
        <v>3075</v>
      </c>
      <c r="D1424" s="10" t="s">
        <v>3076</v>
      </c>
      <c r="E1424" s="11" t="s">
        <v>3841</v>
      </c>
      <c r="F1424" s="17"/>
      <c r="G1424" s="12" t="s">
        <v>59</v>
      </c>
      <c r="H1424" s="13" t="n">
        <v>-0.024</v>
      </c>
      <c r="I1424" s="14"/>
      <c r="J1424" s="17"/>
      <c r="K1424" s="9"/>
      <c r="L1424" s="15" t="s">
        <v>50</v>
      </c>
      <c r="M1424" s="16" t="s">
        <v>51</v>
      </c>
      <c r="N1424" s="14"/>
      <c r="O1424" s="15" t="s">
        <v>52</v>
      </c>
      <c r="P1424" s="17" t="s">
        <v>53</v>
      </c>
      <c r="Q1424" s="15"/>
      <c r="R1424" s="18" t="s">
        <v>51</v>
      </c>
      <c r="S1424" s="19"/>
      <c r="T1424" s="17" t="str">
        <f aca="false">IF(R1424="維持",J1424,IF(R1424="排除","無關新聞事件",IFERROR(INDEX(事件規則!$B$2:$B$53,MATCH(S1424,事件規則!$A$2:$A$53,0)),"")))</f>
        <v>無關新聞事件</v>
      </c>
      <c r="U1424" s="20" t="n">
        <f aca="false">IF(R1424="維持",K1424,IF(R1424="排除",0,IFERROR(INDEX(事件規則!$C$2:$C$53,MATCH(S1424,事件規則!$A$2:$A$53,0)),"")))</f>
        <v>0</v>
      </c>
      <c r="V1424" s="21"/>
      <c r="W1424" s="22"/>
      <c r="X1424" s="10" t="str">
        <f aca="false">IF(AND(R1424="修改",S1424=""),"請選新事件代碼",IF(AND(R1424&lt;&gt;"修改",S1424&lt;&gt;""),"只有「修改」才需填代碼",""))</f>
        <v/>
      </c>
      <c r="Y1424" s="21"/>
      <c r="Z1424" s="22"/>
      <c r="AA1424" s="12" t="s">
        <v>3842</v>
      </c>
      <c r="AB1424" s="24"/>
    </row>
    <row r="1425" customFormat="false" ht="29.85" hidden="false" customHeight="false" outlineLevel="0" collapsed="false">
      <c r="A1425" s="15" t="n">
        <v>1424</v>
      </c>
      <c r="B1425" s="9" t="s">
        <v>45</v>
      </c>
      <c r="C1425" s="9" t="s">
        <v>118</v>
      </c>
      <c r="D1425" s="10" t="s">
        <v>119</v>
      </c>
      <c r="E1425" s="11" t="s">
        <v>3843</v>
      </c>
      <c r="F1425" s="17"/>
      <c r="G1425" s="12" t="s">
        <v>1056</v>
      </c>
      <c r="H1425" s="13" t="n">
        <v>-0.024</v>
      </c>
      <c r="I1425" s="14"/>
      <c r="J1425" s="17"/>
      <c r="K1425" s="9"/>
      <c r="L1425" s="15" t="s">
        <v>50</v>
      </c>
      <c r="M1425" s="16" t="s">
        <v>51</v>
      </c>
      <c r="N1425" s="14"/>
      <c r="O1425" s="15" t="s">
        <v>52</v>
      </c>
      <c r="P1425" s="17" t="s">
        <v>53</v>
      </c>
      <c r="Q1425" s="15"/>
      <c r="R1425" s="18" t="s">
        <v>51</v>
      </c>
      <c r="S1425" s="19"/>
      <c r="T1425" s="17" t="str">
        <f aca="false">IF(R1425="維持",J1425,IF(R1425="排除","無關新聞事件",IFERROR(INDEX(事件規則!$B$2:$B$53,MATCH(S1425,事件規則!$A$2:$A$53,0)),"")))</f>
        <v>無關新聞事件</v>
      </c>
      <c r="U1425" s="20" t="n">
        <f aca="false">IF(R1425="維持",K1425,IF(R1425="排除",0,IFERROR(INDEX(事件規則!$C$2:$C$53,MATCH(S1425,事件規則!$A$2:$A$53,0)),"")))</f>
        <v>0</v>
      </c>
      <c r="V1425" s="21"/>
      <c r="W1425" s="22"/>
      <c r="X1425" s="10" t="str">
        <f aca="false">IF(AND(R1425="修改",S1425=""),"請選新事件代碼",IF(AND(R1425&lt;&gt;"修改",S1425&lt;&gt;""),"只有「修改」才需填代碼",""))</f>
        <v/>
      </c>
      <c r="Y1425" s="21"/>
      <c r="Z1425" s="22"/>
      <c r="AA1425" s="12" t="s">
        <v>3844</v>
      </c>
      <c r="AB1425" s="24"/>
    </row>
    <row r="1426" customFormat="false" ht="29.85" hidden="false" customHeight="false" outlineLevel="0" collapsed="false">
      <c r="A1426" s="15" t="n">
        <v>1425</v>
      </c>
      <c r="B1426" s="9" t="s">
        <v>45</v>
      </c>
      <c r="C1426" s="9" t="s">
        <v>3845</v>
      </c>
      <c r="D1426" s="10" t="s">
        <v>3846</v>
      </c>
      <c r="E1426" s="11" t="s">
        <v>3847</v>
      </c>
      <c r="F1426" s="17"/>
      <c r="G1426" s="12" t="s">
        <v>2033</v>
      </c>
      <c r="H1426" s="13" t="n">
        <v>-0.024</v>
      </c>
      <c r="I1426" s="14"/>
      <c r="J1426" s="17"/>
      <c r="K1426" s="9"/>
      <c r="L1426" s="15" t="s">
        <v>50</v>
      </c>
      <c r="M1426" s="16" t="s">
        <v>51</v>
      </c>
      <c r="N1426" s="14"/>
      <c r="O1426" s="15" t="s">
        <v>52</v>
      </c>
      <c r="P1426" s="17" t="s">
        <v>53</v>
      </c>
      <c r="Q1426" s="15"/>
      <c r="R1426" s="18" t="s">
        <v>51</v>
      </c>
      <c r="S1426" s="19"/>
      <c r="T1426" s="17" t="str">
        <f aca="false">IF(R1426="維持",J1426,IF(R1426="排除","無關新聞事件",IFERROR(INDEX(事件規則!$B$2:$B$53,MATCH(S1426,事件規則!$A$2:$A$53,0)),"")))</f>
        <v>無關新聞事件</v>
      </c>
      <c r="U1426" s="20" t="n">
        <f aca="false">IF(R1426="維持",K1426,IF(R1426="排除",0,IFERROR(INDEX(事件規則!$C$2:$C$53,MATCH(S1426,事件規則!$A$2:$A$53,0)),"")))</f>
        <v>0</v>
      </c>
      <c r="V1426" s="21"/>
      <c r="W1426" s="22"/>
      <c r="X1426" s="10" t="str">
        <f aca="false">IF(AND(R1426="修改",S1426=""),"請選新事件代碼",IF(AND(R1426&lt;&gt;"修改",S1426&lt;&gt;""),"只有「修改」才需填代碼",""))</f>
        <v/>
      </c>
      <c r="Y1426" s="21"/>
      <c r="Z1426" s="22"/>
      <c r="AA1426" s="12" t="s">
        <v>3848</v>
      </c>
      <c r="AB1426" s="24"/>
    </row>
    <row r="1427" customFormat="false" ht="29.85" hidden="false" customHeight="false" outlineLevel="0" collapsed="false">
      <c r="A1427" s="15" t="n">
        <v>1426</v>
      </c>
      <c r="B1427" s="9" t="s">
        <v>45</v>
      </c>
      <c r="C1427" s="9" t="s">
        <v>1555</v>
      </c>
      <c r="D1427" s="10" t="s">
        <v>1556</v>
      </c>
      <c r="E1427" s="11" t="s">
        <v>3849</v>
      </c>
      <c r="F1427" s="17"/>
      <c r="G1427" s="12" t="s">
        <v>949</v>
      </c>
      <c r="H1427" s="13" t="n">
        <v>-0.024</v>
      </c>
      <c r="I1427" s="14"/>
      <c r="J1427" s="17"/>
      <c r="K1427" s="9"/>
      <c r="L1427" s="15" t="s">
        <v>50</v>
      </c>
      <c r="M1427" s="16" t="s">
        <v>51</v>
      </c>
      <c r="N1427" s="14"/>
      <c r="O1427" s="15" t="s">
        <v>52</v>
      </c>
      <c r="P1427" s="17" t="s">
        <v>53</v>
      </c>
      <c r="Q1427" s="15"/>
      <c r="R1427" s="18" t="s">
        <v>51</v>
      </c>
      <c r="S1427" s="19"/>
      <c r="T1427" s="17" t="str">
        <f aca="false">IF(R1427="維持",J1427,IF(R1427="排除","無關新聞事件",IFERROR(INDEX(事件規則!$B$2:$B$53,MATCH(S1427,事件規則!$A$2:$A$53,0)),"")))</f>
        <v>無關新聞事件</v>
      </c>
      <c r="U1427" s="20" t="n">
        <f aca="false">IF(R1427="維持",K1427,IF(R1427="排除",0,IFERROR(INDEX(事件規則!$C$2:$C$53,MATCH(S1427,事件規則!$A$2:$A$53,0)),"")))</f>
        <v>0</v>
      </c>
      <c r="V1427" s="21"/>
      <c r="W1427" s="22"/>
      <c r="X1427" s="10" t="str">
        <f aca="false">IF(AND(R1427="修改",S1427=""),"請選新事件代碼",IF(AND(R1427&lt;&gt;"修改",S1427&lt;&gt;""),"只有「修改」才需填代碼",""))</f>
        <v/>
      </c>
      <c r="Y1427" s="21"/>
      <c r="Z1427" s="22"/>
      <c r="AA1427" s="12" t="s">
        <v>3850</v>
      </c>
      <c r="AB1427" s="24"/>
    </row>
    <row r="1428" customFormat="false" ht="29.85" hidden="false" customHeight="false" outlineLevel="0" collapsed="false">
      <c r="A1428" s="15" t="n">
        <v>1427</v>
      </c>
      <c r="B1428" s="9" t="s">
        <v>55</v>
      </c>
      <c r="C1428" s="9" t="s">
        <v>921</v>
      </c>
      <c r="D1428" s="10" t="s">
        <v>922</v>
      </c>
      <c r="E1428" s="11" t="s">
        <v>3851</v>
      </c>
      <c r="F1428" s="17"/>
      <c r="G1428" s="12" t="s">
        <v>3852</v>
      </c>
      <c r="H1428" s="13" t="n">
        <v>-0.024</v>
      </c>
      <c r="I1428" s="14"/>
      <c r="J1428" s="17"/>
      <c r="K1428" s="9"/>
      <c r="L1428" s="15" t="s">
        <v>50</v>
      </c>
      <c r="M1428" s="16" t="s">
        <v>51</v>
      </c>
      <c r="N1428" s="14"/>
      <c r="O1428" s="15" t="s">
        <v>52</v>
      </c>
      <c r="P1428" s="17" t="s">
        <v>53</v>
      </c>
      <c r="Q1428" s="15"/>
      <c r="R1428" s="18" t="s">
        <v>51</v>
      </c>
      <c r="S1428" s="19"/>
      <c r="T1428" s="17" t="str">
        <f aca="false">IF(R1428="維持",J1428,IF(R1428="排除","無關新聞事件",IFERROR(INDEX(事件規則!$B$2:$B$53,MATCH(S1428,事件規則!$A$2:$A$53,0)),"")))</f>
        <v>無關新聞事件</v>
      </c>
      <c r="U1428" s="20" t="n">
        <f aca="false">IF(R1428="維持",K1428,IF(R1428="排除",0,IFERROR(INDEX(事件規則!$C$2:$C$53,MATCH(S1428,事件規則!$A$2:$A$53,0)),"")))</f>
        <v>0</v>
      </c>
      <c r="V1428" s="21"/>
      <c r="W1428" s="22"/>
      <c r="X1428" s="10" t="str">
        <f aca="false">IF(AND(R1428="修改",S1428=""),"請選新事件代碼",IF(AND(R1428&lt;&gt;"修改",S1428&lt;&gt;""),"只有「修改」才需填代碼",""))</f>
        <v/>
      </c>
      <c r="Y1428" s="21"/>
      <c r="Z1428" s="22"/>
      <c r="AA1428" s="12" t="s">
        <v>3853</v>
      </c>
      <c r="AB1428" s="24"/>
    </row>
    <row r="1429" customFormat="false" ht="29.85" hidden="false" customHeight="false" outlineLevel="0" collapsed="false">
      <c r="A1429" s="15" t="n">
        <v>1428</v>
      </c>
      <c r="B1429" s="9" t="s">
        <v>45</v>
      </c>
      <c r="C1429" s="9" t="s">
        <v>602</v>
      </c>
      <c r="D1429" s="10" t="s">
        <v>603</v>
      </c>
      <c r="E1429" s="11" t="s">
        <v>3800</v>
      </c>
      <c r="F1429" s="17"/>
      <c r="G1429" s="12" t="s">
        <v>49</v>
      </c>
      <c r="H1429" s="13" t="n">
        <v>-0.024</v>
      </c>
      <c r="I1429" s="14"/>
      <c r="J1429" s="17"/>
      <c r="K1429" s="9"/>
      <c r="L1429" s="15" t="s">
        <v>50</v>
      </c>
      <c r="M1429" s="16" t="s">
        <v>51</v>
      </c>
      <c r="N1429" s="14"/>
      <c r="O1429" s="15" t="s">
        <v>52</v>
      </c>
      <c r="P1429" s="17" t="s">
        <v>53</v>
      </c>
      <c r="Q1429" s="15"/>
      <c r="R1429" s="18" t="s">
        <v>51</v>
      </c>
      <c r="S1429" s="19"/>
      <c r="T1429" s="17" t="str">
        <f aca="false">IF(R1429="維持",J1429,IF(R1429="排除","無關新聞事件",IFERROR(INDEX(事件規則!$B$2:$B$53,MATCH(S1429,事件規則!$A$2:$A$53,0)),"")))</f>
        <v>無關新聞事件</v>
      </c>
      <c r="U1429" s="20" t="n">
        <f aca="false">IF(R1429="維持",K1429,IF(R1429="排除",0,IFERROR(INDEX(事件規則!$C$2:$C$53,MATCH(S1429,事件規則!$A$2:$A$53,0)),"")))</f>
        <v>0</v>
      </c>
      <c r="V1429" s="21"/>
      <c r="W1429" s="22"/>
      <c r="X1429" s="10" t="str">
        <f aca="false">IF(AND(R1429="修改",S1429=""),"請選新事件代碼",IF(AND(R1429&lt;&gt;"修改",S1429&lt;&gt;""),"只有「修改」才需填代碼",""))</f>
        <v/>
      </c>
      <c r="Y1429" s="21"/>
      <c r="Z1429" s="22"/>
      <c r="AA1429" s="12" t="s">
        <v>3854</v>
      </c>
      <c r="AB1429" s="24"/>
    </row>
    <row r="1430" customFormat="false" ht="29.85" hidden="false" customHeight="false" outlineLevel="0" collapsed="false">
      <c r="A1430" s="15" t="n">
        <v>1429</v>
      </c>
      <c r="B1430" s="9" t="s">
        <v>45</v>
      </c>
      <c r="C1430" s="9" t="s">
        <v>349</v>
      </c>
      <c r="D1430" s="10" t="s">
        <v>350</v>
      </c>
      <c r="E1430" s="11" t="s">
        <v>3855</v>
      </c>
      <c r="F1430" s="17"/>
      <c r="G1430" s="12" t="s">
        <v>452</v>
      </c>
      <c r="H1430" s="13" t="n">
        <v>-0.024</v>
      </c>
      <c r="I1430" s="14"/>
      <c r="J1430" s="17"/>
      <c r="K1430" s="9"/>
      <c r="L1430" s="15" t="s">
        <v>50</v>
      </c>
      <c r="M1430" s="16" t="s">
        <v>51</v>
      </c>
      <c r="N1430" s="14"/>
      <c r="O1430" s="15" t="s">
        <v>52</v>
      </c>
      <c r="P1430" s="17" t="s">
        <v>53</v>
      </c>
      <c r="Q1430" s="15"/>
      <c r="R1430" s="18" t="s">
        <v>51</v>
      </c>
      <c r="S1430" s="19"/>
      <c r="T1430" s="17" t="str">
        <f aca="false">IF(R1430="維持",J1430,IF(R1430="排除","無關新聞事件",IFERROR(INDEX(事件規則!$B$2:$B$53,MATCH(S1430,事件規則!$A$2:$A$53,0)),"")))</f>
        <v>無關新聞事件</v>
      </c>
      <c r="U1430" s="20" t="n">
        <f aca="false">IF(R1430="維持",K1430,IF(R1430="排除",0,IFERROR(INDEX(事件規則!$C$2:$C$53,MATCH(S1430,事件規則!$A$2:$A$53,0)),"")))</f>
        <v>0</v>
      </c>
      <c r="V1430" s="21"/>
      <c r="W1430" s="22"/>
      <c r="X1430" s="10" t="str">
        <f aca="false">IF(AND(R1430="修改",S1430=""),"請選新事件代碼",IF(AND(R1430&lt;&gt;"修改",S1430&lt;&gt;""),"只有「修改」才需填代碼",""))</f>
        <v/>
      </c>
      <c r="Y1430" s="21"/>
      <c r="Z1430" s="22"/>
      <c r="AA1430" s="12" t="s">
        <v>3856</v>
      </c>
      <c r="AB1430" s="24"/>
    </row>
    <row r="1431" customFormat="false" ht="29.85" hidden="false" customHeight="false" outlineLevel="0" collapsed="false">
      <c r="A1431" s="15" t="n">
        <v>1430</v>
      </c>
      <c r="B1431" s="9" t="s">
        <v>81</v>
      </c>
      <c r="C1431" s="9" t="s">
        <v>1406</v>
      </c>
      <c r="D1431" s="10" t="s">
        <v>1407</v>
      </c>
      <c r="E1431" s="11" t="s">
        <v>3804</v>
      </c>
      <c r="F1431" s="17"/>
      <c r="G1431" s="12" t="s">
        <v>3221</v>
      </c>
      <c r="H1431" s="13" t="n">
        <v>-0.024</v>
      </c>
      <c r="I1431" s="14"/>
      <c r="J1431" s="17"/>
      <c r="K1431" s="9"/>
      <c r="L1431" s="15" t="s">
        <v>50</v>
      </c>
      <c r="M1431" s="16" t="s">
        <v>51</v>
      </c>
      <c r="N1431" s="14"/>
      <c r="O1431" s="15" t="s">
        <v>52</v>
      </c>
      <c r="P1431" s="17" t="s">
        <v>53</v>
      </c>
      <c r="Q1431" s="15"/>
      <c r="R1431" s="18" t="s">
        <v>51</v>
      </c>
      <c r="S1431" s="19"/>
      <c r="T1431" s="17" t="str">
        <f aca="false">IF(R1431="維持",J1431,IF(R1431="排除","無關新聞事件",IFERROR(INDEX(事件規則!$B$2:$B$53,MATCH(S1431,事件規則!$A$2:$A$53,0)),"")))</f>
        <v>無關新聞事件</v>
      </c>
      <c r="U1431" s="20" t="n">
        <f aca="false">IF(R1431="維持",K1431,IF(R1431="排除",0,IFERROR(INDEX(事件規則!$C$2:$C$53,MATCH(S1431,事件規則!$A$2:$A$53,0)),"")))</f>
        <v>0</v>
      </c>
      <c r="V1431" s="21"/>
      <c r="W1431" s="22"/>
      <c r="X1431" s="10" t="str">
        <f aca="false">IF(AND(R1431="修改",S1431=""),"請選新事件代碼",IF(AND(R1431&lt;&gt;"修改",S1431&lt;&gt;""),"只有「修改」才需填代碼",""))</f>
        <v/>
      </c>
      <c r="Y1431" s="21"/>
      <c r="Z1431" s="22"/>
      <c r="AA1431" s="12" t="s">
        <v>3805</v>
      </c>
      <c r="AB1431" s="24"/>
    </row>
    <row r="1432" customFormat="false" ht="29.85" hidden="false" customHeight="false" outlineLevel="0" collapsed="false">
      <c r="A1432" s="15" t="n">
        <v>1431</v>
      </c>
      <c r="B1432" s="9" t="s">
        <v>81</v>
      </c>
      <c r="C1432" s="9" t="s">
        <v>178</v>
      </c>
      <c r="D1432" s="10" t="s">
        <v>179</v>
      </c>
      <c r="E1432" s="11" t="s">
        <v>3857</v>
      </c>
      <c r="F1432" s="17"/>
      <c r="G1432" s="12" t="s">
        <v>649</v>
      </c>
      <c r="H1432" s="13" t="n">
        <v>-0.024</v>
      </c>
      <c r="I1432" s="14"/>
      <c r="J1432" s="17"/>
      <c r="K1432" s="9"/>
      <c r="L1432" s="15" t="s">
        <v>50</v>
      </c>
      <c r="M1432" s="16" t="s">
        <v>51</v>
      </c>
      <c r="N1432" s="14"/>
      <c r="O1432" s="15" t="s">
        <v>52</v>
      </c>
      <c r="P1432" s="17" t="s">
        <v>53</v>
      </c>
      <c r="Q1432" s="15"/>
      <c r="R1432" s="18" t="s">
        <v>51</v>
      </c>
      <c r="S1432" s="19"/>
      <c r="T1432" s="17" t="str">
        <f aca="false">IF(R1432="維持",J1432,IF(R1432="排除","無關新聞事件",IFERROR(INDEX(事件規則!$B$2:$B$53,MATCH(S1432,事件規則!$A$2:$A$53,0)),"")))</f>
        <v>無關新聞事件</v>
      </c>
      <c r="U1432" s="20" t="n">
        <f aca="false">IF(R1432="維持",K1432,IF(R1432="排除",0,IFERROR(INDEX(事件規則!$C$2:$C$53,MATCH(S1432,事件規則!$A$2:$A$53,0)),"")))</f>
        <v>0</v>
      </c>
      <c r="V1432" s="21"/>
      <c r="W1432" s="22"/>
      <c r="X1432" s="10" t="str">
        <f aca="false">IF(AND(R1432="修改",S1432=""),"請選新事件代碼",IF(AND(R1432&lt;&gt;"修改",S1432&lt;&gt;""),"只有「修改」才需填代碼",""))</f>
        <v/>
      </c>
      <c r="Y1432" s="21"/>
      <c r="Z1432" s="22"/>
      <c r="AA1432" s="12" t="s">
        <v>3858</v>
      </c>
      <c r="AB1432" s="24"/>
    </row>
    <row r="1433" customFormat="false" ht="29.85" hidden="false" customHeight="false" outlineLevel="0" collapsed="false">
      <c r="A1433" s="15" t="n">
        <v>1432</v>
      </c>
      <c r="B1433" s="9" t="s">
        <v>45</v>
      </c>
      <c r="C1433" s="9" t="s">
        <v>427</v>
      </c>
      <c r="D1433" s="10" t="s">
        <v>428</v>
      </c>
      <c r="E1433" s="11" t="s">
        <v>3809</v>
      </c>
      <c r="F1433" s="17"/>
      <c r="G1433" s="12" t="s">
        <v>3221</v>
      </c>
      <c r="H1433" s="13" t="n">
        <v>-0.024</v>
      </c>
      <c r="I1433" s="14"/>
      <c r="J1433" s="17"/>
      <c r="K1433" s="9"/>
      <c r="L1433" s="15" t="s">
        <v>50</v>
      </c>
      <c r="M1433" s="16" t="s">
        <v>51</v>
      </c>
      <c r="N1433" s="14"/>
      <c r="O1433" s="15" t="s">
        <v>52</v>
      </c>
      <c r="P1433" s="17" t="s">
        <v>53</v>
      </c>
      <c r="Q1433" s="15"/>
      <c r="R1433" s="18" t="s">
        <v>51</v>
      </c>
      <c r="S1433" s="19"/>
      <c r="T1433" s="17" t="str">
        <f aca="false">IF(R1433="維持",J1433,IF(R1433="排除","無關新聞事件",IFERROR(INDEX(事件規則!$B$2:$B$53,MATCH(S1433,事件規則!$A$2:$A$53,0)),"")))</f>
        <v>無關新聞事件</v>
      </c>
      <c r="U1433" s="20" t="n">
        <f aca="false">IF(R1433="維持",K1433,IF(R1433="排除",0,IFERROR(INDEX(事件規則!$C$2:$C$53,MATCH(S1433,事件規則!$A$2:$A$53,0)),"")))</f>
        <v>0</v>
      </c>
      <c r="V1433" s="21"/>
      <c r="W1433" s="22"/>
      <c r="X1433" s="10" t="str">
        <f aca="false">IF(AND(R1433="修改",S1433=""),"請選新事件代碼",IF(AND(R1433&lt;&gt;"修改",S1433&lt;&gt;""),"只有「修改」才需填代碼",""))</f>
        <v/>
      </c>
      <c r="Y1433" s="21"/>
      <c r="Z1433" s="22"/>
      <c r="AA1433" s="12" t="s">
        <v>3810</v>
      </c>
      <c r="AB1433" s="24"/>
    </row>
    <row r="1434" customFormat="false" ht="29.85" hidden="false" customHeight="false" outlineLevel="0" collapsed="false">
      <c r="A1434" s="15" t="n">
        <v>1433</v>
      </c>
      <c r="B1434" s="9" t="s">
        <v>45</v>
      </c>
      <c r="C1434" s="9" t="s">
        <v>355</v>
      </c>
      <c r="D1434" s="10" t="s">
        <v>356</v>
      </c>
      <c r="E1434" s="11" t="s">
        <v>3859</v>
      </c>
      <c r="F1434" s="17"/>
      <c r="G1434" s="12" t="s">
        <v>3860</v>
      </c>
      <c r="H1434" s="13" t="n">
        <v>-0.024</v>
      </c>
      <c r="I1434" s="14"/>
      <c r="J1434" s="17"/>
      <c r="K1434" s="9"/>
      <c r="L1434" s="15" t="s">
        <v>50</v>
      </c>
      <c r="M1434" s="16" t="s">
        <v>51</v>
      </c>
      <c r="N1434" s="14"/>
      <c r="O1434" s="15" t="s">
        <v>52</v>
      </c>
      <c r="P1434" s="17" t="s">
        <v>53</v>
      </c>
      <c r="Q1434" s="15"/>
      <c r="R1434" s="18" t="s">
        <v>51</v>
      </c>
      <c r="S1434" s="19"/>
      <c r="T1434" s="17" t="str">
        <f aca="false">IF(R1434="維持",J1434,IF(R1434="排除","無關新聞事件",IFERROR(INDEX(事件規則!$B$2:$B$53,MATCH(S1434,事件規則!$A$2:$A$53,0)),"")))</f>
        <v>無關新聞事件</v>
      </c>
      <c r="U1434" s="20" t="n">
        <f aca="false">IF(R1434="維持",K1434,IF(R1434="排除",0,IFERROR(INDEX(事件規則!$C$2:$C$53,MATCH(S1434,事件規則!$A$2:$A$53,0)),"")))</f>
        <v>0</v>
      </c>
      <c r="V1434" s="21"/>
      <c r="W1434" s="22"/>
      <c r="X1434" s="10" t="str">
        <f aca="false">IF(AND(R1434="修改",S1434=""),"請選新事件代碼",IF(AND(R1434&lt;&gt;"修改",S1434&lt;&gt;""),"只有「修改」才需填代碼",""))</f>
        <v/>
      </c>
      <c r="Y1434" s="21"/>
      <c r="Z1434" s="22"/>
      <c r="AA1434" s="12" t="s">
        <v>3861</v>
      </c>
      <c r="AB1434" s="24"/>
    </row>
    <row r="1435" customFormat="false" ht="29.85" hidden="false" customHeight="false" outlineLevel="0" collapsed="false">
      <c r="A1435" s="15" t="n">
        <v>1434</v>
      </c>
      <c r="B1435" s="9" t="s">
        <v>112</v>
      </c>
      <c r="C1435" s="9" t="s">
        <v>414</v>
      </c>
      <c r="D1435" s="10" t="s">
        <v>415</v>
      </c>
      <c r="E1435" s="11" t="s">
        <v>3862</v>
      </c>
      <c r="F1435" s="17"/>
      <c r="G1435" s="12" t="s">
        <v>949</v>
      </c>
      <c r="H1435" s="13" t="n">
        <v>-0.024</v>
      </c>
      <c r="I1435" s="14"/>
      <c r="J1435" s="17"/>
      <c r="K1435" s="9"/>
      <c r="L1435" s="15" t="s">
        <v>50</v>
      </c>
      <c r="M1435" s="16" t="s">
        <v>51</v>
      </c>
      <c r="N1435" s="14"/>
      <c r="O1435" s="15" t="s">
        <v>52</v>
      </c>
      <c r="P1435" s="17" t="s">
        <v>53</v>
      </c>
      <c r="Q1435" s="15"/>
      <c r="R1435" s="18" t="s">
        <v>51</v>
      </c>
      <c r="S1435" s="19"/>
      <c r="T1435" s="17" t="str">
        <f aca="false">IF(R1435="維持",J1435,IF(R1435="排除","無關新聞事件",IFERROR(INDEX(事件規則!$B$2:$B$53,MATCH(S1435,事件規則!$A$2:$A$53,0)),"")))</f>
        <v>無關新聞事件</v>
      </c>
      <c r="U1435" s="20" t="n">
        <f aca="false">IF(R1435="維持",K1435,IF(R1435="排除",0,IFERROR(INDEX(事件規則!$C$2:$C$53,MATCH(S1435,事件規則!$A$2:$A$53,0)),"")))</f>
        <v>0</v>
      </c>
      <c r="V1435" s="21"/>
      <c r="W1435" s="22"/>
      <c r="X1435" s="10" t="str">
        <f aca="false">IF(AND(R1435="修改",S1435=""),"請選新事件代碼",IF(AND(R1435&lt;&gt;"修改",S1435&lt;&gt;""),"只有「修改」才需填代碼",""))</f>
        <v/>
      </c>
      <c r="Y1435" s="21"/>
      <c r="Z1435" s="22"/>
      <c r="AA1435" s="12" t="s">
        <v>3863</v>
      </c>
      <c r="AB1435" s="24"/>
    </row>
    <row r="1436" customFormat="false" ht="29.85" hidden="false" customHeight="false" outlineLevel="0" collapsed="false">
      <c r="A1436" s="15" t="n">
        <v>1435</v>
      </c>
      <c r="B1436" s="9" t="s">
        <v>45</v>
      </c>
      <c r="C1436" s="9" t="s">
        <v>2403</v>
      </c>
      <c r="D1436" s="10" t="s">
        <v>2404</v>
      </c>
      <c r="E1436" s="11" t="s">
        <v>3864</v>
      </c>
      <c r="F1436" s="17"/>
      <c r="G1436" s="12" t="s">
        <v>176</v>
      </c>
      <c r="H1436" s="13" t="n">
        <v>-0.024</v>
      </c>
      <c r="I1436" s="14"/>
      <c r="J1436" s="17"/>
      <c r="K1436" s="9"/>
      <c r="L1436" s="15" t="s">
        <v>50</v>
      </c>
      <c r="M1436" s="16" t="s">
        <v>51</v>
      </c>
      <c r="N1436" s="14"/>
      <c r="O1436" s="15" t="s">
        <v>52</v>
      </c>
      <c r="P1436" s="17" t="s">
        <v>53</v>
      </c>
      <c r="Q1436" s="15"/>
      <c r="R1436" s="18" t="s">
        <v>51</v>
      </c>
      <c r="S1436" s="19"/>
      <c r="T1436" s="17" t="str">
        <f aca="false">IF(R1436="維持",J1436,IF(R1436="排除","無關新聞事件",IFERROR(INDEX(事件規則!$B$2:$B$53,MATCH(S1436,事件規則!$A$2:$A$53,0)),"")))</f>
        <v>無關新聞事件</v>
      </c>
      <c r="U1436" s="20" t="n">
        <f aca="false">IF(R1436="維持",K1436,IF(R1436="排除",0,IFERROR(INDEX(事件規則!$C$2:$C$53,MATCH(S1436,事件規則!$A$2:$A$53,0)),"")))</f>
        <v>0</v>
      </c>
      <c r="V1436" s="21"/>
      <c r="W1436" s="22"/>
      <c r="X1436" s="10" t="str">
        <f aca="false">IF(AND(R1436="修改",S1436=""),"請選新事件代碼",IF(AND(R1436&lt;&gt;"修改",S1436&lt;&gt;""),"只有「修改」才需填代碼",""))</f>
        <v/>
      </c>
      <c r="Y1436" s="21"/>
      <c r="Z1436" s="22"/>
      <c r="AA1436" s="12" t="s">
        <v>3865</v>
      </c>
      <c r="AB1436" s="24"/>
    </row>
    <row r="1437" customFormat="false" ht="29.85" hidden="false" customHeight="false" outlineLevel="0" collapsed="false">
      <c r="A1437" s="15" t="n">
        <v>1436</v>
      </c>
      <c r="B1437" s="9" t="s">
        <v>81</v>
      </c>
      <c r="C1437" s="9" t="s">
        <v>1102</v>
      </c>
      <c r="D1437" s="10" t="s">
        <v>1103</v>
      </c>
      <c r="E1437" s="11" t="s">
        <v>3866</v>
      </c>
      <c r="F1437" s="17"/>
      <c r="G1437" s="12" t="s">
        <v>1136</v>
      </c>
      <c r="H1437" s="13" t="n">
        <v>-0.024</v>
      </c>
      <c r="I1437" s="14"/>
      <c r="J1437" s="17"/>
      <c r="K1437" s="9"/>
      <c r="L1437" s="15" t="s">
        <v>50</v>
      </c>
      <c r="M1437" s="16" t="s">
        <v>51</v>
      </c>
      <c r="N1437" s="14"/>
      <c r="O1437" s="15" t="s">
        <v>52</v>
      </c>
      <c r="P1437" s="17" t="s">
        <v>53</v>
      </c>
      <c r="Q1437" s="15"/>
      <c r="R1437" s="18" t="s">
        <v>51</v>
      </c>
      <c r="S1437" s="19"/>
      <c r="T1437" s="17" t="str">
        <f aca="false">IF(R1437="維持",J1437,IF(R1437="排除","無關新聞事件",IFERROR(INDEX(事件規則!$B$2:$B$53,MATCH(S1437,事件規則!$A$2:$A$53,0)),"")))</f>
        <v>無關新聞事件</v>
      </c>
      <c r="U1437" s="20" t="n">
        <f aca="false">IF(R1437="維持",K1437,IF(R1437="排除",0,IFERROR(INDEX(事件規則!$C$2:$C$53,MATCH(S1437,事件規則!$A$2:$A$53,0)),"")))</f>
        <v>0</v>
      </c>
      <c r="V1437" s="21"/>
      <c r="W1437" s="22"/>
      <c r="X1437" s="10" t="str">
        <f aca="false">IF(AND(R1437="修改",S1437=""),"請選新事件代碼",IF(AND(R1437&lt;&gt;"修改",S1437&lt;&gt;""),"只有「修改」才需填代碼",""))</f>
        <v/>
      </c>
      <c r="Y1437" s="21"/>
      <c r="Z1437" s="22"/>
      <c r="AA1437" s="12" t="s">
        <v>3867</v>
      </c>
      <c r="AB1437" s="24"/>
    </row>
    <row r="1438" customFormat="false" ht="29.85" hidden="false" customHeight="false" outlineLevel="0" collapsed="false">
      <c r="A1438" s="15" t="n">
        <v>1437</v>
      </c>
      <c r="B1438" s="9" t="s">
        <v>112</v>
      </c>
      <c r="C1438" s="15"/>
      <c r="D1438" s="10" t="s">
        <v>441</v>
      </c>
      <c r="E1438" s="23" t="s">
        <v>3868</v>
      </c>
      <c r="F1438" s="17" t="s">
        <v>3868</v>
      </c>
      <c r="G1438" s="12" t="s">
        <v>176</v>
      </c>
      <c r="H1438" s="13" t="n">
        <v>-0.023</v>
      </c>
      <c r="I1438" s="14"/>
      <c r="J1438" s="17"/>
      <c r="K1438" s="9"/>
      <c r="L1438" s="15" t="s">
        <v>50</v>
      </c>
      <c r="M1438" s="16" t="s">
        <v>51</v>
      </c>
      <c r="N1438" s="14"/>
      <c r="O1438" s="15" t="s">
        <v>52</v>
      </c>
      <c r="P1438" s="17" t="s">
        <v>53</v>
      </c>
      <c r="Q1438" s="15"/>
      <c r="R1438" s="18" t="s">
        <v>51</v>
      </c>
      <c r="S1438" s="19"/>
      <c r="T1438" s="17" t="str">
        <f aca="false">IF(R1438="維持",J1438,IF(R1438="排除","無關新聞事件",IFERROR(INDEX(事件規則!$B$2:$B$53,MATCH(S1438,事件規則!$A$2:$A$53,0)),"")))</f>
        <v>無關新聞事件</v>
      </c>
      <c r="U1438" s="20" t="n">
        <f aca="false">IF(R1438="維持",K1438,IF(R1438="排除",0,IFERROR(INDEX(事件規則!$C$2:$C$53,MATCH(S1438,事件規則!$A$2:$A$53,0)),"")))</f>
        <v>0</v>
      </c>
      <c r="V1438" s="21"/>
      <c r="W1438" s="22"/>
      <c r="X1438" s="10" t="str">
        <f aca="false">IF(AND(R1438="修改",S1438=""),"請選新事件代碼",IF(AND(R1438&lt;&gt;"修改",S1438&lt;&gt;""),"只有「修改」才需填代碼",""))</f>
        <v/>
      </c>
      <c r="Y1438" s="21"/>
      <c r="Z1438" s="22"/>
      <c r="AA1438" s="12" t="s">
        <v>3869</v>
      </c>
      <c r="AB1438" s="24"/>
    </row>
    <row r="1439" customFormat="false" ht="29.85" hidden="false" customHeight="false" outlineLevel="0" collapsed="false">
      <c r="A1439" s="15" t="n">
        <v>1438</v>
      </c>
      <c r="B1439" s="9" t="s">
        <v>112</v>
      </c>
      <c r="C1439" s="15"/>
      <c r="D1439" s="10" t="s">
        <v>93</v>
      </c>
      <c r="E1439" s="23" t="s">
        <v>3868</v>
      </c>
      <c r="F1439" s="17" t="s">
        <v>3868</v>
      </c>
      <c r="G1439" s="12" t="s">
        <v>176</v>
      </c>
      <c r="H1439" s="13" t="n">
        <v>-0.023</v>
      </c>
      <c r="I1439" s="14"/>
      <c r="J1439" s="17"/>
      <c r="K1439" s="9"/>
      <c r="L1439" s="15" t="s">
        <v>50</v>
      </c>
      <c r="M1439" s="16" t="s">
        <v>51</v>
      </c>
      <c r="N1439" s="14"/>
      <c r="O1439" s="15" t="s">
        <v>52</v>
      </c>
      <c r="P1439" s="17" t="s">
        <v>53</v>
      </c>
      <c r="Q1439" s="15"/>
      <c r="R1439" s="18" t="s">
        <v>51</v>
      </c>
      <c r="S1439" s="19"/>
      <c r="T1439" s="17" t="str">
        <f aca="false">IF(R1439="維持",J1439,IF(R1439="排除","無關新聞事件",IFERROR(INDEX(事件規則!$B$2:$B$53,MATCH(S1439,事件規則!$A$2:$A$53,0)),"")))</f>
        <v>無關新聞事件</v>
      </c>
      <c r="U1439" s="20" t="n">
        <f aca="false">IF(R1439="維持",K1439,IF(R1439="排除",0,IFERROR(INDEX(事件規則!$C$2:$C$53,MATCH(S1439,事件規則!$A$2:$A$53,0)),"")))</f>
        <v>0</v>
      </c>
      <c r="V1439" s="21"/>
      <c r="W1439" s="22"/>
      <c r="X1439" s="10" t="str">
        <f aca="false">IF(AND(R1439="修改",S1439=""),"請選新事件代碼",IF(AND(R1439&lt;&gt;"修改",S1439&lt;&gt;""),"只有「修改」才需填代碼",""))</f>
        <v/>
      </c>
      <c r="Y1439" s="21"/>
      <c r="Z1439" s="22"/>
      <c r="AA1439" s="12" t="s">
        <v>3870</v>
      </c>
      <c r="AB1439" s="24"/>
    </row>
    <row r="1440" customFormat="false" ht="29.85" hidden="false" customHeight="false" outlineLevel="0" collapsed="false">
      <c r="A1440" s="15" t="n">
        <v>1439</v>
      </c>
      <c r="B1440" s="9" t="s">
        <v>112</v>
      </c>
      <c r="C1440" s="15"/>
      <c r="D1440" s="10" t="s">
        <v>119</v>
      </c>
      <c r="E1440" s="23" t="s">
        <v>3868</v>
      </c>
      <c r="F1440" s="17" t="s">
        <v>3868</v>
      </c>
      <c r="G1440" s="12" t="s">
        <v>176</v>
      </c>
      <c r="H1440" s="13" t="n">
        <v>-0.023</v>
      </c>
      <c r="I1440" s="14"/>
      <c r="J1440" s="17"/>
      <c r="K1440" s="9"/>
      <c r="L1440" s="15" t="s">
        <v>50</v>
      </c>
      <c r="M1440" s="16" t="s">
        <v>51</v>
      </c>
      <c r="N1440" s="14"/>
      <c r="O1440" s="15" t="s">
        <v>52</v>
      </c>
      <c r="P1440" s="17" t="s">
        <v>53</v>
      </c>
      <c r="Q1440" s="15"/>
      <c r="R1440" s="18" t="s">
        <v>51</v>
      </c>
      <c r="S1440" s="19"/>
      <c r="T1440" s="17" t="str">
        <f aca="false">IF(R1440="維持",J1440,IF(R1440="排除","無關新聞事件",IFERROR(INDEX(事件規則!$B$2:$B$53,MATCH(S1440,事件規則!$A$2:$A$53,0)),"")))</f>
        <v>無關新聞事件</v>
      </c>
      <c r="U1440" s="20" t="n">
        <f aca="false">IF(R1440="維持",K1440,IF(R1440="排除",0,IFERROR(INDEX(事件規則!$C$2:$C$53,MATCH(S1440,事件規則!$A$2:$A$53,0)),"")))</f>
        <v>0</v>
      </c>
      <c r="V1440" s="21"/>
      <c r="W1440" s="22"/>
      <c r="X1440" s="10" t="str">
        <f aca="false">IF(AND(R1440="修改",S1440=""),"請選新事件代碼",IF(AND(R1440&lt;&gt;"修改",S1440&lt;&gt;""),"只有「修改」才需填代碼",""))</f>
        <v/>
      </c>
      <c r="Y1440" s="21"/>
      <c r="Z1440" s="22"/>
      <c r="AA1440" s="12" t="s">
        <v>3871</v>
      </c>
      <c r="AB1440" s="24"/>
    </row>
    <row r="1441" customFormat="false" ht="29.85" hidden="false" customHeight="false" outlineLevel="0" collapsed="false">
      <c r="A1441" s="15" t="n">
        <v>1440</v>
      </c>
      <c r="B1441" s="9" t="s">
        <v>45</v>
      </c>
      <c r="C1441" s="9" t="s">
        <v>1571</v>
      </c>
      <c r="D1441" s="10" t="s">
        <v>1572</v>
      </c>
      <c r="E1441" s="11" t="s">
        <v>3872</v>
      </c>
      <c r="F1441" s="17"/>
      <c r="G1441" s="12" t="s">
        <v>3873</v>
      </c>
      <c r="H1441" s="13" t="n">
        <v>-0.023</v>
      </c>
      <c r="I1441" s="14"/>
      <c r="J1441" s="17"/>
      <c r="K1441" s="9"/>
      <c r="L1441" s="15" t="s">
        <v>50</v>
      </c>
      <c r="M1441" s="16" t="s">
        <v>51</v>
      </c>
      <c r="N1441" s="14"/>
      <c r="O1441" s="15" t="s">
        <v>52</v>
      </c>
      <c r="P1441" s="17" t="s">
        <v>53</v>
      </c>
      <c r="Q1441" s="15"/>
      <c r="R1441" s="18" t="s">
        <v>51</v>
      </c>
      <c r="S1441" s="19"/>
      <c r="T1441" s="17" t="str">
        <f aca="false">IF(R1441="維持",J1441,IF(R1441="排除","無關新聞事件",IFERROR(INDEX(事件規則!$B$2:$B$53,MATCH(S1441,事件規則!$A$2:$A$53,0)),"")))</f>
        <v>無關新聞事件</v>
      </c>
      <c r="U1441" s="20" t="n">
        <f aca="false">IF(R1441="維持",K1441,IF(R1441="排除",0,IFERROR(INDEX(事件規則!$C$2:$C$53,MATCH(S1441,事件規則!$A$2:$A$53,0)),"")))</f>
        <v>0</v>
      </c>
      <c r="V1441" s="21"/>
      <c r="W1441" s="22"/>
      <c r="X1441" s="10" t="str">
        <f aca="false">IF(AND(R1441="修改",S1441=""),"請選新事件代碼",IF(AND(R1441&lt;&gt;"修改",S1441&lt;&gt;""),"只有「修改」才需填代碼",""))</f>
        <v/>
      </c>
      <c r="Y1441" s="21"/>
      <c r="Z1441" s="22"/>
      <c r="AA1441" s="12" t="s">
        <v>3874</v>
      </c>
      <c r="AB1441" s="24"/>
    </row>
    <row r="1442" customFormat="false" ht="29.85" hidden="false" customHeight="false" outlineLevel="0" collapsed="false">
      <c r="A1442" s="15" t="n">
        <v>1441</v>
      </c>
      <c r="B1442" s="9" t="s">
        <v>45</v>
      </c>
      <c r="C1442" s="9" t="s">
        <v>550</v>
      </c>
      <c r="D1442" s="10" t="s">
        <v>551</v>
      </c>
      <c r="E1442" s="11" t="s">
        <v>3875</v>
      </c>
      <c r="F1442" s="17"/>
      <c r="G1442" s="12" t="s">
        <v>95</v>
      </c>
      <c r="H1442" s="13" t="n">
        <v>-0.023</v>
      </c>
      <c r="I1442" s="14"/>
      <c r="J1442" s="17"/>
      <c r="K1442" s="9"/>
      <c r="L1442" s="15" t="s">
        <v>50</v>
      </c>
      <c r="M1442" s="16" t="s">
        <v>51</v>
      </c>
      <c r="N1442" s="14"/>
      <c r="O1442" s="15" t="s">
        <v>52</v>
      </c>
      <c r="P1442" s="17" t="s">
        <v>53</v>
      </c>
      <c r="Q1442" s="15"/>
      <c r="R1442" s="18" t="s">
        <v>51</v>
      </c>
      <c r="S1442" s="19"/>
      <c r="T1442" s="17" t="str">
        <f aca="false">IF(R1442="維持",J1442,IF(R1442="排除","無關新聞事件",IFERROR(INDEX(事件規則!$B$2:$B$53,MATCH(S1442,事件規則!$A$2:$A$53,0)),"")))</f>
        <v>無關新聞事件</v>
      </c>
      <c r="U1442" s="20" t="n">
        <f aca="false">IF(R1442="維持",K1442,IF(R1442="排除",0,IFERROR(INDEX(事件規則!$C$2:$C$53,MATCH(S1442,事件規則!$A$2:$A$53,0)),"")))</f>
        <v>0</v>
      </c>
      <c r="V1442" s="21"/>
      <c r="W1442" s="22"/>
      <c r="X1442" s="10" t="str">
        <f aca="false">IF(AND(R1442="修改",S1442=""),"請選新事件代碼",IF(AND(R1442&lt;&gt;"修改",S1442&lt;&gt;""),"只有「修改」才需填代碼",""))</f>
        <v/>
      </c>
      <c r="Y1442" s="21"/>
      <c r="Z1442" s="22"/>
      <c r="AA1442" s="12" t="s">
        <v>3876</v>
      </c>
      <c r="AB1442" s="24"/>
    </row>
    <row r="1443" customFormat="false" ht="29.85" hidden="false" customHeight="false" outlineLevel="0" collapsed="false">
      <c r="A1443" s="15" t="n">
        <v>1442</v>
      </c>
      <c r="B1443" s="9" t="s">
        <v>112</v>
      </c>
      <c r="C1443" s="9" t="s">
        <v>550</v>
      </c>
      <c r="D1443" s="10" t="s">
        <v>551</v>
      </c>
      <c r="E1443" s="11" t="s">
        <v>3877</v>
      </c>
      <c r="F1443" s="17"/>
      <c r="G1443" s="12" t="s">
        <v>176</v>
      </c>
      <c r="H1443" s="13" t="n">
        <v>-0.023</v>
      </c>
      <c r="I1443" s="14"/>
      <c r="J1443" s="17"/>
      <c r="K1443" s="9"/>
      <c r="L1443" s="15" t="s">
        <v>50</v>
      </c>
      <c r="M1443" s="16" t="s">
        <v>51</v>
      </c>
      <c r="N1443" s="14"/>
      <c r="O1443" s="15" t="s">
        <v>52</v>
      </c>
      <c r="P1443" s="17" t="s">
        <v>53</v>
      </c>
      <c r="Q1443" s="15"/>
      <c r="R1443" s="18" t="s">
        <v>51</v>
      </c>
      <c r="S1443" s="19"/>
      <c r="T1443" s="17" t="str">
        <f aca="false">IF(R1443="維持",J1443,IF(R1443="排除","無關新聞事件",IFERROR(INDEX(事件規則!$B$2:$B$53,MATCH(S1443,事件規則!$A$2:$A$53,0)),"")))</f>
        <v>無關新聞事件</v>
      </c>
      <c r="U1443" s="20" t="n">
        <f aca="false">IF(R1443="維持",K1443,IF(R1443="排除",0,IFERROR(INDEX(事件規則!$C$2:$C$53,MATCH(S1443,事件規則!$A$2:$A$53,0)),"")))</f>
        <v>0</v>
      </c>
      <c r="V1443" s="21"/>
      <c r="W1443" s="22"/>
      <c r="X1443" s="10" t="str">
        <f aca="false">IF(AND(R1443="修改",S1443=""),"請選新事件代碼",IF(AND(R1443&lt;&gt;"修改",S1443&lt;&gt;""),"只有「修改」才需填代碼",""))</f>
        <v/>
      </c>
      <c r="Y1443" s="21"/>
      <c r="Z1443" s="22"/>
      <c r="AA1443" s="12" t="s">
        <v>3878</v>
      </c>
      <c r="AB1443" s="24"/>
    </row>
    <row r="1444" customFormat="false" ht="29.85" hidden="false" customHeight="false" outlineLevel="0" collapsed="false">
      <c r="A1444" s="15" t="n">
        <v>1443</v>
      </c>
      <c r="B1444" s="9" t="s">
        <v>112</v>
      </c>
      <c r="C1444" s="9" t="s">
        <v>156</v>
      </c>
      <c r="D1444" s="10" t="s">
        <v>157</v>
      </c>
      <c r="E1444" s="11" t="s">
        <v>3879</v>
      </c>
      <c r="F1444" s="17"/>
      <c r="G1444" s="12" t="s">
        <v>2033</v>
      </c>
      <c r="H1444" s="13" t="n">
        <v>-0.023</v>
      </c>
      <c r="I1444" s="14"/>
      <c r="J1444" s="17"/>
      <c r="K1444" s="9"/>
      <c r="L1444" s="15" t="s">
        <v>50</v>
      </c>
      <c r="M1444" s="16" t="s">
        <v>51</v>
      </c>
      <c r="N1444" s="14"/>
      <c r="O1444" s="15" t="s">
        <v>52</v>
      </c>
      <c r="P1444" s="17" t="s">
        <v>53</v>
      </c>
      <c r="Q1444" s="15"/>
      <c r="R1444" s="18" t="s">
        <v>51</v>
      </c>
      <c r="S1444" s="19"/>
      <c r="T1444" s="17" t="str">
        <f aca="false">IF(R1444="維持",J1444,IF(R1444="排除","無關新聞事件",IFERROR(INDEX(事件規則!$B$2:$B$53,MATCH(S1444,事件規則!$A$2:$A$53,0)),"")))</f>
        <v>無關新聞事件</v>
      </c>
      <c r="U1444" s="20" t="n">
        <f aca="false">IF(R1444="維持",K1444,IF(R1444="排除",0,IFERROR(INDEX(事件規則!$C$2:$C$53,MATCH(S1444,事件規則!$A$2:$A$53,0)),"")))</f>
        <v>0</v>
      </c>
      <c r="V1444" s="21"/>
      <c r="W1444" s="22"/>
      <c r="X1444" s="10" t="str">
        <f aca="false">IF(AND(R1444="修改",S1444=""),"請選新事件代碼",IF(AND(R1444&lt;&gt;"修改",S1444&lt;&gt;""),"只有「修改」才需填代碼",""))</f>
        <v/>
      </c>
      <c r="Y1444" s="21"/>
      <c r="Z1444" s="22"/>
      <c r="AA1444" s="12" t="s">
        <v>3880</v>
      </c>
      <c r="AB1444" s="24"/>
    </row>
    <row r="1445" customFormat="false" ht="29.85" hidden="false" customHeight="false" outlineLevel="0" collapsed="false">
      <c r="A1445" s="15" t="n">
        <v>1444</v>
      </c>
      <c r="B1445" s="9" t="s">
        <v>55</v>
      </c>
      <c r="C1445" s="9" t="s">
        <v>3881</v>
      </c>
      <c r="D1445" s="10" t="s">
        <v>3882</v>
      </c>
      <c r="E1445" s="11" t="s">
        <v>3883</v>
      </c>
      <c r="F1445" s="17"/>
      <c r="G1445" s="12" t="s">
        <v>949</v>
      </c>
      <c r="H1445" s="13" t="n">
        <v>-0.023</v>
      </c>
      <c r="I1445" s="14"/>
      <c r="J1445" s="17"/>
      <c r="K1445" s="9"/>
      <c r="L1445" s="15" t="s">
        <v>50</v>
      </c>
      <c r="M1445" s="16" t="s">
        <v>51</v>
      </c>
      <c r="N1445" s="14"/>
      <c r="O1445" s="15" t="s">
        <v>52</v>
      </c>
      <c r="P1445" s="17" t="s">
        <v>53</v>
      </c>
      <c r="Q1445" s="15"/>
      <c r="R1445" s="18" t="s">
        <v>51</v>
      </c>
      <c r="S1445" s="19"/>
      <c r="T1445" s="17" t="str">
        <f aca="false">IF(R1445="維持",J1445,IF(R1445="排除","無關新聞事件",IFERROR(INDEX(事件規則!$B$2:$B$53,MATCH(S1445,事件規則!$A$2:$A$53,0)),"")))</f>
        <v>無關新聞事件</v>
      </c>
      <c r="U1445" s="20" t="n">
        <f aca="false">IF(R1445="維持",K1445,IF(R1445="排除",0,IFERROR(INDEX(事件規則!$C$2:$C$53,MATCH(S1445,事件規則!$A$2:$A$53,0)),"")))</f>
        <v>0</v>
      </c>
      <c r="V1445" s="21"/>
      <c r="W1445" s="22"/>
      <c r="X1445" s="10" t="str">
        <f aca="false">IF(AND(R1445="修改",S1445=""),"請選新事件代碼",IF(AND(R1445&lt;&gt;"修改",S1445&lt;&gt;""),"只有「修改」才需填代碼",""))</f>
        <v/>
      </c>
      <c r="Y1445" s="21"/>
      <c r="Z1445" s="22"/>
      <c r="AA1445" s="12" t="s">
        <v>3884</v>
      </c>
      <c r="AB1445" s="24"/>
    </row>
    <row r="1446" customFormat="false" ht="29.85" hidden="false" customHeight="false" outlineLevel="0" collapsed="false">
      <c r="A1446" s="15" t="n">
        <v>1445</v>
      </c>
      <c r="B1446" s="9" t="s">
        <v>55</v>
      </c>
      <c r="C1446" s="9" t="s">
        <v>569</v>
      </c>
      <c r="D1446" s="10" t="s">
        <v>570</v>
      </c>
      <c r="E1446" s="11" t="s">
        <v>3885</v>
      </c>
      <c r="F1446" s="17"/>
      <c r="G1446" s="12" t="s">
        <v>949</v>
      </c>
      <c r="H1446" s="13" t="n">
        <v>-0.023</v>
      </c>
      <c r="I1446" s="14"/>
      <c r="J1446" s="17"/>
      <c r="K1446" s="9"/>
      <c r="L1446" s="15" t="s">
        <v>50</v>
      </c>
      <c r="M1446" s="16" t="s">
        <v>51</v>
      </c>
      <c r="N1446" s="14"/>
      <c r="O1446" s="15" t="s">
        <v>52</v>
      </c>
      <c r="P1446" s="17" t="s">
        <v>53</v>
      </c>
      <c r="Q1446" s="15"/>
      <c r="R1446" s="18" t="s">
        <v>51</v>
      </c>
      <c r="S1446" s="19"/>
      <c r="T1446" s="17" t="str">
        <f aca="false">IF(R1446="維持",J1446,IF(R1446="排除","無關新聞事件",IFERROR(INDEX(事件規則!$B$2:$B$53,MATCH(S1446,事件規則!$A$2:$A$53,0)),"")))</f>
        <v>無關新聞事件</v>
      </c>
      <c r="U1446" s="20" t="n">
        <f aca="false">IF(R1446="維持",K1446,IF(R1446="排除",0,IFERROR(INDEX(事件規則!$C$2:$C$53,MATCH(S1446,事件規則!$A$2:$A$53,0)),"")))</f>
        <v>0</v>
      </c>
      <c r="V1446" s="21"/>
      <c r="W1446" s="22"/>
      <c r="X1446" s="10" t="str">
        <f aca="false">IF(AND(R1446="修改",S1446=""),"請選新事件代碼",IF(AND(R1446&lt;&gt;"修改",S1446&lt;&gt;""),"只有「修改」才需填代碼",""))</f>
        <v/>
      </c>
      <c r="Y1446" s="21"/>
      <c r="Z1446" s="22"/>
      <c r="AA1446" s="12" t="s">
        <v>3886</v>
      </c>
      <c r="AB1446" s="24"/>
    </row>
    <row r="1447" customFormat="false" ht="15" hidden="false" customHeight="false" outlineLevel="0" collapsed="false">
      <c r="A1447" s="15" t="n">
        <v>1446</v>
      </c>
      <c r="B1447" s="9" t="s">
        <v>81</v>
      </c>
      <c r="C1447" s="9" t="s">
        <v>3887</v>
      </c>
      <c r="D1447" s="10" t="s">
        <v>3888</v>
      </c>
      <c r="E1447" s="11" t="s">
        <v>3889</v>
      </c>
      <c r="F1447" s="17"/>
      <c r="G1447" s="12" t="s">
        <v>3890</v>
      </c>
      <c r="H1447" s="13" t="n">
        <v>-0.023</v>
      </c>
      <c r="I1447" s="14"/>
      <c r="J1447" s="17"/>
      <c r="K1447" s="9"/>
      <c r="L1447" s="15" t="s">
        <v>50</v>
      </c>
      <c r="M1447" s="16" t="s">
        <v>131</v>
      </c>
      <c r="N1447" s="14" t="s">
        <v>1246</v>
      </c>
      <c r="O1447" s="15" t="s">
        <v>52</v>
      </c>
      <c r="P1447" s="10" t="s">
        <v>3891</v>
      </c>
      <c r="Q1447" s="15" t="s">
        <v>388</v>
      </c>
      <c r="R1447" s="18" t="s">
        <v>131</v>
      </c>
      <c r="S1447" s="19" t="s">
        <v>1246</v>
      </c>
      <c r="T1447" s="17" t="str">
        <f aca="false">IF(R1447="維持",J1447,IF(R1447="排除","無關新聞事件",IFERROR(INDEX(事件規則!$B$2:$B$53,MATCH(S1447,事件規則!$A$2:$A$53,0)),"")))</f>
        <v>資料外洩</v>
      </c>
      <c r="U1447" s="20" t="n">
        <f aca="false">IF(R1447="維持",K1447,IF(R1447="排除",0,IFERROR(INDEX(事件規則!$C$2:$C$53,MATCH(S1447,事件規則!$A$2:$A$53,0)),"")))</f>
        <v>3</v>
      </c>
      <c r="V1447" s="21"/>
      <c r="W1447" s="22"/>
      <c r="X1447" s="10" t="str">
        <f aca="false">IF(AND(R1447="修改",S1447=""),"請選新事件代碼",IF(AND(R1447&lt;&gt;"修改",S1447&lt;&gt;""),"只有「修改」才需填代碼",""))</f>
        <v/>
      </c>
      <c r="Y1447" s="21"/>
      <c r="Z1447" s="22"/>
      <c r="AA1447" s="12" t="s">
        <v>3892</v>
      </c>
      <c r="AB1447" s="24"/>
    </row>
    <row r="1448" customFormat="false" ht="29.85" hidden="false" customHeight="false" outlineLevel="0" collapsed="false">
      <c r="A1448" s="15" t="n">
        <v>1447</v>
      </c>
      <c r="B1448" s="9" t="s">
        <v>45</v>
      </c>
      <c r="C1448" s="9" t="s">
        <v>178</v>
      </c>
      <c r="D1448" s="10" t="s">
        <v>179</v>
      </c>
      <c r="E1448" s="11" t="s">
        <v>3893</v>
      </c>
      <c r="F1448" s="17"/>
      <c r="G1448" s="12" t="s">
        <v>179</v>
      </c>
      <c r="H1448" s="13" t="n">
        <v>-0.023</v>
      </c>
      <c r="I1448" s="14"/>
      <c r="J1448" s="17"/>
      <c r="K1448" s="9"/>
      <c r="L1448" s="15" t="s">
        <v>50</v>
      </c>
      <c r="M1448" s="16" t="s">
        <v>51</v>
      </c>
      <c r="N1448" s="14"/>
      <c r="O1448" s="15" t="s">
        <v>52</v>
      </c>
      <c r="P1448" s="17" t="s">
        <v>53</v>
      </c>
      <c r="Q1448" s="15"/>
      <c r="R1448" s="18" t="s">
        <v>51</v>
      </c>
      <c r="S1448" s="19"/>
      <c r="T1448" s="17" t="str">
        <f aca="false">IF(R1448="維持",J1448,IF(R1448="排除","無關新聞事件",IFERROR(INDEX(事件規則!$B$2:$B$53,MATCH(S1448,事件規則!$A$2:$A$53,0)),"")))</f>
        <v>無關新聞事件</v>
      </c>
      <c r="U1448" s="20" t="n">
        <f aca="false">IF(R1448="維持",K1448,IF(R1448="排除",0,IFERROR(INDEX(事件規則!$C$2:$C$53,MATCH(S1448,事件規則!$A$2:$A$53,0)),"")))</f>
        <v>0</v>
      </c>
      <c r="V1448" s="21"/>
      <c r="W1448" s="22"/>
      <c r="X1448" s="10" t="str">
        <f aca="false">IF(AND(R1448="修改",S1448=""),"請選新事件代碼",IF(AND(R1448&lt;&gt;"修改",S1448&lt;&gt;""),"只有「修改」才需填代碼",""))</f>
        <v/>
      </c>
      <c r="Y1448" s="21"/>
      <c r="Z1448" s="22"/>
      <c r="AA1448" s="12" t="s">
        <v>3894</v>
      </c>
      <c r="AB1448" s="24"/>
    </row>
    <row r="1449" customFormat="false" ht="29.85" hidden="false" customHeight="false" outlineLevel="0" collapsed="false">
      <c r="A1449" s="15" t="n">
        <v>1448</v>
      </c>
      <c r="B1449" s="9" t="s">
        <v>45</v>
      </c>
      <c r="C1449" s="9" t="s">
        <v>250</v>
      </c>
      <c r="D1449" s="10" t="s">
        <v>251</v>
      </c>
      <c r="E1449" s="11" t="s">
        <v>3895</v>
      </c>
      <c r="F1449" s="17"/>
      <c r="G1449" s="12" t="s">
        <v>176</v>
      </c>
      <c r="H1449" s="13" t="n">
        <v>-0.023</v>
      </c>
      <c r="I1449" s="14"/>
      <c r="J1449" s="17"/>
      <c r="K1449" s="9"/>
      <c r="L1449" s="15" t="s">
        <v>50</v>
      </c>
      <c r="M1449" s="16" t="s">
        <v>51</v>
      </c>
      <c r="N1449" s="14"/>
      <c r="O1449" s="15" t="s">
        <v>52</v>
      </c>
      <c r="P1449" s="17" t="s">
        <v>53</v>
      </c>
      <c r="Q1449" s="15"/>
      <c r="R1449" s="18" t="s">
        <v>51</v>
      </c>
      <c r="S1449" s="19"/>
      <c r="T1449" s="17" t="str">
        <f aca="false">IF(R1449="維持",J1449,IF(R1449="排除","無關新聞事件",IFERROR(INDEX(事件規則!$B$2:$B$53,MATCH(S1449,事件規則!$A$2:$A$53,0)),"")))</f>
        <v>無關新聞事件</v>
      </c>
      <c r="U1449" s="20" t="n">
        <f aca="false">IF(R1449="維持",K1449,IF(R1449="排除",0,IFERROR(INDEX(事件規則!$C$2:$C$53,MATCH(S1449,事件規則!$A$2:$A$53,0)),"")))</f>
        <v>0</v>
      </c>
      <c r="V1449" s="21"/>
      <c r="W1449" s="22"/>
      <c r="X1449" s="10" t="str">
        <f aca="false">IF(AND(R1449="修改",S1449=""),"請選新事件代碼",IF(AND(R1449&lt;&gt;"修改",S1449&lt;&gt;""),"只有「修改」才需填代碼",""))</f>
        <v/>
      </c>
      <c r="Y1449" s="21"/>
      <c r="Z1449" s="22"/>
      <c r="AA1449" s="12" t="s">
        <v>3896</v>
      </c>
      <c r="AB1449" s="24"/>
    </row>
    <row r="1450" customFormat="false" ht="29.85" hidden="false" customHeight="false" outlineLevel="0" collapsed="false">
      <c r="A1450" s="15" t="n">
        <v>1449</v>
      </c>
      <c r="B1450" s="9" t="s">
        <v>45</v>
      </c>
      <c r="C1450" s="9" t="s">
        <v>144</v>
      </c>
      <c r="D1450" s="10" t="s">
        <v>145</v>
      </c>
      <c r="E1450" s="11" t="s">
        <v>3897</v>
      </c>
      <c r="F1450" s="17"/>
      <c r="G1450" s="12" t="s">
        <v>49</v>
      </c>
      <c r="H1450" s="13" t="n">
        <v>-0.023</v>
      </c>
      <c r="I1450" s="14"/>
      <c r="J1450" s="17"/>
      <c r="K1450" s="9"/>
      <c r="L1450" s="15" t="s">
        <v>50</v>
      </c>
      <c r="M1450" s="16" t="s">
        <v>51</v>
      </c>
      <c r="N1450" s="14"/>
      <c r="O1450" s="15" t="s">
        <v>52</v>
      </c>
      <c r="P1450" s="17" t="s">
        <v>53</v>
      </c>
      <c r="Q1450" s="15"/>
      <c r="R1450" s="18" t="s">
        <v>51</v>
      </c>
      <c r="S1450" s="19"/>
      <c r="T1450" s="17" t="str">
        <f aca="false">IF(R1450="維持",J1450,IF(R1450="排除","無關新聞事件",IFERROR(INDEX(事件規則!$B$2:$B$53,MATCH(S1450,事件規則!$A$2:$A$53,0)),"")))</f>
        <v>無關新聞事件</v>
      </c>
      <c r="U1450" s="20" t="n">
        <f aca="false">IF(R1450="維持",K1450,IF(R1450="排除",0,IFERROR(INDEX(事件規則!$C$2:$C$53,MATCH(S1450,事件規則!$A$2:$A$53,0)),"")))</f>
        <v>0</v>
      </c>
      <c r="V1450" s="21"/>
      <c r="W1450" s="22"/>
      <c r="X1450" s="10" t="str">
        <f aca="false">IF(AND(R1450="修改",S1450=""),"請選新事件代碼",IF(AND(R1450&lt;&gt;"修改",S1450&lt;&gt;""),"只有「修改」才需填代碼",""))</f>
        <v/>
      </c>
      <c r="Y1450" s="21"/>
      <c r="Z1450" s="22"/>
      <c r="AA1450" s="12" t="s">
        <v>3898</v>
      </c>
      <c r="AB1450" s="24"/>
    </row>
    <row r="1451" customFormat="false" ht="29.85" hidden="false" customHeight="false" outlineLevel="0" collapsed="false">
      <c r="A1451" s="15" t="n">
        <v>1450</v>
      </c>
      <c r="B1451" s="9" t="s">
        <v>45</v>
      </c>
      <c r="C1451" s="9" t="s">
        <v>569</v>
      </c>
      <c r="D1451" s="10" t="s">
        <v>570</v>
      </c>
      <c r="E1451" s="11" t="s">
        <v>3899</v>
      </c>
      <c r="F1451" s="17"/>
      <c r="G1451" s="12" t="s">
        <v>105</v>
      </c>
      <c r="H1451" s="13" t="n">
        <v>-0.023</v>
      </c>
      <c r="I1451" s="14"/>
      <c r="J1451" s="17"/>
      <c r="K1451" s="9"/>
      <c r="L1451" s="15" t="s">
        <v>50</v>
      </c>
      <c r="M1451" s="16" t="s">
        <v>51</v>
      </c>
      <c r="N1451" s="14"/>
      <c r="O1451" s="15" t="s">
        <v>52</v>
      </c>
      <c r="P1451" s="17" t="s">
        <v>53</v>
      </c>
      <c r="Q1451" s="15"/>
      <c r="R1451" s="18" t="s">
        <v>51</v>
      </c>
      <c r="S1451" s="19"/>
      <c r="T1451" s="17" t="str">
        <f aca="false">IF(R1451="維持",J1451,IF(R1451="排除","無關新聞事件",IFERROR(INDEX(事件規則!$B$2:$B$53,MATCH(S1451,事件規則!$A$2:$A$53,0)),"")))</f>
        <v>無關新聞事件</v>
      </c>
      <c r="U1451" s="20" t="n">
        <f aca="false">IF(R1451="維持",K1451,IF(R1451="排除",0,IFERROR(INDEX(事件規則!$C$2:$C$53,MATCH(S1451,事件規則!$A$2:$A$53,0)),"")))</f>
        <v>0</v>
      </c>
      <c r="V1451" s="21"/>
      <c r="W1451" s="22"/>
      <c r="X1451" s="10" t="str">
        <f aca="false">IF(AND(R1451="修改",S1451=""),"請選新事件代碼",IF(AND(R1451&lt;&gt;"修改",S1451&lt;&gt;""),"只有「修改」才需填代碼",""))</f>
        <v/>
      </c>
      <c r="Y1451" s="21"/>
      <c r="Z1451" s="22"/>
      <c r="AA1451" s="12" t="s">
        <v>3900</v>
      </c>
      <c r="AB1451" s="24"/>
    </row>
    <row r="1452" customFormat="false" ht="29.85" hidden="false" customHeight="false" outlineLevel="0" collapsed="false">
      <c r="A1452" s="15" t="n">
        <v>1451</v>
      </c>
      <c r="B1452" s="9" t="s">
        <v>55</v>
      </c>
      <c r="C1452" s="9" t="s">
        <v>1017</v>
      </c>
      <c r="D1452" s="10" t="s">
        <v>1018</v>
      </c>
      <c r="E1452" s="11" t="s">
        <v>3901</v>
      </c>
      <c r="F1452" s="17"/>
      <c r="G1452" s="12" t="s">
        <v>2033</v>
      </c>
      <c r="H1452" s="13" t="n">
        <v>-0.023</v>
      </c>
      <c r="I1452" s="14"/>
      <c r="J1452" s="17"/>
      <c r="K1452" s="9"/>
      <c r="L1452" s="15" t="s">
        <v>50</v>
      </c>
      <c r="M1452" s="16" t="s">
        <v>51</v>
      </c>
      <c r="N1452" s="14"/>
      <c r="O1452" s="15" t="s">
        <v>52</v>
      </c>
      <c r="P1452" s="17" t="s">
        <v>53</v>
      </c>
      <c r="Q1452" s="15"/>
      <c r="R1452" s="18" t="s">
        <v>51</v>
      </c>
      <c r="S1452" s="19"/>
      <c r="T1452" s="17" t="str">
        <f aca="false">IF(R1452="維持",J1452,IF(R1452="排除","無關新聞事件",IFERROR(INDEX(事件規則!$B$2:$B$53,MATCH(S1452,事件規則!$A$2:$A$53,0)),"")))</f>
        <v>無關新聞事件</v>
      </c>
      <c r="U1452" s="20" t="n">
        <f aca="false">IF(R1452="維持",K1452,IF(R1452="排除",0,IFERROR(INDEX(事件規則!$C$2:$C$53,MATCH(S1452,事件規則!$A$2:$A$53,0)),"")))</f>
        <v>0</v>
      </c>
      <c r="V1452" s="21"/>
      <c r="W1452" s="22"/>
      <c r="X1452" s="10" t="str">
        <f aca="false">IF(AND(R1452="修改",S1452=""),"請選新事件代碼",IF(AND(R1452&lt;&gt;"修改",S1452&lt;&gt;""),"只有「修改」才需填代碼",""))</f>
        <v/>
      </c>
      <c r="Y1452" s="21"/>
      <c r="Z1452" s="22"/>
      <c r="AA1452" s="12" t="s">
        <v>3902</v>
      </c>
      <c r="AB1452" s="24"/>
    </row>
    <row r="1453" customFormat="false" ht="29.85" hidden="false" customHeight="false" outlineLevel="0" collapsed="false">
      <c r="A1453" s="15" t="n">
        <v>1452</v>
      </c>
      <c r="B1453" s="9" t="s">
        <v>55</v>
      </c>
      <c r="C1453" s="9" t="s">
        <v>716</v>
      </c>
      <c r="D1453" s="10" t="s">
        <v>717</v>
      </c>
      <c r="E1453" s="11" t="s">
        <v>3903</v>
      </c>
      <c r="F1453" s="17"/>
      <c r="G1453" s="12" t="s">
        <v>3221</v>
      </c>
      <c r="H1453" s="13" t="n">
        <v>-0.023</v>
      </c>
      <c r="I1453" s="14"/>
      <c r="J1453" s="17"/>
      <c r="K1453" s="9"/>
      <c r="L1453" s="15" t="s">
        <v>50</v>
      </c>
      <c r="M1453" s="16" t="s">
        <v>51</v>
      </c>
      <c r="N1453" s="14"/>
      <c r="O1453" s="15" t="s">
        <v>52</v>
      </c>
      <c r="P1453" s="17" t="s">
        <v>53</v>
      </c>
      <c r="Q1453" s="15"/>
      <c r="R1453" s="18" t="s">
        <v>51</v>
      </c>
      <c r="S1453" s="19"/>
      <c r="T1453" s="17" t="str">
        <f aca="false">IF(R1453="維持",J1453,IF(R1453="排除","無關新聞事件",IFERROR(INDEX(事件規則!$B$2:$B$53,MATCH(S1453,事件規則!$A$2:$A$53,0)),"")))</f>
        <v>無關新聞事件</v>
      </c>
      <c r="U1453" s="20" t="n">
        <f aca="false">IF(R1453="維持",K1453,IF(R1453="排除",0,IFERROR(INDEX(事件規則!$C$2:$C$53,MATCH(S1453,事件規則!$A$2:$A$53,0)),"")))</f>
        <v>0</v>
      </c>
      <c r="V1453" s="21"/>
      <c r="W1453" s="22"/>
      <c r="X1453" s="10" t="str">
        <f aca="false">IF(AND(R1453="修改",S1453=""),"請選新事件代碼",IF(AND(R1453&lt;&gt;"修改",S1453&lt;&gt;""),"只有「修改」才需填代碼",""))</f>
        <v/>
      </c>
      <c r="Y1453" s="21"/>
      <c r="Z1453" s="22"/>
      <c r="AA1453" s="12" t="s">
        <v>3904</v>
      </c>
      <c r="AB1453" s="24"/>
    </row>
    <row r="1454" customFormat="false" ht="29.85" hidden="false" customHeight="false" outlineLevel="0" collapsed="false">
      <c r="A1454" s="15" t="n">
        <v>1453</v>
      </c>
      <c r="B1454" s="9" t="s">
        <v>45</v>
      </c>
      <c r="C1454" s="15"/>
      <c r="D1454" s="10" t="s">
        <v>114</v>
      </c>
      <c r="E1454" s="23" t="s">
        <v>3868</v>
      </c>
      <c r="F1454" s="17" t="s">
        <v>3868</v>
      </c>
      <c r="G1454" s="12" t="s">
        <v>176</v>
      </c>
      <c r="H1454" s="13" t="n">
        <v>-0.023</v>
      </c>
      <c r="I1454" s="14"/>
      <c r="J1454" s="17"/>
      <c r="K1454" s="9"/>
      <c r="L1454" s="15" t="s">
        <v>50</v>
      </c>
      <c r="M1454" s="16" t="s">
        <v>51</v>
      </c>
      <c r="N1454" s="14"/>
      <c r="O1454" s="15" t="s">
        <v>52</v>
      </c>
      <c r="P1454" s="17" t="s">
        <v>53</v>
      </c>
      <c r="Q1454" s="15"/>
      <c r="R1454" s="18" t="s">
        <v>51</v>
      </c>
      <c r="S1454" s="19"/>
      <c r="T1454" s="17" t="str">
        <f aca="false">IF(R1454="維持",J1454,IF(R1454="排除","無關新聞事件",IFERROR(INDEX(事件規則!$B$2:$B$53,MATCH(S1454,事件規則!$A$2:$A$53,0)),"")))</f>
        <v>無關新聞事件</v>
      </c>
      <c r="U1454" s="20" t="n">
        <f aca="false">IF(R1454="維持",K1454,IF(R1454="排除",0,IFERROR(INDEX(事件規則!$C$2:$C$53,MATCH(S1454,事件規則!$A$2:$A$53,0)),"")))</f>
        <v>0</v>
      </c>
      <c r="V1454" s="21"/>
      <c r="W1454" s="22"/>
      <c r="X1454" s="10" t="str">
        <f aca="false">IF(AND(R1454="修改",S1454=""),"請選新事件代碼",IF(AND(R1454&lt;&gt;"修改",S1454&lt;&gt;""),"只有「修改」才需填代碼",""))</f>
        <v/>
      </c>
      <c r="Y1454" s="21"/>
      <c r="Z1454" s="22"/>
      <c r="AA1454" s="12" t="s">
        <v>3905</v>
      </c>
      <c r="AB1454" s="24"/>
    </row>
    <row r="1455" customFormat="false" ht="29.85" hidden="false" customHeight="false" outlineLevel="0" collapsed="false">
      <c r="A1455" s="15" t="n">
        <v>1454</v>
      </c>
      <c r="B1455" s="9" t="s">
        <v>45</v>
      </c>
      <c r="C1455" s="15"/>
      <c r="D1455" s="10" t="s">
        <v>203</v>
      </c>
      <c r="E1455" s="23" t="s">
        <v>3868</v>
      </c>
      <c r="F1455" s="17" t="s">
        <v>3868</v>
      </c>
      <c r="G1455" s="12" t="s">
        <v>176</v>
      </c>
      <c r="H1455" s="13" t="n">
        <v>-0.023</v>
      </c>
      <c r="I1455" s="14"/>
      <c r="J1455" s="17"/>
      <c r="K1455" s="9"/>
      <c r="L1455" s="15" t="s">
        <v>50</v>
      </c>
      <c r="M1455" s="16" t="s">
        <v>51</v>
      </c>
      <c r="N1455" s="14"/>
      <c r="O1455" s="15" t="s">
        <v>52</v>
      </c>
      <c r="P1455" s="17" t="s">
        <v>53</v>
      </c>
      <c r="Q1455" s="15"/>
      <c r="R1455" s="18" t="s">
        <v>51</v>
      </c>
      <c r="S1455" s="19"/>
      <c r="T1455" s="17" t="str">
        <f aca="false">IF(R1455="維持",J1455,IF(R1455="排除","無關新聞事件",IFERROR(INDEX(事件規則!$B$2:$B$53,MATCH(S1455,事件規則!$A$2:$A$53,0)),"")))</f>
        <v>無關新聞事件</v>
      </c>
      <c r="U1455" s="20" t="n">
        <f aca="false">IF(R1455="維持",K1455,IF(R1455="排除",0,IFERROR(INDEX(事件規則!$C$2:$C$53,MATCH(S1455,事件規則!$A$2:$A$53,0)),"")))</f>
        <v>0</v>
      </c>
      <c r="V1455" s="21"/>
      <c r="W1455" s="22"/>
      <c r="X1455" s="10" t="str">
        <f aca="false">IF(AND(R1455="修改",S1455=""),"請選新事件代碼",IF(AND(R1455&lt;&gt;"修改",S1455&lt;&gt;""),"只有「修改」才需填代碼",""))</f>
        <v/>
      </c>
      <c r="Y1455" s="21"/>
      <c r="Z1455" s="22"/>
      <c r="AA1455" s="12" t="s">
        <v>3906</v>
      </c>
      <c r="AB1455" s="24"/>
    </row>
    <row r="1456" customFormat="false" ht="29.85" hidden="false" customHeight="false" outlineLevel="0" collapsed="false">
      <c r="A1456" s="15" t="n">
        <v>1455</v>
      </c>
      <c r="B1456" s="9" t="s">
        <v>112</v>
      </c>
      <c r="C1456" s="15"/>
      <c r="D1456" s="10" t="s">
        <v>570</v>
      </c>
      <c r="E1456" s="23" t="s">
        <v>3868</v>
      </c>
      <c r="F1456" s="17" t="s">
        <v>3868</v>
      </c>
      <c r="G1456" s="12" t="s">
        <v>176</v>
      </c>
      <c r="H1456" s="13" t="n">
        <v>-0.023</v>
      </c>
      <c r="I1456" s="14"/>
      <c r="J1456" s="17"/>
      <c r="K1456" s="9"/>
      <c r="L1456" s="15" t="s">
        <v>50</v>
      </c>
      <c r="M1456" s="16" t="s">
        <v>51</v>
      </c>
      <c r="N1456" s="14"/>
      <c r="O1456" s="15" t="s">
        <v>52</v>
      </c>
      <c r="P1456" s="17" t="s">
        <v>53</v>
      </c>
      <c r="Q1456" s="15"/>
      <c r="R1456" s="18" t="s">
        <v>51</v>
      </c>
      <c r="S1456" s="19"/>
      <c r="T1456" s="17" t="str">
        <f aca="false">IF(R1456="維持",J1456,IF(R1456="排除","無關新聞事件",IFERROR(INDEX(事件規則!$B$2:$B$53,MATCH(S1456,事件規則!$A$2:$A$53,0)),"")))</f>
        <v>無關新聞事件</v>
      </c>
      <c r="U1456" s="20" t="n">
        <f aca="false">IF(R1456="維持",K1456,IF(R1456="排除",0,IFERROR(INDEX(事件規則!$C$2:$C$53,MATCH(S1456,事件規則!$A$2:$A$53,0)),"")))</f>
        <v>0</v>
      </c>
      <c r="V1456" s="21"/>
      <c r="W1456" s="22"/>
      <c r="X1456" s="10" t="str">
        <f aca="false">IF(AND(R1456="修改",S1456=""),"請選新事件代碼",IF(AND(R1456&lt;&gt;"修改",S1456&lt;&gt;""),"只有「修改」才需填代碼",""))</f>
        <v/>
      </c>
      <c r="Y1456" s="21"/>
      <c r="Z1456" s="22"/>
      <c r="AA1456" s="12" t="s">
        <v>3907</v>
      </c>
      <c r="AB1456" s="24"/>
    </row>
    <row r="1457" customFormat="false" ht="29.85" hidden="false" customHeight="false" outlineLevel="0" collapsed="false">
      <c r="A1457" s="15" t="n">
        <v>1456</v>
      </c>
      <c r="B1457" s="9" t="s">
        <v>45</v>
      </c>
      <c r="C1457" s="15"/>
      <c r="D1457" s="10" t="s">
        <v>2042</v>
      </c>
      <c r="E1457" s="23" t="s">
        <v>3868</v>
      </c>
      <c r="F1457" s="17" t="s">
        <v>3868</v>
      </c>
      <c r="G1457" s="12" t="s">
        <v>176</v>
      </c>
      <c r="H1457" s="13" t="n">
        <v>-0.023</v>
      </c>
      <c r="I1457" s="14"/>
      <c r="J1457" s="17"/>
      <c r="K1457" s="9"/>
      <c r="L1457" s="15" t="s">
        <v>50</v>
      </c>
      <c r="M1457" s="16" t="s">
        <v>51</v>
      </c>
      <c r="N1457" s="14"/>
      <c r="O1457" s="15" t="s">
        <v>52</v>
      </c>
      <c r="P1457" s="17" t="s">
        <v>53</v>
      </c>
      <c r="Q1457" s="15"/>
      <c r="R1457" s="18" t="s">
        <v>51</v>
      </c>
      <c r="S1457" s="19"/>
      <c r="T1457" s="17" t="str">
        <f aca="false">IF(R1457="維持",J1457,IF(R1457="排除","無關新聞事件",IFERROR(INDEX(事件規則!$B$2:$B$53,MATCH(S1457,事件規則!$A$2:$A$53,0)),"")))</f>
        <v>無關新聞事件</v>
      </c>
      <c r="U1457" s="20" t="n">
        <f aca="false">IF(R1457="維持",K1457,IF(R1457="排除",0,IFERROR(INDEX(事件規則!$C$2:$C$53,MATCH(S1457,事件規則!$A$2:$A$53,0)),"")))</f>
        <v>0</v>
      </c>
      <c r="V1457" s="21"/>
      <c r="W1457" s="22"/>
      <c r="X1457" s="10" t="str">
        <f aca="false">IF(AND(R1457="修改",S1457=""),"請選新事件代碼",IF(AND(R1457&lt;&gt;"修改",S1457&lt;&gt;""),"只有「修改」才需填代碼",""))</f>
        <v/>
      </c>
      <c r="Y1457" s="21"/>
      <c r="Z1457" s="22"/>
      <c r="AA1457" s="12" t="s">
        <v>3908</v>
      </c>
      <c r="AB1457" s="24"/>
    </row>
    <row r="1458" customFormat="false" ht="29.85" hidden="false" customHeight="false" outlineLevel="0" collapsed="false">
      <c r="A1458" s="15" t="n">
        <v>1457</v>
      </c>
      <c r="B1458" s="9" t="s">
        <v>45</v>
      </c>
      <c r="C1458" s="9" t="s">
        <v>1602</v>
      </c>
      <c r="D1458" s="10" t="s">
        <v>1603</v>
      </c>
      <c r="E1458" s="11" t="s">
        <v>3909</v>
      </c>
      <c r="F1458" s="17"/>
      <c r="G1458" s="12" t="s">
        <v>95</v>
      </c>
      <c r="H1458" s="13" t="n">
        <v>-0.023</v>
      </c>
      <c r="I1458" s="14"/>
      <c r="J1458" s="17"/>
      <c r="K1458" s="9"/>
      <c r="L1458" s="15" t="s">
        <v>50</v>
      </c>
      <c r="M1458" s="16" t="s">
        <v>51</v>
      </c>
      <c r="N1458" s="14"/>
      <c r="O1458" s="15" t="s">
        <v>52</v>
      </c>
      <c r="P1458" s="17" t="s">
        <v>53</v>
      </c>
      <c r="Q1458" s="15"/>
      <c r="R1458" s="18" t="s">
        <v>51</v>
      </c>
      <c r="S1458" s="19"/>
      <c r="T1458" s="17" t="str">
        <f aca="false">IF(R1458="維持",J1458,IF(R1458="排除","無關新聞事件",IFERROR(INDEX(事件規則!$B$2:$B$53,MATCH(S1458,事件規則!$A$2:$A$53,0)),"")))</f>
        <v>無關新聞事件</v>
      </c>
      <c r="U1458" s="20" t="n">
        <f aca="false">IF(R1458="維持",K1458,IF(R1458="排除",0,IFERROR(INDEX(事件規則!$C$2:$C$53,MATCH(S1458,事件規則!$A$2:$A$53,0)),"")))</f>
        <v>0</v>
      </c>
      <c r="V1458" s="21"/>
      <c r="W1458" s="22"/>
      <c r="X1458" s="10" t="str">
        <f aca="false">IF(AND(R1458="修改",S1458=""),"請選新事件代碼",IF(AND(R1458&lt;&gt;"修改",S1458&lt;&gt;""),"只有「修改」才需填代碼",""))</f>
        <v/>
      </c>
      <c r="Y1458" s="21"/>
      <c r="Z1458" s="22"/>
      <c r="AA1458" s="12" t="s">
        <v>3910</v>
      </c>
      <c r="AB1458" s="24"/>
    </row>
    <row r="1459" customFormat="false" ht="29.85" hidden="false" customHeight="false" outlineLevel="0" collapsed="false">
      <c r="A1459" s="15" t="n">
        <v>1458</v>
      </c>
      <c r="B1459" s="9" t="s">
        <v>45</v>
      </c>
      <c r="C1459" s="9" t="s">
        <v>3244</v>
      </c>
      <c r="D1459" s="10" t="s">
        <v>3245</v>
      </c>
      <c r="E1459" s="11" t="s">
        <v>3911</v>
      </c>
      <c r="F1459" s="17"/>
      <c r="G1459" s="12" t="s">
        <v>949</v>
      </c>
      <c r="H1459" s="13" t="n">
        <v>-0.023</v>
      </c>
      <c r="I1459" s="14"/>
      <c r="J1459" s="17"/>
      <c r="K1459" s="9"/>
      <c r="L1459" s="15" t="s">
        <v>50</v>
      </c>
      <c r="M1459" s="16" t="s">
        <v>51</v>
      </c>
      <c r="N1459" s="14"/>
      <c r="O1459" s="15" t="s">
        <v>52</v>
      </c>
      <c r="P1459" s="17" t="s">
        <v>53</v>
      </c>
      <c r="Q1459" s="15"/>
      <c r="R1459" s="18" t="s">
        <v>51</v>
      </c>
      <c r="S1459" s="19"/>
      <c r="T1459" s="17" t="str">
        <f aca="false">IF(R1459="維持",J1459,IF(R1459="排除","無關新聞事件",IFERROR(INDEX(事件規則!$B$2:$B$53,MATCH(S1459,事件規則!$A$2:$A$53,0)),"")))</f>
        <v>無關新聞事件</v>
      </c>
      <c r="U1459" s="20" t="n">
        <f aca="false">IF(R1459="維持",K1459,IF(R1459="排除",0,IFERROR(INDEX(事件規則!$C$2:$C$53,MATCH(S1459,事件規則!$A$2:$A$53,0)),"")))</f>
        <v>0</v>
      </c>
      <c r="V1459" s="21"/>
      <c r="W1459" s="22"/>
      <c r="X1459" s="10" t="str">
        <f aca="false">IF(AND(R1459="修改",S1459=""),"請選新事件代碼",IF(AND(R1459&lt;&gt;"修改",S1459&lt;&gt;""),"只有「修改」才需填代碼",""))</f>
        <v/>
      </c>
      <c r="Y1459" s="21"/>
      <c r="Z1459" s="22"/>
      <c r="AA1459" s="12" t="s">
        <v>3912</v>
      </c>
      <c r="AB1459" s="24"/>
    </row>
    <row r="1460" customFormat="false" ht="29.85" hidden="false" customHeight="false" outlineLevel="0" collapsed="false">
      <c r="A1460" s="15" t="n">
        <v>1459</v>
      </c>
      <c r="B1460" s="9" t="s">
        <v>45</v>
      </c>
      <c r="C1460" s="15"/>
      <c r="D1460" s="10" t="s">
        <v>3913</v>
      </c>
      <c r="E1460" s="23" t="s">
        <v>3868</v>
      </c>
      <c r="F1460" s="17" t="s">
        <v>3868</v>
      </c>
      <c r="G1460" s="12" t="s">
        <v>176</v>
      </c>
      <c r="H1460" s="13" t="n">
        <v>-0.023</v>
      </c>
      <c r="I1460" s="14"/>
      <c r="J1460" s="17"/>
      <c r="K1460" s="9"/>
      <c r="L1460" s="15" t="s">
        <v>50</v>
      </c>
      <c r="M1460" s="16" t="s">
        <v>51</v>
      </c>
      <c r="N1460" s="14"/>
      <c r="O1460" s="15" t="s">
        <v>52</v>
      </c>
      <c r="P1460" s="17" t="s">
        <v>53</v>
      </c>
      <c r="Q1460" s="15"/>
      <c r="R1460" s="18" t="s">
        <v>51</v>
      </c>
      <c r="S1460" s="19"/>
      <c r="T1460" s="17" t="str">
        <f aca="false">IF(R1460="維持",J1460,IF(R1460="排除","無關新聞事件",IFERROR(INDEX(事件規則!$B$2:$B$53,MATCH(S1460,事件規則!$A$2:$A$53,0)),"")))</f>
        <v>無關新聞事件</v>
      </c>
      <c r="U1460" s="20" t="n">
        <f aca="false">IF(R1460="維持",K1460,IF(R1460="排除",0,IFERROR(INDEX(事件規則!$C$2:$C$53,MATCH(S1460,事件規則!$A$2:$A$53,0)),"")))</f>
        <v>0</v>
      </c>
      <c r="V1460" s="21"/>
      <c r="W1460" s="22"/>
      <c r="X1460" s="10" t="str">
        <f aca="false">IF(AND(R1460="修改",S1460=""),"請選新事件代碼",IF(AND(R1460&lt;&gt;"修改",S1460&lt;&gt;""),"只有「修改」才需填代碼",""))</f>
        <v/>
      </c>
      <c r="Y1460" s="21"/>
      <c r="Z1460" s="22"/>
      <c r="AA1460" s="12" t="s">
        <v>3914</v>
      </c>
      <c r="AB1460" s="24"/>
    </row>
    <row r="1461" customFormat="false" ht="29.85" hidden="false" customHeight="false" outlineLevel="0" collapsed="false">
      <c r="A1461" s="15" t="n">
        <v>1460</v>
      </c>
      <c r="B1461" s="9" t="s">
        <v>45</v>
      </c>
      <c r="C1461" s="15"/>
      <c r="D1461" s="10" t="s">
        <v>3670</v>
      </c>
      <c r="E1461" s="23" t="s">
        <v>3868</v>
      </c>
      <c r="F1461" s="17" t="s">
        <v>3868</v>
      </c>
      <c r="G1461" s="12" t="s">
        <v>176</v>
      </c>
      <c r="H1461" s="13" t="n">
        <v>-0.023</v>
      </c>
      <c r="I1461" s="14"/>
      <c r="J1461" s="17"/>
      <c r="K1461" s="9"/>
      <c r="L1461" s="15" t="s">
        <v>50</v>
      </c>
      <c r="M1461" s="16" t="s">
        <v>51</v>
      </c>
      <c r="N1461" s="14"/>
      <c r="O1461" s="15" t="s">
        <v>52</v>
      </c>
      <c r="P1461" s="17" t="s">
        <v>53</v>
      </c>
      <c r="Q1461" s="15"/>
      <c r="R1461" s="18" t="s">
        <v>51</v>
      </c>
      <c r="S1461" s="19"/>
      <c r="T1461" s="17" t="str">
        <f aca="false">IF(R1461="維持",J1461,IF(R1461="排除","無關新聞事件",IFERROR(INDEX(事件規則!$B$2:$B$53,MATCH(S1461,事件規則!$A$2:$A$53,0)),"")))</f>
        <v>無關新聞事件</v>
      </c>
      <c r="U1461" s="20" t="n">
        <f aca="false">IF(R1461="維持",K1461,IF(R1461="排除",0,IFERROR(INDEX(事件規則!$C$2:$C$53,MATCH(S1461,事件規則!$A$2:$A$53,0)),"")))</f>
        <v>0</v>
      </c>
      <c r="V1461" s="21"/>
      <c r="W1461" s="22"/>
      <c r="X1461" s="10" t="str">
        <f aca="false">IF(AND(R1461="修改",S1461=""),"請選新事件代碼",IF(AND(R1461&lt;&gt;"修改",S1461&lt;&gt;""),"只有「修改」才需填代碼",""))</f>
        <v/>
      </c>
      <c r="Y1461" s="21"/>
      <c r="Z1461" s="22"/>
      <c r="AA1461" s="12" t="s">
        <v>3915</v>
      </c>
      <c r="AB1461" s="24"/>
    </row>
    <row r="1462" customFormat="false" ht="29.85" hidden="false" customHeight="false" outlineLevel="0" collapsed="false">
      <c r="A1462" s="15" t="n">
        <v>1461</v>
      </c>
      <c r="B1462" s="9" t="s">
        <v>45</v>
      </c>
      <c r="C1462" s="9" t="s">
        <v>3916</v>
      </c>
      <c r="D1462" s="10" t="s">
        <v>3917</v>
      </c>
      <c r="E1462" s="11" t="s">
        <v>3918</v>
      </c>
      <c r="F1462" s="17"/>
      <c r="G1462" s="12" t="s">
        <v>176</v>
      </c>
      <c r="H1462" s="13" t="n">
        <v>-0.023</v>
      </c>
      <c r="I1462" s="14"/>
      <c r="J1462" s="17"/>
      <c r="K1462" s="9"/>
      <c r="L1462" s="15" t="s">
        <v>50</v>
      </c>
      <c r="M1462" s="16" t="s">
        <v>51</v>
      </c>
      <c r="N1462" s="14"/>
      <c r="O1462" s="15" t="s">
        <v>52</v>
      </c>
      <c r="P1462" s="17" t="s">
        <v>53</v>
      </c>
      <c r="Q1462" s="15"/>
      <c r="R1462" s="18" t="s">
        <v>51</v>
      </c>
      <c r="S1462" s="19"/>
      <c r="T1462" s="17" t="str">
        <f aca="false">IF(R1462="維持",J1462,IF(R1462="排除","無關新聞事件",IFERROR(INDEX(事件規則!$B$2:$B$53,MATCH(S1462,事件規則!$A$2:$A$53,0)),"")))</f>
        <v>無關新聞事件</v>
      </c>
      <c r="U1462" s="20" t="n">
        <f aca="false">IF(R1462="維持",K1462,IF(R1462="排除",0,IFERROR(INDEX(事件規則!$C$2:$C$53,MATCH(S1462,事件規則!$A$2:$A$53,0)),"")))</f>
        <v>0</v>
      </c>
      <c r="V1462" s="21"/>
      <c r="W1462" s="22"/>
      <c r="X1462" s="10" t="str">
        <f aca="false">IF(AND(R1462="修改",S1462=""),"請選新事件代碼",IF(AND(R1462&lt;&gt;"修改",S1462&lt;&gt;""),"只有「修改」才需填代碼",""))</f>
        <v/>
      </c>
      <c r="Y1462" s="21"/>
      <c r="Z1462" s="22"/>
      <c r="AA1462" s="12" t="s">
        <v>3919</v>
      </c>
      <c r="AB1462" s="24"/>
    </row>
    <row r="1463" customFormat="false" ht="29.85" hidden="false" customHeight="false" outlineLevel="0" collapsed="false">
      <c r="A1463" s="15" t="n">
        <v>1462</v>
      </c>
      <c r="B1463" s="9" t="s">
        <v>45</v>
      </c>
      <c r="C1463" s="9" t="s">
        <v>3920</v>
      </c>
      <c r="D1463" s="10" t="s">
        <v>3921</v>
      </c>
      <c r="E1463" s="11" t="s">
        <v>3922</v>
      </c>
      <c r="F1463" s="17"/>
      <c r="G1463" s="12" t="s">
        <v>949</v>
      </c>
      <c r="H1463" s="13" t="n">
        <v>-0.023</v>
      </c>
      <c r="I1463" s="14"/>
      <c r="J1463" s="17"/>
      <c r="K1463" s="9"/>
      <c r="L1463" s="15" t="s">
        <v>50</v>
      </c>
      <c r="M1463" s="16" t="s">
        <v>51</v>
      </c>
      <c r="N1463" s="14"/>
      <c r="O1463" s="15" t="s">
        <v>52</v>
      </c>
      <c r="P1463" s="17" t="s">
        <v>53</v>
      </c>
      <c r="Q1463" s="15"/>
      <c r="R1463" s="18" t="s">
        <v>51</v>
      </c>
      <c r="S1463" s="19"/>
      <c r="T1463" s="17" t="str">
        <f aca="false">IF(R1463="維持",J1463,IF(R1463="排除","無關新聞事件",IFERROR(INDEX(事件規則!$B$2:$B$53,MATCH(S1463,事件規則!$A$2:$A$53,0)),"")))</f>
        <v>無關新聞事件</v>
      </c>
      <c r="U1463" s="20" t="n">
        <f aca="false">IF(R1463="維持",K1463,IF(R1463="排除",0,IFERROR(INDEX(事件規則!$C$2:$C$53,MATCH(S1463,事件規則!$A$2:$A$53,0)),"")))</f>
        <v>0</v>
      </c>
      <c r="V1463" s="21"/>
      <c r="W1463" s="22"/>
      <c r="X1463" s="10" t="str">
        <f aca="false">IF(AND(R1463="修改",S1463=""),"請選新事件代碼",IF(AND(R1463&lt;&gt;"修改",S1463&lt;&gt;""),"只有「修改」才需填代碼",""))</f>
        <v/>
      </c>
      <c r="Y1463" s="21"/>
      <c r="Z1463" s="22"/>
      <c r="AA1463" s="12" t="s">
        <v>3923</v>
      </c>
      <c r="AB1463" s="24"/>
    </row>
    <row r="1464" customFormat="false" ht="29.85" hidden="false" customHeight="false" outlineLevel="0" collapsed="false">
      <c r="A1464" s="15" t="n">
        <v>1463</v>
      </c>
      <c r="B1464" s="9" t="s">
        <v>45</v>
      </c>
      <c r="C1464" s="15"/>
      <c r="D1464" s="10" t="s">
        <v>3924</v>
      </c>
      <c r="E1464" s="23" t="s">
        <v>3868</v>
      </c>
      <c r="F1464" s="17" t="s">
        <v>3868</v>
      </c>
      <c r="G1464" s="12" t="s">
        <v>176</v>
      </c>
      <c r="H1464" s="13" t="n">
        <v>-0.023</v>
      </c>
      <c r="I1464" s="14"/>
      <c r="J1464" s="17"/>
      <c r="K1464" s="9"/>
      <c r="L1464" s="15" t="s">
        <v>50</v>
      </c>
      <c r="M1464" s="16" t="s">
        <v>51</v>
      </c>
      <c r="N1464" s="14"/>
      <c r="O1464" s="15" t="s">
        <v>52</v>
      </c>
      <c r="P1464" s="17" t="s">
        <v>53</v>
      </c>
      <c r="Q1464" s="15"/>
      <c r="R1464" s="18" t="s">
        <v>51</v>
      </c>
      <c r="S1464" s="19"/>
      <c r="T1464" s="17" t="str">
        <f aca="false">IF(R1464="維持",J1464,IF(R1464="排除","無關新聞事件",IFERROR(INDEX(事件規則!$B$2:$B$53,MATCH(S1464,事件規則!$A$2:$A$53,0)),"")))</f>
        <v>無關新聞事件</v>
      </c>
      <c r="U1464" s="20" t="n">
        <f aca="false">IF(R1464="維持",K1464,IF(R1464="排除",0,IFERROR(INDEX(事件規則!$C$2:$C$53,MATCH(S1464,事件規則!$A$2:$A$53,0)),"")))</f>
        <v>0</v>
      </c>
      <c r="V1464" s="21"/>
      <c r="W1464" s="22"/>
      <c r="X1464" s="10" t="str">
        <f aca="false">IF(AND(R1464="修改",S1464=""),"請選新事件代碼",IF(AND(R1464&lt;&gt;"修改",S1464&lt;&gt;""),"只有「修改」才需填代碼",""))</f>
        <v/>
      </c>
      <c r="Y1464" s="21"/>
      <c r="Z1464" s="22"/>
      <c r="AA1464" s="12" t="s">
        <v>3925</v>
      </c>
      <c r="AB1464" s="24"/>
    </row>
    <row r="1465" customFormat="false" ht="29.85" hidden="false" customHeight="false" outlineLevel="0" collapsed="false">
      <c r="A1465" s="15" t="n">
        <v>1464</v>
      </c>
      <c r="B1465" s="9" t="s">
        <v>55</v>
      </c>
      <c r="C1465" s="15"/>
      <c r="D1465" s="10" t="s">
        <v>477</v>
      </c>
      <c r="E1465" s="23" t="s">
        <v>3868</v>
      </c>
      <c r="F1465" s="17" t="s">
        <v>3868</v>
      </c>
      <c r="G1465" s="12" t="s">
        <v>176</v>
      </c>
      <c r="H1465" s="13" t="n">
        <v>-0.023</v>
      </c>
      <c r="I1465" s="14"/>
      <c r="J1465" s="17"/>
      <c r="K1465" s="9"/>
      <c r="L1465" s="15" t="s">
        <v>50</v>
      </c>
      <c r="M1465" s="16" t="s">
        <v>51</v>
      </c>
      <c r="N1465" s="14"/>
      <c r="O1465" s="15" t="s">
        <v>52</v>
      </c>
      <c r="P1465" s="17" t="s">
        <v>53</v>
      </c>
      <c r="Q1465" s="15"/>
      <c r="R1465" s="18" t="s">
        <v>51</v>
      </c>
      <c r="S1465" s="19"/>
      <c r="T1465" s="17" t="str">
        <f aca="false">IF(R1465="維持",J1465,IF(R1465="排除","無關新聞事件",IFERROR(INDEX(事件規則!$B$2:$B$53,MATCH(S1465,事件規則!$A$2:$A$53,0)),"")))</f>
        <v>無關新聞事件</v>
      </c>
      <c r="U1465" s="20" t="n">
        <f aca="false">IF(R1465="維持",K1465,IF(R1465="排除",0,IFERROR(INDEX(事件規則!$C$2:$C$53,MATCH(S1465,事件規則!$A$2:$A$53,0)),"")))</f>
        <v>0</v>
      </c>
      <c r="V1465" s="21"/>
      <c r="W1465" s="22"/>
      <c r="X1465" s="10" t="str">
        <f aca="false">IF(AND(R1465="修改",S1465=""),"請選新事件代碼",IF(AND(R1465&lt;&gt;"修改",S1465&lt;&gt;""),"只有「修改」才需填代碼",""))</f>
        <v/>
      </c>
      <c r="Y1465" s="21"/>
      <c r="Z1465" s="22"/>
      <c r="AA1465" s="12" t="s">
        <v>3926</v>
      </c>
      <c r="AB1465" s="24"/>
    </row>
    <row r="1466" customFormat="false" ht="29.85" hidden="false" customHeight="false" outlineLevel="0" collapsed="false">
      <c r="A1466" s="15" t="n">
        <v>1465</v>
      </c>
      <c r="B1466" s="9" t="s">
        <v>45</v>
      </c>
      <c r="C1466" s="9" t="s">
        <v>3927</v>
      </c>
      <c r="D1466" s="10" t="s">
        <v>3928</v>
      </c>
      <c r="E1466" s="11" t="s">
        <v>3929</v>
      </c>
      <c r="F1466" s="17"/>
      <c r="G1466" s="12" t="s">
        <v>949</v>
      </c>
      <c r="H1466" s="13" t="n">
        <v>-0.023</v>
      </c>
      <c r="I1466" s="14"/>
      <c r="J1466" s="17"/>
      <c r="K1466" s="9"/>
      <c r="L1466" s="15" t="s">
        <v>50</v>
      </c>
      <c r="M1466" s="16" t="s">
        <v>51</v>
      </c>
      <c r="N1466" s="14"/>
      <c r="O1466" s="15" t="s">
        <v>52</v>
      </c>
      <c r="P1466" s="17" t="s">
        <v>53</v>
      </c>
      <c r="Q1466" s="15"/>
      <c r="R1466" s="18" t="s">
        <v>51</v>
      </c>
      <c r="S1466" s="19"/>
      <c r="T1466" s="17" t="str">
        <f aca="false">IF(R1466="維持",J1466,IF(R1466="排除","無關新聞事件",IFERROR(INDEX(事件規則!$B$2:$B$53,MATCH(S1466,事件規則!$A$2:$A$53,0)),"")))</f>
        <v>無關新聞事件</v>
      </c>
      <c r="U1466" s="20" t="n">
        <f aca="false">IF(R1466="維持",K1466,IF(R1466="排除",0,IFERROR(INDEX(事件規則!$C$2:$C$53,MATCH(S1466,事件規則!$A$2:$A$53,0)),"")))</f>
        <v>0</v>
      </c>
      <c r="V1466" s="21"/>
      <c r="W1466" s="22"/>
      <c r="X1466" s="10" t="str">
        <f aca="false">IF(AND(R1466="修改",S1466=""),"請選新事件代碼",IF(AND(R1466&lt;&gt;"修改",S1466&lt;&gt;""),"只有「修改」才需填代碼",""))</f>
        <v/>
      </c>
      <c r="Y1466" s="21"/>
      <c r="Z1466" s="22"/>
      <c r="AA1466" s="12" t="s">
        <v>3930</v>
      </c>
      <c r="AB1466" s="24"/>
    </row>
    <row r="1467" customFormat="false" ht="29.85" hidden="false" customHeight="false" outlineLevel="0" collapsed="false">
      <c r="A1467" s="15" t="n">
        <v>1466</v>
      </c>
      <c r="B1467" s="9" t="s">
        <v>45</v>
      </c>
      <c r="C1467" s="9" t="s">
        <v>1653</v>
      </c>
      <c r="D1467" s="10" t="s">
        <v>1654</v>
      </c>
      <c r="E1467" s="11" t="s">
        <v>3931</v>
      </c>
      <c r="F1467" s="17"/>
      <c r="G1467" s="12" t="s">
        <v>1136</v>
      </c>
      <c r="H1467" s="13" t="n">
        <v>-0.023</v>
      </c>
      <c r="I1467" s="14"/>
      <c r="J1467" s="17"/>
      <c r="K1467" s="9"/>
      <c r="L1467" s="15" t="s">
        <v>50</v>
      </c>
      <c r="M1467" s="16" t="s">
        <v>51</v>
      </c>
      <c r="N1467" s="14"/>
      <c r="O1467" s="15" t="s">
        <v>52</v>
      </c>
      <c r="P1467" s="17" t="s">
        <v>53</v>
      </c>
      <c r="Q1467" s="15"/>
      <c r="R1467" s="18" t="s">
        <v>51</v>
      </c>
      <c r="S1467" s="19"/>
      <c r="T1467" s="17" t="str">
        <f aca="false">IF(R1467="維持",J1467,IF(R1467="排除","無關新聞事件",IFERROR(INDEX(事件規則!$B$2:$B$53,MATCH(S1467,事件規則!$A$2:$A$53,0)),"")))</f>
        <v>無關新聞事件</v>
      </c>
      <c r="U1467" s="20" t="n">
        <f aca="false">IF(R1467="維持",K1467,IF(R1467="排除",0,IFERROR(INDEX(事件規則!$C$2:$C$53,MATCH(S1467,事件規則!$A$2:$A$53,0)),"")))</f>
        <v>0</v>
      </c>
      <c r="V1467" s="21"/>
      <c r="W1467" s="22"/>
      <c r="X1467" s="10" t="str">
        <f aca="false">IF(AND(R1467="修改",S1467=""),"請選新事件代碼",IF(AND(R1467&lt;&gt;"修改",S1467&lt;&gt;""),"只有「修改」才需填代碼",""))</f>
        <v/>
      </c>
      <c r="Y1467" s="21"/>
      <c r="Z1467" s="22"/>
      <c r="AA1467" s="12" t="s">
        <v>3932</v>
      </c>
      <c r="AB1467" s="24"/>
    </row>
    <row r="1468" customFormat="false" ht="29.85" hidden="false" customHeight="false" outlineLevel="0" collapsed="false">
      <c r="A1468" s="15" t="n">
        <v>1467</v>
      </c>
      <c r="B1468" s="9" t="s">
        <v>55</v>
      </c>
      <c r="C1468" s="9" t="s">
        <v>232</v>
      </c>
      <c r="D1468" s="10" t="s">
        <v>233</v>
      </c>
      <c r="E1468" s="11" t="s">
        <v>3933</v>
      </c>
      <c r="F1468" s="17"/>
      <c r="G1468" s="12" t="s">
        <v>3221</v>
      </c>
      <c r="H1468" s="13" t="n">
        <v>-0.023</v>
      </c>
      <c r="I1468" s="14"/>
      <c r="J1468" s="17"/>
      <c r="K1468" s="9"/>
      <c r="L1468" s="15" t="s">
        <v>50</v>
      </c>
      <c r="M1468" s="16" t="s">
        <v>51</v>
      </c>
      <c r="N1468" s="14"/>
      <c r="O1468" s="15" t="s">
        <v>52</v>
      </c>
      <c r="P1468" s="17" t="s">
        <v>53</v>
      </c>
      <c r="Q1468" s="15"/>
      <c r="R1468" s="18" t="s">
        <v>51</v>
      </c>
      <c r="S1468" s="19"/>
      <c r="T1468" s="17" t="str">
        <f aca="false">IF(R1468="維持",J1468,IF(R1468="排除","無關新聞事件",IFERROR(INDEX(事件規則!$B$2:$B$53,MATCH(S1468,事件規則!$A$2:$A$53,0)),"")))</f>
        <v>無關新聞事件</v>
      </c>
      <c r="U1468" s="20" t="n">
        <f aca="false">IF(R1468="維持",K1468,IF(R1468="排除",0,IFERROR(INDEX(事件規則!$C$2:$C$53,MATCH(S1468,事件規則!$A$2:$A$53,0)),"")))</f>
        <v>0</v>
      </c>
      <c r="V1468" s="21"/>
      <c r="W1468" s="22"/>
      <c r="X1468" s="10" t="str">
        <f aca="false">IF(AND(R1468="修改",S1468=""),"請選新事件代碼",IF(AND(R1468&lt;&gt;"修改",S1468&lt;&gt;""),"只有「修改」才需填代碼",""))</f>
        <v/>
      </c>
      <c r="Y1468" s="21"/>
      <c r="Z1468" s="22"/>
      <c r="AA1468" s="12" t="s">
        <v>3934</v>
      </c>
      <c r="AB1468" s="24"/>
    </row>
    <row r="1469" customFormat="false" ht="29.85" hidden="false" customHeight="false" outlineLevel="0" collapsed="false">
      <c r="A1469" s="15" t="n">
        <v>1468</v>
      </c>
      <c r="B1469" s="9" t="s">
        <v>81</v>
      </c>
      <c r="C1469" s="9" t="s">
        <v>3522</v>
      </c>
      <c r="D1469" s="10" t="s">
        <v>3523</v>
      </c>
      <c r="E1469" s="11" t="s">
        <v>3935</v>
      </c>
      <c r="F1469" s="17"/>
      <c r="G1469" s="12" t="s">
        <v>3221</v>
      </c>
      <c r="H1469" s="13" t="n">
        <v>-0.023</v>
      </c>
      <c r="I1469" s="14"/>
      <c r="J1469" s="17"/>
      <c r="K1469" s="9"/>
      <c r="L1469" s="15" t="s">
        <v>50</v>
      </c>
      <c r="M1469" s="16" t="s">
        <v>51</v>
      </c>
      <c r="N1469" s="14"/>
      <c r="O1469" s="15" t="s">
        <v>52</v>
      </c>
      <c r="P1469" s="17" t="s">
        <v>53</v>
      </c>
      <c r="Q1469" s="15"/>
      <c r="R1469" s="18" t="s">
        <v>51</v>
      </c>
      <c r="S1469" s="19"/>
      <c r="T1469" s="17" t="str">
        <f aca="false">IF(R1469="維持",J1469,IF(R1469="排除","無關新聞事件",IFERROR(INDEX(事件規則!$B$2:$B$53,MATCH(S1469,事件規則!$A$2:$A$53,0)),"")))</f>
        <v>無關新聞事件</v>
      </c>
      <c r="U1469" s="20" t="n">
        <f aca="false">IF(R1469="維持",K1469,IF(R1469="排除",0,IFERROR(INDEX(事件規則!$C$2:$C$53,MATCH(S1469,事件規則!$A$2:$A$53,0)),"")))</f>
        <v>0</v>
      </c>
      <c r="V1469" s="21"/>
      <c r="W1469" s="22"/>
      <c r="X1469" s="10" t="str">
        <f aca="false">IF(AND(R1469="修改",S1469=""),"請選新事件代碼",IF(AND(R1469&lt;&gt;"修改",S1469&lt;&gt;""),"只有「修改」才需填代碼",""))</f>
        <v/>
      </c>
      <c r="Y1469" s="21"/>
      <c r="Z1469" s="22"/>
      <c r="AA1469" s="12" t="s">
        <v>3936</v>
      </c>
      <c r="AB1469" s="24"/>
    </row>
    <row r="1470" customFormat="false" ht="29.85" hidden="false" customHeight="false" outlineLevel="0" collapsed="false">
      <c r="A1470" s="15" t="n">
        <v>1469</v>
      </c>
      <c r="B1470" s="9" t="s">
        <v>81</v>
      </c>
      <c r="C1470" s="9" t="s">
        <v>3645</v>
      </c>
      <c r="D1470" s="10" t="s">
        <v>3646</v>
      </c>
      <c r="E1470" s="11" t="s">
        <v>3937</v>
      </c>
      <c r="F1470" s="17"/>
      <c r="G1470" s="12" t="s">
        <v>3221</v>
      </c>
      <c r="H1470" s="13" t="n">
        <v>-0.023</v>
      </c>
      <c r="I1470" s="14"/>
      <c r="J1470" s="17"/>
      <c r="K1470" s="9"/>
      <c r="L1470" s="15" t="s">
        <v>50</v>
      </c>
      <c r="M1470" s="16" t="s">
        <v>51</v>
      </c>
      <c r="N1470" s="14"/>
      <c r="O1470" s="15" t="s">
        <v>52</v>
      </c>
      <c r="P1470" s="17" t="s">
        <v>53</v>
      </c>
      <c r="Q1470" s="15"/>
      <c r="R1470" s="18" t="s">
        <v>51</v>
      </c>
      <c r="S1470" s="19"/>
      <c r="T1470" s="17" t="str">
        <f aca="false">IF(R1470="維持",J1470,IF(R1470="排除","無關新聞事件",IFERROR(INDEX(事件規則!$B$2:$B$53,MATCH(S1470,事件規則!$A$2:$A$53,0)),"")))</f>
        <v>無關新聞事件</v>
      </c>
      <c r="U1470" s="20" t="n">
        <f aca="false">IF(R1470="維持",K1470,IF(R1470="排除",0,IFERROR(INDEX(事件規則!$C$2:$C$53,MATCH(S1470,事件規則!$A$2:$A$53,0)),"")))</f>
        <v>0</v>
      </c>
      <c r="V1470" s="21"/>
      <c r="W1470" s="22"/>
      <c r="X1470" s="10" t="str">
        <f aca="false">IF(AND(R1470="修改",S1470=""),"請選新事件代碼",IF(AND(R1470&lt;&gt;"修改",S1470&lt;&gt;""),"只有「修改」才需填代碼",""))</f>
        <v/>
      </c>
      <c r="Y1470" s="21"/>
      <c r="Z1470" s="22"/>
      <c r="AA1470" s="12" t="s">
        <v>3938</v>
      </c>
      <c r="AB1470" s="24"/>
    </row>
    <row r="1471" customFormat="false" ht="29.85" hidden="false" customHeight="false" outlineLevel="0" collapsed="false">
      <c r="A1471" s="15" t="n">
        <v>1470</v>
      </c>
      <c r="B1471" s="9" t="s">
        <v>81</v>
      </c>
      <c r="C1471" s="9" t="s">
        <v>1860</v>
      </c>
      <c r="D1471" s="10" t="s">
        <v>280</v>
      </c>
      <c r="E1471" s="11" t="s">
        <v>3939</v>
      </c>
      <c r="F1471" s="17"/>
      <c r="G1471" s="12" t="s">
        <v>59</v>
      </c>
      <c r="H1471" s="13" t="n">
        <v>-0.023</v>
      </c>
      <c r="I1471" s="14"/>
      <c r="J1471" s="17"/>
      <c r="K1471" s="9"/>
      <c r="L1471" s="15" t="s">
        <v>50</v>
      </c>
      <c r="M1471" s="16" t="s">
        <v>51</v>
      </c>
      <c r="N1471" s="14"/>
      <c r="O1471" s="15" t="s">
        <v>52</v>
      </c>
      <c r="P1471" s="17" t="s">
        <v>53</v>
      </c>
      <c r="Q1471" s="15"/>
      <c r="R1471" s="18" t="s">
        <v>51</v>
      </c>
      <c r="S1471" s="19"/>
      <c r="T1471" s="17" t="str">
        <f aca="false">IF(R1471="維持",J1471,IF(R1471="排除","無關新聞事件",IFERROR(INDEX(事件規則!$B$2:$B$53,MATCH(S1471,事件規則!$A$2:$A$53,0)),"")))</f>
        <v>無關新聞事件</v>
      </c>
      <c r="U1471" s="20" t="n">
        <f aca="false">IF(R1471="維持",K1471,IF(R1471="排除",0,IFERROR(INDEX(事件規則!$C$2:$C$53,MATCH(S1471,事件規則!$A$2:$A$53,0)),"")))</f>
        <v>0</v>
      </c>
      <c r="V1471" s="21"/>
      <c r="W1471" s="22"/>
      <c r="X1471" s="10" t="str">
        <f aca="false">IF(AND(R1471="修改",S1471=""),"請選新事件代碼",IF(AND(R1471&lt;&gt;"修改",S1471&lt;&gt;""),"只有「修改」才需填代碼",""))</f>
        <v/>
      </c>
      <c r="Y1471" s="21"/>
      <c r="Z1471" s="22"/>
      <c r="AA1471" s="12" t="s">
        <v>3940</v>
      </c>
      <c r="AB1471" s="24"/>
    </row>
    <row r="1472" customFormat="false" ht="29.85" hidden="false" customHeight="false" outlineLevel="0" collapsed="false">
      <c r="A1472" s="15" t="n">
        <v>1471</v>
      </c>
      <c r="B1472" s="9" t="s">
        <v>45</v>
      </c>
      <c r="C1472" s="9" t="s">
        <v>563</v>
      </c>
      <c r="D1472" s="10" t="s">
        <v>564</v>
      </c>
      <c r="E1472" s="11" t="s">
        <v>3941</v>
      </c>
      <c r="F1472" s="17"/>
      <c r="G1472" s="12" t="s">
        <v>949</v>
      </c>
      <c r="H1472" s="13" t="n">
        <v>-0.023</v>
      </c>
      <c r="I1472" s="14"/>
      <c r="J1472" s="17"/>
      <c r="K1472" s="9"/>
      <c r="L1472" s="15" t="s">
        <v>50</v>
      </c>
      <c r="M1472" s="16" t="s">
        <v>51</v>
      </c>
      <c r="N1472" s="14"/>
      <c r="O1472" s="15" t="s">
        <v>52</v>
      </c>
      <c r="P1472" s="17" t="s">
        <v>53</v>
      </c>
      <c r="Q1472" s="15"/>
      <c r="R1472" s="18" t="s">
        <v>51</v>
      </c>
      <c r="S1472" s="19"/>
      <c r="T1472" s="17" t="str">
        <f aca="false">IF(R1472="維持",J1472,IF(R1472="排除","無關新聞事件",IFERROR(INDEX(事件規則!$B$2:$B$53,MATCH(S1472,事件規則!$A$2:$A$53,0)),"")))</f>
        <v>無關新聞事件</v>
      </c>
      <c r="U1472" s="20" t="n">
        <f aca="false">IF(R1472="維持",K1472,IF(R1472="排除",0,IFERROR(INDEX(事件規則!$C$2:$C$53,MATCH(S1472,事件規則!$A$2:$A$53,0)),"")))</f>
        <v>0</v>
      </c>
      <c r="V1472" s="21"/>
      <c r="W1472" s="22"/>
      <c r="X1472" s="10" t="str">
        <f aca="false">IF(AND(R1472="修改",S1472=""),"請選新事件代碼",IF(AND(R1472&lt;&gt;"修改",S1472&lt;&gt;""),"只有「修改」才需填代碼",""))</f>
        <v/>
      </c>
      <c r="Y1472" s="21"/>
      <c r="Z1472" s="22"/>
      <c r="AA1472" s="12" t="s">
        <v>3942</v>
      </c>
      <c r="AB1472" s="24"/>
    </row>
    <row r="1473" customFormat="false" ht="29.85" hidden="false" customHeight="false" outlineLevel="0" collapsed="false">
      <c r="A1473" s="15" t="n">
        <v>1472</v>
      </c>
      <c r="B1473" s="9" t="s">
        <v>112</v>
      </c>
      <c r="C1473" s="9" t="s">
        <v>326</v>
      </c>
      <c r="D1473" s="10" t="s">
        <v>326</v>
      </c>
      <c r="E1473" s="11" t="s">
        <v>3943</v>
      </c>
      <c r="F1473" s="17"/>
      <c r="G1473" s="12" t="s">
        <v>95</v>
      </c>
      <c r="H1473" s="13" t="n">
        <v>-0.023</v>
      </c>
      <c r="I1473" s="14"/>
      <c r="J1473" s="17"/>
      <c r="K1473" s="9"/>
      <c r="L1473" s="15" t="s">
        <v>50</v>
      </c>
      <c r="M1473" s="16" t="s">
        <v>51</v>
      </c>
      <c r="N1473" s="14"/>
      <c r="O1473" s="15" t="s">
        <v>52</v>
      </c>
      <c r="P1473" s="17" t="s">
        <v>53</v>
      </c>
      <c r="Q1473" s="15"/>
      <c r="R1473" s="18" t="s">
        <v>51</v>
      </c>
      <c r="S1473" s="19"/>
      <c r="T1473" s="17" t="str">
        <f aca="false">IF(R1473="維持",J1473,IF(R1473="排除","無關新聞事件",IFERROR(INDEX(事件規則!$B$2:$B$53,MATCH(S1473,事件規則!$A$2:$A$53,0)),"")))</f>
        <v>無關新聞事件</v>
      </c>
      <c r="U1473" s="20" t="n">
        <f aca="false">IF(R1473="維持",K1473,IF(R1473="排除",0,IFERROR(INDEX(事件規則!$C$2:$C$53,MATCH(S1473,事件規則!$A$2:$A$53,0)),"")))</f>
        <v>0</v>
      </c>
      <c r="V1473" s="21"/>
      <c r="W1473" s="22"/>
      <c r="X1473" s="10" t="str">
        <f aca="false">IF(AND(R1473="修改",S1473=""),"請選新事件代碼",IF(AND(R1473&lt;&gt;"修改",S1473&lt;&gt;""),"只有「修改」才需填代碼",""))</f>
        <v/>
      </c>
      <c r="Y1473" s="21"/>
      <c r="Z1473" s="22"/>
      <c r="AA1473" s="12" t="s">
        <v>3944</v>
      </c>
      <c r="AB1473" s="24"/>
    </row>
    <row r="1474" customFormat="false" ht="29.85" hidden="false" customHeight="false" outlineLevel="0" collapsed="false">
      <c r="A1474" s="15" t="n">
        <v>1473</v>
      </c>
      <c r="B1474" s="9" t="s">
        <v>112</v>
      </c>
      <c r="C1474" s="9" t="s">
        <v>2484</v>
      </c>
      <c r="D1474" s="10" t="s">
        <v>2485</v>
      </c>
      <c r="E1474" s="11" t="s">
        <v>3945</v>
      </c>
      <c r="F1474" s="17"/>
      <c r="G1474" s="12" t="s">
        <v>1136</v>
      </c>
      <c r="H1474" s="13" t="n">
        <v>-0.023</v>
      </c>
      <c r="I1474" s="14"/>
      <c r="J1474" s="17"/>
      <c r="K1474" s="9"/>
      <c r="L1474" s="15" t="s">
        <v>50</v>
      </c>
      <c r="M1474" s="16" t="s">
        <v>51</v>
      </c>
      <c r="N1474" s="14"/>
      <c r="O1474" s="15" t="s">
        <v>52</v>
      </c>
      <c r="P1474" s="17" t="s">
        <v>53</v>
      </c>
      <c r="Q1474" s="15"/>
      <c r="R1474" s="18" t="s">
        <v>51</v>
      </c>
      <c r="S1474" s="19"/>
      <c r="T1474" s="17" t="str">
        <f aca="false">IF(R1474="維持",J1474,IF(R1474="排除","無關新聞事件",IFERROR(INDEX(事件規則!$B$2:$B$53,MATCH(S1474,事件規則!$A$2:$A$53,0)),"")))</f>
        <v>無關新聞事件</v>
      </c>
      <c r="U1474" s="20" t="n">
        <f aca="false">IF(R1474="維持",K1474,IF(R1474="排除",0,IFERROR(INDEX(事件規則!$C$2:$C$53,MATCH(S1474,事件規則!$A$2:$A$53,0)),"")))</f>
        <v>0</v>
      </c>
      <c r="V1474" s="21"/>
      <c r="W1474" s="22"/>
      <c r="X1474" s="10" t="str">
        <f aca="false">IF(AND(R1474="修改",S1474=""),"請選新事件代碼",IF(AND(R1474&lt;&gt;"修改",S1474&lt;&gt;""),"只有「修改」才需填代碼",""))</f>
        <v/>
      </c>
      <c r="Y1474" s="21"/>
      <c r="Z1474" s="22"/>
      <c r="AA1474" s="12" t="s">
        <v>3946</v>
      </c>
      <c r="AB1474" s="24"/>
    </row>
    <row r="1475" customFormat="false" ht="29.85" hidden="false" customHeight="false" outlineLevel="0" collapsed="false">
      <c r="A1475" s="15" t="n">
        <v>1474</v>
      </c>
      <c r="B1475" s="9" t="s">
        <v>55</v>
      </c>
      <c r="C1475" s="9" t="s">
        <v>3947</v>
      </c>
      <c r="D1475" s="10" t="s">
        <v>3948</v>
      </c>
      <c r="E1475" s="11" t="s">
        <v>3949</v>
      </c>
      <c r="F1475" s="17"/>
      <c r="G1475" s="12" t="s">
        <v>3221</v>
      </c>
      <c r="H1475" s="13" t="n">
        <v>-0.023</v>
      </c>
      <c r="I1475" s="14"/>
      <c r="J1475" s="17"/>
      <c r="K1475" s="9"/>
      <c r="L1475" s="15" t="s">
        <v>50</v>
      </c>
      <c r="M1475" s="16" t="s">
        <v>51</v>
      </c>
      <c r="N1475" s="14"/>
      <c r="O1475" s="15" t="s">
        <v>52</v>
      </c>
      <c r="P1475" s="17" t="s">
        <v>53</v>
      </c>
      <c r="Q1475" s="15"/>
      <c r="R1475" s="18" t="s">
        <v>51</v>
      </c>
      <c r="S1475" s="19"/>
      <c r="T1475" s="17" t="str">
        <f aca="false">IF(R1475="維持",J1475,IF(R1475="排除","無關新聞事件",IFERROR(INDEX(事件規則!$B$2:$B$53,MATCH(S1475,事件規則!$A$2:$A$53,0)),"")))</f>
        <v>無關新聞事件</v>
      </c>
      <c r="U1475" s="20" t="n">
        <f aca="false">IF(R1475="維持",K1475,IF(R1475="排除",0,IFERROR(INDEX(事件規則!$C$2:$C$53,MATCH(S1475,事件規則!$A$2:$A$53,0)),"")))</f>
        <v>0</v>
      </c>
      <c r="V1475" s="21"/>
      <c r="W1475" s="22"/>
      <c r="X1475" s="10" t="str">
        <f aca="false">IF(AND(R1475="修改",S1475=""),"請選新事件代碼",IF(AND(R1475&lt;&gt;"修改",S1475&lt;&gt;""),"只有「修改」才需填代碼",""))</f>
        <v/>
      </c>
      <c r="Y1475" s="21"/>
      <c r="Z1475" s="22"/>
      <c r="AA1475" s="12" t="s">
        <v>3950</v>
      </c>
      <c r="AB1475" s="24"/>
    </row>
    <row r="1476" customFormat="false" ht="29.85" hidden="false" customHeight="false" outlineLevel="0" collapsed="false">
      <c r="A1476" s="15" t="n">
        <v>1475</v>
      </c>
      <c r="B1476" s="9" t="s">
        <v>112</v>
      </c>
      <c r="C1476" s="9" t="s">
        <v>505</v>
      </c>
      <c r="D1476" s="10" t="s">
        <v>506</v>
      </c>
      <c r="E1476" s="11" t="s">
        <v>3951</v>
      </c>
      <c r="F1476" s="17"/>
      <c r="G1476" s="12" t="s">
        <v>176</v>
      </c>
      <c r="H1476" s="13" t="n">
        <v>-0.023</v>
      </c>
      <c r="I1476" s="14"/>
      <c r="J1476" s="17"/>
      <c r="K1476" s="9"/>
      <c r="L1476" s="15" t="s">
        <v>50</v>
      </c>
      <c r="M1476" s="16" t="s">
        <v>51</v>
      </c>
      <c r="N1476" s="14"/>
      <c r="O1476" s="15" t="s">
        <v>52</v>
      </c>
      <c r="P1476" s="17" t="s">
        <v>53</v>
      </c>
      <c r="Q1476" s="15"/>
      <c r="R1476" s="18" t="s">
        <v>51</v>
      </c>
      <c r="S1476" s="19"/>
      <c r="T1476" s="17" t="str">
        <f aca="false">IF(R1476="維持",J1476,IF(R1476="排除","無關新聞事件",IFERROR(INDEX(事件規則!$B$2:$B$53,MATCH(S1476,事件規則!$A$2:$A$53,0)),"")))</f>
        <v>無關新聞事件</v>
      </c>
      <c r="U1476" s="20" t="n">
        <f aca="false">IF(R1476="維持",K1476,IF(R1476="排除",0,IFERROR(INDEX(事件規則!$C$2:$C$53,MATCH(S1476,事件規則!$A$2:$A$53,0)),"")))</f>
        <v>0</v>
      </c>
      <c r="V1476" s="21"/>
      <c r="W1476" s="22"/>
      <c r="X1476" s="10" t="str">
        <f aca="false">IF(AND(R1476="修改",S1476=""),"請選新事件代碼",IF(AND(R1476&lt;&gt;"修改",S1476&lt;&gt;""),"只有「修改」才需填代碼",""))</f>
        <v/>
      </c>
      <c r="Y1476" s="21"/>
      <c r="Z1476" s="22"/>
      <c r="AA1476" s="12" t="s">
        <v>3952</v>
      </c>
      <c r="AB1476" s="24"/>
    </row>
    <row r="1477" customFormat="false" ht="29.85" hidden="false" customHeight="false" outlineLevel="0" collapsed="false">
      <c r="A1477" s="15" t="n">
        <v>1476</v>
      </c>
      <c r="B1477" s="9" t="s">
        <v>112</v>
      </c>
      <c r="C1477" s="9" t="s">
        <v>563</v>
      </c>
      <c r="D1477" s="10" t="s">
        <v>564</v>
      </c>
      <c r="E1477" s="11" t="s">
        <v>3953</v>
      </c>
      <c r="F1477" s="17"/>
      <c r="G1477" s="12" t="s">
        <v>949</v>
      </c>
      <c r="H1477" s="13" t="n">
        <v>-0.023</v>
      </c>
      <c r="I1477" s="14"/>
      <c r="J1477" s="17"/>
      <c r="K1477" s="9"/>
      <c r="L1477" s="15" t="s">
        <v>50</v>
      </c>
      <c r="M1477" s="16" t="s">
        <v>51</v>
      </c>
      <c r="N1477" s="14"/>
      <c r="O1477" s="15" t="s">
        <v>52</v>
      </c>
      <c r="P1477" s="17" t="s">
        <v>53</v>
      </c>
      <c r="Q1477" s="15"/>
      <c r="R1477" s="18" t="s">
        <v>51</v>
      </c>
      <c r="S1477" s="19"/>
      <c r="T1477" s="17" t="str">
        <f aca="false">IF(R1477="維持",J1477,IF(R1477="排除","無關新聞事件",IFERROR(INDEX(事件規則!$B$2:$B$53,MATCH(S1477,事件規則!$A$2:$A$53,0)),"")))</f>
        <v>無關新聞事件</v>
      </c>
      <c r="U1477" s="20" t="n">
        <f aca="false">IF(R1477="維持",K1477,IF(R1477="排除",0,IFERROR(INDEX(事件規則!$C$2:$C$53,MATCH(S1477,事件規則!$A$2:$A$53,0)),"")))</f>
        <v>0</v>
      </c>
      <c r="V1477" s="21"/>
      <c r="W1477" s="22"/>
      <c r="X1477" s="10" t="str">
        <f aca="false">IF(AND(R1477="修改",S1477=""),"請選新事件代碼",IF(AND(R1477&lt;&gt;"修改",S1477&lt;&gt;""),"只有「修改」才需填代碼",""))</f>
        <v/>
      </c>
      <c r="Y1477" s="21"/>
      <c r="Z1477" s="22"/>
      <c r="AA1477" s="12" t="s">
        <v>3954</v>
      </c>
      <c r="AB1477" s="24"/>
    </row>
    <row r="1478" customFormat="false" ht="29.85" hidden="false" customHeight="false" outlineLevel="0" collapsed="false">
      <c r="A1478" s="15" t="n">
        <v>1477</v>
      </c>
      <c r="B1478" s="9" t="s">
        <v>112</v>
      </c>
      <c r="C1478" s="9" t="s">
        <v>550</v>
      </c>
      <c r="D1478" s="10" t="s">
        <v>551</v>
      </c>
      <c r="E1478" s="11" t="s">
        <v>3955</v>
      </c>
      <c r="F1478" s="17"/>
      <c r="G1478" s="12" t="s">
        <v>1068</v>
      </c>
      <c r="H1478" s="13" t="n">
        <v>-0.023</v>
      </c>
      <c r="I1478" s="14"/>
      <c r="J1478" s="17"/>
      <c r="K1478" s="9"/>
      <c r="L1478" s="15" t="s">
        <v>50</v>
      </c>
      <c r="M1478" s="16" t="s">
        <v>51</v>
      </c>
      <c r="N1478" s="14"/>
      <c r="O1478" s="15" t="s">
        <v>52</v>
      </c>
      <c r="P1478" s="17" t="s">
        <v>53</v>
      </c>
      <c r="Q1478" s="15"/>
      <c r="R1478" s="18" t="s">
        <v>51</v>
      </c>
      <c r="S1478" s="19"/>
      <c r="T1478" s="17" t="str">
        <f aca="false">IF(R1478="維持",J1478,IF(R1478="排除","無關新聞事件",IFERROR(INDEX(事件規則!$B$2:$B$53,MATCH(S1478,事件規則!$A$2:$A$53,0)),"")))</f>
        <v>無關新聞事件</v>
      </c>
      <c r="U1478" s="20" t="n">
        <f aca="false">IF(R1478="維持",K1478,IF(R1478="排除",0,IFERROR(INDEX(事件規則!$C$2:$C$53,MATCH(S1478,事件規則!$A$2:$A$53,0)),"")))</f>
        <v>0</v>
      </c>
      <c r="V1478" s="21"/>
      <c r="W1478" s="22"/>
      <c r="X1478" s="10" t="str">
        <f aca="false">IF(AND(R1478="修改",S1478=""),"請選新事件代碼",IF(AND(R1478&lt;&gt;"修改",S1478&lt;&gt;""),"只有「修改」才需填代碼",""))</f>
        <v/>
      </c>
      <c r="Y1478" s="21"/>
      <c r="Z1478" s="22"/>
      <c r="AA1478" s="12" t="s">
        <v>3956</v>
      </c>
      <c r="AB1478" s="24"/>
    </row>
    <row r="1479" customFormat="false" ht="29.85" hidden="false" customHeight="false" outlineLevel="0" collapsed="false">
      <c r="A1479" s="15" t="n">
        <v>1478</v>
      </c>
      <c r="B1479" s="9" t="s">
        <v>112</v>
      </c>
      <c r="C1479" s="15"/>
      <c r="D1479" s="10" t="s">
        <v>3957</v>
      </c>
      <c r="E1479" s="23" t="s">
        <v>3868</v>
      </c>
      <c r="F1479" s="17" t="s">
        <v>3868</v>
      </c>
      <c r="G1479" s="12" t="s">
        <v>176</v>
      </c>
      <c r="H1479" s="13" t="n">
        <v>-0.023</v>
      </c>
      <c r="I1479" s="14"/>
      <c r="J1479" s="17"/>
      <c r="K1479" s="9"/>
      <c r="L1479" s="15" t="s">
        <v>50</v>
      </c>
      <c r="M1479" s="16" t="s">
        <v>51</v>
      </c>
      <c r="N1479" s="14"/>
      <c r="O1479" s="15" t="s">
        <v>52</v>
      </c>
      <c r="P1479" s="17" t="s">
        <v>53</v>
      </c>
      <c r="Q1479" s="15"/>
      <c r="R1479" s="18" t="s">
        <v>51</v>
      </c>
      <c r="S1479" s="19"/>
      <c r="T1479" s="17" t="str">
        <f aca="false">IF(R1479="維持",J1479,IF(R1479="排除","無關新聞事件",IFERROR(INDEX(事件規則!$B$2:$B$53,MATCH(S1479,事件規則!$A$2:$A$53,0)),"")))</f>
        <v>無關新聞事件</v>
      </c>
      <c r="U1479" s="20" t="n">
        <f aca="false">IF(R1479="維持",K1479,IF(R1479="排除",0,IFERROR(INDEX(事件規則!$C$2:$C$53,MATCH(S1479,事件規則!$A$2:$A$53,0)),"")))</f>
        <v>0</v>
      </c>
      <c r="V1479" s="21"/>
      <c r="W1479" s="22"/>
      <c r="X1479" s="10" t="str">
        <f aca="false">IF(AND(R1479="修改",S1479=""),"請選新事件代碼",IF(AND(R1479&lt;&gt;"修改",S1479&lt;&gt;""),"只有「修改」才需填代碼",""))</f>
        <v/>
      </c>
      <c r="Y1479" s="21"/>
      <c r="Z1479" s="22"/>
      <c r="AA1479" s="12" t="s">
        <v>3958</v>
      </c>
      <c r="AB1479" s="24"/>
    </row>
    <row r="1480" customFormat="false" ht="29.85" hidden="false" customHeight="false" outlineLevel="0" collapsed="false">
      <c r="A1480" s="15" t="n">
        <v>1479</v>
      </c>
      <c r="B1480" s="9" t="s">
        <v>112</v>
      </c>
      <c r="C1480" s="9" t="s">
        <v>518</v>
      </c>
      <c r="D1480" s="10" t="s">
        <v>519</v>
      </c>
      <c r="E1480" s="11" t="s">
        <v>3959</v>
      </c>
      <c r="F1480" s="17"/>
      <c r="G1480" s="12" t="s">
        <v>3960</v>
      </c>
      <c r="H1480" s="13" t="n">
        <v>-0.023</v>
      </c>
      <c r="I1480" s="14"/>
      <c r="J1480" s="17"/>
      <c r="K1480" s="9"/>
      <c r="L1480" s="15" t="s">
        <v>50</v>
      </c>
      <c r="M1480" s="16" t="s">
        <v>51</v>
      </c>
      <c r="N1480" s="14"/>
      <c r="O1480" s="15" t="s">
        <v>52</v>
      </c>
      <c r="P1480" s="17" t="s">
        <v>53</v>
      </c>
      <c r="Q1480" s="15"/>
      <c r="R1480" s="18" t="s">
        <v>51</v>
      </c>
      <c r="S1480" s="19"/>
      <c r="T1480" s="17" t="str">
        <f aca="false">IF(R1480="維持",J1480,IF(R1480="排除","無關新聞事件",IFERROR(INDEX(事件規則!$B$2:$B$53,MATCH(S1480,事件規則!$A$2:$A$53,0)),"")))</f>
        <v>無關新聞事件</v>
      </c>
      <c r="U1480" s="20" t="n">
        <f aca="false">IF(R1480="維持",K1480,IF(R1480="排除",0,IFERROR(INDEX(事件規則!$C$2:$C$53,MATCH(S1480,事件規則!$A$2:$A$53,0)),"")))</f>
        <v>0</v>
      </c>
      <c r="V1480" s="21"/>
      <c r="W1480" s="22"/>
      <c r="X1480" s="10" t="str">
        <f aca="false">IF(AND(R1480="修改",S1480=""),"請選新事件代碼",IF(AND(R1480&lt;&gt;"修改",S1480&lt;&gt;""),"只有「修改」才需填代碼",""))</f>
        <v/>
      </c>
      <c r="Y1480" s="21"/>
      <c r="Z1480" s="22"/>
      <c r="AA1480" s="12" t="s">
        <v>3961</v>
      </c>
      <c r="AB1480" s="24"/>
    </row>
    <row r="1481" customFormat="false" ht="29.85" hidden="false" customHeight="false" outlineLevel="0" collapsed="false">
      <c r="A1481" s="15" t="n">
        <v>1480</v>
      </c>
      <c r="B1481" s="9" t="s">
        <v>112</v>
      </c>
      <c r="C1481" s="15"/>
      <c r="D1481" s="10" t="s">
        <v>450</v>
      </c>
      <c r="E1481" s="23" t="s">
        <v>3868</v>
      </c>
      <c r="F1481" s="17" t="s">
        <v>3868</v>
      </c>
      <c r="G1481" s="12" t="s">
        <v>176</v>
      </c>
      <c r="H1481" s="13" t="n">
        <v>-0.023</v>
      </c>
      <c r="I1481" s="14"/>
      <c r="J1481" s="17"/>
      <c r="K1481" s="9"/>
      <c r="L1481" s="15" t="s">
        <v>50</v>
      </c>
      <c r="M1481" s="16" t="s">
        <v>51</v>
      </c>
      <c r="N1481" s="14"/>
      <c r="O1481" s="15" t="s">
        <v>52</v>
      </c>
      <c r="P1481" s="17" t="s">
        <v>53</v>
      </c>
      <c r="Q1481" s="15"/>
      <c r="R1481" s="18" t="s">
        <v>51</v>
      </c>
      <c r="S1481" s="19"/>
      <c r="T1481" s="17" t="str">
        <f aca="false">IF(R1481="維持",J1481,IF(R1481="排除","無關新聞事件",IFERROR(INDEX(事件規則!$B$2:$B$53,MATCH(S1481,事件規則!$A$2:$A$53,0)),"")))</f>
        <v>無關新聞事件</v>
      </c>
      <c r="U1481" s="20" t="n">
        <f aca="false">IF(R1481="維持",K1481,IF(R1481="排除",0,IFERROR(INDEX(事件規則!$C$2:$C$53,MATCH(S1481,事件規則!$A$2:$A$53,0)),"")))</f>
        <v>0</v>
      </c>
      <c r="V1481" s="21"/>
      <c r="W1481" s="22"/>
      <c r="X1481" s="10" t="str">
        <f aca="false">IF(AND(R1481="修改",S1481=""),"請選新事件代碼",IF(AND(R1481&lt;&gt;"修改",S1481&lt;&gt;""),"只有「修改」才需填代碼",""))</f>
        <v/>
      </c>
      <c r="Y1481" s="21"/>
      <c r="Z1481" s="22"/>
      <c r="AA1481" s="12" t="s">
        <v>3962</v>
      </c>
      <c r="AB1481" s="24"/>
    </row>
    <row r="1482" customFormat="false" ht="29.85" hidden="false" customHeight="false" outlineLevel="0" collapsed="false">
      <c r="A1482" s="15" t="n">
        <v>1481</v>
      </c>
      <c r="B1482" s="9" t="s">
        <v>55</v>
      </c>
      <c r="C1482" s="9" t="s">
        <v>2083</v>
      </c>
      <c r="D1482" s="10" t="s">
        <v>2084</v>
      </c>
      <c r="E1482" s="11" t="s">
        <v>3963</v>
      </c>
      <c r="F1482" s="17"/>
      <c r="G1482" s="12" t="s">
        <v>949</v>
      </c>
      <c r="H1482" s="13" t="n">
        <v>-0.023</v>
      </c>
      <c r="I1482" s="14"/>
      <c r="J1482" s="17"/>
      <c r="K1482" s="9"/>
      <c r="L1482" s="15" t="s">
        <v>50</v>
      </c>
      <c r="M1482" s="16" t="s">
        <v>51</v>
      </c>
      <c r="N1482" s="14"/>
      <c r="O1482" s="15" t="s">
        <v>52</v>
      </c>
      <c r="P1482" s="17" t="s">
        <v>53</v>
      </c>
      <c r="Q1482" s="15"/>
      <c r="R1482" s="18" t="s">
        <v>51</v>
      </c>
      <c r="S1482" s="19"/>
      <c r="T1482" s="17" t="str">
        <f aca="false">IF(R1482="維持",J1482,IF(R1482="排除","無關新聞事件",IFERROR(INDEX(事件規則!$B$2:$B$53,MATCH(S1482,事件規則!$A$2:$A$53,0)),"")))</f>
        <v>無關新聞事件</v>
      </c>
      <c r="U1482" s="20" t="n">
        <f aca="false">IF(R1482="維持",K1482,IF(R1482="排除",0,IFERROR(INDEX(事件規則!$C$2:$C$53,MATCH(S1482,事件規則!$A$2:$A$53,0)),"")))</f>
        <v>0</v>
      </c>
      <c r="V1482" s="21"/>
      <c r="W1482" s="22"/>
      <c r="X1482" s="10" t="str">
        <f aca="false">IF(AND(R1482="修改",S1482=""),"請選新事件代碼",IF(AND(R1482&lt;&gt;"修改",S1482&lt;&gt;""),"只有「修改」才需填代碼",""))</f>
        <v/>
      </c>
      <c r="Y1482" s="21"/>
      <c r="Z1482" s="22"/>
      <c r="AA1482" s="12" t="s">
        <v>3964</v>
      </c>
      <c r="AB1482" s="24"/>
    </row>
    <row r="1483" customFormat="false" ht="29.85" hidden="false" customHeight="false" outlineLevel="0" collapsed="false">
      <c r="A1483" s="15" t="n">
        <v>1482</v>
      </c>
      <c r="B1483" s="9" t="s">
        <v>112</v>
      </c>
      <c r="C1483" s="9" t="s">
        <v>654</v>
      </c>
      <c r="D1483" s="10" t="s">
        <v>655</v>
      </c>
      <c r="E1483" s="11" t="s">
        <v>3965</v>
      </c>
      <c r="F1483" s="17"/>
      <c r="G1483" s="12" t="s">
        <v>2033</v>
      </c>
      <c r="H1483" s="13" t="n">
        <v>-0.023</v>
      </c>
      <c r="I1483" s="14"/>
      <c r="J1483" s="17"/>
      <c r="K1483" s="9"/>
      <c r="L1483" s="15" t="s">
        <v>50</v>
      </c>
      <c r="M1483" s="16" t="s">
        <v>51</v>
      </c>
      <c r="N1483" s="14"/>
      <c r="O1483" s="15" t="s">
        <v>52</v>
      </c>
      <c r="P1483" s="17" t="s">
        <v>53</v>
      </c>
      <c r="Q1483" s="15"/>
      <c r="R1483" s="18" t="s">
        <v>51</v>
      </c>
      <c r="S1483" s="19"/>
      <c r="T1483" s="17" t="str">
        <f aca="false">IF(R1483="維持",J1483,IF(R1483="排除","無關新聞事件",IFERROR(INDEX(事件規則!$B$2:$B$53,MATCH(S1483,事件規則!$A$2:$A$53,0)),"")))</f>
        <v>無關新聞事件</v>
      </c>
      <c r="U1483" s="20" t="n">
        <f aca="false">IF(R1483="維持",K1483,IF(R1483="排除",0,IFERROR(INDEX(事件規則!$C$2:$C$53,MATCH(S1483,事件規則!$A$2:$A$53,0)),"")))</f>
        <v>0</v>
      </c>
      <c r="V1483" s="21"/>
      <c r="W1483" s="22"/>
      <c r="X1483" s="10" t="str">
        <f aca="false">IF(AND(R1483="修改",S1483=""),"請選新事件代碼",IF(AND(R1483&lt;&gt;"修改",S1483&lt;&gt;""),"只有「修改」才需填代碼",""))</f>
        <v/>
      </c>
      <c r="Y1483" s="21"/>
      <c r="Z1483" s="22"/>
      <c r="AA1483" s="12" t="s">
        <v>3966</v>
      </c>
      <c r="AB1483" s="24"/>
    </row>
    <row r="1484" customFormat="false" ht="29.85" hidden="false" customHeight="false" outlineLevel="0" collapsed="false">
      <c r="A1484" s="15" t="n">
        <v>1483</v>
      </c>
      <c r="B1484" s="9" t="s">
        <v>55</v>
      </c>
      <c r="C1484" s="9" t="s">
        <v>445</v>
      </c>
      <c r="D1484" s="10" t="s">
        <v>446</v>
      </c>
      <c r="E1484" s="11" t="s">
        <v>3967</v>
      </c>
      <c r="F1484" s="17"/>
      <c r="G1484" s="12" t="s">
        <v>3733</v>
      </c>
      <c r="H1484" s="13" t="n">
        <v>-0.023</v>
      </c>
      <c r="I1484" s="14"/>
      <c r="J1484" s="17"/>
      <c r="K1484" s="9"/>
      <c r="L1484" s="15" t="s">
        <v>50</v>
      </c>
      <c r="M1484" s="16" t="s">
        <v>51</v>
      </c>
      <c r="N1484" s="14"/>
      <c r="O1484" s="15" t="s">
        <v>52</v>
      </c>
      <c r="P1484" s="17" t="s">
        <v>53</v>
      </c>
      <c r="Q1484" s="15"/>
      <c r="R1484" s="18" t="s">
        <v>51</v>
      </c>
      <c r="S1484" s="19"/>
      <c r="T1484" s="17" t="str">
        <f aca="false">IF(R1484="維持",J1484,IF(R1484="排除","無關新聞事件",IFERROR(INDEX(事件規則!$B$2:$B$53,MATCH(S1484,事件規則!$A$2:$A$53,0)),"")))</f>
        <v>無關新聞事件</v>
      </c>
      <c r="U1484" s="20" t="n">
        <f aca="false">IF(R1484="維持",K1484,IF(R1484="排除",0,IFERROR(INDEX(事件規則!$C$2:$C$53,MATCH(S1484,事件規則!$A$2:$A$53,0)),"")))</f>
        <v>0</v>
      </c>
      <c r="V1484" s="21"/>
      <c r="W1484" s="22"/>
      <c r="X1484" s="10" t="str">
        <f aca="false">IF(AND(R1484="修改",S1484=""),"請選新事件代碼",IF(AND(R1484&lt;&gt;"修改",S1484&lt;&gt;""),"只有「修改」才需填代碼",""))</f>
        <v/>
      </c>
      <c r="Y1484" s="21"/>
      <c r="Z1484" s="22"/>
      <c r="AA1484" s="12" t="s">
        <v>3968</v>
      </c>
      <c r="AB1484" s="24"/>
    </row>
    <row r="1485" customFormat="false" ht="29.85" hidden="false" customHeight="false" outlineLevel="0" collapsed="false">
      <c r="A1485" s="15" t="n">
        <v>1484</v>
      </c>
      <c r="B1485" s="9" t="s">
        <v>55</v>
      </c>
      <c r="C1485" s="9" t="s">
        <v>1555</v>
      </c>
      <c r="D1485" s="10" t="s">
        <v>1556</v>
      </c>
      <c r="E1485" s="11" t="s">
        <v>3969</v>
      </c>
      <c r="F1485" s="17"/>
      <c r="G1485" s="12" t="s">
        <v>949</v>
      </c>
      <c r="H1485" s="13" t="n">
        <v>-0.023</v>
      </c>
      <c r="I1485" s="14"/>
      <c r="J1485" s="17"/>
      <c r="K1485" s="9"/>
      <c r="L1485" s="15" t="s">
        <v>50</v>
      </c>
      <c r="M1485" s="16" t="s">
        <v>51</v>
      </c>
      <c r="N1485" s="14"/>
      <c r="O1485" s="15" t="s">
        <v>52</v>
      </c>
      <c r="P1485" s="17" t="s">
        <v>53</v>
      </c>
      <c r="Q1485" s="15"/>
      <c r="R1485" s="18" t="s">
        <v>51</v>
      </c>
      <c r="S1485" s="19"/>
      <c r="T1485" s="17" t="str">
        <f aca="false">IF(R1485="維持",J1485,IF(R1485="排除","無關新聞事件",IFERROR(INDEX(事件規則!$B$2:$B$53,MATCH(S1485,事件規則!$A$2:$A$53,0)),"")))</f>
        <v>無關新聞事件</v>
      </c>
      <c r="U1485" s="20" t="n">
        <f aca="false">IF(R1485="維持",K1485,IF(R1485="排除",0,IFERROR(INDEX(事件規則!$C$2:$C$53,MATCH(S1485,事件規則!$A$2:$A$53,0)),"")))</f>
        <v>0</v>
      </c>
      <c r="V1485" s="21"/>
      <c r="W1485" s="22"/>
      <c r="X1485" s="10" t="str">
        <f aca="false">IF(AND(R1485="修改",S1485=""),"請選新事件代碼",IF(AND(R1485&lt;&gt;"修改",S1485&lt;&gt;""),"只有「修改」才需填代碼",""))</f>
        <v/>
      </c>
      <c r="Y1485" s="21"/>
      <c r="Z1485" s="22"/>
      <c r="AA1485" s="12" t="s">
        <v>3970</v>
      </c>
      <c r="AB1485" s="24"/>
    </row>
    <row r="1486" customFormat="false" ht="29.85" hidden="false" customHeight="false" outlineLevel="0" collapsed="false">
      <c r="A1486" s="15" t="n">
        <v>1485</v>
      </c>
      <c r="B1486" s="9" t="s">
        <v>55</v>
      </c>
      <c r="C1486" s="9" t="s">
        <v>3845</v>
      </c>
      <c r="D1486" s="10" t="s">
        <v>3846</v>
      </c>
      <c r="E1486" s="11" t="s">
        <v>3971</v>
      </c>
      <c r="F1486" s="17"/>
      <c r="G1486" s="12" t="s">
        <v>949</v>
      </c>
      <c r="H1486" s="13" t="n">
        <v>-0.023</v>
      </c>
      <c r="I1486" s="14"/>
      <c r="J1486" s="17"/>
      <c r="K1486" s="9"/>
      <c r="L1486" s="15" t="s">
        <v>50</v>
      </c>
      <c r="M1486" s="16" t="s">
        <v>51</v>
      </c>
      <c r="N1486" s="14"/>
      <c r="O1486" s="15" t="s">
        <v>52</v>
      </c>
      <c r="P1486" s="17" t="s">
        <v>53</v>
      </c>
      <c r="Q1486" s="15"/>
      <c r="R1486" s="18" t="s">
        <v>51</v>
      </c>
      <c r="S1486" s="19"/>
      <c r="T1486" s="17" t="str">
        <f aca="false">IF(R1486="維持",J1486,IF(R1486="排除","無關新聞事件",IFERROR(INDEX(事件規則!$B$2:$B$53,MATCH(S1486,事件規則!$A$2:$A$53,0)),"")))</f>
        <v>無關新聞事件</v>
      </c>
      <c r="U1486" s="20" t="n">
        <f aca="false">IF(R1486="維持",K1486,IF(R1486="排除",0,IFERROR(INDEX(事件規則!$C$2:$C$53,MATCH(S1486,事件規則!$A$2:$A$53,0)),"")))</f>
        <v>0</v>
      </c>
      <c r="V1486" s="21"/>
      <c r="W1486" s="22"/>
      <c r="X1486" s="10" t="str">
        <f aca="false">IF(AND(R1486="修改",S1486=""),"請選新事件代碼",IF(AND(R1486&lt;&gt;"修改",S1486&lt;&gt;""),"只有「修改」才需填代碼",""))</f>
        <v/>
      </c>
      <c r="Y1486" s="21"/>
      <c r="Z1486" s="22"/>
      <c r="AA1486" s="12" t="s">
        <v>3972</v>
      </c>
      <c r="AB1486" s="24"/>
    </row>
    <row r="1487" customFormat="false" ht="29.85" hidden="false" customHeight="false" outlineLevel="0" collapsed="false">
      <c r="A1487" s="15" t="n">
        <v>1486</v>
      </c>
      <c r="B1487" s="9" t="s">
        <v>55</v>
      </c>
      <c r="C1487" s="9" t="s">
        <v>602</v>
      </c>
      <c r="D1487" s="10" t="s">
        <v>603</v>
      </c>
      <c r="E1487" s="11" t="s">
        <v>3973</v>
      </c>
      <c r="F1487" s="17"/>
      <c r="G1487" s="12" t="s">
        <v>3221</v>
      </c>
      <c r="H1487" s="13" t="n">
        <v>-0.023</v>
      </c>
      <c r="I1487" s="14"/>
      <c r="J1487" s="17"/>
      <c r="K1487" s="9"/>
      <c r="L1487" s="15" t="s">
        <v>50</v>
      </c>
      <c r="M1487" s="16" t="s">
        <v>51</v>
      </c>
      <c r="N1487" s="14"/>
      <c r="O1487" s="15" t="s">
        <v>52</v>
      </c>
      <c r="P1487" s="17" t="s">
        <v>53</v>
      </c>
      <c r="Q1487" s="15"/>
      <c r="R1487" s="18" t="s">
        <v>51</v>
      </c>
      <c r="S1487" s="19"/>
      <c r="T1487" s="17" t="str">
        <f aca="false">IF(R1487="維持",J1487,IF(R1487="排除","無關新聞事件",IFERROR(INDEX(事件規則!$B$2:$B$53,MATCH(S1487,事件規則!$A$2:$A$53,0)),"")))</f>
        <v>無關新聞事件</v>
      </c>
      <c r="U1487" s="20" t="n">
        <f aca="false">IF(R1487="維持",K1487,IF(R1487="排除",0,IFERROR(INDEX(事件規則!$C$2:$C$53,MATCH(S1487,事件規則!$A$2:$A$53,0)),"")))</f>
        <v>0</v>
      </c>
      <c r="V1487" s="21"/>
      <c r="W1487" s="22"/>
      <c r="X1487" s="10" t="str">
        <f aca="false">IF(AND(R1487="修改",S1487=""),"請選新事件代碼",IF(AND(R1487&lt;&gt;"修改",S1487&lt;&gt;""),"只有「修改」才需填代碼",""))</f>
        <v/>
      </c>
      <c r="Y1487" s="21"/>
      <c r="Z1487" s="22"/>
      <c r="AA1487" s="12" t="s">
        <v>3974</v>
      </c>
      <c r="AB1487" s="24"/>
    </row>
    <row r="1488" customFormat="false" ht="29.85" hidden="false" customHeight="false" outlineLevel="0" collapsed="false">
      <c r="A1488" s="15" t="n">
        <v>1487</v>
      </c>
      <c r="B1488" s="9" t="s">
        <v>55</v>
      </c>
      <c r="C1488" s="15"/>
      <c r="D1488" s="10" t="s">
        <v>3975</v>
      </c>
      <c r="E1488" s="23" t="s">
        <v>3868</v>
      </c>
      <c r="F1488" s="17" t="s">
        <v>3868</v>
      </c>
      <c r="G1488" s="12" t="s">
        <v>176</v>
      </c>
      <c r="H1488" s="13" t="n">
        <v>-0.023</v>
      </c>
      <c r="I1488" s="14"/>
      <c r="J1488" s="17"/>
      <c r="K1488" s="9"/>
      <c r="L1488" s="15" t="s">
        <v>50</v>
      </c>
      <c r="M1488" s="16" t="s">
        <v>51</v>
      </c>
      <c r="N1488" s="14"/>
      <c r="O1488" s="15" t="s">
        <v>52</v>
      </c>
      <c r="P1488" s="17" t="s">
        <v>53</v>
      </c>
      <c r="Q1488" s="15"/>
      <c r="R1488" s="18" t="s">
        <v>51</v>
      </c>
      <c r="S1488" s="19"/>
      <c r="T1488" s="17" t="str">
        <f aca="false">IF(R1488="維持",J1488,IF(R1488="排除","無關新聞事件",IFERROR(INDEX(事件規則!$B$2:$B$53,MATCH(S1488,事件規則!$A$2:$A$53,0)),"")))</f>
        <v>無關新聞事件</v>
      </c>
      <c r="U1488" s="20" t="n">
        <f aca="false">IF(R1488="維持",K1488,IF(R1488="排除",0,IFERROR(INDEX(事件規則!$C$2:$C$53,MATCH(S1488,事件規則!$A$2:$A$53,0)),"")))</f>
        <v>0</v>
      </c>
      <c r="V1488" s="21"/>
      <c r="W1488" s="22"/>
      <c r="X1488" s="10" t="str">
        <f aca="false">IF(AND(R1488="修改",S1488=""),"請選新事件代碼",IF(AND(R1488&lt;&gt;"修改",S1488&lt;&gt;""),"只有「修改」才需填代碼",""))</f>
        <v/>
      </c>
      <c r="Y1488" s="21"/>
      <c r="Z1488" s="22"/>
      <c r="AA1488" s="12" t="s">
        <v>3976</v>
      </c>
      <c r="AB1488" s="24"/>
    </row>
    <row r="1489" customFormat="false" ht="29.85" hidden="false" customHeight="false" outlineLevel="0" collapsed="false">
      <c r="A1489" s="15" t="n">
        <v>1488</v>
      </c>
      <c r="B1489" s="9" t="s">
        <v>112</v>
      </c>
      <c r="C1489" s="15"/>
      <c r="D1489" s="10" t="s">
        <v>361</v>
      </c>
      <c r="E1489" s="23" t="s">
        <v>3868</v>
      </c>
      <c r="F1489" s="17" t="s">
        <v>3868</v>
      </c>
      <c r="G1489" s="12" t="s">
        <v>176</v>
      </c>
      <c r="H1489" s="13" t="n">
        <v>-0.023</v>
      </c>
      <c r="I1489" s="14"/>
      <c r="J1489" s="17"/>
      <c r="K1489" s="9"/>
      <c r="L1489" s="15" t="s">
        <v>50</v>
      </c>
      <c r="M1489" s="16" t="s">
        <v>51</v>
      </c>
      <c r="N1489" s="14"/>
      <c r="O1489" s="15" t="s">
        <v>52</v>
      </c>
      <c r="P1489" s="17" t="s">
        <v>53</v>
      </c>
      <c r="Q1489" s="15"/>
      <c r="R1489" s="18" t="s">
        <v>51</v>
      </c>
      <c r="S1489" s="19"/>
      <c r="T1489" s="17" t="str">
        <f aca="false">IF(R1489="維持",J1489,IF(R1489="排除","無關新聞事件",IFERROR(INDEX(事件規則!$B$2:$B$53,MATCH(S1489,事件規則!$A$2:$A$53,0)),"")))</f>
        <v>無關新聞事件</v>
      </c>
      <c r="U1489" s="20" t="n">
        <f aca="false">IF(R1489="維持",K1489,IF(R1489="排除",0,IFERROR(INDEX(事件規則!$C$2:$C$53,MATCH(S1489,事件規則!$A$2:$A$53,0)),"")))</f>
        <v>0</v>
      </c>
      <c r="V1489" s="21"/>
      <c r="W1489" s="22"/>
      <c r="X1489" s="10" t="str">
        <f aca="false">IF(AND(R1489="修改",S1489=""),"請選新事件代碼",IF(AND(R1489&lt;&gt;"修改",S1489&lt;&gt;""),"只有「修改」才需填代碼",""))</f>
        <v/>
      </c>
      <c r="Y1489" s="21"/>
      <c r="Z1489" s="22"/>
      <c r="AA1489" s="12" t="s">
        <v>3977</v>
      </c>
      <c r="AB1489" s="24"/>
    </row>
    <row r="1490" customFormat="false" ht="29.85" hidden="false" customHeight="false" outlineLevel="0" collapsed="false">
      <c r="A1490" s="15" t="n">
        <v>1489</v>
      </c>
      <c r="B1490" s="9" t="s">
        <v>45</v>
      </c>
      <c r="C1490" s="9" t="s">
        <v>3426</v>
      </c>
      <c r="D1490" s="10" t="s">
        <v>3427</v>
      </c>
      <c r="E1490" s="11" t="s">
        <v>3978</v>
      </c>
      <c r="F1490" s="17"/>
      <c r="G1490" s="12" t="s">
        <v>176</v>
      </c>
      <c r="H1490" s="13" t="n">
        <v>-0.022</v>
      </c>
      <c r="I1490" s="14"/>
      <c r="J1490" s="17"/>
      <c r="K1490" s="9"/>
      <c r="L1490" s="15" t="s">
        <v>50</v>
      </c>
      <c r="M1490" s="16" t="s">
        <v>51</v>
      </c>
      <c r="N1490" s="14"/>
      <c r="O1490" s="15" t="s">
        <v>52</v>
      </c>
      <c r="P1490" s="17" t="s">
        <v>53</v>
      </c>
      <c r="Q1490" s="15"/>
      <c r="R1490" s="18" t="s">
        <v>51</v>
      </c>
      <c r="S1490" s="19"/>
      <c r="T1490" s="17" t="str">
        <f aca="false">IF(R1490="維持",J1490,IF(R1490="排除","無關新聞事件",IFERROR(INDEX(事件規則!$B$2:$B$53,MATCH(S1490,事件規則!$A$2:$A$53,0)),"")))</f>
        <v>無關新聞事件</v>
      </c>
      <c r="U1490" s="20" t="n">
        <f aca="false">IF(R1490="維持",K1490,IF(R1490="排除",0,IFERROR(INDEX(事件規則!$C$2:$C$53,MATCH(S1490,事件規則!$A$2:$A$53,0)),"")))</f>
        <v>0</v>
      </c>
      <c r="V1490" s="21"/>
      <c r="W1490" s="22"/>
      <c r="X1490" s="10" t="str">
        <f aca="false">IF(AND(R1490="修改",S1490=""),"請選新事件代碼",IF(AND(R1490&lt;&gt;"修改",S1490&lt;&gt;""),"只有「修改」才需填代碼",""))</f>
        <v/>
      </c>
      <c r="Y1490" s="21"/>
      <c r="Z1490" s="22"/>
      <c r="AA1490" s="12" t="s">
        <v>3979</v>
      </c>
      <c r="AB1490" s="24"/>
    </row>
    <row r="1491" customFormat="false" ht="29.85" hidden="false" customHeight="false" outlineLevel="0" collapsed="false">
      <c r="A1491" s="15" t="n">
        <v>1490</v>
      </c>
      <c r="B1491" s="9" t="s">
        <v>45</v>
      </c>
      <c r="C1491" s="9" t="s">
        <v>3980</v>
      </c>
      <c r="D1491" s="10" t="s">
        <v>3981</v>
      </c>
      <c r="E1491" s="11" t="s">
        <v>3982</v>
      </c>
      <c r="F1491" s="17"/>
      <c r="G1491" s="12" t="s">
        <v>3221</v>
      </c>
      <c r="H1491" s="13" t="n">
        <v>-0.022</v>
      </c>
      <c r="I1491" s="14"/>
      <c r="J1491" s="17"/>
      <c r="K1491" s="9"/>
      <c r="L1491" s="15" t="s">
        <v>50</v>
      </c>
      <c r="M1491" s="16" t="s">
        <v>51</v>
      </c>
      <c r="N1491" s="14"/>
      <c r="O1491" s="15" t="s">
        <v>52</v>
      </c>
      <c r="P1491" s="17" t="s">
        <v>53</v>
      </c>
      <c r="Q1491" s="15"/>
      <c r="R1491" s="18" t="s">
        <v>51</v>
      </c>
      <c r="S1491" s="19"/>
      <c r="T1491" s="17" t="str">
        <f aca="false">IF(R1491="維持",J1491,IF(R1491="排除","無關新聞事件",IFERROR(INDEX(事件規則!$B$2:$B$53,MATCH(S1491,事件規則!$A$2:$A$53,0)),"")))</f>
        <v>無關新聞事件</v>
      </c>
      <c r="U1491" s="20" t="n">
        <f aca="false">IF(R1491="維持",K1491,IF(R1491="排除",0,IFERROR(INDEX(事件規則!$C$2:$C$53,MATCH(S1491,事件規則!$A$2:$A$53,0)),"")))</f>
        <v>0</v>
      </c>
      <c r="V1491" s="21"/>
      <c r="W1491" s="22"/>
      <c r="X1491" s="10" t="str">
        <f aca="false">IF(AND(R1491="修改",S1491=""),"請選新事件代碼",IF(AND(R1491&lt;&gt;"修改",S1491&lt;&gt;""),"只有「修改」才需填代碼",""))</f>
        <v/>
      </c>
      <c r="Y1491" s="21"/>
      <c r="Z1491" s="22"/>
      <c r="AA1491" s="12" t="s">
        <v>3983</v>
      </c>
      <c r="AB1491" s="24"/>
    </row>
    <row r="1492" customFormat="false" ht="29.85" hidden="false" customHeight="false" outlineLevel="0" collapsed="false">
      <c r="A1492" s="15" t="n">
        <v>1491</v>
      </c>
      <c r="B1492" s="9" t="s">
        <v>45</v>
      </c>
      <c r="C1492" s="9" t="s">
        <v>315</v>
      </c>
      <c r="D1492" s="10" t="s">
        <v>316</v>
      </c>
      <c r="E1492" s="11" t="s">
        <v>3984</v>
      </c>
      <c r="F1492" s="17"/>
      <c r="G1492" s="12" t="s">
        <v>949</v>
      </c>
      <c r="H1492" s="13" t="n">
        <v>-0.022</v>
      </c>
      <c r="I1492" s="14"/>
      <c r="J1492" s="17"/>
      <c r="K1492" s="9"/>
      <c r="L1492" s="15" t="s">
        <v>50</v>
      </c>
      <c r="M1492" s="16" t="s">
        <v>51</v>
      </c>
      <c r="N1492" s="14"/>
      <c r="O1492" s="15" t="s">
        <v>52</v>
      </c>
      <c r="P1492" s="17" t="s">
        <v>53</v>
      </c>
      <c r="Q1492" s="15"/>
      <c r="R1492" s="18" t="s">
        <v>51</v>
      </c>
      <c r="S1492" s="19"/>
      <c r="T1492" s="17" t="str">
        <f aca="false">IF(R1492="維持",J1492,IF(R1492="排除","無關新聞事件",IFERROR(INDEX(事件規則!$B$2:$B$53,MATCH(S1492,事件規則!$A$2:$A$53,0)),"")))</f>
        <v>無關新聞事件</v>
      </c>
      <c r="U1492" s="20" t="n">
        <f aca="false">IF(R1492="維持",K1492,IF(R1492="排除",0,IFERROR(INDEX(事件規則!$C$2:$C$53,MATCH(S1492,事件規則!$A$2:$A$53,0)),"")))</f>
        <v>0</v>
      </c>
      <c r="V1492" s="21"/>
      <c r="W1492" s="22"/>
      <c r="X1492" s="10" t="str">
        <f aca="false">IF(AND(R1492="修改",S1492=""),"請選新事件代碼",IF(AND(R1492&lt;&gt;"修改",S1492&lt;&gt;""),"只有「修改」才需填代碼",""))</f>
        <v/>
      </c>
      <c r="Y1492" s="21"/>
      <c r="Z1492" s="22"/>
      <c r="AA1492" s="12" t="s">
        <v>3985</v>
      </c>
      <c r="AB1492" s="24"/>
    </row>
    <row r="1493" customFormat="false" ht="29.85" hidden="false" customHeight="false" outlineLevel="0" collapsed="false">
      <c r="A1493" s="15" t="n">
        <v>1492</v>
      </c>
      <c r="B1493" s="9" t="s">
        <v>45</v>
      </c>
      <c r="C1493" s="9" t="s">
        <v>3341</v>
      </c>
      <c r="D1493" s="10" t="s">
        <v>3342</v>
      </c>
      <c r="E1493" s="11" t="s">
        <v>3986</v>
      </c>
      <c r="F1493" s="17"/>
      <c r="G1493" s="12" t="s">
        <v>176</v>
      </c>
      <c r="H1493" s="13" t="n">
        <v>-0.022</v>
      </c>
      <c r="I1493" s="14"/>
      <c r="J1493" s="17"/>
      <c r="K1493" s="9"/>
      <c r="L1493" s="15" t="s">
        <v>50</v>
      </c>
      <c r="M1493" s="16" t="s">
        <v>51</v>
      </c>
      <c r="N1493" s="14"/>
      <c r="O1493" s="15" t="s">
        <v>52</v>
      </c>
      <c r="P1493" s="17" t="s">
        <v>53</v>
      </c>
      <c r="Q1493" s="15"/>
      <c r="R1493" s="18" t="s">
        <v>51</v>
      </c>
      <c r="S1493" s="19"/>
      <c r="T1493" s="17" t="str">
        <f aca="false">IF(R1493="維持",J1493,IF(R1493="排除","無關新聞事件",IFERROR(INDEX(事件規則!$B$2:$B$53,MATCH(S1493,事件規則!$A$2:$A$53,0)),"")))</f>
        <v>無關新聞事件</v>
      </c>
      <c r="U1493" s="20" t="n">
        <f aca="false">IF(R1493="維持",K1493,IF(R1493="排除",0,IFERROR(INDEX(事件規則!$C$2:$C$53,MATCH(S1493,事件規則!$A$2:$A$53,0)),"")))</f>
        <v>0</v>
      </c>
      <c r="V1493" s="21"/>
      <c r="W1493" s="22"/>
      <c r="X1493" s="10" t="str">
        <f aca="false">IF(AND(R1493="修改",S1493=""),"請選新事件代碼",IF(AND(R1493&lt;&gt;"修改",S1493&lt;&gt;""),"只有「修改」才需填代碼",""))</f>
        <v/>
      </c>
      <c r="Y1493" s="21"/>
      <c r="Z1493" s="22"/>
      <c r="AA1493" s="12" t="s">
        <v>3987</v>
      </c>
      <c r="AB1493" s="24"/>
    </row>
    <row r="1494" customFormat="false" ht="29.85" hidden="false" customHeight="false" outlineLevel="0" collapsed="false">
      <c r="A1494" s="15" t="n">
        <v>1493</v>
      </c>
      <c r="B1494" s="9" t="s">
        <v>45</v>
      </c>
      <c r="C1494" s="9" t="s">
        <v>289</v>
      </c>
      <c r="D1494" s="10" t="s">
        <v>290</v>
      </c>
      <c r="E1494" s="11" t="s">
        <v>3988</v>
      </c>
      <c r="F1494" s="17"/>
      <c r="G1494" s="12" t="s">
        <v>176</v>
      </c>
      <c r="H1494" s="13" t="n">
        <v>-0.022</v>
      </c>
      <c r="I1494" s="14"/>
      <c r="J1494" s="17"/>
      <c r="K1494" s="9"/>
      <c r="L1494" s="15" t="s">
        <v>50</v>
      </c>
      <c r="M1494" s="16" t="s">
        <v>51</v>
      </c>
      <c r="N1494" s="14"/>
      <c r="O1494" s="15" t="s">
        <v>52</v>
      </c>
      <c r="P1494" s="17" t="s">
        <v>53</v>
      </c>
      <c r="Q1494" s="15"/>
      <c r="R1494" s="18" t="s">
        <v>51</v>
      </c>
      <c r="S1494" s="19"/>
      <c r="T1494" s="17" t="str">
        <f aca="false">IF(R1494="維持",J1494,IF(R1494="排除","無關新聞事件",IFERROR(INDEX(事件規則!$B$2:$B$53,MATCH(S1494,事件規則!$A$2:$A$53,0)),"")))</f>
        <v>無關新聞事件</v>
      </c>
      <c r="U1494" s="20" t="n">
        <f aca="false">IF(R1494="維持",K1494,IF(R1494="排除",0,IFERROR(INDEX(事件規則!$C$2:$C$53,MATCH(S1494,事件規則!$A$2:$A$53,0)),"")))</f>
        <v>0</v>
      </c>
      <c r="V1494" s="21"/>
      <c r="W1494" s="22"/>
      <c r="X1494" s="10" t="str">
        <f aca="false">IF(AND(R1494="修改",S1494=""),"請選新事件代碼",IF(AND(R1494&lt;&gt;"修改",S1494&lt;&gt;""),"只有「修改」才需填代碼",""))</f>
        <v/>
      </c>
      <c r="Y1494" s="21"/>
      <c r="Z1494" s="22"/>
      <c r="AA1494" s="12" t="s">
        <v>3989</v>
      </c>
      <c r="AB1494" s="24"/>
    </row>
    <row r="1495" customFormat="false" ht="29.85" hidden="false" customHeight="false" outlineLevel="0" collapsed="false">
      <c r="A1495" s="15" t="n">
        <v>1494</v>
      </c>
      <c r="B1495" s="9" t="s">
        <v>45</v>
      </c>
      <c r="C1495" s="9" t="s">
        <v>751</v>
      </c>
      <c r="D1495" s="10" t="s">
        <v>752</v>
      </c>
      <c r="E1495" s="11" t="s">
        <v>3990</v>
      </c>
      <c r="F1495" s="17"/>
      <c r="G1495" s="12" t="s">
        <v>1577</v>
      </c>
      <c r="H1495" s="13" t="n">
        <v>-0.022</v>
      </c>
      <c r="I1495" s="14"/>
      <c r="J1495" s="17"/>
      <c r="K1495" s="9"/>
      <c r="L1495" s="15" t="s">
        <v>50</v>
      </c>
      <c r="M1495" s="16" t="s">
        <v>51</v>
      </c>
      <c r="N1495" s="14"/>
      <c r="O1495" s="15" t="s">
        <v>52</v>
      </c>
      <c r="P1495" s="17" t="s">
        <v>53</v>
      </c>
      <c r="Q1495" s="15"/>
      <c r="R1495" s="18" t="s">
        <v>51</v>
      </c>
      <c r="S1495" s="19"/>
      <c r="T1495" s="17" t="str">
        <f aca="false">IF(R1495="維持",J1495,IF(R1495="排除","無關新聞事件",IFERROR(INDEX(事件規則!$B$2:$B$53,MATCH(S1495,事件規則!$A$2:$A$53,0)),"")))</f>
        <v>無關新聞事件</v>
      </c>
      <c r="U1495" s="20" t="n">
        <f aca="false">IF(R1495="維持",K1495,IF(R1495="排除",0,IFERROR(INDEX(事件規則!$C$2:$C$53,MATCH(S1495,事件規則!$A$2:$A$53,0)),"")))</f>
        <v>0</v>
      </c>
      <c r="V1495" s="21"/>
      <c r="W1495" s="22"/>
      <c r="X1495" s="10" t="str">
        <f aca="false">IF(AND(R1495="修改",S1495=""),"請選新事件代碼",IF(AND(R1495&lt;&gt;"修改",S1495&lt;&gt;""),"只有「修改」才需填代碼",""))</f>
        <v/>
      </c>
      <c r="Y1495" s="21"/>
      <c r="Z1495" s="22"/>
      <c r="AA1495" s="12" t="s">
        <v>3991</v>
      </c>
      <c r="AB1495" s="24"/>
    </row>
    <row r="1496" customFormat="false" ht="29.85" hidden="false" customHeight="false" outlineLevel="0" collapsed="false">
      <c r="A1496" s="15" t="n">
        <v>1495</v>
      </c>
      <c r="B1496" s="9" t="s">
        <v>55</v>
      </c>
      <c r="C1496" s="9" t="s">
        <v>315</v>
      </c>
      <c r="D1496" s="10" t="s">
        <v>316</v>
      </c>
      <c r="E1496" s="11" t="s">
        <v>3992</v>
      </c>
      <c r="F1496" s="17"/>
      <c r="G1496" s="12" t="s">
        <v>1068</v>
      </c>
      <c r="H1496" s="13" t="n">
        <v>-0.022</v>
      </c>
      <c r="I1496" s="14"/>
      <c r="J1496" s="17"/>
      <c r="K1496" s="9"/>
      <c r="L1496" s="15" t="s">
        <v>50</v>
      </c>
      <c r="M1496" s="16" t="s">
        <v>51</v>
      </c>
      <c r="N1496" s="14"/>
      <c r="O1496" s="15" t="s">
        <v>52</v>
      </c>
      <c r="P1496" s="17" t="s">
        <v>53</v>
      </c>
      <c r="Q1496" s="15"/>
      <c r="R1496" s="18" t="s">
        <v>51</v>
      </c>
      <c r="S1496" s="19"/>
      <c r="T1496" s="17" t="str">
        <f aca="false">IF(R1496="維持",J1496,IF(R1496="排除","無關新聞事件",IFERROR(INDEX(事件規則!$B$2:$B$53,MATCH(S1496,事件規則!$A$2:$A$53,0)),"")))</f>
        <v>無關新聞事件</v>
      </c>
      <c r="U1496" s="20" t="n">
        <f aca="false">IF(R1496="維持",K1496,IF(R1496="排除",0,IFERROR(INDEX(事件規則!$C$2:$C$53,MATCH(S1496,事件規則!$A$2:$A$53,0)),"")))</f>
        <v>0</v>
      </c>
      <c r="V1496" s="21"/>
      <c r="W1496" s="22"/>
      <c r="X1496" s="10" t="str">
        <f aca="false">IF(AND(R1496="修改",S1496=""),"請選新事件代碼",IF(AND(R1496&lt;&gt;"修改",S1496&lt;&gt;""),"只有「修改」才需填代碼",""))</f>
        <v/>
      </c>
      <c r="Y1496" s="21"/>
      <c r="Z1496" s="22"/>
      <c r="AA1496" s="12" t="s">
        <v>3993</v>
      </c>
      <c r="AB1496" s="24"/>
    </row>
    <row r="1497" customFormat="false" ht="29.85" hidden="false" customHeight="false" outlineLevel="0" collapsed="false">
      <c r="A1497" s="15" t="n">
        <v>1496</v>
      </c>
      <c r="B1497" s="9" t="s">
        <v>55</v>
      </c>
      <c r="C1497" s="9" t="s">
        <v>2134</v>
      </c>
      <c r="D1497" s="10" t="s">
        <v>2135</v>
      </c>
      <c r="E1497" s="11" t="s">
        <v>3994</v>
      </c>
      <c r="F1497" s="17"/>
      <c r="G1497" s="12" t="s">
        <v>95</v>
      </c>
      <c r="H1497" s="13" t="n">
        <v>-0.022</v>
      </c>
      <c r="I1497" s="14"/>
      <c r="J1497" s="17"/>
      <c r="K1497" s="9"/>
      <c r="L1497" s="15" t="s">
        <v>50</v>
      </c>
      <c r="M1497" s="16" t="s">
        <v>51</v>
      </c>
      <c r="N1497" s="14"/>
      <c r="O1497" s="15" t="s">
        <v>52</v>
      </c>
      <c r="P1497" s="17" t="s">
        <v>53</v>
      </c>
      <c r="Q1497" s="15"/>
      <c r="R1497" s="18" t="s">
        <v>51</v>
      </c>
      <c r="S1497" s="19"/>
      <c r="T1497" s="17" t="str">
        <f aca="false">IF(R1497="維持",J1497,IF(R1497="排除","無關新聞事件",IFERROR(INDEX(事件規則!$B$2:$B$53,MATCH(S1497,事件規則!$A$2:$A$53,0)),"")))</f>
        <v>無關新聞事件</v>
      </c>
      <c r="U1497" s="20" t="n">
        <f aca="false">IF(R1497="維持",K1497,IF(R1497="排除",0,IFERROR(INDEX(事件規則!$C$2:$C$53,MATCH(S1497,事件規則!$A$2:$A$53,0)),"")))</f>
        <v>0</v>
      </c>
      <c r="V1497" s="21"/>
      <c r="W1497" s="22"/>
      <c r="X1497" s="10" t="str">
        <f aca="false">IF(AND(R1497="修改",S1497=""),"請選新事件代碼",IF(AND(R1497&lt;&gt;"修改",S1497&lt;&gt;""),"只有「修改」才需填代碼",""))</f>
        <v/>
      </c>
      <c r="Y1497" s="21"/>
      <c r="Z1497" s="22"/>
      <c r="AA1497" s="12" t="s">
        <v>3995</v>
      </c>
      <c r="AB1497" s="24"/>
    </row>
    <row r="1498" customFormat="false" ht="29.85" hidden="false" customHeight="false" outlineLevel="0" collapsed="false">
      <c r="A1498" s="15" t="n">
        <v>1497</v>
      </c>
      <c r="B1498" s="9" t="s">
        <v>55</v>
      </c>
      <c r="C1498" s="9" t="s">
        <v>3980</v>
      </c>
      <c r="D1498" s="10" t="s">
        <v>3981</v>
      </c>
      <c r="E1498" s="11" t="s">
        <v>3982</v>
      </c>
      <c r="F1498" s="17"/>
      <c r="G1498" s="12" t="s">
        <v>3221</v>
      </c>
      <c r="H1498" s="13" t="n">
        <v>-0.022</v>
      </c>
      <c r="I1498" s="14"/>
      <c r="J1498" s="17"/>
      <c r="K1498" s="9"/>
      <c r="L1498" s="15" t="s">
        <v>50</v>
      </c>
      <c r="M1498" s="16" t="s">
        <v>51</v>
      </c>
      <c r="N1498" s="14"/>
      <c r="O1498" s="15" t="s">
        <v>52</v>
      </c>
      <c r="P1498" s="17" t="s">
        <v>53</v>
      </c>
      <c r="Q1498" s="15"/>
      <c r="R1498" s="18" t="s">
        <v>51</v>
      </c>
      <c r="S1498" s="19"/>
      <c r="T1498" s="17" t="str">
        <f aca="false">IF(R1498="維持",J1498,IF(R1498="排除","無關新聞事件",IFERROR(INDEX(事件規則!$B$2:$B$53,MATCH(S1498,事件規則!$A$2:$A$53,0)),"")))</f>
        <v>無關新聞事件</v>
      </c>
      <c r="U1498" s="20" t="n">
        <f aca="false">IF(R1498="維持",K1498,IF(R1498="排除",0,IFERROR(INDEX(事件規則!$C$2:$C$53,MATCH(S1498,事件規則!$A$2:$A$53,0)),"")))</f>
        <v>0</v>
      </c>
      <c r="V1498" s="21"/>
      <c r="W1498" s="22"/>
      <c r="X1498" s="10" t="str">
        <f aca="false">IF(AND(R1498="修改",S1498=""),"請選新事件代碼",IF(AND(R1498&lt;&gt;"修改",S1498&lt;&gt;""),"只有「修改」才需填代碼",""))</f>
        <v/>
      </c>
      <c r="Y1498" s="21"/>
      <c r="Z1498" s="22"/>
      <c r="AA1498" s="12" t="s">
        <v>3983</v>
      </c>
      <c r="AB1498" s="24"/>
    </row>
    <row r="1499" customFormat="false" ht="29.85" hidden="false" customHeight="false" outlineLevel="0" collapsed="false">
      <c r="A1499" s="15" t="n">
        <v>1498</v>
      </c>
      <c r="B1499" s="9" t="s">
        <v>45</v>
      </c>
      <c r="C1499" s="9" t="s">
        <v>635</v>
      </c>
      <c r="D1499" s="10" t="s">
        <v>636</v>
      </c>
      <c r="E1499" s="11" t="s">
        <v>3996</v>
      </c>
      <c r="F1499" s="17"/>
      <c r="G1499" s="12" t="s">
        <v>176</v>
      </c>
      <c r="H1499" s="13" t="n">
        <v>-0.022</v>
      </c>
      <c r="I1499" s="14"/>
      <c r="J1499" s="17"/>
      <c r="K1499" s="9"/>
      <c r="L1499" s="15" t="s">
        <v>50</v>
      </c>
      <c r="M1499" s="16" t="s">
        <v>51</v>
      </c>
      <c r="N1499" s="14"/>
      <c r="O1499" s="15" t="s">
        <v>52</v>
      </c>
      <c r="P1499" s="17" t="s">
        <v>53</v>
      </c>
      <c r="Q1499" s="15"/>
      <c r="R1499" s="18" t="s">
        <v>51</v>
      </c>
      <c r="S1499" s="19"/>
      <c r="T1499" s="17" t="str">
        <f aca="false">IF(R1499="維持",J1499,IF(R1499="排除","無關新聞事件",IFERROR(INDEX(事件規則!$B$2:$B$53,MATCH(S1499,事件規則!$A$2:$A$53,0)),"")))</f>
        <v>無關新聞事件</v>
      </c>
      <c r="U1499" s="20" t="n">
        <f aca="false">IF(R1499="維持",K1499,IF(R1499="排除",0,IFERROR(INDEX(事件規則!$C$2:$C$53,MATCH(S1499,事件規則!$A$2:$A$53,0)),"")))</f>
        <v>0</v>
      </c>
      <c r="V1499" s="21"/>
      <c r="W1499" s="22"/>
      <c r="X1499" s="10" t="str">
        <f aca="false">IF(AND(R1499="修改",S1499=""),"請選新事件代碼",IF(AND(R1499&lt;&gt;"修改",S1499&lt;&gt;""),"只有「修改」才需填代碼",""))</f>
        <v/>
      </c>
      <c r="Y1499" s="21"/>
      <c r="Z1499" s="22"/>
      <c r="AA1499" s="12" t="s">
        <v>3997</v>
      </c>
      <c r="AB1499" s="24"/>
    </row>
    <row r="1500" customFormat="false" ht="29.85" hidden="false" customHeight="false" outlineLevel="0" collapsed="false">
      <c r="A1500" s="15" t="n">
        <v>1499</v>
      </c>
      <c r="B1500" s="9" t="s">
        <v>55</v>
      </c>
      <c r="C1500" s="9" t="s">
        <v>2722</v>
      </c>
      <c r="D1500" s="10" t="s">
        <v>2723</v>
      </c>
      <c r="E1500" s="11" t="s">
        <v>3998</v>
      </c>
      <c r="F1500" s="17"/>
      <c r="G1500" s="12" t="s">
        <v>949</v>
      </c>
      <c r="H1500" s="13" t="n">
        <v>-0.022</v>
      </c>
      <c r="I1500" s="14"/>
      <c r="J1500" s="17"/>
      <c r="K1500" s="9"/>
      <c r="L1500" s="15" t="s">
        <v>50</v>
      </c>
      <c r="M1500" s="16" t="s">
        <v>51</v>
      </c>
      <c r="N1500" s="14"/>
      <c r="O1500" s="15" t="s">
        <v>52</v>
      </c>
      <c r="P1500" s="17" t="s">
        <v>53</v>
      </c>
      <c r="Q1500" s="15"/>
      <c r="R1500" s="18" t="s">
        <v>51</v>
      </c>
      <c r="S1500" s="19"/>
      <c r="T1500" s="17" t="str">
        <f aca="false">IF(R1500="維持",J1500,IF(R1500="排除","無關新聞事件",IFERROR(INDEX(事件規則!$B$2:$B$53,MATCH(S1500,事件規則!$A$2:$A$53,0)),"")))</f>
        <v>無關新聞事件</v>
      </c>
      <c r="U1500" s="20" t="n">
        <f aca="false">IF(R1500="維持",K1500,IF(R1500="排除",0,IFERROR(INDEX(事件規則!$C$2:$C$53,MATCH(S1500,事件規則!$A$2:$A$53,0)),"")))</f>
        <v>0</v>
      </c>
      <c r="V1500" s="21"/>
      <c r="W1500" s="22"/>
      <c r="X1500" s="10" t="str">
        <f aca="false">IF(AND(R1500="修改",S1500=""),"請選新事件代碼",IF(AND(R1500&lt;&gt;"修改",S1500&lt;&gt;""),"只有「修改」才需填代碼",""))</f>
        <v/>
      </c>
      <c r="Y1500" s="21"/>
      <c r="Z1500" s="22"/>
      <c r="AA1500" s="12" t="s">
        <v>3999</v>
      </c>
      <c r="AB1500" s="24"/>
    </row>
    <row r="1501" customFormat="false" ht="29.85" hidden="false" customHeight="false" outlineLevel="0" collapsed="false">
      <c r="A1501" s="15" t="n">
        <v>1500</v>
      </c>
      <c r="B1501" s="9" t="s">
        <v>112</v>
      </c>
      <c r="C1501" s="9" t="s">
        <v>535</v>
      </c>
      <c r="D1501" s="10" t="s">
        <v>536</v>
      </c>
      <c r="E1501" s="11" t="s">
        <v>4000</v>
      </c>
      <c r="F1501" s="17"/>
      <c r="G1501" s="12" t="s">
        <v>2033</v>
      </c>
      <c r="H1501" s="13" t="n">
        <v>-0.022</v>
      </c>
      <c r="I1501" s="14"/>
      <c r="J1501" s="17"/>
      <c r="K1501" s="9"/>
      <c r="L1501" s="15" t="s">
        <v>50</v>
      </c>
      <c r="M1501" s="16" t="s">
        <v>51</v>
      </c>
      <c r="N1501" s="14"/>
      <c r="O1501" s="15" t="s">
        <v>52</v>
      </c>
      <c r="P1501" s="17" t="s">
        <v>53</v>
      </c>
      <c r="Q1501" s="15"/>
      <c r="R1501" s="18" t="s">
        <v>51</v>
      </c>
      <c r="S1501" s="19"/>
      <c r="T1501" s="17" t="str">
        <f aca="false">IF(R1501="維持",J1501,IF(R1501="排除","無關新聞事件",IFERROR(INDEX(事件規則!$B$2:$B$53,MATCH(S1501,事件規則!$A$2:$A$53,0)),"")))</f>
        <v>無關新聞事件</v>
      </c>
      <c r="U1501" s="20" t="n">
        <f aca="false">IF(R1501="維持",K1501,IF(R1501="排除",0,IFERROR(INDEX(事件規則!$C$2:$C$53,MATCH(S1501,事件規則!$A$2:$A$53,0)),"")))</f>
        <v>0</v>
      </c>
      <c r="V1501" s="21"/>
      <c r="W1501" s="22"/>
      <c r="X1501" s="10" t="str">
        <f aca="false">IF(AND(R1501="修改",S1501=""),"請選新事件代碼",IF(AND(R1501&lt;&gt;"修改",S1501&lt;&gt;""),"只有「修改」才需填代碼",""))</f>
        <v/>
      </c>
      <c r="Y1501" s="21"/>
      <c r="Z1501" s="22"/>
      <c r="AA1501" s="12" t="s">
        <v>4001</v>
      </c>
      <c r="AB1501" s="24"/>
    </row>
    <row r="1502" customFormat="false" ht="29.85" hidden="false" customHeight="false" outlineLevel="0" collapsed="false">
      <c r="A1502" s="15" t="n">
        <v>1501</v>
      </c>
      <c r="B1502" s="9" t="s">
        <v>55</v>
      </c>
      <c r="C1502" s="9" t="s">
        <v>1672</v>
      </c>
      <c r="D1502" s="10" t="s">
        <v>1673</v>
      </c>
      <c r="E1502" s="11" t="s">
        <v>4002</v>
      </c>
      <c r="F1502" s="17"/>
      <c r="G1502" s="12" t="s">
        <v>3221</v>
      </c>
      <c r="H1502" s="13" t="n">
        <v>-0.022</v>
      </c>
      <c r="I1502" s="14"/>
      <c r="J1502" s="17"/>
      <c r="K1502" s="9"/>
      <c r="L1502" s="15" t="s">
        <v>50</v>
      </c>
      <c r="M1502" s="16" t="s">
        <v>51</v>
      </c>
      <c r="N1502" s="14"/>
      <c r="O1502" s="15" t="s">
        <v>52</v>
      </c>
      <c r="P1502" s="17" t="s">
        <v>53</v>
      </c>
      <c r="Q1502" s="15"/>
      <c r="R1502" s="18" t="s">
        <v>51</v>
      </c>
      <c r="S1502" s="19"/>
      <c r="T1502" s="17" t="str">
        <f aca="false">IF(R1502="維持",J1502,IF(R1502="排除","無關新聞事件",IFERROR(INDEX(事件規則!$B$2:$B$53,MATCH(S1502,事件規則!$A$2:$A$53,0)),"")))</f>
        <v>無關新聞事件</v>
      </c>
      <c r="U1502" s="20" t="n">
        <f aca="false">IF(R1502="維持",K1502,IF(R1502="排除",0,IFERROR(INDEX(事件規則!$C$2:$C$53,MATCH(S1502,事件規則!$A$2:$A$53,0)),"")))</f>
        <v>0</v>
      </c>
      <c r="V1502" s="21"/>
      <c r="W1502" s="22"/>
      <c r="X1502" s="10" t="str">
        <f aca="false">IF(AND(R1502="修改",S1502=""),"請選新事件代碼",IF(AND(R1502&lt;&gt;"修改",S1502&lt;&gt;""),"只有「修改」才需填代碼",""))</f>
        <v/>
      </c>
      <c r="Y1502" s="21"/>
      <c r="Z1502" s="22"/>
      <c r="AA1502" s="12" t="s">
        <v>4003</v>
      </c>
      <c r="AB1502" s="24"/>
    </row>
    <row r="1503" customFormat="false" ht="29.85" hidden="false" customHeight="false" outlineLevel="0" collapsed="false">
      <c r="A1503" s="15" t="n">
        <v>1502</v>
      </c>
      <c r="B1503" s="9" t="s">
        <v>55</v>
      </c>
      <c r="C1503" s="9" t="s">
        <v>3753</v>
      </c>
      <c r="D1503" s="10" t="s">
        <v>3754</v>
      </c>
      <c r="E1503" s="11" t="s">
        <v>4004</v>
      </c>
      <c r="F1503" s="17"/>
      <c r="G1503" s="12" t="s">
        <v>3221</v>
      </c>
      <c r="H1503" s="13" t="n">
        <v>-0.022</v>
      </c>
      <c r="I1503" s="14"/>
      <c r="J1503" s="17"/>
      <c r="K1503" s="9"/>
      <c r="L1503" s="15" t="s">
        <v>50</v>
      </c>
      <c r="M1503" s="16" t="s">
        <v>51</v>
      </c>
      <c r="N1503" s="14"/>
      <c r="O1503" s="15" t="s">
        <v>52</v>
      </c>
      <c r="P1503" s="17" t="s">
        <v>53</v>
      </c>
      <c r="Q1503" s="15"/>
      <c r="R1503" s="18" t="s">
        <v>51</v>
      </c>
      <c r="S1503" s="19"/>
      <c r="T1503" s="17" t="str">
        <f aca="false">IF(R1503="維持",J1503,IF(R1503="排除","無關新聞事件",IFERROR(INDEX(事件規則!$B$2:$B$53,MATCH(S1503,事件規則!$A$2:$A$53,0)),"")))</f>
        <v>無關新聞事件</v>
      </c>
      <c r="U1503" s="20" t="n">
        <f aca="false">IF(R1503="維持",K1503,IF(R1503="排除",0,IFERROR(INDEX(事件規則!$C$2:$C$53,MATCH(S1503,事件規則!$A$2:$A$53,0)),"")))</f>
        <v>0</v>
      </c>
      <c r="V1503" s="21"/>
      <c r="W1503" s="22"/>
      <c r="X1503" s="10" t="str">
        <f aca="false">IF(AND(R1503="修改",S1503=""),"請選新事件代碼",IF(AND(R1503&lt;&gt;"修改",S1503&lt;&gt;""),"只有「修改」才需填代碼",""))</f>
        <v/>
      </c>
      <c r="Y1503" s="21"/>
      <c r="Z1503" s="22"/>
      <c r="AA1503" s="12" t="s">
        <v>4005</v>
      </c>
      <c r="AB1503" s="24"/>
    </row>
    <row r="1504" customFormat="false" ht="29.85" hidden="false" customHeight="false" outlineLevel="0" collapsed="false">
      <c r="A1504" s="15" t="n">
        <v>1503</v>
      </c>
      <c r="B1504" s="9" t="s">
        <v>112</v>
      </c>
      <c r="C1504" s="9" t="s">
        <v>761</v>
      </c>
      <c r="D1504" s="10" t="s">
        <v>762</v>
      </c>
      <c r="E1504" s="11" t="s">
        <v>4006</v>
      </c>
      <c r="F1504" s="17"/>
      <c r="G1504" s="12" t="s">
        <v>4007</v>
      </c>
      <c r="H1504" s="13" t="n">
        <v>-0.022</v>
      </c>
      <c r="I1504" s="14"/>
      <c r="J1504" s="17"/>
      <c r="K1504" s="9"/>
      <c r="L1504" s="15" t="s">
        <v>50</v>
      </c>
      <c r="M1504" s="16" t="s">
        <v>51</v>
      </c>
      <c r="N1504" s="14"/>
      <c r="O1504" s="15" t="s">
        <v>52</v>
      </c>
      <c r="P1504" s="17" t="s">
        <v>53</v>
      </c>
      <c r="Q1504" s="15"/>
      <c r="R1504" s="18" t="s">
        <v>51</v>
      </c>
      <c r="S1504" s="19"/>
      <c r="T1504" s="17" t="str">
        <f aca="false">IF(R1504="維持",J1504,IF(R1504="排除","無關新聞事件",IFERROR(INDEX(事件規則!$B$2:$B$53,MATCH(S1504,事件規則!$A$2:$A$53,0)),"")))</f>
        <v>無關新聞事件</v>
      </c>
      <c r="U1504" s="20" t="n">
        <f aca="false">IF(R1504="維持",K1504,IF(R1504="排除",0,IFERROR(INDEX(事件規則!$C$2:$C$53,MATCH(S1504,事件規則!$A$2:$A$53,0)),"")))</f>
        <v>0</v>
      </c>
      <c r="V1504" s="21"/>
      <c r="W1504" s="22"/>
      <c r="X1504" s="10" t="str">
        <f aca="false">IF(AND(R1504="修改",S1504=""),"請選新事件代碼",IF(AND(R1504&lt;&gt;"修改",S1504&lt;&gt;""),"只有「修改」才需填代碼",""))</f>
        <v/>
      </c>
      <c r="Y1504" s="21"/>
      <c r="Z1504" s="22"/>
      <c r="AA1504" s="12" t="s">
        <v>4008</v>
      </c>
      <c r="AB1504" s="24"/>
    </row>
    <row r="1505" customFormat="false" ht="29.85" hidden="false" customHeight="false" outlineLevel="0" collapsed="false">
      <c r="A1505" s="15" t="n">
        <v>1504</v>
      </c>
      <c r="B1505" s="9" t="s">
        <v>112</v>
      </c>
      <c r="C1505" s="9" t="s">
        <v>1001</v>
      </c>
      <c r="D1505" s="10" t="s">
        <v>1002</v>
      </c>
      <c r="E1505" s="11" t="s">
        <v>4009</v>
      </c>
      <c r="F1505" s="17"/>
      <c r="G1505" s="12" t="s">
        <v>105</v>
      </c>
      <c r="H1505" s="13" t="n">
        <v>-0.022</v>
      </c>
      <c r="I1505" s="14"/>
      <c r="J1505" s="17"/>
      <c r="K1505" s="9"/>
      <c r="L1505" s="15" t="s">
        <v>50</v>
      </c>
      <c r="M1505" s="16" t="s">
        <v>51</v>
      </c>
      <c r="N1505" s="14"/>
      <c r="O1505" s="15" t="s">
        <v>52</v>
      </c>
      <c r="P1505" s="17" t="s">
        <v>53</v>
      </c>
      <c r="Q1505" s="15"/>
      <c r="R1505" s="18" t="s">
        <v>51</v>
      </c>
      <c r="S1505" s="19"/>
      <c r="T1505" s="17" t="str">
        <f aca="false">IF(R1505="維持",J1505,IF(R1505="排除","無關新聞事件",IFERROR(INDEX(事件規則!$B$2:$B$53,MATCH(S1505,事件規則!$A$2:$A$53,0)),"")))</f>
        <v>無關新聞事件</v>
      </c>
      <c r="U1505" s="20" t="n">
        <f aca="false">IF(R1505="維持",K1505,IF(R1505="排除",0,IFERROR(INDEX(事件規則!$C$2:$C$53,MATCH(S1505,事件規則!$A$2:$A$53,0)),"")))</f>
        <v>0</v>
      </c>
      <c r="V1505" s="21"/>
      <c r="W1505" s="22"/>
      <c r="X1505" s="10" t="str">
        <f aca="false">IF(AND(R1505="修改",S1505=""),"請選新事件代碼",IF(AND(R1505&lt;&gt;"修改",S1505&lt;&gt;""),"只有「修改」才需填代碼",""))</f>
        <v/>
      </c>
      <c r="Y1505" s="21"/>
      <c r="Z1505" s="22"/>
      <c r="AA1505" s="12" t="s">
        <v>4010</v>
      </c>
      <c r="AB1505" s="24"/>
    </row>
    <row r="1506" customFormat="false" ht="29.85" hidden="false" customHeight="false" outlineLevel="0" collapsed="false">
      <c r="A1506" s="15" t="n">
        <v>1505</v>
      </c>
      <c r="B1506" s="9" t="s">
        <v>112</v>
      </c>
      <c r="C1506" s="9" t="s">
        <v>2041</v>
      </c>
      <c r="D1506" s="10" t="s">
        <v>2042</v>
      </c>
      <c r="E1506" s="11" t="s">
        <v>4011</v>
      </c>
      <c r="F1506" s="17"/>
      <c r="G1506" s="12" t="s">
        <v>949</v>
      </c>
      <c r="H1506" s="13" t="n">
        <v>-0.022</v>
      </c>
      <c r="I1506" s="14"/>
      <c r="J1506" s="17"/>
      <c r="K1506" s="9"/>
      <c r="L1506" s="15" t="s">
        <v>50</v>
      </c>
      <c r="M1506" s="16" t="s">
        <v>51</v>
      </c>
      <c r="N1506" s="14"/>
      <c r="O1506" s="15" t="s">
        <v>52</v>
      </c>
      <c r="P1506" s="17" t="s">
        <v>53</v>
      </c>
      <c r="Q1506" s="15"/>
      <c r="R1506" s="18" t="s">
        <v>51</v>
      </c>
      <c r="S1506" s="19"/>
      <c r="T1506" s="17" t="str">
        <f aca="false">IF(R1506="維持",J1506,IF(R1506="排除","無關新聞事件",IFERROR(INDEX(事件規則!$B$2:$B$53,MATCH(S1506,事件規則!$A$2:$A$53,0)),"")))</f>
        <v>無關新聞事件</v>
      </c>
      <c r="U1506" s="20" t="n">
        <f aca="false">IF(R1506="維持",K1506,IF(R1506="排除",0,IFERROR(INDEX(事件規則!$C$2:$C$53,MATCH(S1506,事件規則!$A$2:$A$53,0)),"")))</f>
        <v>0</v>
      </c>
      <c r="V1506" s="21"/>
      <c r="W1506" s="22"/>
      <c r="X1506" s="10" t="str">
        <f aca="false">IF(AND(R1506="修改",S1506=""),"請選新事件代碼",IF(AND(R1506&lt;&gt;"修改",S1506&lt;&gt;""),"只有「修改」才需填代碼",""))</f>
        <v/>
      </c>
      <c r="Y1506" s="21"/>
      <c r="Z1506" s="22"/>
      <c r="AA1506" s="12" t="s">
        <v>4012</v>
      </c>
      <c r="AB1506" s="24"/>
    </row>
    <row r="1507" customFormat="false" ht="29.85" hidden="false" customHeight="false" outlineLevel="0" collapsed="false">
      <c r="A1507" s="15" t="n">
        <v>1506</v>
      </c>
      <c r="B1507" s="9" t="s">
        <v>112</v>
      </c>
      <c r="C1507" s="9" t="s">
        <v>555</v>
      </c>
      <c r="D1507" s="10" t="s">
        <v>556</v>
      </c>
      <c r="E1507" s="11" t="s">
        <v>4013</v>
      </c>
      <c r="F1507" s="17"/>
      <c r="G1507" s="12" t="s">
        <v>176</v>
      </c>
      <c r="H1507" s="13" t="n">
        <v>-0.022</v>
      </c>
      <c r="I1507" s="14"/>
      <c r="J1507" s="17"/>
      <c r="K1507" s="9"/>
      <c r="L1507" s="15" t="s">
        <v>50</v>
      </c>
      <c r="M1507" s="16" t="s">
        <v>51</v>
      </c>
      <c r="N1507" s="14"/>
      <c r="O1507" s="15" t="s">
        <v>52</v>
      </c>
      <c r="P1507" s="17" t="s">
        <v>53</v>
      </c>
      <c r="Q1507" s="15"/>
      <c r="R1507" s="18" t="s">
        <v>51</v>
      </c>
      <c r="S1507" s="19"/>
      <c r="T1507" s="17" t="str">
        <f aca="false">IF(R1507="維持",J1507,IF(R1507="排除","無關新聞事件",IFERROR(INDEX(事件規則!$B$2:$B$53,MATCH(S1507,事件規則!$A$2:$A$53,0)),"")))</f>
        <v>無關新聞事件</v>
      </c>
      <c r="U1507" s="20" t="n">
        <f aca="false">IF(R1507="維持",K1507,IF(R1507="排除",0,IFERROR(INDEX(事件規則!$C$2:$C$53,MATCH(S1507,事件規則!$A$2:$A$53,0)),"")))</f>
        <v>0</v>
      </c>
      <c r="V1507" s="21"/>
      <c r="W1507" s="22"/>
      <c r="X1507" s="10" t="str">
        <f aca="false">IF(AND(R1507="修改",S1507=""),"請選新事件代碼",IF(AND(R1507&lt;&gt;"修改",S1507&lt;&gt;""),"只有「修改」才需填代碼",""))</f>
        <v/>
      </c>
      <c r="Y1507" s="21"/>
      <c r="Z1507" s="22"/>
      <c r="AA1507" s="12" t="s">
        <v>4014</v>
      </c>
      <c r="AB1507" s="24"/>
    </row>
    <row r="1508" customFormat="false" ht="29.85" hidden="false" customHeight="false" outlineLevel="0" collapsed="false">
      <c r="A1508" s="15" t="n">
        <v>1507</v>
      </c>
      <c r="B1508" s="9" t="s">
        <v>45</v>
      </c>
      <c r="C1508" s="9" t="s">
        <v>289</v>
      </c>
      <c r="D1508" s="10" t="s">
        <v>290</v>
      </c>
      <c r="E1508" s="11" t="s">
        <v>4015</v>
      </c>
      <c r="F1508" s="17"/>
      <c r="G1508" s="12" t="s">
        <v>176</v>
      </c>
      <c r="H1508" s="13" t="n">
        <v>-0.022</v>
      </c>
      <c r="I1508" s="14"/>
      <c r="J1508" s="17"/>
      <c r="K1508" s="9"/>
      <c r="L1508" s="15" t="s">
        <v>50</v>
      </c>
      <c r="M1508" s="16" t="s">
        <v>51</v>
      </c>
      <c r="N1508" s="14"/>
      <c r="O1508" s="15" t="s">
        <v>52</v>
      </c>
      <c r="P1508" s="17" t="s">
        <v>53</v>
      </c>
      <c r="Q1508" s="15"/>
      <c r="R1508" s="18" t="s">
        <v>51</v>
      </c>
      <c r="S1508" s="19"/>
      <c r="T1508" s="17" t="str">
        <f aca="false">IF(R1508="維持",J1508,IF(R1508="排除","無關新聞事件",IFERROR(INDEX(事件規則!$B$2:$B$53,MATCH(S1508,事件規則!$A$2:$A$53,0)),"")))</f>
        <v>無關新聞事件</v>
      </c>
      <c r="U1508" s="20" t="n">
        <f aca="false">IF(R1508="維持",K1508,IF(R1508="排除",0,IFERROR(INDEX(事件規則!$C$2:$C$53,MATCH(S1508,事件規則!$A$2:$A$53,0)),"")))</f>
        <v>0</v>
      </c>
      <c r="V1508" s="21"/>
      <c r="W1508" s="22"/>
      <c r="X1508" s="10" t="str">
        <f aca="false">IF(AND(R1508="修改",S1508=""),"請選新事件代碼",IF(AND(R1508&lt;&gt;"修改",S1508&lt;&gt;""),"只有「修改」才需填代碼",""))</f>
        <v/>
      </c>
      <c r="Y1508" s="21"/>
      <c r="Z1508" s="22"/>
      <c r="AA1508" s="12" t="s">
        <v>4016</v>
      </c>
      <c r="AB1508" s="24"/>
    </row>
    <row r="1509" customFormat="false" ht="29.85" hidden="false" customHeight="false" outlineLevel="0" collapsed="false">
      <c r="A1509" s="15" t="n">
        <v>1508</v>
      </c>
      <c r="B1509" s="9" t="s">
        <v>45</v>
      </c>
      <c r="C1509" s="9" t="s">
        <v>563</v>
      </c>
      <c r="D1509" s="10" t="s">
        <v>564</v>
      </c>
      <c r="E1509" s="11" t="s">
        <v>4017</v>
      </c>
      <c r="F1509" s="17"/>
      <c r="G1509" s="12" t="s">
        <v>949</v>
      </c>
      <c r="H1509" s="13" t="n">
        <v>-0.022</v>
      </c>
      <c r="I1509" s="14"/>
      <c r="J1509" s="17"/>
      <c r="K1509" s="9"/>
      <c r="L1509" s="15" t="s">
        <v>50</v>
      </c>
      <c r="M1509" s="16" t="s">
        <v>51</v>
      </c>
      <c r="N1509" s="14"/>
      <c r="O1509" s="15" t="s">
        <v>52</v>
      </c>
      <c r="P1509" s="17" t="s">
        <v>53</v>
      </c>
      <c r="Q1509" s="15"/>
      <c r="R1509" s="18" t="s">
        <v>51</v>
      </c>
      <c r="S1509" s="19"/>
      <c r="T1509" s="17" t="str">
        <f aca="false">IF(R1509="維持",J1509,IF(R1509="排除","無關新聞事件",IFERROR(INDEX(事件規則!$B$2:$B$53,MATCH(S1509,事件規則!$A$2:$A$53,0)),"")))</f>
        <v>無關新聞事件</v>
      </c>
      <c r="U1509" s="20" t="n">
        <f aca="false">IF(R1509="維持",K1509,IF(R1509="排除",0,IFERROR(INDEX(事件規則!$C$2:$C$53,MATCH(S1509,事件規則!$A$2:$A$53,0)),"")))</f>
        <v>0</v>
      </c>
      <c r="V1509" s="21"/>
      <c r="W1509" s="22"/>
      <c r="X1509" s="10" t="str">
        <f aca="false">IF(AND(R1509="修改",S1509=""),"請選新事件代碼",IF(AND(R1509&lt;&gt;"修改",S1509&lt;&gt;""),"只有「修改」才需填代碼",""))</f>
        <v/>
      </c>
      <c r="Y1509" s="21"/>
      <c r="Z1509" s="22"/>
      <c r="AA1509" s="12" t="s">
        <v>4018</v>
      </c>
      <c r="AB1509" s="24"/>
    </row>
    <row r="1510" customFormat="false" ht="29.85" hidden="false" customHeight="false" outlineLevel="0" collapsed="false">
      <c r="A1510" s="15" t="n">
        <v>1509</v>
      </c>
      <c r="B1510" s="9" t="s">
        <v>45</v>
      </c>
      <c r="C1510" s="9" t="s">
        <v>953</v>
      </c>
      <c r="D1510" s="10" t="s">
        <v>954</v>
      </c>
      <c r="E1510" s="11" t="s">
        <v>4019</v>
      </c>
      <c r="F1510" s="17"/>
      <c r="G1510" s="12" t="s">
        <v>949</v>
      </c>
      <c r="H1510" s="13" t="n">
        <v>-0.022</v>
      </c>
      <c r="I1510" s="14"/>
      <c r="J1510" s="17"/>
      <c r="K1510" s="9"/>
      <c r="L1510" s="15" t="s">
        <v>50</v>
      </c>
      <c r="M1510" s="16" t="s">
        <v>51</v>
      </c>
      <c r="N1510" s="14"/>
      <c r="O1510" s="15" t="s">
        <v>52</v>
      </c>
      <c r="P1510" s="17" t="s">
        <v>53</v>
      </c>
      <c r="Q1510" s="15"/>
      <c r="R1510" s="18" t="s">
        <v>51</v>
      </c>
      <c r="S1510" s="19"/>
      <c r="T1510" s="17" t="str">
        <f aca="false">IF(R1510="維持",J1510,IF(R1510="排除","無關新聞事件",IFERROR(INDEX(事件規則!$B$2:$B$53,MATCH(S1510,事件規則!$A$2:$A$53,0)),"")))</f>
        <v>無關新聞事件</v>
      </c>
      <c r="U1510" s="20" t="n">
        <f aca="false">IF(R1510="維持",K1510,IF(R1510="排除",0,IFERROR(INDEX(事件規則!$C$2:$C$53,MATCH(S1510,事件規則!$A$2:$A$53,0)),"")))</f>
        <v>0</v>
      </c>
      <c r="V1510" s="21"/>
      <c r="W1510" s="22"/>
      <c r="X1510" s="10" t="str">
        <f aca="false">IF(AND(R1510="修改",S1510=""),"請選新事件代碼",IF(AND(R1510&lt;&gt;"修改",S1510&lt;&gt;""),"只有「修改」才需填代碼",""))</f>
        <v/>
      </c>
      <c r="Y1510" s="21"/>
      <c r="Z1510" s="22"/>
      <c r="AA1510" s="12" t="s">
        <v>4020</v>
      </c>
      <c r="AB1510" s="24"/>
    </row>
    <row r="1511" customFormat="false" ht="29.85" hidden="false" customHeight="false" outlineLevel="0" collapsed="false">
      <c r="A1511" s="15" t="n">
        <v>1510</v>
      </c>
      <c r="B1511" s="9" t="s">
        <v>45</v>
      </c>
      <c r="C1511" s="9" t="s">
        <v>2185</v>
      </c>
      <c r="D1511" s="10" t="s">
        <v>2186</v>
      </c>
      <c r="E1511" s="11" t="s">
        <v>4021</v>
      </c>
      <c r="F1511" s="17"/>
      <c r="G1511" s="12" t="s">
        <v>176</v>
      </c>
      <c r="H1511" s="13" t="n">
        <v>-0.022</v>
      </c>
      <c r="I1511" s="14"/>
      <c r="J1511" s="17"/>
      <c r="K1511" s="9"/>
      <c r="L1511" s="15" t="s">
        <v>50</v>
      </c>
      <c r="M1511" s="16" t="s">
        <v>51</v>
      </c>
      <c r="N1511" s="14"/>
      <c r="O1511" s="15" t="s">
        <v>52</v>
      </c>
      <c r="P1511" s="17" t="s">
        <v>53</v>
      </c>
      <c r="Q1511" s="15"/>
      <c r="R1511" s="18" t="s">
        <v>51</v>
      </c>
      <c r="S1511" s="19"/>
      <c r="T1511" s="17" t="str">
        <f aca="false">IF(R1511="維持",J1511,IF(R1511="排除","無關新聞事件",IFERROR(INDEX(事件規則!$B$2:$B$53,MATCH(S1511,事件規則!$A$2:$A$53,0)),"")))</f>
        <v>無關新聞事件</v>
      </c>
      <c r="U1511" s="20" t="n">
        <f aca="false">IF(R1511="維持",K1511,IF(R1511="排除",0,IFERROR(INDEX(事件規則!$C$2:$C$53,MATCH(S1511,事件規則!$A$2:$A$53,0)),"")))</f>
        <v>0</v>
      </c>
      <c r="V1511" s="21"/>
      <c r="W1511" s="22"/>
      <c r="X1511" s="10" t="str">
        <f aca="false">IF(AND(R1511="修改",S1511=""),"請選新事件代碼",IF(AND(R1511&lt;&gt;"修改",S1511&lt;&gt;""),"只有「修改」才需填代碼",""))</f>
        <v/>
      </c>
      <c r="Y1511" s="21"/>
      <c r="Z1511" s="22"/>
      <c r="AA1511" s="12" t="s">
        <v>4022</v>
      </c>
      <c r="AB1511" s="24"/>
    </row>
    <row r="1512" customFormat="false" ht="29.85" hidden="false" customHeight="false" outlineLevel="0" collapsed="false">
      <c r="A1512" s="15" t="n">
        <v>1511</v>
      </c>
      <c r="B1512" s="9" t="s">
        <v>81</v>
      </c>
      <c r="C1512" s="9" t="s">
        <v>672</v>
      </c>
      <c r="D1512" s="10" t="s">
        <v>673</v>
      </c>
      <c r="E1512" s="11" t="s">
        <v>4023</v>
      </c>
      <c r="F1512" s="17"/>
      <c r="G1512" s="12" t="s">
        <v>4024</v>
      </c>
      <c r="H1512" s="13" t="n">
        <v>-0.022</v>
      </c>
      <c r="I1512" s="14"/>
      <c r="J1512" s="17"/>
      <c r="K1512" s="9"/>
      <c r="L1512" s="15" t="s">
        <v>50</v>
      </c>
      <c r="M1512" s="16" t="s">
        <v>51</v>
      </c>
      <c r="N1512" s="14"/>
      <c r="O1512" s="15" t="s">
        <v>52</v>
      </c>
      <c r="P1512" s="17" t="s">
        <v>53</v>
      </c>
      <c r="Q1512" s="15"/>
      <c r="R1512" s="18" t="s">
        <v>51</v>
      </c>
      <c r="S1512" s="19"/>
      <c r="T1512" s="17" t="str">
        <f aca="false">IF(R1512="維持",J1512,IF(R1512="排除","無關新聞事件",IFERROR(INDEX(事件規則!$B$2:$B$53,MATCH(S1512,事件規則!$A$2:$A$53,0)),"")))</f>
        <v>無關新聞事件</v>
      </c>
      <c r="U1512" s="20" t="n">
        <f aca="false">IF(R1512="維持",K1512,IF(R1512="排除",0,IFERROR(INDEX(事件規則!$C$2:$C$53,MATCH(S1512,事件規則!$A$2:$A$53,0)),"")))</f>
        <v>0</v>
      </c>
      <c r="V1512" s="21"/>
      <c r="W1512" s="22"/>
      <c r="X1512" s="10" t="str">
        <f aca="false">IF(AND(R1512="修改",S1512=""),"請選新事件代碼",IF(AND(R1512&lt;&gt;"修改",S1512&lt;&gt;""),"只有「修改」才需填代碼",""))</f>
        <v/>
      </c>
      <c r="Y1512" s="21"/>
      <c r="Z1512" s="22"/>
      <c r="AA1512" s="12" t="s">
        <v>4025</v>
      </c>
      <c r="AB1512" s="24"/>
    </row>
    <row r="1513" customFormat="false" ht="29.85" hidden="false" customHeight="false" outlineLevel="0" collapsed="false">
      <c r="A1513" s="15" t="n">
        <v>1512</v>
      </c>
      <c r="B1513" s="9" t="s">
        <v>45</v>
      </c>
      <c r="C1513" s="9" t="s">
        <v>2942</v>
      </c>
      <c r="D1513" s="10" t="s">
        <v>2943</v>
      </c>
      <c r="E1513" s="11" t="s">
        <v>4026</v>
      </c>
      <c r="F1513" s="17"/>
      <c r="G1513" s="12" t="s">
        <v>1068</v>
      </c>
      <c r="H1513" s="13" t="n">
        <v>-0.022</v>
      </c>
      <c r="I1513" s="14"/>
      <c r="J1513" s="17"/>
      <c r="K1513" s="9"/>
      <c r="L1513" s="15" t="s">
        <v>50</v>
      </c>
      <c r="M1513" s="16" t="s">
        <v>51</v>
      </c>
      <c r="N1513" s="14"/>
      <c r="O1513" s="15" t="s">
        <v>52</v>
      </c>
      <c r="P1513" s="17" t="s">
        <v>53</v>
      </c>
      <c r="Q1513" s="15"/>
      <c r="R1513" s="18" t="s">
        <v>51</v>
      </c>
      <c r="S1513" s="19"/>
      <c r="T1513" s="17" t="str">
        <f aca="false">IF(R1513="維持",J1513,IF(R1513="排除","無關新聞事件",IFERROR(INDEX(事件規則!$B$2:$B$53,MATCH(S1513,事件規則!$A$2:$A$53,0)),"")))</f>
        <v>無關新聞事件</v>
      </c>
      <c r="U1513" s="20" t="n">
        <f aca="false">IF(R1513="維持",K1513,IF(R1513="排除",0,IFERROR(INDEX(事件規則!$C$2:$C$53,MATCH(S1513,事件規則!$A$2:$A$53,0)),"")))</f>
        <v>0</v>
      </c>
      <c r="V1513" s="21"/>
      <c r="W1513" s="22"/>
      <c r="X1513" s="10" t="str">
        <f aca="false">IF(AND(R1513="修改",S1513=""),"請選新事件代碼",IF(AND(R1513&lt;&gt;"修改",S1513&lt;&gt;""),"只有「修改」才需填代碼",""))</f>
        <v/>
      </c>
      <c r="Y1513" s="21"/>
      <c r="Z1513" s="22"/>
      <c r="AA1513" s="12" t="s">
        <v>4027</v>
      </c>
      <c r="AB1513" s="24"/>
    </row>
    <row r="1514" customFormat="false" ht="29.85" hidden="false" customHeight="false" outlineLevel="0" collapsed="false">
      <c r="A1514" s="15" t="n">
        <v>1513</v>
      </c>
      <c r="B1514" s="9" t="s">
        <v>45</v>
      </c>
      <c r="C1514" s="9" t="s">
        <v>585</v>
      </c>
      <c r="D1514" s="10" t="s">
        <v>586</v>
      </c>
      <c r="E1514" s="11" t="s">
        <v>4028</v>
      </c>
      <c r="F1514" s="17"/>
      <c r="G1514" s="12" t="s">
        <v>59</v>
      </c>
      <c r="H1514" s="13" t="n">
        <v>-0.022</v>
      </c>
      <c r="I1514" s="14"/>
      <c r="J1514" s="17"/>
      <c r="K1514" s="9"/>
      <c r="L1514" s="15" t="s">
        <v>50</v>
      </c>
      <c r="M1514" s="16" t="s">
        <v>51</v>
      </c>
      <c r="N1514" s="14"/>
      <c r="O1514" s="15" t="s">
        <v>52</v>
      </c>
      <c r="P1514" s="17" t="s">
        <v>53</v>
      </c>
      <c r="Q1514" s="15"/>
      <c r="R1514" s="18" t="s">
        <v>51</v>
      </c>
      <c r="S1514" s="19"/>
      <c r="T1514" s="17" t="str">
        <f aca="false">IF(R1514="維持",J1514,IF(R1514="排除","無關新聞事件",IFERROR(INDEX(事件規則!$B$2:$B$53,MATCH(S1514,事件規則!$A$2:$A$53,0)),"")))</f>
        <v>無關新聞事件</v>
      </c>
      <c r="U1514" s="20" t="n">
        <f aca="false">IF(R1514="維持",K1514,IF(R1514="排除",0,IFERROR(INDEX(事件規則!$C$2:$C$53,MATCH(S1514,事件規則!$A$2:$A$53,0)),"")))</f>
        <v>0</v>
      </c>
      <c r="V1514" s="21"/>
      <c r="W1514" s="22"/>
      <c r="X1514" s="10" t="str">
        <f aca="false">IF(AND(R1514="修改",S1514=""),"請選新事件代碼",IF(AND(R1514&lt;&gt;"修改",S1514&lt;&gt;""),"只有「修改」才需填代碼",""))</f>
        <v/>
      </c>
      <c r="Y1514" s="21"/>
      <c r="Z1514" s="22"/>
      <c r="AA1514" s="12" t="s">
        <v>4029</v>
      </c>
      <c r="AB1514" s="24"/>
    </row>
    <row r="1515" customFormat="false" ht="29.85" hidden="false" customHeight="false" outlineLevel="0" collapsed="false">
      <c r="A1515" s="15" t="n">
        <v>1514</v>
      </c>
      <c r="B1515" s="9" t="s">
        <v>55</v>
      </c>
      <c r="C1515" s="9" t="s">
        <v>535</v>
      </c>
      <c r="D1515" s="10" t="s">
        <v>536</v>
      </c>
      <c r="E1515" s="11" t="s">
        <v>4030</v>
      </c>
      <c r="F1515" s="17"/>
      <c r="G1515" s="12" t="s">
        <v>49</v>
      </c>
      <c r="H1515" s="13" t="n">
        <v>-0.022</v>
      </c>
      <c r="I1515" s="14"/>
      <c r="J1515" s="17"/>
      <c r="K1515" s="9"/>
      <c r="L1515" s="15" t="s">
        <v>50</v>
      </c>
      <c r="M1515" s="16" t="s">
        <v>51</v>
      </c>
      <c r="N1515" s="14"/>
      <c r="O1515" s="15" t="s">
        <v>52</v>
      </c>
      <c r="P1515" s="17" t="s">
        <v>53</v>
      </c>
      <c r="Q1515" s="15"/>
      <c r="R1515" s="18" t="s">
        <v>51</v>
      </c>
      <c r="S1515" s="19"/>
      <c r="T1515" s="17" t="str">
        <f aca="false">IF(R1515="維持",J1515,IF(R1515="排除","無關新聞事件",IFERROR(INDEX(事件規則!$B$2:$B$53,MATCH(S1515,事件規則!$A$2:$A$53,0)),"")))</f>
        <v>無關新聞事件</v>
      </c>
      <c r="U1515" s="20" t="n">
        <f aca="false">IF(R1515="維持",K1515,IF(R1515="排除",0,IFERROR(INDEX(事件規則!$C$2:$C$53,MATCH(S1515,事件規則!$A$2:$A$53,0)),"")))</f>
        <v>0</v>
      </c>
      <c r="V1515" s="21"/>
      <c r="W1515" s="22"/>
      <c r="X1515" s="10" t="str">
        <f aca="false">IF(AND(R1515="修改",S1515=""),"請選新事件代碼",IF(AND(R1515&lt;&gt;"修改",S1515&lt;&gt;""),"只有「修改」才需填代碼",""))</f>
        <v/>
      </c>
      <c r="Y1515" s="21"/>
      <c r="Z1515" s="22"/>
      <c r="AA1515" s="12" t="s">
        <v>4031</v>
      </c>
      <c r="AB1515" s="24"/>
    </row>
    <row r="1516" customFormat="false" ht="29.85" hidden="false" customHeight="false" outlineLevel="0" collapsed="false">
      <c r="A1516" s="15" t="n">
        <v>1515</v>
      </c>
      <c r="B1516" s="9" t="s">
        <v>45</v>
      </c>
      <c r="C1516" s="9" t="s">
        <v>1672</v>
      </c>
      <c r="D1516" s="10" t="s">
        <v>1673</v>
      </c>
      <c r="E1516" s="11" t="s">
        <v>4002</v>
      </c>
      <c r="F1516" s="17"/>
      <c r="G1516" s="12" t="s">
        <v>3221</v>
      </c>
      <c r="H1516" s="13" t="n">
        <v>-0.022</v>
      </c>
      <c r="I1516" s="14"/>
      <c r="J1516" s="17"/>
      <c r="K1516" s="9"/>
      <c r="L1516" s="15" t="s">
        <v>50</v>
      </c>
      <c r="M1516" s="16" t="s">
        <v>51</v>
      </c>
      <c r="N1516" s="14"/>
      <c r="O1516" s="15" t="s">
        <v>52</v>
      </c>
      <c r="P1516" s="17" t="s">
        <v>53</v>
      </c>
      <c r="Q1516" s="15"/>
      <c r="R1516" s="18" t="s">
        <v>51</v>
      </c>
      <c r="S1516" s="19"/>
      <c r="T1516" s="17" t="str">
        <f aca="false">IF(R1516="維持",J1516,IF(R1516="排除","無關新聞事件",IFERROR(INDEX(事件規則!$B$2:$B$53,MATCH(S1516,事件規則!$A$2:$A$53,0)),"")))</f>
        <v>無關新聞事件</v>
      </c>
      <c r="U1516" s="20" t="n">
        <f aca="false">IF(R1516="維持",K1516,IF(R1516="排除",0,IFERROR(INDEX(事件規則!$C$2:$C$53,MATCH(S1516,事件規則!$A$2:$A$53,0)),"")))</f>
        <v>0</v>
      </c>
      <c r="V1516" s="21"/>
      <c r="W1516" s="22"/>
      <c r="X1516" s="10" t="str">
        <f aca="false">IF(AND(R1516="修改",S1516=""),"請選新事件代碼",IF(AND(R1516&lt;&gt;"修改",S1516&lt;&gt;""),"只有「修改」才需填代碼",""))</f>
        <v/>
      </c>
      <c r="Y1516" s="21"/>
      <c r="Z1516" s="22"/>
      <c r="AA1516" s="12" t="s">
        <v>4003</v>
      </c>
      <c r="AB1516" s="24"/>
    </row>
    <row r="1517" customFormat="false" ht="29.85" hidden="false" customHeight="false" outlineLevel="0" collapsed="false">
      <c r="A1517" s="15" t="n">
        <v>1516</v>
      </c>
      <c r="B1517" s="9" t="s">
        <v>112</v>
      </c>
      <c r="C1517" s="9" t="s">
        <v>2124</v>
      </c>
      <c r="D1517" s="10" t="s">
        <v>2125</v>
      </c>
      <c r="E1517" s="11" t="s">
        <v>4032</v>
      </c>
      <c r="F1517" s="17"/>
      <c r="G1517" s="12" t="s">
        <v>2033</v>
      </c>
      <c r="H1517" s="13" t="n">
        <v>-0.021</v>
      </c>
      <c r="I1517" s="14"/>
      <c r="J1517" s="17"/>
      <c r="K1517" s="9"/>
      <c r="L1517" s="15" t="s">
        <v>50</v>
      </c>
      <c r="M1517" s="16" t="s">
        <v>51</v>
      </c>
      <c r="N1517" s="14"/>
      <c r="O1517" s="15" t="s">
        <v>52</v>
      </c>
      <c r="P1517" s="17" t="s">
        <v>53</v>
      </c>
      <c r="Q1517" s="15"/>
      <c r="R1517" s="18" t="s">
        <v>51</v>
      </c>
      <c r="S1517" s="19"/>
      <c r="T1517" s="17" t="str">
        <f aca="false">IF(R1517="維持",J1517,IF(R1517="排除","無關新聞事件",IFERROR(INDEX(事件規則!$B$2:$B$53,MATCH(S1517,事件規則!$A$2:$A$53,0)),"")))</f>
        <v>無關新聞事件</v>
      </c>
      <c r="U1517" s="20" t="n">
        <f aca="false">IF(R1517="維持",K1517,IF(R1517="排除",0,IFERROR(INDEX(事件規則!$C$2:$C$53,MATCH(S1517,事件規則!$A$2:$A$53,0)),"")))</f>
        <v>0</v>
      </c>
      <c r="V1517" s="21"/>
      <c r="W1517" s="22"/>
      <c r="X1517" s="10" t="str">
        <f aca="false">IF(AND(R1517="修改",S1517=""),"請選新事件代碼",IF(AND(R1517&lt;&gt;"修改",S1517&lt;&gt;""),"只有「修改」才需填代碼",""))</f>
        <v/>
      </c>
      <c r="Y1517" s="21"/>
      <c r="Z1517" s="22"/>
      <c r="AA1517" s="12" t="s">
        <v>4033</v>
      </c>
      <c r="AB1517" s="24"/>
    </row>
    <row r="1518" customFormat="false" ht="29.85" hidden="false" customHeight="false" outlineLevel="0" collapsed="false">
      <c r="A1518" s="15" t="n">
        <v>1517</v>
      </c>
      <c r="B1518" s="9" t="s">
        <v>45</v>
      </c>
      <c r="C1518" s="9" t="s">
        <v>355</v>
      </c>
      <c r="D1518" s="10" t="s">
        <v>356</v>
      </c>
      <c r="E1518" s="11" t="s">
        <v>4034</v>
      </c>
      <c r="F1518" s="17"/>
      <c r="G1518" s="12" t="s">
        <v>4035</v>
      </c>
      <c r="H1518" s="13" t="n">
        <v>-0.021</v>
      </c>
      <c r="I1518" s="14"/>
      <c r="J1518" s="17"/>
      <c r="K1518" s="9"/>
      <c r="L1518" s="15" t="s">
        <v>50</v>
      </c>
      <c r="M1518" s="16" t="s">
        <v>51</v>
      </c>
      <c r="N1518" s="14"/>
      <c r="O1518" s="15" t="s">
        <v>52</v>
      </c>
      <c r="P1518" s="17" t="s">
        <v>53</v>
      </c>
      <c r="Q1518" s="15"/>
      <c r="R1518" s="18" t="s">
        <v>51</v>
      </c>
      <c r="S1518" s="19"/>
      <c r="T1518" s="17" t="str">
        <f aca="false">IF(R1518="維持",J1518,IF(R1518="排除","無關新聞事件",IFERROR(INDEX(事件規則!$B$2:$B$53,MATCH(S1518,事件規則!$A$2:$A$53,0)),"")))</f>
        <v>無關新聞事件</v>
      </c>
      <c r="U1518" s="20" t="n">
        <f aca="false">IF(R1518="維持",K1518,IF(R1518="排除",0,IFERROR(INDEX(事件規則!$C$2:$C$53,MATCH(S1518,事件規則!$A$2:$A$53,0)),"")))</f>
        <v>0</v>
      </c>
      <c r="V1518" s="21"/>
      <c r="W1518" s="22"/>
      <c r="X1518" s="10" t="str">
        <f aca="false">IF(AND(R1518="修改",S1518=""),"請選新事件代碼",IF(AND(R1518&lt;&gt;"修改",S1518&lt;&gt;""),"只有「修改」才需填代碼",""))</f>
        <v/>
      </c>
      <c r="Y1518" s="21"/>
      <c r="Z1518" s="22"/>
      <c r="AA1518" s="12" t="s">
        <v>4036</v>
      </c>
      <c r="AB1518" s="24"/>
    </row>
    <row r="1519" customFormat="false" ht="29.85" hidden="false" customHeight="false" outlineLevel="0" collapsed="false">
      <c r="A1519" s="15" t="n">
        <v>1518</v>
      </c>
      <c r="B1519" s="9" t="s">
        <v>45</v>
      </c>
      <c r="C1519" s="9" t="s">
        <v>71</v>
      </c>
      <c r="D1519" s="10" t="s">
        <v>72</v>
      </c>
      <c r="E1519" s="11" t="s">
        <v>4037</v>
      </c>
      <c r="F1519" s="17"/>
      <c r="G1519" s="12" t="s">
        <v>482</v>
      </c>
      <c r="H1519" s="13" t="n">
        <v>-0.021</v>
      </c>
      <c r="I1519" s="14"/>
      <c r="J1519" s="17"/>
      <c r="K1519" s="9"/>
      <c r="L1519" s="15" t="s">
        <v>50</v>
      </c>
      <c r="M1519" s="16" t="s">
        <v>51</v>
      </c>
      <c r="N1519" s="14"/>
      <c r="O1519" s="15" t="s">
        <v>52</v>
      </c>
      <c r="P1519" s="17" t="s">
        <v>53</v>
      </c>
      <c r="Q1519" s="15"/>
      <c r="R1519" s="18" t="s">
        <v>51</v>
      </c>
      <c r="S1519" s="19"/>
      <c r="T1519" s="17" t="str">
        <f aca="false">IF(R1519="維持",J1519,IF(R1519="排除","無關新聞事件",IFERROR(INDEX(事件規則!$B$2:$B$53,MATCH(S1519,事件規則!$A$2:$A$53,0)),"")))</f>
        <v>無關新聞事件</v>
      </c>
      <c r="U1519" s="20" t="n">
        <f aca="false">IF(R1519="維持",K1519,IF(R1519="排除",0,IFERROR(INDEX(事件規則!$C$2:$C$53,MATCH(S1519,事件規則!$A$2:$A$53,0)),"")))</f>
        <v>0</v>
      </c>
      <c r="V1519" s="21"/>
      <c r="W1519" s="22"/>
      <c r="X1519" s="10" t="str">
        <f aca="false">IF(AND(R1519="修改",S1519=""),"請選新事件代碼",IF(AND(R1519&lt;&gt;"修改",S1519&lt;&gt;""),"只有「修改」才需填代碼",""))</f>
        <v/>
      </c>
      <c r="Y1519" s="21"/>
      <c r="Z1519" s="22"/>
      <c r="AA1519" s="12" t="s">
        <v>4038</v>
      </c>
      <c r="AB1519" s="24"/>
    </row>
    <row r="1520" customFormat="false" ht="29.85" hidden="false" customHeight="false" outlineLevel="0" collapsed="false">
      <c r="A1520" s="15" t="n">
        <v>1519</v>
      </c>
      <c r="B1520" s="9" t="s">
        <v>55</v>
      </c>
      <c r="C1520" s="9" t="s">
        <v>1754</v>
      </c>
      <c r="D1520" s="10" t="s">
        <v>1755</v>
      </c>
      <c r="E1520" s="11" t="s">
        <v>4039</v>
      </c>
      <c r="F1520" s="17"/>
      <c r="G1520" s="12" t="s">
        <v>3221</v>
      </c>
      <c r="H1520" s="13" t="n">
        <v>-0.021</v>
      </c>
      <c r="I1520" s="14"/>
      <c r="J1520" s="17"/>
      <c r="K1520" s="9"/>
      <c r="L1520" s="15" t="s">
        <v>50</v>
      </c>
      <c r="M1520" s="16" t="s">
        <v>51</v>
      </c>
      <c r="N1520" s="14"/>
      <c r="O1520" s="15" t="s">
        <v>52</v>
      </c>
      <c r="P1520" s="17" t="s">
        <v>53</v>
      </c>
      <c r="Q1520" s="15"/>
      <c r="R1520" s="18" t="s">
        <v>51</v>
      </c>
      <c r="S1520" s="19"/>
      <c r="T1520" s="17" t="str">
        <f aca="false">IF(R1520="維持",J1520,IF(R1520="排除","無關新聞事件",IFERROR(INDEX(事件規則!$B$2:$B$53,MATCH(S1520,事件規則!$A$2:$A$53,0)),"")))</f>
        <v>無關新聞事件</v>
      </c>
      <c r="U1520" s="20" t="n">
        <f aca="false">IF(R1520="維持",K1520,IF(R1520="排除",0,IFERROR(INDEX(事件規則!$C$2:$C$53,MATCH(S1520,事件規則!$A$2:$A$53,0)),"")))</f>
        <v>0</v>
      </c>
      <c r="V1520" s="21"/>
      <c r="W1520" s="22"/>
      <c r="X1520" s="10" t="str">
        <f aca="false">IF(AND(R1520="修改",S1520=""),"請選新事件代碼",IF(AND(R1520&lt;&gt;"修改",S1520&lt;&gt;""),"只有「修改」才需填代碼",""))</f>
        <v/>
      </c>
      <c r="Y1520" s="21"/>
      <c r="Z1520" s="22"/>
      <c r="AA1520" s="12" t="s">
        <v>4040</v>
      </c>
      <c r="AB1520" s="24"/>
    </row>
    <row r="1521" customFormat="false" ht="29.85" hidden="false" customHeight="false" outlineLevel="0" collapsed="false">
      <c r="A1521" s="15" t="n">
        <v>1520</v>
      </c>
      <c r="B1521" s="9" t="s">
        <v>55</v>
      </c>
      <c r="C1521" s="9" t="s">
        <v>1314</v>
      </c>
      <c r="D1521" s="10" t="s">
        <v>1315</v>
      </c>
      <c r="E1521" s="11" t="s">
        <v>4041</v>
      </c>
      <c r="F1521" s="17"/>
      <c r="G1521" s="12" t="s">
        <v>3221</v>
      </c>
      <c r="H1521" s="13" t="n">
        <v>-0.021</v>
      </c>
      <c r="I1521" s="14"/>
      <c r="J1521" s="17"/>
      <c r="K1521" s="9"/>
      <c r="L1521" s="15" t="s">
        <v>50</v>
      </c>
      <c r="M1521" s="16" t="s">
        <v>51</v>
      </c>
      <c r="N1521" s="14"/>
      <c r="O1521" s="15" t="s">
        <v>52</v>
      </c>
      <c r="P1521" s="17" t="s">
        <v>53</v>
      </c>
      <c r="Q1521" s="15"/>
      <c r="R1521" s="18" t="s">
        <v>51</v>
      </c>
      <c r="S1521" s="19"/>
      <c r="T1521" s="17" t="str">
        <f aca="false">IF(R1521="維持",J1521,IF(R1521="排除","無關新聞事件",IFERROR(INDEX(事件規則!$B$2:$B$53,MATCH(S1521,事件規則!$A$2:$A$53,0)),"")))</f>
        <v>無關新聞事件</v>
      </c>
      <c r="U1521" s="20" t="n">
        <f aca="false">IF(R1521="維持",K1521,IF(R1521="排除",0,IFERROR(INDEX(事件規則!$C$2:$C$53,MATCH(S1521,事件規則!$A$2:$A$53,0)),"")))</f>
        <v>0</v>
      </c>
      <c r="V1521" s="21"/>
      <c r="W1521" s="22"/>
      <c r="X1521" s="10" t="str">
        <f aca="false">IF(AND(R1521="修改",S1521=""),"請選新事件代碼",IF(AND(R1521&lt;&gt;"修改",S1521&lt;&gt;""),"只有「修改」才需填代碼",""))</f>
        <v/>
      </c>
      <c r="Y1521" s="21"/>
      <c r="Z1521" s="22"/>
      <c r="AA1521" s="12" t="s">
        <v>4042</v>
      </c>
      <c r="AB1521" s="24"/>
    </row>
    <row r="1522" customFormat="false" ht="29.85" hidden="false" customHeight="false" outlineLevel="0" collapsed="false">
      <c r="A1522" s="15" t="n">
        <v>1521</v>
      </c>
      <c r="B1522" s="9" t="s">
        <v>55</v>
      </c>
      <c r="C1522" s="9" t="s">
        <v>2476</v>
      </c>
      <c r="D1522" s="10" t="s">
        <v>2477</v>
      </c>
      <c r="E1522" s="11" t="s">
        <v>4043</v>
      </c>
      <c r="F1522" s="17"/>
      <c r="G1522" s="12" t="s">
        <v>949</v>
      </c>
      <c r="H1522" s="13" t="n">
        <v>-0.021</v>
      </c>
      <c r="I1522" s="14"/>
      <c r="J1522" s="17"/>
      <c r="K1522" s="9"/>
      <c r="L1522" s="15" t="s">
        <v>50</v>
      </c>
      <c r="M1522" s="16" t="s">
        <v>51</v>
      </c>
      <c r="N1522" s="14"/>
      <c r="O1522" s="15" t="s">
        <v>52</v>
      </c>
      <c r="P1522" s="17" t="s">
        <v>53</v>
      </c>
      <c r="Q1522" s="15"/>
      <c r="R1522" s="18" t="s">
        <v>51</v>
      </c>
      <c r="S1522" s="19"/>
      <c r="T1522" s="17" t="str">
        <f aca="false">IF(R1522="維持",J1522,IF(R1522="排除","無關新聞事件",IFERROR(INDEX(事件規則!$B$2:$B$53,MATCH(S1522,事件規則!$A$2:$A$53,0)),"")))</f>
        <v>無關新聞事件</v>
      </c>
      <c r="U1522" s="20" t="n">
        <f aca="false">IF(R1522="維持",K1522,IF(R1522="排除",0,IFERROR(INDEX(事件規則!$C$2:$C$53,MATCH(S1522,事件規則!$A$2:$A$53,0)),"")))</f>
        <v>0</v>
      </c>
      <c r="V1522" s="21"/>
      <c r="W1522" s="22"/>
      <c r="X1522" s="10" t="str">
        <f aca="false">IF(AND(R1522="修改",S1522=""),"請選新事件代碼",IF(AND(R1522&lt;&gt;"修改",S1522&lt;&gt;""),"只有「修改」才需填代碼",""))</f>
        <v/>
      </c>
      <c r="Y1522" s="21"/>
      <c r="Z1522" s="22"/>
      <c r="AA1522" s="12" t="s">
        <v>4044</v>
      </c>
      <c r="AB1522" s="24"/>
    </row>
    <row r="1523" customFormat="false" ht="29.85" hidden="false" customHeight="false" outlineLevel="0" collapsed="false">
      <c r="A1523" s="15" t="n">
        <v>1522</v>
      </c>
      <c r="B1523" s="9" t="s">
        <v>45</v>
      </c>
      <c r="C1523" s="9" t="s">
        <v>3426</v>
      </c>
      <c r="D1523" s="10" t="s">
        <v>3427</v>
      </c>
      <c r="E1523" s="11" t="s">
        <v>4045</v>
      </c>
      <c r="F1523" s="17"/>
      <c r="G1523" s="12" t="s">
        <v>4046</v>
      </c>
      <c r="H1523" s="13" t="n">
        <v>-0.021</v>
      </c>
      <c r="I1523" s="14"/>
      <c r="J1523" s="17"/>
      <c r="K1523" s="9"/>
      <c r="L1523" s="15" t="s">
        <v>50</v>
      </c>
      <c r="M1523" s="16" t="s">
        <v>51</v>
      </c>
      <c r="N1523" s="14"/>
      <c r="O1523" s="15" t="s">
        <v>52</v>
      </c>
      <c r="P1523" s="17" t="s">
        <v>53</v>
      </c>
      <c r="Q1523" s="15"/>
      <c r="R1523" s="18" t="s">
        <v>51</v>
      </c>
      <c r="S1523" s="19"/>
      <c r="T1523" s="17" t="str">
        <f aca="false">IF(R1523="維持",J1523,IF(R1523="排除","無關新聞事件",IFERROR(INDEX(事件規則!$B$2:$B$53,MATCH(S1523,事件規則!$A$2:$A$53,0)),"")))</f>
        <v>無關新聞事件</v>
      </c>
      <c r="U1523" s="20" t="n">
        <f aca="false">IF(R1523="維持",K1523,IF(R1523="排除",0,IFERROR(INDEX(事件規則!$C$2:$C$53,MATCH(S1523,事件規則!$A$2:$A$53,0)),"")))</f>
        <v>0</v>
      </c>
      <c r="V1523" s="21"/>
      <c r="W1523" s="22"/>
      <c r="X1523" s="10" t="str">
        <f aca="false">IF(AND(R1523="修改",S1523=""),"請選新事件代碼",IF(AND(R1523&lt;&gt;"修改",S1523&lt;&gt;""),"只有「修改」才需填代碼",""))</f>
        <v/>
      </c>
      <c r="Y1523" s="21"/>
      <c r="Z1523" s="22"/>
      <c r="AA1523" s="12" t="s">
        <v>4047</v>
      </c>
      <c r="AB1523" s="24"/>
    </row>
    <row r="1524" customFormat="false" ht="29.85" hidden="false" customHeight="false" outlineLevel="0" collapsed="false">
      <c r="A1524" s="15" t="n">
        <v>1523</v>
      </c>
      <c r="B1524" s="9" t="s">
        <v>112</v>
      </c>
      <c r="C1524" s="9" t="s">
        <v>2289</v>
      </c>
      <c r="D1524" s="10" t="s">
        <v>2290</v>
      </c>
      <c r="E1524" s="11" t="s">
        <v>4048</v>
      </c>
      <c r="F1524" s="17"/>
      <c r="G1524" s="12" t="s">
        <v>116</v>
      </c>
      <c r="H1524" s="13" t="n">
        <v>-0.021</v>
      </c>
      <c r="I1524" s="14"/>
      <c r="J1524" s="17"/>
      <c r="K1524" s="9"/>
      <c r="L1524" s="15" t="s">
        <v>50</v>
      </c>
      <c r="M1524" s="16" t="s">
        <v>51</v>
      </c>
      <c r="N1524" s="14"/>
      <c r="O1524" s="15" t="s">
        <v>52</v>
      </c>
      <c r="P1524" s="17" t="s">
        <v>53</v>
      </c>
      <c r="Q1524" s="15"/>
      <c r="R1524" s="18" t="s">
        <v>51</v>
      </c>
      <c r="S1524" s="19"/>
      <c r="T1524" s="17" t="str">
        <f aca="false">IF(R1524="維持",J1524,IF(R1524="排除","無關新聞事件",IFERROR(INDEX(事件規則!$B$2:$B$53,MATCH(S1524,事件規則!$A$2:$A$53,0)),"")))</f>
        <v>無關新聞事件</v>
      </c>
      <c r="U1524" s="20" t="n">
        <f aca="false">IF(R1524="維持",K1524,IF(R1524="排除",0,IFERROR(INDEX(事件規則!$C$2:$C$53,MATCH(S1524,事件規則!$A$2:$A$53,0)),"")))</f>
        <v>0</v>
      </c>
      <c r="V1524" s="21"/>
      <c r="W1524" s="22"/>
      <c r="X1524" s="10" t="str">
        <f aca="false">IF(AND(R1524="修改",S1524=""),"請選新事件代碼",IF(AND(R1524&lt;&gt;"修改",S1524&lt;&gt;""),"只有「修改」才需填代碼",""))</f>
        <v/>
      </c>
      <c r="Y1524" s="21"/>
      <c r="Z1524" s="22"/>
      <c r="AA1524" s="12" t="s">
        <v>4049</v>
      </c>
      <c r="AB1524" s="24"/>
    </row>
    <row r="1525" customFormat="false" ht="29.85" hidden="false" customHeight="false" outlineLevel="0" collapsed="false">
      <c r="A1525" s="15" t="n">
        <v>1524</v>
      </c>
      <c r="B1525" s="9" t="s">
        <v>112</v>
      </c>
      <c r="C1525" s="9" t="s">
        <v>2432</v>
      </c>
      <c r="D1525" s="10" t="s">
        <v>2433</v>
      </c>
      <c r="E1525" s="11" t="s">
        <v>4050</v>
      </c>
      <c r="F1525" s="17"/>
      <c r="G1525" s="12" t="s">
        <v>1068</v>
      </c>
      <c r="H1525" s="13" t="n">
        <v>-0.021</v>
      </c>
      <c r="I1525" s="14"/>
      <c r="J1525" s="17"/>
      <c r="K1525" s="9"/>
      <c r="L1525" s="15" t="s">
        <v>50</v>
      </c>
      <c r="M1525" s="16" t="s">
        <v>51</v>
      </c>
      <c r="N1525" s="14"/>
      <c r="O1525" s="15" t="s">
        <v>52</v>
      </c>
      <c r="P1525" s="17" t="s">
        <v>53</v>
      </c>
      <c r="Q1525" s="15"/>
      <c r="R1525" s="18" t="s">
        <v>51</v>
      </c>
      <c r="S1525" s="19"/>
      <c r="T1525" s="17" t="str">
        <f aca="false">IF(R1525="維持",J1525,IF(R1525="排除","無關新聞事件",IFERROR(INDEX(事件規則!$B$2:$B$53,MATCH(S1525,事件規則!$A$2:$A$53,0)),"")))</f>
        <v>無關新聞事件</v>
      </c>
      <c r="U1525" s="20" t="n">
        <f aca="false">IF(R1525="維持",K1525,IF(R1525="排除",0,IFERROR(INDEX(事件規則!$C$2:$C$53,MATCH(S1525,事件規則!$A$2:$A$53,0)),"")))</f>
        <v>0</v>
      </c>
      <c r="V1525" s="21"/>
      <c r="W1525" s="22"/>
      <c r="X1525" s="10" t="str">
        <f aca="false">IF(AND(R1525="修改",S1525=""),"請選新事件代碼",IF(AND(R1525&lt;&gt;"修改",S1525&lt;&gt;""),"只有「修改」才需填代碼",""))</f>
        <v/>
      </c>
      <c r="Y1525" s="21"/>
      <c r="Z1525" s="22"/>
      <c r="AA1525" s="12" t="s">
        <v>4051</v>
      </c>
      <c r="AB1525" s="24"/>
    </row>
    <row r="1526" customFormat="false" ht="29.85" hidden="false" customHeight="false" outlineLevel="0" collapsed="false">
      <c r="A1526" s="15" t="n">
        <v>1525</v>
      </c>
      <c r="B1526" s="9" t="s">
        <v>112</v>
      </c>
      <c r="C1526" s="9" t="s">
        <v>524</v>
      </c>
      <c r="D1526" s="10" t="s">
        <v>525</v>
      </c>
      <c r="E1526" s="11" t="s">
        <v>4052</v>
      </c>
      <c r="F1526" s="17"/>
      <c r="G1526" s="12" t="s">
        <v>4053</v>
      </c>
      <c r="H1526" s="13" t="n">
        <v>-0.021</v>
      </c>
      <c r="I1526" s="14"/>
      <c r="J1526" s="17"/>
      <c r="K1526" s="9"/>
      <c r="L1526" s="15" t="s">
        <v>50</v>
      </c>
      <c r="M1526" s="16" t="s">
        <v>51</v>
      </c>
      <c r="N1526" s="14"/>
      <c r="O1526" s="15" t="s">
        <v>52</v>
      </c>
      <c r="P1526" s="17" t="s">
        <v>53</v>
      </c>
      <c r="Q1526" s="15"/>
      <c r="R1526" s="18" t="s">
        <v>51</v>
      </c>
      <c r="S1526" s="19"/>
      <c r="T1526" s="17" t="str">
        <f aca="false">IF(R1526="維持",J1526,IF(R1526="排除","無關新聞事件",IFERROR(INDEX(事件規則!$B$2:$B$53,MATCH(S1526,事件規則!$A$2:$A$53,0)),"")))</f>
        <v>無關新聞事件</v>
      </c>
      <c r="U1526" s="20" t="n">
        <f aca="false">IF(R1526="維持",K1526,IF(R1526="排除",0,IFERROR(INDEX(事件規則!$C$2:$C$53,MATCH(S1526,事件規則!$A$2:$A$53,0)),"")))</f>
        <v>0</v>
      </c>
      <c r="V1526" s="21"/>
      <c r="W1526" s="22"/>
      <c r="X1526" s="10" t="str">
        <f aca="false">IF(AND(R1526="修改",S1526=""),"請選新事件代碼",IF(AND(R1526&lt;&gt;"修改",S1526&lt;&gt;""),"只有「修改」才需填代碼",""))</f>
        <v/>
      </c>
      <c r="Y1526" s="21"/>
      <c r="Z1526" s="22"/>
      <c r="AA1526" s="12" t="s">
        <v>4054</v>
      </c>
      <c r="AB1526" s="24"/>
    </row>
    <row r="1527" customFormat="false" ht="29.85" hidden="false" customHeight="false" outlineLevel="0" collapsed="false">
      <c r="A1527" s="15" t="n">
        <v>1526</v>
      </c>
      <c r="B1527" s="9" t="s">
        <v>112</v>
      </c>
      <c r="C1527" s="9" t="s">
        <v>917</v>
      </c>
      <c r="D1527" s="10" t="s">
        <v>918</v>
      </c>
      <c r="E1527" s="11" t="s">
        <v>4055</v>
      </c>
      <c r="F1527" s="17"/>
      <c r="G1527" s="12" t="s">
        <v>2033</v>
      </c>
      <c r="H1527" s="13" t="n">
        <v>-0.021</v>
      </c>
      <c r="I1527" s="14"/>
      <c r="J1527" s="17"/>
      <c r="K1527" s="9"/>
      <c r="L1527" s="15" t="s">
        <v>50</v>
      </c>
      <c r="M1527" s="16" t="s">
        <v>51</v>
      </c>
      <c r="N1527" s="14"/>
      <c r="O1527" s="15" t="s">
        <v>52</v>
      </c>
      <c r="P1527" s="17" t="s">
        <v>53</v>
      </c>
      <c r="Q1527" s="15"/>
      <c r="R1527" s="18" t="s">
        <v>51</v>
      </c>
      <c r="S1527" s="19"/>
      <c r="T1527" s="17" t="str">
        <f aca="false">IF(R1527="維持",J1527,IF(R1527="排除","無關新聞事件",IFERROR(INDEX(事件規則!$B$2:$B$53,MATCH(S1527,事件規則!$A$2:$A$53,0)),"")))</f>
        <v>無關新聞事件</v>
      </c>
      <c r="U1527" s="20" t="n">
        <f aca="false">IF(R1527="維持",K1527,IF(R1527="排除",0,IFERROR(INDEX(事件規則!$C$2:$C$53,MATCH(S1527,事件規則!$A$2:$A$53,0)),"")))</f>
        <v>0</v>
      </c>
      <c r="V1527" s="21"/>
      <c r="W1527" s="22"/>
      <c r="X1527" s="10" t="str">
        <f aca="false">IF(AND(R1527="修改",S1527=""),"請選新事件代碼",IF(AND(R1527&lt;&gt;"修改",S1527&lt;&gt;""),"只有「修改」才需填代碼",""))</f>
        <v/>
      </c>
      <c r="Y1527" s="21"/>
      <c r="Z1527" s="22"/>
      <c r="AA1527" s="12" t="s">
        <v>4056</v>
      </c>
      <c r="AB1527" s="24"/>
    </row>
    <row r="1528" customFormat="false" ht="29.85" hidden="false" customHeight="false" outlineLevel="0" collapsed="false">
      <c r="A1528" s="15" t="n">
        <v>1527</v>
      </c>
      <c r="B1528" s="9" t="s">
        <v>112</v>
      </c>
      <c r="C1528" s="9" t="s">
        <v>1602</v>
      </c>
      <c r="D1528" s="10" t="s">
        <v>1603</v>
      </c>
      <c r="E1528" s="11" t="s">
        <v>4057</v>
      </c>
      <c r="F1528" s="17"/>
      <c r="G1528" s="12" t="s">
        <v>95</v>
      </c>
      <c r="H1528" s="13" t="n">
        <v>-0.021</v>
      </c>
      <c r="I1528" s="14"/>
      <c r="J1528" s="17"/>
      <c r="K1528" s="9"/>
      <c r="L1528" s="15" t="s">
        <v>50</v>
      </c>
      <c r="M1528" s="16" t="s">
        <v>51</v>
      </c>
      <c r="N1528" s="14"/>
      <c r="O1528" s="15" t="s">
        <v>52</v>
      </c>
      <c r="P1528" s="17" t="s">
        <v>53</v>
      </c>
      <c r="Q1528" s="15"/>
      <c r="R1528" s="18" t="s">
        <v>51</v>
      </c>
      <c r="S1528" s="19"/>
      <c r="T1528" s="17" t="str">
        <f aca="false">IF(R1528="維持",J1528,IF(R1528="排除","無關新聞事件",IFERROR(INDEX(事件規則!$B$2:$B$53,MATCH(S1528,事件規則!$A$2:$A$53,0)),"")))</f>
        <v>無關新聞事件</v>
      </c>
      <c r="U1528" s="20" t="n">
        <f aca="false">IF(R1528="維持",K1528,IF(R1528="排除",0,IFERROR(INDEX(事件規則!$C$2:$C$53,MATCH(S1528,事件規則!$A$2:$A$53,0)),"")))</f>
        <v>0</v>
      </c>
      <c r="V1528" s="21"/>
      <c r="W1528" s="22"/>
      <c r="X1528" s="10" t="str">
        <f aca="false">IF(AND(R1528="修改",S1528=""),"請選新事件代碼",IF(AND(R1528&lt;&gt;"修改",S1528&lt;&gt;""),"只有「修改」才需填代碼",""))</f>
        <v/>
      </c>
      <c r="Y1528" s="21"/>
      <c r="Z1528" s="22"/>
      <c r="AA1528" s="12" t="s">
        <v>4058</v>
      </c>
      <c r="AB1528" s="24"/>
    </row>
    <row r="1529" customFormat="false" ht="29.85" hidden="false" customHeight="false" outlineLevel="0" collapsed="false">
      <c r="A1529" s="15" t="n">
        <v>1528</v>
      </c>
      <c r="B1529" s="9" t="s">
        <v>112</v>
      </c>
      <c r="C1529" s="9" t="s">
        <v>2293</v>
      </c>
      <c r="D1529" s="10" t="s">
        <v>2294</v>
      </c>
      <c r="E1529" s="11" t="s">
        <v>4059</v>
      </c>
      <c r="F1529" s="17"/>
      <c r="G1529" s="12" t="s">
        <v>2033</v>
      </c>
      <c r="H1529" s="13" t="n">
        <v>-0.021</v>
      </c>
      <c r="I1529" s="14"/>
      <c r="J1529" s="17"/>
      <c r="K1529" s="9"/>
      <c r="L1529" s="15" t="s">
        <v>50</v>
      </c>
      <c r="M1529" s="16" t="s">
        <v>51</v>
      </c>
      <c r="N1529" s="14"/>
      <c r="O1529" s="15" t="s">
        <v>52</v>
      </c>
      <c r="P1529" s="17" t="s">
        <v>53</v>
      </c>
      <c r="Q1529" s="15"/>
      <c r="R1529" s="18" t="s">
        <v>51</v>
      </c>
      <c r="S1529" s="19"/>
      <c r="T1529" s="17" t="str">
        <f aca="false">IF(R1529="維持",J1529,IF(R1529="排除","無關新聞事件",IFERROR(INDEX(事件規則!$B$2:$B$53,MATCH(S1529,事件規則!$A$2:$A$53,0)),"")))</f>
        <v>無關新聞事件</v>
      </c>
      <c r="U1529" s="20" t="n">
        <f aca="false">IF(R1529="維持",K1529,IF(R1529="排除",0,IFERROR(INDEX(事件規則!$C$2:$C$53,MATCH(S1529,事件規則!$A$2:$A$53,0)),"")))</f>
        <v>0</v>
      </c>
      <c r="V1529" s="21"/>
      <c r="W1529" s="22"/>
      <c r="X1529" s="10" t="str">
        <f aca="false">IF(AND(R1529="修改",S1529=""),"請選新事件代碼",IF(AND(R1529&lt;&gt;"修改",S1529&lt;&gt;""),"只有「修改」才需填代碼",""))</f>
        <v/>
      </c>
      <c r="Y1529" s="21"/>
      <c r="Z1529" s="22"/>
      <c r="AA1529" s="12" t="s">
        <v>4060</v>
      </c>
      <c r="AB1529" s="24"/>
    </row>
    <row r="1530" customFormat="false" ht="29.85" hidden="false" customHeight="false" outlineLevel="0" collapsed="false">
      <c r="A1530" s="15" t="n">
        <v>1529</v>
      </c>
      <c r="B1530" s="9" t="s">
        <v>55</v>
      </c>
      <c r="C1530" s="9" t="s">
        <v>2049</v>
      </c>
      <c r="D1530" s="10" t="s">
        <v>2050</v>
      </c>
      <c r="E1530" s="11" t="s">
        <v>4061</v>
      </c>
      <c r="F1530" s="17"/>
      <c r="G1530" s="12" t="s">
        <v>3221</v>
      </c>
      <c r="H1530" s="13" t="n">
        <v>-0.021</v>
      </c>
      <c r="I1530" s="14"/>
      <c r="J1530" s="17"/>
      <c r="K1530" s="9"/>
      <c r="L1530" s="15" t="s">
        <v>50</v>
      </c>
      <c r="M1530" s="16" t="s">
        <v>51</v>
      </c>
      <c r="N1530" s="14"/>
      <c r="O1530" s="15" t="s">
        <v>52</v>
      </c>
      <c r="P1530" s="17" t="s">
        <v>53</v>
      </c>
      <c r="Q1530" s="15"/>
      <c r="R1530" s="18" t="s">
        <v>51</v>
      </c>
      <c r="S1530" s="19"/>
      <c r="T1530" s="17" t="str">
        <f aca="false">IF(R1530="維持",J1530,IF(R1530="排除","無關新聞事件",IFERROR(INDEX(事件規則!$B$2:$B$53,MATCH(S1530,事件規則!$A$2:$A$53,0)),"")))</f>
        <v>無關新聞事件</v>
      </c>
      <c r="U1530" s="20" t="n">
        <f aca="false">IF(R1530="維持",K1530,IF(R1530="排除",0,IFERROR(INDEX(事件規則!$C$2:$C$53,MATCH(S1530,事件規則!$A$2:$A$53,0)),"")))</f>
        <v>0</v>
      </c>
      <c r="V1530" s="21"/>
      <c r="W1530" s="22"/>
      <c r="X1530" s="10" t="str">
        <f aca="false">IF(AND(R1530="修改",S1530=""),"請選新事件代碼",IF(AND(R1530&lt;&gt;"修改",S1530&lt;&gt;""),"只有「修改」才需填代碼",""))</f>
        <v/>
      </c>
      <c r="Y1530" s="21"/>
      <c r="Z1530" s="22"/>
      <c r="AA1530" s="12" t="s">
        <v>4062</v>
      </c>
      <c r="AB1530" s="24"/>
    </row>
    <row r="1531" customFormat="false" ht="29.85" hidden="false" customHeight="false" outlineLevel="0" collapsed="false">
      <c r="A1531" s="15" t="n">
        <v>1530</v>
      </c>
      <c r="B1531" s="9" t="s">
        <v>55</v>
      </c>
      <c r="C1531" s="9" t="s">
        <v>2293</v>
      </c>
      <c r="D1531" s="10" t="s">
        <v>2294</v>
      </c>
      <c r="E1531" s="11" t="s">
        <v>4063</v>
      </c>
      <c r="F1531" s="17"/>
      <c r="G1531" s="12" t="s">
        <v>176</v>
      </c>
      <c r="H1531" s="13" t="n">
        <v>-0.021</v>
      </c>
      <c r="I1531" s="14"/>
      <c r="J1531" s="17"/>
      <c r="K1531" s="9"/>
      <c r="L1531" s="15" t="s">
        <v>50</v>
      </c>
      <c r="M1531" s="16" t="s">
        <v>51</v>
      </c>
      <c r="N1531" s="14"/>
      <c r="O1531" s="15" t="s">
        <v>52</v>
      </c>
      <c r="P1531" s="17" t="s">
        <v>53</v>
      </c>
      <c r="Q1531" s="15"/>
      <c r="R1531" s="18" t="s">
        <v>51</v>
      </c>
      <c r="S1531" s="19"/>
      <c r="T1531" s="17" t="str">
        <f aca="false">IF(R1531="維持",J1531,IF(R1531="排除","無關新聞事件",IFERROR(INDEX(事件規則!$B$2:$B$53,MATCH(S1531,事件規則!$A$2:$A$53,0)),"")))</f>
        <v>無關新聞事件</v>
      </c>
      <c r="U1531" s="20" t="n">
        <f aca="false">IF(R1531="維持",K1531,IF(R1531="排除",0,IFERROR(INDEX(事件規則!$C$2:$C$53,MATCH(S1531,事件規則!$A$2:$A$53,0)),"")))</f>
        <v>0</v>
      </c>
      <c r="V1531" s="21"/>
      <c r="W1531" s="22"/>
      <c r="X1531" s="10" t="str">
        <f aca="false">IF(AND(R1531="修改",S1531=""),"請選新事件代碼",IF(AND(R1531&lt;&gt;"修改",S1531&lt;&gt;""),"只有「修改」才需填代碼",""))</f>
        <v/>
      </c>
      <c r="Y1531" s="21"/>
      <c r="Z1531" s="22"/>
      <c r="AA1531" s="12" t="s">
        <v>4064</v>
      </c>
      <c r="AB1531" s="24"/>
    </row>
    <row r="1532" customFormat="false" ht="29.85" hidden="false" customHeight="false" outlineLevel="0" collapsed="false">
      <c r="A1532" s="15" t="n">
        <v>1531</v>
      </c>
      <c r="B1532" s="9" t="s">
        <v>55</v>
      </c>
      <c r="C1532" s="9" t="s">
        <v>607</v>
      </c>
      <c r="D1532" s="10" t="s">
        <v>608</v>
      </c>
      <c r="E1532" s="11" t="s">
        <v>4065</v>
      </c>
      <c r="F1532" s="17"/>
      <c r="G1532" s="12" t="s">
        <v>4066</v>
      </c>
      <c r="H1532" s="13" t="n">
        <v>-0.021</v>
      </c>
      <c r="I1532" s="14"/>
      <c r="J1532" s="17"/>
      <c r="K1532" s="9"/>
      <c r="L1532" s="15" t="s">
        <v>50</v>
      </c>
      <c r="M1532" s="16" t="s">
        <v>51</v>
      </c>
      <c r="N1532" s="14"/>
      <c r="O1532" s="15" t="s">
        <v>52</v>
      </c>
      <c r="P1532" s="17" t="s">
        <v>53</v>
      </c>
      <c r="Q1532" s="15"/>
      <c r="R1532" s="18" t="s">
        <v>51</v>
      </c>
      <c r="S1532" s="19"/>
      <c r="T1532" s="17" t="str">
        <f aca="false">IF(R1532="維持",J1532,IF(R1532="排除","無關新聞事件",IFERROR(INDEX(事件規則!$B$2:$B$53,MATCH(S1532,事件規則!$A$2:$A$53,0)),"")))</f>
        <v>無關新聞事件</v>
      </c>
      <c r="U1532" s="20" t="n">
        <f aca="false">IF(R1532="維持",K1532,IF(R1532="排除",0,IFERROR(INDEX(事件規則!$C$2:$C$53,MATCH(S1532,事件規則!$A$2:$A$53,0)),"")))</f>
        <v>0</v>
      </c>
      <c r="V1532" s="21"/>
      <c r="W1532" s="22"/>
      <c r="X1532" s="10" t="str">
        <f aca="false">IF(AND(R1532="修改",S1532=""),"請選新事件代碼",IF(AND(R1532&lt;&gt;"修改",S1532&lt;&gt;""),"只有「修改」才需填代碼",""))</f>
        <v/>
      </c>
      <c r="Y1532" s="21"/>
      <c r="Z1532" s="22"/>
      <c r="AA1532" s="12" t="s">
        <v>4067</v>
      </c>
      <c r="AB1532" s="24"/>
    </row>
    <row r="1533" customFormat="false" ht="29.85" hidden="false" customHeight="false" outlineLevel="0" collapsed="false">
      <c r="A1533" s="15" t="n">
        <v>1532</v>
      </c>
      <c r="B1533" s="9" t="s">
        <v>45</v>
      </c>
      <c r="C1533" s="9" t="s">
        <v>825</v>
      </c>
      <c r="D1533" s="10" t="s">
        <v>826</v>
      </c>
      <c r="E1533" s="11" t="s">
        <v>4068</v>
      </c>
      <c r="F1533" s="17"/>
      <c r="G1533" s="12" t="s">
        <v>949</v>
      </c>
      <c r="H1533" s="13" t="n">
        <v>-0.021</v>
      </c>
      <c r="I1533" s="14"/>
      <c r="J1533" s="17"/>
      <c r="K1533" s="9"/>
      <c r="L1533" s="15" t="s">
        <v>50</v>
      </c>
      <c r="M1533" s="16" t="s">
        <v>51</v>
      </c>
      <c r="N1533" s="14"/>
      <c r="O1533" s="15" t="s">
        <v>52</v>
      </c>
      <c r="P1533" s="17" t="s">
        <v>53</v>
      </c>
      <c r="Q1533" s="15"/>
      <c r="R1533" s="18" t="s">
        <v>51</v>
      </c>
      <c r="S1533" s="19"/>
      <c r="T1533" s="17" t="str">
        <f aca="false">IF(R1533="維持",J1533,IF(R1533="排除","無關新聞事件",IFERROR(INDEX(事件規則!$B$2:$B$53,MATCH(S1533,事件規則!$A$2:$A$53,0)),"")))</f>
        <v>無關新聞事件</v>
      </c>
      <c r="U1533" s="20" t="n">
        <f aca="false">IF(R1533="維持",K1533,IF(R1533="排除",0,IFERROR(INDEX(事件規則!$C$2:$C$53,MATCH(S1533,事件規則!$A$2:$A$53,0)),"")))</f>
        <v>0</v>
      </c>
      <c r="V1533" s="21"/>
      <c r="W1533" s="22"/>
      <c r="X1533" s="10" t="str">
        <f aca="false">IF(AND(R1533="修改",S1533=""),"請選新事件代碼",IF(AND(R1533&lt;&gt;"修改",S1533&lt;&gt;""),"只有「修改」才需填代碼",""))</f>
        <v/>
      </c>
      <c r="Y1533" s="21"/>
      <c r="Z1533" s="22"/>
      <c r="AA1533" s="12" t="s">
        <v>4069</v>
      </c>
      <c r="AB1533" s="24"/>
    </row>
    <row r="1534" customFormat="false" ht="29.85" hidden="false" customHeight="false" outlineLevel="0" collapsed="false">
      <c r="A1534" s="15" t="n">
        <v>1533</v>
      </c>
      <c r="B1534" s="9" t="s">
        <v>81</v>
      </c>
      <c r="C1534" s="9" t="s">
        <v>139</v>
      </c>
      <c r="D1534" s="10" t="s">
        <v>140</v>
      </c>
      <c r="E1534" s="11" t="s">
        <v>4070</v>
      </c>
      <c r="F1534" s="17"/>
      <c r="G1534" s="12" t="s">
        <v>59</v>
      </c>
      <c r="H1534" s="13" t="n">
        <v>-0.021</v>
      </c>
      <c r="I1534" s="14"/>
      <c r="J1534" s="17"/>
      <c r="K1534" s="9"/>
      <c r="L1534" s="15" t="s">
        <v>50</v>
      </c>
      <c r="M1534" s="16" t="s">
        <v>51</v>
      </c>
      <c r="N1534" s="14"/>
      <c r="O1534" s="15" t="s">
        <v>52</v>
      </c>
      <c r="P1534" s="17" t="s">
        <v>53</v>
      </c>
      <c r="Q1534" s="15"/>
      <c r="R1534" s="18" t="s">
        <v>51</v>
      </c>
      <c r="S1534" s="19"/>
      <c r="T1534" s="17" t="str">
        <f aca="false">IF(R1534="維持",J1534,IF(R1534="排除","無關新聞事件",IFERROR(INDEX(事件規則!$B$2:$B$53,MATCH(S1534,事件規則!$A$2:$A$53,0)),"")))</f>
        <v>無關新聞事件</v>
      </c>
      <c r="U1534" s="20" t="n">
        <f aca="false">IF(R1534="維持",K1534,IF(R1534="排除",0,IFERROR(INDEX(事件規則!$C$2:$C$53,MATCH(S1534,事件規則!$A$2:$A$53,0)),"")))</f>
        <v>0</v>
      </c>
      <c r="V1534" s="21"/>
      <c r="W1534" s="22"/>
      <c r="X1534" s="10" t="str">
        <f aca="false">IF(AND(R1534="修改",S1534=""),"請選新事件代碼",IF(AND(R1534&lt;&gt;"修改",S1534&lt;&gt;""),"只有「修改」才需填代碼",""))</f>
        <v/>
      </c>
      <c r="Y1534" s="21"/>
      <c r="Z1534" s="22"/>
      <c r="AA1534" s="12" t="s">
        <v>4071</v>
      </c>
      <c r="AB1534" s="24"/>
    </row>
    <row r="1535" customFormat="false" ht="29.85" hidden="false" customHeight="false" outlineLevel="0" collapsed="false">
      <c r="A1535" s="15" t="n">
        <v>1534</v>
      </c>
      <c r="B1535" s="9" t="s">
        <v>45</v>
      </c>
      <c r="C1535" s="9" t="s">
        <v>1602</v>
      </c>
      <c r="D1535" s="10" t="s">
        <v>1603</v>
      </c>
      <c r="E1535" s="11" t="s">
        <v>4072</v>
      </c>
      <c r="F1535" s="17"/>
      <c r="G1535" s="12" t="s">
        <v>949</v>
      </c>
      <c r="H1535" s="13" t="n">
        <v>-0.021</v>
      </c>
      <c r="I1535" s="14"/>
      <c r="J1535" s="17"/>
      <c r="K1535" s="9"/>
      <c r="L1535" s="15" t="s">
        <v>50</v>
      </c>
      <c r="M1535" s="16" t="s">
        <v>51</v>
      </c>
      <c r="N1535" s="14"/>
      <c r="O1535" s="15" t="s">
        <v>52</v>
      </c>
      <c r="P1535" s="17" t="s">
        <v>53</v>
      </c>
      <c r="Q1535" s="15"/>
      <c r="R1535" s="18" t="s">
        <v>51</v>
      </c>
      <c r="S1535" s="19"/>
      <c r="T1535" s="17" t="str">
        <f aca="false">IF(R1535="維持",J1535,IF(R1535="排除","無關新聞事件",IFERROR(INDEX(事件規則!$B$2:$B$53,MATCH(S1535,事件規則!$A$2:$A$53,0)),"")))</f>
        <v>無關新聞事件</v>
      </c>
      <c r="U1535" s="20" t="n">
        <f aca="false">IF(R1535="維持",K1535,IF(R1535="排除",0,IFERROR(INDEX(事件規則!$C$2:$C$53,MATCH(S1535,事件規則!$A$2:$A$53,0)),"")))</f>
        <v>0</v>
      </c>
      <c r="V1535" s="21"/>
      <c r="W1535" s="22"/>
      <c r="X1535" s="10" t="str">
        <f aca="false">IF(AND(R1535="修改",S1535=""),"請選新事件代碼",IF(AND(R1535&lt;&gt;"修改",S1535&lt;&gt;""),"只有「修改」才需填代碼",""))</f>
        <v/>
      </c>
      <c r="Y1535" s="21"/>
      <c r="Z1535" s="22"/>
      <c r="AA1535" s="12" t="s">
        <v>4073</v>
      </c>
      <c r="AB1535" s="24"/>
    </row>
    <row r="1536" customFormat="false" ht="29.85" hidden="false" customHeight="false" outlineLevel="0" collapsed="false">
      <c r="A1536" s="15" t="n">
        <v>1535</v>
      </c>
      <c r="B1536" s="9" t="s">
        <v>112</v>
      </c>
      <c r="C1536" s="9" t="s">
        <v>518</v>
      </c>
      <c r="D1536" s="10" t="s">
        <v>519</v>
      </c>
      <c r="E1536" s="11" t="s">
        <v>4074</v>
      </c>
      <c r="F1536" s="17"/>
      <c r="G1536" s="12" t="s">
        <v>1068</v>
      </c>
      <c r="H1536" s="13" t="n">
        <v>-0.021</v>
      </c>
      <c r="I1536" s="14"/>
      <c r="J1536" s="17"/>
      <c r="K1536" s="9"/>
      <c r="L1536" s="15" t="s">
        <v>50</v>
      </c>
      <c r="M1536" s="16" t="s">
        <v>51</v>
      </c>
      <c r="N1536" s="14"/>
      <c r="O1536" s="15" t="s">
        <v>52</v>
      </c>
      <c r="P1536" s="17" t="s">
        <v>53</v>
      </c>
      <c r="Q1536" s="15"/>
      <c r="R1536" s="18" t="s">
        <v>51</v>
      </c>
      <c r="S1536" s="19"/>
      <c r="T1536" s="17" t="str">
        <f aca="false">IF(R1536="維持",J1536,IF(R1536="排除","無關新聞事件",IFERROR(INDEX(事件規則!$B$2:$B$53,MATCH(S1536,事件規則!$A$2:$A$53,0)),"")))</f>
        <v>無關新聞事件</v>
      </c>
      <c r="U1536" s="20" t="n">
        <f aca="false">IF(R1536="維持",K1536,IF(R1536="排除",0,IFERROR(INDEX(事件規則!$C$2:$C$53,MATCH(S1536,事件規則!$A$2:$A$53,0)),"")))</f>
        <v>0</v>
      </c>
      <c r="V1536" s="21"/>
      <c r="W1536" s="22"/>
      <c r="X1536" s="10" t="str">
        <f aca="false">IF(AND(R1536="修改",S1536=""),"請選新事件代碼",IF(AND(R1536&lt;&gt;"修改",S1536&lt;&gt;""),"只有「修改」才需填代碼",""))</f>
        <v/>
      </c>
      <c r="Y1536" s="21"/>
      <c r="Z1536" s="22"/>
      <c r="AA1536" s="12" t="s">
        <v>4075</v>
      </c>
      <c r="AB1536" s="24"/>
    </row>
    <row r="1537" customFormat="false" ht="29.85" hidden="false" customHeight="false" outlineLevel="0" collapsed="false">
      <c r="A1537" s="15" t="n">
        <v>1536</v>
      </c>
      <c r="B1537" s="9" t="s">
        <v>45</v>
      </c>
      <c r="C1537" s="9" t="s">
        <v>1318</v>
      </c>
      <c r="D1537" s="10" t="s">
        <v>1319</v>
      </c>
      <c r="E1537" s="11" t="s">
        <v>4076</v>
      </c>
      <c r="F1537" s="17"/>
      <c r="G1537" s="12" t="s">
        <v>1068</v>
      </c>
      <c r="H1537" s="13" t="n">
        <v>-0.02</v>
      </c>
      <c r="I1537" s="14"/>
      <c r="J1537" s="17"/>
      <c r="K1537" s="9"/>
      <c r="L1537" s="15" t="s">
        <v>50</v>
      </c>
      <c r="M1537" s="16" t="s">
        <v>51</v>
      </c>
      <c r="N1537" s="14"/>
      <c r="O1537" s="15" t="s">
        <v>52</v>
      </c>
      <c r="P1537" s="17" t="s">
        <v>53</v>
      </c>
      <c r="Q1537" s="15"/>
      <c r="R1537" s="18" t="s">
        <v>51</v>
      </c>
      <c r="S1537" s="19"/>
      <c r="T1537" s="17" t="str">
        <f aca="false">IF(R1537="維持",J1537,IF(R1537="排除","無關新聞事件",IFERROR(INDEX(事件規則!$B$2:$B$53,MATCH(S1537,事件規則!$A$2:$A$53,0)),"")))</f>
        <v>無關新聞事件</v>
      </c>
      <c r="U1537" s="20" t="n">
        <f aca="false">IF(R1537="維持",K1537,IF(R1537="排除",0,IFERROR(INDEX(事件規則!$C$2:$C$53,MATCH(S1537,事件規則!$A$2:$A$53,0)),"")))</f>
        <v>0</v>
      </c>
      <c r="V1537" s="21"/>
      <c r="W1537" s="22"/>
      <c r="X1537" s="10" t="str">
        <f aca="false">IF(AND(R1537="修改",S1537=""),"請選新事件代碼",IF(AND(R1537&lt;&gt;"修改",S1537&lt;&gt;""),"只有「修改」才需填代碼",""))</f>
        <v/>
      </c>
      <c r="Y1537" s="21"/>
      <c r="Z1537" s="22"/>
      <c r="AA1537" s="12" t="s">
        <v>4077</v>
      </c>
      <c r="AB1537" s="24"/>
    </row>
    <row r="1538" customFormat="false" ht="29.85" hidden="false" customHeight="false" outlineLevel="0" collapsed="false">
      <c r="A1538" s="15" t="n">
        <v>1537</v>
      </c>
      <c r="B1538" s="9" t="s">
        <v>112</v>
      </c>
      <c r="C1538" s="9" t="s">
        <v>326</v>
      </c>
      <c r="D1538" s="10" t="s">
        <v>326</v>
      </c>
      <c r="E1538" s="11" t="s">
        <v>4078</v>
      </c>
      <c r="F1538" s="17"/>
      <c r="G1538" s="12" t="s">
        <v>164</v>
      </c>
      <c r="H1538" s="13" t="n">
        <v>-0.02</v>
      </c>
      <c r="I1538" s="14"/>
      <c r="J1538" s="17"/>
      <c r="K1538" s="9"/>
      <c r="L1538" s="15" t="s">
        <v>50</v>
      </c>
      <c r="M1538" s="16" t="s">
        <v>51</v>
      </c>
      <c r="N1538" s="14"/>
      <c r="O1538" s="15" t="s">
        <v>52</v>
      </c>
      <c r="P1538" s="17" t="s">
        <v>53</v>
      </c>
      <c r="Q1538" s="15"/>
      <c r="R1538" s="18" t="s">
        <v>51</v>
      </c>
      <c r="S1538" s="19"/>
      <c r="T1538" s="17" t="str">
        <f aca="false">IF(R1538="維持",J1538,IF(R1538="排除","無關新聞事件",IFERROR(INDEX(事件規則!$B$2:$B$53,MATCH(S1538,事件規則!$A$2:$A$53,0)),"")))</f>
        <v>無關新聞事件</v>
      </c>
      <c r="U1538" s="20" t="n">
        <f aca="false">IF(R1538="維持",K1538,IF(R1538="排除",0,IFERROR(INDEX(事件規則!$C$2:$C$53,MATCH(S1538,事件規則!$A$2:$A$53,0)),"")))</f>
        <v>0</v>
      </c>
      <c r="V1538" s="21"/>
      <c r="W1538" s="22"/>
      <c r="X1538" s="10" t="str">
        <f aca="false">IF(AND(R1538="修改",S1538=""),"請選新事件代碼",IF(AND(R1538&lt;&gt;"修改",S1538&lt;&gt;""),"只有「修改」才需填代碼",""))</f>
        <v/>
      </c>
      <c r="Y1538" s="21"/>
      <c r="Z1538" s="22"/>
      <c r="AA1538" s="12" t="s">
        <v>4079</v>
      </c>
      <c r="AB1538" s="24"/>
    </row>
    <row r="1539" customFormat="false" ht="29.85" hidden="false" customHeight="false" outlineLevel="0" collapsed="false">
      <c r="A1539" s="15" t="n">
        <v>1538</v>
      </c>
      <c r="B1539" s="9" t="s">
        <v>112</v>
      </c>
      <c r="C1539" s="9" t="s">
        <v>585</v>
      </c>
      <c r="D1539" s="10" t="s">
        <v>586</v>
      </c>
      <c r="E1539" s="11" t="s">
        <v>4080</v>
      </c>
      <c r="F1539" s="17"/>
      <c r="G1539" s="12" t="s">
        <v>2033</v>
      </c>
      <c r="H1539" s="13" t="n">
        <v>-0.02</v>
      </c>
      <c r="I1539" s="14"/>
      <c r="J1539" s="17"/>
      <c r="K1539" s="9"/>
      <c r="L1539" s="15" t="s">
        <v>50</v>
      </c>
      <c r="M1539" s="16" t="s">
        <v>51</v>
      </c>
      <c r="N1539" s="14"/>
      <c r="O1539" s="15" t="s">
        <v>52</v>
      </c>
      <c r="P1539" s="17" t="s">
        <v>53</v>
      </c>
      <c r="Q1539" s="15"/>
      <c r="R1539" s="18" t="s">
        <v>51</v>
      </c>
      <c r="S1539" s="19"/>
      <c r="T1539" s="17" t="str">
        <f aca="false">IF(R1539="維持",J1539,IF(R1539="排除","無關新聞事件",IFERROR(INDEX(事件規則!$B$2:$B$53,MATCH(S1539,事件規則!$A$2:$A$53,0)),"")))</f>
        <v>無關新聞事件</v>
      </c>
      <c r="U1539" s="20" t="n">
        <f aca="false">IF(R1539="維持",K1539,IF(R1539="排除",0,IFERROR(INDEX(事件規則!$C$2:$C$53,MATCH(S1539,事件規則!$A$2:$A$53,0)),"")))</f>
        <v>0</v>
      </c>
      <c r="V1539" s="21"/>
      <c r="W1539" s="22"/>
      <c r="X1539" s="10" t="str">
        <f aca="false">IF(AND(R1539="修改",S1539=""),"請選新事件代碼",IF(AND(R1539&lt;&gt;"修改",S1539&lt;&gt;""),"只有「修改」才需填代碼",""))</f>
        <v/>
      </c>
      <c r="Y1539" s="21"/>
      <c r="Z1539" s="22"/>
      <c r="AA1539" s="12" t="s">
        <v>4081</v>
      </c>
      <c r="AB1539" s="24"/>
    </row>
    <row r="1540" customFormat="false" ht="29.85" hidden="false" customHeight="false" outlineLevel="0" collapsed="false">
      <c r="A1540" s="15" t="n">
        <v>1539</v>
      </c>
      <c r="B1540" s="9" t="s">
        <v>55</v>
      </c>
      <c r="C1540" s="9" t="s">
        <v>1203</v>
      </c>
      <c r="D1540" s="10" t="s">
        <v>1204</v>
      </c>
      <c r="E1540" s="11" t="s">
        <v>4082</v>
      </c>
      <c r="F1540" s="17"/>
      <c r="G1540" s="12" t="s">
        <v>4083</v>
      </c>
      <c r="H1540" s="13" t="n">
        <v>-0.02</v>
      </c>
      <c r="I1540" s="14"/>
      <c r="J1540" s="17"/>
      <c r="K1540" s="9"/>
      <c r="L1540" s="15" t="s">
        <v>50</v>
      </c>
      <c r="M1540" s="16" t="s">
        <v>51</v>
      </c>
      <c r="N1540" s="14"/>
      <c r="O1540" s="15" t="s">
        <v>52</v>
      </c>
      <c r="P1540" s="17" t="s">
        <v>53</v>
      </c>
      <c r="Q1540" s="15"/>
      <c r="R1540" s="18" t="s">
        <v>51</v>
      </c>
      <c r="S1540" s="19"/>
      <c r="T1540" s="17" t="str">
        <f aca="false">IF(R1540="維持",J1540,IF(R1540="排除","無關新聞事件",IFERROR(INDEX(事件規則!$B$2:$B$53,MATCH(S1540,事件規則!$A$2:$A$53,0)),"")))</f>
        <v>無關新聞事件</v>
      </c>
      <c r="U1540" s="20" t="n">
        <f aca="false">IF(R1540="維持",K1540,IF(R1540="排除",0,IFERROR(INDEX(事件規則!$C$2:$C$53,MATCH(S1540,事件規則!$A$2:$A$53,0)),"")))</f>
        <v>0</v>
      </c>
      <c r="V1540" s="21"/>
      <c r="W1540" s="22"/>
      <c r="X1540" s="10" t="str">
        <f aca="false">IF(AND(R1540="修改",S1540=""),"請選新事件代碼",IF(AND(R1540&lt;&gt;"修改",S1540&lt;&gt;""),"只有「修改」才需填代碼",""))</f>
        <v/>
      </c>
      <c r="Y1540" s="21"/>
      <c r="Z1540" s="22"/>
      <c r="AA1540" s="12" t="s">
        <v>4084</v>
      </c>
      <c r="AB1540" s="24"/>
    </row>
    <row r="1541" customFormat="false" ht="29.85" hidden="false" customHeight="false" outlineLevel="0" collapsed="false">
      <c r="A1541" s="15" t="n">
        <v>1540</v>
      </c>
      <c r="B1541" s="9" t="s">
        <v>55</v>
      </c>
      <c r="C1541" s="9" t="s">
        <v>3587</v>
      </c>
      <c r="D1541" s="10" t="s">
        <v>3588</v>
      </c>
      <c r="E1541" s="11" t="s">
        <v>4085</v>
      </c>
      <c r="F1541" s="17"/>
      <c r="G1541" s="12" t="s">
        <v>176</v>
      </c>
      <c r="H1541" s="13" t="n">
        <v>-0.02</v>
      </c>
      <c r="I1541" s="14"/>
      <c r="J1541" s="17"/>
      <c r="K1541" s="9"/>
      <c r="L1541" s="15" t="s">
        <v>50</v>
      </c>
      <c r="M1541" s="16" t="s">
        <v>51</v>
      </c>
      <c r="N1541" s="14"/>
      <c r="O1541" s="15" t="s">
        <v>52</v>
      </c>
      <c r="P1541" s="17" t="s">
        <v>53</v>
      </c>
      <c r="Q1541" s="15"/>
      <c r="R1541" s="18" t="s">
        <v>51</v>
      </c>
      <c r="S1541" s="19"/>
      <c r="T1541" s="17" t="str">
        <f aca="false">IF(R1541="維持",J1541,IF(R1541="排除","無關新聞事件",IFERROR(INDEX(事件規則!$B$2:$B$53,MATCH(S1541,事件規則!$A$2:$A$53,0)),"")))</f>
        <v>無關新聞事件</v>
      </c>
      <c r="U1541" s="20" t="n">
        <f aca="false">IF(R1541="維持",K1541,IF(R1541="排除",0,IFERROR(INDEX(事件規則!$C$2:$C$53,MATCH(S1541,事件規則!$A$2:$A$53,0)),"")))</f>
        <v>0</v>
      </c>
      <c r="V1541" s="21"/>
      <c r="W1541" s="22"/>
      <c r="X1541" s="10" t="str">
        <f aca="false">IF(AND(R1541="修改",S1541=""),"請選新事件代碼",IF(AND(R1541&lt;&gt;"修改",S1541&lt;&gt;""),"只有「修改」才需填代碼",""))</f>
        <v/>
      </c>
      <c r="Y1541" s="21"/>
      <c r="Z1541" s="22"/>
      <c r="AA1541" s="12" t="s">
        <v>4086</v>
      </c>
      <c r="AB1541" s="24"/>
    </row>
    <row r="1542" customFormat="false" ht="29.85" hidden="false" customHeight="false" outlineLevel="0" collapsed="false">
      <c r="A1542" s="15" t="n">
        <v>1541</v>
      </c>
      <c r="B1542" s="9" t="s">
        <v>55</v>
      </c>
      <c r="C1542" s="9" t="s">
        <v>344</v>
      </c>
      <c r="D1542" s="10" t="s">
        <v>345</v>
      </c>
      <c r="E1542" s="11" t="s">
        <v>4087</v>
      </c>
      <c r="F1542" s="17"/>
      <c r="G1542" s="12" t="s">
        <v>49</v>
      </c>
      <c r="H1542" s="13" t="n">
        <v>-0.02</v>
      </c>
      <c r="I1542" s="14"/>
      <c r="J1542" s="17"/>
      <c r="K1542" s="9"/>
      <c r="L1542" s="15" t="s">
        <v>50</v>
      </c>
      <c r="M1542" s="16" t="s">
        <v>51</v>
      </c>
      <c r="N1542" s="14"/>
      <c r="O1542" s="15" t="s">
        <v>52</v>
      </c>
      <c r="P1542" s="17" t="s">
        <v>53</v>
      </c>
      <c r="Q1542" s="15"/>
      <c r="R1542" s="18" t="s">
        <v>51</v>
      </c>
      <c r="S1542" s="19"/>
      <c r="T1542" s="17" t="str">
        <f aca="false">IF(R1542="維持",J1542,IF(R1542="排除","無關新聞事件",IFERROR(INDEX(事件規則!$B$2:$B$53,MATCH(S1542,事件規則!$A$2:$A$53,0)),"")))</f>
        <v>無關新聞事件</v>
      </c>
      <c r="U1542" s="20" t="n">
        <f aca="false">IF(R1542="維持",K1542,IF(R1542="排除",0,IFERROR(INDEX(事件規則!$C$2:$C$53,MATCH(S1542,事件規則!$A$2:$A$53,0)),"")))</f>
        <v>0</v>
      </c>
      <c r="V1542" s="21"/>
      <c r="W1542" s="22"/>
      <c r="X1542" s="10" t="str">
        <f aca="false">IF(AND(R1542="修改",S1542=""),"請選新事件代碼",IF(AND(R1542&lt;&gt;"修改",S1542&lt;&gt;""),"只有「修改」才需填代碼",""))</f>
        <v/>
      </c>
      <c r="Y1542" s="21"/>
      <c r="Z1542" s="22"/>
      <c r="AA1542" s="12" t="s">
        <v>4088</v>
      </c>
      <c r="AB1542" s="24"/>
    </row>
    <row r="1543" customFormat="false" ht="29.85" hidden="false" customHeight="false" outlineLevel="0" collapsed="false">
      <c r="A1543" s="15" t="n">
        <v>1542</v>
      </c>
      <c r="B1543" s="9" t="s">
        <v>45</v>
      </c>
      <c r="C1543" s="9" t="s">
        <v>3113</v>
      </c>
      <c r="D1543" s="10" t="s">
        <v>3114</v>
      </c>
      <c r="E1543" s="11" t="s">
        <v>4089</v>
      </c>
      <c r="F1543" s="17"/>
      <c r="G1543" s="12" t="s">
        <v>142</v>
      </c>
      <c r="H1543" s="13" t="n">
        <v>-0.02</v>
      </c>
      <c r="I1543" s="14"/>
      <c r="J1543" s="17"/>
      <c r="K1543" s="9"/>
      <c r="L1543" s="15" t="s">
        <v>50</v>
      </c>
      <c r="M1543" s="16" t="s">
        <v>51</v>
      </c>
      <c r="N1543" s="14"/>
      <c r="O1543" s="15" t="s">
        <v>52</v>
      </c>
      <c r="P1543" s="17" t="s">
        <v>53</v>
      </c>
      <c r="Q1543" s="15"/>
      <c r="R1543" s="18" t="s">
        <v>51</v>
      </c>
      <c r="S1543" s="19"/>
      <c r="T1543" s="17" t="str">
        <f aca="false">IF(R1543="維持",J1543,IF(R1543="排除","無關新聞事件",IFERROR(INDEX(事件規則!$B$2:$B$53,MATCH(S1543,事件規則!$A$2:$A$53,0)),"")))</f>
        <v>無關新聞事件</v>
      </c>
      <c r="U1543" s="20" t="n">
        <f aca="false">IF(R1543="維持",K1543,IF(R1543="排除",0,IFERROR(INDEX(事件規則!$C$2:$C$53,MATCH(S1543,事件規則!$A$2:$A$53,0)),"")))</f>
        <v>0</v>
      </c>
      <c r="V1543" s="21"/>
      <c r="W1543" s="22"/>
      <c r="X1543" s="10" t="str">
        <f aca="false">IF(AND(R1543="修改",S1543=""),"請選新事件代碼",IF(AND(R1543&lt;&gt;"修改",S1543&lt;&gt;""),"只有「修改」才需填代碼",""))</f>
        <v/>
      </c>
      <c r="Y1543" s="21"/>
      <c r="Z1543" s="22"/>
      <c r="AA1543" s="12" t="s">
        <v>4090</v>
      </c>
      <c r="AB1543" s="24"/>
    </row>
    <row r="1544" customFormat="false" ht="29.85" hidden="false" customHeight="false" outlineLevel="0" collapsed="false">
      <c r="A1544" s="15" t="n">
        <v>1543</v>
      </c>
      <c r="B1544" s="9" t="s">
        <v>45</v>
      </c>
      <c r="C1544" s="9" t="s">
        <v>1602</v>
      </c>
      <c r="D1544" s="10" t="s">
        <v>1603</v>
      </c>
      <c r="E1544" s="11" t="s">
        <v>4091</v>
      </c>
      <c r="F1544" s="17"/>
      <c r="G1544" s="12" t="s">
        <v>95</v>
      </c>
      <c r="H1544" s="13" t="n">
        <v>-0.02</v>
      </c>
      <c r="I1544" s="14"/>
      <c r="J1544" s="17"/>
      <c r="K1544" s="9"/>
      <c r="L1544" s="15" t="s">
        <v>50</v>
      </c>
      <c r="M1544" s="16" t="s">
        <v>51</v>
      </c>
      <c r="N1544" s="14"/>
      <c r="O1544" s="15" t="s">
        <v>52</v>
      </c>
      <c r="P1544" s="17" t="s">
        <v>53</v>
      </c>
      <c r="Q1544" s="15"/>
      <c r="R1544" s="18" t="s">
        <v>51</v>
      </c>
      <c r="S1544" s="19"/>
      <c r="T1544" s="17" t="str">
        <f aca="false">IF(R1544="維持",J1544,IF(R1544="排除","無關新聞事件",IFERROR(INDEX(事件規則!$B$2:$B$53,MATCH(S1544,事件規則!$A$2:$A$53,0)),"")))</f>
        <v>無關新聞事件</v>
      </c>
      <c r="U1544" s="20" t="n">
        <f aca="false">IF(R1544="維持",K1544,IF(R1544="排除",0,IFERROR(INDEX(事件規則!$C$2:$C$53,MATCH(S1544,事件規則!$A$2:$A$53,0)),"")))</f>
        <v>0</v>
      </c>
      <c r="V1544" s="21"/>
      <c r="W1544" s="22"/>
      <c r="X1544" s="10" t="str">
        <f aca="false">IF(AND(R1544="修改",S1544=""),"請選新事件代碼",IF(AND(R1544&lt;&gt;"修改",S1544&lt;&gt;""),"只有「修改」才需填代碼",""))</f>
        <v/>
      </c>
      <c r="Y1544" s="21"/>
      <c r="Z1544" s="22"/>
      <c r="AA1544" s="12" t="s">
        <v>4092</v>
      </c>
      <c r="AB1544" s="24"/>
    </row>
    <row r="1545" customFormat="false" ht="29.85" hidden="false" customHeight="false" outlineLevel="0" collapsed="false">
      <c r="A1545" s="15" t="n">
        <v>1544</v>
      </c>
      <c r="B1545" s="9" t="s">
        <v>45</v>
      </c>
      <c r="C1545" s="9" t="s">
        <v>232</v>
      </c>
      <c r="D1545" s="10" t="s">
        <v>233</v>
      </c>
      <c r="E1545" s="11" t="s">
        <v>4093</v>
      </c>
      <c r="F1545" s="17"/>
      <c r="G1545" s="12" t="s">
        <v>95</v>
      </c>
      <c r="H1545" s="13" t="n">
        <v>-0.02</v>
      </c>
      <c r="I1545" s="14"/>
      <c r="J1545" s="17"/>
      <c r="K1545" s="9"/>
      <c r="L1545" s="15" t="s">
        <v>50</v>
      </c>
      <c r="M1545" s="16" t="s">
        <v>51</v>
      </c>
      <c r="N1545" s="14"/>
      <c r="O1545" s="15" t="s">
        <v>52</v>
      </c>
      <c r="P1545" s="17" t="s">
        <v>53</v>
      </c>
      <c r="Q1545" s="15"/>
      <c r="R1545" s="18" t="s">
        <v>51</v>
      </c>
      <c r="S1545" s="19"/>
      <c r="T1545" s="17" t="str">
        <f aca="false">IF(R1545="維持",J1545,IF(R1545="排除","無關新聞事件",IFERROR(INDEX(事件規則!$B$2:$B$53,MATCH(S1545,事件規則!$A$2:$A$53,0)),"")))</f>
        <v>無關新聞事件</v>
      </c>
      <c r="U1545" s="20" t="n">
        <f aca="false">IF(R1545="維持",K1545,IF(R1545="排除",0,IFERROR(INDEX(事件規則!$C$2:$C$53,MATCH(S1545,事件規則!$A$2:$A$53,0)),"")))</f>
        <v>0</v>
      </c>
      <c r="V1545" s="21"/>
      <c r="W1545" s="22"/>
      <c r="X1545" s="10" t="str">
        <f aca="false">IF(AND(R1545="修改",S1545=""),"請選新事件代碼",IF(AND(R1545&lt;&gt;"修改",S1545&lt;&gt;""),"只有「修改」才需填代碼",""))</f>
        <v/>
      </c>
      <c r="Y1545" s="21"/>
      <c r="Z1545" s="22"/>
      <c r="AA1545" s="12" t="s">
        <v>4094</v>
      </c>
      <c r="AB1545" s="24"/>
    </row>
    <row r="1546" customFormat="false" ht="29.85" hidden="false" customHeight="false" outlineLevel="0" collapsed="false">
      <c r="A1546" s="15" t="n">
        <v>1545</v>
      </c>
      <c r="B1546" s="9" t="s">
        <v>45</v>
      </c>
      <c r="C1546" s="9" t="s">
        <v>639</v>
      </c>
      <c r="D1546" s="10" t="s">
        <v>640</v>
      </c>
      <c r="E1546" s="11" t="s">
        <v>4095</v>
      </c>
      <c r="F1546" s="17"/>
      <c r="G1546" s="12" t="s">
        <v>1269</v>
      </c>
      <c r="H1546" s="13" t="n">
        <v>-0.02</v>
      </c>
      <c r="I1546" s="14"/>
      <c r="J1546" s="17"/>
      <c r="K1546" s="9"/>
      <c r="L1546" s="15" t="s">
        <v>50</v>
      </c>
      <c r="M1546" s="16" t="s">
        <v>51</v>
      </c>
      <c r="N1546" s="14"/>
      <c r="O1546" s="15" t="s">
        <v>52</v>
      </c>
      <c r="P1546" s="17" t="s">
        <v>53</v>
      </c>
      <c r="Q1546" s="15"/>
      <c r="R1546" s="18" t="s">
        <v>51</v>
      </c>
      <c r="S1546" s="19"/>
      <c r="T1546" s="17" t="str">
        <f aca="false">IF(R1546="維持",J1546,IF(R1546="排除","無關新聞事件",IFERROR(INDEX(事件規則!$B$2:$B$53,MATCH(S1546,事件規則!$A$2:$A$53,0)),"")))</f>
        <v>無關新聞事件</v>
      </c>
      <c r="U1546" s="20" t="n">
        <f aca="false">IF(R1546="維持",K1546,IF(R1546="排除",0,IFERROR(INDEX(事件規則!$C$2:$C$53,MATCH(S1546,事件規則!$A$2:$A$53,0)),"")))</f>
        <v>0</v>
      </c>
      <c r="V1546" s="21"/>
      <c r="W1546" s="22"/>
      <c r="X1546" s="10" t="str">
        <f aca="false">IF(AND(R1546="修改",S1546=""),"請選新事件代碼",IF(AND(R1546&lt;&gt;"修改",S1546&lt;&gt;""),"只有「修改」才需填代碼",""))</f>
        <v/>
      </c>
      <c r="Y1546" s="21"/>
      <c r="Z1546" s="22"/>
      <c r="AA1546" s="12" t="s">
        <v>4096</v>
      </c>
      <c r="AB1546" s="24"/>
    </row>
    <row r="1547" customFormat="false" ht="29.85" hidden="false" customHeight="false" outlineLevel="0" collapsed="false">
      <c r="A1547" s="15" t="n">
        <v>1546</v>
      </c>
      <c r="B1547" s="9" t="s">
        <v>81</v>
      </c>
      <c r="C1547" s="9" t="s">
        <v>607</v>
      </c>
      <c r="D1547" s="10" t="s">
        <v>608</v>
      </c>
      <c r="E1547" s="11" t="s">
        <v>4097</v>
      </c>
      <c r="F1547" s="17"/>
      <c r="G1547" s="12" t="s">
        <v>3221</v>
      </c>
      <c r="H1547" s="13" t="n">
        <v>-0.02</v>
      </c>
      <c r="I1547" s="14"/>
      <c r="J1547" s="17"/>
      <c r="K1547" s="9"/>
      <c r="L1547" s="15" t="s">
        <v>50</v>
      </c>
      <c r="M1547" s="16" t="s">
        <v>51</v>
      </c>
      <c r="N1547" s="14"/>
      <c r="O1547" s="15" t="s">
        <v>52</v>
      </c>
      <c r="P1547" s="17" t="s">
        <v>53</v>
      </c>
      <c r="Q1547" s="15"/>
      <c r="R1547" s="18" t="s">
        <v>51</v>
      </c>
      <c r="S1547" s="19"/>
      <c r="T1547" s="17" t="str">
        <f aca="false">IF(R1547="維持",J1547,IF(R1547="排除","無關新聞事件",IFERROR(INDEX(事件規則!$B$2:$B$53,MATCH(S1547,事件規則!$A$2:$A$53,0)),"")))</f>
        <v>無關新聞事件</v>
      </c>
      <c r="U1547" s="20" t="n">
        <f aca="false">IF(R1547="維持",K1547,IF(R1547="排除",0,IFERROR(INDEX(事件規則!$C$2:$C$53,MATCH(S1547,事件規則!$A$2:$A$53,0)),"")))</f>
        <v>0</v>
      </c>
      <c r="V1547" s="21"/>
      <c r="W1547" s="22"/>
      <c r="X1547" s="10" t="str">
        <f aca="false">IF(AND(R1547="修改",S1547=""),"請選新事件代碼",IF(AND(R1547&lt;&gt;"修改",S1547&lt;&gt;""),"只有「修改」才需填代碼",""))</f>
        <v/>
      </c>
      <c r="Y1547" s="21"/>
      <c r="Z1547" s="22"/>
      <c r="AA1547" s="12" t="s">
        <v>4098</v>
      </c>
      <c r="AB1547" s="24"/>
    </row>
    <row r="1548" customFormat="false" ht="29.85" hidden="false" customHeight="false" outlineLevel="0" collapsed="false">
      <c r="A1548" s="15" t="n">
        <v>1547</v>
      </c>
      <c r="B1548" s="9" t="s">
        <v>112</v>
      </c>
      <c r="C1548" s="9" t="s">
        <v>1370</v>
      </c>
      <c r="D1548" s="10" t="s">
        <v>1371</v>
      </c>
      <c r="E1548" s="11" t="s">
        <v>4099</v>
      </c>
      <c r="F1548" s="17"/>
      <c r="G1548" s="12" t="s">
        <v>2033</v>
      </c>
      <c r="H1548" s="13" t="n">
        <v>-0.02</v>
      </c>
      <c r="I1548" s="14"/>
      <c r="J1548" s="17"/>
      <c r="K1548" s="9"/>
      <c r="L1548" s="15" t="s">
        <v>50</v>
      </c>
      <c r="M1548" s="16" t="s">
        <v>51</v>
      </c>
      <c r="N1548" s="14"/>
      <c r="O1548" s="15" t="s">
        <v>52</v>
      </c>
      <c r="P1548" s="17" t="s">
        <v>53</v>
      </c>
      <c r="Q1548" s="15"/>
      <c r="R1548" s="18" t="s">
        <v>51</v>
      </c>
      <c r="S1548" s="19"/>
      <c r="T1548" s="17" t="str">
        <f aca="false">IF(R1548="維持",J1548,IF(R1548="排除","無關新聞事件",IFERROR(INDEX(事件規則!$B$2:$B$53,MATCH(S1548,事件規則!$A$2:$A$53,0)),"")))</f>
        <v>無關新聞事件</v>
      </c>
      <c r="U1548" s="20" t="n">
        <f aca="false">IF(R1548="維持",K1548,IF(R1548="排除",0,IFERROR(INDEX(事件規則!$C$2:$C$53,MATCH(S1548,事件規則!$A$2:$A$53,0)),"")))</f>
        <v>0</v>
      </c>
      <c r="V1548" s="21"/>
      <c r="W1548" s="22"/>
      <c r="X1548" s="10" t="str">
        <f aca="false">IF(AND(R1548="修改",S1548=""),"請選新事件代碼",IF(AND(R1548&lt;&gt;"修改",S1548&lt;&gt;""),"只有「修改」才需填代碼",""))</f>
        <v/>
      </c>
      <c r="Y1548" s="21"/>
      <c r="Z1548" s="22"/>
      <c r="AA1548" s="12" t="s">
        <v>4100</v>
      </c>
      <c r="AB1548" s="24"/>
    </row>
    <row r="1549" customFormat="false" ht="29.85" hidden="false" customHeight="false" outlineLevel="0" collapsed="false">
      <c r="A1549" s="15" t="n">
        <v>1548</v>
      </c>
      <c r="B1549" s="9" t="s">
        <v>112</v>
      </c>
      <c r="C1549" s="9" t="s">
        <v>1602</v>
      </c>
      <c r="D1549" s="10" t="s">
        <v>1603</v>
      </c>
      <c r="E1549" s="11" t="s">
        <v>4101</v>
      </c>
      <c r="F1549" s="17"/>
      <c r="G1549" s="12" t="s">
        <v>95</v>
      </c>
      <c r="H1549" s="13" t="n">
        <v>-0.02</v>
      </c>
      <c r="I1549" s="14"/>
      <c r="J1549" s="17"/>
      <c r="K1549" s="9"/>
      <c r="L1549" s="15" t="s">
        <v>50</v>
      </c>
      <c r="M1549" s="16" t="s">
        <v>51</v>
      </c>
      <c r="N1549" s="14"/>
      <c r="O1549" s="15" t="s">
        <v>52</v>
      </c>
      <c r="P1549" s="17" t="s">
        <v>53</v>
      </c>
      <c r="Q1549" s="15"/>
      <c r="R1549" s="18" t="s">
        <v>51</v>
      </c>
      <c r="S1549" s="19"/>
      <c r="T1549" s="17" t="str">
        <f aca="false">IF(R1549="維持",J1549,IF(R1549="排除","無關新聞事件",IFERROR(INDEX(事件規則!$B$2:$B$53,MATCH(S1549,事件規則!$A$2:$A$53,0)),"")))</f>
        <v>無關新聞事件</v>
      </c>
      <c r="U1549" s="20" t="n">
        <f aca="false">IF(R1549="維持",K1549,IF(R1549="排除",0,IFERROR(INDEX(事件規則!$C$2:$C$53,MATCH(S1549,事件規則!$A$2:$A$53,0)),"")))</f>
        <v>0</v>
      </c>
      <c r="V1549" s="21"/>
      <c r="W1549" s="22"/>
      <c r="X1549" s="10" t="str">
        <f aca="false">IF(AND(R1549="修改",S1549=""),"請選新事件代碼",IF(AND(R1549&lt;&gt;"修改",S1549&lt;&gt;""),"只有「修改」才需填代碼",""))</f>
        <v/>
      </c>
      <c r="Y1549" s="21"/>
      <c r="Z1549" s="22"/>
      <c r="AA1549" s="12" t="s">
        <v>4102</v>
      </c>
      <c r="AB1549" s="24"/>
    </row>
    <row r="1550" customFormat="false" ht="29.85" hidden="false" customHeight="false" outlineLevel="0" collapsed="false">
      <c r="A1550" s="15" t="n">
        <v>1549</v>
      </c>
      <c r="B1550" s="9" t="s">
        <v>112</v>
      </c>
      <c r="C1550" s="9" t="s">
        <v>2055</v>
      </c>
      <c r="D1550" s="10" t="s">
        <v>2056</v>
      </c>
      <c r="E1550" s="11" t="s">
        <v>4103</v>
      </c>
      <c r="F1550" s="17"/>
      <c r="G1550" s="12" t="s">
        <v>2033</v>
      </c>
      <c r="H1550" s="13" t="n">
        <v>-0.02</v>
      </c>
      <c r="I1550" s="14"/>
      <c r="J1550" s="17"/>
      <c r="K1550" s="9"/>
      <c r="L1550" s="15" t="s">
        <v>50</v>
      </c>
      <c r="M1550" s="16" t="s">
        <v>51</v>
      </c>
      <c r="N1550" s="14"/>
      <c r="O1550" s="15" t="s">
        <v>52</v>
      </c>
      <c r="P1550" s="17" t="s">
        <v>53</v>
      </c>
      <c r="Q1550" s="15"/>
      <c r="R1550" s="18" t="s">
        <v>51</v>
      </c>
      <c r="S1550" s="19"/>
      <c r="T1550" s="17" t="str">
        <f aca="false">IF(R1550="維持",J1550,IF(R1550="排除","無關新聞事件",IFERROR(INDEX(事件規則!$B$2:$B$53,MATCH(S1550,事件規則!$A$2:$A$53,0)),"")))</f>
        <v>無關新聞事件</v>
      </c>
      <c r="U1550" s="20" t="n">
        <f aca="false">IF(R1550="維持",K1550,IF(R1550="排除",0,IFERROR(INDEX(事件規則!$C$2:$C$53,MATCH(S1550,事件規則!$A$2:$A$53,0)),"")))</f>
        <v>0</v>
      </c>
      <c r="V1550" s="21"/>
      <c r="W1550" s="22"/>
      <c r="X1550" s="10" t="str">
        <f aca="false">IF(AND(R1550="修改",S1550=""),"請選新事件代碼",IF(AND(R1550&lt;&gt;"修改",S1550&lt;&gt;""),"只有「修改」才需填代碼",""))</f>
        <v/>
      </c>
      <c r="Y1550" s="21"/>
      <c r="Z1550" s="22"/>
      <c r="AA1550" s="12" t="s">
        <v>4104</v>
      </c>
      <c r="AB1550" s="24"/>
    </row>
    <row r="1551" customFormat="false" ht="29.85" hidden="false" customHeight="false" outlineLevel="0" collapsed="false">
      <c r="A1551" s="15" t="n">
        <v>1550</v>
      </c>
      <c r="B1551" s="9" t="s">
        <v>112</v>
      </c>
      <c r="C1551" s="9" t="s">
        <v>563</v>
      </c>
      <c r="D1551" s="10" t="s">
        <v>564</v>
      </c>
      <c r="E1551" s="11" t="s">
        <v>4105</v>
      </c>
      <c r="F1551" s="17"/>
      <c r="G1551" s="12" t="s">
        <v>176</v>
      </c>
      <c r="H1551" s="13" t="n">
        <v>-0.02</v>
      </c>
      <c r="I1551" s="14"/>
      <c r="J1551" s="17"/>
      <c r="K1551" s="9"/>
      <c r="L1551" s="15" t="s">
        <v>50</v>
      </c>
      <c r="M1551" s="16" t="s">
        <v>51</v>
      </c>
      <c r="N1551" s="14"/>
      <c r="O1551" s="15" t="s">
        <v>52</v>
      </c>
      <c r="P1551" s="17" t="s">
        <v>53</v>
      </c>
      <c r="Q1551" s="15"/>
      <c r="R1551" s="18" t="s">
        <v>51</v>
      </c>
      <c r="S1551" s="19"/>
      <c r="T1551" s="17" t="str">
        <f aca="false">IF(R1551="維持",J1551,IF(R1551="排除","無關新聞事件",IFERROR(INDEX(事件規則!$B$2:$B$53,MATCH(S1551,事件規則!$A$2:$A$53,0)),"")))</f>
        <v>無關新聞事件</v>
      </c>
      <c r="U1551" s="20" t="n">
        <f aca="false">IF(R1551="維持",K1551,IF(R1551="排除",0,IFERROR(INDEX(事件規則!$C$2:$C$53,MATCH(S1551,事件規則!$A$2:$A$53,0)),"")))</f>
        <v>0</v>
      </c>
      <c r="V1551" s="21"/>
      <c r="W1551" s="22"/>
      <c r="X1551" s="10" t="str">
        <f aca="false">IF(AND(R1551="修改",S1551=""),"請選新事件代碼",IF(AND(R1551&lt;&gt;"修改",S1551&lt;&gt;""),"只有「修改」才需填代碼",""))</f>
        <v/>
      </c>
      <c r="Y1551" s="21"/>
      <c r="Z1551" s="22"/>
      <c r="AA1551" s="12" t="s">
        <v>4106</v>
      </c>
      <c r="AB1551" s="24"/>
    </row>
    <row r="1552" customFormat="false" ht="29.85" hidden="false" customHeight="false" outlineLevel="0" collapsed="false">
      <c r="A1552" s="15" t="n">
        <v>1551</v>
      </c>
      <c r="B1552" s="9" t="s">
        <v>112</v>
      </c>
      <c r="C1552" s="9" t="s">
        <v>2124</v>
      </c>
      <c r="D1552" s="10" t="s">
        <v>2125</v>
      </c>
      <c r="E1552" s="11" t="s">
        <v>4107</v>
      </c>
      <c r="F1552" s="17"/>
      <c r="G1552" s="12" t="s">
        <v>2033</v>
      </c>
      <c r="H1552" s="13" t="n">
        <v>-0.02</v>
      </c>
      <c r="I1552" s="14"/>
      <c r="J1552" s="17"/>
      <c r="K1552" s="9"/>
      <c r="L1552" s="15" t="s">
        <v>50</v>
      </c>
      <c r="M1552" s="16" t="s">
        <v>51</v>
      </c>
      <c r="N1552" s="14"/>
      <c r="O1552" s="15" t="s">
        <v>52</v>
      </c>
      <c r="P1552" s="17" t="s">
        <v>53</v>
      </c>
      <c r="Q1552" s="15"/>
      <c r="R1552" s="18" t="s">
        <v>51</v>
      </c>
      <c r="S1552" s="19"/>
      <c r="T1552" s="17" t="str">
        <f aca="false">IF(R1552="維持",J1552,IF(R1552="排除","無關新聞事件",IFERROR(INDEX(事件規則!$B$2:$B$53,MATCH(S1552,事件規則!$A$2:$A$53,0)),"")))</f>
        <v>無關新聞事件</v>
      </c>
      <c r="U1552" s="20" t="n">
        <f aca="false">IF(R1552="維持",K1552,IF(R1552="排除",0,IFERROR(INDEX(事件規則!$C$2:$C$53,MATCH(S1552,事件規則!$A$2:$A$53,0)),"")))</f>
        <v>0</v>
      </c>
      <c r="V1552" s="21"/>
      <c r="W1552" s="22"/>
      <c r="X1552" s="10" t="str">
        <f aca="false">IF(AND(R1552="修改",S1552=""),"請選新事件代碼",IF(AND(R1552&lt;&gt;"修改",S1552&lt;&gt;""),"只有「修改」才需填代碼",""))</f>
        <v/>
      </c>
      <c r="Y1552" s="21"/>
      <c r="Z1552" s="22"/>
      <c r="AA1552" s="12" t="s">
        <v>4108</v>
      </c>
      <c r="AB1552" s="24"/>
    </row>
    <row r="1553" customFormat="false" ht="29.85" hidden="false" customHeight="false" outlineLevel="0" collapsed="false">
      <c r="A1553" s="15" t="n">
        <v>1552</v>
      </c>
      <c r="B1553" s="9" t="s">
        <v>112</v>
      </c>
      <c r="C1553" s="9" t="s">
        <v>223</v>
      </c>
      <c r="D1553" s="10" t="s">
        <v>224</v>
      </c>
      <c r="E1553" s="11" t="s">
        <v>4109</v>
      </c>
      <c r="F1553" s="17"/>
      <c r="G1553" s="12" t="s">
        <v>2033</v>
      </c>
      <c r="H1553" s="13" t="n">
        <v>-0.02</v>
      </c>
      <c r="I1553" s="14"/>
      <c r="J1553" s="17"/>
      <c r="K1553" s="9"/>
      <c r="L1553" s="15" t="s">
        <v>50</v>
      </c>
      <c r="M1553" s="16" t="s">
        <v>51</v>
      </c>
      <c r="N1553" s="14"/>
      <c r="O1553" s="15" t="s">
        <v>52</v>
      </c>
      <c r="P1553" s="17" t="s">
        <v>53</v>
      </c>
      <c r="Q1553" s="15"/>
      <c r="R1553" s="18" t="s">
        <v>51</v>
      </c>
      <c r="S1553" s="19"/>
      <c r="T1553" s="17" t="str">
        <f aca="false">IF(R1553="維持",J1553,IF(R1553="排除","無關新聞事件",IFERROR(INDEX(事件規則!$B$2:$B$53,MATCH(S1553,事件規則!$A$2:$A$53,0)),"")))</f>
        <v>無關新聞事件</v>
      </c>
      <c r="U1553" s="20" t="n">
        <f aca="false">IF(R1553="維持",K1553,IF(R1553="排除",0,IFERROR(INDEX(事件規則!$C$2:$C$53,MATCH(S1553,事件規則!$A$2:$A$53,0)),"")))</f>
        <v>0</v>
      </c>
      <c r="V1553" s="21"/>
      <c r="W1553" s="22"/>
      <c r="X1553" s="10" t="str">
        <f aca="false">IF(AND(R1553="修改",S1553=""),"請選新事件代碼",IF(AND(R1553&lt;&gt;"修改",S1553&lt;&gt;""),"只有「修改」才需填代碼",""))</f>
        <v/>
      </c>
      <c r="Y1553" s="21"/>
      <c r="Z1553" s="22"/>
      <c r="AA1553" s="12" t="s">
        <v>4110</v>
      </c>
      <c r="AB1553" s="24"/>
    </row>
    <row r="1554" customFormat="false" ht="29.85" hidden="false" customHeight="false" outlineLevel="0" collapsed="false">
      <c r="A1554" s="15" t="n">
        <v>1553</v>
      </c>
      <c r="B1554" s="9" t="s">
        <v>112</v>
      </c>
      <c r="C1554" s="9" t="s">
        <v>4111</v>
      </c>
      <c r="D1554" s="10" t="s">
        <v>4112</v>
      </c>
      <c r="E1554" s="11" t="s">
        <v>4113</v>
      </c>
      <c r="F1554" s="17"/>
      <c r="G1554" s="12" t="s">
        <v>176</v>
      </c>
      <c r="H1554" s="13" t="n">
        <v>-0.02</v>
      </c>
      <c r="I1554" s="14"/>
      <c r="J1554" s="17"/>
      <c r="K1554" s="9"/>
      <c r="L1554" s="15" t="s">
        <v>50</v>
      </c>
      <c r="M1554" s="16" t="s">
        <v>51</v>
      </c>
      <c r="N1554" s="14"/>
      <c r="O1554" s="15" t="s">
        <v>52</v>
      </c>
      <c r="P1554" s="17" t="s">
        <v>53</v>
      </c>
      <c r="Q1554" s="15"/>
      <c r="R1554" s="18" t="s">
        <v>51</v>
      </c>
      <c r="S1554" s="19"/>
      <c r="T1554" s="17" t="str">
        <f aca="false">IF(R1554="維持",J1554,IF(R1554="排除","無關新聞事件",IFERROR(INDEX(事件規則!$B$2:$B$53,MATCH(S1554,事件規則!$A$2:$A$53,0)),"")))</f>
        <v>無關新聞事件</v>
      </c>
      <c r="U1554" s="20" t="n">
        <f aca="false">IF(R1554="維持",K1554,IF(R1554="排除",0,IFERROR(INDEX(事件規則!$C$2:$C$53,MATCH(S1554,事件規則!$A$2:$A$53,0)),"")))</f>
        <v>0</v>
      </c>
      <c r="V1554" s="21"/>
      <c r="W1554" s="22"/>
      <c r="X1554" s="10" t="str">
        <f aca="false">IF(AND(R1554="修改",S1554=""),"請選新事件代碼",IF(AND(R1554&lt;&gt;"修改",S1554&lt;&gt;""),"只有「修改」才需填代碼",""))</f>
        <v/>
      </c>
      <c r="Y1554" s="21"/>
      <c r="Z1554" s="22"/>
      <c r="AA1554" s="12" t="s">
        <v>4114</v>
      </c>
      <c r="AB1554" s="24"/>
    </row>
    <row r="1555" customFormat="false" ht="29.85" hidden="false" customHeight="false" outlineLevel="0" collapsed="false">
      <c r="A1555" s="15" t="n">
        <v>1554</v>
      </c>
      <c r="B1555" s="9" t="s">
        <v>55</v>
      </c>
      <c r="C1555" s="9" t="s">
        <v>1829</v>
      </c>
      <c r="D1555" s="10" t="s">
        <v>1830</v>
      </c>
      <c r="E1555" s="11" t="s">
        <v>4115</v>
      </c>
      <c r="F1555" s="17"/>
      <c r="G1555" s="12" t="s">
        <v>4116</v>
      </c>
      <c r="H1555" s="13" t="n">
        <v>-0.02</v>
      </c>
      <c r="I1555" s="14"/>
      <c r="J1555" s="17"/>
      <c r="K1555" s="9"/>
      <c r="L1555" s="15" t="s">
        <v>50</v>
      </c>
      <c r="M1555" s="16" t="s">
        <v>51</v>
      </c>
      <c r="N1555" s="14"/>
      <c r="O1555" s="15" t="s">
        <v>52</v>
      </c>
      <c r="P1555" s="17" t="s">
        <v>53</v>
      </c>
      <c r="Q1555" s="15"/>
      <c r="R1555" s="18" t="s">
        <v>51</v>
      </c>
      <c r="S1555" s="19"/>
      <c r="T1555" s="17" t="str">
        <f aca="false">IF(R1555="維持",J1555,IF(R1555="排除","無關新聞事件",IFERROR(INDEX(事件規則!$B$2:$B$53,MATCH(S1555,事件規則!$A$2:$A$53,0)),"")))</f>
        <v>無關新聞事件</v>
      </c>
      <c r="U1555" s="20" t="n">
        <f aca="false">IF(R1555="維持",K1555,IF(R1555="排除",0,IFERROR(INDEX(事件規則!$C$2:$C$53,MATCH(S1555,事件規則!$A$2:$A$53,0)),"")))</f>
        <v>0</v>
      </c>
      <c r="V1555" s="21"/>
      <c r="W1555" s="22"/>
      <c r="X1555" s="10" t="str">
        <f aca="false">IF(AND(R1555="修改",S1555=""),"請選新事件代碼",IF(AND(R1555&lt;&gt;"修改",S1555&lt;&gt;""),"只有「修改」才需填代碼",""))</f>
        <v/>
      </c>
      <c r="Y1555" s="21"/>
      <c r="Z1555" s="22"/>
      <c r="AA1555" s="12" t="s">
        <v>4117</v>
      </c>
      <c r="AB1555" s="24"/>
    </row>
    <row r="1556" customFormat="false" ht="29.85" hidden="false" customHeight="false" outlineLevel="0" collapsed="false">
      <c r="A1556" s="15" t="n">
        <v>1555</v>
      </c>
      <c r="B1556" s="9" t="s">
        <v>55</v>
      </c>
      <c r="C1556" s="9" t="s">
        <v>1318</v>
      </c>
      <c r="D1556" s="10" t="s">
        <v>1319</v>
      </c>
      <c r="E1556" s="11" t="s">
        <v>4118</v>
      </c>
      <c r="F1556" s="17"/>
      <c r="G1556" s="12" t="s">
        <v>95</v>
      </c>
      <c r="H1556" s="13" t="n">
        <v>-0.02</v>
      </c>
      <c r="I1556" s="14"/>
      <c r="J1556" s="17"/>
      <c r="K1556" s="9"/>
      <c r="L1556" s="15" t="s">
        <v>50</v>
      </c>
      <c r="M1556" s="16" t="s">
        <v>51</v>
      </c>
      <c r="N1556" s="14"/>
      <c r="O1556" s="15" t="s">
        <v>52</v>
      </c>
      <c r="P1556" s="17" t="s">
        <v>53</v>
      </c>
      <c r="Q1556" s="15"/>
      <c r="R1556" s="18" t="s">
        <v>51</v>
      </c>
      <c r="S1556" s="19"/>
      <c r="T1556" s="17" t="str">
        <f aca="false">IF(R1556="維持",J1556,IF(R1556="排除","無關新聞事件",IFERROR(INDEX(事件規則!$B$2:$B$53,MATCH(S1556,事件規則!$A$2:$A$53,0)),"")))</f>
        <v>無關新聞事件</v>
      </c>
      <c r="U1556" s="20" t="n">
        <f aca="false">IF(R1556="維持",K1556,IF(R1556="排除",0,IFERROR(INDEX(事件規則!$C$2:$C$53,MATCH(S1556,事件規則!$A$2:$A$53,0)),"")))</f>
        <v>0</v>
      </c>
      <c r="V1556" s="21"/>
      <c r="W1556" s="22"/>
      <c r="X1556" s="10" t="str">
        <f aca="false">IF(AND(R1556="修改",S1556=""),"請選新事件代碼",IF(AND(R1556&lt;&gt;"修改",S1556&lt;&gt;""),"只有「修改」才需填代碼",""))</f>
        <v/>
      </c>
      <c r="Y1556" s="21"/>
      <c r="Z1556" s="22"/>
      <c r="AA1556" s="12" t="s">
        <v>4119</v>
      </c>
      <c r="AB1556" s="24"/>
    </row>
    <row r="1557" customFormat="false" ht="29.85" hidden="false" customHeight="false" outlineLevel="0" collapsed="false">
      <c r="A1557" s="15" t="n">
        <v>1556</v>
      </c>
      <c r="B1557" s="9" t="s">
        <v>55</v>
      </c>
      <c r="C1557" s="9" t="s">
        <v>4120</v>
      </c>
      <c r="D1557" s="10" t="s">
        <v>4121</v>
      </c>
      <c r="E1557" s="11" t="s">
        <v>4122</v>
      </c>
      <c r="F1557" s="17"/>
      <c r="G1557" s="12" t="s">
        <v>95</v>
      </c>
      <c r="H1557" s="13" t="n">
        <v>-0.02</v>
      </c>
      <c r="I1557" s="14"/>
      <c r="J1557" s="17"/>
      <c r="K1557" s="9"/>
      <c r="L1557" s="15" t="s">
        <v>50</v>
      </c>
      <c r="M1557" s="16" t="s">
        <v>51</v>
      </c>
      <c r="N1557" s="14"/>
      <c r="O1557" s="15" t="s">
        <v>52</v>
      </c>
      <c r="P1557" s="17" t="s">
        <v>53</v>
      </c>
      <c r="Q1557" s="15"/>
      <c r="R1557" s="18" t="s">
        <v>51</v>
      </c>
      <c r="S1557" s="19"/>
      <c r="T1557" s="17" t="str">
        <f aca="false">IF(R1557="維持",J1557,IF(R1557="排除","無關新聞事件",IFERROR(INDEX(事件規則!$B$2:$B$53,MATCH(S1557,事件規則!$A$2:$A$53,0)),"")))</f>
        <v>無關新聞事件</v>
      </c>
      <c r="U1557" s="20" t="n">
        <f aca="false">IF(R1557="維持",K1557,IF(R1557="排除",0,IFERROR(INDEX(事件規則!$C$2:$C$53,MATCH(S1557,事件規則!$A$2:$A$53,0)),"")))</f>
        <v>0</v>
      </c>
      <c r="V1557" s="21"/>
      <c r="W1557" s="22"/>
      <c r="X1557" s="10" t="str">
        <f aca="false">IF(AND(R1557="修改",S1557=""),"請選新事件代碼",IF(AND(R1557&lt;&gt;"修改",S1557&lt;&gt;""),"只有「修改」才需填代碼",""))</f>
        <v/>
      </c>
      <c r="Y1557" s="21"/>
      <c r="Z1557" s="22"/>
      <c r="AA1557" s="12" t="s">
        <v>4123</v>
      </c>
      <c r="AB1557" s="24"/>
    </row>
    <row r="1558" customFormat="false" ht="29.85" hidden="false" customHeight="false" outlineLevel="0" collapsed="false">
      <c r="A1558" s="15" t="n">
        <v>1557</v>
      </c>
      <c r="B1558" s="9" t="s">
        <v>55</v>
      </c>
      <c r="C1558" s="9" t="s">
        <v>788</v>
      </c>
      <c r="D1558" s="10" t="s">
        <v>789</v>
      </c>
      <c r="E1558" s="11" t="s">
        <v>4124</v>
      </c>
      <c r="F1558" s="17"/>
      <c r="G1558" s="12" t="s">
        <v>3221</v>
      </c>
      <c r="H1558" s="13" t="n">
        <v>-0.02</v>
      </c>
      <c r="I1558" s="14"/>
      <c r="J1558" s="17"/>
      <c r="K1558" s="9"/>
      <c r="L1558" s="15" t="s">
        <v>50</v>
      </c>
      <c r="M1558" s="16" t="s">
        <v>51</v>
      </c>
      <c r="N1558" s="14"/>
      <c r="O1558" s="15" t="s">
        <v>52</v>
      </c>
      <c r="P1558" s="17" t="s">
        <v>53</v>
      </c>
      <c r="Q1558" s="15"/>
      <c r="R1558" s="18" t="s">
        <v>51</v>
      </c>
      <c r="S1558" s="19"/>
      <c r="T1558" s="17" t="str">
        <f aca="false">IF(R1558="維持",J1558,IF(R1558="排除","無關新聞事件",IFERROR(INDEX(事件規則!$B$2:$B$53,MATCH(S1558,事件規則!$A$2:$A$53,0)),"")))</f>
        <v>無關新聞事件</v>
      </c>
      <c r="U1558" s="20" t="n">
        <f aca="false">IF(R1558="維持",K1558,IF(R1558="排除",0,IFERROR(INDEX(事件規則!$C$2:$C$53,MATCH(S1558,事件規則!$A$2:$A$53,0)),"")))</f>
        <v>0</v>
      </c>
      <c r="V1558" s="21"/>
      <c r="W1558" s="22"/>
      <c r="X1558" s="10" t="str">
        <f aca="false">IF(AND(R1558="修改",S1558=""),"請選新事件代碼",IF(AND(R1558&lt;&gt;"修改",S1558&lt;&gt;""),"只有「修改」才需填代碼",""))</f>
        <v/>
      </c>
      <c r="Y1558" s="21"/>
      <c r="Z1558" s="22"/>
      <c r="AA1558" s="12" t="s">
        <v>4125</v>
      </c>
      <c r="AB1558" s="24"/>
    </row>
    <row r="1559" customFormat="false" ht="29.85" hidden="false" customHeight="false" outlineLevel="0" collapsed="false">
      <c r="A1559" s="15" t="n">
        <v>1558</v>
      </c>
      <c r="B1559" s="9" t="s">
        <v>55</v>
      </c>
      <c r="C1559" s="9" t="s">
        <v>71</v>
      </c>
      <c r="D1559" s="10" t="s">
        <v>72</v>
      </c>
      <c r="E1559" s="11" t="s">
        <v>4126</v>
      </c>
      <c r="F1559" s="17"/>
      <c r="G1559" s="12" t="s">
        <v>3221</v>
      </c>
      <c r="H1559" s="13" t="n">
        <v>-0.02</v>
      </c>
      <c r="I1559" s="14"/>
      <c r="J1559" s="17"/>
      <c r="K1559" s="9"/>
      <c r="L1559" s="15" t="s">
        <v>50</v>
      </c>
      <c r="M1559" s="16" t="s">
        <v>51</v>
      </c>
      <c r="N1559" s="14"/>
      <c r="O1559" s="15" t="s">
        <v>52</v>
      </c>
      <c r="P1559" s="17" t="s">
        <v>53</v>
      </c>
      <c r="Q1559" s="15"/>
      <c r="R1559" s="18" t="s">
        <v>51</v>
      </c>
      <c r="S1559" s="19"/>
      <c r="T1559" s="17" t="str">
        <f aca="false">IF(R1559="維持",J1559,IF(R1559="排除","無關新聞事件",IFERROR(INDEX(事件規則!$B$2:$B$53,MATCH(S1559,事件規則!$A$2:$A$53,0)),"")))</f>
        <v>無關新聞事件</v>
      </c>
      <c r="U1559" s="20" t="n">
        <f aca="false">IF(R1559="維持",K1559,IF(R1559="排除",0,IFERROR(INDEX(事件規則!$C$2:$C$53,MATCH(S1559,事件規則!$A$2:$A$53,0)),"")))</f>
        <v>0</v>
      </c>
      <c r="V1559" s="21"/>
      <c r="W1559" s="22"/>
      <c r="X1559" s="10" t="str">
        <f aca="false">IF(AND(R1559="修改",S1559=""),"請選新事件代碼",IF(AND(R1559&lt;&gt;"修改",S1559&lt;&gt;""),"只有「修改」才需填代碼",""))</f>
        <v/>
      </c>
      <c r="Y1559" s="21"/>
      <c r="Z1559" s="22"/>
      <c r="AA1559" s="12" t="s">
        <v>4127</v>
      </c>
      <c r="AB1559" s="24"/>
    </row>
    <row r="1560" customFormat="false" ht="29.85" hidden="false" customHeight="false" outlineLevel="0" collapsed="false">
      <c r="A1560" s="15" t="n">
        <v>1559</v>
      </c>
      <c r="B1560" s="9" t="s">
        <v>45</v>
      </c>
      <c r="C1560" s="9" t="s">
        <v>1370</v>
      </c>
      <c r="D1560" s="10" t="s">
        <v>1371</v>
      </c>
      <c r="E1560" s="11" t="s">
        <v>4128</v>
      </c>
      <c r="F1560" s="17"/>
      <c r="G1560" s="12" t="s">
        <v>176</v>
      </c>
      <c r="H1560" s="13" t="n">
        <v>-0.02</v>
      </c>
      <c r="I1560" s="14"/>
      <c r="J1560" s="17"/>
      <c r="K1560" s="9"/>
      <c r="L1560" s="15" t="s">
        <v>50</v>
      </c>
      <c r="M1560" s="16" t="s">
        <v>51</v>
      </c>
      <c r="N1560" s="14"/>
      <c r="O1560" s="15" t="s">
        <v>52</v>
      </c>
      <c r="P1560" s="17" t="s">
        <v>53</v>
      </c>
      <c r="Q1560" s="15"/>
      <c r="R1560" s="18" t="s">
        <v>51</v>
      </c>
      <c r="S1560" s="19"/>
      <c r="T1560" s="17" t="str">
        <f aca="false">IF(R1560="維持",J1560,IF(R1560="排除","無關新聞事件",IFERROR(INDEX(事件規則!$B$2:$B$53,MATCH(S1560,事件規則!$A$2:$A$53,0)),"")))</f>
        <v>無關新聞事件</v>
      </c>
      <c r="U1560" s="20" t="n">
        <f aca="false">IF(R1560="維持",K1560,IF(R1560="排除",0,IFERROR(INDEX(事件規則!$C$2:$C$53,MATCH(S1560,事件規則!$A$2:$A$53,0)),"")))</f>
        <v>0</v>
      </c>
      <c r="V1560" s="21"/>
      <c r="W1560" s="22"/>
      <c r="X1560" s="10" t="str">
        <f aca="false">IF(AND(R1560="修改",S1560=""),"請選新事件代碼",IF(AND(R1560&lt;&gt;"修改",S1560&lt;&gt;""),"只有「修改」才需填代碼",""))</f>
        <v/>
      </c>
      <c r="Y1560" s="21"/>
      <c r="Z1560" s="22"/>
      <c r="AA1560" s="12" t="s">
        <v>4129</v>
      </c>
      <c r="AB1560" s="24"/>
    </row>
    <row r="1561" customFormat="false" ht="29.85" hidden="false" customHeight="false" outlineLevel="0" collapsed="false">
      <c r="A1561" s="15" t="n">
        <v>1560</v>
      </c>
      <c r="B1561" s="9" t="s">
        <v>45</v>
      </c>
      <c r="C1561" s="9" t="s">
        <v>268</v>
      </c>
      <c r="D1561" s="10" t="s">
        <v>269</v>
      </c>
      <c r="E1561" s="11" t="s">
        <v>4130</v>
      </c>
      <c r="F1561" s="17"/>
      <c r="G1561" s="12" t="s">
        <v>49</v>
      </c>
      <c r="H1561" s="13" t="n">
        <v>-0.02</v>
      </c>
      <c r="I1561" s="14"/>
      <c r="J1561" s="17"/>
      <c r="K1561" s="9"/>
      <c r="L1561" s="15" t="s">
        <v>50</v>
      </c>
      <c r="M1561" s="16" t="s">
        <v>51</v>
      </c>
      <c r="N1561" s="14"/>
      <c r="O1561" s="15" t="s">
        <v>52</v>
      </c>
      <c r="P1561" s="17" t="s">
        <v>53</v>
      </c>
      <c r="Q1561" s="15"/>
      <c r="R1561" s="18" t="s">
        <v>51</v>
      </c>
      <c r="S1561" s="19"/>
      <c r="T1561" s="17" t="str">
        <f aca="false">IF(R1561="維持",J1561,IF(R1561="排除","無關新聞事件",IFERROR(INDEX(事件規則!$B$2:$B$53,MATCH(S1561,事件規則!$A$2:$A$53,0)),"")))</f>
        <v>無關新聞事件</v>
      </c>
      <c r="U1561" s="20" t="n">
        <f aca="false">IF(R1561="維持",K1561,IF(R1561="排除",0,IFERROR(INDEX(事件規則!$C$2:$C$53,MATCH(S1561,事件規則!$A$2:$A$53,0)),"")))</f>
        <v>0</v>
      </c>
      <c r="V1561" s="21"/>
      <c r="W1561" s="22"/>
      <c r="X1561" s="10" t="str">
        <f aca="false">IF(AND(R1561="修改",S1561=""),"請選新事件代碼",IF(AND(R1561&lt;&gt;"修改",S1561&lt;&gt;""),"只有「修改」才需填代碼",""))</f>
        <v/>
      </c>
      <c r="Y1561" s="21"/>
      <c r="Z1561" s="22"/>
      <c r="AA1561" s="12" t="s">
        <v>4131</v>
      </c>
      <c r="AB1561" s="24"/>
    </row>
    <row r="1562" customFormat="false" ht="29.85" hidden="false" customHeight="false" outlineLevel="0" collapsed="false">
      <c r="A1562" s="15" t="n">
        <v>1561</v>
      </c>
      <c r="B1562" s="9" t="s">
        <v>45</v>
      </c>
      <c r="C1562" s="9" t="s">
        <v>3920</v>
      </c>
      <c r="D1562" s="10" t="s">
        <v>3921</v>
      </c>
      <c r="E1562" s="11" t="s">
        <v>4132</v>
      </c>
      <c r="F1562" s="17"/>
      <c r="G1562" s="12" t="s">
        <v>176</v>
      </c>
      <c r="H1562" s="13" t="n">
        <v>-0.02</v>
      </c>
      <c r="I1562" s="14"/>
      <c r="J1562" s="17"/>
      <c r="K1562" s="9"/>
      <c r="L1562" s="15" t="s">
        <v>50</v>
      </c>
      <c r="M1562" s="16" t="s">
        <v>51</v>
      </c>
      <c r="N1562" s="14"/>
      <c r="O1562" s="15" t="s">
        <v>52</v>
      </c>
      <c r="P1562" s="17" t="s">
        <v>53</v>
      </c>
      <c r="Q1562" s="15"/>
      <c r="R1562" s="18" t="s">
        <v>51</v>
      </c>
      <c r="S1562" s="19"/>
      <c r="T1562" s="17" t="str">
        <f aca="false">IF(R1562="維持",J1562,IF(R1562="排除","無關新聞事件",IFERROR(INDEX(事件規則!$B$2:$B$53,MATCH(S1562,事件規則!$A$2:$A$53,0)),"")))</f>
        <v>無關新聞事件</v>
      </c>
      <c r="U1562" s="20" t="n">
        <f aca="false">IF(R1562="維持",K1562,IF(R1562="排除",0,IFERROR(INDEX(事件規則!$C$2:$C$53,MATCH(S1562,事件規則!$A$2:$A$53,0)),"")))</f>
        <v>0</v>
      </c>
      <c r="V1562" s="21"/>
      <c r="W1562" s="22"/>
      <c r="X1562" s="10" t="str">
        <f aca="false">IF(AND(R1562="修改",S1562=""),"請選新事件代碼",IF(AND(R1562&lt;&gt;"修改",S1562&lt;&gt;""),"只有「修改」才需填代碼",""))</f>
        <v/>
      </c>
      <c r="Y1562" s="21"/>
      <c r="Z1562" s="22"/>
      <c r="AA1562" s="12" t="s">
        <v>4133</v>
      </c>
      <c r="AB1562" s="24"/>
    </row>
    <row r="1563" customFormat="false" ht="29.85" hidden="false" customHeight="false" outlineLevel="0" collapsed="false">
      <c r="A1563" s="15" t="n">
        <v>1562</v>
      </c>
      <c r="B1563" s="9" t="s">
        <v>45</v>
      </c>
      <c r="C1563" s="9" t="s">
        <v>4134</v>
      </c>
      <c r="D1563" s="10" t="s">
        <v>4135</v>
      </c>
      <c r="E1563" s="11" t="s">
        <v>4136</v>
      </c>
      <c r="F1563" s="17"/>
      <c r="G1563" s="12" t="s">
        <v>3221</v>
      </c>
      <c r="H1563" s="13" t="n">
        <v>-0.02</v>
      </c>
      <c r="I1563" s="14"/>
      <c r="J1563" s="17"/>
      <c r="K1563" s="9"/>
      <c r="L1563" s="15" t="s">
        <v>50</v>
      </c>
      <c r="M1563" s="16" t="s">
        <v>51</v>
      </c>
      <c r="N1563" s="14"/>
      <c r="O1563" s="15" t="s">
        <v>52</v>
      </c>
      <c r="P1563" s="17" t="s">
        <v>53</v>
      </c>
      <c r="Q1563" s="15"/>
      <c r="R1563" s="18" t="s">
        <v>51</v>
      </c>
      <c r="S1563" s="19"/>
      <c r="T1563" s="17" t="str">
        <f aca="false">IF(R1563="維持",J1563,IF(R1563="排除","無關新聞事件",IFERROR(INDEX(事件規則!$B$2:$B$53,MATCH(S1563,事件規則!$A$2:$A$53,0)),"")))</f>
        <v>無關新聞事件</v>
      </c>
      <c r="U1563" s="20" t="n">
        <f aca="false">IF(R1563="維持",K1563,IF(R1563="排除",0,IFERROR(INDEX(事件規則!$C$2:$C$53,MATCH(S1563,事件規則!$A$2:$A$53,0)),"")))</f>
        <v>0</v>
      </c>
      <c r="V1563" s="21"/>
      <c r="W1563" s="22"/>
      <c r="X1563" s="10" t="str">
        <f aca="false">IF(AND(R1563="修改",S1563=""),"請選新事件代碼",IF(AND(R1563&lt;&gt;"修改",S1563&lt;&gt;""),"只有「修改」才需填代碼",""))</f>
        <v/>
      </c>
      <c r="Y1563" s="21"/>
      <c r="Z1563" s="22"/>
      <c r="AA1563" s="12" t="s">
        <v>4137</v>
      </c>
      <c r="AB1563" s="24"/>
    </row>
    <row r="1564" customFormat="false" ht="29.85" hidden="false" customHeight="false" outlineLevel="0" collapsed="false">
      <c r="A1564" s="15" t="n">
        <v>1563</v>
      </c>
      <c r="B1564" s="9" t="s">
        <v>45</v>
      </c>
      <c r="C1564" s="9" t="s">
        <v>4138</v>
      </c>
      <c r="D1564" s="10" t="s">
        <v>4139</v>
      </c>
      <c r="E1564" s="11" t="s">
        <v>4140</v>
      </c>
      <c r="F1564" s="17"/>
      <c r="G1564" s="12" t="s">
        <v>49</v>
      </c>
      <c r="H1564" s="13" t="n">
        <v>-0.02</v>
      </c>
      <c r="I1564" s="14"/>
      <c r="J1564" s="17"/>
      <c r="K1564" s="9"/>
      <c r="L1564" s="15" t="s">
        <v>50</v>
      </c>
      <c r="M1564" s="16" t="s">
        <v>51</v>
      </c>
      <c r="N1564" s="14"/>
      <c r="O1564" s="15" t="s">
        <v>52</v>
      </c>
      <c r="P1564" s="17" t="s">
        <v>53</v>
      </c>
      <c r="Q1564" s="15"/>
      <c r="R1564" s="18" t="s">
        <v>51</v>
      </c>
      <c r="S1564" s="19"/>
      <c r="T1564" s="17" t="str">
        <f aca="false">IF(R1564="維持",J1564,IF(R1564="排除","無關新聞事件",IFERROR(INDEX(事件規則!$B$2:$B$53,MATCH(S1564,事件規則!$A$2:$A$53,0)),"")))</f>
        <v>無關新聞事件</v>
      </c>
      <c r="U1564" s="20" t="n">
        <f aca="false">IF(R1564="維持",K1564,IF(R1564="排除",0,IFERROR(INDEX(事件規則!$C$2:$C$53,MATCH(S1564,事件規則!$A$2:$A$53,0)),"")))</f>
        <v>0</v>
      </c>
      <c r="V1564" s="21"/>
      <c r="W1564" s="22"/>
      <c r="X1564" s="10" t="str">
        <f aca="false">IF(AND(R1564="修改",S1564=""),"請選新事件代碼",IF(AND(R1564&lt;&gt;"修改",S1564&lt;&gt;""),"只有「修改」才需填代碼",""))</f>
        <v/>
      </c>
      <c r="Y1564" s="21"/>
      <c r="Z1564" s="22"/>
      <c r="AA1564" s="12" t="s">
        <v>4141</v>
      </c>
      <c r="AB1564" s="24"/>
    </row>
    <row r="1565" customFormat="false" ht="29.85" hidden="false" customHeight="false" outlineLevel="0" collapsed="false">
      <c r="A1565" s="15" t="n">
        <v>1564</v>
      </c>
      <c r="B1565" s="9" t="s">
        <v>45</v>
      </c>
      <c r="C1565" s="9" t="s">
        <v>4142</v>
      </c>
      <c r="D1565" s="10" t="s">
        <v>4143</v>
      </c>
      <c r="E1565" s="11" t="s">
        <v>4130</v>
      </c>
      <c r="F1565" s="17"/>
      <c r="G1565" s="12" t="s">
        <v>49</v>
      </c>
      <c r="H1565" s="13" t="n">
        <v>-0.02</v>
      </c>
      <c r="I1565" s="14"/>
      <c r="J1565" s="17"/>
      <c r="K1565" s="9"/>
      <c r="L1565" s="15" t="s">
        <v>50</v>
      </c>
      <c r="M1565" s="16" t="s">
        <v>51</v>
      </c>
      <c r="N1565" s="14"/>
      <c r="O1565" s="15" t="s">
        <v>52</v>
      </c>
      <c r="P1565" s="17" t="s">
        <v>53</v>
      </c>
      <c r="Q1565" s="15"/>
      <c r="R1565" s="18" t="s">
        <v>51</v>
      </c>
      <c r="S1565" s="19"/>
      <c r="T1565" s="17" t="str">
        <f aca="false">IF(R1565="維持",J1565,IF(R1565="排除","無關新聞事件",IFERROR(INDEX(事件規則!$B$2:$B$53,MATCH(S1565,事件規則!$A$2:$A$53,0)),"")))</f>
        <v>無關新聞事件</v>
      </c>
      <c r="U1565" s="20" t="n">
        <f aca="false">IF(R1565="維持",K1565,IF(R1565="排除",0,IFERROR(INDEX(事件規則!$C$2:$C$53,MATCH(S1565,事件規則!$A$2:$A$53,0)),"")))</f>
        <v>0</v>
      </c>
      <c r="V1565" s="21"/>
      <c r="W1565" s="22"/>
      <c r="X1565" s="10" t="str">
        <f aca="false">IF(AND(R1565="修改",S1565=""),"請選新事件代碼",IF(AND(R1565&lt;&gt;"修改",S1565&lt;&gt;""),"只有「修改」才需填代碼",""))</f>
        <v/>
      </c>
      <c r="Y1565" s="21"/>
      <c r="Z1565" s="22"/>
      <c r="AA1565" s="12" t="s">
        <v>4144</v>
      </c>
      <c r="AB1565" s="24"/>
    </row>
    <row r="1566" customFormat="false" ht="29.85" hidden="false" customHeight="false" outlineLevel="0" collapsed="false">
      <c r="A1566" s="15" t="n">
        <v>1565</v>
      </c>
      <c r="B1566" s="9" t="s">
        <v>112</v>
      </c>
      <c r="C1566" s="9" t="s">
        <v>2786</v>
      </c>
      <c r="D1566" s="10" t="s">
        <v>277</v>
      </c>
      <c r="E1566" s="11" t="s">
        <v>4145</v>
      </c>
      <c r="F1566" s="17"/>
      <c r="G1566" s="12" t="s">
        <v>176</v>
      </c>
      <c r="H1566" s="13" t="n">
        <v>-0.019</v>
      </c>
      <c r="I1566" s="14"/>
      <c r="J1566" s="17"/>
      <c r="K1566" s="9"/>
      <c r="L1566" s="15" t="s">
        <v>50</v>
      </c>
      <c r="M1566" s="16" t="s">
        <v>51</v>
      </c>
      <c r="N1566" s="14"/>
      <c r="O1566" s="15" t="s">
        <v>52</v>
      </c>
      <c r="P1566" s="17" t="s">
        <v>53</v>
      </c>
      <c r="Q1566" s="15"/>
      <c r="R1566" s="18" t="s">
        <v>51</v>
      </c>
      <c r="S1566" s="19"/>
      <c r="T1566" s="17" t="str">
        <f aca="false">IF(R1566="維持",J1566,IF(R1566="排除","無關新聞事件",IFERROR(INDEX(事件規則!$B$2:$B$53,MATCH(S1566,事件規則!$A$2:$A$53,0)),"")))</f>
        <v>無關新聞事件</v>
      </c>
      <c r="U1566" s="20" t="n">
        <f aca="false">IF(R1566="維持",K1566,IF(R1566="排除",0,IFERROR(INDEX(事件規則!$C$2:$C$53,MATCH(S1566,事件規則!$A$2:$A$53,0)),"")))</f>
        <v>0</v>
      </c>
      <c r="V1566" s="21"/>
      <c r="W1566" s="22"/>
      <c r="X1566" s="10" t="str">
        <f aca="false">IF(AND(R1566="修改",S1566=""),"請選新事件代碼",IF(AND(R1566&lt;&gt;"修改",S1566&lt;&gt;""),"只有「修改」才需填代碼",""))</f>
        <v/>
      </c>
      <c r="Y1566" s="21"/>
      <c r="Z1566" s="22"/>
      <c r="AA1566" s="12" t="s">
        <v>4146</v>
      </c>
      <c r="AB1566" s="24"/>
    </row>
    <row r="1567" customFormat="false" ht="29.85" hidden="false" customHeight="false" outlineLevel="0" collapsed="false">
      <c r="A1567" s="15" t="n">
        <v>1566</v>
      </c>
      <c r="B1567" s="9" t="s">
        <v>112</v>
      </c>
      <c r="C1567" s="9" t="s">
        <v>232</v>
      </c>
      <c r="D1567" s="10" t="s">
        <v>233</v>
      </c>
      <c r="E1567" s="11" t="s">
        <v>4147</v>
      </c>
      <c r="F1567" s="17"/>
      <c r="G1567" s="12" t="s">
        <v>176</v>
      </c>
      <c r="H1567" s="13" t="n">
        <v>-0.019</v>
      </c>
      <c r="I1567" s="14"/>
      <c r="J1567" s="17"/>
      <c r="K1567" s="9"/>
      <c r="L1567" s="15" t="s">
        <v>50</v>
      </c>
      <c r="M1567" s="16" t="s">
        <v>51</v>
      </c>
      <c r="N1567" s="14"/>
      <c r="O1567" s="15" t="s">
        <v>52</v>
      </c>
      <c r="P1567" s="17" t="s">
        <v>53</v>
      </c>
      <c r="Q1567" s="15"/>
      <c r="R1567" s="18" t="s">
        <v>51</v>
      </c>
      <c r="S1567" s="19"/>
      <c r="T1567" s="17" t="str">
        <f aca="false">IF(R1567="維持",J1567,IF(R1567="排除","無關新聞事件",IFERROR(INDEX(事件規則!$B$2:$B$53,MATCH(S1567,事件規則!$A$2:$A$53,0)),"")))</f>
        <v>無關新聞事件</v>
      </c>
      <c r="U1567" s="20" t="n">
        <f aca="false">IF(R1567="維持",K1567,IF(R1567="排除",0,IFERROR(INDEX(事件規則!$C$2:$C$53,MATCH(S1567,事件規則!$A$2:$A$53,0)),"")))</f>
        <v>0</v>
      </c>
      <c r="V1567" s="21"/>
      <c r="W1567" s="22"/>
      <c r="X1567" s="10" t="str">
        <f aca="false">IF(AND(R1567="修改",S1567=""),"請選新事件代碼",IF(AND(R1567&lt;&gt;"修改",S1567&lt;&gt;""),"只有「修改」才需填代碼",""))</f>
        <v/>
      </c>
      <c r="Y1567" s="21"/>
      <c r="Z1567" s="22"/>
      <c r="AA1567" s="12" t="s">
        <v>4148</v>
      </c>
      <c r="AB1567" s="24"/>
    </row>
    <row r="1568" customFormat="false" ht="29.85" hidden="false" customHeight="false" outlineLevel="0" collapsed="false">
      <c r="A1568" s="15" t="n">
        <v>1567</v>
      </c>
      <c r="B1568" s="9" t="s">
        <v>112</v>
      </c>
      <c r="C1568" s="9" t="s">
        <v>740</v>
      </c>
      <c r="D1568" s="10" t="s">
        <v>741</v>
      </c>
      <c r="E1568" s="11" t="s">
        <v>4149</v>
      </c>
      <c r="F1568" s="17"/>
      <c r="G1568" s="12" t="s">
        <v>701</v>
      </c>
      <c r="H1568" s="13" t="n">
        <v>-0.019</v>
      </c>
      <c r="I1568" s="14"/>
      <c r="J1568" s="17"/>
      <c r="K1568" s="9"/>
      <c r="L1568" s="15" t="s">
        <v>50</v>
      </c>
      <c r="M1568" s="16" t="s">
        <v>51</v>
      </c>
      <c r="N1568" s="14"/>
      <c r="O1568" s="15" t="s">
        <v>52</v>
      </c>
      <c r="P1568" s="17" t="s">
        <v>53</v>
      </c>
      <c r="Q1568" s="15"/>
      <c r="R1568" s="18" t="s">
        <v>51</v>
      </c>
      <c r="S1568" s="19"/>
      <c r="T1568" s="17" t="str">
        <f aca="false">IF(R1568="維持",J1568,IF(R1568="排除","無關新聞事件",IFERROR(INDEX(事件規則!$B$2:$B$53,MATCH(S1568,事件規則!$A$2:$A$53,0)),"")))</f>
        <v>無關新聞事件</v>
      </c>
      <c r="U1568" s="20" t="n">
        <f aca="false">IF(R1568="維持",K1568,IF(R1568="排除",0,IFERROR(INDEX(事件規則!$C$2:$C$53,MATCH(S1568,事件規則!$A$2:$A$53,0)),"")))</f>
        <v>0</v>
      </c>
      <c r="V1568" s="21"/>
      <c r="W1568" s="22"/>
      <c r="X1568" s="10" t="str">
        <f aca="false">IF(AND(R1568="修改",S1568=""),"請選新事件代碼",IF(AND(R1568&lt;&gt;"修改",S1568&lt;&gt;""),"只有「修改」才需填代碼",""))</f>
        <v/>
      </c>
      <c r="Y1568" s="21"/>
      <c r="Z1568" s="22"/>
      <c r="AA1568" s="12" t="s">
        <v>4150</v>
      </c>
      <c r="AB1568" s="24"/>
    </row>
    <row r="1569" customFormat="false" ht="29.85" hidden="false" customHeight="false" outlineLevel="0" collapsed="false">
      <c r="A1569" s="15" t="n">
        <v>1568</v>
      </c>
      <c r="B1569" s="9" t="s">
        <v>112</v>
      </c>
      <c r="C1569" s="9" t="s">
        <v>550</v>
      </c>
      <c r="D1569" s="10" t="s">
        <v>551</v>
      </c>
      <c r="E1569" s="11" t="s">
        <v>4151</v>
      </c>
      <c r="F1569" s="17"/>
      <c r="G1569" s="12" t="s">
        <v>2033</v>
      </c>
      <c r="H1569" s="13" t="n">
        <v>-0.019</v>
      </c>
      <c r="I1569" s="14"/>
      <c r="J1569" s="17"/>
      <c r="K1569" s="9"/>
      <c r="L1569" s="15" t="s">
        <v>50</v>
      </c>
      <c r="M1569" s="16" t="s">
        <v>51</v>
      </c>
      <c r="N1569" s="14"/>
      <c r="O1569" s="15" t="s">
        <v>52</v>
      </c>
      <c r="P1569" s="17" t="s">
        <v>53</v>
      </c>
      <c r="Q1569" s="15"/>
      <c r="R1569" s="18" t="s">
        <v>51</v>
      </c>
      <c r="S1569" s="19"/>
      <c r="T1569" s="17" t="str">
        <f aca="false">IF(R1569="維持",J1569,IF(R1569="排除","無關新聞事件",IFERROR(INDEX(事件規則!$B$2:$B$53,MATCH(S1569,事件規則!$A$2:$A$53,0)),"")))</f>
        <v>無關新聞事件</v>
      </c>
      <c r="U1569" s="20" t="n">
        <f aca="false">IF(R1569="維持",K1569,IF(R1569="排除",0,IFERROR(INDEX(事件規則!$C$2:$C$53,MATCH(S1569,事件規則!$A$2:$A$53,0)),"")))</f>
        <v>0</v>
      </c>
      <c r="V1569" s="21"/>
      <c r="W1569" s="22"/>
      <c r="X1569" s="10" t="str">
        <f aca="false">IF(AND(R1569="修改",S1569=""),"請選新事件代碼",IF(AND(R1569&lt;&gt;"修改",S1569&lt;&gt;""),"只有「修改」才需填代碼",""))</f>
        <v/>
      </c>
      <c r="Y1569" s="21"/>
      <c r="Z1569" s="22"/>
      <c r="AA1569" s="12" t="s">
        <v>4152</v>
      </c>
      <c r="AB1569" s="24"/>
    </row>
    <row r="1570" customFormat="false" ht="29.85" hidden="false" customHeight="false" outlineLevel="0" collapsed="false">
      <c r="A1570" s="15" t="n">
        <v>1569</v>
      </c>
      <c r="B1570" s="9" t="s">
        <v>112</v>
      </c>
      <c r="C1570" s="9" t="s">
        <v>1036</v>
      </c>
      <c r="D1570" s="10" t="s">
        <v>1037</v>
      </c>
      <c r="E1570" s="11" t="s">
        <v>4153</v>
      </c>
      <c r="F1570" s="17"/>
      <c r="G1570" s="12" t="s">
        <v>2033</v>
      </c>
      <c r="H1570" s="13" t="n">
        <v>-0.019</v>
      </c>
      <c r="I1570" s="14"/>
      <c r="J1570" s="17"/>
      <c r="K1570" s="9"/>
      <c r="L1570" s="15" t="s">
        <v>50</v>
      </c>
      <c r="M1570" s="16" t="s">
        <v>51</v>
      </c>
      <c r="N1570" s="14"/>
      <c r="O1570" s="15" t="s">
        <v>52</v>
      </c>
      <c r="P1570" s="17" t="s">
        <v>53</v>
      </c>
      <c r="Q1570" s="15"/>
      <c r="R1570" s="18" t="s">
        <v>51</v>
      </c>
      <c r="S1570" s="19"/>
      <c r="T1570" s="17" t="str">
        <f aca="false">IF(R1570="維持",J1570,IF(R1570="排除","無關新聞事件",IFERROR(INDEX(事件規則!$B$2:$B$53,MATCH(S1570,事件規則!$A$2:$A$53,0)),"")))</f>
        <v>無關新聞事件</v>
      </c>
      <c r="U1570" s="20" t="n">
        <f aca="false">IF(R1570="維持",K1570,IF(R1570="排除",0,IFERROR(INDEX(事件規則!$C$2:$C$53,MATCH(S1570,事件規則!$A$2:$A$53,0)),"")))</f>
        <v>0</v>
      </c>
      <c r="V1570" s="21"/>
      <c r="W1570" s="22"/>
      <c r="X1570" s="10" t="str">
        <f aca="false">IF(AND(R1570="修改",S1570=""),"請選新事件代碼",IF(AND(R1570&lt;&gt;"修改",S1570&lt;&gt;""),"只有「修改」才需填代碼",""))</f>
        <v/>
      </c>
      <c r="Y1570" s="21"/>
      <c r="Z1570" s="22"/>
      <c r="AA1570" s="12" t="s">
        <v>4154</v>
      </c>
      <c r="AB1570" s="24"/>
    </row>
    <row r="1571" customFormat="false" ht="29.85" hidden="false" customHeight="false" outlineLevel="0" collapsed="false">
      <c r="A1571" s="15" t="n">
        <v>1570</v>
      </c>
      <c r="B1571" s="9" t="s">
        <v>112</v>
      </c>
      <c r="C1571" s="9" t="s">
        <v>1021</v>
      </c>
      <c r="D1571" s="10" t="s">
        <v>1022</v>
      </c>
      <c r="E1571" s="11" t="s">
        <v>4155</v>
      </c>
      <c r="F1571" s="17"/>
      <c r="G1571" s="12" t="s">
        <v>176</v>
      </c>
      <c r="H1571" s="13" t="n">
        <v>-0.019</v>
      </c>
      <c r="I1571" s="14"/>
      <c r="J1571" s="17"/>
      <c r="K1571" s="9"/>
      <c r="L1571" s="15" t="s">
        <v>50</v>
      </c>
      <c r="M1571" s="16" t="s">
        <v>51</v>
      </c>
      <c r="N1571" s="14"/>
      <c r="O1571" s="15" t="s">
        <v>52</v>
      </c>
      <c r="P1571" s="17" t="s">
        <v>53</v>
      </c>
      <c r="Q1571" s="15"/>
      <c r="R1571" s="18" t="s">
        <v>51</v>
      </c>
      <c r="S1571" s="19"/>
      <c r="T1571" s="17" t="str">
        <f aca="false">IF(R1571="維持",J1571,IF(R1571="排除","無關新聞事件",IFERROR(INDEX(事件規則!$B$2:$B$53,MATCH(S1571,事件規則!$A$2:$A$53,0)),"")))</f>
        <v>無關新聞事件</v>
      </c>
      <c r="U1571" s="20" t="n">
        <f aca="false">IF(R1571="維持",K1571,IF(R1571="排除",0,IFERROR(INDEX(事件規則!$C$2:$C$53,MATCH(S1571,事件規則!$A$2:$A$53,0)),"")))</f>
        <v>0</v>
      </c>
      <c r="V1571" s="21"/>
      <c r="W1571" s="22"/>
      <c r="X1571" s="10" t="str">
        <f aca="false">IF(AND(R1571="修改",S1571=""),"請選新事件代碼",IF(AND(R1571&lt;&gt;"修改",S1571&lt;&gt;""),"只有「修改」才需填代碼",""))</f>
        <v/>
      </c>
      <c r="Y1571" s="21"/>
      <c r="Z1571" s="22"/>
      <c r="AA1571" s="12" t="s">
        <v>4156</v>
      </c>
      <c r="AB1571" s="24"/>
    </row>
    <row r="1572" customFormat="false" ht="29.85" hidden="false" customHeight="false" outlineLevel="0" collapsed="false">
      <c r="A1572" s="15" t="n">
        <v>1571</v>
      </c>
      <c r="B1572" s="9" t="s">
        <v>55</v>
      </c>
      <c r="C1572" s="9" t="s">
        <v>917</v>
      </c>
      <c r="D1572" s="10" t="s">
        <v>918</v>
      </c>
      <c r="E1572" s="11" t="s">
        <v>4157</v>
      </c>
      <c r="F1572" s="17"/>
      <c r="G1572" s="12" t="s">
        <v>95</v>
      </c>
      <c r="H1572" s="13" t="n">
        <v>-0.019</v>
      </c>
      <c r="I1572" s="14"/>
      <c r="J1572" s="17"/>
      <c r="K1572" s="9"/>
      <c r="L1572" s="15" t="s">
        <v>50</v>
      </c>
      <c r="M1572" s="16" t="s">
        <v>51</v>
      </c>
      <c r="N1572" s="14"/>
      <c r="O1572" s="15" t="s">
        <v>52</v>
      </c>
      <c r="P1572" s="17" t="s">
        <v>53</v>
      </c>
      <c r="Q1572" s="15"/>
      <c r="R1572" s="18" t="s">
        <v>51</v>
      </c>
      <c r="S1572" s="19"/>
      <c r="T1572" s="17" t="str">
        <f aca="false">IF(R1572="維持",J1572,IF(R1572="排除","無關新聞事件",IFERROR(INDEX(事件規則!$B$2:$B$53,MATCH(S1572,事件規則!$A$2:$A$53,0)),"")))</f>
        <v>無關新聞事件</v>
      </c>
      <c r="U1572" s="20" t="n">
        <f aca="false">IF(R1572="維持",K1572,IF(R1572="排除",0,IFERROR(INDEX(事件規則!$C$2:$C$53,MATCH(S1572,事件規則!$A$2:$A$53,0)),"")))</f>
        <v>0</v>
      </c>
      <c r="V1572" s="21"/>
      <c r="W1572" s="22"/>
      <c r="X1572" s="10" t="str">
        <f aca="false">IF(AND(R1572="修改",S1572=""),"請選新事件代碼",IF(AND(R1572&lt;&gt;"修改",S1572&lt;&gt;""),"只有「修改」才需填代碼",""))</f>
        <v/>
      </c>
      <c r="Y1572" s="21"/>
      <c r="Z1572" s="22"/>
      <c r="AA1572" s="12" t="s">
        <v>4158</v>
      </c>
      <c r="AB1572" s="24"/>
    </row>
    <row r="1573" customFormat="false" ht="29.85" hidden="false" customHeight="false" outlineLevel="0" collapsed="false">
      <c r="A1573" s="15" t="n">
        <v>1572</v>
      </c>
      <c r="B1573" s="9" t="s">
        <v>55</v>
      </c>
      <c r="C1573" s="9" t="s">
        <v>303</v>
      </c>
      <c r="D1573" s="10" t="s">
        <v>304</v>
      </c>
      <c r="E1573" s="11" t="s">
        <v>4159</v>
      </c>
      <c r="F1573" s="17"/>
      <c r="G1573" s="12" t="s">
        <v>4160</v>
      </c>
      <c r="H1573" s="13" t="n">
        <v>-0.019</v>
      </c>
      <c r="I1573" s="14"/>
      <c r="J1573" s="17"/>
      <c r="K1573" s="9"/>
      <c r="L1573" s="15" t="s">
        <v>50</v>
      </c>
      <c r="M1573" s="16" t="s">
        <v>51</v>
      </c>
      <c r="N1573" s="14"/>
      <c r="O1573" s="15" t="s">
        <v>52</v>
      </c>
      <c r="P1573" s="17" t="s">
        <v>53</v>
      </c>
      <c r="Q1573" s="15"/>
      <c r="R1573" s="18" t="s">
        <v>51</v>
      </c>
      <c r="S1573" s="19"/>
      <c r="T1573" s="17" t="str">
        <f aca="false">IF(R1573="維持",J1573,IF(R1573="排除","無關新聞事件",IFERROR(INDEX(事件規則!$B$2:$B$53,MATCH(S1573,事件規則!$A$2:$A$53,0)),"")))</f>
        <v>無關新聞事件</v>
      </c>
      <c r="U1573" s="20" t="n">
        <f aca="false">IF(R1573="維持",K1573,IF(R1573="排除",0,IFERROR(INDEX(事件規則!$C$2:$C$53,MATCH(S1573,事件規則!$A$2:$A$53,0)),"")))</f>
        <v>0</v>
      </c>
      <c r="V1573" s="21"/>
      <c r="W1573" s="22"/>
      <c r="X1573" s="10" t="str">
        <f aca="false">IF(AND(R1573="修改",S1573=""),"請選新事件代碼",IF(AND(R1573&lt;&gt;"修改",S1573&lt;&gt;""),"只有「修改」才需填代碼",""))</f>
        <v/>
      </c>
      <c r="Y1573" s="21"/>
      <c r="Z1573" s="22"/>
      <c r="AA1573" s="12" t="s">
        <v>4161</v>
      </c>
      <c r="AB1573" s="24"/>
    </row>
    <row r="1574" customFormat="false" ht="29.85" hidden="false" customHeight="false" outlineLevel="0" collapsed="false">
      <c r="A1574" s="15" t="n">
        <v>1573</v>
      </c>
      <c r="B1574" s="9" t="s">
        <v>81</v>
      </c>
      <c r="C1574" s="9" t="s">
        <v>2124</v>
      </c>
      <c r="D1574" s="10" t="s">
        <v>2125</v>
      </c>
      <c r="E1574" s="11" t="s">
        <v>4162</v>
      </c>
      <c r="F1574" s="17"/>
      <c r="G1574" s="12" t="s">
        <v>324</v>
      </c>
      <c r="H1574" s="13" t="n">
        <v>-0.019</v>
      </c>
      <c r="I1574" s="14"/>
      <c r="J1574" s="17"/>
      <c r="K1574" s="9"/>
      <c r="L1574" s="15" t="s">
        <v>50</v>
      </c>
      <c r="M1574" s="16" t="s">
        <v>51</v>
      </c>
      <c r="N1574" s="14"/>
      <c r="O1574" s="15" t="s">
        <v>52</v>
      </c>
      <c r="P1574" s="17" t="s">
        <v>53</v>
      </c>
      <c r="Q1574" s="15"/>
      <c r="R1574" s="18" t="s">
        <v>51</v>
      </c>
      <c r="S1574" s="19"/>
      <c r="T1574" s="17" t="str">
        <f aca="false">IF(R1574="維持",J1574,IF(R1574="排除","無關新聞事件",IFERROR(INDEX(事件規則!$B$2:$B$53,MATCH(S1574,事件規則!$A$2:$A$53,0)),"")))</f>
        <v>無關新聞事件</v>
      </c>
      <c r="U1574" s="20" t="n">
        <f aca="false">IF(R1574="維持",K1574,IF(R1574="排除",0,IFERROR(INDEX(事件規則!$C$2:$C$53,MATCH(S1574,事件規則!$A$2:$A$53,0)),"")))</f>
        <v>0</v>
      </c>
      <c r="V1574" s="21"/>
      <c r="W1574" s="22"/>
      <c r="X1574" s="10" t="str">
        <f aca="false">IF(AND(R1574="修改",S1574=""),"請選新事件代碼",IF(AND(R1574&lt;&gt;"修改",S1574&lt;&gt;""),"只有「修改」才需填代碼",""))</f>
        <v/>
      </c>
      <c r="Y1574" s="21"/>
      <c r="Z1574" s="22"/>
      <c r="AA1574" s="12" t="s">
        <v>4163</v>
      </c>
      <c r="AB1574" s="24"/>
    </row>
    <row r="1575" customFormat="false" ht="29.85" hidden="false" customHeight="false" outlineLevel="0" collapsed="false">
      <c r="A1575" s="15" t="n">
        <v>1574</v>
      </c>
      <c r="B1575" s="9" t="s">
        <v>55</v>
      </c>
      <c r="C1575" s="9" t="s">
        <v>1555</v>
      </c>
      <c r="D1575" s="10" t="s">
        <v>1556</v>
      </c>
      <c r="E1575" s="11" t="s">
        <v>4164</v>
      </c>
      <c r="F1575" s="17"/>
      <c r="G1575" s="12" t="s">
        <v>949</v>
      </c>
      <c r="H1575" s="13" t="n">
        <v>-0.019</v>
      </c>
      <c r="I1575" s="14"/>
      <c r="J1575" s="17"/>
      <c r="K1575" s="9"/>
      <c r="L1575" s="15" t="s">
        <v>50</v>
      </c>
      <c r="M1575" s="16" t="s">
        <v>51</v>
      </c>
      <c r="N1575" s="14"/>
      <c r="O1575" s="15" t="s">
        <v>52</v>
      </c>
      <c r="P1575" s="17" t="s">
        <v>53</v>
      </c>
      <c r="Q1575" s="15"/>
      <c r="R1575" s="18" t="s">
        <v>51</v>
      </c>
      <c r="S1575" s="19"/>
      <c r="T1575" s="17" t="str">
        <f aca="false">IF(R1575="維持",J1575,IF(R1575="排除","無關新聞事件",IFERROR(INDEX(事件規則!$B$2:$B$53,MATCH(S1575,事件規則!$A$2:$A$53,0)),"")))</f>
        <v>無關新聞事件</v>
      </c>
      <c r="U1575" s="20" t="n">
        <f aca="false">IF(R1575="維持",K1575,IF(R1575="排除",0,IFERROR(INDEX(事件規則!$C$2:$C$53,MATCH(S1575,事件規則!$A$2:$A$53,0)),"")))</f>
        <v>0</v>
      </c>
      <c r="V1575" s="21"/>
      <c r="W1575" s="22"/>
      <c r="X1575" s="10" t="str">
        <f aca="false">IF(AND(R1575="修改",S1575=""),"請選新事件代碼",IF(AND(R1575&lt;&gt;"修改",S1575&lt;&gt;""),"只有「修改」才需填代碼",""))</f>
        <v/>
      </c>
      <c r="Y1575" s="21"/>
      <c r="Z1575" s="22"/>
      <c r="AA1575" s="12" t="s">
        <v>4165</v>
      </c>
      <c r="AB1575" s="24"/>
    </row>
    <row r="1576" customFormat="false" ht="29.85" hidden="false" customHeight="false" outlineLevel="0" collapsed="false">
      <c r="A1576" s="15" t="n">
        <v>1575</v>
      </c>
      <c r="B1576" s="9" t="s">
        <v>55</v>
      </c>
      <c r="C1576" s="9" t="s">
        <v>144</v>
      </c>
      <c r="D1576" s="10" t="s">
        <v>145</v>
      </c>
      <c r="E1576" s="11" t="s">
        <v>4166</v>
      </c>
      <c r="F1576" s="17"/>
      <c r="G1576" s="12" t="s">
        <v>3221</v>
      </c>
      <c r="H1576" s="13" t="n">
        <v>-0.019</v>
      </c>
      <c r="I1576" s="14"/>
      <c r="J1576" s="17"/>
      <c r="K1576" s="9"/>
      <c r="L1576" s="15" t="s">
        <v>50</v>
      </c>
      <c r="M1576" s="16" t="s">
        <v>51</v>
      </c>
      <c r="N1576" s="14"/>
      <c r="O1576" s="15" t="s">
        <v>52</v>
      </c>
      <c r="P1576" s="17" t="s">
        <v>53</v>
      </c>
      <c r="Q1576" s="15"/>
      <c r="R1576" s="18" t="s">
        <v>51</v>
      </c>
      <c r="S1576" s="19"/>
      <c r="T1576" s="17" t="str">
        <f aca="false">IF(R1576="維持",J1576,IF(R1576="排除","無關新聞事件",IFERROR(INDEX(事件規則!$B$2:$B$53,MATCH(S1576,事件規則!$A$2:$A$53,0)),"")))</f>
        <v>無關新聞事件</v>
      </c>
      <c r="U1576" s="20" t="n">
        <f aca="false">IF(R1576="維持",K1576,IF(R1576="排除",0,IFERROR(INDEX(事件規則!$C$2:$C$53,MATCH(S1576,事件規則!$A$2:$A$53,0)),"")))</f>
        <v>0</v>
      </c>
      <c r="V1576" s="21"/>
      <c r="W1576" s="22"/>
      <c r="X1576" s="10" t="str">
        <f aca="false">IF(AND(R1576="修改",S1576=""),"請選新事件代碼",IF(AND(R1576&lt;&gt;"修改",S1576&lt;&gt;""),"只有「修改」才需填代碼",""))</f>
        <v/>
      </c>
      <c r="Y1576" s="21"/>
      <c r="Z1576" s="22"/>
      <c r="AA1576" s="12" t="s">
        <v>4167</v>
      </c>
      <c r="AB1576" s="24"/>
    </row>
    <row r="1577" customFormat="false" ht="29.85" hidden="false" customHeight="false" outlineLevel="0" collapsed="false">
      <c r="A1577" s="15" t="n">
        <v>1576</v>
      </c>
      <c r="B1577" s="9" t="s">
        <v>112</v>
      </c>
      <c r="C1577" s="9" t="s">
        <v>585</v>
      </c>
      <c r="D1577" s="10" t="s">
        <v>586</v>
      </c>
      <c r="E1577" s="11" t="s">
        <v>4168</v>
      </c>
      <c r="F1577" s="17"/>
      <c r="G1577" s="12" t="s">
        <v>105</v>
      </c>
      <c r="H1577" s="13" t="n">
        <v>-0.019</v>
      </c>
      <c r="I1577" s="14"/>
      <c r="J1577" s="17"/>
      <c r="K1577" s="9"/>
      <c r="L1577" s="15" t="s">
        <v>50</v>
      </c>
      <c r="M1577" s="16" t="s">
        <v>51</v>
      </c>
      <c r="N1577" s="14"/>
      <c r="O1577" s="15" t="s">
        <v>52</v>
      </c>
      <c r="P1577" s="17" t="s">
        <v>53</v>
      </c>
      <c r="Q1577" s="15"/>
      <c r="R1577" s="18" t="s">
        <v>51</v>
      </c>
      <c r="S1577" s="19"/>
      <c r="T1577" s="17" t="str">
        <f aca="false">IF(R1577="維持",J1577,IF(R1577="排除","無關新聞事件",IFERROR(INDEX(事件規則!$B$2:$B$53,MATCH(S1577,事件規則!$A$2:$A$53,0)),"")))</f>
        <v>無關新聞事件</v>
      </c>
      <c r="U1577" s="20" t="n">
        <f aca="false">IF(R1577="維持",K1577,IF(R1577="排除",0,IFERROR(INDEX(事件規則!$C$2:$C$53,MATCH(S1577,事件規則!$A$2:$A$53,0)),"")))</f>
        <v>0</v>
      </c>
      <c r="V1577" s="21"/>
      <c r="W1577" s="22"/>
      <c r="X1577" s="10" t="str">
        <f aca="false">IF(AND(R1577="修改",S1577=""),"請選新事件代碼",IF(AND(R1577&lt;&gt;"修改",S1577&lt;&gt;""),"只有「修改」才需填代碼",""))</f>
        <v/>
      </c>
      <c r="Y1577" s="21"/>
      <c r="Z1577" s="22"/>
      <c r="AA1577" s="12" t="s">
        <v>4169</v>
      </c>
      <c r="AB1577" s="24"/>
    </row>
    <row r="1578" customFormat="false" ht="29.85" hidden="false" customHeight="false" outlineLevel="0" collapsed="false">
      <c r="A1578" s="15" t="n">
        <v>1577</v>
      </c>
      <c r="B1578" s="9" t="s">
        <v>112</v>
      </c>
      <c r="C1578" s="9" t="s">
        <v>1833</v>
      </c>
      <c r="D1578" s="10" t="s">
        <v>1834</v>
      </c>
      <c r="E1578" s="11" t="s">
        <v>4170</v>
      </c>
      <c r="F1578" s="17"/>
      <c r="G1578" s="12" t="s">
        <v>4171</v>
      </c>
      <c r="H1578" s="13" t="n">
        <v>-0.019</v>
      </c>
      <c r="I1578" s="14"/>
      <c r="J1578" s="17"/>
      <c r="K1578" s="9"/>
      <c r="L1578" s="15" t="s">
        <v>50</v>
      </c>
      <c r="M1578" s="16" t="s">
        <v>51</v>
      </c>
      <c r="N1578" s="14"/>
      <c r="O1578" s="15" t="s">
        <v>52</v>
      </c>
      <c r="P1578" s="17" t="s">
        <v>53</v>
      </c>
      <c r="Q1578" s="15"/>
      <c r="R1578" s="18" t="s">
        <v>51</v>
      </c>
      <c r="S1578" s="19"/>
      <c r="T1578" s="17" t="str">
        <f aca="false">IF(R1578="維持",J1578,IF(R1578="排除","無關新聞事件",IFERROR(INDEX(事件規則!$B$2:$B$53,MATCH(S1578,事件規則!$A$2:$A$53,0)),"")))</f>
        <v>無關新聞事件</v>
      </c>
      <c r="U1578" s="20" t="n">
        <f aca="false">IF(R1578="維持",K1578,IF(R1578="排除",0,IFERROR(INDEX(事件規則!$C$2:$C$53,MATCH(S1578,事件規則!$A$2:$A$53,0)),"")))</f>
        <v>0</v>
      </c>
      <c r="V1578" s="21"/>
      <c r="W1578" s="22"/>
      <c r="X1578" s="10" t="str">
        <f aca="false">IF(AND(R1578="修改",S1578=""),"請選新事件代碼",IF(AND(R1578&lt;&gt;"修改",S1578&lt;&gt;""),"只有「修改」才需填代碼",""))</f>
        <v/>
      </c>
      <c r="Y1578" s="21"/>
      <c r="Z1578" s="22"/>
      <c r="AA1578" s="12" t="s">
        <v>4172</v>
      </c>
      <c r="AB1578" s="24"/>
    </row>
    <row r="1579" customFormat="false" ht="29.85" hidden="false" customHeight="false" outlineLevel="0" collapsed="false">
      <c r="A1579" s="15" t="n">
        <v>1578</v>
      </c>
      <c r="B1579" s="9" t="s">
        <v>55</v>
      </c>
      <c r="C1579" s="9" t="s">
        <v>207</v>
      </c>
      <c r="D1579" s="10" t="s">
        <v>208</v>
      </c>
      <c r="E1579" s="11" t="s">
        <v>4173</v>
      </c>
      <c r="F1579" s="17"/>
      <c r="G1579" s="12" t="s">
        <v>3221</v>
      </c>
      <c r="H1579" s="13" t="n">
        <v>-0.019</v>
      </c>
      <c r="I1579" s="14"/>
      <c r="J1579" s="17"/>
      <c r="K1579" s="9"/>
      <c r="L1579" s="15" t="s">
        <v>50</v>
      </c>
      <c r="M1579" s="16" t="s">
        <v>51</v>
      </c>
      <c r="N1579" s="14"/>
      <c r="O1579" s="15" t="s">
        <v>52</v>
      </c>
      <c r="P1579" s="17" t="s">
        <v>53</v>
      </c>
      <c r="Q1579" s="15"/>
      <c r="R1579" s="18" t="s">
        <v>51</v>
      </c>
      <c r="S1579" s="19"/>
      <c r="T1579" s="17" t="str">
        <f aca="false">IF(R1579="維持",J1579,IF(R1579="排除","無關新聞事件",IFERROR(INDEX(事件規則!$B$2:$B$53,MATCH(S1579,事件規則!$A$2:$A$53,0)),"")))</f>
        <v>無關新聞事件</v>
      </c>
      <c r="U1579" s="20" t="n">
        <f aca="false">IF(R1579="維持",K1579,IF(R1579="排除",0,IFERROR(INDEX(事件規則!$C$2:$C$53,MATCH(S1579,事件規則!$A$2:$A$53,0)),"")))</f>
        <v>0</v>
      </c>
      <c r="V1579" s="21"/>
      <c r="W1579" s="22"/>
      <c r="X1579" s="10" t="str">
        <f aca="false">IF(AND(R1579="修改",S1579=""),"請選新事件代碼",IF(AND(R1579&lt;&gt;"修改",S1579&lt;&gt;""),"只有「修改」才需填代碼",""))</f>
        <v/>
      </c>
      <c r="Y1579" s="21"/>
      <c r="Z1579" s="22"/>
      <c r="AA1579" s="12" t="s">
        <v>4174</v>
      </c>
      <c r="AB1579" s="24"/>
    </row>
    <row r="1580" customFormat="false" ht="29.85" hidden="false" customHeight="false" outlineLevel="0" collapsed="false">
      <c r="A1580" s="15" t="n">
        <v>1579</v>
      </c>
      <c r="B1580" s="9" t="s">
        <v>55</v>
      </c>
      <c r="C1580" s="9" t="s">
        <v>139</v>
      </c>
      <c r="D1580" s="10" t="s">
        <v>140</v>
      </c>
      <c r="E1580" s="11" t="s">
        <v>4175</v>
      </c>
      <c r="F1580" s="17"/>
      <c r="G1580" s="12" t="s">
        <v>3221</v>
      </c>
      <c r="H1580" s="13" t="n">
        <v>-0.019</v>
      </c>
      <c r="I1580" s="14"/>
      <c r="J1580" s="17"/>
      <c r="K1580" s="9"/>
      <c r="L1580" s="15" t="s">
        <v>50</v>
      </c>
      <c r="M1580" s="16" t="s">
        <v>51</v>
      </c>
      <c r="N1580" s="14"/>
      <c r="O1580" s="15" t="s">
        <v>52</v>
      </c>
      <c r="P1580" s="17" t="s">
        <v>53</v>
      </c>
      <c r="Q1580" s="15"/>
      <c r="R1580" s="18" t="s">
        <v>51</v>
      </c>
      <c r="S1580" s="19"/>
      <c r="T1580" s="17" t="str">
        <f aca="false">IF(R1580="維持",J1580,IF(R1580="排除","無關新聞事件",IFERROR(INDEX(事件規則!$B$2:$B$53,MATCH(S1580,事件規則!$A$2:$A$53,0)),"")))</f>
        <v>無關新聞事件</v>
      </c>
      <c r="U1580" s="20" t="n">
        <f aca="false">IF(R1580="維持",K1580,IF(R1580="排除",0,IFERROR(INDEX(事件規則!$C$2:$C$53,MATCH(S1580,事件規則!$A$2:$A$53,0)),"")))</f>
        <v>0</v>
      </c>
      <c r="V1580" s="21"/>
      <c r="W1580" s="22"/>
      <c r="X1580" s="10" t="str">
        <f aca="false">IF(AND(R1580="修改",S1580=""),"請選新事件代碼",IF(AND(R1580&lt;&gt;"修改",S1580&lt;&gt;""),"只有「修改」才需填代碼",""))</f>
        <v/>
      </c>
      <c r="Y1580" s="21"/>
      <c r="Z1580" s="22"/>
      <c r="AA1580" s="12" t="s">
        <v>4176</v>
      </c>
      <c r="AB1580" s="24"/>
    </row>
    <row r="1581" customFormat="false" ht="29.85" hidden="false" customHeight="false" outlineLevel="0" collapsed="false">
      <c r="A1581" s="15" t="n">
        <v>1580</v>
      </c>
      <c r="B1581" s="9" t="s">
        <v>55</v>
      </c>
      <c r="C1581" s="9" t="s">
        <v>113</v>
      </c>
      <c r="D1581" s="10" t="s">
        <v>114</v>
      </c>
      <c r="E1581" s="11" t="s">
        <v>4177</v>
      </c>
      <c r="F1581" s="17"/>
      <c r="G1581" s="12" t="s">
        <v>1089</v>
      </c>
      <c r="H1581" s="13" t="n">
        <v>-0.019</v>
      </c>
      <c r="I1581" s="14"/>
      <c r="J1581" s="17"/>
      <c r="K1581" s="9"/>
      <c r="L1581" s="15" t="s">
        <v>50</v>
      </c>
      <c r="M1581" s="16" t="s">
        <v>51</v>
      </c>
      <c r="N1581" s="14"/>
      <c r="O1581" s="15" t="s">
        <v>52</v>
      </c>
      <c r="P1581" s="17" t="s">
        <v>53</v>
      </c>
      <c r="Q1581" s="15"/>
      <c r="R1581" s="18" t="s">
        <v>51</v>
      </c>
      <c r="S1581" s="19"/>
      <c r="T1581" s="17" t="str">
        <f aca="false">IF(R1581="維持",J1581,IF(R1581="排除","無關新聞事件",IFERROR(INDEX(事件規則!$B$2:$B$53,MATCH(S1581,事件規則!$A$2:$A$53,0)),"")))</f>
        <v>無關新聞事件</v>
      </c>
      <c r="U1581" s="20" t="n">
        <f aca="false">IF(R1581="維持",K1581,IF(R1581="排除",0,IFERROR(INDEX(事件規則!$C$2:$C$53,MATCH(S1581,事件規則!$A$2:$A$53,0)),"")))</f>
        <v>0</v>
      </c>
      <c r="V1581" s="21"/>
      <c r="W1581" s="22"/>
      <c r="X1581" s="10" t="str">
        <f aca="false">IF(AND(R1581="修改",S1581=""),"請選新事件代碼",IF(AND(R1581&lt;&gt;"修改",S1581&lt;&gt;""),"只有「修改」才需填代碼",""))</f>
        <v/>
      </c>
      <c r="Y1581" s="21"/>
      <c r="Z1581" s="22"/>
      <c r="AA1581" s="12" t="s">
        <v>4178</v>
      </c>
      <c r="AB1581" s="24"/>
    </row>
    <row r="1582" customFormat="false" ht="29.85" hidden="false" customHeight="false" outlineLevel="0" collapsed="false">
      <c r="A1582" s="15" t="n">
        <v>1581</v>
      </c>
      <c r="B1582" s="9" t="s">
        <v>55</v>
      </c>
      <c r="C1582" s="9" t="s">
        <v>196</v>
      </c>
      <c r="D1582" s="10" t="s">
        <v>197</v>
      </c>
      <c r="E1582" s="11" t="s">
        <v>4179</v>
      </c>
      <c r="F1582" s="17"/>
      <c r="G1582" s="12" t="s">
        <v>3221</v>
      </c>
      <c r="H1582" s="13" t="n">
        <v>-0.019</v>
      </c>
      <c r="I1582" s="14"/>
      <c r="J1582" s="17"/>
      <c r="K1582" s="9"/>
      <c r="L1582" s="15" t="s">
        <v>50</v>
      </c>
      <c r="M1582" s="16" t="s">
        <v>51</v>
      </c>
      <c r="N1582" s="14"/>
      <c r="O1582" s="15" t="s">
        <v>52</v>
      </c>
      <c r="P1582" s="17" t="s">
        <v>53</v>
      </c>
      <c r="Q1582" s="15"/>
      <c r="R1582" s="18" t="s">
        <v>51</v>
      </c>
      <c r="S1582" s="19"/>
      <c r="T1582" s="17" t="str">
        <f aca="false">IF(R1582="維持",J1582,IF(R1582="排除","無關新聞事件",IFERROR(INDEX(事件規則!$B$2:$B$53,MATCH(S1582,事件規則!$A$2:$A$53,0)),"")))</f>
        <v>無關新聞事件</v>
      </c>
      <c r="U1582" s="20" t="n">
        <f aca="false">IF(R1582="維持",K1582,IF(R1582="排除",0,IFERROR(INDEX(事件規則!$C$2:$C$53,MATCH(S1582,事件規則!$A$2:$A$53,0)),"")))</f>
        <v>0</v>
      </c>
      <c r="V1582" s="21"/>
      <c r="W1582" s="22"/>
      <c r="X1582" s="10" t="str">
        <f aca="false">IF(AND(R1582="修改",S1582=""),"請選新事件代碼",IF(AND(R1582&lt;&gt;"修改",S1582&lt;&gt;""),"只有「修改」才需填代碼",""))</f>
        <v/>
      </c>
      <c r="Y1582" s="21"/>
      <c r="Z1582" s="22"/>
      <c r="AA1582" s="12" t="s">
        <v>4180</v>
      </c>
      <c r="AB1582" s="24"/>
    </row>
    <row r="1583" customFormat="false" ht="29.85" hidden="false" customHeight="false" outlineLevel="0" collapsed="false">
      <c r="A1583" s="15" t="n">
        <v>1582</v>
      </c>
      <c r="B1583" s="9" t="s">
        <v>45</v>
      </c>
      <c r="C1583" s="9" t="s">
        <v>250</v>
      </c>
      <c r="D1583" s="10" t="s">
        <v>251</v>
      </c>
      <c r="E1583" s="11" t="s">
        <v>4181</v>
      </c>
      <c r="F1583" s="17"/>
      <c r="G1583" s="12" t="s">
        <v>4182</v>
      </c>
      <c r="H1583" s="13" t="n">
        <v>-0.019</v>
      </c>
      <c r="I1583" s="14"/>
      <c r="J1583" s="17"/>
      <c r="K1583" s="9"/>
      <c r="L1583" s="15" t="s">
        <v>50</v>
      </c>
      <c r="M1583" s="16" t="s">
        <v>51</v>
      </c>
      <c r="N1583" s="14"/>
      <c r="O1583" s="15" t="s">
        <v>52</v>
      </c>
      <c r="P1583" s="17" t="s">
        <v>53</v>
      </c>
      <c r="Q1583" s="15"/>
      <c r="R1583" s="18" t="s">
        <v>51</v>
      </c>
      <c r="S1583" s="19"/>
      <c r="T1583" s="17" t="str">
        <f aca="false">IF(R1583="維持",J1583,IF(R1583="排除","無關新聞事件",IFERROR(INDEX(事件規則!$B$2:$B$53,MATCH(S1583,事件規則!$A$2:$A$53,0)),"")))</f>
        <v>無關新聞事件</v>
      </c>
      <c r="U1583" s="20" t="n">
        <f aca="false">IF(R1583="維持",K1583,IF(R1583="排除",0,IFERROR(INDEX(事件規則!$C$2:$C$53,MATCH(S1583,事件規則!$A$2:$A$53,0)),"")))</f>
        <v>0</v>
      </c>
      <c r="V1583" s="21"/>
      <c r="W1583" s="22"/>
      <c r="X1583" s="10" t="str">
        <f aca="false">IF(AND(R1583="修改",S1583=""),"請選新事件代碼",IF(AND(R1583&lt;&gt;"修改",S1583&lt;&gt;""),"只有「修改」才需填代碼",""))</f>
        <v/>
      </c>
      <c r="Y1583" s="21"/>
      <c r="Z1583" s="22"/>
      <c r="AA1583" s="12" t="s">
        <v>4183</v>
      </c>
      <c r="AB1583" s="24"/>
    </row>
    <row r="1584" customFormat="false" ht="29.85" hidden="false" customHeight="false" outlineLevel="0" collapsed="false">
      <c r="A1584" s="15" t="n">
        <v>1583</v>
      </c>
      <c r="B1584" s="9" t="s">
        <v>45</v>
      </c>
      <c r="C1584" s="9" t="s">
        <v>3821</v>
      </c>
      <c r="D1584" s="10" t="s">
        <v>3822</v>
      </c>
      <c r="E1584" s="11" t="s">
        <v>4184</v>
      </c>
      <c r="F1584" s="17"/>
      <c r="G1584" s="12" t="s">
        <v>949</v>
      </c>
      <c r="H1584" s="13" t="n">
        <v>-0.019</v>
      </c>
      <c r="I1584" s="14"/>
      <c r="J1584" s="17"/>
      <c r="K1584" s="9"/>
      <c r="L1584" s="15" t="s">
        <v>50</v>
      </c>
      <c r="M1584" s="16" t="s">
        <v>51</v>
      </c>
      <c r="N1584" s="14"/>
      <c r="O1584" s="15" t="s">
        <v>52</v>
      </c>
      <c r="P1584" s="17" t="s">
        <v>53</v>
      </c>
      <c r="Q1584" s="15"/>
      <c r="R1584" s="18" t="s">
        <v>51</v>
      </c>
      <c r="S1584" s="19"/>
      <c r="T1584" s="17" t="str">
        <f aca="false">IF(R1584="維持",J1584,IF(R1584="排除","無關新聞事件",IFERROR(INDEX(事件規則!$B$2:$B$53,MATCH(S1584,事件規則!$A$2:$A$53,0)),"")))</f>
        <v>無關新聞事件</v>
      </c>
      <c r="U1584" s="20" t="n">
        <f aca="false">IF(R1584="維持",K1584,IF(R1584="排除",0,IFERROR(INDEX(事件規則!$C$2:$C$53,MATCH(S1584,事件規則!$A$2:$A$53,0)),"")))</f>
        <v>0</v>
      </c>
      <c r="V1584" s="21"/>
      <c r="W1584" s="22"/>
      <c r="X1584" s="10" t="str">
        <f aca="false">IF(AND(R1584="修改",S1584=""),"請選新事件代碼",IF(AND(R1584&lt;&gt;"修改",S1584&lt;&gt;""),"只有「修改」才需填代碼",""))</f>
        <v/>
      </c>
      <c r="Y1584" s="21"/>
      <c r="Z1584" s="22"/>
      <c r="AA1584" s="12" t="s">
        <v>4185</v>
      </c>
      <c r="AB1584" s="24"/>
    </row>
    <row r="1585" customFormat="false" ht="29.85" hidden="false" customHeight="false" outlineLevel="0" collapsed="false">
      <c r="A1585" s="15" t="n">
        <v>1584</v>
      </c>
      <c r="B1585" s="9" t="s">
        <v>45</v>
      </c>
      <c r="C1585" s="9" t="s">
        <v>326</v>
      </c>
      <c r="D1585" s="10" t="s">
        <v>326</v>
      </c>
      <c r="E1585" s="11" t="s">
        <v>4186</v>
      </c>
      <c r="F1585" s="17"/>
      <c r="G1585" s="12" t="s">
        <v>95</v>
      </c>
      <c r="H1585" s="13" t="n">
        <v>-0.019</v>
      </c>
      <c r="I1585" s="14"/>
      <c r="J1585" s="17"/>
      <c r="K1585" s="9"/>
      <c r="L1585" s="15" t="s">
        <v>50</v>
      </c>
      <c r="M1585" s="16" t="s">
        <v>51</v>
      </c>
      <c r="N1585" s="14"/>
      <c r="O1585" s="15" t="s">
        <v>52</v>
      </c>
      <c r="P1585" s="17" t="s">
        <v>53</v>
      </c>
      <c r="Q1585" s="15"/>
      <c r="R1585" s="18" t="s">
        <v>51</v>
      </c>
      <c r="S1585" s="19"/>
      <c r="T1585" s="17" t="str">
        <f aca="false">IF(R1585="維持",J1585,IF(R1585="排除","無關新聞事件",IFERROR(INDEX(事件規則!$B$2:$B$53,MATCH(S1585,事件規則!$A$2:$A$53,0)),"")))</f>
        <v>無關新聞事件</v>
      </c>
      <c r="U1585" s="20" t="n">
        <f aca="false">IF(R1585="維持",K1585,IF(R1585="排除",0,IFERROR(INDEX(事件規則!$C$2:$C$53,MATCH(S1585,事件規則!$A$2:$A$53,0)),"")))</f>
        <v>0</v>
      </c>
      <c r="V1585" s="21"/>
      <c r="W1585" s="22"/>
      <c r="X1585" s="10" t="str">
        <f aca="false">IF(AND(R1585="修改",S1585=""),"請選新事件代碼",IF(AND(R1585&lt;&gt;"修改",S1585&lt;&gt;""),"只有「修改」才需填代碼",""))</f>
        <v/>
      </c>
      <c r="Y1585" s="21"/>
      <c r="Z1585" s="22"/>
      <c r="AA1585" s="12" t="s">
        <v>4187</v>
      </c>
      <c r="AB1585" s="24"/>
    </row>
    <row r="1586" customFormat="false" ht="29.85" hidden="false" customHeight="false" outlineLevel="0" collapsed="false">
      <c r="A1586" s="15" t="n">
        <v>1585</v>
      </c>
      <c r="B1586" s="9" t="s">
        <v>55</v>
      </c>
      <c r="C1586" s="9" t="s">
        <v>4120</v>
      </c>
      <c r="D1586" s="10" t="s">
        <v>4121</v>
      </c>
      <c r="E1586" s="11" t="s">
        <v>4188</v>
      </c>
      <c r="F1586" s="17"/>
      <c r="G1586" s="12" t="s">
        <v>142</v>
      </c>
      <c r="H1586" s="13" t="n">
        <v>-0.019</v>
      </c>
      <c r="I1586" s="14"/>
      <c r="J1586" s="17"/>
      <c r="K1586" s="9"/>
      <c r="L1586" s="15" t="s">
        <v>50</v>
      </c>
      <c r="M1586" s="16" t="s">
        <v>51</v>
      </c>
      <c r="N1586" s="14"/>
      <c r="O1586" s="15" t="s">
        <v>52</v>
      </c>
      <c r="P1586" s="17" t="s">
        <v>53</v>
      </c>
      <c r="Q1586" s="15"/>
      <c r="R1586" s="18" t="s">
        <v>51</v>
      </c>
      <c r="S1586" s="19"/>
      <c r="T1586" s="17" t="str">
        <f aca="false">IF(R1586="維持",J1586,IF(R1586="排除","無關新聞事件",IFERROR(INDEX(事件規則!$B$2:$B$53,MATCH(S1586,事件規則!$A$2:$A$53,0)),"")))</f>
        <v>無關新聞事件</v>
      </c>
      <c r="U1586" s="20" t="n">
        <f aca="false">IF(R1586="維持",K1586,IF(R1586="排除",0,IFERROR(INDEX(事件規則!$C$2:$C$53,MATCH(S1586,事件規則!$A$2:$A$53,0)),"")))</f>
        <v>0</v>
      </c>
      <c r="V1586" s="21"/>
      <c r="W1586" s="22"/>
      <c r="X1586" s="10" t="str">
        <f aca="false">IF(AND(R1586="修改",S1586=""),"請選新事件代碼",IF(AND(R1586&lt;&gt;"修改",S1586&lt;&gt;""),"只有「修改」才需填代碼",""))</f>
        <v/>
      </c>
      <c r="Y1586" s="21"/>
      <c r="Z1586" s="22"/>
      <c r="AA1586" s="12" t="s">
        <v>4189</v>
      </c>
      <c r="AB1586" s="24"/>
    </row>
    <row r="1587" customFormat="false" ht="29.85" hidden="false" customHeight="false" outlineLevel="0" collapsed="false">
      <c r="A1587" s="15" t="n">
        <v>1586</v>
      </c>
      <c r="B1587" s="9" t="s">
        <v>112</v>
      </c>
      <c r="C1587" s="9" t="s">
        <v>612</v>
      </c>
      <c r="D1587" s="10" t="s">
        <v>613</v>
      </c>
      <c r="E1587" s="11" t="s">
        <v>4190</v>
      </c>
      <c r="F1587" s="17"/>
      <c r="G1587" s="12" t="s">
        <v>176</v>
      </c>
      <c r="H1587" s="13" t="n">
        <v>-0.019</v>
      </c>
      <c r="I1587" s="14"/>
      <c r="J1587" s="17"/>
      <c r="K1587" s="9"/>
      <c r="L1587" s="15" t="s">
        <v>50</v>
      </c>
      <c r="M1587" s="16" t="s">
        <v>51</v>
      </c>
      <c r="N1587" s="14"/>
      <c r="O1587" s="15" t="s">
        <v>52</v>
      </c>
      <c r="P1587" s="17" t="s">
        <v>53</v>
      </c>
      <c r="Q1587" s="15"/>
      <c r="R1587" s="18" t="s">
        <v>51</v>
      </c>
      <c r="S1587" s="19"/>
      <c r="T1587" s="17" t="str">
        <f aca="false">IF(R1587="維持",J1587,IF(R1587="排除","無關新聞事件",IFERROR(INDEX(事件規則!$B$2:$B$53,MATCH(S1587,事件規則!$A$2:$A$53,0)),"")))</f>
        <v>無關新聞事件</v>
      </c>
      <c r="U1587" s="20" t="n">
        <f aca="false">IF(R1587="維持",K1587,IF(R1587="排除",0,IFERROR(INDEX(事件規則!$C$2:$C$53,MATCH(S1587,事件規則!$A$2:$A$53,0)),"")))</f>
        <v>0</v>
      </c>
      <c r="V1587" s="21"/>
      <c r="W1587" s="22"/>
      <c r="X1587" s="10" t="str">
        <f aca="false">IF(AND(R1587="修改",S1587=""),"請選新事件代碼",IF(AND(R1587&lt;&gt;"修改",S1587&lt;&gt;""),"只有「修改」才需填代碼",""))</f>
        <v/>
      </c>
      <c r="Y1587" s="21"/>
      <c r="Z1587" s="22"/>
      <c r="AA1587" s="12" t="s">
        <v>4191</v>
      </c>
      <c r="AB1587" s="24"/>
    </row>
    <row r="1588" customFormat="false" ht="29.85" hidden="false" customHeight="false" outlineLevel="0" collapsed="false">
      <c r="A1588" s="15" t="n">
        <v>1587</v>
      </c>
      <c r="B1588" s="9" t="s">
        <v>45</v>
      </c>
      <c r="C1588" s="9" t="s">
        <v>139</v>
      </c>
      <c r="D1588" s="10" t="s">
        <v>140</v>
      </c>
      <c r="E1588" s="11" t="s">
        <v>4192</v>
      </c>
      <c r="F1588" s="17"/>
      <c r="G1588" s="12" t="s">
        <v>1068</v>
      </c>
      <c r="H1588" s="13" t="n">
        <v>-0.019</v>
      </c>
      <c r="I1588" s="14"/>
      <c r="J1588" s="17"/>
      <c r="K1588" s="9"/>
      <c r="L1588" s="15" t="s">
        <v>50</v>
      </c>
      <c r="M1588" s="16" t="s">
        <v>51</v>
      </c>
      <c r="N1588" s="14"/>
      <c r="O1588" s="15" t="s">
        <v>52</v>
      </c>
      <c r="P1588" s="17" t="s">
        <v>53</v>
      </c>
      <c r="Q1588" s="15"/>
      <c r="R1588" s="18" t="s">
        <v>51</v>
      </c>
      <c r="S1588" s="19"/>
      <c r="T1588" s="17" t="str">
        <f aca="false">IF(R1588="維持",J1588,IF(R1588="排除","無關新聞事件",IFERROR(INDEX(事件規則!$B$2:$B$53,MATCH(S1588,事件規則!$A$2:$A$53,0)),"")))</f>
        <v>無關新聞事件</v>
      </c>
      <c r="U1588" s="20" t="n">
        <f aca="false">IF(R1588="維持",K1588,IF(R1588="排除",0,IFERROR(INDEX(事件規則!$C$2:$C$53,MATCH(S1588,事件規則!$A$2:$A$53,0)),"")))</f>
        <v>0</v>
      </c>
      <c r="V1588" s="21"/>
      <c r="W1588" s="22"/>
      <c r="X1588" s="10" t="str">
        <f aca="false">IF(AND(R1588="修改",S1588=""),"請選新事件代碼",IF(AND(R1588&lt;&gt;"修改",S1588&lt;&gt;""),"只有「修改」才需填代碼",""))</f>
        <v/>
      </c>
      <c r="Y1588" s="21"/>
      <c r="Z1588" s="22"/>
      <c r="AA1588" s="12" t="s">
        <v>4193</v>
      </c>
      <c r="AB1588" s="24"/>
    </row>
    <row r="1589" customFormat="false" ht="29.85" hidden="false" customHeight="false" outlineLevel="0" collapsed="false">
      <c r="A1589" s="15" t="n">
        <v>1588</v>
      </c>
      <c r="B1589" s="9" t="s">
        <v>81</v>
      </c>
      <c r="C1589" s="9" t="s">
        <v>936</v>
      </c>
      <c r="D1589" s="10" t="s">
        <v>937</v>
      </c>
      <c r="E1589" s="11" t="s">
        <v>4194</v>
      </c>
      <c r="F1589" s="17"/>
      <c r="G1589" s="12" t="s">
        <v>176</v>
      </c>
      <c r="H1589" s="13" t="n">
        <v>-0.019</v>
      </c>
      <c r="I1589" s="14"/>
      <c r="J1589" s="17"/>
      <c r="K1589" s="9"/>
      <c r="L1589" s="15" t="s">
        <v>50</v>
      </c>
      <c r="M1589" s="16" t="s">
        <v>51</v>
      </c>
      <c r="N1589" s="14"/>
      <c r="O1589" s="15" t="s">
        <v>52</v>
      </c>
      <c r="P1589" s="17" t="s">
        <v>53</v>
      </c>
      <c r="Q1589" s="15"/>
      <c r="R1589" s="18" t="s">
        <v>51</v>
      </c>
      <c r="S1589" s="19"/>
      <c r="T1589" s="17" t="str">
        <f aca="false">IF(R1589="維持",J1589,IF(R1589="排除","無關新聞事件",IFERROR(INDEX(事件規則!$B$2:$B$53,MATCH(S1589,事件規則!$A$2:$A$53,0)),"")))</f>
        <v>無關新聞事件</v>
      </c>
      <c r="U1589" s="20" t="n">
        <f aca="false">IF(R1589="維持",K1589,IF(R1589="排除",0,IFERROR(INDEX(事件規則!$C$2:$C$53,MATCH(S1589,事件規則!$A$2:$A$53,0)),"")))</f>
        <v>0</v>
      </c>
      <c r="V1589" s="21"/>
      <c r="W1589" s="22"/>
      <c r="X1589" s="10" t="str">
        <f aca="false">IF(AND(R1589="修改",S1589=""),"請選新事件代碼",IF(AND(R1589&lt;&gt;"修改",S1589&lt;&gt;""),"只有「修改」才需填代碼",""))</f>
        <v/>
      </c>
      <c r="Y1589" s="21"/>
      <c r="Z1589" s="22"/>
      <c r="AA1589" s="12" t="s">
        <v>4195</v>
      </c>
      <c r="AB1589" s="24"/>
    </row>
    <row r="1590" customFormat="false" ht="29.85" hidden="false" customHeight="false" outlineLevel="0" collapsed="false">
      <c r="A1590" s="15" t="n">
        <v>1589</v>
      </c>
      <c r="B1590" s="9" t="s">
        <v>45</v>
      </c>
      <c r="C1590" s="9" t="s">
        <v>4196</v>
      </c>
      <c r="D1590" s="10" t="s">
        <v>4197</v>
      </c>
      <c r="E1590" s="11" t="s">
        <v>4198</v>
      </c>
      <c r="F1590" s="17"/>
      <c r="G1590" s="12" t="s">
        <v>176</v>
      </c>
      <c r="H1590" s="13" t="n">
        <v>-0.019</v>
      </c>
      <c r="I1590" s="14"/>
      <c r="J1590" s="17"/>
      <c r="K1590" s="9"/>
      <c r="L1590" s="15" t="s">
        <v>50</v>
      </c>
      <c r="M1590" s="16" t="s">
        <v>51</v>
      </c>
      <c r="N1590" s="14"/>
      <c r="O1590" s="15" t="s">
        <v>52</v>
      </c>
      <c r="P1590" s="17" t="s">
        <v>53</v>
      </c>
      <c r="Q1590" s="15"/>
      <c r="R1590" s="18" t="s">
        <v>51</v>
      </c>
      <c r="S1590" s="19"/>
      <c r="T1590" s="17" t="str">
        <f aca="false">IF(R1590="維持",J1590,IF(R1590="排除","無關新聞事件",IFERROR(INDEX(事件規則!$B$2:$B$53,MATCH(S1590,事件規則!$A$2:$A$53,0)),"")))</f>
        <v>無關新聞事件</v>
      </c>
      <c r="U1590" s="20" t="n">
        <f aca="false">IF(R1590="維持",K1590,IF(R1590="排除",0,IFERROR(INDEX(事件規則!$C$2:$C$53,MATCH(S1590,事件規則!$A$2:$A$53,0)),"")))</f>
        <v>0</v>
      </c>
      <c r="V1590" s="21"/>
      <c r="W1590" s="22"/>
      <c r="X1590" s="10" t="str">
        <f aca="false">IF(AND(R1590="修改",S1590=""),"請選新事件代碼",IF(AND(R1590&lt;&gt;"修改",S1590&lt;&gt;""),"只有「修改」才需填代碼",""))</f>
        <v/>
      </c>
      <c r="Y1590" s="21"/>
      <c r="Z1590" s="22"/>
      <c r="AA1590" s="12" t="s">
        <v>4199</v>
      </c>
      <c r="AB1590" s="24"/>
    </row>
    <row r="1591" customFormat="false" ht="29.85" hidden="false" customHeight="false" outlineLevel="0" collapsed="false">
      <c r="A1591" s="15" t="n">
        <v>1590</v>
      </c>
      <c r="B1591" s="9" t="s">
        <v>112</v>
      </c>
      <c r="C1591" s="9" t="s">
        <v>4200</v>
      </c>
      <c r="D1591" s="10" t="s">
        <v>4201</v>
      </c>
      <c r="E1591" s="11" t="s">
        <v>4202</v>
      </c>
      <c r="F1591" s="17"/>
      <c r="G1591" s="12" t="s">
        <v>176</v>
      </c>
      <c r="H1591" s="13" t="n">
        <v>-0.018</v>
      </c>
      <c r="I1591" s="14"/>
      <c r="J1591" s="17"/>
      <c r="K1591" s="9"/>
      <c r="L1591" s="15" t="s">
        <v>50</v>
      </c>
      <c r="M1591" s="16" t="s">
        <v>51</v>
      </c>
      <c r="N1591" s="14"/>
      <c r="O1591" s="15" t="s">
        <v>52</v>
      </c>
      <c r="P1591" s="17" t="s">
        <v>53</v>
      </c>
      <c r="Q1591" s="15"/>
      <c r="R1591" s="18" t="s">
        <v>51</v>
      </c>
      <c r="S1591" s="19"/>
      <c r="T1591" s="17" t="str">
        <f aca="false">IF(R1591="維持",J1591,IF(R1591="排除","無關新聞事件",IFERROR(INDEX(事件規則!$B$2:$B$53,MATCH(S1591,事件規則!$A$2:$A$53,0)),"")))</f>
        <v>無關新聞事件</v>
      </c>
      <c r="U1591" s="20" t="n">
        <f aca="false">IF(R1591="維持",K1591,IF(R1591="排除",0,IFERROR(INDEX(事件規則!$C$2:$C$53,MATCH(S1591,事件規則!$A$2:$A$53,0)),"")))</f>
        <v>0</v>
      </c>
      <c r="V1591" s="21"/>
      <c r="W1591" s="22"/>
      <c r="X1591" s="10" t="str">
        <f aca="false">IF(AND(R1591="修改",S1591=""),"請選新事件代碼",IF(AND(R1591&lt;&gt;"修改",S1591&lt;&gt;""),"只有「修改」才需填代碼",""))</f>
        <v/>
      </c>
      <c r="Y1591" s="21"/>
      <c r="Z1591" s="22"/>
      <c r="AA1591" s="12" t="s">
        <v>4203</v>
      </c>
      <c r="AB1591" s="24"/>
    </row>
    <row r="1592" customFormat="false" ht="29.85" hidden="false" customHeight="false" outlineLevel="0" collapsed="false">
      <c r="A1592" s="15" t="n">
        <v>1591</v>
      </c>
      <c r="B1592" s="9" t="s">
        <v>112</v>
      </c>
      <c r="C1592" s="9" t="s">
        <v>936</v>
      </c>
      <c r="D1592" s="10" t="s">
        <v>937</v>
      </c>
      <c r="E1592" s="11" t="s">
        <v>4204</v>
      </c>
      <c r="F1592" s="17"/>
      <c r="G1592" s="12" t="s">
        <v>105</v>
      </c>
      <c r="H1592" s="13" t="n">
        <v>-0.018</v>
      </c>
      <c r="I1592" s="14"/>
      <c r="J1592" s="17"/>
      <c r="K1592" s="9"/>
      <c r="L1592" s="15" t="s">
        <v>50</v>
      </c>
      <c r="M1592" s="16" t="s">
        <v>51</v>
      </c>
      <c r="N1592" s="14"/>
      <c r="O1592" s="15" t="s">
        <v>52</v>
      </c>
      <c r="P1592" s="17" t="s">
        <v>53</v>
      </c>
      <c r="Q1592" s="15"/>
      <c r="R1592" s="18" t="s">
        <v>51</v>
      </c>
      <c r="S1592" s="19"/>
      <c r="T1592" s="17" t="str">
        <f aca="false">IF(R1592="維持",J1592,IF(R1592="排除","無關新聞事件",IFERROR(INDEX(事件規則!$B$2:$B$53,MATCH(S1592,事件規則!$A$2:$A$53,0)),"")))</f>
        <v>無關新聞事件</v>
      </c>
      <c r="U1592" s="20" t="n">
        <f aca="false">IF(R1592="維持",K1592,IF(R1592="排除",0,IFERROR(INDEX(事件規則!$C$2:$C$53,MATCH(S1592,事件規則!$A$2:$A$53,0)),"")))</f>
        <v>0</v>
      </c>
      <c r="V1592" s="21"/>
      <c r="W1592" s="22"/>
      <c r="X1592" s="10" t="str">
        <f aca="false">IF(AND(R1592="修改",S1592=""),"請選新事件代碼",IF(AND(R1592&lt;&gt;"修改",S1592&lt;&gt;""),"只有「修改」才需填代碼",""))</f>
        <v/>
      </c>
      <c r="Y1592" s="21"/>
      <c r="Z1592" s="22"/>
      <c r="AA1592" s="12" t="s">
        <v>4205</v>
      </c>
      <c r="AB1592" s="24"/>
    </row>
    <row r="1593" customFormat="false" ht="29.85" hidden="false" customHeight="false" outlineLevel="0" collapsed="false">
      <c r="A1593" s="15" t="n">
        <v>1592</v>
      </c>
      <c r="B1593" s="9" t="s">
        <v>112</v>
      </c>
      <c r="C1593" s="9" t="s">
        <v>1310</v>
      </c>
      <c r="D1593" s="10" t="s">
        <v>1311</v>
      </c>
      <c r="E1593" s="11" t="s">
        <v>4206</v>
      </c>
      <c r="F1593" s="17"/>
      <c r="G1593" s="12" t="s">
        <v>443</v>
      </c>
      <c r="H1593" s="13" t="n">
        <v>-0.018</v>
      </c>
      <c r="I1593" s="14"/>
      <c r="J1593" s="17"/>
      <c r="K1593" s="9"/>
      <c r="L1593" s="15" t="s">
        <v>50</v>
      </c>
      <c r="M1593" s="16" t="s">
        <v>51</v>
      </c>
      <c r="N1593" s="14"/>
      <c r="O1593" s="15" t="s">
        <v>52</v>
      </c>
      <c r="P1593" s="17" t="s">
        <v>53</v>
      </c>
      <c r="Q1593" s="15"/>
      <c r="R1593" s="18" t="s">
        <v>51</v>
      </c>
      <c r="S1593" s="19"/>
      <c r="T1593" s="17" t="str">
        <f aca="false">IF(R1593="維持",J1593,IF(R1593="排除","無關新聞事件",IFERROR(INDEX(事件規則!$B$2:$B$53,MATCH(S1593,事件規則!$A$2:$A$53,0)),"")))</f>
        <v>無關新聞事件</v>
      </c>
      <c r="U1593" s="20" t="n">
        <f aca="false">IF(R1593="維持",K1593,IF(R1593="排除",0,IFERROR(INDEX(事件規則!$C$2:$C$53,MATCH(S1593,事件規則!$A$2:$A$53,0)),"")))</f>
        <v>0</v>
      </c>
      <c r="V1593" s="21"/>
      <c r="W1593" s="22"/>
      <c r="X1593" s="10" t="str">
        <f aca="false">IF(AND(R1593="修改",S1593=""),"請選新事件代碼",IF(AND(R1593&lt;&gt;"修改",S1593&lt;&gt;""),"只有「修改」才需填代碼",""))</f>
        <v/>
      </c>
      <c r="Y1593" s="21"/>
      <c r="Z1593" s="22"/>
      <c r="AA1593" s="12" t="s">
        <v>4207</v>
      </c>
      <c r="AB1593" s="24"/>
    </row>
    <row r="1594" customFormat="false" ht="29.85" hidden="false" customHeight="false" outlineLevel="0" collapsed="false">
      <c r="A1594" s="15" t="n">
        <v>1593</v>
      </c>
      <c r="B1594" s="9" t="s">
        <v>112</v>
      </c>
      <c r="C1594" s="9" t="s">
        <v>127</v>
      </c>
      <c r="D1594" s="10" t="s">
        <v>128</v>
      </c>
      <c r="E1594" s="11" t="s">
        <v>4208</v>
      </c>
      <c r="F1594" s="17"/>
      <c r="G1594" s="12" t="s">
        <v>1382</v>
      </c>
      <c r="H1594" s="13" t="n">
        <v>-0.018</v>
      </c>
      <c r="I1594" s="14"/>
      <c r="J1594" s="17"/>
      <c r="K1594" s="9"/>
      <c r="L1594" s="15" t="s">
        <v>50</v>
      </c>
      <c r="M1594" s="16" t="s">
        <v>51</v>
      </c>
      <c r="N1594" s="14"/>
      <c r="O1594" s="15" t="s">
        <v>52</v>
      </c>
      <c r="P1594" s="17" t="s">
        <v>53</v>
      </c>
      <c r="Q1594" s="15"/>
      <c r="R1594" s="18" t="s">
        <v>51</v>
      </c>
      <c r="S1594" s="19"/>
      <c r="T1594" s="17" t="str">
        <f aca="false">IF(R1594="維持",J1594,IF(R1594="排除","無關新聞事件",IFERROR(INDEX(事件規則!$B$2:$B$53,MATCH(S1594,事件規則!$A$2:$A$53,0)),"")))</f>
        <v>無關新聞事件</v>
      </c>
      <c r="U1594" s="20" t="n">
        <f aca="false">IF(R1594="維持",K1594,IF(R1594="排除",0,IFERROR(INDEX(事件規則!$C$2:$C$53,MATCH(S1594,事件規則!$A$2:$A$53,0)),"")))</f>
        <v>0</v>
      </c>
      <c r="V1594" s="21"/>
      <c r="W1594" s="22"/>
      <c r="X1594" s="10" t="str">
        <f aca="false">IF(AND(R1594="修改",S1594=""),"請選新事件代碼",IF(AND(R1594&lt;&gt;"修改",S1594&lt;&gt;""),"只有「修改」才需填代碼",""))</f>
        <v/>
      </c>
      <c r="Y1594" s="21"/>
      <c r="Z1594" s="22"/>
      <c r="AA1594" s="12" t="s">
        <v>4209</v>
      </c>
      <c r="AB1594" s="24"/>
    </row>
    <row r="1595" customFormat="false" ht="29.85" hidden="false" customHeight="false" outlineLevel="0" collapsed="false">
      <c r="A1595" s="15" t="n">
        <v>1594</v>
      </c>
      <c r="B1595" s="9" t="s">
        <v>112</v>
      </c>
      <c r="C1595" s="9" t="s">
        <v>953</v>
      </c>
      <c r="D1595" s="10" t="s">
        <v>954</v>
      </c>
      <c r="E1595" s="11" t="s">
        <v>4210</v>
      </c>
      <c r="F1595" s="17"/>
      <c r="G1595" s="12" t="s">
        <v>2033</v>
      </c>
      <c r="H1595" s="13" t="n">
        <v>-0.018</v>
      </c>
      <c r="I1595" s="14"/>
      <c r="J1595" s="17"/>
      <c r="K1595" s="9"/>
      <c r="L1595" s="15" t="s">
        <v>50</v>
      </c>
      <c r="M1595" s="16" t="s">
        <v>51</v>
      </c>
      <c r="N1595" s="14"/>
      <c r="O1595" s="15" t="s">
        <v>52</v>
      </c>
      <c r="P1595" s="17" t="s">
        <v>53</v>
      </c>
      <c r="Q1595" s="15"/>
      <c r="R1595" s="18" t="s">
        <v>51</v>
      </c>
      <c r="S1595" s="19"/>
      <c r="T1595" s="17" t="str">
        <f aca="false">IF(R1595="維持",J1595,IF(R1595="排除","無關新聞事件",IFERROR(INDEX(事件規則!$B$2:$B$53,MATCH(S1595,事件規則!$A$2:$A$53,0)),"")))</f>
        <v>無關新聞事件</v>
      </c>
      <c r="U1595" s="20" t="n">
        <f aca="false">IF(R1595="維持",K1595,IF(R1595="排除",0,IFERROR(INDEX(事件規則!$C$2:$C$53,MATCH(S1595,事件規則!$A$2:$A$53,0)),"")))</f>
        <v>0</v>
      </c>
      <c r="V1595" s="21"/>
      <c r="W1595" s="22"/>
      <c r="X1595" s="10" t="str">
        <f aca="false">IF(AND(R1595="修改",S1595=""),"請選新事件代碼",IF(AND(R1595&lt;&gt;"修改",S1595&lt;&gt;""),"只有「修改」才需填代碼",""))</f>
        <v/>
      </c>
      <c r="Y1595" s="21"/>
      <c r="Z1595" s="22"/>
      <c r="AA1595" s="12" t="s">
        <v>4211</v>
      </c>
      <c r="AB1595" s="24"/>
    </row>
    <row r="1596" customFormat="false" ht="29.85" hidden="false" customHeight="false" outlineLevel="0" collapsed="false">
      <c r="A1596" s="15" t="n">
        <v>1595</v>
      </c>
      <c r="B1596" s="9" t="s">
        <v>112</v>
      </c>
      <c r="C1596" s="9" t="s">
        <v>3186</v>
      </c>
      <c r="D1596" s="10" t="s">
        <v>3187</v>
      </c>
      <c r="E1596" s="11" t="s">
        <v>4212</v>
      </c>
      <c r="F1596" s="17"/>
      <c r="G1596" s="12" t="s">
        <v>443</v>
      </c>
      <c r="H1596" s="13" t="n">
        <v>-0.018</v>
      </c>
      <c r="I1596" s="14"/>
      <c r="J1596" s="17"/>
      <c r="K1596" s="9"/>
      <c r="L1596" s="15" t="s">
        <v>50</v>
      </c>
      <c r="M1596" s="16" t="s">
        <v>51</v>
      </c>
      <c r="N1596" s="14"/>
      <c r="O1596" s="15" t="s">
        <v>52</v>
      </c>
      <c r="P1596" s="17" t="s">
        <v>53</v>
      </c>
      <c r="Q1596" s="15"/>
      <c r="R1596" s="18" t="s">
        <v>51</v>
      </c>
      <c r="S1596" s="19"/>
      <c r="T1596" s="17" t="str">
        <f aca="false">IF(R1596="維持",J1596,IF(R1596="排除","無關新聞事件",IFERROR(INDEX(事件規則!$B$2:$B$53,MATCH(S1596,事件規則!$A$2:$A$53,0)),"")))</f>
        <v>無關新聞事件</v>
      </c>
      <c r="U1596" s="20" t="n">
        <f aca="false">IF(R1596="維持",K1596,IF(R1596="排除",0,IFERROR(INDEX(事件規則!$C$2:$C$53,MATCH(S1596,事件規則!$A$2:$A$53,0)),"")))</f>
        <v>0</v>
      </c>
      <c r="V1596" s="21"/>
      <c r="W1596" s="22"/>
      <c r="X1596" s="10" t="str">
        <f aca="false">IF(AND(R1596="修改",S1596=""),"請選新事件代碼",IF(AND(R1596&lt;&gt;"修改",S1596&lt;&gt;""),"只有「修改」才需填代碼",""))</f>
        <v/>
      </c>
      <c r="Y1596" s="21"/>
      <c r="Z1596" s="22"/>
      <c r="AA1596" s="12" t="s">
        <v>4213</v>
      </c>
      <c r="AB1596" s="24"/>
    </row>
    <row r="1597" customFormat="false" ht="29.85" hidden="false" customHeight="false" outlineLevel="0" collapsed="false">
      <c r="A1597" s="15" t="n">
        <v>1596</v>
      </c>
      <c r="B1597" s="9" t="s">
        <v>112</v>
      </c>
      <c r="C1597" s="9" t="s">
        <v>1924</v>
      </c>
      <c r="D1597" s="10" t="s">
        <v>1925</v>
      </c>
      <c r="E1597" s="11" t="s">
        <v>4214</v>
      </c>
      <c r="F1597" s="17"/>
      <c r="G1597" s="12" t="s">
        <v>2033</v>
      </c>
      <c r="H1597" s="13" t="n">
        <v>-0.018</v>
      </c>
      <c r="I1597" s="14"/>
      <c r="J1597" s="17"/>
      <c r="K1597" s="9"/>
      <c r="L1597" s="15" t="s">
        <v>50</v>
      </c>
      <c r="M1597" s="16" t="s">
        <v>51</v>
      </c>
      <c r="N1597" s="14"/>
      <c r="O1597" s="15" t="s">
        <v>52</v>
      </c>
      <c r="P1597" s="17" t="s">
        <v>53</v>
      </c>
      <c r="Q1597" s="15"/>
      <c r="R1597" s="18" t="s">
        <v>51</v>
      </c>
      <c r="S1597" s="19"/>
      <c r="T1597" s="17" t="str">
        <f aca="false">IF(R1597="維持",J1597,IF(R1597="排除","無關新聞事件",IFERROR(INDEX(事件規則!$B$2:$B$53,MATCH(S1597,事件規則!$A$2:$A$53,0)),"")))</f>
        <v>無關新聞事件</v>
      </c>
      <c r="U1597" s="20" t="n">
        <f aca="false">IF(R1597="維持",K1597,IF(R1597="排除",0,IFERROR(INDEX(事件規則!$C$2:$C$53,MATCH(S1597,事件規則!$A$2:$A$53,0)),"")))</f>
        <v>0</v>
      </c>
      <c r="V1597" s="21"/>
      <c r="W1597" s="22"/>
      <c r="X1597" s="10" t="str">
        <f aca="false">IF(AND(R1597="修改",S1597=""),"請選新事件代碼",IF(AND(R1597&lt;&gt;"修改",S1597&lt;&gt;""),"只有「修改」才需填代碼",""))</f>
        <v/>
      </c>
      <c r="Y1597" s="21"/>
      <c r="Z1597" s="22"/>
      <c r="AA1597" s="12" t="s">
        <v>4215</v>
      </c>
      <c r="AB1597" s="24"/>
    </row>
    <row r="1598" customFormat="false" ht="29.85" hidden="false" customHeight="false" outlineLevel="0" collapsed="false">
      <c r="A1598" s="15" t="n">
        <v>1597</v>
      </c>
      <c r="B1598" s="9" t="s">
        <v>81</v>
      </c>
      <c r="C1598" s="9" t="s">
        <v>4216</v>
      </c>
      <c r="D1598" s="10" t="s">
        <v>4217</v>
      </c>
      <c r="E1598" s="11" t="s">
        <v>4218</v>
      </c>
      <c r="F1598" s="17"/>
      <c r="G1598" s="12" t="s">
        <v>176</v>
      </c>
      <c r="H1598" s="13" t="n">
        <v>-0.018</v>
      </c>
      <c r="I1598" s="14"/>
      <c r="J1598" s="17"/>
      <c r="K1598" s="9"/>
      <c r="L1598" s="15" t="s">
        <v>50</v>
      </c>
      <c r="M1598" s="16" t="s">
        <v>51</v>
      </c>
      <c r="N1598" s="14"/>
      <c r="O1598" s="15" t="s">
        <v>52</v>
      </c>
      <c r="P1598" s="17" t="s">
        <v>53</v>
      </c>
      <c r="Q1598" s="15"/>
      <c r="R1598" s="18" t="s">
        <v>51</v>
      </c>
      <c r="S1598" s="19"/>
      <c r="T1598" s="17" t="str">
        <f aca="false">IF(R1598="維持",J1598,IF(R1598="排除","無關新聞事件",IFERROR(INDEX(事件規則!$B$2:$B$53,MATCH(S1598,事件規則!$A$2:$A$53,0)),"")))</f>
        <v>無關新聞事件</v>
      </c>
      <c r="U1598" s="20" t="n">
        <f aca="false">IF(R1598="維持",K1598,IF(R1598="排除",0,IFERROR(INDEX(事件規則!$C$2:$C$53,MATCH(S1598,事件規則!$A$2:$A$53,0)),"")))</f>
        <v>0</v>
      </c>
      <c r="V1598" s="21"/>
      <c r="W1598" s="22"/>
      <c r="X1598" s="10" t="str">
        <f aca="false">IF(AND(R1598="修改",S1598=""),"請選新事件代碼",IF(AND(R1598&lt;&gt;"修改",S1598&lt;&gt;""),"只有「修改」才需填代碼",""))</f>
        <v/>
      </c>
      <c r="Y1598" s="21"/>
      <c r="Z1598" s="22"/>
      <c r="AA1598" s="12" t="s">
        <v>4219</v>
      </c>
      <c r="AB1598" s="24"/>
    </row>
    <row r="1599" customFormat="false" ht="29.85" hidden="false" customHeight="false" outlineLevel="0" collapsed="false">
      <c r="A1599" s="15" t="n">
        <v>1598</v>
      </c>
      <c r="B1599" s="9" t="s">
        <v>81</v>
      </c>
      <c r="C1599" s="9" t="s">
        <v>635</v>
      </c>
      <c r="D1599" s="10" t="s">
        <v>636</v>
      </c>
      <c r="E1599" s="11" t="s">
        <v>4220</v>
      </c>
      <c r="F1599" s="17"/>
      <c r="G1599" s="12" t="s">
        <v>3221</v>
      </c>
      <c r="H1599" s="13" t="n">
        <v>-0.018</v>
      </c>
      <c r="I1599" s="14"/>
      <c r="J1599" s="17"/>
      <c r="K1599" s="9"/>
      <c r="L1599" s="15" t="s">
        <v>50</v>
      </c>
      <c r="M1599" s="16" t="s">
        <v>51</v>
      </c>
      <c r="N1599" s="14"/>
      <c r="O1599" s="15" t="s">
        <v>52</v>
      </c>
      <c r="P1599" s="17" t="s">
        <v>53</v>
      </c>
      <c r="Q1599" s="15"/>
      <c r="R1599" s="18" t="s">
        <v>51</v>
      </c>
      <c r="S1599" s="19"/>
      <c r="T1599" s="17" t="str">
        <f aca="false">IF(R1599="維持",J1599,IF(R1599="排除","無關新聞事件",IFERROR(INDEX(事件規則!$B$2:$B$53,MATCH(S1599,事件規則!$A$2:$A$53,0)),"")))</f>
        <v>無關新聞事件</v>
      </c>
      <c r="U1599" s="20" t="n">
        <f aca="false">IF(R1599="維持",K1599,IF(R1599="排除",0,IFERROR(INDEX(事件規則!$C$2:$C$53,MATCH(S1599,事件規則!$A$2:$A$53,0)),"")))</f>
        <v>0</v>
      </c>
      <c r="V1599" s="21"/>
      <c r="W1599" s="22"/>
      <c r="X1599" s="10" t="str">
        <f aca="false">IF(AND(R1599="修改",S1599=""),"請選新事件代碼",IF(AND(R1599&lt;&gt;"修改",S1599&lt;&gt;""),"只有「修改」才需填代碼",""))</f>
        <v/>
      </c>
      <c r="Y1599" s="21"/>
      <c r="Z1599" s="22"/>
      <c r="AA1599" s="12" t="s">
        <v>4221</v>
      </c>
      <c r="AB1599" s="24"/>
    </row>
    <row r="1600" customFormat="false" ht="29.85" hidden="false" customHeight="false" outlineLevel="0" collapsed="false">
      <c r="A1600" s="15" t="n">
        <v>1599</v>
      </c>
      <c r="B1600" s="9" t="s">
        <v>81</v>
      </c>
      <c r="C1600" s="9" t="s">
        <v>3558</v>
      </c>
      <c r="D1600" s="10" t="s">
        <v>3559</v>
      </c>
      <c r="E1600" s="11" t="s">
        <v>4222</v>
      </c>
      <c r="F1600" s="17"/>
      <c r="G1600" s="12" t="s">
        <v>3561</v>
      </c>
      <c r="H1600" s="13" t="n">
        <v>-0.018</v>
      </c>
      <c r="I1600" s="14"/>
      <c r="J1600" s="17"/>
      <c r="K1600" s="9"/>
      <c r="L1600" s="15" t="s">
        <v>50</v>
      </c>
      <c r="M1600" s="16" t="s">
        <v>51</v>
      </c>
      <c r="N1600" s="14"/>
      <c r="O1600" s="15" t="s">
        <v>52</v>
      </c>
      <c r="P1600" s="17" t="s">
        <v>53</v>
      </c>
      <c r="Q1600" s="15"/>
      <c r="R1600" s="18" t="s">
        <v>51</v>
      </c>
      <c r="S1600" s="19"/>
      <c r="T1600" s="17" t="str">
        <f aca="false">IF(R1600="維持",J1600,IF(R1600="排除","無關新聞事件",IFERROR(INDEX(事件規則!$B$2:$B$53,MATCH(S1600,事件規則!$A$2:$A$53,0)),"")))</f>
        <v>無關新聞事件</v>
      </c>
      <c r="U1600" s="20" t="n">
        <f aca="false">IF(R1600="維持",K1600,IF(R1600="排除",0,IFERROR(INDEX(事件規則!$C$2:$C$53,MATCH(S1600,事件規則!$A$2:$A$53,0)),"")))</f>
        <v>0</v>
      </c>
      <c r="V1600" s="21"/>
      <c r="W1600" s="22"/>
      <c r="X1600" s="10" t="str">
        <f aca="false">IF(AND(R1600="修改",S1600=""),"請選新事件代碼",IF(AND(R1600&lt;&gt;"修改",S1600&lt;&gt;""),"只有「修改」才需填代碼",""))</f>
        <v/>
      </c>
      <c r="Y1600" s="21"/>
      <c r="Z1600" s="22"/>
      <c r="AA1600" s="12" t="s">
        <v>4223</v>
      </c>
      <c r="AB1600" s="24"/>
    </row>
    <row r="1601" customFormat="false" ht="29.85" hidden="false" customHeight="false" outlineLevel="0" collapsed="false">
      <c r="A1601" s="15" t="n">
        <v>1600</v>
      </c>
      <c r="B1601" s="9" t="s">
        <v>45</v>
      </c>
      <c r="C1601" s="9" t="s">
        <v>92</v>
      </c>
      <c r="D1601" s="10" t="s">
        <v>93</v>
      </c>
      <c r="E1601" s="11" t="s">
        <v>4224</v>
      </c>
      <c r="F1601" s="17"/>
      <c r="G1601" s="12" t="s">
        <v>2033</v>
      </c>
      <c r="H1601" s="13" t="n">
        <v>-0.018</v>
      </c>
      <c r="I1601" s="14"/>
      <c r="J1601" s="17"/>
      <c r="K1601" s="9"/>
      <c r="L1601" s="15" t="s">
        <v>50</v>
      </c>
      <c r="M1601" s="16" t="s">
        <v>51</v>
      </c>
      <c r="N1601" s="14"/>
      <c r="O1601" s="15" t="s">
        <v>52</v>
      </c>
      <c r="P1601" s="17" t="s">
        <v>53</v>
      </c>
      <c r="Q1601" s="15"/>
      <c r="R1601" s="18" t="s">
        <v>51</v>
      </c>
      <c r="S1601" s="19"/>
      <c r="T1601" s="17" t="str">
        <f aca="false">IF(R1601="維持",J1601,IF(R1601="排除","無關新聞事件",IFERROR(INDEX(事件規則!$B$2:$B$53,MATCH(S1601,事件規則!$A$2:$A$53,0)),"")))</f>
        <v>無關新聞事件</v>
      </c>
      <c r="U1601" s="20" t="n">
        <f aca="false">IF(R1601="維持",K1601,IF(R1601="排除",0,IFERROR(INDEX(事件規則!$C$2:$C$53,MATCH(S1601,事件規則!$A$2:$A$53,0)),"")))</f>
        <v>0</v>
      </c>
      <c r="V1601" s="21"/>
      <c r="W1601" s="22"/>
      <c r="X1601" s="10" t="str">
        <f aca="false">IF(AND(R1601="修改",S1601=""),"請選新事件代碼",IF(AND(R1601&lt;&gt;"修改",S1601&lt;&gt;""),"只有「修改」才需填代碼",""))</f>
        <v/>
      </c>
      <c r="Y1601" s="21"/>
      <c r="Z1601" s="22"/>
      <c r="AA1601" s="12" t="s">
        <v>4225</v>
      </c>
      <c r="AB1601" s="24"/>
    </row>
    <row r="1602" customFormat="false" ht="29.85" hidden="false" customHeight="false" outlineLevel="0" collapsed="false">
      <c r="A1602" s="15" t="n">
        <v>1601</v>
      </c>
      <c r="B1602" s="9" t="s">
        <v>45</v>
      </c>
      <c r="C1602" s="9" t="s">
        <v>1102</v>
      </c>
      <c r="D1602" s="10" t="s">
        <v>1103</v>
      </c>
      <c r="E1602" s="11" t="s">
        <v>4226</v>
      </c>
      <c r="F1602" s="17"/>
      <c r="G1602" s="12" t="s">
        <v>949</v>
      </c>
      <c r="H1602" s="13" t="n">
        <v>-0.018</v>
      </c>
      <c r="I1602" s="14"/>
      <c r="J1602" s="17"/>
      <c r="K1602" s="9"/>
      <c r="L1602" s="15" t="s">
        <v>50</v>
      </c>
      <c r="M1602" s="16" t="s">
        <v>51</v>
      </c>
      <c r="N1602" s="14"/>
      <c r="O1602" s="15" t="s">
        <v>52</v>
      </c>
      <c r="P1602" s="17" t="s">
        <v>53</v>
      </c>
      <c r="Q1602" s="15"/>
      <c r="R1602" s="18" t="s">
        <v>51</v>
      </c>
      <c r="S1602" s="19"/>
      <c r="T1602" s="17" t="str">
        <f aca="false">IF(R1602="維持",J1602,IF(R1602="排除","無關新聞事件",IFERROR(INDEX(事件規則!$B$2:$B$53,MATCH(S1602,事件規則!$A$2:$A$53,0)),"")))</f>
        <v>無關新聞事件</v>
      </c>
      <c r="U1602" s="20" t="n">
        <f aca="false">IF(R1602="維持",K1602,IF(R1602="排除",0,IFERROR(INDEX(事件規則!$C$2:$C$53,MATCH(S1602,事件規則!$A$2:$A$53,0)),"")))</f>
        <v>0</v>
      </c>
      <c r="V1602" s="21"/>
      <c r="W1602" s="22"/>
      <c r="X1602" s="10" t="str">
        <f aca="false">IF(AND(R1602="修改",S1602=""),"請選新事件代碼",IF(AND(R1602&lt;&gt;"修改",S1602&lt;&gt;""),"只有「修改」才需填代碼",""))</f>
        <v/>
      </c>
      <c r="Y1602" s="21"/>
      <c r="Z1602" s="22"/>
      <c r="AA1602" s="12" t="s">
        <v>4227</v>
      </c>
      <c r="AB1602" s="24"/>
    </row>
    <row r="1603" customFormat="false" ht="29.85" hidden="false" customHeight="false" outlineLevel="0" collapsed="false">
      <c r="A1603" s="15" t="n">
        <v>1602</v>
      </c>
      <c r="B1603" s="9" t="s">
        <v>45</v>
      </c>
      <c r="C1603" s="9" t="s">
        <v>1571</v>
      </c>
      <c r="D1603" s="10" t="s">
        <v>1572</v>
      </c>
      <c r="E1603" s="11" t="s">
        <v>4228</v>
      </c>
      <c r="F1603" s="17"/>
      <c r="G1603" s="12" t="s">
        <v>3873</v>
      </c>
      <c r="H1603" s="13" t="n">
        <v>-0.018</v>
      </c>
      <c r="I1603" s="14"/>
      <c r="J1603" s="17"/>
      <c r="K1603" s="9"/>
      <c r="L1603" s="15" t="s">
        <v>50</v>
      </c>
      <c r="M1603" s="16" t="s">
        <v>51</v>
      </c>
      <c r="N1603" s="14"/>
      <c r="O1603" s="15" t="s">
        <v>52</v>
      </c>
      <c r="P1603" s="17" t="s">
        <v>53</v>
      </c>
      <c r="Q1603" s="15"/>
      <c r="R1603" s="18" t="s">
        <v>51</v>
      </c>
      <c r="S1603" s="19"/>
      <c r="T1603" s="17" t="str">
        <f aca="false">IF(R1603="維持",J1603,IF(R1603="排除","無關新聞事件",IFERROR(INDEX(事件規則!$B$2:$B$53,MATCH(S1603,事件規則!$A$2:$A$53,0)),"")))</f>
        <v>無關新聞事件</v>
      </c>
      <c r="U1603" s="20" t="n">
        <f aca="false">IF(R1603="維持",K1603,IF(R1603="排除",0,IFERROR(INDEX(事件規則!$C$2:$C$53,MATCH(S1603,事件規則!$A$2:$A$53,0)),"")))</f>
        <v>0</v>
      </c>
      <c r="V1603" s="21"/>
      <c r="W1603" s="22"/>
      <c r="X1603" s="10" t="str">
        <f aca="false">IF(AND(R1603="修改",S1603=""),"請選新事件代碼",IF(AND(R1603&lt;&gt;"修改",S1603&lt;&gt;""),"只有「修改」才需填代碼",""))</f>
        <v/>
      </c>
      <c r="Y1603" s="21"/>
      <c r="Z1603" s="22"/>
      <c r="AA1603" s="12" t="s">
        <v>4229</v>
      </c>
      <c r="AB1603" s="24"/>
    </row>
    <row r="1604" customFormat="false" ht="29.85" hidden="false" customHeight="false" outlineLevel="0" collapsed="false">
      <c r="A1604" s="15" t="n">
        <v>1603</v>
      </c>
      <c r="B1604" s="9" t="s">
        <v>45</v>
      </c>
      <c r="C1604" s="9" t="s">
        <v>635</v>
      </c>
      <c r="D1604" s="10" t="s">
        <v>636</v>
      </c>
      <c r="E1604" s="11" t="s">
        <v>4230</v>
      </c>
      <c r="F1604" s="17"/>
      <c r="G1604" s="12" t="s">
        <v>95</v>
      </c>
      <c r="H1604" s="13" t="n">
        <v>-0.018</v>
      </c>
      <c r="I1604" s="14"/>
      <c r="J1604" s="17"/>
      <c r="K1604" s="9"/>
      <c r="L1604" s="15" t="s">
        <v>50</v>
      </c>
      <c r="M1604" s="16" t="s">
        <v>51</v>
      </c>
      <c r="N1604" s="14"/>
      <c r="O1604" s="15" t="s">
        <v>52</v>
      </c>
      <c r="P1604" s="17" t="s">
        <v>53</v>
      </c>
      <c r="Q1604" s="15"/>
      <c r="R1604" s="18" t="s">
        <v>51</v>
      </c>
      <c r="S1604" s="19"/>
      <c r="T1604" s="17" t="str">
        <f aca="false">IF(R1604="維持",J1604,IF(R1604="排除","無關新聞事件",IFERROR(INDEX(事件規則!$B$2:$B$53,MATCH(S1604,事件規則!$A$2:$A$53,0)),"")))</f>
        <v>無關新聞事件</v>
      </c>
      <c r="U1604" s="20" t="n">
        <f aca="false">IF(R1604="維持",K1604,IF(R1604="排除",0,IFERROR(INDEX(事件規則!$C$2:$C$53,MATCH(S1604,事件規則!$A$2:$A$53,0)),"")))</f>
        <v>0</v>
      </c>
      <c r="V1604" s="21"/>
      <c r="W1604" s="22"/>
      <c r="X1604" s="10" t="str">
        <f aca="false">IF(AND(R1604="修改",S1604=""),"請選新事件代碼",IF(AND(R1604&lt;&gt;"修改",S1604&lt;&gt;""),"只有「修改」才需填代碼",""))</f>
        <v/>
      </c>
      <c r="Y1604" s="21"/>
      <c r="Z1604" s="22"/>
      <c r="AA1604" s="12" t="s">
        <v>4231</v>
      </c>
      <c r="AB1604" s="24"/>
    </row>
    <row r="1605" customFormat="false" ht="29.85" hidden="false" customHeight="false" outlineLevel="0" collapsed="false">
      <c r="A1605" s="15" t="n">
        <v>1604</v>
      </c>
      <c r="B1605" s="9" t="s">
        <v>45</v>
      </c>
      <c r="C1605" s="9" t="s">
        <v>569</v>
      </c>
      <c r="D1605" s="10" t="s">
        <v>570</v>
      </c>
      <c r="E1605" s="11" t="s">
        <v>4232</v>
      </c>
      <c r="F1605" s="17"/>
      <c r="G1605" s="12" t="s">
        <v>1136</v>
      </c>
      <c r="H1605" s="13" t="n">
        <v>-0.018</v>
      </c>
      <c r="I1605" s="14"/>
      <c r="J1605" s="17"/>
      <c r="K1605" s="9"/>
      <c r="L1605" s="15" t="s">
        <v>50</v>
      </c>
      <c r="M1605" s="16" t="s">
        <v>51</v>
      </c>
      <c r="N1605" s="14"/>
      <c r="O1605" s="15" t="s">
        <v>52</v>
      </c>
      <c r="P1605" s="17" t="s">
        <v>53</v>
      </c>
      <c r="Q1605" s="15"/>
      <c r="R1605" s="18" t="s">
        <v>51</v>
      </c>
      <c r="S1605" s="19"/>
      <c r="T1605" s="17" t="str">
        <f aca="false">IF(R1605="維持",J1605,IF(R1605="排除","無關新聞事件",IFERROR(INDEX(事件規則!$B$2:$B$53,MATCH(S1605,事件規則!$A$2:$A$53,0)),"")))</f>
        <v>無關新聞事件</v>
      </c>
      <c r="U1605" s="20" t="n">
        <f aca="false">IF(R1605="維持",K1605,IF(R1605="排除",0,IFERROR(INDEX(事件規則!$C$2:$C$53,MATCH(S1605,事件規則!$A$2:$A$53,0)),"")))</f>
        <v>0</v>
      </c>
      <c r="V1605" s="21"/>
      <c r="W1605" s="22"/>
      <c r="X1605" s="10" t="str">
        <f aca="false">IF(AND(R1605="修改",S1605=""),"請選新事件代碼",IF(AND(R1605&lt;&gt;"修改",S1605&lt;&gt;""),"只有「修改」才需填代碼",""))</f>
        <v/>
      </c>
      <c r="Y1605" s="21"/>
      <c r="Z1605" s="22"/>
      <c r="AA1605" s="12" t="s">
        <v>4233</v>
      </c>
      <c r="AB1605" s="24"/>
    </row>
    <row r="1606" customFormat="false" ht="29.85" hidden="false" customHeight="false" outlineLevel="0" collapsed="false">
      <c r="A1606" s="15" t="n">
        <v>1605</v>
      </c>
      <c r="B1606" s="9" t="s">
        <v>55</v>
      </c>
      <c r="C1606" s="9" t="s">
        <v>1727</v>
      </c>
      <c r="D1606" s="10" t="s">
        <v>1728</v>
      </c>
      <c r="E1606" s="11" t="s">
        <v>4234</v>
      </c>
      <c r="F1606" s="17"/>
      <c r="G1606" s="12" t="s">
        <v>95</v>
      </c>
      <c r="H1606" s="13" t="n">
        <v>-0.018</v>
      </c>
      <c r="I1606" s="14"/>
      <c r="J1606" s="17"/>
      <c r="K1606" s="9"/>
      <c r="L1606" s="15" t="s">
        <v>50</v>
      </c>
      <c r="M1606" s="16" t="s">
        <v>51</v>
      </c>
      <c r="N1606" s="14"/>
      <c r="O1606" s="15" t="s">
        <v>52</v>
      </c>
      <c r="P1606" s="17" t="s">
        <v>53</v>
      </c>
      <c r="Q1606" s="15"/>
      <c r="R1606" s="18" t="s">
        <v>51</v>
      </c>
      <c r="S1606" s="19"/>
      <c r="T1606" s="17" t="str">
        <f aca="false">IF(R1606="維持",J1606,IF(R1606="排除","無關新聞事件",IFERROR(INDEX(事件規則!$B$2:$B$53,MATCH(S1606,事件規則!$A$2:$A$53,0)),"")))</f>
        <v>無關新聞事件</v>
      </c>
      <c r="U1606" s="20" t="n">
        <f aca="false">IF(R1606="維持",K1606,IF(R1606="排除",0,IFERROR(INDEX(事件規則!$C$2:$C$53,MATCH(S1606,事件規則!$A$2:$A$53,0)),"")))</f>
        <v>0</v>
      </c>
      <c r="V1606" s="21"/>
      <c r="W1606" s="22"/>
      <c r="X1606" s="10" t="str">
        <f aca="false">IF(AND(R1606="修改",S1606=""),"請選新事件代碼",IF(AND(R1606&lt;&gt;"修改",S1606&lt;&gt;""),"只有「修改」才需填代碼",""))</f>
        <v/>
      </c>
      <c r="Y1606" s="21"/>
      <c r="Z1606" s="22"/>
      <c r="AA1606" s="12" t="s">
        <v>4235</v>
      </c>
      <c r="AB1606" s="24"/>
    </row>
    <row r="1607" customFormat="false" ht="29.85" hidden="false" customHeight="false" outlineLevel="0" collapsed="false">
      <c r="A1607" s="15" t="n">
        <v>1606</v>
      </c>
      <c r="B1607" s="9" t="s">
        <v>55</v>
      </c>
      <c r="C1607" s="9" t="s">
        <v>344</v>
      </c>
      <c r="D1607" s="10" t="s">
        <v>345</v>
      </c>
      <c r="E1607" s="11" t="s">
        <v>4236</v>
      </c>
      <c r="F1607" s="17"/>
      <c r="G1607" s="12" t="s">
        <v>949</v>
      </c>
      <c r="H1607" s="13" t="n">
        <v>-0.018</v>
      </c>
      <c r="I1607" s="14"/>
      <c r="J1607" s="17"/>
      <c r="K1607" s="9"/>
      <c r="L1607" s="15" t="s">
        <v>50</v>
      </c>
      <c r="M1607" s="16" t="s">
        <v>51</v>
      </c>
      <c r="N1607" s="14"/>
      <c r="O1607" s="15" t="s">
        <v>52</v>
      </c>
      <c r="P1607" s="17" t="s">
        <v>53</v>
      </c>
      <c r="Q1607" s="15"/>
      <c r="R1607" s="18" t="s">
        <v>51</v>
      </c>
      <c r="S1607" s="19"/>
      <c r="T1607" s="17" t="str">
        <f aca="false">IF(R1607="維持",J1607,IF(R1607="排除","無關新聞事件",IFERROR(INDEX(事件規則!$B$2:$B$53,MATCH(S1607,事件規則!$A$2:$A$53,0)),"")))</f>
        <v>無關新聞事件</v>
      </c>
      <c r="U1607" s="20" t="n">
        <f aca="false">IF(R1607="維持",K1607,IF(R1607="排除",0,IFERROR(INDEX(事件規則!$C$2:$C$53,MATCH(S1607,事件規則!$A$2:$A$53,0)),"")))</f>
        <v>0</v>
      </c>
      <c r="V1607" s="21"/>
      <c r="W1607" s="22"/>
      <c r="X1607" s="10" t="str">
        <f aca="false">IF(AND(R1607="修改",S1607=""),"請選新事件代碼",IF(AND(R1607&lt;&gt;"修改",S1607&lt;&gt;""),"只有「修改」才需填代碼",""))</f>
        <v/>
      </c>
      <c r="Y1607" s="21"/>
      <c r="Z1607" s="22"/>
      <c r="AA1607" s="12" t="s">
        <v>4237</v>
      </c>
      <c r="AB1607" s="24"/>
    </row>
    <row r="1608" customFormat="false" ht="29.85" hidden="false" customHeight="false" outlineLevel="0" collapsed="false">
      <c r="A1608" s="15" t="n">
        <v>1607</v>
      </c>
      <c r="B1608" s="9" t="s">
        <v>55</v>
      </c>
      <c r="C1608" s="9" t="s">
        <v>550</v>
      </c>
      <c r="D1608" s="10" t="s">
        <v>551</v>
      </c>
      <c r="E1608" s="11" t="s">
        <v>4238</v>
      </c>
      <c r="F1608" s="17"/>
      <c r="G1608" s="12" t="s">
        <v>95</v>
      </c>
      <c r="H1608" s="13" t="n">
        <v>-0.018</v>
      </c>
      <c r="I1608" s="14"/>
      <c r="J1608" s="17"/>
      <c r="K1608" s="9"/>
      <c r="L1608" s="15" t="s">
        <v>50</v>
      </c>
      <c r="M1608" s="16" t="s">
        <v>51</v>
      </c>
      <c r="N1608" s="14"/>
      <c r="O1608" s="15" t="s">
        <v>52</v>
      </c>
      <c r="P1608" s="17" t="s">
        <v>53</v>
      </c>
      <c r="Q1608" s="15"/>
      <c r="R1608" s="18" t="s">
        <v>51</v>
      </c>
      <c r="S1608" s="19"/>
      <c r="T1608" s="17" t="str">
        <f aca="false">IF(R1608="維持",J1608,IF(R1608="排除","無關新聞事件",IFERROR(INDEX(事件規則!$B$2:$B$53,MATCH(S1608,事件規則!$A$2:$A$53,0)),"")))</f>
        <v>無關新聞事件</v>
      </c>
      <c r="U1608" s="20" t="n">
        <f aca="false">IF(R1608="維持",K1608,IF(R1608="排除",0,IFERROR(INDEX(事件規則!$C$2:$C$53,MATCH(S1608,事件規則!$A$2:$A$53,0)),"")))</f>
        <v>0</v>
      </c>
      <c r="V1608" s="21"/>
      <c r="W1608" s="22"/>
      <c r="X1608" s="10" t="str">
        <f aca="false">IF(AND(R1608="修改",S1608=""),"請選新事件代碼",IF(AND(R1608&lt;&gt;"修改",S1608&lt;&gt;""),"只有「修改」才需填代碼",""))</f>
        <v/>
      </c>
      <c r="Y1608" s="21"/>
      <c r="Z1608" s="22"/>
      <c r="AA1608" s="12" t="s">
        <v>4239</v>
      </c>
      <c r="AB1608" s="24"/>
    </row>
    <row r="1609" customFormat="false" ht="29.85" hidden="false" customHeight="false" outlineLevel="0" collapsed="false">
      <c r="A1609" s="15" t="n">
        <v>1608</v>
      </c>
      <c r="B1609" s="9" t="s">
        <v>81</v>
      </c>
      <c r="C1609" s="9" t="s">
        <v>1001</v>
      </c>
      <c r="D1609" s="10" t="s">
        <v>1002</v>
      </c>
      <c r="E1609" s="11" t="s">
        <v>4240</v>
      </c>
      <c r="F1609" s="17"/>
      <c r="G1609" s="12" t="s">
        <v>2033</v>
      </c>
      <c r="H1609" s="13" t="n">
        <v>-0.018</v>
      </c>
      <c r="I1609" s="14"/>
      <c r="J1609" s="17"/>
      <c r="K1609" s="9"/>
      <c r="L1609" s="15" t="s">
        <v>50</v>
      </c>
      <c r="M1609" s="16" t="s">
        <v>51</v>
      </c>
      <c r="N1609" s="14"/>
      <c r="O1609" s="15" t="s">
        <v>52</v>
      </c>
      <c r="P1609" s="17" t="s">
        <v>53</v>
      </c>
      <c r="Q1609" s="15"/>
      <c r="R1609" s="18" t="s">
        <v>51</v>
      </c>
      <c r="S1609" s="19"/>
      <c r="T1609" s="17" t="str">
        <f aca="false">IF(R1609="維持",J1609,IF(R1609="排除","無關新聞事件",IFERROR(INDEX(事件規則!$B$2:$B$53,MATCH(S1609,事件規則!$A$2:$A$53,0)),"")))</f>
        <v>無關新聞事件</v>
      </c>
      <c r="U1609" s="20" t="n">
        <f aca="false">IF(R1609="維持",K1609,IF(R1609="排除",0,IFERROR(INDEX(事件規則!$C$2:$C$53,MATCH(S1609,事件規則!$A$2:$A$53,0)),"")))</f>
        <v>0</v>
      </c>
      <c r="V1609" s="21"/>
      <c r="W1609" s="22"/>
      <c r="X1609" s="10" t="str">
        <f aca="false">IF(AND(R1609="修改",S1609=""),"請選新事件代碼",IF(AND(R1609&lt;&gt;"修改",S1609&lt;&gt;""),"只有「修改」才需填代碼",""))</f>
        <v/>
      </c>
      <c r="Y1609" s="21"/>
      <c r="Z1609" s="22"/>
      <c r="AA1609" s="12" t="s">
        <v>4241</v>
      </c>
      <c r="AB1609" s="24"/>
    </row>
    <row r="1610" customFormat="false" ht="29.85" hidden="false" customHeight="false" outlineLevel="0" collapsed="false">
      <c r="A1610" s="15" t="n">
        <v>1609</v>
      </c>
      <c r="B1610" s="9" t="s">
        <v>45</v>
      </c>
      <c r="C1610" s="9" t="s">
        <v>315</v>
      </c>
      <c r="D1610" s="10" t="s">
        <v>316</v>
      </c>
      <c r="E1610" s="11" t="s">
        <v>4242</v>
      </c>
      <c r="F1610" s="17"/>
      <c r="G1610" s="12" t="s">
        <v>176</v>
      </c>
      <c r="H1610" s="13" t="n">
        <v>-0.018</v>
      </c>
      <c r="I1610" s="14"/>
      <c r="J1610" s="17"/>
      <c r="K1610" s="9"/>
      <c r="L1610" s="15" t="s">
        <v>50</v>
      </c>
      <c r="M1610" s="16" t="s">
        <v>51</v>
      </c>
      <c r="N1610" s="14"/>
      <c r="O1610" s="15" t="s">
        <v>52</v>
      </c>
      <c r="P1610" s="17" t="s">
        <v>53</v>
      </c>
      <c r="Q1610" s="15"/>
      <c r="R1610" s="18" t="s">
        <v>51</v>
      </c>
      <c r="S1610" s="19"/>
      <c r="T1610" s="17" t="str">
        <f aca="false">IF(R1610="維持",J1610,IF(R1610="排除","無關新聞事件",IFERROR(INDEX(事件規則!$B$2:$B$53,MATCH(S1610,事件規則!$A$2:$A$53,0)),"")))</f>
        <v>無關新聞事件</v>
      </c>
      <c r="U1610" s="20" t="n">
        <f aca="false">IF(R1610="維持",K1610,IF(R1610="排除",0,IFERROR(INDEX(事件規則!$C$2:$C$53,MATCH(S1610,事件規則!$A$2:$A$53,0)),"")))</f>
        <v>0</v>
      </c>
      <c r="V1610" s="21"/>
      <c r="W1610" s="22"/>
      <c r="X1610" s="10" t="str">
        <f aca="false">IF(AND(R1610="修改",S1610=""),"請選新事件代碼",IF(AND(R1610&lt;&gt;"修改",S1610&lt;&gt;""),"只有「修改」才需填代碼",""))</f>
        <v/>
      </c>
      <c r="Y1610" s="21"/>
      <c r="Z1610" s="22"/>
      <c r="AA1610" s="12" t="s">
        <v>4243</v>
      </c>
      <c r="AB1610" s="24"/>
    </row>
    <row r="1611" customFormat="false" ht="29.85" hidden="false" customHeight="false" outlineLevel="0" collapsed="false">
      <c r="A1611" s="15" t="n">
        <v>1610</v>
      </c>
      <c r="B1611" s="9" t="s">
        <v>45</v>
      </c>
      <c r="C1611" s="9" t="s">
        <v>349</v>
      </c>
      <c r="D1611" s="10" t="s">
        <v>350</v>
      </c>
      <c r="E1611" s="11" t="s">
        <v>4244</v>
      </c>
      <c r="F1611" s="17"/>
      <c r="G1611" s="12" t="s">
        <v>271</v>
      </c>
      <c r="H1611" s="13" t="n">
        <v>-0.018</v>
      </c>
      <c r="I1611" s="14"/>
      <c r="J1611" s="17"/>
      <c r="K1611" s="9"/>
      <c r="L1611" s="15" t="s">
        <v>50</v>
      </c>
      <c r="M1611" s="16" t="s">
        <v>51</v>
      </c>
      <c r="N1611" s="14"/>
      <c r="O1611" s="15" t="s">
        <v>52</v>
      </c>
      <c r="P1611" s="17" t="s">
        <v>53</v>
      </c>
      <c r="Q1611" s="15"/>
      <c r="R1611" s="18" t="s">
        <v>51</v>
      </c>
      <c r="S1611" s="19"/>
      <c r="T1611" s="17" t="str">
        <f aca="false">IF(R1611="維持",J1611,IF(R1611="排除","無關新聞事件",IFERROR(INDEX(事件規則!$B$2:$B$53,MATCH(S1611,事件規則!$A$2:$A$53,0)),"")))</f>
        <v>無關新聞事件</v>
      </c>
      <c r="U1611" s="20" t="n">
        <f aca="false">IF(R1611="維持",K1611,IF(R1611="排除",0,IFERROR(INDEX(事件規則!$C$2:$C$53,MATCH(S1611,事件規則!$A$2:$A$53,0)),"")))</f>
        <v>0</v>
      </c>
      <c r="V1611" s="21"/>
      <c r="W1611" s="22"/>
      <c r="X1611" s="10" t="str">
        <f aca="false">IF(AND(R1611="修改",S1611=""),"請選新事件代碼",IF(AND(R1611&lt;&gt;"修改",S1611&lt;&gt;""),"只有「修改」才需填代碼",""))</f>
        <v/>
      </c>
      <c r="Y1611" s="21"/>
      <c r="Z1611" s="22"/>
      <c r="AA1611" s="12" t="s">
        <v>4245</v>
      </c>
      <c r="AB1611" s="24"/>
    </row>
    <row r="1612" customFormat="false" ht="29.85" hidden="false" customHeight="false" outlineLevel="0" collapsed="false">
      <c r="A1612" s="15" t="n">
        <v>1611</v>
      </c>
      <c r="B1612" s="9" t="s">
        <v>81</v>
      </c>
      <c r="C1612" s="9" t="s">
        <v>1406</v>
      </c>
      <c r="D1612" s="10" t="s">
        <v>1407</v>
      </c>
      <c r="E1612" s="11" t="s">
        <v>4246</v>
      </c>
      <c r="F1612" s="17"/>
      <c r="G1612" s="12" t="s">
        <v>169</v>
      </c>
      <c r="H1612" s="13" t="n">
        <v>-0.018</v>
      </c>
      <c r="I1612" s="14"/>
      <c r="J1612" s="17"/>
      <c r="K1612" s="9"/>
      <c r="L1612" s="15" t="s">
        <v>50</v>
      </c>
      <c r="M1612" s="16" t="s">
        <v>51</v>
      </c>
      <c r="N1612" s="14"/>
      <c r="O1612" s="15" t="s">
        <v>52</v>
      </c>
      <c r="P1612" s="17" t="s">
        <v>53</v>
      </c>
      <c r="Q1612" s="15"/>
      <c r="R1612" s="18" t="s">
        <v>51</v>
      </c>
      <c r="S1612" s="19"/>
      <c r="T1612" s="17" t="str">
        <f aca="false">IF(R1612="維持",J1612,IF(R1612="排除","無關新聞事件",IFERROR(INDEX(事件規則!$B$2:$B$53,MATCH(S1612,事件規則!$A$2:$A$53,0)),"")))</f>
        <v>無關新聞事件</v>
      </c>
      <c r="U1612" s="20" t="n">
        <f aca="false">IF(R1612="維持",K1612,IF(R1612="排除",0,IFERROR(INDEX(事件規則!$C$2:$C$53,MATCH(S1612,事件規則!$A$2:$A$53,0)),"")))</f>
        <v>0</v>
      </c>
      <c r="V1612" s="21"/>
      <c r="W1612" s="22"/>
      <c r="X1612" s="10" t="str">
        <f aca="false">IF(AND(R1612="修改",S1612=""),"請選新事件代碼",IF(AND(R1612&lt;&gt;"修改",S1612&lt;&gt;""),"只有「修改」才需填代碼",""))</f>
        <v/>
      </c>
      <c r="Y1612" s="21"/>
      <c r="Z1612" s="22"/>
      <c r="AA1612" s="12" t="s">
        <v>4247</v>
      </c>
      <c r="AB1612" s="24"/>
    </row>
    <row r="1613" customFormat="false" ht="29.85" hidden="false" customHeight="false" outlineLevel="0" collapsed="false">
      <c r="A1613" s="15" t="n">
        <v>1612</v>
      </c>
      <c r="B1613" s="9" t="s">
        <v>45</v>
      </c>
      <c r="C1613" s="9" t="s">
        <v>751</v>
      </c>
      <c r="D1613" s="10" t="s">
        <v>752</v>
      </c>
      <c r="E1613" s="11" t="s">
        <v>4248</v>
      </c>
      <c r="F1613" s="17"/>
      <c r="G1613" s="12" t="s">
        <v>142</v>
      </c>
      <c r="H1613" s="13" t="n">
        <v>-0.018</v>
      </c>
      <c r="I1613" s="14"/>
      <c r="J1613" s="17"/>
      <c r="K1613" s="9"/>
      <c r="L1613" s="15" t="s">
        <v>50</v>
      </c>
      <c r="M1613" s="16" t="s">
        <v>51</v>
      </c>
      <c r="N1613" s="14"/>
      <c r="O1613" s="15" t="s">
        <v>52</v>
      </c>
      <c r="P1613" s="17" t="s">
        <v>53</v>
      </c>
      <c r="Q1613" s="15"/>
      <c r="R1613" s="18" t="s">
        <v>51</v>
      </c>
      <c r="S1613" s="19"/>
      <c r="T1613" s="17" t="str">
        <f aca="false">IF(R1613="維持",J1613,IF(R1613="排除","無關新聞事件",IFERROR(INDEX(事件規則!$B$2:$B$53,MATCH(S1613,事件規則!$A$2:$A$53,0)),"")))</f>
        <v>無關新聞事件</v>
      </c>
      <c r="U1613" s="20" t="n">
        <f aca="false">IF(R1613="維持",K1613,IF(R1613="排除",0,IFERROR(INDEX(事件規則!$C$2:$C$53,MATCH(S1613,事件規則!$A$2:$A$53,0)),"")))</f>
        <v>0</v>
      </c>
      <c r="V1613" s="21"/>
      <c r="W1613" s="22"/>
      <c r="X1613" s="10" t="str">
        <f aca="false">IF(AND(R1613="修改",S1613=""),"請選新事件代碼",IF(AND(R1613&lt;&gt;"修改",S1613&lt;&gt;""),"只有「修改」才需填代碼",""))</f>
        <v/>
      </c>
      <c r="Y1613" s="21"/>
      <c r="Z1613" s="22"/>
      <c r="AA1613" s="12" t="s">
        <v>4249</v>
      </c>
      <c r="AB1613" s="24"/>
    </row>
    <row r="1614" customFormat="false" ht="29.85" hidden="false" customHeight="false" outlineLevel="0" collapsed="false">
      <c r="A1614" s="15" t="n">
        <v>1613</v>
      </c>
      <c r="B1614" s="9" t="s">
        <v>112</v>
      </c>
      <c r="C1614" s="9" t="s">
        <v>550</v>
      </c>
      <c r="D1614" s="10" t="s">
        <v>551</v>
      </c>
      <c r="E1614" s="11" t="s">
        <v>4250</v>
      </c>
      <c r="F1614" s="17"/>
      <c r="G1614" s="12" t="s">
        <v>2033</v>
      </c>
      <c r="H1614" s="13" t="n">
        <v>-0.018</v>
      </c>
      <c r="I1614" s="14"/>
      <c r="J1614" s="17"/>
      <c r="K1614" s="9"/>
      <c r="L1614" s="15" t="s">
        <v>50</v>
      </c>
      <c r="M1614" s="16" t="s">
        <v>51</v>
      </c>
      <c r="N1614" s="14"/>
      <c r="O1614" s="15" t="s">
        <v>52</v>
      </c>
      <c r="P1614" s="17" t="s">
        <v>53</v>
      </c>
      <c r="Q1614" s="15"/>
      <c r="R1614" s="18" t="s">
        <v>51</v>
      </c>
      <c r="S1614" s="19"/>
      <c r="T1614" s="17" t="str">
        <f aca="false">IF(R1614="維持",J1614,IF(R1614="排除","無關新聞事件",IFERROR(INDEX(事件規則!$B$2:$B$53,MATCH(S1614,事件規則!$A$2:$A$53,0)),"")))</f>
        <v>無關新聞事件</v>
      </c>
      <c r="U1614" s="20" t="n">
        <f aca="false">IF(R1614="維持",K1614,IF(R1614="排除",0,IFERROR(INDEX(事件規則!$C$2:$C$53,MATCH(S1614,事件規則!$A$2:$A$53,0)),"")))</f>
        <v>0</v>
      </c>
      <c r="V1614" s="21"/>
      <c r="W1614" s="22"/>
      <c r="X1614" s="10" t="str">
        <f aca="false">IF(AND(R1614="修改",S1614=""),"請選新事件代碼",IF(AND(R1614&lt;&gt;"修改",S1614&lt;&gt;""),"只有「修改」才需填代碼",""))</f>
        <v/>
      </c>
      <c r="Y1614" s="21"/>
      <c r="Z1614" s="22"/>
      <c r="AA1614" s="12" t="s">
        <v>4251</v>
      </c>
      <c r="AB1614" s="24"/>
    </row>
    <row r="1615" customFormat="false" ht="29.85" hidden="false" customHeight="false" outlineLevel="0" collapsed="false">
      <c r="A1615" s="15" t="n">
        <v>1614</v>
      </c>
      <c r="B1615" s="9" t="s">
        <v>112</v>
      </c>
      <c r="C1615" s="9" t="s">
        <v>3497</v>
      </c>
      <c r="D1615" s="10" t="s">
        <v>3498</v>
      </c>
      <c r="E1615" s="11" t="s">
        <v>4252</v>
      </c>
      <c r="F1615" s="17"/>
      <c r="G1615" s="12" t="s">
        <v>4253</v>
      </c>
      <c r="H1615" s="13" t="n">
        <v>-0.018</v>
      </c>
      <c r="I1615" s="14"/>
      <c r="J1615" s="17"/>
      <c r="K1615" s="9"/>
      <c r="L1615" s="15" t="s">
        <v>50</v>
      </c>
      <c r="M1615" s="16" t="s">
        <v>51</v>
      </c>
      <c r="N1615" s="14"/>
      <c r="O1615" s="15" t="s">
        <v>52</v>
      </c>
      <c r="P1615" s="17" t="s">
        <v>53</v>
      </c>
      <c r="Q1615" s="15"/>
      <c r="R1615" s="18" t="s">
        <v>51</v>
      </c>
      <c r="S1615" s="19"/>
      <c r="T1615" s="17" t="str">
        <f aca="false">IF(R1615="維持",J1615,IF(R1615="排除","無關新聞事件",IFERROR(INDEX(事件規則!$B$2:$B$53,MATCH(S1615,事件規則!$A$2:$A$53,0)),"")))</f>
        <v>無關新聞事件</v>
      </c>
      <c r="U1615" s="20" t="n">
        <f aca="false">IF(R1615="維持",K1615,IF(R1615="排除",0,IFERROR(INDEX(事件規則!$C$2:$C$53,MATCH(S1615,事件規則!$A$2:$A$53,0)),"")))</f>
        <v>0</v>
      </c>
      <c r="V1615" s="21"/>
      <c r="W1615" s="22"/>
      <c r="X1615" s="10" t="str">
        <f aca="false">IF(AND(R1615="修改",S1615=""),"請選新事件代碼",IF(AND(R1615&lt;&gt;"修改",S1615&lt;&gt;""),"只有「修改」才需填代碼",""))</f>
        <v/>
      </c>
      <c r="Y1615" s="21"/>
      <c r="Z1615" s="22"/>
      <c r="AA1615" s="12" t="s">
        <v>4254</v>
      </c>
      <c r="AB1615" s="24"/>
    </row>
    <row r="1616" customFormat="false" ht="29.85" hidden="false" customHeight="false" outlineLevel="0" collapsed="false">
      <c r="A1616" s="15" t="n">
        <v>1615</v>
      </c>
      <c r="B1616" s="9" t="s">
        <v>112</v>
      </c>
      <c r="C1616" s="9" t="s">
        <v>796</v>
      </c>
      <c r="D1616" s="10" t="s">
        <v>797</v>
      </c>
      <c r="E1616" s="11" t="s">
        <v>4255</v>
      </c>
      <c r="F1616" s="17"/>
      <c r="G1616" s="12" t="s">
        <v>176</v>
      </c>
      <c r="H1616" s="13" t="n">
        <v>-0.018</v>
      </c>
      <c r="I1616" s="14"/>
      <c r="J1616" s="17"/>
      <c r="K1616" s="9"/>
      <c r="L1616" s="15" t="s">
        <v>50</v>
      </c>
      <c r="M1616" s="16" t="s">
        <v>51</v>
      </c>
      <c r="N1616" s="14"/>
      <c r="O1616" s="15" t="s">
        <v>52</v>
      </c>
      <c r="P1616" s="17" t="s">
        <v>53</v>
      </c>
      <c r="Q1616" s="15"/>
      <c r="R1616" s="18" t="s">
        <v>51</v>
      </c>
      <c r="S1616" s="19"/>
      <c r="T1616" s="17" t="str">
        <f aca="false">IF(R1616="維持",J1616,IF(R1616="排除","無關新聞事件",IFERROR(INDEX(事件規則!$B$2:$B$53,MATCH(S1616,事件規則!$A$2:$A$53,0)),"")))</f>
        <v>無關新聞事件</v>
      </c>
      <c r="U1616" s="20" t="n">
        <f aca="false">IF(R1616="維持",K1616,IF(R1616="排除",0,IFERROR(INDEX(事件規則!$C$2:$C$53,MATCH(S1616,事件規則!$A$2:$A$53,0)),"")))</f>
        <v>0</v>
      </c>
      <c r="V1616" s="21"/>
      <c r="W1616" s="22"/>
      <c r="X1616" s="10" t="str">
        <f aca="false">IF(AND(R1616="修改",S1616=""),"請選新事件代碼",IF(AND(R1616&lt;&gt;"修改",S1616&lt;&gt;""),"只有「修改」才需填代碼",""))</f>
        <v/>
      </c>
      <c r="Y1616" s="21"/>
      <c r="Z1616" s="22"/>
      <c r="AA1616" s="12" t="s">
        <v>4256</v>
      </c>
      <c r="AB1616" s="24"/>
    </row>
    <row r="1617" customFormat="false" ht="29.85" hidden="false" customHeight="false" outlineLevel="0" collapsed="false">
      <c r="A1617" s="15" t="n">
        <v>1616</v>
      </c>
      <c r="B1617" s="9" t="s">
        <v>55</v>
      </c>
      <c r="C1617" s="9" t="s">
        <v>569</v>
      </c>
      <c r="D1617" s="10" t="s">
        <v>570</v>
      </c>
      <c r="E1617" s="11" t="s">
        <v>4257</v>
      </c>
      <c r="F1617" s="17"/>
      <c r="G1617" s="12" t="s">
        <v>1136</v>
      </c>
      <c r="H1617" s="13" t="n">
        <v>-0.018</v>
      </c>
      <c r="I1617" s="14"/>
      <c r="J1617" s="17"/>
      <c r="K1617" s="9"/>
      <c r="L1617" s="15" t="s">
        <v>50</v>
      </c>
      <c r="M1617" s="16" t="s">
        <v>51</v>
      </c>
      <c r="N1617" s="14"/>
      <c r="O1617" s="15" t="s">
        <v>52</v>
      </c>
      <c r="P1617" s="17" t="s">
        <v>53</v>
      </c>
      <c r="Q1617" s="15"/>
      <c r="R1617" s="18" t="s">
        <v>51</v>
      </c>
      <c r="S1617" s="19"/>
      <c r="T1617" s="17" t="str">
        <f aca="false">IF(R1617="維持",J1617,IF(R1617="排除","無關新聞事件",IFERROR(INDEX(事件規則!$B$2:$B$53,MATCH(S1617,事件規則!$A$2:$A$53,0)),"")))</f>
        <v>無關新聞事件</v>
      </c>
      <c r="U1617" s="20" t="n">
        <f aca="false">IF(R1617="維持",K1617,IF(R1617="排除",0,IFERROR(INDEX(事件規則!$C$2:$C$53,MATCH(S1617,事件規則!$A$2:$A$53,0)),"")))</f>
        <v>0</v>
      </c>
      <c r="V1617" s="21"/>
      <c r="W1617" s="22"/>
      <c r="X1617" s="10" t="str">
        <f aca="false">IF(AND(R1617="修改",S1617=""),"請選新事件代碼",IF(AND(R1617&lt;&gt;"修改",S1617&lt;&gt;""),"只有「修改」才需填代碼",""))</f>
        <v/>
      </c>
      <c r="Y1617" s="21"/>
      <c r="Z1617" s="22"/>
      <c r="AA1617" s="12" t="s">
        <v>4258</v>
      </c>
      <c r="AB1617" s="24"/>
    </row>
    <row r="1618" customFormat="false" ht="29.85" hidden="false" customHeight="false" outlineLevel="0" collapsed="false">
      <c r="A1618" s="15" t="n">
        <v>1617</v>
      </c>
      <c r="B1618" s="9" t="s">
        <v>112</v>
      </c>
      <c r="C1618" s="9" t="s">
        <v>440</v>
      </c>
      <c r="D1618" s="10" t="s">
        <v>441</v>
      </c>
      <c r="E1618" s="11" t="s">
        <v>4259</v>
      </c>
      <c r="F1618" s="17"/>
      <c r="G1618" s="12" t="s">
        <v>2033</v>
      </c>
      <c r="H1618" s="13" t="n">
        <v>-0.017</v>
      </c>
      <c r="I1618" s="14"/>
      <c r="J1618" s="17"/>
      <c r="K1618" s="9"/>
      <c r="L1618" s="15" t="s">
        <v>50</v>
      </c>
      <c r="M1618" s="16" t="s">
        <v>51</v>
      </c>
      <c r="N1618" s="14"/>
      <c r="O1618" s="15" t="s">
        <v>52</v>
      </c>
      <c r="P1618" s="17" t="s">
        <v>53</v>
      </c>
      <c r="Q1618" s="15"/>
      <c r="R1618" s="18" t="s">
        <v>51</v>
      </c>
      <c r="S1618" s="19"/>
      <c r="T1618" s="17" t="str">
        <f aca="false">IF(R1618="維持",J1618,IF(R1618="排除","無關新聞事件",IFERROR(INDEX(事件規則!$B$2:$B$53,MATCH(S1618,事件規則!$A$2:$A$53,0)),"")))</f>
        <v>無關新聞事件</v>
      </c>
      <c r="U1618" s="20" t="n">
        <f aca="false">IF(R1618="維持",K1618,IF(R1618="排除",0,IFERROR(INDEX(事件規則!$C$2:$C$53,MATCH(S1618,事件規則!$A$2:$A$53,0)),"")))</f>
        <v>0</v>
      </c>
      <c r="V1618" s="21"/>
      <c r="W1618" s="22"/>
      <c r="X1618" s="10" t="str">
        <f aca="false">IF(AND(R1618="修改",S1618=""),"請選新事件代碼",IF(AND(R1618&lt;&gt;"修改",S1618&lt;&gt;""),"只有「修改」才需填代碼",""))</f>
        <v/>
      </c>
      <c r="Y1618" s="21"/>
      <c r="Z1618" s="22"/>
      <c r="AA1618" s="12" t="s">
        <v>4260</v>
      </c>
      <c r="AB1618" s="24"/>
    </row>
    <row r="1619" customFormat="false" ht="29.85" hidden="false" customHeight="false" outlineLevel="0" collapsed="false">
      <c r="A1619" s="15" t="n">
        <v>1618</v>
      </c>
      <c r="B1619" s="9" t="s">
        <v>55</v>
      </c>
      <c r="C1619" s="9" t="s">
        <v>885</v>
      </c>
      <c r="D1619" s="10" t="s">
        <v>886</v>
      </c>
      <c r="E1619" s="11" t="s">
        <v>4261</v>
      </c>
      <c r="F1619" s="17"/>
      <c r="G1619" s="12" t="s">
        <v>95</v>
      </c>
      <c r="H1619" s="13" t="n">
        <v>-0.017</v>
      </c>
      <c r="I1619" s="14"/>
      <c r="J1619" s="17"/>
      <c r="K1619" s="9"/>
      <c r="L1619" s="15" t="s">
        <v>50</v>
      </c>
      <c r="M1619" s="16" t="s">
        <v>51</v>
      </c>
      <c r="N1619" s="14"/>
      <c r="O1619" s="15" t="s">
        <v>52</v>
      </c>
      <c r="P1619" s="17" t="s">
        <v>53</v>
      </c>
      <c r="Q1619" s="15"/>
      <c r="R1619" s="18" t="s">
        <v>51</v>
      </c>
      <c r="S1619" s="19"/>
      <c r="T1619" s="17" t="str">
        <f aca="false">IF(R1619="維持",J1619,IF(R1619="排除","無關新聞事件",IFERROR(INDEX(事件規則!$B$2:$B$53,MATCH(S1619,事件規則!$A$2:$A$53,0)),"")))</f>
        <v>無關新聞事件</v>
      </c>
      <c r="U1619" s="20" t="n">
        <f aca="false">IF(R1619="維持",K1619,IF(R1619="排除",0,IFERROR(INDEX(事件規則!$C$2:$C$53,MATCH(S1619,事件規則!$A$2:$A$53,0)),"")))</f>
        <v>0</v>
      </c>
      <c r="V1619" s="21"/>
      <c r="W1619" s="22"/>
      <c r="X1619" s="10" t="str">
        <f aca="false">IF(AND(R1619="修改",S1619=""),"請選新事件代碼",IF(AND(R1619&lt;&gt;"修改",S1619&lt;&gt;""),"只有「修改」才需填代碼",""))</f>
        <v/>
      </c>
      <c r="Y1619" s="21"/>
      <c r="Z1619" s="22"/>
      <c r="AA1619" s="12" t="s">
        <v>4262</v>
      </c>
      <c r="AB1619" s="24"/>
    </row>
    <row r="1620" customFormat="false" ht="29.85" hidden="false" customHeight="false" outlineLevel="0" collapsed="false">
      <c r="A1620" s="15" t="n">
        <v>1619</v>
      </c>
      <c r="B1620" s="9" t="s">
        <v>112</v>
      </c>
      <c r="C1620" s="9" t="s">
        <v>1147</v>
      </c>
      <c r="D1620" s="10" t="s">
        <v>1148</v>
      </c>
      <c r="E1620" s="11" t="s">
        <v>4263</v>
      </c>
      <c r="F1620" s="17"/>
      <c r="G1620" s="12" t="s">
        <v>49</v>
      </c>
      <c r="H1620" s="13" t="n">
        <v>-0.017</v>
      </c>
      <c r="I1620" s="14"/>
      <c r="J1620" s="17"/>
      <c r="K1620" s="9"/>
      <c r="L1620" s="15" t="s">
        <v>50</v>
      </c>
      <c r="M1620" s="16" t="s">
        <v>51</v>
      </c>
      <c r="N1620" s="14"/>
      <c r="O1620" s="15" t="s">
        <v>52</v>
      </c>
      <c r="P1620" s="17" t="s">
        <v>53</v>
      </c>
      <c r="Q1620" s="15"/>
      <c r="R1620" s="18" t="s">
        <v>51</v>
      </c>
      <c r="S1620" s="19"/>
      <c r="T1620" s="17" t="str">
        <f aca="false">IF(R1620="維持",J1620,IF(R1620="排除","無關新聞事件",IFERROR(INDEX(事件規則!$B$2:$B$53,MATCH(S1620,事件規則!$A$2:$A$53,0)),"")))</f>
        <v>無關新聞事件</v>
      </c>
      <c r="U1620" s="20" t="n">
        <f aca="false">IF(R1620="維持",K1620,IF(R1620="排除",0,IFERROR(INDEX(事件規則!$C$2:$C$53,MATCH(S1620,事件規則!$A$2:$A$53,0)),"")))</f>
        <v>0</v>
      </c>
      <c r="V1620" s="21"/>
      <c r="W1620" s="22"/>
      <c r="X1620" s="10" t="str">
        <f aca="false">IF(AND(R1620="修改",S1620=""),"請選新事件代碼",IF(AND(R1620&lt;&gt;"修改",S1620&lt;&gt;""),"只有「修改」才需填代碼",""))</f>
        <v/>
      </c>
      <c r="Y1620" s="21"/>
      <c r="Z1620" s="22"/>
      <c r="AA1620" s="12" t="s">
        <v>4264</v>
      </c>
      <c r="AB1620" s="24"/>
    </row>
    <row r="1621" customFormat="false" ht="29.85" hidden="false" customHeight="false" outlineLevel="0" collapsed="false">
      <c r="A1621" s="15" t="n">
        <v>1620</v>
      </c>
      <c r="B1621" s="9" t="s">
        <v>112</v>
      </c>
      <c r="C1621" s="9" t="s">
        <v>535</v>
      </c>
      <c r="D1621" s="10" t="s">
        <v>536</v>
      </c>
      <c r="E1621" s="11" t="s">
        <v>4265</v>
      </c>
      <c r="F1621" s="17"/>
      <c r="G1621" s="12" t="s">
        <v>2033</v>
      </c>
      <c r="H1621" s="13" t="n">
        <v>-0.017</v>
      </c>
      <c r="I1621" s="14"/>
      <c r="J1621" s="17"/>
      <c r="K1621" s="9"/>
      <c r="L1621" s="15" t="s">
        <v>50</v>
      </c>
      <c r="M1621" s="16" t="s">
        <v>51</v>
      </c>
      <c r="N1621" s="14"/>
      <c r="O1621" s="15" t="s">
        <v>52</v>
      </c>
      <c r="P1621" s="17" t="s">
        <v>53</v>
      </c>
      <c r="Q1621" s="15"/>
      <c r="R1621" s="18" t="s">
        <v>51</v>
      </c>
      <c r="S1621" s="19"/>
      <c r="T1621" s="17" t="str">
        <f aca="false">IF(R1621="維持",J1621,IF(R1621="排除","無關新聞事件",IFERROR(INDEX(事件規則!$B$2:$B$53,MATCH(S1621,事件規則!$A$2:$A$53,0)),"")))</f>
        <v>無關新聞事件</v>
      </c>
      <c r="U1621" s="20" t="n">
        <f aca="false">IF(R1621="維持",K1621,IF(R1621="排除",0,IFERROR(INDEX(事件規則!$C$2:$C$53,MATCH(S1621,事件規則!$A$2:$A$53,0)),"")))</f>
        <v>0</v>
      </c>
      <c r="V1621" s="21"/>
      <c r="W1621" s="22"/>
      <c r="X1621" s="10" t="str">
        <f aca="false">IF(AND(R1621="修改",S1621=""),"請選新事件代碼",IF(AND(R1621&lt;&gt;"修改",S1621&lt;&gt;""),"只有「修改」才需填代碼",""))</f>
        <v/>
      </c>
      <c r="Y1621" s="21"/>
      <c r="Z1621" s="22"/>
      <c r="AA1621" s="12" t="s">
        <v>4266</v>
      </c>
      <c r="AB1621" s="24"/>
    </row>
    <row r="1622" customFormat="false" ht="29.85" hidden="false" customHeight="false" outlineLevel="0" collapsed="false">
      <c r="A1622" s="15" t="n">
        <v>1621</v>
      </c>
      <c r="B1622" s="9" t="s">
        <v>112</v>
      </c>
      <c r="C1622" s="9" t="s">
        <v>535</v>
      </c>
      <c r="D1622" s="10" t="s">
        <v>536</v>
      </c>
      <c r="E1622" s="11" t="s">
        <v>4267</v>
      </c>
      <c r="F1622" s="17"/>
      <c r="G1622" s="12" t="s">
        <v>105</v>
      </c>
      <c r="H1622" s="13" t="n">
        <v>-0.017</v>
      </c>
      <c r="I1622" s="14"/>
      <c r="J1622" s="17"/>
      <c r="K1622" s="9"/>
      <c r="L1622" s="15" t="s">
        <v>50</v>
      </c>
      <c r="M1622" s="16" t="s">
        <v>51</v>
      </c>
      <c r="N1622" s="14"/>
      <c r="O1622" s="15" t="s">
        <v>52</v>
      </c>
      <c r="P1622" s="17" t="s">
        <v>53</v>
      </c>
      <c r="Q1622" s="15"/>
      <c r="R1622" s="18" t="s">
        <v>51</v>
      </c>
      <c r="S1622" s="19"/>
      <c r="T1622" s="17" t="str">
        <f aca="false">IF(R1622="維持",J1622,IF(R1622="排除","無關新聞事件",IFERROR(INDEX(事件規則!$B$2:$B$53,MATCH(S1622,事件規則!$A$2:$A$53,0)),"")))</f>
        <v>無關新聞事件</v>
      </c>
      <c r="U1622" s="20" t="n">
        <f aca="false">IF(R1622="維持",K1622,IF(R1622="排除",0,IFERROR(INDEX(事件規則!$C$2:$C$53,MATCH(S1622,事件規則!$A$2:$A$53,0)),"")))</f>
        <v>0</v>
      </c>
      <c r="V1622" s="21"/>
      <c r="W1622" s="22"/>
      <c r="X1622" s="10" t="str">
        <f aca="false">IF(AND(R1622="修改",S1622=""),"請選新事件代碼",IF(AND(R1622&lt;&gt;"修改",S1622&lt;&gt;""),"只有「修改」才需填代碼",""))</f>
        <v/>
      </c>
      <c r="Y1622" s="21"/>
      <c r="Z1622" s="22"/>
      <c r="AA1622" s="12" t="s">
        <v>4268</v>
      </c>
      <c r="AB1622" s="24"/>
    </row>
    <row r="1623" customFormat="false" ht="29.85" hidden="false" customHeight="false" outlineLevel="0" collapsed="false">
      <c r="A1623" s="15" t="n">
        <v>1622</v>
      </c>
      <c r="B1623" s="9" t="s">
        <v>112</v>
      </c>
      <c r="C1623" s="9" t="s">
        <v>716</v>
      </c>
      <c r="D1623" s="10" t="s">
        <v>717</v>
      </c>
      <c r="E1623" s="11" t="s">
        <v>4269</v>
      </c>
      <c r="F1623" s="17"/>
      <c r="G1623" s="12" t="s">
        <v>324</v>
      </c>
      <c r="H1623" s="13" t="n">
        <v>-0.017</v>
      </c>
      <c r="I1623" s="14"/>
      <c r="J1623" s="17"/>
      <c r="K1623" s="9"/>
      <c r="L1623" s="15" t="s">
        <v>50</v>
      </c>
      <c r="M1623" s="16" t="s">
        <v>51</v>
      </c>
      <c r="N1623" s="14"/>
      <c r="O1623" s="15" t="s">
        <v>52</v>
      </c>
      <c r="P1623" s="17" t="s">
        <v>53</v>
      </c>
      <c r="Q1623" s="15"/>
      <c r="R1623" s="18" t="s">
        <v>51</v>
      </c>
      <c r="S1623" s="19"/>
      <c r="T1623" s="17" t="str">
        <f aca="false">IF(R1623="維持",J1623,IF(R1623="排除","無關新聞事件",IFERROR(INDEX(事件規則!$B$2:$B$53,MATCH(S1623,事件規則!$A$2:$A$53,0)),"")))</f>
        <v>無關新聞事件</v>
      </c>
      <c r="U1623" s="20" t="n">
        <f aca="false">IF(R1623="維持",K1623,IF(R1623="排除",0,IFERROR(INDEX(事件規則!$C$2:$C$53,MATCH(S1623,事件規則!$A$2:$A$53,0)),"")))</f>
        <v>0</v>
      </c>
      <c r="V1623" s="21"/>
      <c r="W1623" s="22"/>
      <c r="X1623" s="10" t="str">
        <f aca="false">IF(AND(R1623="修改",S1623=""),"請選新事件代碼",IF(AND(R1623&lt;&gt;"修改",S1623&lt;&gt;""),"只有「修改」才需填代碼",""))</f>
        <v/>
      </c>
      <c r="Y1623" s="21"/>
      <c r="Z1623" s="22"/>
      <c r="AA1623" s="12" t="s">
        <v>4270</v>
      </c>
      <c r="AB1623" s="24"/>
    </row>
    <row r="1624" customFormat="false" ht="29.85" hidden="false" customHeight="false" outlineLevel="0" collapsed="false">
      <c r="A1624" s="15" t="n">
        <v>1623</v>
      </c>
      <c r="B1624" s="9" t="s">
        <v>55</v>
      </c>
      <c r="C1624" s="9" t="s">
        <v>1318</v>
      </c>
      <c r="D1624" s="10" t="s">
        <v>1319</v>
      </c>
      <c r="E1624" s="11" t="s">
        <v>4271</v>
      </c>
      <c r="F1624" s="17"/>
      <c r="G1624" s="12" t="s">
        <v>95</v>
      </c>
      <c r="H1624" s="13" t="n">
        <v>-0.017</v>
      </c>
      <c r="I1624" s="14"/>
      <c r="J1624" s="17"/>
      <c r="K1624" s="9"/>
      <c r="L1624" s="15" t="s">
        <v>50</v>
      </c>
      <c r="M1624" s="16" t="s">
        <v>51</v>
      </c>
      <c r="N1624" s="14"/>
      <c r="O1624" s="15" t="s">
        <v>52</v>
      </c>
      <c r="P1624" s="17" t="s">
        <v>53</v>
      </c>
      <c r="Q1624" s="15"/>
      <c r="R1624" s="18" t="s">
        <v>51</v>
      </c>
      <c r="S1624" s="19"/>
      <c r="T1624" s="17" t="str">
        <f aca="false">IF(R1624="維持",J1624,IF(R1624="排除","無關新聞事件",IFERROR(INDEX(事件規則!$B$2:$B$53,MATCH(S1624,事件規則!$A$2:$A$53,0)),"")))</f>
        <v>無關新聞事件</v>
      </c>
      <c r="U1624" s="20" t="n">
        <f aca="false">IF(R1624="維持",K1624,IF(R1624="排除",0,IFERROR(INDEX(事件規則!$C$2:$C$53,MATCH(S1624,事件規則!$A$2:$A$53,0)),"")))</f>
        <v>0</v>
      </c>
      <c r="V1624" s="21"/>
      <c r="W1624" s="22"/>
      <c r="X1624" s="10" t="str">
        <f aca="false">IF(AND(R1624="修改",S1624=""),"請選新事件代碼",IF(AND(R1624&lt;&gt;"修改",S1624&lt;&gt;""),"只有「修改」才需填代碼",""))</f>
        <v/>
      </c>
      <c r="Y1624" s="21"/>
      <c r="Z1624" s="22"/>
      <c r="AA1624" s="12" t="s">
        <v>4272</v>
      </c>
      <c r="AB1624" s="24"/>
    </row>
    <row r="1625" customFormat="false" ht="29.85" hidden="false" customHeight="false" outlineLevel="0" collapsed="false">
      <c r="A1625" s="15" t="n">
        <v>1624</v>
      </c>
      <c r="B1625" s="9" t="s">
        <v>112</v>
      </c>
      <c r="C1625" s="9" t="s">
        <v>1928</v>
      </c>
      <c r="D1625" s="10" t="s">
        <v>1929</v>
      </c>
      <c r="E1625" s="11" t="s">
        <v>4273</v>
      </c>
      <c r="F1625" s="17"/>
      <c r="G1625" s="12" t="s">
        <v>949</v>
      </c>
      <c r="H1625" s="13" t="n">
        <v>-0.017</v>
      </c>
      <c r="I1625" s="14"/>
      <c r="J1625" s="17"/>
      <c r="K1625" s="9"/>
      <c r="L1625" s="15" t="s">
        <v>50</v>
      </c>
      <c r="M1625" s="16" t="s">
        <v>51</v>
      </c>
      <c r="N1625" s="14"/>
      <c r="O1625" s="15" t="s">
        <v>52</v>
      </c>
      <c r="P1625" s="17" t="s">
        <v>53</v>
      </c>
      <c r="Q1625" s="15"/>
      <c r="R1625" s="18" t="s">
        <v>51</v>
      </c>
      <c r="S1625" s="19"/>
      <c r="T1625" s="17" t="str">
        <f aca="false">IF(R1625="維持",J1625,IF(R1625="排除","無關新聞事件",IFERROR(INDEX(事件規則!$B$2:$B$53,MATCH(S1625,事件規則!$A$2:$A$53,0)),"")))</f>
        <v>無關新聞事件</v>
      </c>
      <c r="U1625" s="20" t="n">
        <f aca="false">IF(R1625="維持",K1625,IF(R1625="排除",0,IFERROR(INDEX(事件規則!$C$2:$C$53,MATCH(S1625,事件規則!$A$2:$A$53,0)),"")))</f>
        <v>0</v>
      </c>
      <c r="V1625" s="21"/>
      <c r="W1625" s="22"/>
      <c r="X1625" s="10" t="str">
        <f aca="false">IF(AND(R1625="修改",S1625=""),"請選新事件代碼",IF(AND(R1625&lt;&gt;"修改",S1625&lt;&gt;""),"只有「修改」才需填代碼",""))</f>
        <v/>
      </c>
      <c r="Y1625" s="21"/>
      <c r="Z1625" s="22"/>
      <c r="AA1625" s="12" t="s">
        <v>4274</v>
      </c>
      <c r="AB1625" s="24"/>
    </row>
    <row r="1626" customFormat="false" ht="29.85" hidden="false" customHeight="false" outlineLevel="0" collapsed="false">
      <c r="A1626" s="15" t="n">
        <v>1625</v>
      </c>
      <c r="B1626" s="9" t="s">
        <v>112</v>
      </c>
      <c r="C1626" s="9" t="s">
        <v>580</v>
      </c>
      <c r="D1626" s="10" t="s">
        <v>581</v>
      </c>
      <c r="E1626" s="11" t="s">
        <v>4275</v>
      </c>
      <c r="F1626" s="17"/>
      <c r="G1626" s="12" t="s">
        <v>95</v>
      </c>
      <c r="H1626" s="13" t="n">
        <v>-0.017</v>
      </c>
      <c r="I1626" s="14"/>
      <c r="J1626" s="17"/>
      <c r="K1626" s="9"/>
      <c r="L1626" s="15" t="s">
        <v>50</v>
      </c>
      <c r="M1626" s="16" t="s">
        <v>51</v>
      </c>
      <c r="N1626" s="14"/>
      <c r="O1626" s="15" t="s">
        <v>52</v>
      </c>
      <c r="P1626" s="17" t="s">
        <v>53</v>
      </c>
      <c r="Q1626" s="15"/>
      <c r="R1626" s="18" t="s">
        <v>51</v>
      </c>
      <c r="S1626" s="19"/>
      <c r="T1626" s="17" t="str">
        <f aca="false">IF(R1626="維持",J1626,IF(R1626="排除","無關新聞事件",IFERROR(INDEX(事件規則!$B$2:$B$53,MATCH(S1626,事件規則!$A$2:$A$53,0)),"")))</f>
        <v>無關新聞事件</v>
      </c>
      <c r="U1626" s="20" t="n">
        <f aca="false">IF(R1626="維持",K1626,IF(R1626="排除",0,IFERROR(INDEX(事件規則!$C$2:$C$53,MATCH(S1626,事件規則!$A$2:$A$53,0)),"")))</f>
        <v>0</v>
      </c>
      <c r="V1626" s="21"/>
      <c r="W1626" s="22"/>
      <c r="X1626" s="10" t="str">
        <f aca="false">IF(AND(R1626="修改",S1626=""),"請選新事件代碼",IF(AND(R1626&lt;&gt;"修改",S1626&lt;&gt;""),"只有「修改」才需填代碼",""))</f>
        <v/>
      </c>
      <c r="Y1626" s="21"/>
      <c r="Z1626" s="22"/>
      <c r="AA1626" s="12" t="s">
        <v>4276</v>
      </c>
      <c r="AB1626" s="24"/>
    </row>
    <row r="1627" customFormat="false" ht="29.85" hidden="false" customHeight="false" outlineLevel="0" collapsed="false">
      <c r="A1627" s="15" t="n">
        <v>1626</v>
      </c>
      <c r="B1627" s="9" t="s">
        <v>112</v>
      </c>
      <c r="C1627" s="9" t="s">
        <v>107</v>
      </c>
      <c r="D1627" s="10" t="s">
        <v>108</v>
      </c>
      <c r="E1627" s="11" t="s">
        <v>4277</v>
      </c>
      <c r="F1627" s="17"/>
      <c r="G1627" s="12" t="s">
        <v>105</v>
      </c>
      <c r="H1627" s="13" t="n">
        <v>-0.017</v>
      </c>
      <c r="I1627" s="14"/>
      <c r="J1627" s="17"/>
      <c r="K1627" s="9"/>
      <c r="L1627" s="15" t="s">
        <v>50</v>
      </c>
      <c r="M1627" s="16" t="s">
        <v>51</v>
      </c>
      <c r="N1627" s="14"/>
      <c r="O1627" s="15" t="s">
        <v>52</v>
      </c>
      <c r="P1627" s="17" t="s">
        <v>53</v>
      </c>
      <c r="Q1627" s="15"/>
      <c r="R1627" s="18" t="s">
        <v>51</v>
      </c>
      <c r="S1627" s="19"/>
      <c r="T1627" s="17" t="str">
        <f aca="false">IF(R1627="維持",J1627,IF(R1627="排除","無關新聞事件",IFERROR(INDEX(事件規則!$B$2:$B$53,MATCH(S1627,事件規則!$A$2:$A$53,0)),"")))</f>
        <v>無關新聞事件</v>
      </c>
      <c r="U1627" s="20" t="n">
        <f aca="false">IF(R1627="維持",K1627,IF(R1627="排除",0,IFERROR(INDEX(事件規則!$C$2:$C$53,MATCH(S1627,事件規則!$A$2:$A$53,0)),"")))</f>
        <v>0</v>
      </c>
      <c r="V1627" s="21"/>
      <c r="W1627" s="22"/>
      <c r="X1627" s="10" t="str">
        <f aca="false">IF(AND(R1627="修改",S1627=""),"請選新事件代碼",IF(AND(R1627&lt;&gt;"修改",S1627&lt;&gt;""),"只有「修改」才需填代碼",""))</f>
        <v/>
      </c>
      <c r="Y1627" s="21"/>
      <c r="Z1627" s="22"/>
      <c r="AA1627" s="12" t="s">
        <v>4278</v>
      </c>
      <c r="AB1627" s="24"/>
    </row>
    <row r="1628" customFormat="false" ht="29.85" hidden="false" customHeight="false" outlineLevel="0" collapsed="false">
      <c r="A1628" s="15" t="n">
        <v>1627</v>
      </c>
      <c r="B1628" s="9" t="s">
        <v>112</v>
      </c>
      <c r="C1628" s="9" t="s">
        <v>831</v>
      </c>
      <c r="D1628" s="10" t="s">
        <v>832</v>
      </c>
      <c r="E1628" s="11" t="s">
        <v>4279</v>
      </c>
      <c r="F1628" s="17"/>
      <c r="G1628" s="12" t="s">
        <v>176</v>
      </c>
      <c r="H1628" s="13" t="n">
        <v>-0.017</v>
      </c>
      <c r="I1628" s="14"/>
      <c r="J1628" s="17"/>
      <c r="K1628" s="9"/>
      <c r="L1628" s="15" t="s">
        <v>50</v>
      </c>
      <c r="M1628" s="16" t="s">
        <v>51</v>
      </c>
      <c r="N1628" s="14"/>
      <c r="O1628" s="15" t="s">
        <v>52</v>
      </c>
      <c r="P1628" s="17" t="s">
        <v>53</v>
      </c>
      <c r="Q1628" s="15"/>
      <c r="R1628" s="18" t="s">
        <v>51</v>
      </c>
      <c r="S1628" s="19"/>
      <c r="T1628" s="17" t="str">
        <f aca="false">IF(R1628="維持",J1628,IF(R1628="排除","無關新聞事件",IFERROR(INDEX(事件規則!$B$2:$B$53,MATCH(S1628,事件規則!$A$2:$A$53,0)),"")))</f>
        <v>無關新聞事件</v>
      </c>
      <c r="U1628" s="20" t="n">
        <f aca="false">IF(R1628="維持",K1628,IF(R1628="排除",0,IFERROR(INDEX(事件規則!$C$2:$C$53,MATCH(S1628,事件規則!$A$2:$A$53,0)),"")))</f>
        <v>0</v>
      </c>
      <c r="V1628" s="21"/>
      <c r="W1628" s="22"/>
      <c r="X1628" s="10" t="str">
        <f aca="false">IF(AND(R1628="修改",S1628=""),"請選新事件代碼",IF(AND(R1628&lt;&gt;"修改",S1628&lt;&gt;""),"只有「修改」才需填代碼",""))</f>
        <v/>
      </c>
      <c r="Y1628" s="21"/>
      <c r="Z1628" s="22"/>
      <c r="AA1628" s="12" t="s">
        <v>4280</v>
      </c>
      <c r="AB1628" s="24"/>
    </row>
    <row r="1629" customFormat="false" ht="29.85" hidden="false" customHeight="false" outlineLevel="0" collapsed="false">
      <c r="A1629" s="15" t="n">
        <v>1628</v>
      </c>
      <c r="B1629" s="9" t="s">
        <v>45</v>
      </c>
      <c r="C1629" s="9" t="s">
        <v>535</v>
      </c>
      <c r="D1629" s="10" t="s">
        <v>536</v>
      </c>
      <c r="E1629" s="11" t="s">
        <v>4281</v>
      </c>
      <c r="F1629" s="17"/>
      <c r="G1629" s="12" t="s">
        <v>2033</v>
      </c>
      <c r="H1629" s="13" t="n">
        <v>-0.017</v>
      </c>
      <c r="I1629" s="14"/>
      <c r="J1629" s="17"/>
      <c r="K1629" s="9"/>
      <c r="L1629" s="15" t="s">
        <v>50</v>
      </c>
      <c r="M1629" s="16" t="s">
        <v>51</v>
      </c>
      <c r="N1629" s="14"/>
      <c r="O1629" s="15" t="s">
        <v>52</v>
      </c>
      <c r="P1629" s="17" t="s">
        <v>53</v>
      </c>
      <c r="Q1629" s="15"/>
      <c r="R1629" s="18" t="s">
        <v>51</v>
      </c>
      <c r="S1629" s="19"/>
      <c r="T1629" s="17" t="str">
        <f aca="false">IF(R1629="維持",J1629,IF(R1629="排除","無關新聞事件",IFERROR(INDEX(事件規則!$B$2:$B$53,MATCH(S1629,事件規則!$A$2:$A$53,0)),"")))</f>
        <v>無關新聞事件</v>
      </c>
      <c r="U1629" s="20" t="n">
        <f aca="false">IF(R1629="維持",K1629,IF(R1629="排除",0,IFERROR(INDEX(事件規則!$C$2:$C$53,MATCH(S1629,事件規則!$A$2:$A$53,0)),"")))</f>
        <v>0</v>
      </c>
      <c r="V1629" s="21"/>
      <c r="W1629" s="22"/>
      <c r="X1629" s="10" t="str">
        <f aca="false">IF(AND(R1629="修改",S1629=""),"請選新事件代碼",IF(AND(R1629&lt;&gt;"修改",S1629&lt;&gt;""),"只有「修改」才需填代碼",""))</f>
        <v/>
      </c>
      <c r="Y1629" s="21"/>
      <c r="Z1629" s="22"/>
      <c r="AA1629" s="12" t="s">
        <v>4282</v>
      </c>
      <c r="AB1629" s="24"/>
    </row>
    <row r="1630" customFormat="false" ht="29.85" hidden="false" customHeight="false" outlineLevel="0" collapsed="false">
      <c r="A1630" s="15" t="n">
        <v>1629</v>
      </c>
      <c r="B1630" s="9" t="s">
        <v>55</v>
      </c>
      <c r="C1630" s="9" t="s">
        <v>2130</v>
      </c>
      <c r="D1630" s="10" t="s">
        <v>2131</v>
      </c>
      <c r="E1630" s="11" t="s">
        <v>4283</v>
      </c>
      <c r="F1630" s="17"/>
      <c r="G1630" s="12" t="s">
        <v>3221</v>
      </c>
      <c r="H1630" s="13" t="n">
        <v>-0.017</v>
      </c>
      <c r="I1630" s="14"/>
      <c r="J1630" s="17"/>
      <c r="K1630" s="9"/>
      <c r="L1630" s="15" t="s">
        <v>50</v>
      </c>
      <c r="M1630" s="16" t="s">
        <v>51</v>
      </c>
      <c r="N1630" s="14"/>
      <c r="O1630" s="15" t="s">
        <v>52</v>
      </c>
      <c r="P1630" s="17" t="s">
        <v>53</v>
      </c>
      <c r="Q1630" s="15"/>
      <c r="R1630" s="18" t="s">
        <v>51</v>
      </c>
      <c r="S1630" s="19"/>
      <c r="T1630" s="17" t="str">
        <f aca="false">IF(R1630="維持",J1630,IF(R1630="排除","無關新聞事件",IFERROR(INDEX(事件規則!$B$2:$B$53,MATCH(S1630,事件規則!$A$2:$A$53,0)),"")))</f>
        <v>無關新聞事件</v>
      </c>
      <c r="U1630" s="20" t="n">
        <f aca="false">IF(R1630="維持",K1630,IF(R1630="排除",0,IFERROR(INDEX(事件規則!$C$2:$C$53,MATCH(S1630,事件規則!$A$2:$A$53,0)),"")))</f>
        <v>0</v>
      </c>
      <c r="V1630" s="21"/>
      <c r="W1630" s="22"/>
      <c r="X1630" s="10" t="str">
        <f aca="false">IF(AND(R1630="修改",S1630=""),"請選新事件代碼",IF(AND(R1630&lt;&gt;"修改",S1630&lt;&gt;""),"只有「修改」才需填代碼",""))</f>
        <v/>
      </c>
      <c r="Y1630" s="21"/>
      <c r="Z1630" s="22"/>
      <c r="AA1630" s="12" t="s">
        <v>4284</v>
      </c>
      <c r="AB1630" s="24"/>
    </row>
    <row r="1631" customFormat="false" ht="29.85" hidden="false" customHeight="false" outlineLevel="0" collapsed="false">
      <c r="A1631" s="15" t="n">
        <v>1630</v>
      </c>
      <c r="B1631" s="9" t="s">
        <v>45</v>
      </c>
      <c r="C1631" s="9" t="s">
        <v>2130</v>
      </c>
      <c r="D1631" s="10" t="s">
        <v>2131</v>
      </c>
      <c r="E1631" s="11" t="s">
        <v>4283</v>
      </c>
      <c r="F1631" s="17"/>
      <c r="G1631" s="12" t="s">
        <v>3221</v>
      </c>
      <c r="H1631" s="13" t="n">
        <v>-0.017</v>
      </c>
      <c r="I1631" s="14"/>
      <c r="J1631" s="17"/>
      <c r="K1631" s="9"/>
      <c r="L1631" s="15" t="s">
        <v>50</v>
      </c>
      <c r="M1631" s="16" t="s">
        <v>51</v>
      </c>
      <c r="N1631" s="14"/>
      <c r="O1631" s="15" t="s">
        <v>52</v>
      </c>
      <c r="P1631" s="17" t="s">
        <v>53</v>
      </c>
      <c r="Q1631" s="15"/>
      <c r="R1631" s="18" t="s">
        <v>51</v>
      </c>
      <c r="S1631" s="19"/>
      <c r="T1631" s="17" t="str">
        <f aca="false">IF(R1631="維持",J1631,IF(R1631="排除","無關新聞事件",IFERROR(INDEX(事件規則!$B$2:$B$53,MATCH(S1631,事件規則!$A$2:$A$53,0)),"")))</f>
        <v>無關新聞事件</v>
      </c>
      <c r="U1631" s="20" t="n">
        <f aca="false">IF(R1631="維持",K1631,IF(R1631="排除",0,IFERROR(INDEX(事件規則!$C$2:$C$53,MATCH(S1631,事件規則!$A$2:$A$53,0)),"")))</f>
        <v>0</v>
      </c>
      <c r="V1631" s="21"/>
      <c r="W1631" s="22"/>
      <c r="X1631" s="10" t="str">
        <f aca="false">IF(AND(R1631="修改",S1631=""),"請選新事件代碼",IF(AND(R1631&lt;&gt;"修改",S1631&lt;&gt;""),"只有「修改」才需填代碼",""))</f>
        <v/>
      </c>
      <c r="Y1631" s="21"/>
      <c r="Z1631" s="22"/>
      <c r="AA1631" s="12" t="s">
        <v>4284</v>
      </c>
      <c r="AB1631" s="24"/>
    </row>
    <row r="1632" customFormat="false" ht="29.85" hidden="false" customHeight="false" outlineLevel="0" collapsed="false">
      <c r="A1632" s="15" t="n">
        <v>1631</v>
      </c>
      <c r="B1632" s="9" t="s">
        <v>45</v>
      </c>
      <c r="C1632" s="9" t="s">
        <v>1829</v>
      </c>
      <c r="D1632" s="10" t="s">
        <v>1830</v>
      </c>
      <c r="E1632" s="11" t="s">
        <v>4285</v>
      </c>
      <c r="F1632" s="17"/>
      <c r="G1632" s="12" t="s">
        <v>3221</v>
      </c>
      <c r="H1632" s="13" t="n">
        <v>-0.017</v>
      </c>
      <c r="I1632" s="14"/>
      <c r="J1632" s="17"/>
      <c r="K1632" s="9"/>
      <c r="L1632" s="15" t="s">
        <v>50</v>
      </c>
      <c r="M1632" s="16" t="s">
        <v>51</v>
      </c>
      <c r="N1632" s="14"/>
      <c r="O1632" s="15" t="s">
        <v>52</v>
      </c>
      <c r="P1632" s="17" t="s">
        <v>53</v>
      </c>
      <c r="Q1632" s="15"/>
      <c r="R1632" s="18" t="s">
        <v>51</v>
      </c>
      <c r="S1632" s="19"/>
      <c r="T1632" s="17" t="str">
        <f aca="false">IF(R1632="維持",J1632,IF(R1632="排除","無關新聞事件",IFERROR(INDEX(事件規則!$B$2:$B$53,MATCH(S1632,事件規則!$A$2:$A$53,0)),"")))</f>
        <v>無關新聞事件</v>
      </c>
      <c r="U1632" s="20" t="n">
        <f aca="false">IF(R1632="維持",K1632,IF(R1632="排除",0,IFERROR(INDEX(事件規則!$C$2:$C$53,MATCH(S1632,事件規則!$A$2:$A$53,0)),"")))</f>
        <v>0</v>
      </c>
      <c r="V1632" s="21"/>
      <c r="W1632" s="22"/>
      <c r="X1632" s="10" t="str">
        <f aca="false">IF(AND(R1632="修改",S1632=""),"請選新事件代碼",IF(AND(R1632&lt;&gt;"修改",S1632&lt;&gt;""),"只有「修改」才需填代碼",""))</f>
        <v/>
      </c>
      <c r="Y1632" s="21"/>
      <c r="Z1632" s="22"/>
      <c r="AA1632" s="12" t="s">
        <v>4286</v>
      </c>
      <c r="AB1632" s="24"/>
    </row>
    <row r="1633" customFormat="false" ht="29.85" hidden="false" customHeight="false" outlineLevel="0" collapsed="false">
      <c r="A1633" s="15" t="n">
        <v>1632</v>
      </c>
      <c r="B1633" s="9" t="s">
        <v>45</v>
      </c>
      <c r="C1633" s="9" t="s">
        <v>1032</v>
      </c>
      <c r="D1633" s="10" t="s">
        <v>1033</v>
      </c>
      <c r="E1633" s="11" t="s">
        <v>4287</v>
      </c>
      <c r="F1633" s="17"/>
      <c r="G1633" s="12" t="s">
        <v>3221</v>
      </c>
      <c r="H1633" s="13" t="n">
        <v>-0.017</v>
      </c>
      <c r="I1633" s="14"/>
      <c r="J1633" s="17"/>
      <c r="K1633" s="9"/>
      <c r="L1633" s="15" t="s">
        <v>50</v>
      </c>
      <c r="M1633" s="16" t="s">
        <v>51</v>
      </c>
      <c r="N1633" s="14"/>
      <c r="O1633" s="15" t="s">
        <v>52</v>
      </c>
      <c r="P1633" s="17" t="s">
        <v>53</v>
      </c>
      <c r="Q1633" s="15"/>
      <c r="R1633" s="18" t="s">
        <v>51</v>
      </c>
      <c r="S1633" s="19"/>
      <c r="T1633" s="17" t="str">
        <f aca="false">IF(R1633="維持",J1633,IF(R1633="排除","無關新聞事件",IFERROR(INDEX(事件規則!$B$2:$B$53,MATCH(S1633,事件規則!$A$2:$A$53,0)),"")))</f>
        <v>無關新聞事件</v>
      </c>
      <c r="U1633" s="20" t="n">
        <f aca="false">IF(R1633="維持",K1633,IF(R1633="排除",0,IFERROR(INDEX(事件規則!$C$2:$C$53,MATCH(S1633,事件規則!$A$2:$A$53,0)),"")))</f>
        <v>0</v>
      </c>
      <c r="V1633" s="21"/>
      <c r="W1633" s="22"/>
      <c r="X1633" s="10" t="str">
        <f aca="false">IF(AND(R1633="修改",S1633=""),"請選新事件代碼",IF(AND(R1633&lt;&gt;"修改",S1633&lt;&gt;""),"只有「修改」才需填代碼",""))</f>
        <v/>
      </c>
      <c r="Y1633" s="21"/>
      <c r="Z1633" s="22"/>
      <c r="AA1633" s="12" t="s">
        <v>4288</v>
      </c>
      <c r="AB1633" s="24"/>
    </row>
    <row r="1634" customFormat="false" ht="29.85" hidden="false" customHeight="false" outlineLevel="0" collapsed="false">
      <c r="A1634" s="15" t="n">
        <v>1633</v>
      </c>
      <c r="B1634" s="9" t="s">
        <v>55</v>
      </c>
      <c r="C1634" s="9" t="s">
        <v>1829</v>
      </c>
      <c r="D1634" s="10" t="s">
        <v>1830</v>
      </c>
      <c r="E1634" s="11" t="s">
        <v>4285</v>
      </c>
      <c r="F1634" s="17"/>
      <c r="G1634" s="12" t="s">
        <v>3221</v>
      </c>
      <c r="H1634" s="13" t="n">
        <v>-0.017</v>
      </c>
      <c r="I1634" s="14"/>
      <c r="J1634" s="17"/>
      <c r="K1634" s="9"/>
      <c r="L1634" s="15" t="s">
        <v>50</v>
      </c>
      <c r="M1634" s="16" t="s">
        <v>51</v>
      </c>
      <c r="N1634" s="14"/>
      <c r="O1634" s="15" t="s">
        <v>52</v>
      </c>
      <c r="P1634" s="17" t="s">
        <v>53</v>
      </c>
      <c r="Q1634" s="15"/>
      <c r="R1634" s="18" t="s">
        <v>51</v>
      </c>
      <c r="S1634" s="19"/>
      <c r="T1634" s="17" t="str">
        <f aca="false">IF(R1634="維持",J1634,IF(R1634="排除","無關新聞事件",IFERROR(INDEX(事件規則!$B$2:$B$53,MATCH(S1634,事件規則!$A$2:$A$53,0)),"")))</f>
        <v>無關新聞事件</v>
      </c>
      <c r="U1634" s="20" t="n">
        <f aca="false">IF(R1634="維持",K1634,IF(R1634="排除",0,IFERROR(INDEX(事件規則!$C$2:$C$53,MATCH(S1634,事件規則!$A$2:$A$53,0)),"")))</f>
        <v>0</v>
      </c>
      <c r="V1634" s="21"/>
      <c r="W1634" s="22"/>
      <c r="X1634" s="10" t="str">
        <f aca="false">IF(AND(R1634="修改",S1634=""),"請選新事件代碼",IF(AND(R1634&lt;&gt;"修改",S1634&lt;&gt;""),"只有「修改」才需填代碼",""))</f>
        <v/>
      </c>
      <c r="Y1634" s="21"/>
      <c r="Z1634" s="22"/>
      <c r="AA1634" s="12" t="s">
        <v>4286</v>
      </c>
      <c r="AB1634" s="24"/>
    </row>
    <row r="1635" customFormat="false" ht="29.85" hidden="false" customHeight="false" outlineLevel="0" collapsed="false">
      <c r="A1635" s="15" t="n">
        <v>1634</v>
      </c>
      <c r="B1635" s="9" t="s">
        <v>55</v>
      </c>
      <c r="C1635" s="9" t="s">
        <v>3881</v>
      </c>
      <c r="D1635" s="10" t="s">
        <v>3882</v>
      </c>
      <c r="E1635" s="11" t="s">
        <v>4289</v>
      </c>
      <c r="F1635" s="17"/>
      <c r="G1635" s="12" t="s">
        <v>176</v>
      </c>
      <c r="H1635" s="13" t="n">
        <v>-0.017</v>
      </c>
      <c r="I1635" s="14"/>
      <c r="J1635" s="17"/>
      <c r="K1635" s="9"/>
      <c r="L1635" s="15" t="s">
        <v>50</v>
      </c>
      <c r="M1635" s="16" t="s">
        <v>51</v>
      </c>
      <c r="N1635" s="14"/>
      <c r="O1635" s="15" t="s">
        <v>52</v>
      </c>
      <c r="P1635" s="17" t="s">
        <v>53</v>
      </c>
      <c r="Q1635" s="15"/>
      <c r="R1635" s="18" t="s">
        <v>51</v>
      </c>
      <c r="S1635" s="19"/>
      <c r="T1635" s="17" t="str">
        <f aca="false">IF(R1635="維持",J1635,IF(R1635="排除","無關新聞事件",IFERROR(INDEX(事件規則!$B$2:$B$53,MATCH(S1635,事件規則!$A$2:$A$53,0)),"")))</f>
        <v>無關新聞事件</v>
      </c>
      <c r="U1635" s="20" t="n">
        <f aca="false">IF(R1635="維持",K1635,IF(R1635="排除",0,IFERROR(INDEX(事件規則!$C$2:$C$53,MATCH(S1635,事件規則!$A$2:$A$53,0)),"")))</f>
        <v>0</v>
      </c>
      <c r="V1635" s="21"/>
      <c r="W1635" s="22"/>
      <c r="X1635" s="10" t="str">
        <f aca="false">IF(AND(R1635="修改",S1635=""),"請選新事件代碼",IF(AND(R1635&lt;&gt;"修改",S1635&lt;&gt;""),"只有「修改」才需填代碼",""))</f>
        <v/>
      </c>
      <c r="Y1635" s="21"/>
      <c r="Z1635" s="22"/>
      <c r="AA1635" s="12" t="s">
        <v>4290</v>
      </c>
      <c r="AB1635" s="24"/>
    </row>
    <row r="1636" customFormat="false" ht="29.85" hidden="false" customHeight="false" outlineLevel="0" collapsed="false">
      <c r="A1636" s="15" t="n">
        <v>1635</v>
      </c>
      <c r="B1636" s="9" t="s">
        <v>55</v>
      </c>
      <c r="C1636" s="9" t="s">
        <v>2289</v>
      </c>
      <c r="D1636" s="10" t="s">
        <v>2290</v>
      </c>
      <c r="E1636" s="11" t="s">
        <v>4291</v>
      </c>
      <c r="F1636" s="17"/>
      <c r="G1636" s="12" t="s">
        <v>3221</v>
      </c>
      <c r="H1636" s="13" t="n">
        <v>-0.017</v>
      </c>
      <c r="I1636" s="14"/>
      <c r="J1636" s="17"/>
      <c r="K1636" s="9"/>
      <c r="L1636" s="15" t="s">
        <v>50</v>
      </c>
      <c r="M1636" s="16" t="s">
        <v>51</v>
      </c>
      <c r="N1636" s="14"/>
      <c r="O1636" s="15" t="s">
        <v>52</v>
      </c>
      <c r="P1636" s="17" t="s">
        <v>53</v>
      </c>
      <c r="Q1636" s="15"/>
      <c r="R1636" s="18" t="s">
        <v>51</v>
      </c>
      <c r="S1636" s="19"/>
      <c r="T1636" s="17" t="str">
        <f aca="false">IF(R1636="維持",J1636,IF(R1636="排除","無關新聞事件",IFERROR(INDEX(事件規則!$B$2:$B$53,MATCH(S1636,事件規則!$A$2:$A$53,0)),"")))</f>
        <v>無關新聞事件</v>
      </c>
      <c r="U1636" s="20" t="n">
        <f aca="false">IF(R1636="維持",K1636,IF(R1636="排除",0,IFERROR(INDEX(事件規則!$C$2:$C$53,MATCH(S1636,事件規則!$A$2:$A$53,0)),"")))</f>
        <v>0</v>
      </c>
      <c r="V1636" s="21"/>
      <c r="W1636" s="22"/>
      <c r="X1636" s="10" t="str">
        <f aca="false">IF(AND(R1636="修改",S1636=""),"請選新事件代碼",IF(AND(R1636&lt;&gt;"修改",S1636&lt;&gt;""),"只有「修改」才需填代碼",""))</f>
        <v/>
      </c>
      <c r="Y1636" s="21"/>
      <c r="Z1636" s="22"/>
      <c r="AA1636" s="12" t="s">
        <v>4292</v>
      </c>
      <c r="AB1636" s="24"/>
    </row>
    <row r="1637" customFormat="false" ht="29.85" hidden="false" customHeight="false" outlineLevel="0" collapsed="false">
      <c r="A1637" s="15" t="n">
        <v>1636</v>
      </c>
      <c r="B1637" s="9" t="s">
        <v>55</v>
      </c>
      <c r="C1637" s="9" t="s">
        <v>1602</v>
      </c>
      <c r="D1637" s="10" t="s">
        <v>1603</v>
      </c>
      <c r="E1637" s="11" t="s">
        <v>4293</v>
      </c>
      <c r="F1637" s="17"/>
      <c r="G1637" s="12" t="s">
        <v>176</v>
      </c>
      <c r="H1637" s="13" t="n">
        <v>-0.017</v>
      </c>
      <c r="I1637" s="14"/>
      <c r="J1637" s="17"/>
      <c r="K1637" s="9"/>
      <c r="L1637" s="15" t="s">
        <v>50</v>
      </c>
      <c r="M1637" s="16" t="s">
        <v>51</v>
      </c>
      <c r="N1637" s="14"/>
      <c r="O1637" s="15" t="s">
        <v>52</v>
      </c>
      <c r="P1637" s="17" t="s">
        <v>53</v>
      </c>
      <c r="Q1637" s="15"/>
      <c r="R1637" s="18" t="s">
        <v>51</v>
      </c>
      <c r="S1637" s="19"/>
      <c r="T1637" s="17" t="str">
        <f aca="false">IF(R1637="維持",J1637,IF(R1637="排除","無關新聞事件",IFERROR(INDEX(事件規則!$B$2:$B$53,MATCH(S1637,事件規則!$A$2:$A$53,0)),"")))</f>
        <v>無關新聞事件</v>
      </c>
      <c r="U1637" s="20" t="n">
        <f aca="false">IF(R1637="維持",K1637,IF(R1637="排除",0,IFERROR(INDEX(事件規則!$C$2:$C$53,MATCH(S1637,事件規則!$A$2:$A$53,0)),"")))</f>
        <v>0</v>
      </c>
      <c r="V1637" s="21"/>
      <c r="W1637" s="22"/>
      <c r="X1637" s="10" t="str">
        <f aca="false">IF(AND(R1637="修改",S1637=""),"請選新事件代碼",IF(AND(R1637&lt;&gt;"修改",S1637&lt;&gt;""),"只有「修改」才需填代碼",""))</f>
        <v/>
      </c>
      <c r="Y1637" s="21"/>
      <c r="Z1637" s="22"/>
      <c r="AA1637" s="12" t="s">
        <v>4294</v>
      </c>
      <c r="AB1637" s="24"/>
    </row>
    <row r="1638" customFormat="false" ht="29.85" hidden="false" customHeight="false" outlineLevel="0" collapsed="false">
      <c r="A1638" s="15" t="n">
        <v>1637</v>
      </c>
      <c r="B1638" s="9" t="s">
        <v>55</v>
      </c>
      <c r="C1638" s="9" t="s">
        <v>3426</v>
      </c>
      <c r="D1638" s="10" t="s">
        <v>3427</v>
      </c>
      <c r="E1638" s="11" t="s">
        <v>4295</v>
      </c>
      <c r="F1638" s="17"/>
      <c r="G1638" s="12" t="s">
        <v>176</v>
      </c>
      <c r="H1638" s="13" t="n">
        <v>-0.017</v>
      </c>
      <c r="I1638" s="14"/>
      <c r="J1638" s="17"/>
      <c r="K1638" s="9"/>
      <c r="L1638" s="15" t="s">
        <v>50</v>
      </c>
      <c r="M1638" s="16" t="s">
        <v>51</v>
      </c>
      <c r="N1638" s="14"/>
      <c r="O1638" s="15" t="s">
        <v>52</v>
      </c>
      <c r="P1638" s="17" t="s">
        <v>53</v>
      </c>
      <c r="Q1638" s="15"/>
      <c r="R1638" s="18" t="s">
        <v>51</v>
      </c>
      <c r="S1638" s="19"/>
      <c r="T1638" s="17" t="str">
        <f aca="false">IF(R1638="維持",J1638,IF(R1638="排除","無關新聞事件",IFERROR(INDEX(事件規則!$B$2:$B$53,MATCH(S1638,事件規則!$A$2:$A$53,0)),"")))</f>
        <v>無關新聞事件</v>
      </c>
      <c r="U1638" s="20" t="n">
        <f aca="false">IF(R1638="維持",K1638,IF(R1638="排除",0,IFERROR(INDEX(事件規則!$C$2:$C$53,MATCH(S1638,事件規則!$A$2:$A$53,0)),"")))</f>
        <v>0</v>
      </c>
      <c r="V1638" s="21"/>
      <c r="W1638" s="22"/>
      <c r="X1638" s="10" t="str">
        <f aca="false">IF(AND(R1638="修改",S1638=""),"請選新事件代碼",IF(AND(R1638&lt;&gt;"修改",S1638&lt;&gt;""),"只有「修改」才需填代碼",""))</f>
        <v/>
      </c>
      <c r="Y1638" s="21"/>
      <c r="Z1638" s="22"/>
      <c r="AA1638" s="12" t="s">
        <v>4296</v>
      </c>
      <c r="AB1638" s="24"/>
    </row>
    <row r="1639" customFormat="false" ht="29.85" hidden="false" customHeight="false" outlineLevel="0" collapsed="false">
      <c r="A1639" s="15" t="n">
        <v>1638</v>
      </c>
      <c r="B1639" s="9" t="s">
        <v>55</v>
      </c>
      <c r="C1639" s="9" t="s">
        <v>355</v>
      </c>
      <c r="D1639" s="10" t="s">
        <v>356</v>
      </c>
      <c r="E1639" s="11" t="s">
        <v>4297</v>
      </c>
      <c r="F1639" s="17"/>
      <c r="G1639" s="12" t="s">
        <v>4298</v>
      </c>
      <c r="H1639" s="13" t="n">
        <v>-0.017</v>
      </c>
      <c r="I1639" s="14"/>
      <c r="J1639" s="17"/>
      <c r="K1639" s="9"/>
      <c r="L1639" s="15" t="s">
        <v>50</v>
      </c>
      <c r="M1639" s="16" t="s">
        <v>51</v>
      </c>
      <c r="N1639" s="14"/>
      <c r="O1639" s="15" t="s">
        <v>52</v>
      </c>
      <c r="P1639" s="17" t="s">
        <v>53</v>
      </c>
      <c r="Q1639" s="15"/>
      <c r="R1639" s="18" t="s">
        <v>51</v>
      </c>
      <c r="S1639" s="19"/>
      <c r="T1639" s="17" t="str">
        <f aca="false">IF(R1639="維持",J1639,IF(R1639="排除","無關新聞事件",IFERROR(INDEX(事件規則!$B$2:$B$53,MATCH(S1639,事件規則!$A$2:$A$53,0)),"")))</f>
        <v>無關新聞事件</v>
      </c>
      <c r="U1639" s="20" t="n">
        <f aca="false">IF(R1639="維持",K1639,IF(R1639="排除",0,IFERROR(INDEX(事件規則!$C$2:$C$53,MATCH(S1639,事件規則!$A$2:$A$53,0)),"")))</f>
        <v>0</v>
      </c>
      <c r="V1639" s="21"/>
      <c r="W1639" s="22"/>
      <c r="X1639" s="10" t="str">
        <f aca="false">IF(AND(R1639="修改",S1639=""),"請選新事件代碼",IF(AND(R1639&lt;&gt;"修改",S1639&lt;&gt;""),"只有「修改」才需填代碼",""))</f>
        <v/>
      </c>
      <c r="Y1639" s="21"/>
      <c r="Z1639" s="22"/>
      <c r="AA1639" s="12" t="s">
        <v>4299</v>
      </c>
      <c r="AB1639" s="24"/>
    </row>
    <row r="1640" customFormat="false" ht="29.85" hidden="false" customHeight="false" outlineLevel="0" collapsed="false">
      <c r="A1640" s="15" t="n">
        <v>1639</v>
      </c>
      <c r="B1640" s="9" t="s">
        <v>81</v>
      </c>
      <c r="C1640" s="9" t="s">
        <v>268</v>
      </c>
      <c r="D1640" s="10" t="s">
        <v>269</v>
      </c>
      <c r="E1640" s="11" t="s">
        <v>4300</v>
      </c>
      <c r="F1640" s="17"/>
      <c r="G1640" s="12" t="s">
        <v>176</v>
      </c>
      <c r="H1640" s="13" t="n">
        <v>-0.017</v>
      </c>
      <c r="I1640" s="14"/>
      <c r="J1640" s="17"/>
      <c r="K1640" s="9"/>
      <c r="L1640" s="15" t="s">
        <v>50</v>
      </c>
      <c r="M1640" s="16" t="s">
        <v>51</v>
      </c>
      <c r="N1640" s="14"/>
      <c r="O1640" s="15" t="s">
        <v>52</v>
      </c>
      <c r="P1640" s="17" t="s">
        <v>53</v>
      </c>
      <c r="Q1640" s="15"/>
      <c r="R1640" s="18" t="s">
        <v>51</v>
      </c>
      <c r="S1640" s="19"/>
      <c r="T1640" s="17" t="str">
        <f aca="false">IF(R1640="維持",J1640,IF(R1640="排除","無關新聞事件",IFERROR(INDEX(事件規則!$B$2:$B$53,MATCH(S1640,事件規則!$A$2:$A$53,0)),"")))</f>
        <v>無關新聞事件</v>
      </c>
      <c r="U1640" s="20" t="n">
        <f aca="false">IF(R1640="維持",K1640,IF(R1640="排除",0,IFERROR(INDEX(事件規則!$C$2:$C$53,MATCH(S1640,事件規則!$A$2:$A$53,0)),"")))</f>
        <v>0</v>
      </c>
      <c r="V1640" s="21"/>
      <c r="W1640" s="22"/>
      <c r="X1640" s="10" t="str">
        <f aca="false">IF(AND(R1640="修改",S1640=""),"請選新事件代碼",IF(AND(R1640&lt;&gt;"修改",S1640&lt;&gt;""),"只有「修改」才需填代碼",""))</f>
        <v/>
      </c>
      <c r="Y1640" s="21"/>
      <c r="Z1640" s="22"/>
      <c r="AA1640" s="12" t="s">
        <v>4301</v>
      </c>
      <c r="AB1640" s="24"/>
    </row>
    <row r="1641" customFormat="false" ht="29.85" hidden="false" customHeight="false" outlineLevel="0" collapsed="false">
      <c r="A1641" s="15" t="n">
        <v>1640</v>
      </c>
      <c r="B1641" s="9" t="s">
        <v>81</v>
      </c>
      <c r="C1641" s="9" t="s">
        <v>355</v>
      </c>
      <c r="D1641" s="10" t="s">
        <v>356</v>
      </c>
      <c r="E1641" s="11" t="s">
        <v>4302</v>
      </c>
      <c r="F1641" s="17"/>
      <c r="G1641" s="12" t="s">
        <v>4303</v>
      </c>
      <c r="H1641" s="13" t="n">
        <v>-0.017</v>
      </c>
      <c r="I1641" s="14"/>
      <c r="J1641" s="17"/>
      <c r="K1641" s="9"/>
      <c r="L1641" s="15" t="s">
        <v>50</v>
      </c>
      <c r="M1641" s="16" t="s">
        <v>51</v>
      </c>
      <c r="N1641" s="14"/>
      <c r="O1641" s="15" t="s">
        <v>52</v>
      </c>
      <c r="P1641" s="17" t="s">
        <v>53</v>
      </c>
      <c r="Q1641" s="15"/>
      <c r="R1641" s="18" t="s">
        <v>51</v>
      </c>
      <c r="S1641" s="19"/>
      <c r="T1641" s="17" t="str">
        <f aca="false">IF(R1641="維持",J1641,IF(R1641="排除","無關新聞事件",IFERROR(INDEX(事件規則!$B$2:$B$53,MATCH(S1641,事件規則!$A$2:$A$53,0)),"")))</f>
        <v>無關新聞事件</v>
      </c>
      <c r="U1641" s="20" t="n">
        <f aca="false">IF(R1641="維持",K1641,IF(R1641="排除",0,IFERROR(INDEX(事件規則!$C$2:$C$53,MATCH(S1641,事件規則!$A$2:$A$53,0)),"")))</f>
        <v>0</v>
      </c>
      <c r="V1641" s="21"/>
      <c r="W1641" s="22"/>
      <c r="X1641" s="10" t="str">
        <f aca="false">IF(AND(R1641="修改",S1641=""),"請選新事件代碼",IF(AND(R1641&lt;&gt;"修改",S1641&lt;&gt;""),"只有「修改」才需填代碼",""))</f>
        <v/>
      </c>
      <c r="Y1641" s="21"/>
      <c r="Z1641" s="22"/>
      <c r="AA1641" s="12" t="s">
        <v>4304</v>
      </c>
      <c r="AB1641" s="24"/>
    </row>
    <row r="1642" customFormat="false" ht="29.85" hidden="false" customHeight="false" outlineLevel="0" collapsed="false">
      <c r="A1642" s="15" t="n">
        <v>1641</v>
      </c>
      <c r="B1642" s="9" t="s">
        <v>81</v>
      </c>
      <c r="C1642" s="9" t="s">
        <v>123</v>
      </c>
      <c r="D1642" s="10" t="s">
        <v>124</v>
      </c>
      <c r="E1642" s="11" t="s">
        <v>4305</v>
      </c>
      <c r="F1642" s="17"/>
      <c r="G1642" s="12" t="s">
        <v>3221</v>
      </c>
      <c r="H1642" s="13" t="n">
        <v>-0.017</v>
      </c>
      <c r="I1642" s="14"/>
      <c r="J1642" s="17"/>
      <c r="K1642" s="9"/>
      <c r="L1642" s="15" t="s">
        <v>50</v>
      </c>
      <c r="M1642" s="16" t="s">
        <v>51</v>
      </c>
      <c r="N1642" s="14"/>
      <c r="O1642" s="15" t="s">
        <v>52</v>
      </c>
      <c r="P1642" s="17" t="s">
        <v>53</v>
      </c>
      <c r="Q1642" s="15"/>
      <c r="R1642" s="18" t="s">
        <v>51</v>
      </c>
      <c r="S1642" s="19"/>
      <c r="T1642" s="17" t="str">
        <f aca="false">IF(R1642="維持",J1642,IF(R1642="排除","無關新聞事件",IFERROR(INDEX(事件規則!$B$2:$B$53,MATCH(S1642,事件規則!$A$2:$A$53,0)),"")))</f>
        <v>無關新聞事件</v>
      </c>
      <c r="U1642" s="20" t="n">
        <f aca="false">IF(R1642="維持",K1642,IF(R1642="排除",0,IFERROR(INDEX(事件規則!$C$2:$C$53,MATCH(S1642,事件規則!$A$2:$A$53,0)),"")))</f>
        <v>0</v>
      </c>
      <c r="V1642" s="21"/>
      <c r="W1642" s="22"/>
      <c r="X1642" s="10" t="str">
        <f aca="false">IF(AND(R1642="修改",S1642=""),"請選新事件代碼",IF(AND(R1642&lt;&gt;"修改",S1642&lt;&gt;""),"只有「修改」才需填代碼",""))</f>
        <v/>
      </c>
      <c r="Y1642" s="21"/>
      <c r="Z1642" s="22"/>
      <c r="AA1642" s="12" t="s">
        <v>4306</v>
      </c>
      <c r="AB1642" s="24"/>
    </row>
    <row r="1643" customFormat="false" ht="23.85" hidden="false" customHeight="false" outlineLevel="0" collapsed="false">
      <c r="A1643" s="15" t="n">
        <v>1642</v>
      </c>
      <c r="B1643" s="9" t="s">
        <v>45</v>
      </c>
      <c r="C1643" s="9" t="s">
        <v>4307</v>
      </c>
      <c r="D1643" s="10" t="s">
        <v>4308</v>
      </c>
      <c r="E1643" s="11" t="s">
        <v>4309</v>
      </c>
      <c r="F1643" s="17"/>
      <c r="G1643" s="12" t="s">
        <v>49</v>
      </c>
      <c r="H1643" s="13" t="n">
        <v>-0.017</v>
      </c>
      <c r="I1643" s="14"/>
      <c r="J1643" s="17"/>
      <c r="K1643" s="9"/>
      <c r="L1643" s="15" t="s">
        <v>50</v>
      </c>
      <c r="M1643" s="16" t="s">
        <v>131</v>
      </c>
      <c r="N1643" s="14" t="s">
        <v>4310</v>
      </c>
      <c r="O1643" s="15" t="s">
        <v>52</v>
      </c>
      <c r="P1643" s="10" t="s">
        <v>4311</v>
      </c>
      <c r="Q1643" s="15"/>
      <c r="R1643" s="18" t="s">
        <v>131</v>
      </c>
      <c r="S1643" s="19" t="s">
        <v>4310</v>
      </c>
      <c r="T1643" s="17" t="str">
        <f aca="false">IF(R1643="維持",J1643,IF(R1643="排除","無關新聞事件",IFERROR(INDEX(事件規則!$B$2:$B$53,MATCH(S1643,事件規則!$A$2:$A$53,0)),"")))</f>
        <v>財測下修</v>
      </c>
      <c r="U1643" s="20" t="n">
        <f aca="false">IF(R1643="維持",K1643,IF(R1643="排除",0,IFERROR(INDEX(事件規則!$C$2:$C$53,MATCH(S1643,事件規則!$A$2:$A$53,0)),"")))</f>
        <v>3</v>
      </c>
      <c r="V1643" s="21"/>
      <c r="W1643" s="22"/>
      <c r="X1643" s="10" t="str">
        <f aca="false">IF(AND(R1643="修改",S1643=""),"請選新事件代碼",IF(AND(R1643&lt;&gt;"修改",S1643&lt;&gt;""),"只有「修改」才需填代碼",""))</f>
        <v/>
      </c>
      <c r="Y1643" s="21"/>
      <c r="Z1643" s="22"/>
      <c r="AA1643" s="12" t="s">
        <v>4312</v>
      </c>
      <c r="AB1643" s="24"/>
    </row>
    <row r="1644" customFormat="false" ht="29.85" hidden="false" customHeight="false" outlineLevel="0" collapsed="false">
      <c r="A1644" s="15" t="n">
        <v>1643</v>
      </c>
      <c r="B1644" s="9" t="s">
        <v>45</v>
      </c>
      <c r="C1644" s="9" t="s">
        <v>2424</v>
      </c>
      <c r="D1644" s="10" t="s">
        <v>2425</v>
      </c>
      <c r="E1644" s="11" t="s">
        <v>4313</v>
      </c>
      <c r="F1644" s="17"/>
      <c r="G1644" s="12" t="s">
        <v>95</v>
      </c>
      <c r="H1644" s="13" t="n">
        <v>-0.017</v>
      </c>
      <c r="I1644" s="14"/>
      <c r="J1644" s="17"/>
      <c r="K1644" s="9"/>
      <c r="L1644" s="15" t="s">
        <v>50</v>
      </c>
      <c r="M1644" s="16" t="s">
        <v>51</v>
      </c>
      <c r="N1644" s="14"/>
      <c r="O1644" s="15" t="s">
        <v>52</v>
      </c>
      <c r="P1644" s="17" t="s">
        <v>53</v>
      </c>
      <c r="Q1644" s="15"/>
      <c r="R1644" s="18" t="s">
        <v>51</v>
      </c>
      <c r="S1644" s="19"/>
      <c r="T1644" s="17" t="str">
        <f aca="false">IF(R1644="維持",J1644,IF(R1644="排除","無關新聞事件",IFERROR(INDEX(事件規則!$B$2:$B$53,MATCH(S1644,事件規則!$A$2:$A$53,0)),"")))</f>
        <v>無關新聞事件</v>
      </c>
      <c r="U1644" s="20" t="n">
        <f aca="false">IF(R1644="維持",K1644,IF(R1644="排除",0,IFERROR(INDEX(事件規則!$C$2:$C$53,MATCH(S1644,事件規則!$A$2:$A$53,0)),"")))</f>
        <v>0</v>
      </c>
      <c r="V1644" s="21"/>
      <c r="W1644" s="22"/>
      <c r="X1644" s="10" t="str">
        <f aca="false">IF(AND(R1644="修改",S1644=""),"請選新事件代碼",IF(AND(R1644&lt;&gt;"修改",S1644&lt;&gt;""),"只有「修改」才需填代碼",""))</f>
        <v/>
      </c>
      <c r="Y1644" s="21"/>
      <c r="Z1644" s="22"/>
      <c r="AA1644" s="12" t="s">
        <v>4314</v>
      </c>
      <c r="AB1644" s="24"/>
    </row>
    <row r="1645" customFormat="false" ht="29.85" hidden="false" customHeight="false" outlineLevel="0" collapsed="false">
      <c r="A1645" s="15" t="n">
        <v>1644</v>
      </c>
      <c r="B1645" s="9" t="s">
        <v>45</v>
      </c>
      <c r="C1645" s="9" t="s">
        <v>289</v>
      </c>
      <c r="D1645" s="10" t="s">
        <v>290</v>
      </c>
      <c r="E1645" s="11" t="s">
        <v>4315</v>
      </c>
      <c r="F1645" s="17"/>
      <c r="G1645" s="12" t="s">
        <v>1136</v>
      </c>
      <c r="H1645" s="13" t="n">
        <v>-0.017</v>
      </c>
      <c r="I1645" s="14"/>
      <c r="J1645" s="17"/>
      <c r="K1645" s="9"/>
      <c r="L1645" s="15" t="s">
        <v>50</v>
      </c>
      <c r="M1645" s="16" t="s">
        <v>51</v>
      </c>
      <c r="N1645" s="14"/>
      <c r="O1645" s="15" t="s">
        <v>52</v>
      </c>
      <c r="P1645" s="17" t="s">
        <v>53</v>
      </c>
      <c r="Q1645" s="15"/>
      <c r="R1645" s="18" t="s">
        <v>51</v>
      </c>
      <c r="S1645" s="19"/>
      <c r="T1645" s="17" t="str">
        <f aca="false">IF(R1645="維持",J1645,IF(R1645="排除","無關新聞事件",IFERROR(INDEX(事件規則!$B$2:$B$53,MATCH(S1645,事件規則!$A$2:$A$53,0)),"")))</f>
        <v>無關新聞事件</v>
      </c>
      <c r="U1645" s="20" t="n">
        <f aca="false">IF(R1645="維持",K1645,IF(R1645="排除",0,IFERROR(INDEX(事件規則!$C$2:$C$53,MATCH(S1645,事件規則!$A$2:$A$53,0)),"")))</f>
        <v>0</v>
      </c>
      <c r="V1645" s="21"/>
      <c r="W1645" s="22"/>
      <c r="X1645" s="10" t="str">
        <f aca="false">IF(AND(R1645="修改",S1645=""),"請選新事件代碼",IF(AND(R1645&lt;&gt;"修改",S1645&lt;&gt;""),"只有「修改」才需填代碼",""))</f>
        <v/>
      </c>
      <c r="Y1645" s="21"/>
      <c r="Z1645" s="22"/>
      <c r="AA1645" s="12" t="s">
        <v>4316</v>
      </c>
      <c r="AB1645" s="24"/>
    </row>
    <row r="1646" customFormat="false" ht="29.85" hidden="false" customHeight="false" outlineLevel="0" collapsed="false">
      <c r="A1646" s="15" t="n">
        <v>1645</v>
      </c>
      <c r="B1646" s="9" t="s">
        <v>55</v>
      </c>
      <c r="C1646" s="9" t="s">
        <v>1762</v>
      </c>
      <c r="D1646" s="10" t="s">
        <v>1763</v>
      </c>
      <c r="E1646" s="11" t="s">
        <v>4317</v>
      </c>
      <c r="F1646" s="17"/>
      <c r="G1646" s="12" t="s">
        <v>176</v>
      </c>
      <c r="H1646" s="13" t="n">
        <v>-0.017</v>
      </c>
      <c r="I1646" s="14"/>
      <c r="J1646" s="17"/>
      <c r="K1646" s="9"/>
      <c r="L1646" s="15" t="s">
        <v>50</v>
      </c>
      <c r="M1646" s="16" t="s">
        <v>51</v>
      </c>
      <c r="N1646" s="14"/>
      <c r="O1646" s="15" t="s">
        <v>52</v>
      </c>
      <c r="P1646" s="17" t="s">
        <v>53</v>
      </c>
      <c r="Q1646" s="15"/>
      <c r="R1646" s="18" t="s">
        <v>51</v>
      </c>
      <c r="S1646" s="19"/>
      <c r="T1646" s="17" t="str">
        <f aca="false">IF(R1646="維持",J1646,IF(R1646="排除","無關新聞事件",IFERROR(INDEX(事件規則!$B$2:$B$53,MATCH(S1646,事件規則!$A$2:$A$53,0)),"")))</f>
        <v>無關新聞事件</v>
      </c>
      <c r="U1646" s="20" t="n">
        <f aca="false">IF(R1646="維持",K1646,IF(R1646="排除",0,IFERROR(INDEX(事件規則!$C$2:$C$53,MATCH(S1646,事件規則!$A$2:$A$53,0)),"")))</f>
        <v>0</v>
      </c>
      <c r="V1646" s="21"/>
      <c r="W1646" s="22"/>
      <c r="X1646" s="10" t="str">
        <f aca="false">IF(AND(R1646="修改",S1646=""),"請選新事件代碼",IF(AND(R1646&lt;&gt;"修改",S1646&lt;&gt;""),"只有「修改」才需填代碼",""))</f>
        <v/>
      </c>
      <c r="Y1646" s="21"/>
      <c r="Z1646" s="22"/>
      <c r="AA1646" s="12" t="s">
        <v>4318</v>
      </c>
      <c r="AB1646" s="24"/>
    </row>
    <row r="1647" customFormat="false" ht="29.85" hidden="false" customHeight="false" outlineLevel="0" collapsed="false">
      <c r="A1647" s="15" t="n">
        <v>1646</v>
      </c>
      <c r="B1647" s="9" t="s">
        <v>55</v>
      </c>
      <c r="C1647" s="9" t="s">
        <v>720</v>
      </c>
      <c r="D1647" s="10" t="s">
        <v>721</v>
      </c>
      <c r="E1647" s="11" t="s">
        <v>4319</v>
      </c>
      <c r="F1647" s="17"/>
      <c r="G1647" s="12" t="s">
        <v>176</v>
      </c>
      <c r="H1647" s="13" t="n">
        <v>-0.017</v>
      </c>
      <c r="I1647" s="14"/>
      <c r="J1647" s="17"/>
      <c r="K1647" s="9"/>
      <c r="L1647" s="15" t="s">
        <v>50</v>
      </c>
      <c r="M1647" s="16" t="s">
        <v>51</v>
      </c>
      <c r="N1647" s="14"/>
      <c r="O1647" s="15" t="s">
        <v>52</v>
      </c>
      <c r="P1647" s="17" t="s">
        <v>53</v>
      </c>
      <c r="Q1647" s="15"/>
      <c r="R1647" s="18" t="s">
        <v>51</v>
      </c>
      <c r="S1647" s="19"/>
      <c r="T1647" s="17" t="str">
        <f aca="false">IF(R1647="維持",J1647,IF(R1647="排除","無關新聞事件",IFERROR(INDEX(事件規則!$B$2:$B$53,MATCH(S1647,事件規則!$A$2:$A$53,0)),"")))</f>
        <v>無關新聞事件</v>
      </c>
      <c r="U1647" s="20" t="n">
        <f aca="false">IF(R1647="維持",K1647,IF(R1647="排除",0,IFERROR(INDEX(事件規則!$C$2:$C$53,MATCH(S1647,事件規則!$A$2:$A$53,0)),"")))</f>
        <v>0</v>
      </c>
      <c r="V1647" s="21"/>
      <c r="W1647" s="22"/>
      <c r="X1647" s="10" t="str">
        <f aca="false">IF(AND(R1647="修改",S1647=""),"請選新事件代碼",IF(AND(R1647&lt;&gt;"修改",S1647&lt;&gt;""),"只有「修改」才需填代碼",""))</f>
        <v/>
      </c>
      <c r="Y1647" s="21"/>
      <c r="Z1647" s="22"/>
      <c r="AA1647" s="12" t="s">
        <v>4320</v>
      </c>
      <c r="AB1647" s="24"/>
    </row>
    <row r="1648" customFormat="false" ht="29.85" hidden="false" customHeight="false" outlineLevel="0" collapsed="false">
      <c r="A1648" s="15" t="n">
        <v>1647</v>
      </c>
      <c r="B1648" s="9" t="s">
        <v>45</v>
      </c>
      <c r="C1648" s="9" t="s">
        <v>2130</v>
      </c>
      <c r="D1648" s="10" t="s">
        <v>2131</v>
      </c>
      <c r="E1648" s="11" t="s">
        <v>4315</v>
      </c>
      <c r="F1648" s="17"/>
      <c r="G1648" s="12" t="s">
        <v>1136</v>
      </c>
      <c r="H1648" s="13" t="n">
        <v>-0.017</v>
      </c>
      <c r="I1648" s="14"/>
      <c r="J1648" s="17"/>
      <c r="K1648" s="9"/>
      <c r="L1648" s="15" t="s">
        <v>50</v>
      </c>
      <c r="M1648" s="16" t="s">
        <v>51</v>
      </c>
      <c r="N1648" s="14"/>
      <c r="O1648" s="15" t="s">
        <v>52</v>
      </c>
      <c r="P1648" s="17" t="s">
        <v>53</v>
      </c>
      <c r="Q1648" s="15"/>
      <c r="R1648" s="18" t="s">
        <v>51</v>
      </c>
      <c r="S1648" s="19"/>
      <c r="T1648" s="17" t="str">
        <f aca="false">IF(R1648="維持",J1648,IF(R1648="排除","無關新聞事件",IFERROR(INDEX(事件規則!$B$2:$B$53,MATCH(S1648,事件規則!$A$2:$A$53,0)),"")))</f>
        <v>無關新聞事件</v>
      </c>
      <c r="U1648" s="20" t="n">
        <f aca="false">IF(R1648="維持",K1648,IF(R1648="排除",0,IFERROR(INDEX(事件規則!$C$2:$C$53,MATCH(S1648,事件規則!$A$2:$A$53,0)),"")))</f>
        <v>0</v>
      </c>
      <c r="V1648" s="21"/>
      <c r="W1648" s="22"/>
      <c r="X1648" s="10" t="str">
        <f aca="false">IF(AND(R1648="修改",S1648=""),"請選新事件代碼",IF(AND(R1648&lt;&gt;"修改",S1648&lt;&gt;""),"只有「修改」才需填代碼",""))</f>
        <v/>
      </c>
      <c r="Y1648" s="21"/>
      <c r="Z1648" s="22"/>
      <c r="AA1648" s="12" t="s">
        <v>4321</v>
      </c>
      <c r="AB1648" s="24"/>
    </row>
    <row r="1649" customFormat="false" ht="29.85" hidden="false" customHeight="false" outlineLevel="0" collapsed="false">
      <c r="A1649" s="15" t="n">
        <v>1648</v>
      </c>
      <c r="B1649" s="9" t="s">
        <v>45</v>
      </c>
      <c r="C1649" s="9" t="s">
        <v>2028</v>
      </c>
      <c r="D1649" s="10" t="s">
        <v>2029</v>
      </c>
      <c r="E1649" s="11" t="s">
        <v>4315</v>
      </c>
      <c r="F1649" s="17"/>
      <c r="G1649" s="12" t="s">
        <v>1136</v>
      </c>
      <c r="H1649" s="13" t="n">
        <v>-0.017</v>
      </c>
      <c r="I1649" s="14"/>
      <c r="J1649" s="17"/>
      <c r="K1649" s="9"/>
      <c r="L1649" s="15" t="s">
        <v>50</v>
      </c>
      <c r="M1649" s="16" t="s">
        <v>51</v>
      </c>
      <c r="N1649" s="14"/>
      <c r="O1649" s="15" t="s">
        <v>52</v>
      </c>
      <c r="P1649" s="17" t="s">
        <v>53</v>
      </c>
      <c r="Q1649" s="15"/>
      <c r="R1649" s="18" t="s">
        <v>51</v>
      </c>
      <c r="S1649" s="19"/>
      <c r="T1649" s="17" t="str">
        <f aca="false">IF(R1649="維持",J1649,IF(R1649="排除","無關新聞事件",IFERROR(INDEX(事件規則!$B$2:$B$53,MATCH(S1649,事件規則!$A$2:$A$53,0)),"")))</f>
        <v>無關新聞事件</v>
      </c>
      <c r="U1649" s="20" t="n">
        <f aca="false">IF(R1649="維持",K1649,IF(R1649="排除",0,IFERROR(INDEX(事件規則!$C$2:$C$53,MATCH(S1649,事件規則!$A$2:$A$53,0)),"")))</f>
        <v>0</v>
      </c>
      <c r="V1649" s="21"/>
      <c r="W1649" s="22"/>
      <c r="X1649" s="10" t="str">
        <f aca="false">IF(AND(R1649="修改",S1649=""),"請選新事件代碼",IF(AND(R1649&lt;&gt;"修改",S1649&lt;&gt;""),"只有「修改」才需填代碼",""))</f>
        <v/>
      </c>
      <c r="Y1649" s="21"/>
      <c r="Z1649" s="22"/>
      <c r="AA1649" s="12" t="s">
        <v>4322</v>
      </c>
      <c r="AB1649" s="24"/>
    </row>
    <row r="1650" customFormat="false" ht="29.85" hidden="false" customHeight="false" outlineLevel="0" collapsed="false">
      <c r="A1650" s="15" t="n">
        <v>1649</v>
      </c>
      <c r="B1650" s="9" t="s">
        <v>45</v>
      </c>
      <c r="C1650" s="9" t="s">
        <v>2444</v>
      </c>
      <c r="D1650" s="10" t="s">
        <v>2445</v>
      </c>
      <c r="E1650" s="11" t="s">
        <v>4323</v>
      </c>
      <c r="F1650" s="17"/>
      <c r="G1650" s="12" t="s">
        <v>176</v>
      </c>
      <c r="H1650" s="13" t="n">
        <v>-0.016</v>
      </c>
      <c r="I1650" s="14"/>
      <c r="J1650" s="17"/>
      <c r="K1650" s="9"/>
      <c r="L1650" s="15" t="s">
        <v>50</v>
      </c>
      <c r="M1650" s="16" t="s">
        <v>51</v>
      </c>
      <c r="N1650" s="14"/>
      <c r="O1650" s="15" t="s">
        <v>52</v>
      </c>
      <c r="P1650" s="17" t="s">
        <v>53</v>
      </c>
      <c r="Q1650" s="15"/>
      <c r="R1650" s="18" t="s">
        <v>51</v>
      </c>
      <c r="S1650" s="19"/>
      <c r="T1650" s="17" t="str">
        <f aca="false">IF(R1650="維持",J1650,IF(R1650="排除","無關新聞事件",IFERROR(INDEX(事件規則!$B$2:$B$53,MATCH(S1650,事件規則!$A$2:$A$53,0)),"")))</f>
        <v>無關新聞事件</v>
      </c>
      <c r="U1650" s="20" t="n">
        <f aca="false">IF(R1650="維持",K1650,IF(R1650="排除",0,IFERROR(INDEX(事件規則!$C$2:$C$53,MATCH(S1650,事件規則!$A$2:$A$53,0)),"")))</f>
        <v>0</v>
      </c>
      <c r="V1650" s="21"/>
      <c r="W1650" s="22"/>
      <c r="X1650" s="10" t="str">
        <f aca="false">IF(AND(R1650="修改",S1650=""),"請選新事件代碼",IF(AND(R1650&lt;&gt;"修改",S1650&lt;&gt;""),"只有「修改」才需填代碼",""))</f>
        <v/>
      </c>
      <c r="Y1650" s="21"/>
      <c r="Z1650" s="22"/>
      <c r="AA1650" s="12" t="s">
        <v>4324</v>
      </c>
      <c r="AB1650" s="24"/>
    </row>
    <row r="1651" customFormat="false" ht="29.85" hidden="false" customHeight="false" outlineLevel="0" collapsed="false">
      <c r="A1651" s="15" t="n">
        <v>1650</v>
      </c>
      <c r="B1651" s="9" t="s">
        <v>112</v>
      </c>
      <c r="C1651" s="9" t="s">
        <v>917</v>
      </c>
      <c r="D1651" s="10" t="s">
        <v>918</v>
      </c>
      <c r="E1651" s="11" t="s">
        <v>4325</v>
      </c>
      <c r="F1651" s="17"/>
      <c r="G1651" s="12" t="s">
        <v>2033</v>
      </c>
      <c r="H1651" s="13" t="n">
        <v>-0.016</v>
      </c>
      <c r="I1651" s="14"/>
      <c r="J1651" s="17"/>
      <c r="K1651" s="9"/>
      <c r="L1651" s="15" t="s">
        <v>50</v>
      </c>
      <c r="M1651" s="16" t="s">
        <v>51</v>
      </c>
      <c r="N1651" s="14"/>
      <c r="O1651" s="15" t="s">
        <v>52</v>
      </c>
      <c r="P1651" s="17" t="s">
        <v>53</v>
      </c>
      <c r="Q1651" s="15"/>
      <c r="R1651" s="18" t="s">
        <v>51</v>
      </c>
      <c r="S1651" s="19"/>
      <c r="T1651" s="17" t="str">
        <f aca="false">IF(R1651="維持",J1651,IF(R1651="排除","無關新聞事件",IFERROR(INDEX(事件規則!$B$2:$B$53,MATCH(S1651,事件規則!$A$2:$A$53,0)),"")))</f>
        <v>無關新聞事件</v>
      </c>
      <c r="U1651" s="20" t="n">
        <f aca="false">IF(R1651="維持",K1651,IF(R1651="排除",0,IFERROR(INDEX(事件規則!$C$2:$C$53,MATCH(S1651,事件規則!$A$2:$A$53,0)),"")))</f>
        <v>0</v>
      </c>
      <c r="V1651" s="21"/>
      <c r="W1651" s="22"/>
      <c r="X1651" s="10" t="str">
        <f aca="false">IF(AND(R1651="修改",S1651=""),"請選新事件代碼",IF(AND(R1651&lt;&gt;"修改",S1651&lt;&gt;""),"只有「修改」才需填代碼",""))</f>
        <v/>
      </c>
      <c r="Y1651" s="21"/>
      <c r="Z1651" s="22"/>
      <c r="AA1651" s="12" t="s">
        <v>4326</v>
      </c>
      <c r="AB1651" s="24"/>
    </row>
    <row r="1652" customFormat="false" ht="29.85" hidden="false" customHeight="false" outlineLevel="0" collapsed="false">
      <c r="A1652" s="15" t="n">
        <v>1651</v>
      </c>
      <c r="B1652" s="9" t="s">
        <v>112</v>
      </c>
      <c r="C1652" s="9" t="s">
        <v>569</v>
      </c>
      <c r="D1652" s="10" t="s">
        <v>570</v>
      </c>
      <c r="E1652" s="11" t="s">
        <v>4327</v>
      </c>
      <c r="F1652" s="17"/>
      <c r="G1652" s="12" t="s">
        <v>164</v>
      </c>
      <c r="H1652" s="13" t="n">
        <v>-0.016</v>
      </c>
      <c r="I1652" s="14"/>
      <c r="J1652" s="17"/>
      <c r="K1652" s="9"/>
      <c r="L1652" s="15" t="s">
        <v>50</v>
      </c>
      <c r="M1652" s="16" t="s">
        <v>51</v>
      </c>
      <c r="N1652" s="14"/>
      <c r="O1652" s="15" t="s">
        <v>52</v>
      </c>
      <c r="P1652" s="17" t="s">
        <v>53</v>
      </c>
      <c r="Q1652" s="15"/>
      <c r="R1652" s="18" t="s">
        <v>51</v>
      </c>
      <c r="S1652" s="19"/>
      <c r="T1652" s="17" t="str">
        <f aca="false">IF(R1652="維持",J1652,IF(R1652="排除","無關新聞事件",IFERROR(INDEX(事件規則!$B$2:$B$53,MATCH(S1652,事件規則!$A$2:$A$53,0)),"")))</f>
        <v>無關新聞事件</v>
      </c>
      <c r="U1652" s="20" t="n">
        <f aca="false">IF(R1652="維持",K1652,IF(R1652="排除",0,IFERROR(INDEX(事件規則!$C$2:$C$53,MATCH(S1652,事件規則!$A$2:$A$53,0)),"")))</f>
        <v>0</v>
      </c>
      <c r="V1652" s="21"/>
      <c r="W1652" s="22"/>
      <c r="X1652" s="10" t="str">
        <f aca="false">IF(AND(R1652="修改",S1652=""),"請選新事件代碼",IF(AND(R1652&lt;&gt;"修改",S1652&lt;&gt;""),"只有「修改」才需填代碼",""))</f>
        <v/>
      </c>
      <c r="Y1652" s="21"/>
      <c r="Z1652" s="22"/>
      <c r="AA1652" s="12" t="s">
        <v>4328</v>
      </c>
      <c r="AB1652" s="24"/>
    </row>
    <row r="1653" customFormat="false" ht="29.85" hidden="false" customHeight="false" outlineLevel="0" collapsed="false">
      <c r="A1653" s="15" t="n">
        <v>1652</v>
      </c>
      <c r="B1653" s="9" t="s">
        <v>112</v>
      </c>
      <c r="C1653" s="9" t="s">
        <v>2251</v>
      </c>
      <c r="D1653" s="10" t="s">
        <v>2252</v>
      </c>
      <c r="E1653" s="11" t="s">
        <v>4329</v>
      </c>
      <c r="F1653" s="17"/>
      <c r="G1653" s="12" t="s">
        <v>105</v>
      </c>
      <c r="H1653" s="13" t="n">
        <v>-0.016</v>
      </c>
      <c r="I1653" s="14"/>
      <c r="J1653" s="17"/>
      <c r="K1653" s="9"/>
      <c r="L1653" s="15" t="s">
        <v>50</v>
      </c>
      <c r="M1653" s="16" t="s">
        <v>51</v>
      </c>
      <c r="N1653" s="14"/>
      <c r="O1653" s="15" t="s">
        <v>52</v>
      </c>
      <c r="P1653" s="17" t="s">
        <v>53</v>
      </c>
      <c r="Q1653" s="15"/>
      <c r="R1653" s="18" t="s">
        <v>51</v>
      </c>
      <c r="S1653" s="19"/>
      <c r="T1653" s="17" t="str">
        <f aca="false">IF(R1653="維持",J1653,IF(R1653="排除","無關新聞事件",IFERROR(INDEX(事件規則!$B$2:$B$53,MATCH(S1653,事件規則!$A$2:$A$53,0)),"")))</f>
        <v>無關新聞事件</v>
      </c>
      <c r="U1653" s="20" t="n">
        <f aca="false">IF(R1653="維持",K1653,IF(R1653="排除",0,IFERROR(INDEX(事件規則!$C$2:$C$53,MATCH(S1653,事件規則!$A$2:$A$53,0)),"")))</f>
        <v>0</v>
      </c>
      <c r="V1653" s="21"/>
      <c r="W1653" s="22"/>
      <c r="X1653" s="10" t="str">
        <f aca="false">IF(AND(R1653="修改",S1653=""),"請選新事件代碼",IF(AND(R1653&lt;&gt;"修改",S1653&lt;&gt;""),"只有「修改」才需填代碼",""))</f>
        <v/>
      </c>
      <c r="Y1653" s="21"/>
      <c r="Z1653" s="22"/>
      <c r="AA1653" s="12" t="s">
        <v>4330</v>
      </c>
      <c r="AB1653" s="24"/>
    </row>
    <row r="1654" customFormat="false" ht="29.85" hidden="false" customHeight="false" outlineLevel="0" collapsed="false">
      <c r="A1654" s="15" t="n">
        <v>1653</v>
      </c>
      <c r="B1654" s="9" t="s">
        <v>45</v>
      </c>
      <c r="C1654" s="9" t="s">
        <v>1596</v>
      </c>
      <c r="D1654" s="10" t="s">
        <v>1597</v>
      </c>
      <c r="E1654" s="11" t="s">
        <v>4331</v>
      </c>
      <c r="F1654" s="17"/>
      <c r="G1654" s="12" t="s">
        <v>176</v>
      </c>
      <c r="H1654" s="13" t="n">
        <v>-0.016</v>
      </c>
      <c r="I1654" s="14"/>
      <c r="J1654" s="17"/>
      <c r="K1654" s="9"/>
      <c r="L1654" s="15" t="s">
        <v>50</v>
      </c>
      <c r="M1654" s="16" t="s">
        <v>51</v>
      </c>
      <c r="N1654" s="14"/>
      <c r="O1654" s="15" t="s">
        <v>52</v>
      </c>
      <c r="P1654" s="17" t="s">
        <v>53</v>
      </c>
      <c r="Q1654" s="15"/>
      <c r="R1654" s="18" t="s">
        <v>51</v>
      </c>
      <c r="S1654" s="19"/>
      <c r="T1654" s="17" t="str">
        <f aca="false">IF(R1654="維持",J1654,IF(R1654="排除","無關新聞事件",IFERROR(INDEX(事件規則!$B$2:$B$53,MATCH(S1654,事件規則!$A$2:$A$53,0)),"")))</f>
        <v>無關新聞事件</v>
      </c>
      <c r="U1654" s="20" t="n">
        <f aca="false">IF(R1654="維持",K1654,IF(R1654="排除",0,IFERROR(INDEX(事件規則!$C$2:$C$53,MATCH(S1654,事件規則!$A$2:$A$53,0)),"")))</f>
        <v>0</v>
      </c>
      <c r="V1654" s="21"/>
      <c r="W1654" s="22"/>
      <c r="X1654" s="10" t="str">
        <f aca="false">IF(AND(R1654="修改",S1654=""),"請選新事件代碼",IF(AND(R1654&lt;&gt;"修改",S1654&lt;&gt;""),"只有「修改」才需填代碼",""))</f>
        <v/>
      </c>
      <c r="Y1654" s="21"/>
      <c r="Z1654" s="22"/>
      <c r="AA1654" s="12" t="s">
        <v>4332</v>
      </c>
      <c r="AB1654" s="24"/>
    </row>
    <row r="1655" customFormat="false" ht="29.85" hidden="false" customHeight="false" outlineLevel="0" collapsed="false">
      <c r="A1655" s="15" t="n">
        <v>1654</v>
      </c>
      <c r="B1655" s="9" t="s">
        <v>45</v>
      </c>
      <c r="C1655" s="9" t="s">
        <v>419</v>
      </c>
      <c r="D1655" s="10" t="s">
        <v>420</v>
      </c>
      <c r="E1655" s="11" t="s">
        <v>4333</v>
      </c>
      <c r="F1655" s="17"/>
      <c r="G1655" s="12" t="s">
        <v>949</v>
      </c>
      <c r="H1655" s="13" t="n">
        <v>-0.016</v>
      </c>
      <c r="I1655" s="14"/>
      <c r="J1655" s="17"/>
      <c r="K1655" s="9"/>
      <c r="L1655" s="15" t="s">
        <v>50</v>
      </c>
      <c r="M1655" s="16" t="s">
        <v>51</v>
      </c>
      <c r="N1655" s="14"/>
      <c r="O1655" s="15" t="s">
        <v>52</v>
      </c>
      <c r="P1655" s="17" t="s">
        <v>53</v>
      </c>
      <c r="Q1655" s="15"/>
      <c r="R1655" s="18" t="s">
        <v>51</v>
      </c>
      <c r="S1655" s="19"/>
      <c r="T1655" s="17" t="str">
        <f aca="false">IF(R1655="維持",J1655,IF(R1655="排除","無關新聞事件",IFERROR(INDEX(事件規則!$B$2:$B$53,MATCH(S1655,事件規則!$A$2:$A$53,0)),"")))</f>
        <v>無關新聞事件</v>
      </c>
      <c r="U1655" s="20" t="n">
        <f aca="false">IF(R1655="維持",K1655,IF(R1655="排除",0,IFERROR(INDEX(事件規則!$C$2:$C$53,MATCH(S1655,事件規則!$A$2:$A$53,0)),"")))</f>
        <v>0</v>
      </c>
      <c r="V1655" s="21"/>
      <c r="W1655" s="22"/>
      <c r="X1655" s="10" t="str">
        <f aca="false">IF(AND(R1655="修改",S1655=""),"請選新事件代碼",IF(AND(R1655&lt;&gt;"修改",S1655&lt;&gt;""),"只有「修改」才需填代碼",""))</f>
        <v/>
      </c>
      <c r="Y1655" s="21"/>
      <c r="Z1655" s="22"/>
      <c r="AA1655" s="12" t="s">
        <v>4334</v>
      </c>
      <c r="AB1655" s="24"/>
    </row>
    <row r="1656" customFormat="false" ht="29.85" hidden="false" customHeight="false" outlineLevel="0" collapsed="false">
      <c r="A1656" s="15" t="n">
        <v>1655</v>
      </c>
      <c r="B1656" s="9" t="s">
        <v>45</v>
      </c>
      <c r="C1656" s="9" t="s">
        <v>2008</v>
      </c>
      <c r="D1656" s="10" t="s">
        <v>2009</v>
      </c>
      <c r="E1656" s="11" t="s">
        <v>4335</v>
      </c>
      <c r="F1656" s="17"/>
      <c r="G1656" s="12" t="s">
        <v>176</v>
      </c>
      <c r="H1656" s="13" t="n">
        <v>-0.016</v>
      </c>
      <c r="I1656" s="14"/>
      <c r="J1656" s="17"/>
      <c r="K1656" s="9"/>
      <c r="L1656" s="15" t="s">
        <v>50</v>
      </c>
      <c r="M1656" s="16" t="s">
        <v>51</v>
      </c>
      <c r="N1656" s="14"/>
      <c r="O1656" s="15" t="s">
        <v>52</v>
      </c>
      <c r="P1656" s="17" t="s">
        <v>53</v>
      </c>
      <c r="Q1656" s="15"/>
      <c r="R1656" s="18" t="s">
        <v>51</v>
      </c>
      <c r="S1656" s="19"/>
      <c r="T1656" s="17" t="str">
        <f aca="false">IF(R1656="維持",J1656,IF(R1656="排除","無關新聞事件",IFERROR(INDEX(事件規則!$B$2:$B$53,MATCH(S1656,事件規則!$A$2:$A$53,0)),"")))</f>
        <v>無關新聞事件</v>
      </c>
      <c r="U1656" s="20" t="n">
        <f aca="false">IF(R1656="維持",K1656,IF(R1656="排除",0,IFERROR(INDEX(事件規則!$C$2:$C$53,MATCH(S1656,事件規則!$A$2:$A$53,0)),"")))</f>
        <v>0</v>
      </c>
      <c r="V1656" s="21"/>
      <c r="W1656" s="22"/>
      <c r="X1656" s="10" t="str">
        <f aca="false">IF(AND(R1656="修改",S1656=""),"請選新事件代碼",IF(AND(R1656&lt;&gt;"修改",S1656&lt;&gt;""),"只有「修改」才需填代碼",""))</f>
        <v/>
      </c>
      <c r="Y1656" s="21"/>
      <c r="Z1656" s="22"/>
      <c r="AA1656" s="12" t="s">
        <v>4336</v>
      </c>
      <c r="AB1656" s="24"/>
    </row>
    <row r="1657" customFormat="false" ht="29.85" hidden="false" customHeight="false" outlineLevel="0" collapsed="false">
      <c r="A1657" s="15" t="n">
        <v>1656</v>
      </c>
      <c r="B1657" s="9" t="s">
        <v>112</v>
      </c>
      <c r="C1657" s="9" t="s">
        <v>3741</v>
      </c>
      <c r="D1657" s="10" t="s">
        <v>3742</v>
      </c>
      <c r="E1657" s="11" t="s">
        <v>4337</v>
      </c>
      <c r="F1657" s="17"/>
      <c r="G1657" s="12" t="s">
        <v>176</v>
      </c>
      <c r="H1657" s="13" t="n">
        <v>-0.016</v>
      </c>
      <c r="I1657" s="14"/>
      <c r="J1657" s="17"/>
      <c r="K1657" s="9"/>
      <c r="L1657" s="15" t="s">
        <v>50</v>
      </c>
      <c r="M1657" s="16" t="s">
        <v>51</v>
      </c>
      <c r="N1657" s="14"/>
      <c r="O1657" s="15" t="s">
        <v>52</v>
      </c>
      <c r="P1657" s="17" t="s">
        <v>53</v>
      </c>
      <c r="Q1657" s="15"/>
      <c r="R1657" s="18" t="s">
        <v>51</v>
      </c>
      <c r="S1657" s="19"/>
      <c r="T1657" s="17" t="str">
        <f aca="false">IF(R1657="維持",J1657,IF(R1657="排除","無關新聞事件",IFERROR(INDEX(事件規則!$B$2:$B$53,MATCH(S1657,事件規則!$A$2:$A$53,0)),"")))</f>
        <v>無關新聞事件</v>
      </c>
      <c r="U1657" s="20" t="n">
        <f aca="false">IF(R1657="維持",K1657,IF(R1657="排除",0,IFERROR(INDEX(事件規則!$C$2:$C$53,MATCH(S1657,事件規則!$A$2:$A$53,0)),"")))</f>
        <v>0</v>
      </c>
      <c r="V1657" s="21"/>
      <c r="W1657" s="22"/>
      <c r="X1657" s="10" t="str">
        <f aca="false">IF(AND(R1657="修改",S1657=""),"請選新事件代碼",IF(AND(R1657&lt;&gt;"修改",S1657&lt;&gt;""),"只有「修改」才需填代碼",""))</f>
        <v/>
      </c>
      <c r="Y1657" s="21"/>
      <c r="Z1657" s="22"/>
      <c r="AA1657" s="12" t="s">
        <v>4338</v>
      </c>
      <c r="AB1657" s="24"/>
    </row>
    <row r="1658" customFormat="false" ht="29.85" hidden="false" customHeight="false" outlineLevel="0" collapsed="false">
      <c r="A1658" s="15" t="n">
        <v>1657</v>
      </c>
      <c r="B1658" s="9" t="s">
        <v>55</v>
      </c>
      <c r="C1658" s="9" t="s">
        <v>1912</v>
      </c>
      <c r="D1658" s="10" t="s">
        <v>1913</v>
      </c>
      <c r="E1658" s="11" t="s">
        <v>4339</v>
      </c>
      <c r="F1658" s="17"/>
      <c r="G1658" s="12" t="s">
        <v>4340</v>
      </c>
      <c r="H1658" s="13" t="n">
        <v>-0.016</v>
      </c>
      <c r="I1658" s="14"/>
      <c r="J1658" s="17"/>
      <c r="K1658" s="9"/>
      <c r="L1658" s="15" t="s">
        <v>50</v>
      </c>
      <c r="M1658" s="16" t="s">
        <v>51</v>
      </c>
      <c r="N1658" s="14"/>
      <c r="O1658" s="15" t="s">
        <v>52</v>
      </c>
      <c r="P1658" s="17" t="s">
        <v>53</v>
      </c>
      <c r="Q1658" s="15"/>
      <c r="R1658" s="18" t="s">
        <v>51</v>
      </c>
      <c r="S1658" s="19"/>
      <c r="T1658" s="17" t="str">
        <f aca="false">IF(R1658="維持",J1658,IF(R1658="排除","無關新聞事件",IFERROR(INDEX(事件規則!$B$2:$B$53,MATCH(S1658,事件規則!$A$2:$A$53,0)),"")))</f>
        <v>無關新聞事件</v>
      </c>
      <c r="U1658" s="20" t="n">
        <f aca="false">IF(R1658="維持",K1658,IF(R1658="排除",0,IFERROR(INDEX(事件規則!$C$2:$C$53,MATCH(S1658,事件規則!$A$2:$A$53,0)),"")))</f>
        <v>0</v>
      </c>
      <c r="V1658" s="21"/>
      <c r="W1658" s="22"/>
      <c r="X1658" s="10" t="str">
        <f aca="false">IF(AND(R1658="修改",S1658=""),"請選新事件代碼",IF(AND(R1658&lt;&gt;"修改",S1658&lt;&gt;""),"只有「修改」才需填代碼",""))</f>
        <v/>
      </c>
      <c r="Y1658" s="21"/>
      <c r="Z1658" s="22"/>
      <c r="AA1658" s="12" t="s">
        <v>4341</v>
      </c>
      <c r="AB1658" s="24"/>
    </row>
    <row r="1659" customFormat="false" ht="29.85" hidden="false" customHeight="false" outlineLevel="0" collapsed="false">
      <c r="A1659" s="15" t="n">
        <v>1658</v>
      </c>
      <c r="B1659" s="9" t="s">
        <v>55</v>
      </c>
      <c r="C1659" s="9" t="s">
        <v>710</v>
      </c>
      <c r="D1659" s="10" t="s">
        <v>711</v>
      </c>
      <c r="E1659" s="11" t="s">
        <v>4342</v>
      </c>
      <c r="F1659" s="17"/>
      <c r="G1659" s="12" t="s">
        <v>4343</v>
      </c>
      <c r="H1659" s="13" t="n">
        <v>-0.016</v>
      </c>
      <c r="I1659" s="14"/>
      <c r="J1659" s="17"/>
      <c r="K1659" s="9"/>
      <c r="L1659" s="15" t="s">
        <v>50</v>
      </c>
      <c r="M1659" s="16" t="s">
        <v>51</v>
      </c>
      <c r="N1659" s="14"/>
      <c r="O1659" s="15" t="s">
        <v>52</v>
      </c>
      <c r="P1659" s="17" t="s">
        <v>53</v>
      </c>
      <c r="Q1659" s="15"/>
      <c r="R1659" s="18" t="s">
        <v>51</v>
      </c>
      <c r="S1659" s="19"/>
      <c r="T1659" s="17" t="str">
        <f aca="false">IF(R1659="維持",J1659,IF(R1659="排除","無關新聞事件",IFERROR(INDEX(事件規則!$B$2:$B$53,MATCH(S1659,事件規則!$A$2:$A$53,0)),"")))</f>
        <v>無關新聞事件</v>
      </c>
      <c r="U1659" s="20" t="n">
        <f aca="false">IF(R1659="維持",K1659,IF(R1659="排除",0,IFERROR(INDEX(事件規則!$C$2:$C$53,MATCH(S1659,事件規則!$A$2:$A$53,0)),"")))</f>
        <v>0</v>
      </c>
      <c r="V1659" s="21"/>
      <c r="W1659" s="22"/>
      <c r="X1659" s="10" t="str">
        <f aca="false">IF(AND(R1659="修改",S1659=""),"請選新事件代碼",IF(AND(R1659&lt;&gt;"修改",S1659&lt;&gt;""),"只有「修改」才需填代碼",""))</f>
        <v/>
      </c>
      <c r="Y1659" s="21"/>
      <c r="Z1659" s="22"/>
      <c r="AA1659" s="12" t="s">
        <v>4344</v>
      </c>
      <c r="AB1659" s="24"/>
    </row>
    <row r="1660" customFormat="false" ht="29.85" hidden="false" customHeight="false" outlineLevel="0" collapsed="false">
      <c r="A1660" s="15" t="n">
        <v>1659</v>
      </c>
      <c r="B1660" s="9" t="s">
        <v>55</v>
      </c>
      <c r="C1660" s="9" t="s">
        <v>761</v>
      </c>
      <c r="D1660" s="10" t="s">
        <v>762</v>
      </c>
      <c r="E1660" s="11" t="s">
        <v>4345</v>
      </c>
      <c r="F1660" s="17"/>
      <c r="G1660" s="12" t="s">
        <v>59</v>
      </c>
      <c r="H1660" s="13" t="n">
        <v>-0.016</v>
      </c>
      <c r="I1660" s="14"/>
      <c r="J1660" s="17"/>
      <c r="K1660" s="9"/>
      <c r="L1660" s="15" t="s">
        <v>50</v>
      </c>
      <c r="M1660" s="16" t="s">
        <v>51</v>
      </c>
      <c r="N1660" s="14"/>
      <c r="O1660" s="15" t="s">
        <v>52</v>
      </c>
      <c r="P1660" s="17" t="s">
        <v>53</v>
      </c>
      <c r="Q1660" s="15"/>
      <c r="R1660" s="18" t="s">
        <v>51</v>
      </c>
      <c r="S1660" s="19"/>
      <c r="T1660" s="17" t="str">
        <f aca="false">IF(R1660="維持",J1660,IF(R1660="排除","無關新聞事件",IFERROR(INDEX(事件規則!$B$2:$B$53,MATCH(S1660,事件規則!$A$2:$A$53,0)),"")))</f>
        <v>無關新聞事件</v>
      </c>
      <c r="U1660" s="20" t="n">
        <f aca="false">IF(R1660="維持",K1660,IF(R1660="排除",0,IFERROR(INDEX(事件規則!$C$2:$C$53,MATCH(S1660,事件規則!$A$2:$A$53,0)),"")))</f>
        <v>0</v>
      </c>
      <c r="V1660" s="21"/>
      <c r="W1660" s="22"/>
      <c r="X1660" s="10" t="str">
        <f aca="false">IF(AND(R1660="修改",S1660=""),"請選新事件代碼",IF(AND(R1660&lt;&gt;"修改",S1660&lt;&gt;""),"只有「修改」才需填代碼",""))</f>
        <v/>
      </c>
      <c r="Y1660" s="21"/>
      <c r="Z1660" s="22"/>
      <c r="AA1660" s="12" t="s">
        <v>4346</v>
      </c>
      <c r="AB1660" s="24"/>
    </row>
    <row r="1661" customFormat="false" ht="29.85" hidden="false" customHeight="false" outlineLevel="0" collapsed="false">
      <c r="A1661" s="15" t="n">
        <v>1660</v>
      </c>
      <c r="B1661" s="9" t="s">
        <v>55</v>
      </c>
      <c r="C1661" s="9" t="s">
        <v>831</v>
      </c>
      <c r="D1661" s="10" t="s">
        <v>832</v>
      </c>
      <c r="E1661" s="11" t="s">
        <v>4347</v>
      </c>
      <c r="F1661" s="17"/>
      <c r="G1661" s="12" t="s">
        <v>95</v>
      </c>
      <c r="H1661" s="13" t="n">
        <v>-0.016</v>
      </c>
      <c r="I1661" s="14"/>
      <c r="J1661" s="17"/>
      <c r="K1661" s="9"/>
      <c r="L1661" s="15" t="s">
        <v>50</v>
      </c>
      <c r="M1661" s="16" t="s">
        <v>51</v>
      </c>
      <c r="N1661" s="14"/>
      <c r="O1661" s="15" t="s">
        <v>52</v>
      </c>
      <c r="P1661" s="17" t="s">
        <v>53</v>
      </c>
      <c r="Q1661" s="15"/>
      <c r="R1661" s="18" t="s">
        <v>51</v>
      </c>
      <c r="S1661" s="19"/>
      <c r="T1661" s="17" t="str">
        <f aca="false">IF(R1661="維持",J1661,IF(R1661="排除","無關新聞事件",IFERROR(INDEX(事件規則!$B$2:$B$53,MATCH(S1661,事件規則!$A$2:$A$53,0)),"")))</f>
        <v>無關新聞事件</v>
      </c>
      <c r="U1661" s="20" t="n">
        <f aca="false">IF(R1661="維持",K1661,IF(R1661="排除",0,IFERROR(INDEX(事件規則!$C$2:$C$53,MATCH(S1661,事件規則!$A$2:$A$53,0)),"")))</f>
        <v>0</v>
      </c>
      <c r="V1661" s="21"/>
      <c r="W1661" s="22"/>
      <c r="X1661" s="10" t="str">
        <f aca="false">IF(AND(R1661="修改",S1661=""),"請選新事件代碼",IF(AND(R1661&lt;&gt;"修改",S1661&lt;&gt;""),"只有「修改」才需填代碼",""))</f>
        <v/>
      </c>
      <c r="Y1661" s="21"/>
      <c r="Z1661" s="22"/>
      <c r="AA1661" s="12" t="s">
        <v>4348</v>
      </c>
      <c r="AB1661" s="24"/>
    </row>
    <row r="1662" customFormat="false" ht="29.85" hidden="false" customHeight="false" outlineLevel="0" collapsed="false">
      <c r="A1662" s="15" t="n">
        <v>1661</v>
      </c>
      <c r="B1662" s="9" t="s">
        <v>112</v>
      </c>
      <c r="C1662" s="9" t="s">
        <v>2041</v>
      </c>
      <c r="D1662" s="10" t="s">
        <v>2042</v>
      </c>
      <c r="E1662" s="11" t="s">
        <v>4349</v>
      </c>
      <c r="F1662" s="17"/>
      <c r="G1662" s="12" t="s">
        <v>2033</v>
      </c>
      <c r="H1662" s="13" t="n">
        <v>-0.016</v>
      </c>
      <c r="I1662" s="14"/>
      <c r="J1662" s="17"/>
      <c r="K1662" s="9"/>
      <c r="L1662" s="15" t="s">
        <v>50</v>
      </c>
      <c r="M1662" s="16" t="s">
        <v>51</v>
      </c>
      <c r="N1662" s="14"/>
      <c r="O1662" s="15" t="s">
        <v>52</v>
      </c>
      <c r="P1662" s="17" t="s">
        <v>53</v>
      </c>
      <c r="Q1662" s="15"/>
      <c r="R1662" s="18" t="s">
        <v>51</v>
      </c>
      <c r="S1662" s="19"/>
      <c r="T1662" s="17" t="str">
        <f aca="false">IF(R1662="維持",J1662,IF(R1662="排除","無關新聞事件",IFERROR(INDEX(事件規則!$B$2:$B$53,MATCH(S1662,事件規則!$A$2:$A$53,0)),"")))</f>
        <v>無關新聞事件</v>
      </c>
      <c r="U1662" s="20" t="n">
        <f aca="false">IF(R1662="維持",K1662,IF(R1662="排除",0,IFERROR(INDEX(事件規則!$C$2:$C$53,MATCH(S1662,事件規則!$A$2:$A$53,0)),"")))</f>
        <v>0</v>
      </c>
      <c r="V1662" s="21"/>
      <c r="W1662" s="22"/>
      <c r="X1662" s="10" t="str">
        <f aca="false">IF(AND(R1662="修改",S1662=""),"請選新事件代碼",IF(AND(R1662&lt;&gt;"修改",S1662&lt;&gt;""),"只有「修改」才需填代碼",""))</f>
        <v/>
      </c>
      <c r="Y1662" s="21"/>
      <c r="Z1662" s="22"/>
      <c r="AA1662" s="12" t="s">
        <v>4350</v>
      </c>
      <c r="AB1662" s="24"/>
    </row>
    <row r="1663" customFormat="false" ht="29.85" hidden="false" customHeight="false" outlineLevel="0" collapsed="false">
      <c r="A1663" s="15" t="n">
        <v>1662</v>
      </c>
      <c r="B1663" s="9" t="s">
        <v>112</v>
      </c>
      <c r="C1663" s="9" t="s">
        <v>3117</v>
      </c>
      <c r="D1663" s="10" t="s">
        <v>3118</v>
      </c>
      <c r="E1663" s="11" t="s">
        <v>4351</v>
      </c>
      <c r="F1663" s="17"/>
      <c r="G1663" s="12" t="s">
        <v>2033</v>
      </c>
      <c r="H1663" s="13" t="n">
        <v>-0.016</v>
      </c>
      <c r="I1663" s="14"/>
      <c r="J1663" s="17"/>
      <c r="K1663" s="9"/>
      <c r="L1663" s="15" t="s">
        <v>50</v>
      </c>
      <c r="M1663" s="16" t="s">
        <v>51</v>
      </c>
      <c r="N1663" s="14"/>
      <c r="O1663" s="15" t="s">
        <v>52</v>
      </c>
      <c r="P1663" s="17" t="s">
        <v>53</v>
      </c>
      <c r="Q1663" s="15"/>
      <c r="R1663" s="18" t="s">
        <v>51</v>
      </c>
      <c r="S1663" s="19"/>
      <c r="T1663" s="17" t="str">
        <f aca="false">IF(R1663="維持",J1663,IF(R1663="排除","無關新聞事件",IFERROR(INDEX(事件規則!$B$2:$B$53,MATCH(S1663,事件規則!$A$2:$A$53,0)),"")))</f>
        <v>無關新聞事件</v>
      </c>
      <c r="U1663" s="20" t="n">
        <f aca="false">IF(R1663="維持",K1663,IF(R1663="排除",0,IFERROR(INDEX(事件規則!$C$2:$C$53,MATCH(S1663,事件規則!$A$2:$A$53,0)),"")))</f>
        <v>0</v>
      </c>
      <c r="V1663" s="21"/>
      <c r="W1663" s="22"/>
      <c r="X1663" s="10" t="str">
        <f aca="false">IF(AND(R1663="修改",S1663=""),"請選新事件代碼",IF(AND(R1663&lt;&gt;"修改",S1663&lt;&gt;""),"只有「修改」才需填代碼",""))</f>
        <v/>
      </c>
      <c r="Y1663" s="21"/>
      <c r="Z1663" s="22"/>
      <c r="AA1663" s="12" t="s">
        <v>4352</v>
      </c>
      <c r="AB1663" s="24"/>
    </row>
    <row r="1664" customFormat="false" ht="29.85" hidden="false" customHeight="false" outlineLevel="0" collapsed="false">
      <c r="A1664" s="15" t="n">
        <v>1663</v>
      </c>
      <c r="B1664" s="9" t="s">
        <v>112</v>
      </c>
      <c r="C1664" s="9" t="s">
        <v>2055</v>
      </c>
      <c r="D1664" s="10" t="s">
        <v>2056</v>
      </c>
      <c r="E1664" s="11" t="s">
        <v>4353</v>
      </c>
      <c r="F1664" s="17"/>
      <c r="G1664" s="12" t="s">
        <v>2033</v>
      </c>
      <c r="H1664" s="13" t="n">
        <v>-0.016</v>
      </c>
      <c r="I1664" s="14"/>
      <c r="J1664" s="17"/>
      <c r="K1664" s="9"/>
      <c r="L1664" s="15" t="s">
        <v>50</v>
      </c>
      <c r="M1664" s="16" t="s">
        <v>51</v>
      </c>
      <c r="N1664" s="14"/>
      <c r="O1664" s="15" t="s">
        <v>52</v>
      </c>
      <c r="P1664" s="17" t="s">
        <v>53</v>
      </c>
      <c r="Q1664" s="15"/>
      <c r="R1664" s="18" t="s">
        <v>51</v>
      </c>
      <c r="S1664" s="19"/>
      <c r="T1664" s="17" t="str">
        <f aca="false">IF(R1664="維持",J1664,IF(R1664="排除","無關新聞事件",IFERROR(INDEX(事件規則!$B$2:$B$53,MATCH(S1664,事件規則!$A$2:$A$53,0)),"")))</f>
        <v>無關新聞事件</v>
      </c>
      <c r="U1664" s="20" t="n">
        <f aca="false">IF(R1664="維持",K1664,IF(R1664="排除",0,IFERROR(INDEX(事件規則!$C$2:$C$53,MATCH(S1664,事件規則!$A$2:$A$53,0)),"")))</f>
        <v>0</v>
      </c>
      <c r="V1664" s="21"/>
      <c r="W1664" s="22"/>
      <c r="X1664" s="10" t="str">
        <f aca="false">IF(AND(R1664="修改",S1664=""),"請選新事件代碼",IF(AND(R1664&lt;&gt;"修改",S1664&lt;&gt;""),"只有「修改」才需填代碼",""))</f>
        <v/>
      </c>
      <c r="Y1664" s="21"/>
      <c r="Z1664" s="22"/>
      <c r="AA1664" s="12" t="s">
        <v>4354</v>
      </c>
      <c r="AB1664" s="24"/>
    </row>
    <row r="1665" customFormat="false" ht="29.85" hidden="false" customHeight="false" outlineLevel="0" collapsed="false">
      <c r="A1665" s="15" t="n">
        <v>1664</v>
      </c>
      <c r="B1665" s="9" t="s">
        <v>112</v>
      </c>
      <c r="C1665" s="9" t="s">
        <v>1017</v>
      </c>
      <c r="D1665" s="10" t="s">
        <v>1018</v>
      </c>
      <c r="E1665" s="11" t="s">
        <v>4355</v>
      </c>
      <c r="F1665" s="17"/>
      <c r="G1665" s="12" t="s">
        <v>2033</v>
      </c>
      <c r="H1665" s="13" t="n">
        <v>-0.016</v>
      </c>
      <c r="I1665" s="14"/>
      <c r="J1665" s="17"/>
      <c r="K1665" s="9"/>
      <c r="L1665" s="15" t="s">
        <v>50</v>
      </c>
      <c r="M1665" s="16" t="s">
        <v>51</v>
      </c>
      <c r="N1665" s="14"/>
      <c r="O1665" s="15" t="s">
        <v>52</v>
      </c>
      <c r="P1665" s="17" t="s">
        <v>53</v>
      </c>
      <c r="Q1665" s="15"/>
      <c r="R1665" s="18" t="s">
        <v>51</v>
      </c>
      <c r="S1665" s="19"/>
      <c r="T1665" s="17" t="str">
        <f aca="false">IF(R1665="維持",J1665,IF(R1665="排除","無關新聞事件",IFERROR(INDEX(事件規則!$B$2:$B$53,MATCH(S1665,事件規則!$A$2:$A$53,0)),"")))</f>
        <v>無關新聞事件</v>
      </c>
      <c r="U1665" s="20" t="n">
        <f aca="false">IF(R1665="維持",K1665,IF(R1665="排除",0,IFERROR(INDEX(事件規則!$C$2:$C$53,MATCH(S1665,事件規則!$A$2:$A$53,0)),"")))</f>
        <v>0</v>
      </c>
      <c r="V1665" s="21"/>
      <c r="W1665" s="22"/>
      <c r="X1665" s="10" t="str">
        <f aca="false">IF(AND(R1665="修改",S1665=""),"請選新事件代碼",IF(AND(R1665&lt;&gt;"修改",S1665&lt;&gt;""),"只有「修改」才需填代碼",""))</f>
        <v/>
      </c>
      <c r="Y1665" s="21"/>
      <c r="Z1665" s="22"/>
      <c r="AA1665" s="12" t="s">
        <v>4356</v>
      </c>
      <c r="AB1665" s="24"/>
    </row>
    <row r="1666" customFormat="false" ht="29.85" hidden="false" customHeight="false" outlineLevel="0" collapsed="false">
      <c r="A1666" s="15" t="n">
        <v>1665</v>
      </c>
      <c r="B1666" s="9" t="s">
        <v>112</v>
      </c>
      <c r="C1666" s="9" t="s">
        <v>1617</v>
      </c>
      <c r="D1666" s="10" t="s">
        <v>1618</v>
      </c>
      <c r="E1666" s="11" t="s">
        <v>4357</v>
      </c>
      <c r="F1666" s="17"/>
      <c r="G1666" s="12" t="s">
        <v>176</v>
      </c>
      <c r="H1666" s="13" t="n">
        <v>-0.016</v>
      </c>
      <c r="I1666" s="14"/>
      <c r="J1666" s="17"/>
      <c r="K1666" s="9"/>
      <c r="L1666" s="15" t="s">
        <v>50</v>
      </c>
      <c r="M1666" s="16" t="s">
        <v>51</v>
      </c>
      <c r="N1666" s="14"/>
      <c r="O1666" s="15" t="s">
        <v>52</v>
      </c>
      <c r="P1666" s="17" t="s">
        <v>53</v>
      </c>
      <c r="Q1666" s="15"/>
      <c r="R1666" s="18" t="s">
        <v>51</v>
      </c>
      <c r="S1666" s="19"/>
      <c r="T1666" s="17" t="str">
        <f aca="false">IF(R1666="維持",J1666,IF(R1666="排除","無關新聞事件",IFERROR(INDEX(事件規則!$B$2:$B$53,MATCH(S1666,事件規則!$A$2:$A$53,0)),"")))</f>
        <v>無關新聞事件</v>
      </c>
      <c r="U1666" s="20" t="n">
        <f aca="false">IF(R1666="維持",K1666,IF(R1666="排除",0,IFERROR(INDEX(事件規則!$C$2:$C$53,MATCH(S1666,事件規則!$A$2:$A$53,0)),"")))</f>
        <v>0</v>
      </c>
      <c r="V1666" s="21"/>
      <c r="W1666" s="22"/>
      <c r="X1666" s="10" t="str">
        <f aca="false">IF(AND(R1666="修改",S1666=""),"請選新事件代碼",IF(AND(R1666&lt;&gt;"修改",S1666&lt;&gt;""),"只有「修改」才需填代碼",""))</f>
        <v/>
      </c>
      <c r="Y1666" s="21"/>
      <c r="Z1666" s="22"/>
      <c r="AA1666" s="12" t="s">
        <v>4358</v>
      </c>
      <c r="AB1666" s="24"/>
    </row>
    <row r="1667" customFormat="false" ht="29.85" hidden="false" customHeight="false" outlineLevel="0" collapsed="false">
      <c r="A1667" s="15" t="n">
        <v>1666</v>
      </c>
      <c r="B1667" s="9" t="s">
        <v>55</v>
      </c>
      <c r="C1667" s="9" t="s">
        <v>294</v>
      </c>
      <c r="D1667" s="10" t="s">
        <v>295</v>
      </c>
      <c r="E1667" s="11" t="s">
        <v>4359</v>
      </c>
      <c r="F1667" s="17"/>
      <c r="G1667" s="12" t="s">
        <v>105</v>
      </c>
      <c r="H1667" s="13" t="n">
        <v>-0.016</v>
      </c>
      <c r="I1667" s="14"/>
      <c r="J1667" s="17"/>
      <c r="K1667" s="9"/>
      <c r="L1667" s="15" t="s">
        <v>50</v>
      </c>
      <c r="M1667" s="16" t="s">
        <v>51</v>
      </c>
      <c r="N1667" s="14"/>
      <c r="O1667" s="15" t="s">
        <v>52</v>
      </c>
      <c r="P1667" s="17" t="s">
        <v>53</v>
      </c>
      <c r="Q1667" s="15"/>
      <c r="R1667" s="18" t="s">
        <v>51</v>
      </c>
      <c r="S1667" s="19"/>
      <c r="T1667" s="17" t="str">
        <f aca="false">IF(R1667="維持",J1667,IF(R1667="排除","無關新聞事件",IFERROR(INDEX(事件規則!$B$2:$B$53,MATCH(S1667,事件規則!$A$2:$A$53,0)),"")))</f>
        <v>無關新聞事件</v>
      </c>
      <c r="U1667" s="20" t="n">
        <f aca="false">IF(R1667="維持",K1667,IF(R1667="排除",0,IFERROR(INDEX(事件規則!$C$2:$C$53,MATCH(S1667,事件規則!$A$2:$A$53,0)),"")))</f>
        <v>0</v>
      </c>
      <c r="V1667" s="21"/>
      <c r="W1667" s="22"/>
      <c r="X1667" s="10" t="str">
        <f aca="false">IF(AND(R1667="修改",S1667=""),"請選新事件代碼",IF(AND(R1667&lt;&gt;"修改",S1667&lt;&gt;""),"只有「修改」才需填代碼",""))</f>
        <v/>
      </c>
      <c r="Y1667" s="21"/>
      <c r="Z1667" s="22"/>
      <c r="AA1667" s="12" t="s">
        <v>4360</v>
      </c>
      <c r="AB1667" s="24"/>
    </row>
    <row r="1668" customFormat="false" ht="29.85" hidden="false" customHeight="false" outlineLevel="0" collapsed="false">
      <c r="A1668" s="15" t="n">
        <v>1667</v>
      </c>
      <c r="B1668" s="9" t="s">
        <v>45</v>
      </c>
      <c r="C1668" s="9" t="s">
        <v>3497</v>
      </c>
      <c r="D1668" s="10" t="s">
        <v>3498</v>
      </c>
      <c r="E1668" s="11" t="s">
        <v>4333</v>
      </c>
      <c r="F1668" s="17"/>
      <c r="G1668" s="12" t="s">
        <v>949</v>
      </c>
      <c r="H1668" s="13" t="n">
        <v>-0.016</v>
      </c>
      <c r="I1668" s="14"/>
      <c r="J1668" s="17"/>
      <c r="K1668" s="9"/>
      <c r="L1668" s="15" t="s">
        <v>50</v>
      </c>
      <c r="M1668" s="16" t="s">
        <v>51</v>
      </c>
      <c r="N1668" s="14"/>
      <c r="O1668" s="15" t="s">
        <v>52</v>
      </c>
      <c r="P1668" s="17" t="s">
        <v>53</v>
      </c>
      <c r="Q1668" s="15"/>
      <c r="R1668" s="18" t="s">
        <v>51</v>
      </c>
      <c r="S1668" s="19"/>
      <c r="T1668" s="17" t="str">
        <f aca="false">IF(R1668="維持",J1668,IF(R1668="排除","無關新聞事件",IFERROR(INDEX(事件規則!$B$2:$B$53,MATCH(S1668,事件規則!$A$2:$A$53,0)),"")))</f>
        <v>無關新聞事件</v>
      </c>
      <c r="U1668" s="20" t="n">
        <f aca="false">IF(R1668="維持",K1668,IF(R1668="排除",0,IFERROR(INDEX(事件規則!$C$2:$C$53,MATCH(S1668,事件規則!$A$2:$A$53,0)),"")))</f>
        <v>0</v>
      </c>
      <c r="V1668" s="21"/>
      <c r="W1668" s="22"/>
      <c r="X1668" s="10" t="str">
        <f aca="false">IF(AND(R1668="修改",S1668=""),"請選新事件代碼",IF(AND(R1668&lt;&gt;"修改",S1668&lt;&gt;""),"只有「修改」才需填代碼",""))</f>
        <v/>
      </c>
      <c r="Y1668" s="21"/>
      <c r="Z1668" s="22"/>
      <c r="AA1668" s="12" t="s">
        <v>4361</v>
      </c>
      <c r="AB1668" s="24"/>
    </row>
    <row r="1669" customFormat="false" ht="29.85" hidden="false" customHeight="false" outlineLevel="0" collapsed="false">
      <c r="A1669" s="15" t="n">
        <v>1668</v>
      </c>
      <c r="B1669" s="9" t="s">
        <v>112</v>
      </c>
      <c r="C1669" s="9" t="s">
        <v>1310</v>
      </c>
      <c r="D1669" s="10" t="s">
        <v>1311</v>
      </c>
      <c r="E1669" s="11" t="s">
        <v>4362</v>
      </c>
      <c r="F1669" s="17"/>
      <c r="G1669" s="12" t="s">
        <v>95</v>
      </c>
      <c r="H1669" s="13" t="n">
        <v>-0.016</v>
      </c>
      <c r="I1669" s="14"/>
      <c r="J1669" s="17"/>
      <c r="K1669" s="9"/>
      <c r="L1669" s="15" t="s">
        <v>50</v>
      </c>
      <c r="M1669" s="16" t="s">
        <v>51</v>
      </c>
      <c r="N1669" s="14"/>
      <c r="O1669" s="15" t="s">
        <v>52</v>
      </c>
      <c r="P1669" s="17" t="s">
        <v>53</v>
      </c>
      <c r="Q1669" s="15"/>
      <c r="R1669" s="18" t="s">
        <v>51</v>
      </c>
      <c r="S1669" s="19"/>
      <c r="T1669" s="17" t="str">
        <f aca="false">IF(R1669="維持",J1669,IF(R1669="排除","無關新聞事件",IFERROR(INDEX(事件規則!$B$2:$B$53,MATCH(S1669,事件規則!$A$2:$A$53,0)),"")))</f>
        <v>無關新聞事件</v>
      </c>
      <c r="U1669" s="20" t="n">
        <f aca="false">IF(R1669="維持",K1669,IF(R1669="排除",0,IFERROR(INDEX(事件規則!$C$2:$C$53,MATCH(S1669,事件規則!$A$2:$A$53,0)),"")))</f>
        <v>0</v>
      </c>
      <c r="V1669" s="21"/>
      <c r="W1669" s="22"/>
      <c r="X1669" s="10" t="str">
        <f aca="false">IF(AND(R1669="修改",S1669=""),"請選新事件代碼",IF(AND(R1669&lt;&gt;"修改",S1669&lt;&gt;""),"只有「修改」才需填代碼",""))</f>
        <v/>
      </c>
      <c r="Y1669" s="21"/>
      <c r="Z1669" s="22"/>
      <c r="AA1669" s="12" t="s">
        <v>4363</v>
      </c>
      <c r="AB1669" s="24"/>
    </row>
    <row r="1670" customFormat="false" ht="29.85" hidden="false" customHeight="false" outlineLevel="0" collapsed="false">
      <c r="A1670" s="15" t="n">
        <v>1669</v>
      </c>
      <c r="B1670" s="9" t="s">
        <v>45</v>
      </c>
      <c r="C1670" s="9" t="s">
        <v>2681</v>
      </c>
      <c r="D1670" s="10" t="s">
        <v>2682</v>
      </c>
      <c r="E1670" s="11" t="s">
        <v>4364</v>
      </c>
      <c r="F1670" s="17"/>
      <c r="G1670" s="12" t="s">
        <v>2681</v>
      </c>
      <c r="H1670" s="13" t="n">
        <v>-0.016</v>
      </c>
      <c r="I1670" s="14"/>
      <c r="J1670" s="17"/>
      <c r="K1670" s="9"/>
      <c r="L1670" s="15" t="s">
        <v>50</v>
      </c>
      <c r="M1670" s="16" t="s">
        <v>51</v>
      </c>
      <c r="N1670" s="14"/>
      <c r="O1670" s="15" t="s">
        <v>52</v>
      </c>
      <c r="P1670" s="17" t="s">
        <v>53</v>
      </c>
      <c r="Q1670" s="15"/>
      <c r="R1670" s="18" t="s">
        <v>51</v>
      </c>
      <c r="S1670" s="19"/>
      <c r="T1670" s="17" t="str">
        <f aca="false">IF(R1670="維持",J1670,IF(R1670="排除","無關新聞事件",IFERROR(INDEX(事件規則!$B$2:$B$53,MATCH(S1670,事件規則!$A$2:$A$53,0)),"")))</f>
        <v>無關新聞事件</v>
      </c>
      <c r="U1670" s="20" t="n">
        <f aca="false">IF(R1670="維持",K1670,IF(R1670="排除",0,IFERROR(INDEX(事件規則!$C$2:$C$53,MATCH(S1670,事件規則!$A$2:$A$53,0)),"")))</f>
        <v>0</v>
      </c>
      <c r="V1670" s="21"/>
      <c r="W1670" s="22"/>
      <c r="X1670" s="10" t="str">
        <f aca="false">IF(AND(R1670="修改",S1670=""),"請選新事件代碼",IF(AND(R1670&lt;&gt;"修改",S1670&lt;&gt;""),"只有「修改」才需填代碼",""))</f>
        <v/>
      </c>
      <c r="Y1670" s="21"/>
      <c r="Z1670" s="22"/>
      <c r="AA1670" s="12" t="s">
        <v>4365</v>
      </c>
      <c r="AB1670" s="24"/>
    </row>
    <row r="1671" customFormat="false" ht="29.85" hidden="false" customHeight="false" outlineLevel="0" collapsed="false">
      <c r="A1671" s="15" t="n">
        <v>1670</v>
      </c>
      <c r="B1671" s="9" t="s">
        <v>45</v>
      </c>
      <c r="C1671" s="9" t="s">
        <v>710</v>
      </c>
      <c r="D1671" s="10" t="s">
        <v>711</v>
      </c>
      <c r="E1671" s="11" t="s">
        <v>4366</v>
      </c>
      <c r="F1671" s="17"/>
      <c r="G1671" s="12" t="s">
        <v>2033</v>
      </c>
      <c r="H1671" s="13" t="n">
        <v>-0.016</v>
      </c>
      <c r="I1671" s="14"/>
      <c r="J1671" s="17"/>
      <c r="K1671" s="9"/>
      <c r="L1671" s="15" t="s">
        <v>50</v>
      </c>
      <c r="M1671" s="16" t="s">
        <v>51</v>
      </c>
      <c r="N1671" s="14"/>
      <c r="O1671" s="15" t="s">
        <v>52</v>
      </c>
      <c r="P1671" s="17" t="s">
        <v>53</v>
      </c>
      <c r="Q1671" s="15"/>
      <c r="R1671" s="18" t="s">
        <v>51</v>
      </c>
      <c r="S1671" s="19"/>
      <c r="T1671" s="17" t="str">
        <f aca="false">IF(R1671="維持",J1671,IF(R1671="排除","無關新聞事件",IFERROR(INDEX(事件規則!$B$2:$B$53,MATCH(S1671,事件規則!$A$2:$A$53,0)),"")))</f>
        <v>無關新聞事件</v>
      </c>
      <c r="U1671" s="20" t="n">
        <f aca="false">IF(R1671="維持",K1671,IF(R1671="排除",0,IFERROR(INDEX(事件規則!$C$2:$C$53,MATCH(S1671,事件規則!$A$2:$A$53,0)),"")))</f>
        <v>0</v>
      </c>
      <c r="V1671" s="21"/>
      <c r="W1671" s="22"/>
      <c r="X1671" s="10" t="str">
        <f aca="false">IF(AND(R1671="修改",S1671=""),"請選新事件代碼",IF(AND(R1671&lt;&gt;"修改",S1671&lt;&gt;""),"只有「修改」才需填代碼",""))</f>
        <v/>
      </c>
      <c r="Y1671" s="21"/>
      <c r="Z1671" s="22"/>
      <c r="AA1671" s="12" t="s">
        <v>4367</v>
      </c>
      <c r="AB1671" s="24"/>
    </row>
    <row r="1672" customFormat="false" ht="29.85" hidden="false" customHeight="false" outlineLevel="0" collapsed="false">
      <c r="A1672" s="15" t="n">
        <v>1671</v>
      </c>
      <c r="B1672" s="9" t="s">
        <v>45</v>
      </c>
      <c r="C1672" s="9" t="s">
        <v>113</v>
      </c>
      <c r="D1672" s="10" t="s">
        <v>114</v>
      </c>
      <c r="E1672" s="11" t="s">
        <v>4368</v>
      </c>
      <c r="F1672" s="17"/>
      <c r="G1672" s="12" t="s">
        <v>105</v>
      </c>
      <c r="H1672" s="13" t="n">
        <v>-0.016</v>
      </c>
      <c r="I1672" s="14"/>
      <c r="J1672" s="17"/>
      <c r="K1672" s="9"/>
      <c r="L1672" s="15" t="s">
        <v>50</v>
      </c>
      <c r="M1672" s="16" t="s">
        <v>51</v>
      </c>
      <c r="N1672" s="14"/>
      <c r="O1672" s="15" t="s">
        <v>52</v>
      </c>
      <c r="P1672" s="17" t="s">
        <v>53</v>
      </c>
      <c r="Q1672" s="15"/>
      <c r="R1672" s="18" t="s">
        <v>51</v>
      </c>
      <c r="S1672" s="19"/>
      <c r="T1672" s="17" t="str">
        <f aca="false">IF(R1672="維持",J1672,IF(R1672="排除","無關新聞事件",IFERROR(INDEX(事件規則!$B$2:$B$53,MATCH(S1672,事件規則!$A$2:$A$53,0)),"")))</f>
        <v>無關新聞事件</v>
      </c>
      <c r="U1672" s="20" t="n">
        <f aca="false">IF(R1672="維持",K1672,IF(R1672="排除",0,IFERROR(INDEX(事件規則!$C$2:$C$53,MATCH(S1672,事件規則!$A$2:$A$53,0)),"")))</f>
        <v>0</v>
      </c>
      <c r="V1672" s="21"/>
      <c r="W1672" s="22"/>
      <c r="X1672" s="10" t="str">
        <f aca="false">IF(AND(R1672="修改",S1672=""),"請選新事件代碼",IF(AND(R1672&lt;&gt;"修改",S1672&lt;&gt;""),"只有「修改」才需填代碼",""))</f>
        <v/>
      </c>
      <c r="Y1672" s="21"/>
      <c r="Z1672" s="22"/>
      <c r="AA1672" s="12" t="s">
        <v>4369</v>
      </c>
      <c r="AB1672" s="24"/>
    </row>
    <row r="1673" customFormat="false" ht="29.85" hidden="false" customHeight="false" outlineLevel="0" collapsed="false">
      <c r="A1673" s="15" t="n">
        <v>1672</v>
      </c>
      <c r="B1673" s="9" t="s">
        <v>45</v>
      </c>
      <c r="C1673" s="9" t="s">
        <v>1028</v>
      </c>
      <c r="D1673" s="10" t="s">
        <v>1029</v>
      </c>
      <c r="E1673" s="11" t="s">
        <v>4370</v>
      </c>
      <c r="F1673" s="17"/>
      <c r="G1673" s="12" t="s">
        <v>1136</v>
      </c>
      <c r="H1673" s="13" t="n">
        <v>-0.016</v>
      </c>
      <c r="I1673" s="14"/>
      <c r="J1673" s="17"/>
      <c r="K1673" s="9"/>
      <c r="L1673" s="15" t="s">
        <v>50</v>
      </c>
      <c r="M1673" s="16" t="s">
        <v>51</v>
      </c>
      <c r="N1673" s="14"/>
      <c r="O1673" s="15" t="s">
        <v>52</v>
      </c>
      <c r="P1673" s="17" t="s">
        <v>53</v>
      </c>
      <c r="Q1673" s="15"/>
      <c r="R1673" s="18" t="s">
        <v>51</v>
      </c>
      <c r="S1673" s="19"/>
      <c r="T1673" s="17" t="str">
        <f aca="false">IF(R1673="維持",J1673,IF(R1673="排除","無關新聞事件",IFERROR(INDEX(事件規則!$B$2:$B$53,MATCH(S1673,事件規則!$A$2:$A$53,0)),"")))</f>
        <v>無關新聞事件</v>
      </c>
      <c r="U1673" s="20" t="n">
        <f aca="false">IF(R1673="維持",K1673,IF(R1673="排除",0,IFERROR(INDEX(事件規則!$C$2:$C$53,MATCH(S1673,事件規則!$A$2:$A$53,0)),"")))</f>
        <v>0</v>
      </c>
      <c r="V1673" s="21"/>
      <c r="W1673" s="22"/>
      <c r="X1673" s="10" t="str">
        <f aca="false">IF(AND(R1673="修改",S1673=""),"請選新事件代碼",IF(AND(R1673&lt;&gt;"修改",S1673&lt;&gt;""),"只有「修改」才需填代碼",""))</f>
        <v/>
      </c>
      <c r="Y1673" s="21"/>
      <c r="Z1673" s="22"/>
      <c r="AA1673" s="12" t="s">
        <v>4371</v>
      </c>
      <c r="AB1673" s="24"/>
    </row>
    <row r="1674" customFormat="false" ht="29.85" hidden="false" customHeight="false" outlineLevel="0" collapsed="false">
      <c r="A1674" s="15" t="n">
        <v>1673</v>
      </c>
      <c r="B1674" s="9" t="s">
        <v>55</v>
      </c>
      <c r="C1674" s="9" t="s">
        <v>445</v>
      </c>
      <c r="D1674" s="10" t="s">
        <v>446</v>
      </c>
      <c r="E1674" s="11" t="s">
        <v>4372</v>
      </c>
      <c r="F1674" s="17"/>
      <c r="G1674" s="12" t="s">
        <v>4373</v>
      </c>
      <c r="H1674" s="13" t="n">
        <v>-0.016</v>
      </c>
      <c r="I1674" s="14"/>
      <c r="J1674" s="17"/>
      <c r="K1674" s="9"/>
      <c r="L1674" s="15" t="s">
        <v>50</v>
      </c>
      <c r="M1674" s="16" t="s">
        <v>51</v>
      </c>
      <c r="N1674" s="14"/>
      <c r="O1674" s="15" t="s">
        <v>52</v>
      </c>
      <c r="P1674" s="17" t="s">
        <v>53</v>
      </c>
      <c r="Q1674" s="15"/>
      <c r="R1674" s="18" t="s">
        <v>51</v>
      </c>
      <c r="S1674" s="19"/>
      <c r="T1674" s="17" t="str">
        <f aca="false">IF(R1674="維持",J1674,IF(R1674="排除","無關新聞事件",IFERROR(INDEX(事件規則!$B$2:$B$53,MATCH(S1674,事件規則!$A$2:$A$53,0)),"")))</f>
        <v>無關新聞事件</v>
      </c>
      <c r="U1674" s="20" t="n">
        <f aca="false">IF(R1674="維持",K1674,IF(R1674="排除",0,IFERROR(INDEX(事件規則!$C$2:$C$53,MATCH(S1674,事件規則!$A$2:$A$53,0)),"")))</f>
        <v>0</v>
      </c>
      <c r="V1674" s="21"/>
      <c r="W1674" s="22"/>
      <c r="X1674" s="10" t="str">
        <f aca="false">IF(AND(R1674="修改",S1674=""),"請選新事件代碼",IF(AND(R1674&lt;&gt;"修改",S1674&lt;&gt;""),"只有「修改」才需填代碼",""))</f>
        <v/>
      </c>
      <c r="Y1674" s="21"/>
      <c r="Z1674" s="22"/>
      <c r="AA1674" s="12" t="s">
        <v>4374</v>
      </c>
      <c r="AB1674" s="24"/>
    </row>
    <row r="1675" customFormat="false" ht="29.85" hidden="false" customHeight="false" outlineLevel="0" collapsed="false">
      <c r="A1675" s="15" t="n">
        <v>1674</v>
      </c>
      <c r="B1675" s="9" t="s">
        <v>81</v>
      </c>
      <c r="C1675" s="9" t="s">
        <v>2293</v>
      </c>
      <c r="D1675" s="10" t="s">
        <v>2294</v>
      </c>
      <c r="E1675" s="11" t="s">
        <v>4375</v>
      </c>
      <c r="F1675" s="17"/>
      <c r="G1675" s="12" t="s">
        <v>3221</v>
      </c>
      <c r="H1675" s="13" t="n">
        <v>-0.016</v>
      </c>
      <c r="I1675" s="14"/>
      <c r="J1675" s="17"/>
      <c r="K1675" s="9"/>
      <c r="L1675" s="15" t="s">
        <v>50</v>
      </c>
      <c r="M1675" s="16" t="s">
        <v>51</v>
      </c>
      <c r="N1675" s="14"/>
      <c r="O1675" s="15" t="s">
        <v>52</v>
      </c>
      <c r="P1675" s="17" t="s">
        <v>53</v>
      </c>
      <c r="Q1675" s="15"/>
      <c r="R1675" s="18" t="s">
        <v>51</v>
      </c>
      <c r="S1675" s="19"/>
      <c r="T1675" s="17" t="str">
        <f aca="false">IF(R1675="維持",J1675,IF(R1675="排除","無關新聞事件",IFERROR(INDEX(事件規則!$B$2:$B$53,MATCH(S1675,事件規則!$A$2:$A$53,0)),"")))</f>
        <v>無關新聞事件</v>
      </c>
      <c r="U1675" s="20" t="n">
        <f aca="false">IF(R1675="維持",K1675,IF(R1675="排除",0,IFERROR(INDEX(事件規則!$C$2:$C$53,MATCH(S1675,事件規則!$A$2:$A$53,0)),"")))</f>
        <v>0</v>
      </c>
      <c r="V1675" s="21"/>
      <c r="W1675" s="22"/>
      <c r="X1675" s="10" t="str">
        <f aca="false">IF(AND(R1675="修改",S1675=""),"請選新事件代碼",IF(AND(R1675&lt;&gt;"修改",S1675&lt;&gt;""),"只有「修改」才需填代碼",""))</f>
        <v/>
      </c>
      <c r="Y1675" s="21"/>
      <c r="Z1675" s="22"/>
      <c r="AA1675" s="12" t="s">
        <v>4376</v>
      </c>
      <c r="AB1675" s="24"/>
    </row>
    <row r="1676" customFormat="false" ht="29.85" hidden="false" customHeight="false" outlineLevel="0" collapsed="false">
      <c r="A1676" s="15" t="n">
        <v>1675</v>
      </c>
      <c r="B1676" s="9" t="s">
        <v>81</v>
      </c>
      <c r="C1676" s="9" t="s">
        <v>2403</v>
      </c>
      <c r="D1676" s="10" t="s">
        <v>2404</v>
      </c>
      <c r="E1676" s="11" t="s">
        <v>4377</v>
      </c>
      <c r="F1676" s="17"/>
      <c r="G1676" s="12" t="s">
        <v>949</v>
      </c>
      <c r="H1676" s="13" t="n">
        <v>-0.016</v>
      </c>
      <c r="I1676" s="14"/>
      <c r="J1676" s="17"/>
      <c r="K1676" s="9"/>
      <c r="L1676" s="15" t="s">
        <v>50</v>
      </c>
      <c r="M1676" s="16" t="s">
        <v>51</v>
      </c>
      <c r="N1676" s="14"/>
      <c r="O1676" s="15" t="s">
        <v>52</v>
      </c>
      <c r="P1676" s="17" t="s">
        <v>53</v>
      </c>
      <c r="Q1676" s="15"/>
      <c r="R1676" s="18" t="s">
        <v>51</v>
      </c>
      <c r="S1676" s="19"/>
      <c r="T1676" s="17" t="str">
        <f aca="false">IF(R1676="維持",J1676,IF(R1676="排除","無關新聞事件",IFERROR(INDEX(事件規則!$B$2:$B$53,MATCH(S1676,事件規則!$A$2:$A$53,0)),"")))</f>
        <v>無關新聞事件</v>
      </c>
      <c r="U1676" s="20" t="n">
        <f aca="false">IF(R1676="維持",K1676,IF(R1676="排除",0,IFERROR(INDEX(事件規則!$C$2:$C$53,MATCH(S1676,事件規則!$A$2:$A$53,0)),"")))</f>
        <v>0</v>
      </c>
      <c r="V1676" s="21"/>
      <c r="W1676" s="22"/>
      <c r="X1676" s="10" t="str">
        <f aca="false">IF(AND(R1676="修改",S1676=""),"請選新事件代碼",IF(AND(R1676&lt;&gt;"修改",S1676&lt;&gt;""),"只有「修改」才需填代碼",""))</f>
        <v/>
      </c>
      <c r="Y1676" s="21"/>
      <c r="Z1676" s="22"/>
      <c r="AA1676" s="12" t="s">
        <v>4378</v>
      </c>
      <c r="AB1676" s="24"/>
    </row>
    <row r="1677" customFormat="false" ht="29.85" hidden="false" customHeight="false" outlineLevel="0" collapsed="false">
      <c r="A1677" s="15" t="n">
        <v>1676</v>
      </c>
      <c r="B1677" s="9" t="s">
        <v>55</v>
      </c>
      <c r="C1677" s="9" t="s">
        <v>1086</v>
      </c>
      <c r="D1677" s="10" t="s">
        <v>1087</v>
      </c>
      <c r="E1677" s="11" t="s">
        <v>4379</v>
      </c>
      <c r="F1677" s="17"/>
      <c r="G1677" s="12" t="s">
        <v>949</v>
      </c>
      <c r="H1677" s="13" t="n">
        <v>-0.016</v>
      </c>
      <c r="I1677" s="14"/>
      <c r="J1677" s="17"/>
      <c r="K1677" s="9"/>
      <c r="L1677" s="15" t="s">
        <v>50</v>
      </c>
      <c r="M1677" s="16" t="s">
        <v>51</v>
      </c>
      <c r="N1677" s="14"/>
      <c r="O1677" s="15" t="s">
        <v>52</v>
      </c>
      <c r="P1677" s="17" t="s">
        <v>53</v>
      </c>
      <c r="Q1677" s="15"/>
      <c r="R1677" s="18" t="s">
        <v>51</v>
      </c>
      <c r="S1677" s="19"/>
      <c r="T1677" s="17" t="str">
        <f aca="false">IF(R1677="維持",J1677,IF(R1677="排除","無關新聞事件",IFERROR(INDEX(事件規則!$B$2:$B$53,MATCH(S1677,事件規則!$A$2:$A$53,0)),"")))</f>
        <v>無關新聞事件</v>
      </c>
      <c r="U1677" s="20" t="n">
        <f aca="false">IF(R1677="維持",K1677,IF(R1677="排除",0,IFERROR(INDEX(事件規則!$C$2:$C$53,MATCH(S1677,事件規則!$A$2:$A$53,0)),"")))</f>
        <v>0</v>
      </c>
      <c r="V1677" s="21"/>
      <c r="W1677" s="22"/>
      <c r="X1677" s="10" t="str">
        <f aca="false">IF(AND(R1677="修改",S1677=""),"請選新事件代碼",IF(AND(R1677&lt;&gt;"修改",S1677&lt;&gt;""),"只有「修改」才需填代碼",""))</f>
        <v/>
      </c>
      <c r="Y1677" s="21"/>
      <c r="Z1677" s="22"/>
      <c r="AA1677" s="12" t="s">
        <v>4380</v>
      </c>
      <c r="AB1677" s="24"/>
    </row>
    <row r="1678" customFormat="false" ht="29.85" hidden="false" customHeight="false" outlineLevel="0" collapsed="false">
      <c r="A1678" s="15" t="n">
        <v>1677</v>
      </c>
      <c r="B1678" s="9" t="s">
        <v>112</v>
      </c>
      <c r="C1678" s="9" t="s">
        <v>885</v>
      </c>
      <c r="D1678" s="10" t="s">
        <v>886</v>
      </c>
      <c r="E1678" s="11" t="s">
        <v>4381</v>
      </c>
      <c r="F1678" s="17"/>
      <c r="G1678" s="12" t="s">
        <v>176</v>
      </c>
      <c r="H1678" s="13" t="n">
        <v>-0.016</v>
      </c>
      <c r="I1678" s="14"/>
      <c r="J1678" s="17"/>
      <c r="K1678" s="9"/>
      <c r="L1678" s="15" t="s">
        <v>50</v>
      </c>
      <c r="M1678" s="16" t="s">
        <v>51</v>
      </c>
      <c r="N1678" s="14"/>
      <c r="O1678" s="15" t="s">
        <v>52</v>
      </c>
      <c r="P1678" s="17" t="s">
        <v>53</v>
      </c>
      <c r="Q1678" s="15"/>
      <c r="R1678" s="18" t="s">
        <v>51</v>
      </c>
      <c r="S1678" s="19"/>
      <c r="T1678" s="17" t="str">
        <f aca="false">IF(R1678="維持",J1678,IF(R1678="排除","無關新聞事件",IFERROR(INDEX(事件規則!$B$2:$B$53,MATCH(S1678,事件規則!$A$2:$A$53,0)),"")))</f>
        <v>無關新聞事件</v>
      </c>
      <c r="U1678" s="20" t="n">
        <f aca="false">IF(R1678="維持",K1678,IF(R1678="排除",0,IFERROR(INDEX(事件規則!$C$2:$C$53,MATCH(S1678,事件規則!$A$2:$A$53,0)),"")))</f>
        <v>0</v>
      </c>
      <c r="V1678" s="21"/>
      <c r="W1678" s="22"/>
      <c r="X1678" s="10" t="str">
        <f aca="false">IF(AND(R1678="修改",S1678=""),"請選新事件代碼",IF(AND(R1678&lt;&gt;"修改",S1678&lt;&gt;""),"只有「修改」才需填代碼",""))</f>
        <v/>
      </c>
      <c r="Y1678" s="21"/>
      <c r="Z1678" s="22"/>
      <c r="AA1678" s="12" t="s">
        <v>4382</v>
      </c>
      <c r="AB1678" s="24"/>
    </row>
    <row r="1679" customFormat="false" ht="29.85" hidden="false" customHeight="false" outlineLevel="0" collapsed="false">
      <c r="A1679" s="15" t="n">
        <v>1678</v>
      </c>
      <c r="B1679" s="9" t="s">
        <v>112</v>
      </c>
      <c r="C1679" s="9" t="s">
        <v>3947</v>
      </c>
      <c r="D1679" s="10" t="s">
        <v>3948</v>
      </c>
      <c r="E1679" s="11" t="s">
        <v>4383</v>
      </c>
      <c r="F1679" s="17"/>
      <c r="G1679" s="12" t="s">
        <v>105</v>
      </c>
      <c r="H1679" s="13" t="n">
        <v>-0.016</v>
      </c>
      <c r="I1679" s="14"/>
      <c r="J1679" s="17"/>
      <c r="K1679" s="9"/>
      <c r="L1679" s="15" t="s">
        <v>50</v>
      </c>
      <c r="M1679" s="16" t="s">
        <v>51</v>
      </c>
      <c r="N1679" s="14"/>
      <c r="O1679" s="15" t="s">
        <v>52</v>
      </c>
      <c r="P1679" s="17" t="s">
        <v>53</v>
      </c>
      <c r="Q1679" s="15"/>
      <c r="R1679" s="18" t="s">
        <v>51</v>
      </c>
      <c r="S1679" s="19"/>
      <c r="T1679" s="17" t="str">
        <f aca="false">IF(R1679="維持",J1679,IF(R1679="排除","無關新聞事件",IFERROR(INDEX(事件規則!$B$2:$B$53,MATCH(S1679,事件規則!$A$2:$A$53,0)),"")))</f>
        <v>無關新聞事件</v>
      </c>
      <c r="U1679" s="20" t="n">
        <f aca="false">IF(R1679="維持",K1679,IF(R1679="排除",0,IFERROR(INDEX(事件規則!$C$2:$C$53,MATCH(S1679,事件規則!$A$2:$A$53,0)),"")))</f>
        <v>0</v>
      </c>
      <c r="V1679" s="21"/>
      <c r="W1679" s="22"/>
      <c r="X1679" s="10" t="str">
        <f aca="false">IF(AND(R1679="修改",S1679=""),"請選新事件代碼",IF(AND(R1679&lt;&gt;"修改",S1679&lt;&gt;""),"只有「修改」才需填代碼",""))</f>
        <v/>
      </c>
      <c r="Y1679" s="21"/>
      <c r="Z1679" s="22"/>
      <c r="AA1679" s="12" t="s">
        <v>4384</v>
      </c>
      <c r="AB1679" s="24"/>
    </row>
    <row r="1680" customFormat="false" ht="29.85" hidden="false" customHeight="false" outlineLevel="0" collapsed="false">
      <c r="A1680" s="15" t="n">
        <v>1679</v>
      </c>
      <c r="B1680" s="9" t="s">
        <v>45</v>
      </c>
      <c r="C1680" s="9" t="s">
        <v>242</v>
      </c>
      <c r="D1680" s="10" t="s">
        <v>243</v>
      </c>
      <c r="E1680" s="11" t="s">
        <v>4333</v>
      </c>
      <c r="F1680" s="17"/>
      <c r="G1680" s="12" t="s">
        <v>949</v>
      </c>
      <c r="H1680" s="13" t="n">
        <v>-0.016</v>
      </c>
      <c r="I1680" s="14"/>
      <c r="J1680" s="17"/>
      <c r="K1680" s="9"/>
      <c r="L1680" s="15" t="s">
        <v>50</v>
      </c>
      <c r="M1680" s="16" t="s">
        <v>51</v>
      </c>
      <c r="N1680" s="14"/>
      <c r="O1680" s="15" t="s">
        <v>52</v>
      </c>
      <c r="P1680" s="17" t="s">
        <v>53</v>
      </c>
      <c r="Q1680" s="15"/>
      <c r="R1680" s="18" t="s">
        <v>51</v>
      </c>
      <c r="S1680" s="19"/>
      <c r="T1680" s="17" t="str">
        <f aca="false">IF(R1680="維持",J1680,IF(R1680="排除","無關新聞事件",IFERROR(INDEX(事件規則!$B$2:$B$53,MATCH(S1680,事件規則!$A$2:$A$53,0)),"")))</f>
        <v>無關新聞事件</v>
      </c>
      <c r="U1680" s="20" t="n">
        <f aca="false">IF(R1680="維持",K1680,IF(R1680="排除",0,IFERROR(INDEX(事件規則!$C$2:$C$53,MATCH(S1680,事件規則!$A$2:$A$53,0)),"")))</f>
        <v>0</v>
      </c>
      <c r="V1680" s="21"/>
      <c r="W1680" s="22"/>
      <c r="X1680" s="10" t="str">
        <f aca="false">IF(AND(R1680="修改",S1680=""),"請選新事件代碼",IF(AND(R1680&lt;&gt;"修改",S1680&lt;&gt;""),"只有「修改」才需填代碼",""))</f>
        <v/>
      </c>
      <c r="Y1680" s="21"/>
      <c r="Z1680" s="22"/>
      <c r="AA1680" s="12" t="s">
        <v>4385</v>
      </c>
      <c r="AB1680" s="24"/>
    </row>
    <row r="1681" customFormat="false" ht="29.85" hidden="false" customHeight="false" outlineLevel="0" collapsed="false">
      <c r="A1681" s="15" t="n">
        <v>1680</v>
      </c>
      <c r="B1681" s="9" t="s">
        <v>112</v>
      </c>
      <c r="C1681" s="9" t="s">
        <v>1196</v>
      </c>
      <c r="D1681" s="10" t="s">
        <v>1197</v>
      </c>
      <c r="E1681" s="11" t="s">
        <v>4386</v>
      </c>
      <c r="F1681" s="17"/>
      <c r="G1681" s="12" t="s">
        <v>2033</v>
      </c>
      <c r="H1681" s="13" t="n">
        <v>-0.016</v>
      </c>
      <c r="I1681" s="14"/>
      <c r="J1681" s="17"/>
      <c r="K1681" s="9"/>
      <c r="L1681" s="15" t="s">
        <v>50</v>
      </c>
      <c r="M1681" s="16" t="s">
        <v>51</v>
      </c>
      <c r="N1681" s="14"/>
      <c r="O1681" s="15" t="s">
        <v>52</v>
      </c>
      <c r="P1681" s="17" t="s">
        <v>53</v>
      </c>
      <c r="Q1681" s="15"/>
      <c r="R1681" s="18" t="s">
        <v>51</v>
      </c>
      <c r="S1681" s="19"/>
      <c r="T1681" s="17" t="str">
        <f aca="false">IF(R1681="維持",J1681,IF(R1681="排除","無關新聞事件",IFERROR(INDEX(事件規則!$B$2:$B$53,MATCH(S1681,事件規則!$A$2:$A$53,0)),"")))</f>
        <v>無關新聞事件</v>
      </c>
      <c r="U1681" s="20" t="n">
        <f aca="false">IF(R1681="維持",K1681,IF(R1681="排除",0,IFERROR(INDEX(事件規則!$C$2:$C$53,MATCH(S1681,事件規則!$A$2:$A$53,0)),"")))</f>
        <v>0</v>
      </c>
      <c r="V1681" s="21"/>
      <c r="W1681" s="22"/>
      <c r="X1681" s="10" t="str">
        <f aca="false">IF(AND(R1681="修改",S1681=""),"請選新事件代碼",IF(AND(R1681&lt;&gt;"修改",S1681&lt;&gt;""),"只有「修改」才需填代碼",""))</f>
        <v/>
      </c>
      <c r="Y1681" s="21"/>
      <c r="Z1681" s="22"/>
      <c r="AA1681" s="12" t="s">
        <v>4387</v>
      </c>
      <c r="AB1681" s="24"/>
    </row>
    <row r="1682" customFormat="false" ht="29.85" hidden="false" customHeight="false" outlineLevel="0" collapsed="false">
      <c r="A1682" s="15" t="n">
        <v>1681</v>
      </c>
      <c r="B1682" s="9" t="s">
        <v>112</v>
      </c>
      <c r="C1682" s="9" t="s">
        <v>1602</v>
      </c>
      <c r="D1682" s="10" t="s">
        <v>1603</v>
      </c>
      <c r="E1682" s="11" t="s">
        <v>4388</v>
      </c>
      <c r="F1682" s="17"/>
      <c r="G1682" s="12" t="s">
        <v>95</v>
      </c>
      <c r="H1682" s="13" t="n">
        <v>-0.016</v>
      </c>
      <c r="I1682" s="14"/>
      <c r="J1682" s="17"/>
      <c r="K1682" s="9"/>
      <c r="L1682" s="15" t="s">
        <v>50</v>
      </c>
      <c r="M1682" s="16" t="s">
        <v>51</v>
      </c>
      <c r="N1682" s="14"/>
      <c r="O1682" s="15" t="s">
        <v>52</v>
      </c>
      <c r="P1682" s="17" t="s">
        <v>53</v>
      </c>
      <c r="Q1682" s="15"/>
      <c r="R1682" s="18" t="s">
        <v>51</v>
      </c>
      <c r="S1682" s="19"/>
      <c r="T1682" s="17" t="str">
        <f aca="false">IF(R1682="維持",J1682,IF(R1682="排除","無關新聞事件",IFERROR(INDEX(事件規則!$B$2:$B$53,MATCH(S1682,事件規則!$A$2:$A$53,0)),"")))</f>
        <v>無關新聞事件</v>
      </c>
      <c r="U1682" s="20" t="n">
        <f aca="false">IF(R1682="維持",K1682,IF(R1682="排除",0,IFERROR(INDEX(事件規則!$C$2:$C$53,MATCH(S1682,事件規則!$A$2:$A$53,0)),"")))</f>
        <v>0</v>
      </c>
      <c r="V1682" s="21"/>
      <c r="W1682" s="22"/>
      <c r="X1682" s="10" t="str">
        <f aca="false">IF(AND(R1682="修改",S1682=""),"請選新事件代碼",IF(AND(R1682&lt;&gt;"修改",S1682&lt;&gt;""),"只有「修改」才需填代碼",""))</f>
        <v/>
      </c>
      <c r="Y1682" s="21"/>
      <c r="Z1682" s="22"/>
      <c r="AA1682" s="12" t="s">
        <v>4389</v>
      </c>
      <c r="AB1682" s="24"/>
    </row>
    <row r="1683" customFormat="false" ht="29.85" hidden="false" customHeight="false" outlineLevel="0" collapsed="false">
      <c r="A1683" s="15" t="n">
        <v>1682</v>
      </c>
      <c r="B1683" s="9" t="s">
        <v>112</v>
      </c>
      <c r="C1683" s="9" t="s">
        <v>550</v>
      </c>
      <c r="D1683" s="10" t="s">
        <v>551</v>
      </c>
      <c r="E1683" s="11" t="s">
        <v>4390</v>
      </c>
      <c r="F1683" s="17"/>
      <c r="G1683" s="12" t="s">
        <v>2033</v>
      </c>
      <c r="H1683" s="13" t="n">
        <v>-0.016</v>
      </c>
      <c r="I1683" s="14"/>
      <c r="J1683" s="17"/>
      <c r="K1683" s="9"/>
      <c r="L1683" s="15" t="s">
        <v>50</v>
      </c>
      <c r="M1683" s="16" t="s">
        <v>51</v>
      </c>
      <c r="N1683" s="14"/>
      <c r="O1683" s="15" t="s">
        <v>52</v>
      </c>
      <c r="P1683" s="17" t="s">
        <v>53</v>
      </c>
      <c r="Q1683" s="15"/>
      <c r="R1683" s="18" t="s">
        <v>51</v>
      </c>
      <c r="S1683" s="19"/>
      <c r="T1683" s="17" t="str">
        <f aca="false">IF(R1683="維持",J1683,IF(R1683="排除","無關新聞事件",IFERROR(INDEX(事件規則!$B$2:$B$53,MATCH(S1683,事件規則!$A$2:$A$53,0)),"")))</f>
        <v>無關新聞事件</v>
      </c>
      <c r="U1683" s="20" t="n">
        <f aca="false">IF(R1683="維持",K1683,IF(R1683="排除",0,IFERROR(INDEX(事件規則!$C$2:$C$53,MATCH(S1683,事件規則!$A$2:$A$53,0)),"")))</f>
        <v>0</v>
      </c>
      <c r="V1683" s="21"/>
      <c r="W1683" s="22"/>
      <c r="X1683" s="10" t="str">
        <f aca="false">IF(AND(R1683="修改",S1683=""),"請選新事件代碼",IF(AND(R1683&lt;&gt;"修改",S1683&lt;&gt;""),"只有「修改」才需填代碼",""))</f>
        <v/>
      </c>
      <c r="Y1683" s="21"/>
      <c r="Z1683" s="22"/>
      <c r="AA1683" s="12" t="s">
        <v>4391</v>
      </c>
      <c r="AB1683" s="24"/>
    </row>
    <row r="1684" customFormat="false" ht="29.85" hidden="false" customHeight="false" outlineLevel="0" collapsed="false">
      <c r="A1684" s="15" t="n">
        <v>1683</v>
      </c>
      <c r="B1684" s="9" t="s">
        <v>112</v>
      </c>
      <c r="C1684" s="9" t="s">
        <v>2041</v>
      </c>
      <c r="D1684" s="10" t="s">
        <v>2042</v>
      </c>
      <c r="E1684" s="11" t="s">
        <v>4392</v>
      </c>
      <c r="F1684" s="17"/>
      <c r="G1684" s="12" t="s">
        <v>2033</v>
      </c>
      <c r="H1684" s="13" t="n">
        <v>-0.016</v>
      </c>
      <c r="I1684" s="14"/>
      <c r="J1684" s="17"/>
      <c r="K1684" s="9"/>
      <c r="L1684" s="15" t="s">
        <v>50</v>
      </c>
      <c r="M1684" s="16" t="s">
        <v>51</v>
      </c>
      <c r="N1684" s="14"/>
      <c r="O1684" s="15" t="s">
        <v>52</v>
      </c>
      <c r="P1684" s="17" t="s">
        <v>53</v>
      </c>
      <c r="Q1684" s="15"/>
      <c r="R1684" s="18" t="s">
        <v>51</v>
      </c>
      <c r="S1684" s="19"/>
      <c r="T1684" s="17" t="str">
        <f aca="false">IF(R1684="維持",J1684,IF(R1684="排除","無關新聞事件",IFERROR(INDEX(事件規則!$B$2:$B$53,MATCH(S1684,事件規則!$A$2:$A$53,0)),"")))</f>
        <v>無關新聞事件</v>
      </c>
      <c r="U1684" s="20" t="n">
        <f aca="false">IF(R1684="維持",K1684,IF(R1684="排除",0,IFERROR(INDEX(事件規則!$C$2:$C$53,MATCH(S1684,事件規則!$A$2:$A$53,0)),"")))</f>
        <v>0</v>
      </c>
      <c r="V1684" s="21"/>
      <c r="W1684" s="22"/>
      <c r="X1684" s="10" t="str">
        <f aca="false">IF(AND(R1684="修改",S1684=""),"請選新事件代碼",IF(AND(R1684&lt;&gt;"修改",S1684&lt;&gt;""),"只有「修改」才需填代碼",""))</f>
        <v/>
      </c>
      <c r="Y1684" s="21"/>
      <c r="Z1684" s="22"/>
      <c r="AA1684" s="12" t="s">
        <v>4393</v>
      </c>
      <c r="AB1684" s="24"/>
    </row>
    <row r="1685" customFormat="false" ht="29.85" hidden="false" customHeight="false" outlineLevel="0" collapsed="false">
      <c r="A1685" s="15" t="n">
        <v>1684</v>
      </c>
      <c r="B1685" s="9" t="s">
        <v>112</v>
      </c>
      <c r="C1685" s="9" t="s">
        <v>4394</v>
      </c>
      <c r="D1685" s="10" t="s">
        <v>4395</v>
      </c>
      <c r="E1685" s="11" t="s">
        <v>4396</v>
      </c>
      <c r="F1685" s="17"/>
      <c r="G1685" s="12" t="s">
        <v>95</v>
      </c>
      <c r="H1685" s="13" t="n">
        <v>-0.015</v>
      </c>
      <c r="I1685" s="14"/>
      <c r="J1685" s="17"/>
      <c r="K1685" s="9"/>
      <c r="L1685" s="15" t="s">
        <v>50</v>
      </c>
      <c r="M1685" s="16" t="s">
        <v>51</v>
      </c>
      <c r="N1685" s="14"/>
      <c r="O1685" s="15" t="s">
        <v>52</v>
      </c>
      <c r="P1685" s="17" t="s">
        <v>53</v>
      </c>
      <c r="Q1685" s="15"/>
      <c r="R1685" s="18" t="s">
        <v>51</v>
      </c>
      <c r="S1685" s="19"/>
      <c r="T1685" s="17" t="str">
        <f aca="false">IF(R1685="維持",J1685,IF(R1685="排除","無關新聞事件",IFERROR(INDEX(事件規則!$B$2:$B$53,MATCH(S1685,事件規則!$A$2:$A$53,0)),"")))</f>
        <v>無關新聞事件</v>
      </c>
      <c r="U1685" s="20" t="n">
        <f aca="false">IF(R1685="維持",K1685,IF(R1685="排除",0,IFERROR(INDEX(事件規則!$C$2:$C$53,MATCH(S1685,事件規則!$A$2:$A$53,0)),"")))</f>
        <v>0</v>
      </c>
      <c r="V1685" s="21"/>
      <c r="W1685" s="22"/>
      <c r="X1685" s="10" t="str">
        <f aca="false">IF(AND(R1685="修改",S1685=""),"請選新事件代碼",IF(AND(R1685&lt;&gt;"修改",S1685&lt;&gt;""),"只有「修改」才需填代碼",""))</f>
        <v/>
      </c>
      <c r="Y1685" s="21"/>
      <c r="Z1685" s="22"/>
      <c r="AA1685" s="12" t="s">
        <v>4397</v>
      </c>
      <c r="AB1685" s="24"/>
    </row>
    <row r="1686" customFormat="false" ht="29.85" hidden="false" customHeight="false" outlineLevel="0" collapsed="false">
      <c r="A1686" s="15" t="n">
        <v>1685</v>
      </c>
      <c r="B1686" s="9" t="s">
        <v>55</v>
      </c>
      <c r="C1686" s="9" t="s">
        <v>476</v>
      </c>
      <c r="D1686" s="10" t="s">
        <v>477</v>
      </c>
      <c r="E1686" s="11" t="s">
        <v>4398</v>
      </c>
      <c r="F1686" s="17"/>
      <c r="G1686" s="12" t="s">
        <v>4399</v>
      </c>
      <c r="H1686" s="13" t="n">
        <v>-0.015</v>
      </c>
      <c r="I1686" s="14"/>
      <c r="J1686" s="17"/>
      <c r="K1686" s="9"/>
      <c r="L1686" s="15" t="s">
        <v>50</v>
      </c>
      <c r="M1686" s="16" t="s">
        <v>51</v>
      </c>
      <c r="N1686" s="14"/>
      <c r="O1686" s="15" t="s">
        <v>52</v>
      </c>
      <c r="P1686" s="17" t="s">
        <v>53</v>
      </c>
      <c r="Q1686" s="15"/>
      <c r="R1686" s="18" t="s">
        <v>51</v>
      </c>
      <c r="S1686" s="19"/>
      <c r="T1686" s="17" t="str">
        <f aca="false">IF(R1686="維持",J1686,IF(R1686="排除","無關新聞事件",IFERROR(INDEX(事件規則!$B$2:$B$53,MATCH(S1686,事件規則!$A$2:$A$53,0)),"")))</f>
        <v>無關新聞事件</v>
      </c>
      <c r="U1686" s="20" t="n">
        <f aca="false">IF(R1686="維持",K1686,IF(R1686="排除",0,IFERROR(INDEX(事件規則!$C$2:$C$53,MATCH(S1686,事件規則!$A$2:$A$53,0)),"")))</f>
        <v>0</v>
      </c>
      <c r="V1686" s="21"/>
      <c r="W1686" s="22"/>
      <c r="X1686" s="10" t="str">
        <f aca="false">IF(AND(R1686="修改",S1686=""),"請選新事件代碼",IF(AND(R1686&lt;&gt;"修改",S1686&lt;&gt;""),"只有「修改」才需填代碼",""))</f>
        <v/>
      </c>
      <c r="Y1686" s="21"/>
      <c r="Z1686" s="22"/>
      <c r="AA1686" s="12" t="s">
        <v>4400</v>
      </c>
      <c r="AB1686" s="24"/>
    </row>
    <row r="1687" customFormat="false" ht="29.85" hidden="false" customHeight="false" outlineLevel="0" collapsed="false">
      <c r="A1687" s="15" t="n">
        <v>1686</v>
      </c>
      <c r="B1687" s="9" t="s">
        <v>45</v>
      </c>
      <c r="C1687" s="9" t="s">
        <v>344</v>
      </c>
      <c r="D1687" s="10" t="s">
        <v>345</v>
      </c>
      <c r="E1687" s="11" t="s">
        <v>4401</v>
      </c>
      <c r="F1687" s="17"/>
      <c r="G1687" s="12" t="s">
        <v>1136</v>
      </c>
      <c r="H1687" s="13" t="n">
        <v>-0.015</v>
      </c>
      <c r="I1687" s="14"/>
      <c r="J1687" s="17"/>
      <c r="K1687" s="9"/>
      <c r="L1687" s="15" t="s">
        <v>50</v>
      </c>
      <c r="M1687" s="16" t="s">
        <v>51</v>
      </c>
      <c r="N1687" s="14"/>
      <c r="O1687" s="15" t="s">
        <v>52</v>
      </c>
      <c r="P1687" s="17" t="s">
        <v>53</v>
      </c>
      <c r="Q1687" s="15"/>
      <c r="R1687" s="18" t="s">
        <v>51</v>
      </c>
      <c r="S1687" s="19"/>
      <c r="T1687" s="17" t="str">
        <f aca="false">IF(R1687="維持",J1687,IF(R1687="排除","無關新聞事件",IFERROR(INDEX(事件規則!$B$2:$B$53,MATCH(S1687,事件規則!$A$2:$A$53,0)),"")))</f>
        <v>無關新聞事件</v>
      </c>
      <c r="U1687" s="20" t="n">
        <f aca="false">IF(R1687="維持",K1687,IF(R1687="排除",0,IFERROR(INDEX(事件規則!$C$2:$C$53,MATCH(S1687,事件規則!$A$2:$A$53,0)),"")))</f>
        <v>0</v>
      </c>
      <c r="V1687" s="21"/>
      <c r="W1687" s="22"/>
      <c r="X1687" s="10" t="str">
        <f aca="false">IF(AND(R1687="修改",S1687=""),"請選新事件代碼",IF(AND(R1687&lt;&gt;"修改",S1687&lt;&gt;""),"只有「修改」才需填代碼",""))</f>
        <v/>
      </c>
      <c r="Y1687" s="21"/>
      <c r="Z1687" s="22"/>
      <c r="AA1687" s="12" t="s">
        <v>4402</v>
      </c>
      <c r="AB1687" s="24"/>
    </row>
    <row r="1688" customFormat="false" ht="29.85" hidden="false" customHeight="false" outlineLevel="0" collapsed="false">
      <c r="A1688" s="15" t="n">
        <v>1687</v>
      </c>
      <c r="B1688" s="9" t="s">
        <v>45</v>
      </c>
      <c r="C1688" s="9" t="s">
        <v>4403</v>
      </c>
      <c r="D1688" s="10" t="s">
        <v>4404</v>
      </c>
      <c r="E1688" s="11" t="s">
        <v>4405</v>
      </c>
      <c r="F1688" s="17"/>
      <c r="G1688" s="12" t="s">
        <v>1089</v>
      </c>
      <c r="H1688" s="13" t="n">
        <v>-0.015</v>
      </c>
      <c r="I1688" s="14"/>
      <c r="J1688" s="17"/>
      <c r="K1688" s="9"/>
      <c r="L1688" s="15" t="s">
        <v>50</v>
      </c>
      <c r="M1688" s="16" t="s">
        <v>51</v>
      </c>
      <c r="N1688" s="14"/>
      <c r="O1688" s="15" t="s">
        <v>52</v>
      </c>
      <c r="P1688" s="17" t="s">
        <v>53</v>
      </c>
      <c r="Q1688" s="15"/>
      <c r="R1688" s="18" t="s">
        <v>51</v>
      </c>
      <c r="S1688" s="19"/>
      <c r="T1688" s="17" t="str">
        <f aca="false">IF(R1688="維持",J1688,IF(R1688="排除","無關新聞事件",IFERROR(INDEX(事件規則!$B$2:$B$53,MATCH(S1688,事件規則!$A$2:$A$53,0)),"")))</f>
        <v>無關新聞事件</v>
      </c>
      <c r="U1688" s="20" t="n">
        <f aca="false">IF(R1688="維持",K1688,IF(R1688="排除",0,IFERROR(INDEX(事件規則!$C$2:$C$53,MATCH(S1688,事件規則!$A$2:$A$53,0)),"")))</f>
        <v>0</v>
      </c>
      <c r="V1688" s="21"/>
      <c r="W1688" s="22"/>
      <c r="X1688" s="10" t="str">
        <f aca="false">IF(AND(R1688="修改",S1688=""),"請選新事件代碼",IF(AND(R1688&lt;&gt;"修改",S1688&lt;&gt;""),"只有「修改」才需填代碼",""))</f>
        <v/>
      </c>
      <c r="Y1688" s="21"/>
      <c r="Z1688" s="22"/>
      <c r="AA1688" s="12" t="s">
        <v>4406</v>
      </c>
      <c r="AB1688" s="24"/>
    </row>
    <row r="1689" customFormat="false" ht="29.85" hidden="false" customHeight="false" outlineLevel="0" collapsed="false">
      <c r="A1689" s="15" t="n">
        <v>1688</v>
      </c>
      <c r="B1689" s="9" t="s">
        <v>81</v>
      </c>
      <c r="C1689" s="9" t="s">
        <v>953</v>
      </c>
      <c r="D1689" s="10" t="s">
        <v>954</v>
      </c>
      <c r="E1689" s="11" t="s">
        <v>4407</v>
      </c>
      <c r="F1689" s="17"/>
      <c r="G1689" s="12" t="s">
        <v>2033</v>
      </c>
      <c r="H1689" s="13" t="n">
        <v>-0.015</v>
      </c>
      <c r="I1689" s="14"/>
      <c r="J1689" s="17"/>
      <c r="K1689" s="9"/>
      <c r="L1689" s="15" t="s">
        <v>50</v>
      </c>
      <c r="M1689" s="16" t="s">
        <v>51</v>
      </c>
      <c r="N1689" s="14"/>
      <c r="O1689" s="15" t="s">
        <v>52</v>
      </c>
      <c r="P1689" s="17" t="s">
        <v>53</v>
      </c>
      <c r="Q1689" s="15"/>
      <c r="R1689" s="18" t="s">
        <v>51</v>
      </c>
      <c r="S1689" s="19"/>
      <c r="T1689" s="17" t="str">
        <f aca="false">IF(R1689="維持",J1689,IF(R1689="排除","無關新聞事件",IFERROR(INDEX(事件規則!$B$2:$B$53,MATCH(S1689,事件規則!$A$2:$A$53,0)),"")))</f>
        <v>無關新聞事件</v>
      </c>
      <c r="U1689" s="20" t="n">
        <f aca="false">IF(R1689="維持",K1689,IF(R1689="排除",0,IFERROR(INDEX(事件規則!$C$2:$C$53,MATCH(S1689,事件規則!$A$2:$A$53,0)),"")))</f>
        <v>0</v>
      </c>
      <c r="V1689" s="21"/>
      <c r="W1689" s="22"/>
      <c r="X1689" s="10" t="str">
        <f aca="false">IF(AND(R1689="修改",S1689=""),"請選新事件代碼",IF(AND(R1689&lt;&gt;"修改",S1689&lt;&gt;""),"只有「修改」才需填代碼",""))</f>
        <v/>
      </c>
      <c r="Y1689" s="21"/>
      <c r="Z1689" s="22"/>
      <c r="AA1689" s="12" t="s">
        <v>4408</v>
      </c>
      <c r="AB1689" s="24"/>
    </row>
    <row r="1690" customFormat="false" ht="29.85" hidden="false" customHeight="false" outlineLevel="0" collapsed="false">
      <c r="A1690" s="15" t="n">
        <v>1689</v>
      </c>
      <c r="B1690" s="9" t="s">
        <v>81</v>
      </c>
      <c r="C1690" s="9" t="s">
        <v>344</v>
      </c>
      <c r="D1690" s="10" t="s">
        <v>345</v>
      </c>
      <c r="E1690" s="11" t="s">
        <v>4409</v>
      </c>
      <c r="F1690" s="17"/>
      <c r="G1690" s="12" t="s">
        <v>2033</v>
      </c>
      <c r="H1690" s="13" t="n">
        <v>-0.015</v>
      </c>
      <c r="I1690" s="14"/>
      <c r="J1690" s="17"/>
      <c r="K1690" s="9"/>
      <c r="L1690" s="15" t="s">
        <v>50</v>
      </c>
      <c r="M1690" s="16" t="s">
        <v>51</v>
      </c>
      <c r="N1690" s="14"/>
      <c r="O1690" s="15" t="s">
        <v>52</v>
      </c>
      <c r="P1690" s="17" t="s">
        <v>53</v>
      </c>
      <c r="Q1690" s="15"/>
      <c r="R1690" s="18" t="s">
        <v>51</v>
      </c>
      <c r="S1690" s="19"/>
      <c r="T1690" s="17" t="str">
        <f aca="false">IF(R1690="維持",J1690,IF(R1690="排除","無關新聞事件",IFERROR(INDEX(事件規則!$B$2:$B$53,MATCH(S1690,事件規則!$A$2:$A$53,0)),"")))</f>
        <v>無關新聞事件</v>
      </c>
      <c r="U1690" s="20" t="n">
        <f aca="false">IF(R1690="維持",K1690,IF(R1690="排除",0,IFERROR(INDEX(事件規則!$C$2:$C$53,MATCH(S1690,事件規則!$A$2:$A$53,0)),"")))</f>
        <v>0</v>
      </c>
      <c r="V1690" s="21"/>
      <c r="W1690" s="22"/>
      <c r="X1690" s="10" t="str">
        <f aca="false">IF(AND(R1690="修改",S1690=""),"請選新事件代碼",IF(AND(R1690&lt;&gt;"修改",S1690&lt;&gt;""),"只有「修改」才需填代碼",""))</f>
        <v/>
      </c>
      <c r="Y1690" s="21"/>
      <c r="Z1690" s="22"/>
      <c r="AA1690" s="12" t="s">
        <v>4410</v>
      </c>
      <c r="AB1690" s="24"/>
    </row>
    <row r="1691" customFormat="false" ht="29.85" hidden="false" customHeight="false" outlineLevel="0" collapsed="false">
      <c r="A1691" s="15" t="n">
        <v>1690</v>
      </c>
      <c r="B1691" s="9" t="s">
        <v>81</v>
      </c>
      <c r="C1691" s="9" t="s">
        <v>2514</v>
      </c>
      <c r="D1691" s="10" t="s">
        <v>2515</v>
      </c>
      <c r="E1691" s="11" t="s">
        <v>4411</v>
      </c>
      <c r="F1691" s="17"/>
      <c r="G1691" s="12" t="s">
        <v>2033</v>
      </c>
      <c r="H1691" s="13" t="n">
        <v>-0.015</v>
      </c>
      <c r="I1691" s="14"/>
      <c r="J1691" s="17"/>
      <c r="K1691" s="9"/>
      <c r="L1691" s="15" t="s">
        <v>50</v>
      </c>
      <c r="M1691" s="16" t="s">
        <v>51</v>
      </c>
      <c r="N1691" s="14"/>
      <c r="O1691" s="15" t="s">
        <v>52</v>
      </c>
      <c r="P1691" s="17" t="s">
        <v>53</v>
      </c>
      <c r="Q1691" s="15"/>
      <c r="R1691" s="18" t="s">
        <v>51</v>
      </c>
      <c r="S1691" s="19"/>
      <c r="T1691" s="17" t="str">
        <f aca="false">IF(R1691="維持",J1691,IF(R1691="排除","無關新聞事件",IFERROR(INDEX(事件規則!$B$2:$B$53,MATCH(S1691,事件規則!$A$2:$A$53,0)),"")))</f>
        <v>無關新聞事件</v>
      </c>
      <c r="U1691" s="20" t="n">
        <f aca="false">IF(R1691="維持",K1691,IF(R1691="排除",0,IFERROR(INDEX(事件規則!$C$2:$C$53,MATCH(S1691,事件規則!$A$2:$A$53,0)),"")))</f>
        <v>0</v>
      </c>
      <c r="V1691" s="21"/>
      <c r="W1691" s="22"/>
      <c r="X1691" s="10" t="str">
        <f aca="false">IF(AND(R1691="修改",S1691=""),"請選新事件代碼",IF(AND(R1691&lt;&gt;"修改",S1691&lt;&gt;""),"只有「修改」才需填代碼",""))</f>
        <v/>
      </c>
      <c r="Y1691" s="21"/>
      <c r="Z1691" s="22"/>
      <c r="AA1691" s="12" t="s">
        <v>4412</v>
      </c>
      <c r="AB1691" s="24"/>
    </row>
    <row r="1692" customFormat="false" ht="29.85" hidden="false" customHeight="false" outlineLevel="0" collapsed="false">
      <c r="A1692" s="15" t="n">
        <v>1691</v>
      </c>
      <c r="B1692" s="9" t="s">
        <v>45</v>
      </c>
      <c r="C1692" s="9" t="s">
        <v>639</v>
      </c>
      <c r="D1692" s="10" t="s">
        <v>640</v>
      </c>
      <c r="E1692" s="11" t="s">
        <v>4413</v>
      </c>
      <c r="F1692" s="17"/>
      <c r="G1692" s="12" t="s">
        <v>1136</v>
      </c>
      <c r="H1692" s="13" t="n">
        <v>-0.015</v>
      </c>
      <c r="I1692" s="14"/>
      <c r="J1692" s="17"/>
      <c r="K1692" s="9"/>
      <c r="L1692" s="15" t="s">
        <v>50</v>
      </c>
      <c r="M1692" s="16" t="s">
        <v>51</v>
      </c>
      <c r="N1692" s="14"/>
      <c r="O1692" s="15" t="s">
        <v>52</v>
      </c>
      <c r="P1692" s="17" t="s">
        <v>53</v>
      </c>
      <c r="Q1692" s="15"/>
      <c r="R1692" s="18" t="s">
        <v>51</v>
      </c>
      <c r="S1692" s="19"/>
      <c r="T1692" s="17" t="str">
        <f aca="false">IF(R1692="維持",J1692,IF(R1692="排除","無關新聞事件",IFERROR(INDEX(事件規則!$B$2:$B$53,MATCH(S1692,事件規則!$A$2:$A$53,0)),"")))</f>
        <v>無關新聞事件</v>
      </c>
      <c r="U1692" s="20" t="n">
        <f aca="false">IF(R1692="維持",K1692,IF(R1692="排除",0,IFERROR(INDEX(事件規則!$C$2:$C$53,MATCH(S1692,事件規則!$A$2:$A$53,0)),"")))</f>
        <v>0</v>
      </c>
      <c r="V1692" s="21"/>
      <c r="W1692" s="22"/>
      <c r="X1692" s="10" t="str">
        <f aca="false">IF(AND(R1692="修改",S1692=""),"請選新事件代碼",IF(AND(R1692&lt;&gt;"修改",S1692&lt;&gt;""),"只有「修改」才需填代碼",""))</f>
        <v/>
      </c>
      <c r="Y1692" s="21"/>
      <c r="Z1692" s="22"/>
      <c r="AA1692" s="12" t="s">
        <v>4414</v>
      </c>
      <c r="AB1692" s="24"/>
    </row>
    <row r="1693" customFormat="false" ht="29.85" hidden="false" customHeight="false" outlineLevel="0" collapsed="false">
      <c r="A1693" s="15" t="n">
        <v>1692</v>
      </c>
      <c r="B1693" s="9" t="s">
        <v>45</v>
      </c>
      <c r="C1693" s="9" t="s">
        <v>2424</v>
      </c>
      <c r="D1693" s="10" t="s">
        <v>2425</v>
      </c>
      <c r="E1693" s="11" t="s">
        <v>4415</v>
      </c>
      <c r="F1693" s="17"/>
      <c r="G1693" s="12" t="s">
        <v>3221</v>
      </c>
      <c r="H1693" s="13" t="n">
        <v>-0.015</v>
      </c>
      <c r="I1693" s="14"/>
      <c r="J1693" s="17"/>
      <c r="K1693" s="9"/>
      <c r="L1693" s="15" t="s">
        <v>50</v>
      </c>
      <c r="M1693" s="16" t="s">
        <v>51</v>
      </c>
      <c r="N1693" s="14"/>
      <c r="O1693" s="15" t="s">
        <v>52</v>
      </c>
      <c r="P1693" s="17" t="s">
        <v>53</v>
      </c>
      <c r="Q1693" s="15"/>
      <c r="R1693" s="18" t="s">
        <v>51</v>
      </c>
      <c r="S1693" s="19"/>
      <c r="T1693" s="17" t="str">
        <f aca="false">IF(R1693="維持",J1693,IF(R1693="排除","無關新聞事件",IFERROR(INDEX(事件規則!$B$2:$B$53,MATCH(S1693,事件規則!$A$2:$A$53,0)),"")))</f>
        <v>無關新聞事件</v>
      </c>
      <c r="U1693" s="20" t="n">
        <f aca="false">IF(R1693="維持",K1693,IF(R1693="排除",0,IFERROR(INDEX(事件規則!$C$2:$C$53,MATCH(S1693,事件規則!$A$2:$A$53,0)),"")))</f>
        <v>0</v>
      </c>
      <c r="V1693" s="21"/>
      <c r="W1693" s="22"/>
      <c r="X1693" s="10" t="str">
        <f aca="false">IF(AND(R1693="修改",S1693=""),"請選新事件代碼",IF(AND(R1693&lt;&gt;"修改",S1693&lt;&gt;""),"只有「修改」才需填代碼",""))</f>
        <v/>
      </c>
      <c r="Y1693" s="21"/>
      <c r="Z1693" s="22"/>
      <c r="AA1693" s="12" t="s">
        <v>4416</v>
      </c>
      <c r="AB1693" s="24"/>
    </row>
    <row r="1694" customFormat="false" ht="29.85" hidden="false" customHeight="false" outlineLevel="0" collapsed="false">
      <c r="A1694" s="15" t="n">
        <v>1693</v>
      </c>
      <c r="B1694" s="9" t="s">
        <v>45</v>
      </c>
      <c r="C1694" s="9" t="s">
        <v>1602</v>
      </c>
      <c r="D1694" s="10" t="s">
        <v>1603</v>
      </c>
      <c r="E1694" s="11" t="s">
        <v>4417</v>
      </c>
      <c r="F1694" s="17"/>
      <c r="G1694" s="12" t="s">
        <v>949</v>
      </c>
      <c r="H1694" s="13" t="n">
        <v>-0.015</v>
      </c>
      <c r="I1694" s="14"/>
      <c r="J1694" s="17"/>
      <c r="K1694" s="9"/>
      <c r="L1694" s="15" t="s">
        <v>50</v>
      </c>
      <c r="M1694" s="16" t="s">
        <v>51</v>
      </c>
      <c r="N1694" s="14"/>
      <c r="O1694" s="15" t="s">
        <v>52</v>
      </c>
      <c r="P1694" s="17" t="s">
        <v>53</v>
      </c>
      <c r="Q1694" s="15"/>
      <c r="R1694" s="18" t="s">
        <v>51</v>
      </c>
      <c r="S1694" s="19"/>
      <c r="T1694" s="17" t="str">
        <f aca="false">IF(R1694="維持",J1694,IF(R1694="排除","無關新聞事件",IFERROR(INDEX(事件規則!$B$2:$B$53,MATCH(S1694,事件規則!$A$2:$A$53,0)),"")))</f>
        <v>無關新聞事件</v>
      </c>
      <c r="U1694" s="20" t="n">
        <f aca="false">IF(R1694="維持",K1694,IF(R1694="排除",0,IFERROR(INDEX(事件規則!$C$2:$C$53,MATCH(S1694,事件規則!$A$2:$A$53,0)),"")))</f>
        <v>0</v>
      </c>
      <c r="V1694" s="21"/>
      <c r="W1694" s="22"/>
      <c r="X1694" s="10" t="str">
        <f aca="false">IF(AND(R1694="修改",S1694=""),"請選新事件代碼",IF(AND(R1694&lt;&gt;"修改",S1694&lt;&gt;""),"只有「修改」才需填代碼",""))</f>
        <v/>
      </c>
      <c r="Y1694" s="21"/>
      <c r="Z1694" s="22"/>
      <c r="AA1694" s="12" t="s">
        <v>4418</v>
      </c>
      <c r="AB1694" s="24"/>
    </row>
    <row r="1695" customFormat="false" ht="29.85" hidden="false" customHeight="false" outlineLevel="0" collapsed="false">
      <c r="A1695" s="15" t="n">
        <v>1694</v>
      </c>
      <c r="B1695" s="9" t="s">
        <v>55</v>
      </c>
      <c r="C1695" s="9" t="s">
        <v>1602</v>
      </c>
      <c r="D1695" s="10" t="s">
        <v>1603</v>
      </c>
      <c r="E1695" s="11" t="s">
        <v>4419</v>
      </c>
      <c r="F1695" s="17"/>
      <c r="G1695" s="12" t="s">
        <v>176</v>
      </c>
      <c r="H1695" s="13" t="n">
        <v>-0.015</v>
      </c>
      <c r="I1695" s="14"/>
      <c r="J1695" s="17"/>
      <c r="K1695" s="9"/>
      <c r="L1695" s="15" t="s">
        <v>50</v>
      </c>
      <c r="M1695" s="16" t="s">
        <v>51</v>
      </c>
      <c r="N1695" s="14"/>
      <c r="O1695" s="15" t="s">
        <v>52</v>
      </c>
      <c r="P1695" s="17" t="s">
        <v>53</v>
      </c>
      <c r="Q1695" s="15"/>
      <c r="R1695" s="18" t="s">
        <v>51</v>
      </c>
      <c r="S1695" s="19"/>
      <c r="T1695" s="17" t="str">
        <f aca="false">IF(R1695="維持",J1695,IF(R1695="排除","無關新聞事件",IFERROR(INDEX(事件規則!$B$2:$B$53,MATCH(S1695,事件規則!$A$2:$A$53,0)),"")))</f>
        <v>無關新聞事件</v>
      </c>
      <c r="U1695" s="20" t="n">
        <f aca="false">IF(R1695="維持",K1695,IF(R1695="排除",0,IFERROR(INDEX(事件規則!$C$2:$C$53,MATCH(S1695,事件規則!$A$2:$A$53,0)),"")))</f>
        <v>0</v>
      </c>
      <c r="V1695" s="21"/>
      <c r="W1695" s="22"/>
      <c r="X1695" s="10" t="str">
        <f aca="false">IF(AND(R1695="修改",S1695=""),"請選新事件代碼",IF(AND(R1695&lt;&gt;"修改",S1695&lt;&gt;""),"只有「修改」才需填代碼",""))</f>
        <v/>
      </c>
      <c r="Y1695" s="21"/>
      <c r="Z1695" s="22"/>
      <c r="AA1695" s="12" t="s">
        <v>4420</v>
      </c>
      <c r="AB1695" s="24"/>
    </row>
    <row r="1696" customFormat="false" ht="29.85" hidden="false" customHeight="false" outlineLevel="0" collapsed="false">
      <c r="A1696" s="15" t="n">
        <v>1695</v>
      </c>
      <c r="B1696" s="9" t="s">
        <v>55</v>
      </c>
      <c r="C1696" s="9" t="s">
        <v>1639</v>
      </c>
      <c r="D1696" s="10" t="s">
        <v>1640</v>
      </c>
      <c r="E1696" s="11" t="s">
        <v>4421</v>
      </c>
      <c r="F1696" s="17"/>
      <c r="G1696" s="12" t="s">
        <v>3221</v>
      </c>
      <c r="H1696" s="13" t="n">
        <v>-0.015</v>
      </c>
      <c r="I1696" s="14"/>
      <c r="J1696" s="17"/>
      <c r="K1696" s="9"/>
      <c r="L1696" s="15" t="s">
        <v>50</v>
      </c>
      <c r="M1696" s="16" t="s">
        <v>51</v>
      </c>
      <c r="N1696" s="14"/>
      <c r="O1696" s="15" t="s">
        <v>52</v>
      </c>
      <c r="P1696" s="17" t="s">
        <v>53</v>
      </c>
      <c r="Q1696" s="15"/>
      <c r="R1696" s="18" t="s">
        <v>51</v>
      </c>
      <c r="S1696" s="19"/>
      <c r="T1696" s="17" t="str">
        <f aca="false">IF(R1696="維持",J1696,IF(R1696="排除","無關新聞事件",IFERROR(INDEX(事件規則!$B$2:$B$53,MATCH(S1696,事件規則!$A$2:$A$53,0)),"")))</f>
        <v>無關新聞事件</v>
      </c>
      <c r="U1696" s="20" t="n">
        <f aca="false">IF(R1696="維持",K1696,IF(R1696="排除",0,IFERROR(INDEX(事件規則!$C$2:$C$53,MATCH(S1696,事件規則!$A$2:$A$53,0)),"")))</f>
        <v>0</v>
      </c>
      <c r="V1696" s="21"/>
      <c r="W1696" s="22"/>
      <c r="X1696" s="10" t="str">
        <f aca="false">IF(AND(R1696="修改",S1696=""),"請選新事件代碼",IF(AND(R1696&lt;&gt;"修改",S1696&lt;&gt;""),"只有「修改」才需填代碼",""))</f>
        <v/>
      </c>
      <c r="Y1696" s="21"/>
      <c r="Z1696" s="22"/>
      <c r="AA1696" s="12" t="s">
        <v>4422</v>
      </c>
      <c r="AB1696" s="24"/>
    </row>
    <row r="1697" customFormat="false" ht="29.85" hidden="false" customHeight="false" outlineLevel="0" collapsed="false">
      <c r="A1697" s="15" t="n">
        <v>1696</v>
      </c>
      <c r="B1697" s="9" t="s">
        <v>55</v>
      </c>
      <c r="C1697" s="9" t="s">
        <v>987</v>
      </c>
      <c r="D1697" s="10" t="s">
        <v>988</v>
      </c>
      <c r="E1697" s="11" t="s">
        <v>4423</v>
      </c>
      <c r="F1697" s="17"/>
      <c r="G1697" s="12" t="s">
        <v>95</v>
      </c>
      <c r="H1697" s="13" t="n">
        <v>-0.015</v>
      </c>
      <c r="I1697" s="14"/>
      <c r="J1697" s="17"/>
      <c r="K1697" s="9"/>
      <c r="L1697" s="15" t="s">
        <v>50</v>
      </c>
      <c r="M1697" s="16" t="s">
        <v>51</v>
      </c>
      <c r="N1697" s="14"/>
      <c r="O1697" s="15" t="s">
        <v>52</v>
      </c>
      <c r="P1697" s="17" t="s">
        <v>53</v>
      </c>
      <c r="Q1697" s="15"/>
      <c r="R1697" s="18" t="s">
        <v>51</v>
      </c>
      <c r="S1697" s="19"/>
      <c r="T1697" s="17" t="str">
        <f aca="false">IF(R1697="維持",J1697,IF(R1697="排除","無關新聞事件",IFERROR(INDEX(事件規則!$B$2:$B$53,MATCH(S1697,事件規則!$A$2:$A$53,0)),"")))</f>
        <v>無關新聞事件</v>
      </c>
      <c r="U1697" s="20" t="n">
        <f aca="false">IF(R1697="維持",K1697,IF(R1697="排除",0,IFERROR(INDEX(事件規則!$C$2:$C$53,MATCH(S1697,事件規則!$A$2:$A$53,0)),"")))</f>
        <v>0</v>
      </c>
      <c r="V1697" s="21"/>
      <c r="W1697" s="22"/>
      <c r="X1697" s="10" t="str">
        <f aca="false">IF(AND(R1697="修改",S1697=""),"請選新事件代碼",IF(AND(R1697&lt;&gt;"修改",S1697&lt;&gt;""),"只有「修改」才需填代碼",""))</f>
        <v/>
      </c>
      <c r="Y1697" s="21"/>
      <c r="Z1697" s="22"/>
      <c r="AA1697" s="12" t="s">
        <v>4424</v>
      </c>
      <c r="AB1697" s="24"/>
    </row>
    <row r="1698" customFormat="false" ht="29.85" hidden="false" customHeight="false" outlineLevel="0" collapsed="false">
      <c r="A1698" s="15" t="n">
        <v>1697</v>
      </c>
      <c r="B1698" s="9" t="s">
        <v>55</v>
      </c>
      <c r="C1698" s="9" t="s">
        <v>550</v>
      </c>
      <c r="D1698" s="10" t="s">
        <v>551</v>
      </c>
      <c r="E1698" s="11" t="s">
        <v>4425</v>
      </c>
      <c r="F1698" s="17"/>
      <c r="G1698" s="12" t="s">
        <v>95</v>
      </c>
      <c r="H1698" s="13" t="n">
        <v>-0.015</v>
      </c>
      <c r="I1698" s="14"/>
      <c r="J1698" s="17"/>
      <c r="K1698" s="9"/>
      <c r="L1698" s="15" t="s">
        <v>50</v>
      </c>
      <c r="M1698" s="16" t="s">
        <v>51</v>
      </c>
      <c r="N1698" s="14"/>
      <c r="O1698" s="15" t="s">
        <v>52</v>
      </c>
      <c r="P1698" s="17" t="s">
        <v>53</v>
      </c>
      <c r="Q1698" s="15"/>
      <c r="R1698" s="18" t="s">
        <v>51</v>
      </c>
      <c r="S1698" s="19"/>
      <c r="T1698" s="17" t="str">
        <f aca="false">IF(R1698="維持",J1698,IF(R1698="排除","無關新聞事件",IFERROR(INDEX(事件規則!$B$2:$B$53,MATCH(S1698,事件規則!$A$2:$A$53,0)),"")))</f>
        <v>無關新聞事件</v>
      </c>
      <c r="U1698" s="20" t="n">
        <f aca="false">IF(R1698="維持",K1698,IF(R1698="排除",0,IFERROR(INDEX(事件規則!$C$2:$C$53,MATCH(S1698,事件規則!$A$2:$A$53,0)),"")))</f>
        <v>0</v>
      </c>
      <c r="V1698" s="21"/>
      <c r="W1698" s="22"/>
      <c r="X1698" s="10" t="str">
        <f aca="false">IF(AND(R1698="修改",S1698=""),"請選新事件代碼",IF(AND(R1698&lt;&gt;"修改",S1698&lt;&gt;""),"只有「修改」才需填代碼",""))</f>
        <v/>
      </c>
      <c r="Y1698" s="21"/>
      <c r="Z1698" s="22"/>
      <c r="AA1698" s="12" t="s">
        <v>4426</v>
      </c>
      <c r="AB1698" s="24"/>
    </row>
    <row r="1699" customFormat="false" ht="29.85" hidden="false" customHeight="false" outlineLevel="0" collapsed="false">
      <c r="A1699" s="15" t="n">
        <v>1698</v>
      </c>
      <c r="B1699" s="9" t="s">
        <v>45</v>
      </c>
      <c r="C1699" s="9" t="s">
        <v>1639</v>
      </c>
      <c r="D1699" s="10" t="s">
        <v>1640</v>
      </c>
      <c r="E1699" s="11" t="s">
        <v>4421</v>
      </c>
      <c r="F1699" s="17"/>
      <c r="G1699" s="12" t="s">
        <v>3221</v>
      </c>
      <c r="H1699" s="13" t="n">
        <v>-0.015</v>
      </c>
      <c r="I1699" s="14"/>
      <c r="J1699" s="17"/>
      <c r="K1699" s="9"/>
      <c r="L1699" s="15" t="s">
        <v>50</v>
      </c>
      <c r="M1699" s="16" t="s">
        <v>51</v>
      </c>
      <c r="N1699" s="14"/>
      <c r="O1699" s="15" t="s">
        <v>52</v>
      </c>
      <c r="P1699" s="17" t="s">
        <v>53</v>
      </c>
      <c r="Q1699" s="15"/>
      <c r="R1699" s="18" t="s">
        <v>51</v>
      </c>
      <c r="S1699" s="19"/>
      <c r="T1699" s="17" t="str">
        <f aca="false">IF(R1699="維持",J1699,IF(R1699="排除","無關新聞事件",IFERROR(INDEX(事件規則!$B$2:$B$53,MATCH(S1699,事件規則!$A$2:$A$53,0)),"")))</f>
        <v>無關新聞事件</v>
      </c>
      <c r="U1699" s="20" t="n">
        <f aca="false">IF(R1699="維持",K1699,IF(R1699="排除",0,IFERROR(INDEX(事件規則!$C$2:$C$53,MATCH(S1699,事件規則!$A$2:$A$53,0)),"")))</f>
        <v>0</v>
      </c>
      <c r="V1699" s="21"/>
      <c r="W1699" s="22"/>
      <c r="X1699" s="10" t="str">
        <f aca="false">IF(AND(R1699="修改",S1699=""),"請選新事件代碼",IF(AND(R1699&lt;&gt;"修改",S1699&lt;&gt;""),"只有「修改」才需填代碼",""))</f>
        <v/>
      </c>
      <c r="Y1699" s="21"/>
      <c r="Z1699" s="22"/>
      <c r="AA1699" s="12" t="s">
        <v>4422</v>
      </c>
      <c r="AB1699" s="24"/>
    </row>
    <row r="1700" customFormat="false" ht="29.85" hidden="false" customHeight="false" outlineLevel="0" collapsed="false">
      <c r="A1700" s="15" t="n">
        <v>1699</v>
      </c>
      <c r="B1700" s="9" t="s">
        <v>45</v>
      </c>
      <c r="C1700" s="9" t="s">
        <v>360</v>
      </c>
      <c r="D1700" s="10" t="s">
        <v>361</v>
      </c>
      <c r="E1700" s="11" t="s">
        <v>4427</v>
      </c>
      <c r="F1700" s="17"/>
      <c r="G1700" s="12" t="s">
        <v>49</v>
      </c>
      <c r="H1700" s="13" t="n">
        <v>-0.015</v>
      </c>
      <c r="I1700" s="14"/>
      <c r="J1700" s="17"/>
      <c r="K1700" s="9"/>
      <c r="L1700" s="15" t="s">
        <v>50</v>
      </c>
      <c r="M1700" s="16" t="s">
        <v>51</v>
      </c>
      <c r="N1700" s="14"/>
      <c r="O1700" s="15" t="s">
        <v>52</v>
      </c>
      <c r="P1700" s="17" t="s">
        <v>53</v>
      </c>
      <c r="Q1700" s="15"/>
      <c r="R1700" s="18" t="s">
        <v>51</v>
      </c>
      <c r="S1700" s="19"/>
      <c r="T1700" s="17" t="str">
        <f aca="false">IF(R1700="維持",J1700,IF(R1700="排除","無關新聞事件",IFERROR(INDEX(事件規則!$B$2:$B$53,MATCH(S1700,事件規則!$A$2:$A$53,0)),"")))</f>
        <v>無關新聞事件</v>
      </c>
      <c r="U1700" s="20" t="n">
        <f aca="false">IF(R1700="維持",K1700,IF(R1700="排除",0,IFERROR(INDEX(事件規則!$C$2:$C$53,MATCH(S1700,事件規則!$A$2:$A$53,0)),"")))</f>
        <v>0</v>
      </c>
      <c r="V1700" s="21"/>
      <c r="W1700" s="22"/>
      <c r="X1700" s="10" t="str">
        <f aca="false">IF(AND(R1700="修改",S1700=""),"請選新事件代碼",IF(AND(R1700&lt;&gt;"修改",S1700&lt;&gt;""),"只有「修改」才需填代碼",""))</f>
        <v/>
      </c>
      <c r="Y1700" s="21"/>
      <c r="Z1700" s="22"/>
      <c r="AA1700" s="12" t="s">
        <v>4428</v>
      </c>
      <c r="AB1700" s="24"/>
    </row>
    <row r="1701" customFormat="false" ht="29.85" hidden="false" customHeight="false" outlineLevel="0" collapsed="false">
      <c r="A1701" s="15" t="n">
        <v>1700</v>
      </c>
      <c r="B1701" s="9" t="s">
        <v>112</v>
      </c>
      <c r="C1701" s="9" t="s">
        <v>1979</v>
      </c>
      <c r="D1701" s="10" t="s">
        <v>1980</v>
      </c>
      <c r="E1701" s="11" t="s">
        <v>4429</v>
      </c>
      <c r="F1701" s="17"/>
      <c r="G1701" s="12" t="s">
        <v>2033</v>
      </c>
      <c r="H1701" s="13" t="n">
        <v>-0.015</v>
      </c>
      <c r="I1701" s="14"/>
      <c r="J1701" s="17"/>
      <c r="K1701" s="9"/>
      <c r="L1701" s="15" t="s">
        <v>50</v>
      </c>
      <c r="M1701" s="16" t="s">
        <v>51</v>
      </c>
      <c r="N1701" s="14"/>
      <c r="O1701" s="15" t="s">
        <v>52</v>
      </c>
      <c r="P1701" s="17" t="s">
        <v>53</v>
      </c>
      <c r="Q1701" s="15"/>
      <c r="R1701" s="18" t="s">
        <v>51</v>
      </c>
      <c r="S1701" s="19"/>
      <c r="T1701" s="17" t="str">
        <f aca="false">IF(R1701="維持",J1701,IF(R1701="排除","無關新聞事件",IFERROR(INDEX(事件規則!$B$2:$B$53,MATCH(S1701,事件規則!$A$2:$A$53,0)),"")))</f>
        <v>無關新聞事件</v>
      </c>
      <c r="U1701" s="20" t="n">
        <f aca="false">IF(R1701="維持",K1701,IF(R1701="排除",0,IFERROR(INDEX(事件規則!$C$2:$C$53,MATCH(S1701,事件規則!$A$2:$A$53,0)),"")))</f>
        <v>0</v>
      </c>
      <c r="V1701" s="21"/>
      <c r="W1701" s="22"/>
      <c r="X1701" s="10" t="str">
        <f aca="false">IF(AND(R1701="修改",S1701=""),"請選新事件代碼",IF(AND(R1701&lt;&gt;"修改",S1701&lt;&gt;""),"只有「修改」才需填代碼",""))</f>
        <v/>
      </c>
      <c r="Y1701" s="21"/>
      <c r="Z1701" s="22"/>
      <c r="AA1701" s="12" t="s">
        <v>4430</v>
      </c>
      <c r="AB1701" s="24"/>
    </row>
    <row r="1702" customFormat="false" ht="29.85" hidden="false" customHeight="false" outlineLevel="0" collapsed="false">
      <c r="A1702" s="15" t="n">
        <v>1701</v>
      </c>
      <c r="B1702" s="9" t="s">
        <v>112</v>
      </c>
      <c r="C1702" s="9" t="s">
        <v>1924</v>
      </c>
      <c r="D1702" s="10" t="s">
        <v>1925</v>
      </c>
      <c r="E1702" s="11" t="s">
        <v>4431</v>
      </c>
      <c r="F1702" s="17"/>
      <c r="G1702" s="12" t="s">
        <v>95</v>
      </c>
      <c r="H1702" s="13" t="n">
        <v>-0.015</v>
      </c>
      <c r="I1702" s="14"/>
      <c r="J1702" s="17"/>
      <c r="K1702" s="9"/>
      <c r="L1702" s="15" t="s">
        <v>50</v>
      </c>
      <c r="M1702" s="16" t="s">
        <v>51</v>
      </c>
      <c r="N1702" s="14"/>
      <c r="O1702" s="15" t="s">
        <v>52</v>
      </c>
      <c r="P1702" s="17" t="s">
        <v>53</v>
      </c>
      <c r="Q1702" s="15"/>
      <c r="R1702" s="18" t="s">
        <v>51</v>
      </c>
      <c r="S1702" s="19"/>
      <c r="T1702" s="17" t="str">
        <f aca="false">IF(R1702="維持",J1702,IF(R1702="排除","無關新聞事件",IFERROR(INDEX(事件規則!$B$2:$B$53,MATCH(S1702,事件規則!$A$2:$A$53,0)),"")))</f>
        <v>無關新聞事件</v>
      </c>
      <c r="U1702" s="20" t="n">
        <f aca="false">IF(R1702="維持",K1702,IF(R1702="排除",0,IFERROR(INDEX(事件規則!$C$2:$C$53,MATCH(S1702,事件規則!$A$2:$A$53,0)),"")))</f>
        <v>0</v>
      </c>
      <c r="V1702" s="21"/>
      <c r="W1702" s="22"/>
      <c r="X1702" s="10" t="str">
        <f aca="false">IF(AND(R1702="修改",S1702=""),"請選新事件代碼",IF(AND(R1702&lt;&gt;"修改",S1702&lt;&gt;""),"只有「修改」才需填代碼",""))</f>
        <v/>
      </c>
      <c r="Y1702" s="21"/>
      <c r="Z1702" s="22"/>
      <c r="AA1702" s="12" t="s">
        <v>4432</v>
      </c>
      <c r="AB1702" s="24"/>
    </row>
    <row r="1703" customFormat="false" ht="29.85" hidden="false" customHeight="false" outlineLevel="0" collapsed="false">
      <c r="A1703" s="15" t="n">
        <v>1702</v>
      </c>
      <c r="B1703" s="9" t="s">
        <v>112</v>
      </c>
      <c r="C1703" s="9" t="s">
        <v>953</v>
      </c>
      <c r="D1703" s="10" t="s">
        <v>954</v>
      </c>
      <c r="E1703" s="11" t="s">
        <v>4433</v>
      </c>
      <c r="F1703" s="17"/>
      <c r="G1703" s="12" t="s">
        <v>443</v>
      </c>
      <c r="H1703" s="13" t="n">
        <v>-0.015</v>
      </c>
      <c r="I1703" s="14"/>
      <c r="J1703" s="17"/>
      <c r="K1703" s="9"/>
      <c r="L1703" s="15" t="s">
        <v>50</v>
      </c>
      <c r="M1703" s="16" t="s">
        <v>51</v>
      </c>
      <c r="N1703" s="14"/>
      <c r="O1703" s="15" t="s">
        <v>52</v>
      </c>
      <c r="P1703" s="17" t="s">
        <v>53</v>
      </c>
      <c r="Q1703" s="15"/>
      <c r="R1703" s="18" t="s">
        <v>51</v>
      </c>
      <c r="S1703" s="19"/>
      <c r="T1703" s="17" t="str">
        <f aca="false">IF(R1703="維持",J1703,IF(R1703="排除","無關新聞事件",IFERROR(INDEX(事件規則!$B$2:$B$53,MATCH(S1703,事件規則!$A$2:$A$53,0)),"")))</f>
        <v>無關新聞事件</v>
      </c>
      <c r="U1703" s="20" t="n">
        <f aca="false">IF(R1703="維持",K1703,IF(R1703="排除",0,IFERROR(INDEX(事件規則!$C$2:$C$53,MATCH(S1703,事件規則!$A$2:$A$53,0)),"")))</f>
        <v>0</v>
      </c>
      <c r="V1703" s="21"/>
      <c r="W1703" s="22"/>
      <c r="X1703" s="10" t="str">
        <f aca="false">IF(AND(R1703="修改",S1703=""),"請選新事件代碼",IF(AND(R1703&lt;&gt;"修改",S1703&lt;&gt;""),"只有「修改」才需填代碼",""))</f>
        <v/>
      </c>
      <c r="Y1703" s="21"/>
      <c r="Z1703" s="22"/>
      <c r="AA1703" s="12" t="s">
        <v>4434</v>
      </c>
      <c r="AB1703" s="24"/>
    </row>
    <row r="1704" customFormat="false" ht="29.85" hidden="false" customHeight="false" outlineLevel="0" collapsed="false">
      <c r="A1704" s="15" t="n">
        <v>1703</v>
      </c>
      <c r="B1704" s="9" t="s">
        <v>112</v>
      </c>
      <c r="C1704" s="9" t="s">
        <v>3041</v>
      </c>
      <c r="D1704" s="10" t="s">
        <v>3042</v>
      </c>
      <c r="E1704" s="11" t="s">
        <v>4435</v>
      </c>
      <c r="F1704" s="17"/>
      <c r="G1704" s="12" t="s">
        <v>176</v>
      </c>
      <c r="H1704" s="13" t="n">
        <v>-0.015</v>
      </c>
      <c r="I1704" s="14"/>
      <c r="J1704" s="17"/>
      <c r="K1704" s="9"/>
      <c r="L1704" s="15" t="s">
        <v>50</v>
      </c>
      <c r="M1704" s="16" t="s">
        <v>51</v>
      </c>
      <c r="N1704" s="14"/>
      <c r="O1704" s="15" t="s">
        <v>52</v>
      </c>
      <c r="P1704" s="17" t="s">
        <v>53</v>
      </c>
      <c r="Q1704" s="15"/>
      <c r="R1704" s="18" t="s">
        <v>51</v>
      </c>
      <c r="S1704" s="19"/>
      <c r="T1704" s="17" t="str">
        <f aca="false">IF(R1704="維持",J1704,IF(R1704="排除","無關新聞事件",IFERROR(INDEX(事件規則!$B$2:$B$53,MATCH(S1704,事件規則!$A$2:$A$53,0)),"")))</f>
        <v>無關新聞事件</v>
      </c>
      <c r="U1704" s="20" t="n">
        <f aca="false">IF(R1704="維持",K1704,IF(R1704="排除",0,IFERROR(INDEX(事件規則!$C$2:$C$53,MATCH(S1704,事件規則!$A$2:$A$53,0)),"")))</f>
        <v>0</v>
      </c>
      <c r="V1704" s="21"/>
      <c r="W1704" s="22"/>
      <c r="X1704" s="10" t="str">
        <f aca="false">IF(AND(R1704="修改",S1704=""),"請選新事件代碼",IF(AND(R1704&lt;&gt;"修改",S1704&lt;&gt;""),"只有「修改」才需填代碼",""))</f>
        <v/>
      </c>
      <c r="Y1704" s="21"/>
      <c r="Z1704" s="22"/>
      <c r="AA1704" s="12" t="s">
        <v>4436</v>
      </c>
      <c r="AB1704" s="24"/>
    </row>
    <row r="1705" customFormat="false" ht="29.85" hidden="false" customHeight="false" outlineLevel="0" collapsed="false">
      <c r="A1705" s="15" t="n">
        <v>1704</v>
      </c>
      <c r="B1705" s="9" t="s">
        <v>112</v>
      </c>
      <c r="C1705" s="9" t="s">
        <v>3522</v>
      </c>
      <c r="D1705" s="10" t="s">
        <v>3523</v>
      </c>
      <c r="E1705" s="11" t="s">
        <v>4437</v>
      </c>
      <c r="F1705" s="17"/>
      <c r="G1705" s="12" t="s">
        <v>95</v>
      </c>
      <c r="H1705" s="13" t="n">
        <v>-0.015</v>
      </c>
      <c r="I1705" s="14"/>
      <c r="J1705" s="17"/>
      <c r="K1705" s="9"/>
      <c r="L1705" s="15" t="s">
        <v>50</v>
      </c>
      <c r="M1705" s="16" t="s">
        <v>51</v>
      </c>
      <c r="N1705" s="14"/>
      <c r="O1705" s="15" t="s">
        <v>52</v>
      </c>
      <c r="P1705" s="17" t="s">
        <v>53</v>
      </c>
      <c r="Q1705" s="15"/>
      <c r="R1705" s="18" t="s">
        <v>51</v>
      </c>
      <c r="S1705" s="19"/>
      <c r="T1705" s="17" t="str">
        <f aca="false">IF(R1705="維持",J1705,IF(R1705="排除","無關新聞事件",IFERROR(INDEX(事件規則!$B$2:$B$53,MATCH(S1705,事件規則!$A$2:$A$53,0)),"")))</f>
        <v>無關新聞事件</v>
      </c>
      <c r="U1705" s="20" t="n">
        <f aca="false">IF(R1705="維持",K1705,IF(R1705="排除",0,IFERROR(INDEX(事件規則!$C$2:$C$53,MATCH(S1705,事件規則!$A$2:$A$53,0)),"")))</f>
        <v>0</v>
      </c>
      <c r="V1705" s="21"/>
      <c r="W1705" s="22"/>
      <c r="X1705" s="10" t="str">
        <f aca="false">IF(AND(R1705="修改",S1705=""),"請選新事件代碼",IF(AND(R1705&lt;&gt;"修改",S1705&lt;&gt;""),"只有「修改」才需填代碼",""))</f>
        <v/>
      </c>
      <c r="Y1705" s="21"/>
      <c r="Z1705" s="22"/>
      <c r="AA1705" s="12" t="s">
        <v>4438</v>
      </c>
      <c r="AB1705" s="24"/>
    </row>
    <row r="1706" customFormat="false" ht="29.85" hidden="false" customHeight="false" outlineLevel="0" collapsed="false">
      <c r="A1706" s="15" t="n">
        <v>1705</v>
      </c>
      <c r="B1706" s="9" t="s">
        <v>112</v>
      </c>
      <c r="C1706" s="9" t="s">
        <v>71</v>
      </c>
      <c r="D1706" s="10" t="s">
        <v>72</v>
      </c>
      <c r="E1706" s="11" t="s">
        <v>4439</v>
      </c>
      <c r="F1706" s="17"/>
      <c r="G1706" s="12" t="s">
        <v>949</v>
      </c>
      <c r="H1706" s="13" t="n">
        <v>-0.015</v>
      </c>
      <c r="I1706" s="14"/>
      <c r="J1706" s="17"/>
      <c r="K1706" s="9"/>
      <c r="L1706" s="15" t="s">
        <v>50</v>
      </c>
      <c r="M1706" s="16" t="s">
        <v>51</v>
      </c>
      <c r="N1706" s="14"/>
      <c r="O1706" s="15" t="s">
        <v>52</v>
      </c>
      <c r="P1706" s="17" t="s">
        <v>53</v>
      </c>
      <c r="Q1706" s="15"/>
      <c r="R1706" s="18" t="s">
        <v>51</v>
      </c>
      <c r="S1706" s="19"/>
      <c r="T1706" s="17" t="str">
        <f aca="false">IF(R1706="維持",J1706,IF(R1706="排除","無關新聞事件",IFERROR(INDEX(事件規則!$B$2:$B$53,MATCH(S1706,事件規則!$A$2:$A$53,0)),"")))</f>
        <v>無關新聞事件</v>
      </c>
      <c r="U1706" s="20" t="n">
        <f aca="false">IF(R1706="維持",K1706,IF(R1706="排除",0,IFERROR(INDEX(事件規則!$C$2:$C$53,MATCH(S1706,事件規則!$A$2:$A$53,0)),"")))</f>
        <v>0</v>
      </c>
      <c r="V1706" s="21"/>
      <c r="W1706" s="22"/>
      <c r="X1706" s="10" t="str">
        <f aca="false">IF(AND(R1706="修改",S1706=""),"請選新事件代碼",IF(AND(R1706&lt;&gt;"修改",S1706&lt;&gt;""),"只有「修改」才需填代碼",""))</f>
        <v/>
      </c>
      <c r="Y1706" s="21"/>
      <c r="Z1706" s="22"/>
      <c r="AA1706" s="12" t="s">
        <v>4440</v>
      </c>
      <c r="AB1706" s="24"/>
    </row>
    <row r="1707" customFormat="false" ht="29.85" hidden="false" customHeight="false" outlineLevel="0" collapsed="false">
      <c r="A1707" s="15" t="n">
        <v>1706</v>
      </c>
      <c r="B1707" s="9" t="s">
        <v>112</v>
      </c>
      <c r="C1707" s="9" t="s">
        <v>2424</v>
      </c>
      <c r="D1707" s="10" t="s">
        <v>2425</v>
      </c>
      <c r="E1707" s="11" t="s">
        <v>4441</v>
      </c>
      <c r="F1707" s="17"/>
      <c r="G1707" s="12" t="s">
        <v>105</v>
      </c>
      <c r="H1707" s="13" t="n">
        <v>-0.015</v>
      </c>
      <c r="I1707" s="14"/>
      <c r="J1707" s="17"/>
      <c r="K1707" s="9"/>
      <c r="L1707" s="15" t="s">
        <v>50</v>
      </c>
      <c r="M1707" s="16" t="s">
        <v>51</v>
      </c>
      <c r="N1707" s="14"/>
      <c r="O1707" s="15" t="s">
        <v>52</v>
      </c>
      <c r="P1707" s="17" t="s">
        <v>53</v>
      </c>
      <c r="Q1707" s="15"/>
      <c r="R1707" s="18" t="s">
        <v>51</v>
      </c>
      <c r="S1707" s="19"/>
      <c r="T1707" s="17" t="str">
        <f aca="false">IF(R1707="維持",J1707,IF(R1707="排除","無關新聞事件",IFERROR(INDEX(事件規則!$B$2:$B$53,MATCH(S1707,事件規則!$A$2:$A$53,0)),"")))</f>
        <v>無關新聞事件</v>
      </c>
      <c r="U1707" s="20" t="n">
        <f aca="false">IF(R1707="維持",K1707,IF(R1707="排除",0,IFERROR(INDEX(事件規則!$C$2:$C$53,MATCH(S1707,事件規則!$A$2:$A$53,0)),"")))</f>
        <v>0</v>
      </c>
      <c r="V1707" s="21"/>
      <c r="W1707" s="22"/>
      <c r="X1707" s="10" t="str">
        <f aca="false">IF(AND(R1707="修改",S1707=""),"請選新事件代碼",IF(AND(R1707&lt;&gt;"修改",S1707&lt;&gt;""),"只有「修改」才需填代碼",""))</f>
        <v/>
      </c>
      <c r="Y1707" s="21"/>
      <c r="Z1707" s="22"/>
      <c r="AA1707" s="12" t="s">
        <v>4442</v>
      </c>
      <c r="AB1707" s="24"/>
    </row>
    <row r="1708" customFormat="false" ht="29.85" hidden="false" customHeight="false" outlineLevel="0" collapsed="false">
      <c r="A1708" s="15" t="n">
        <v>1707</v>
      </c>
      <c r="B1708" s="9" t="s">
        <v>112</v>
      </c>
      <c r="C1708" s="9" t="s">
        <v>917</v>
      </c>
      <c r="D1708" s="10" t="s">
        <v>918</v>
      </c>
      <c r="E1708" s="11" t="s">
        <v>4443</v>
      </c>
      <c r="F1708" s="17"/>
      <c r="G1708" s="12" t="s">
        <v>2033</v>
      </c>
      <c r="H1708" s="13" t="n">
        <v>-0.015</v>
      </c>
      <c r="I1708" s="14"/>
      <c r="J1708" s="17"/>
      <c r="K1708" s="9"/>
      <c r="L1708" s="15" t="s">
        <v>50</v>
      </c>
      <c r="M1708" s="16" t="s">
        <v>51</v>
      </c>
      <c r="N1708" s="14"/>
      <c r="O1708" s="15" t="s">
        <v>52</v>
      </c>
      <c r="P1708" s="17" t="s">
        <v>53</v>
      </c>
      <c r="Q1708" s="15"/>
      <c r="R1708" s="18" t="s">
        <v>51</v>
      </c>
      <c r="S1708" s="19"/>
      <c r="T1708" s="17" t="str">
        <f aca="false">IF(R1708="維持",J1708,IF(R1708="排除","無關新聞事件",IFERROR(INDEX(事件規則!$B$2:$B$53,MATCH(S1708,事件規則!$A$2:$A$53,0)),"")))</f>
        <v>無關新聞事件</v>
      </c>
      <c r="U1708" s="20" t="n">
        <f aca="false">IF(R1708="維持",K1708,IF(R1708="排除",0,IFERROR(INDEX(事件規則!$C$2:$C$53,MATCH(S1708,事件規則!$A$2:$A$53,0)),"")))</f>
        <v>0</v>
      </c>
      <c r="V1708" s="21"/>
      <c r="W1708" s="22"/>
      <c r="X1708" s="10" t="str">
        <f aca="false">IF(AND(R1708="修改",S1708=""),"請選新事件代碼",IF(AND(R1708&lt;&gt;"修改",S1708&lt;&gt;""),"只有「修改」才需填代碼",""))</f>
        <v/>
      </c>
      <c r="Y1708" s="21"/>
      <c r="Z1708" s="22"/>
      <c r="AA1708" s="12" t="s">
        <v>4444</v>
      </c>
      <c r="AB1708" s="24"/>
    </row>
    <row r="1709" customFormat="false" ht="29.85" hidden="false" customHeight="false" outlineLevel="0" collapsed="false">
      <c r="A1709" s="15" t="n">
        <v>1708</v>
      </c>
      <c r="B1709" s="9" t="s">
        <v>112</v>
      </c>
      <c r="C1709" s="9" t="s">
        <v>585</v>
      </c>
      <c r="D1709" s="10" t="s">
        <v>586</v>
      </c>
      <c r="E1709" s="11" t="s">
        <v>4445</v>
      </c>
      <c r="F1709" s="17"/>
      <c r="G1709" s="12" t="s">
        <v>2033</v>
      </c>
      <c r="H1709" s="13" t="n">
        <v>-0.015</v>
      </c>
      <c r="I1709" s="14"/>
      <c r="J1709" s="17"/>
      <c r="K1709" s="9"/>
      <c r="L1709" s="15" t="s">
        <v>50</v>
      </c>
      <c r="M1709" s="16" t="s">
        <v>51</v>
      </c>
      <c r="N1709" s="14"/>
      <c r="O1709" s="15" t="s">
        <v>52</v>
      </c>
      <c r="P1709" s="17" t="s">
        <v>53</v>
      </c>
      <c r="Q1709" s="15"/>
      <c r="R1709" s="18" t="s">
        <v>51</v>
      </c>
      <c r="S1709" s="19"/>
      <c r="T1709" s="17" t="str">
        <f aca="false">IF(R1709="維持",J1709,IF(R1709="排除","無關新聞事件",IFERROR(INDEX(事件規則!$B$2:$B$53,MATCH(S1709,事件規則!$A$2:$A$53,0)),"")))</f>
        <v>無關新聞事件</v>
      </c>
      <c r="U1709" s="20" t="n">
        <f aca="false">IF(R1709="維持",K1709,IF(R1709="排除",0,IFERROR(INDEX(事件規則!$C$2:$C$53,MATCH(S1709,事件規則!$A$2:$A$53,0)),"")))</f>
        <v>0</v>
      </c>
      <c r="V1709" s="21"/>
      <c r="W1709" s="22"/>
      <c r="X1709" s="10" t="str">
        <f aca="false">IF(AND(R1709="修改",S1709=""),"請選新事件代碼",IF(AND(R1709&lt;&gt;"修改",S1709&lt;&gt;""),"只有「修改」才需填代碼",""))</f>
        <v/>
      </c>
      <c r="Y1709" s="21"/>
      <c r="Z1709" s="22"/>
      <c r="AA1709" s="12" t="s">
        <v>4446</v>
      </c>
      <c r="AB1709" s="24"/>
    </row>
    <row r="1710" customFormat="false" ht="29.85" hidden="false" customHeight="false" outlineLevel="0" collapsed="false">
      <c r="A1710" s="15" t="n">
        <v>1709</v>
      </c>
      <c r="B1710" s="9" t="s">
        <v>112</v>
      </c>
      <c r="C1710" s="9" t="s">
        <v>1924</v>
      </c>
      <c r="D1710" s="10" t="s">
        <v>1925</v>
      </c>
      <c r="E1710" s="11" t="s">
        <v>4447</v>
      </c>
      <c r="F1710" s="17"/>
      <c r="G1710" s="12" t="s">
        <v>105</v>
      </c>
      <c r="H1710" s="13" t="n">
        <v>-0.015</v>
      </c>
      <c r="I1710" s="14"/>
      <c r="J1710" s="17"/>
      <c r="K1710" s="9"/>
      <c r="L1710" s="15" t="s">
        <v>50</v>
      </c>
      <c r="M1710" s="16" t="s">
        <v>51</v>
      </c>
      <c r="N1710" s="14"/>
      <c r="O1710" s="15" t="s">
        <v>52</v>
      </c>
      <c r="P1710" s="17" t="s">
        <v>53</v>
      </c>
      <c r="Q1710" s="15"/>
      <c r="R1710" s="18" t="s">
        <v>51</v>
      </c>
      <c r="S1710" s="19"/>
      <c r="T1710" s="17" t="str">
        <f aca="false">IF(R1710="維持",J1710,IF(R1710="排除","無關新聞事件",IFERROR(INDEX(事件規則!$B$2:$B$53,MATCH(S1710,事件規則!$A$2:$A$53,0)),"")))</f>
        <v>無關新聞事件</v>
      </c>
      <c r="U1710" s="20" t="n">
        <f aca="false">IF(R1710="維持",K1710,IF(R1710="排除",0,IFERROR(INDEX(事件規則!$C$2:$C$53,MATCH(S1710,事件規則!$A$2:$A$53,0)),"")))</f>
        <v>0</v>
      </c>
      <c r="V1710" s="21"/>
      <c r="W1710" s="22"/>
      <c r="X1710" s="10" t="str">
        <f aca="false">IF(AND(R1710="修改",S1710=""),"請選新事件代碼",IF(AND(R1710&lt;&gt;"修改",S1710&lt;&gt;""),"只有「修改」才需填代碼",""))</f>
        <v/>
      </c>
      <c r="Y1710" s="21"/>
      <c r="Z1710" s="22"/>
      <c r="AA1710" s="12" t="s">
        <v>4448</v>
      </c>
      <c r="AB1710" s="24"/>
    </row>
    <row r="1711" customFormat="false" ht="29.85" hidden="false" customHeight="false" outlineLevel="0" collapsed="false">
      <c r="A1711" s="15" t="n">
        <v>1710</v>
      </c>
      <c r="B1711" s="9" t="s">
        <v>45</v>
      </c>
      <c r="C1711" s="9" t="s">
        <v>1001</v>
      </c>
      <c r="D1711" s="10" t="s">
        <v>1002</v>
      </c>
      <c r="E1711" s="11" t="s">
        <v>4449</v>
      </c>
      <c r="F1711" s="17"/>
      <c r="G1711" s="12" t="s">
        <v>49</v>
      </c>
      <c r="H1711" s="13" t="n">
        <v>-0.015</v>
      </c>
      <c r="I1711" s="14"/>
      <c r="J1711" s="17"/>
      <c r="K1711" s="9"/>
      <c r="L1711" s="15" t="s">
        <v>50</v>
      </c>
      <c r="M1711" s="16" t="s">
        <v>51</v>
      </c>
      <c r="N1711" s="14"/>
      <c r="O1711" s="15" t="s">
        <v>52</v>
      </c>
      <c r="P1711" s="17" t="s">
        <v>53</v>
      </c>
      <c r="Q1711" s="15"/>
      <c r="R1711" s="18" t="s">
        <v>51</v>
      </c>
      <c r="S1711" s="19"/>
      <c r="T1711" s="17" t="str">
        <f aca="false">IF(R1711="維持",J1711,IF(R1711="排除","無關新聞事件",IFERROR(INDEX(事件規則!$B$2:$B$53,MATCH(S1711,事件規則!$A$2:$A$53,0)),"")))</f>
        <v>無關新聞事件</v>
      </c>
      <c r="U1711" s="20" t="n">
        <f aca="false">IF(R1711="維持",K1711,IF(R1711="排除",0,IFERROR(INDEX(事件規則!$C$2:$C$53,MATCH(S1711,事件規則!$A$2:$A$53,0)),"")))</f>
        <v>0</v>
      </c>
      <c r="V1711" s="21"/>
      <c r="W1711" s="22"/>
      <c r="X1711" s="10" t="str">
        <f aca="false">IF(AND(R1711="修改",S1711=""),"請選新事件代碼",IF(AND(R1711&lt;&gt;"修改",S1711&lt;&gt;""),"只有「修改」才需填代碼",""))</f>
        <v/>
      </c>
      <c r="Y1711" s="21"/>
      <c r="Z1711" s="22"/>
      <c r="AA1711" s="12" t="s">
        <v>4450</v>
      </c>
      <c r="AB1711" s="24"/>
    </row>
    <row r="1712" customFormat="false" ht="29.85" hidden="false" customHeight="false" outlineLevel="0" collapsed="false">
      <c r="A1712" s="15" t="n">
        <v>1711</v>
      </c>
      <c r="B1712" s="9" t="s">
        <v>55</v>
      </c>
      <c r="C1712" s="9" t="s">
        <v>4138</v>
      </c>
      <c r="D1712" s="10" t="s">
        <v>4139</v>
      </c>
      <c r="E1712" s="11" t="s">
        <v>4451</v>
      </c>
      <c r="F1712" s="17"/>
      <c r="G1712" s="12" t="s">
        <v>4116</v>
      </c>
      <c r="H1712" s="13" t="n">
        <v>-0.015</v>
      </c>
      <c r="I1712" s="14"/>
      <c r="J1712" s="17"/>
      <c r="K1712" s="9"/>
      <c r="L1712" s="15" t="s">
        <v>50</v>
      </c>
      <c r="M1712" s="16" t="s">
        <v>51</v>
      </c>
      <c r="N1712" s="14"/>
      <c r="O1712" s="15" t="s">
        <v>52</v>
      </c>
      <c r="P1712" s="17" t="s">
        <v>53</v>
      </c>
      <c r="Q1712" s="15"/>
      <c r="R1712" s="18" t="s">
        <v>51</v>
      </c>
      <c r="S1712" s="19"/>
      <c r="T1712" s="17" t="str">
        <f aca="false">IF(R1712="維持",J1712,IF(R1712="排除","無關新聞事件",IFERROR(INDEX(事件規則!$B$2:$B$53,MATCH(S1712,事件規則!$A$2:$A$53,0)),"")))</f>
        <v>無關新聞事件</v>
      </c>
      <c r="U1712" s="20" t="n">
        <f aca="false">IF(R1712="維持",K1712,IF(R1712="排除",0,IFERROR(INDEX(事件規則!$C$2:$C$53,MATCH(S1712,事件規則!$A$2:$A$53,0)),"")))</f>
        <v>0</v>
      </c>
      <c r="V1712" s="21"/>
      <c r="W1712" s="22"/>
      <c r="X1712" s="10" t="str">
        <f aca="false">IF(AND(R1712="修改",S1712=""),"請選新事件代碼",IF(AND(R1712&lt;&gt;"修改",S1712&lt;&gt;""),"只有「修改」才需填代碼",""))</f>
        <v/>
      </c>
      <c r="Y1712" s="21"/>
      <c r="Z1712" s="22"/>
      <c r="AA1712" s="12" t="s">
        <v>4452</v>
      </c>
      <c r="AB1712" s="24"/>
    </row>
    <row r="1713" customFormat="false" ht="29.85" hidden="false" customHeight="false" outlineLevel="0" collapsed="false">
      <c r="A1713" s="15" t="n">
        <v>1712</v>
      </c>
      <c r="B1713" s="9" t="s">
        <v>55</v>
      </c>
      <c r="C1713" s="9" t="s">
        <v>4403</v>
      </c>
      <c r="D1713" s="10" t="s">
        <v>4404</v>
      </c>
      <c r="E1713" s="11" t="s">
        <v>4453</v>
      </c>
      <c r="F1713" s="17"/>
      <c r="G1713" s="12" t="s">
        <v>176</v>
      </c>
      <c r="H1713" s="13" t="n">
        <v>-0.015</v>
      </c>
      <c r="I1713" s="14"/>
      <c r="J1713" s="17"/>
      <c r="K1713" s="9"/>
      <c r="L1713" s="15" t="s">
        <v>50</v>
      </c>
      <c r="M1713" s="16" t="s">
        <v>51</v>
      </c>
      <c r="N1713" s="14"/>
      <c r="O1713" s="15" t="s">
        <v>52</v>
      </c>
      <c r="P1713" s="17" t="s">
        <v>53</v>
      </c>
      <c r="Q1713" s="15"/>
      <c r="R1713" s="18" t="s">
        <v>51</v>
      </c>
      <c r="S1713" s="19"/>
      <c r="T1713" s="17" t="str">
        <f aca="false">IF(R1713="維持",J1713,IF(R1713="排除","無關新聞事件",IFERROR(INDEX(事件規則!$B$2:$B$53,MATCH(S1713,事件規則!$A$2:$A$53,0)),"")))</f>
        <v>無關新聞事件</v>
      </c>
      <c r="U1713" s="20" t="n">
        <f aca="false">IF(R1713="維持",K1713,IF(R1713="排除",0,IFERROR(INDEX(事件規則!$C$2:$C$53,MATCH(S1713,事件規則!$A$2:$A$53,0)),"")))</f>
        <v>0</v>
      </c>
      <c r="V1713" s="21"/>
      <c r="W1713" s="22"/>
      <c r="X1713" s="10" t="str">
        <f aca="false">IF(AND(R1713="修改",S1713=""),"請選新事件代碼",IF(AND(R1713&lt;&gt;"修改",S1713&lt;&gt;""),"只有「修改」才需填代碼",""))</f>
        <v/>
      </c>
      <c r="Y1713" s="21"/>
      <c r="Z1713" s="22"/>
      <c r="AA1713" s="12" t="s">
        <v>4454</v>
      </c>
      <c r="AB1713" s="24"/>
    </row>
    <row r="1714" customFormat="false" ht="29.85" hidden="false" customHeight="false" outlineLevel="0" collapsed="false">
      <c r="A1714" s="15" t="n">
        <v>1713</v>
      </c>
      <c r="B1714" s="9" t="s">
        <v>112</v>
      </c>
      <c r="C1714" s="9" t="s">
        <v>1435</v>
      </c>
      <c r="D1714" s="10" t="s">
        <v>1436</v>
      </c>
      <c r="E1714" s="11" t="s">
        <v>4455</v>
      </c>
      <c r="F1714" s="17"/>
      <c r="G1714" s="12" t="s">
        <v>324</v>
      </c>
      <c r="H1714" s="13" t="n">
        <v>-0.014</v>
      </c>
      <c r="I1714" s="14"/>
      <c r="J1714" s="17"/>
      <c r="K1714" s="9"/>
      <c r="L1714" s="15" t="s">
        <v>50</v>
      </c>
      <c r="M1714" s="16" t="s">
        <v>51</v>
      </c>
      <c r="N1714" s="14"/>
      <c r="O1714" s="15" t="s">
        <v>52</v>
      </c>
      <c r="P1714" s="17" t="s">
        <v>53</v>
      </c>
      <c r="Q1714" s="15"/>
      <c r="R1714" s="18" t="s">
        <v>51</v>
      </c>
      <c r="S1714" s="19"/>
      <c r="T1714" s="17" t="str">
        <f aca="false">IF(R1714="維持",J1714,IF(R1714="排除","無關新聞事件",IFERROR(INDEX(事件規則!$B$2:$B$53,MATCH(S1714,事件規則!$A$2:$A$53,0)),"")))</f>
        <v>無關新聞事件</v>
      </c>
      <c r="U1714" s="20" t="n">
        <f aca="false">IF(R1714="維持",K1714,IF(R1714="排除",0,IFERROR(INDEX(事件規則!$C$2:$C$53,MATCH(S1714,事件規則!$A$2:$A$53,0)),"")))</f>
        <v>0</v>
      </c>
      <c r="V1714" s="21"/>
      <c r="W1714" s="22"/>
      <c r="X1714" s="10" t="str">
        <f aca="false">IF(AND(R1714="修改",S1714=""),"請選新事件代碼",IF(AND(R1714&lt;&gt;"修改",S1714&lt;&gt;""),"只有「修改」才需填代碼",""))</f>
        <v/>
      </c>
      <c r="Y1714" s="21"/>
      <c r="Z1714" s="22"/>
      <c r="AA1714" s="12" t="s">
        <v>4456</v>
      </c>
      <c r="AB1714" s="24"/>
    </row>
    <row r="1715" customFormat="false" ht="29.85" hidden="false" customHeight="false" outlineLevel="0" collapsed="false">
      <c r="A1715" s="15" t="n">
        <v>1714</v>
      </c>
      <c r="B1715" s="9" t="s">
        <v>55</v>
      </c>
      <c r="C1715" s="9" t="s">
        <v>445</v>
      </c>
      <c r="D1715" s="10" t="s">
        <v>446</v>
      </c>
      <c r="E1715" s="11" t="s">
        <v>4457</v>
      </c>
      <c r="F1715" s="17"/>
      <c r="G1715" s="12" t="s">
        <v>4458</v>
      </c>
      <c r="H1715" s="13" t="n">
        <v>-0.014</v>
      </c>
      <c r="I1715" s="14"/>
      <c r="J1715" s="17"/>
      <c r="K1715" s="9"/>
      <c r="L1715" s="15" t="s">
        <v>50</v>
      </c>
      <c r="M1715" s="16" t="s">
        <v>51</v>
      </c>
      <c r="N1715" s="14"/>
      <c r="O1715" s="15" t="s">
        <v>52</v>
      </c>
      <c r="P1715" s="17" t="s">
        <v>53</v>
      </c>
      <c r="Q1715" s="15"/>
      <c r="R1715" s="18" t="s">
        <v>51</v>
      </c>
      <c r="S1715" s="19"/>
      <c r="T1715" s="17" t="str">
        <f aca="false">IF(R1715="維持",J1715,IF(R1715="排除","無關新聞事件",IFERROR(INDEX(事件規則!$B$2:$B$53,MATCH(S1715,事件規則!$A$2:$A$53,0)),"")))</f>
        <v>無關新聞事件</v>
      </c>
      <c r="U1715" s="20" t="n">
        <f aca="false">IF(R1715="維持",K1715,IF(R1715="排除",0,IFERROR(INDEX(事件規則!$C$2:$C$53,MATCH(S1715,事件規則!$A$2:$A$53,0)),"")))</f>
        <v>0</v>
      </c>
      <c r="V1715" s="21"/>
      <c r="W1715" s="22"/>
      <c r="X1715" s="10" t="str">
        <f aca="false">IF(AND(R1715="修改",S1715=""),"請選新事件代碼",IF(AND(R1715&lt;&gt;"修改",S1715&lt;&gt;""),"只有「修改」才需填代碼",""))</f>
        <v/>
      </c>
      <c r="Y1715" s="21"/>
      <c r="Z1715" s="22"/>
      <c r="AA1715" s="12" t="s">
        <v>4459</v>
      </c>
      <c r="AB1715" s="24"/>
    </row>
    <row r="1716" customFormat="false" ht="29.85" hidden="false" customHeight="false" outlineLevel="0" collapsed="false">
      <c r="A1716" s="15" t="n">
        <v>1715</v>
      </c>
      <c r="B1716" s="9" t="s">
        <v>112</v>
      </c>
      <c r="C1716" s="9" t="s">
        <v>969</v>
      </c>
      <c r="D1716" s="10" t="s">
        <v>970</v>
      </c>
      <c r="E1716" s="11" t="s">
        <v>4460</v>
      </c>
      <c r="F1716" s="17"/>
      <c r="G1716" s="12" t="s">
        <v>2033</v>
      </c>
      <c r="H1716" s="13" t="n">
        <v>-0.014</v>
      </c>
      <c r="I1716" s="14"/>
      <c r="J1716" s="17"/>
      <c r="K1716" s="9"/>
      <c r="L1716" s="15" t="s">
        <v>50</v>
      </c>
      <c r="M1716" s="16" t="s">
        <v>51</v>
      </c>
      <c r="N1716" s="14"/>
      <c r="O1716" s="15" t="s">
        <v>52</v>
      </c>
      <c r="P1716" s="17" t="s">
        <v>53</v>
      </c>
      <c r="Q1716" s="15"/>
      <c r="R1716" s="18" t="s">
        <v>51</v>
      </c>
      <c r="S1716" s="19"/>
      <c r="T1716" s="17" t="str">
        <f aca="false">IF(R1716="維持",J1716,IF(R1716="排除","無關新聞事件",IFERROR(INDEX(事件規則!$B$2:$B$53,MATCH(S1716,事件規則!$A$2:$A$53,0)),"")))</f>
        <v>無關新聞事件</v>
      </c>
      <c r="U1716" s="20" t="n">
        <f aca="false">IF(R1716="維持",K1716,IF(R1716="排除",0,IFERROR(INDEX(事件規則!$C$2:$C$53,MATCH(S1716,事件規則!$A$2:$A$53,0)),"")))</f>
        <v>0</v>
      </c>
      <c r="V1716" s="21"/>
      <c r="W1716" s="22"/>
      <c r="X1716" s="10" t="str">
        <f aca="false">IF(AND(R1716="修改",S1716=""),"請選新事件代碼",IF(AND(R1716&lt;&gt;"修改",S1716&lt;&gt;""),"只有「修改」才需填代碼",""))</f>
        <v/>
      </c>
      <c r="Y1716" s="21"/>
      <c r="Z1716" s="22"/>
      <c r="AA1716" s="12" t="s">
        <v>4461</v>
      </c>
      <c r="AB1716" s="24"/>
    </row>
    <row r="1717" customFormat="false" ht="29.85" hidden="false" customHeight="false" outlineLevel="0" collapsed="false">
      <c r="A1717" s="15" t="n">
        <v>1716</v>
      </c>
      <c r="B1717" s="9" t="s">
        <v>112</v>
      </c>
      <c r="C1717" s="9" t="s">
        <v>61</v>
      </c>
      <c r="D1717" s="10" t="s">
        <v>62</v>
      </c>
      <c r="E1717" s="11" t="s">
        <v>4462</v>
      </c>
      <c r="F1717" s="17"/>
      <c r="G1717" s="12" t="s">
        <v>2033</v>
      </c>
      <c r="H1717" s="13" t="n">
        <v>-0.014</v>
      </c>
      <c r="I1717" s="14"/>
      <c r="J1717" s="17"/>
      <c r="K1717" s="9"/>
      <c r="L1717" s="15" t="s">
        <v>50</v>
      </c>
      <c r="M1717" s="16" t="s">
        <v>51</v>
      </c>
      <c r="N1717" s="14"/>
      <c r="O1717" s="15" t="s">
        <v>52</v>
      </c>
      <c r="P1717" s="17" t="s">
        <v>53</v>
      </c>
      <c r="Q1717" s="15"/>
      <c r="R1717" s="18" t="s">
        <v>51</v>
      </c>
      <c r="S1717" s="19"/>
      <c r="T1717" s="17" t="str">
        <f aca="false">IF(R1717="維持",J1717,IF(R1717="排除","無關新聞事件",IFERROR(INDEX(事件規則!$B$2:$B$53,MATCH(S1717,事件規則!$A$2:$A$53,0)),"")))</f>
        <v>無關新聞事件</v>
      </c>
      <c r="U1717" s="20" t="n">
        <f aca="false">IF(R1717="維持",K1717,IF(R1717="排除",0,IFERROR(INDEX(事件規則!$C$2:$C$53,MATCH(S1717,事件規則!$A$2:$A$53,0)),"")))</f>
        <v>0</v>
      </c>
      <c r="V1717" s="21"/>
      <c r="W1717" s="22"/>
      <c r="X1717" s="10" t="str">
        <f aca="false">IF(AND(R1717="修改",S1717=""),"請選新事件代碼",IF(AND(R1717&lt;&gt;"修改",S1717&lt;&gt;""),"只有「修改」才需填代碼",""))</f>
        <v/>
      </c>
      <c r="Y1717" s="21"/>
      <c r="Z1717" s="22"/>
      <c r="AA1717" s="12" t="s">
        <v>4463</v>
      </c>
      <c r="AB1717" s="24"/>
    </row>
    <row r="1718" customFormat="false" ht="29.85" hidden="false" customHeight="false" outlineLevel="0" collapsed="false">
      <c r="A1718" s="15" t="n">
        <v>1717</v>
      </c>
      <c r="B1718" s="9" t="s">
        <v>112</v>
      </c>
      <c r="C1718" s="9" t="s">
        <v>580</v>
      </c>
      <c r="D1718" s="10" t="s">
        <v>581</v>
      </c>
      <c r="E1718" s="11" t="s">
        <v>4464</v>
      </c>
      <c r="F1718" s="17"/>
      <c r="G1718" s="12" t="s">
        <v>2033</v>
      </c>
      <c r="H1718" s="13" t="n">
        <v>-0.014</v>
      </c>
      <c r="I1718" s="14"/>
      <c r="J1718" s="17"/>
      <c r="K1718" s="9"/>
      <c r="L1718" s="15" t="s">
        <v>50</v>
      </c>
      <c r="M1718" s="16" t="s">
        <v>51</v>
      </c>
      <c r="N1718" s="14"/>
      <c r="O1718" s="15" t="s">
        <v>52</v>
      </c>
      <c r="P1718" s="17" t="s">
        <v>53</v>
      </c>
      <c r="Q1718" s="15"/>
      <c r="R1718" s="18" t="s">
        <v>51</v>
      </c>
      <c r="S1718" s="19"/>
      <c r="T1718" s="17" t="str">
        <f aca="false">IF(R1718="維持",J1718,IF(R1718="排除","無關新聞事件",IFERROR(INDEX(事件規則!$B$2:$B$53,MATCH(S1718,事件規則!$A$2:$A$53,0)),"")))</f>
        <v>無關新聞事件</v>
      </c>
      <c r="U1718" s="20" t="n">
        <f aca="false">IF(R1718="維持",K1718,IF(R1718="排除",0,IFERROR(INDEX(事件規則!$C$2:$C$53,MATCH(S1718,事件規則!$A$2:$A$53,0)),"")))</f>
        <v>0</v>
      </c>
      <c r="V1718" s="21"/>
      <c r="W1718" s="22"/>
      <c r="X1718" s="10" t="str">
        <f aca="false">IF(AND(R1718="修改",S1718=""),"請選新事件代碼",IF(AND(R1718&lt;&gt;"修改",S1718&lt;&gt;""),"只有「修改」才需填代碼",""))</f>
        <v/>
      </c>
      <c r="Y1718" s="21"/>
      <c r="Z1718" s="22"/>
      <c r="AA1718" s="12" t="s">
        <v>4465</v>
      </c>
      <c r="AB1718" s="24"/>
    </row>
    <row r="1719" customFormat="false" ht="29.85" hidden="false" customHeight="false" outlineLevel="0" collapsed="false">
      <c r="A1719" s="15" t="n">
        <v>1718</v>
      </c>
      <c r="B1719" s="9" t="s">
        <v>112</v>
      </c>
      <c r="C1719" s="9" t="s">
        <v>2181</v>
      </c>
      <c r="D1719" s="10" t="s">
        <v>2182</v>
      </c>
      <c r="E1719" s="11" t="s">
        <v>4466</v>
      </c>
      <c r="F1719" s="17"/>
      <c r="G1719" s="12" t="s">
        <v>176</v>
      </c>
      <c r="H1719" s="13" t="n">
        <v>-0.014</v>
      </c>
      <c r="I1719" s="14"/>
      <c r="J1719" s="17"/>
      <c r="K1719" s="9"/>
      <c r="L1719" s="15" t="s">
        <v>50</v>
      </c>
      <c r="M1719" s="16" t="s">
        <v>51</v>
      </c>
      <c r="N1719" s="14"/>
      <c r="O1719" s="15" t="s">
        <v>52</v>
      </c>
      <c r="P1719" s="17" t="s">
        <v>53</v>
      </c>
      <c r="Q1719" s="15"/>
      <c r="R1719" s="18" t="s">
        <v>51</v>
      </c>
      <c r="S1719" s="19"/>
      <c r="T1719" s="17" t="str">
        <f aca="false">IF(R1719="維持",J1719,IF(R1719="排除","無關新聞事件",IFERROR(INDEX(事件規則!$B$2:$B$53,MATCH(S1719,事件規則!$A$2:$A$53,0)),"")))</f>
        <v>無關新聞事件</v>
      </c>
      <c r="U1719" s="20" t="n">
        <f aca="false">IF(R1719="維持",K1719,IF(R1719="排除",0,IFERROR(INDEX(事件規則!$C$2:$C$53,MATCH(S1719,事件規則!$A$2:$A$53,0)),"")))</f>
        <v>0</v>
      </c>
      <c r="V1719" s="21"/>
      <c r="W1719" s="22"/>
      <c r="X1719" s="10" t="str">
        <f aca="false">IF(AND(R1719="修改",S1719=""),"請選新事件代碼",IF(AND(R1719&lt;&gt;"修改",S1719&lt;&gt;""),"只有「修改」才需填代碼",""))</f>
        <v/>
      </c>
      <c r="Y1719" s="21"/>
      <c r="Z1719" s="22"/>
      <c r="AA1719" s="12" t="s">
        <v>4467</v>
      </c>
      <c r="AB1719" s="24"/>
    </row>
    <row r="1720" customFormat="false" ht="29.85" hidden="false" customHeight="false" outlineLevel="0" collapsed="false">
      <c r="A1720" s="15" t="n">
        <v>1719</v>
      </c>
      <c r="B1720" s="9" t="s">
        <v>112</v>
      </c>
      <c r="C1720" s="9" t="s">
        <v>2219</v>
      </c>
      <c r="D1720" s="10" t="s">
        <v>2220</v>
      </c>
      <c r="E1720" s="11" t="s">
        <v>4468</v>
      </c>
      <c r="F1720" s="17"/>
      <c r="G1720" s="12" t="s">
        <v>105</v>
      </c>
      <c r="H1720" s="13" t="n">
        <v>-0.014</v>
      </c>
      <c r="I1720" s="14"/>
      <c r="J1720" s="17"/>
      <c r="K1720" s="9"/>
      <c r="L1720" s="15" t="s">
        <v>50</v>
      </c>
      <c r="M1720" s="16" t="s">
        <v>51</v>
      </c>
      <c r="N1720" s="14"/>
      <c r="O1720" s="15" t="s">
        <v>52</v>
      </c>
      <c r="P1720" s="17" t="s">
        <v>53</v>
      </c>
      <c r="Q1720" s="15"/>
      <c r="R1720" s="18" t="s">
        <v>51</v>
      </c>
      <c r="S1720" s="19"/>
      <c r="T1720" s="17" t="str">
        <f aca="false">IF(R1720="維持",J1720,IF(R1720="排除","無關新聞事件",IFERROR(INDEX(事件規則!$B$2:$B$53,MATCH(S1720,事件規則!$A$2:$A$53,0)),"")))</f>
        <v>無關新聞事件</v>
      </c>
      <c r="U1720" s="20" t="n">
        <f aca="false">IF(R1720="維持",K1720,IF(R1720="排除",0,IFERROR(INDEX(事件規則!$C$2:$C$53,MATCH(S1720,事件規則!$A$2:$A$53,0)),"")))</f>
        <v>0</v>
      </c>
      <c r="V1720" s="21"/>
      <c r="W1720" s="22"/>
      <c r="X1720" s="10" t="str">
        <f aca="false">IF(AND(R1720="修改",S1720=""),"請選新事件代碼",IF(AND(R1720&lt;&gt;"修改",S1720&lt;&gt;""),"只有「修改」才需填代碼",""))</f>
        <v/>
      </c>
      <c r="Y1720" s="21"/>
      <c r="Z1720" s="22"/>
      <c r="AA1720" s="12" t="s">
        <v>4469</v>
      </c>
      <c r="AB1720" s="24"/>
    </row>
    <row r="1721" customFormat="false" ht="29.85" hidden="false" customHeight="false" outlineLevel="0" collapsed="false">
      <c r="A1721" s="15" t="n">
        <v>1720</v>
      </c>
      <c r="B1721" s="9" t="s">
        <v>55</v>
      </c>
      <c r="C1721" s="9" t="s">
        <v>289</v>
      </c>
      <c r="D1721" s="10" t="s">
        <v>290</v>
      </c>
      <c r="E1721" s="11" t="s">
        <v>4470</v>
      </c>
      <c r="F1721" s="17"/>
      <c r="G1721" s="12" t="s">
        <v>176</v>
      </c>
      <c r="H1721" s="13" t="n">
        <v>-0.014</v>
      </c>
      <c r="I1721" s="14"/>
      <c r="J1721" s="17"/>
      <c r="K1721" s="9"/>
      <c r="L1721" s="15" t="s">
        <v>50</v>
      </c>
      <c r="M1721" s="16" t="s">
        <v>51</v>
      </c>
      <c r="N1721" s="14"/>
      <c r="O1721" s="15" t="s">
        <v>52</v>
      </c>
      <c r="P1721" s="17" t="s">
        <v>53</v>
      </c>
      <c r="Q1721" s="15"/>
      <c r="R1721" s="18" t="s">
        <v>51</v>
      </c>
      <c r="S1721" s="19"/>
      <c r="T1721" s="17" t="str">
        <f aca="false">IF(R1721="維持",J1721,IF(R1721="排除","無關新聞事件",IFERROR(INDEX(事件規則!$B$2:$B$53,MATCH(S1721,事件規則!$A$2:$A$53,0)),"")))</f>
        <v>無關新聞事件</v>
      </c>
      <c r="U1721" s="20" t="n">
        <f aca="false">IF(R1721="維持",K1721,IF(R1721="排除",0,IFERROR(INDEX(事件規則!$C$2:$C$53,MATCH(S1721,事件規則!$A$2:$A$53,0)),"")))</f>
        <v>0</v>
      </c>
      <c r="V1721" s="21"/>
      <c r="W1721" s="22"/>
      <c r="X1721" s="10" t="str">
        <f aca="false">IF(AND(R1721="修改",S1721=""),"請選新事件代碼",IF(AND(R1721&lt;&gt;"修改",S1721&lt;&gt;""),"只有「修改」才需填代碼",""))</f>
        <v/>
      </c>
      <c r="Y1721" s="21"/>
      <c r="Z1721" s="22"/>
      <c r="AA1721" s="12" t="s">
        <v>4471</v>
      </c>
      <c r="AB1721" s="24"/>
    </row>
    <row r="1722" customFormat="false" ht="29.85" hidden="false" customHeight="false" outlineLevel="0" collapsed="false">
      <c r="A1722" s="15" t="n">
        <v>1721</v>
      </c>
      <c r="B1722" s="9" t="s">
        <v>55</v>
      </c>
      <c r="C1722" s="9" t="s">
        <v>107</v>
      </c>
      <c r="D1722" s="10" t="s">
        <v>108</v>
      </c>
      <c r="E1722" s="11" t="s">
        <v>4472</v>
      </c>
      <c r="F1722" s="17"/>
      <c r="G1722" s="12" t="s">
        <v>3221</v>
      </c>
      <c r="H1722" s="13" t="n">
        <v>-0.014</v>
      </c>
      <c r="I1722" s="14"/>
      <c r="J1722" s="17"/>
      <c r="K1722" s="9"/>
      <c r="L1722" s="15" t="s">
        <v>50</v>
      </c>
      <c r="M1722" s="16" t="s">
        <v>51</v>
      </c>
      <c r="N1722" s="14"/>
      <c r="O1722" s="15" t="s">
        <v>52</v>
      </c>
      <c r="P1722" s="17" t="s">
        <v>53</v>
      </c>
      <c r="Q1722" s="15"/>
      <c r="R1722" s="18" t="s">
        <v>51</v>
      </c>
      <c r="S1722" s="19"/>
      <c r="T1722" s="17" t="str">
        <f aca="false">IF(R1722="維持",J1722,IF(R1722="排除","無關新聞事件",IFERROR(INDEX(事件規則!$B$2:$B$53,MATCH(S1722,事件規則!$A$2:$A$53,0)),"")))</f>
        <v>無關新聞事件</v>
      </c>
      <c r="U1722" s="20" t="n">
        <f aca="false">IF(R1722="維持",K1722,IF(R1722="排除",0,IFERROR(INDEX(事件規則!$C$2:$C$53,MATCH(S1722,事件規則!$A$2:$A$53,0)),"")))</f>
        <v>0</v>
      </c>
      <c r="V1722" s="21"/>
      <c r="W1722" s="22"/>
      <c r="X1722" s="10" t="str">
        <f aca="false">IF(AND(R1722="修改",S1722=""),"請選新事件代碼",IF(AND(R1722&lt;&gt;"修改",S1722&lt;&gt;""),"只有「修改」才需填代碼",""))</f>
        <v/>
      </c>
      <c r="Y1722" s="21"/>
      <c r="Z1722" s="22"/>
      <c r="AA1722" s="12" t="s">
        <v>4473</v>
      </c>
      <c r="AB1722" s="24"/>
    </row>
    <row r="1723" customFormat="false" ht="29.85" hidden="false" customHeight="false" outlineLevel="0" collapsed="false">
      <c r="A1723" s="15" t="n">
        <v>1722</v>
      </c>
      <c r="B1723" s="9" t="s">
        <v>112</v>
      </c>
      <c r="C1723" s="9" t="s">
        <v>585</v>
      </c>
      <c r="D1723" s="10" t="s">
        <v>586</v>
      </c>
      <c r="E1723" s="11" t="s">
        <v>4474</v>
      </c>
      <c r="F1723" s="17"/>
      <c r="G1723" s="12" t="s">
        <v>2033</v>
      </c>
      <c r="H1723" s="13" t="n">
        <v>-0.014</v>
      </c>
      <c r="I1723" s="14"/>
      <c r="J1723" s="17"/>
      <c r="K1723" s="9"/>
      <c r="L1723" s="15" t="s">
        <v>50</v>
      </c>
      <c r="M1723" s="16" t="s">
        <v>51</v>
      </c>
      <c r="N1723" s="14"/>
      <c r="O1723" s="15" t="s">
        <v>52</v>
      </c>
      <c r="P1723" s="17" t="s">
        <v>53</v>
      </c>
      <c r="Q1723" s="15"/>
      <c r="R1723" s="18" t="s">
        <v>51</v>
      </c>
      <c r="S1723" s="19"/>
      <c r="T1723" s="17" t="str">
        <f aca="false">IF(R1723="維持",J1723,IF(R1723="排除","無關新聞事件",IFERROR(INDEX(事件規則!$B$2:$B$53,MATCH(S1723,事件規則!$A$2:$A$53,0)),"")))</f>
        <v>無關新聞事件</v>
      </c>
      <c r="U1723" s="20" t="n">
        <f aca="false">IF(R1723="維持",K1723,IF(R1723="排除",0,IFERROR(INDEX(事件規則!$C$2:$C$53,MATCH(S1723,事件規則!$A$2:$A$53,0)),"")))</f>
        <v>0</v>
      </c>
      <c r="V1723" s="21"/>
      <c r="W1723" s="22"/>
      <c r="X1723" s="10" t="str">
        <f aca="false">IF(AND(R1723="修改",S1723=""),"請選新事件代碼",IF(AND(R1723&lt;&gt;"修改",S1723&lt;&gt;""),"只有「修改」才需填代碼",""))</f>
        <v/>
      </c>
      <c r="Y1723" s="21"/>
      <c r="Z1723" s="22"/>
      <c r="AA1723" s="12" t="s">
        <v>4475</v>
      </c>
      <c r="AB1723" s="24"/>
    </row>
    <row r="1724" customFormat="false" ht="29.85" hidden="false" customHeight="false" outlineLevel="0" collapsed="false">
      <c r="A1724" s="15" t="n">
        <v>1723</v>
      </c>
      <c r="B1724" s="9" t="s">
        <v>55</v>
      </c>
      <c r="C1724" s="9" t="s">
        <v>4476</v>
      </c>
      <c r="D1724" s="10" t="s">
        <v>4477</v>
      </c>
      <c r="E1724" s="11" t="s">
        <v>4478</v>
      </c>
      <c r="F1724" s="17"/>
      <c r="G1724" s="12" t="s">
        <v>95</v>
      </c>
      <c r="H1724" s="13" t="n">
        <v>-0.014</v>
      </c>
      <c r="I1724" s="14"/>
      <c r="J1724" s="17"/>
      <c r="K1724" s="9"/>
      <c r="L1724" s="15" t="s">
        <v>50</v>
      </c>
      <c r="M1724" s="16" t="s">
        <v>51</v>
      </c>
      <c r="N1724" s="14"/>
      <c r="O1724" s="15" t="s">
        <v>52</v>
      </c>
      <c r="P1724" s="17" t="s">
        <v>53</v>
      </c>
      <c r="Q1724" s="15"/>
      <c r="R1724" s="18" t="s">
        <v>51</v>
      </c>
      <c r="S1724" s="19"/>
      <c r="T1724" s="17" t="str">
        <f aca="false">IF(R1724="維持",J1724,IF(R1724="排除","無關新聞事件",IFERROR(INDEX(事件規則!$B$2:$B$53,MATCH(S1724,事件規則!$A$2:$A$53,0)),"")))</f>
        <v>無關新聞事件</v>
      </c>
      <c r="U1724" s="20" t="n">
        <f aca="false">IF(R1724="維持",K1724,IF(R1724="排除",0,IFERROR(INDEX(事件規則!$C$2:$C$53,MATCH(S1724,事件規則!$A$2:$A$53,0)),"")))</f>
        <v>0</v>
      </c>
      <c r="V1724" s="21"/>
      <c r="W1724" s="22"/>
      <c r="X1724" s="10" t="str">
        <f aca="false">IF(AND(R1724="修改",S1724=""),"請選新事件代碼",IF(AND(R1724&lt;&gt;"修改",S1724&lt;&gt;""),"只有「修改」才需填代碼",""))</f>
        <v/>
      </c>
      <c r="Y1724" s="21"/>
      <c r="Z1724" s="22"/>
      <c r="AA1724" s="12" t="s">
        <v>4479</v>
      </c>
      <c r="AB1724" s="24"/>
    </row>
    <row r="1725" customFormat="false" ht="29.85" hidden="false" customHeight="false" outlineLevel="0" collapsed="false">
      <c r="A1725" s="15" t="n">
        <v>1724</v>
      </c>
      <c r="B1725" s="9" t="s">
        <v>55</v>
      </c>
      <c r="C1725" s="9" t="s">
        <v>1629</v>
      </c>
      <c r="D1725" s="10" t="s">
        <v>1630</v>
      </c>
      <c r="E1725" s="11" t="s">
        <v>4480</v>
      </c>
      <c r="F1725" s="17"/>
      <c r="G1725" s="12" t="s">
        <v>95</v>
      </c>
      <c r="H1725" s="13" t="n">
        <v>-0.014</v>
      </c>
      <c r="I1725" s="14"/>
      <c r="J1725" s="17"/>
      <c r="K1725" s="9"/>
      <c r="L1725" s="15" t="s">
        <v>50</v>
      </c>
      <c r="M1725" s="16" t="s">
        <v>51</v>
      </c>
      <c r="N1725" s="14"/>
      <c r="O1725" s="15" t="s">
        <v>52</v>
      </c>
      <c r="P1725" s="17" t="s">
        <v>53</v>
      </c>
      <c r="Q1725" s="15"/>
      <c r="R1725" s="18" t="s">
        <v>51</v>
      </c>
      <c r="S1725" s="19"/>
      <c r="T1725" s="17" t="str">
        <f aca="false">IF(R1725="維持",J1725,IF(R1725="排除","無關新聞事件",IFERROR(INDEX(事件規則!$B$2:$B$53,MATCH(S1725,事件規則!$A$2:$A$53,0)),"")))</f>
        <v>無關新聞事件</v>
      </c>
      <c r="U1725" s="20" t="n">
        <f aca="false">IF(R1725="維持",K1725,IF(R1725="排除",0,IFERROR(INDEX(事件規則!$C$2:$C$53,MATCH(S1725,事件規則!$A$2:$A$53,0)),"")))</f>
        <v>0</v>
      </c>
      <c r="V1725" s="21"/>
      <c r="W1725" s="22"/>
      <c r="X1725" s="10" t="str">
        <f aca="false">IF(AND(R1725="修改",S1725=""),"請選新事件代碼",IF(AND(R1725&lt;&gt;"修改",S1725&lt;&gt;""),"只有「修改」才需填代碼",""))</f>
        <v/>
      </c>
      <c r="Y1725" s="21"/>
      <c r="Z1725" s="22"/>
      <c r="AA1725" s="12" t="s">
        <v>4481</v>
      </c>
      <c r="AB1725" s="24"/>
    </row>
    <row r="1726" customFormat="false" ht="29.85" hidden="false" customHeight="false" outlineLevel="0" collapsed="false">
      <c r="A1726" s="15" t="n">
        <v>1725</v>
      </c>
      <c r="B1726" s="9" t="s">
        <v>55</v>
      </c>
      <c r="C1726" s="9" t="s">
        <v>4482</v>
      </c>
      <c r="D1726" s="10" t="s">
        <v>4483</v>
      </c>
      <c r="E1726" s="11" t="s">
        <v>4484</v>
      </c>
      <c r="F1726" s="17"/>
      <c r="G1726" s="12" t="s">
        <v>3221</v>
      </c>
      <c r="H1726" s="13" t="n">
        <v>-0.014</v>
      </c>
      <c r="I1726" s="14"/>
      <c r="J1726" s="17"/>
      <c r="K1726" s="9"/>
      <c r="L1726" s="15" t="s">
        <v>50</v>
      </c>
      <c r="M1726" s="16" t="s">
        <v>51</v>
      </c>
      <c r="N1726" s="14"/>
      <c r="O1726" s="15" t="s">
        <v>52</v>
      </c>
      <c r="P1726" s="17" t="s">
        <v>53</v>
      </c>
      <c r="Q1726" s="15"/>
      <c r="R1726" s="18" t="s">
        <v>51</v>
      </c>
      <c r="S1726" s="19"/>
      <c r="T1726" s="17" t="str">
        <f aca="false">IF(R1726="維持",J1726,IF(R1726="排除","無關新聞事件",IFERROR(INDEX(事件規則!$B$2:$B$53,MATCH(S1726,事件規則!$A$2:$A$53,0)),"")))</f>
        <v>無關新聞事件</v>
      </c>
      <c r="U1726" s="20" t="n">
        <f aca="false">IF(R1726="維持",K1726,IF(R1726="排除",0,IFERROR(INDEX(事件規則!$C$2:$C$53,MATCH(S1726,事件規則!$A$2:$A$53,0)),"")))</f>
        <v>0</v>
      </c>
      <c r="V1726" s="21"/>
      <c r="W1726" s="22"/>
      <c r="X1726" s="10" t="str">
        <f aca="false">IF(AND(R1726="修改",S1726=""),"請選新事件代碼",IF(AND(R1726&lt;&gt;"修改",S1726&lt;&gt;""),"只有「修改」才需填代碼",""))</f>
        <v/>
      </c>
      <c r="Y1726" s="21"/>
      <c r="Z1726" s="22"/>
      <c r="AA1726" s="12" t="s">
        <v>4485</v>
      </c>
      <c r="AB1726" s="24"/>
    </row>
    <row r="1727" customFormat="false" ht="29.85" hidden="false" customHeight="false" outlineLevel="0" collapsed="false">
      <c r="A1727" s="15" t="n">
        <v>1726</v>
      </c>
      <c r="B1727" s="9" t="s">
        <v>55</v>
      </c>
      <c r="C1727" s="9" t="s">
        <v>2049</v>
      </c>
      <c r="D1727" s="10" t="s">
        <v>2050</v>
      </c>
      <c r="E1727" s="11" t="s">
        <v>4486</v>
      </c>
      <c r="F1727" s="17"/>
      <c r="G1727" s="12" t="s">
        <v>95</v>
      </c>
      <c r="H1727" s="13" t="n">
        <v>-0.014</v>
      </c>
      <c r="I1727" s="14"/>
      <c r="J1727" s="17"/>
      <c r="K1727" s="9"/>
      <c r="L1727" s="15" t="s">
        <v>50</v>
      </c>
      <c r="M1727" s="16" t="s">
        <v>51</v>
      </c>
      <c r="N1727" s="14"/>
      <c r="O1727" s="15" t="s">
        <v>52</v>
      </c>
      <c r="P1727" s="17" t="s">
        <v>53</v>
      </c>
      <c r="Q1727" s="15"/>
      <c r="R1727" s="18" t="s">
        <v>51</v>
      </c>
      <c r="S1727" s="19"/>
      <c r="T1727" s="17" t="str">
        <f aca="false">IF(R1727="維持",J1727,IF(R1727="排除","無關新聞事件",IFERROR(INDEX(事件規則!$B$2:$B$53,MATCH(S1727,事件規則!$A$2:$A$53,0)),"")))</f>
        <v>無關新聞事件</v>
      </c>
      <c r="U1727" s="20" t="n">
        <f aca="false">IF(R1727="維持",K1727,IF(R1727="排除",0,IFERROR(INDEX(事件規則!$C$2:$C$53,MATCH(S1727,事件規則!$A$2:$A$53,0)),"")))</f>
        <v>0</v>
      </c>
      <c r="V1727" s="21"/>
      <c r="W1727" s="22"/>
      <c r="X1727" s="10" t="str">
        <f aca="false">IF(AND(R1727="修改",S1727=""),"請選新事件代碼",IF(AND(R1727&lt;&gt;"修改",S1727&lt;&gt;""),"只有「修改」才需填代碼",""))</f>
        <v/>
      </c>
      <c r="Y1727" s="21"/>
      <c r="Z1727" s="22"/>
      <c r="AA1727" s="12" t="s">
        <v>4487</v>
      </c>
      <c r="AB1727" s="24"/>
    </row>
    <row r="1728" customFormat="false" ht="29.85" hidden="false" customHeight="false" outlineLevel="0" collapsed="false">
      <c r="A1728" s="15" t="n">
        <v>1727</v>
      </c>
      <c r="B1728" s="9" t="s">
        <v>112</v>
      </c>
      <c r="C1728" s="9" t="s">
        <v>936</v>
      </c>
      <c r="D1728" s="10" t="s">
        <v>937</v>
      </c>
      <c r="E1728" s="11" t="s">
        <v>4488</v>
      </c>
      <c r="F1728" s="17"/>
      <c r="G1728" s="12" t="s">
        <v>1136</v>
      </c>
      <c r="H1728" s="13" t="n">
        <v>-0.014</v>
      </c>
      <c r="I1728" s="14"/>
      <c r="J1728" s="17"/>
      <c r="K1728" s="9"/>
      <c r="L1728" s="15" t="s">
        <v>50</v>
      </c>
      <c r="M1728" s="16" t="s">
        <v>51</v>
      </c>
      <c r="N1728" s="14"/>
      <c r="O1728" s="15" t="s">
        <v>52</v>
      </c>
      <c r="P1728" s="17" t="s">
        <v>53</v>
      </c>
      <c r="Q1728" s="15"/>
      <c r="R1728" s="18" t="s">
        <v>51</v>
      </c>
      <c r="S1728" s="19"/>
      <c r="T1728" s="17" t="str">
        <f aca="false">IF(R1728="維持",J1728,IF(R1728="排除","無關新聞事件",IFERROR(INDEX(事件規則!$B$2:$B$53,MATCH(S1728,事件規則!$A$2:$A$53,0)),"")))</f>
        <v>無關新聞事件</v>
      </c>
      <c r="U1728" s="20" t="n">
        <f aca="false">IF(R1728="維持",K1728,IF(R1728="排除",0,IFERROR(INDEX(事件規則!$C$2:$C$53,MATCH(S1728,事件規則!$A$2:$A$53,0)),"")))</f>
        <v>0</v>
      </c>
      <c r="V1728" s="21"/>
      <c r="W1728" s="22"/>
      <c r="X1728" s="10" t="str">
        <f aca="false">IF(AND(R1728="修改",S1728=""),"請選新事件代碼",IF(AND(R1728&lt;&gt;"修改",S1728&lt;&gt;""),"只有「修改」才需填代碼",""))</f>
        <v/>
      </c>
      <c r="Y1728" s="21"/>
      <c r="Z1728" s="22"/>
      <c r="AA1728" s="12" t="s">
        <v>4489</v>
      </c>
      <c r="AB1728" s="24"/>
    </row>
    <row r="1729" customFormat="false" ht="29.85" hidden="false" customHeight="false" outlineLevel="0" collapsed="false">
      <c r="A1729" s="15" t="n">
        <v>1728</v>
      </c>
      <c r="B1729" s="9" t="s">
        <v>112</v>
      </c>
      <c r="C1729" s="9" t="s">
        <v>135</v>
      </c>
      <c r="D1729" s="10" t="s">
        <v>136</v>
      </c>
      <c r="E1729" s="11" t="s">
        <v>4490</v>
      </c>
      <c r="F1729" s="17"/>
      <c r="G1729" s="12" t="s">
        <v>2033</v>
      </c>
      <c r="H1729" s="13" t="n">
        <v>-0.014</v>
      </c>
      <c r="I1729" s="14"/>
      <c r="J1729" s="17"/>
      <c r="K1729" s="9"/>
      <c r="L1729" s="15" t="s">
        <v>50</v>
      </c>
      <c r="M1729" s="16" t="s">
        <v>51</v>
      </c>
      <c r="N1729" s="14"/>
      <c r="O1729" s="15" t="s">
        <v>52</v>
      </c>
      <c r="P1729" s="17" t="s">
        <v>53</v>
      </c>
      <c r="Q1729" s="15"/>
      <c r="R1729" s="18" t="s">
        <v>51</v>
      </c>
      <c r="S1729" s="19"/>
      <c r="T1729" s="17" t="str">
        <f aca="false">IF(R1729="維持",J1729,IF(R1729="排除","無關新聞事件",IFERROR(INDEX(事件規則!$B$2:$B$53,MATCH(S1729,事件規則!$A$2:$A$53,0)),"")))</f>
        <v>無關新聞事件</v>
      </c>
      <c r="U1729" s="20" t="n">
        <f aca="false">IF(R1729="維持",K1729,IF(R1729="排除",0,IFERROR(INDEX(事件規則!$C$2:$C$53,MATCH(S1729,事件規則!$A$2:$A$53,0)),"")))</f>
        <v>0</v>
      </c>
      <c r="V1729" s="21"/>
      <c r="W1729" s="22"/>
      <c r="X1729" s="10" t="str">
        <f aca="false">IF(AND(R1729="修改",S1729=""),"請選新事件代碼",IF(AND(R1729&lt;&gt;"修改",S1729&lt;&gt;""),"只有「修改」才需填代碼",""))</f>
        <v/>
      </c>
      <c r="Y1729" s="21"/>
      <c r="Z1729" s="22"/>
      <c r="AA1729" s="12" t="s">
        <v>4491</v>
      </c>
      <c r="AB1729" s="24"/>
    </row>
    <row r="1730" customFormat="false" ht="29.85" hidden="false" customHeight="false" outlineLevel="0" collapsed="false">
      <c r="A1730" s="15" t="n">
        <v>1729</v>
      </c>
      <c r="B1730" s="9" t="s">
        <v>112</v>
      </c>
      <c r="C1730" s="9" t="s">
        <v>92</v>
      </c>
      <c r="D1730" s="10" t="s">
        <v>93</v>
      </c>
      <c r="E1730" s="11" t="s">
        <v>4492</v>
      </c>
      <c r="F1730" s="17"/>
      <c r="G1730" s="12" t="s">
        <v>4343</v>
      </c>
      <c r="H1730" s="13" t="n">
        <v>-0.014</v>
      </c>
      <c r="I1730" s="14"/>
      <c r="J1730" s="17"/>
      <c r="K1730" s="9"/>
      <c r="L1730" s="15" t="s">
        <v>50</v>
      </c>
      <c r="M1730" s="16" t="s">
        <v>51</v>
      </c>
      <c r="N1730" s="14"/>
      <c r="O1730" s="15" t="s">
        <v>52</v>
      </c>
      <c r="P1730" s="17" t="s">
        <v>53</v>
      </c>
      <c r="Q1730" s="15"/>
      <c r="R1730" s="18" t="s">
        <v>51</v>
      </c>
      <c r="S1730" s="19"/>
      <c r="T1730" s="17" t="str">
        <f aca="false">IF(R1730="維持",J1730,IF(R1730="排除","無關新聞事件",IFERROR(INDEX(事件規則!$B$2:$B$53,MATCH(S1730,事件規則!$A$2:$A$53,0)),"")))</f>
        <v>無關新聞事件</v>
      </c>
      <c r="U1730" s="20" t="n">
        <f aca="false">IF(R1730="維持",K1730,IF(R1730="排除",0,IFERROR(INDEX(事件規則!$C$2:$C$53,MATCH(S1730,事件規則!$A$2:$A$53,0)),"")))</f>
        <v>0</v>
      </c>
      <c r="V1730" s="21"/>
      <c r="W1730" s="22"/>
      <c r="X1730" s="10" t="str">
        <f aca="false">IF(AND(R1730="修改",S1730=""),"請選新事件代碼",IF(AND(R1730&lt;&gt;"修改",S1730&lt;&gt;""),"只有「修改」才需填代碼",""))</f>
        <v/>
      </c>
      <c r="Y1730" s="21"/>
      <c r="Z1730" s="22"/>
      <c r="AA1730" s="12" t="s">
        <v>4493</v>
      </c>
      <c r="AB1730" s="24"/>
    </row>
    <row r="1731" customFormat="false" ht="29.85" hidden="false" customHeight="false" outlineLevel="0" collapsed="false">
      <c r="A1731" s="15" t="n">
        <v>1730</v>
      </c>
      <c r="B1731" s="9" t="s">
        <v>45</v>
      </c>
      <c r="C1731" s="9" t="s">
        <v>1555</v>
      </c>
      <c r="D1731" s="10" t="s">
        <v>1556</v>
      </c>
      <c r="E1731" s="11" t="s">
        <v>4494</v>
      </c>
      <c r="F1731" s="17"/>
      <c r="G1731" s="12" t="s">
        <v>324</v>
      </c>
      <c r="H1731" s="13" t="n">
        <v>-0.014</v>
      </c>
      <c r="I1731" s="14"/>
      <c r="J1731" s="17"/>
      <c r="K1731" s="9"/>
      <c r="L1731" s="15" t="s">
        <v>50</v>
      </c>
      <c r="M1731" s="16" t="s">
        <v>51</v>
      </c>
      <c r="N1731" s="14"/>
      <c r="O1731" s="15" t="s">
        <v>52</v>
      </c>
      <c r="P1731" s="17" t="s">
        <v>53</v>
      </c>
      <c r="Q1731" s="15"/>
      <c r="R1731" s="18" t="s">
        <v>51</v>
      </c>
      <c r="S1731" s="19"/>
      <c r="T1731" s="17" t="str">
        <f aca="false">IF(R1731="維持",J1731,IF(R1731="排除","無關新聞事件",IFERROR(INDEX(事件規則!$B$2:$B$53,MATCH(S1731,事件規則!$A$2:$A$53,0)),"")))</f>
        <v>無關新聞事件</v>
      </c>
      <c r="U1731" s="20" t="n">
        <f aca="false">IF(R1731="維持",K1731,IF(R1731="排除",0,IFERROR(INDEX(事件規則!$C$2:$C$53,MATCH(S1731,事件規則!$A$2:$A$53,0)),"")))</f>
        <v>0</v>
      </c>
      <c r="V1731" s="21"/>
      <c r="W1731" s="22"/>
      <c r="X1731" s="10" t="str">
        <f aca="false">IF(AND(R1731="修改",S1731=""),"請選新事件代碼",IF(AND(R1731&lt;&gt;"修改",S1731&lt;&gt;""),"只有「修改」才需填代碼",""))</f>
        <v/>
      </c>
      <c r="Y1731" s="21"/>
      <c r="Z1731" s="22"/>
      <c r="AA1731" s="12" t="s">
        <v>4495</v>
      </c>
      <c r="AB1731" s="24"/>
    </row>
    <row r="1732" customFormat="false" ht="29.85" hidden="false" customHeight="false" outlineLevel="0" collapsed="false">
      <c r="A1732" s="15" t="n">
        <v>1731</v>
      </c>
      <c r="B1732" s="9" t="s">
        <v>45</v>
      </c>
      <c r="C1732" s="9" t="s">
        <v>2124</v>
      </c>
      <c r="D1732" s="10" t="s">
        <v>2125</v>
      </c>
      <c r="E1732" s="11" t="s">
        <v>4496</v>
      </c>
      <c r="F1732" s="17"/>
      <c r="G1732" s="12" t="s">
        <v>2033</v>
      </c>
      <c r="H1732" s="13" t="n">
        <v>-0.014</v>
      </c>
      <c r="I1732" s="14"/>
      <c r="J1732" s="17"/>
      <c r="K1732" s="9"/>
      <c r="L1732" s="15" t="s">
        <v>50</v>
      </c>
      <c r="M1732" s="16" t="s">
        <v>51</v>
      </c>
      <c r="N1732" s="14"/>
      <c r="O1732" s="15" t="s">
        <v>52</v>
      </c>
      <c r="P1732" s="17" t="s">
        <v>53</v>
      </c>
      <c r="Q1732" s="15"/>
      <c r="R1732" s="18" t="s">
        <v>51</v>
      </c>
      <c r="S1732" s="19"/>
      <c r="T1732" s="17" t="str">
        <f aca="false">IF(R1732="維持",J1732,IF(R1732="排除","無關新聞事件",IFERROR(INDEX(事件規則!$B$2:$B$53,MATCH(S1732,事件規則!$A$2:$A$53,0)),"")))</f>
        <v>無關新聞事件</v>
      </c>
      <c r="U1732" s="20" t="n">
        <f aca="false">IF(R1732="維持",K1732,IF(R1732="排除",0,IFERROR(INDEX(事件規則!$C$2:$C$53,MATCH(S1732,事件規則!$A$2:$A$53,0)),"")))</f>
        <v>0</v>
      </c>
      <c r="V1732" s="21"/>
      <c r="W1732" s="22"/>
      <c r="X1732" s="10" t="str">
        <f aca="false">IF(AND(R1732="修改",S1732=""),"請選新事件代碼",IF(AND(R1732&lt;&gt;"修改",S1732&lt;&gt;""),"只有「修改」才需填代碼",""))</f>
        <v/>
      </c>
      <c r="Y1732" s="21"/>
      <c r="Z1732" s="22"/>
      <c r="AA1732" s="12" t="s">
        <v>4497</v>
      </c>
      <c r="AB1732" s="24"/>
    </row>
    <row r="1733" customFormat="false" ht="29.85" hidden="false" customHeight="false" outlineLevel="0" collapsed="false">
      <c r="A1733" s="15" t="n">
        <v>1732</v>
      </c>
      <c r="B1733" s="9" t="s">
        <v>45</v>
      </c>
      <c r="C1733" s="9" t="s">
        <v>3093</v>
      </c>
      <c r="D1733" s="10" t="s">
        <v>3094</v>
      </c>
      <c r="E1733" s="11" t="s">
        <v>4498</v>
      </c>
      <c r="F1733" s="17"/>
      <c r="G1733" s="12" t="s">
        <v>1136</v>
      </c>
      <c r="H1733" s="13" t="n">
        <v>-0.014</v>
      </c>
      <c r="I1733" s="14"/>
      <c r="J1733" s="17"/>
      <c r="K1733" s="9"/>
      <c r="L1733" s="15" t="s">
        <v>50</v>
      </c>
      <c r="M1733" s="16" t="s">
        <v>51</v>
      </c>
      <c r="N1733" s="14"/>
      <c r="O1733" s="15" t="s">
        <v>52</v>
      </c>
      <c r="P1733" s="17" t="s">
        <v>53</v>
      </c>
      <c r="Q1733" s="15"/>
      <c r="R1733" s="18" t="s">
        <v>51</v>
      </c>
      <c r="S1733" s="19"/>
      <c r="T1733" s="17" t="str">
        <f aca="false">IF(R1733="維持",J1733,IF(R1733="排除","無關新聞事件",IFERROR(INDEX(事件規則!$B$2:$B$53,MATCH(S1733,事件規則!$A$2:$A$53,0)),"")))</f>
        <v>無關新聞事件</v>
      </c>
      <c r="U1733" s="20" t="n">
        <f aca="false">IF(R1733="維持",K1733,IF(R1733="排除",0,IFERROR(INDEX(事件規則!$C$2:$C$53,MATCH(S1733,事件規則!$A$2:$A$53,0)),"")))</f>
        <v>0</v>
      </c>
      <c r="V1733" s="21"/>
      <c r="W1733" s="22"/>
      <c r="X1733" s="10" t="str">
        <f aca="false">IF(AND(R1733="修改",S1733=""),"請選新事件代碼",IF(AND(R1733&lt;&gt;"修改",S1733&lt;&gt;""),"只有「修改」才需填代碼",""))</f>
        <v/>
      </c>
      <c r="Y1733" s="21"/>
      <c r="Z1733" s="22"/>
      <c r="AA1733" s="12" t="s">
        <v>4499</v>
      </c>
      <c r="AB1733" s="24"/>
    </row>
    <row r="1734" customFormat="false" ht="29.85" hidden="false" customHeight="false" outlineLevel="0" collapsed="false">
      <c r="A1734" s="15" t="n">
        <v>1733</v>
      </c>
      <c r="B1734" s="9" t="s">
        <v>45</v>
      </c>
      <c r="C1734" s="9" t="s">
        <v>4500</v>
      </c>
      <c r="D1734" s="10" t="s">
        <v>4501</v>
      </c>
      <c r="E1734" s="11" t="s">
        <v>4494</v>
      </c>
      <c r="F1734" s="17"/>
      <c r="G1734" s="12" t="s">
        <v>324</v>
      </c>
      <c r="H1734" s="13" t="n">
        <v>-0.014</v>
      </c>
      <c r="I1734" s="14"/>
      <c r="J1734" s="17"/>
      <c r="K1734" s="9"/>
      <c r="L1734" s="15" t="s">
        <v>50</v>
      </c>
      <c r="M1734" s="16" t="s">
        <v>51</v>
      </c>
      <c r="N1734" s="14"/>
      <c r="O1734" s="15" t="s">
        <v>52</v>
      </c>
      <c r="P1734" s="17" t="s">
        <v>53</v>
      </c>
      <c r="Q1734" s="15"/>
      <c r="R1734" s="18" t="s">
        <v>51</v>
      </c>
      <c r="S1734" s="19"/>
      <c r="T1734" s="17" t="str">
        <f aca="false">IF(R1734="維持",J1734,IF(R1734="排除","無關新聞事件",IFERROR(INDEX(事件規則!$B$2:$B$53,MATCH(S1734,事件規則!$A$2:$A$53,0)),"")))</f>
        <v>無關新聞事件</v>
      </c>
      <c r="U1734" s="20" t="n">
        <f aca="false">IF(R1734="維持",K1734,IF(R1734="排除",0,IFERROR(INDEX(事件規則!$C$2:$C$53,MATCH(S1734,事件規則!$A$2:$A$53,0)),"")))</f>
        <v>0</v>
      </c>
      <c r="V1734" s="21"/>
      <c r="W1734" s="22"/>
      <c r="X1734" s="10" t="str">
        <f aca="false">IF(AND(R1734="修改",S1734=""),"請選新事件代碼",IF(AND(R1734&lt;&gt;"修改",S1734&lt;&gt;""),"只有「修改」才需填代碼",""))</f>
        <v/>
      </c>
      <c r="Y1734" s="21"/>
      <c r="Z1734" s="22"/>
      <c r="AA1734" s="12" t="s">
        <v>4502</v>
      </c>
      <c r="AB1734" s="24"/>
    </row>
    <row r="1735" customFormat="false" ht="29.85" hidden="false" customHeight="false" outlineLevel="0" collapsed="false">
      <c r="A1735" s="15" t="n">
        <v>1734</v>
      </c>
      <c r="B1735" s="9" t="s">
        <v>45</v>
      </c>
      <c r="C1735" s="9" t="s">
        <v>1924</v>
      </c>
      <c r="D1735" s="10" t="s">
        <v>1925</v>
      </c>
      <c r="E1735" s="11" t="s">
        <v>4503</v>
      </c>
      <c r="F1735" s="17"/>
      <c r="G1735" s="12" t="s">
        <v>95</v>
      </c>
      <c r="H1735" s="13" t="n">
        <v>-0.014</v>
      </c>
      <c r="I1735" s="14"/>
      <c r="J1735" s="17"/>
      <c r="K1735" s="9"/>
      <c r="L1735" s="15" t="s">
        <v>50</v>
      </c>
      <c r="M1735" s="16" t="s">
        <v>51</v>
      </c>
      <c r="N1735" s="14"/>
      <c r="O1735" s="15" t="s">
        <v>52</v>
      </c>
      <c r="P1735" s="17" t="s">
        <v>53</v>
      </c>
      <c r="Q1735" s="15"/>
      <c r="R1735" s="18" t="s">
        <v>51</v>
      </c>
      <c r="S1735" s="19"/>
      <c r="T1735" s="17" t="str">
        <f aca="false">IF(R1735="維持",J1735,IF(R1735="排除","無關新聞事件",IFERROR(INDEX(事件規則!$B$2:$B$53,MATCH(S1735,事件規則!$A$2:$A$53,0)),"")))</f>
        <v>無關新聞事件</v>
      </c>
      <c r="U1735" s="20" t="n">
        <f aca="false">IF(R1735="維持",K1735,IF(R1735="排除",0,IFERROR(INDEX(事件規則!$C$2:$C$53,MATCH(S1735,事件規則!$A$2:$A$53,0)),"")))</f>
        <v>0</v>
      </c>
      <c r="V1735" s="21"/>
      <c r="W1735" s="22"/>
      <c r="X1735" s="10" t="str">
        <f aca="false">IF(AND(R1735="修改",S1735=""),"請選新事件代碼",IF(AND(R1735&lt;&gt;"修改",S1735&lt;&gt;""),"只有「修改」才需填代碼",""))</f>
        <v/>
      </c>
      <c r="Y1735" s="21"/>
      <c r="Z1735" s="22"/>
      <c r="AA1735" s="12" t="s">
        <v>4504</v>
      </c>
      <c r="AB1735" s="24"/>
    </row>
    <row r="1736" customFormat="false" ht="29.85" hidden="false" customHeight="false" outlineLevel="0" collapsed="false">
      <c r="A1736" s="15" t="n">
        <v>1735</v>
      </c>
      <c r="B1736" s="9" t="s">
        <v>45</v>
      </c>
      <c r="C1736" s="9" t="s">
        <v>1415</v>
      </c>
      <c r="D1736" s="10" t="s">
        <v>1416</v>
      </c>
      <c r="E1736" s="11" t="s">
        <v>4505</v>
      </c>
      <c r="F1736" s="17"/>
      <c r="G1736" s="12" t="s">
        <v>95</v>
      </c>
      <c r="H1736" s="13" t="n">
        <v>-0.014</v>
      </c>
      <c r="I1736" s="14"/>
      <c r="J1736" s="17"/>
      <c r="K1736" s="9"/>
      <c r="L1736" s="15" t="s">
        <v>50</v>
      </c>
      <c r="M1736" s="16" t="s">
        <v>51</v>
      </c>
      <c r="N1736" s="14"/>
      <c r="O1736" s="15" t="s">
        <v>52</v>
      </c>
      <c r="P1736" s="17" t="s">
        <v>53</v>
      </c>
      <c r="Q1736" s="15"/>
      <c r="R1736" s="18" t="s">
        <v>51</v>
      </c>
      <c r="S1736" s="19"/>
      <c r="T1736" s="17" t="str">
        <f aca="false">IF(R1736="維持",J1736,IF(R1736="排除","無關新聞事件",IFERROR(INDEX(事件規則!$B$2:$B$53,MATCH(S1736,事件規則!$A$2:$A$53,0)),"")))</f>
        <v>無關新聞事件</v>
      </c>
      <c r="U1736" s="20" t="n">
        <f aca="false">IF(R1736="維持",K1736,IF(R1736="排除",0,IFERROR(INDEX(事件規則!$C$2:$C$53,MATCH(S1736,事件規則!$A$2:$A$53,0)),"")))</f>
        <v>0</v>
      </c>
      <c r="V1736" s="21"/>
      <c r="W1736" s="22"/>
      <c r="X1736" s="10" t="str">
        <f aca="false">IF(AND(R1736="修改",S1736=""),"請選新事件代碼",IF(AND(R1736&lt;&gt;"修改",S1736&lt;&gt;""),"只有「修改」才需填代碼",""))</f>
        <v/>
      </c>
      <c r="Y1736" s="21"/>
      <c r="Z1736" s="22"/>
      <c r="AA1736" s="12" t="s">
        <v>4506</v>
      </c>
      <c r="AB1736" s="24"/>
    </row>
    <row r="1737" customFormat="false" ht="29.85" hidden="false" customHeight="false" outlineLevel="0" collapsed="false">
      <c r="A1737" s="15" t="n">
        <v>1736</v>
      </c>
      <c r="B1737" s="9" t="s">
        <v>45</v>
      </c>
      <c r="C1737" s="9" t="s">
        <v>289</v>
      </c>
      <c r="D1737" s="10" t="s">
        <v>290</v>
      </c>
      <c r="E1737" s="11" t="s">
        <v>4507</v>
      </c>
      <c r="F1737" s="17"/>
      <c r="G1737" s="12" t="s">
        <v>176</v>
      </c>
      <c r="H1737" s="13" t="n">
        <v>-0.014</v>
      </c>
      <c r="I1737" s="14"/>
      <c r="J1737" s="17"/>
      <c r="K1737" s="9"/>
      <c r="L1737" s="15" t="s">
        <v>50</v>
      </c>
      <c r="M1737" s="16" t="s">
        <v>51</v>
      </c>
      <c r="N1737" s="14"/>
      <c r="O1737" s="15" t="s">
        <v>52</v>
      </c>
      <c r="P1737" s="17" t="s">
        <v>53</v>
      </c>
      <c r="Q1737" s="15"/>
      <c r="R1737" s="18" t="s">
        <v>51</v>
      </c>
      <c r="S1737" s="19"/>
      <c r="T1737" s="17" t="str">
        <f aca="false">IF(R1737="維持",J1737,IF(R1737="排除","無關新聞事件",IFERROR(INDEX(事件規則!$B$2:$B$53,MATCH(S1737,事件規則!$A$2:$A$53,0)),"")))</f>
        <v>無關新聞事件</v>
      </c>
      <c r="U1737" s="20" t="n">
        <f aca="false">IF(R1737="維持",K1737,IF(R1737="排除",0,IFERROR(INDEX(事件規則!$C$2:$C$53,MATCH(S1737,事件規則!$A$2:$A$53,0)),"")))</f>
        <v>0</v>
      </c>
      <c r="V1737" s="21"/>
      <c r="W1737" s="22"/>
      <c r="X1737" s="10" t="str">
        <f aca="false">IF(AND(R1737="修改",S1737=""),"請選新事件代碼",IF(AND(R1737&lt;&gt;"修改",S1737&lt;&gt;""),"只有「修改」才需填代碼",""))</f>
        <v/>
      </c>
      <c r="Y1737" s="21"/>
      <c r="Z1737" s="22"/>
      <c r="AA1737" s="12" t="s">
        <v>4508</v>
      </c>
      <c r="AB1737" s="24"/>
    </row>
    <row r="1738" customFormat="false" ht="29.85" hidden="false" customHeight="false" outlineLevel="0" collapsed="false">
      <c r="A1738" s="15" t="n">
        <v>1737</v>
      </c>
      <c r="B1738" s="9" t="s">
        <v>45</v>
      </c>
      <c r="C1738" s="9" t="s">
        <v>360</v>
      </c>
      <c r="D1738" s="10" t="s">
        <v>361</v>
      </c>
      <c r="E1738" s="11" t="s">
        <v>4494</v>
      </c>
      <c r="F1738" s="17"/>
      <c r="G1738" s="12" t="s">
        <v>324</v>
      </c>
      <c r="H1738" s="13" t="n">
        <v>-0.014</v>
      </c>
      <c r="I1738" s="14"/>
      <c r="J1738" s="17"/>
      <c r="K1738" s="9"/>
      <c r="L1738" s="15" t="s">
        <v>50</v>
      </c>
      <c r="M1738" s="16" t="s">
        <v>51</v>
      </c>
      <c r="N1738" s="14"/>
      <c r="O1738" s="15" t="s">
        <v>52</v>
      </c>
      <c r="P1738" s="17" t="s">
        <v>53</v>
      </c>
      <c r="Q1738" s="15"/>
      <c r="R1738" s="18" t="s">
        <v>51</v>
      </c>
      <c r="S1738" s="19"/>
      <c r="T1738" s="17" t="str">
        <f aca="false">IF(R1738="維持",J1738,IF(R1738="排除","無關新聞事件",IFERROR(INDEX(事件規則!$B$2:$B$53,MATCH(S1738,事件規則!$A$2:$A$53,0)),"")))</f>
        <v>無關新聞事件</v>
      </c>
      <c r="U1738" s="20" t="n">
        <f aca="false">IF(R1738="維持",K1738,IF(R1738="排除",0,IFERROR(INDEX(事件規則!$C$2:$C$53,MATCH(S1738,事件規則!$A$2:$A$53,0)),"")))</f>
        <v>0</v>
      </c>
      <c r="V1738" s="21"/>
      <c r="W1738" s="22"/>
      <c r="X1738" s="10" t="str">
        <f aca="false">IF(AND(R1738="修改",S1738=""),"請選新事件代碼",IF(AND(R1738&lt;&gt;"修改",S1738&lt;&gt;""),"只有「修改」才需填代碼",""))</f>
        <v/>
      </c>
      <c r="Y1738" s="21"/>
      <c r="Z1738" s="22"/>
      <c r="AA1738" s="12" t="s">
        <v>4509</v>
      </c>
      <c r="AB1738" s="24"/>
    </row>
    <row r="1739" customFormat="false" ht="29.85" hidden="false" customHeight="false" outlineLevel="0" collapsed="false">
      <c r="A1739" s="15" t="n">
        <v>1738</v>
      </c>
      <c r="B1739" s="9" t="s">
        <v>45</v>
      </c>
      <c r="C1739" s="9" t="s">
        <v>1121</v>
      </c>
      <c r="D1739" s="10" t="s">
        <v>1122</v>
      </c>
      <c r="E1739" s="11" t="s">
        <v>4494</v>
      </c>
      <c r="F1739" s="17"/>
      <c r="G1739" s="12" t="s">
        <v>324</v>
      </c>
      <c r="H1739" s="13" t="n">
        <v>-0.014</v>
      </c>
      <c r="I1739" s="14"/>
      <c r="J1739" s="17"/>
      <c r="K1739" s="9"/>
      <c r="L1739" s="15" t="s">
        <v>50</v>
      </c>
      <c r="M1739" s="16" t="s">
        <v>51</v>
      </c>
      <c r="N1739" s="14"/>
      <c r="O1739" s="15" t="s">
        <v>52</v>
      </c>
      <c r="P1739" s="17" t="s">
        <v>53</v>
      </c>
      <c r="Q1739" s="15"/>
      <c r="R1739" s="18" t="s">
        <v>51</v>
      </c>
      <c r="S1739" s="19"/>
      <c r="T1739" s="17" t="str">
        <f aca="false">IF(R1739="維持",J1739,IF(R1739="排除","無關新聞事件",IFERROR(INDEX(事件規則!$B$2:$B$53,MATCH(S1739,事件規則!$A$2:$A$53,0)),"")))</f>
        <v>無關新聞事件</v>
      </c>
      <c r="U1739" s="20" t="n">
        <f aca="false">IF(R1739="維持",K1739,IF(R1739="排除",0,IFERROR(INDEX(事件規則!$C$2:$C$53,MATCH(S1739,事件規則!$A$2:$A$53,0)),"")))</f>
        <v>0</v>
      </c>
      <c r="V1739" s="21"/>
      <c r="W1739" s="22"/>
      <c r="X1739" s="10" t="str">
        <f aca="false">IF(AND(R1739="修改",S1739=""),"請選新事件代碼",IF(AND(R1739&lt;&gt;"修改",S1739&lt;&gt;""),"只有「修改」才需填代碼",""))</f>
        <v/>
      </c>
      <c r="Y1739" s="21"/>
      <c r="Z1739" s="22"/>
      <c r="AA1739" s="12" t="s">
        <v>4510</v>
      </c>
      <c r="AB1739" s="24"/>
    </row>
    <row r="1740" customFormat="false" ht="29.85" hidden="false" customHeight="false" outlineLevel="0" collapsed="false">
      <c r="A1740" s="15" t="n">
        <v>1739</v>
      </c>
      <c r="B1740" s="9" t="s">
        <v>55</v>
      </c>
      <c r="C1740" s="9" t="s">
        <v>355</v>
      </c>
      <c r="D1740" s="10" t="s">
        <v>356</v>
      </c>
      <c r="E1740" s="11" t="s">
        <v>4511</v>
      </c>
      <c r="F1740" s="17"/>
      <c r="G1740" s="12" t="s">
        <v>4512</v>
      </c>
      <c r="H1740" s="13" t="n">
        <v>-0.014</v>
      </c>
      <c r="I1740" s="14"/>
      <c r="J1740" s="17"/>
      <c r="K1740" s="9"/>
      <c r="L1740" s="15" t="s">
        <v>50</v>
      </c>
      <c r="M1740" s="16" t="s">
        <v>51</v>
      </c>
      <c r="N1740" s="14"/>
      <c r="O1740" s="15" t="s">
        <v>52</v>
      </c>
      <c r="P1740" s="17" t="s">
        <v>53</v>
      </c>
      <c r="Q1740" s="15"/>
      <c r="R1740" s="18" t="s">
        <v>51</v>
      </c>
      <c r="S1740" s="19"/>
      <c r="T1740" s="17" t="str">
        <f aca="false">IF(R1740="維持",J1740,IF(R1740="排除","無關新聞事件",IFERROR(INDEX(事件規則!$B$2:$B$53,MATCH(S1740,事件規則!$A$2:$A$53,0)),"")))</f>
        <v>無關新聞事件</v>
      </c>
      <c r="U1740" s="20" t="n">
        <f aca="false">IF(R1740="維持",K1740,IF(R1740="排除",0,IFERROR(INDEX(事件規則!$C$2:$C$53,MATCH(S1740,事件規則!$A$2:$A$53,0)),"")))</f>
        <v>0</v>
      </c>
      <c r="V1740" s="21"/>
      <c r="W1740" s="22"/>
      <c r="X1740" s="10" t="str">
        <f aca="false">IF(AND(R1740="修改",S1740=""),"請選新事件代碼",IF(AND(R1740&lt;&gt;"修改",S1740&lt;&gt;""),"只有「修改」才需填代碼",""))</f>
        <v/>
      </c>
      <c r="Y1740" s="21"/>
      <c r="Z1740" s="22"/>
      <c r="AA1740" s="12" t="s">
        <v>4513</v>
      </c>
      <c r="AB1740" s="24"/>
    </row>
    <row r="1741" customFormat="false" ht="29.85" hidden="false" customHeight="false" outlineLevel="0" collapsed="false">
      <c r="A1741" s="15" t="n">
        <v>1740</v>
      </c>
      <c r="B1741" s="9" t="s">
        <v>55</v>
      </c>
      <c r="C1741" s="9" t="s">
        <v>449</v>
      </c>
      <c r="D1741" s="10" t="s">
        <v>450</v>
      </c>
      <c r="E1741" s="11" t="s">
        <v>4514</v>
      </c>
      <c r="F1741" s="17"/>
      <c r="G1741" s="12" t="s">
        <v>1136</v>
      </c>
      <c r="H1741" s="13" t="n">
        <v>-0.014</v>
      </c>
      <c r="I1741" s="14"/>
      <c r="J1741" s="17"/>
      <c r="K1741" s="9"/>
      <c r="L1741" s="15" t="s">
        <v>50</v>
      </c>
      <c r="M1741" s="16" t="s">
        <v>51</v>
      </c>
      <c r="N1741" s="14"/>
      <c r="O1741" s="15" t="s">
        <v>52</v>
      </c>
      <c r="P1741" s="17" t="s">
        <v>53</v>
      </c>
      <c r="Q1741" s="15"/>
      <c r="R1741" s="18" t="s">
        <v>51</v>
      </c>
      <c r="S1741" s="19"/>
      <c r="T1741" s="17" t="str">
        <f aca="false">IF(R1741="維持",J1741,IF(R1741="排除","無關新聞事件",IFERROR(INDEX(事件規則!$B$2:$B$53,MATCH(S1741,事件規則!$A$2:$A$53,0)),"")))</f>
        <v>無關新聞事件</v>
      </c>
      <c r="U1741" s="20" t="n">
        <f aca="false">IF(R1741="維持",K1741,IF(R1741="排除",0,IFERROR(INDEX(事件規則!$C$2:$C$53,MATCH(S1741,事件規則!$A$2:$A$53,0)),"")))</f>
        <v>0</v>
      </c>
      <c r="V1741" s="21"/>
      <c r="W1741" s="22"/>
      <c r="X1741" s="10" t="str">
        <f aca="false">IF(AND(R1741="修改",S1741=""),"請選新事件代碼",IF(AND(R1741&lt;&gt;"修改",S1741&lt;&gt;""),"只有「修改」才需填代碼",""))</f>
        <v/>
      </c>
      <c r="Y1741" s="21"/>
      <c r="Z1741" s="22"/>
      <c r="AA1741" s="12" t="s">
        <v>4515</v>
      </c>
      <c r="AB1741" s="24"/>
    </row>
    <row r="1742" customFormat="false" ht="29.85" hidden="false" customHeight="false" outlineLevel="0" collapsed="false">
      <c r="A1742" s="15" t="n">
        <v>1741</v>
      </c>
      <c r="B1742" s="9" t="s">
        <v>45</v>
      </c>
      <c r="C1742" s="9" t="s">
        <v>2130</v>
      </c>
      <c r="D1742" s="10" t="s">
        <v>2131</v>
      </c>
      <c r="E1742" s="11" t="s">
        <v>4516</v>
      </c>
      <c r="F1742" s="17"/>
      <c r="G1742" s="12" t="s">
        <v>49</v>
      </c>
      <c r="H1742" s="13" t="n">
        <v>-0.014</v>
      </c>
      <c r="I1742" s="14"/>
      <c r="J1742" s="17"/>
      <c r="K1742" s="9"/>
      <c r="L1742" s="15" t="s">
        <v>50</v>
      </c>
      <c r="M1742" s="16" t="s">
        <v>51</v>
      </c>
      <c r="N1742" s="14"/>
      <c r="O1742" s="15" t="s">
        <v>52</v>
      </c>
      <c r="P1742" s="17" t="s">
        <v>53</v>
      </c>
      <c r="Q1742" s="15"/>
      <c r="R1742" s="18" t="s">
        <v>51</v>
      </c>
      <c r="S1742" s="19"/>
      <c r="T1742" s="17" t="str">
        <f aca="false">IF(R1742="維持",J1742,IF(R1742="排除","無關新聞事件",IFERROR(INDEX(事件規則!$B$2:$B$53,MATCH(S1742,事件規則!$A$2:$A$53,0)),"")))</f>
        <v>無關新聞事件</v>
      </c>
      <c r="U1742" s="20" t="n">
        <f aca="false">IF(R1742="維持",K1742,IF(R1742="排除",0,IFERROR(INDEX(事件規則!$C$2:$C$53,MATCH(S1742,事件規則!$A$2:$A$53,0)),"")))</f>
        <v>0</v>
      </c>
      <c r="V1742" s="21"/>
      <c r="W1742" s="22"/>
      <c r="X1742" s="10" t="str">
        <f aca="false">IF(AND(R1742="修改",S1742=""),"請選新事件代碼",IF(AND(R1742&lt;&gt;"修改",S1742&lt;&gt;""),"只有「修改」才需填代碼",""))</f>
        <v/>
      </c>
      <c r="Y1742" s="21"/>
      <c r="Z1742" s="22"/>
      <c r="AA1742" s="12" t="s">
        <v>4517</v>
      </c>
      <c r="AB1742" s="24"/>
    </row>
    <row r="1743" customFormat="false" ht="29.85" hidden="false" customHeight="false" outlineLevel="0" collapsed="false">
      <c r="A1743" s="15" t="n">
        <v>1742</v>
      </c>
      <c r="B1743" s="9" t="s">
        <v>45</v>
      </c>
      <c r="C1743" s="9" t="s">
        <v>414</v>
      </c>
      <c r="D1743" s="10" t="s">
        <v>415</v>
      </c>
      <c r="E1743" s="11" t="s">
        <v>4518</v>
      </c>
      <c r="F1743" s="17"/>
      <c r="G1743" s="12" t="s">
        <v>105</v>
      </c>
      <c r="H1743" s="13" t="n">
        <v>-0.014</v>
      </c>
      <c r="I1743" s="14"/>
      <c r="J1743" s="17"/>
      <c r="K1743" s="9"/>
      <c r="L1743" s="15" t="s">
        <v>50</v>
      </c>
      <c r="M1743" s="16" t="s">
        <v>51</v>
      </c>
      <c r="N1743" s="14"/>
      <c r="O1743" s="15" t="s">
        <v>52</v>
      </c>
      <c r="P1743" s="17" t="s">
        <v>53</v>
      </c>
      <c r="Q1743" s="15"/>
      <c r="R1743" s="18" t="s">
        <v>51</v>
      </c>
      <c r="S1743" s="19"/>
      <c r="T1743" s="17" t="str">
        <f aca="false">IF(R1743="維持",J1743,IF(R1743="排除","無關新聞事件",IFERROR(INDEX(事件規則!$B$2:$B$53,MATCH(S1743,事件規則!$A$2:$A$53,0)),"")))</f>
        <v>無關新聞事件</v>
      </c>
      <c r="U1743" s="20" t="n">
        <f aca="false">IF(R1743="維持",K1743,IF(R1743="排除",0,IFERROR(INDEX(事件規則!$C$2:$C$53,MATCH(S1743,事件規則!$A$2:$A$53,0)),"")))</f>
        <v>0</v>
      </c>
      <c r="V1743" s="21"/>
      <c r="W1743" s="22"/>
      <c r="X1743" s="10" t="str">
        <f aca="false">IF(AND(R1743="修改",S1743=""),"請選新事件代碼",IF(AND(R1743&lt;&gt;"修改",S1743&lt;&gt;""),"只有「修改」才需填代碼",""))</f>
        <v/>
      </c>
      <c r="Y1743" s="21"/>
      <c r="Z1743" s="22"/>
      <c r="AA1743" s="12" t="s">
        <v>4519</v>
      </c>
      <c r="AB1743" s="24"/>
    </row>
    <row r="1744" customFormat="false" ht="29.85" hidden="false" customHeight="false" outlineLevel="0" collapsed="false">
      <c r="A1744" s="15" t="n">
        <v>1743</v>
      </c>
      <c r="B1744" s="9" t="s">
        <v>112</v>
      </c>
      <c r="C1744" s="9" t="s">
        <v>4520</v>
      </c>
      <c r="D1744" s="10" t="s">
        <v>4521</v>
      </c>
      <c r="E1744" s="11" t="s">
        <v>4455</v>
      </c>
      <c r="F1744" s="17"/>
      <c r="G1744" s="12" t="s">
        <v>324</v>
      </c>
      <c r="H1744" s="13" t="n">
        <v>-0.014</v>
      </c>
      <c r="I1744" s="14"/>
      <c r="J1744" s="17"/>
      <c r="K1744" s="9"/>
      <c r="L1744" s="15" t="s">
        <v>50</v>
      </c>
      <c r="M1744" s="16" t="s">
        <v>51</v>
      </c>
      <c r="N1744" s="14"/>
      <c r="O1744" s="15" t="s">
        <v>52</v>
      </c>
      <c r="P1744" s="17" t="s">
        <v>53</v>
      </c>
      <c r="Q1744" s="15"/>
      <c r="R1744" s="18" t="s">
        <v>51</v>
      </c>
      <c r="S1744" s="19"/>
      <c r="T1744" s="17" t="str">
        <f aca="false">IF(R1744="維持",J1744,IF(R1744="排除","無關新聞事件",IFERROR(INDEX(事件規則!$B$2:$B$53,MATCH(S1744,事件規則!$A$2:$A$53,0)),"")))</f>
        <v>無關新聞事件</v>
      </c>
      <c r="U1744" s="20" t="n">
        <f aca="false">IF(R1744="維持",K1744,IF(R1744="排除",0,IFERROR(INDEX(事件規則!$C$2:$C$53,MATCH(S1744,事件規則!$A$2:$A$53,0)),"")))</f>
        <v>0</v>
      </c>
      <c r="V1744" s="21"/>
      <c r="W1744" s="22"/>
      <c r="X1744" s="10" t="str">
        <f aca="false">IF(AND(R1744="修改",S1744=""),"請選新事件代碼",IF(AND(R1744&lt;&gt;"修改",S1744&lt;&gt;""),"只有「修改」才需填代碼",""))</f>
        <v/>
      </c>
      <c r="Y1744" s="21"/>
      <c r="Z1744" s="22"/>
      <c r="AA1744" s="12" t="s">
        <v>4522</v>
      </c>
      <c r="AB1744" s="24"/>
    </row>
    <row r="1745" customFormat="false" ht="29.85" hidden="false" customHeight="false" outlineLevel="0" collapsed="false">
      <c r="A1745" s="15" t="n">
        <v>1744</v>
      </c>
      <c r="B1745" s="9" t="s">
        <v>112</v>
      </c>
      <c r="C1745" s="9" t="s">
        <v>242</v>
      </c>
      <c r="D1745" s="10" t="s">
        <v>243</v>
      </c>
      <c r="E1745" s="11" t="s">
        <v>4523</v>
      </c>
      <c r="F1745" s="17"/>
      <c r="G1745" s="12" t="s">
        <v>176</v>
      </c>
      <c r="H1745" s="13" t="n">
        <v>-0.013</v>
      </c>
      <c r="I1745" s="14"/>
      <c r="J1745" s="17"/>
      <c r="K1745" s="9"/>
      <c r="L1745" s="15" t="s">
        <v>50</v>
      </c>
      <c r="M1745" s="16" t="s">
        <v>51</v>
      </c>
      <c r="N1745" s="14"/>
      <c r="O1745" s="15" t="s">
        <v>52</v>
      </c>
      <c r="P1745" s="17" t="s">
        <v>53</v>
      </c>
      <c r="Q1745" s="15"/>
      <c r="R1745" s="18" t="s">
        <v>51</v>
      </c>
      <c r="S1745" s="19"/>
      <c r="T1745" s="17" t="str">
        <f aca="false">IF(R1745="維持",J1745,IF(R1745="排除","無關新聞事件",IFERROR(INDEX(事件規則!$B$2:$B$53,MATCH(S1745,事件規則!$A$2:$A$53,0)),"")))</f>
        <v>無關新聞事件</v>
      </c>
      <c r="U1745" s="20" t="n">
        <f aca="false">IF(R1745="維持",K1745,IF(R1745="排除",0,IFERROR(INDEX(事件規則!$C$2:$C$53,MATCH(S1745,事件規則!$A$2:$A$53,0)),"")))</f>
        <v>0</v>
      </c>
      <c r="V1745" s="21"/>
      <c r="W1745" s="22"/>
      <c r="X1745" s="10" t="str">
        <f aca="false">IF(AND(R1745="修改",S1745=""),"請選新事件代碼",IF(AND(R1745&lt;&gt;"修改",S1745&lt;&gt;""),"只有「修改」才需填代碼",""))</f>
        <v/>
      </c>
      <c r="Y1745" s="21"/>
      <c r="Z1745" s="22"/>
      <c r="AA1745" s="12" t="s">
        <v>4524</v>
      </c>
      <c r="AB1745" s="24"/>
    </row>
    <row r="1746" customFormat="false" ht="29.85" hidden="false" customHeight="false" outlineLevel="0" collapsed="false">
      <c r="A1746" s="15" t="n">
        <v>1745</v>
      </c>
      <c r="B1746" s="9" t="s">
        <v>112</v>
      </c>
      <c r="C1746" s="9" t="s">
        <v>957</v>
      </c>
      <c r="D1746" s="10" t="s">
        <v>958</v>
      </c>
      <c r="E1746" s="11" t="s">
        <v>4525</v>
      </c>
      <c r="F1746" s="17"/>
      <c r="G1746" s="12" t="s">
        <v>4526</v>
      </c>
      <c r="H1746" s="13" t="n">
        <v>-0.013</v>
      </c>
      <c r="I1746" s="14"/>
      <c r="J1746" s="17"/>
      <c r="K1746" s="9"/>
      <c r="L1746" s="15" t="s">
        <v>50</v>
      </c>
      <c r="M1746" s="16" t="s">
        <v>51</v>
      </c>
      <c r="N1746" s="14"/>
      <c r="O1746" s="15" t="s">
        <v>52</v>
      </c>
      <c r="P1746" s="17" t="s">
        <v>53</v>
      </c>
      <c r="Q1746" s="15"/>
      <c r="R1746" s="18" t="s">
        <v>51</v>
      </c>
      <c r="S1746" s="19"/>
      <c r="T1746" s="17" t="str">
        <f aca="false">IF(R1746="維持",J1746,IF(R1746="排除","無關新聞事件",IFERROR(INDEX(事件規則!$B$2:$B$53,MATCH(S1746,事件規則!$A$2:$A$53,0)),"")))</f>
        <v>無關新聞事件</v>
      </c>
      <c r="U1746" s="20" t="n">
        <f aca="false">IF(R1746="維持",K1746,IF(R1746="排除",0,IFERROR(INDEX(事件規則!$C$2:$C$53,MATCH(S1746,事件規則!$A$2:$A$53,0)),"")))</f>
        <v>0</v>
      </c>
      <c r="V1746" s="21"/>
      <c r="W1746" s="22"/>
      <c r="X1746" s="10" t="str">
        <f aca="false">IF(AND(R1746="修改",S1746=""),"請選新事件代碼",IF(AND(R1746&lt;&gt;"修改",S1746&lt;&gt;""),"只有「修改」才需填代碼",""))</f>
        <v/>
      </c>
      <c r="Y1746" s="21"/>
      <c r="Z1746" s="22"/>
      <c r="AA1746" s="12" t="s">
        <v>4527</v>
      </c>
      <c r="AB1746" s="24"/>
    </row>
    <row r="1747" customFormat="false" ht="29.85" hidden="false" customHeight="false" outlineLevel="0" collapsed="false">
      <c r="A1747" s="15" t="n">
        <v>1746</v>
      </c>
      <c r="B1747" s="9" t="s">
        <v>112</v>
      </c>
      <c r="C1747" s="9" t="s">
        <v>563</v>
      </c>
      <c r="D1747" s="10" t="s">
        <v>564</v>
      </c>
      <c r="E1747" s="11" t="s">
        <v>4528</v>
      </c>
      <c r="F1747" s="17"/>
      <c r="G1747" s="12" t="s">
        <v>2033</v>
      </c>
      <c r="H1747" s="13" t="n">
        <v>-0.013</v>
      </c>
      <c r="I1747" s="14"/>
      <c r="J1747" s="17"/>
      <c r="K1747" s="9"/>
      <c r="L1747" s="15" t="s">
        <v>50</v>
      </c>
      <c r="M1747" s="16" t="s">
        <v>51</v>
      </c>
      <c r="N1747" s="14"/>
      <c r="O1747" s="15" t="s">
        <v>52</v>
      </c>
      <c r="P1747" s="17" t="s">
        <v>53</v>
      </c>
      <c r="Q1747" s="15"/>
      <c r="R1747" s="18" t="s">
        <v>51</v>
      </c>
      <c r="S1747" s="19"/>
      <c r="T1747" s="17" t="str">
        <f aca="false">IF(R1747="維持",J1747,IF(R1747="排除","無關新聞事件",IFERROR(INDEX(事件規則!$B$2:$B$53,MATCH(S1747,事件規則!$A$2:$A$53,0)),"")))</f>
        <v>無關新聞事件</v>
      </c>
      <c r="U1747" s="20" t="n">
        <f aca="false">IF(R1747="維持",K1747,IF(R1747="排除",0,IFERROR(INDEX(事件規則!$C$2:$C$53,MATCH(S1747,事件規則!$A$2:$A$53,0)),"")))</f>
        <v>0</v>
      </c>
      <c r="V1747" s="21"/>
      <c r="W1747" s="22"/>
      <c r="X1747" s="10" t="str">
        <f aca="false">IF(AND(R1747="修改",S1747=""),"請選新事件代碼",IF(AND(R1747&lt;&gt;"修改",S1747&lt;&gt;""),"只有「修改」才需填代碼",""))</f>
        <v/>
      </c>
      <c r="Y1747" s="21"/>
      <c r="Z1747" s="22"/>
      <c r="AA1747" s="12" t="s">
        <v>4529</v>
      </c>
      <c r="AB1747" s="24"/>
    </row>
    <row r="1748" customFormat="false" ht="29.85" hidden="false" customHeight="false" outlineLevel="0" collapsed="false">
      <c r="A1748" s="15" t="n">
        <v>1747</v>
      </c>
      <c r="B1748" s="9" t="s">
        <v>112</v>
      </c>
      <c r="C1748" s="9" t="s">
        <v>1727</v>
      </c>
      <c r="D1748" s="10" t="s">
        <v>1728</v>
      </c>
      <c r="E1748" s="11" t="s">
        <v>4530</v>
      </c>
      <c r="F1748" s="17"/>
      <c r="G1748" s="12" t="s">
        <v>2033</v>
      </c>
      <c r="H1748" s="13" t="n">
        <v>-0.013</v>
      </c>
      <c r="I1748" s="14"/>
      <c r="J1748" s="17"/>
      <c r="K1748" s="9"/>
      <c r="L1748" s="15" t="s">
        <v>50</v>
      </c>
      <c r="M1748" s="16" t="s">
        <v>51</v>
      </c>
      <c r="N1748" s="14"/>
      <c r="O1748" s="15" t="s">
        <v>52</v>
      </c>
      <c r="P1748" s="17" t="s">
        <v>53</v>
      </c>
      <c r="Q1748" s="15"/>
      <c r="R1748" s="18" t="s">
        <v>51</v>
      </c>
      <c r="S1748" s="19"/>
      <c r="T1748" s="17" t="str">
        <f aca="false">IF(R1748="維持",J1748,IF(R1748="排除","無關新聞事件",IFERROR(INDEX(事件規則!$B$2:$B$53,MATCH(S1748,事件規則!$A$2:$A$53,0)),"")))</f>
        <v>無關新聞事件</v>
      </c>
      <c r="U1748" s="20" t="n">
        <f aca="false">IF(R1748="維持",K1748,IF(R1748="排除",0,IFERROR(INDEX(事件規則!$C$2:$C$53,MATCH(S1748,事件規則!$A$2:$A$53,0)),"")))</f>
        <v>0</v>
      </c>
      <c r="V1748" s="21"/>
      <c r="W1748" s="22"/>
      <c r="X1748" s="10" t="str">
        <f aca="false">IF(AND(R1748="修改",S1748=""),"請選新事件代碼",IF(AND(R1748&lt;&gt;"修改",S1748&lt;&gt;""),"只有「修改」才需填代碼",""))</f>
        <v/>
      </c>
      <c r="Y1748" s="21"/>
      <c r="Z1748" s="22"/>
      <c r="AA1748" s="12" t="s">
        <v>4531</v>
      </c>
      <c r="AB1748" s="24"/>
    </row>
    <row r="1749" customFormat="false" ht="29.85" hidden="false" customHeight="false" outlineLevel="0" collapsed="false">
      <c r="A1749" s="15" t="n">
        <v>1748</v>
      </c>
      <c r="B1749" s="9" t="s">
        <v>45</v>
      </c>
      <c r="C1749" s="9" t="s">
        <v>4532</v>
      </c>
      <c r="D1749" s="10" t="s">
        <v>4533</v>
      </c>
      <c r="E1749" s="11" t="s">
        <v>4534</v>
      </c>
      <c r="F1749" s="17"/>
      <c r="G1749" s="12" t="s">
        <v>95</v>
      </c>
      <c r="H1749" s="13" t="n">
        <v>-0.013</v>
      </c>
      <c r="I1749" s="14"/>
      <c r="J1749" s="17"/>
      <c r="K1749" s="9"/>
      <c r="L1749" s="15" t="s">
        <v>50</v>
      </c>
      <c r="M1749" s="16" t="s">
        <v>51</v>
      </c>
      <c r="N1749" s="14"/>
      <c r="O1749" s="15" t="s">
        <v>52</v>
      </c>
      <c r="P1749" s="17" t="s">
        <v>53</v>
      </c>
      <c r="Q1749" s="15"/>
      <c r="R1749" s="18" t="s">
        <v>51</v>
      </c>
      <c r="S1749" s="19"/>
      <c r="T1749" s="17" t="str">
        <f aca="false">IF(R1749="維持",J1749,IF(R1749="排除","無關新聞事件",IFERROR(INDEX(事件規則!$B$2:$B$53,MATCH(S1749,事件規則!$A$2:$A$53,0)),"")))</f>
        <v>無關新聞事件</v>
      </c>
      <c r="U1749" s="20" t="n">
        <f aca="false">IF(R1749="維持",K1749,IF(R1749="排除",0,IFERROR(INDEX(事件規則!$C$2:$C$53,MATCH(S1749,事件規則!$A$2:$A$53,0)),"")))</f>
        <v>0</v>
      </c>
      <c r="V1749" s="21"/>
      <c r="W1749" s="22"/>
      <c r="X1749" s="10" t="str">
        <f aca="false">IF(AND(R1749="修改",S1749=""),"請選新事件代碼",IF(AND(R1749&lt;&gt;"修改",S1749&lt;&gt;""),"只有「修改」才需填代碼",""))</f>
        <v/>
      </c>
      <c r="Y1749" s="21"/>
      <c r="Z1749" s="22"/>
      <c r="AA1749" s="12" t="s">
        <v>4535</v>
      </c>
      <c r="AB1749" s="24"/>
    </row>
    <row r="1750" customFormat="false" ht="29.85" hidden="false" customHeight="false" outlineLevel="0" collapsed="false">
      <c r="A1750" s="15" t="n">
        <v>1749</v>
      </c>
      <c r="B1750" s="9" t="s">
        <v>81</v>
      </c>
      <c r="C1750" s="9" t="s">
        <v>987</v>
      </c>
      <c r="D1750" s="10" t="s">
        <v>988</v>
      </c>
      <c r="E1750" s="11" t="s">
        <v>4536</v>
      </c>
      <c r="F1750" s="17"/>
      <c r="G1750" s="12" t="s">
        <v>2033</v>
      </c>
      <c r="H1750" s="13" t="n">
        <v>-0.013</v>
      </c>
      <c r="I1750" s="14"/>
      <c r="J1750" s="17"/>
      <c r="K1750" s="9"/>
      <c r="L1750" s="15" t="s">
        <v>50</v>
      </c>
      <c r="M1750" s="16" t="s">
        <v>51</v>
      </c>
      <c r="N1750" s="14"/>
      <c r="O1750" s="15" t="s">
        <v>52</v>
      </c>
      <c r="P1750" s="17" t="s">
        <v>53</v>
      </c>
      <c r="Q1750" s="15"/>
      <c r="R1750" s="18" t="s">
        <v>51</v>
      </c>
      <c r="S1750" s="19"/>
      <c r="T1750" s="17" t="str">
        <f aca="false">IF(R1750="維持",J1750,IF(R1750="排除","無關新聞事件",IFERROR(INDEX(事件規則!$B$2:$B$53,MATCH(S1750,事件規則!$A$2:$A$53,0)),"")))</f>
        <v>無關新聞事件</v>
      </c>
      <c r="U1750" s="20" t="n">
        <f aca="false">IF(R1750="維持",K1750,IF(R1750="排除",0,IFERROR(INDEX(事件規則!$C$2:$C$53,MATCH(S1750,事件規則!$A$2:$A$53,0)),"")))</f>
        <v>0</v>
      </c>
      <c r="V1750" s="21"/>
      <c r="W1750" s="22"/>
      <c r="X1750" s="10" t="str">
        <f aca="false">IF(AND(R1750="修改",S1750=""),"請選新事件代碼",IF(AND(R1750&lt;&gt;"修改",S1750&lt;&gt;""),"只有「修改」才需填代碼",""))</f>
        <v/>
      </c>
      <c r="Y1750" s="21"/>
      <c r="Z1750" s="22"/>
      <c r="AA1750" s="12" t="s">
        <v>4537</v>
      </c>
      <c r="AB1750" s="24"/>
    </row>
    <row r="1751" customFormat="false" ht="29.85" hidden="false" customHeight="false" outlineLevel="0" collapsed="false">
      <c r="A1751" s="15" t="n">
        <v>1750</v>
      </c>
      <c r="B1751" s="9" t="s">
        <v>45</v>
      </c>
      <c r="C1751" s="9" t="s">
        <v>878</v>
      </c>
      <c r="D1751" s="10" t="s">
        <v>879</v>
      </c>
      <c r="E1751" s="11" t="s">
        <v>4538</v>
      </c>
      <c r="F1751" s="17"/>
      <c r="G1751" s="12" t="s">
        <v>95</v>
      </c>
      <c r="H1751" s="13" t="n">
        <v>-0.013</v>
      </c>
      <c r="I1751" s="14"/>
      <c r="J1751" s="17"/>
      <c r="K1751" s="9"/>
      <c r="L1751" s="15" t="s">
        <v>50</v>
      </c>
      <c r="M1751" s="16" t="s">
        <v>51</v>
      </c>
      <c r="N1751" s="14"/>
      <c r="O1751" s="15" t="s">
        <v>52</v>
      </c>
      <c r="P1751" s="17" t="s">
        <v>53</v>
      </c>
      <c r="Q1751" s="15"/>
      <c r="R1751" s="18" t="s">
        <v>51</v>
      </c>
      <c r="S1751" s="19"/>
      <c r="T1751" s="17" t="str">
        <f aca="false">IF(R1751="維持",J1751,IF(R1751="排除","無關新聞事件",IFERROR(INDEX(事件規則!$B$2:$B$53,MATCH(S1751,事件規則!$A$2:$A$53,0)),"")))</f>
        <v>無關新聞事件</v>
      </c>
      <c r="U1751" s="20" t="n">
        <f aca="false">IF(R1751="維持",K1751,IF(R1751="排除",0,IFERROR(INDEX(事件規則!$C$2:$C$53,MATCH(S1751,事件規則!$A$2:$A$53,0)),"")))</f>
        <v>0</v>
      </c>
      <c r="V1751" s="21"/>
      <c r="W1751" s="22"/>
      <c r="X1751" s="10" t="str">
        <f aca="false">IF(AND(R1751="修改",S1751=""),"請選新事件代碼",IF(AND(R1751&lt;&gt;"修改",S1751&lt;&gt;""),"只有「修改」才需填代碼",""))</f>
        <v/>
      </c>
      <c r="Y1751" s="21"/>
      <c r="Z1751" s="22"/>
      <c r="AA1751" s="12" t="s">
        <v>4539</v>
      </c>
      <c r="AB1751" s="24"/>
    </row>
    <row r="1752" customFormat="false" ht="29.85" hidden="false" customHeight="false" outlineLevel="0" collapsed="false">
      <c r="A1752" s="15" t="n">
        <v>1751</v>
      </c>
      <c r="B1752" s="9" t="s">
        <v>45</v>
      </c>
      <c r="C1752" s="9" t="s">
        <v>188</v>
      </c>
      <c r="D1752" s="10" t="s">
        <v>189</v>
      </c>
      <c r="E1752" s="11" t="s">
        <v>4540</v>
      </c>
      <c r="F1752" s="17"/>
      <c r="G1752" s="12" t="s">
        <v>4541</v>
      </c>
      <c r="H1752" s="13" t="n">
        <v>-0.013</v>
      </c>
      <c r="I1752" s="14"/>
      <c r="J1752" s="17"/>
      <c r="K1752" s="9"/>
      <c r="L1752" s="15" t="s">
        <v>50</v>
      </c>
      <c r="M1752" s="16" t="s">
        <v>51</v>
      </c>
      <c r="N1752" s="14"/>
      <c r="O1752" s="15" t="s">
        <v>52</v>
      </c>
      <c r="P1752" s="17" t="s">
        <v>53</v>
      </c>
      <c r="Q1752" s="15"/>
      <c r="R1752" s="18" t="s">
        <v>51</v>
      </c>
      <c r="S1752" s="19"/>
      <c r="T1752" s="17" t="str">
        <f aca="false">IF(R1752="維持",J1752,IF(R1752="排除","無關新聞事件",IFERROR(INDEX(事件規則!$B$2:$B$53,MATCH(S1752,事件規則!$A$2:$A$53,0)),"")))</f>
        <v>無關新聞事件</v>
      </c>
      <c r="U1752" s="20" t="n">
        <f aca="false">IF(R1752="維持",K1752,IF(R1752="排除",0,IFERROR(INDEX(事件規則!$C$2:$C$53,MATCH(S1752,事件規則!$A$2:$A$53,0)),"")))</f>
        <v>0</v>
      </c>
      <c r="V1752" s="21"/>
      <c r="W1752" s="22"/>
      <c r="X1752" s="10" t="str">
        <f aca="false">IF(AND(R1752="修改",S1752=""),"請選新事件代碼",IF(AND(R1752&lt;&gt;"修改",S1752&lt;&gt;""),"只有「修改」才需填代碼",""))</f>
        <v/>
      </c>
      <c r="Y1752" s="21"/>
      <c r="Z1752" s="22"/>
      <c r="AA1752" s="12" t="s">
        <v>4542</v>
      </c>
      <c r="AB1752" s="24"/>
    </row>
    <row r="1753" customFormat="false" ht="29.85" hidden="false" customHeight="false" outlineLevel="0" collapsed="false">
      <c r="A1753" s="15" t="n">
        <v>1752</v>
      </c>
      <c r="B1753" s="9" t="s">
        <v>55</v>
      </c>
      <c r="C1753" s="9" t="s">
        <v>202</v>
      </c>
      <c r="D1753" s="10" t="s">
        <v>203</v>
      </c>
      <c r="E1753" s="11" t="s">
        <v>4543</v>
      </c>
      <c r="F1753" s="17"/>
      <c r="G1753" s="12" t="s">
        <v>205</v>
      </c>
      <c r="H1753" s="13" t="n">
        <v>-0.013</v>
      </c>
      <c r="I1753" s="14"/>
      <c r="J1753" s="17"/>
      <c r="K1753" s="9"/>
      <c r="L1753" s="15" t="s">
        <v>50</v>
      </c>
      <c r="M1753" s="16" t="s">
        <v>51</v>
      </c>
      <c r="N1753" s="14"/>
      <c r="O1753" s="15" t="s">
        <v>52</v>
      </c>
      <c r="P1753" s="17" t="s">
        <v>53</v>
      </c>
      <c r="Q1753" s="15"/>
      <c r="R1753" s="18" t="s">
        <v>51</v>
      </c>
      <c r="S1753" s="19"/>
      <c r="T1753" s="17" t="str">
        <f aca="false">IF(R1753="維持",J1753,IF(R1753="排除","無關新聞事件",IFERROR(INDEX(事件規則!$B$2:$B$53,MATCH(S1753,事件規則!$A$2:$A$53,0)),"")))</f>
        <v>無關新聞事件</v>
      </c>
      <c r="U1753" s="20" t="n">
        <f aca="false">IF(R1753="維持",K1753,IF(R1753="排除",0,IFERROR(INDEX(事件規則!$C$2:$C$53,MATCH(S1753,事件規則!$A$2:$A$53,0)),"")))</f>
        <v>0</v>
      </c>
      <c r="V1753" s="21"/>
      <c r="W1753" s="22"/>
      <c r="X1753" s="10" t="str">
        <f aca="false">IF(AND(R1753="修改",S1753=""),"請選新事件代碼",IF(AND(R1753&lt;&gt;"修改",S1753&lt;&gt;""),"只有「修改」才需填代碼",""))</f>
        <v/>
      </c>
      <c r="Y1753" s="21"/>
      <c r="Z1753" s="22"/>
      <c r="AA1753" s="12" t="s">
        <v>4544</v>
      </c>
      <c r="AB1753" s="24"/>
    </row>
    <row r="1754" customFormat="false" ht="29.85" hidden="false" customHeight="false" outlineLevel="0" collapsed="false">
      <c r="A1754" s="15" t="n">
        <v>1753</v>
      </c>
      <c r="B1754" s="9" t="s">
        <v>45</v>
      </c>
      <c r="C1754" s="9" t="s">
        <v>419</v>
      </c>
      <c r="D1754" s="10" t="s">
        <v>420</v>
      </c>
      <c r="E1754" s="11" t="s">
        <v>4545</v>
      </c>
      <c r="F1754" s="17"/>
      <c r="G1754" s="12" t="s">
        <v>419</v>
      </c>
      <c r="H1754" s="13" t="n">
        <v>-0.013</v>
      </c>
      <c r="I1754" s="14"/>
      <c r="J1754" s="17"/>
      <c r="K1754" s="9"/>
      <c r="L1754" s="15" t="s">
        <v>50</v>
      </c>
      <c r="M1754" s="16" t="s">
        <v>51</v>
      </c>
      <c r="N1754" s="14"/>
      <c r="O1754" s="15" t="s">
        <v>52</v>
      </c>
      <c r="P1754" s="17" t="s">
        <v>53</v>
      </c>
      <c r="Q1754" s="15"/>
      <c r="R1754" s="18" t="s">
        <v>51</v>
      </c>
      <c r="S1754" s="19"/>
      <c r="T1754" s="17" t="str">
        <f aca="false">IF(R1754="維持",J1754,IF(R1754="排除","無關新聞事件",IFERROR(INDEX(事件規則!$B$2:$B$53,MATCH(S1754,事件規則!$A$2:$A$53,0)),"")))</f>
        <v>無關新聞事件</v>
      </c>
      <c r="U1754" s="20" t="n">
        <f aca="false">IF(R1754="維持",K1754,IF(R1754="排除",0,IFERROR(INDEX(事件規則!$C$2:$C$53,MATCH(S1754,事件規則!$A$2:$A$53,0)),"")))</f>
        <v>0</v>
      </c>
      <c r="V1754" s="21"/>
      <c r="W1754" s="22"/>
      <c r="X1754" s="10" t="str">
        <f aca="false">IF(AND(R1754="修改",S1754=""),"請選新事件代碼",IF(AND(R1754&lt;&gt;"修改",S1754&lt;&gt;""),"只有「修改」才需填代碼",""))</f>
        <v/>
      </c>
      <c r="Y1754" s="21"/>
      <c r="Z1754" s="22"/>
      <c r="AA1754" s="12" t="s">
        <v>4546</v>
      </c>
      <c r="AB1754" s="24"/>
    </row>
    <row r="1755" customFormat="false" ht="29.85" hidden="false" customHeight="false" outlineLevel="0" collapsed="false">
      <c r="A1755" s="15" t="n">
        <v>1754</v>
      </c>
      <c r="B1755" s="9" t="s">
        <v>45</v>
      </c>
      <c r="C1755" s="9" t="s">
        <v>139</v>
      </c>
      <c r="D1755" s="10" t="s">
        <v>140</v>
      </c>
      <c r="E1755" s="11" t="s">
        <v>4547</v>
      </c>
      <c r="F1755" s="17"/>
      <c r="G1755" s="12" t="s">
        <v>95</v>
      </c>
      <c r="H1755" s="13" t="n">
        <v>-0.013</v>
      </c>
      <c r="I1755" s="14"/>
      <c r="J1755" s="17"/>
      <c r="K1755" s="9"/>
      <c r="L1755" s="15" t="s">
        <v>50</v>
      </c>
      <c r="M1755" s="16" t="s">
        <v>51</v>
      </c>
      <c r="N1755" s="14"/>
      <c r="O1755" s="15" t="s">
        <v>52</v>
      </c>
      <c r="P1755" s="17" t="s">
        <v>53</v>
      </c>
      <c r="Q1755" s="15"/>
      <c r="R1755" s="18" t="s">
        <v>51</v>
      </c>
      <c r="S1755" s="19"/>
      <c r="T1755" s="17" t="str">
        <f aca="false">IF(R1755="維持",J1755,IF(R1755="排除","無關新聞事件",IFERROR(INDEX(事件規則!$B$2:$B$53,MATCH(S1755,事件規則!$A$2:$A$53,0)),"")))</f>
        <v>無關新聞事件</v>
      </c>
      <c r="U1755" s="20" t="n">
        <f aca="false">IF(R1755="維持",K1755,IF(R1755="排除",0,IFERROR(INDEX(事件規則!$C$2:$C$53,MATCH(S1755,事件規則!$A$2:$A$53,0)),"")))</f>
        <v>0</v>
      </c>
      <c r="V1755" s="21"/>
      <c r="W1755" s="22"/>
      <c r="X1755" s="10" t="str">
        <f aca="false">IF(AND(R1755="修改",S1755=""),"請選新事件代碼",IF(AND(R1755&lt;&gt;"修改",S1755&lt;&gt;""),"只有「修改」才需填代碼",""))</f>
        <v/>
      </c>
      <c r="Y1755" s="21"/>
      <c r="Z1755" s="22"/>
      <c r="AA1755" s="12" t="s">
        <v>4548</v>
      </c>
      <c r="AB1755" s="24"/>
    </row>
    <row r="1756" customFormat="false" ht="29.85" hidden="false" customHeight="false" outlineLevel="0" collapsed="false">
      <c r="A1756" s="15" t="n">
        <v>1755</v>
      </c>
      <c r="B1756" s="9" t="s">
        <v>81</v>
      </c>
      <c r="C1756" s="9" t="s">
        <v>476</v>
      </c>
      <c r="D1756" s="10" t="s">
        <v>477</v>
      </c>
      <c r="E1756" s="11" t="s">
        <v>4549</v>
      </c>
      <c r="F1756" s="17"/>
      <c r="G1756" s="12" t="s">
        <v>482</v>
      </c>
      <c r="H1756" s="13" t="n">
        <v>-0.013</v>
      </c>
      <c r="I1756" s="14"/>
      <c r="J1756" s="17"/>
      <c r="K1756" s="9"/>
      <c r="L1756" s="15" t="s">
        <v>50</v>
      </c>
      <c r="M1756" s="16" t="s">
        <v>51</v>
      </c>
      <c r="N1756" s="14"/>
      <c r="O1756" s="15" t="s">
        <v>52</v>
      </c>
      <c r="P1756" s="17" t="s">
        <v>53</v>
      </c>
      <c r="Q1756" s="15"/>
      <c r="R1756" s="18" t="s">
        <v>51</v>
      </c>
      <c r="S1756" s="19"/>
      <c r="T1756" s="17" t="str">
        <f aca="false">IF(R1756="維持",J1756,IF(R1756="排除","無關新聞事件",IFERROR(INDEX(事件規則!$B$2:$B$53,MATCH(S1756,事件規則!$A$2:$A$53,0)),"")))</f>
        <v>無關新聞事件</v>
      </c>
      <c r="U1756" s="20" t="n">
        <f aca="false">IF(R1756="維持",K1756,IF(R1756="排除",0,IFERROR(INDEX(事件規則!$C$2:$C$53,MATCH(S1756,事件規則!$A$2:$A$53,0)),"")))</f>
        <v>0</v>
      </c>
      <c r="V1756" s="21"/>
      <c r="W1756" s="22"/>
      <c r="X1756" s="10" t="str">
        <f aca="false">IF(AND(R1756="修改",S1756=""),"請選新事件代碼",IF(AND(R1756&lt;&gt;"修改",S1756&lt;&gt;""),"只有「修改」才需填代碼",""))</f>
        <v/>
      </c>
      <c r="Y1756" s="21"/>
      <c r="Z1756" s="22"/>
      <c r="AA1756" s="12" t="s">
        <v>4550</v>
      </c>
      <c r="AB1756" s="24"/>
    </row>
    <row r="1757" customFormat="false" ht="29.85" hidden="false" customHeight="false" outlineLevel="0" collapsed="false">
      <c r="A1757" s="15" t="n">
        <v>1756</v>
      </c>
      <c r="B1757" s="9" t="s">
        <v>112</v>
      </c>
      <c r="C1757" s="9" t="s">
        <v>4551</v>
      </c>
      <c r="D1757" s="10" t="s">
        <v>4552</v>
      </c>
      <c r="E1757" s="11" t="s">
        <v>4553</v>
      </c>
      <c r="F1757" s="17"/>
      <c r="G1757" s="12" t="s">
        <v>176</v>
      </c>
      <c r="H1757" s="13" t="n">
        <v>-0.013</v>
      </c>
      <c r="I1757" s="14"/>
      <c r="J1757" s="17"/>
      <c r="K1757" s="9"/>
      <c r="L1757" s="15" t="s">
        <v>50</v>
      </c>
      <c r="M1757" s="16" t="s">
        <v>51</v>
      </c>
      <c r="N1757" s="14"/>
      <c r="O1757" s="15" t="s">
        <v>52</v>
      </c>
      <c r="P1757" s="17" t="s">
        <v>53</v>
      </c>
      <c r="Q1757" s="15"/>
      <c r="R1757" s="18" t="s">
        <v>51</v>
      </c>
      <c r="S1757" s="19"/>
      <c r="T1757" s="17" t="str">
        <f aca="false">IF(R1757="維持",J1757,IF(R1757="排除","無關新聞事件",IFERROR(INDEX(事件規則!$B$2:$B$53,MATCH(S1757,事件規則!$A$2:$A$53,0)),"")))</f>
        <v>無關新聞事件</v>
      </c>
      <c r="U1757" s="20" t="n">
        <f aca="false">IF(R1757="維持",K1757,IF(R1757="排除",0,IFERROR(INDEX(事件規則!$C$2:$C$53,MATCH(S1757,事件規則!$A$2:$A$53,0)),"")))</f>
        <v>0</v>
      </c>
      <c r="V1757" s="21"/>
      <c r="W1757" s="22"/>
      <c r="X1757" s="10" t="str">
        <f aca="false">IF(AND(R1757="修改",S1757=""),"請選新事件代碼",IF(AND(R1757&lt;&gt;"修改",S1757&lt;&gt;""),"只有「修改」才需填代碼",""))</f>
        <v/>
      </c>
      <c r="Y1757" s="21"/>
      <c r="Z1757" s="22"/>
      <c r="AA1757" s="12" t="s">
        <v>4554</v>
      </c>
      <c r="AB1757" s="24"/>
    </row>
    <row r="1758" customFormat="false" ht="29.85" hidden="false" customHeight="false" outlineLevel="0" collapsed="false">
      <c r="A1758" s="15" t="n">
        <v>1757</v>
      </c>
      <c r="B1758" s="9" t="s">
        <v>55</v>
      </c>
      <c r="C1758" s="15"/>
      <c r="D1758" s="10" t="s">
        <v>1423</v>
      </c>
      <c r="E1758" s="23" t="s">
        <v>4555</v>
      </c>
      <c r="F1758" s="17" t="s">
        <v>4555</v>
      </c>
      <c r="G1758" s="12" t="s">
        <v>176</v>
      </c>
      <c r="H1758" s="13" t="n">
        <v>-0.013</v>
      </c>
      <c r="I1758" s="14"/>
      <c r="J1758" s="17"/>
      <c r="K1758" s="9"/>
      <c r="L1758" s="15" t="s">
        <v>50</v>
      </c>
      <c r="M1758" s="16" t="s">
        <v>51</v>
      </c>
      <c r="N1758" s="14"/>
      <c r="O1758" s="15" t="s">
        <v>52</v>
      </c>
      <c r="P1758" s="17" t="s">
        <v>53</v>
      </c>
      <c r="Q1758" s="15"/>
      <c r="R1758" s="18" t="s">
        <v>51</v>
      </c>
      <c r="S1758" s="19"/>
      <c r="T1758" s="17" t="str">
        <f aca="false">IF(R1758="維持",J1758,IF(R1758="排除","無關新聞事件",IFERROR(INDEX(事件規則!$B$2:$B$53,MATCH(S1758,事件規則!$A$2:$A$53,0)),"")))</f>
        <v>無關新聞事件</v>
      </c>
      <c r="U1758" s="20" t="n">
        <f aca="false">IF(R1758="維持",K1758,IF(R1758="排除",0,IFERROR(INDEX(事件規則!$C$2:$C$53,MATCH(S1758,事件規則!$A$2:$A$53,0)),"")))</f>
        <v>0</v>
      </c>
      <c r="V1758" s="21"/>
      <c r="W1758" s="22"/>
      <c r="X1758" s="10" t="str">
        <f aca="false">IF(AND(R1758="修改",S1758=""),"請選新事件代碼",IF(AND(R1758&lt;&gt;"修改",S1758&lt;&gt;""),"只有「修改」才需填代碼",""))</f>
        <v/>
      </c>
      <c r="Y1758" s="21"/>
      <c r="Z1758" s="22"/>
      <c r="AA1758" s="12" t="s">
        <v>4556</v>
      </c>
      <c r="AB1758" s="24"/>
    </row>
    <row r="1759" customFormat="false" ht="29.85" hidden="false" customHeight="false" outlineLevel="0" collapsed="false">
      <c r="A1759" s="15" t="n">
        <v>1758</v>
      </c>
      <c r="B1759" s="9" t="s">
        <v>112</v>
      </c>
      <c r="C1759" s="9" t="s">
        <v>550</v>
      </c>
      <c r="D1759" s="10" t="s">
        <v>551</v>
      </c>
      <c r="E1759" s="11" t="s">
        <v>4557</v>
      </c>
      <c r="F1759" s="17"/>
      <c r="G1759" s="12" t="s">
        <v>1136</v>
      </c>
      <c r="H1759" s="13" t="n">
        <v>-0.013</v>
      </c>
      <c r="I1759" s="14"/>
      <c r="J1759" s="17"/>
      <c r="K1759" s="9"/>
      <c r="L1759" s="15" t="s">
        <v>50</v>
      </c>
      <c r="M1759" s="16" t="s">
        <v>51</v>
      </c>
      <c r="N1759" s="14"/>
      <c r="O1759" s="15" t="s">
        <v>52</v>
      </c>
      <c r="P1759" s="17" t="s">
        <v>53</v>
      </c>
      <c r="Q1759" s="15"/>
      <c r="R1759" s="18" t="s">
        <v>51</v>
      </c>
      <c r="S1759" s="19"/>
      <c r="T1759" s="17" t="str">
        <f aca="false">IF(R1759="維持",J1759,IF(R1759="排除","無關新聞事件",IFERROR(INDEX(事件規則!$B$2:$B$53,MATCH(S1759,事件規則!$A$2:$A$53,0)),"")))</f>
        <v>無關新聞事件</v>
      </c>
      <c r="U1759" s="20" t="n">
        <f aca="false">IF(R1759="維持",K1759,IF(R1759="排除",0,IFERROR(INDEX(事件規則!$C$2:$C$53,MATCH(S1759,事件規則!$A$2:$A$53,0)),"")))</f>
        <v>0</v>
      </c>
      <c r="V1759" s="21"/>
      <c r="W1759" s="22"/>
      <c r="X1759" s="10" t="str">
        <f aca="false">IF(AND(R1759="修改",S1759=""),"請選新事件代碼",IF(AND(R1759&lt;&gt;"修改",S1759&lt;&gt;""),"只有「修改」才需填代碼",""))</f>
        <v/>
      </c>
      <c r="Y1759" s="21"/>
      <c r="Z1759" s="22"/>
      <c r="AA1759" s="12" t="s">
        <v>4558</v>
      </c>
      <c r="AB1759" s="24"/>
    </row>
    <row r="1760" customFormat="false" ht="29.85" hidden="false" customHeight="false" outlineLevel="0" collapsed="false">
      <c r="A1760" s="15" t="n">
        <v>1759</v>
      </c>
      <c r="B1760" s="9" t="s">
        <v>112</v>
      </c>
      <c r="C1760" s="9" t="s">
        <v>66</v>
      </c>
      <c r="D1760" s="10" t="s">
        <v>67</v>
      </c>
      <c r="E1760" s="11" t="s">
        <v>4559</v>
      </c>
      <c r="F1760" s="17"/>
      <c r="G1760" s="12" t="s">
        <v>49</v>
      </c>
      <c r="H1760" s="13" t="n">
        <v>-0.013</v>
      </c>
      <c r="I1760" s="14"/>
      <c r="J1760" s="17"/>
      <c r="K1760" s="9"/>
      <c r="L1760" s="15" t="s">
        <v>50</v>
      </c>
      <c r="M1760" s="16" t="s">
        <v>51</v>
      </c>
      <c r="N1760" s="14"/>
      <c r="O1760" s="15" t="s">
        <v>52</v>
      </c>
      <c r="P1760" s="17" t="s">
        <v>53</v>
      </c>
      <c r="Q1760" s="15"/>
      <c r="R1760" s="18" t="s">
        <v>51</v>
      </c>
      <c r="S1760" s="19"/>
      <c r="T1760" s="17" t="str">
        <f aca="false">IF(R1760="維持",J1760,IF(R1760="排除","無關新聞事件",IFERROR(INDEX(事件規則!$B$2:$B$53,MATCH(S1760,事件規則!$A$2:$A$53,0)),"")))</f>
        <v>無關新聞事件</v>
      </c>
      <c r="U1760" s="20" t="n">
        <f aca="false">IF(R1760="維持",K1760,IF(R1760="排除",0,IFERROR(INDEX(事件規則!$C$2:$C$53,MATCH(S1760,事件規則!$A$2:$A$53,0)),"")))</f>
        <v>0</v>
      </c>
      <c r="V1760" s="21"/>
      <c r="W1760" s="22"/>
      <c r="X1760" s="10" t="str">
        <f aca="false">IF(AND(R1760="修改",S1760=""),"請選新事件代碼",IF(AND(R1760&lt;&gt;"修改",S1760&lt;&gt;""),"只有「修改」才需填代碼",""))</f>
        <v/>
      </c>
      <c r="Y1760" s="21"/>
      <c r="Z1760" s="22"/>
      <c r="AA1760" s="12" t="s">
        <v>4560</v>
      </c>
      <c r="AB1760" s="24"/>
    </row>
    <row r="1761" customFormat="false" ht="29.85" hidden="false" customHeight="false" outlineLevel="0" collapsed="false">
      <c r="A1761" s="15" t="n">
        <v>1760</v>
      </c>
      <c r="B1761" s="9" t="s">
        <v>112</v>
      </c>
      <c r="C1761" s="9" t="s">
        <v>92</v>
      </c>
      <c r="D1761" s="10" t="s">
        <v>93</v>
      </c>
      <c r="E1761" s="11" t="s">
        <v>4561</v>
      </c>
      <c r="F1761" s="17"/>
      <c r="G1761" s="12" t="s">
        <v>1068</v>
      </c>
      <c r="H1761" s="13" t="n">
        <v>-0.013</v>
      </c>
      <c r="I1761" s="14"/>
      <c r="J1761" s="17"/>
      <c r="K1761" s="9"/>
      <c r="L1761" s="15" t="s">
        <v>50</v>
      </c>
      <c r="M1761" s="16" t="s">
        <v>51</v>
      </c>
      <c r="N1761" s="14"/>
      <c r="O1761" s="15" t="s">
        <v>52</v>
      </c>
      <c r="P1761" s="17" t="s">
        <v>53</v>
      </c>
      <c r="Q1761" s="15"/>
      <c r="R1761" s="18" t="s">
        <v>51</v>
      </c>
      <c r="S1761" s="19"/>
      <c r="T1761" s="17" t="str">
        <f aca="false">IF(R1761="維持",J1761,IF(R1761="排除","無關新聞事件",IFERROR(INDEX(事件規則!$B$2:$B$53,MATCH(S1761,事件規則!$A$2:$A$53,0)),"")))</f>
        <v>無關新聞事件</v>
      </c>
      <c r="U1761" s="20" t="n">
        <f aca="false">IF(R1761="維持",K1761,IF(R1761="排除",0,IFERROR(INDEX(事件規則!$C$2:$C$53,MATCH(S1761,事件規則!$A$2:$A$53,0)),"")))</f>
        <v>0</v>
      </c>
      <c r="V1761" s="21"/>
      <c r="W1761" s="22"/>
      <c r="X1761" s="10" t="str">
        <f aca="false">IF(AND(R1761="修改",S1761=""),"請選新事件代碼",IF(AND(R1761&lt;&gt;"修改",S1761&lt;&gt;""),"只有「修改」才需填代碼",""))</f>
        <v/>
      </c>
      <c r="Y1761" s="21"/>
      <c r="Z1761" s="22"/>
      <c r="AA1761" s="12" t="s">
        <v>4562</v>
      </c>
      <c r="AB1761" s="24"/>
    </row>
    <row r="1762" customFormat="false" ht="29.85" hidden="false" customHeight="false" outlineLevel="0" collapsed="false">
      <c r="A1762" s="15" t="n">
        <v>1761</v>
      </c>
      <c r="B1762" s="9" t="s">
        <v>112</v>
      </c>
      <c r="C1762" s="9" t="s">
        <v>563</v>
      </c>
      <c r="D1762" s="10" t="s">
        <v>564</v>
      </c>
      <c r="E1762" s="11" t="s">
        <v>4563</v>
      </c>
      <c r="F1762" s="17"/>
      <c r="G1762" s="12" t="s">
        <v>1068</v>
      </c>
      <c r="H1762" s="13" t="n">
        <v>-0.013</v>
      </c>
      <c r="I1762" s="14"/>
      <c r="J1762" s="17"/>
      <c r="K1762" s="9"/>
      <c r="L1762" s="15" t="s">
        <v>50</v>
      </c>
      <c r="M1762" s="16" t="s">
        <v>51</v>
      </c>
      <c r="N1762" s="14"/>
      <c r="O1762" s="15" t="s">
        <v>52</v>
      </c>
      <c r="P1762" s="17" t="s">
        <v>53</v>
      </c>
      <c r="Q1762" s="15"/>
      <c r="R1762" s="18" t="s">
        <v>51</v>
      </c>
      <c r="S1762" s="19"/>
      <c r="T1762" s="17" t="str">
        <f aca="false">IF(R1762="維持",J1762,IF(R1762="排除","無關新聞事件",IFERROR(INDEX(事件規則!$B$2:$B$53,MATCH(S1762,事件規則!$A$2:$A$53,0)),"")))</f>
        <v>無關新聞事件</v>
      </c>
      <c r="U1762" s="20" t="n">
        <f aca="false">IF(R1762="維持",K1762,IF(R1762="排除",0,IFERROR(INDEX(事件規則!$C$2:$C$53,MATCH(S1762,事件規則!$A$2:$A$53,0)),"")))</f>
        <v>0</v>
      </c>
      <c r="V1762" s="21"/>
      <c r="W1762" s="22"/>
      <c r="X1762" s="10" t="str">
        <f aca="false">IF(AND(R1762="修改",S1762=""),"請選新事件代碼",IF(AND(R1762&lt;&gt;"修改",S1762&lt;&gt;""),"只有「修改」才需填代碼",""))</f>
        <v/>
      </c>
      <c r="Y1762" s="21"/>
      <c r="Z1762" s="22"/>
      <c r="AA1762" s="12" t="s">
        <v>4564</v>
      </c>
      <c r="AB1762" s="24"/>
    </row>
    <row r="1763" customFormat="false" ht="29.85" hidden="false" customHeight="false" outlineLevel="0" collapsed="false">
      <c r="A1763" s="15" t="n">
        <v>1762</v>
      </c>
      <c r="B1763" s="9" t="s">
        <v>112</v>
      </c>
      <c r="C1763" s="9" t="s">
        <v>379</v>
      </c>
      <c r="D1763" s="10" t="s">
        <v>380</v>
      </c>
      <c r="E1763" s="11" t="s">
        <v>4565</v>
      </c>
      <c r="F1763" s="17"/>
      <c r="G1763" s="12" t="s">
        <v>4566</v>
      </c>
      <c r="H1763" s="13" t="n">
        <v>-0.013</v>
      </c>
      <c r="I1763" s="14"/>
      <c r="J1763" s="17"/>
      <c r="K1763" s="9"/>
      <c r="L1763" s="15" t="s">
        <v>50</v>
      </c>
      <c r="M1763" s="16" t="s">
        <v>51</v>
      </c>
      <c r="N1763" s="14"/>
      <c r="O1763" s="15" t="s">
        <v>52</v>
      </c>
      <c r="P1763" s="17" t="s">
        <v>53</v>
      </c>
      <c r="Q1763" s="15"/>
      <c r="R1763" s="18" t="s">
        <v>51</v>
      </c>
      <c r="S1763" s="19"/>
      <c r="T1763" s="17" t="str">
        <f aca="false">IF(R1763="維持",J1763,IF(R1763="排除","無關新聞事件",IFERROR(INDEX(事件規則!$B$2:$B$53,MATCH(S1763,事件規則!$A$2:$A$53,0)),"")))</f>
        <v>無關新聞事件</v>
      </c>
      <c r="U1763" s="20" t="n">
        <f aca="false">IF(R1763="維持",K1763,IF(R1763="排除",0,IFERROR(INDEX(事件規則!$C$2:$C$53,MATCH(S1763,事件規則!$A$2:$A$53,0)),"")))</f>
        <v>0</v>
      </c>
      <c r="V1763" s="21"/>
      <c r="W1763" s="22"/>
      <c r="X1763" s="10" t="str">
        <f aca="false">IF(AND(R1763="修改",S1763=""),"請選新事件代碼",IF(AND(R1763&lt;&gt;"修改",S1763&lt;&gt;""),"只有「修改」才需填代碼",""))</f>
        <v/>
      </c>
      <c r="Y1763" s="21"/>
      <c r="Z1763" s="22"/>
      <c r="AA1763" s="12" t="s">
        <v>4567</v>
      </c>
      <c r="AB1763" s="24"/>
    </row>
    <row r="1764" customFormat="false" ht="29.85" hidden="false" customHeight="false" outlineLevel="0" collapsed="false">
      <c r="A1764" s="15" t="n">
        <v>1763</v>
      </c>
      <c r="B1764" s="9" t="s">
        <v>112</v>
      </c>
      <c r="C1764" s="9" t="s">
        <v>987</v>
      </c>
      <c r="D1764" s="10" t="s">
        <v>988</v>
      </c>
      <c r="E1764" s="11" t="s">
        <v>4568</v>
      </c>
      <c r="F1764" s="17"/>
      <c r="G1764" s="12" t="s">
        <v>2033</v>
      </c>
      <c r="H1764" s="13" t="n">
        <v>-0.013</v>
      </c>
      <c r="I1764" s="14"/>
      <c r="J1764" s="17"/>
      <c r="K1764" s="9"/>
      <c r="L1764" s="15" t="s">
        <v>50</v>
      </c>
      <c r="M1764" s="16" t="s">
        <v>51</v>
      </c>
      <c r="N1764" s="14"/>
      <c r="O1764" s="15" t="s">
        <v>52</v>
      </c>
      <c r="P1764" s="17" t="s">
        <v>53</v>
      </c>
      <c r="Q1764" s="15"/>
      <c r="R1764" s="18" t="s">
        <v>51</v>
      </c>
      <c r="S1764" s="19"/>
      <c r="T1764" s="17" t="str">
        <f aca="false">IF(R1764="維持",J1764,IF(R1764="排除","無關新聞事件",IFERROR(INDEX(事件規則!$B$2:$B$53,MATCH(S1764,事件規則!$A$2:$A$53,0)),"")))</f>
        <v>無關新聞事件</v>
      </c>
      <c r="U1764" s="20" t="n">
        <f aca="false">IF(R1764="維持",K1764,IF(R1764="排除",0,IFERROR(INDEX(事件規則!$C$2:$C$53,MATCH(S1764,事件規則!$A$2:$A$53,0)),"")))</f>
        <v>0</v>
      </c>
      <c r="V1764" s="21"/>
      <c r="W1764" s="22"/>
      <c r="X1764" s="10" t="str">
        <f aca="false">IF(AND(R1764="修改",S1764=""),"請選新事件代碼",IF(AND(R1764&lt;&gt;"修改",S1764&lt;&gt;""),"只有「修改」才需填代碼",""))</f>
        <v/>
      </c>
      <c r="Y1764" s="21"/>
      <c r="Z1764" s="22"/>
      <c r="AA1764" s="12" t="s">
        <v>4569</v>
      </c>
      <c r="AB1764" s="24"/>
    </row>
    <row r="1765" customFormat="false" ht="29.85" hidden="false" customHeight="false" outlineLevel="0" collapsed="false">
      <c r="A1765" s="15" t="n">
        <v>1764</v>
      </c>
      <c r="B1765" s="9" t="s">
        <v>45</v>
      </c>
      <c r="C1765" s="9" t="s">
        <v>2681</v>
      </c>
      <c r="D1765" s="10" t="s">
        <v>2682</v>
      </c>
      <c r="E1765" s="11" t="s">
        <v>4570</v>
      </c>
      <c r="F1765" s="17"/>
      <c r="G1765" s="12" t="s">
        <v>2681</v>
      </c>
      <c r="H1765" s="13" t="n">
        <v>-0.013</v>
      </c>
      <c r="I1765" s="14"/>
      <c r="J1765" s="17"/>
      <c r="K1765" s="9"/>
      <c r="L1765" s="15" t="s">
        <v>50</v>
      </c>
      <c r="M1765" s="16" t="s">
        <v>51</v>
      </c>
      <c r="N1765" s="14"/>
      <c r="O1765" s="15" t="s">
        <v>52</v>
      </c>
      <c r="P1765" s="17" t="s">
        <v>53</v>
      </c>
      <c r="Q1765" s="15"/>
      <c r="R1765" s="18" t="s">
        <v>51</v>
      </c>
      <c r="S1765" s="19"/>
      <c r="T1765" s="17" t="str">
        <f aca="false">IF(R1765="維持",J1765,IF(R1765="排除","無關新聞事件",IFERROR(INDEX(事件規則!$B$2:$B$53,MATCH(S1765,事件規則!$A$2:$A$53,0)),"")))</f>
        <v>無關新聞事件</v>
      </c>
      <c r="U1765" s="20" t="n">
        <f aca="false">IF(R1765="維持",K1765,IF(R1765="排除",0,IFERROR(INDEX(事件規則!$C$2:$C$53,MATCH(S1765,事件規則!$A$2:$A$53,0)),"")))</f>
        <v>0</v>
      </c>
      <c r="V1765" s="21"/>
      <c r="W1765" s="22"/>
      <c r="X1765" s="10" t="str">
        <f aca="false">IF(AND(R1765="修改",S1765=""),"請選新事件代碼",IF(AND(R1765&lt;&gt;"修改",S1765&lt;&gt;""),"只有「修改」才需填代碼",""))</f>
        <v/>
      </c>
      <c r="Y1765" s="21"/>
      <c r="Z1765" s="22"/>
      <c r="AA1765" s="12" t="s">
        <v>4571</v>
      </c>
      <c r="AB1765" s="24"/>
    </row>
    <row r="1766" customFormat="false" ht="29.85" hidden="false" customHeight="false" outlineLevel="0" collapsed="false">
      <c r="A1766" s="15" t="n">
        <v>1765</v>
      </c>
      <c r="B1766" s="9" t="s">
        <v>45</v>
      </c>
      <c r="C1766" s="9" t="s">
        <v>1074</v>
      </c>
      <c r="D1766" s="10" t="s">
        <v>1075</v>
      </c>
      <c r="E1766" s="11" t="s">
        <v>4572</v>
      </c>
      <c r="F1766" s="17"/>
      <c r="G1766" s="12" t="s">
        <v>105</v>
      </c>
      <c r="H1766" s="13" t="n">
        <v>-0.013</v>
      </c>
      <c r="I1766" s="14"/>
      <c r="J1766" s="17"/>
      <c r="K1766" s="9"/>
      <c r="L1766" s="15" t="s">
        <v>50</v>
      </c>
      <c r="M1766" s="16" t="s">
        <v>51</v>
      </c>
      <c r="N1766" s="14"/>
      <c r="O1766" s="15" t="s">
        <v>52</v>
      </c>
      <c r="P1766" s="17" t="s">
        <v>53</v>
      </c>
      <c r="Q1766" s="15"/>
      <c r="R1766" s="18" t="s">
        <v>51</v>
      </c>
      <c r="S1766" s="19"/>
      <c r="T1766" s="17" t="str">
        <f aca="false">IF(R1766="維持",J1766,IF(R1766="排除","無關新聞事件",IFERROR(INDEX(事件規則!$B$2:$B$53,MATCH(S1766,事件規則!$A$2:$A$53,0)),"")))</f>
        <v>無關新聞事件</v>
      </c>
      <c r="U1766" s="20" t="n">
        <f aca="false">IF(R1766="維持",K1766,IF(R1766="排除",0,IFERROR(INDEX(事件規則!$C$2:$C$53,MATCH(S1766,事件規則!$A$2:$A$53,0)),"")))</f>
        <v>0</v>
      </c>
      <c r="V1766" s="21"/>
      <c r="W1766" s="22"/>
      <c r="X1766" s="10" t="str">
        <f aca="false">IF(AND(R1766="修改",S1766=""),"請選新事件代碼",IF(AND(R1766&lt;&gt;"修改",S1766&lt;&gt;""),"只有「修改」才需填代碼",""))</f>
        <v/>
      </c>
      <c r="Y1766" s="21"/>
      <c r="Z1766" s="22"/>
      <c r="AA1766" s="12" t="s">
        <v>4573</v>
      </c>
      <c r="AB1766" s="24"/>
    </row>
    <row r="1767" customFormat="false" ht="29.85" hidden="false" customHeight="false" outlineLevel="0" collapsed="false">
      <c r="A1767" s="15" t="n">
        <v>1766</v>
      </c>
      <c r="B1767" s="9" t="s">
        <v>45</v>
      </c>
      <c r="C1767" s="9" t="s">
        <v>344</v>
      </c>
      <c r="D1767" s="10" t="s">
        <v>345</v>
      </c>
      <c r="E1767" s="11" t="s">
        <v>4574</v>
      </c>
      <c r="F1767" s="17"/>
      <c r="G1767" s="12" t="s">
        <v>4575</v>
      </c>
      <c r="H1767" s="13" t="n">
        <v>-0.013</v>
      </c>
      <c r="I1767" s="14"/>
      <c r="J1767" s="17"/>
      <c r="K1767" s="9"/>
      <c r="L1767" s="15" t="s">
        <v>50</v>
      </c>
      <c r="M1767" s="16" t="s">
        <v>51</v>
      </c>
      <c r="N1767" s="14"/>
      <c r="O1767" s="15" t="s">
        <v>52</v>
      </c>
      <c r="P1767" s="17" t="s">
        <v>53</v>
      </c>
      <c r="Q1767" s="15"/>
      <c r="R1767" s="18" t="s">
        <v>51</v>
      </c>
      <c r="S1767" s="19"/>
      <c r="T1767" s="17" t="str">
        <f aca="false">IF(R1767="維持",J1767,IF(R1767="排除","無關新聞事件",IFERROR(INDEX(事件規則!$B$2:$B$53,MATCH(S1767,事件規則!$A$2:$A$53,0)),"")))</f>
        <v>無關新聞事件</v>
      </c>
      <c r="U1767" s="20" t="n">
        <f aca="false">IF(R1767="維持",K1767,IF(R1767="排除",0,IFERROR(INDEX(事件規則!$C$2:$C$53,MATCH(S1767,事件規則!$A$2:$A$53,0)),"")))</f>
        <v>0</v>
      </c>
      <c r="V1767" s="21"/>
      <c r="W1767" s="22"/>
      <c r="X1767" s="10" t="str">
        <f aca="false">IF(AND(R1767="修改",S1767=""),"請選新事件代碼",IF(AND(R1767&lt;&gt;"修改",S1767&lt;&gt;""),"只有「修改」才需填代碼",""))</f>
        <v/>
      </c>
      <c r="Y1767" s="21"/>
      <c r="Z1767" s="22"/>
      <c r="AA1767" s="12" t="s">
        <v>4576</v>
      </c>
      <c r="AB1767" s="24"/>
    </row>
    <row r="1768" customFormat="false" ht="29.85" hidden="false" customHeight="false" outlineLevel="0" collapsed="false">
      <c r="A1768" s="15" t="n">
        <v>1767</v>
      </c>
      <c r="B1768" s="9" t="s">
        <v>55</v>
      </c>
      <c r="C1768" s="9" t="s">
        <v>635</v>
      </c>
      <c r="D1768" s="10" t="s">
        <v>636</v>
      </c>
      <c r="E1768" s="11" t="s">
        <v>4577</v>
      </c>
      <c r="F1768" s="17"/>
      <c r="G1768" s="12" t="s">
        <v>95</v>
      </c>
      <c r="H1768" s="13" t="n">
        <v>-0.013</v>
      </c>
      <c r="I1768" s="14"/>
      <c r="J1768" s="17"/>
      <c r="K1768" s="9"/>
      <c r="L1768" s="15" t="s">
        <v>50</v>
      </c>
      <c r="M1768" s="16" t="s">
        <v>51</v>
      </c>
      <c r="N1768" s="14"/>
      <c r="O1768" s="15" t="s">
        <v>52</v>
      </c>
      <c r="P1768" s="17" t="s">
        <v>53</v>
      </c>
      <c r="Q1768" s="15"/>
      <c r="R1768" s="18" t="s">
        <v>51</v>
      </c>
      <c r="S1768" s="19"/>
      <c r="T1768" s="17" t="str">
        <f aca="false">IF(R1768="維持",J1768,IF(R1768="排除","無關新聞事件",IFERROR(INDEX(事件規則!$B$2:$B$53,MATCH(S1768,事件規則!$A$2:$A$53,0)),"")))</f>
        <v>無關新聞事件</v>
      </c>
      <c r="U1768" s="20" t="n">
        <f aca="false">IF(R1768="維持",K1768,IF(R1768="排除",0,IFERROR(INDEX(事件規則!$C$2:$C$53,MATCH(S1768,事件規則!$A$2:$A$53,0)),"")))</f>
        <v>0</v>
      </c>
      <c r="V1768" s="21"/>
      <c r="W1768" s="22"/>
      <c r="X1768" s="10" t="str">
        <f aca="false">IF(AND(R1768="修改",S1768=""),"請選新事件代碼",IF(AND(R1768&lt;&gt;"修改",S1768&lt;&gt;""),"只有「修改」才需填代碼",""))</f>
        <v/>
      </c>
      <c r="Y1768" s="21"/>
      <c r="Z1768" s="22"/>
      <c r="AA1768" s="12" t="s">
        <v>4578</v>
      </c>
      <c r="AB1768" s="24"/>
    </row>
    <row r="1769" customFormat="false" ht="29.85" hidden="false" customHeight="false" outlineLevel="0" collapsed="false">
      <c r="A1769" s="15" t="n">
        <v>1768</v>
      </c>
      <c r="B1769" s="9" t="s">
        <v>55</v>
      </c>
      <c r="C1769" s="15"/>
      <c r="D1769" s="10" t="s">
        <v>119</v>
      </c>
      <c r="E1769" s="23" t="s">
        <v>4555</v>
      </c>
      <c r="F1769" s="17" t="s">
        <v>4555</v>
      </c>
      <c r="G1769" s="12" t="s">
        <v>176</v>
      </c>
      <c r="H1769" s="13" t="n">
        <v>-0.013</v>
      </c>
      <c r="I1769" s="14"/>
      <c r="J1769" s="17"/>
      <c r="K1769" s="9"/>
      <c r="L1769" s="15" t="s">
        <v>50</v>
      </c>
      <c r="M1769" s="16" t="s">
        <v>51</v>
      </c>
      <c r="N1769" s="14"/>
      <c r="O1769" s="15" t="s">
        <v>52</v>
      </c>
      <c r="P1769" s="17" t="s">
        <v>53</v>
      </c>
      <c r="Q1769" s="15"/>
      <c r="R1769" s="18" t="s">
        <v>51</v>
      </c>
      <c r="S1769" s="19"/>
      <c r="T1769" s="17" t="str">
        <f aca="false">IF(R1769="維持",J1769,IF(R1769="排除","無關新聞事件",IFERROR(INDEX(事件規則!$B$2:$B$53,MATCH(S1769,事件規則!$A$2:$A$53,0)),"")))</f>
        <v>無關新聞事件</v>
      </c>
      <c r="U1769" s="20" t="n">
        <f aca="false">IF(R1769="維持",K1769,IF(R1769="排除",0,IFERROR(INDEX(事件規則!$C$2:$C$53,MATCH(S1769,事件規則!$A$2:$A$53,0)),"")))</f>
        <v>0</v>
      </c>
      <c r="V1769" s="21"/>
      <c r="W1769" s="22"/>
      <c r="X1769" s="10" t="str">
        <f aca="false">IF(AND(R1769="修改",S1769=""),"請選新事件代碼",IF(AND(R1769&lt;&gt;"修改",S1769&lt;&gt;""),"只有「修改」才需填代碼",""))</f>
        <v/>
      </c>
      <c r="Y1769" s="21"/>
      <c r="Z1769" s="22"/>
      <c r="AA1769" s="12" t="s">
        <v>4579</v>
      </c>
      <c r="AB1769" s="24"/>
    </row>
    <row r="1770" customFormat="false" ht="29.85" hidden="false" customHeight="false" outlineLevel="0" collapsed="false">
      <c r="A1770" s="15" t="n">
        <v>1769</v>
      </c>
      <c r="B1770" s="9" t="s">
        <v>55</v>
      </c>
      <c r="C1770" s="9" t="s">
        <v>326</v>
      </c>
      <c r="D1770" s="10" t="s">
        <v>326</v>
      </c>
      <c r="E1770" s="11" t="s">
        <v>4580</v>
      </c>
      <c r="F1770" s="17"/>
      <c r="G1770" s="12" t="s">
        <v>4581</v>
      </c>
      <c r="H1770" s="13" t="n">
        <v>-0.013</v>
      </c>
      <c r="I1770" s="14"/>
      <c r="J1770" s="17"/>
      <c r="K1770" s="9"/>
      <c r="L1770" s="15" t="s">
        <v>50</v>
      </c>
      <c r="M1770" s="16" t="s">
        <v>51</v>
      </c>
      <c r="N1770" s="14"/>
      <c r="O1770" s="15" t="s">
        <v>52</v>
      </c>
      <c r="P1770" s="17" t="s">
        <v>53</v>
      </c>
      <c r="Q1770" s="15"/>
      <c r="R1770" s="18" t="s">
        <v>51</v>
      </c>
      <c r="S1770" s="19"/>
      <c r="T1770" s="17" t="str">
        <f aca="false">IF(R1770="維持",J1770,IF(R1770="排除","無關新聞事件",IFERROR(INDEX(事件規則!$B$2:$B$53,MATCH(S1770,事件規則!$A$2:$A$53,0)),"")))</f>
        <v>無關新聞事件</v>
      </c>
      <c r="U1770" s="20" t="n">
        <f aca="false">IF(R1770="維持",K1770,IF(R1770="排除",0,IFERROR(INDEX(事件規則!$C$2:$C$53,MATCH(S1770,事件規則!$A$2:$A$53,0)),"")))</f>
        <v>0</v>
      </c>
      <c r="V1770" s="21"/>
      <c r="W1770" s="22"/>
      <c r="X1770" s="10" t="str">
        <f aca="false">IF(AND(R1770="修改",S1770=""),"請選新事件代碼",IF(AND(R1770&lt;&gt;"修改",S1770&lt;&gt;""),"只有「修改」才需填代碼",""))</f>
        <v/>
      </c>
      <c r="Y1770" s="21"/>
      <c r="Z1770" s="22"/>
      <c r="AA1770" s="12" t="s">
        <v>4582</v>
      </c>
      <c r="AB1770" s="24"/>
    </row>
    <row r="1771" customFormat="false" ht="29.85" hidden="false" customHeight="false" outlineLevel="0" collapsed="false">
      <c r="A1771" s="15" t="n">
        <v>1770</v>
      </c>
      <c r="B1771" s="9" t="s">
        <v>55</v>
      </c>
      <c r="C1771" s="9" t="s">
        <v>1318</v>
      </c>
      <c r="D1771" s="10" t="s">
        <v>1319</v>
      </c>
      <c r="E1771" s="11" t="s">
        <v>4583</v>
      </c>
      <c r="F1771" s="17"/>
      <c r="G1771" s="12" t="s">
        <v>95</v>
      </c>
      <c r="H1771" s="13" t="n">
        <v>-0.013</v>
      </c>
      <c r="I1771" s="14"/>
      <c r="J1771" s="17"/>
      <c r="K1771" s="9"/>
      <c r="L1771" s="15" t="s">
        <v>50</v>
      </c>
      <c r="M1771" s="16" t="s">
        <v>51</v>
      </c>
      <c r="N1771" s="14"/>
      <c r="O1771" s="15" t="s">
        <v>52</v>
      </c>
      <c r="P1771" s="17" t="s">
        <v>53</v>
      </c>
      <c r="Q1771" s="15"/>
      <c r="R1771" s="18" t="s">
        <v>51</v>
      </c>
      <c r="S1771" s="19"/>
      <c r="T1771" s="17" t="str">
        <f aca="false">IF(R1771="維持",J1771,IF(R1771="排除","無關新聞事件",IFERROR(INDEX(事件規則!$B$2:$B$53,MATCH(S1771,事件規則!$A$2:$A$53,0)),"")))</f>
        <v>無關新聞事件</v>
      </c>
      <c r="U1771" s="20" t="n">
        <f aca="false">IF(R1771="維持",K1771,IF(R1771="排除",0,IFERROR(INDEX(事件規則!$C$2:$C$53,MATCH(S1771,事件規則!$A$2:$A$53,0)),"")))</f>
        <v>0</v>
      </c>
      <c r="V1771" s="21"/>
      <c r="W1771" s="22"/>
      <c r="X1771" s="10" t="str">
        <f aca="false">IF(AND(R1771="修改",S1771=""),"請選新事件代碼",IF(AND(R1771&lt;&gt;"修改",S1771&lt;&gt;""),"只有「修改」才需填代碼",""))</f>
        <v/>
      </c>
      <c r="Y1771" s="21"/>
      <c r="Z1771" s="22"/>
      <c r="AA1771" s="12" t="s">
        <v>4584</v>
      </c>
      <c r="AB1771" s="24"/>
    </row>
    <row r="1772" customFormat="false" ht="29.85" hidden="false" customHeight="false" outlineLevel="0" collapsed="false">
      <c r="A1772" s="15" t="n">
        <v>1771</v>
      </c>
      <c r="B1772" s="9" t="s">
        <v>55</v>
      </c>
      <c r="C1772" s="9" t="s">
        <v>184</v>
      </c>
      <c r="D1772" s="10" t="s">
        <v>185</v>
      </c>
      <c r="E1772" s="11" t="s">
        <v>4585</v>
      </c>
      <c r="F1772" s="17"/>
      <c r="G1772" s="12" t="s">
        <v>95</v>
      </c>
      <c r="H1772" s="13" t="n">
        <v>-0.013</v>
      </c>
      <c r="I1772" s="14"/>
      <c r="J1772" s="17"/>
      <c r="K1772" s="9"/>
      <c r="L1772" s="15" t="s">
        <v>50</v>
      </c>
      <c r="M1772" s="16" t="s">
        <v>51</v>
      </c>
      <c r="N1772" s="14"/>
      <c r="O1772" s="15" t="s">
        <v>52</v>
      </c>
      <c r="P1772" s="17" t="s">
        <v>53</v>
      </c>
      <c r="Q1772" s="15"/>
      <c r="R1772" s="18" t="s">
        <v>51</v>
      </c>
      <c r="S1772" s="19"/>
      <c r="T1772" s="17" t="str">
        <f aca="false">IF(R1772="維持",J1772,IF(R1772="排除","無關新聞事件",IFERROR(INDEX(事件規則!$B$2:$B$53,MATCH(S1772,事件規則!$A$2:$A$53,0)),"")))</f>
        <v>無關新聞事件</v>
      </c>
      <c r="U1772" s="20" t="n">
        <f aca="false">IF(R1772="維持",K1772,IF(R1772="排除",0,IFERROR(INDEX(事件規則!$C$2:$C$53,MATCH(S1772,事件規則!$A$2:$A$53,0)),"")))</f>
        <v>0</v>
      </c>
      <c r="V1772" s="21"/>
      <c r="W1772" s="22"/>
      <c r="X1772" s="10" t="str">
        <f aca="false">IF(AND(R1772="修改",S1772=""),"請選新事件代碼",IF(AND(R1772&lt;&gt;"修改",S1772&lt;&gt;""),"只有「修改」才需填代碼",""))</f>
        <v/>
      </c>
      <c r="Y1772" s="21"/>
      <c r="Z1772" s="22"/>
      <c r="AA1772" s="12" t="s">
        <v>4586</v>
      </c>
      <c r="AB1772" s="24"/>
    </row>
    <row r="1773" customFormat="false" ht="29.85" hidden="false" customHeight="false" outlineLevel="0" collapsed="false">
      <c r="A1773" s="15" t="n">
        <v>1772</v>
      </c>
      <c r="B1773" s="9" t="s">
        <v>55</v>
      </c>
      <c r="C1773" s="9" t="s">
        <v>761</v>
      </c>
      <c r="D1773" s="10" t="s">
        <v>762</v>
      </c>
      <c r="E1773" s="11" t="s">
        <v>4587</v>
      </c>
      <c r="F1773" s="17"/>
      <c r="G1773" s="12" t="s">
        <v>95</v>
      </c>
      <c r="H1773" s="13" t="n">
        <v>-0.013</v>
      </c>
      <c r="I1773" s="14"/>
      <c r="J1773" s="17"/>
      <c r="K1773" s="9"/>
      <c r="L1773" s="15" t="s">
        <v>50</v>
      </c>
      <c r="M1773" s="16" t="s">
        <v>51</v>
      </c>
      <c r="N1773" s="14"/>
      <c r="O1773" s="15" t="s">
        <v>52</v>
      </c>
      <c r="P1773" s="17" t="s">
        <v>53</v>
      </c>
      <c r="Q1773" s="15"/>
      <c r="R1773" s="18" t="s">
        <v>51</v>
      </c>
      <c r="S1773" s="19"/>
      <c r="T1773" s="17" t="str">
        <f aca="false">IF(R1773="維持",J1773,IF(R1773="排除","無關新聞事件",IFERROR(INDEX(事件規則!$B$2:$B$53,MATCH(S1773,事件規則!$A$2:$A$53,0)),"")))</f>
        <v>無關新聞事件</v>
      </c>
      <c r="U1773" s="20" t="n">
        <f aca="false">IF(R1773="維持",K1773,IF(R1773="排除",0,IFERROR(INDEX(事件規則!$C$2:$C$53,MATCH(S1773,事件規則!$A$2:$A$53,0)),"")))</f>
        <v>0</v>
      </c>
      <c r="V1773" s="21"/>
      <c r="W1773" s="22"/>
      <c r="X1773" s="10" t="str">
        <f aca="false">IF(AND(R1773="修改",S1773=""),"請選新事件代碼",IF(AND(R1773&lt;&gt;"修改",S1773&lt;&gt;""),"只有「修改」才需填代碼",""))</f>
        <v/>
      </c>
      <c r="Y1773" s="21"/>
      <c r="Z1773" s="22"/>
      <c r="AA1773" s="12" t="s">
        <v>4588</v>
      </c>
      <c r="AB1773" s="24"/>
    </row>
    <row r="1774" customFormat="false" ht="29.85" hidden="false" customHeight="false" outlineLevel="0" collapsed="false">
      <c r="A1774" s="15" t="n">
        <v>1773</v>
      </c>
      <c r="B1774" s="9" t="s">
        <v>45</v>
      </c>
      <c r="C1774" s="9" t="s">
        <v>4589</v>
      </c>
      <c r="D1774" s="10" t="s">
        <v>4590</v>
      </c>
      <c r="E1774" s="11" t="s">
        <v>4591</v>
      </c>
      <c r="F1774" s="17"/>
      <c r="G1774" s="12" t="s">
        <v>176</v>
      </c>
      <c r="H1774" s="13" t="n">
        <v>-0.013</v>
      </c>
      <c r="I1774" s="14"/>
      <c r="J1774" s="17"/>
      <c r="K1774" s="9"/>
      <c r="L1774" s="15" t="s">
        <v>50</v>
      </c>
      <c r="M1774" s="16" t="s">
        <v>51</v>
      </c>
      <c r="N1774" s="14"/>
      <c r="O1774" s="15" t="s">
        <v>52</v>
      </c>
      <c r="P1774" s="17" t="s">
        <v>53</v>
      </c>
      <c r="Q1774" s="15"/>
      <c r="R1774" s="18" t="s">
        <v>51</v>
      </c>
      <c r="S1774" s="19"/>
      <c r="T1774" s="17" t="str">
        <f aca="false">IF(R1774="維持",J1774,IF(R1774="排除","無關新聞事件",IFERROR(INDEX(事件規則!$B$2:$B$53,MATCH(S1774,事件規則!$A$2:$A$53,0)),"")))</f>
        <v>無關新聞事件</v>
      </c>
      <c r="U1774" s="20" t="n">
        <f aca="false">IF(R1774="維持",K1774,IF(R1774="排除",0,IFERROR(INDEX(事件規則!$C$2:$C$53,MATCH(S1774,事件規則!$A$2:$A$53,0)),"")))</f>
        <v>0</v>
      </c>
      <c r="V1774" s="21"/>
      <c r="W1774" s="22"/>
      <c r="X1774" s="10" t="str">
        <f aca="false">IF(AND(R1774="修改",S1774=""),"請選新事件代碼",IF(AND(R1774&lt;&gt;"修改",S1774&lt;&gt;""),"只有「修改」才需填代碼",""))</f>
        <v/>
      </c>
      <c r="Y1774" s="21"/>
      <c r="Z1774" s="22"/>
      <c r="AA1774" s="12" t="s">
        <v>4592</v>
      </c>
      <c r="AB1774" s="24"/>
    </row>
    <row r="1775" customFormat="false" ht="29.85" hidden="false" customHeight="false" outlineLevel="0" collapsed="false">
      <c r="A1775" s="15" t="n">
        <v>1774</v>
      </c>
      <c r="B1775" s="9" t="s">
        <v>45</v>
      </c>
      <c r="C1775" s="9" t="s">
        <v>1695</v>
      </c>
      <c r="D1775" s="10" t="s">
        <v>1696</v>
      </c>
      <c r="E1775" s="11" t="s">
        <v>4593</v>
      </c>
      <c r="F1775" s="17"/>
      <c r="G1775" s="12" t="s">
        <v>4594</v>
      </c>
      <c r="H1775" s="13" t="n">
        <v>-0.013</v>
      </c>
      <c r="I1775" s="14"/>
      <c r="J1775" s="17"/>
      <c r="K1775" s="9"/>
      <c r="L1775" s="15" t="s">
        <v>50</v>
      </c>
      <c r="M1775" s="16" t="s">
        <v>51</v>
      </c>
      <c r="N1775" s="14"/>
      <c r="O1775" s="15" t="s">
        <v>52</v>
      </c>
      <c r="P1775" s="17" t="s">
        <v>53</v>
      </c>
      <c r="Q1775" s="15"/>
      <c r="R1775" s="18" t="s">
        <v>51</v>
      </c>
      <c r="S1775" s="19"/>
      <c r="T1775" s="17" t="str">
        <f aca="false">IF(R1775="維持",J1775,IF(R1775="排除","無關新聞事件",IFERROR(INDEX(事件規則!$B$2:$B$53,MATCH(S1775,事件規則!$A$2:$A$53,0)),"")))</f>
        <v>無關新聞事件</v>
      </c>
      <c r="U1775" s="20" t="n">
        <f aca="false">IF(R1775="維持",K1775,IF(R1775="排除",0,IFERROR(INDEX(事件規則!$C$2:$C$53,MATCH(S1775,事件規則!$A$2:$A$53,0)),"")))</f>
        <v>0</v>
      </c>
      <c r="V1775" s="21"/>
      <c r="W1775" s="22"/>
      <c r="X1775" s="10" t="str">
        <f aca="false">IF(AND(R1775="修改",S1775=""),"請選新事件代碼",IF(AND(R1775&lt;&gt;"修改",S1775&lt;&gt;""),"只有「修改」才需填代碼",""))</f>
        <v/>
      </c>
      <c r="Y1775" s="21"/>
      <c r="Z1775" s="22"/>
      <c r="AA1775" s="12" t="s">
        <v>4595</v>
      </c>
      <c r="AB1775" s="24"/>
    </row>
    <row r="1776" customFormat="false" ht="29.85" hidden="false" customHeight="false" outlineLevel="0" collapsed="false">
      <c r="A1776" s="15" t="n">
        <v>1775</v>
      </c>
      <c r="B1776" s="9" t="s">
        <v>45</v>
      </c>
      <c r="C1776" s="9" t="s">
        <v>2894</v>
      </c>
      <c r="D1776" s="10" t="s">
        <v>2895</v>
      </c>
      <c r="E1776" s="11" t="s">
        <v>4596</v>
      </c>
      <c r="F1776" s="17"/>
      <c r="G1776" s="12" t="s">
        <v>949</v>
      </c>
      <c r="H1776" s="13" t="n">
        <v>-0.013</v>
      </c>
      <c r="I1776" s="14"/>
      <c r="J1776" s="17"/>
      <c r="K1776" s="9"/>
      <c r="L1776" s="15" t="s">
        <v>50</v>
      </c>
      <c r="M1776" s="16" t="s">
        <v>51</v>
      </c>
      <c r="N1776" s="14"/>
      <c r="O1776" s="15" t="s">
        <v>52</v>
      </c>
      <c r="P1776" s="17" t="s">
        <v>53</v>
      </c>
      <c r="Q1776" s="15"/>
      <c r="R1776" s="18" t="s">
        <v>51</v>
      </c>
      <c r="S1776" s="19"/>
      <c r="T1776" s="17" t="str">
        <f aca="false">IF(R1776="維持",J1776,IF(R1776="排除","無關新聞事件",IFERROR(INDEX(事件規則!$B$2:$B$53,MATCH(S1776,事件規則!$A$2:$A$53,0)),"")))</f>
        <v>無關新聞事件</v>
      </c>
      <c r="U1776" s="20" t="n">
        <f aca="false">IF(R1776="維持",K1776,IF(R1776="排除",0,IFERROR(INDEX(事件規則!$C$2:$C$53,MATCH(S1776,事件規則!$A$2:$A$53,0)),"")))</f>
        <v>0</v>
      </c>
      <c r="V1776" s="21"/>
      <c r="W1776" s="22"/>
      <c r="X1776" s="10" t="str">
        <f aca="false">IF(AND(R1776="修改",S1776=""),"請選新事件代碼",IF(AND(R1776&lt;&gt;"修改",S1776&lt;&gt;""),"只有「修改」才需填代碼",""))</f>
        <v/>
      </c>
      <c r="Y1776" s="21"/>
      <c r="Z1776" s="22"/>
      <c r="AA1776" s="12" t="s">
        <v>4597</v>
      </c>
      <c r="AB1776" s="24"/>
    </row>
    <row r="1777" customFormat="false" ht="29.85" hidden="false" customHeight="false" outlineLevel="0" collapsed="false">
      <c r="A1777" s="15" t="n">
        <v>1776</v>
      </c>
      <c r="B1777" s="9" t="s">
        <v>45</v>
      </c>
      <c r="C1777" s="9" t="s">
        <v>2484</v>
      </c>
      <c r="D1777" s="10" t="s">
        <v>2485</v>
      </c>
      <c r="E1777" s="11" t="s">
        <v>4598</v>
      </c>
      <c r="F1777" s="17"/>
      <c r="G1777" s="12" t="s">
        <v>3221</v>
      </c>
      <c r="H1777" s="13" t="n">
        <v>-0.013</v>
      </c>
      <c r="I1777" s="14"/>
      <c r="J1777" s="17"/>
      <c r="K1777" s="9"/>
      <c r="L1777" s="15" t="s">
        <v>50</v>
      </c>
      <c r="M1777" s="16" t="s">
        <v>51</v>
      </c>
      <c r="N1777" s="14"/>
      <c r="O1777" s="15" t="s">
        <v>52</v>
      </c>
      <c r="P1777" s="17" t="s">
        <v>53</v>
      </c>
      <c r="Q1777" s="15"/>
      <c r="R1777" s="18" t="s">
        <v>51</v>
      </c>
      <c r="S1777" s="19"/>
      <c r="T1777" s="17" t="str">
        <f aca="false">IF(R1777="維持",J1777,IF(R1777="排除","無關新聞事件",IFERROR(INDEX(事件規則!$B$2:$B$53,MATCH(S1777,事件規則!$A$2:$A$53,0)),"")))</f>
        <v>無關新聞事件</v>
      </c>
      <c r="U1777" s="20" t="n">
        <f aca="false">IF(R1777="維持",K1777,IF(R1777="排除",0,IFERROR(INDEX(事件規則!$C$2:$C$53,MATCH(S1777,事件規則!$A$2:$A$53,0)),"")))</f>
        <v>0</v>
      </c>
      <c r="V1777" s="21"/>
      <c r="W1777" s="22"/>
      <c r="X1777" s="10" t="str">
        <f aca="false">IF(AND(R1777="修改",S1777=""),"請選新事件代碼",IF(AND(R1777&lt;&gt;"修改",S1777&lt;&gt;""),"只有「修改」才需填代碼",""))</f>
        <v/>
      </c>
      <c r="Y1777" s="21"/>
      <c r="Z1777" s="22"/>
      <c r="AA1777" s="12" t="s">
        <v>4599</v>
      </c>
      <c r="AB1777" s="24"/>
    </row>
    <row r="1778" customFormat="false" ht="29.85" hidden="false" customHeight="false" outlineLevel="0" collapsed="false">
      <c r="A1778" s="15" t="n">
        <v>1777</v>
      </c>
      <c r="B1778" s="9" t="s">
        <v>112</v>
      </c>
      <c r="C1778" s="9" t="s">
        <v>1899</v>
      </c>
      <c r="D1778" s="10" t="s">
        <v>1900</v>
      </c>
      <c r="E1778" s="11" t="s">
        <v>4600</v>
      </c>
      <c r="F1778" s="17"/>
      <c r="G1778" s="12" t="s">
        <v>105</v>
      </c>
      <c r="H1778" s="13" t="n">
        <v>-0.013</v>
      </c>
      <c r="I1778" s="14"/>
      <c r="J1778" s="17"/>
      <c r="K1778" s="9"/>
      <c r="L1778" s="15" t="s">
        <v>50</v>
      </c>
      <c r="M1778" s="16" t="s">
        <v>51</v>
      </c>
      <c r="N1778" s="14"/>
      <c r="O1778" s="15" t="s">
        <v>52</v>
      </c>
      <c r="P1778" s="17" t="s">
        <v>53</v>
      </c>
      <c r="Q1778" s="15"/>
      <c r="R1778" s="18" t="s">
        <v>51</v>
      </c>
      <c r="S1778" s="19"/>
      <c r="T1778" s="17" t="str">
        <f aca="false">IF(R1778="維持",J1778,IF(R1778="排除","無關新聞事件",IFERROR(INDEX(事件規則!$B$2:$B$53,MATCH(S1778,事件規則!$A$2:$A$53,0)),"")))</f>
        <v>無關新聞事件</v>
      </c>
      <c r="U1778" s="20" t="n">
        <f aca="false">IF(R1778="維持",K1778,IF(R1778="排除",0,IFERROR(INDEX(事件規則!$C$2:$C$53,MATCH(S1778,事件規則!$A$2:$A$53,0)),"")))</f>
        <v>0</v>
      </c>
      <c r="V1778" s="21"/>
      <c r="W1778" s="22"/>
      <c r="X1778" s="10" t="str">
        <f aca="false">IF(AND(R1778="修改",S1778=""),"請選新事件代碼",IF(AND(R1778&lt;&gt;"修改",S1778&lt;&gt;""),"只有「修改」才需填代碼",""))</f>
        <v/>
      </c>
      <c r="Y1778" s="21"/>
      <c r="Z1778" s="22"/>
      <c r="AA1778" s="12" t="s">
        <v>4601</v>
      </c>
      <c r="AB1778" s="24"/>
    </row>
    <row r="1779" customFormat="false" ht="29.85" hidden="false" customHeight="false" outlineLevel="0" collapsed="false">
      <c r="A1779" s="15" t="n">
        <v>1778</v>
      </c>
      <c r="B1779" s="9" t="s">
        <v>112</v>
      </c>
      <c r="C1779" s="9" t="s">
        <v>2041</v>
      </c>
      <c r="D1779" s="10" t="s">
        <v>2042</v>
      </c>
      <c r="E1779" s="11" t="s">
        <v>4602</v>
      </c>
      <c r="F1779" s="17"/>
      <c r="G1779" s="12" t="s">
        <v>2033</v>
      </c>
      <c r="H1779" s="13" t="n">
        <v>-0.013</v>
      </c>
      <c r="I1779" s="14"/>
      <c r="J1779" s="17"/>
      <c r="K1779" s="9"/>
      <c r="L1779" s="15" t="s">
        <v>50</v>
      </c>
      <c r="M1779" s="16" t="s">
        <v>51</v>
      </c>
      <c r="N1779" s="14"/>
      <c r="O1779" s="15" t="s">
        <v>52</v>
      </c>
      <c r="P1779" s="17" t="s">
        <v>53</v>
      </c>
      <c r="Q1779" s="15"/>
      <c r="R1779" s="18" t="s">
        <v>51</v>
      </c>
      <c r="S1779" s="19"/>
      <c r="T1779" s="17" t="str">
        <f aca="false">IF(R1779="維持",J1779,IF(R1779="排除","無關新聞事件",IFERROR(INDEX(事件規則!$B$2:$B$53,MATCH(S1779,事件規則!$A$2:$A$53,0)),"")))</f>
        <v>無關新聞事件</v>
      </c>
      <c r="U1779" s="20" t="n">
        <f aca="false">IF(R1779="維持",K1779,IF(R1779="排除",0,IFERROR(INDEX(事件規則!$C$2:$C$53,MATCH(S1779,事件規則!$A$2:$A$53,0)),"")))</f>
        <v>0</v>
      </c>
      <c r="V1779" s="21"/>
      <c r="W1779" s="22"/>
      <c r="X1779" s="10" t="str">
        <f aca="false">IF(AND(R1779="修改",S1779=""),"請選新事件代碼",IF(AND(R1779&lt;&gt;"修改",S1779&lt;&gt;""),"只有「修改」才需填代碼",""))</f>
        <v/>
      </c>
      <c r="Y1779" s="21"/>
      <c r="Z1779" s="22"/>
      <c r="AA1779" s="12" t="s">
        <v>4603</v>
      </c>
      <c r="AB1779" s="24"/>
    </row>
    <row r="1780" customFormat="false" ht="29.85" hidden="false" customHeight="false" outlineLevel="0" collapsed="false">
      <c r="A1780" s="15" t="n">
        <v>1779</v>
      </c>
      <c r="B1780" s="9" t="s">
        <v>112</v>
      </c>
      <c r="C1780" s="9" t="s">
        <v>56</v>
      </c>
      <c r="D1780" s="10" t="s">
        <v>57</v>
      </c>
      <c r="E1780" s="11" t="s">
        <v>4604</v>
      </c>
      <c r="F1780" s="17"/>
      <c r="G1780" s="12" t="s">
        <v>164</v>
      </c>
      <c r="H1780" s="13" t="n">
        <v>-0.013</v>
      </c>
      <c r="I1780" s="14"/>
      <c r="J1780" s="17"/>
      <c r="K1780" s="9"/>
      <c r="L1780" s="15" t="s">
        <v>50</v>
      </c>
      <c r="M1780" s="16" t="s">
        <v>51</v>
      </c>
      <c r="N1780" s="14"/>
      <c r="O1780" s="15" t="s">
        <v>52</v>
      </c>
      <c r="P1780" s="17" t="s">
        <v>53</v>
      </c>
      <c r="Q1780" s="15"/>
      <c r="R1780" s="18" t="s">
        <v>51</v>
      </c>
      <c r="S1780" s="19"/>
      <c r="T1780" s="17" t="str">
        <f aca="false">IF(R1780="維持",J1780,IF(R1780="排除","無關新聞事件",IFERROR(INDEX(事件規則!$B$2:$B$53,MATCH(S1780,事件規則!$A$2:$A$53,0)),"")))</f>
        <v>無關新聞事件</v>
      </c>
      <c r="U1780" s="20" t="n">
        <f aca="false">IF(R1780="維持",K1780,IF(R1780="排除",0,IFERROR(INDEX(事件規則!$C$2:$C$53,MATCH(S1780,事件規則!$A$2:$A$53,0)),"")))</f>
        <v>0</v>
      </c>
      <c r="V1780" s="21"/>
      <c r="W1780" s="22"/>
      <c r="X1780" s="10" t="str">
        <f aca="false">IF(AND(R1780="修改",S1780=""),"請選新事件代碼",IF(AND(R1780&lt;&gt;"修改",S1780&lt;&gt;""),"只有「修改」才需填代碼",""))</f>
        <v/>
      </c>
      <c r="Y1780" s="21"/>
      <c r="Z1780" s="22"/>
      <c r="AA1780" s="12" t="s">
        <v>4605</v>
      </c>
      <c r="AB1780" s="24"/>
    </row>
    <row r="1781" customFormat="false" ht="29.85" hidden="false" customHeight="false" outlineLevel="0" collapsed="false">
      <c r="A1781" s="15" t="n">
        <v>1780</v>
      </c>
      <c r="B1781" s="9" t="s">
        <v>81</v>
      </c>
      <c r="C1781" s="9" t="s">
        <v>178</v>
      </c>
      <c r="D1781" s="10" t="s">
        <v>179</v>
      </c>
      <c r="E1781" s="11" t="s">
        <v>4606</v>
      </c>
      <c r="F1781" s="17"/>
      <c r="G1781" s="12" t="s">
        <v>649</v>
      </c>
      <c r="H1781" s="13" t="n">
        <v>-0.012</v>
      </c>
      <c r="I1781" s="14"/>
      <c r="J1781" s="17"/>
      <c r="K1781" s="9"/>
      <c r="L1781" s="15" t="s">
        <v>50</v>
      </c>
      <c r="M1781" s="16" t="s">
        <v>51</v>
      </c>
      <c r="N1781" s="14"/>
      <c r="O1781" s="15" t="s">
        <v>52</v>
      </c>
      <c r="P1781" s="17" t="s">
        <v>53</v>
      </c>
      <c r="Q1781" s="15"/>
      <c r="R1781" s="18" t="s">
        <v>51</v>
      </c>
      <c r="S1781" s="19"/>
      <c r="T1781" s="17" t="str">
        <f aca="false">IF(R1781="維持",J1781,IF(R1781="排除","無關新聞事件",IFERROR(INDEX(事件規則!$B$2:$B$53,MATCH(S1781,事件規則!$A$2:$A$53,0)),"")))</f>
        <v>無關新聞事件</v>
      </c>
      <c r="U1781" s="20" t="n">
        <f aca="false">IF(R1781="維持",K1781,IF(R1781="排除",0,IFERROR(INDEX(事件規則!$C$2:$C$53,MATCH(S1781,事件規則!$A$2:$A$53,0)),"")))</f>
        <v>0</v>
      </c>
      <c r="V1781" s="21"/>
      <c r="W1781" s="22"/>
      <c r="X1781" s="10" t="str">
        <f aca="false">IF(AND(R1781="修改",S1781=""),"請選新事件代碼",IF(AND(R1781&lt;&gt;"修改",S1781&lt;&gt;""),"只有「修改」才需填代碼",""))</f>
        <v/>
      </c>
      <c r="Y1781" s="21"/>
      <c r="Z1781" s="22"/>
      <c r="AA1781" s="12" t="s">
        <v>4607</v>
      </c>
      <c r="AB1781" s="24"/>
    </row>
    <row r="1782" customFormat="false" ht="29.85" hidden="false" customHeight="false" outlineLevel="0" collapsed="false">
      <c r="A1782" s="15" t="n">
        <v>1781</v>
      </c>
      <c r="B1782" s="9" t="s">
        <v>81</v>
      </c>
      <c r="C1782" s="9" t="s">
        <v>178</v>
      </c>
      <c r="D1782" s="10" t="s">
        <v>179</v>
      </c>
      <c r="E1782" s="11" t="s">
        <v>4608</v>
      </c>
      <c r="F1782" s="17"/>
      <c r="G1782" s="12" t="s">
        <v>649</v>
      </c>
      <c r="H1782" s="13" t="n">
        <v>-0.012</v>
      </c>
      <c r="I1782" s="14"/>
      <c r="J1782" s="17"/>
      <c r="K1782" s="9"/>
      <c r="L1782" s="15" t="s">
        <v>50</v>
      </c>
      <c r="M1782" s="16" t="s">
        <v>51</v>
      </c>
      <c r="N1782" s="14"/>
      <c r="O1782" s="15" t="s">
        <v>52</v>
      </c>
      <c r="P1782" s="17" t="s">
        <v>53</v>
      </c>
      <c r="Q1782" s="15"/>
      <c r="R1782" s="18" t="s">
        <v>51</v>
      </c>
      <c r="S1782" s="19"/>
      <c r="T1782" s="17" t="str">
        <f aca="false">IF(R1782="維持",J1782,IF(R1782="排除","無關新聞事件",IFERROR(INDEX(事件規則!$B$2:$B$53,MATCH(S1782,事件規則!$A$2:$A$53,0)),"")))</f>
        <v>無關新聞事件</v>
      </c>
      <c r="U1782" s="20" t="n">
        <f aca="false">IF(R1782="維持",K1782,IF(R1782="排除",0,IFERROR(INDEX(事件規則!$C$2:$C$53,MATCH(S1782,事件規則!$A$2:$A$53,0)),"")))</f>
        <v>0</v>
      </c>
      <c r="V1782" s="21"/>
      <c r="W1782" s="22"/>
      <c r="X1782" s="10" t="str">
        <f aca="false">IF(AND(R1782="修改",S1782=""),"請選新事件代碼",IF(AND(R1782&lt;&gt;"修改",S1782&lt;&gt;""),"只有「修改」才需填代碼",""))</f>
        <v/>
      </c>
      <c r="Y1782" s="21"/>
      <c r="Z1782" s="22"/>
      <c r="AA1782" s="12" t="s">
        <v>4609</v>
      </c>
      <c r="AB1782" s="24"/>
    </row>
    <row r="1783" customFormat="false" ht="29.85" hidden="false" customHeight="false" outlineLevel="0" collapsed="false">
      <c r="A1783" s="15" t="n">
        <v>1782</v>
      </c>
      <c r="B1783" s="9" t="s">
        <v>55</v>
      </c>
      <c r="C1783" s="9" t="s">
        <v>1070</v>
      </c>
      <c r="D1783" s="10" t="s">
        <v>1071</v>
      </c>
      <c r="E1783" s="11" t="s">
        <v>4610</v>
      </c>
      <c r="F1783" s="17"/>
      <c r="G1783" s="12" t="s">
        <v>766</v>
      </c>
      <c r="H1783" s="13" t="n">
        <v>-0.012</v>
      </c>
      <c r="I1783" s="14"/>
      <c r="J1783" s="17"/>
      <c r="K1783" s="9"/>
      <c r="L1783" s="15" t="s">
        <v>50</v>
      </c>
      <c r="M1783" s="16" t="s">
        <v>51</v>
      </c>
      <c r="N1783" s="14"/>
      <c r="O1783" s="15" t="s">
        <v>52</v>
      </c>
      <c r="P1783" s="17" t="s">
        <v>53</v>
      </c>
      <c r="Q1783" s="15"/>
      <c r="R1783" s="18" t="s">
        <v>51</v>
      </c>
      <c r="S1783" s="19"/>
      <c r="T1783" s="17" t="str">
        <f aca="false">IF(R1783="維持",J1783,IF(R1783="排除","無關新聞事件",IFERROR(INDEX(事件規則!$B$2:$B$53,MATCH(S1783,事件規則!$A$2:$A$53,0)),"")))</f>
        <v>無關新聞事件</v>
      </c>
      <c r="U1783" s="20" t="n">
        <f aca="false">IF(R1783="維持",K1783,IF(R1783="排除",0,IFERROR(INDEX(事件規則!$C$2:$C$53,MATCH(S1783,事件規則!$A$2:$A$53,0)),"")))</f>
        <v>0</v>
      </c>
      <c r="V1783" s="21"/>
      <c r="W1783" s="22"/>
      <c r="X1783" s="10" t="str">
        <f aca="false">IF(AND(R1783="修改",S1783=""),"請選新事件代碼",IF(AND(R1783&lt;&gt;"修改",S1783&lt;&gt;""),"只有「修改」才需填代碼",""))</f>
        <v/>
      </c>
      <c r="Y1783" s="21"/>
      <c r="Z1783" s="22"/>
      <c r="AA1783" s="12" t="s">
        <v>4611</v>
      </c>
      <c r="AB1783" s="24"/>
    </row>
    <row r="1784" customFormat="false" ht="29.85" hidden="false" customHeight="false" outlineLevel="0" collapsed="false">
      <c r="A1784" s="15" t="n">
        <v>1783</v>
      </c>
      <c r="B1784" s="9" t="s">
        <v>55</v>
      </c>
      <c r="C1784" s="9" t="s">
        <v>885</v>
      </c>
      <c r="D1784" s="10" t="s">
        <v>886</v>
      </c>
      <c r="E1784" s="11" t="s">
        <v>4612</v>
      </c>
      <c r="F1784" s="17"/>
      <c r="G1784" s="12" t="s">
        <v>95</v>
      </c>
      <c r="H1784" s="13" t="n">
        <v>-0.012</v>
      </c>
      <c r="I1784" s="14"/>
      <c r="J1784" s="17"/>
      <c r="K1784" s="9"/>
      <c r="L1784" s="15" t="s">
        <v>50</v>
      </c>
      <c r="M1784" s="16" t="s">
        <v>51</v>
      </c>
      <c r="N1784" s="14"/>
      <c r="O1784" s="15" t="s">
        <v>52</v>
      </c>
      <c r="P1784" s="17" t="s">
        <v>53</v>
      </c>
      <c r="Q1784" s="15"/>
      <c r="R1784" s="18" t="s">
        <v>51</v>
      </c>
      <c r="S1784" s="19"/>
      <c r="T1784" s="17" t="str">
        <f aca="false">IF(R1784="維持",J1784,IF(R1784="排除","無關新聞事件",IFERROR(INDEX(事件規則!$B$2:$B$53,MATCH(S1784,事件規則!$A$2:$A$53,0)),"")))</f>
        <v>無關新聞事件</v>
      </c>
      <c r="U1784" s="20" t="n">
        <f aca="false">IF(R1784="維持",K1784,IF(R1784="排除",0,IFERROR(INDEX(事件規則!$C$2:$C$53,MATCH(S1784,事件規則!$A$2:$A$53,0)),"")))</f>
        <v>0</v>
      </c>
      <c r="V1784" s="21"/>
      <c r="W1784" s="22"/>
      <c r="X1784" s="10" t="str">
        <f aca="false">IF(AND(R1784="修改",S1784=""),"請選新事件代碼",IF(AND(R1784&lt;&gt;"修改",S1784&lt;&gt;""),"只有「修改」才需填代碼",""))</f>
        <v/>
      </c>
      <c r="Y1784" s="21"/>
      <c r="Z1784" s="22"/>
      <c r="AA1784" s="12" t="s">
        <v>4613</v>
      </c>
      <c r="AB1784" s="24"/>
    </row>
    <row r="1785" customFormat="false" ht="29.85" hidden="false" customHeight="false" outlineLevel="0" collapsed="false">
      <c r="A1785" s="15" t="n">
        <v>1784</v>
      </c>
      <c r="B1785" s="9" t="s">
        <v>55</v>
      </c>
      <c r="C1785" s="9" t="s">
        <v>1672</v>
      </c>
      <c r="D1785" s="10" t="s">
        <v>1673</v>
      </c>
      <c r="E1785" s="11" t="s">
        <v>4614</v>
      </c>
      <c r="F1785" s="17"/>
      <c r="G1785" s="12" t="s">
        <v>164</v>
      </c>
      <c r="H1785" s="13" t="n">
        <v>-0.012</v>
      </c>
      <c r="I1785" s="14"/>
      <c r="J1785" s="17"/>
      <c r="K1785" s="9"/>
      <c r="L1785" s="15" t="s">
        <v>50</v>
      </c>
      <c r="M1785" s="16" t="s">
        <v>51</v>
      </c>
      <c r="N1785" s="14"/>
      <c r="O1785" s="15" t="s">
        <v>52</v>
      </c>
      <c r="P1785" s="17" t="s">
        <v>53</v>
      </c>
      <c r="Q1785" s="15"/>
      <c r="R1785" s="18" t="s">
        <v>51</v>
      </c>
      <c r="S1785" s="19"/>
      <c r="T1785" s="17" t="str">
        <f aca="false">IF(R1785="維持",J1785,IF(R1785="排除","無關新聞事件",IFERROR(INDEX(事件規則!$B$2:$B$53,MATCH(S1785,事件規則!$A$2:$A$53,0)),"")))</f>
        <v>無關新聞事件</v>
      </c>
      <c r="U1785" s="20" t="n">
        <f aca="false">IF(R1785="維持",K1785,IF(R1785="排除",0,IFERROR(INDEX(事件規則!$C$2:$C$53,MATCH(S1785,事件規則!$A$2:$A$53,0)),"")))</f>
        <v>0</v>
      </c>
      <c r="V1785" s="21"/>
      <c r="W1785" s="22"/>
      <c r="X1785" s="10" t="str">
        <f aca="false">IF(AND(R1785="修改",S1785=""),"請選新事件代碼",IF(AND(R1785&lt;&gt;"修改",S1785&lt;&gt;""),"只有「修改」才需填代碼",""))</f>
        <v/>
      </c>
      <c r="Y1785" s="21"/>
      <c r="Z1785" s="22"/>
      <c r="AA1785" s="12" t="s">
        <v>4615</v>
      </c>
      <c r="AB1785" s="24"/>
    </row>
    <row r="1786" customFormat="false" ht="29.85" hidden="false" customHeight="false" outlineLevel="0" collapsed="false">
      <c r="A1786" s="15" t="n">
        <v>1785</v>
      </c>
      <c r="B1786" s="9" t="s">
        <v>81</v>
      </c>
      <c r="C1786" s="9" t="s">
        <v>476</v>
      </c>
      <c r="D1786" s="10" t="s">
        <v>477</v>
      </c>
      <c r="E1786" s="11" t="s">
        <v>4616</v>
      </c>
      <c r="F1786" s="17"/>
      <c r="G1786" s="12" t="s">
        <v>1136</v>
      </c>
      <c r="H1786" s="13" t="n">
        <v>-0.012</v>
      </c>
      <c r="I1786" s="14"/>
      <c r="J1786" s="17"/>
      <c r="K1786" s="9"/>
      <c r="L1786" s="15" t="s">
        <v>50</v>
      </c>
      <c r="M1786" s="16" t="s">
        <v>51</v>
      </c>
      <c r="N1786" s="14"/>
      <c r="O1786" s="15" t="s">
        <v>52</v>
      </c>
      <c r="P1786" s="17" t="s">
        <v>53</v>
      </c>
      <c r="Q1786" s="15"/>
      <c r="R1786" s="18" t="s">
        <v>51</v>
      </c>
      <c r="S1786" s="19"/>
      <c r="T1786" s="17" t="str">
        <f aca="false">IF(R1786="維持",J1786,IF(R1786="排除","無關新聞事件",IFERROR(INDEX(事件規則!$B$2:$B$53,MATCH(S1786,事件規則!$A$2:$A$53,0)),"")))</f>
        <v>無關新聞事件</v>
      </c>
      <c r="U1786" s="20" t="n">
        <f aca="false">IF(R1786="維持",K1786,IF(R1786="排除",0,IFERROR(INDEX(事件規則!$C$2:$C$53,MATCH(S1786,事件規則!$A$2:$A$53,0)),"")))</f>
        <v>0</v>
      </c>
      <c r="V1786" s="21"/>
      <c r="W1786" s="22"/>
      <c r="X1786" s="10" t="str">
        <f aca="false">IF(AND(R1786="修改",S1786=""),"請選新事件代碼",IF(AND(R1786&lt;&gt;"修改",S1786&lt;&gt;""),"只有「修改」才需填代碼",""))</f>
        <v/>
      </c>
      <c r="Y1786" s="21"/>
      <c r="Z1786" s="22"/>
      <c r="AA1786" s="12" t="s">
        <v>4617</v>
      </c>
      <c r="AB1786" s="24"/>
    </row>
    <row r="1787" customFormat="false" ht="29.85" hidden="false" customHeight="false" outlineLevel="0" collapsed="false">
      <c r="A1787" s="15" t="n">
        <v>1786</v>
      </c>
      <c r="B1787" s="9" t="s">
        <v>112</v>
      </c>
      <c r="C1787" s="9" t="s">
        <v>1967</v>
      </c>
      <c r="D1787" s="10" t="s">
        <v>1968</v>
      </c>
      <c r="E1787" s="11" t="s">
        <v>4618</v>
      </c>
      <c r="F1787" s="17"/>
      <c r="G1787" s="12" t="s">
        <v>1136</v>
      </c>
      <c r="H1787" s="13" t="n">
        <v>-0.012</v>
      </c>
      <c r="I1787" s="14"/>
      <c r="J1787" s="17"/>
      <c r="K1787" s="9"/>
      <c r="L1787" s="15" t="s">
        <v>50</v>
      </c>
      <c r="M1787" s="16" t="s">
        <v>51</v>
      </c>
      <c r="N1787" s="14"/>
      <c r="O1787" s="15" t="s">
        <v>52</v>
      </c>
      <c r="P1787" s="17" t="s">
        <v>53</v>
      </c>
      <c r="Q1787" s="15"/>
      <c r="R1787" s="18" t="s">
        <v>51</v>
      </c>
      <c r="S1787" s="19"/>
      <c r="T1787" s="17" t="str">
        <f aca="false">IF(R1787="維持",J1787,IF(R1787="排除","無關新聞事件",IFERROR(INDEX(事件規則!$B$2:$B$53,MATCH(S1787,事件規則!$A$2:$A$53,0)),"")))</f>
        <v>無關新聞事件</v>
      </c>
      <c r="U1787" s="20" t="n">
        <f aca="false">IF(R1787="維持",K1787,IF(R1787="排除",0,IFERROR(INDEX(事件規則!$C$2:$C$53,MATCH(S1787,事件規則!$A$2:$A$53,0)),"")))</f>
        <v>0</v>
      </c>
      <c r="V1787" s="21"/>
      <c r="W1787" s="22"/>
      <c r="X1787" s="10" t="str">
        <f aca="false">IF(AND(R1787="修改",S1787=""),"請選新事件代碼",IF(AND(R1787&lt;&gt;"修改",S1787&lt;&gt;""),"只有「修改」才需填代碼",""))</f>
        <v/>
      </c>
      <c r="Y1787" s="21"/>
      <c r="Z1787" s="22"/>
      <c r="AA1787" s="12" t="s">
        <v>4619</v>
      </c>
      <c r="AB1787" s="24"/>
    </row>
    <row r="1788" customFormat="false" ht="29.85" hidden="false" customHeight="false" outlineLevel="0" collapsed="false">
      <c r="A1788" s="15" t="n">
        <v>1787</v>
      </c>
      <c r="B1788" s="9" t="s">
        <v>55</v>
      </c>
      <c r="C1788" s="9" t="s">
        <v>4620</v>
      </c>
      <c r="D1788" s="10" t="s">
        <v>4621</v>
      </c>
      <c r="E1788" s="11" t="s">
        <v>4622</v>
      </c>
      <c r="F1788" s="17"/>
      <c r="G1788" s="12" t="s">
        <v>4623</v>
      </c>
      <c r="H1788" s="13" t="n">
        <v>-0.012</v>
      </c>
      <c r="I1788" s="14"/>
      <c r="J1788" s="17"/>
      <c r="K1788" s="9"/>
      <c r="L1788" s="15" t="s">
        <v>50</v>
      </c>
      <c r="M1788" s="16" t="s">
        <v>51</v>
      </c>
      <c r="N1788" s="14"/>
      <c r="O1788" s="15" t="s">
        <v>52</v>
      </c>
      <c r="P1788" s="17" t="s">
        <v>53</v>
      </c>
      <c r="Q1788" s="15"/>
      <c r="R1788" s="18" t="s">
        <v>51</v>
      </c>
      <c r="S1788" s="19"/>
      <c r="T1788" s="17" t="str">
        <f aca="false">IF(R1788="維持",J1788,IF(R1788="排除","無關新聞事件",IFERROR(INDEX(事件規則!$B$2:$B$53,MATCH(S1788,事件規則!$A$2:$A$53,0)),"")))</f>
        <v>無關新聞事件</v>
      </c>
      <c r="U1788" s="20" t="n">
        <f aca="false">IF(R1788="維持",K1788,IF(R1788="排除",0,IFERROR(INDEX(事件規則!$C$2:$C$53,MATCH(S1788,事件規則!$A$2:$A$53,0)),"")))</f>
        <v>0</v>
      </c>
      <c r="V1788" s="21"/>
      <c r="W1788" s="22"/>
      <c r="X1788" s="10" t="str">
        <f aca="false">IF(AND(R1788="修改",S1788=""),"請選新事件代碼",IF(AND(R1788&lt;&gt;"修改",S1788&lt;&gt;""),"只有「修改」才需填代碼",""))</f>
        <v/>
      </c>
      <c r="Y1788" s="21"/>
      <c r="Z1788" s="22"/>
      <c r="AA1788" s="12" t="s">
        <v>4624</v>
      </c>
      <c r="AB1788" s="24"/>
    </row>
    <row r="1789" customFormat="false" ht="29.85" hidden="false" customHeight="false" outlineLevel="0" collapsed="false">
      <c r="A1789" s="15" t="n">
        <v>1788</v>
      </c>
      <c r="B1789" s="9" t="s">
        <v>81</v>
      </c>
      <c r="C1789" s="9" t="s">
        <v>113</v>
      </c>
      <c r="D1789" s="10" t="s">
        <v>114</v>
      </c>
      <c r="E1789" s="11" t="s">
        <v>4625</v>
      </c>
      <c r="F1789" s="17"/>
      <c r="G1789" s="12" t="s">
        <v>661</v>
      </c>
      <c r="H1789" s="13" t="n">
        <v>-0.012</v>
      </c>
      <c r="I1789" s="14"/>
      <c r="J1789" s="17"/>
      <c r="K1789" s="9"/>
      <c r="L1789" s="15" t="s">
        <v>50</v>
      </c>
      <c r="M1789" s="16" t="s">
        <v>51</v>
      </c>
      <c r="N1789" s="14"/>
      <c r="O1789" s="15" t="s">
        <v>52</v>
      </c>
      <c r="P1789" s="17" t="s">
        <v>53</v>
      </c>
      <c r="Q1789" s="15"/>
      <c r="R1789" s="18" t="s">
        <v>51</v>
      </c>
      <c r="S1789" s="19"/>
      <c r="T1789" s="17" t="str">
        <f aca="false">IF(R1789="維持",J1789,IF(R1789="排除","無關新聞事件",IFERROR(INDEX(事件規則!$B$2:$B$53,MATCH(S1789,事件規則!$A$2:$A$53,0)),"")))</f>
        <v>無關新聞事件</v>
      </c>
      <c r="U1789" s="20" t="n">
        <f aca="false">IF(R1789="維持",K1789,IF(R1789="排除",0,IFERROR(INDEX(事件規則!$C$2:$C$53,MATCH(S1789,事件規則!$A$2:$A$53,0)),"")))</f>
        <v>0</v>
      </c>
      <c r="V1789" s="21"/>
      <c r="W1789" s="22"/>
      <c r="X1789" s="10" t="str">
        <f aca="false">IF(AND(R1789="修改",S1789=""),"請選新事件代碼",IF(AND(R1789&lt;&gt;"修改",S1789&lt;&gt;""),"只有「修改」才需填代碼",""))</f>
        <v/>
      </c>
      <c r="Y1789" s="21"/>
      <c r="Z1789" s="22"/>
      <c r="AA1789" s="12" t="s">
        <v>4626</v>
      </c>
      <c r="AB1789" s="24"/>
    </row>
    <row r="1790" customFormat="false" ht="29.85" hidden="false" customHeight="false" outlineLevel="0" collapsed="false">
      <c r="A1790" s="15" t="n">
        <v>1789</v>
      </c>
      <c r="B1790" s="9" t="s">
        <v>45</v>
      </c>
      <c r="C1790" s="9" t="s">
        <v>76</v>
      </c>
      <c r="D1790" s="10" t="s">
        <v>77</v>
      </c>
      <c r="E1790" s="11" t="s">
        <v>4627</v>
      </c>
      <c r="F1790" s="17"/>
      <c r="G1790" s="12" t="s">
        <v>59</v>
      </c>
      <c r="H1790" s="13" t="n">
        <v>-0.012</v>
      </c>
      <c r="I1790" s="14"/>
      <c r="J1790" s="17"/>
      <c r="K1790" s="9"/>
      <c r="L1790" s="15" t="s">
        <v>50</v>
      </c>
      <c r="M1790" s="16" t="s">
        <v>51</v>
      </c>
      <c r="N1790" s="14"/>
      <c r="O1790" s="15" t="s">
        <v>52</v>
      </c>
      <c r="P1790" s="17" t="s">
        <v>53</v>
      </c>
      <c r="Q1790" s="15"/>
      <c r="R1790" s="18" t="s">
        <v>51</v>
      </c>
      <c r="S1790" s="19"/>
      <c r="T1790" s="17" t="str">
        <f aca="false">IF(R1790="維持",J1790,IF(R1790="排除","無關新聞事件",IFERROR(INDEX(事件規則!$B$2:$B$53,MATCH(S1790,事件規則!$A$2:$A$53,0)),"")))</f>
        <v>無關新聞事件</v>
      </c>
      <c r="U1790" s="20" t="n">
        <f aca="false">IF(R1790="維持",K1790,IF(R1790="排除",0,IFERROR(INDEX(事件規則!$C$2:$C$53,MATCH(S1790,事件規則!$A$2:$A$53,0)),"")))</f>
        <v>0</v>
      </c>
      <c r="V1790" s="21"/>
      <c r="W1790" s="22"/>
      <c r="X1790" s="10" t="str">
        <f aca="false">IF(AND(R1790="修改",S1790=""),"請選新事件代碼",IF(AND(R1790&lt;&gt;"修改",S1790&lt;&gt;""),"只有「修改」才需填代碼",""))</f>
        <v/>
      </c>
      <c r="Y1790" s="21"/>
      <c r="Z1790" s="22"/>
      <c r="AA1790" s="12" t="s">
        <v>4628</v>
      </c>
      <c r="AB1790" s="24"/>
    </row>
    <row r="1791" customFormat="false" ht="29.85" hidden="false" customHeight="false" outlineLevel="0" collapsed="false">
      <c r="A1791" s="15" t="n">
        <v>1790</v>
      </c>
      <c r="B1791" s="9" t="s">
        <v>112</v>
      </c>
      <c r="C1791" s="9" t="s">
        <v>315</v>
      </c>
      <c r="D1791" s="10" t="s">
        <v>316</v>
      </c>
      <c r="E1791" s="11" t="s">
        <v>4629</v>
      </c>
      <c r="F1791" s="17"/>
      <c r="G1791" s="12" t="s">
        <v>176</v>
      </c>
      <c r="H1791" s="13" t="n">
        <v>-0.012</v>
      </c>
      <c r="I1791" s="14"/>
      <c r="J1791" s="17"/>
      <c r="K1791" s="9"/>
      <c r="L1791" s="15" t="s">
        <v>50</v>
      </c>
      <c r="M1791" s="16" t="s">
        <v>51</v>
      </c>
      <c r="N1791" s="14"/>
      <c r="O1791" s="15" t="s">
        <v>52</v>
      </c>
      <c r="P1791" s="17" t="s">
        <v>53</v>
      </c>
      <c r="Q1791" s="15"/>
      <c r="R1791" s="18" t="s">
        <v>51</v>
      </c>
      <c r="S1791" s="19"/>
      <c r="T1791" s="17" t="str">
        <f aca="false">IF(R1791="維持",J1791,IF(R1791="排除","無關新聞事件",IFERROR(INDEX(事件規則!$B$2:$B$53,MATCH(S1791,事件規則!$A$2:$A$53,0)),"")))</f>
        <v>無關新聞事件</v>
      </c>
      <c r="U1791" s="20" t="n">
        <f aca="false">IF(R1791="維持",K1791,IF(R1791="排除",0,IFERROR(INDEX(事件規則!$C$2:$C$53,MATCH(S1791,事件規則!$A$2:$A$53,0)),"")))</f>
        <v>0</v>
      </c>
      <c r="V1791" s="21"/>
      <c r="W1791" s="22"/>
      <c r="X1791" s="10" t="str">
        <f aca="false">IF(AND(R1791="修改",S1791=""),"請選新事件代碼",IF(AND(R1791&lt;&gt;"修改",S1791&lt;&gt;""),"只有「修改」才需填代碼",""))</f>
        <v/>
      </c>
      <c r="Y1791" s="21"/>
      <c r="Z1791" s="22"/>
      <c r="AA1791" s="12" t="s">
        <v>4630</v>
      </c>
      <c r="AB1791" s="24"/>
    </row>
    <row r="1792" customFormat="false" ht="29.85" hidden="false" customHeight="false" outlineLevel="0" collapsed="false">
      <c r="A1792" s="15" t="n">
        <v>1791</v>
      </c>
      <c r="B1792" s="9" t="s">
        <v>45</v>
      </c>
      <c r="C1792" s="9" t="s">
        <v>227</v>
      </c>
      <c r="D1792" s="10" t="s">
        <v>228</v>
      </c>
      <c r="E1792" s="11" t="s">
        <v>4631</v>
      </c>
      <c r="F1792" s="17"/>
      <c r="G1792" s="12" t="s">
        <v>59</v>
      </c>
      <c r="H1792" s="13" t="n">
        <v>-0.012</v>
      </c>
      <c r="I1792" s="14"/>
      <c r="J1792" s="17"/>
      <c r="K1792" s="9"/>
      <c r="L1792" s="15" t="s">
        <v>50</v>
      </c>
      <c r="M1792" s="16" t="s">
        <v>51</v>
      </c>
      <c r="N1792" s="14"/>
      <c r="O1792" s="15" t="s">
        <v>52</v>
      </c>
      <c r="P1792" s="17" t="s">
        <v>53</v>
      </c>
      <c r="Q1792" s="15"/>
      <c r="R1792" s="18" t="s">
        <v>51</v>
      </c>
      <c r="S1792" s="19"/>
      <c r="T1792" s="17" t="str">
        <f aca="false">IF(R1792="維持",J1792,IF(R1792="排除","無關新聞事件",IFERROR(INDEX(事件規則!$B$2:$B$53,MATCH(S1792,事件規則!$A$2:$A$53,0)),"")))</f>
        <v>無關新聞事件</v>
      </c>
      <c r="U1792" s="20" t="n">
        <f aca="false">IF(R1792="維持",K1792,IF(R1792="排除",0,IFERROR(INDEX(事件規則!$C$2:$C$53,MATCH(S1792,事件規則!$A$2:$A$53,0)),"")))</f>
        <v>0</v>
      </c>
      <c r="V1792" s="21"/>
      <c r="W1792" s="22"/>
      <c r="X1792" s="10" t="str">
        <f aca="false">IF(AND(R1792="修改",S1792=""),"請選新事件代碼",IF(AND(R1792&lt;&gt;"修改",S1792&lt;&gt;""),"只有「修改」才需填代碼",""))</f>
        <v/>
      </c>
      <c r="Y1792" s="21"/>
      <c r="Z1792" s="22"/>
      <c r="AA1792" s="12" t="s">
        <v>4632</v>
      </c>
      <c r="AB1792" s="24"/>
    </row>
    <row r="1793" customFormat="false" ht="29.85" hidden="false" customHeight="false" outlineLevel="0" collapsed="false">
      <c r="A1793" s="15" t="n">
        <v>1792</v>
      </c>
      <c r="B1793" s="9" t="s">
        <v>45</v>
      </c>
      <c r="C1793" s="9" t="s">
        <v>1121</v>
      </c>
      <c r="D1793" s="10" t="s">
        <v>1122</v>
      </c>
      <c r="E1793" s="11" t="s">
        <v>4633</v>
      </c>
      <c r="F1793" s="17"/>
      <c r="G1793" s="12" t="s">
        <v>176</v>
      </c>
      <c r="H1793" s="13" t="n">
        <v>-0.012</v>
      </c>
      <c r="I1793" s="14"/>
      <c r="J1793" s="17"/>
      <c r="K1793" s="9"/>
      <c r="L1793" s="15" t="s">
        <v>50</v>
      </c>
      <c r="M1793" s="16" t="s">
        <v>51</v>
      </c>
      <c r="N1793" s="14"/>
      <c r="O1793" s="15" t="s">
        <v>52</v>
      </c>
      <c r="P1793" s="17" t="s">
        <v>53</v>
      </c>
      <c r="Q1793" s="15"/>
      <c r="R1793" s="18" t="s">
        <v>51</v>
      </c>
      <c r="S1793" s="19"/>
      <c r="T1793" s="17" t="str">
        <f aca="false">IF(R1793="維持",J1793,IF(R1793="排除","無關新聞事件",IFERROR(INDEX(事件規則!$B$2:$B$53,MATCH(S1793,事件規則!$A$2:$A$53,0)),"")))</f>
        <v>無關新聞事件</v>
      </c>
      <c r="U1793" s="20" t="n">
        <f aca="false">IF(R1793="維持",K1793,IF(R1793="排除",0,IFERROR(INDEX(事件規則!$C$2:$C$53,MATCH(S1793,事件規則!$A$2:$A$53,0)),"")))</f>
        <v>0</v>
      </c>
      <c r="V1793" s="21"/>
      <c r="W1793" s="22"/>
      <c r="X1793" s="10" t="str">
        <f aca="false">IF(AND(R1793="修改",S1793=""),"請選新事件代碼",IF(AND(R1793&lt;&gt;"修改",S1793&lt;&gt;""),"只有「修改」才需填代碼",""))</f>
        <v/>
      </c>
      <c r="Y1793" s="21"/>
      <c r="Z1793" s="22"/>
      <c r="AA1793" s="12" t="s">
        <v>4634</v>
      </c>
      <c r="AB1793" s="24"/>
    </row>
    <row r="1794" customFormat="false" ht="29.85" hidden="false" customHeight="false" outlineLevel="0" collapsed="false">
      <c r="A1794" s="15" t="n">
        <v>1793</v>
      </c>
      <c r="B1794" s="9" t="s">
        <v>112</v>
      </c>
      <c r="C1794" s="9" t="s">
        <v>2289</v>
      </c>
      <c r="D1794" s="10" t="s">
        <v>2290</v>
      </c>
      <c r="E1794" s="11" t="s">
        <v>4635</v>
      </c>
      <c r="F1794" s="17"/>
      <c r="G1794" s="12" t="s">
        <v>95</v>
      </c>
      <c r="H1794" s="13" t="n">
        <v>-0.012</v>
      </c>
      <c r="I1794" s="14"/>
      <c r="J1794" s="17"/>
      <c r="K1794" s="9"/>
      <c r="L1794" s="15" t="s">
        <v>50</v>
      </c>
      <c r="M1794" s="16" t="s">
        <v>51</v>
      </c>
      <c r="N1794" s="14"/>
      <c r="O1794" s="15" t="s">
        <v>52</v>
      </c>
      <c r="P1794" s="17" t="s">
        <v>53</v>
      </c>
      <c r="Q1794" s="15"/>
      <c r="R1794" s="18" t="s">
        <v>51</v>
      </c>
      <c r="S1794" s="19"/>
      <c r="T1794" s="17" t="str">
        <f aca="false">IF(R1794="維持",J1794,IF(R1794="排除","無關新聞事件",IFERROR(INDEX(事件規則!$B$2:$B$53,MATCH(S1794,事件規則!$A$2:$A$53,0)),"")))</f>
        <v>無關新聞事件</v>
      </c>
      <c r="U1794" s="20" t="n">
        <f aca="false">IF(R1794="維持",K1794,IF(R1794="排除",0,IFERROR(INDEX(事件規則!$C$2:$C$53,MATCH(S1794,事件規則!$A$2:$A$53,0)),"")))</f>
        <v>0</v>
      </c>
      <c r="V1794" s="21"/>
      <c r="W1794" s="22"/>
      <c r="X1794" s="10" t="str">
        <f aca="false">IF(AND(R1794="修改",S1794=""),"請選新事件代碼",IF(AND(R1794&lt;&gt;"修改",S1794&lt;&gt;""),"只有「修改」才需填代碼",""))</f>
        <v/>
      </c>
      <c r="Y1794" s="21"/>
      <c r="Z1794" s="22"/>
      <c r="AA1794" s="12" t="s">
        <v>4636</v>
      </c>
      <c r="AB1794" s="24"/>
    </row>
    <row r="1795" customFormat="false" ht="29.85" hidden="false" customHeight="false" outlineLevel="0" collapsed="false">
      <c r="A1795" s="15" t="n">
        <v>1794</v>
      </c>
      <c r="B1795" s="9" t="s">
        <v>55</v>
      </c>
      <c r="C1795" s="9" t="s">
        <v>4637</v>
      </c>
      <c r="D1795" s="10" t="s">
        <v>4638</v>
      </c>
      <c r="E1795" s="11" t="s">
        <v>4639</v>
      </c>
      <c r="F1795" s="17"/>
      <c r="G1795" s="12" t="s">
        <v>3960</v>
      </c>
      <c r="H1795" s="13" t="n">
        <v>-0.012</v>
      </c>
      <c r="I1795" s="14"/>
      <c r="J1795" s="17"/>
      <c r="K1795" s="9"/>
      <c r="L1795" s="15" t="s">
        <v>50</v>
      </c>
      <c r="M1795" s="16" t="s">
        <v>51</v>
      </c>
      <c r="N1795" s="14"/>
      <c r="O1795" s="15" t="s">
        <v>52</v>
      </c>
      <c r="P1795" s="17" t="s">
        <v>53</v>
      </c>
      <c r="Q1795" s="15"/>
      <c r="R1795" s="18" t="s">
        <v>51</v>
      </c>
      <c r="S1795" s="19"/>
      <c r="T1795" s="17" t="str">
        <f aca="false">IF(R1795="維持",J1795,IF(R1795="排除","無關新聞事件",IFERROR(INDEX(事件規則!$B$2:$B$53,MATCH(S1795,事件規則!$A$2:$A$53,0)),"")))</f>
        <v>無關新聞事件</v>
      </c>
      <c r="U1795" s="20" t="n">
        <f aca="false">IF(R1795="維持",K1795,IF(R1795="排除",0,IFERROR(INDEX(事件規則!$C$2:$C$53,MATCH(S1795,事件規則!$A$2:$A$53,0)),"")))</f>
        <v>0</v>
      </c>
      <c r="V1795" s="21"/>
      <c r="W1795" s="22"/>
      <c r="X1795" s="10" t="str">
        <f aca="false">IF(AND(R1795="修改",S1795=""),"請選新事件代碼",IF(AND(R1795&lt;&gt;"修改",S1795&lt;&gt;""),"只有「修改」才需填代碼",""))</f>
        <v/>
      </c>
      <c r="Y1795" s="21"/>
      <c r="Z1795" s="22"/>
      <c r="AA1795" s="12" t="s">
        <v>4640</v>
      </c>
      <c r="AB1795" s="24"/>
    </row>
    <row r="1796" customFormat="false" ht="29.85" hidden="false" customHeight="false" outlineLevel="0" collapsed="false">
      <c r="A1796" s="15" t="n">
        <v>1795</v>
      </c>
      <c r="B1796" s="9" t="s">
        <v>112</v>
      </c>
      <c r="C1796" s="9" t="s">
        <v>997</v>
      </c>
      <c r="D1796" s="10" t="s">
        <v>998</v>
      </c>
      <c r="E1796" s="11" t="s">
        <v>4641</v>
      </c>
      <c r="F1796" s="17"/>
      <c r="G1796" s="12" t="s">
        <v>164</v>
      </c>
      <c r="H1796" s="13" t="n">
        <v>-0.012</v>
      </c>
      <c r="I1796" s="14"/>
      <c r="J1796" s="17"/>
      <c r="K1796" s="9"/>
      <c r="L1796" s="15" t="s">
        <v>50</v>
      </c>
      <c r="M1796" s="16" t="s">
        <v>51</v>
      </c>
      <c r="N1796" s="14"/>
      <c r="O1796" s="15" t="s">
        <v>52</v>
      </c>
      <c r="P1796" s="17" t="s">
        <v>53</v>
      </c>
      <c r="Q1796" s="15"/>
      <c r="R1796" s="18" t="s">
        <v>51</v>
      </c>
      <c r="S1796" s="19"/>
      <c r="T1796" s="17" t="str">
        <f aca="false">IF(R1796="維持",J1796,IF(R1796="排除","無關新聞事件",IFERROR(INDEX(事件規則!$B$2:$B$53,MATCH(S1796,事件規則!$A$2:$A$53,0)),"")))</f>
        <v>無關新聞事件</v>
      </c>
      <c r="U1796" s="20" t="n">
        <f aca="false">IF(R1796="維持",K1796,IF(R1796="排除",0,IFERROR(INDEX(事件規則!$C$2:$C$53,MATCH(S1796,事件規則!$A$2:$A$53,0)),"")))</f>
        <v>0</v>
      </c>
      <c r="V1796" s="21"/>
      <c r="W1796" s="22"/>
      <c r="X1796" s="10" t="str">
        <f aca="false">IF(AND(R1796="修改",S1796=""),"請選新事件代碼",IF(AND(R1796&lt;&gt;"修改",S1796&lt;&gt;""),"只有「修改」才需填代碼",""))</f>
        <v/>
      </c>
      <c r="Y1796" s="21"/>
      <c r="Z1796" s="22"/>
      <c r="AA1796" s="12" t="s">
        <v>4642</v>
      </c>
      <c r="AB1796" s="24"/>
    </row>
    <row r="1797" customFormat="false" ht="29.85" hidden="false" customHeight="false" outlineLevel="0" collapsed="false">
      <c r="A1797" s="15" t="n">
        <v>1796</v>
      </c>
      <c r="B1797" s="9" t="s">
        <v>112</v>
      </c>
      <c r="C1797" s="9" t="s">
        <v>144</v>
      </c>
      <c r="D1797" s="10" t="s">
        <v>145</v>
      </c>
      <c r="E1797" s="11" t="s">
        <v>4643</v>
      </c>
      <c r="F1797" s="17"/>
      <c r="G1797" s="12" t="s">
        <v>116</v>
      </c>
      <c r="H1797" s="13" t="n">
        <v>-0.012</v>
      </c>
      <c r="I1797" s="14"/>
      <c r="J1797" s="17"/>
      <c r="K1797" s="9"/>
      <c r="L1797" s="15" t="s">
        <v>50</v>
      </c>
      <c r="M1797" s="16" t="s">
        <v>51</v>
      </c>
      <c r="N1797" s="14"/>
      <c r="O1797" s="15" t="s">
        <v>52</v>
      </c>
      <c r="P1797" s="17" t="s">
        <v>53</v>
      </c>
      <c r="Q1797" s="15"/>
      <c r="R1797" s="18" t="s">
        <v>51</v>
      </c>
      <c r="S1797" s="19"/>
      <c r="T1797" s="17" t="str">
        <f aca="false">IF(R1797="維持",J1797,IF(R1797="排除","無關新聞事件",IFERROR(INDEX(事件規則!$B$2:$B$53,MATCH(S1797,事件規則!$A$2:$A$53,0)),"")))</f>
        <v>無關新聞事件</v>
      </c>
      <c r="U1797" s="20" t="n">
        <f aca="false">IF(R1797="維持",K1797,IF(R1797="排除",0,IFERROR(INDEX(事件規則!$C$2:$C$53,MATCH(S1797,事件規則!$A$2:$A$53,0)),"")))</f>
        <v>0</v>
      </c>
      <c r="V1797" s="21"/>
      <c r="W1797" s="22"/>
      <c r="X1797" s="10" t="str">
        <f aca="false">IF(AND(R1797="修改",S1797=""),"請選新事件代碼",IF(AND(R1797&lt;&gt;"修改",S1797&lt;&gt;""),"只有「修改」才需填代碼",""))</f>
        <v/>
      </c>
      <c r="Y1797" s="21"/>
      <c r="Z1797" s="22"/>
      <c r="AA1797" s="12" t="s">
        <v>4644</v>
      </c>
      <c r="AB1797" s="24"/>
    </row>
    <row r="1798" customFormat="false" ht="29.85" hidden="false" customHeight="false" outlineLevel="0" collapsed="false">
      <c r="A1798" s="15" t="n">
        <v>1797</v>
      </c>
      <c r="B1798" s="9" t="s">
        <v>112</v>
      </c>
      <c r="C1798" s="9" t="s">
        <v>2598</v>
      </c>
      <c r="D1798" s="10" t="s">
        <v>2599</v>
      </c>
      <c r="E1798" s="11" t="s">
        <v>4645</v>
      </c>
      <c r="F1798" s="17"/>
      <c r="G1798" s="12" t="s">
        <v>2033</v>
      </c>
      <c r="H1798" s="13" t="n">
        <v>-0.012</v>
      </c>
      <c r="I1798" s="14"/>
      <c r="J1798" s="17"/>
      <c r="K1798" s="9"/>
      <c r="L1798" s="15" t="s">
        <v>50</v>
      </c>
      <c r="M1798" s="16" t="s">
        <v>51</v>
      </c>
      <c r="N1798" s="14"/>
      <c r="O1798" s="15" t="s">
        <v>52</v>
      </c>
      <c r="P1798" s="17" t="s">
        <v>53</v>
      </c>
      <c r="Q1798" s="15"/>
      <c r="R1798" s="18" t="s">
        <v>51</v>
      </c>
      <c r="S1798" s="19"/>
      <c r="T1798" s="17" t="str">
        <f aca="false">IF(R1798="維持",J1798,IF(R1798="排除","無關新聞事件",IFERROR(INDEX(事件規則!$B$2:$B$53,MATCH(S1798,事件規則!$A$2:$A$53,0)),"")))</f>
        <v>無關新聞事件</v>
      </c>
      <c r="U1798" s="20" t="n">
        <f aca="false">IF(R1798="維持",K1798,IF(R1798="排除",0,IFERROR(INDEX(事件規則!$C$2:$C$53,MATCH(S1798,事件規則!$A$2:$A$53,0)),"")))</f>
        <v>0</v>
      </c>
      <c r="V1798" s="21"/>
      <c r="W1798" s="22"/>
      <c r="X1798" s="10" t="str">
        <f aca="false">IF(AND(R1798="修改",S1798=""),"請選新事件代碼",IF(AND(R1798&lt;&gt;"修改",S1798&lt;&gt;""),"只有「修改」才需填代碼",""))</f>
        <v/>
      </c>
      <c r="Y1798" s="21"/>
      <c r="Z1798" s="22"/>
      <c r="AA1798" s="12" t="s">
        <v>4646</v>
      </c>
      <c r="AB1798" s="24"/>
    </row>
    <row r="1799" customFormat="false" ht="29.85" hidden="false" customHeight="false" outlineLevel="0" collapsed="false">
      <c r="A1799" s="15" t="n">
        <v>1798</v>
      </c>
      <c r="B1799" s="9" t="s">
        <v>112</v>
      </c>
      <c r="C1799" s="9" t="s">
        <v>4394</v>
      </c>
      <c r="D1799" s="10" t="s">
        <v>4395</v>
      </c>
      <c r="E1799" s="11" t="s">
        <v>4647</v>
      </c>
      <c r="F1799" s="17"/>
      <c r="G1799" s="12" t="s">
        <v>95</v>
      </c>
      <c r="H1799" s="13" t="n">
        <v>-0.012</v>
      </c>
      <c r="I1799" s="14"/>
      <c r="J1799" s="17"/>
      <c r="K1799" s="9"/>
      <c r="L1799" s="15" t="s">
        <v>50</v>
      </c>
      <c r="M1799" s="16" t="s">
        <v>51</v>
      </c>
      <c r="N1799" s="14"/>
      <c r="O1799" s="15" t="s">
        <v>52</v>
      </c>
      <c r="P1799" s="17" t="s">
        <v>53</v>
      </c>
      <c r="Q1799" s="15"/>
      <c r="R1799" s="18" t="s">
        <v>51</v>
      </c>
      <c r="S1799" s="19"/>
      <c r="T1799" s="17" t="str">
        <f aca="false">IF(R1799="維持",J1799,IF(R1799="排除","無關新聞事件",IFERROR(INDEX(事件規則!$B$2:$B$53,MATCH(S1799,事件規則!$A$2:$A$53,0)),"")))</f>
        <v>無關新聞事件</v>
      </c>
      <c r="U1799" s="20" t="n">
        <f aca="false">IF(R1799="維持",K1799,IF(R1799="排除",0,IFERROR(INDEX(事件規則!$C$2:$C$53,MATCH(S1799,事件規則!$A$2:$A$53,0)),"")))</f>
        <v>0</v>
      </c>
      <c r="V1799" s="21"/>
      <c r="W1799" s="22"/>
      <c r="X1799" s="10" t="str">
        <f aca="false">IF(AND(R1799="修改",S1799=""),"請選新事件代碼",IF(AND(R1799&lt;&gt;"修改",S1799&lt;&gt;""),"只有「修改」才需填代碼",""))</f>
        <v/>
      </c>
      <c r="Y1799" s="21"/>
      <c r="Z1799" s="22"/>
      <c r="AA1799" s="12" t="s">
        <v>4648</v>
      </c>
      <c r="AB1799" s="24"/>
    </row>
    <row r="1800" customFormat="false" ht="29.85" hidden="false" customHeight="false" outlineLevel="0" collapsed="false">
      <c r="A1800" s="15" t="n">
        <v>1799</v>
      </c>
      <c r="B1800" s="9" t="s">
        <v>112</v>
      </c>
      <c r="C1800" s="9" t="s">
        <v>2829</v>
      </c>
      <c r="D1800" s="10" t="s">
        <v>2830</v>
      </c>
      <c r="E1800" s="11" t="s">
        <v>4649</v>
      </c>
      <c r="F1800" s="17"/>
      <c r="G1800" s="12" t="s">
        <v>1466</v>
      </c>
      <c r="H1800" s="13" t="n">
        <v>-0.012</v>
      </c>
      <c r="I1800" s="14"/>
      <c r="J1800" s="17"/>
      <c r="K1800" s="9"/>
      <c r="L1800" s="15" t="s">
        <v>50</v>
      </c>
      <c r="M1800" s="16" t="s">
        <v>51</v>
      </c>
      <c r="N1800" s="14"/>
      <c r="O1800" s="15" t="s">
        <v>52</v>
      </c>
      <c r="P1800" s="17" t="s">
        <v>53</v>
      </c>
      <c r="Q1800" s="15"/>
      <c r="R1800" s="18" t="s">
        <v>51</v>
      </c>
      <c r="S1800" s="19"/>
      <c r="T1800" s="17" t="str">
        <f aca="false">IF(R1800="維持",J1800,IF(R1800="排除","無關新聞事件",IFERROR(INDEX(事件規則!$B$2:$B$53,MATCH(S1800,事件規則!$A$2:$A$53,0)),"")))</f>
        <v>無關新聞事件</v>
      </c>
      <c r="U1800" s="20" t="n">
        <f aca="false">IF(R1800="維持",K1800,IF(R1800="排除",0,IFERROR(INDEX(事件規則!$C$2:$C$53,MATCH(S1800,事件規則!$A$2:$A$53,0)),"")))</f>
        <v>0</v>
      </c>
      <c r="V1800" s="21"/>
      <c r="W1800" s="22"/>
      <c r="X1800" s="10" t="str">
        <f aca="false">IF(AND(R1800="修改",S1800=""),"請選新事件代碼",IF(AND(R1800&lt;&gt;"修改",S1800&lt;&gt;""),"只有「修改」才需填代碼",""))</f>
        <v/>
      </c>
      <c r="Y1800" s="21"/>
      <c r="Z1800" s="22"/>
      <c r="AA1800" s="12" t="s">
        <v>4650</v>
      </c>
      <c r="AB1800" s="24"/>
    </row>
    <row r="1801" customFormat="false" ht="29.85" hidden="false" customHeight="false" outlineLevel="0" collapsed="false">
      <c r="A1801" s="15" t="n">
        <v>1800</v>
      </c>
      <c r="B1801" s="9" t="s">
        <v>45</v>
      </c>
      <c r="C1801" s="9" t="s">
        <v>550</v>
      </c>
      <c r="D1801" s="10" t="s">
        <v>551</v>
      </c>
      <c r="E1801" s="11" t="s">
        <v>4651</v>
      </c>
      <c r="F1801" s="17"/>
      <c r="G1801" s="12" t="s">
        <v>4652</v>
      </c>
      <c r="H1801" s="13" t="n">
        <v>-0.012</v>
      </c>
      <c r="I1801" s="14"/>
      <c r="J1801" s="17"/>
      <c r="K1801" s="9"/>
      <c r="L1801" s="15" t="s">
        <v>50</v>
      </c>
      <c r="M1801" s="16" t="s">
        <v>51</v>
      </c>
      <c r="N1801" s="14"/>
      <c r="O1801" s="15" t="s">
        <v>52</v>
      </c>
      <c r="P1801" s="17" t="s">
        <v>53</v>
      </c>
      <c r="Q1801" s="15"/>
      <c r="R1801" s="18" t="s">
        <v>51</v>
      </c>
      <c r="S1801" s="19"/>
      <c r="T1801" s="17" t="str">
        <f aca="false">IF(R1801="維持",J1801,IF(R1801="排除","無關新聞事件",IFERROR(INDEX(事件規則!$B$2:$B$53,MATCH(S1801,事件規則!$A$2:$A$53,0)),"")))</f>
        <v>無關新聞事件</v>
      </c>
      <c r="U1801" s="20" t="n">
        <f aca="false">IF(R1801="維持",K1801,IF(R1801="排除",0,IFERROR(INDEX(事件規則!$C$2:$C$53,MATCH(S1801,事件規則!$A$2:$A$53,0)),"")))</f>
        <v>0</v>
      </c>
      <c r="V1801" s="21"/>
      <c r="W1801" s="22"/>
      <c r="X1801" s="10" t="str">
        <f aca="false">IF(AND(R1801="修改",S1801=""),"請選新事件代碼",IF(AND(R1801&lt;&gt;"修改",S1801&lt;&gt;""),"只有「修改」才需填代碼",""))</f>
        <v/>
      </c>
      <c r="Y1801" s="21"/>
      <c r="Z1801" s="22"/>
      <c r="AA1801" s="12" t="s">
        <v>4653</v>
      </c>
      <c r="AB1801" s="24"/>
    </row>
    <row r="1802" customFormat="false" ht="29.85" hidden="false" customHeight="false" outlineLevel="0" collapsed="false">
      <c r="A1802" s="15" t="n">
        <v>1801</v>
      </c>
      <c r="B1802" s="9" t="s">
        <v>45</v>
      </c>
      <c r="C1802" s="9" t="s">
        <v>3831</v>
      </c>
      <c r="D1802" s="10" t="s">
        <v>3832</v>
      </c>
      <c r="E1802" s="11" t="s">
        <v>4654</v>
      </c>
      <c r="F1802" s="17"/>
      <c r="G1802" s="12" t="s">
        <v>2716</v>
      </c>
      <c r="H1802" s="13" t="n">
        <v>-0.012</v>
      </c>
      <c r="I1802" s="14"/>
      <c r="J1802" s="17"/>
      <c r="K1802" s="9"/>
      <c r="L1802" s="15" t="s">
        <v>50</v>
      </c>
      <c r="M1802" s="16" t="s">
        <v>51</v>
      </c>
      <c r="N1802" s="14"/>
      <c r="O1802" s="15" t="s">
        <v>52</v>
      </c>
      <c r="P1802" s="17" t="s">
        <v>53</v>
      </c>
      <c r="Q1802" s="15"/>
      <c r="R1802" s="18" t="s">
        <v>51</v>
      </c>
      <c r="S1802" s="19"/>
      <c r="T1802" s="17" t="str">
        <f aca="false">IF(R1802="維持",J1802,IF(R1802="排除","無關新聞事件",IFERROR(INDEX(事件規則!$B$2:$B$53,MATCH(S1802,事件規則!$A$2:$A$53,0)),"")))</f>
        <v>無關新聞事件</v>
      </c>
      <c r="U1802" s="20" t="n">
        <f aca="false">IF(R1802="維持",K1802,IF(R1802="排除",0,IFERROR(INDEX(事件規則!$C$2:$C$53,MATCH(S1802,事件規則!$A$2:$A$53,0)),"")))</f>
        <v>0</v>
      </c>
      <c r="V1802" s="21"/>
      <c r="W1802" s="22"/>
      <c r="X1802" s="10" t="str">
        <f aca="false">IF(AND(R1802="修改",S1802=""),"請選新事件代碼",IF(AND(R1802&lt;&gt;"修改",S1802&lt;&gt;""),"只有「修改」才需填代碼",""))</f>
        <v/>
      </c>
      <c r="Y1802" s="21"/>
      <c r="Z1802" s="22"/>
      <c r="AA1802" s="12" t="s">
        <v>4655</v>
      </c>
      <c r="AB1802" s="24"/>
    </row>
    <row r="1803" customFormat="false" ht="29.85" hidden="false" customHeight="false" outlineLevel="0" collapsed="false">
      <c r="A1803" s="15" t="n">
        <v>1802</v>
      </c>
      <c r="B1803" s="9" t="s">
        <v>45</v>
      </c>
      <c r="C1803" s="9" t="s">
        <v>303</v>
      </c>
      <c r="D1803" s="10" t="s">
        <v>304</v>
      </c>
      <c r="E1803" s="11" t="s">
        <v>4656</v>
      </c>
      <c r="F1803" s="17"/>
      <c r="G1803" s="12" t="s">
        <v>4657</v>
      </c>
      <c r="H1803" s="13" t="n">
        <v>-0.012</v>
      </c>
      <c r="I1803" s="14"/>
      <c r="J1803" s="17"/>
      <c r="K1803" s="9"/>
      <c r="L1803" s="15" t="s">
        <v>50</v>
      </c>
      <c r="M1803" s="16" t="s">
        <v>51</v>
      </c>
      <c r="N1803" s="14"/>
      <c r="O1803" s="15" t="s">
        <v>52</v>
      </c>
      <c r="P1803" s="17" t="s">
        <v>53</v>
      </c>
      <c r="Q1803" s="15"/>
      <c r="R1803" s="18" t="s">
        <v>51</v>
      </c>
      <c r="S1803" s="19"/>
      <c r="T1803" s="17" t="str">
        <f aca="false">IF(R1803="維持",J1803,IF(R1803="排除","無關新聞事件",IFERROR(INDEX(事件規則!$B$2:$B$53,MATCH(S1803,事件規則!$A$2:$A$53,0)),"")))</f>
        <v>無關新聞事件</v>
      </c>
      <c r="U1803" s="20" t="n">
        <f aca="false">IF(R1803="維持",K1803,IF(R1803="排除",0,IFERROR(INDEX(事件規則!$C$2:$C$53,MATCH(S1803,事件規則!$A$2:$A$53,0)),"")))</f>
        <v>0</v>
      </c>
      <c r="V1803" s="21"/>
      <c r="W1803" s="22"/>
      <c r="X1803" s="10" t="str">
        <f aca="false">IF(AND(R1803="修改",S1803=""),"請選新事件代碼",IF(AND(R1803&lt;&gt;"修改",S1803&lt;&gt;""),"只有「修改」才需填代碼",""))</f>
        <v/>
      </c>
      <c r="Y1803" s="21"/>
      <c r="Z1803" s="22"/>
      <c r="AA1803" s="12" t="s">
        <v>4658</v>
      </c>
      <c r="AB1803" s="24"/>
    </row>
    <row r="1804" customFormat="false" ht="29.85" hidden="false" customHeight="false" outlineLevel="0" collapsed="false">
      <c r="A1804" s="15" t="n">
        <v>1803</v>
      </c>
      <c r="B1804" s="9" t="s">
        <v>45</v>
      </c>
      <c r="C1804" s="9" t="s">
        <v>921</v>
      </c>
      <c r="D1804" s="10" t="s">
        <v>922</v>
      </c>
      <c r="E1804" s="11" t="s">
        <v>4659</v>
      </c>
      <c r="F1804" s="17"/>
      <c r="G1804" s="12" t="s">
        <v>4660</v>
      </c>
      <c r="H1804" s="13" t="n">
        <v>-0.012</v>
      </c>
      <c r="I1804" s="14"/>
      <c r="J1804" s="17"/>
      <c r="K1804" s="9"/>
      <c r="L1804" s="15" t="s">
        <v>50</v>
      </c>
      <c r="M1804" s="16" t="s">
        <v>51</v>
      </c>
      <c r="N1804" s="14"/>
      <c r="O1804" s="15" t="s">
        <v>52</v>
      </c>
      <c r="P1804" s="17" t="s">
        <v>53</v>
      </c>
      <c r="Q1804" s="15"/>
      <c r="R1804" s="18" t="s">
        <v>51</v>
      </c>
      <c r="S1804" s="19"/>
      <c r="T1804" s="17" t="str">
        <f aca="false">IF(R1804="維持",J1804,IF(R1804="排除","無關新聞事件",IFERROR(INDEX(事件規則!$B$2:$B$53,MATCH(S1804,事件規則!$A$2:$A$53,0)),"")))</f>
        <v>無關新聞事件</v>
      </c>
      <c r="U1804" s="20" t="n">
        <f aca="false">IF(R1804="維持",K1804,IF(R1804="排除",0,IFERROR(INDEX(事件規則!$C$2:$C$53,MATCH(S1804,事件規則!$A$2:$A$53,0)),"")))</f>
        <v>0</v>
      </c>
      <c r="V1804" s="21"/>
      <c r="W1804" s="22"/>
      <c r="X1804" s="10" t="str">
        <f aca="false">IF(AND(R1804="修改",S1804=""),"請選新事件代碼",IF(AND(R1804&lt;&gt;"修改",S1804&lt;&gt;""),"只有「修改」才需填代碼",""))</f>
        <v/>
      </c>
      <c r="Y1804" s="21"/>
      <c r="Z1804" s="22"/>
      <c r="AA1804" s="12" t="s">
        <v>4661</v>
      </c>
      <c r="AB1804" s="24"/>
    </row>
    <row r="1805" customFormat="false" ht="29.85" hidden="false" customHeight="false" outlineLevel="0" collapsed="false">
      <c r="A1805" s="15" t="n">
        <v>1804</v>
      </c>
      <c r="B1805" s="9" t="s">
        <v>45</v>
      </c>
      <c r="C1805" s="9" t="s">
        <v>585</v>
      </c>
      <c r="D1805" s="10" t="s">
        <v>586</v>
      </c>
      <c r="E1805" s="11" t="s">
        <v>4662</v>
      </c>
      <c r="F1805" s="17"/>
      <c r="G1805" s="12" t="s">
        <v>3221</v>
      </c>
      <c r="H1805" s="13" t="n">
        <v>-0.012</v>
      </c>
      <c r="I1805" s="14"/>
      <c r="J1805" s="17"/>
      <c r="K1805" s="9"/>
      <c r="L1805" s="15" t="s">
        <v>50</v>
      </c>
      <c r="M1805" s="16" t="s">
        <v>51</v>
      </c>
      <c r="N1805" s="14"/>
      <c r="O1805" s="15" t="s">
        <v>52</v>
      </c>
      <c r="P1805" s="17" t="s">
        <v>53</v>
      </c>
      <c r="Q1805" s="15"/>
      <c r="R1805" s="18" t="s">
        <v>51</v>
      </c>
      <c r="S1805" s="19"/>
      <c r="T1805" s="17" t="str">
        <f aca="false">IF(R1805="維持",J1805,IF(R1805="排除","無關新聞事件",IFERROR(INDEX(事件規則!$B$2:$B$53,MATCH(S1805,事件規則!$A$2:$A$53,0)),"")))</f>
        <v>無關新聞事件</v>
      </c>
      <c r="U1805" s="20" t="n">
        <f aca="false">IF(R1805="維持",K1805,IF(R1805="排除",0,IFERROR(INDEX(事件規則!$C$2:$C$53,MATCH(S1805,事件規則!$A$2:$A$53,0)),"")))</f>
        <v>0</v>
      </c>
      <c r="V1805" s="21"/>
      <c r="W1805" s="22"/>
      <c r="X1805" s="10" t="str">
        <f aca="false">IF(AND(R1805="修改",S1805=""),"請選新事件代碼",IF(AND(R1805&lt;&gt;"修改",S1805&lt;&gt;""),"只有「修改」才需填代碼",""))</f>
        <v/>
      </c>
      <c r="Y1805" s="21"/>
      <c r="Z1805" s="22"/>
      <c r="AA1805" s="12" t="s">
        <v>4663</v>
      </c>
      <c r="AB1805" s="24"/>
    </row>
    <row r="1806" customFormat="false" ht="29.85" hidden="false" customHeight="false" outlineLevel="0" collapsed="false">
      <c r="A1806" s="15" t="n">
        <v>1805</v>
      </c>
      <c r="B1806" s="9" t="s">
        <v>112</v>
      </c>
      <c r="C1806" s="9" t="s">
        <v>977</v>
      </c>
      <c r="D1806" s="10" t="s">
        <v>978</v>
      </c>
      <c r="E1806" s="11" t="s">
        <v>4664</v>
      </c>
      <c r="F1806" s="17"/>
      <c r="G1806" s="12" t="s">
        <v>176</v>
      </c>
      <c r="H1806" s="13" t="n">
        <v>-0.012</v>
      </c>
      <c r="I1806" s="14"/>
      <c r="J1806" s="17"/>
      <c r="K1806" s="9"/>
      <c r="L1806" s="15" t="s">
        <v>50</v>
      </c>
      <c r="M1806" s="16" t="s">
        <v>51</v>
      </c>
      <c r="N1806" s="14"/>
      <c r="O1806" s="15" t="s">
        <v>52</v>
      </c>
      <c r="P1806" s="17" t="s">
        <v>53</v>
      </c>
      <c r="Q1806" s="15"/>
      <c r="R1806" s="18" t="s">
        <v>51</v>
      </c>
      <c r="S1806" s="19"/>
      <c r="T1806" s="17" t="str">
        <f aca="false">IF(R1806="維持",J1806,IF(R1806="排除","無關新聞事件",IFERROR(INDEX(事件規則!$B$2:$B$53,MATCH(S1806,事件規則!$A$2:$A$53,0)),"")))</f>
        <v>無關新聞事件</v>
      </c>
      <c r="U1806" s="20" t="n">
        <f aca="false">IF(R1806="維持",K1806,IF(R1806="排除",0,IFERROR(INDEX(事件規則!$C$2:$C$53,MATCH(S1806,事件規則!$A$2:$A$53,0)),"")))</f>
        <v>0</v>
      </c>
      <c r="V1806" s="21"/>
      <c r="W1806" s="22"/>
      <c r="X1806" s="10" t="str">
        <f aca="false">IF(AND(R1806="修改",S1806=""),"請選新事件代碼",IF(AND(R1806&lt;&gt;"修改",S1806&lt;&gt;""),"只有「修改」才需填代碼",""))</f>
        <v/>
      </c>
      <c r="Y1806" s="21"/>
      <c r="Z1806" s="22"/>
      <c r="AA1806" s="12" t="s">
        <v>4665</v>
      </c>
      <c r="AB1806" s="24"/>
    </row>
    <row r="1807" customFormat="false" ht="29.85" hidden="false" customHeight="false" outlineLevel="0" collapsed="false">
      <c r="A1807" s="15" t="n">
        <v>1806</v>
      </c>
      <c r="B1807" s="9" t="s">
        <v>112</v>
      </c>
      <c r="C1807" s="9" t="s">
        <v>2659</v>
      </c>
      <c r="D1807" s="10" t="s">
        <v>2660</v>
      </c>
      <c r="E1807" s="11" t="s">
        <v>4666</v>
      </c>
      <c r="F1807" s="17"/>
      <c r="G1807" s="12" t="s">
        <v>49</v>
      </c>
      <c r="H1807" s="13" t="n">
        <v>-0.012</v>
      </c>
      <c r="I1807" s="14"/>
      <c r="J1807" s="17"/>
      <c r="K1807" s="9"/>
      <c r="L1807" s="15" t="s">
        <v>50</v>
      </c>
      <c r="M1807" s="16" t="s">
        <v>51</v>
      </c>
      <c r="N1807" s="14"/>
      <c r="O1807" s="15" t="s">
        <v>52</v>
      </c>
      <c r="P1807" s="17" t="s">
        <v>53</v>
      </c>
      <c r="Q1807" s="15"/>
      <c r="R1807" s="18" t="s">
        <v>51</v>
      </c>
      <c r="S1807" s="19"/>
      <c r="T1807" s="17" t="str">
        <f aca="false">IF(R1807="維持",J1807,IF(R1807="排除","無關新聞事件",IFERROR(INDEX(事件規則!$B$2:$B$53,MATCH(S1807,事件規則!$A$2:$A$53,0)),"")))</f>
        <v>無關新聞事件</v>
      </c>
      <c r="U1807" s="20" t="n">
        <f aca="false">IF(R1807="維持",K1807,IF(R1807="排除",0,IFERROR(INDEX(事件規則!$C$2:$C$53,MATCH(S1807,事件規則!$A$2:$A$53,0)),"")))</f>
        <v>0</v>
      </c>
      <c r="V1807" s="21"/>
      <c r="W1807" s="22"/>
      <c r="X1807" s="10" t="str">
        <f aca="false">IF(AND(R1807="修改",S1807=""),"請選新事件代碼",IF(AND(R1807&lt;&gt;"修改",S1807&lt;&gt;""),"只有「修改」才需填代碼",""))</f>
        <v/>
      </c>
      <c r="Y1807" s="21"/>
      <c r="Z1807" s="22"/>
      <c r="AA1807" s="12" t="s">
        <v>4667</v>
      </c>
      <c r="AB1807" s="24"/>
    </row>
    <row r="1808" customFormat="false" ht="29.85" hidden="false" customHeight="false" outlineLevel="0" collapsed="false">
      <c r="A1808" s="15" t="n">
        <v>1807</v>
      </c>
      <c r="B1808" s="9" t="s">
        <v>112</v>
      </c>
      <c r="C1808" s="9" t="s">
        <v>1672</v>
      </c>
      <c r="D1808" s="10" t="s">
        <v>1673</v>
      </c>
      <c r="E1808" s="11" t="s">
        <v>4668</v>
      </c>
      <c r="F1808" s="17"/>
      <c r="G1808" s="12" t="s">
        <v>2033</v>
      </c>
      <c r="H1808" s="13" t="n">
        <v>-0.012</v>
      </c>
      <c r="I1808" s="14"/>
      <c r="J1808" s="17"/>
      <c r="K1808" s="9"/>
      <c r="L1808" s="15" t="s">
        <v>50</v>
      </c>
      <c r="M1808" s="16" t="s">
        <v>51</v>
      </c>
      <c r="N1808" s="14"/>
      <c r="O1808" s="15" t="s">
        <v>52</v>
      </c>
      <c r="P1808" s="17" t="s">
        <v>53</v>
      </c>
      <c r="Q1808" s="15"/>
      <c r="R1808" s="18" t="s">
        <v>51</v>
      </c>
      <c r="S1808" s="19"/>
      <c r="T1808" s="17" t="str">
        <f aca="false">IF(R1808="維持",J1808,IF(R1808="排除","無關新聞事件",IFERROR(INDEX(事件規則!$B$2:$B$53,MATCH(S1808,事件規則!$A$2:$A$53,0)),"")))</f>
        <v>無關新聞事件</v>
      </c>
      <c r="U1808" s="20" t="n">
        <f aca="false">IF(R1808="維持",K1808,IF(R1808="排除",0,IFERROR(INDEX(事件規則!$C$2:$C$53,MATCH(S1808,事件規則!$A$2:$A$53,0)),"")))</f>
        <v>0</v>
      </c>
      <c r="V1808" s="21"/>
      <c r="W1808" s="22"/>
      <c r="X1808" s="10" t="str">
        <f aca="false">IF(AND(R1808="修改",S1808=""),"請選新事件代碼",IF(AND(R1808&lt;&gt;"修改",S1808&lt;&gt;""),"只有「修改」才需填代碼",""))</f>
        <v/>
      </c>
      <c r="Y1808" s="21"/>
      <c r="Z1808" s="22"/>
      <c r="AA1808" s="12" t="s">
        <v>4669</v>
      </c>
      <c r="AB1808" s="24"/>
    </row>
    <row r="1809" customFormat="false" ht="29.85" hidden="false" customHeight="false" outlineLevel="0" collapsed="false">
      <c r="A1809" s="15" t="n">
        <v>1808</v>
      </c>
      <c r="B1809" s="9" t="s">
        <v>45</v>
      </c>
      <c r="C1809" s="9" t="s">
        <v>973</v>
      </c>
      <c r="D1809" s="10" t="s">
        <v>974</v>
      </c>
      <c r="E1809" s="11" t="s">
        <v>4651</v>
      </c>
      <c r="F1809" s="17"/>
      <c r="G1809" s="12" t="s">
        <v>4652</v>
      </c>
      <c r="H1809" s="13" t="n">
        <v>-0.012</v>
      </c>
      <c r="I1809" s="14"/>
      <c r="J1809" s="17"/>
      <c r="K1809" s="9"/>
      <c r="L1809" s="15" t="s">
        <v>50</v>
      </c>
      <c r="M1809" s="16" t="s">
        <v>51</v>
      </c>
      <c r="N1809" s="14"/>
      <c r="O1809" s="15" t="s">
        <v>52</v>
      </c>
      <c r="P1809" s="17" t="s">
        <v>53</v>
      </c>
      <c r="Q1809" s="15"/>
      <c r="R1809" s="18" t="s">
        <v>51</v>
      </c>
      <c r="S1809" s="19"/>
      <c r="T1809" s="17" t="str">
        <f aca="false">IF(R1809="維持",J1809,IF(R1809="排除","無關新聞事件",IFERROR(INDEX(事件規則!$B$2:$B$53,MATCH(S1809,事件規則!$A$2:$A$53,0)),"")))</f>
        <v>無關新聞事件</v>
      </c>
      <c r="U1809" s="20" t="n">
        <f aca="false">IF(R1809="維持",K1809,IF(R1809="排除",0,IFERROR(INDEX(事件規則!$C$2:$C$53,MATCH(S1809,事件規則!$A$2:$A$53,0)),"")))</f>
        <v>0</v>
      </c>
      <c r="V1809" s="21"/>
      <c r="W1809" s="22"/>
      <c r="X1809" s="10" t="str">
        <f aca="false">IF(AND(R1809="修改",S1809=""),"請選新事件代碼",IF(AND(R1809&lt;&gt;"修改",S1809&lt;&gt;""),"只有「修改」才需填代碼",""))</f>
        <v/>
      </c>
      <c r="Y1809" s="21"/>
      <c r="Z1809" s="22"/>
      <c r="AA1809" s="12" t="s">
        <v>4670</v>
      </c>
      <c r="AB1809" s="24"/>
    </row>
    <row r="1810" customFormat="false" ht="29.85" hidden="false" customHeight="false" outlineLevel="0" collapsed="false">
      <c r="A1810" s="15" t="n">
        <v>1809</v>
      </c>
      <c r="B1810" s="9" t="s">
        <v>45</v>
      </c>
      <c r="C1810" s="9" t="s">
        <v>303</v>
      </c>
      <c r="D1810" s="10" t="s">
        <v>304</v>
      </c>
      <c r="E1810" s="11" t="s">
        <v>4671</v>
      </c>
      <c r="F1810" s="17"/>
      <c r="G1810" s="12" t="s">
        <v>934</v>
      </c>
      <c r="H1810" s="13" t="n">
        <v>-0.012</v>
      </c>
      <c r="I1810" s="14"/>
      <c r="J1810" s="17"/>
      <c r="K1810" s="9"/>
      <c r="L1810" s="15" t="s">
        <v>50</v>
      </c>
      <c r="M1810" s="16" t="s">
        <v>51</v>
      </c>
      <c r="N1810" s="14"/>
      <c r="O1810" s="15" t="s">
        <v>52</v>
      </c>
      <c r="P1810" s="17" t="s">
        <v>53</v>
      </c>
      <c r="Q1810" s="15"/>
      <c r="R1810" s="18" t="s">
        <v>51</v>
      </c>
      <c r="S1810" s="19"/>
      <c r="T1810" s="17" t="str">
        <f aca="false">IF(R1810="維持",J1810,IF(R1810="排除","無關新聞事件",IFERROR(INDEX(事件規則!$B$2:$B$53,MATCH(S1810,事件規則!$A$2:$A$53,0)),"")))</f>
        <v>無關新聞事件</v>
      </c>
      <c r="U1810" s="20" t="n">
        <f aca="false">IF(R1810="維持",K1810,IF(R1810="排除",0,IFERROR(INDEX(事件規則!$C$2:$C$53,MATCH(S1810,事件規則!$A$2:$A$53,0)),"")))</f>
        <v>0</v>
      </c>
      <c r="V1810" s="21"/>
      <c r="W1810" s="22"/>
      <c r="X1810" s="10" t="str">
        <f aca="false">IF(AND(R1810="修改",S1810=""),"請選新事件代碼",IF(AND(R1810&lt;&gt;"修改",S1810&lt;&gt;""),"只有「修改」才需填代碼",""))</f>
        <v/>
      </c>
      <c r="Y1810" s="21"/>
      <c r="Z1810" s="22"/>
      <c r="AA1810" s="12" t="s">
        <v>4672</v>
      </c>
      <c r="AB1810" s="24"/>
    </row>
    <row r="1811" customFormat="false" ht="29.85" hidden="false" customHeight="false" outlineLevel="0" collapsed="false">
      <c r="A1811" s="15" t="n">
        <v>1810</v>
      </c>
      <c r="B1811" s="9" t="s">
        <v>45</v>
      </c>
      <c r="C1811" s="9" t="s">
        <v>2181</v>
      </c>
      <c r="D1811" s="10" t="s">
        <v>2182</v>
      </c>
      <c r="E1811" s="11" t="s">
        <v>4673</v>
      </c>
      <c r="F1811" s="17"/>
      <c r="G1811" s="12" t="s">
        <v>4674</v>
      </c>
      <c r="H1811" s="13" t="n">
        <v>-0.012</v>
      </c>
      <c r="I1811" s="14"/>
      <c r="J1811" s="17"/>
      <c r="K1811" s="9"/>
      <c r="L1811" s="15" t="s">
        <v>50</v>
      </c>
      <c r="M1811" s="16" t="s">
        <v>51</v>
      </c>
      <c r="N1811" s="14"/>
      <c r="O1811" s="15" t="s">
        <v>52</v>
      </c>
      <c r="P1811" s="17" t="s">
        <v>53</v>
      </c>
      <c r="Q1811" s="15"/>
      <c r="R1811" s="18" t="s">
        <v>51</v>
      </c>
      <c r="S1811" s="19"/>
      <c r="T1811" s="17" t="str">
        <f aca="false">IF(R1811="維持",J1811,IF(R1811="排除","無關新聞事件",IFERROR(INDEX(事件規則!$B$2:$B$53,MATCH(S1811,事件規則!$A$2:$A$53,0)),"")))</f>
        <v>無關新聞事件</v>
      </c>
      <c r="U1811" s="20" t="n">
        <f aca="false">IF(R1811="維持",K1811,IF(R1811="排除",0,IFERROR(INDEX(事件規則!$C$2:$C$53,MATCH(S1811,事件規則!$A$2:$A$53,0)),"")))</f>
        <v>0</v>
      </c>
      <c r="V1811" s="21"/>
      <c r="W1811" s="22"/>
      <c r="X1811" s="10" t="str">
        <f aca="false">IF(AND(R1811="修改",S1811=""),"請選新事件代碼",IF(AND(R1811&lt;&gt;"修改",S1811&lt;&gt;""),"只有「修改」才需填代碼",""))</f>
        <v/>
      </c>
      <c r="Y1811" s="21"/>
      <c r="Z1811" s="22"/>
      <c r="AA1811" s="12" t="s">
        <v>4675</v>
      </c>
      <c r="AB1811" s="24"/>
    </row>
    <row r="1812" customFormat="false" ht="29.85" hidden="false" customHeight="false" outlineLevel="0" collapsed="false">
      <c r="A1812" s="15" t="n">
        <v>1811</v>
      </c>
      <c r="B1812" s="9" t="s">
        <v>112</v>
      </c>
      <c r="C1812" s="9" t="s">
        <v>3980</v>
      </c>
      <c r="D1812" s="10" t="s">
        <v>3981</v>
      </c>
      <c r="E1812" s="11" t="s">
        <v>4676</v>
      </c>
      <c r="F1812" s="17"/>
      <c r="G1812" s="12" t="s">
        <v>95</v>
      </c>
      <c r="H1812" s="13" t="n">
        <v>-0.012</v>
      </c>
      <c r="I1812" s="14"/>
      <c r="J1812" s="17"/>
      <c r="K1812" s="9"/>
      <c r="L1812" s="15" t="s">
        <v>50</v>
      </c>
      <c r="M1812" s="16" t="s">
        <v>51</v>
      </c>
      <c r="N1812" s="14"/>
      <c r="O1812" s="15" t="s">
        <v>52</v>
      </c>
      <c r="P1812" s="17" t="s">
        <v>53</v>
      </c>
      <c r="Q1812" s="15"/>
      <c r="R1812" s="18" t="s">
        <v>51</v>
      </c>
      <c r="S1812" s="19"/>
      <c r="T1812" s="17" t="str">
        <f aca="false">IF(R1812="維持",J1812,IF(R1812="排除","無關新聞事件",IFERROR(INDEX(事件規則!$B$2:$B$53,MATCH(S1812,事件規則!$A$2:$A$53,0)),"")))</f>
        <v>無關新聞事件</v>
      </c>
      <c r="U1812" s="20" t="n">
        <f aca="false">IF(R1812="維持",K1812,IF(R1812="排除",0,IFERROR(INDEX(事件規則!$C$2:$C$53,MATCH(S1812,事件規則!$A$2:$A$53,0)),"")))</f>
        <v>0</v>
      </c>
      <c r="V1812" s="21"/>
      <c r="W1812" s="22"/>
      <c r="X1812" s="10" t="str">
        <f aca="false">IF(AND(R1812="修改",S1812=""),"請選新事件代碼",IF(AND(R1812&lt;&gt;"修改",S1812&lt;&gt;""),"只有「修改」才需填代碼",""))</f>
        <v/>
      </c>
      <c r="Y1812" s="21"/>
      <c r="Z1812" s="22"/>
      <c r="AA1812" s="12" t="s">
        <v>4677</v>
      </c>
      <c r="AB1812" s="24"/>
    </row>
    <row r="1813" customFormat="false" ht="29.85" hidden="false" customHeight="false" outlineLevel="0" collapsed="false">
      <c r="A1813" s="15" t="n">
        <v>1812</v>
      </c>
      <c r="B1813" s="9" t="s">
        <v>55</v>
      </c>
      <c r="C1813" s="9" t="s">
        <v>1727</v>
      </c>
      <c r="D1813" s="10" t="s">
        <v>1728</v>
      </c>
      <c r="E1813" s="11" t="s">
        <v>4678</v>
      </c>
      <c r="F1813" s="17"/>
      <c r="G1813" s="12" t="s">
        <v>4679</v>
      </c>
      <c r="H1813" s="13" t="n">
        <v>-0.012</v>
      </c>
      <c r="I1813" s="14"/>
      <c r="J1813" s="17"/>
      <c r="K1813" s="9"/>
      <c r="L1813" s="15" t="s">
        <v>50</v>
      </c>
      <c r="M1813" s="16" t="s">
        <v>51</v>
      </c>
      <c r="N1813" s="14"/>
      <c r="O1813" s="15" t="s">
        <v>52</v>
      </c>
      <c r="P1813" s="17" t="s">
        <v>53</v>
      </c>
      <c r="Q1813" s="15"/>
      <c r="R1813" s="18" t="s">
        <v>51</v>
      </c>
      <c r="S1813" s="19"/>
      <c r="T1813" s="17" t="str">
        <f aca="false">IF(R1813="維持",J1813,IF(R1813="排除","無關新聞事件",IFERROR(INDEX(事件規則!$B$2:$B$53,MATCH(S1813,事件規則!$A$2:$A$53,0)),"")))</f>
        <v>無關新聞事件</v>
      </c>
      <c r="U1813" s="20" t="n">
        <f aca="false">IF(R1813="維持",K1813,IF(R1813="排除",0,IFERROR(INDEX(事件規則!$C$2:$C$53,MATCH(S1813,事件規則!$A$2:$A$53,0)),"")))</f>
        <v>0</v>
      </c>
      <c r="V1813" s="21"/>
      <c r="W1813" s="22"/>
      <c r="X1813" s="10" t="str">
        <f aca="false">IF(AND(R1813="修改",S1813=""),"請選新事件代碼",IF(AND(R1813&lt;&gt;"修改",S1813&lt;&gt;""),"只有「修改」才需填代碼",""))</f>
        <v/>
      </c>
      <c r="Y1813" s="21"/>
      <c r="Z1813" s="22"/>
      <c r="AA1813" s="12" t="s">
        <v>4680</v>
      </c>
      <c r="AB1813" s="24"/>
    </row>
    <row r="1814" customFormat="false" ht="29.85" hidden="false" customHeight="false" outlineLevel="0" collapsed="false">
      <c r="A1814" s="15" t="n">
        <v>1813</v>
      </c>
      <c r="B1814" s="9" t="s">
        <v>81</v>
      </c>
      <c r="C1814" s="9" t="s">
        <v>585</v>
      </c>
      <c r="D1814" s="10" t="s">
        <v>586</v>
      </c>
      <c r="E1814" s="11" t="s">
        <v>4681</v>
      </c>
      <c r="F1814" s="17"/>
      <c r="G1814" s="12" t="s">
        <v>142</v>
      </c>
      <c r="H1814" s="13" t="n">
        <v>-0.012</v>
      </c>
      <c r="I1814" s="14"/>
      <c r="J1814" s="17"/>
      <c r="K1814" s="9"/>
      <c r="L1814" s="15" t="s">
        <v>50</v>
      </c>
      <c r="M1814" s="16" t="s">
        <v>51</v>
      </c>
      <c r="N1814" s="14"/>
      <c r="O1814" s="15" t="s">
        <v>52</v>
      </c>
      <c r="P1814" s="17" t="s">
        <v>53</v>
      </c>
      <c r="Q1814" s="15"/>
      <c r="R1814" s="18" t="s">
        <v>51</v>
      </c>
      <c r="S1814" s="19"/>
      <c r="T1814" s="17" t="str">
        <f aca="false">IF(R1814="維持",J1814,IF(R1814="排除","無關新聞事件",IFERROR(INDEX(事件規則!$B$2:$B$53,MATCH(S1814,事件規則!$A$2:$A$53,0)),"")))</f>
        <v>無關新聞事件</v>
      </c>
      <c r="U1814" s="20" t="n">
        <f aca="false">IF(R1814="維持",K1814,IF(R1814="排除",0,IFERROR(INDEX(事件規則!$C$2:$C$53,MATCH(S1814,事件規則!$A$2:$A$53,0)),"")))</f>
        <v>0</v>
      </c>
      <c r="V1814" s="21"/>
      <c r="W1814" s="22"/>
      <c r="X1814" s="10" t="str">
        <f aca="false">IF(AND(R1814="修改",S1814=""),"請選新事件代碼",IF(AND(R1814&lt;&gt;"修改",S1814&lt;&gt;""),"只有「修改」才需填代碼",""))</f>
        <v/>
      </c>
      <c r="Y1814" s="21"/>
      <c r="Z1814" s="22"/>
      <c r="AA1814" s="12" t="s">
        <v>4682</v>
      </c>
      <c r="AB1814" s="24"/>
    </row>
    <row r="1815" customFormat="false" ht="29.85" hidden="false" customHeight="false" outlineLevel="0" collapsed="false">
      <c r="A1815" s="15" t="n">
        <v>1814</v>
      </c>
      <c r="B1815" s="9" t="s">
        <v>45</v>
      </c>
      <c r="C1815" s="9" t="s">
        <v>1415</v>
      </c>
      <c r="D1815" s="10" t="s">
        <v>1416</v>
      </c>
      <c r="E1815" s="11" t="s">
        <v>4683</v>
      </c>
      <c r="F1815" s="17"/>
      <c r="G1815" s="12" t="s">
        <v>142</v>
      </c>
      <c r="H1815" s="13" t="n">
        <v>-0.012</v>
      </c>
      <c r="I1815" s="14"/>
      <c r="J1815" s="17"/>
      <c r="K1815" s="9"/>
      <c r="L1815" s="15" t="s">
        <v>50</v>
      </c>
      <c r="M1815" s="16" t="s">
        <v>51</v>
      </c>
      <c r="N1815" s="14"/>
      <c r="O1815" s="15" t="s">
        <v>52</v>
      </c>
      <c r="P1815" s="17" t="s">
        <v>53</v>
      </c>
      <c r="Q1815" s="15"/>
      <c r="R1815" s="18" t="s">
        <v>51</v>
      </c>
      <c r="S1815" s="19"/>
      <c r="T1815" s="17" t="str">
        <f aca="false">IF(R1815="維持",J1815,IF(R1815="排除","無關新聞事件",IFERROR(INDEX(事件規則!$B$2:$B$53,MATCH(S1815,事件規則!$A$2:$A$53,0)),"")))</f>
        <v>無關新聞事件</v>
      </c>
      <c r="U1815" s="20" t="n">
        <f aca="false">IF(R1815="維持",K1815,IF(R1815="排除",0,IFERROR(INDEX(事件規則!$C$2:$C$53,MATCH(S1815,事件規則!$A$2:$A$53,0)),"")))</f>
        <v>0</v>
      </c>
      <c r="V1815" s="21"/>
      <c r="W1815" s="22"/>
      <c r="X1815" s="10" t="str">
        <f aca="false">IF(AND(R1815="修改",S1815=""),"請選新事件代碼",IF(AND(R1815&lt;&gt;"修改",S1815&lt;&gt;""),"只有「修改」才需填代碼",""))</f>
        <v/>
      </c>
      <c r="Y1815" s="21"/>
      <c r="Z1815" s="22"/>
      <c r="AA1815" s="12" t="s">
        <v>4684</v>
      </c>
      <c r="AB1815" s="24"/>
    </row>
    <row r="1816" customFormat="false" ht="29.85" hidden="false" customHeight="false" outlineLevel="0" collapsed="false">
      <c r="A1816" s="15" t="n">
        <v>1815</v>
      </c>
      <c r="B1816" s="9" t="s">
        <v>45</v>
      </c>
      <c r="C1816" s="9" t="s">
        <v>2484</v>
      </c>
      <c r="D1816" s="10" t="s">
        <v>2485</v>
      </c>
      <c r="E1816" s="11" t="s">
        <v>4685</v>
      </c>
      <c r="F1816" s="17"/>
      <c r="G1816" s="12" t="s">
        <v>142</v>
      </c>
      <c r="H1816" s="13" t="n">
        <v>-0.012</v>
      </c>
      <c r="I1816" s="14"/>
      <c r="J1816" s="17"/>
      <c r="K1816" s="9"/>
      <c r="L1816" s="15" t="s">
        <v>50</v>
      </c>
      <c r="M1816" s="16" t="s">
        <v>51</v>
      </c>
      <c r="N1816" s="14"/>
      <c r="O1816" s="15" t="s">
        <v>52</v>
      </c>
      <c r="P1816" s="17" t="s">
        <v>53</v>
      </c>
      <c r="Q1816" s="15"/>
      <c r="R1816" s="18" t="s">
        <v>51</v>
      </c>
      <c r="S1816" s="19"/>
      <c r="T1816" s="17" t="str">
        <f aca="false">IF(R1816="維持",J1816,IF(R1816="排除","無關新聞事件",IFERROR(INDEX(事件規則!$B$2:$B$53,MATCH(S1816,事件規則!$A$2:$A$53,0)),"")))</f>
        <v>無關新聞事件</v>
      </c>
      <c r="U1816" s="20" t="n">
        <f aca="false">IF(R1816="維持",K1816,IF(R1816="排除",0,IFERROR(INDEX(事件規則!$C$2:$C$53,MATCH(S1816,事件規則!$A$2:$A$53,0)),"")))</f>
        <v>0</v>
      </c>
      <c r="V1816" s="21"/>
      <c r="W1816" s="22"/>
      <c r="X1816" s="10" t="str">
        <f aca="false">IF(AND(R1816="修改",S1816=""),"請選新事件代碼",IF(AND(R1816&lt;&gt;"修改",S1816&lt;&gt;""),"只有「修改」才需填代碼",""))</f>
        <v/>
      </c>
      <c r="Y1816" s="21"/>
      <c r="Z1816" s="22"/>
      <c r="AA1816" s="12" t="s">
        <v>4686</v>
      </c>
      <c r="AB1816" s="24"/>
    </row>
    <row r="1817" customFormat="false" ht="29.85" hidden="false" customHeight="false" outlineLevel="0" collapsed="false">
      <c r="A1817" s="15" t="n">
        <v>1816</v>
      </c>
      <c r="B1817" s="9" t="s">
        <v>45</v>
      </c>
      <c r="C1817" s="9" t="s">
        <v>2049</v>
      </c>
      <c r="D1817" s="10" t="s">
        <v>2050</v>
      </c>
      <c r="E1817" s="11" t="s">
        <v>4687</v>
      </c>
      <c r="F1817" s="17"/>
      <c r="G1817" s="12" t="s">
        <v>95</v>
      </c>
      <c r="H1817" s="13" t="n">
        <v>-0.012</v>
      </c>
      <c r="I1817" s="14"/>
      <c r="J1817" s="17"/>
      <c r="K1817" s="9"/>
      <c r="L1817" s="15" t="s">
        <v>50</v>
      </c>
      <c r="M1817" s="16" t="s">
        <v>51</v>
      </c>
      <c r="N1817" s="14"/>
      <c r="O1817" s="15" t="s">
        <v>52</v>
      </c>
      <c r="P1817" s="17" t="s">
        <v>53</v>
      </c>
      <c r="Q1817" s="15"/>
      <c r="R1817" s="18" t="s">
        <v>51</v>
      </c>
      <c r="S1817" s="19"/>
      <c r="T1817" s="17" t="str">
        <f aca="false">IF(R1817="維持",J1817,IF(R1817="排除","無關新聞事件",IFERROR(INDEX(事件規則!$B$2:$B$53,MATCH(S1817,事件規則!$A$2:$A$53,0)),"")))</f>
        <v>無關新聞事件</v>
      </c>
      <c r="U1817" s="20" t="n">
        <f aca="false">IF(R1817="維持",K1817,IF(R1817="排除",0,IFERROR(INDEX(事件規則!$C$2:$C$53,MATCH(S1817,事件規則!$A$2:$A$53,0)),"")))</f>
        <v>0</v>
      </c>
      <c r="V1817" s="21"/>
      <c r="W1817" s="22"/>
      <c r="X1817" s="10" t="str">
        <f aca="false">IF(AND(R1817="修改",S1817=""),"請選新事件代碼",IF(AND(R1817&lt;&gt;"修改",S1817&lt;&gt;""),"只有「修改」才需填代碼",""))</f>
        <v/>
      </c>
      <c r="Y1817" s="21"/>
      <c r="Z1817" s="22"/>
      <c r="AA1817" s="12" t="s">
        <v>4688</v>
      </c>
      <c r="AB1817" s="24"/>
    </row>
    <row r="1818" customFormat="false" ht="29.85" hidden="false" customHeight="false" outlineLevel="0" collapsed="false">
      <c r="A1818" s="15" t="n">
        <v>1817</v>
      </c>
      <c r="B1818" s="9" t="s">
        <v>81</v>
      </c>
      <c r="C1818" s="9" t="s">
        <v>1060</v>
      </c>
      <c r="D1818" s="10" t="s">
        <v>1061</v>
      </c>
      <c r="E1818" s="11" t="s">
        <v>4689</v>
      </c>
      <c r="F1818" s="17"/>
      <c r="G1818" s="12" t="s">
        <v>59</v>
      </c>
      <c r="H1818" s="13" t="n">
        <v>-0.012</v>
      </c>
      <c r="I1818" s="14"/>
      <c r="J1818" s="17"/>
      <c r="K1818" s="9"/>
      <c r="L1818" s="15" t="s">
        <v>50</v>
      </c>
      <c r="M1818" s="16" t="s">
        <v>51</v>
      </c>
      <c r="N1818" s="14"/>
      <c r="O1818" s="15" t="s">
        <v>52</v>
      </c>
      <c r="P1818" s="17" t="s">
        <v>53</v>
      </c>
      <c r="Q1818" s="15"/>
      <c r="R1818" s="18" t="s">
        <v>51</v>
      </c>
      <c r="S1818" s="19"/>
      <c r="T1818" s="17" t="str">
        <f aca="false">IF(R1818="維持",J1818,IF(R1818="排除","無關新聞事件",IFERROR(INDEX(事件規則!$B$2:$B$53,MATCH(S1818,事件規則!$A$2:$A$53,0)),"")))</f>
        <v>無關新聞事件</v>
      </c>
      <c r="U1818" s="20" t="n">
        <f aca="false">IF(R1818="維持",K1818,IF(R1818="排除",0,IFERROR(INDEX(事件規則!$C$2:$C$53,MATCH(S1818,事件規則!$A$2:$A$53,0)),"")))</f>
        <v>0</v>
      </c>
      <c r="V1818" s="21"/>
      <c r="W1818" s="22"/>
      <c r="X1818" s="10" t="str">
        <f aca="false">IF(AND(R1818="修改",S1818=""),"請選新事件代碼",IF(AND(R1818&lt;&gt;"修改",S1818&lt;&gt;""),"只有「修改」才需填代碼",""))</f>
        <v/>
      </c>
      <c r="Y1818" s="21"/>
      <c r="Z1818" s="22"/>
      <c r="AA1818" s="12" t="s">
        <v>4690</v>
      </c>
      <c r="AB1818" s="24"/>
    </row>
    <row r="1819" customFormat="false" ht="29.85" hidden="false" customHeight="false" outlineLevel="0" collapsed="false">
      <c r="A1819" s="15" t="n">
        <v>1818</v>
      </c>
      <c r="B1819" s="9" t="s">
        <v>112</v>
      </c>
      <c r="C1819" s="9" t="s">
        <v>869</v>
      </c>
      <c r="D1819" s="10" t="s">
        <v>870</v>
      </c>
      <c r="E1819" s="11" t="s">
        <v>4691</v>
      </c>
      <c r="F1819" s="17"/>
      <c r="G1819" s="12" t="s">
        <v>1136</v>
      </c>
      <c r="H1819" s="13" t="n">
        <v>-0.012</v>
      </c>
      <c r="I1819" s="14"/>
      <c r="J1819" s="17"/>
      <c r="K1819" s="9"/>
      <c r="L1819" s="15" t="s">
        <v>50</v>
      </c>
      <c r="M1819" s="16" t="s">
        <v>51</v>
      </c>
      <c r="N1819" s="14"/>
      <c r="O1819" s="15" t="s">
        <v>52</v>
      </c>
      <c r="P1819" s="17" t="s">
        <v>53</v>
      </c>
      <c r="Q1819" s="15"/>
      <c r="R1819" s="18" t="s">
        <v>51</v>
      </c>
      <c r="S1819" s="19"/>
      <c r="T1819" s="17" t="str">
        <f aca="false">IF(R1819="維持",J1819,IF(R1819="排除","無關新聞事件",IFERROR(INDEX(事件規則!$B$2:$B$53,MATCH(S1819,事件規則!$A$2:$A$53,0)),"")))</f>
        <v>無關新聞事件</v>
      </c>
      <c r="U1819" s="20" t="n">
        <f aca="false">IF(R1819="維持",K1819,IF(R1819="排除",0,IFERROR(INDEX(事件規則!$C$2:$C$53,MATCH(S1819,事件規則!$A$2:$A$53,0)),"")))</f>
        <v>0</v>
      </c>
      <c r="V1819" s="21"/>
      <c r="W1819" s="22"/>
      <c r="X1819" s="10" t="str">
        <f aca="false">IF(AND(R1819="修改",S1819=""),"請選新事件代碼",IF(AND(R1819&lt;&gt;"修改",S1819&lt;&gt;""),"只有「修改」才需填代碼",""))</f>
        <v/>
      </c>
      <c r="Y1819" s="21"/>
      <c r="Z1819" s="22"/>
      <c r="AA1819" s="12" t="s">
        <v>4692</v>
      </c>
      <c r="AB1819" s="24"/>
    </row>
    <row r="1820" customFormat="false" ht="29.85" hidden="false" customHeight="false" outlineLevel="0" collapsed="false">
      <c r="A1820" s="15" t="n">
        <v>1819</v>
      </c>
      <c r="B1820" s="9" t="s">
        <v>81</v>
      </c>
      <c r="C1820" s="9" t="s">
        <v>315</v>
      </c>
      <c r="D1820" s="10" t="s">
        <v>316</v>
      </c>
      <c r="E1820" s="11" t="s">
        <v>4693</v>
      </c>
      <c r="F1820" s="17"/>
      <c r="G1820" s="12" t="s">
        <v>1136</v>
      </c>
      <c r="H1820" s="13" t="n">
        <v>-0.012</v>
      </c>
      <c r="I1820" s="14"/>
      <c r="J1820" s="17"/>
      <c r="K1820" s="9"/>
      <c r="L1820" s="15" t="s">
        <v>50</v>
      </c>
      <c r="M1820" s="16" t="s">
        <v>51</v>
      </c>
      <c r="N1820" s="14"/>
      <c r="O1820" s="15" t="s">
        <v>52</v>
      </c>
      <c r="P1820" s="17" t="s">
        <v>53</v>
      </c>
      <c r="Q1820" s="15"/>
      <c r="R1820" s="18" t="s">
        <v>51</v>
      </c>
      <c r="S1820" s="19"/>
      <c r="T1820" s="17" t="str">
        <f aca="false">IF(R1820="維持",J1820,IF(R1820="排除","無關新聞事件",IFERROR(INDEX(事件規則!$B$2:$B$53,MATCH(S1820,事件規則!$A$2:$A$53,0)),"")))</f>
        <v>無關新聞事件</v>
      </c>
      <c r="U1820" s="20" t="n">
        <f aca="false">IF(R1820="維持",K1820,IF(R1820="排除",0,IFERROR(INDEX(事件規則!$C$2:$C$53,MATCH(S1820,事件規則!$A$2:$A$53,0)),"")))</f>
        <v>0</v>
      </c>
      <c r="V1820" s="21"/>
      <c r="W1820" s="22"/>
      <c r="X1820" s="10" t="str">
        <f aca="false">IF(AND(R1820="修改",S1820=""),"請選新事件代碼",IF(AND(R1820&lt;&gt;"修改",S1820&lt;&gt;""),"只有「修改」才需填代碼",""))</f>
        <v/>
      </c>
      <c r="Y1820" s="21"/>
      <c r="Z1820" s="22"/>
      <c r="AA1820" s="12" t="s">
        <v>4694</v>
      </c>
      <c r="AB1820" s="24"/>
    </row>
    <row r="1821" customFormat="false" ht="29.85" hidden="false" customHeight="false" outlineLevel="0" collapsed="false">
      <c r="A1821" s="15" t="n">
        <v>1820</v>
      </c>
      <c r="B1821" s="9" t="s">
        <v>55</v>
      </c>
      <c r="C1821" s="9" t="s">
        <v>1727</v>
      </c>
      <c r="D1821" s="10" t="s">
        <v>1728</v>
      </c>
      <c r="E1821" s="11" t="s">
        <v>4695</v>
      </c>
      <c r="F1821" s="17"/>
      <c r="G1821" s="12" t="s">
        <v>95</v>
      </c>
      <c r="H1821" s="13" t="n">
        <v>-0.012</v>
      </c>
      <c r="I1821" s="14"/>
      <c r="J1821" s="17"/>
      <c r="K1821" s="9"/>
      <c r="L1821" s="15" t="s">
        <v>50</v>
      </c>
      <c r="M1821" s="16" t="s">
        <v>51</v>
      </c>
      <c r="N1821" s="14"/>
      <c r="O1821" s="15" t="s">
        <v>52</v>
      </c>
      <c r="P1821" s="17" t="s">
        <v>53</v>
      </c>
      <c r="Q1821" s="15"/>
      <c r="R1821" s="18" t="s">
        <v>51</v>
      </c>
      <c r="S1821" s="19"/>
      <c r="T1821" s="17" t="str">
        <f aca="false">IF(R1821="維持",J1821,IF(R1821="排除","無關新聞事件",IFERROR(INDEX(事件規則!$B$2:$B$53,MATCH(S1821,事件規則!$A$2:$A$53,0)),"")))</f>
        <v>無關新聞事件</v>
      </c>
      <c r="U1821" s="20" t="n">
        <f aca="false">IF(R1821="維持",K1821,IF(R1821="排除",0,IFERROR(INDEX(事件規則!$C$2:$C$53,MATCH(S1821,事件規則!$A$2:$A$53,0)),"")))</f>
        <v>0</v>
      </c>
      <c r="V1821" s="21"/>
      <c r="W1821" s="22"/>
      <c r="X1821" s="10" t="str">
        <f aca="false">IF(AND(R1821="修改",S1821=""),"請選新事件代碼",IF(AND(R1821&lt;&gt;"修改",S1821&lt;&gt;""),"只有「修改」才需填代碼",""))</f>
        <v/>
      </c>
      <c r="Y1821" s="21"/>
      <c r="Z1821" s="22"/>
      <c r="AA1821" s="12" t="s">
        <v>4696</v>
      </c>
      <c r="AB1821" s="24"/>
    </row>
    <row r="1822" customFormat="false" ht="29.85" hidden="false" customHeight="false" outlineLevel="0" collapsed="false">
      <c r="A1822" s="15" t="n">
        <v>1821</v>
      </c>
      <c r="B1822" s="9" t="s">
        <v>55</v>
      </c>
      <c r="C1822" s="9" t="s">
        <v>4697</v>
      </c>
      <c r="D1822" s="10" t="s">
        <v>4698</v>
      </c>
      <c r="E1822" s="11" t="s">
        <v>4699</v>
      </c>
      <c r="F1822" s="17"/>
      <c r="G1822" s="12" t="s">
        <v>95</v>
      </c>
      <c r="H1822" s="13" t="n">
        <v>-0.012</v>
      </c>
      <c r="I1822" s="14"/>
      <c r="J1822" s="17"/>
      <c r="K1822" s="9"/>
      <c r="L1822" s="15" t="s">
        <v>50</v>
      </c>
      <c r="M1822" s="16" t="s">
        <v>51</v>
      </c>
      <c r="N1822" s="14"/>
      <c r="O1822" s="15" t="s">
        <v>52</v>
      </c>
      <c r="P1822" s="17" t="s">
        <v>53</v>
      </c>
      <c r="Q1822" s="15"/>
      <c r="R1822" s="18" t="s">
        <v>51</v>
      </c>
      <c r="S1822" s="19"/>
      <c r="T1822" s="17" t="str">
        <f aca="false">IF(R1822="維持",J1822,IF(R1822="排除","無關新聞事件",IFERROR(INDEX(事件規則!$B$2:$B$53,MATCH(S1822,事件規則!$A$2:$A$53,0)),"")))</f>
        <v>無關新聞事件</v>
      </c>
      <c r="U1822" s="20" t="n">
        <f aca="false">IF(R1822="維持",K1822,IF(R1822="排除",0,IFERROR(INDEX(事件規則!$C$2:$C$53,MATCH(S1822,事件規則!$A$2:$A$53,0)),"")))</f>
        <v>0</v>
      </c>
      <c r="V1822" s="21"/>
      <c r="W1822" s="22"/>
      <c r="X1822" s="10" t="str">
        <f aca="false">IF(AND(R1822="修改",S1822=""),"請選新事件代碼",IF(AND(R1822&lt;&gt;"修改",S1822&lt;&gt;""),"只有「修改」才需填代碼",""))</f>
        <v/>
      </c>
      <c r="Y1822" s="21"/>
      <c r="Z1822" s="22"/>
      <c r="AA1822" s="12" t="s">
        <v>4700</v>
      </c>
      <c r="AB1822" s="24"/>
    </row>
    <row r="1823" customFormat="false" ht="29.85" hidden="false" customHeight="false" outlineLevel="0" collapsed="false">
      <c r="A1823" s="15" t="n">
        <v>1822</v>
      </c>
      <c r="B1823" s="9" t="s">
        <v>45</v>
      </c>
      <c r="C1823" s="9" t="s">
        <v>1261</v>
      </c>
      <c r="D1823" s="10" t="s">
        <v>1262</v>
      </c>
      <c r="E1823" s="11" t="s">
        <v>4701</v>
      </c>
      <c r="F1823" s="17"/>
      <c r="G1823" s="12" t="s">
        <v>4702</v>
      </c>
      <c r="H1823" s="13" t="n">
        <v>-0.012</v>
      </c>
      <c r="I1823" s="14"/>
      <c r="J1823" s="17"/>
      <c r="K1823" s="9"/>
      <c r="L1823" s="15" t="s">
        <v>50</v>
      </c>
      <c r="M1823" s="16" t="s">
        <v>51</v>
      </c>
      <c r="N1823" s="14"/>
      <c r="O1823" s="15" t="s">
        <v>52</v>
      </c>
      <c r="P1823" s="17" t="s">
        <v>53</v>
      </c>
      <c r="Q1823" s="15"/>
      <c r="R1823" s="18" t="s">
        <v>51</v>
      </c>
      <c r="S1823" s="19"/>
      <c r="T1823" s="17" t="str">
        <f aca="false">IF(R1823="維持",J1823,IF(R1823="排除","無關新聞事件",IFERROR(INDEX(事件規則!$B$2:$B$53,MATCH(S1823,事件規則!$A$2:$A$53,0)),"")))</f>
        <v>無關新聞事件</v>
      </c>
      <c r="U1823" s="20" t="n">
        <f aca="false">IF(R1823="維持",K1823,IF(R1823="排除",0,IFERROR(INDEX(事件規則!$C$2:$C$53,MATCH(S1823,事件規則!$A$2:$A$53,0)),"")))</f>
        <v>0</v>
      </c>
      <c r="V1823" s="21"/>
      <c r="W1823" s="22"/>
      <c r="X1823" s="10" t="str">
        <f aca="false">IF(AND(R1823="修改",S1823=""),"請選新事件代碼",IF(AND(R1823&lt;&gt;"修改",S1823&lt;&gt;""),"只有「修改」才需填代碼",""))</f>
        <v/>
      </c>
      <c r="Y1823" s="21"/>
      <c r="Z1823" s="22"/>
      <c r="AA1823" s="12" t="s">
        <v>4703</v>
      </c>
      <c r="AB1823" s="24"/>
    </row>
    <row r="1824" customFormat="false" ht="29.85" hidden="false" customHeight="false" outlineLevel="0" collapsed="false">
      <c r="A1824" s="15" t="n">
        <v>1823</v>
      </c>
      <c r="B1824" s="9" t="s">
        <v>55</v>
      </c>
      <c r="C1824" s="9" t="s">
        <v>118</v>
      </c>
      <c r="D1824" s="10" t="s">
        <v>119</v>
      </c>
      <c r="E1824" s="11" t="s">
        <v>4704</v>
      </c>
      <c r="F1824" s="17"/>
      <c r="G1824" s="12" t="s">
        <v>154</v>
      </c>
      <c r="H1824" s="13" t="n">
        <v>-0.011</v>
      </c>
      <c r="I1824" s="14"/>
      <c r="J1824" s="17"/>
      <c r="K1824" s="9"/>
      <c r="L1824" s="15" t="s">
        <v>50</v>
      </c>
      <c r="M1824" s="16" t="s">
        <v>51</v>
      </c>
      <c r="N1824" s="14"/>
      <c r="O1824" s="15" t="s">
        <v>52</v>
      </c>
      <c r="P1824" s="17" t="s">
        <v>53</v>
      </c>
      <c r="Q1824" s="15"/>
      <c r="R1824" s="18" t="s">
        <v>51</v>
      </c>
      <c r="S1824" s="19"/>
      <c r="T1824" s="17" t="str">
        <f aca="false">IF(R1824="維持",J1824,IF(R1824="排除","無關新聞事件",IFERROR(INDEX(事件規則!$B$2:$B$53,MATCH(S1824,事件規則!$A$2:$A$53,0)),"")))</f>
        <v>無關新聞事件</v>
      </c>
      <c r="U1824" s="20" t="n">
        <f aca="false">IF(R1824="維持",K1824,IF(R1824="排除",0,IFERROR(INDEX(事件規則!$C$2:$C$53,MATCH(S1824,事件規則!$A$2:$A$53,0)),"")))</f>
        <v>0</v>
      </c>
      <c r="V1824" s="21"/>
      <c r="W1824" s="22"/>
      <c r="X1824" s="10" t="str">
        <f aca="false">IF(AND(R1824="修改",S1824=""),"請選新事件代碼",IF(AND(R1824&lt;&gt;"修改",S1824&lt;&gt;""),"只有「修改」才需填代碼",""))</f>
        <v/>
      </c>
      <c r="Y1824" s="21"/>
      <c r="Z1824" s="22"/>
      <c r="AA1824" s="12" t="s">
        <v>4705</v>
      </c>
      <c r="AB1824" s="24"/>
    </row>
    <row r="1825" customFormat="false" ht="29.85" hidden="false" customHeight="false" outlineLevel="0" collapsed="false">
      <c r="A1825" s="15" t="n">
        <v>1824</v>
      </c>
      <c r="B1825" s="9" t="s">
        <v>45</v>
      </c>
      <c r="C1825" s="9" t="s">
        <v>1415</v>
      </c>
      <c r="D1825" s="10" t="s">
        <v>1416</v>
      </c>
      <c r="E1825" s="11" t="s">
        <v>4706</v>
      </c>
      <c r="F1825" s="17"/>
      <c r="G1825" s="12" t="s">
        <v>95</v>
      </c>
      <c r="H1825" s="13" t="n">
        <v>-0.011</v>
      </c>
      <c r="I1825" s="14"/>
      <c r="J1825" s="17"/>
      <c r="K1825" s="9"/>
      <c r="L1825" s="15" t="s">
        <v>50</v>
      </c>
      <c r="M1825" s="16" t="s">
        <v>51</v>
      </c>
      <c r="N1825" s="14"/>
      <c r="O1825" s="15" t="s">
        <v>52</v>
      </c>
      <c r="P1825" s="17" t="s">
        <v>53</v>
      </c>
      <c r="Q1825" s="15"/>
      <c r="R1825" s="18" t="s">
        <v>51</v>
      </c>
      <c r="S1825" s="19"/>
      <c r="T1825" s="17" t="str">
        <f aca="false">IF(R1825="維持",J1825,IF(R1825="排除","無關新聞事件",IFERROR(INDEX(事件規則!$B$2:$B$53,MATCH(S1825,事件規則!$A$2:$A$53,0)),"")))</f>
        <v>無關新聞事件</v>
      </c>
      <c r="U1825" s="20" t="n">
        <f aca="false">IF(R1825="維持",K1825,IF(R1825="排除",0,IFERROR(INDEX(事件規則!$C$2:$C$53,MATCH(S1825,事件規則!$A$2:$A$53,0)),"")))</f>
        <v>0</v>
      </c>
      <c r="V1825" s="21"/>
      <c r="W1825" s="22"/>
      <c r="X1825" s="10" t="str">
        <f aca="false">IF(AND(R1825="修改",S1825=""),"請選新事件代碼",IF(AND(R1825&lt;&gt;"修改",S1825&lt;&gt;""),"只有「修改」才需填代碼",""))</f>
        <v/>
      </c>
      <c r="Y1825" s="21"/>
      <c r="Z1825" s="22"/>
      <c r="AA1825" s="12" t="s">
        <v>4707</v>
      </c>
      <c r="AB1825" s="24"/>
    </row>
    <row r="1826" customFormat="false" ht="29.85" hidden="false" customHeight="false" outlineLevel="0" collapsed="false">
      <c r="A1826" s="15" t="n">
        <v>1825</v>
      </c>
      <c r="B1826" s="9" t="s">
        <v>45</v>
      </c>
      <c r="C1826" s="9" t="s">
        <v>202</v>
      </c>
      <c r="D1826" s="10" t="s">
        <v>203</v>
      </c>
      <c r="E1826" s="11" t="s">
        <v>4708</v>
      </c>
      <c r="F1826" s="17"/>
      <c r="G1826" s="12" t="s">
        <v>4702</v>
      </c>
      <c r="H1826" s="13" t="n">
        <v>-0.011</v>
      </c>
      <c r="I1826" s="14"/>
      <c r="J1826" s="17"/>
      <c r="K1826" s="9"/>
      <c r="L1826" s="15" t="s">
        <v>50</v>
      </c>
      <c r="M1826" s="16" t="s">
        <v>51</v>
      </c>
      <c r="N1826" s="14"/>
      <c r="O1826" s="15" t="s">
        <v>52</v>
      </c>
      <c r="P1826" s="17" t="s">
        <v>53</v>
      </c>
      <c r="Q1826" s="15"/>
      <c r="R1826" s="18" t="s">
        <v>51</v>
      </c>
      <c r="S1826" s="19"/>
      <c r="T1826" s="17" t="str">
        <f aca="false">IF(R1826="維持",J1826,IF(R1826="排除","無關新聞事件",IFERROR(INDEX(事件規則!$B$2:$B$53,MATCH(S1826,事件規則!$A$2:$A$53,0)),"")))</f>
        <v>無關新聞事件</v>
      </c>
      <c r="U1826" s="20" t="n">
        <f aca="false">IF(R1826="維持",K1826,IF(R1826="排除",0,IFERROR(INDEX(事件規則!$C$2:$C$53,MATCH(S1826,事件規則!$A$2:$A$53,0)),"")))</f>
        <v>0</v>
      </c>
      <c r="V1826" s="21"/>
      <c r="W1826" s="22"/>
      <c r="X1826" s="10" t="str">
        <f aca="false">IF(AND(R1826="修改",S1826=""),"請選新事件代碼",IF(AND(R1826&lt;&gt;"修改",S1826&lt;&gt;""),"只有「修改」才需填代碼",""))</f>
        <v/>
      </c>
      <c r="Y1826" s="21"/>
      <c r="Z1826" s="22"/>
      <c r="AA1826" s="12" t="s">
        <v>4709</v>
      </c>
      <c r="AB1826" s="24"/>
    </row>
    <row r="1827" customFormat="false" ht="29.85" hidden="false" customHeight="false" outlineLevel="0" collapsed="false">
      <c r="A1827" s="15" t="n">
        <v>1826</v>
      </c>
      <c r="B1827" s="9" t="s">
        <v>45</v>
      </c>
      <c r="C1827" s="9" t="s">
        <v>957</v>
      </c>
      <c r="D1827" s="10" t="s">
        <v>958</v>
      </c>
      <c r="E1827" s="11" t="s">
        <v>4710</v>
      </c>
      <c r="F1827" s="17"/>
      <c r="G1827" s="12" t="s">
        <v>95</v>
      </c>
      <c r="H1827" s="13" t="n">
        <v>-0.011</v>
      </c>
      <c r="I1827" s="14"/>
      <c r="J1827" s="17"/>
      <c r="K1827" s="9"/>
      <c r="L1827" s="15" t="s">
        <v>50</v>
      </c>
      <c r="M1827" s="16" t="s">
        <v>51</v>
      </c>
      <c r="N1827" s="14"/>
      <c r="O1827" s="15" t="s">
        <v>52</v>
      </c>
      <c r="P1827" s="17" t="s">
        <v>53</v>
      </c>
      <c r="Q1827" s="15"/>
      <c r="R1827" s="18" t="s">
        <v>51</v>
      </c>
      <c r="S1827" s="19"/>
      <c r="T1827" s="17" t="str">
        <f aca="false">IF(R1827="維持",J1827,IF(R1827="排除","無關新聞事件",IFERROR(INDEX(事件規則!$B$2:$B$53,MATCH(S1827,事件規則!$A$2:$A$53,0)),"")))</f>
        <v>無關新聞事件</v>
      </c>
      <c r="U1827" s="20" t="n">
        <f aca="false">IF(R1827="維持",K1827,IF(R1827="排除",0,IFERROR(INDEX(事件規則!$C$2:$C$53,MATCH(S1827,事件規則!$A$2:$A$53,0)),"")))</f>
        <v>0</v>
      </c>
      <c r="V1827" s="21"/>
      <c r="W1827" s="22"/>
      <c r="X1827" s="10" t="str">
        <f aca="false">IF(AND(R1827="修改",S1827=""),"請選新事件代碼",IF(AND(R1827&lt;&gt;"修改",S1827&lt;&gt;""),"只有「修改」才需填代碼",""))</f>
        <v/>
      </c>
      <c r="Y1827" s="21"/>
      <c r="Z1827" s="22"/>
      <c r="AA1827" s="12" t="s">
        <v>4711</v>
      </c>
      <c r="AB1827" s="24"/>
    </row>
    <row r="1828" customFormat="false" ht="29.85" hidden="false" customHeight="false" outlineLevel="0" collapsed="false">
      <c r="A1828" s="15" t="n">
        <v>1827</v>
      </c>
      <c r="B1828" s="9" t="s">
        <v>55</v>
      </c>
      <c r="C1828" s="9" t="s">
        <v>4200</v>
      </c>
      <c r="D1828" s="10" t="s">
        <v>4201</v>
      </c>
      <c r="E1828" s="11" t="s">
        <v>4712</v>
      </c>
      <c r="F1828" s="17"/>
      <c r="G1828" s="12" t="s">
        <v>176</v>
      </c>
      <c r="H1828" s="13" t="n">
        <v>-0.011</v>
      </c>
      <c r="I1828" s="14"/>
      <c r="J1828" s="17"/>
      <c r="K1828" s="9"/>
      <c r="L1828" s="15" t="s">
        <v>50</v>
      </c>
      <c r="M1828" s="16" t="s">
        <v>51</v>
      </c>
      <c r="N1828" s="14"/>
      <c r="O1828" s="15" t="s">
        <v>52</v>
      </c>
      <c r="P1828" s="17" t="s">
        <v>53</v>
      </c>
      <c r="Q1828" s="15"/>
      <c r="R1828" s="18" t="s">
        <v>51</v>
      </c>
      <c r="S1828" s="19"/>
      <c r="T1828" s="17" t="str">
        <f aca="false">IF(R1828="維持",J1828,IF(R1828="排除","無關新聞事件",IFERROR(INDEX(事件規則!$B$2:$B$53,MATCH(S1828,事件規則!$A$2:$A$53,0)),"")))</f>
        <v>無關新聞事件</v>
      </c>
      <c r="U1828" s="20" t="n">
        <f aca="false">IF(R1828="維持",K1828,IF(R1828="排除",0,IFERROR(INDEX(事件規則!$C$2:$C$53,MATCH(S1828,事件規則!$A$2:$A$53,0)),"")))</f>
        <v>0</v>
      </c>
      <c r="V1828" s="21"/>
      <c r="W1828" s="22"/>
      <c r="X1828" s="10" t="str">
        <f aca="false">IF(AND(R1828="修改",S1828=""),"請選新事件代碼",IF(AND(R1828&lt;&gt;"修改",S1828&lt;&gt;""),"只有「修改」才需填代碼",""))</f>
        <v/>
      </c>
      <c r="Y1828" s="21"/>
      <c r="Z1828" s="22"/>
      <c r="AA1828" s="12" t="s">
        <v>4713</v>
      </c>
      <c r="AB1828" s="24"/>
    </row>
    <row r="1829" customFormat="false" ht="29.85" hidden="false" customHeight="false" outlineLevel="0" collapsed="false">
      <c r="A1829" s="15" t="n">
        <v>1828</v>
      </c>
      <c r="B1829" s="9" t="s">
        <v>55</v>
      </c>
      <c r="C1829" s="9" t="s">
        <v>92</v>
      </c>
      <c r="D1829" s="10" t="s">
        <v>93</v>
      </c>
      <c r="E1829" s="11" t="s">
        <v>4714</v>
      </c>
      <c r="F1829" s="17"/>
      <c r="G1829" s="12" t="s">
        <v>95</v>
      </c>
      <c r="H1829" s="13" t="n">
        <v>-0.011</v>
      </c>
      <c r="I1829" s="14"/>
      <c r="J1829" s="17"/>
      <c r="K1829" s="9"/>
      <c r="L1829" s="15" t="s">
        <v>50</v>
      </c>
      <c r="M1829" s="16" t="s">
        <v>51</v>
      </c>
      <c r="N1829" s="14"/>
      <c r="O1829" s="15" t="s">
        <v>52</v>
      </c>
      <c r="P1829" s="17" t="s">
        <v>53</v>
      </c>
      <c r="Q1829" s="15"/>
      <c r="R1829" s="18" t="s">
        <v>51</v>
      </c>
      <c r="S1829" s="19"/>
      <c r="T1829" s="17" t="str">
        <f aca="false">IF(R1829="維持",J1829,IF(R1829="排除","無關新聞事件",IFERROR(INDEX(事件規則!$B$2:$B$53,MATCH(S1829,事件規則!$A$2:$A$53,0)),"")))</f>
        <v>無關新聞事件</v>
      </c>
      <c r="U1829" s="20" t="n">
        <f aca="false">IF(R1829="維持",K1829,IF(R1829="排除",0,IFERROR(INDEX(事件規則!$C$2:$C$53,MATCH(S1829,事件規則!$A$2:$A$53,0)),"")))</f>
        <v>0</v>
      </c>
      <c r="V1829" s="21"/>
      <c r="W1829" s="22"/>
      <c r="X1829" s="10" t="str">
        <f aca="false">IF(AND(R1829="修改",S1829=""),"請選新事件代碼",IF(AND(R1829&lt;&gt;"修改",S1829&lt;&gt;""),"只有「修改」才需填代碼",""))</f>
        <v/>
      </c>
      <c r="Y1829" s="21"/>
      <c r="Z1829" s="22"/>
      <c r="AA1829" s="12" t="s">
        <v>4715</v>
      </c>
      <c r="AB1829" s="24"/>
    </row>
    <row r="1830" customFormat="false" ht="29.85" hidden="false" customHeight="false" outlineLevel="0" collapsed="false">
      <c r="A1830" s="15" t="n">
        <v>1829</v>
      </c>
      <c r="B1830" s="9" t="s">
        <v>55</v>
      </c>
      <c r="C1830" s="9" t="s">
        <v>92</v>
      </c>
      <c r="D1830" s="10" t="s">
        <v>93</v>
      </c>
      <c r="E1830" s="11" t="s">
        <v>4716</v>
      </c>
      <c r="F1830" s="17"/>
      <c r="G1830" s="12" t="s">
        <v>95</v>
      </c>
      <c r="H1830" s="13" t="n">
        <v>-0.011</v>
      </c>
      <c r="I1830" s="14"/>
      <c r="J1830" s="17"/>
      <c r="K1830" s="9"/>
      <c r="L1830" s="15" t="s">
        <v>50</v>
      </c>
      <c r="M1830" s="16" t="s">
        <v>51</v>
      </c>
      <c r="N1830" s="14"/>
      <c r="O1830" s="15" t="s">
        <v>52</v>
      </c>
      <c r="P1830" s="17" t="s">
        <v>53</v>
      </c>
      <c r="Q1830" s="15"/>
      <c r="R1830" s="18" t="s">
        <v>51</v>
      </c>
      <c r="S1830" s="19"/>
      <c r="T1830" s="17" t="str">
        <f aca="false">IF(R1830="維持",J1830,IF(R1830="排除","無關新聞事件",IFERROR(INDEX(事件規則!$B$2:$B$53,MATCH(S1830,事件規則!$A$2:$A$53,0)),"")))</f>
        <v>無關新聞事件</v>
      </c>
      <c r="U1830" s="20" t="n">
        <f aca="false">IF(R1830="維持",K1830,IF(R1830="排除",0,IFERROR(INDEX(事件規則!$C$2:$C$53,MATCH(S1830,事件規則!$A$2:$A$53,0)),"")))</f>
        <v>0</v>
      </c>
      <c r="V1830" s="21"/>
      <c r="W1830" s="22"/>
      <c r="X1830" s="10" t="str">
        <f aca="false">IF(AND(R1830="修改",S1830=""),"請選新事件代碼",IF(AND(R1830&lt;&gt;"修改",S1830&lt;&gt;""),"只有「修改」才需填代碼",""))</f>
        <v/>
      </c>
      <c r="Y1830" s="21"/>
      <c r="Z1830" s="22"/>
      <c r="AA1830" s="12" t="s">
        <v>4717</v>
      </c>
      <c r="AB1830" s="24"/>
    </row>
    <row r="1831" customFormat="false" ht="29.85" hidden="false" customHeight="false" outlineLevel="0" collapsed="false">
      <c r="A1831" s="15" t="n">
        <v>1830</v>
      </c>
      <c r="B1831" s="9" t="s">
        <v>112</v>
      </c>
      <c r="C1831" s="9" t="s">
        <v>869</v>
      </c>
      <c r="D1831" s="10" t="s">
        <v>870</v>
      </c>
      <c r="E1831" s="11" t="s">
        <v>4718</v>
      </c>
      <c r="F1831" s="17"/>
      <c r="G1831" s="12" t="s">
        <v>1136</v>
      </c>
      <c r="H1831" s="13" t="n">
        <v>-0.011</v>
      </c>
      <c r="I1831" s="14"/>
      <c r="J1831" s="17"/>
      <c r="K1831" s="9"/>
      <c r="L1831" s="15" t="s">
        <v>50</v>
      </c>
      <c r="M1831" s="16" t="s">
        <v>51</v>
      </c>
      <c r="N1831" s="14"/>
      <c r="O1831" s="15" t="s">
        <v>52</v>
      </c>
      <c r="P1831" s="17" t="s">
        <v>53</v>
      </c>
      <c r="Q1831" s="15"/>
      <c r="R1831" s="18" t="s">
        <v>51</v>
      </c>
      <c r="S1831" s="19"/>
      <c r="T1831" s="17" t="str">
        <f aca="false">IF(R1831="維持",J1831,IF(R1831="排除","無關新聞事件",IFERROR(INDEX(事件規則!$B$2:$B$53,MATCH(S1831,事件規則!$A$2:$A$53,0)),"")))</f>
        <v>無關新聞事件</v>
      </c>
      <c r="U1831" s="20" t="n">
        <f aca="false">IF(R1831="維持",K1831,IF(R1831="排除",0,IFERROR(INDEX(事件規則!$C$2:$C$53,MATCH(S1831,事件規則!$A$2:$A$53,0)),"")))</f>
        <v>0</v>
      </c>
      <c r="V1831" s="21"/>
      <c r="W1831" s="22"/>
      <c r="X1831" s="10" t="str">
        <f aca="false">IF(AND(R1831="修改",S1831=""),"請選新事件代碼",IF(AND(R1831&lt;&gt;"修改",S1831&lt;&gt;""),"只有「修改」才需填代碼",""))</f>
        <v/>
      </c>
      <c r="Y1831" s="21"/>
      <c r="Z1831" s="22"/>
      <c r="AA1831" s="12" t="s">
        <v>4719</v>
      </c>
      <c r="AB1831" s="24"/>
    </row>
    <row r="1832" customFormat="false" ht="29.85" hidden="false" customHeight="false" outlineLevel="0" collapsed="false">
      <c r="A1832" s="15" t="n">
        <v>1831</v>
      </c>
      <c r="B1832" s="9" t="s">
        <v>55</v>
      </c>
      <c r="C1832" s="9" t="s">
        <v>1370</v>
      </c>
      <c r="D1832" s="10" t="s">
        <v>1371</v>
      </c>
      <c r="E1832" s="11" t="s">
        <v>4720</v>
      </c>
      <c r="F1832" s="17"/>
      <c r="G1832" s="12" t="s">
        <v>1068</v>
      </c>
      <c r="H1832" s="13" t="n">
        <v>-0.011</v>
      </c>
      <c r="I1832" s="14"/>
      <c r="J1832" s="17"/>
      <c r="K1832" s="9"/>
      <c r="L1832" s="15" t="s">
        <v>50</v>
      </c>
      <c r="M1832" s="16" t="s">
        <v>51</v>
      </c>
      <c r="N1832" s="14"/>
      <c r="O1832" s="15" t="s">
        <v>52</v>
      </c>
      <c r="P1832" s="17" t="s">
        <v>53</v>
      </c>
      <c r="Q1832" s="15"/>
      <c r="R1832" s="18" t="s">
        <v>51</v>
      </c>
      <c r="S1832" s="19"/>
      <c r="T1832" s="17" t="str">
        <f aca="false">IF(R1832="維持",J1832,IF(R1832="排除","無關新聞事件",IFERROR(INDEX(事件規則!$B$2:$B$53,MATCH(S1832,事件規則!$A$2:$A$53,0)),"")))</f>
        <v>無關新聞事件</v>
      </c>
      <c r="U1832" s="20" t="n">
        <f aca="false">IF(R1832="維持",K1832,IF(R1832="排除",0,IFERROR(INDEX(事件規則!$C$2:$C$53,MATCH(S1832,事件規則!$A$2:$A$53,0)),"")))</f>
        <v>0</v>
      </c>
      <c r="V1832" s="21"/>
      <c r="W1832" s="22"/>
      <c r="X1832" s="10" t="str">
        <f aca="false">IF(AND(R1832="修改",S1832=""),"請選新事件代碼",IF(AND(R1832&lt;&gt;"修改",S1832&lt;&gt;""),"只有「修改」才需填代碼",""))</f>
        <v/>
      </c>
      <c r="Y1832" s="21"/>
      <c r="Z1832" s="22"/>
      <c r="AA1832" s="12" t="s">
        <v>4721</v>
      </c>
      <c r="AB1832" s="24"/>
    </row>
    <row r="1833" customFormat="false" ht="29.85" hidden="false" customHeight="false" outlineLevel="0" collapsed="false">
      <c r="A1833" s="15" t="n">
        <v>1832</v>
      </c>
      <c r="B1833" s="9" t="s">
        <v>55</v>
      </c>
      <c r="C1833" s="9" t="s">
        <v>2028</v>
      </c>
      <c r="D1833" s="10" t="s">
        <v>2029</v>
      </c>
      <c r="E1833" s="11" t="s">
        <v>4722</v>
      </c>
      <c r="F1833" s="17"/>
      <c r="G1833" s="12" t="s">
        <v>949</v>
      </c>
      <c r="H1833" s="13" t="n">
        <v>-0.011</v>
      </c>
      <c r="I1833" s="14"/>
      <c r="J1833" s="17"/>
      <c r="K1833" s="9"/>
      <c r="L1833" s="15" t="s">
        <v>50</v>
      </c>
      <c r="M1833" s="16" t="s">
        <v>51</v>
      </c>
      <c r="N1833" s="14"/>
      <c r="O1833" s="15" t="s">
        <v>52</v>
      </c>
      <c r="P1833" s="17" t="s">
        <v>53</v>
      </c>
      <c r="Q1833" s="15"/>
      <c r="R1833" s="18" t="s">
        <v>51</v>
      </c>
      <c r="S1833" s="19"/>
      <c r="T1833" s="17" t="str">
        <f aca="false">IF(R1833="維持",J1833,IF(R1833="排除","無關新聞事件",IFERROR(INDEX(事件規則!$B$2:$B$53,MATCH(S1833,事件規則!$A$2:$A$53,0)),"")))</f>
        <v>無關新聞事件</v>
      </c>
      <c r="U1833" s="20" t="n">
        <f aca="false">IF(R1833="維持",K1833,IF(R1833="排除",0,IFERROR(INDEX(事件規則!$C$2:$C$53,MATCH(S1833,事件規則!$A$2:$A$53,0)),"")))</f>
        <v>0</v>
      </c>
      <c r="V1833" s="21"/>
      <c r="W1833" s="22"/>
      <c r="X1833" s="10" t="str">
        <f aca="false">IF(AND(R1833="修改",S1833=""),"請選新事件代碼",IF(AND(R1833&lt;&gt;"修改",S1833&lt;&gt;""),"只有「修改」才需填代碼",""))</f>
        <v/>
      </c>
      <c r="Y1833" s="21"/>
      <c r="Z1833" s="22"/>
      <c r="AA1833" s="12" t="s">
        <v>4723</v>
      </c>
      <c r="AB1833" s="24"/>
    </row>
    <row r="1834" customFormat="false" ht="29.85" hidden="false" customHeight="false" outlineLevel="0" collapsed="false">
      <c r="A1834" s="15" t="n">
        <v>1833</v>
      </c>
      <c r="B1834" s="9" t="s">
        <v>112</v>
      </c>
      <c r="C1834" s="9" t="s">
        <v>1672</v>
      </c>
      <c r="D1834" s="10" t="s">
        <v>1673</v>
      </c>
      <c r="E1834" s="11" t="s">
        <v>4724</v>
      </c>
      <c r="F1834" s="17"/>
      <c r="G1834" s="12" t="s">
        <v>2033</v>
      </c>
      <c r="H1834" s="13" t="n">
        <v>-0.011</v>
      </c>
      <c r="I1834" s="14"/>
      <c r="J1834" s="17"/>
      <c r="K1834" s="9"/>
      <c r="L1834" s="15" t="s">
        <v>50</v>
      </c>
      <c r="M1834" s="16" t="s">
        <v>51</v>
      </c>
      <c r="N1834" s="14"/>
      <c r="O1834" s="15" t="s">
        <v>52</v>
      </c>
      <c r="P1834" s="17" t="s">
        <v>53</v>
      </c>
      <c r="Q1834" s="15"/>
      <c r="R1834" s="18" t="s">
        <v>51</v>
      </c>
      <c r="S1834" s="19"/>
      <c r="T1834" s="17" t="str">
        <f aca="false">IF(R1834="維持",J1834,IF(R1834="排除","無關新聞事件",IFERROR(INDEX(事件規則!$B$2:$B$53,MATCH(S1834,事件規則!$A$2:$A$53,0)),"")))</f>
        <v>無關新聞事件</v>
      </c>
      <c r="U1834" s="20" t="n">
        <f aca="false">IF(R1834="維持",K1834,IF(R1834="排除",0,IFERROR(INDEX(事件規則!$C$2:$C$53,MATCH(S1834,事件規則!$A$2:$A$53,0)),"")))</f>
        <v>0</v>
      </c>
      <c r="V1834" s="21"/>
      <c r="W1834" s="22"/>
      <c r="X1834" s="10" t="str">
        <f aca="false">IF(AND(R1834="修改",S1834=""),"請選新事件代碼",IF(AND(R1834&lt;&gt;"修改",S1834&lt;&gt;""),"只有「修改」才需填代碼",""))</f>
        <v/>
      </c>
      <c r="Y1834" s="21"/>
      <c r="Z1834" s="22"/>
      <c r="AA1834" s="12" t="s">
        <v>4725</v>
      </c>
      <c r="AB1834" s="24"/>
    </row>
    <row r="1835" customFormat="false" ht="29.85" hidden="false" customHeight="false" outlineLevel="0" collapsed="false">
      <c r="A1835" s="15" t="n">
        <v>1834</v>
      </c>
      <c r="B1835" s="9" t="s">
        <v>112</v>
      </c>
      <c r="C1835" s="9" t="s">
        <v>1196</v>
      </c>
      <c r="D1835" s="10" t="s">
        <v>1197</v>
      </c>
      <c r="E1835" s="11" t="s">
        <v>4726</v>
      </c>
      <c r="F1835" s="17"/>
      <c r="G1835" s="12" t="s">
        <v>49</v>
      </c>
      <c r="H1835" s="13" t="n">
        <v>-0.011</v>
      </c>
      <c r="I1835" s="14"/>
      <c r="J1835" s="17"/>
      <c r="K1835" s="9"/>
      <c r="L1835" s="15" t="s">
        <v>50</v>
      </c>
      <c r="M1835" s="16" t="s">
        <v>51</v>
      </c>
      <c r="N1835" s="14"/>
      <c r="O1835" s="15" t="s">
        <v>52</v>
      </c>
      <c r="P1835" s="17" t="s">
        <v>53</v>
      </c>
      <c r="Q1835" s="15"/>
      <c r="R1835" s="18" t="s">
        <v>51</v>
      </c>
      <c r="S1835" s="19"/>
      <c r="T1835" s="17" t="str">
        <f aca="false">IF(R1835="維持",J1835,IF(R1835="排除","無關新聞事件",IFERROR(INDEX(事件規則!$B$2:$B$53,MATCH(S1835,事件規則!$A$2:$A$53,0)),"")))</f>
        <v>無關新聞事件</v>
      </c>
      <c r="U1835" s="20" t="n">
        <f aca="false">IF(R1835="維持",K1835,IF(R1835="排除",0,IFERROR(INDEX(事件規則!$C$2:$C$53,MATCH(S1835,事件規則!$A$2:$A$53,0)),"")))</f>
        <v>0</v>
      </c>
      <c r="V1835" s="21"/>
      <c r="W1835" s="22"/>
      <c r="X1835" s="10" t="str">
        <f aca="false">IF(AND(R1835="修改",S1835=""),"請選新事件代碼",IF(AND(R1835&lt;&gt;"修改",S1835&lt;&gt;""),"只有「修改」才需填代碼",""))</f>
        <v/>
      </c>
      <c r="Y1835" s="21"/>
      <c r="Z1835" s="22"/>
      <c r="AA1835" s="12" t="s">
        <v>4727</v>
      </c>
      <c r="AB1835" s="24"/>
    </row>
    <row r="1836" customFormat="false" ht="29.85" hidden="false" customHeight="false" outlineLevel="0" collapsed="false">
      <c r="A1836" s="15" t="n">
        <v>1835</v>
      </c>
      <c r="B1836" s="9" t="s">
        <v>112</v>
      </c>
      <c r="C1836" s="9" t="s">
        <v>469</v>
      </c>
      <c r="D1836" s="10" t="s">
        <v>470</v>
      </c>
      <c r="E1836" s="11" t="s">
        <v>4728</v>
      </c>
      <c r="F1836" s="17"/>
      <c r="G1836" s="12" t="s">
        <v>49</v>
      </c>
      <c r="H1836" s="13" t="n">
        <v>-0.011</v>
      </c>
      <c r="I1836" s="14"/>
      <c r="J1836" s="17"/>
      <c r="K1836" s="9"/>
      <c r="L1836" s="15" t="s">
        <v>50</v>
      </c>
      <c r="M1836" s="16" t="s">
        <v>51</v>
      </c>
      <c r="N1836" s="14"/>
      <c r="O1836" s="15" t="s">
        <v>52</v>
      </c>
      <c r="P1836" s="17" t="s">
        <v>53</v>
      </c>
      <c r="Q1836" s="15"/>
      <c r="R1836" s="18" t="s">
        <v>51</v>
      </c>
      <c r="S1836" s="19"/>
      <c r="T1836" s="17" t="str">
        <f aca="false">IF(R1836="維持",J1836,IF(R1836="排除","無關新聞事件",IFERROR(INDEX(事件規則!$B$2:$B$53,MATCH(S1836,事件規則!$A$2:$A$53,0)),"")))</f>
        <v>無關新聞事件</v>
      </c>
      <c r="U1836" s="20" t="n">
        <f aca="false">IF(R1836="維持",K1836,IF(R1836="排除",0,IFERROR(INDEX(事件規則!$C$2:$C$53,MATCH(S1836,事件規則!$A$2:$A$53,0)),"")))</f>
        <v>0</v>
      </c>
      <c r="V1836" s="21"/>
      <c r="W1836" s="22"/>
      <c r="X1836" s="10" t="str">
        <f aca="false">IF(AND(R1836="修改",S1836=""),"請選新事件代碼",IF(AND(R1836&lt;&gt;"修改",S1836&lt;&gt;""),"只有「修改」才需填代碼",""))</f>
        <v/>
      </c>
      <c r="Y1836" s="21"/>
      <c r="Z1836" s="22"/>
      <c r="AA1836" s="12" t="s">
        <v>4729</v>
      </c>
      <c r="AB1836" s="24"/>
    </row>
    <row r="1837" customFormat="false" ht="29.85" hidden="false" customHeight="false" outlineLevel="0" collapsed="false">
      <c r="A1837" s="15" t="n">
        <v>1836</v>
      </c>
      <c r="B1837" s="9" t="s">
        <v>112</v>
      </c>
      <c r="C1837" s="9" t="s">
        <v>917</v>
      </c>
      <c r="D1837" s="10" t="s">
        <v>918</v>
      </c>
      <c r="E1837" s="11" t="s">
        <v>4730</v>
      </c>
      <c r="F1837" s="17"/>
      <c r="G1837" s="12" t="s">
        <v>2033</v>
      </c>
      <c r="H1837" s="13" t="n">
        <v>-0.011</v>
      </c>
      <c r="I1837" s="14"/>
      <c r="J1837" s="17"/>
      <c r="K1837" s="9"/>
      <c r="L1837" s="15" t="s">
        <v>50</v>
      </c>
      <c r="M1837" s="16" t="s">
        <v>51</v>
      </c>
      <c r="N1837" s="14"/>
      <c r="O1837" s="15" t="s">
        <v>52</v>
      </c>
      <c r="P1837" s="17" t="s">
        <v>53</v>
      </c>
      <c r="Q1837" s="15"/>
      <c r="R1837" s="18" t="s">
        <v>51</v>
      </c>
      <c r="S1837" s="19"/>
      <c r="T1837" s="17" t="str">
        <f aca="false">IF(R1837="維持",J1837,IF(R1837="排除","無關新聞事件",IFERROR(INDEX(事件規則!$B$2:$B$53,MATCH(S1837,事件規則!$A$2:$A$53,0)),"")))</f>
        <v>無關新聞事件</v>
      </c>
      <c r="U1837" s="20" t="n">
        <f aca="false">IF(R1837="維持",K1837,IF(R1837="排除",0,IFERROR(INDEX(事件規則!$C$2:$C$53,MATCH(S1837,事件規則!$A$2:$A$53,0)),"")))</f>
        <v>0</v>
      </c>
      <c r="V1837" s="21"/>
      <c r="W1837" s="22"/>
      <c r="X1837" s="10" t="str">
        <f aca="false">IF(AND(R1837="修改",S1837=""),"請選新事件代碼",IF(AND(R1837&lt;&gt;"修改",S1837&lt;&gt;""),"只有「修改」才需填代碼",""))</f>
        <v/>
      </c>
      <c r="Y1837" s="21"/>
      <c r="Z1837" s="22"/>
      <c r="AA1837" s="12" t="s">
        <v>4731</v>
      </c>
      <c r="AB1837" s="24"/>
    </row>
    <row r="1838" customFormat="false" ht="29.85" hidden="false" customHeight="false" outlineLevel="0" collapsed="false">
      <c r="A1838" s="15" t="n">
        <v>1837</v>
      </c>
      <c r="B1838" s="9" t="s">
        <v>112</v>
      </c>
      <c r="C1838" s="9" t="s">
        <v>166</v>
      </c>
      <c r="D1838" s="10" t="s">
        <v>167</v>
      </c>
      <c r="E1838" s="11" t="s">
        <v>4732</v>
      </c>
      <c r="F1838" s="17"/>
      <c r="G1838" s="12" t="s">
        <v>4733</v>
      </c>
      <c r="H1838" s="13" t="n">
        <v>-0.011</v>
      </c>
      <c r="I1838" s="14"/>
      <c r="J1838" s="17"/>
      <c r="K1838" s="9"/>
      <c r="L1838" s="15" t="s">
        <v>50</v>
      </c>
      <c r="M1838" s="16" t="s">
        <v>51</v>
      </c>
      <c r="N1838" s="14"/>
      <c r="O1838" s="15" t="s">
        <v>52</v>
      </c>
      <c r="P1838" s="17" t="s">
        <v>53</v>
      </c>
      <c r="Q1838" s="15"/>
      <c r="R1838" s="18" t="s">
        <v>51</v>
      </c>
      <c r="S1838" s="19"/>
      <c r="T1838" s="17" t="str">
        <f aca="false">IF(R1838="維持",J1838,IF(R1838="排除","無關新聞事件",IFERROR(INDEX(事件規則!$B$2:$B$53,MATCH(S1838,事件規則!$A$2:$A$53,0)),"")))</f>
        <v>無關新聞事件</v>
      </c>
      <c r="U1838" s="20" t="n">
        <f aca="false">IF(R1838="維持",K1838,IF(R1838="排除",0,IFERROR(INDEX(事件規則!$C$2:$C$53,MATCH(S1838,事件規則!$A$2:$A$53,0)),"")))</f>
        <v>0</v>
      </c>
      <c r="V1838" s="21"/>
      <c r="W1838" s="22"/>
      <c r="X1838" s="10" t="str">
        <f aca="false">IF(AND(R1838="修改",S1838=""),"請選新事件代碼",IF(AND(R1838&lt;&gt;"修改",S1838&lt;&gt;""),"只有「修改」才需填代碼",""))</f>
        <v/>
      </c>
      <c r="Y1838" s="21"/>
      <c r="Z1838" s="22"/>
      <c r="AA1838" s="12" t="s">
        <v>4734</v>
      </c>
      <c r="AB1838" s="24"/>
    </row>
    <row r="1839" customFormat="false" ht="29.85" hidden="false" customHeight="false" outlineLevel="0" collapsed="false">
      <c r="A1839" s="15" t="n">
        <v>1838</v>
      </c>
      <c r="B1839" s="9" t="s">
        <v>45</v>
      </c>
      <c r="C1839" s="9" t="s">
        <v>207</v>
      </c>
      <c r="D1839" s="10" t="s">
        <v>208</v>
      </c>
      <c r="E1839" s="11" t="s">
        <v>4735</v>
      </c>
      <c r="F1839" s="17"/>
      <c r="G1839" s="12" t="s">
        <v>49</v>
      </c>
      <c r="H1839" s="13" t="n">
        <v>-0.011</v>
      </c>
      <c r="I1839" s="14"/>
      <c r="J1839" s="17"/>
      <c r="K1839" s="9"/>
      <c r="L1839" s="15" t="s">
        <v>50</v>
      </c>
      <c r="M1839" s="16" t="s">
        <v>51</v>
      </c>
      <c r="N1839" s="14"/>
      <c r="O1839" s="15" t="s">
        <v>52</v>
      </c>
      <c r="P1839" s="17" t="s">
        <v>53</v>
      </c>
      <c r="Q1839" s="15"/>
      <c r="R1839" s="18" t="s">
        <v>51</v>
      </c>
      <c r="S1839" s="19"/>
      <c r="T1839" s="17" t="str">
        <f aca="false">IF(R1839="維持",J1839,IF(R1839="排除","無關新聞事件",IFERROR(INDEX(事件規則!$B$2:$B$53,MATCH(S1839,事件規則!$A$2:$A$53,0)),"")))</f>
        <v>無關新聞事件</v>
      </c>
      <c r="U1839" s="20" t="n">
        <f aca="false">IF(R1839="維持",K1839,IF(R1839="排除",0,IFERROR(INDEX(事件規則!$C$2:$C$53,MATCH(S1839,事件規則!$A$2:$A$53,0)),"")))</f>
        <v>0</v>
      </c>
      <c r="V1839" s="21"/>
      <c r="W1839" s="22"/>
      <c r="X1839" s="10" t="str">
        <f aca="false">IF(AND(R1839="修改",S1839=""),"請選新事件代碼",IF(AND(R1839&lt;&gt;"修改",S1839&lt;&gt;""),"只有「修改」才需填代碼",""))</f>
        <v/>
      </c>
      <c r="Y1839" s="21"/>
      <c r="Z1839" s="22"/>
      <c r="AA1839" s="12" t="s">
        <v>4736</v>
      </c>
      <c r="AB1839" s="24"/>
    </row>
    <row r="1840" customFormat="false" ht="29.85" hidden="false" customHeight="false" outlineLevel="0" collapsed="false">
      <c r="A1840" s="15" t="n">
        <v>1839</v>
      </c>
      <c r="B1840" s="9" t="s">
        <v>45</v>
      </c>
      <c r="C1840" s="9" t="s">
        <v>2659</v>
      </c>
      <c r="D1840" s="10" t="s">
        <v>2660</v>
      </c>
      <c r="E1840" s="11" t="s">
        <v>4737</v>
      </c>
      <c r="F1840" s="17"/>
      <c r="G1840" s="12" t="s">
        <v>1136</v>
      </c>
      <c r="H1840" s="13" t="n">
        <v>-0.011</v>
      </c>
      <c r="I1840" s="14"/>
      <c r="J1840" s="17"/>
      <c r="K1840" s="9"/>
      <c r="L1840" s="15" t="s">
        <v>50</v>
      </c>
      <c r="M1840" s="16" t="s">
        <v>51</v>
      </c>
      <c r="N1840" s="14"/>
      <c r="O1840" s="15" t="s">
        <v>52</v>
      </c>
      <c r="P1840" s="17" t="s">
        <v>53</v>
      </c>
      <c r="Q1840" s="15"/>
      <c r="R1840" s="18" t="s">
        <v>51</v>
      </c>
      <c r="S1840" s="19"/>
      <c r="T1840" s="17" t="str">
        <f aca="false">IF(R1840="維持",J1840,IF(R1840="排除","無關新聞事件",IFERROR(INDEX(事件規則!$B$2:$B$53,MATCH(S1840,事件規則!$A$2:$A$53,0)),"")))</f>
        <v>無關新聞事件</v>
      </c>
      <c r="U1840" s="20" t="n">
        <f aca="false">IF(R1840="維持",K1840,IF(R1840="排除",0,IFERROR(INDEX(事件規則!$C$2:$C$53,MATCH(S1840,事件規則!$A$2:$A$53,0)),"")))</f>
        <v>0</v>
      </c>
      <c r="V1840" s="21"/>
      <c r="W1840" s="22"/>
      <c r="X1840" s="10" t="str">
        <f aca="false">IF(AND(R1840="修改",S1840=""),"請選新事件代碼",IF(AND(R1840&lt;&gt;"修改",S1840&lt;&gt;""),"只有「修改」才需填代碼",""))</f>
        <v/>
      </c>
      <c r="Y1840" s="21"/>
      <c r="Z1840" s="22"/>
      <c r="AA1840" s="12" t="s">
        <v>4738</v>
      </c>
      <c r="AB1840" s="24"/>
    </row>
    <row r="1841" customFormat="false" ht="29.85" hidden="false" customHeight="false" outlineLevel="0" collapsed="false">
      <c r="A1841" s="15" t="n">
        <v>1840</v>
      </c>
      <c r="B1841" s="9" t="s">
        <v>45</v>
      </c>
      <c r="C1841" s="9" t="s">
        <v>289</v>
      </c>
      <c r="D1841" s="10" t="s">
        <v>290</v>
      </c>
      <c r="E1841" s="11" t="s">
        <v>4739</v>
      </c>
      <c r="F1841" s="17"/>
      <c r="G1841" s="12" t="s">
        <v>176</v>
      </c>
      <c r="H1841" s="13" t="n">
        <v>-0.011</v>
      </c>
      <c r="I1841" s="14"/>
      <c r="J1841" s="17"/>
      <c r="K1841" s="9"/>
      <c r="L1841" s="15" t="s">
        <v>50</v>
      </c>
      <c r="M1841" s="16" t="s">
        <v>51</v>
      </c>
      <c r="N1841" s="14"/>
      <c r="O1841" s="15" t="s">
        <v>52</v>
      </c>
      <c r="P1841" s="17" t="s">
        <v>53</v>
      </c>
      <c r="Q1841" s="15"/>
      <c r="R1841" s="18" t="s">
        <v>51</v>
      </c>
      <c r="S1841" s="19"/>
      <c r="T1841" s="17" t="str">
        <f aca="false">IF(R1841="維持",J1841,IF(R1841="排除","無關新聞事件",IFERROR(INDEX(事件規則!$B$2:$B$53,MATCH(S1841,事件規則!$A$2:$A$53,0)),"")))</f>
        <v>無關新聞事件</v>
      </c>
      <c r="U1841" s="20" t="n">
        <f aca="false">IF(R1841="維持",K1841,IF(R1841="排除",0,IFERROR(INDEX(事件規則!$C$2:$C$53,MATCH(S1841,事件規則!$A$2:$A$53,0)),"")))</f>
        <v>0</v>
      </c>
      <c r="V1841" s="21"/>
      <c r="W1841" s="22"/>
      <c r="X1841" s="10" t="str">
        <f aca="false">IF(AND(R1841="修改",S1841=""),"請選新事件代碼",IF(AND(R1841&lt;&gt;"修改",S1841&lt;&gt;""),"只有「修改」才需填代碼",""))</f>
        <v/>
      </c>
      <c r="Y1841" s="21"/>
      <c r="Z1841" s="22"/>
      <c r="AA1841" s="12" t="s">
        <v>4740</v>
      </c>
      <c r="AB1841" s="24"/>
    </row>
    <row r="1842" customFormat="false" ht="29.85" hidden="false" customHeight="false" outlineLevel="0" collapsed="false">
      <c r="A1842" s="15" t="n">
        <v>1841</v>
      </c>
      <c r="B1842" s="9" t="s">
        <v>45</v>
      </c>
      <c r="C1842" s="9" t="s">
        <v>2371</v>
      </c>
      <c r="D1842" s="10" t="s">
        <v>2372</v>
      </c>
      <c r="E1842" s="11" t="s">
        <v>4741</v>
      </c>
      <c r="F1842" s="17"/>
      <c r="G1842" s="12" t="s">
        <v>1136</v>
      </c>
      <c r="H1842" s="13" t="n">
        <v>-0.011</v>
      </c>
      <c r="I1842" s="14"/>
      <c r="J1842" s="17"/>
      <c r="K1842" s="9"/>
      <c r="L1842" s="15" t="s">
        <v>50</v>
      </c>
      <c r="M1842" s="16" t="s">
        <v>51</v>
      </c>
      <c r="N1842" s="14"/>
      <c r="O1842" s="15" t="s">
        <v>52</v>
      </c>
      <c r="P1842" s="17" t="s">
        <v>53</v>
      </c>
      <c r="Q1842" s="15"/>
      <c r="R1842" s="18" t="s">
        <v>51</v>
      </c>
      <c r="S1842" s="19"/>
      <c r="T1842" s="17" t="str">
        <f aca="false">IF(R1842="維持",J1842,IF(R1842="排除","無關新聞事件",IFERROR(INDEX(事件規則!$B$2:$B$53,MATCH(S1842,事件規則!$A$2:$A$53,0)),"")))</f>
        <v>無關新聞事件</v>
      </c>
      <c r="U1842" s="20" t="n">
        <f aca="false">IF(R1842="維持",K1842,IF(R1842="排除",0,IFERROR(INDEX(事件規則!$C$2:$C$53,MATCH(S1842,事件規則!$A$2:$A$53,0)),"")))</f>
        <v>0</v>
      </c>
      <c r="V1842" s="21"/>
      <c r="W1842" s="22"/>
      <c r="X1842" s="10" t="str">
        <f aca="false">IF(AND(R1842="修改",S1842=""),"請選新事件代碼",IF(AND(R1842&lt;&gt;"修改",S1842&lt;&gt;""),"只有「修改」才需填代碼",""))</f>
        <v/>
      </c>
      <c r="Y1842" s="21"/>
      <c r="Z1842" s="22"/>
      <c r="AA1842" s="12" t="s">
        <v>4742</v>
      </c>
      <c r="AB1842" s="24"/>
    </row>
    <row r="1843" customFormat="false" ht="29.85" hidden="false" customHeight="false" outlineLevel="0" collapsed="false">
      <c r="A1843" s="15" t="n">
        <v>1842</v>
      </c>
      <c r="B1843" s="9" t="s">
        <v>45</v>
      </c>
      <c r="C1843" s="9" t="s">
        <v>3645</v>
      </c>
      <c r="D1843" s="10" t="s">
        <v>3646</v>
      </c>
      <c r="E1843" s="11" t="s">
        <v>4743</v>
      </c>
      <c r="F1843" s="17"/>
      <c r="G1843" s="12" t="s">
        <v>142</v>
      </c>
      <c r="H1843" s="13" t="n">
        <v>-0.011</v>
      </c>
      <c r="I1843" s="14"/>
      <c r="J1843" s="17"/>
      <c r="K1843" s="9"/>
      <c r="L1843" s="15" t="s">
        <v>50</v>
      </c>
      <c r="M1843" s="16" t="s">
        <v>51</v>
      </c>
      <c r="N1843" s="14"/>
      <c r="O1843" s="15" t="s">
        <v>52</v>
      </c>
      <c r="P1843" s="17" t="s">
        <v>53</v>
      </c>
      <c r="Q1843" s="15"/>
      <c r="R1843" s="18" t="s">
        <v>51</v>
      </c>
      <c r="S1843" s="19"/>
      <c r="T1843" s="17" t="str">
        <f aca="false">IF(R1843="維持",J1843,IF(R1843="排除","無關新聞事件",IFERROR(INDEX(事件規則!$B$2:$B$53,MATCH(S1843,事件規則!$A$2:$A$53,0)),"")))</f>
        <v>無關新聞事件</v>
      </c>
      <c r="U1843" s="20" t="n">
        <f aca="false">IF(R1843="維持",K1843,IF(R1843="排除",0,IFERROR(INDEX(事件規則!$C$2:$C$53,MATCH(S1843,事件規則!$A$2:$A$53,0)),"")))</f>
        <v>0</v>
      </c>
      <c r="V1843" s="21"/>
      <c r="W1843" s="22"/>
      <c r="X1843" s="10" t="str">
        <f aca="false">IF(AND(R1843="修改",S1843=""),"請選新事件代碼",IF(AND(R1843&lt;&gt;"修改",S1843&lt;&gt;""),"只有「修改」才需填代碼",""))</f>
        <v/>
      </c>
      <c r="Y1843" s="21"/>
      <c r="Z1843" s="22"/>
      <c r="AA1843" s="12" t="s">
        <v>4744</v>
      </c>
      <c r="AB1843" s="24"/>
    </row>
    <row r="1844" customFormat="false" ht="29.85" hidden="false" customHeight="false" outlineLevel="0" collapsed="false">
      <c r="A1844" s="15" t="n">
        <v>1843</v>
      </c>
      <c r="B1844" s="9" t="s">
        <v>45</v>
      </c>
      <c r="C1844" s="15"/>
      <c r="D1844" s="10" t="s">
        <v>93</v>
      </c>
      <c r="E1844" s="11" t="s">
        <v>4745</v>
      </c>
      <c r="F1844" s="10" t="s">
        <v>4746</v>
      </c>
      <c r="G1844" s="12" t="s">
        <v>176</v>
      </c>
      <c r="H1844" s="13" t="n">
        <v>-0.011</v>
      </c>
      <c r="I1844" s="14"/>
      <c r="J1844" s="17"/>
      <c r="K1844" s="9"/>
      <c r="L1844" s="15" t="s">
        <v>50</v>
      </c>
      <c r="M1844" s="16" t="s">
        <v>51</v>
      </c>
      <c r="N1844" s="14"/>
      <c r="O1844" s="15" t="s">
        <v>52</v>
      </c>
      <c r="P1844" s="17" t="s">
        <v>53</v>
      </c>
      <c r="Q1844" s="15"/>
      <c r="R1844" s="18" t="s">
        <v>51</v>
      </c>
      <c r="S1844" s="19"/>
      <c r="T1844" s="17" t="str">
        <f aca="false">IF(R1844="維持",J1844,IF(R1844="排除","無關新聞事件",IFERROR(INDEX(事件規則!$B$2:$B$53,MATCH(S1844,事件規則!$A$2:$A$53,0)),"")))</f>
        <v>無關新聞事件</v>
      </c>
      <c r="U1844" s="20" t="n">
        <f aca="false">IF(R1844="維持",K1844,IF(R1844="排除",0,IFERROR(INDEX(事件規則!$C$2:$C$53,MATCH(S1844,事件規則!$A$2:$A$53,0)),"")))</f>
        <v>0</v>
      </c>
      <c r="V1844" s="21"/>
      <c r="W1844" s="22"/>
      <c r="X1844" s="10" t="str">
        <f aca="false">IF(AND(R1844="修改",S1844=""),"請選新事件代碼",IF(AND(R1844&lt;&gt;"修改",S1844&lt;&gt;""),"只有「修改」才需填代碼",""))</f>
        <v/>
      </c>
      <c r="Y1844" s="21"/>
      <c r="Z1844" s="22"/>
      <c r="AA1844" s="12" t="s">
        <v>4747</v>
      </c>
      <c r="AB1844" s="24"/>
    </row>
    <row r="1845" customFormat="false" ht="29.85" hidden="false" customHeight="false" outlineLevel="0" collapsed="false">
      <c r="A1845" s="15" t="n">
        <v>1844</v>
      </c>
      <c r="B1845" s="9" t="s">
        <v>112</v>
      </c>
      <c r="C1845" s="9" t="s">
        <v>969</v>
      </c>
      <c r="D1845" s="10" t="s">
        <v>970</v>
      </c>
      <c r="E1845" s="11" t="s">
        <v>4748</v>
      </c>
      <c r="F1845" s="17"/>
      <c r="G1845" s="12" t="s">
        <v>2033</v>
      </c>
      <c r="H1845" s="13" t="n">
        <v>-0.011</v>
      </c>
      <c r="I1845" s="14"/>
      <c r="J1845" s="17"/>
      <c r="K1845" s="9"/>
      <c r="L1845" s="15" t="s">
        <v>50</v>
      </c>
      <c r="M1845" s="16" t="s">
        <v>51</v>
      </c>
      <c r="N1845" s="14"/>
      <c r="O1845" s="15" t="s">
        <v>52</v>
      </c>
      <c r="P1845" s="17" t="s">
        <v>53</v>
      </c>
      <c r="Q1845" s="15"/>
      <c r="R1845" s="18" t="s">
        <v>51</v>
      </c>
      <c r="S1845" s="19"/>
      <c r="T1845" s="17" t="str">
        <f aca="false">IF(R1845="維持",J1845,IF(R1845="排除","無關新聞事件",IFERROR(INDEX(事件規則!$B$2:$B$53,MATCH(S1845,事件規則!$A$2:$A$53,0)),"")))</f>
        <v>無關新聞事件</v>
      </c>
      <c r="U1845" s="20" t="n">
        <f aca="false">IF(R1845="維持",K1845,IF(R1845="排除",0,IFERROR(INDEX(事件規則!$C$2:$C$53,MATCH(S1845,事件規則!$A$2:$A$53,0)),"")))</f>
        <v>0</v>
      </c>
      <c r="V1845" s="21"/>
      <c r="W1845" s="22"/>
      <c r="X1845" s="10" t="str">
        <f aca="false">IF(AND(R1845="修改",S1845=""),"請選新事件代碼",IF(AND(R1845&lt;&gt;"修改",S1845&lt;&gt;""),"只有「修改」才需填代碼",""))</f>
        <v/>
      </c>
      <c r="Y1845" s="21"/>
      <c r="Z1845" s="22"/>
      <c r="AA1845" s="12" t="s">
        <v>4749</v>
      </c>
      <c r="AB1845" s="24"/>
    </row>
    <row r="1846" customFormat="false" ht="29.85" hidden="false" customHeight="false" outlineLevel="0" collapsed="false">
      <c r="A1846" s="15" t="n">
        <v>1845</v>
      </c>
      <c r="B1846" s="9" t="s">
        <v>112</v>
      </c>
      <c r="C1846" s="9" t="s">
        <v>196</v>
      </c>
      <c r="D1846" s="10" t="s">
        <v>197</v>
      </c>
      <c r="E1846" s="11" t="s">
        <v>4750</v>
      </c>
      <c r="F1846" s="17"/>
      <c r="G1846" s="12" t="s">
        <v>95</v>
      </c>
      <c r="H1846" s="13" t="n">
        <v>-0.011</v>
      </c>
      <c r="I1846" s="14"/>
      <c r="J1846" s="17"/>
      <c r="K1846" s="9"/>
      <c r="L1846" s="15" t="s">
        <v>50</v>
      </c>
      <c r="M1846" s="16" t="s">
        <v>51</v>
      </c>
      <c r="N1846" s="14"/>
      <c r="O1846" s="15" t="s">
        <v>52</v>
      </c>
      <c r="P1846" s="17" t="s">
        <v>53</v>
      </c>
      <c r="Q1846" s="15"/>
      <c r="R1846" s="18" t="s">
        <v>51</v>
      </c>
      <c r="S1846" s="19"/>
      <c r="T1846" s="17" t="str">
        <f aca="false">IF(R1846="維持",J1846,IF(R1846="排除","無關新聞事件",IFERROR(INDEX(事件規則!$B$2:$B$53,MATCH(S1846,事件規則!$A$2:$A$53,0)),"")))</f>
        <v>無關新聞事件</v>
      </c>
      <c r="U1846" s="20" t="n">
        <f aca="false">IF(R1846="維持",K1846,IF(R1846="排除",0,IFERROR(INDEX(事件規則!$C$2:$C$53,MATCH(S1846,事件規則!$A$2:$A$53,0)),"")))</f>
        <v>0</v>
      </c>
      <c r="V1846" s="21"/>
      <c r="W1846" s="22"/>
      <c r="X1846" s="10" t="str">
        <f aca="false">IF(AND(R1846="修改",S1846=""),"請選新事件代碼",IF(AND(R1846&lt;&gt;"修改",S1846&lt;&gt;""),"只有「修改」才需填代碼",""))</f>
        <v/>
      </c>
      <c r="Y1846" s="21"/>
      <c r="Z1846" s="22"/>
      <c r="AA1846" s="12" t="s">
        <v>4751</v>
      </c>
      <c r="AB1846" s="24"/>
    </row>
    <row r="1847" customFormat="false" ht="29.85" hidden="false" customHeight="false" outlineLevel="0" collapsed="false">
      <c r="A1847" s="15" t="n">
        <v>1846</v>
      </c>
      <c r="B1847" s="9" t="s">
        <v>55</v>
      </c>
      <c r="C1847" s="9" t="s">
        <v>484</v>
      </c>
      <c r="D1847" s="10" t="s">
        <v>485</v>
      </c>
      <c r="E1847" s="11" t="s">
        <v>4752</v>
      </c>
      <c r="F1847" s="17"/>
      <c r="G1847" s="12" t="s">
        <v>90</v>
      </c>
      <c r="H1847" s="13" t="n">
        <v>-0.011</v>
      </c>
      <c r="I1847" s="14"/>
      <c r="J1847" s="17"/>
      <c r="K1847" s="9"/>
      <c r="L1847" s="15" t="s">
        <v>50</v>
      </c>
      <c r="M1847" s="16" t="s">
        <v>51</v>
      </c>
      <c r="N1847" s="14"/>
      <c r="O1847" s="15" t="s">
        <v>52</v>
      </c>
      <c r="P1847" s="17" t="s">
        <v>53</v>
      </c>
      <c r="Q1847" s="15"/>
      <c r="R1847" s="18" t="s">
        <v>51</v>
      </c>
      <c r="S1847" s="19"/>
      <c r="T1847" s="17" t="str">
        <f aca="false">IF(R1847="維持",J1847,IF(R1847="排除","無關新聞事件",IFERROR(INDEX(事件規則!$B$2:$B$53,MATCH(S1847,事件規則!$A$2:$A$53,0)),"")))</f>
        <v>無關新聞事件</v>
      </c>
      <c r="U1847" s="20" t="n">
        <f aca="false">IF(R1847="維持",K1847,IF(R1847="排除",0,IFERROR(INDEX(事件規則!$C$2:$C$53,MATCH(S1847,事件規則!$A$2:$A$53,0)),"")))</f>
        <v>0</v>
      </c>
      <c r="V1847" s="21"/>
      <c r="W1847" s="22"/>
      <c r="X1847" s="10" t="str">
        <f aca="false">IF(AND(R1847="修改",S1847=""),"請選新事件代碼",IF(AND(R1847&lt;&gt;"修改",S1847&lt;&gt;""),"只有「修改」才需填代碼",""))</f>
        <v/>
      </c>
      <c r="Y1847" s="21"/>
      <c r="Z1847" s="22"/>
      <c r="AA1847" s="12" t="s">
        <v>4753</v>
      </c>
      <c r="AB1847" s="24"/>
    </row>
    <row r="1848" customFormat="false" ht="29.85" hidden="false" customHeight="false" outlineLevel="0" collapsed="false">
      <c r="A1848" s="15" t="n">
        <v>1847</v>
      </c>
      <c r="B1848" s="9" t="s">
        <v>45</v>
      </c>
      <c r="C1848" s="9" t="s">
        <v>1406</v>
      </c>
      <c r="D1848" s="10" t="s">
        <v>1407</v>
      </c>
      <c r="E1848" s="11" t="s">
        <v>4754</v>
      </c>
      <c r="F1848" s="17"/>
      <c r="G1848" s="12" t="s">
        <v>142</v>
      </c>
      <c r="H1848" s="13" t="n">
        <v>-0.011</v>
      </c>
      <c r="I1848" s="14"/>
      <c r="J1848" s="17"/>
      <c r="K1848" s="9"/>
      <c r="L1848" s="15" t="s">
        <v>50</v>
      </c>
      <c r="M1848" s="16" t="s">
        <v>51</v>
      </c>
      <c r="N1848" s="14"/>
      <c r="O1848" s="15" t="s">
        <v>52</v>
      </c>
      <c r="P1848" s="17" t="s">
        <v>53</v>
      </c>
      <c r="Q1848" s="15"/>
      <c r="R1848" s="18" t="s">
        <v>51</v>
      </c>
      <c r="S1848" s="19"/>
      <c r="T1848" s="17" t="str">
        <f aca="false">IF(R1848="維持",J1848,IF(R1848="排除","無關新聞事件",IFERROR(INDEX(事件規則!$B$2:$B$53,MATCH(S1848,事件規則!$A$2:$A$53,0)),"")))</f>
        <v>無關新聞事件</v>
      </c>
      <c r="U1848" s="20" t="n">
        <f aca="false">IF(R1848="維持",K1848,IF(R1848="排除",0,IFERROR(INDEX(事件規則!$C$2:$C$53,MATCH(S1848,事件規則!$A$2:$A$53,0)),"")))</f>
        <v>0</v>
      </c>
      <c r="V1848" s="21"/>
      <c r="W1848" s="22"/>
      <c r="X1848" s="10" t="str">
        <f aca="false">IF(AND(R1848="修改",S1848=""),"請選新事件代碼",IF(AND(R1848&lt;&gt;"修改",S1848&lt;&gt;""),"只有「修改」才需填代碼",""))</f>
        <v/>
      </c>
      <c r="Y1848" s="21"/>
      <c r="Z1848" s="22"/>
      <c r="AA1848" s="12" t="s">
        <v>4755</v>
      </c>
      <c r="AB1848" s="24"/>
    </row>
    <row r="1849" customFormat="false" ht="29.85" hidden="false" customHeight="false" outlineLevel="0" collapsed="false">
      <c r="A1849" s="15" t="n">
        <v>1848</v>
      </c>
      <c r="B1849" s="9" t="s">
        <v>45</v>
      </c>
      <c r="C1849" s="9" t="s">
        <v>913</v>
      </c>
      <c r="D1849" s="10" t="s">
        <v>914</v>
      </c>
      <c r="E1849" s="11" t="s">
        <v>4756</v>
      </c>
      <c r="F1849" s="17"/>
      <c r="G1849" s="12" t="s">
        <v>482</v>
      </c>
      <c r="H1849" s="13" t="n">
        <v>-0.011</v>
      </c>
      <c r="I1849" s="14"/>
      <c r="J1849" s="17"/>
      <c r="K1849" s="9"/>
      <c r="L1849" s="15" t="s">
        <v>50</v>
      </c>
      <c r="M1849" s="16" t="s">
        <v>51</v>
      </c>
      <c r="N1849" s="14"/>
      <c r="O1849" s="15" t="s">
        <v>52</v>
      </c>
      <c r="P1849" s="17" t="s">
        <v>53</v>
      </c>
      <c r="Q1849" s="15"/>
      <c r="R1849" s="18" t="s">
        <v>51</v>
      </c>
      <c r="S1849" s="19"/>
      <c r="T1849" s="17" t="str">
        <f aca="false">IF(R1849="維持",J1849,IF(R1849="排除","無關新聞事件",IFERROR(INDEX(事件規則!$B$2:$B$53,MATCH(S1849,事件規則!$A$2:$A$53,0)),"")))</f>
        <v>無關新聞事件</v>
      </c>
      <c r="U1849" s="20" t="n">
        <f aca="false">IF(R1849="維持",K1849,IF(R1849="排除",0,IFERROR(INDEX(事件規則!$C$2:$C$53,MATCH(S1849,事件規則!$A$2:$A$53,0)),"")))</f>
        <v>0</v>
      </c>
      <c r="V1849" s="21"/>
      <c r="W1849" s="22"/>
      <c r="X1849" s="10" t="str">
        <f aca="false">IF(AND(R1849="修改",S1849=""),"請選新事件代碼",IF(AND(R1849&lt;&gt;"修改",S1849&lt;&gt;""),"只有「修改」才需填代碼",""))</f>
        <v/>
      </c>
      <c r="Y1849" s="21"/>
      <c r="Z1849" s="22"/>
      <c r="AA1849" s="12" t="s">
        <v>4757</v>
      </c>
      <c r="AB1849" s="24"/>
    </row>
    <row r="1850" customFormat="false" ht="29.85" hidden="false" customHeight="false" outlineLevel="0" collapsed="false">
      <c r="A1850" s="15" t="n">
        <v>1849</v>
      </c>
      <c r="B1850" s="9" t="s">
        <v>45</v>
      </c>
      <c r="C1850" s="9" t="s">
        <v>1303</v>
      </c>
      <c r="D1850" s="10" t="s">
        <v>1304</v>
      </c>
      <c r="E1850" s="11" t="s">
        <v>4758</v>
      </c>
      <c r="F1850" s="17"/>
      <c r="G1850" s="12" t="s">
        <v>4759</v>
      </c>
      <c r="H1850" s="13" t="n">
        <v>-0.011</v>
      </c>
      <c r="I1850" s="14"/>
      <c r="J1850" s="17"/>
      <c r="K1850" s="9"/>
      <c r="L1850" s="15" t="s">
        <v>50</v>
      </c>
      <c r="M1850" s="16" t="s">
        <v>51</v>
      </c>
      <c r="N1850" s="14"/>
      <c r="O1850" s="15" t="s">
        <v>52</v>
      </c>
      <c r="P1850" s="17" t="s">
        <v>53</v>
      </c>
      <c r="Q1850" s="15"/>
      <c r="R1850" s="18" t="s">
        <v>51</v>
      </c>
      <c r="S1850" s="19"/>
      <c r="T1850" s="17" t="str">
        <f aca="false">IF(R1850="維持",J1850,IF(R1850="排除","無關新聞事件",IFERROR(INDEX(事件規則!$B$2:$B$53,MATCH(S1850,事件規則!$A$2:$A$53,0)),"")))</f>
        <v>無關新聞事件</v>
      </c>
      <c r="U1850" s="20" t="n">
        <f aca="false">IF(R1850="維持",K1850,IF(R1850="排除",0,IFERROR(INDEX(事件規則!$C$2:$C$53,MATCH(S1850,事件規則!$A$2:$A$53,0)),"")))</f>
        <v>0</v>
      </c>
      <c r="V1850" s="21"/>
      <c r="W1850" s="22"/>
      <c r="X1850" s="10" t="str">
        <f aca="false">IF(AND(R1850="修改",S1850=""),"請選新事件代碼",IF(AND(R1850&lt;&gt;"修改",S1850&lt;&gt;""),"只有「修改」才需填代碼",""))</f>
        <v/>
      </c>
      <c r="Y1850" s="21"/>
      <c r="Z1850" s="22"/>
      <c r="AA1850" s="12" t="s">
        <v>4760</v>
      </c>
      <c r="AB1850" s="24"/>
    </row>
    <row r="1851" customFormat="false" ht="29.85" hidden="false" customHeight="false" outlineLevel="0" collapsed="false">
      <c r="A1851" s="15" t="n">
        <v>1850</v>
      </c>
      <c r="B1851" s="9" t="s">
        <v>112</v>
      </c>
      <c r="C1851" s="9" t="s">
        <v>156</v>
      </c>
      <c r="D1851" s="10" t="s">
        <v>157</v>
      </c>
      <c r="E1851" s="11" t="s">
        <v>4761</v>
      </c>
      <c r="F1851" s="17"/>
      <c r="G1851" s="12" t="s">
        <v>176</v>
      </c>
      <c r="H1851" s="13" t="n">
        <v>-0.011</v>
      </c>
      <c r="I1851" s="14"/>
      <c r="J1851" s="17"/>
      <c r="K1851" s="9"/>
      <c r="L1851" s="15" t="s">
        <v>50</v>
      </c>
      <c r="M1851" s="16" t="s">
        <v>51</v>
      </c>
      <c r="N1851" s="14"/>
      <c r="O1851" s="15" t="s">
        <v>52</v>
      </c>
      <c r="P1851" s="17" t="s">
        <v>53</v>
      </c>
      <c r="Q1851" s="15"/>
      <c r="R1851" s="18" t="s">
        <v>51</v>
      </c>
      <c r="S1851" s="19"/>
      <c r="T1851" s="17" t="str">
        <f aca="false">IF(R1851="維持",J1851,IF(R1851="排除","無關新聞事件",IFERROR(INDEX(事件規則!$B$2:$B$53,MATCH(S1851,事件規則!$A$2:$A$53,0)),"")))</f>
        <v>無關新聞事件</v>
      </c>
      <c r="U1851" s="20" t="n">
        <f aca="false">IF(R1851="維持",K1851,IF(R1851="排除",0,IFERROR(INDEX(事件規則!$C$2:$C$53,MATCH(S1851,事件規則!$A$2:$A$53,0)),"")))</f>
        <v>0</v>
      </c>
      <c r="V1851" s="21"/>
      <c r="W1851" s="22"/>
      <c r="X1851" s="10" t="str">
        <f aca="false">IF(AND(R1851="修改",S1851=""),"請選新事件代碼",IF(AND(R1851&lt;&gt;"修改",S1851&lt;&gt;""),"只有「修改」才需填代碼",""))</f>
        <v/>
      </c>
      <c r="Y1851" s="21"/>
      <c r="Z1851" s="22"/>
      <c r="AA1851" s="12" t="s">
        <v>4762</v>
      </c>
      <c r="AB1851" s="24"/>
    </row>
    <row r="1852" customFormat="false" ht="29.85" hidden="false" customHeight="false" outlineLevel="0" collapsed="false">
      <c r="A1852" s="15" t="n">
        <v>1851</v>
      </c>
      <c r="B1852" s="9" t="s">
        <v>45</v>
      </c>
      <c r="C1852" s="9" t="s">
        <v>550</v>
      </c>
      <c r="D1852" s="10" t="s">
        <v>551</v>
      </c>
      <c r="E1852" s="11" t="s">
        <v>4763</v>
      </c>
      <c r="F1852" s="17"/>
      <c r="G1852" s="12" t="s">
        <v>4657</v>
      </c>
      <c r="H1852" s="13" t="n">
        <v>-0.011</v>
      </c>
      <c r="I1852" s="14"/>
      <c r="J1852" s="17"/>
      <c r="K1852" s="9"/>
      <c r="L1852" s="15" t="s">
        <v>50</v>
      </c>
      <c r="M1852" s="16" t="s">
        <v>51</v>
      </c>
      <c r="N1852" s="14"/>
      <c r="O1852" s="15" t="s">
        <v>52</v>
      </c>
      <c r="P1852" s="17" t="s">
        <v>53</v>
      </c>
      <c r="Q1852" s="15"/>
      <c r="R1852" s="18" t="s">
        <v>51</v>
      </c>
      <c r="S1852" s="19"/>
      <c r="T1852" s="17" t="str">
        <f aca="false">IF(R1852="維持",J1852,IF(R1852="排除","無關新聞事件",IFERROR(INDEX(事件規則!$B$2:$B$53,MATCH(S1852,事件規則!$A$2:$A$53,0)),"")))</f>
        <v>無關新聞事件</v>
      </c>
      <c r="U1852" s="20" t="n">
        <f aca="false">IF(R1852="維持",K1852,IF(R1852="排除",0,IFERROR(INDEX(事件規則!$C$2:$C$53,MATCH(S1852,事件規則!$A$2:$A$53,0)),"")))</f>
        <v>0</v>
      </c>
      <c r="V1852" s="21"/>
      <c r="W1852" s="22"/>
      <c r="X1852" s="10" t="str">
        <f aca="false">IF(AND(R1852="修改",S1852=""),"請選新事件代碼",IF(AND(R1852&lt;&gt;"修改",S1852&lt;&gt;""),"只有「修改」才需填代碼",""))</f>
        <v/>
      </c>
      <c r="Y1852" s="21"/>
      <c r="Z1852" s="22"/>
      <c r="AA1852" s="12" t="s">
        <v>4764</v>
      </c>
      <c r="AB1852" s="24"/>
    </row>
    <row r="1853" customFormat="false" ht="29.85" hidden="false" customHeight="false" outlineLevel="0" collapsed="false">
      <c r="A1853" s="15" t="n">
        <v>1852</v>
      </c>
      <c r="B1853" s="9" t="s">
        <v>45</v>
      </c>
      <c r="C1853" s="9" t="s">
        <v>2962</v>
      </c>
      <c r="D1853" s="10" t="s">
        <v>2963</v>
      </c>
      <c r="E1853" s="11" t="s">
        <v>4765</v>
      </c>
      <c r="F1853" s="17"/>
      <c r="G1853" s="12" t="s">
        <v>164</v>
      </c>
      <c r="H1853" s="13" t="n">
        <v>-0.011</v>
      </c>
      <c r="I1853" s="14"/>
      <c r="J1853" s="17"/>
      <c r="K1853" s="9"/>
      <c r="L1853" s="15" t="s">
        <v>50</v>
      </c>
      <c r="M1853" s="16" t="s">
        <v>51</v>
      </c>
      <c r="N1853" s="14"/>
      <c r="O1853" s="15" t="s">
        <v>52</v>
      </c>
      <c r="P1853" s="17" t="s">
        <v>53</v>
      </c>
      <c r="Q1853" s="15"/>
      <c r="R1853" s="18" t="s">
        <v>51</v>
      </c>
      <c r="S1853" s="19"/>
      <c r="T1853" s="17" t="str">
        <f aca="false">IF(R1853="維持",J1853,IF(R1853="排除","無關新聞事件",IFERROR(INDEX(事件規則!$B$2:$B$53,MATCH(S1853,事件規則!$A$2:$A$53,0)),"")))</f>
        <v>無關新聞事件</v>
      </c>
      <c r="U1853" s="20" t="n">
        <f aca="false">IF(R1853="維持",K1853,IF(R1853="排除",0,IFERROR(INDEX(事件規則!$C$2:$C$53,MATCH(S1853,事件規則!$A$2:$A$53,0)),"")))</f>
        <v>0</v>
      </c>
      <c r="V1853" s="21"/>
      <c r="W1853" s="22"/>
      <c r="X1853" s="10" t="str">
        <f aca="false">IF(AND(R1853="修改",S1853=""),"請選新事件代碼",IF(AND(R1853&lt;&gt;"修改",S1853&lt;&gt;""),"只有「修改」才需填代碼",""))</f>
        <v/>
      </c>
      <c r="Y1853" s="21"/>
      <c r="Z1853" s="22"/>
      <c r="AA1853" s="12" t="s">
        <v>4766</v>
      </c>
      <c r="AB1853" s="24"/>
    </row>
    <row r="1854" customFormat="false" ht="29.85" hidden="false" customHeight="false" outlineLevel="0" collapsed="false">
      <c r="A1854" s="15" t="n">
        <v>1853</v>
      </c>
      <c r="B1854" s="9" t="s">
        <v>45</v>
      </c>
      <c r="C1854" s="9" t="s">
        <v>97</v>
      </c>
      <c r="D1854" s="10" t="s">
        <v>98</v>
      </c>
      <c r="E1854" s="11" t="s">
        <v>4767</v>
      </c>
      <c r="F1854" s="17"/>
      <c r="G1854" s="12" t="s">
        <v>3960</v>
      </c>
      <c r="H1854" s="13" t="n">
        <v>-0.011</v>
      </c>
      <c r="I1854" s="14"/>
      <c r="J1854" s="17"/>
      <c r="K1854" s="9"/>
      <c r="L1854" s="15" t="s">
        <v>50</v>
      </c>
      <c r="M1854" s="16" t="s">
        <v>51</v>
      </c>
      <c r="N1854" s="14"/>
      <c r="O1854" s="15" t="s">
        <v>52</v>
      </c>
      <c r="P1854" s="17" t="s">
        <v>53</v>
      </c>
      <c r="Q1854" s="15"/>
      <c r="R1854" s="18" t="s">
        <v>51</v>
      </c>
      <c r="S1854" s="19"/>
      <c r="T1854" s="17" t="str">
        <f aca="false">IF(R1854="維持",J1854,IF(R1854="排除","無關新聞事件",IFERROR(INDEX(事件規則!$B$2:$B$53,MATCH(S1854,事件規則!$A$2:$A$53,0)),"")))</f>
        <v>無關新聞事件</v>
      </c>
      <c r="U1854" s="20" t="n">
        <f aca="false">IF(R1854="維持",K1854,IF(R1854="排除",0,IFERROR(INDEX(事件規則!$C$2:$C$53,MATCH(S1854,事件規則!$A$2:$A$53,0)),"")))</f>
        <v>0</v>
      </c>
      <c r="V1854" s="21"/>
      <c r="W1854" s="22"/>
      <c r="X1854" s="10" t="str">
        <f aca="false">IF(AND(R1854="修改",S1854=""),"請選新事件代碼",IF(AND(R1854&lt;&gt;"修改",S1854&lt;&gt;""),"只有「修改」才需填代碼",""))</f>
        <v/>
      </c>
      <c r="Y1854" s="21"/>
      <c r="Z1854" s="22"/>
      <c r="AA1854" s="12" t="s">
        <v>4768</v>
      </c>
      <c r="AB1854" s="24"/>
    </row>
    <row r="1855" customFormat="false" ht="29.85" hidden="false" customHeight="false" outlineLevel="0" collapsed="false">
      <c r="A1855" s="15" t="n">
        <v>1854</v>
      </c>
      <c r="B1855" s="9" t="s">
        <v>45</v>
      </c>
      <c r="C1855" s="9" t="s">
        <v>4769</v>
      </c>
      <c r="D1855" s="10" t="s">
        <v>4770</v>
      </c>
      <c r="E1855" s="11" t="s">
        <v>4771</v>
      </c>
      <c r="F1855" s="17"/>
      <c r="G1855" s="12" t="s">
        <v>176</v>
      </c>
      <c r="H1855" s="13" t="n">
        <v>-0.011</v>
      </c>
      <c r="I1855" s="14"/>
      <c r="J1855" s="17"/>
      <c r="K1855" s="9"/>
      <c r="L1855" s="15" t="s">
        <v>50</v>
      </c>
      <c r="M1855" s="16" t="s">
        <v>51</v>
      </c>
      <c r="N1855" s="14"/>
      <c r="O1855" s="15" t="s">
        <v>52</v>
      </c>
      <c r="P1855" s="17" t="s">
        <v>53</v>
      </c>
      <c r="Q1855" s="15"/>
      <c r="R1855" s="18" t="s">
        <v>51</v>
      </c>
      <c r="S1855" s="19"/>
      <c r="T1855" s="17" t="str">
        <f aca="false">IF(R1855="維持",J1855,IF(R1855="排除","無關新聞事件",IFERROR(INDEX(事件規則!$B$2:$B$53,MATCH(S1855,事件規則!$A$2:$A$53,0)),"")))</f>
        <v>無關新聞事件</v>
      </c>
      <c r="U1855" s="20" t="n">
        <f aca="false">IF(R1855="維持",K1855,IF(R1855="排除",0,IFERROR(INDEX(事件規則!$C$2:$C$53,MATCH(S1855,事件規則!$A$2:$A$53,0)),"")))</f>
        <v>0</v>
      </c>
      <c r="V1855" s="21"/>
      <c r="W1855" s="22"/>
      <c r="X1855" s="10" t="str">
        <f aca="false">IF(AND(R1855="修改",S1855=""),"請選新事件代碼",IF(AND(R1855&lt;&gt;"修改",S1855&lt;&gt;""),"只有「修改」才需填代碼",""))</f>
        <v/>
      </c>
      <c r="Y1855" s="21"/>
      <c r="Z1855" s="22"/>
      <c r="AA1855" s="12" t="s">
        <v>4772</v>
      </c>
      <c r="AB1855" s="24"/>
    </row>
    <row r="1856" customFormat="false" ht="29.85" hidden="false" customHeight="false" outlineLevel="0" collapsed="false">
      <c r="A1856" s="15" t="n">
        <v>1855</v>
      </c>
      <c r="B1856" s="9" t="s">
        <v>45</v>
      </c>
      <c r="C1856" s="9" t="s">
        <v>135</v>
      </c>
      <c r="D1856" s="10" t="s">
        <v>136</v>
      </c>
      <c r="E1856" s="11" t="s">
        <v>4773</v>
      </c>
      <c r="F1856" s="17"/>
      <c r="G1856" s="12" t="s">
        <v>1136</v>
      </c>
      <c r="H1856" s="13" t="n">
        <v>-0.011</v>
      </c>
      <c r="I1856" s="14"/>
      <c r="J1856" s="17"/>
      <c r="K1856" s="9"/>
      <c r="L1856" s="15" t="s">
        <v>50</v>
      </c>
      <c r="M1856" s="16" t="s">
        <v>51</v>
      </c>
      <c r="N1856" s="14"/>
      <c r="O1856" s="15" t="s">
        <v>52</v>
      </c>
      <c r="P1856" s="17" t="s">
        <v>53</v>
      </c>
      <c r="Q1856" s="15"/>
      <c r="R1856" s="18" t="s">
        <v>51</v>
      </c>
      <c r="S1856" s="19"/>
      <c r="T1856" s="17" t="str">
        <f aca="false">IF(R1856="維持",J1856,IF(R1856="排除","無關新聞事件",IFERROR(INDEX(事件規則!$B$2:$B$53,MATCH(S1856,事件規則!$A$2:$A$53,0)),"")))</f>
        <v>無關新聞事件</v>
      </c>
      <c r="U1856" s="20" t="n">
        <f aca="false">IF(R1856="維持",K1856,IF(R1856="排除",0,IFERROR(INDEX(事件規則!$C$2:$C$53,MATCH(S1856,事件規則!$A$2:$A$53,0)),"")))</f>
        <v>0</v>
      </c>
      <c r="V1856" s="21"/>
      <c r="W1856" s="22"/>
      <c r="X1856" s="10" t="str">
        <f aca="false">IF(AND(R1856="修改",S1856=""),"請選新事件代碼",IF(AND(R1856&lt;&gt;"修改",S1856&lt;&gt;""),"只有「修改」才需填代碼",""))</f>
        <v/>
      </c>
      <c r="Y1856" s="21"/>
      <c r="Z1856" s="22"/>
      <c r="AA1856" s="12" t="s">
        <v>4774</v>
      </c>
      <c r="AB1856" s="24"/>
    </row>
    <row r="1857" customFormat="false" ht="29.85" hidden="false" customHeight="false" outlineLevel="0" collapsed="false">
      <c r="A1857" s="15" t="n">
        <v>1856</v>
      </c>
      <c r="B1857" s="9" t="s">
        <v>45</v>
      </c>
      <c r="C1857" s="9" t="s">
        <v>178</v>
      </c>
      <c r="D1857" s="10" t="s">
        <v>179</v>
      </c>
      <c r="E1857" s="11" t="s">
        <v>4775</v>
      </c>
      <c r="F1857" s="17"/>
      <c r="G1857" s="12" t="s">
        <v>1420</v>
      </c>
      <c r="H1857" s="13" t="n">
        <v>-0.011</v>
      </c>
      <c r="I1857" s="14"/>
      <c r="J1857" s="17"/>
      <c r="K1857" s="9"/>
      <c r="L1857" s="15" t="s">
        <v>50</v>
      </c>
      <c r="M1857" s="16" t="s">
        <v>51</v>
      </c>
      <c r="N1857" s="14"/>
      <c r="O1857" s="15" t="s">
        <v>52</v>
      </c>
      <c r="P1857" s="17" t="s">
        <v>53</v>
      </c>
      <c r="Q1857" s="15"/>
      <c r="R1857" s="18" t="s">
        <v>51</v>
      </c>
      <c r="S1857" s="19"/>
      <c r="T1857" s="17" t="str">
        <f aca="false">IF(R1857="維持",J1857,IF(R1857="排除","無關新聞事件",IFERROR(INDEX(事件規則!$B$2:$B$53,MATCH(S1857,事件規則!$A$2:$A$53,0)),"")))</f>
        <v>無關新聞事件</v>
      </c>
      <c r="U1857" s="20" t="n">
        <f aca="false">IF(R1857="維持",K1857,IF(R1857="排除",0,IFERROR(INDEX(事件規則!$C$2:$C$53,MATCH(S1857,事件規則!$A$2:$A$53,0)),"")))</f>
        <v>0</v>
      </c>
      <c r="V1857" s="21"/>
      <c r="W1857" s="22"/>
      <c r="X1857" s="10" t="str">
        <f aca="false">IF(AND(R1857="修改",S1857=""),"請選新事件代碼",IF(AND(R1857&lt;&gt;"修改",S1857&lt;&gt;""),"只有「修改」才需填代碼",""))</f>
        <v/>
      </c>
      <c r="Y1857" s="21"/>
      <c r="Z1857" s="22"/>
      <c r="AA1857" s="12" t="s">
        <v>4776</v>
      </c>
      <c r="AB1857" s="24"/>
    </row>
    <row r="1858" customFormat="false" ht="29.85" hidden="false" customHeight="false" outlineLevel="0" collapsed="false">
      <c r="A1858" s="15" t="n">
        <v>1857</v>
      </c>
      <c r="B1858" s="9" t="s">
        <v>45</v>
      </c>
      <c r="C1858" s="9" t="s">
        <v>260</v>
      </c>
      <c r="D1858" s="10" t="s">
        <v>261</v>
      </c>
      <c r="E1858" s="11" t="s">
        <v>4777</v>
      </c>
      <c r="F1858" s="17"/>
      <c r="G1858" s="12" t="s">
        <v>169</v>
      </c>
      <c r="H1858" s="13" t="n">
        <v>-0.011</v>
      </c>
      <c r="I1858" s="14"/>
      <c r="J1858" s="17"/>
      <c r="K1858" s="9"/>
      <c r="L1858" s="15" t="s">
        <v>50</v>
      </c>
      <c r="M1858" s="16" t="s">
        <v>51</v>
      </c>
      <c r="N1858" s="14"/>
      <c r="O1858" s="15" t="s">
        <v>52</v>
      </c>
      <c r="P1858" s="17" t="s">
        <v>53</v>
      </c>
      <c r="Q1858" s="15"/>
      <c r="R1858" s="18" t="s">
        <v>51</v>
      </c>
      <c r="S1858" s="19"/>
      <c r="T1858" s="17" t="str">
        <f aca="false">IF(R1858="維持",J1858,IF(R1858="排除","無關新聞事件",IFERROR(INDEX(事件規則!$B$2:$B$53,MATCH(S1858,事件規則!$A$2:$A$53,0)),"")))</f>
        <v>無關新聞事件</v>
      </c>
      <c r="U1858" s="20" t="n">
        <f aca="false">IF(R1858="維持",K1858,IF(R1858="排除",0,IFERROR(INDEX(事件規則!$C$2:$C$53,MATCH(S1858,事件規則!$A$2:$A$53,0)),"")))</f>
        <v>0</v>
      </c>
      <c r="V1858" s="21"/>
      <c r="W1858" s="22"/>
      <c r="X1858" s="10" t="str">
        <f aca="false">IF(AND(R1858="修改",S1858=""),"請選新事件代碼",IF(AND(R1858&lt;&gt;"修改",S1858&lt;&gt;""),"只有「修改」才需填代碼",""))</f>
        <v/>
      </c>
      <c r="Y1858" s="21"/>
      <c r="Z1858" s="22"/>
      <c r="AA1858" s="12" t="s">
        <v>4778</v>
      </c>
      <c r="AB1858" s="24"/>
    </row>
    <row r="1859" customFormat="false" ht="29.85" hidden="false" customHeight="false" outlineLevel="0" collapsed="false">
      <c r="A1859" s="15" t="n">
        <v>1858</v>
      </c>
      <c r="B1859" s="9" t="s">
        <v>45</v>
      </c>
      <c r="C1859" s="9" t="s">
        <v>4779</v>
      </c>
      <c r="D1859" s="10" t="s">
        <v>4780</v>
      </c>
      <c r="E1859" s="11" t="s">
        <v>4781</v>
      </c>
      <c r="F1859" s="17"/>
      <c r="G1859" s="12" t="s">
        <v>3221</v>
      </c>
      <c r="H1859" s="13" t="n">
        <v>-0.011</v>
      </c>
      <c r="I1859" s="14"/>
      <c r="J1859" s="17"/>
      <c r="K1859" s="9"/>
      <c r="L1859" s="15" t="s">
        <v>50</v>
      </c>
      <c r="M1859" s="16" t="s">
        <v>51</v>
      </c>
      <c r="N1859" s="14"/>
      <c r="O1859" s="15" t="s">
        <v>52</v>
      </c>
      <c r="P1859" s="17" t="s">
        <v>53</v>
      </c>
      <c r="Q1859" s="15"/>
      <c r="R1859" s="18" t="s">
        <v>51</v>
      </c>
      <c r="S1859" s="19"/>
      <c r="T1859" s="17" t="str">
        <f aca="false">IF(R1859="維持",J1859,IF(R1859="排除","無關新聞事件",IFERROR(INDEX(事件規則!$B$2:$B$53,MATCH(S1859,事件規則!$A$2:$A$53,0)),"")))</f>
        <v>無關新聞事件</v>
      </c>
      <c r="U1859" s="20" t="n">
        <f aca="false">IF(R1859="維持",K1859,IF(R1859="排除",0,IFERROR(INDEX(事件規則!$C$2:$C$53,MATCH(S1859,事件規則!$A$2:$A$53,0)),"")))</f>
        <v>0</v>
      </c>
      <c r="V1859" s="21"/>
      <c r="W1859" s="22"/>
      <c r="X1859" s="10" t="str">
        <f aca="false">IF(AND(R1859="修改",S1859=""),"請選新事件代碼",IF(AND(R1859&lt;&gt;"修改",S1859&lt;&gt;""),"只有「修改」才需填代碼",""))</f>
        <v/>
      </c>
      <c r="Y1859" s="21"/>
      <c r="Z1859" s="22"/>
      <c r="AA1859" s="12" t="s">
        <v>4782</v>
      </c>
      <c r="AB1859" s="24"/>
    </row>
    <row r="1860" customFormat="false" ht="29.85" hidden="false" customHeight="false" outlineLevel="0" collapsed="false">
      <c r="A1860" s="15" t="n">
        <v>1859</v>
      </c>
      <c r="B1860" s="9" t="s">
        <v>55</v>
      </c>
      <c r="C1860" s="9" t="s">
        <v>445</v>
      </c>
      <c r="D1860" s="10" t="s">
        <v>446</v>
      </c>
      <c r="E1860" s="11" t="s">
        <v>4783</v>
      </c>
      <c r="F1860" s="17"/>
      <c r="G1860" s="12" t="s">
        <v>3304</v>
      </c>
      <c r="H1860" s="13" t="n">
        <v>-0.011</v>
      </c>
      <c r="I1860" s="14"/>
      <c r="J1860" s="17"/>
      <c r="K1860" s="9"/>
      <c r="L1860" s="15" t="s">
        <v>50</v>
      </c>
      <c r="M1860" s="16" t="s">
        <v>51</v>
      </c>
      <c r="N1860" s="14"/>
      <c r="O1860" s="15" t="s">
        <v>52</v>
      </c>
      <c r="P1860" s="17" t="s">
        <v>53</v>
      </c>
      <c r="Q1860" s="15"/>
      <c r="R1860" s="18" t="s">
        <v>51</v>
      </c>
      <c r="S1860" s="19"/>
      <c r="T1860" s="17" t="str">
        <f aca="false">IF(R1860="維持",J1860,IF(R1860="排除","無關新聞事件",IFERROR(INDEX(事件規則!$B$2:$B$53,MATCH(S1860,事件規則!$A$2:$A$53,0)),"")))</f>
        <v>無關新聞事件</v>
      </c>
      <c r="U1860" s="20" t="n">
        <f aca="false">IF(R1860="維持",K1860,IF(R1860="排除",0,IFERROR(INDEX(事件規則!$C$2:$C$53,MATCH(S1860,事件規則!$A$2:$A$53,0)),"")))</f>
        <v>0</v>
      </c>
      <c r="V1860" s="21"/>
      <c r="W1860" s="22"/>
      <c r="X1860" s="10" t="str">
        <f aca="false">IF(AND(R1860="修改",S1860=""),"請選新事件代碼",IF(AND(R1860&lt;&gt;"修改",S1860&lt;&gt;""),"只有「修改」才需填代碼",""))</f>
        <v/>
      </c>
      <c r="Y1860" s="21"/>
      <c r="Z1860" s="22"/>
      <c r="AA1860" s="12" t="s">
        <v>4784</v>
      </c>
      <c r="AB1860" s="24"/>
    </row>
    <row r="1861" customFormat="false" ht="29.85" hidden="false" customHeight="false" outlineLevel="0" collapsed="false">
      <c r="A1861" s="15" t="n">
        <v>1860</v>
      </c>
      <c r="B1861" s="9" t="s">
        <v>112</v>
      </c>
      <c r="C1861" s="9" t="s">
        <v>3141</v>
      </c>
      <c r="D1861" s="10" t="s">
        <v>3142</v>
      </c>
      <c r="E1861" s="11" t="s">
        <v>4785</v>
      </c>
      <c r="F1861" s="17"/>
      <c r="G1861" s="12" t="s">
        <v>2033</v>
      </c>
      <c r="H1861" s="13" t="n">
        <v>-0.011</v>
      </c>
      <c r="I1861" s="14"/>
      <c r="J1861" s="17"/>
      <c r="K1861" s="9"/>
      <c r="L1861" s="15" t="s">
        <v>50</v>
      </c>
      <c r="M1861" s="16" t="s">
        <v>51</v>
      </c>
      <c r="N1861" s="14"/>
      <c r="O1861" s="15" t="s">
        <v>52</v>
      </c>
      <c r="P1861" s="17" t="s">
        <v>53</v>
      </c>
      <c r="Q1861" s="15"/>
      <c r="R1861" s="18" t="s">
        <v>51</v>
      </c>
      <c r="S1861" s="19"/>
      <c r="T1861" s="17" t="str">
        <f aca="false">IF(R1861="維持",J1861,IF(R1861="排除","無關新聞事件",IFERROR(INDEX(事件規則!$B$2:$B$53,MATCH(S1861,事件規則!$A$2:$A$53,0)),"")))</f>
        <v>無關新聞事件</v>
      </c>
      <c r="U1861" s="20" t="n">
        <f aca="false">IF(R1861="維持",K1861,IF(R1861="排除",0,IFERROR(INDEX(事件規則!$C$2:$C$53,MATCH(S1861,事件規則!$A$2:$A$53,0)),"")))</f>
        <v>0</v>
      </c>
      <c r="V1861" s="21"/>
      <c r="W1861" s="22"/>
      <c r="X1861" s="10" t="str">
        <f aca="false">IF(AND(R1861="修改",S1861=""),"請選新事件代碼",IF(AND(R1861&lt;&gt;"修改",S1861&lt;&gt;""),"只有「修改」才需填代碼",""))</f>
        <v/>
      </c>
      <c r="Y1861" s="21"/>
      <c r="Z1861" s="22"/>
      <c r="AA1861" s="12" t="s">
        <v>4786</v>
      </c>
      <c r="AB1861" s="24"/>
    </row>
    <row r="1862" customFormat="false" ht="29.85" hidden="false" customHeight="false" outlineLevel="0" collapsed="false">
      <c r="A1862" s="15" t="n">
        <v>1861</v>
      </c>
      <c r="B1862" s="9" t="s">
        <v>112</v>
      </c>
      <c r="C1862" s="9" t="s">
        <v>4551</v>
      </c>
      <c r="D1862" s="10" t="s">
        <v>4552</v>
      </c>
      <c r="E1862" s="11" t="s">
        <v>4787</v>
      </c>
      <c r="F1862" s="17"/>
      <c r="G1862" s="12" t="s">
        <v>572</v>
      </c>
      <c r="H1862" s="13" t="n">
        <v>-0.011</v>
      </c>
      <c r="I1862" s="14"/>
      <c r="J1862" s="17"/>
      <c r="K1862" s="9"/>
      <c r="L1862" s="15" t="s">
        <v>50</v>
      </c>
      <c r="M1862" s="16" t="s">
        <v>51</v>
      </c>
      <c r="N1862" s="14"/>
      <c r="O1862" s="15" t="s">
        <v>52</v>
      </c>
      <c r="P1862" s="17" t="s">
        <v>53</v>
      </c>
      <c r="Q1862" s="15"/>
      <c r="R1862" s="18" t="s">
        <v>51</v>
      </c>
      <c r="S1862" s="19"/>
      <c r="T1862" s="17" t="str">
        <f aca="false">IF(R1862="維持",J1862,IF(R1862="排除","無關新聞事件",IFERROR(INDEX(事件規則!$B$2:$B$53,MATCH(S1862,事件規則!$A$2:$A$53,0)),"")))</f>
        <v>無關新聞事件</v>
      </c>
      <c r="U1862" s="20" t="n">
        <f aca="false">IF(R1862="維持",K1862,IF(R1862="排除",0,IFERROR(INDEX(事件規則!$C$2:$C$53,MATCH(S1862,事件規則!$A$2:$A$53,0)),"")))</f>
        <v>0</v>
      </c>
      <c r="V1862" s="21"/>
      <c r="W1862" s="22"/>
      <c r="X1862" s="10" t="str">
        <f aca="false">IF(AND(R1862="修改",S1862=""),"請選新事件代碼",IF(AND(R1862&lt;&gt;"修改",S1862&lt;&gt;""),"只有「修改」才需填代碼",""))</f>
        <v/>
      </c>
      <c r="Y1862" s="21"/>
      <c r="Z1862" s="22"/>
      <c r="AA1862" s="12" t="s">
        <v>4788</v>
      </c>
      <c r="AB1862" s="24"/>
    </row>
    <row r="1863" customFormat="false" ht="29.85" hidden="false" customHeight="false" outlineLevel="0" collapsed="false">
      <c r="A1863" s="15" t="n">
        <v>1862</v>
      </c>
      <c r="B1863" s="9" t="s">
        <v>112</v>
      </c>
      <c r="C1863" s="9" t="s">
        <v>1151</v>
      </c>
      <c r="D1863" s="10" t="s">
        <v>1152</v>
      </c>
      <c r="E1863" s="11" t="s">
        <v>4789</v>
      </c>
      <c r="F1863" s="17"/>
      <c r="G1863" s="12" t="s">
        <v>2033</v>
      </c>
      <c r="H1863" s="13" t="n">
        <v>-0.011</v>
      </c>
      <c r="I1863" s="14"/>
      <c r="J1863" s="17"/>
      <c r="K1863" s="9"/>
      <c r="L1863" s="15" t="s">
        <v>50</v>
      </c>
      <c r="M1863" s="16" t="s">
        <v>51</v>
      </c>
      <c r="N1863" s="14"/>
      <c r="O1863" s="15" t="s">
        <v>52</v>
      </c>
      <c r="P1863" s="17" t="s">
        <v>53</v>
      </c>
      <c r="Q1863" s="15"/>
      <c r="R1863" s="18" t="s">
        <v>51</v>
      </c>
      <c r="S1863" s="19"/>
      <c r="T1863" s="17" t="str">
        <f aca="false">IF(R1863="維持",J1863,IF(R1863="排除","無關新聞事件",IFERROR(INDEX(事件規則!$B$2:$B$53,MATCH(S1863,事件規則!$A$2:$A$53,0)),"")))</f>
        <v>無關新聞事件</v>
      </c>
      <c r="U1863" s="20" t="n">
        <f aca="false">IF(R1863="維持",K1863,IF(R1863="排除",0,IFERROR(INDEX(事件規則!$C$2:$C$53,MATCH(S1863,事件規則!$A$2:$A$53,0)),"")))</f>
        <v>0</v>
      </c>
      <c r="V1863" s="21"/>
      <c r="W1863" s="22"/>
      <c r="X1863" s="10" t="str">
        <f aca="false">IF(AND(R1863="修改",S1863=""),"請選新事件代碼",IF(AND(R1863&lt;&gt;"修改",S1863&lt;&gt;""),"只有「修改」才需填代碼",""))</f>
        <v/>
      </c>
      <c r="Y1863" s="21"/>
      <c r="Z1863" s="22"/>
      <c r="AA1863" s="12" t="s">
        <v>4790</v>
      </c>
      <c r="AB1863" s="24"/>
    </row>
    <row r="1864" customFormat="false" ht="29.85" hidden="false" customHeight="false" outlineLevel="0" collapsed="false">
      <c r="A1864" s="15" t="n">
        <v>1863</v>
      </c>
      <c r="B1864" s="9" t="s">
        <v>112</v>
      </c>
      <c r="C1864" s="9" t="s">
        <v>569</v>
      </c>
      <c r="D1864" s="10" t="s">
        <v>570</v>
      </c>
      <c r="E1864" s="11" t="s">
        <v>4791</v>
      </c>
      <c r="F1864" s="17"/>
      <c r="G1864" s="12" t="s">
        <v>2033</v>
      </c>
      <c r="H1864" s="13" t="n">
        <v>-0.011</v>
      </c>
      <c r="I1864" s="14"/>
      <c r="J1864" s="17"/>
      <c r="K1864" s="9"/>
      <c r="L1864" s="15" t="s">
        <v>50</v>
      </c>
      <c r="M1864" s="16" t="s">
        <v>51</v>
      </c>
      <c r="N1864" s="14"/>
      <c r="O1864" s="15" t="s">
        <v>52</v>
      </c>
      <c r="P1864" s="17" t="s">
        <v>53</v>
      </c>
      <c r="Q1864" s="15"/>
      <c r="R1864" s="18" t="s">
        <v>51</v>
      </c>
      <c r="S1864" s="19"/>
      <c r="T1864" s="17" t="str">
        <f aca="false">IF(R1864="維持",J1864,IF(R1864="排除","無關新聞事件",IFERROR(INDEX(事件規則!$B$2:$B$53,MATCH(S1864,事件規則!$A$2:$A$53,0)),"")))</f>
        <v>無關新聞事件</v>
      </c>
      <c r="U1864" s="20" t="n">
        <f aca="false">IF(R1864="維持",K1864,IF(R1864="排除",0,IFERROR(INDEX(事件規則!$C$2:$C$53,MATCH(S1864,事件規則!$A$2:$A$53,0)),"")))</f>
        <v>0</v>
      </c>
      <c r="V1864" s="21"/>
      <c r="W1864" s="22"/>
      <c r="X1864" s="10" t="str">
        <f aca="false">IF(AND(R1864="修改",S1864=""),"請選新事件代碼",IF(AND(R1864&lt;&gt;"修改",S1864&lt;&gt;""),"只有「修改」才需填代碼",""))</f>
        <v/>
      </c>
      <c r="Y1864" s="21"/>
      <c r="Z1864" s="22"/>
      <c r="AA1864" s="12" t="s">
        <v>4792</v>
      </c>
      <c r="AB1864" s="24"/>
    </row>
    <row r="1865" customFormat="false" ht="29.85" hidden="false" customHeight="false" outlineLevel="0" collapsed="false">
      <c r="A1865" s="15" t="n">
        <v>1864</v>
      </c>
      <c r="B1865" s="9" t="s">
        <v>45</v>
      </c>
      <c r="C1865" s="9" t="s">
        <v>3753</v>
      </c>
      <c r="D1865" s="10" t="s">
        <v>3754</v>
      </c>
      <c r="E1865" s="11" t="s">
        <v>4793</v>
      </c>
      <c r="F1865" s="17"/>
      <c r="G1865" s="12" t="s">
        <v>95</v>
      </c>
      <c r="H1865" s="13" t="n">
        <v>-0.011</v>
      </c>
      <c r="I1865" s="14"/>
      <c r="J1865" s="17"/>
      <c r="K1865" s="9"/>
      <c r="L1865" s="15" t="s">
        <v>50</v>
      </c>
      <c r="M1865" s="16" t="s">
        <v>51</v>
      </c>
      <c r="N1865" s="14"/>
      <c r="O1865" s="15" t="s">
        <v>52</v>
      </c>
      <c r="P1865" s="17" t="s">
        <v>53</v>
      </c>
      <c r="Q1865" s="15"/>
      <c r="R1865" s="18" t="s">
        <v>51</v>
      </c>
      <c r="S1865" s="19"/>
      <c r="T1865" s="17" t="str">
        <f aca="false">IF(R1865="維持",J1865,IF(R1865="排除","無關新聞事件",IFERROR(INDEX(事件規則!$B$2:$B$53,MATCH(S1865,事件規則!$A$2:$A$53,0)),"")))</f>
        <v>無關新聞事件</v>
      </c>
      <c r="U1865" s="20" t="n">
        <f aca="false">IF(R1865="維持",K1865,IF(R1865="排除",0,IFERROR(INDEX(事件規則!$C$2:$C$53,MATCH(S1865,事件規則!$A$2:$A$53,0)),"")))</f>
        <v>0</v>
      </c>
      <c r="V1865" s="21"/>
      <c r="W1865" s="22"/>
      <c r="X1865" s="10" t="str">
        <f aca="false">IF(AND(R1865="修改",S1865=""),"請選新事件代碼",IF(AND(R1865&lt;&gt;"修改",S1865&lt;&gt;""),"只有「修改」才需填代碼",""))</f>
        <v/>
      </c>
      <c r="Y1865" s="21"/>
      <c r="Z1865" s="22"/>
      <c r="AA1865" s="12" t="s">
        <v>4794</v>
      </c>
      <c r="AB1865" s="24"/>
    </row>
    <row r="1866" customFormat="false" ht="29.85" hidden="false" customHeight="false" outlineLevel="0" collapsed="false">
      <c r="A1866" s="15" t="n">
        <v>1865</v>
      </c>
      <c r="B1866" s="9" t="s">
        <v>45</v>
      </c>
      <c r="C1866" s="9" t="s">
        <v>1318</v>
      </c>
      <c r="D1866" s="10" t="s">
        <v>1319</v>
      </c>
      <c r="E1866" s="11" t="s">
        <v>4795</v>
      </c>
      <c r="F1866" s="17"/>
      <c r="G1866" s="12" t="s">
        <v>4679</v>
      </c>
      <c r="H1866" s="13" t="n">
        <v>-0.011</v>
      </c>
      <c r="I1866" s="14"/>
      <c r="J1866" s="17"/>
      <c r="K1866" s="9"/>
      <c r="L1866" s="15" t="s">
        <v>50</v>
      </c>
      <c r="M1866" s="16" t="s">
        <v>51</v>
      </c>
      <c r="N1866" s="14"/>
      <c r="O1866" s="15" t="s">
        <v>52</v>
      </c>
      <c r="P1866" s="17" t="s">
        <v>53</v>
      </c>
      <c r="Q1866" s="15"/>
      <c r="R1866" s="18" t="s">
        <v>51</v>
      </c>
      <c r="S1866" s="19"/>
      <c r="T1866" s="17" t="str">
        <f aca="false">IF(R1866="維持",J1866,IF(R1866="排除","無關新聞事件",IFERROR(INDEX(事件規則!$B$2:$B$53,MATCH(S1866,事件規則!$A$2:$A$53,0)),"")))</f>
        <v>無關新聞事件</v>
      </c>
      <c r="U1866" s="20" t="n">
        <f aca="false">IF(R1866="維持",K1866,IF(R1866="排除",0,IFERROR(INDEX(事件規則!$C$2:$C$53,MATCH(S1866,事件規則!$A$2:$A$53,0)),"")))</f>
        <v>0</v>
      </c>
      <c r="V1866" s="21"/>
      <c r="W1866" s="22"/>
      <c r="X1866" s="10" t="str">
        <f aca="false">IF(AND(R1866="修改",S1866=""),"請選新事件代碼",IF(AND(R1866&lt;&gt;"修改",S1866&lt;&gt;""),"只有「修改」才需填代碼",""))</f>
        <v/>
      </c>
      <c r="Y1866" s="21"/>
      <c r="Z1866" s="22"/>
      <c r="AA1866" s="12" t="s">
        <v>4796</v>
      </c>
      <c r="AB1866" s="24"/>
    </row>
    <row r="1867" customFormat="false" ht="29.85" hidden="false" customHeight="false" outlineLevel="0" collapsed="false">
      <c r="A1867" s="15" t="n">
        <v>1866</v>
      </c>
      <c r="B1867" s="9" t="s">
        <v>45</v>
      </c>
      <c r="C1867" s="9" t="s">
        <v>3373</v>
      </c>
      <c r="D1867" s="10" t="s">
        <v>3374</v>
      </c>
      <c r="E1867" s="11" t="s">
        <v>4797</v>
      </c>
      <c r="F1867" s="17"/>
      <c r="G1867" s="12" t="s">
        <v>176</v>
      </c>
      <c r="H1867" s="13" t="n">
        <v>-0.011</v>
      </c>
      <c r="I1867" s="14"/>
      <c r="J1867" s="17"/>
      <c r="K1867" s="9"/>
      <c r="L1867" s="15" t="s">
        <v>50</v>
      </c>
      <c r="M1867" s="16" t="s">
        <v>51</v>
      </c>
      <c r="N1867" s="14"/>
      <c r="O1867" s="15" t="s">
        <v>52</v>
      </c>
      <c r="P1867" s="17" t="s">
        <v>53</v>
      </c>
      <c r="Q1867" s="15"/>
      <c r="R1867" s="18" t="s">
        <v>51</v>
      </c>
      <c r="S1867" s="19"/>
      <c r="T1867" s="17" t="str">
        <f aca="false">IF(R1867="維持",J1867,IF(R1867="排除","無關新聞事件",IFERROR(INDEX(事件規則!$B$2:$B$53,MATCH(S1867,事件規則!$A$2:$A$53,0)),"")))</f>
        <v>無關新聞事件</v>
      </c>
      <c r="U1867" s="20" t="n">
        <f aca="false">IF(R1867="維持",K1867,IF(R1867="排除",0,IFERROR(INDEX(事件規則!$C$2:$C$53,MATCH(S1867,事件規則!$A$2:$A$53,0)),"")))</f>
        <v>0</v>
      </c>
      <c r="V1867" s="21"/>
      <c r="W1867" s="22"/>
      <c r="X1867" s="10" t="str">
        <f aca="false">IF(AND(R1867="修改",S1867=""),"請選新事件代碼",IF(AND(R1867&lt;&gt;"修改",S1867&lt;&gt;""),"只有「修改」才需填代碼",""))</f>
        <v/>
      </c>
      <c r="Y1867" s="21"/>
      <c r="Z1867" s="22"/>
      <c r="AA1867" s="12" t="s">
        <v>4798</v>
      </c>
      <c r="AB1867" s="24"/>
    </row>
    <row r="1868" customFormat="false" ht="29.85" hidden="false" customHeight="false" outlineLevel="0" collapsed="false">
      <c r="A1868" s="15" t="n">
        <v>1867</v>
      </c>
      <c r="B1868" s="9" t="s">
        <v>45</v>
      </c>
      <c r="C1868" s="9" t="s">
        <v>2424</v>
      </c>
      <c r="D1868" s="10" t="s">
        <v>2425</v>
      </c>
      <c r="E1868" s="11" t="s">
        <v>4799</v>
      </c>
      <c r="F1868" s="17"/>
      <c r="G1868" s="12" t="s">
        <v>59</v>
      </c>
      <c r="H1868" s="13" t="n">
        <v>-0.011</v>
      </c>
      <c r="I1868" s="14"/>
      <c r="J1868" s="17"/>
      <c r="K1868" s="9"/>
      <c r="L1868" s="15" t="s">
        <v>50</v>
      </c>
      <c r="M1868" s="16" t="s">
        <v>51</v>
      </c>
      <c r="N1868" s="14"/>
      <c r="O1868" s="15" t="s">
        <v>52</v>
      </c>
      <c r="P1868" s="17" t="s">
        <v>53</v>
      </c>
      <c r="Q1868" s="15"/>
      <c r="R1868" s="18" t="s">
        <v>51</v>
      </c>
      <c r="S1868" s="19"/>
      <c r="T1868" s="17" t="str">
        <f aca="false">IF(R1868="維持",J1868,IF(R1868="排除","無關新聞事件",IFERROR(INDEX(事件規則!$B$2:$B$53,MATCH(S1868,事件規則!$A$2:$A$53,0)),"")))</f>
        <v>無關新聞事件</v>
      </c>
      <c r="U1868" s="20" t="n">
        <f aca="false">IF(R1868="維持",K1868,IF(R1868="排除",0,IFERROR(INDEX(事件規則!$C$2:$C$53,MATCH(S1868,事件規則!$A$2:$A$53,0)),"")))</f>
        <v>0</v>
      </c>
      <c r="V1868" s="21"/>
      <c r="W1868" s="22"/>
      <c r="X1868" s="10" t="str">
        <f aca="false">IF(AND(R1868="修改",S1868=""),"請選新事件代碼",IF(AND(R1868&lt;&gt;"修改",S1868&lt;&gt;""),"只有「修改」才需填代碼",""))</f>
        <v/>
      </c>
      <c r="Y1868" s="21"/>
      <c r="Z1868" s="22"/>
      <c r="AA1868" s="12" t="s">
        <v>4800</v>
      </c>
      <c r="AB1868" s="24"/>
    </row>
    <row r="1869" customFormat="false" ht="29.85" hidden="false" customHeight="false" outlineLevel="0" collapsed="false">
      <c r="A1869" s="15" t="n">
        <v>1868</v>
      </c>
      <c r="B1869" s="9" t="s">
        <v>45</v>
      </c>
      <c r="C1869" s="9" t="s">
        <v>66</v>
      </c>
      <c r="D1869" s="10" t="s">
        <v>67</v>
      </c>
      <c r="E1869" s="11" t="s">
        <v>4801</v>
      </c>
      <c r="F1869" s="17"/>
      <c r="G1869" s="12" t="s">
        <v>95</v>
      </c>
      <c r="H1869" s="13" t="n">
        <v>-0.011</v>
      </c>
      <c r="I1869" s="14"/>
      <c r="J1869" s="17"/>
      <c r="K1869" s="9"/>
      <c r="L1869" s="15" t="s">
        <v>50</v>
      </c>
      <c r="M1869" s="16" t="s">
        <v>51</v>
      </c>
      <c r="N1869" s="14"/>
      <c r="O1869" s="15" t="s">
        <v>52</v>
      </c>
      <c r="P1869" s="17" t="s">
        <v>53</v>
      </c>
      <c r="Q1869" s="15"/>
      <c r="R1869" s="18" t="s">
        <v>51</v>
      </c>
      <c r="S1869" s="19"/>
      <c r="T1869" s="17" t="str">
        <f aca="false">IF(R1869="維持",J1869,IF(R1869="排除","無關新聞事件",IFERROR(INDEX(事件規則!$B$2:$B$53,MATCH(S1869,事件規則!$A$2:$A$53,0)),"")))</f>
        <v>無關新聞事件</v>
      </c>
      <c r="U1869" s="20" t="n">
        <f aca="false">IF(R1869="維持",K1869,IF(R1869="排除",0,IFERROR(INDEX(事件規則!$C$2:$C$53,MATCH(S1869,事件規則!$A$2:$A$53,0)),"")))</f>
        <v>0</v>
      </c>
      <c r="V1869" s="21"/>
      <c r="W1869" s="22"/>
      <c r="X1869" s="10" t="str">
        <f aca="false">IF(AND(R1869="修改",S1869=""),"請選新事件代碼",IF(AND(R1869&lt;&gt;"修改",S1869&lt;&gt;""),"只有「修改」才需填代碼",""))</f>
        <v/>
      </c>
      <c r="Y1869" s="21"/>
      <c r="Z1869" s="22"/>
      <c r="AA1869" s="12" t="s">
        <v>4802</v>
      </c>
      <c r="AB1869" s="24"/>
    </row>
    <row r="1870" customFormat="false" ht="29.85" hidden="false" customHeight="false" outlineLevel="0" collapsed="false">
      <c r="A1870" s="15" t="n">
        <v>1869</v>
      </c>
      <c r="B1870" s="9" t="s">
        <v>45</v>
      </c>
      <c r="C1870" s="9" t="s">
        <v>1001</v>
      </c>
      <c r="D1870" s="10" t="s">
        <v>1002</v>
      </c>
      <c r="E1870" s="11" t="s">
        <v>4803</v>
      </c>
      <c r="F1870" s="17"/>
      <c r="G1870" s="12" t="s">
        <v>95</v>
      </c>
      <c r="H1870" s="13" t="n">
        <v>-0.011</v>
      </c>
      <c r="I1870" s="14"/>
      <c r="J1870" s="17"/>
      <c r="K1870" s="9"/>
      <c r="L1870" s="15" t="s">
        <v>50</v>
      </c>
      <c r="M1870" s="16" t="s">
        <v>51</v>
      </c>
      <c r="N1870" s="14"/>
      <c r="O1870" s="15" t="s">
        <v>52</v>
      </c>
      <c r="P1870" s="17" t="s">
        <v>53</v>
      </c>
      <c r="Q1870" s="15"/>
      <c r="R1870" s="18" t="s">
        <v>51</v>
      </c>
      <c r="S1870" s="19"/>
      <c r="T1870" s="17" t="str">
        <f aca="false">IF(R1870="維持",J1870,IF(R1870="排除","無關新聞事件",IFERROR(INDEX(事件規則!$B$2:$B$53,MATCH(S1870,事件規則!$A$2:$A$53,0)),"")))</f>
        <v>無關新聞事件</v>
      </c>
      <c r="U1870" s="20" t="n">
        <f aca="false">IF(R1870="維持",K1870,IF(R1870="排除",0,IFERROR(INDEX(事件規則!$C$2:$C$53,MATCH(S1870,事件規則!$A$2:$A$53,0)),"")))</f>
        <v>0</v>
      </c>
      <c r="V1870" s="21"/>
      <c r="W1870" s="22"/>
      <c r="X1870" s="10" t="str">
        <f aca="false">IF(AND(R1870="修改",S1870=""),"請選新事件代碼",IF(AND(R1870&lt;&gt;"修改",S1870&lt;&gt;""),"只有「修改」才需填代碼",""))</f>
        <v/>
      </c>
      <c r="Y1870" s="21"/>
      <c r="Z1870" s="22"/>
      <c r="AA1870" s="12" t="s">
        <v>4804</v>
      </c>
      <c r="AB1870" s="24"/>
    </row>
    <row r="1871" customFormat="false" ht="29.85" hidden="false" customHeight="false" outlineLevel="0" collapsed="false">
      <c r="A1871" s="15" t="n">
        <v>1870</v>
      </c>
      <c r="B1871" s="9" t="s">
        <v>81</v>
      </c>
      <c r="C1871" s="9" t="s">
        <v>2484</v>
      </c>
      <c r="D1871" s="10" t="s">
        <v>2485</v>
      </c>
      <c r="E1871" s="11" t="s">
        <v>4805</v>
      </c>
      <c r="F1871" s="17"/>
      <c r="G1871" s="12" t="s">
        <v>142</v>
      </c>
      <c r="H1871" s="13" t="n">
        <v>-0.011</v>
      </c>
      <c r="I1871" s="14"/>
      <c r="J1871" s="17"/>
      <c r="K1871" s="9"/>
      <c r="L1871" s="15" t="s">
        <v>50</v>
      </c>
      <c r="M1871" s="16" t="s">
        <v>51</v>
      </c>
      <c r="N1871" s="14"/>
      <c r="O1871" s="15" t="s">
        <v>52</v>
      </c>
      <c r="P1871" s="17" t="s">
        <v>53</v>
      </c>
      <c r="Q1871" s="15"/>
      <c r="R1871" s="18" t="s">
        <v>51</v>
      </c>
      <c r="S1871" s="19"/>
      <c r="T1871" s="17" t="str">
        <f aca="false">IF(R1871="維持",J1871,IF(R1871="排除","無關新聞事件",IFERROR(INDEX(事件規則!$B$2:$B$53,MATCH(S1871,事件規則!$A$2:$A$53,0)),"")))</f>
        <v>無關新聞事件</v>
      </c>
      <c r="U1871" s="20" t="n">
        <f aca="false">IF(R1871="維持",K1871,IF(R1871="排除",0,IFERROR(INDEX(事件規則!$C$2:$C$53,MATCH(S1871,事件規則!$A$2:$A$53,0)),"")))</f>
        <v>0</v>
      </c>
      <c r="V1871" s="21"/>
      <c r="W1871" s="22"/>
      <c r="X1871" s="10" t="str">
        <f aca="false">IF(AND(R1871="修改",S1871=""),"請選新事件代碼",IF(AND(R1871&lt;&gt;"修改",S1871&lt;&gt;""),"只有「修改」才需填代碼",""))</f>
        <v/>
      </c>
      <c r="Y1871" s="21"/>
      <c r="Z1871" s="22"/>
      <c r="AA1871" s="12" t="s">
        <v>4806</v>
      </c>
      <c r="AB1871" s="24"/>
    </row>
    <row r="1872" customFormat="false" ht="29.85" hidden="false" customHeight="false" outlineLevel="0" collapsed="false">
      <c r="A1872" s="15" t="n">
        <v>1871</v>
      </c>
      <c r="B1872" s="9" t="s">
        <v>81</v>
      </c>
      <c r="C1872" s="9" t="s">
        <v>202</v>
      </c>
      <c r="D1872" s="10" t="s">
        <v>203</v>
      </c>
      <c r="E1872" s="11" t="s">
        <v>4807</v>
      </c>
      <c r="F1872" s="17"/>
      <c r="G1872" s="12" t="s">
        <v>3221</v>
      </c>
      <c r="H1872" s="13" t="n">
        <v>-0.011</v>
      </c>
      <c r="I1872" s="14"/>
      <c r="J1872" s="17"/>
      <c r="K1872" s="9"/>
      <c r="L1872" s="15" t="s">
        <v>50</v>
      </c>
      <c r="M1872" s="16" t="s">
        <v>51</v>
      </c>
      <c r="N1872" s="14"/>
      <c r="O1872" s="15" t="s">
        <v>52</v>
      </c>
      <c r="P1872" s="17" t="s">
        <v>53</v>
      </c>
      <c r="Q1872" s="15"/>
      <c r="R1872" s="18" t="s">
        <v>51</v>
      </c>
      <c r="S1872" s="19"/>
      <c r="T1872" s="17" t="str">
        <f aca="false">IF(R1872="維持",J1872,IF(R1872="排除","無關新聞事件",IFERROR(INDEX(事件規則!$B$2:$B$53,MATCH(S1872,事件規則!$A$2:$A$53,0)),"")))</f>
        <v>無關新聞事件</v>
      </c>
      <c r="U1872" s="20" t="n">
        <f aca="false">IF(R1872="維持",K1872,IF(R1872="排除",0,IFERROR(INDEX(事件規則!$C$2:$C$53,MATCH(S1872,事件規則!$A$2:$A$53,0)),"")))</f>
        <v>0</v>
      </c>
      <c r="V1872" s="21"/>
      <c r="W1872" s="22"/>
      <c r="X1872" s="10" t="str">
        <f aca="false">IF(AND(R1872="修改",S1872=""),"請選新事件代碼",IF(AND(R1872&lt;&gt;"修改",S1872&lt;&gt;""),"只有「修改」才需填代碼",""))</f>
        <v/>
      </c>
      <c r="Y1872" s="21"/>
      <c r="Z1872" s="22"/>
      <c r="AA1872" s="12" t="s">
        <v>4808</v>
      </c>
      <c r="AB1872" s="24"/>
    </row>
    <row r="1873" customFormat="false" ht="29.85" hidden="false" customHeight="false" outlineLevel="0" collapsed="false">
      <c r="A1873" s="15" t="n">
        <v>1872</v>
      </c>
      <c r="B1873" s="9" t="s">
        <v>81</v>
      </c>
      <c r="C1873" s="9" t="s">
        <v>113</v>
      </c>
      <c r="D1873" s="10" t="s">
        <v>114</v>
      </c>
      <c r="E1873" s="11" t="s">
        <v>4809</v>
      </c>
      <c r="F1873" s="17"/>
      <c r="G1873" s="12" t="s">
        <v>49</v>
      </c>
      <c r="H1873" s="13" t="n">
        <v>-0.011</v>
      </c>
      <c r="I1873" s="14"/>
      <c r="J1873" s="17"/>
      <c r="K1873" s="9"/>
      <c r="L1873" s="15" t="s">
        <v>50</v>
      </c>
      <c r="M1873" s="16" t="s">
        <v>51</v>
      </c>
      <c r="N1873" s="14"/>
      <c r="O1873" s="15" t="s">
        <v>52</v>
      </c>
      <c r="P1873" s="17" t="s">
        <v>53</v>
      </c>
      <c r="Q1873" s="15"/>
      <c r="R1873" s="18" t="s">
        <v>51</v>
      </c>
      <c r="S1873" s="19"/>
      <c r="T1873" s="17" t="str">
        <f aca="false">IF(R1873="維持",J1873,IF(R1873="排除","無關新聞事件",IFERROR(INDEX(事件規則!$B$2:$B$53,MATCH(S1873,事件規則!$A$2:$A$53,0)),"")))</f>
        <v>無關新聞事件</v>
      </c>
      <c r="U1873" s="20" t="n">
        <f aca="false">IF(R1873="維持",K1873,IF(R1873="排除",0,IFERROR(INDEX(事件規則!$C$2:$C$53,MATCH(S1873,事件規則!$A$2:$A$53,0)),"")))</f>
        <v>0</v>
      </c>
      <c r="V1873" s="21"/>
      <c r="W1873" s="22"/>
      <c r="X1873" s="10" t="str">
        <f aca="false">IF(AND(R1873="修改",S1873=""),"請選新事件代碼",IF(AND(R1873&lt;&gt;"修改",S1873&lt;&gt;""),"只有「修改」才需填代碼",""))</f>
        <v/>
      </c>
      <c r="Y1873" s="21"/>
      <c r="Z1873" s="22"/>
      <c r="AA1873" s="12" t="s">
        <v>4810</v>
      </c>
      <c r="AB1873" s="24"/>
    </row>
    <row r="1874" customFormat="false" ht="29.85" hidden="false" customHeight="false" outlineLevel="0" collapsed="false">
      <c r="A1874" s="15" t="n">
        <v>1873</v>
      </c>
      <c r="B1874" s="9" t="s">
        <v>112</v>
      </c>
      <c r="C1874" s="9" t="s">
        <v>2251</v>
      </c>
      <c r="D1874" s="10" t="s">
        <v>2252</v>
      </c>
      <c r="E1874" s="11" t="s">
        <v>4811</v>
      </c>
      <c r="F1874" s="17"/>
      <c r="G1874" s="12" t="s">
        <v>105</v>
      </c>
      <c r="H1874" s="13" t="n">
        <v>-0.01</v>
      </c>
      <c r="I1874" s="14"/>
      <c r="J1874" s="17"/>
      <c r="K1874" s="9"/>
      <c r="L1874" s="15" t="s">
        <v>50</v>
      </c>
      <c r="M1874" s="16" t="s">
        <v>51</v>
      </c>
      <c r="N1874" s="14"/>
      <c r="O1874" s="15" t="s">
        <v>52</v>
      </c>
      <c r="P1874" s="17" t="s">
        <v>53</v>
      </c>
      <c r="Q1874" s="15"/>
      <c r="R1874" s="18" t="s">
        <v>51</v>
      </c>
      <c r="S1874" s="19"/>
      <c r="T1874" s="17" t="str">
        <f aca="false">IF(R1874="維持",J1874,IF(R1874="排除","無關新聞事件",IFERROR(INDEX(事件規則!$B$2:$B$53,MATCH(S1874,事件規則!$A$2:$A$53,0)),"")))</f>
        <v>無關新聞事件</v>
      </c>
      <c r="U1874" s="20" t="n">
        <f aca="false">IF(R1874="維持",K1874,IF(R1874="排除",0,IFERROR(INDEX(事件規則!$C$2:$C$53,MATCH(S1874,事件規則!$A$2:$A$53,0)),"")))</f>
        <v>0</v>
      </c>
      <c r="V1874" s="21"/>
      <c r="W1874" s="22"/>
      <c r="X1874" s="10" t="str">
        <f aca="false">IF(AND(R1874="修改",S1874=""),"請選新事件代碼",IF(AND(R1874&lt;&gt;"修改",S1874&lt;&gt;""),"只有「修改」才需填代碼",""))</f>
        <v/>
      </c>
      <c r="Y1874" s="21"/>
      <c r="Z1874" s="22"/>
      <c r="AA1874" s="12" t="s">
        <v>4812</v>
      </c>
      <c r="AB1874" s="24"/>
    </row>
    <row r="1875" customFormat="false" ht="29.85" hidden="false" customHeight="false" outlineLevel="0" collapsed="false">
      <c r="A1875" s="15" t="n">
        <v>1874</v>
      </c>
      <c r="B1875" s="9" t="s">
        <v>112</v>
      </c>
      <c r="C1875" s="9" t="s">
        <v>585</v>
      </c>
      <c r="D1875" s="10" t="s">
        <v>586</v>
      </c>
      <c r="E1875" s="11" t="s">
        <v>4813</v>
      </c>
      <c r="F1875" s="17"/>
      <c r="G1875" s="12" t="s">
        <v>4343</v>
      </c>
      <c r="H1875" s="13" t="n">
        <v>-0.01</v>
      </c>
      <c r="I1875" s="14"/>
      <c r="J1875" s="17"/>
      <c r="K1875" s="9"/>
      <c r="L1875" s="15" t="s">
        <v>50</v>
      </c>
      <c r="M1875" s="16" t="s">
        <v>51</v>
      </c>
      <c r="N1875" s="14"/>
      <c r="O1875" s="15" t="s">
        <v>52</v>
      </c>
      <c r="P1875" s="17" t="s">
        <v>53</v>
      </c>
      <c r="Q1875" s="15"/>
      <c r="R1875" s="18" t="s">
        <v>51</v>
      </c>
      <c r="S1875" s="19"/>
      <c r="T1875" s="17" t="str">
        <f aca="false">IF(R1875="維持",J1875,IF(R1875="排除","無關新聞事件",IFERROR(INDEX(事件規則!$B$2:$B$53,MATCH(S1875,事件規則!$A$2:$A$53,0)),"")))</f>
        <v>無關新聞事件</v>
      </c>
      <c r="U1875" s="20" t="n">
        <f aca="false">IF(R1875="維持",K1875,IF(R1875="排除",0,IFERROR(INDEX(事件規則!$C$2:$C$53,MATCH(S1875,事件規則!$A$2:$A$53,0)),"")))</f>
        <v>0</v>
      </c>
      <c r="V1875" s="21"/>
      <c r="W1875" s="22"/>
      <c r="X1875" s="10" t="str">
        <f aca="false">IF(AND(R1875="修改",S1875=""),"請選新事件代碼",IF(AND(R1875&lt;&gt;"修改",S1875&lt;&gt;""),"只有「修改」才需填代碼",""))</f>
        <v/>
      </c>
      <c r="Y1875" s="21"/>
      <c r="Z1875" s="22"/>
      <c r="AA1875" s="12" t="s">
        <v>4814</v>
      </c>
      <c r="AB1875" s="24"/>
    </row>
    <row r="1876" customFormat="false" ht="29.85" hidden="false" customHeight="false" outlineLevel="0" collapsed="false">
      <c r="A1876" s="15" t="n">
        <v>1875</v>
      </c>
      <c r="B1876" s="9" t="s">
        <v>112</v>
      </c>
      <c r="C1876" s="9" t="s">
        <v>85</v>
      </c>
      <c r="D1876" s="10" t="s">
        <v>86</v>
      </c>
      <c r="E1876" s="11" t="s">
        <v>4815</v>
      </c>
      <c r="F1876" s="17"/>
      <c r="G1876" s="12" t="s">
        <v>1136</v>
      </c>
      <c r="H1876" s="13" t="n">
        <v>-0.01</v>
      </c>
      <c r="I1876" s="14"/>
      <c r="J1876" s="17"/>
      <c r="K1876" s="9"/>
      <c r="L1876" s="15" t="s">
        <v>50</v>
      </c>
      <c r="M1876" s="16" t="s">
        <v>51</v>
      </c>
      <c r="N1876" s="14"/>
      <c r="O1876" s="15" t="s">
        <v>52</v>
      </c>
      <c r="P1876" s="17" t="s">
        <v>53</v>
      </c>
      <c r="Q1876" s="15"/>
      <c r="R1876" s="18" t="s">
        <v>51</v>
      </c>
      <c r="S1876" s="19"/>
      <c r="T1876" s="17" t="str">
        <f aca="false">IF(R1876="維持",J1876,IF(R1876="排除","無關新聞事件",IFERROR(INDEX(事件規則!$B$2:$B$53,MATCH(S1876,事件規則!$A$2:$A$53,0)),"")))</f>
        <v>無關新聞事件</v>
      </c>
      <c r="U1876" s="20" t="n">
        <f aca="false">IF(R1876="維持",K1876,IF(R1876="排除",0,IFERROR(INDEX(事件規則!$C$2:$C$53,MATCH(S1876,事件規則!$A$2:$A$53,0)),"")))</f>
        <v>0</v>
      </c>
      <c r="V1876" s="21"/>
      <c r="W1876" s="22"/>
      <c r="X1876" s="10" t="str">
        <f aca="false">IF(AND(R1876="修改",S1876=""),"請選新事件代碼",IF(AND(R1876&lt;&gt;"修改",S1876&lt;&gt;""),"只有「修改」才需填代碼",""))</f>
        <v/>
      </c>
      <c r="Y1876" s="21"/>
      <c r="Z1876" s="22"/>
      <c r="AA1876" s="12" t="s">
        <v>4816</v>
      </c>
      <c r="AB1876" s="24"/>
    </row>
    <row r="1877" customFormat="false" ht="29.85" hidden="false" customHeight="false" outlineLevel="0" collapsed="false">
      <c r="A1877" s="15" t="n">
        <v>1876</v>
      </c>
      <c r="B1877" s="9" t="s">
        <v>112</v>
      </c>
      <c r="C1877" s="9" t="s">
        <v>1602</v>
      </c>
      <c r="D1877" s="10" t="s">
        <v>1603</v>
      </c>
      <c r="E1877" s="11" t="s">
        <v>4817</v>
      </c>
      <c r="F1877" s="17"/>
      <c r="G1877" s="12" t="s">
        <v>4702</v>
      </c>
      <c r="H1877" s="13" t="n">
        <v>-0.01</v>
      </c>
      <c r="I1877" s="14"/>
      <c r="J1877" s="17"/>
      <c r="K1877" s="9"/>
      <c r="L1877" s="15" t="s">
        <v>50</v>
      </c>
      <c r="M1877" s="16" t="s">
        <v>51</v>
      </c>
      <c r="N1877" s="14"/>
      <c r="O1877" s="15" t="s">
        <v>52</v>
      </c>
      <c r="P1877" s="17" t="s">
        <v>53</v>
      </c>
      <c r="Q1877" s="15"/>
      <c r="R1877" s="18" t="s">
        <v>51</v>
      </c>
      <c r="S1877" s="19"/>
      <c r="T1877" s="17" t="str">
        <f aca="false">IF(R1877="維持",J1877,IF(R1877="排除","無關新聞事件",IFERROR(INDEX(事件規則!$B$2:$B$53,MATCH(S1877,事件規則!$A$2:$A$53,0)),"")))</f>
        <v>無關新聞事件</v>
      </c>
      <c r="U1877" s="20" t="n">
        <f aca="false">IF(R1877="維持",K1877,IF(R1877="排除",0,IFERROR(INDEX(事件規則!$C$2:$C$53,MATCH(S1877,事件規則!$A$2:$A$53,0)),"")))</f>
        <v>0</v>
      </c>
      <c r="V1877" s="21"/>
      <c r="W1877" s="22"/>
      <c r="X1877" s="10" t="str">
        <f aca="false">IF(AND(R1877="修改",S1877=""),"請選新事件代碼",IF(AND(R1877&lt;&gt;"修改",S1877&lt;&gt;""),"只有「修改」才需填代碼",""))</f>
        <v/>
      </c>
      <c r="Y1877" s="21"/>
      <c r="Z1877" s="22"/>
      <c r="AA1877" s="12" t="s">
        <v>4818</v>
      </c>
      <c r="AB1877" s="24"/>
    </row>
    <row r="1878" customFormat="false" ht="29.85" hidden="false" customHeight="false" outlineLevel="0" collapsed="false">
      <c r="A1878" s="15" t="n">
        <v>1877</v>
      </c>
      <c r="B1878" s="9" t="s">
        <v>45</v>
      </c>
      <c r="C1878" s="9" t="s">
        <v>289</v>
      </c>
      <c r="D1878" s="10" t="s">
        <v>290</v>
      </c>
      <c r="E1878" s="11" t="s">
        <v>4819</v>
      </c>
      <c r="F1878" s="17"/>
      <c r="G1878" s="12" t="s">
        <v>176</v>
      </c>
      <c r="H1878" s="13" t="n">
        <v>-0.01</v>
      </c>
      <c r="I1878" s="14"/>
      <c r="J1878" s="17"/>
      <c r="K1878" s="9"/>
      <c r="L1878" s="15" t="s">
        <v>50</v>
      </c>
      <c r="M1878" s="16" t="s">
        <v>51</v>
      </c>
      <c r="N1878" s="14"/>
      <c r="O1878" s="15" t="s">
        <v>52</v>
      </c>
      <c r="P1878" s="17" t="s">
        <v>53</v>
      </c>
      <c r="Q1878" s="15"/>
      <c r="R1878" s="18" t="s">
        <v>51</v>
      </c>
      <c r="S1878" s="19"/>
      <c r="T1878" s="17" t="str">
        <f aca="false">IF(R1878="維持",J1878,IF(R1878="排除","無關新聞事件",IFERROR(INDEX(事件規則!$B$2:$B$53,MATCH(S1878,事件規則!$A$2:$A$53,0)),"")))</f>
        <v>無關新聞事件</v>
      </c>
      <c r="U1878" s="20" t="n">
        <f aca="false">IF(R1878="維持",K1878,IF(R1878="排除",0,IFERROR(INDEX(事件規則!$C$2:$C$53,MATCH(S1878,事件規則!$A$2:$A$53,0)),"")))</f>
        <v>0</v>
      </c>
      <c r="V1878" s="21"/>
      <c r="W1878" s="22"/>
      <c r="X1878" s="10" t="str">
        <f aca="false">IF(AND(R1878="修改",S1878=""),"請選新事件代碼",IF(AND(R1878&lt;&gt;"修改",S1878&lt;&gt;""),"只有「修改」才需填代碼",""))</f>
        <v/>
      </c>
      <c r="Y1878" s="21"/>
      <c r="Z1878" s="22"/>
      <c r="AA1878" s="12" t="s">
        <v>4820</v>
      </c>
      <c r="AB1878" s="24"/>
    </row>
    <row r="1879" customFormat="false" ht="29.85" hidden="false" customHeight="false" outlineLevel="0" collapsed="false">
      <c r="A1879" s="15" t="n">
        <v>1878</v>
      </c>
      <c r="B1879" s="9" t="s">
        <v>45</v>
      </c>
      <c r="C1879" s="9" t="s">
        <v>953</v>
      </c>
      <c r="D1879" s="10" t="s">
        <v>954</v>
      </c>
      <c r="E1879" s="11" t="s">
        <v>4821</v>
      </c>
      <c r="F1879" s="17"/>
      <c r="G1879" s="12" t="s">
        <v>3221</v>
      </c>
      <c r="H1879" s="13" t="n">
        <v>-0.01</v>
      </c>
      <c r="I1879" s="14"/>
      <c r="J1879" s="17"/>
      <c r="K1879" s="9"/>
      <c r="L1879" s="15" t="s">
        <v>50</v>
      </c>
      <c r="M1879" s="16" t="s">
        <v>51</v>
      </c>
      <c r="N1879" s="14"/>
      <c r="O1879" s="15" t="s">
        <v>52</v>
      </c>
      <c r="P1879" s="17" t="s">
        <v>53</v>
      </c>
      <c r="Q1879" s="15"/>
      <c r="R1879" s="18" t="s">
        <v>51</v>
      </c>
      <c r="S1879" s="19"/>
      <c r="T1879" s="17" t="str">
        <f aca="false">IF(R1879="維持",J1879,IF(R1879="排除","無關新聞事件",IFERROR(INDEX(事件規則!$B$2:$B$53,MATCH(S1879,事件規則!$A$2:$A$53,0)),"")))</f>
        <v>無關新聞事件</v>
      </c>
      <c r="U1879" s="20" t="n">
        <f aca="false">IF(R1879="維持",K1879,IF(R1879="排除",0,IFERROR(INDEX(事件規則!$C$2:$C$53,MATCH(S1879,事件規則!$A$2:$A$53,0)),"")))</f>
        <v>0</v>
      </c>
      <c r="V1879" s="21"/>
      <c r="W1879" s="22"/>
      <c r="X1879" s="10" t="str">
        <f aca="false">IF(AND(R1879="修改",S1879=""),"請選新事件代碼",IF(AND(R1879&lt;&gt;"修改",S1879&lt;&gt;""),"只有「修改」才需填代碼",""))</f>
        <v/>
      </c>
      <c r="Y1879" s="21"/>
      <c r="Z1879" s="22"/>
      <c r="AA1879" s="12" t="s">
        <v>4822</v>
      </c>
      <c r="AB1879" s="24"/>
    </row>
    <row r="1880" customFormat="false" ht="29.85" hidden="false" customHeight="false" outlineLevel="0" collapsed="false">
      <c r="A1880" s="15" t="n">
        <v>1879</v>
      </c>
      <c r="B1880" s="9" t="s">
        <v>81</v>
      </c>
      <c r="C1880" s="9" t="s">
        <v>917</v>
      </c>
      <c r="D1880" s="10" t="s">
        <v>918</v>
      </c>
      <c r="E1880" s="11" t="s">
        <v>4823</v>
      </c>
      <c r="F1880" s="17"/>
      <c r="G1880" s="12" t="s">
        <v>142</v>
      </c>
      <c r="H1880" s="13" t="n">
        <v>-0.01</v>
      </c>
      <c r="I1880" s="14"/>
      <c r="J1880" s="17"/>
      <c r="K1880" s="9"/>
      <c r="L1880" s="15" t="s">
        <v>50</v>
      </c>
      <c r="M1880" s="16" t="s">
        <v>51</v>
      </c>
      <c r="N1880" s="14"/>
      <c r="O1880" s="15" t="s">
        <v>52</v>
      </c>
      <c r="P1880" s="17" t="s">
        <v>53</v>
      </c>
      <c r="Q1880" s="15"/>
      <c r="R1880" s="18" t="s">
        <v>51</v>
      </c>
      <c r="S1880" s="19"/>
      <c r="T1880" s="17" t="str">
        <f aca="false">IF(R1880="維持",J1880,IF(R1880="排除","無關新聞事件",IFERROR(INDEX(事件規則!$B$2:$B$53,MATCH(S1880,事件規則!$A$2:$A$53,0)),"")))</f>
        <v>無關新聞事件</v>
      </c>
      <c r="U1880" s="20" t="n">
        <f aca="false">IF(R1880="維持",K1880,IF(R1880="排除",0,IFERROR(INDEX(事件規則!$C$2:$C$53,MATCH(S1880,事件規則!$A$2:$A$53,0)),"")))</f>
        <v>0</v>
      </c>
      <c r="V1880" s="21"/>
      <c r="W1880" s="22"/>
      <c r="X1880" s="10" t="str">
        <f aca="false">IF(AND(R1880="修改",S1880=""),"請選新事件代碼",IF(AND(R1880&lt;&gt;"修改",S1880&lt;&gt;""),"只有「修改」才需填代碼",""))</f>
        <v/>
      </c>
      <c r="Y1880" s="21"/>
      <c r="Z1880" s="22"/>
      <c r="AA1880" s="12" t="s">
        <v>4824</v>
      </c>
      <c r="AB1880" s="24"/>
    </row>
    <row r="1881" customFormat="false" ht="29.85" hidden="false" customHeight="false" outlineLevel="0" collapsed="false">
      <c r="A1881" s="15" t="n">
        <v>1880</v>
      </c>
      <c r="B1881" s="9" t="s">
        <v>45</v>
      </c>
      <c r="C1881" s="9" t="s">
        <v>3426</v>
      </c>
      <c r="D1881" s="10" t="s">
        <v>3427</v>
      </c>
      <c r="E1881" s="11" t="s">
        <v>4825</v>
      </c>
      <c r="F1881" s="17"/>
      <c r="G1881" s="12" t="s">
        <v>3221</v>
      </c>
      <c r="H1881" s="13" t="n">
        <v>-0.01</v>
      </c>
      <c r="I1881" s="14"/>
      <c r="J1881" s="17"/>
      <c r="K1881" s="9"/>
      <c r="L1881" s="15" t="s">
        <v>50</v>
      </c>
      <c r="M1881" s="16" t="s">
        <v>51</v>
      </c>
      <c r="N1881" s="14"/>
      <c r="O1881" s="15" t="s">
        <v>52</v>
      </c>
      <c r="P1881" s="17" t="s">
        <v>53</v>
      </c>
      <c r="Q1881" s="15"/>
      <c r="R1881" s="18" t="s">
        <v>51</v>
      </c>
      <c r="S1881" s="19"/>
      <c r="T1881" s="17" t="str">
        <f aca="false">IF(R1881="維持",J1881,IF(R1881="排除","無關新聞事件",IFERROR(INDEX(事件規則!$B$2:$B$53,MATCH(S1881,事件規則!$A$2:$A$53,0)),"")))</f>
        <v>無關新聞事件</v>
      </c>
      <c r="U1881" s="20" t="n">
        <f aca="false">IF(R1881="維持",K1881,IF(R1881="排除",0,IFERROR(INDEX(事件規則!$C$2:$C$53,MATCH(S1881,事件規則!$A$2:$A$53,0)),"")))</f>
        <v>0</v>
      </c>
      <c r="V1881" s="21"/>
      <c r="W1881" s="22"/>
      <c r="X1881" s="10" t="str">
        <f aca="false">IF(AND(R1881="修改",S1881=""),"請選新事件代碼",IF(AND(R1881&lt;&gt;"修改",S1881&lt;&gt;""),"只有「修改」才需填代碼",""))</f>
        <v/>
      </c>
      <c r="Y1881" s="21"/>
      <c r="Z1881" s="22"/>
      <c r="AA1881" s="12" t="s">
        <v>4826</v>
      </c>
      <c r="AB1881" s="24"/>
    </row>
    <row r="1882" customFormat="false" ht="29.85" hidden="false" customHeight="false" outlineLevel="0" collapsed="false">
      <c r="A1882" s="15" t="n">
        <v>1881</v>
      </c>
      <c r="B1882" s="9" t="s">
        <v>45</v>
      </c>
      <c r="C1882" s="9" t="s">
        <v>1242</v>
      </c>
      <c r="D1882" s="10" t="s">
        <v>1243</v>
      </c>
      <c r="E1882" s="11" t="s">
        <v>4827</v>
      </c>
      <c r="F1882" s="17"/>
      <c r="G1882" s="12" t="s">
        <v>572</v>
      </c>
      <c r="H1882" s="13" t="n">
        <v>-0.01</v>
      </c>
      <c r="I1882" s="14"/>
      <c r="J1882" s="17"/>
      <c r="K1882" s="9"/>
      <c r="L1882" s="15" t="s">
        <v>50</v>
      </c>
      <c r="M1882" s="16" t="s">
        <v>51</v>
      </c>
      <c r="N1882" s="14"/>
      <c r="O1882" s="15" t="s">
        <v>52</v>
      </c>
      <c r="P1882" s="17" t="s">
        <v>53</v>
      </c>
      <c r="Q1882" s="15"/>
      <c r="R1882" s="18" t="s">
        <v>51</v>
      </c>
      <c r="S1882" s="19"/>
      <c r="T1882" s="17" t="str">
        <f aca="false">IF(R1882="維持",J1882,IF(R1882="排除","無關新聞事件",IFERROR(INDEX(事件規則!$B$2:$B$53,MATCH(S1882,事件規則!$A$2:$A$53,0)),"")))</f>
        <v>無關新聞事件</v>
      </c>
      <c r="U1882" s="20" t="n">
        <f aca="false">IF(R1882="維持",K1882,IF(R1882="排除",0,IFERROR(INDEX(事件規則!$C$2:$C$53,MATCH(S1882,事件規則!$A$2:$A$53,0)),"")))</f>
        <v>0</v>
      </c>
      <c r="V1882" s="21"/>
      <c r="W1882" s="22"/>
      <c r="X1882" s="10" t="str">
        <f aca="false">IF(AND(R1882="修改",S1882=""),"請選新事件代碼",IF(AND(R1882&lt;&gt;"修改",S1882&lt;&gt;""),"只有「修改」才需填代碼",""))</f>
        <v/>
      </c>
      <c r="Y1882" s="21"/>
      <c r="Z1882" s="22"/>
      <c r="AA1882" s="12" t="s">
        <v>4828</v>
      </c>
      <c r="AB1882" s="24"/>
    </row>
    <row r="1883" customFormat="false" ht="29.85" hidden="false" customHeight="false" outlineLevel="0" collapsed="false">
      <c r="A1883" s="15" t="n">
        <v>1882</v>
      </c>
      <c r="B1883" s="9" t="s">
        <v>45</v>
      </c>
      <c r="C1883" s="9" t="s">
        <v>825</v>
      </c>
      <c r="D1883" s="10" t="s">
        <v>826</v>
      </c>
      <c r="E1883" s="11" t="s">
        <v>4829</v>
      </c>
      <c r="F1883" s="17"/>
      <c r="G1883" s="12" t="s">
        <v>3221</v>
      </c>
      <c r="H1883" s="13" t="n">
        <v>-0.01</v>
      </c>
      <c r="I1883" s="14"/>
      <c r="J1883" s="17"/>
      <c r="K1883" s="9"/>
      <c r="L1883" s="15" t="s">
        <v>50</v>
      </c>
      <c r="M1883" s="16" t="s">
        <v>51</v>
      </c>
      <c r="N1883" s="14"/>
      <c r="O1883" s="15" t="s">
        <v>52</v>
      </c>
      <c r="P1883" s="17" t="s">
        <v>53</v>
      </c>
      <c r="Q1883" s="15"/>
      <c r="R1883" s="18" t="s">
        <v>51</v>
      </c>
      <c r="S1883" s="19"/>
      <c r="T1883" s="17" t="str">
        <f aca="false">IF(R1883="維持",J1883,IF(R1883="排除","無關新聞事件",IFERROR(INDEX(事件規則!$B$2:$B$53,MATCH(S1883,事件規則!$A$2:$A$53,0)),"")))</f>
        <v>無關新聞事件</v>
      </c>
      <c r="U1883" s="20" t="n">
        <f aca="false">IF(R1883="維持",K1883,IF(R1883="排除",0,IFERROR(INDEX(事件規則!$C$2:$C$53,MATCH(S1883,事件規則!$A$2:$A$53,0)),"")))</f>
        <v>0</v>
      </c>
      <c r="V1883" s="21"/>
      <c r="W1883" s="22"/>
      <c r="X1883" s="10" t="str">
        <f aca="false">IF(AND(R1883="修改",S1883=""),"請選新事件代碼",IF(AND(R1883&lt;&gt;"修改",S1883&lt;&gt;""),"只有「修改」才需填代碼",""))</f>
        <v/>
      </c>
      <c r="Y1883" s="21"/>
      <c r="Z1883" s="22"/>
      <c r="AA1883" s="12" t="s">
        <v>4830</v>
      </c>
      <c r="AB1883" s="24"/>
    </row>
    <row r="1884" customFormat="false" ht="29.85" hidden="false" customHeight="false" outlineLevel="0" collapsed="false">
      <c r="A1884" s="15" t="n">
        <v>1883</v>
      </c>
      <c r="B1884" s="9" t="s">
        <v>45</v>
      </c>
      <c r="C1884" s="9" t="s">
        <v>289</v>
      </c>
      <c r="D1884" s="10" t="s">
        <v>290</v>
      </c>
      <c r="E1884" s="11" t="s">
        <v>4831</v>
      </c>
      <c r="F1884" s="17"/>
      <c r="G1884" s="12" t="s">
        <v>176</v>
      </c>
      <c r="H1884" s="13" t="n">
        <v>-0.01</v>
      </c>
      <c r="I1884" s="14"/>
      <c r="J1884" s="17"/>
      <c r="K1884" s="9"/>
      <c r="L1884" s="15" t="s">
        <v>50</v>
      </c>
      <c r="M1884" s="16" t="s">
        <v>51</v>
      </c>
      <c r="N1884" s="14"/>
      <c r="O1884" s="15" t="s">
        <v>52</v>
      </c>
      <c r="P1884" s="17" t="s">
        <v>53</v>
      </c>
      <c r="Q1884" s="15"/>
      <c r="R1884" s="18" t="s">
        <v>51</v>
      </c>
      <c r="S1884" s="19"/>
      <c r="T1884" s="17" t="str">
        <f aca="false">IF(R1884="維持",J1884,IF(R1884="排除","無關新聞事件",IFERROR(INDEX(事件規則!$B$2:$B$53,MATCH(S1884,事件規則!$A$2:$A$53,0)),"")))</f>
        <v>無關新聞事件</v>
      </c>
      <c r="U1884" s="20" t="n">
        <f aca="false">IF(R1884="維持",K1884,IF(R1884="排除",0,IFERROR(INDEX(事件規則!$C$2:$C$53,MATCH(S1884,事件規則!$A$2:$A$53,0)),"")))</f>
        <v>0</v>
      </c>
      <c r="V1884" s="21"/>
      <c r="W1884" s="22"/>
      <c r="X1884" s="10" t="str">
        <f aca="false">IF(AND(R1884="修改",S1884=""),"請選新事件代碼",IF(AND(R1884&lt;&gt;"修改",S1884&lt;&gt;""),"只有「修改」才需填代碼",""))</f>
        <v/>
      </c>
      <c r="Y1884" s="21"/>
      <c r="Z1884" s="22"/>
      <c r="AA1884" s="12" t="s">
        <v>4832</v>
      </c>
      <c r="AB1884" s="24"/>
    </row>
    <row r="1885" customFormat="false" ht="29.85" hidden="false" customHeight="false" outlineLevel="0" collapsed="false">
      <c r="A1885" s="15" t="n">
        <v>1884</v>
      </c>
      <c r="B1885" s="9" t="s">
        <v>45</v>
      </c>
      <c r="C1885" s="9" t="s">
        <v>289</v>
      </c>
      <c r="D1885" s="10" t="s">
        <v>290</v>
      </c>
      <c r="E1885" s="11" t="s">
        <v>4833</v>
      </c>
      <c r="F1885" s="17"/>
      <c r="G1885" s="12" t="s">
        <v>176</v>
      </c>
      <c r="H1885" s="13" t="n">
        <v>-0.01</v>
      </c>
      <c r="I1885" s="14"/>
      <c r="J1885" s="17"/>
      <c r="K1885" s="9"/>
      <c r="L1885" s="15" t="s">
        <v>50</v>
      </c>
      <c r="M1885" s="16" t="s">
        <v>51</v>
      </c>
      <c r="N1885" s="14"/>
      <c r="O1885" s="15" t="s">
        <v>52</v>
      </c>
      <c r="P1885" s="17" t="s">
        <v>53</v>
      </c>
      <c r="Q1885" s="15"/>
      <c r="R1885" s="18" t="s">
        <v>51</v>
      </c>
      <c r="S1885" s="19"/>
      <c r="T1885" s="17" t="str">
        <f aca="false">IF(R1885="維持",J1885,IF(R1885="排除","無關新聞事件",IFERROR(INDEX(事件規則!$B$2:$B$53,MATCH(S1885,事件規則!$A$2:$A$53,0)),"")))</f>
        <v>無關新聞事件</v>
      </c>
      <c r="U1885" s="20" t="n">
        <f aca="false">IF(R1885="維持",K1885,IF(R1885="排除",0,IFERROR(INDEX(事件規則!$C$2:$C$53,MATCH(S1885,事件規則!$A$2:$A$53,0)),"")))</f>
        <v>0</v>
      </c>
      <c r="V1885" s="21"/>
      <c r="W1885" s="22"/>
      <c r="X1885" s="10" t="str">
        <f aca="false">IF(AND(R1885="修改",S1885=""),"請選新事件代碼",IF(AND(R1885&lt;&gt;"修改",S1885&lt;&gt;""),"只有「修改」才需填代碼",""))</f>
        <v/>
      </c>
      <c r="Y1885" s="21"/>
      <c r="Z1885" s="22"/>
      <c r="AA1885" s="12" t="s">
        <v>4834</v>
      </c>
      <c r="AB1885" s="24"/>
    </row>
    <row r="1886" customFormat="false" ht="29.85" hidden="false" customHeight="false" outlineLevel="0" collapsed="false">
      <c r="A1886" s="15" t="n">
        <v>1885</v>
      </c>
      <c r="B1886" s="9" t="s">
        <v>45</v>
      </c>
      <c r="C1886" s="9" t="s">
        <v>3753</v>
      </c>
      <c r="D1886" s="10" t="s">
        <v>3754</v>
      </c>
      <c r="E1886" s="11" t="s">
        <v>4835</v>
      </c>
      <c r="F1886" s="17"/>
      <c r="G1886" s="12" t="s">
        <v>949</v>
      </c>
      <c r="H1886" s="13" t="n">
        <v>-0.01</v>
      </c>
      <c r="I1886" s="14"/>
      <c r="J1886" s="17"/>
      <c r="K1886" s="9"/>
      <c r="L1886" s="15" t="s">
        <v>50</v>
      </c>
      <c r="M1886" s="16" t="s">
        <v>51</v>
      </c>
      <c r="N1886" s="14"/>
      <c r="O1886" s="15" t="s">
        <v>52</v>
      </c>
      <c r="P1886" s="17" t="s">
        <v>53</v>
      </c>
      <c r="Q1886" s="15"/>
      <c r="R1886" s="18" t="s">
        <v>51</v>
      </c>
      <c r="S1886" s="19"/>
      <c r="T1886" s="17" t="str">
        <f aca="false">IF(R1886="維持",J1886,IF(R1886="排除","無關新聞事件",IFERROR(INDEX(事件規則!$B$2:$B$53,MATCH(S1886,事件規則!$A$2:$A$53,0)),"")))</f>
        <v>無關新聞事件</v>
      </c>
      <c r="U1886" s="20" t="n">
        <f aca="false">IF(R1886="維持",K1886,IF(R1886="排除",0,IFERROR(INDEX(事件規則!$C$2:$C$53,MATCH(S1886,事件規則!$A$2:$A$53,0)),"")))</f>
        <v>0</v>
      </c>
      <c r="V1886" s="21"/>
      <c r="W1886" s="22"/>
      <c r="X1886" s="10" t="str">
        <f aca="false">IF(AND(R1886="修改",S1886=""),"請選新事件代碼",IF(AND(R1886&lt;&gt;"修改",S1886&lt;&gt;""),"只有「修改」才需填代碼",""))</f>
        <v/>
      </c>
      <c r="Y1886" s="21"/>
      <c r="Z1886" s="22"/>
      <c r="AA1886" s="12" t="s">
        <v>4836</v>
      </c>
      <c r="AB1886" s="24"/>
    </row>
    <row r="1887" customFormat="false" ht="29.85" hidden="false" customHeight="false" outlineLevel="0" collapsed="false">
      <c r="A1887" s="15" t="n">
        <v>1886</v>
      </c>
      <c r="B1887" s="9" t="s">
        <v>45</v>
      </c>
      <c r="C1887" s="9" t="s">
        <v>1334</v>
      </c>
      <c r="D1887" s="10" t="s">
        <v>1335</v>
      </c>
      <c r="E1887" s="11" t="s">
        <v>4837</v>
      </c>
      <c r="F1887" s="17"/>
      <c r="G1887" s="12" t="s">
        <v>4702</v>
      </c>
      <c r="H1887" s="13" t="n">
        <v>-0.01</v>
      </c>
      <c r="I1887" s="14"/>
      <c r="J1887" s="17"/>
      <c r="K1887" s="9"/>
      <c r="L1887" s="15" t="s">
        <v>50</v>
      </c>
      <c r="M1887" s="16" t="s">
        <v>51</v>
      </c>
      <c r="N1887" s="14"/>
      <c r="O1887" s="15" t="s">
        <v>52</v>
      </c>
      <c r="P1887" s="17" t="s">
        <v>53</v>
      </c>
      <c r="Q1887" s="15"/>
      <c r="R1887" s="18" t="s">
        <v>51</v>
      </c>
      <c r="S1887" s="19"/>
      <c r="T1887" s="17" t="str">
        <f aca="false">IF(R1887="維持",J1887,IF(R1887="排除","無關新聞事件",IFERROR(INDEX(事件規則!$B$2:$B$53,MATCH(S1887,事件規則!$A$2:$A$53,0)),"")))</f>
        <v>無關新聞事件</v>
      </c>
      <c r="U1887" s="20" t="n">
        <f aca="false">IF(R1887="維持",K1887,IF(R1887="排除",0,IFERROR(INDEX(事件規則!$C$2:$C$53,MATCH(S1887,事件規則!$A$2:$A$53,0)),"")))</f>
        <v>0</v>
      </c>
      <c r="V1887" s="21"/>
      <c r="W1887" s="22"/>
      <c r="X1887" s="10" t="str">
        <f aca="false">IF(AND(R1887="修改",S1887=""),"請選新事件代碼",IF(AND(R1887&lt;&gt;"修改",S1887&lt;&gt;""),"只有「修改」才需填代碼",""))</f>
        <v/>
      </c>
      <c r="Y1887" s="21"/>
      <c r="Z1887" s="22"/>
      <c r="AA1887" s="12" t="s">
        <v>4838</v>
      </c>
      <c r="AB1887" s="24"/>
    </row>
    <row r="1888" customFormat="false" ht="29.85" hidden="false" customHeight="false" outlineLevel="0" collapsed="false">
      <c r="A1888" s="15" t="n">
        <v>1887</v>
      </c>
      <c r="B1888" s="9" t="s">
        <v>45</v>
      </c>
      <c r="C1888" s="9" t="s">
        <v>1036</v>
      </c>
      <c r="D1888" s="10" t="s">
        <v>1037</v>
      </c>
      <c r="E1888" s="11" t="s">
        <v>4839</v>
      </c>
      <c r="F1888" s="17"/>
      <c r="G1888" s="12" t="s">
        <v>2033</v>
      </c>
      <c r="H1888" s="13" t="n">
        <v>-0.01</v>
      </c>
      <c r="I1888" s="14"/>
      <c r="J1888" s="17"/>
      <c r="K1888" s="9"/>
      <c r="L1888" s="15" t="s">
        <v>50</v>
      </c>
      <c r="M1888" s="16" t="s">
        <v>51</v>
      </c>
      <c r="N1888" s="14"/>
      <c r="O1888" s="15" t="s">
        <v>52</v>
      </c>
      <c r="P1888" s="17" t="s">
        <v>53</v>
      </c>
      <c r="Q1888" s="15"/>
      <c r="R1888" s="18" t="s">
        <v>51</v>
      </c>
      <c r="S1888" s="19"/>
      <c r="T1888" s="17" t="str">
        <f aca="false">IF(R1888="維持",J1888,IF(R1888="排除","無關新聞事件",IFERROR(INDEX(事件規則!$B$2:$B$53,MATCH(S1888,事件規則!$A$2:$A$53,0)),"")))</f>
        <v>無關新聞事件</v>
      </c>
      <c r="U1888" s="20" t="n">
        <f aca="false">IF(R1888="維持",K1888,IF(R1888="排除",0,IFERROR(INDEX(事件規則!$C$2:$C$53,MATCH(S1888,事件規則!$A$2:$A$53,0)),"")))</f>
        <v>0</v>
      </c>
      <c r="V1888" s="21"/>
      <c r="W1888" s="22"/>
      <c r="X1888" s="10" t="str">
        <f aca="false">IF(AND(R1888="修改",S1888=""),"請選新事件代碼",IF(AND(R1888&lt;&gt;"修改",S1888&lt;&gt;""),"只有「修改」才需填代碼",""))</f>
        <v/>
      </c>
      <c r="Y1888" s="21"/>
      <c r="Z1888" s="22"/>
      <c r="AA1888" s="12" t="s">
        <v>4840</v>
      </c>
      <c r="AB1888" s="24"/>
    </row>
    <row r="1889" customFormat="false" ht="29.85" hidden="false" customHeight="false" outlineLevel="0" collapsed="false">
      <c r="A1889" s="15" t="n">
        <v>1888</v>
      </c>
      <c r="B1889" s="9" t="s">
        <v>45</v>
      </c>
      <c r="C1889" s="9" t="s">
        <v>1415</v>
      </c>
      <c r="D1889" s="10" t="s">
        <v>1416</v>
      </c>
      <c r="E1889" s="11" t="s">
        <v>4841</v>
      </c>
      <c r="F1889" s="17"/>
      <c r="G1889" s="12" t="s">
        <v>4657</v>
      </c>
      <c r="H1889" s="13" t="n">
        <v>-0.01</v>
      </c>
      <c r="I1889" s="14"/>
      <c r="J1889" s="17"/>
      <c r="K1889" s="9"/>
      <c r="L1889" s="15" t="s">
        <v>50</v>
      </c>
      <c r="M1889" s="16" t="s">
        <v>51</v>
      </c>
      <c r="N1889" s="14"/>
      <c r="O1889" s="15" t="s">
        <v>52</v>
      </c>
      <c r="P1889" s="17" t="s">
        <v>53</v>
      </c>
      <c r="Q1889" s="15"/>
      <c r="R1889" s="18" t="s">
        <v>51</v>
      </c>
      <c r="S1889" s="19"/>
      <c r="T1889" s="17" t="str">
        <f aca="false">IF(R1889="維持",J1889,IF(R1889="排除","無關新聞事件",IFERROR(INDEX(事件規則!$B$2:$B$53,MATCH(S1889,事件規則!$A$2:$A$53,0)),"")))</f>
        <v>無關新聞事件</v>
      </c>
      <c r="U1889" s="20" t="n">
        <f aca="false">IF(R1889="維持",K1889,IF(R1889="排除",0,IFERROR(INDEX(事件規則!$C$2:$C$53,MATCH(S1889,事件規則!$A$2:$A$53,0)),"")))</f>
        <v>0</v>
      </c>
      <c r="V1889" s="21"/>
      <c r="W1889" s="22"/>
      <c r="X1889" s="10" t="str">
        <f aca="false">IF(AND(R1889="修改",S1889=""),"請選新事件代碼",IF(AND(R1889&lt;&gt;"修改",S1889&lt;&gt;""),"只有「修改」才需填代碼",""))</f>
        <v/>
      </c>
      <c r="Y1889" s="21"/>
      <c r="Z1889" s="22"/>
      <c r="AA1889" s="12" t="s">
        <v>4842</v>
      </c>
      <c r="AB1889" s="24"/>
    </row>
    <row r="1890" customFormat="false" ht="29.85" hidden="false" customHeight="false" outlineLevel="0" collapsed="false">
      <c r="A1890" s="15" t="n">
        <v>1889</v>
      </c>
      <c r="B1890" s="9" t="s">
        <v>55</v>
      </c>
      <c r="C1890" s="9" t="s">
        <v>92</v>
      </c>
      <c r="D1890" s="10" t="s">
        <v>93</v>
      </c>
      <c r="E1890" s="11" t="s">
        <v>4843</v>
      </c>
      <c r="F1890" s="17"/>
      <c r="G1890" s="12" t="s">
        <v>95</v>
      </c>
      <c r="H1890" s="13" t="n">
        <v>-0.01</v>
      </c>
      <c r="I1890" s="14"/>
      <c r="J1890" s="17"/>
      <c r="K1890" s="9"/>
      <c r="L1890" s="15" t="s">
        <v>50</v>
      </c>
      <c r="M1890" s="16" t="s">
        <v>51</v>
      </c>
      <c r="N1890" s="14"/>
      <c r="O1890" s="15" t="s">
        <v>52</v>
      </c>
      <c r="P1890" s="17" t="s">
        <v>53</v>
      </c>
      <c r="Q1890" s="15"/>
      <c r="R1890" s="18" t="s">
        <v>51</v>
      </c>
      <c r="S1890" s="19"/>
      <c r="T1890" s="17" t="str">
        <f aca="false">IF(R1890="維持",J1890,IF(R1890="排除","無關新聞事件",IFERROR(INDEX(事件規則!$B$2:$B$53,MATCH(S1890,事件規則!$A$2:$A$53,0)),"")))</f>
        <v>無關新聞事件</v>
      </c>
      <c r="U1890" s="20" t="n">
        <f aca="false">IF(R1890="維持",K1890,IF(R1890="排除",0,IFERROR(INDEX(事件規則!$C$2:$C$53,MATCH(S1890,事件規則!$A$2:$A$53,0)),"")))</f>
        <v>0</v>
      </c>
      <c r="V1890" s="21"/>
      <c r="W1890" s="22"/>
      <c r="X1890" s="10" t="str">
        <f aca="false">IF(AND(R1890="修改",S1890=""),"請選新事件代碼",IF(AND(R1890&lt;&gt;"修改",S1890&lt;&gt;""),"只有「修改」才需填代碼",""))</f>
        <v/>
      </c>
      <c r="Y1890" s="21"/>
      <c r="Z1890" s="22"/>
      <c r="AA1890" s="12" t="s">
        <v>4844</v>
      </c>
      <c r="AB1890" s="24"/>
    </row>
    <row r="1891" customFormat="false" ht="29.85" hidden="false" customHeight="false" outlineLevel="0" collapsed="false">
      <c r="A1891" s="15" t="n">
        <v>1890</v>
      </c>
      <c r="B1891" s="9" t="s">
        <v>55</v>
      </c>
      <c r="C1891" s="9" t="s">
        <v>953</v>
      </c>
      <c r="D1891" s="10" t="s">
        <v>954</v>
      </c>
      <c r="E1891" s="11" t="s">
        <v>4821</v>
      </c>
      <c r="F1891" s="17"/>
      <c r="G1891" s="12" t="s">
        <v>3221</v>
      </c>
      <c r="H1891" s="13" t="n">
        <v>-0.01</v>
      </c>
      <c r="I1891" s="14"/>
      <c r="J1891" s="17"/>
      <c r="K1891" s="9"/>
      <c r="L1891" s="15" t="s">
        <v>50</v>
      </c>
      <c r="M1891" s="16" t="s">
        <v>51</v>
      </c>
      <c r="N1891" s="14"/>
      <c r="O1891" s="15" t="s">
        <v>52</v>
      </c>
      <c r="P1891" s="17" t="s">
        <v>53</v>
      </c>
      <c r="Q1891" s="15"/>
      <c r="R1891" s="18" t="s">
        <v>51</v>
      </c>
      <c r="S1891" s="19"/>
      <c r="T1891" s="17" t="str">
        <f aca="false">IF(R1891="維持",J1891,IF(R1891="排除","無關新聞事件",IFERROR(INDEX(事件規則!$B$2:$B$53,MATCH(S1891,事件規則!$A$2:$A$53,0)),"")))</f>
        <v>無關新聞事件</v>
      </c>
      <c r="U1891" s="20" t="n">
        <f aca="false">IF(R1891="維持",K1891,IF(R1891="排除",0,IFERROR(INDEX(事件規則!$C$2:$C$53,MATCH(S1891,事件規則!$A$2:$A$53,0)),"")))</f>
        <v>0</v>
      </c>
      <c r="V1891" s="21"/>
      <c r="W1891" s="22"/>
      <c r="X1891" s="10" t="str">
        <f aca="false">IF(AND(R1891="修改",S1891=""),"請選新事件代碼",IF(AND(R1891&lt;&gt;"修改",S1891&lt;&gt;""),"只有「修改」才需填代碼",""))</f>
        <v/>
      </c>
      <c r="Y1891" s="21"/>
      <c r="Z1891" s="22"/>
      <c r="AA1891" s="12" t="s">
        <v>4822</v>
      </c>
      <c r="AB1891" s="24"/>
    </row>
    <row r="1892" customFormat="false" ht="29.85" hidden="false" customHeight="false" outlineLevel="0" collapsed="false">
      <c r="A1892" s="15" t="n">
        <v>1891</v>
      </c>
      <c r="B1892" s="9" t="s">
        <v>55</v>
      </c>
      <c r="C1892" s="9" t="s">
        <v>1899</v>
      </c>
      <c r="D1892" s="10" t="s">
        <v>1900</v>
      </c>
      <c r="E1892" s="11" t="s">
        <v>4845</v>
      </c>
      <c r="F1892" s="17"/>
      <c r="G1892" s="12" t="s">
        <v>105</v>
      </c>
      <c r="H1892" s="13" t="n">
        <v>-0.01</v>
      </c>
      <c r="I1892" s="14"/>
      <c r="J1892" s="17"/>
      <c r="K1892" s="9"/>
      <c r="L1892" s="15" t="s">
        <v>50</v>
      </c>
      <c r="M1892" s="16" t="s">
        <v>51</v>
      </c>
      <c r="N1892" s="14"/>
      <c r="O1892" s="15" t="s">
        <v>52</v>
      </c>
      <c r="P1892" s="17" t="s">
        <v>53</v>
      </c>
      <c r="Q1892" s="15"/>
      <c r="R1892" s="18" t="s">
        <v>51</v>
      </c>
      <c r="S1892" s="19"/>
      <c r="T1892" s="17" t="str">
        <f aca="false">IF(R1892="維持",J1892,IF(R1892="排除","無關新聞事件",IFERROR(INDEX(事件規則!$B$2:$B$53,MATCH(S1892,事件規則!$A$2:$A$53,0)),"")))</f>
        <v>無關新聞事件</v>
      </c>
      <c r="U1892" s="20" t="n">
        <f aca="false">IF(R1892="維持",K1892,IF(R1892="排除",0,IFERROR(INDEX(事件規則!$C$2:$C$53,MATCH(S1892,事件規則!$A$2:$A$53,0)),"")))</f>
        <v>0</v>
      </c>
      <c r="V1892" s="21"/>
      <c r="W1892" s="22"/>
      <c r="X1892" s="10" t="str">
        <f aca="false">IF(AND(R1892="修改",S1892=""),"請選新事件代碼",IF(AND(R1892&lt;&gt;"修改",S1892&lt;&gt;""),"只有「修改」才需填代碼",""))</f>
        <v/>
      </c>
      <c r="Y1892" s="21"/>
      <c r="Z1892" s="22"/>
      <c r="AA1892" s="12" t="s">
        <v>4846</v>
      </c>
      <c r="AB1892" s="24"/>
    </row>
    <row r="1893" customFormat="false" ht="29.85" hidden="false" customHeight="false" outlineLevel="0" collapsed="false">
      <c r="A1893" s="15" t="n">
        <v>1892</v>
      </c>
      <c r="B1893" s="9" t="s">
        <v>55</v>
      </c>
      <c r="C1893" s="9" t="s">
        <v>1571</v>
      </c>
      <c r="D1893" s="10" t="s">
        <v>1572</v>
      </c>
      <c r="E1893" s="11" t="s">
        <v>4847</v>
      </c>
      <c r="F1893" s="17"/>
      <c r="G1893" s="12" t="s">
        <v>3873</v>
      </c>
      <c r="H1893" s="13" t="n">
        <v>-0.01</v>
      </c>
      <c r="I1893" s="14"/>
      <c r="J1893" s="17"/>
      <c r="K1893" s="9"/>
      <c r="L1893" s="15" t="s">
        <v>50</v>
      </c>
      <c r="M1893" s="16" t="s">
        <v>51</v>
      </c>
      <c r="N1893" s="14"/>
      <c r="O1893" s="15" t="s">
        <v>52</v>
      </c>
      <c r="P1893" s="17" t="s">
        <v>53</v>
      </c>
      <c r="Q1893" s="15"/>
      <c r="R1893" s="18" t="s">
        <v>51</v>
      </c>
      <c r="S1893" s="19"/>
      <c r="T1893" s="17" t="str">
        <f aca="false">IF(R1893="維持",J1893,IF(R1893="排除","無關新聞事件",IFERROR(INDEX(事件規則!$B$2:$B$53,MATCH(S1893,事件規則!$A$2:$A$53,0)),"")))</f>
        <v>無關新聞事件</v>
      </c>
      <c r="U1893" s="20" t="n">
        <f aca="false">IF(R1893="維持",K1893,IF(R1893="排除",0,IFERROR(INDEX(事件規則!$C$2:$C$53,MATCH(S1893,事件規則!$A$2:$A$53,0)),"")))</f>
        <v>0</v>
      </c>
      <c r="V1893" s="21"/>
      <c r="W1893" s="22"/>
      <c r="X1893" s="10" t="str">
        <f aca="false">IF(AND(R1893="修改",S1893=""),"請選新事件代碼",IF(AND(R1893&lt;&gt;"修改",S1893&lt;&gt;""),"只有「修改」才需填代碼",""))</f>
        <v/>
      </c>
      <c r="Y1893" s="21"/>
      <c r="Z1893" s="22"/>
      <c r="AA1893" s="12" t="s">
        <v>4848</v>
      </c>
      <c r="AB1893" s="24"/>
    </row>
    <row r="1894" customFormat="false" ht="29.85" hidden="false" customHeight="false" outlineLevel="0" collapsed="false">
      <c r="A1894" s="15" t="n">
        <v>1893</v>
      </c>
      <c r="B1894" s="9" t="s">
        <v>55</v>
      </c>
      <c r="C1894" s="9" t="s">
        <v>825</v>
      </c>
      <c r="D1894" s="10" t="s">
        <v>826</v>
      </c>
      <c r="E1894" s="11" t="s">
        <v>4829</v>
      </c>
      <c r="F1894" s="17"/>
      <c r="G1894" s="12" t="s">
        <v>3221</v>
      </c>
      <c r="H1894" s="13" t="n">
        <v>-0.01</v>
      </c>
      <c r="I1894" s="14"/>
      <c r="J1894" s="17"/>
      <c r="K1894" s="9"/>
      <c r="L1894" s="15" t="s">
        <v>50</v>
      </c>
      <c r="M1894" s="16" t="s">
        <v>51</v>
      </c>
      <c r="N1894" s="14"/>
      <c r="O1894" s="15" t="s">
        <v>52</v>
      </c>
      <c r="P1894" s="17" t="s">
        <v>53</v>
      </c>
      <c r="Q1894" s="15"/>
      <c r="R1894" s="18" t="s">
        <v>51</v>
      </c>
      <c r="S1894" s="19"/>
      <c r="T1894" s="17" t="str">
        <f aca="false">IF(R1894="維持",J1894,IF(R1894="排除","無關新聞事件",IFERROR(INDEX(事件規則!$B$2:$B$53,MATCH(S1894,事件規則!$A$2:$A$53,0)),"")))</f>
        <v>無關新聞事件</v>
      </c>
      <c r="U1894" s="20" t="n">
        <f aca="false">IF(R1894="維持",K1894,IF(R1894="排除",0,IFERROR(INDEX(事件規則!$C$2:$C$53,MATCH(S1894,事件規則!$A$2:$A$53,0)),"")))</f>
        <v>0</v>
      </c>
      <c r="V1894" s="21"/>
      <c r="W1894" s="22"/>
      <c r="X1894" s="10" t="str">
        <f aca="false">IF(AND(R1894="修改",S1894=""),"請選新事件代碼",IF(AND(R1894&lt;&gt;"修改",S1894&lt;&gt;""),"只有「修改」才需填代碼",""))</f>
        <v/>
      </c>
      <c r="Y1894" s="21"/>
      <c r="Z1894" s="22"/>
      <c r="AA1894" s="12" t="s">
        <v>4830</v>
      </c>
      <c r="AB1894" s="24"/>
    </row>
    <row r="1895" customFormat="false" ht="29.85" hidden="false" customHeight="false" outlineLevel="0" collapsed="false">
      <c r="A1895" s="15" t="n">
        <v>1894</v>
      </c>
      <c r="B1895" s="9" t="s">
        <v>55</v>
      </c>
      <c r="C1895" s="9" t="s">
        <v>889</v>
      </c>
      <c r="D1895" s="10" t="s">
        <v>890</v>
      </c>
      <c r="E1895" s="11" t="s">
        <v>4849</v>
      </c>
      <c r="F1895" s="17"/>
      <c r="G1895" s="12" t="s">
        <v>95</v>
      </c>
      <c r="H1895" s="13" t="n">
        <v>-0.01</v>
      </c>
      <c r="I1895" s="14"/>
      <c r="J1895" s="17"/>
      <c r="K1895" s="9"/>
      <c r="L1895" s="15" t="s">
        <v>50</v>
      </c>
      <c r="M1895" s="16" t="s">
        <v>51</v>
      </c>
      <c r="N1895" s="14"/>
      <c r="O1895" s="15" t="s">
        <v>52</v>
      </c>
      <c r="P1895" s="17" t="s">
        <v>53</v>
      </c>
      <c r="Q1895" s="15"/>
      <c r="R1895" s="18" t="s">
        <v>51</v>
      </c>
      <c r="S1895" s="19"/>
      <c r="T1895" s="17" t="str">
        <f aca="false">IF(R1895="維持",J1895,IF(R1895="排除","無關新聞事件",IFERROR(INDEX(事件規則!$B$2:$B$53,MATCH(S1895,事件規則!$A$2:$A$53,0)),"")))</f>
        <v>無關新聞事件</v>
      </c>
      <c r="U1895" s="20" t="n">
        <f aca="false">IF(R1895="維持",K1895,IF(R1895="排除",0,IFERROR(INDEX(事件規則!$C$2:$C$53,MATCH(S1895,事件規則!$A$2:$A$53,0)),"")))</f>
        <v>0</v>
      </c>
      <c r="V1895" s="21"/>
      <c r="W1895" s="22"/>
      <c r="X1895" s="10" t="str">
        <f aca="false">IF(AND(R1895="修改",S1895=""),"請選新事件代碼",IF(AND(R1895&lt;&gt;"修改",S1895&lt;&gt;""),"只有「修改」才需填代碼",""))</f>
        <v/>
      </c>
      <c r="Y1895" s="21"/>
      <c r="Z1895" s="22"/>
      <c r="AA1895" s="12" t="s">
        <v>4850</v>
      </c>
      <c r="AB1895" s="24"/>
    </row>
    <row r="1896" customFormat="false" ht="29.85" hidden="false" customHeight="false" outlineLevel="0" collapsed="false">
      <c r="A1896" s="15" t="n">
        <v>1895</v>
      </c>
      <c r="B1896" s="9" t="s">
        <v>55</v>
      </c>
      <c r="C1896" s="9" t="s">
        <v>268</v>
      </c>
      <c r="D1896" s="10" t="s">
        <v>269</v>
      </c>
      <c r="E1896" s="11" t="s">
        <v>4851</v>
      </c>
      <c r="F1896" s="17"/>
      <c r="G1896" s="12" t="s">
        <v>95</v>
      </c>
      <c r="H1896" s="13" t="n">
        <v>-0.01</v>
      </c>
      <c r="I1896" s="14"/>
      <c r="J1896" s="17"/>
      <c r="K1896" s="9"/>
      <c r="L1896" s="15" t="s">
        <v>50</v>
      </c>
      <c r="M1896" s="16" t="s">
        <v>51</v>
      </c>
      <c r="N1896" s="14"/>
      <c r="O1896" s="15" t="s">
        <v>52</v>
      </c>
      <c r="P1896" s="17" t="s">
        <v>53</v>
      </c>
      <c r="Q1896" s="15"/>
      <c r="R1896" s="18" t="s">
        <v>51</v>
      </c>
      <c r="S1896" s="19"/>
      <c r="T1896" s="17" t="str">
        <f aca="false">IF(R1896="維持",J1896,IF(R1896="排除","無關新聞事件",IFERROR(INDEX(事件規則!$B$2:$B$53,MATCH(S1896,事件規則!$A$2:$A$53,0)),"")))</f>
        <v>無關新聞事件</v>
      </c>
      <c r="U1896" s="20" t="n">
        <f aca="false">IF(R1896="維持",K1896,IF(R1896="排除",0,IFERROR(INDEX(事件規則!$C$2:$C$53,MATCH(S1896,事件規則!$A$2:$A$53,0)),"")))</f>
        <v>0</v>
      </c>
      <c r="V1896" s="21"/>
      <c r="W1896" s="22"/>
      <c r="X1896" s="10" t="str">
        <f aca="false">IF(AND(R1896="修改",S1896=""),"請選新事件代碼",IF(AND(R1896&lt;&gt;"修改",S1896&lt;&gt;""),"只有「修改」才需填代碼",""))</f>
        <v/>
      </c>
      <c r="Y1896" s="21"/>
      <c r="Z1896" s="22"/>
      <c r="AA1896" s="12" t="s">
        <v>4852</v>
      </c>
      <c r="AB1896" s="24"/>
    </row>
    <row r="1897" customFormat="false" ht="29.85" hidden="false" customHeight="false" outlineLevel="0" collapsed="false">
      <c r="A1897" s="15" t="n">
        <v>1896</v>
      </c>
      <c r="B1897" s="9" t="s">
        <v>55</v>
      </c>
      <c r="C1897" s="9" t="s">
        <v>563</v>
      </c>
      <c r="D1897" s="10" t="s">
        <v>564</v>
      </c>
      <c r="E1897" s="11" t="s">
        <v>4853</v>
      </c>
      <c r="F1897" s="17"/>
      <c r="G1897" s="12" t="s">
        <v>95</v>
      </c>
      <c r="H1897" s="13" t="n">
        <v>-0.01</v>
      </c>
      <c r="I1897" s="14"/>
      <c r="J1897" s="17"/>
      <c r="K1897" s="9"/>
      <c r="L1897" s="15" t="s">
        <v>50</v>
      </c>
      <c r="M1897" s="16" t="s">
        <v>51</v>
      </c>
      <c r="N1897" s="14"/>
      <c r="O1897" s="15" t="s">
        <v>52</v>
      </c>
      <c r="P1897" s="17" t="s">
        <v>53</v>
      </c>
      <c r="Q1897" s="15"/>
      <c r="R1897" s="18" t="s">
        <v>51</v>
      </c>
      <c r="S1897" s="19"/>
      <c r="T1897" s="17" t="str">
        <f aca="false">IF(R1897="維持",J1897,IF(R1897="排除","無關新聞事件",IFERROR(INDEX(事件規則!$B$2:$B$53,MATCH(S1897,事件規則!$A$2:$A$53,0)),"")))</f>
        <v>無關新聞事件</v>
      </c>
      <c r="U1897" s="20" t="n">
        <f aca="false">IF(R1897="維持",K1897,IF(R1897="排除",0,IFERROR(INDEX(事件規則!$C$2:$C$53,MATCH(S1897,事件規則!$A$2:$A$53,0)),"")))</f>
        <v>0</v>
      </c>
      <c r="V1897" s="21"/>
      <c r="W1897" s="22"/>
      <c r="X1897" s="10" t="str">
        <f aca="false">IF(AND(R1897="修改",S1897=""),"請選新事件代碼",IF(AND(R1897&lt;&gt;"修改",S1897&lt;&gt;""),"只有「修改」才需填代碼",""))</f>
        <v/>
      </c>
      <c r="Y1897" s="21"/>
      <c r="Z1897" s="22"/>
      <c r="AA1897" s="12" t="s">
        <v>4854</v>
      </c>
      <c r="AB1897" s="24"/>
    </row>
    <row r="1898" customFormat="false" ht="29.85" hidden="false" customHeight="false" outlineLevel="0" collapsed="false">
      <c r="A1898" s="15" t="n">
        <v>1897</v>
      </c>
      <c r="B1898" s="9" t="s">
        <v>55</v>
      </c>
      <c r="C1898" s="9" t="s">
        <v>1653</v>
      </c>
      <c r="D1898" s="10" t="s">
        <v>1654</v>
      </c>
      <c r="E1898" s="11" t="s">
        <v>4855</v>
      </c>
      <c r="F1898" s="17"/>
      <c r="G1898" s="12" t="s">
        <v>95</v>
      </c>
      <c r="H1898" s="13" t="n">
        <v>-0.01</v>
      </c>
      <c r="I1898" s="14"/>
      <c r="J1898" s="17"/>
      <c r="K1898" s="9"/>
      <c r="L1898" s="15" t="s">
        <v>50</v>
      </c>
      <c r="M1898" s="16" t="s">
        <v>51</v>
      </c>
      <c r="N1898" s="14"/>
      <c r="O1898" s="15" t="s">
        <v>52</v>
      </c>
      <c r="P1898" s="17" t="s">
        <v>53</v>
      </c>
      <c r="Q1898" s="15"/>
      <c r="R1898" s="18" t="s">
        <v>51</v>
      </c>
      <c r="S1898" s="19"/>
      <c r="T1898" s="17" t="str">
        <f aca="false">IF(R1898="維持",J1898,IF(R1898="排除","無關新聞事件",IFERROR(INDEX(事件規則!$B$2:$B$53,MATCH(S1898,事件規則!$A$2:$A$53,0)),"")))</f>
        <v>無關新聞事件</v>
      </c>
      <c r="U1898" s="20" t="n">
        <f aca="false">IF(R1898="維持",K1898,IF(R1898="排除",0,IFERROR(INDEX(事件規則!$C$2:$C$53,MATCH(S1898,事件規則!$A$2:$A$53,0)),"")))</f>
        <v>0</v>
      </c>
      <c r="V1898" s="21"/>
      <c r="W1898" s="22"/>
      <c r="X1898" s="10" t="str">
        <f aca="false">IF(AND(R1898="修改",S1898=""),"請選新事件代碼",IF(AND(R1898&lt;&gt;"修改",S1898&lt;&gt;""),"只有「修改」才需填代碼",""))</f>
        <v/>
      </c>
      <c r="Y1898" s="21"/>
      <c r="Z1898" s="22"/>
      <c r="AA1898" s="12" t="s">
        <v>4856</v>
      </c>
      <c r="AB1898" s="24"/>
    </row>
    <row r="1899" customFormat="false" ht="29.85" hidden="false" customHeight="false" outlineLevel="0" collapsed="false">
      <c r="A1899" s="15" t="n">
        <v>1898</v>
      </c>
      <c r="B1899" s="9" t="s">
        <v>55</v>
      </c>
      <c r="C1899" s="9" t="s">
        <v>4857</v>
      </c>
      <c r="D1899" s="10" t="s">
        <v>4858</v>
      </c>
      <c r="E1899" s="11" t="s">
        <v>4859</v>
      </c>
      <c r="F1899" s="17"/>
      <c r="G1899" s="12" t="s">
        <v>1183</v>
      </c>
      <c r="H1899" s="13" t="n">
        <v>-0.01</v>
      </c>
      <c r="I1899" s="14"/>
      <c r="J1899" s="17"/>
      <c r="K1899" s="9"/>
      <c r="L1899" s="15" t="s">
        <v>50</v>
      </c>
      <c r="M1899" s="16" t="s">
        <v>51</v>
      </c>
      <c r="N1899" s="14"/>
      <c r="O1899" s="15" t="s">
        <v>52</v>
      </c>
      <c r="P1899" s="17" t="s">
        <v>53</v>
      </c>
      <c r="Q1899" s="15"/>
      <c r="R1899" s="18" t="s">
        <v>51</v>
      </c>
      <c r="S1899" s="19"/>
      <c r="T1899" s="17" t="str">
        <f aca="false">IF(R1899="維持",J1899,IF(R1899="排除","無關新聞事件",IFERROR(INDEX(事件規則!$B$2:$B$53,MATCH(S1899,事件規則!$A$2:$A$53,0)),"")))</f>
        <v>無關新聞事件</v>
      </c>
      <c r="U1899" s="20" t="n">
        <f aca="false">IF(R1899="維持",K1899,IF(R1899="排除",0,IFERROR(INDEX(事件規則!$C$2:$C$53,MATCH(S1899,事件規則!$A$2:$A$53,0)),"")))</f>
        <v>0</v>
      </c>
      <c r="V1899" s="21"/>
      <c r="W1899" s="22"/>
      <c r="X1899" s="10" t="str">
        <f aca="false">IF(AND(R1899="修改",S1899=""),"請選新事件代碼",IF(AND(R1899&lt;&gt;"修改",S1899&lt;&gt;""),"只有「修改」才需填代碼",""))</f>
        <v/>
      </c>
      <c r="Y1899" s="21"/>
      <c r="Z1899" s="22"/>
      <c r="AA1899" s="12" t="s">
        <v>4860</v>
      </c>
      <c r="AB1899" s="24"/>
    </row>
    <row r="1900" customFormat="false" ht="29.85" hidden="false" customHeight="false" outlineLevel="0" collapsed="false">
      <c r="A1900" s="15" t="n">
        <v>1899</v>
      </c>
      <c r="B1900" s="9" t="s">
        <v>112</v>
      </c>
      <c r="C1900" s="9" t="s">
        <v>3920</v>
      </c>
      <c r="D1900" s="10" t="s">
        <v>3921</v>
      </c>
      <c r="E1900" s="11" t="s">
        <v>4861</v>
      </c>
      <c r="F1900" s="17"/>
      <c r="G1900" s="12" t="s">
        <v>176</v>
      </c>
      <c r="H1900" s="13" t="n">
        <v>-0.01</v>
      </c>
      <c r="I1900" s="14"/>
      <c r="J1900" s="17"/>
      <c r="K1900" s="9"/>
      <c r="L1900" s="15" t="s">
        <v>50</v>
      </c>
      <c r="M1900" s="16" t="s">
        <v>51</v>
      </c>
      <c r="N1900" s="14"/>
      <c r="O1900" s="15" t="s">
        <v>52</v>
      </c>
      <c r="P1900" s="17" t="s">
        <v>53</v>
      </c>
      <c r="Q1900" s="15"/>
      <c r="R1900" s="18" t="s">
        <v>51</v>
      </c>
      <c r="S1900" s="19"/>
      <c r="T1900" s="17" t="str">
        <f aca="false">IF(R1900="維持",J1900,IF(R1900="排除","無關新聞事件",IFERROR(INDEX(事件規則!$B$2:$B$53,MATCH(S1900,事件規則!$A$2:$A$53,0)),"")))</f>
        <v>無關新聞事件</v>
      </c>
      <c r="U1900" s="20" t="n">
        <f aca="false">IF(R1900="維持",K1900,IF(R1900="排除",0,IFERROR(INDEX(事件規則!$C$2:$C$53,MATCH(S1900,事件規則!$A$2:$A$53,0)),"")))</f>
        <v>0</v>
      </c>
      <c r="V1900" s="21"/>
      <c r="W1900" s="22"/>
      <c r="X1900" s="10" t="str">
        <f aca="false">IF(AND(R1900="修改",S1900=""),"請選新事件代碼",IF(AND(R1900&lt;&gt;"修改",S1900&lt;&gt;""),"只有「修改」才需填代碼",""))</f>
        <v/>
      </c>
      <c r="Y1900" s="21"/>
      <c r="Z1900" s="22"/>
      <c r="AA1900" s="12" t="s">
        <v>4862</v>
      </c>
      <c r="AB1900" s="24"/>
    </row>
    <row r="1901" customFormat="false" ht="29.85" hidden="false" customHeight="false" outlineLevel="0" collapsed="false">
      <c r="A1901" s="15" t="n">
        <v>1900</v>
      </c>
      <c r="B1901" s="9" t="s">
        <v>81</v>
      </c>
      <c r="C1901" s="9" t="s">
        <v>1415</v>
      </c>
      <c r="D1901" s="10" t="s">
        <v>1416</v>
      </c>
      <c r="E1901" s="11" t="s">
        <v>4863</v>
      </c>
      <c r="F1901" s="17"/>
      <c r="G1901" s="12" t="s">
        <v>59</v>
      </c>
      <c r="H1901" s="13" t="n">
        <v>-0.01</v>
      </c>
      <c r="I1901" s="14"/>
      <c r="J1901" s="17"/>
      <c r="K1901" s="9"/>
      <c r="L1901" s="15" t="s">
        <v>50</v>
      </c>
      <c r="M1901" s="16" t="s">
        <v>51</v>
      </c>
      <c r="N1901" s="14"/>
      <c r="O1901" s="15" t="s">
        <v>52</v>
      </c>
      <c r="P1901" s="17" t="s">
        <v>53</v>
      </c>
      <c r="Q1901" s="15"/>
      <c r="R1901" s="18" t="s">
        <v>51</v>
      </c>
      <c r="S1901" s="19"/>
      <c r="T1901" s="17" t="str">
        <f aca="false">IF(R1901="維持",J1901,IF(R1901="排除","無關新聞事件",IFERROR(INDEX(事件規則!$B$2:$B$53,MATCH(S1901,事件規則!$A$2:$A$53,0)),"")))</f>
        <v>無關新聞事件</v>
      </c>
      <c r="U1901" s="20" t="n">
        <f aca="false">IF(R1901="維持",K1901,IF(R1901="排除",0,IFERROR(INDEX(事件規則!$C$2:$C$53,MATCH(S1901,事件規則!$A$2:$A$53,0)),"")))</f>
        <v>0</v>
      </c>
      <c r="V1901" s="21"/>
      <c r="W1901" s="22"/>
      <c r="X1901" s="10" t="str">
        <f aca="false">IF(AND(R1901="修改",S1901=""),"請選新事件代碼",IF(AND(R1901&lt;&gt;"修改",S1901&lt;&gt;""),"只有「修改」才需填代碼",""))</f>
        <v/>
      </c>
      <c r="Y1901" s="21"/>
      <c r="Z1901" s="22"/>
      <c r="AA1901" s="12" t="s">
        <v>4864</v>
      </c>
      <c r="AB1901" s="24"/>
    </row>
    <row r="1902" customFormat="false" ht="29.85" hidden="false" customHeight="false" outlineLevel="0" collapsed="false">
      <c r="A1902" s="15" t="n">
        <v>1901</v>
      </c>
      <c r="B1902" s="9" t="s">
        <v>81</v>
      </c>
      <c r="C1902" s="9" t="s">
        <v>118</v>
      </c>
      <c r="D1902" s="10" t="s">
        <v>119</v>
      </c>
      <c r="E1902" s="11" t="s">
        <v>4865</v>
      </c>
      <c r="F1902" s="17"/>
      <c r="G1902" s="12" t="s">
        <v>59</v>
      </c>
      <c r="H1902" s="13" t="n">
        <v>-0.01</v>
      </c>
      <c r="I1902" s="14"/>
      <c r="J1902" s="17"/>
      <c r="K1902" s="9"/>
      <c r="L1902" s="15" t="s">
        <v>50</v>
      </c>
      <c r="M1902" s="16" t="s">
        <v>51</v>
      </c>
      <c r="N1902" s="14"/>
      <c r="O1902" s="15" t="s">
        <v>52</v>
      </c>
      <c r="P1902" s="17" t="s">
        <v>53</v>
      </c>
      <c r="Q1902" s="15"/>
      <c r="R1902" s="18" t="s">
        <v>51</v>
      </c>
      <c r="S1902" s="19"/>
      <c r="T1902" s="17" t="str">
        <f aca="false">IF(R1902="維持",J1902,IF(R1902="排除","無關新聞事件",IFERROR(INDEX(事件規則!$B$2:$B$53,MATCH(S1902,事件規則!$A$2:$A$53,0)),"")))</f>
        <v>無關新聞事件</v>
      </c>
      <c r="U1902" s="20" t="n">
        <f aca="false">IF(R1902="維持",K1902,IF(R1902="排除",0,IFERROR(INDEX(事件規則!$C$2:$C$53,MATCH(S1902,事件規則!$A$2:$A$53,0)),"")))</f>
        <v>0</v>
      </c>
      <c r="V1902" s="21"/>
      <c r="W1902" s="22"/>
      <c r="X1902" s="10" t="str">
        <f aca="false">IF(AND(R1902="修改",S1902=""),"請選新事件代碼",IF(AND(R1902&lt;&gt;"修改",S1902&lt;&gt;""),"只有「修改」才需填代碼",""))</f>
        <v/>
      </c>
      <c r="Y1902" s="21"/>
      <c r="Z1902" s="22"/>
      <c r="AA1902" s="12" t="s">
        <v>4866</v>
      </c>
      <c r="AB1902" s="24"/>
    </row>
    <row r="1903" customFormat="false" ht="29.85" hidden="false" customHeight="false" outlineLevel="0" collapsed="false">
      <c r="A1903" s="15" t="n">
        <v>1902</v>
      </c>
      <c r="B1903" s="9" t="s">
        <v>81</v>
      </c>
      <c r="C1903" s="9" t="s">
        <v>178</v>
      </c>
      <c r="D1903" s="10" t="s">
        <v>179</v>
      </c>
      <c r="E1903" s="11" t="s">
        <v>4867</v>
      </c>
      <c r="F1903" s="17"/>
      <c r="G1903" s="12" t="s">
        <v>1404</v>
      </c>
      <c r="H1903" s="13" t="n">
        <v>-0.01</v>
      </c>
      <c r="I1903" s="14"/>
      <c r="J1903" s="17"/>
      <c r="K1903" s="9"/>
      <c r="L1903" s="15" t="s">
        <v>50</v>
      </c>
      <c r="M1903" s="16" t="s">
        <v>51</v>
      </c>
      <c r="N1903" s="14"/>
      <c r="O1903" s="15" t="s">
        <v>52</v>
      </c>
      <c r="P1903" s="17" t="s">
        <v>53</v>
      </c>
      <c r="Q1903" s="15"/>
      <c r="R1903" s="18" t="s">
        <v>51</v>
      </c>
      <c r="S1903" s="19"/>
      <c r="T1903" s="17" t="str">
        <f aca="false">IF(R1903="維持",J1903,IF(R1903="排除","無關新聞事件",IFERROR(INDEX(事件規則!$B$2:$B$53,MATCH(S1903,事件規則!$A$2:$A$53,0)),"")))</f>
        <v>無關新聞事件</v>
      </c>
      <c r="U1903" s="20" t="n">
        <f aca="false">IF(R1903="維持",K1903,IF(R1903="排除",0,IFERROR(INDEX(事件規則!$C$2:$C$53,MATCH(S1903,事件規則!$A$2:$A$53,0)),"")))</f>
        <v>0</v>
      </c>
      <c r="V1903" s="21"/>
      <c r="W1903" s="22"/>
      <c r="X1903" s="10" t="str">
        <f aca="false">IF(AND(R1903="修改",S1903=""),"請選新事件代碼",IF(AND(R1903&lt;&gt;"修改",S1903&lt;&gt;""),"只有「修改」才需填代碼",""))</f>
        <v/>
      </c>
      <c r="Y1903" s="21"/>
      <c r="Z1903" s="22"/>
      <c r="AA1903" s="12" t="s">
        <v>4868</v>
      </c>
      <c r="AB1903" s="24"/>
    </row>
    <row r="1904" customFormat="false" ht="29.85" hidden="false" customHeight="false" outlineLevel="0" collapsed="false">
      <c r="A1904" s="15" t="n">
        <v>1903</v>
      </c>
      <c r="B1904" s="9" t="s">
        <v>55</v>
      </c>
      <c r="C1904" s="9" t="s">
        <v>2134</v>
      </c>
      <c r="D1904" s="10" t="s">
        <v>2135</v>
      </c>
      <c r="E1904" s="11" t="s">
        <v>4851</v>
      </c>
      <c r="F1904" s="17"/>
      <c r="G1904" s="12" t="s">
        <v>95</v>
      </c>
      <c r="H1904" s="13" t="n">
        <v>-0.01</v>
      </c>
      <c r="I1904" s="14"/>
      <c r="J1904" s="17"/>
      <c r="K1904" s="9"/>
      <c r="L1904" s="15" t="s">
        <v>50</v>
      </c>
      <c r="M1904" s="16" t="s">
        <v>51</v>
      </c>
      <c r="N1904" s="14"/>
      <c r="O1904" s="15" t="s">
        <v>52</v>
      </c>
      <c r="P1904" s="17" t="s">
        <v>53</v>
      </c>
      <c r="Q1904" s="15"/>
      <c r="R1904" s="18" t="s">
        <v>51</v>
      </c>
      <c r="S1904" s="19"/>
      <c r="T1904" s="17" t="str">
        <f aca="false">IF(R1904="維持",J1904,IF(R1904="排除","無關新聞事件",IFERROR(INDEX(事件規則!$B$2:$B$53,MATCH(S1904,事件規則!$A$2:$A$53,0)),"")))</f>
        <v>無關新聞事件</v>
      </c>
      <c r="U1904" s="20" t="n">
        <f aca="false">IF(R1904="維持",K1904,IF(R1904="排除",0,IFERROR(INDEX(事件規則!$C$2:$C$53,MATCH(S1904,事件規則!$A$2:$A$53,0)),"")))</f>
        <v>0</v>
      </c>
      <c r="V1904" s="21"/>
      <c r="W1904" s="22"/>
      <c r="X1904" s="10" t="str">
        <f aca="false">IF(AND(R1904="修改",S1904=""),"請選新事件代碼",IF(AND(R1904&lt;&gt;"修改",S1904&lt;&gt;""),"只有「修改」才需填代碼",""))</f>
        <v/>
      </c>
      <c r="Y1904" s="21"/>
      <c r="Z1904" s="22"/>
      <c r="AA1904" s="12" t="s">
        <v>4869</v>
      </c>
      <c r="AB1904" s="24"/>
    </row>
    <row r="1905" customFormat="false" ht="29.85" hidden="false" customHeight="false" outlineLevel="0" collapsed="false">
      <c r="A1905" s="15" t="n">
        <v>1904</v>
      </c>
      <c r="B1905" s="9" t="s">
        <v>55</v>
      </c>
      <c r="C1905" s="9" t="s">
        <v>957</v>
      </c>
      <c r="D1905" s="10" t="s">
        <v>958</v>
      </c>
      <c r="E1905" s="11" t="s">
        <v>4870</v>
      </c>
      <c r="F1905" s="17"/>
      <c r="G1905" s="12" t="s">
        <v>4871</v>
      </c>
      <c r="H1905" s="13" t="n">
        <v>-0.01</v>
      </c>
      <c r="I1905" s="14"/>
      <c r="J1905" s="17"/>
      <c r="K1905" s="9"/>
      <c r="L1905" s="15" t="s">
        <v>50</v>
      </c>
      <c r="M1905" s="16" t="s">
        <v>51</v>
      </c>
      <c r="N1905" s="14"/>
      <c r="O1905" s="15" t="s">
        <v>52</v>
      </c>
      <c r="P1905" s="17" t="s">
        <v>53</v>
      </c>
      <c r="Q1905" s="15"/>
      <c r="R1905" s="18" t="s">
        <v>51</v>
      </c>
      <c r="S1905" s="19"/>
      <c r="T1905" s="17" t="str">
        <f aca="false">IF(R1905="維持",J1905,IF(R1905="排除","無關新聞事件",IFERROR(INDEX(事件規則!$B$2:$B$53,MATCH(S1905,事件規則!$A$2:$A$53,0)),"")))</f>
        <v>無關新聞事件</v>
      </c>
      <c r="U1905" s="20" t="n">
        <f aca="false">IF(R1905="維持",K1905,IF(R1905="排除",0,IFERROR(INDEX(事件規則!$C$2:$C$53,MATCH(S1905,事件規則!$A$2:$A$53,0)),"")))</f>
        <v>0</v>
      </c>
      <c r="V1905" s="21"/>
      <c r="W1905" s="22"/>
      <c r="X1905" s="10" t="str">
        <f aca="false">IF(AND(R1905="修改",S1905=""),"請選新事件代碼",IF(AND(R1905&lt;&gt;"修改",S1905&lt;&gt;""),"只有「修改」才需填代碼",""))</f>
        <v/>
      </c>
      <c r="Y1905" s="21"/>
      <c r="Z1905" s="22"/>
      <c r="AA1905" s="12" t="s">
        <v>4872</v>
      </c>
      <c r="AB1905" s="24"/>
    </row>
    <row r="1906" customFormat="false" ht="29.85" hidden="false" customHeight="false" outlineLevel="0" collapsed="false">
      <c r="A1906" s="15" t="n">
        <v>1905</v>
      </c>
      <c r="B1906" s="9" t="s">
        <v>55</v>
      </c>
      <c r="C1906" s="9" t="s">
        <v>4111</v>
      </c>
      <c r="D1906" s="10" t="s">
        <v>4112</v>
      </c>
      <c r="E1906" s="11" t="s">
        <v>4873</v>
      </c>
      <c r="F1906" s="17"/>
      <c r="G1906" s="12" t="s">
        <v>95</v>
      </c>
      <c r="H1906" s="13" t="n">
        <v>-0.01</v>
      </c>
      <c r="I1906" s="14"/>
      <c r="J1906" s="17"/>
      <c r="K1906" s="9"/>
      <c r="L1906" s="15" t="s">
        <v>50</v>
      </c>
      <c r="M1906" s="16" t="s">
        <v>51</v>
      </c>
      <c r="N1906" s="14"/>
      <c r="O1906" s="15" t="s">
        <v>52</v>
      </c>
      <c r="P1906" s="17" t="s">
        <v>53</v>
      </c>
      <c r="Q1906" s="15"/>
      <c r="R1906" s="18" t="s">
        <v>51</v>
      </c>
      <c r="S1906" s="19"/>
      <c r="T1906" s="17" t="str">
        <f aca="false">IF(R1906="維持",J1906,IF(R1906="排除","無關新聞事件",IFERROR(INDEX(事件規則!$B$2:$B$53,MATCH(S1906,事件規則!$A$2:$A$53,0)),"")))</f>
        <v>無關新聞事件</v>
      </c>
      <c r="U1906" s="20" t="n">
        <f aca="false">IF(R1906="維持",K1906,IF(R1906="排除",0,IFERROR(INDEX(事件規則!$C$2:$C$53,MATCH(S1906,事件規則!$A$2:$A$53,0)),"")))</f>
        <v>0</v>
      </c>
      <c r="V1906" s="21"/>
      <c r="W1906" s="22"/>
      <c r="X1906" s="10" t="str">
        <f aca="false">IF(AND(R1906="修改",S1906=""),"請選新事件代碼",IF(AND(R1906&lt;&gt;"修改",S1906&lt;&gt;""),"只有「修改」才需填代碼",""))</f>
        <v/>
      </c>
      <c r="Y1906" s="21"/>
      <c r="Z1906" s="22"/>
      <c r="AA1906" s="12" t="s">
        <v>4874</v>
      </c>
      <c r="AB1906" s="24"/>
    </row>
    <row r="1907" customFormat="false" ht="29.85" hidden="false" customHeight="false" outlineLevel="0" collapsed="false">
      <c r="A1907" s="15" t="n">
        <v>1906</v>
      </c>
      <c r="B1907" s="9" t="s">
        <v>55</v>
      </c>
      <c r="C1907" s="9" t="s">
        <v>178</v>
      </c>
      <c r="D1907" s="10" t="s">
        <v>179</v>
      </c>
      <c r="E1907" s="11" t="s">
        <v>4875</v>
      </c>
      <c r="F1907" s="17"/>
      <c r="G1907" s="12" t="s">
        <v>1092</v>
      </c>
      <c r="H1907" s="13" t="n">
        <v>-0.01</v>
      </c>
      <c r="I1907" s="14"/>
      <c r="J1907" s="17"/>
      <c r="K1907" s="9"/>
      <c r="L1907" s="15" t="s">
        <v>50</v>
      </c>
      <c r="M1907" s="16" t="s">
        <v>51</v>
      </c>
      <c r="N1907" s="14"/>
      <c r="O1907" s="15" t="s">
        <v>52</v>
      </c>
      <c r="P1907" s="17" t="s">
        <v>53</v>
      </c>
      <c r="Q1907" s="15"/>
      <c r="R1907" s="18" t="s">
        <v>51</v>
      </c>
      <c r="S1907" s="19"/>
      <c r="T1907" s="17" t="str">
        <f aca="false">IF(R1907="維持",J1907,IF(R1907="排除","無關新聞事件",IFERROR(INDEX(事件規則!$B$2:$B$53,MATCH(S1907,事件規則!$A$2:$A$53,0)),"")))</f>
        <v>無關新聞事件</v>
      </c>
      <c r="U1907" s="20" t="n">
        <f aca="false">IF(R1907="維持",K1907,IF(R1907="排除",0,IFERROR(INDEX(事件規則!$C$2:$C$53,MATCH(S1907,事件規則!$A$2:$A$53,0)),"")))</f>
        <v>0</v>
      </c>
      <c r="V1907" s="21"/>
      <c r="W1907" s="22"/>
      <c r="X1907" s="10" t="str">
        <f aca="false">IF(AND(R1907="修改",S1907=""),"請選新事件代碼",IF(AND(R1907&lt;&gt;"修改",S1907&lt;&gt;""),"只有「修改」才需填代碼",""))</f>
        <v/>
      </c>
      <c r="Y1907" s="21"/>
      <c r="Z1907" s="22"/>
      <c r="AA1907" s="12" t="s">
        <v>4876</v>
      </c>
      <c r="AB1907" s="24"/>
    </row>
    <row r="1908" customFormat="false" ht="29.85" hidden="false" customHeight="false" outlineLevel="0" collapsed="false">
      <c r="A1908" s="15" t="n">
        <v>1907</v>
      </c>
      <c r="B1908" s="9" t="s">
        <v>45</v>
      </c>
      <c r="C1908" s="9" t="s">
        <v>3041</v>
      </c>
      <c r="D1908" s="10" t="s">
        <v>3042</v>
      </c>
      <c r="E1908" s="11" t="s">
        <v>4877</v>
      </c>
      <c r="F1908" s="17"/>
      <c r="G1908" s="12" t="s">
        <v>142</v>
      </c>
      <c r="H1908" s="13" t="n">
        <v>-0.01</v>
      </c>
      <c r="I1908" s="14"/>
      <c r="J1908" s="17"/>
      <c r="K1908" s="9"/>
      <c r="L1908" s="15" t="s">
        <v>50</v>
      </c>
      <c r="M1908" s="16" t="s">
        <v>51</v>
      </c>
      <c r="N1908" s="14"/>
      <c r="O1908" s="15" t="s">
        <v>52</v>
      </c>
      <c r="P1908" s="17" t="s">
        <v>53</v>
      </c>
      <c r="Q1908" s="15"/>
      <c r="R1908" s="18" t="s">
        <v>51</v>
      </c>
      <c r="S1908" s="19"/>
      <c r="T1908" s="17" t="str">
        <f aca="false">IF(R1908="維持",J1908,IF(R1908="排除","無關新聞事件",IFERROR(INDEX(事件規則!$B$2:$B$53,MATCH(S1908,事件規則!$A$2:$A$53,0)),"")))</f>
        <v>無關新聞事件</v>
      </c>
      <c r="U1908" s="20" t="n">
        <f aca="false">IF(R1908="維持",K1908,IF(R1908="排除",0,IFERROR(INDEX(事件規則!$C$2:$C$53,MATCH(S1908,事件規則!$A$2:$A$53,0)),"")))</f>
        <v>0</v>
      </c>
      <c r="V1908" s="21"/>
      <c r="W1908" s="22"/>
      <c r="X1908" s="10" t="str">
        <f aca="false">IF(AND(R1908="修改",S1908=""),"請選新事件代碼",IF(AND(R1908&lt;&gt;"修改",S1908&lt;&gt;""),"只有「修改」才需填代碼",""))</f>
        <v/>
      </c>
      <c r="Y1908" s="21"/>
      <c r="Z1908" s="22"/>
      <c r="AA1908" s="12" t="s">
        <v>4878</v>
      </c>
      <c r="AB1908" s="24"/>
    </row>
    <row r="1909" customFormat="false" ht="29.85" hidden="false" customHeight="false" outlineLevel="0" collapsed="false">
      <c r="A1909" s="15" t="n">
        <v>1908</v>
      </c>
      <c r="B1909" s="9" t="s">
        <v>45</v>
      </c>
      <c r="C1909" s="9" t="s">
        <v>2124</v>
      </c>
      <c r="D1909" s="10" t="s">
        <v>2125</v>
      </c>
      <c r="E1909" s="11" t="s">
        <v>4879</v>
      </c>
      <c r="F1909" s="17"/>
      <c r="G1909" s="12" t="s">
        <v>142</v>
      </c>
      <c r="H1909" s="13" t="n">
        <v>-0.01</v>
      </c>
      <c r="I1909" s="14"/>
      <c r="J1909" s="17"/>
      <c r="K1909" s="9"/>
      <c r="L1909" s="15" t="s">
        <v>50</v>
      </c>
      <c r="M1909" s="16" t="s">
        <v>51</v>
      </c>
      <c r="N1909" s="14"/>
      <c r="O1909" s="15" t="s">
        <v>52</v>
      </c>
      <c r="P1909" s="17" t="s">
        <v>53</v>
      </c>
      <c r="Q1909" s="15"/>
      <c r="R1909" s="18" t="s">
        <v>51</v>
      </c>
      <c r="S1909" s="19"/>
      <c r="T1909" s="17" t="str">
        <f aca="false">IF(R1909="維持",J1909,IF(R1909="排除","無關新聞事件",IFERROR(INDEX(事件規則!$B$2:$B$53,MATCH(S1909,事件規則!$A$2:$A$53,0)),"")))</f>
        <v>無關新聞事件</v>
      </c>
      <c r="U1909" s="20" t="n">
        <f aca="false">IF(R1909="維持",K1909,IF(R1909="排除",0,IFERROR(INDEX(事件規則!$C$2:$C$53,MATCH(S1909,事件規則!$A$2:$A$53,0)),"")))</f>
        <v>0</v>
      </c>
      <c r="V1909" s="21"/>
      <c r="W1909" s="22"/>
      <c r="X1909" s="10" t="str">
        <f aca="false">IF(AND(R1909="修改",S1909=""),"請選新事件代碼",IF(AND(R1909&lt;&gt;"修改",S1909&lt;&gt;""),"只有「修改」才需填代碼",""))</f>
        <v/>
      </c>
      <c r="Y1909" s="21"/>
      <c r="Z1909" s="22"/>
      <c r="AA1909" s="12" t="s">
        <v>4880</v>
      </c>
      <c r="AB1909" s="24"/>
    </row>
    <row r="1910" customFormat="false" ht="29.85" hidden="false" customHeight="false" outlineLevel="0" collapsed="false">
      <c r="A1910" s="15" t="n">
        <v>1909</v>
      </c>
      <c r="B1910" s="9" t="s">
        <v>45</v>
      </c>
      <c r="C1910" s="9" t="s">
        <v>3753</v>
      </c>
      <c r="D1910" s="10" t="s">
        <v>3754</v>
      </c>
      <c r="E1910" s="11" t="s">
        <v>4881</v>
      </c>
      <c r="F1910" s="17"/>
      <c r="G1910" s="12" t="s">
        <v>95</v>
      </c>
      <c r="H1910" s="13" t="n">
        <v>-0.01</v>
      </c>
      <c r="I1910" s="14"/>
      <c r="J1910" s="17"/>
      <c r="K1910" s="9"/>
      <c r="L1910" s="15" t="s">
        <v>50</v>
      </c>
      <c r="M1910" s="16" t="s">
        <v>51</v>
      </c>
      <c r="N1910" s="14"/>
      <c r="O1910" s="15" t="s">
        <v>52</v>
      </c>
      <c r="P1910" s="17" t="s">
        <v>53</v>
      </c>
      <c r="Q1910" s="15"/>
      <c r="R1910" s="18" t="s">
        <v>51</v>
      </c>
      <c r="S1910" s="19"/>
      <c r="T1910" s="17" t="str">
        <f aca="false">IF(R1910="維持",J1910,IF(R1910="排除","無關新聞事件",IFERROR(INDEX(事件規則!$B$2:$B$53,MATCH(S1910,事件規則!$A$2:$A$53,0)),"")))</f>
        <v>無關新聞事件</v>
      </c>
      <c r="U1910" s="20" t="n">
        <f aca="false">IF(R1910="維持",K1910,IF(R1910="排除",0,IFERROR(INDEX(事件規則!$C$2:$C$53,MATCH(S1910,事件規則!$A$2:$A$53,0)),"")))</f>
        <v>0</v>
      </c>
      <c r="V1910" s="21"/>
      <c r="W1910" s="22"/>
      <c r="X1910" s="10" t="str">
        <f aca="false">IF(AND(R1910="修改",S1910=""),"請選新事件代碼",IF(AND(R1910&lt;&gt;"修改",S1910&lt;&gt;""),"只有「修改」才需填代碼",""))</f>
        <v/>
      </c>
      <c r="Y1910" s="21"/>
      <c r="Z1910" s="22"/>
      <c r="AA1910" s="12" t="s">
        <v>4882</v>
      </c>
      <c r="AB1910" s="24"/>
    </row>
    <row r="1911" customFormat="false" ht="29.85" hidden="false" customHeight="false" outlineLevel="0" collapsed="false">
      <c r="A1911" s="15" t="n">
        <v>1910</v>
      </c>
      <c r="B1911" s="9" t="s">
        <v>45</v>
      </c>
      <c r="C1911" s="9" t="s">
        <v>46</v>
      </c>
      <c r="D1911" s="10" t="s">
        <v>47</v>
      </c>
      <c r="E1911" s="11" t="s">
        <v>4841</v>
      </c>
      <c r="F1911" s="17"/>
      <c r="G1911" s="12" t="s">
        <v>4657</v>
      </c>
      <c r="H1911" s="13" t="n">
        <v>-0.01</v>
      </c>
      <c r="I1911" s="14"/>
      <c r="J1911" s="17"/>
      <c r="K1911" s="9"/>
      <c r="L1911" s="15" t="s">
        <v>50</v>
      </c>
      <c r="M1911" s="16" t="s">
        <v>51</v>
      </c>
      <c r="N1911" s="14"/>
      <c r="O1911" s="15" t="s">
        <v>52</v>
      </c>
      <c r="P1911" s="17" t="s">
        <v>53</v>
      </c>
      <c r="Q1911" s="15"/>
      <c r="R1911" s="18" t="s">
        <v>51</v>
      </c>
      <c r="S1911" s="19"/>
      <c r="T1911" s="17" t="str">
        <f aca="false">IF(R1911="維持",J1911,IF(R1911="排除","無關新聞事件",IFERROR(INDEX(事件規則!$B$2:$B$53,MATCH(S1911,事件規則!$A$2:$A$53,0)),"")))</f>
        <v>無關新聞事件</v>
      </c>
      <c r="U1911" s="20" t="n">
        <f aca="false">IF(R1911="維持",K1911,IF(R1911="排除",0,IFERROR(INDEX(事件規則!$C$2:$C$53,MATCH(S1911,事件規則!$A$2:$A$53,0)),"")))</f>
        <v>0</v>
      </c>
      <c r="V1911" s="21"/>
      <c r="W1911" s="22"/>
      <c r="X1911" s="10" t="str">
        <f aca="false">IF(AND(R1911="修改",S1911=""),"請選新事件代碼",IF(AND(R1911&lt;&gt;"修改",S1911&lt;&gt;""),"只有「修改」才需填代碼",""))</f>
        <v/>
      </c>
      <c r="Y1911" s="21"/>
      <c r="Z1911" s="22"/>
      <c r="AA1911" s="12" t="s">
        <v>4883</v>
      </c>
      <c r="AB1911" s="24"/>
    </row>
    <row r="1912" customFormat="false" ht="29.85" hidden="false" customHeight="false" outlineLevel="0" collapsed="false">
      <c r="A1912" s="15" t="n">
        <v>1911</v>
      </c>
      <c r="B1912" s="9" t="s">
        <v>45</v>
      </c>
      <c r="C1912" s="9" t="s">
        <v>1571</v>
      </c>
      <c r="D1912" s="10" t="s">
        <v>1572</v>
      </c>
      <c r="E1912" s="11" t="s">
        <v>4847</v>
      </c>
      <c r="F1912" s="17"/>
      <c r="G1912" s="12" t="s">
        <v>3873</v>
      </c>
      <c r="H1912" s="13" t="n">
        <v>-0.01</v>
      </c>
      <c r="I1912" s="14"/>
      <c r="J1912" s="17"/>
      <c r="K1912" s="9"/>
      <c r="L1912" s="15" t="s">
        <v>50</v>
      </c>
      <c r="M1912" s="16" t="s">
        <v>51</v>
      </c>
      <c r="N1912" s="14"/>
      <c r="O1912" s="15" t="s">
        <v>52</v>
      </c>
      <c r="P1912" s="17" t="s">
        <v>53</v>
      </c>
      <c r="Q1912" s="15"/>
      <c r="R1912" s="18" t="s">
        <v>51</v>
      </c>
      <c r="S1912" s="19"/>
      <c r="T1912" s="17" t="str">
        <f aca="false">IF(R1912="維持",J1912,IF(R1912="排除","無關新聞事件",IFERROR(INDEX(事件規則!$B$2:$B$53,MATCH(S1912,事件規則!$A$2:$A$53,0)),"")))</f>
        <v>無關新聞事件</v>
      </c>
      <c r="U1912" s="20" t="n">
        <f aca="false">IF(R1912="維持",K1912,IF(R1912="排除",0,IFERROR(INDEX(事件規則!$C$2:$C$53,MATCH(S1912,事件規則!$A$2:$A$53,0)),"")))</f>
        <v>0</v>
      </c>
      <c r="V1912" s="21"/>
      <c r="W1912" s="22"/>
      <c r="X1912" s="10" t="str">
        <f aca="false">IF(AND(R1912="修改",S1912=""),"請選新事件代碼",IF(AND(R1912&lt;&gt;"修改",S1912&lt;&gt;""),"只有「修改」才需填代碼",""))</f>
        <v/>
      </c>
      <c r="Y1912" s="21"/>
      <c r="Z1912" s="22"/>
      <c r="AA1912" s="12" t="s">
        <v>4848</v>
      </c>
      <c r="AB1912" s="24"/>
    </row>
    <row r="1913" customFormat="false" ht="29.85" hidden="false" customHeight="false" outlineLevel="0" collapsed="false">
      <c r="A1913" s="15" t="n">
        <v>1912</v>
      </c>
      <c r="B1913" s="9" t="s">
        <v>45</v>
      </c>
      <c r="C1913" s="9" t="s">
        <v>755</v>
      </c>
      <c r="D1913" s="10" t="s">
        <v>756</v>
      </c>
      <c r="E1913" s="11" t="s">
        <v>4884</v>
      </c>
      <c r="F1913" s="17"/>
      <c r="G1913" s="12" t="s">
        <v>95</v>
      </c>
      <c r="H1913" s="13" t="n">
        <v>-0.01</v>
      </c>
      <c r="I1913" s="14"/>
      <c r="J1913" s="17"/>
      <c r="K1913" s="9"/>
      <c r="L1913" s="15" t="s">
        <v>50</v>
      </c>
      <c r="M1913" s="16" t="s">
        <v>51</v>
      </c>
      <c r="N1913" s="14"/>
      <c r="O1913" s="15" t="s">
        <v>52</v>
      </c>
      <c r="P1913" s="17" t="s">
        <v>53</v>
      </c>
      <c r="Q1913" s="15"/>
      <c r="R1913" s="18" t="s">
        <v>51</v>
      </c>
      <c r="S1913" s="19"/>
      <c r="T1913" s="17" t="str">
        <f aca="false">IF(R1913="維持",J1913,IF(R1913="排除","無關新聞事件",IFERROR(INDEX(事件規則!$B$2:$B$53,MATCH(S1913,事件規則!$A$2:$A$53,0)),"")))</f>
        <v>無關新聞事件</v>
      </c>
      <c r="U1913" s="20" t="n">
        <f aca="false">IF(R1913="維持",K1913,IF(R1913="排除",0,IFERROR(INDEX(事件規則!$C$2:$C$53,MATCH(S1913,事件規則!$A$2:$A$53,0)),"")))</f>
        <v>0</v>
      </c>
      <c r="V1913" s="21"/>
      <c r="W1913" s="22"/>
      <c r="X1913" s="10" t="str">
        <f aca="false">IF(AND(R1913="修改",S1913=""),"請選新事件代碼",IF(AND(R1913&lt;&gt;"修改",S1913&lt;&gt;""),"只有「修改」才需填代碼",""))</f>
        <v/>
      </c>
      <c r="Y1913" s="21"/>
      <c r="Z1913" s="22"/>
      <c r="AA1913" s="12" t="s">
        <v>4885</v>
      </c>
      <c r="AB1913" s="24"/>
    </row>
    <row r="1914" customFormat="false" ht="29.85" hidden="false" customHeight="false" outlineLevel="0" collapsed="false">
      <c r="A1914" s="15" t="n">
        <v>1913</v>
      </c>
      <c r="B1914" s="9" t="s">
        <v>81</v>
      </c>
      <c r="C1914" s="9" t="s">
        <v>1318</v>
      </c>
      <c r="D1914" s="10" t="s">
        <v>1319</v>
      </c>
      <c r="E1914" s="11" t="s">
        <v>4886</v>
      </c>
      <c r="F1914" s="17"/>
      <c r="G1914" s="12" t="s">
        <v>105</v>
      </c>
      <c r="H1914" s="13" t="n">
        <v>-0.01</v>
      </c>
      <c r="I1914" s="14"/>
      <c r="J1914" s="17"/>
      <c r="K1914" s="9"/>
      <c r="L1914" s="15" t="s">
        <v>50</v>
      </c>
      <c r="M1914" s="16" t="s">
        <v>51</v>
      </c>
      <c r="N1914" s="14"/>
      <c r="O1914" s="15" t="s">
        <v>52</v>
      </c>
      <c r="P1914" s="17" t="s">
        <v>53</v>
      </c>
      <c r="Q1914" s="15"/>
      <c r="R1914" s="18" t="s">
        <v>51</v>
      </c>
      <c r="S1914" s="19"/>
      <c r="T1914" s="17" t="str">
        <f aca="false">IF(R1914="維持",J1914,IF(R1914="排除","無關新聞事件",IFERROR(INDEX(事件規則!$B$2:$B$53,MATCH(S1914,事件規則!$A$2:$A$53,0)),"")))</f>
        <v>無關新聞事件</v>
      </c>
      <c r="U1914" s="20" t="n">
        <f aca="false">IF(R1914="維持",K1914,IF(R1914="排除",0,IFERROR(INDEX(事件規則!$C$2:$C$53,MATCH(S1914,事件規則!$A$2:$A$53,0)),"")))</f>
        <v>0</v>
      </c>
      <c r="V1914" s="21"/>
      <c r="W1914" s="22"/>
      <c r="X1914" s="10" t="str">
        <f aca="false">IF(AND(R1914="修改",S1914=""),"請選新事件代碼",IF(AND(R1914&lt;&gt;"修改",S1914&lt;&gt;""),"只有「修改」才需填代碼",""))</f>
        <v/>
      </c>
      <c r="Y1914" s="21"/>
      <c r="Z1914" s="22"/>
      <c r="AA1914" s="12" t="s">
        <v>4887</v>
      </c>
      <c r="AB1914" s="24"/>
    </row>
    <row r="1915" customFormat="false" ht="29.85" hidden="false" customHeight="false" outlineLevel="0" collapsed="false">
      <c r="A1915" s="15" t="n">
        <v>1914</v>
      </c>
      <c r="B1915" s="9" t="s">
        <v>45</v>
      </c>
      <c r="C1915" s="9" t="s">
        <v>740</v>
      </c>
      <c r="D1915" s="10" t="s">
        <v>741</v>
      </c>
      <c r="E1915" s="11" t="s">
        <v>4888</v>
      </c>
      <c r="F1915" s="17"/>
      <c r="G1915" s="12" t="s">
        <v>1136</v>
      </c>
      <c r="H1915" s="13" t="n">
        <v>-0.01</v>
      </c>
      <c r="I1915" s="14"/>
      <c r="J1915" s="17"/>
      <c r="K1915" s="9"/>
      <c r="L1915" s="15" t="s">
        <v>50</v>
      </c>
      <c r="M1915" s="16" t="s">
        <v>51</v>
      </c>
      <c r="N1915" s="14"/>
      <c r="O1915" s="15" t="s">
        <v>52</v>
      </c>
      <c r="P1915" s="17" t="s">
        <v>53</v>
      </c>
      <c r="Q1915" s="15"/>
      <c r="R1915" s="18" t="s">
        <v>51</v>
      </c>
      <c r="S1915" s="19"/>
      <c r="T1915" s="17" t="str">
        <f aca="false">IF(R1915="維持",J1915,IF(R1915="排除","無關新聞事件",IFERROR(INDEX(事件規則!$B$2:$B$53,MATCH(S1915,事件規則!$A$2:$A$53,0)),"")))</f>
        <v>無關新聞事件</v>
      </c>
      <c r="U1915" s="20" t="n">
        <f aca="false">IF(R1915="維持",K1915,IF(R1915="排除",0,IFERROR(INDEX(事件規則!$C$2:$C$53,MATCH(S1915,事件規則!$A$2:$A$53,0)),"")))</f>
        <v>0</v>
      </c>
      <c r="V1915" s="21"/>
      <c r="W1915" s="22"/>
      <c r="X1915" s="10" t="str">
        <f aca="false">IF(AND(R1915="修改",S1915=""),"請選新事件代碼",IF(AND(R1915&lt;&gt;"修改",S1915&lt;&gt;""),"只有「修改」才需填代碼",""))</f>
        <v/>
      </c>
      <c r="Y1915" s="21"/>
      <c r="Z1915" s="22"/>
      <c r="AA1915" s="12" t="s">
        <v>4889</v>
      </c>
      <c r="AB1915" s="24"/>
    </row>
    <row r="1916" customFormat="false" ht="29.85" hidden="false" customHeight="false" outlineLevel="0" collapsed="false">
      <c r="A1916" s="15" t="n">
        <v>1915</v>
      </c>
      <c r="B1916" s="9" t="s">
        <v>81</v>
      </c>
      <c r="C1916" s="9" t="s">
        <v>118</v>
      </c>
      <c r="D1916" s="10" t="s">
        <v>119</v>
      </c>
      <c r="E1916" s="11" t="s">
        <v>4890</v>
      </c>
      <c r="F1916" s="17"/>
      <c r="G1916" s="12" t="s">
        <v>4343</v>
      </c>
      <c r="H1916" s="13" t="n">
        <v>-0.01</v>
      </c>
      <c r="I1916" s="14"/>
      <c r="J1916" s="17"/>
      <c r="K1916" s="9"/>
      <c r="L1916" s="15" t="s">
        <v>50</v>
      </c>
      <c r="M1916" s="16" t="s">
        <v>51</v>
      </c>
      <c r="N1916" s="14"/>
      <c r="O1916" s="15" t="s">
        <v>52</v>
      </c>
      <c r="P1916" s="17" t="s">
        <v>53</v>
      </c>
      <c r="Q1916" s="15"/>
      <c r="R1916" s="18" t="s">
        <v>51</v>
      </c>
      <c r="S1916" s="19"/>
      <c r="T1916" s="17" t="str">
        <f aca="false">IF(R1916="維持",J1916,IF(R1916="排除","無關新聞事件",IFERROR(INDEX(事件規則!$B$2:$B$53,MATCH(S1916,事件規則!$A$2:$A$53,0)),"")))</f>
        <v>無關新聞事件</v>
      </c>
      <c r="U1916" s="20" t="n">
        <f aca="false">IF(R1916="維持",K1916,IF(R1916="排除",0,IFERROR(INDEX(事件規則!$C$2:$C$53,MATCH(S1916,事件規則!$A$2:$A$53,0)),"")))</f>
        <v>0</v>
      </c>
      <c r="V1916" s="21"/>
      <c r="W1916" s="22"/>
      <c r="X1916" s="10" t="str">
        <f aca="false">IF(AND(R1916="修改",S1916=""),"請選新事件代碼",IF(AND(R1916&lt;&gt;"修改",S1916&lt;&gt;""),"只有「修改」才需填代碼",""))</f>
        <v/>
      </c>
      <c r="Y1916" s="21"/>
      <c r="Z1916" s="22"/>
      <c r="AA1916" s="12" t="s">
        <v>4891</v>
      </c>
      <c r="AB1916" s="24"/>
    </row>
    <row r="1917" customFormat="false" ht="29.85" hidden="false" customHeight="false" outlineLevel="0" collapsed="false">
      <c r="A1917" s="15" t="n">
        <v>1916</v>
      </c>
      <c r="B1917" s="9" t="s">
        <v>81</v>
      </c>
      <c r="C1917" s="9" t="s">
        <v>4892</v>
      </c>
      <c r="D1917" s="10" t="s">
        <v>4893</v>
      </c>
      <c r="E1917" s="11" t="s">
        <v>4894</v>
      </c>
      <c r="F1917" s="17"/>
      <c r="G1917" s="12" t="s">
        <v>176</v>
      </c>
      <c r="H1917" s="13" t="n">
        <v>-0.01</v>
      </c>
      <c r="I1917" s="14"/>
      <c r="J1917" s="17"/>
      <c r="K1917" s="9"/>
      <c r="L1917" s="15" t="s">
        <v>50</v>
      </c>
      <c r="M1917" s="16" t="s">
        <v>51</v>
      </c>
      <c r="N1917" s="14"/>
      <c r="O1917" s="15" t="s">
        <v>52</v>
      </c>
      <c r="P1917" s="17" t="s">
        <v>53</v>
      </c>
      <c r="Q1917" s="15"/>
      <c r="R1917" s="18" t="s">
        <v>51</v>
      </c>
      <c r="S1917" s="19"/>
      <c r="T1917" s="17" t="str">
        <f aca="false">IF(R1917="維持",J1917,IF(R1917="排除","無關新聞事件",IFERROR(INDEX(事件規則!$B$2:$B$53,MATCH(S1917,事件規則!$A$2:$A$53,0)),"")))</f>
        <v>無關新聞事件</v>
      </c>
      <c r="U1917" s="20" t="n">
        <f aca="false">IF(R1917="維持",K1917,IF(R1917="排除",0,IFERROR(INDEX(事件規則!$C$2:$C$53,MATCH(S1917,事件規則!$A$2:$A$53,0)),"")))</f>
        <v>0</v>
      </c>
      <c r="V1917" s="21"/>
      <c r="W1917" s="22"/>
      <c r="X1917" s="10" t="str">
        <f aca="false">IF(AND(R1917="修改",S1917=""),"請選新事件代碼",IF(AND(R1917&lt;&gt;"修改",S1917&lt;&gt;""),"只有「修改」才需填代碼",""))</f>
        <v/>
      </c>
      <c r="Y1917" s="21"/>
      <c r="Z1917" s="22"/>
      <c r="AA1917" s="12" t="s">
        <v>4895</v>
      </c>
      <c r="AB1917" s="24"/>
    </row>
    <row r="1918" customFormat="false" ht="29.85" hidden="false" customHeight="false" outlineLevel="0" collapsed="false">
      <c r="A1918" s="15" t="n">
        <v>1917</v>
      </c>
      <c r="B1918" s="9" t="s">
        <v>45</v>
      </c>
      <c r="C1918" s="9" t="s">
        <v>1695</v>
      </c>
      <c r="D1918" s="10" t="s">
        <v>1696</v>
      </c>
      <c r="E1918" s="11" t="s">
        <v>4896</v>
      </c>
      <c r="F1918" s="17"/>
      <c r="G1918" s="12" t="s">
        <v>49</v>
      </c>
      <c r="H1918" s="13" t="n">
        <v>-0.01</v>
      </c>
      <c r="I1918" s="14"/>
      <c r="J1918" s="17"/>
      <c r="K1918" s="9"/>
      <c r="L1918" s="15" t="s">
        <v>50</v>
      </c>
      <c r="M1918" s="16" t="s">
        <v>51</v>
      </c>
      <c r="N1918" s="14"/>
      <c r="O1918" s="15" t="s">
        <v>52</v>
      </c>
      <c r="P1918" s="17" t="s">
        <v>53</v>
      </c>
      <c r="Q1918" s="15"/>
      <c r="R1918" s="18" t="s">
        <v>51</v>
      </c>
      <c r="S1918" s="19"/>
      <c r="T1918" s="17" t="str">
        <f aca="false">IF(R1918="維持",J1918,IF(R1918="排除","無關新聞事件",IFERROR(INDEX(事件規則!$B$2:$B$53,MATCH(S1918,事件規則!$A$2:$A$53,0)),"")))</f>
        <v>無關新聞事件</v>
      </c>
      <c r="U1918" s="20" t="n">
        <f aca="false">IF(R1918="維持",K1918,IF(R1918="排除",0,IFERROR(INDEX(事件規則!$C$2:$C$53,MATCH(S1918,事件規則!$A$2:$A$53,0)),"")))</f>
        <v>0</v>
      </c>
      <c r="V1918" s="21"/>
      <c r="W1918" s="22"/>
      <c r="X1918" s="10" t="str">
        <f aca="false">IF(AND(R1918="修改",S1918=""),"請選新事件代碼",IF(AND(R1918&lt;&gt;"修改",S1918&lt;&gt;""),"只有「修改」才需填代碼",""))</f>
        <v/>
      </c>
      <c r="Y1918" s="21"/>
      <c r="Z1918" s="22"/>
      <c r="AA1918" s="12" t="s">
        <v>4897</v>
      </c>
      <c r="AB1918" s="24"/>
    </row>
    <row r="1919" customFormat="false" ht="29.85" hidden="false" customHeight="false" outlineLevel="0" collapsed="false">
      <c r="A1919" s="15" t="n">
        <v>1918</v>
      </c>
      <c r="B1919" s="9" t="s">
        <v>112</v>
      </c>
      <c r="C1919" s="9" t="s">
        <v>889</v>
      </c>
      <c r="D1919" s="10" t="s">
        <v>890</v>
      </c>
      <c r="E1919" s="11" t="s">
        <v>4898</v>
      </c>
      <c r="F1919" s="17"/>
      <c r="G1919" s="12" t="s">
        <v>105</v>
      </c>
      <c r="H1919" s="13" t="n">
        <v>-0.01</v>
      </c>
      <c r="I1919" s="14"/>
      <c r="J1919" s="17"/>
      <c r="K1919" s="9"/>
      <c r="L1919" s="15" t="s">
        <v>50</v>
      </c>
      <c r="M1919" s="16" t="s">
        <v>51</v>
      </c>
      <c r="N1919" s="14"/>
      <c r="O1919" s="15" t="s">
        <v>52</v>
      </c>
      <c r="P1919" s="17" t="s">
        <v>53</v>
      </c>
      <c r="Q1919" s="15"/>
      <c r="R1919" s="18" t="s">
        <v>51</v>
      </c>
      <c r="S1919" s="19"/>
      <c r="T1919" s="17" t="str">
        <f aca="false">IF(R1919="維持",J1919,IF(R1919="排除","無關新聞事件",IFERROR(INDEX(事件規則!$B$2:$B$53,MATCH(S1919,事件規則!$A$2:$A$53,0)),"")))</f>
        <v>無關新聞事件</v>
      </c>
      <c r="U1919" s="20" t="n">
        <f aca="false">IF(R1919="維持",K1919,IF(R1919="排除",0,IFERROR(INDEX(事件規則!$C$2:$C$53,MATCH(S1919,事件規則!$A$2:$A$53,0)),"")))</f>
        <v>0</v>
      </c>
      <c r="V1919" s="21"/>
      <c r="W1919" s="22"/>
      <c r="X1919" s="10" t="str">
        <f aca="false">IF(AND(R1919="修改",S1919=""),"請選新事件代碼",IF(AND(R1919&lt;&gt;"修改",S1919&lt;&gt;""),"只有「修改」才需填代碼",""))</f>
        <v/>
      </c>
      <c r="Y1919" s="21"/>
      <c r="Z1919" s="22"/>
      <c r="AA1919" s="12" t="s">
        <v>4899</v>
      </c>
      <c r="AB1919" s="24"/>
    </row>
    <row r="1920" customFormat="false" ht="29.85" hidden="false" customHeight="false" outlineLevel="0" collapsed="false">
      <c r="A1920" s="15" t="n">
        <v>1919</v>
      </c>
      <c r="B1920" s="9" t="s">
        <v>112</v>
      </c>
      <c r="C1920" s="9" t="s">
        <v>166</v>
      </c>
      <c r="D1920" s="10" t="s">
        <v>167</v>
      </c>
      <c r="E1920" s="11" t="s">
        <v>4900</v>
      </c>
      <c r="F1920" s="17"/>
      <c r="G1920" s="12" t="s">
        <v>733</v>
      </c>
      <c r="H1920" s="13" t="n">
        <v>-0.01</v>
      </c>
      <c r="I1920" s="14"/>
      <c r="J1920" s="17"/>
      <c r="K1920" s="9"/>
      <c r="L1920" s="15" t="s">
        <v>50</v>
      </c>
      <c r="M1920" s="16" t="s">
        <v>51</v>
      </c>
      <c r="N1920" s="14"/>
      <c r="O1920" s="15" t="s">
        <v>52</v>
      </c>
      <c r="P1920" s="17" t="s">
        <v>53</v>
      </c>
      <c r="Q1920" s="15"/>
      <c r="R1920" s="18" t="s">
        <v>51</v>
      </c>
      <c r="S1920" s="19"/>
      <c r="T1920" s="17" t="str">
        <f aca="false">IF(R1920="維持",J1920,IF(R1920="排除","無關新聞事件",IFERROR(INDEX(事件規則!$B$2:$B$53,MATCH(S1920,事件規則!$A$2:$A$53,0)),"")))</f>
        <v>無關新聞事件</v>
      </c>
      <c r="U1920" s="20" t="n">
        <f aca="false">IF(R1920="維持",K1920,IF(R1920="排除",0,IFERROR(INDEX(事件規則!$C$2:$C$53,MATCH(S1920,事件規則!$A$2:$A$53,0)),"")))</f>
        <v>0</v>
      </c>
      <c r="V1920" s="21"/>
      <c r="W1920" s="22"/>
      <c r="X1920" s="10" t="str">
        <f aca="false">IF(AND(R1920="修改",S1920=""),"請選新事件代碼",IF(AND(R1920&lt;&gt;"修改",S1920&lt;&gt;""),"只有「修改」才需填代碼",""))</f>
        <v/>
      </c>
      <c r="Y1920" s="21"/>
      <c r="Z1920" s="22"/>
      <c r="AA1920" s="12" t="s">
        <v>4901</v>
      </c>
      <c r="AB1920" s="24"/>
    </row>
    <row r="1921" customFormat="false" ht="29.85" hidden="false" customHeight="false" outlineLevel="0" collapsed="false">
      <c r="A1921" s="15" t="n">
        <v>1920</v>
      </c>
      <c r="B1921" s="9" t="s">
        <v>112</v>
      </c>
      <c r="C1921" s="9" t="s">
        <v>1924</v>
      </c>
      <c r="D1921" s="10" t="s">
        <v>1925</v>
      </c>
      <c r="E1921" s="11" t="s">
        <v>4902</v>
      </c>
      <c r="F1921" s="17"/>
      <c r="G1921" s="12" t="s">
        <v>105</v>
      </c>
      <c r="H1921" s="13" t="n">
        <v>-0.01</v>
      </c>
      <c r="I1921" s="14"/>
      <c r="J1921" s="17"/>
      <c r="K1921" s="9"/>
      <c r="L1921" s="15" t="s">
        <v>50</v>
      </c>
      <c r="M1921" s="16" t="s">
        <v>51</v>
      </c>
      <c r="N1921" s="14"/>
      <c r="O1921" s="15" t="s">
        <v>52</v>
      </c>
      <c r="P1921" s="17" t="s">
        <v>53</v>
      </c>
      <c r="Q1921" s="15"/>
      <c r="R1921" s="18" t="s">
        <v>51</v>
      </c>
      <c r="S1921" s="19"/>
      <c r="T1921" s="17" t="str">
        <f aca="false">IF(R1921="維持",J1921,IF(R1921="排除","無關新聞事件",IFERROR(INDEX(事件規則!$B$2:$B$53,MATCH(S1921,事件規則!$A$2:$A$53,0)),"")))</f>
        <v>無關新聞事件</v>
      </c>
      <c r="U1921" s="20" t="n">
        <f aca="false">IF(R1921="維持",K1921,IF(R1921="排除",0,IFERROR(INDEX(事件規則!$C$2:$C$53,MATCH(S1921,事件規則!$A$2:$A$53,0)),"")))</f>
        <v>0</v>
      </c>
      <c r="V1921" s="21"/>
      <c r="W1921" s="22"/>
      <c r="X1921" s="10" t="str">
        <f aca="false">IF(AND(R1921="修改",S1921=""),"請選新事件代碼",IF(AND(R1921&lt;&gt;"修改",S1921&lt;&gt;""),"只有「修改」才需填代碼",""))</f>
        <v/>
      </c>
      <c r="Y1921" s="21"/>
      <c r="Z1921" s="22"/>
      <c r="AA1921" s="12" t="s">
        <v>4903</v>
      </c>
      <c r="AB1921" s="24"/>
    </row>
    <row r="1922" customFormat="false" ht="29.85" hidden="false" customHeight="false" outlineLevel="0" collapsed="false">
      <c r="A1922" s="15" t="n">
        <v>1921</v>
      </c>
      <c r="B1922" s="9" t="s">
        <v>112</v>
      </c>
      <c r="C1922" s="9" t="s">
        <v>550</v>
      </c>
      <c r="D1922" s="10" t="s">
        <v>551</v>
      </c>
      <c r="E1922" s="11" t="s">
        <v>4904</v>
      </c>
      <c r="F1922" s="17"/>
      <c r="G1922" s="12" t="s">
        <v>105</v>
      </c>
      <c r="H1922" s="13" t="n">
        <v>-0.01</v>
      </c>
      <c r="I1922" s="14"/>
      <c r="J1922" s="17"/>
      <c r="K1922" s="9"/>
      <c r="L1922" s="15" t="s">
        <v>50</v>
      </c>
      <c r="M1922" s="16" t="s">
        <v>51</v>
      </c>
      <c r="N1922" s="14"/>
      <c r="O1922" s="15" t="s">
        <v>52</v>
      </c>
      <c r="P1922" s="17" t="s">
        <v>53</v>
      </c>
      <c r="Q1922" s="15"/>
      <c r="R1922" s="18" t="s">
        <v>51</v>
      </c>
      <c r="S1922" s="19"/>
      <c r="T1922" s="17" t="str">
        <f aca="false">IF(R1922="維持",J1922,IF(R1922="排除","無關新聞事件",IFERROR(INDEX(事件規則!$B$2:$B$53,MATCH(S1922,事件規則!$A$2:$A$53,0)),"")))</f>
        <v>無關新聞事件</v>
      </c>
      <c r="U1922" s="20" t="n">
        <f aca="false">IF(R1922="維持",K1922,IF(R1922="排除",0,IFERROR(INDEX(事件規則!$C$2:$C$53,MATCH(S1922,事件規則!$A$2:$A$53,0)),"")))</f>
        <v>0</v>
      </c>
      <c r="V1922" s="21"/>
      <c r="W1922" s="22"/>
      <c r="X1922" s="10" t="str">
        <f aca="false">IF(AND(R1922="修改",S1922=""),"請選新事件代碼",IF(AND(R1922&lt;&gt;"修改",S1922&lt;&gt;""),"只有「修改」才需填代碼",""))</f>
        <v/>
      </c>
      <c r="Y1922" s="21"/>
      <c r="Z1922" s="22"/>
      <c r="AA1922" s="12" t="s">
        <v>4905</v>
      </c>
      <c r="AB1922" s="24"/>
    </row>
    <row r="1923" customFormat="false" ht="29.85" hidden="false" customHeight="false" outlineLevel="0" collapsed="false">
      <c r="A1923" s="15" t="n">
        <v>1922</v>
      </c>
      <c r="B1923" s="9" t="s">
        <v>112</v>
      </c>
      <c r="C1923" s="9" t="s">
        <v>917</v>
      </c>
      <c r="D1923" s="10" t="s">
        <v>918</v>
      </c>
      <c r="E1923" s="11" t="s">
        <v>4906</v>
      </c>
      <c r="F1923" s="17"/>
      <c r="G1923" s="12" t="s">
        <v>105</v>
      </c>
      <c r="H1923" s="13" t="n">
        <v>-0.01</v>
      </c>
      <c r="I1923" s="14"/>
      <c r="J1923" s="17"/>
      <c r="K1923" s="9"/>
      <c r="L1923" s="15" t="s">
        <v>50</v>
      </c>
      <c r="M1923" s="16" t="s">
        <v>51</v>
      </c>
      <c r="N1923" s="14"/>
      <c r="O1923" s="15" t="s">
        <v>52</v>
      </c>
      <c r="P1923" s="17" t="s">
        <v>53</v>
      </c>
      <c r="Q1923" s="15"/>
      <c r="R1923" s="18" t="s">
        <v>51</v>
      </c>
      <c r="S1923" s="19"/>
      <c r="T1923" s="17" t="str">
        <f aca="false">IF(R1923="維持",J1923,IF(R1923="排除","無關新聞事件",IFERROR(INDEX(事件規則!$B$2:$B$53,MATCH(S1923,事件規則!$A$2:$A$53,0)),"")))</f>
        <v>無關新聞事件</v>
      </c>
      <c r="U1923" s="20" t="n">
        <f aca="false">IF(R1923="維持",K1923,IF(R1923="排除",0,IFERROR(INDEX(事件規則!$C$2:$C$53,MATCH(S1923,事件規則!$A$2:$A$53,0)),"")))</f>
        <v>0</v>
      </c>
      <c r="V1923" s="21"/>
      <c r="W1923" s="22"/>
      <c r="X1923" s="10" t="str">
        <f aca="false">IF(AND(R1923="修改",S1923=""),"請選新事件代碼",IF(AND(R1923&lt;&gt;"修改",S1923&lt;&gt;""),"只有「修改」才需填代碼",""))</f>
        <v/>
      </c>
      <c r="Y1923" s="21"/>
      <c r="Z1923" s="22"/>
      <c r="AA1923" s="12" t="s">
        <v>4907</v>
      </c>
      <c r="AB1923" s="24"/>
    </row>
    <row r="1924" customFormat="false" ht="29.85" hidden="false" customHeight="false" outlineLevel="0" collapsed="false">
      <c r="A1924" s="15" t="n">
        <v>1923</v>
      </c>
      <c r="B1924" s="9" t="s">
        <v>112</v>
      </c>
      <c r="C1924" s="9" t="s">
        <v>3522</v>
      </c>
      <c r="D1924" s="10" t="s">
        <v>3523</v>
      </c>
      <c r="E1924" s="11" t="s">
        <v>4908</v>
      </c>
      <c r="F1924" s="17"/>
      <c r="G1924" s="12" t="s">
        <v>443</v>
      </c>
      <c r="H1924" s="13" t="n">
        <v>-0.01</v>
      </c>
      <c r="I1924" s="14"/>
      <c r="J1924" s="17"/>
      <c r="K1924" s="9"/>
      <c r="L1924" s="15" t="s">
        <v>50</v>
      </c>
      <c r="M1924" s="16" t="s">
        <v>51</v>
      </c>
      <c r="N1924" s="14"/>
      <c r="O1924" s="15" t="s">
        <v>52</v>
      </c>
      <c r="P1924" s="17" t="s">
        <v>53</v>
      </c>
      <c r="Q1924" s="15"/>
      <c r="R1924" s="18" t="s">
        <v>51</v>
      </c>
      <c r="S1924" s="19"/>
      <c r="T1924" s="17" t="str">
        <f aca="false">IF(R1924="維持",J1924,IF(R1924="排除","無關新聞事件",IFERROR(INDEX(事件規則!$B$2:$B$53,MATCH(S1924,事件規則!$A$2:$A$53,0)),"")))</f>
        <v>無關新聞事件</v>
      </c>
      <c r="U1924" s="20" t="n">
        <f aca="false">IF(R1924="維持",K1924,IF(R1924="排除",0,IFERROR(INDEX(事件規則!$C$2:$C$53,MATCH(S1924,事件規則!$A$2:$A$53,0)),"")))</f>
        <v>0</v>
      </c>
      <c r="V1924" s="21"/>
      <c r="W1924" s="22"/>
      <c r="X1924" s="10" t="str">
        <f aca="false">IF(AND(R1924="修改",S1924=""),"請選新事件代碼",IF(AND(R1924&lt;&gt;"修改",S1924&lt;&gt;""),"只有「修改」才需填代碼",""))</f>
        <v/>
      </c>
      <c r="Y1924" s="21"/>
      <c r="Z1924" s="22"/>
      <c r="AA1924" s="12" t="s">
        <v>4909</v>
      </c>
      <c r="AB1924" s="24"/>
    </row>
    <row r="1925" customFormat="false" ht="29.85" hidden="false" customHeight="false" outlineLevel="0" collapsed="false">
      <c r="A1925" s="15" t="n">
        <v>1924</v>
      </c>
      <c r="B1925" s="9" t="s">
        <v>112</v>
      </c>
      <c r="C1925" s="9" t="s">
        <v>788</v>
      </c>
      <c r="D1925" s="10" t="s">
        <v>789</v>
      </c>
      <c r="E1925" s="11" t="s">
        <v>4910</v>
      </c>
      <c r="F1925" s="17"/>
      <c r="G1925" s="12" t="s">
        <v>176</v>
      </c>
      <c r="H1925" s="13" t="n">
        <v>-0.01</v>
      </c>
      <c r="I1925" s="14"/>
      <c r="J1925" s="17"/>
      <c r="K1925" s="9"/>
      <c r="L1925" s="15" t="s">
        <v>50</v>
      </c>
      <c r="M1925" s="16" t="s">
        <v>51</v>
      </c>
      <c r="N1925" s="14"/>
      <c r="O1925" s="15" t="s">
        <v>52</v>
      </c>
      <c r="P1925" s="17" t="s">
        <v>53</v>
      </c>
      <c r="Q1925" s="15"/>
      <c r="R1925" s="18" t="s">
        <v>51</v>
      </c>
      <c r="S1925" s="19"/>
      <c r="T1925" s="17" t="str">
        <f aca="false">IF(R1925="維持",J1925,IF(R1925="排除","無關新聞事件",IFERROR(INDEX(事件規則!$B$2:$B$53,MATCH(S1925,事件規則!$A$2:$A$53,0)),"")))</f>
        <v>無關新聞事件</v>
      </c>
      <c r="U1925" s="20" t="n">
        <f aca="false">IF(R1925="維持",K1925,IF(R1925="排除",0,IFERROR(INDEX(事件規則!$C$2:$C$53,MATCH(S1925,事件規則!$A$2:$A$53,0)),"")))</f>
        <v>0</v>
      </c>
      <c r="V1925" s="21"/>
      <c r="W1925" s="22"/>
      <c r="X1925" s="10" t="str">
        <f aca="false">IF(AND(R1925="修改",S1925=""),"請選新事件代碼",IF(AND(R1925&lt;&gt;"修改",S1925&lt;&gt;""),"只有「修改」才需填代碼",""))</f>
        <v/>
      </c>
      <c r="Y1925" s="21"/>
      <c r="Z1925" s="22"/>
      <c r="AA1925" s="12" t="s">
        <v>4911</v>
      </c>
      <c r="AB1925" s="24"/>
    </row>
    <row r="1926" customFormat="false" ht="29.85" hidden="false" customHeight="false" outlineLevel="0" collapsed="false">
      <c r="A1926" s="15" t="n">
        <v>1925</v>
      </c>
      <c r="B1926" s="9" t="s">
        <v>112</v>
      </c>
      <c r="C1926" s="9" t="s">
        <v>3141</v>
      </c>
      <c r="D1926" s="10" t="s">
        <v>3142</v>
      </c>
      <c r="E1926" s="11" t="s">
        <v>4912</v>
      </c>
      <c r="F1926" s="17"/>
      <c r="G1926" s="12" t="s">
        <v>2033</v>
      </c>
      <c r="H1926" s="13" t="n">
        <v>-0.01</v>
      </c>
      <c r="I1926" s="14"/>
      <c r="J1926" s="17"/>
      <c r="K1926" s="9"/>
      <c r="L1926" s="15" t="s">
        <v>50</v>
      </c>
      <c r="M1926" s="16" t="s">
        <v>51</v>
      </c>
      <c r="N1926" s="14"/>
      <c r="O1926" s="15" t="s">
        <v>52</v>
      </c>
      <c r="P1926" s="17" t="s">
        <v>53</v>
      </c>
      <c r="Q1926" s="15"/>
      <c r="R1926" s="18" t="s">
        <v>51</v>
      </c>
      <c r="S1926" s="19"/>
      <c r="T1926" s="17" t="str">
        <f aca="false">IF(R1926="維持",J1926,IF(R1926="排除","無關新聞事件",IFERROR(INDEX(事件規則!$B$2:$B$53,MATCH(S1926,事件規則!$A$2:$A$53,0)),"")))</f>
        <v>無關新聞事件</v>
      </c>
      <c r="U1926" s="20" t="n">
        <f aca="false">IF(R1926="維持",K1926,IF(R1926="排除",0,IFERROR(INDEX(事件規則!$C$2:$C$53,MATCH(S1926,事件規則!$A$2:$A$53,0)),"")))</f>
        <v>0</v>
      </c>
      <c r="V1926" s="21"/>
      <c r="W1926" s="22"/>
      <c r="X1926" s="10" t="str">
        <f aca="false">IF(AND(R1926="修改",S1926=""),"請選新事件代碼",IF(AND(R1926&lt;&gt;"修改",S1926&lt;&gt;""),"只有「修改」才需填代碼",""))</f>
        <v/>
      </c>
      <c r="Y1926" s="21"/>
      <c r="Z1926" s="22"/>
      <c r="AA1926" s="12" t="s">
        <v>4913</v>
      </c>
      <c r="AB1926" s="24"/>
    </row>
    <row r="1927" customFormat="false" ht="29.85" hidden="false" customHeight="false" outlineLevel="0" collapsed="false">
      <c r="A1927" s="15" t="n">
        <v>1926</v>
      </c>
      <c r="B1927" s="9" t="s">
        <v>112</v>
      </c>
      <c r="C1927" s="9" t="s">
        <v>917</v>
      </c>
      <c r="D1927" s="10" t="s">
        <v>918</v>
      </c>
      <c r="E1927" s="11" t="s">
        <v>4914</v>
      </c>
      <c r="F1927" s="17"/>
      <c r="G1927" s="12" t="s">
        <v>105</v>
      </c>
      <c r="H1927" s="13" t="n">
        <v>-0.01</v>
      </c>
      <c r="I1927" s="14"/>
      <c r="J1927" s="17"/>
      <c r="K1927" s="9"/>
      <c r="L1927" s="15" t="s">
        <v>50</v>
      </c>
      <c r="M1927" s="16" t="s">
        <v>51</v>
      </c>
      <c r="N1927" s="14"/>
      <c r="O1927" s="15" t="s">
        <v>52</v>
      </c>
      <c r="P1927" s="17" t="s">
        <v>53</v>
      </c>
      <c r="Q1927" s="15"/>
      <c r="R1927" s="18" t="s">
        <v>51</v>
      </c>
      <c r="S1927" s="19"/>
      <c r="T1927" s="17" t="str">
        <f aca="false">IF(R1927="維持",J1927,IF(R1927="排除","無關新聞事件",IFERROR(INDEX(事件規則!$B$2:$B$53,MATCH(S1927,事件規則!$A$2:$A$53,0)),"")))</f>
        <v>無關新聞事件</v>
      </c>
      <c r="U1927" s="20" t="n">
        <f aca="false">IF(R1927="維持",K1927,IF(R1927="排除",0,IFERROR(INDEX(事件規則!$C$2:$C$53,MATCH(S1927,事件規則!$A$2:$A$53,0)),"")))</f>
        <v>0</v>
      </c>
      <c r="V1927" s="21"/>
      <c r="W1927" s="22"/>
      <c r="X1927" s="10" t="str">
        <f aca="false">IF(AND(R1927="修改",S1927=""),"請選新事件代碼",IF(AND(R1927&lt;&gt;"修改",S1927&lt;&gt;""),"只有「修改」才需填代碼",""))</f>
        <v/>
      </c>
      <c r="Y1927" s="21"/>
      <c r="Z1927" s="22"/>
      <c r="AA1927" s="12" t="s">
        <v>4915</v>
      </c>
      <c r="AB1927" s="24"/>
    </row>
    <row r="1928" customFormat="false" ht="29.85" hidden="false" customHeight="false" outlineLevel="0" collapsed="false">
      <c r="A1928" s="15" t="n">
        <v>1927</v>
      </c>
      <c r="B1928" s="9" t="s">
        <v>112</v>
      </c>
      <c r="C1928" s="9" t="s">
        <v>672</v>
      </c>
      <c r="D1928" s="10" t="s">
        <v>673</v>
      </c>
      <c r="E1928" s="11" t="s">
        <v>4916</v>
      </c>
      <c r="F1928" s="17"/>
      <c r="G1928" s="12" t="s">
        <v>2033</v>
      </c>
      <c r="H1928" s="13" t="n">
        <v>-0.01</v>
      </c>
      <c r="I1928" s="14"/>
      <c r="J1928" s="17"/>
      <c r="K1928" s="9"/>
      <c r="L1928" s="15" t="s">
        <v>50</v>
      </c>
      <c r="M1928" s="16" t="s">
        <v>51</v>
      </c>
      <c r="N1928" s="14"/>
      <c r="O1928" s="15" t="s">
        <v>52</v>
      </c>
      <c r="P1928" s="17" t="s">
        <v>53</v>
      </c>
      <c r="Q1928" s="15"/>
      <c r="R1928" s="18" t="s">
        <v>51</v>
      </c>
      <c r="S1928" s="19"/>
      <c r="T1928" s="17" t="str">
        <f aca="false">IF(R1928="維持",J1928,IF(R1928="排除","無關新聞事件",IFERROR(INDEX(事件規則!$B$2:$B$53,MATCH(S1928,事件規則!$A$2:$A$53,0)),"")))</f>
        <v>無關新聞事件</v>
      </c>
      <c r="U1928" s="20" t="n">
        <f aca="false">IF(R1928="維持",K1928,IF(R1928="排除",0,IFERROR(INDEX(事件規則!$C$2:$C$53,MATCH(S1928,事件規則!$A$2:$A$53,0)),"")))</f>
        <v>0</v>
      </c>
      <c r="V1928" s="21"/>
      <c r="W1928" s="22"/>
      <c r="X1928" s="10" t="str">
        <f aca="false">IF(AND(R1928="修改",S1928=""),"請選新事件代碼",IF(AND(R1928&lt;&gt;"修改",S1928&lt;&gt;""),"只有「修改」才需填代碼",""))</f>
        <v/>
      </c>
      <c r="Y1928" s="21"/>
      <c r="Z1928" s="22"/>
      <c r="AA1928" s="12" t="s">
        <v>4917</v>
      </c>
      <c r="AB1928" s="24"/>
    </row>
    <row r="1929" customFormat="false" ht="29.85" hidden="false" customHeight="false" outlineLevel="0" collapsed="false">
      <c r="A1929" s="15" t="n">
        <v>1928</v>
      </c>
      <c r="B1929" s="9" t="s">
        <v>112</v>
      </c>
      <c r="C1929" s="9" t="s">
        <v>1602</v>
      </c>
      <c r="D1929" s="10" t="s">
        <v>1603</v>
      </c>
      <c r="E1929" s="11" t="s">
        <v>4918</v>
      </c>
      <c r="F1929" s="17"/>
      <c r="G1929" s="12" t="s">
        <v>95</v>
      </c>
      <c r="H1929" s="13" t="n">
        <v>-0.01</v>
      </c>
      <c r="I1929" s="14"/>
      <c r="J1929" s="17"/>
      <c r="K1929" s="9"/>
      <c r="L1929" s="15" t="s">
        <v>50</v>
      </c>
      <c r="M1929" s="16" t="s">
        <v>51</v>
      </c>
      <c r="N1929" s="14"/>
      <c r="O1929" s="15" t="s">
        <v>52</v>
      </c>
      <c r="P1929" s="17" t="s">
        <v>53</v>
      </c>
      <c r="Q1929" s="15"/>
      <c r="R1929" s="18" t="s">
        <v>51</v>
      </c>
      <c r="S1929" s="19"/>
      <c r="T1929" s="17" t="str">
        <f aca="false">IF(R1929="維持",J1929,IF(R1929="排除","無關新聞事件",IFERROR(INDEX(事件規則!$B$2:$B$53,MATCH(S1929,事件規則!$A$2:$A$53,0)),"")))</f>
        <v>無關新聞事件</v>
      </c>
      <c r="U1929" s="20" t="n">
        <f aca="false">IF(R1929="維持",K1929,IF(R1929="排除",0,IFERROR(INDEX(事件規則!$C$2:$C$53,MATCH(S1929,事件規則!$A$2:$A$53,0)),"")))</f>
        <v>0</v>
      </c>
      <c r="V1929" s="21"/>
      <c r="W1929" s="22"/>
      <c r="X1929" s="10" t="str">
        <f aca="false">IF(AND(R1929="修改",S1929=""),"請選新事件代碼",IF(AND(R1929&lt;&gt;"修改",S1929&lt;&gt;""),"只有「修改」才需填代碼",""))</f>
        <v/>
      </c>
      <c r="Y1929" s="21"/>
      <c r="Z1929" s="22"/>
      <c r="AA1929" s="12" t="s">
        <v>4919</v>
      </c>
      <c r="AB1929" s="24"/>
    </row>
    <row r="1930" customFormat="false" ht="29.85" hidden="false" customHeight="false" outlineLevel="0" collapsed="false">
      <c r="A1930" s="15" t="n">
        <v>1929</v>
      </c>
      <c r="B1930" s="9" t="s">
        <v>112</v>
      </c>
      <c r="C1930" s="9" t="s">
        <v>135</v>
      </c>
      <c r="D1930" s="10" t="s">
        <v>136</v>
      </c>
      <c r="E1930" s="11" t="s">
        <v>4920</v>
      </c>
      <c r="F1930" s="17"/>
      <c r="G1930" s="12" t="s">
        <v>949</v>
      </c>
      <c r="H1930" s="13" t="n">
        <v>-0.01</v>
      </c>
      <c r="I1930" s="14"/>
      <c r="J1930" s="17"/>
      <c r="K1930" s="9"/>
      <c r="L1930" s="15" t="s">
        <v>50</v>
      </c>
      <c r="M1930" s="16" t="s">
        <v>51</v>
      </c>
      <c r="N1930" s="14"/>
      <c r="O1930" s="15" t="s">
        <v>52</v>
      </c>
      <c r="P1930" s="17" t="s">
        <v>53</v>
      </c>
      <c r="Q1930" s="15"/>
      <c r="R1930" s="18" t="s">
        <v>51</v>
      </c>
      <c r="S1930" s="19"/>
      <c r="T1930" s="17" t="str">
        <f aca="false">IF(R1930="維持",J1930,IF(R1930="排除","無關新聞事件",IFERROR(INDEX(事件規則!$B$2:$B$53,MATCH(S1930,事件規則!$A$2:$A$53,0)),"")))</f>
        <v>無關新聞事件</v>
      </c>
      <c r="U1930" s="20" t="n">
        <f aca="false">IF(R1930="維持",K1930,IF(R1930="排除",0,IFERROR(INDEX(事件規則!$C$2:$C$53,MATCH(S1930,事件規則!$A$2:$A$53,0)),"")))</f>
        <v>0</v>
      </c>
      <c r="V1930" s="21"/>
      <c r="W1930" s="22"/>
      <c r="X1930" s="10" t="str">
        <f aca="false">IF(AND(R1930="修改",S1930=""),"請選新事件代碼",IF(AND(R1930&lt;&gt;"修改",S1930&lt;&gt;""),"只有「修改」才需填代碼",""))</f>
        <v/>
      </c>
      <c r="Y1930" s="21"/>
      <c r="Z1930" s="22"/>
      <c r="AA1930" s="12" t="s">
        <v>4921</v>
      </c>
      <c r="AB1930" s="24"/>
    </row>
    <row r="1931" customFormat="false" ht="29.85" hidden="false" customHeight="false" outlineLevel="0" collapsed="false">
      <c r="A1931" s="15" t="n">
        <v>1930</v>
      </c>
      <c r="B1931" s="9" t="s">
        <v>112</v>
      </c>
      <c r="C1931" s="9" t="s">
        <v>569</v>
      </c>
      <c r="D1931" s="10" t="s">
        <v>570</v>
      </c>
      <c r="E1931" s="11" t="s">
        <v>4922</v>
      </c>
      <c r="F1931" s="17"/>
      <c r="G1931" s="12" t="s">
        <v>95</v>
      </c>
      <c r="H1931" s="13" t="n">
        <v>-0.01</v>
      </c>
      <c r="I1931" s="14"/>
      <c r="J1931" s="17"/>
      <c r="K1931" s="9"/>
      <c r="L1931" s="15" t="s">
        <v>50</v>
      </c>
      <c r="M1931" s="16" t="s">
        <v>51</v>
      </c>
      <c r="N1931" s="14"/>
      <c r="O1931" s="15" t="s">
        <v>52</v>
      </c>
      <c r="P1931" s="17" t="s">
        <v>53</v>
      </c>
      <c r="Q1931" s="15"/>
      <c r="R1931" s="18" t="s">
        <v>51</v>
      </c>
      <c r="S1931" s="19"/>
      <c r="T1931" s="17" t="str">
        <f aca="false">IF(R1931="維持",J1931,IF(R1931="排除","無關新聞事件",IFERROR(INDEX(事件規則!$B$2:$B$53,MATCH(S1931,事件規則!$A$2:$A$53,0)),"")))</f>
        <v>無關新聞事件</v>
      </c>
      <c r="U1931" s="20" t="n">
        <f aca="false">IF(R1931="維持",K1931,IF(R1931="排除",0,IFERROR(INDEX(事件規則!$C$2:$C$53,MATCH(S1931,事件規則!$A$2:$A$53,0)),"")))</f>
        <v>0</v>
      </c>
      <c r="V1931" s="21"/>
      <c r="W1931" s="22"/>
      <c r="X1931" s="10" t="str">
        <f aca="false">IF(AND(R1931="修改",S1931=""),"請選新事件代碼",IF(AND(R1931&lt;&gt;"修改",S1931&lt;&gt;""),"只有「修改」才需填代碼",""))</f>
        <v/>
      </c>
      <c r="Y1931" s="21"/>
      <c r="Z1931" s="22"/>
      <c r="AA1931" s="12" t="s">
        <v>4923</v>
      </c>
      <c r="AB1931" s="24"/>
    </row>
    <row r="1932" customFormat="false" ht="29.85" hidden="false" customHeight="false" outlineLevel="0" collapsed="false">
      <c r="A1932" s="15" t="n">
        <v>1931</v>
      </c>
      <c r="B1932" s="9" t="s">
        <v>112</v>
      </c>
      <c r="C1932" s="9" t="s">
        <v>569</v>
      </c>
      <c r="D1932" s="10" t="s">
        <v>570</v>
      </c>
      <c r="E1932" s="11" t="s">
        <v>4924</v>
      </c>
      <c r="F1932" s="17"/>
      <c r="G1932" s="12" t="s">
        <v>95</v>
      </c>
      <c r="H1932" s="13" t="n">
        <v>-0.01</v>
      </c>
      <c r="I1932" s="14"/>
      <c r="J1932" s="17"/>
      <c r="K1932" s="9"/>
      <c r="L1932" s="15" t="s">
        <v>50</v>
      </c>
      <c r="M1932" s="16" t="s">
        <v>51</v>
      </c>
      <c r="N1932" s="14"/>
      <c r="O1932" s="15" t="s">
        <v>52</v>
      </c>
      <c r="P1932" s="17" t="s">
        <v>53</v>
      </c>
      <c r="Q1932" s="15"/>
      <c r="R1932" s="18" t="s">
        <v>51</v>
      </c>
      <c r="S1932" s="19"/>
      <c r="T1932" s="17" t="str">
        <f aca="false">IF(R1932="維持",J1932,IF(R1932="排除","無關新聞事件",IFERROR(INDEX(事件規則!$B$2:$B$53,MATCH(S1932,事件規則!$A$2:$A$53,0)),"")))</f>
        <v>無關新聞事件</v>
      </c>
      <c r="U1932" s="20" t="n">
        <f aca="false">IF(R1932="維持",K1932,IF(R1932="排除",0,IFERROR(INDEX(事件規則!$C$2:$C$53,MATCH(S1932,事件規則!$A$2:$A$53,0)),"")))</f>
        <v>0</v>
      </c>
      <c r="V1932" s="21"/>
      <c r="W1932" s="22"/>
      <c r="X1932" s="10" t="str">
        <f aca="false">IF(AND(R1932="修改",S1932=""),"請選新事件代碼",IF(AND(R1932&lt;&gt;"修改",S1932&lt;&gt;""),"只有「修改」才需填代碼",""))</f>
        <v/>
      </c>
      <c r="Y1932" s="21"/>
      <c r="Z1932" s="22"/>
      <c r="AA1932" s="12" t="s">
        <v>4925</v>
      </c>
      <c r="AB1932" s="24"/>
    </row>
    <row r="1933" customFormat="false" ht="29.85" hidden="false" customHeight="false" outlineLevel="0" collapsed="false">
      <c r="A1933" s="15" t="n">
        <v>1932</v>
      </c>
      <c r="B1933" s="9" t="s">
        <v>112</v>
      </c>
      <c r="C1933" s="9" t="s">
        <v>4926</v>
      </c>
      <c r="D1933" s="10" t="s">
        <v>4927</v>
      </c>
      <c r="E1933" s="11" t="s">
        <v>4928</v>
      </c>
      <c r="F1933" s="17"/>
      <c r="G1933" s="12" t="s">
        <v>2033</v>
      </c>
      <c r="H1933" s="13" t="n">
        <v>-0.01</v>
      </c>
      <c r="I1933" s="14"/>
      <c r="J1933" s="17"/>
      <c r="K1933" s="9"/>
      <c r="L1933" s="15" t="s">
        <v>50</v>
      </c>
      <c r="M1933" s="16" t="s">
        <v>51</v>
      </c>
      <c r="N1933" s="14"/>
      <c r="O1933" s="15" t="s">
        <v>52</v>
      </c>
      <c r="P1933" s="17" t="s">
        <v>53</v>
      </c>
      <c r="Q1933" s="15"/>
      <c r="R1933" s="18" t="s">
        <v>51</v>
      </c>
      <c r="S1933" s="19"/>
      <c r="T1933" s="17" t="str">
        <f aca="false">IF(R1933="維持",J1933,IF(R1933="排除","無關新聞事件",IFERROR(INDEX(事件規則!$B$2:$B$53,MATCH(S1933,事件規則!$A$2:$A$53,0)),"")))</f>
        <v>無關新聞事件</v>
      </c>
      <c r="U1933" s="20" t="n">
        <f aca="false">IF(R1933="維持",K1933,IF(R1933="排除",0,IFERROR(INDEX(事件規則!$C$2:$C$53,MATCH(S1933,事件規則!$A$2:$A$53,0)),"")))</f>
        <v>0</v>
      </c>
      <c r="V1933" s="21"/>
      <c r="W1933" s="22"/>
      <c r="X1933" s="10" t="str">
        <f aca="false">IF(AND(R1933="修改",S1933=""),"請選新事件代碼",IF(AND(R1933&lt;&gt;"修改",S1933&lt;&gt;""),"只有「修改」才需填代碼",""))</f>
        <v/>
      </c>
      <c r="Y1933" s="21"/>
      <c r="Z1933" s="22"/>
      <c r="AA1933" s="12" t="s">
        <v>4929</v>
      </c>
      <c r="AB1933" s="24"/>
    </row>
    <row r="1934" customFormat="false" ht="29.85" hidden="false" customHeight="false" outlineLevel="0" collapsed="false">
      <c r="A1934" s="15" t="n">
        <v>1933</v>
      </c>
      <c r="B1934" s="9" t="s">
        <v>55</v>
      </c>
      <c r="C1934" s="9" t="s">
        <v>936</v>
      </c>
      <c r="D1934" s="10" t="s">
        <v>937</v>
      </c>
      <c r="E1934" s="11" t="s">
        <v>4930</v>
      </c>
      <c r="F1934" s="17"/>
      <c r="G1934" s="12" t="s">
        <v>1136</v>
      </c>
      <c r="H1934" s="13" t="n">
        <v>-0.009</v>
      </c>
      <c r="I1934" s="14"/>
      <c r="J1934" s="17"/>
      <c r="K1934" s="9"/>
      <c r="L1934" s="15" t="s">
        <v>50</v>
      </c>
      <c r="M1934" s="16" t="s">
        <v>51</v>
      </c>
      <c r="N1934" s="14"/>
      <c r="O1934" s="15" t="s">
        <v>52</v>
      </c>
      <c r="P1934" s="17" t="s">
        <v>53</v>
      </c>
      <c r="Q1934" s="15"/>
      <c r="R1934" s="18" t="s">
        <v>51</v>
      </c>
      <c r="S1934" s="19"/>
      <c r="T1934" s="17" t="str">
        <f aca="false">IF(R1934="維持",J1934,IF(R1934="排除","無關新聞事件",IFERROR(INDEX(事件規則!$B$2:$B$53,MATCH(S1934,事件規則!$A$2:$A$53,0)),"")))</f>
        <v>無關新聞事件</v>
      </c>
      <c r="U1934" s="20" t="n">
        <f aca="false">IF(R1934="維持",K1934,IF(R1934="排除",0,IFERROR(INDEX(事件規則!$C$2:$C$53,MATCH(S1934,事件規則!$A$2:$A$53,0)),"")))</f>
        <v>0</v>
      </c>
      <c r="V1934" s="21"/>
      <c r="W1934" s="22"/>
      <c r="X1934" s="10" t="str">
        <f aca="false">IF(AND(R1934="修改",S1934=""),"請選新事件代碼",IF(AND(R1934&lt;&gt;"修改",S1934&lt;&gt;""),"只有「修改」才需填代碼",""))</f>
        <v/>
      </c>
      <c r="Y1934" s="21"/>
      <c r="Z1934" s="22"/>
      <c r="AA1934" s="12" t="s">
        <v>4931</v>
      </c>
      <c r="AB1934" s="24"/>
    </row>
    <row r="1935" customFormat="false" ht="29.85" hidden="false" customHeight="false" outlineLevel="0" collapsed="false">
      <c r="A1935" s="15" t="n">
        <v>1934</v>
      </c>
      <c r="B1935" s="9" t="s">
        <v>55</v>
      </c>
      <c r="C1935" s="9" t="s">
        <v>1318</v>
      </c>
      <c r="D1935" s="10" t="s">
        <v>1319</v>
      </c>
      <c r="E1935" s="11" t="s">
        <v>4932</v>
      </c>
      <c r="F1935" s="17"/>
      <c r="G1935" s="12" t="s">
        <v>1068</v>
      </c>
      <c r="H1935" s="13" t="n">
        <v>-0.009</v>
      </c>
      <c r="I1935" s="14"/>
      <c r="J1935" s="17"/>
      <c r="K1935" s="9"/>
      <c r="L1935" s="15" t="s">
        <v>50</v>
      </c>
      <c r="M1935" s="16" t="s">
        <v>51</v>
      </c>
      <c r="N1935" s="14"/>
      <c r="O1935" s="15" t="s">
        <v>52</v>
      </c>
      <c r="P1935" s="17" t="s">
        <v>53</v>
      </c>
      <c r="Q1935" s="15"/>
      <c r="R1935" s="18" t="s">
        <v>51</v>
      </c>
      <c r="S1935" s="19"/>
      <c r="T1935" s="17" t="str">
        <f aca="false">IF(R1935="維持",J1935,IF(R1935="排除","無關新聞事件",IFERROR(INDEX(事件規則!$B$2:$B$53,MATCH(S1935,事件規則!$A$2:$A$53,0)),"")))</f>
        <v>無關新聞事件</v>
      </c>
      <c r="U1935" s="20" t="n">
        <f aca="false">IF(R1935="維持",K1935,IF(R1935="排除",0,IFERROR(INDEX(事件規則!$C$2:$C$53,MATCH(S1935,事件規則!$A$2:$A$53,0)),"")))</f>
        <v>0</v>
      </c>
      <c r="V1935" s="21"/>
      <c r="W1935" s="22"/>
      <c r="X1935" s="10" t="str">
        <f aca="false">IF(AND(R1935="修改",S1935=""),"請選新事件代碼",IF(AND(R1935&lt;&gt;"修改",S1935&lt;&gt;""),"只有「修改」才需填代碼",""))</f>
        <v/>
      </c>
      <c r="Y1935" s="21"/>
      <c r="Z1935" s="22"/>
      <c r="AA1935" s="12" t="s">
        <v>4933</v>
      </c>
      <c r="AB1935" s="24"/>
    </row>
    <row r="1936" customFormat="false" ht="29.85" hidden="false" customHeight="false" outlineLevel="0" collapsed="false">
      <c r="A1936" s="15" t="n">
        <v>1935</v>
      </c>
      <c r="B1936" s="9" t="s">
        <v>55</v>
      </c>
      <c r="C1936" s="9" t="s">
        <v>3373</v>
      </c>
      <c r="D1936" s="10" t="s">
        <v>3374</v>
      </c>
      <c r="E1936" s="11" t="s">
        <v>4934</v>
      </c>
      <c r="F1936" s="17"/>
      <c r="G1936" s="12" t="s">
        <v>3221</v>
      </c>
      <c r="H1936" s="13" t="n">
        <v>-0.009</v>
      </c>
      <c r="I1936" s="14"/>
      <c r="J1936" s="17"/>
      <c r="K1936" s="9"/>
      <c r="L1936" s="15" t="s">
        <v>50</v>
      </c>
      <c r="M1936" s="16" t="s">
        <v>51</v>
      </c>
      <c r="N1936" s="14"/>
      <c r="O1936" s="15" t="s">
        <v>52</v>
      </c>
      <c r="P1936" s="17" t="s">
        <v>53</v>
      </c>
      <c r="Q1936" s="15"/>
      <c r="R1936" s="18" t="s">
        <v>51</v>
      </c>
      <c r="S1936" s="19"/>
      <c r="T1936" s="17" t="str">
        <f aca="false">IF(R1936="維持",J1936,IF(R1936="排除","無關新聞事件",IFERROR(INDEX(事件規則!$B$2:$B$53,MATCH(S1936,事件規則!$A$2:$A$53,0)),"")))</f>
        <v>無關新聞事件</v>
      </c>
      <c r="U1936" s="20" t="n">
        <f aca="false">IF(R1936="維持",K1936,IF(R1936="排除",0,IFERROR(INDEX(事件規則!$C$2:$C$53,MATCH(S1936,事件規則!$A$2:$A$53,0)),"")))</f>
        <v>0</v>
      </c>
      <c r="V1936" s="21"/>
      <c r="W1936" s="22"/>
      <c r="X1936" s="10" t="str">
        <f aca="false">IF(AND(R1936="修改",S1936=""),"請選新事件代碼",IF(AND(R1936&lt;&gt;"修改",S1936&lt;&gt;""),"只有「修改」才需填代碼",""))</f>
        <v/>
      </c>
      <c r="Y1936" s="21"/>
      <c r="Z1936" s="22"/>
      <c r="AA1936" s="12" t="s">
        <v>4935</v>
      </c>
      <c r="AB1936" s="24"/>
    </row>
    <row r="1937" customFormat="false" ht="29.85" hidden="false" customHeight="false" outlineLevel="0" collapsed="false">
      <c r="A1937" s="15" t="n">
        <v>1936</v>
      </c>
      <c r="B1937" s="9" t="s">
        <v>55</v>
      </c>
      <c r="C1937" s="9" t="s">
        <v>3835</v>
      </c>
      <c r="D1937" s="10" t="s">
        <v>3836</v>
      </c>
      <c r="E1937" s="11" t="s">
        <v>4936</v>
      </c>
      <c r="F1937" s="17"/>
      <c r="G1937" s="12" t="s">
        <v>949</v>
      </c>
      <c r="H1937" s="13" t="n">
        <v>-0.009</v>
      </c>
      <c r="I1937" s="14"/>
      <c r="J1937" s="17"/>
      <c r="K1937" s="9"/>
      <c r="L1937" s="15" t="s">
        <v>50</v>
      </c>
      <c r="M1937" s="16" t="s">
        <v>51</v>
      </c>
      <c r="N1937" s="14"/>
      <c r="O1937" s="15" t="s">
        <v>52</v>
      </c>
      <c r="P1937" s="17" t="s">
        <v>53</v>
      </c>
      <c r="Q1937" s="15"/>
      <c r="R1937" s="18" t="s">
        <v>51</v>
      </c>
      <c r="S1937" s="19"/>
      <c r="T1937" s="17" t="str">
        <f aca="false">IF(R1937="維持",J1937,IF(R1937="排除","無關新聞事件",IFERROR(INDEX(事件規則!$B$2:$B$53,MATCH(S1937,事件規則!$A$2:$A$53,0)),"")))</f>
        <v>無關新聞事件</v>
      </c>
      <c r="U1937" s="20" t="n">
        <f aca="false">IF(R1937="維持",K1937,IF(R1937="排除",0,IFERROR(INDEX(事件規則!$C$2:$C$53,MATCH(S1937,事件規則!$A$2:$A$53,0)),"")))</f>
        <v>0</v>
      </c>
      <c r="V1937" s="21"/>
      <c r="W1937" s="22"/>
      <c r="X1937" s="10" t="str">
        <f aca="false">IF(AND(R1937="修改",S1937=""),"請選新事件代碼",IF(AND(R1937&lt;&gt;"修改",S1937&lt;&gt;""),"只有「修改」才需填代碼",""))</f>
        <v/>
      </c>
      <c r="Y1937" s="21"/>
      <c r="Z1937" s="22"/>
      <c r="AA1937" s="12" t="s">
        <v>4937</v>
      </c>
      <c r="AB1937" s="24"/>
    </row>
    <row r="1938" customFormat="false" ht="29.85" hidden="false" customHeight="false" outlineLevel="0" collapsed="false">
      <c r="A1938" s="15" t="n">
        <v>1937</v>
      </c>
      <c r="B1938" s="9" t="s">
        <v>112</v>
      </c>
      <c r="C1938" s="9" t="s">
        <v>987</v>
      </c>
      <c r="D1938" s="10" t="s">
        <v>988</v>
      </c>
      <c r="E1938" s="11" t="s">
        <v>4938</v>
      </c>
      <c r="F1938" s="17"/>
      <c r="G1938" s="12" t="s">
        <v>105</v>
      </c>
      <c r="H1938" s="13" t="n">
        <v>-0.009</v>
      </c>
      <c r="I1938" s="14"/>
      <c r="J1938" s="17"/>
      <c r="K1938" s="9"/>
      <c r="L1938" s="15" t="s">
        <v>50</v>
      </c>
      <c r="M1938" s="16" t="s">
        <v>51</v>
      </c>
      <c r="N1938" s="14"/>
      <c r="O1938" s="15" t="s">
        <v>52</v>
      </c>
      <c r="P1938" s="17" t="s">
        <v>53</v>
      </c>
      <c r="Q1938" s="15"/>
      <c r="R1938" s="18" t="s">
        <v>51</v>
      </c>
      <c r="S1938" s="19"/>
      <c r="T1938" s="17" t="str">
        <f aca="false">IF(R1938="維持",J1938,IF(R1938="排除","無關新聞事件",IFERROR(INDEX(事件規則!$B$2:$B$53,MATCH(S1938,事件規則!$A$2:$A$53,0)),"")))</f>
        <v>無關新聞事件</v>
      </c>
      <c r="U1938" s="20" t="n">
        <f aca="false">IF(R1938="維持",K1938,IF(R1938="排除",0,IFERROR(INDEX(事件規則!$C$2:$C$53,MATCH(S1938,事件規則!$A$2:$A$53,0)),"")))</f>
        <v>0</v>
      </c>
      <c r="V1938" s="21"/>
      <c r="W1938" s="22"/>
      <c r="X1938" s="10" t="str">
        <f aca="false">IF(AND(R1938="修改",S1938=""),"請選新事件代碼",IF(AND(R1938&lt;&gt;"修改",S1938&lt;&gt;""),"只有「修改」才需填代碼",""))</f>
        <v/>
      </c>
      <c r="Y1938" s="21"/>
      <c r="Z1938" s="22"/>
      <c r="AA1938" s="12" t="s">
        <v>4939</v>
      </c>
      <c r="AB1938" s="24"/>
    </row>
    <row r="1939" customFormat="false" ht="29.85" hidden="false" customHeight="false" outlineLevel="0" collapsed="false">
      <c r="A1939" s="15" t="n">
        <v>1938</v>
      </c>
      <c r="B1939" s="9" t="s">
        <v>112</v>
      </c>
      <c r="C1939" s="9" t="s">
        <v>2598</v>
      </c>
      <c r="D1939" s="10" t="s">
        <v>2599</v>
      </c>
      <c r="E1939" s="11" t="s">
        <v>4940</v>
      </c>
      <c r="F1939" s="17"/>
      <c r="G1939" s="12" t="s">
        <v>2033</v>
      </c>
      <c r="H1939" s="13" t="n">
        <v>-0.009</v>
      </c>
      <c r="I1939" s="14"/>
      <c r="J1939" s="17"/>
      <c r="K1939" s="9"/>
      <c r="L1939" s="15" t="s">
        <v>50</v>
      </c>
      <c r="M1939" s="16" t="s">
        <v>51</v>
      </c>
      <c r="N1939" s="14"/>
      <c r="O1939" s="15" t="s">
        <v>52</v>
      </c>
      <c r="P1939" s="17" t="s">
        <v>53</v>
      </c>
      <c r="Q1939" s="15"/>
      <c r="R1939" s="18" t="s">
        <v>51</v>
      </c>
      <c r="S1939" s="19"/>
      <c r="T1939" s="17" t="str">
        <f aca="false">IF(R1939="維持",J1939,IF(R1939="排除","無關新聞事件",IFERROR(INDEX(事件規則!$B$2:$B$53,MATCH(S1939,事件規則!$A$2:$A$53,0)),"")))</f>
        <v>無關新聞事件</v>
      </c>
      <c r="U1939" s="20" t="n">
        <f aca="false">IF(R1939="維持",K1939,IF(R1939="排除",0,IFERROR(INDEX(事件規則!$C$2:$C$53,MATCH(S1939,事件規則!$A$2:$A$53,0)),"")))</f>
        <v>0</v>
      </c>
      <c r="V1939" s="21"/>
      <c r="W1939" s="22"/>
      <c r="X1939" s="10" t="str">
        <f aca="false">IF(AND(R1939="修改",S1939=""),"請選新事件代碼",IF(AND(R1939&lt;&gt;"修改",S1939&lt;&gt;""),"只有「修改」才需填代碼",""))</f>
        <v/>
      </c>
      <c r="Y1939" s="21"/>
      <c r="Z1939" s="22"/>
      <c r="AA1939" s="12" t="s">
        <v>4941</v>
      </c>
      <c r="AB1939" s="24"/>
    </row>
    <row r="1940" customFormat="false" ht="29.85" hidden="false" customHeight="false" outlineLevel="0" collapsed="false">
      <c r="A1940" s="15" t="n">
        <v>1939</v>
      </c>
      <c r="B1940" s="9" t="s">
        <v>45</v>
      </c>
      <c r="C1940" s="9" t="s">
        <v>2697</v>
      </c>
      <c r="D1940" s="10" t="s">
        <v>2698</v>
      </c>
      <c r="E1940" s="11" t="s">
        <v>4942</v>
      </c>
      <c r="F1940" s="17"/>
      <c r="G1940" s="12" t="s">
        <v>1136</v>
      </c>
      <c r="H1940" s="13" t="n">
        <v>-0.009</v>
      </c>
      <c r="I1940" s="14"/>
      <c r="J1940" s="17"/>
      <c r="K1940" s="9"/>
      <c r="L1940" s="15" t="s">
        <v>50</v>
      </c>
      <c r="M1940" s="16" t="s">
        <v>51</v>
      </c>
      <c r="N1940" s="14"/>
      <c r="O1940" s="15" t="s">
        <v>52</v>
      </c>
      <c r="P1940" s="17" t="s">
        <v>53</v>
      </c>
      <c r="Q1940" s="15"/>
      <c r="R1940" s="18" t="s">
        <v>51</v>
      </c>
      <c r="S1940" s="19"/>
      <c r="T1940" s="17" t="str">
        <f aca="false">IF(R1940="維持",J1940,IF(R1940="排除","無關新聞事件",IFERROR(INDEX(事件規則!$B$2:$B$53,MATCH(S1940,事件規則!$A$2:$A$53,0)),"")))</f>
        <v>無關新聞事件</v>
      </c>
      <c r="U1940" s="20" t="n">
        <f aca="false">IF(R1940="維持",K1940,IF(R1940="排除",0,IFERROR(INDEX(事件規則!$C$2:$C$53,MATCH(S1940,事件規則!$A$2:$A$53,0)),"")))</f>
        <v>0</v>
      </c>
      <c r="V1940" s="21"/>
      <c r="W1940" s="22"/>
      <c r="X1940" s="10" t="str">
        <f aca="false">IF(AND(R1940="修改",S1940=""),"請選新事件代碼",IF(AND(R1940&lt;&gt;"修改",S1940&lt;&gt;""),"只有「修改」才需填代碼",""))</f>
        <v/>
      </c>
      <c r="Y1940" s="21"/>
      <c r="Z1940" s="22"/>
      <c r="AA1940" s="12" t="s">
        <v>4943</v>
      </c>
      <c r="AB1940" s="24"/>
    </row>
    <row r="1941" customFormat="false" ht="29.85" hidden="false" customHeight="false" outlineLevel="0" collapsed="false">
      <c r="A1941" s="15" t="n">
        <v>1940</v>
      </c>
      <c r="B1941" s="9" t="s">
        <v>45</v>
      </c>
      <c r="C1941" s="9" t="s">
        <v>102</v>
      </c>
      <c r="D1941" s="10" t="s">
        <v>103</v>
      </c>
      <c r="E1941" s="11" t="s">
        <v>4944</v>
      </c>
      <c r="F1941" s="17"/>
      <c r="G1941" s="12" t="s">
        <v>176</v>
      </c>
      <c r="H1941" s="13" t="n">
        <v>-0.009</v>
      </c>
      <c r="I1941" s="14"/>
      <c r="J1941" s="17"/>
      <c r="K1941" s="9"/>
      <c r="L1941" s="15" t="s">
        <v>50</v>
      </c>
      <c r="M1941" s="16" t="s">
        <v>51</v>
      </c>
      <c r="N1941" s="14"/>
      <c r="O1941" s="15" t="s">
        <v>52</v>
      </c>
      <c r="P1941" s="17" t="s">
        <v>53</v>
      </c>
      <c r="Q1941" s="15"/>
      <c r="R1941" s="18" t="s">
        <v>51</v>
      </c>
      <c r="S1941" s="19"/>
      <c r="T1941" s="17" t="str">
        <f aca="false">IF(R1941="維持",J1941,IF(R1941="排除","無關新聞事件",IFERROR(INDEX(事件規則!$B$2:$B$53,MATCH(S1941,事件規則!$A$2:$A$53,0)),"")))</f>
        <v>無關新聞事件</v>
      </c>
      <c r="U1941" s="20" t="n">
        <f aca="false">IF(R1941="維持",K1941,IF(R1941="排除",0,IFERROR(INDEX(事件規則!$C$2:$C$53,MATCH(S1941,事件規則!$A$2:$A$53,0)),"")))</f>
        <v>0</v>
      </c>
      <c r="V1941" s="21"/>
      <c r="W1941" s="22"/>
      <c r="X1941" s="10" t="str">
        <f aca="false">IF(AND(R1941="修改",S1941=""),"請選新事件代碼",IF(AND(R1941&lt;&gt;"修改",S1941&lt;&gt;""),"只有「修改」才需填代碼",""))</f>
        <v/>
      </c>
      <c r="Y1941" s="21"/>
      <c r="Z1941" s="22"/>
      <c r="AA1941" s="12" t="s">
        <v>4945</v>
      </c>
      <c r="AB1941" s="24"/>
    </row>
    <row r="1942" customFormat="false" ht="29.85" hidden="false" customHeight="false" outlineLevel="0" collapsed="false">
      <c r="A1942" s="15" t="n">
        <v>1941</v>
      </c>
      <c r="B1942" s="9" t="s">
        <v>45</v>
      </c>
      <c r="C1942" s="9" t="s">
        <v>102</v>
      </c>
      <c r="D1942" s="10" t="s">
        <v>103</v>
      </c>
      <c r="E1942" s="11" t="s">
        <v>4946</v>
      </c>
      <c r="F1942" s="17"/>
      <c r="G1942" s="12" t="s">
        <v>95</v>
      </c>
      <c r="H1942" s="13" t="n">
        <v>-0.009</v>
      </c>
      <c r="I1942" s="14"/>
      <c r="J1942" s="17"/>
      <c r="K1942" s="9"/>
      <c r="L1942" s="15" t="s">
        <v>50</v>
      </c>
      <c r="M1942" s="16" t="s">
        <v>51</v>
      </c>
      <c r="N1942" s="14"/>
      <c r="O1942" s="15" t="s">
        <v>52</v>
      </c>
      <c r="P1942" s="17" t="s">
        <v>53</v>
      </c>
      <c r="Q1942" s="15"/>
      <c r="R1942" s="18" t="s">
        <v>51</v>
      </c>
      <c r="S1942" s="19"/>
      <c r="T1942" s="17" t="str">
        <f aca="false">IF(R1942="維持",J1942,IF(R1942="排除","無關新聞事件",IFERROR(INDEX(事件規則!$B$2:$B$53,MATCH(S1942,事件規則!$A$2:$A$53,0)),"")))</f>
        <v>無關新聞事件</v>
      </c>
      <c r="U1942" s="20" t="n">
        <f aca="false">IF(R1942="維持",K1942,IF(R1942="排除",0,IFERROR(INDEX(事件規則!$C$2:$C$53,MATCH(S1942,事件規則!$A$2:$A$53,0)),"")))</f>
        <v>0</v>
      </c>
      <c r="V1942" s="21"/>
      <c r="W1942" s="22"/>
      <c r="X1942" s="10" t="str">
        <f aca="false">IF(AND(R1942="修改",S1942=""),"請選新事件代碼",IF(AND(R1942&lt;&gt;"修改",S1942&lt;&gt;""),"只有「修改」才需填代碼",""))</f>
        <v/>
      </c>
      <c r="Y1942" s="21"/>
      <c r="Z1942" s="22"/>
      <c r="AA1942" s="12" t="s">
        <v>4947</v>
      </c>
      <c r="AB1942" s="24"/>
    </row>
    <row r="1943" customFormat="false" ht="29.85" hidden="false" customHeight="false" outlineLevel="0" collapsed="false">
      <c r="A1943" s="15" t="n">
        <v>1942</v>
      </c>
      <c r="B1943" s="9" t="s">
        <v>45</v>
      </c>
      <c r="C1943" s="9" t="s">
        <v>4948</v>
      </c>
      <c r="D1943" s="10" t="s">
        <v>4949</v>
      </c>
      <c r="E1943" s="11" t="s">
        <v>4950</v>
      </c>
      <c r="F1943" s="17"/>
      <c r="G1943" s="12" t="s">
        <v>176</v>
      </c>
      <c r="H1943" s="13" t="n">
        <v>-0.009</v>
      </c>
      <c r="I1943" s="14"/>
      <c r="J1943" s="17"/>
      <c r="K1943" s="9"/>
      <c r="L1943" s="15" t="s">
        <v>50</v>
      </c>
      <c r="M1943" s="16" t="s">
        <v>51</v>
      </c>
      <c r="N1943" s="14"/>
      <c r="O1943" s="15" t="s">
        <v>52</v>
      </c>
      <c r="P1943" s="17" t="s">
        <v>53</v>
      </c>
      <c r="Q1943" s="15"/>
      <c r="R1943" s="18" t="s">
        <v>51</v>
      </c>
      <c r="S1943" s="19"/>
      <c r="T1943" s="17" t="str">
        <f aca="false">IF(R1943="維持",J1943,IF(R1943="排除","無關新聞事件",IFERROR(INDEX(事件規則!$B$2:$B$53,MATCH(S1943,事件規則!$A$2:$A$53,0)),"")))</f>
        <v>無關新聞事件</v>
      </c>
      <c r="U1943" s="20" t="n">
        <f aca="false">IF(R1943="維持",K1943,IF(R1943="排除",0,IFERROR(INDEX(事件規則!$C$2:$C$53,MATCH(S1943,事件規則!$A$2:$A$53,0)),"")))</f>
        <v>0</v>
      </c>
      <c r="V1943" s="21"/>
      <c r="W1943" s="22"/>
      <c r="X1943" s="10" t="str">
        <f aca="false">IF(AND(R1943="修改",S1943=""),"請選新事件代碼",IF(AND(R1943&lt;&gt;"修改",S1943&lt;&gt;""),"只有「修改」才需填代碼",""))</f>
        <v/>
      </c>
      <c r="Y1943" s="21"/>
      <c r="Z1943" s="22"/>
      <c r="AA1943" s="12" t="s">
        <v>4951</v>
      </c>
      <c r="AB1943" s="24"/>
    </row>
    <row r="1944" customFormat="false" ht="29.85" hidden="false" customHeight="false" outlineLevel="0" collapsed="false">
      <c r="A1944" s="15" t="n">
        <v>1943</v>
      </c>
      <c r="B1944" s="9" t="s">
        <v>45</v>
      </c>
      <c r="C1944" s="9" t="s">
        <v>2181</v>
      </c>
      <c r="D1944" s="10" t="s">
        <v>2182</v>
      </c>
      <c r="E1944" s="11" t="s">
        <v>4952</v>
      </c>
      <c r="F1944" s="17"/>
      <c r="G1944" s="12" t="s">
        <v>4652</v>
      </c>
      <c r="H1944" s="13" t="n">
        <v>-0.009</v>
      </c>
      <c r="I1944" s="14"/>
      <c r="J1944" s="17"/>
      <c r="K1944" s="9"/>
      <c r="L1944" s="15" t="s">
        <v>50</v>
      </c>
      <c r="M1944" s="16" t="s">
        <v>51</v>
      </c>
      <c r="N1944" s="14"/>
      <c r="O1944" s="15" t="s">
        <v>52</v>
      </c>
      <c r="P1944" s="17" t="s">
        <v>53</v>
      </c>
      <c r="Q1944" s="15"/>
      <c r="R1944" s="18" t="s">
        <v>51</v>
      </c>
      <c r="S1944" s="19"/>
      <c r="T1944" s="17" t="str">
        <f aca="false">IF(R1944="維持",J1944,IF(R1944="排除","無關新聞事件",IFERROR(INDEX(事件規則!$B$2:$B$53,MATCH(S1944,事件規則!$A$2:$A$53,0)),"")))</f>
        <v>無關新聞事件</v>
      </c>
      <c r="U1944" s="20" t="n">
        <f aca="false">IF(R1944="維持",K1944,IF(R1944="排除",0,IFERROR(INDEX(事件規則!$C$2:$C$53,MATCH(S1944,事件規則!$A$2:$A$53,0)),"")))</f>
        <v>0</v>
      </c>
      <c r="V1944" s="21"/>
      <c r="W1944" s="22"/>
      <c r="X1944" s="10" t="str">
        <f aca="false">IF(AND(R1944="修改",S1944=""),"請選新事件代碼",IF(AND(R1944&lt;&gt;"修改",S1944&lt;&gt;""),"只有「修改」才需填代碼",""))</f>
        <v/>
      </c>
      <c r="Y1944" s="21"/>
      <c r="Z1944" s="22"/>
      <c r="AA1944" s="12" t="s">
        <v>4953</v>
      </c>
      <c r="AB1944" s="24"/>
    </row>
    <row r="1945" customFormat="false" ht="29.85" hidden="false" customHeight="false" outlineLevel="0" collapsed="false">
      <c r="A1945" s="15" t="n">
        <v>1944</v>
      </c>
      <c r="B1945" s="9" t="s">
        <v>45</v>
      </c>
      <c r="C1945" s="9" t="s">
        <v>184</v>
      </c>
      <c r="D1945" s="10" t="s">
        <v>185</v>
      </c>
      <c r="E1945" s="11" t="s">
        <v>4954</v>
      </c>
      <c r="F1945" s="17"/>
      <c r="G1945" s="12" t="s">
        <v>176</v>
      </c>
      <c r="H1945" s="13" t="n">
        <v>-0.009</v>
      </c>
      <c r="I1945" s="14"/>
      <c r="J1945" s="17"/>
      <c r="K1945" s="9"/>
      <c r="L1945" s="15" t="s">
        <v>50</v>
      </c>
      <c r="M1945" s="16" t="s">
        <v>51</v>
      </c>
      <c r="N1945" s="14"/>
      <c r="O1945" s="15" t="s">
        <v>52</v>
      </c>
      <c r="P1945" s="17" t="s">
        <v>53</v>
      </c>
      <c r="Q1945" s="15"/>
      <c r="R1945" s="18" t="s">
        <v>51</v>
      </c>
      <c r="S1945" s="19"/>
      <c r="T1945" s="17" t="str">
        <f aca="false">IF(R1945="維持",J1945,IF(R1945="排除","無關新聞事件",IFERROR(INDEX(事件規則!$B$2:$B$53,MATCH(S1945,事件規則!$A$2:$A$53,0)),"")))</f>
        <v>無關新聞事件</v>
      </c>
      <c r="U1945" s="20" t="n">
        <f aca="false">IF(R1945="維持",K1945,IF(R1945="排除",0,IFERROR(INDEX(事件規則!$C$2:$C$53,MATCH(S1945,事件規則!$A$2:$A$53,0)),"")))</f>
        <v>0</v>
      </c>
      <c r="V1945" s="21"/>
      <c r="W1945" s="22"/>
      <c r="X1945" s="10" t="str">
        <f aca="false">IF(AND(R1945="修改",S1945=""),"請選新事件代碼",IF(AND(R1945&lt;&gt;"修改",S1945&lt;&gt;""),"只有「修改」才需填代碼",""))</f>
        <v/>
      </c>
      <c r="Y1945" s="21"/>
      <c r="Z1945" s="22"/>
      <c r="AA1945" s="12" t="s">
        <v>4955</v>
      </c>
      <c r="AB1945" s="24"/>
    </row>
    <row r="1946" customFormat="false" ht="29.85" hidden="false" customHeight="false" outlineLevel="0" collapsed="false">
      <c r="A1946" s="15" t="n">
        <v>1945</v>
      </c>
      <c r="B1946" s="9" t="s">
        <v>45</v>
      </c>
      <c r="C1946" s="9" t="s">
        <v>3645</v>
      </c>
      <c r="D1946" s="10" t="s">
        <v>3646</v>
      </c>
      <c r="E1946" s="11" t="s">
        <v>4956</v>
      </c>
      <c r="F1946" s="17"/>
      <c r="G1946" s="12" t="s">
        <v>4957</v>
      </c>
      <c r="H1946" s="13" t="n">
        <v>-0.009</v>
      </c>
      <c r="I1946" s="14"/>
      <c r="J1946" s="17"/>
      <c r="K1946" s="9"/>
      <c r="L1946" s="15" t="s">
        <v>50</v>
      </c>
      <c r="M1946" s="16" t="s">
        <v>51</v>
      </c>
      <c r="N1946" s="14"/>
      <c r="O1946" s="15" t="s">
        <v>52</v>
      </c>
      <c r="P1946" s="17" t="s">
        <v>53</v>
      </c>
      <c r="Q1946" s="15"/>
      <c r="R1946" s="18" t="s">
        <v>51</v>
      </c>
      <c r="S1946" s="19"/>
      <c r="T1946" s="17" t="str">
        <f aca="false">IF(R1946="維持",J1946,IF(R1946="排除","無關新聞事件",IFERROR(INDEX(事件規則!$B$2:$B$53,MATCH(S1946,事件規則!$A$2:$A$53,0)),"")))</f>
        <v>無關新聞事件</v>
      </c>
      <c r="U1946" s="20" t="n">
        <f aca="false">IF(R1946="維持",K1946,IF(R1946="排除",0,IFERROR(INDEX(事件規則!$C$2:$C$53,MATCH(S1946,事件規則!$A$2:$A$53,0)),"")))</f>
        <v>0</v>
      </c>
      <c r="V1946" s="21"/>
      <c r="W1946" s="22"/>
      <c r="X1946" s="10" t="str">
        <f aca="false">IF(AND(R1946="修改",S1946=""),"請選新事件代碼",IF(AND(R1946&lt;&gt;"修改",S1946&lt;&gt;""),"只有「修改」才需填代碼",""))</f>
        <v/>
      </c>
      <c r="Y1946" s="21"/>
      <c r="Z1946" s="22"/>
      <c r="AA1946" s="12" t="s">
        <v>4958</v>
      </c>
      <c r="AB1946" s="24"/>
    </row>
    <row r="1947" customFormat="false" ht="29.85" hidden="false" customHeight="false" outlineLevel="0" collapsed="false">
      <c r="A1947" s="15" t="n">
        <v>1946</v>
      </c>
      <c r="B1947" s="9" t="s">
        <v>55</v>
      </c>
      <c r="C1947" s="9" t="s">
        <v>4697</v>
      </c>
      <c r="D1947" s="10" t="s">
        <v>4698</v>
      </c>
      <c r="E1947" s="11" t="s">
        <v>4959</v>
      </c>
      <c r="F1947" s="17"/>
      <c r="G1947" s="12" t="s">
        <v>4702</v>
      </c>
      <c r="H1947" s="13" t="n">
        <v>-0.009</v>
      </c>
      <c r="I1947" s="14"/>
      <c r="J1947" s="17"/>
      <c r="K1947" s="9"/>
      <c r="L1947" s="15" t="s">
        <v>50</v>
      </c>
      <c r="M1947" s="16" t="s">
        <v>51</v>
      </c>
      <c r="N1947" s="14"/>
      <c r="O1947" s="15" t="s">
        <v>52</v>
      </c>
      <c r="P1947" s="17" t="s">
        <v>53</v>
      </c>
      <c r="Q1947" s="15"/>
      <c r="R1947" s="18" t="s">
        <v>51</v>
      </c>
      <c r="S1947" s="19"/>
      <c r="T1947" s="17" t="str">
        <f aca="false">IF(R1947="維持",J1947,IF(R1947="排除","無關新聞事件",IFERROR(INDEX(事件規則!$B$2:$B$53,MATCH(S1947,事件規則!$A$2:$A$53,0)),"")))</f>
        <v>無關新聞事件</v>
      </c>
      <c r="U1947" s="20" t="n">
        <f aca="false">IF(R1947="維持",K1947,IF(R1947="排除",0,IFERROR(INDEX(事件規則!$C$2:$C$53,MATCH(S1947,事件規則!$A$2:$A$53,0)),"")))</f>
        <v>0</v>
      </c>
      <c r="V1947" s="21"/>
      <c r="W1947" s="22"/>
      <c r="X1947" s="10" t="str">
        <f aca="false">IF(AND(R1947="修改",S1947=""),"請選新事件代碼",IF(AND(R1947&lt;&gt;"修改",S1947&lt;&gt;""),"只有「修改」才需填代碼",""))</f>
        <v/>
      </c>
      <c r="Y1947" s="21"/>
      <c r="Z1947" s="22"/>
      <c r="AA1947" s="12" t="s">
        <v>4960</v>
      </c>
      <c r="AB1947" s="24"/>
    </row>
    <row r="1948" customFormat="false" ht="29.85" hidden="false" customHeight="false" outlineLevel="0" collapsed="false">
      <c r="A1948" s="15" t="n">
        <v>1947</v>
      </c>
      <c r="B1948" s="9" t="s">
        <v>112</v>
      </c>
      <c r="C1948" s="9" t="s">
        <v>76</v>
      </c>
      <c r="D1948" s="10" t="s">
        <v>77</v>
      </c>
      <c r="E1948" s="11" t="s">
        <v>4961</v>
      </c>
      <c r="F1948" s="17"/>
      <c r="G1948" s="12" t="s">
        <v>4962</v>
      </c>
      <c r="H1948" s="13" t="n">
        <v>-0.009</v>
      </c>
      <c r="I1948" s="14"/>
      <c r="J1948" s="17"/>
      <c r="K1948" s="9"/>
      <c r="L1948" s="15" t="s">
        <v>50</v>
      </c>
      <c r="M1948" s="16" t="s">
        <v>51</v>
      </c>
      <c r="N1948" s="14"/>
      <c r="O1948" s="15" t="s">
        <v>52</v>
      </c>
      <c r="P1948" s="17" t="s">
        <v>53</v>
      </c>
      <c r="Q1948" s="15"/>
      <c r="R1948" s="18" t="s">
        <v>51</v>
      </c>
      <c r="S1948" s="19"/>
      <c r="T1948" s="17" t="str">
        <f aca="false">IF(R1948="維持",J1948,IF(R1948="排除","無關新聞事件",IFERROR(INDEX(事件規則!$B$2:$B$53,MATCH(S1948,事件規則!$A$2:$A$53,0)),"")))</f>
        <v>無關新聞事件</v>
      </c>
      <c r="U1948" s="20" t="n">
        <f aca="false">IF(R1948="維持",K1948,IF(R1948="排除",0,IFERROR(INDEX(事件規則!$C$2:$C$53,MATCH(S1948,事件規則!$A$2:$A$53,0)),"")))</f>
        <v>0</v>
      </c>
      <c r="V1948" s="21"/>
      <c r="W1948" s="22"/>
      <c r="X1948" s="10" t="str">
        <f aca="false">IF(AND(R1948="修改",S1948=""),"請選新事件代碼",IF(AND(R1948&lt;&gt;"修改",S1948&lt;&gt;""),"只有「修改」才需填代碼",""))</f>
        <v/>
      </c>
      <c r="Y1948" s="21"/>
      <c r="Z1948" s="22"/>
      <c r="AA1948" s="12" t="s">
        <v>4963</v>
      </c>
      <c r="AB1948" s="24"/>
    </row>
    <row r="1949" customFormat="false" ht="29.85" hidden="false" customHeight="false" outlineLevel="0" collapsed="false">
      <c r="A1949" s="15" t="n">
        <v>1948</v>
      </c>
      <c r="B1949" s="9" t="s">
        <v>112</v>
      </c>
      <c r="C1949" s="9" t="s">
        <v>1797</v>
      </c>
      <c r="D1949" s="10" t="s">
        <v>1798</v>
      </c>
      <c r="E1949" s="11" t="s">
        <v>4964</v>
      </c>
      <c r="F1949" s="17"/>
      <c r="G1949" s="12" t="s">
        <v>49</v>
      </c>
      <c r="H1949" s="13" t="n">
        <v>-0.009</v>
      </c>
      <c r="I1949" s="14"/>
      <c r="J1949" s="17"/>
      <c r="K1949" s="9"/>
      <c r="L1949" s="15" t="s">
        <v>50</v>
      </c>
      <c r="M1949" s="16" t="s">
        <v>51</v>
      </c>
      <c r="N1949" s="14"/>
      <c r="O1949" s="15" t="s">
        <v>52</v>
      </c>
      <c r="P1949" s="17" t="s">
        <v>53</v>
      </c>
      <c r="Q1949" s="15"/>
      <c r="R1949" s="18" t="s">
        <v>51</v>
      </c>
      <c r="S1949" s="19"/>
      <c r="T1949" s="17" t="str">
        <f aca="false">IF(R1949="維持",J1949,IF(R1949="排除","無關新聞事件",IFERROR(INDEX(事件規則!$B$2:$B$53,MATCH(S1949,事件規則!$A$2:$A$53,0)),"")))</f>
        <v>無關新聞事件</v>
      </c>
      <c r="U1949" s="20" t="n">
        <f aca="false">IF(R1949="維持",K1949,IF(R1949="排除",0,IFERROR(INDEX(事件規則!$C$2:$C$53,MATCH(S1949,事件規則!$A$2:$A$53,0)),"")))</f>
        <v>0</v>
      </c>
      <c r="V1949" s="21"/>
      <c r="W1949" s="22"/>
      <c r="X1949" s="10" t="str">
        <f aca="false">IF(AND(R1949="修改",S1949=""),"請選新事件代碼",IF(AND(R1949&lt;&gt;"修改",S1949&lt;&gt;""),"只有「修改」才需填代碼",""))</f>
        <v/>
      </c>
      <c r="Y1949" s="21"/>
      <c r="Z1949" s="22"/>
      <c r="AA1949" s="12" t="s">
        <v>4965</v>
      </c>
      <c r="AB1949" s="24"/>
    </row>
    <row r="1950" customFormat="false" ht="29.85" hidden="false" customHeight="false" outlineLevel="0" collapsed="false">
      <c r="A1950" s="15" t="n">
        <v>1949</v>
      </c>
      <c r="B1950" s="9" t="s">
        <v>45</v>
      </c>
      <c r="C1950" s="9" t="s">
        <v>299</v>
      </c>
      <c r="D1950" s="10" t="s">
        <v>300</v>
      </c>
      <c r="E1950" s="11" t="s">
        <v>4966</v>
      </c>
      <c r="F1950" s="17"/>
      <c r="G1950" s="12" t="s">
        <v>949</v>
      </c>
      <c r="H1950" s="13" t="n">
        <v>-0.009</v>
      </c>
      <c r="I1950" s="14"/>
      <c r="J1950" s="17"/>
      <c r="K1950" s="9"/>
      <c r="L1950" s="15" t="s">
        <v>50</v>
      </c>
      <c r="M1950" s="16" t="s">
        <v>51</v>
      </c>
      <c r="N1950" s="14"/>
      <c r="O1950" s="15" t="s">
        <v>52</v>
      </c>
      <c r="P1950" s="17" t="s">
        <v>53</v>
      </c>
      <c r="Q1950" s="15"/>
      <c r="R1950" s="18" t="s">
        <v>51</v>
      </c>
      <c r="S1950" s="19"/>
      <c r="T1950" s="17" t="str">
        <f aca="false">IF(R1950="維持",J1950,IF(R1950="排除","無關新聞事件",IFERROR(INDEX(事件規則!$B$2:$B$53,MATCH(S1950,事件規則!$A$2:$A$53,0)),"")))</f>
        <v>無關新聞事件</v>
      </c>
      <c r="U1950" s="20" t="n">
        <f aca="false">IF(R1950="維持",K1950,IF(R1950="排除",0,IFERROR(INDEX(事件規則!$C$2:$C$53,MATCH(S1950,事件規則!$A$2:$A$53,0)),"")))</f>
        <v>0</v>
      </c>
      <c r="V1950" s="21"/>
      <c r="W1950" s="22"/>
      <c r="X1950" s="10" t="str">
        <f aca="false">IF(AND(R1950="修改",S1950=""),"請選新事件代碼",IF(AND(R1950&lt;&gt;"修改",S1950&lt;&gt;""),"只有「修改」才需填代碼",""))</f>
        <v/>
      </c>
      <c r="Y1950" s="21"/>
      <c r="Z1950" s="22"/>
      <c r="AA1950" s="12" t="s">
        <v>4967</v>
      </c>
      <c r="AB1950" s="24"/>
    </row>
    <row r="1951" customFormat="false" ht="29.85" hidden="false" customHeight="false" outlineLevel="0" collapsed="false">
      <c r="A1951" s="15" t="n">
        <v>1950</v>
      </c>
      <c r="B1951" s="9" t="s">
        <v>45</v>
      </c>
      <c r="C1951" s="9" t="s">
        <v>550</v>
      </c>
      <c r="D1951" s="10" t="s">
        <v>551</v>
      </c>
      <c r="E1951" s="11" t="s">
        <v>4968</v>
      </c>
      <c r="F1951" s="17"/>
      <c r="G1951" s="12" t="s">
        <v>95</v>
      </c>
      <c r="H1951" s="13" t="n">
        <v>-0.009</v>
      </c>
      <c r="I1951" s="14"/>
      <c r="J1951" s="17"/>
      <c r="K1951" s="9"/>
      <c r="L1951" s="15" t="s">
        <v>50</v>
      </c>
      <c r="M1951" s="16" t="s">
        <v>51</v>
      </c>
      <c r="N1951" s="14"/>
      <c r="O1951" s="15" t="s">
        <v>52</v>
      </c>
      <c r="P1951" s="17" t="s">
        <v>53</v>
      </c>
      <c r="Q1951" s="15"/>
      <c r="R1951" s="18" t="s">
        <v>51</v>
      </c>
      <c r="S1951" s="19"/>
      <c r="T1951" s="17" t="str">
        <f aca="false">IF(R1951="維持",J1951,IF(R1951="排除","無關新聞事件",IFERROR(INDEX(事件規則!$B$2:$B$53,MATCH(S1951,事件規則!$A$2:$A$53,0)),"")))</f>
        <v>無關新聞事件</v>
      </c>
      <c r="U1951" s="20" t="n">
        <f aca="false">IF(R1951="維持",K1951,IF(R1951="排除",0,IFERROR(INDEX(事件規則!$C$2:$C$53,MATCH(S1951,事件規則!$A$2:$A$53,0)),"")))</f>
        <v>0</v>
      </c>
      <c r="V1951" s="21"/>
      <c r="W1951" s="22"/>
      <c r="X1951" s="10" t="str">
        <f aca="false">IF(AND(R1951="修改",S1951=""),"請選新事件代碼",IF(AND(R1951&lt;&gt;"修改",S1951&lt;&gt;""),"只有「修改」才需填代碼",""))</f>
        <v/>
      </c>
      <c r="Y1951" s="21"/>
      <c r="Z1951" s="22"/>
      <c r="AA1951" s="12" t="s">
        <v>4969</v>
      </c>
      <c r="AB1951" s="24"/>
    </row>
    <row r="1952" customFormat="false" ht="29.85" hidden="false" customHeight="false" outlineLevel="0" collapsed="false">
      <c r="A1952" s="15" t="n">
        <v>1951</v>
      </c>
      <c r="B1952" s="9" t="s">
        <v>45</v>
      </c>
      <c r="C1952" s="9" t="s">
        <v>639</v>
      </c>
      <c r="D1952" s="10" t="s">
        <v>640</v>
      </c>
      <c r="E1952" s="11" t="s">
        <v>4970</v>
      </c>
      <c r="F1952" s="17"/>
      <c r="G1952" s="12" t="s">
        <v>803</v>
      </c>
      <c r="H1952" s="13" t="n">
        <v>-0.009</v>
      </c>
      <c r="I1952" s="14"/>
      <c r="J1952" s="17"/>
      <c r="K1952" s="9"/>
      <c r="L1952" s="15" t="s">
        <v>50</v>
      </c>
      <c r="M1952" s="16" t="s">
        <v>51</v>
      </c>
      <c r="N1952" s="14"/>
      <c r="O1952" s="15" t="s">
        <v>52</v>
      </c>
      <c r="P1952" s="17" t="s">
        <v>53</v>
      </c>
      <c r="Q1952" s="15"/>
      <c r="R1952" s="18" t="s">
        <v>51</v>
      </c>
      <c r="S1952" s="19"/>
      <c r="T1952" s="17" t="str">
        <f aca="false">IF(R1952="維持",J1952,IF(R1952="排除","無關新聞事件",IFERROR(INDEX(事件規則!$B$2:$B$53,MATCH(S1952,事件規則!$A$2:$A$53,0)),"")))</f>
        <v>無關新聞事件</v>
      </c>
      <c r="U1952" s="20" t="n">
        <f aca="false">IF(R1952="維持",K1952,IF(R1952="排除",0,IFERROR(INDEX(事件規則!$C$2:$C$53,MATCH(S1952,事件規則!$A$2:$A$53,0)),"")))</f>
        <v>0</v>
      </c>
      <c r="V1952" s="21"/>
      <c r="W1952" s="22"/>
      <c r="X1952" s="10" t="str">
        <f aca="false">IF(AND(R1952="修改",S1952=""),"請選新事件代碼",IF(AND(R1952&lt;&gt;"修改",S1952&lt;&gt;""),"只有「修改」才需填代碼",""))</f>
        <v/>
      </c>
      <c r="Y1952" s="21"/>
      <c r="Z1952" s="22"/>
      <c r="AA1952" s="12" t="s">
        <v>4971</v>
      </c>
      <c r="AB1952" s="24"/>
    </row>
    <row r="1953" customFormat="false" ht="29.85" hidden="false" customHeight="false" outlineLevel="0" collapsed="false">
      <c r="A1953" s="15" t="n">
        <v>1952</v>
      </c>
      <c r="B1953" s="9" t="s">
        <v>45</v>
      </c>
      <c r="C1953" s="9" t="s">
        <v>4307</v>
      </c>
      <c r="D1953" s="10" t="s">
        <v>4308</v>
      </c>
      <c r="E1953" s="11" t="s">
        <v>4972</v>
      </c>
      <c r="F1953" s="17"/>
      <c r="G1953" s="12" t="s">
        <v>95</v>
      </c>
      <c r="H1953" s="13" t="n">
        <v>-0.009</v>
      </c>
      <c r="I1953" s="14"/>
      <c r="J1953" s="17"/>
      <c r="K1953" s="9"/>
      <c r="L1953" s="15" t="s">
        <v>50</v>
      </c>
      <c r="M1953" s="16" t="s">
        <v>51</v>
      </c>
      <c r="N1953" s="14"/>
      <c r="O1953" s="15" t="s">
        <v>52</v>
      </c>
      <c r="P1953" s="17" t="s">
        <v>53</v>
      </c>
      <c r="Q1953" s="15"/>
      <c r="R1953" s="18" t="s">
        <v>51</v>
      </c>
      <c r="S1953" s="19"/>
      <c r="T1953" s="17" t="str">
        <f aca="false">IF(R1953="維持",J1953,IF(R1953="排除","無關新聞事件",IFERROR(INDEX(事件規則!$B$2:$B$53,MATCH(S1953,事件規則!$A$2:$A$53,0)),"")))</f>
        <v>無關新聞事件</v>
      </c>
      <c r="U1953" s="20" t="n">
        <f aca="false">IF(R1953="維持",K1953,IF(R1953="排除",0,IFERROR(INDEX(事件規則!$C$2:$C$53,MATCH(S1953,事件規則!$A$2:$A$53,0)),"")))</f>
        <v>0</v>
      </c>
      <c r="V1953" s="21"/>
      <c r="W1953" s="22"/>
      <c r="X1953" s="10" t="str">
        <f aca="false">IF(AND(R1953="修改",S1953=""),"請選新事件代碼",IF(AND(R1953&lt;&gt;"修改",S1953&lt;&gt;""),"只有「修改」才需填代碼",""))</f>
        <v/>
      </c>
      <c r="Y1953" s="21"/>
      <c r="Z1953" s="22"/>
      <c r="AA1953" s="12" t="s">
        <v>4973</v>
      </c>
      <c r="AB1953" s="24"/>
    </row>
    <row r="1954" customFormat="false" ht="29.85" hidden="false" customHeight="false" outlineLevel="0" collapsed="false">
      <c r="A1954" s="15" t="n">
        <v>1953</v>
      </c>
      <c r="B1954" s="9" t="s">
        <v>112</v>
      </c>
      <c r="C1954" s="9" t="s">
        <v>2124</v>
      </c>
      <c r="D1954" s="10" t="s">
        <v>2125</v>
      </c>
      <c r="E1954" s="11" t="s">
        <v>4974</v>
      </c>
      <c r="F1954" s="17"/>
      <c r="G1954" s="12" t="s">
        <v>95</v>
      </c>
      <c r="H1954" s="13" t="n">
        <v>-0.009</v>
      </c>
      <c r="I1954" s="14"/>
      <c r="J1954" s="17"/>
      <c r="K1954" s="9"/>
      <c r="L1954" s="15" t="s">
        <v>50</v>
      </c>
      <c r="M1954" s="16" t="s">
        <v>51</v>
      </c>
      <c r="N1954" s="14"/>
      <c r="O1954" s="15" t="s">
        <v>52</v>
      </c>
      <c r="P1954" s="17" t="s">
        <v>53</v>
      </c>
      <c r="Q1954" s="15"/>
      <c r="R1954" s="18" t="s">
        <v>51</v>
      </c>
      <c r="S1954" s="19"/>
      <c r="T1954" s="17" t="str">
        <f aca="false">IF(R1954="維持",J1954,IF(R1954="排除","無關新聞事件",IFERROR(INDEX(事件規則!$B$2:$B$53,MATCH(S1954,事件規則!$A$2:$A$53,0)),"")))</f>
        <v>無關新聞事件</v>
      </c>
      <c r="U1954" s="20" t="n">
        <f aca="false">IF(R1954="維持",K1954,IF(R1954="排除",0,IFERROR(INDEX(事件規則!$C$2:$C$53,MATCH(S1954,事件規則!$A$2:$A$53,0)),"")))</f>
        <v>0</v>
      </c>
      <c r="V1954" s="21"/>
      <c r="W1954" s="22"/>
      <c r="X1954" s="10" t="str">
        <f aca="false">IF(AND(R1954="修改",S1954=""),"請選新事件代碼",IF(AND(R1954&lt;&gt;"修改",S1954&lt;&gt;""),"只有「修改」才需填代碼",""))</f>
        <v/>
      </c>
      <c r="Y1954" s="21"/>
      <c r="Z1954" s="22"/>
      <c r="AA1954" s="12" t="s">
        <v>4975</v>
      </c>
      <c r="AB1954" s="24"/>
    </row>
    <row r="1955" customFormat="false" ht="29.85" hidden="false" customHeight="false" outlineLevel="0" collapsed="false">
      <c r="A1955" s="15" t="n">
        <v>1954</v>
      </c>
      <c r="B1955" s="9" t="s">
        <v>55</v>
      </c>
      <c r="C1955" s="9" t="s">
        <v>113</v>
      </c>
      <c r="D1955" s="10" t="s">
        <v>114</v>
      </c>
      <c r="E1955" s="11" t="s">
        <v>4976</v>
      </c>
      <c r="F1955" s="17"/>
      <c r="G1955" s="12" t="s">
        <v>4581</v>
      </c>
      <c r="H1955" s="13" t="n">
        <v>-0.009</v>
      </c>
      <c r="I1955" s="14"/>
      <c r="J1955" s="17"/>
      <c r="K1955" s="9"/>
      <c r="L1955" s="15" t="s">
        <v>50</v>
      </c>
      <c r="M1955" s="16" t="s">
        <v>51</v>
      </c>
      <c r="N1955" s="14"/>
      <c r="O1955" s="15" t="s">
        <v>52</v>
      </c>
      <c r="P1955" s="17" t="s">
        <v>53</v>
      </c>
      <c r="Q1955" s="15"/>
      <c r="R1955" s="18" t="s">
        <v>51</v>
      </c>
      <c r="S1955" s="19"/>
      <c r="T1955" s="17" t="str">
        <f aca="false">IF(R1955="維持",J1955,IF(R1955="排除","無關新聞事件",IFERROR(INDEX(事件規則!$B$2:$B$53,MATCH(S1955,事件規則!$A$2:$A$53,0)),"")))</f>
        <v>無關新聞事件</v>
      </c>
      <c r="U1955" s="20" t="n">
        <f aca="false">IF(R1955="維持",K1955,IF(R1955="排除",0,IFERROR(INDEX(事件規則!$C$2:$C$53,MATCH(S1955,事件規則!$A$2:$A$53,0)),"")))</f>
        <v>0</v>
      </c>
      <c r="V1955" s="21"/>
      <c r="W1955" s="22"/>
      <c r="X1955" s="10" t="str">
        <f aca="false">IF(AND(R1955="修改",S1955=""),"請選新事件代碼",IF(AND(R1955&lt;&gt;"修改",S1955&lt;&gt;""),"只有「修改」才需填代碼",""))</f>
        <v/>
      </c>
      <c r="Y1955" s="21"/>
      <c r="Z1955" s="22"/>
      <c r="AA1955" s="12" t="s">
        <v>4977</v>
      </c>
      <c r="AB1955" s="24"/>
    </row>
    <row r="1956" customFormat="false" ht="29.85" hidden="false" customHeight="false" outlineLevel="0" collapsed="false">
      <c r="A1956" s="15" t="n">
        <v>1955</v>
      </c>
      <c r="B1956" s="9" t="s">
        <v>45</v>
      </c>
      <c r="C1956" s="9" t="s">
        <v>56</v>
      </c>
      <c r="D1956" s="10" t="s">
        <v>57</v>
      </c>
      <c r="E1956" s="11" t="s">
        <v>4978</v>
      </c>
      <c r="F1956" s="17"/>
      <c r="G1956" s="12" t="s">
        <v>1136</v>
      </c>
      <c r="H1956" s="13" t="n">
        <v>-0.009</v>
      </c>
      <c r="I1956" s="14"/>
      <c r="J1956" s="17"/>
      <c r="K1956" s="9"/>
      <c r="L1956" s="15" t="s">
        <v>50</v>
      </c>
      <c r="M1956" s="16" t="s">
        <v>51</v>
      </c>
      <c r="N1956" s="14"/>
      <c r="O1956" s="15" t="s">
        <v>52</v>
      </c>
      <c r="P1956" s="17" t="s">
        <v>53</v>
      </c>
      <c r="Q1956" s="15"/>
      <c r="R1956" s="18" t="s">
        <v>51</v>
      </c>
      <c r="S1956" s="19"/>
      <c r="T1956" s="17" t="str">
        <f aca="false">IF(R1956="維持",J1956,IF(R1956="排除","無關新聞事件",IFERROR(INDEX(事件規則!$B$2:$B$53,MATCH(S1956,事件規則!$A$2:$A$53,0)),"")))</f>
        <v>無關新聞事件</v>
      </c>
      <c r="U1956" s="20" t="n">
        <f aca="false">IF(R1956="維持",K1956,IF(R1956="排除",0,IFERROR(INDEX(事件規則!$C$2:$C$53,MATCH(S1956,事件規則!$A$2:$A$53,0)),"")))</f>
        <v>0</v>
      </c>
      <c r="V1956" s="21"/>
      <c r="W1956" s="22"/>
      <c r="X1956" s="10" t="str">
        <f aca="false">IF(AND(R1956="修改",S1956=""),"請選新事件代碼",IF(AND(R1956&lt;&gt;"修改",S1956&lt;&gt;""),"只有「修改」才需填代碼",""))</f>
        <v/>
      </c>
      <c r="Y1956" s="21"/>
      <c r="Z1956" s="22"/>
      <c r="AA1956" s="12" t="s">
        <v>4979</v>
      </c>
      <c r="AB1956" s="24"/>
    </row>
    <row r="1957" customFormat="false" ht="29.85" hidden="false" customHeight="false" outlineLevel="0" collapsed="false">
      <c r="A1957" s="15" t="n">
        <v>1956</v>
      </c>
      <c r="B1957" s="9" t="s">
        <v>55</v>
      </c>
      <c r="C1957" s="9" t="s">
        <v>635</v>
      </c>
      <c r="D1957" s="10" t="s">
        <v>636</v>
      </c>
      <c r="E1957" s="11" t="s">
        <v>4980</v>
      </c>
      <c r="F1957" s="17"/>
      <c r="G1957" s="12" t="s">
        <v>95</v>
      </c>
      <c r="H1957" s="13" t="n">
        <v>-0.009</v>
      </c>
      <c r="I1957" s="14"/>
      <c r="J1957" s="17"/>
      <c r="K1957" s="9"/>
      <c r="L1957" s="15" t="s">
        <v>50</v>
      </c>
      <c r="M1957" s="16" t="s">
        <v>51</v>
      </c>
      <c r="N1957" s="14"/>
      <c r="O1957" s="15" t="s">
        <v>52</v>
      </c>
      <c r="P1957" s="17" t="s">
        <v>53</v>
      </c>
      <c r="Q1957" s="15"/>
      <c r="R1957" s="18" t="s">
        <v>51</v>
      </c>
      <c r="S1957" s="19"/>
      <c r="T1957" s="17" t="str">
        <f aca="false">IF(R1957="維持",J1957,IF(R1957="排除","無關新聞事件",IFERROR(INDEX(事件規則!$B$2:$B$53,MATCH(S1957,事件規則!$A$2:$A$53,0)),"")))</f>
        <v>無關新聞事件</v>
      </c>
      <c r="U1957" s="20" t="n">
        <f aca="false">IF(R1957="維持",K1957,IF(R1957="排除",0,IFERROR(INDEX(事件規則!$C$2:$C$53,MATCH(S1957,事件規則!$A$2:$A$53,0)),"")))</f>
        <v>0</v>
      </c>
      <c r="V1957" s="21"/>
      <c r="W1957" s="22"/>
      <c r="X1957" s="10" t="str">
        <f aca="false">IF(AND(R1957="修改",S1957=""),"請選新事件代碼",IF(AND(R1957&lt;&gt;"修改",S1957&lt;&gt;""),"只有「修改」才需填代碼",""))</f>
        <v/>
      </c>
      <c r="Y1957" s="21"/>
      <c r="Z1957" s="22"/>
      <c r="AA1957" s="12" t="s">
        <v>4981</v>
      </c>
      <c r="AB1957" s="24"/>
    </row>
    <row r="1958" customFormat="false" ht="29.85" hidden="false" customHeight="false" outlineLevel="0" collapsed="false">
      <c r="A1958" s="15" t="n">
        <v>1957</v>
      </c>
      <c r="B1958" s="9" t="s">
        <v>55</v>
      </c>
      <c r="C1958" s="9" t="s">
        <v>4982</v>
      </c>
      <c r="D1958" s="10" t="s">
        <v>4983</v>
      </c>
      <c r="E1958" s="11" t="s">
        <v>4984</v>
      </c>
      <c r="F1958" s="17"/>
      <c r="G1958" s="12" t="s">
        <v>3221</v>
      </c>
      <c r="H1958" s="13" t="n">
        <v>-0.009</v>
      </c>
      <c r="I1958" s="14"/>
      <c r="J1958" s="17"/>
      <c r="K1958" s="9"/>
      <c r="L1958" s="15" t="s">
        <v>50</v>
      </c>
      <c r="M1958" s="16" t="s">
        <v>51</v>
      </c>
      <c r="N1958" s="14"/>
      <c r="O1958" s="15" t="s">
        <v>52</v>
      </c>
      <c r="P1958" s="17" t="s">
        <v>53</v>
      </c>
      <c r="Q1958" s="15"/>
      <c r="R1958" s="18" t="s">
        <v>51</v>
      </c>
      <c r="S1958" s="19"/>
      <c r="T1958" s="17" t="str">
        <f aca="false">IF(R1958="維持",J1958,IF(R1958="排除","無關新聞事件",IFERROR(INDEX(事件規則!$B$2:$B$53,MATCH(S1958,事件規則!$A$2:$A$53,0)),"")))</f>
        <v>無關新聞事件</v>
      </c>
      <c r="U1958" s="20" t="n">
        <f aca="false">IF(R1958="維持",K1958,IF(R1958="排除",0,IFERROR(INDEX(事件規則!$C$2:$C$53,MATCH(S1958,事件規則!$A$2:$A$53,0)),"")))</f>
        <v>0</v>
      </c>
      <c r="V1958" s="21"/>
      <c r="W1958" s="22"/>
      <c r="X1958" s="10" t="str">
        <f aca="false">IF(AND(R1958="修改",S1958=""),"請選新事件代碼",IF(AND(R1958&lt;&gt;"修改",S1958&lt;&gt;""),"只有「修改」才需填代碼",""))</f>
        <v/>
      </c>
      <c r="Y1958" s="21"/>
      <c r="Z1958" s="22"/>
      <c r="AA1958" s="12" t="s">
        <v>4985</v>
      </c>
      <c r="AB1958" s="24"/>
    </row>
    <row r="1959" customFormat="false" ht="29.85" hidden="false" customHeight="false" outlineLevel="0" collapsed="false">
      <c r="A1959" s="15" t="n">
        <v>1958</v>
      </c>
      <c r="B1959" s="9" t="s">
        <v>55</v>
      </c>
      <c r="C1959" s="9" t="s">
        <v>1314</v>
      </c>
      <c r="D1959" s="10" t="s">
        <v>1315</v>
      </c>
      <c r="E1959" s="11" t="s">
        <v>4986</v>
      </c>
      <c r="F1959" s="17"/>
      <c r="G1959" s="12" t="s">
        <v>95</v>
      </c>
      <c r="H1959" s="13" t="n">
        <v>-0.009</v>
      </c>
      <c r="I1959" s="14"/>
      <c r="J1959" s="17"/>
      <c r="K1959" s="9"/>
      <c r="L1959" s="15" t="s">
        <v>50</v>
      </c>
      <c r="M1959" s="16" t="s">
        <v>51</v>
      </c>
      <c r="N1959" s="14"/>
      <c r="O1959" s="15" t="s">
        <v>52</v>
      </c>
      <c r="P1959" s="17" t="s">
        <v>53</v>
      </c>
      <c r="Q1959" s="15"/>
      <c r="R1959" s="18" t="s">
        <v>51</v>
      </c>
      <c r="S1959" s="19"/>
      <c r="T1959" s="17" t="str">
        <f aca="false">IF(R1959="維持",J1959,IF(R1959="排除","無關新聞事件",IFERROR(INDEX(事件規則!$B$2:$B$53,MATCH(S1959,事件規則!$A$2:$A$53,0)),"")))</f>
        <v>無關新聞事件</v>
      </c>
      <c r="U1959" s="20" t="n">
        <f aca="false">IF(R1959="維持",K1959,IF(R1959="排除",0,IFERROR(INDEX(事件規則!$C$2:$C$53,MATCH(S1959,事件規則!$A$2:$A$53,0)),"")))</f>
        <v>0</v>
      </c>
      <c r="V1959" s="21"/>
      <c r="W1959" s="22"/>
      <c r="X1959" s="10" t="str">
        <f aca="false">IF(AND(R1959="修改",S1959=""),"請選新事件代碼",IF(AND(R1959&lt;&gt;"修改",S1959&lt;&gt;""),"只有「修改」才需填代碼",""))</f>
        <v/>
      </c>
      <c r="Y1959" s="21"/>
      <c r="Z1959" s="22"/>
      <c r="AA1959" s="12" t="s">
        <v>4987</v>
      </c>
      <c r="AB1959" s="24"/>
    </row>
    <row r="1960" customFormat="false" ht="29.85" hidden="false" customHeight="false" outlineLevel="0" collapsed="false">
      <c r="A1960" s="15" t="n">
        <v>1959</v>
      </c>
      <c r="B1960" s="9" t="s">
        <v>55</v>
      </c>
      <c r="C1960" s="9" t="s">
        <v>2134</v>
      </c>
      <c r="D1960" s="10" t="s">
        <v>2135</v>
      </c>
      <c r="E1960" s="11" t="s">
        <v>4980</v>
      </c>
      <c r="F1960" s="17"/>
      <c r="G1960" s="12" t="s">
        <v>95</v>
      </c>
      <c r="H1960" s="13" t="n">
        <v>-0.009</v>
      </c>
      <c r="I1960" s="14"/>
      <c r="J1960" s="17"/>
      <c r="K1960" s="9"/>
      <c r="L1960" s="15" t="s">
        <v>50</v>
      </c>
      <c r="M1960" s="16" t="s">
        <v>51</v>
      </c>
      <c r="N1960" s="14"/>
      <c r="O1960" s="15" t="s">
        <v>52</v>
      </c>
      <c r="P1960" s="17" t="s">
        <v>53</v>
      </c>
      <c r="Q1960" s="15"/>
      <c r="R1960" s="18" t="s">
        <v>51</v>
      </c>
      <c r="S1960" s="19"/>
      <c r="T1960" s="17" t="str">
        <f aca="false">IF(R1960="維持",J1960,IF(R1960="排除","無關新聞事件",IFERROR(INDEX(事件規則!$B$2:$B$53,MATCH(S1960,事件規則!$A$2:$A$53,0)),"")))</f>
        <v>無關新聞事件</v>
      </c>
      <c r="U1960" s="20" t="n">
        <f aca="false">IF(R1960="維持",K1960,IF(R1960="排除",0,IFERROR(INDEX(事件規則!$C$2:$C$53,MATCH(S1960,事件規則!$A$2:$A$53,0)),"")))</f>
        <v>0</v>
      </c>
      <c r="V1960" s="21"/>
      <c r="W1960" s="22"/>
      <c r="X1960" s="10" t="str">
        <f aca="false">IF(AND(R1960="修改",S1960=""),"請選新事件代碼",IF(AND(R1960&lt;&gt;"修改",S1960&lt;&gt;""),"只有「修改」才需填代碼",""))</f>
        <v/>
      </c>
      <c r="Y1960" s="21"/>
      <c r="Z1960" s="22"/>
      <c r="AA1960" s="12" t="s">
        <v>4988</v>
      </c>
      <c r="AB1960" s="24"/>
    </row>
    <row r="1961" customFormat="false" ht="29.85" hidden="false" customHeight="false" outlineLevel="0" collapsed="false">
      <c r="A1961" s="15" t="n">
        <v>1960</v>
      </c>
      <c r="B1961" s="9" t="s">
        <v>55</v>
      </c>
      <c r="C1961" s="9" t="s">
        <v>921</v>
      </c>
      <c r="D1961" s="10" t="s">
        <v>922</v>
      </c>
      <c r="E1961" s="11" t="s">
        <v>4989</v>
      </c>
      <c r="F1961" s="17"/>
      <c r="G1961" s="12" t="s">
        <v>3852</v>
      </c>
      <c r="H1961" s="13" t="n">
        <v>-0.009</v>
      </c>
      <c r="I1961" s="14"/>
      <c r="J1961" s="17"/>
      <c r="K1961" s="9"/>
      <c r="L1961" s="15" t="s">
        <v>50</v>
      </c>
      <c r="M1961" s="16" t="s">
        <v>51</v>
      </c>
      <c r="N1961" s="14"/>
      <c r="O1961" s="15" t="s">
        <v>52</v>
      </c>
      <c r="P1961" s="17" t="s">
        <v>53</v>
      </c>
      <c r="Q1961" s="15"/>
      <c r="R1961" s="18" t="s">
        <v>51</v>
      </c>
      <c r="S1961" s="19"/>
      <c r="T1961" s="17" t="str">
        <f aca="false">IF(R1961="維持",J1961,IF(R1961="排除","無關新聞事件",IFERROR(INDEX(事件規則!$B$2:$B$53,MATCH(S1961,事件規則!$A$2:$A$53,0)),"")))</f>
        <v>無關新聞事件</v>
      </c>
      <c r="U1961" s="20" t="n">
        <f aca="false">IF(R1961="維持",K1961,IF(R1961="排除",0,IFERROR(INDEX(事件規則!$C$2:$C$53,MATCH(S1961,事件規則!$A$2:$A$53,0)),"")))</f>
        <v>0</v>
      </c>
      <c r="V1961" s="21"/>
      <c r="W1961" s="22"/>
      <c r="X1961" s="10" t="str">
        <f aca="false">IF(AND(R1961="修改",S1961=""),"請選新事件代碼",IF(AND(R1961&lt;&gt;"修改",S1961&lt;&gt;""),"只有「修改」才需填代碼",""))</f>
        <v/>
      </c>
      <c r="Y1961" s="21"/>
      <c r="Z1961" s="22"/>
      <c r="AA1961" s="12" t="s">
        <v>4990</v>
      </c>
      <c r="AB1961" s="24"/>
    </row>
    <row r="1962" customFormat="false" ht="29.85" hidden="false" customHeight="false" outlineLevel="0" collapsed="false">
      <c r="A1962" s="15" t="n">
        <v>1961</v>
      </c>
      <c r="B1962" s="9" t="s">
        <v>55</v>
      </c>
      <c r="C1962" s="9" t="s">
        <v>3011</v>
      </c>
      <c r="D1962" s="10" t="s">
        <v>3012</v>
      </c>
      <c r="E1962" s="11" t="s">
        <v>4991</v>
      </c>
      <c r="F1962" s="17"/>
      <c r="G1962" s="12" t="s">
        <v>4343</v>
      </c>
      <c r="H1962" s="13" t="n">
        <v>-0.009</v>
      </c>
      <c r="I1962" s="14"/>
      <c r="J1962" s="17"/>
      <c r="K1962" s="9"/>
      <c r="L1962" s="15" t="s">
        <v>50</v>
      </c>
      <c r="M1962" s="16" t="s">
        <v>51</v>
      </c>
      <c r="N1962" s="14"/>
      <c r="O1962" s="15" t="s">
        <v>52</v>
      </c>
      <c r="P1962" s="17" t="s">
        <v>53</v>
      </c>
      <c r="Q1962" s="15"/>
      <c r="R1962" s="18" t="s">
        <v>51</v>
      </c>
      <c r="S1962" s="19"/>
      <c r="T1962" s="17" t="str">
        <f aca="false">IF(R1962="維持",J1962,IF(R1962="排除","無關新聞事件",IFERROR(INDEX(事件規則!$B$2:$B$53,MATCH(S1962,事件規則!$A$2:$A$53,0)),"")))</f>
        <v>無關新聞事件</v>
      </c>
      <c r="U1962" s="20" t="n">
        <f aca="false">IF(R1962="維持",K1962,IF(R1962="排除",0,IFERROR(INDEX(事件規則!$C$2:$C$53,MATCH(S1962,事件規則!$A$2:$A$53,0)),"")))</f>
        <v>0</v>
      </c>
      <c r="V1962" s="21"/>
      <c r="W1962" s="22"/>
      <c r="X1962" s="10" t="str">
        <f aca="false">IF(AND(R1962="修改",S1962=""),"請選新事件代碼",IF(AND(R1962&lt;&gt;"修改",S1962&lt;&gt;""),"只有「修改」才需填代碼",""))</f>
        <v/>
      </c>
      <c r="Y1962" s="21"/>
      <c r="Z1962" s="22"/>
      <c r="AA1962" s="12" t="s">
        <v>4992</v>
      </c>
      <c r="AB1962" s="24"/>
    </row>
    <row r="1963" customFormat="false" ht="29.85" hidden="false" customHeight="false" outlineLevel="0" collapsed="false">
      <c r="A1963" s="15" t="n">
        <v>1962</v>
      </c>
      <c r="B1963" s="9" t="s">
        <v>45</v>
      </c>
      <c r="C1963" s="9" t="s">
        <v>4993</v>
      </c>
      <c r="D1963" s="10" t="s">
        <v>4994</v>
      </c>
      <c r="E1963" s="11" t="s">
        <v>4995</v>
      </c>
      <c r="F1963" s="17"/>
      <c r="G1963" s="12" t="s">
        <v>4996</v>
      </c>
      <c r="H1963" s="13" t="n">
        <v>-0.009</v>
      </c>
      <c r="I1963" s="14"/>
      <c r="J1963" s="17"/>
      <c r="K1963" s="9"/>
      <c r="L1963" s="15" t="s">
        <v>50</v>
      </c>
      <c r="M1963" s="16" t="s">
        <v>51</v>
      </c>
      <c r="N1963" s="14"/>
      <c r="O1963" s="15" t="s">
        <v>52</v>
      </c>
      <c r="P1963" s="17" t="s">
        <v>53</v>
      </c>
      <c r="Q1963" s="15"/>
      <c r="R1963" s="18" t="s">
        <v>51</v>
      </c>
      <c r="S1963" s="19"/>
      <c r="T1963" s="17" t="str">
        <f aca="false">IF(R1963="維持",J1963,IF(R1963="排除","無關新聞事件",IFERROR(INDEX(事件規則!$B$2:$B$53,MATCH(S1963,事件規則!$A$2:$A$53,0)),"")))</f>
        <v>無關新聞事件</v>
      </c>
      <c r="U1963" s="20" t="n">
        <f aca="false">IF(R1963="維持",K1963,IF(R1963="排除",0,IFERROR(INDEX(事件規則!$C$2:$C$53,MATCH(S1963,事件規則!$A$2:$A$53,0)),"")))</f>
        <v>0</v>
      </c>
      <c r="V1963" s="21"/>
      <c r="W1963" s="22"/>
      <c r="X1963" s="10" t="str">
        <f aca="false">IF(AND(R1963="修改",S1963=""),"請選新事件代碼",IF(AND(R1963&lt;&gt;"修改",S1963&lt;&gt;""),"只有「修改」才需填代碼",""))</f>
        <v/>
      </c>
      <c r="Y1963" s="21"/>
      <c r="Z1963" s="22"/>
      <c r="AA1963" s="12" t="s">
        <v>4997</v>
      </c>
      <c r="AB1963" s="24"/>
    </row>
    <row r="1964" customFormat="false" ht="29.85" hidden="false" customHeight="false" outlineLevel="0" collapsed="false">
      <c r="A1964" s="15" t="n">
        <v>1963</v>
      </c>
      <c r="B1964" s="9" t="s">
        <v>45</v>
      </c>
      <c r="C1964" s="9" t="s">
        <v>869</v>
      </c>
      <c r="D1964" s="10" t="s">
        <v>870</v>
      </c>
      <c r="E1964" s="11" t="s">
        <v>4998</v>
      </c>
      <c r="F1964" s="17"/>
      <c r="G1964" s="12" t="s">
        <v>949</v>
      </c>
      <c r="H1964" s="13" t="n">
        <v>-0.009</v>
      </c>
      <c r="I1964" s="14"/>
      <c r="J1964" s="17"/>
      <c r="K1964" s="9"/>
      <c r="L1964" s="15" t="s">
        <v>50</v>
      </c>
      <c r="M1964" s="16" t="s">
        <v>51</v>
      </c>
      <c r="N1964" s="14"/>
      <c r="O1964" s="15" t="s">
        <v>52</v>
      </c>
      <c r="P1964" s="17" t="s">
        <v>53</v>
      </c>
      <c r="Q1964" s="15"/>
      <c r="R1964" s="18" t="s">
        <v>51</v>
      </c>
      <c r="S1964" s="19"/>
      <c r="T1964" s="17" t="str">
        <f aca="false">IF(R1964="維持",J1964,IF(R1964="排除","無關新聞事件",IFERROR(INDEX(事件規則!$B$2:$B$53,MATCH(S1964,事件規則!$A$2:$A$53,0)),"")))</f>
        <v>無關新聞事件</v>
      </c>
      <c r="U1964" s="20" t="n">
        <f aca="false">IF(R1964="維持",K1964,IF(R1964="排除",0,IFERROR(INDEX(事件規則!$C$2:$C$53,MATCH(S1964,事件規則!$A$2:$A$53,0)),"")))</f>
        <v>0</v>
      </c>
      <c r="V1964" s="21"/>
      <c r="W1964" s="22"/>
      <c r="X1964" s="10" t="str">
        <f aca="false">IF(AND(R1964="修改",S1964=""),"請選新事件代碼",IF(AND(R1964&lt;&gt;"修改",S1964&lt;&gt;""),"只有「修改」才需填代碼",""))</f>
        <v/>
      </c>
      <c r="Y1964" s="21"/>
      <c r="Z1964" s="22"/>
      <c r="AA1964" s="12" t="s">
        <v>4999</v>
      </c>
      <c r="AB1964" s="24"/>
    </row>
    <row r="1965" customFormat="false" ht="29.85" hidden="false" customHeight="false" outlineLevel="0" collapsed="false">
      <c r="A1965" s="15" t="n">
        <v>1964</v>
      </c>
      <c r="B1965" s="9" t="s">
        <v>45</v>
      </c>
      <c r="C1965" s="9" t="s">
        <v>61</v>
      </c>
      <c r="D1965" s="10" t="s">
        <v>62</v>
      </c>
      <c r="E1965" s="11" t="s">
        <v>5000</v>
      </c>
      <c r="F1965" s="17"/>
      <c r="G1965" s="12" t="s">
        <v>5001</v>
      </c>
      <c r="H1965" s="13" t="n">
        <v>-0.009</v>
      </c>
      <c r="I1965" s="14"/>
      <c r="J1965" s="17"/>
      <c r="K1965" s="9"/>
      <c r="L1965" s="15" t="s">
        <v>50</v>
      </c>
      <c r="M1965" s="16" t="s">
        <v>51</v>
      </c>
      <c r="N1965" s="14"/>
      <c r="O1965" s="15" t="s">
        <v>52</v>
      </c>
      <c r="P1965" s="17" t="s">
        <v>53</v>
      </c>
      <c r="Q1965" s="15"/>
      <c r="R1965" s="18" t="s">
        <v>51</v>
      </c>
      <c r="S1965" s="19"/>
      <c r="T1965" s="17" t="str">
        <f aca="false">IF(R1965="維持",J1965,IF(R1965="排除","無關新聞事件",IFERROR(INDEX(事件規則!$B$2:$B$53,MATCH(S1965,事件規則!$A$2:$A$53,0)),"")))</f>
        <v>無關新聞事件</v>
      </c>
      <c r="U1965" s="20" t="n">
        <f aca="false">IF(R1965="維持",K1965,IF(R1965="排除",0,IFERROR(INDEX(事件規則!$C$2:$C$53,MATCH(S1965,事件規則!$A$2:$A$53,0)),"")))</f>
        <v>0</v>
      </c>
      <c r="V1965" s="21"/>
      <c r="W1965" s="22"/>
      <c r="X1965" s="10" t="str">
        <f aca="false">IF(AND(R1965="修改",S1965=""),"請選新事件代碼",IF(AND(R1965&lt;&gt;"修改",S1965&lt;&gt;""),"只有「修改」才需填代碼",""))</f>
        <v/>
      </c>
      <c r="Y1965" s="21"/>
      <c r="Z1965" s="22"/>
      <c r="AA1965" s="12" t="s">
        <v>5002</v>
      </c>
      <c r="AB1965" s="24"/>
    </row>
    <row r="1966" customFormat="false" ht="29.85" hidden="false" customHeight="false" outlineLevel="0" collapsed="false">
      <c r="A1966" s="15" t="n">
        <v>1965</v>
      </c>
      <c r="B1966" s="9" t="s">
        <v>81</v>
      </c>
      <c r="C1966" s="9" t="s">
        <v>2722</v>
      </c>
      <c r="D1966" s="10" t="s">
        <v>2723</v>
      </c>
      <c r="E1966" s="11" t="s">
        <v>5003</v>
      </c>
      <c r="F1966" s="17"/>
      <c r="G1966" s="12" t="s">
        <v>5004</v>
      </c>
      <c r="H1966" s="13" t="n">
        <v>-0.009</v>
      </c>
      <c r="I1966" s="14"/>
      <c r="J1966" s="17"/>
      <c r="K1966" s="9"/>
      <c r="L1966" s="15" t="s">
        <v>50</v>
      </c>
      <c r="M1966" s="16" t="s">
        <v>51</v>
      </c>
      <c r="N1966" s="14"/>
      <c r="O1966" s="15" t="s">
        <v>52</v>
      </c>
      <c r="P1966" s="17" t="s">
        <v>53</v>
      </c>
      <c r="Q1966" s="15"/>
      <c r="R1966" s="18" t="s">
        <v>51</v>
      </c>
      <c r="S1966" s="19"/>
      <c r="T1966" s="17" t="str">
        <f aca="false">IF(R1966="維持",J1966,IF(R1966="排除","無關新聞事件",IFERROR(INDEX(事件規則!$B$2:$B$53,MATCH(S1966,事件規則!$A$2:$A$53,0)),"")))</f>
        <v>無關新聞事件</v>
      </c>
      <c r="U1966" s="20" t="n">
        <f aca="false">IF(R1966="維持",K1966,IF(R1966="排除",0,IFERROR(INDEX(事件規則!$C$2:$C$53,MATCH(S1966,事件規則!$A$2:$A$53,0)),"")))</f>
        <v>0</v>
      </c>
      <c r="V1966" s="21"/>
      <c r="W1966" s="22"/>
      <c r="X1966" s="10" t="str">
        <f aca="false">IF(AND(R1966="修改",S1966=""),"請選新事件代碼",IF(AND(R1966&lt;&gt;"修改",S1966&lt;&gt;""),"只有「修改」才需填代碼",""))</f>
        <v/>
      </c>
      <c r="Y1966" s="21"/>
      <c r="Z1966" s="22"/>
      <c r="AA1966" s="12" t="s">
        <v>5005</v>
      </c>
      <c r="AB1966" s="24"/>
    </row>
    <row r="1967" customFormat="false" ht="29.85" hidden="false" customHeight="false" outlineLevel="0" collapsed="false">
      <c r="A1967" s="15" t="n">
        <v>1966</v>
      </c>
      <c r="B1967" s="9" t="s">
        <v>81</v>
      </c>
      <c r="C1967" s="9" t="s">
        <v>321</v>
      </c>
      <c r="D1967" s="10" t="s">
        <v>322</v>
      </c>
      <c r="E1967" s="11" t="s">
        <v>5006</v>
      </c>
      <c r="F1967" s="17"/>
      <c r="G1967" s="12" t="s">
        <v>3221</v>
      </c>
      <c r="H1967" s="13" t="n">
        <v>-0.009</v>
      </c>
      <c r="I1967" s="14"/>
      <c r="J1967" s="17"/>
      <c r="K1967" s="9"/>
      <c r="L1967" s="15" t="s">
        <v>50</v>
      </c>
      <c r="M1967" s="16" t="s">
        <v>51</v>
      </c>
      <c r="N1967" s="14"/>
      <c r="O1967" s="15" t="s">
        <v>52</v>
      </c>
      <c r="P1967" s="17" t="s">
        <v>53</v>
      </c>
      <c r="Q1967" s="15"/>
      <c r="R1967" s="18" t="s">
        <v>51</v>
      </c>
      <c r="S1967" s="19"/>
      <c r="T1967" s="17" t="str">
        <f aca="false">IF(R1967="維持",J1967,IF(R1967="排除","無關新聞事件",IFERROR(INDEX(事件規則!$B$2:$B$53,MATCH(S1967,事件規則!$A$2:$A$53,0)),"")))</f>
        <v>無關新聞事件</v>
      </c>
      <c r="U1967" s="20" t="n">
        <f aca="false">IF(R1967="維持",K1967,IF(R1967="排除",0,IFERROR(INDEX(事件規則!$C$2:$C$53,MATCH(S1967,事件規則!$A$2:$A$53,0)),"")))</f>
        <v>0</v>
      </c>
      <c r="V1967" s="21"/>
      <c r="W1967" s="22"/>
      <c r="X1967" s="10" t="str">
        <f aca="false">IF(AND(R1967="修改",S1967=""),"請選新事件代碼",IF(AND(R1967&lt;&gt;"修改",S1967&lt;&gt;""),"只有「修改」才需填代碼",""))</f>
        <v/>
      </c>
      <c r="Y1967" s="21"/>
      <c r="Z1967" s="22"/>
      <c r="AA1967" s="12" t="s">
        <v>5007</v>
      </c>
      <c r="AB1967" s="24"/>
    </row>
    <row r="1968" customFormat="false" ht="29.85" hidden="false" customHeight="false" outlineLevel="0" collapsed="false">
      <c r="A1968" s="15" t="n">
        <v>1967</v>
      </c>
      <c r="B1968" s="9" t="s">
        <v>45</v>
      </c>
      <c r="C1968" s="9" t="s">
        <v>825</v>
      </c>
      <c r="D1968" s="10" t="s">
        <v>826</v>
      </c>
      <c r="E1968" s="11" t="s">
        <v>5008</v>
      </c>
      <c r="F1968" s="17"/>
      <c r="G1968" s="12" t="s">
        <v>1136</v>
      </c>
      <c r="H1968" s="13" t="n">
        <v>-0.009</v>
      </c>
      <c r="I1968" s="14"/>
      <c r="J1968" s="17"/>
      <c r="K1968" s="9"/>
      <c r="L1968" s="15" t="s">
        <v>50</v>
      </c>
      <c r="M1968" s="16" t="s">
        <v>51</v>
      </c>
      <c r="N1968" s="14"/>
      <c r="O1968" s="15" t="s">
        <v>52</v>
      </c>
      <c r="P1968" s="17" t="s">
        <v>53</v>
      </c>
      <c r="Q1968" s="15"/>
      <c r="R1968" s="18" t="s">
        <v>51</v>
      </c>
      <c r="S1968" s="19"/>
      <c r="T1968" s="17" t="str">
        <f aca="false">IF(R1968="維持",J1968,IF(R1968="排除","無關新聞事件",IFERROR(INDEX(事件規則!$B$2:$B$53,MATCH(S1968,事件規則!$A$2:$A$53,0)),"")))</f>
        <v>無關新聞事件</v>
      </c>
      <c r="U1968" s="20" t="n">
        <f aca="false">IF(R1968="維持",K1968,IF(R1968="排除",0,IFERROR(INDEX(事件規則!$C$2:$C$53,MATCH(S1968,事件規則!$A$2:$A$53,0)),"")))</f>
        <v>0</v>
      </c>
      <c r="V1968" s="21"/>
      <c r="W1968" s="22"/>
      <c r="X1968" s="10" t="str">
        <f aca="false">IF(AND(R1968="修改",S1968=""),"請選新事件代碼",IF(AND(R1968&lt;&gt;"修改",S1968&lt;&gt;""),"只有「修改」才需填代碼",""))</f>
        <v/>
      </c>
      <c r="Y1968" s="21"/>
      <c r="Z1968" s="22"/>
      <c r="AA1968" s="12" t="s">
        <v>5009</v>
      </c>
      <c r="AB1968" s="24"/>
    </row>
    <row r="1969" customFormat="false" ht="29.85" hidden="false" customHeight="false" outlineLevel="0" collapsed="false">
      <c r="A1969" s="15" t="n">
        <v>1968</v>
      </c>
      <c r="B1969" s="9" t="s">
        <v>55</v>
      </c>
      <c r="C1969" s="9" t="s">
        <v>2185</v>
      </c>
      <c r="D1969" s="10" t="s">
        <v>2186</v>
      </c>
      <c r="E1969" s="11" t="s">
        <v>5010</v>
      </c>
      <c r="F1969" s="17"/>
      <c r="G1969" s="12" t="s">
        <v>95</v>
      </c>
      <c r="H1969" s="13" t="n">
        <v>-0.009</v>
      </c>
      <c r="I1969" s="14"/>
      <c r="J1969" s="17"/>
      <c r="K1969" s="9"/>
      <c r="L1969" s="15" t="s">
        <v>50</v>
      </c>
      <c r="M1969" s="16" t="s">
        <v>51</v>
      </c>
      <c r="N1969" s="14"/>
      <c r="O1969" s="15" t="s">
        <v>52</v>
      </c>
      <c r="P1969" s="17" t="s">
        <v>53</v>
      </c>
      <c r="Q1969" s="15"/>
      <c r="R1969" s="18" t="s">
        <v>51</v>
      </c>
      <c r="S1969" s="19"/>
      <c r="T1969" s="17" t="str">
        <f aca="false">IF(R1969="維持",J1969,IF(R1969="排除","無關新聞事件",IFERROR(INDEX(事件規則!$B$2:$B$53,MATCH(S1969,事件規則!$A$2:$A$53,0)),"")))</f>
        <v>無關新聞事件</v>
      </c>
      <c r="U1969" s="20" t="n">
        <f aca="false">IF(R1969="維持",K1969,IF(R1969="排除",0,IFERROR(INDEX(事件規則!$C$2:$C$53,MATCH(S1969,事件規則!$A$2:$A$53,0)),"")))</f>
        <v>0</v>
      </c>
      <c r="V1969" s="21"/>
      <c r="W1969" s="22"/>
      <c r="X1969" s="10" t="str">
        <f aca="false">IF(AND(R1969="修改",S1969=""),"請選新事件代碼",IF(AND(R1969&lt;&gt;"修改",S1969&lt;&gt;""),"只有「修改」才需填代碼",""))</f>
        <v/>
      </c>
      <c r="Y1969" s="21"/>
      <c r="Z1969" s="22"/>
      <c r="AA1969" s="12" t="s">
        <v>5011</v>
      </c>
      <c r="AB1969" s="24"/>
    </row>
    <row r="1970" customFormat="false" ht="29.85" hidden="false" customHeight="false" outlineLevel="0" collapsed="false">
      <c r="A1970" s="15" t="n">
        <v>1969</v>
      </c>
      <c r="B1970" s="9" t="s">
        <v>112</v>
      </c>
      <c r="C1970" s="9" t="s">
        <v>56</v>
      </c>
      <c r="D1970" s="10" t="s">
        <v>57</v>
      </c>
      <c r="E1970" s="11" t="s">
        <v>5012</v>
      </c>
      <c r="F1970" s="17"/>
      <c r="G1970" s="12" t="s">
        <v>95</v>
      </c>
      <c r="H1970" s="13" t="n">
        <v>-0.009</v>
      </c>
      <c r="I1970" s="14"/>
      <c r="J1970" s="17"/>
      <c r="K1970" s="9"/>
      <c r="L1970" s="15" t="s">
        <v>50</v>
      </c>
      <c r="M1970" s="16" t="s">
        <v>51</v>
      </c>
      <c r="N1970" s="14"/>
      <c r="O1970" s="15" t="s">
        <v>52</v>
      </c>
      <c r="P1970" s="17" t="s">
        <v>53</v>
      </c>
      <c r="Q1970" s="15"/>
      <c r="R1970" s="18" t="s">
        <v>51</v>
      </c>
      <c r="S1970" s="19"/>
      <c r="T1970" s="17" t="str">
        <f aca="false">IF(R1970="維持",J1970,IF(R1970="排除","無關新聞事件",IFERROR(INDEX(事件規則!$B$2:$B$53,MATCH(S1970,事件規則!$A$2:$A$53,0)),"")))</f>
        <v>無關新聞事件</v>
      </c>
      <c r="U1970" s="20" t="n">
        <f aca="false">IF(R1970="維持",K1970,IF(R1970="排除",0,IFERROR(INDEX(事件規則!$C$2:$C$53,MATCH(S1970,事件規則!$A$2:$A$53,0)),"")))</f>
        <v>0</v>
      </c>
      <c r="V1970" s="21"/>
      <c r="W1970" s="22"/>
      <c r="X1970" s="10" t="str">
        <f aca="false">IF(AND(R1970="修改",S1970=""),"請選新事件代碼",IF(AND(R1970&lt;&gt;"修改",S1970&lt;&gt;""),"只有「修改」才需填代碼",""))</f>
        <v/>
      </c>
      <c r="Y1970" s="21"/>
      <c r="Z1970" s="22"/>
      <c r="AA1970" s="12" t="s">
        <v>5013</v>
      </c>
      <c r="AB1970" s="24"/>
    </row>
    <row r="1971" customFormat="false" ht="29.85" hidden="false" customHeight="false" outlineLevel="0" collapsed="false">
      <c r="A1971" s="15" t="n">
        <v>1970</v>
      </c>
      <c r="B1971" s="9" t="s">
        <v>112</v>
      </c>
      <c r="C1971" s="9" t="s">
        <v>2598</v>
      </c>
      <c r="D1971" s="10" t="s">
        <v>2599</v>
      </c>
      <c r="E1971" s="11" t="s">
        <v>5014</v>
      </c>
      <c r="F1971" s="17"/>
      <c r="G1971" s="12" t="s">
        <v>2033</v>
      </c>
      <c r="H1971" s="13" t="n">
        <v>-0.009</v>
      </c>
      <c r="I1971" s="14"/>
      <c r="J1971" s="17"/>
      <c r="K1971" s="9"/>
      <c r="L1971" s="15" t="s">
        <v>50</v>
      </c>
      <c r="M1971" s="16" t="s">
        <v>51</v>
      </c>
      <c r="N1971" s="14"/>
      <c r="O1971" s="15" t="s">
        <v>52</v>
      </c>
      <c r="P1971" s="17" t="s">
        <v>53</v>
      </c>
      <c r="Q1971" s="15"/>
      <c r="R1971" s="18" t="s">
        <v>51</v>
      </c>
      <c r="S1971" s="19"/>
      <c r="T1971" s="17" t="str">
        <f aca="false">IF(R1971="維持",J1971,IF(R1971="排除","無關新聞事件",IFERROR(INDEX(事件規則!$B$2:$B$53,MATCH(S1971,事件規則!$A$2:$A$53,0)),"")))</f>
        <v>無關新聞事件</v>
      </c>
      <c r="U1971" s="20" t="n">
        <f aca="false">IF(R1971="維持",K1971,IF(R1971="排除",0,IFERROR(INDEX(事件規則!$C$2:$C$53,MATCH(S1971,事件規則!$A$2:$A$53,0)),"")))</f>
        <v>0</v>
      </c>
      <c r="V1971" s="21"/>
      <c r="W1971" s="22"/>
      <c r="X1971" s="10" t="str">
        <f aca="false">IF(AND(R1971="修改",S1971=""),"請選新事件代碼",IF(AND(R1971&lt;&gt;"修改",S1971&lt;&gt;""),"只有「修改」才需填代碼",""))</f>
        <v/>
      </c>
      <c r="Y1971" s="21"/>
      <c r="Z1971" s="22"/>
      <c r="AA1971" s="12" t="s">
        <v>5015</v>
      </c>
      <c r="AB1971" s="24"/>
    </row>
    <row r="1972" customFormat="false" ht="29.85" hidden="false" customHeight="false" outlineLevel="0" collapsed="false">
      <c r="A1972" s="15" t="n">
        <v>1971</v>
      </c>
      <c r="B1972" s="9" t="s">
        <v>112</v>
      </c>
      <c r="C1972" s="9" t="s">
        <v>1370</v>
      </c>
      <c r="D1972" s="10" t="s">
        <v>1371</v>
      </c>
      <c r="E1972" s="11" t="s">
        <v>5016</v>
      </c>
      <c r="F1972" s="17"/>
      <c r="G1972" s="12" t="s">
        <v>1136</v>
      </c>
      <c r="H1972" s="13" t="n">
        <v>-0.009</v>
      </c>
      <c r="I1972" s="14"/>
      <c r="J1972" s="17"/>
      <c r="K1972" s="9"/>
      <c r="L1972" s="15" t="s">
        <v>50</v>
      </c>
      <c r="M1972" s="16" t="s">
        <v>51</v>
      </c>
      <c r="N1972" s="14"/>
      <c r="O1972" s="15" t="s">
        <v>52</v>
      </c>
      <c r="P1972" s="17" t="s">
        <v>53</v>
      </c>
      <c r="Q1972" s="15"/>
      <c r="R1972" s="18" t="s">
        <v>51</v>
      </c>
      <c r="S1972" s="19"/>
      <c r="T1972" s="17" t="str">
        <f aca="false">IF(R1972="維持",J1972,IF(R1972="排除","無關新聞事件",IFERROR(INDEX(事件規則!$B$2:$B$53,MATCH(S1972,事件規則!$A$2:$A$53,0)),"")))</f>
        <v>無關新聞事件</v>
      </c>
      <c r="U1972" s="20" t="n">
        <f aca="false">IF(R1972="維持",K1972,IF(R1972="排除",0,IFERROR(INDEX(事件規則!$C$2:$C$53,MATCH(S1972,事件規則!$A$2:$A$53,0)),"")))</f>
        <v>0</v>
      </c>
      <c r="V1972" s="21"/>
      <c r="W1972" s="22"/>
      <c r="X1972" s="10" t="str">
        <f aca="false">IF(AND(R1972="修改",S1972=""),"請選新事件代碼",IF(AND(R1972&lt;&gt;"修改",S1972&lt;&gt;""),"只有「修改」才需填代碼",""))</f>
        <v/>
      </c>
      <c r="Y1972" s="21"/>
      <c r="Z1972" s="22"/>
      <c r="AA1972" s="12" t="s">
        <v>5017</v>
      </c>
      <c r="AB1972" s="24"/>
    </row>
    <row r="1973" customFormat="false" ht="29.85" hidden="false" customHeight="false" outlineLevel="0" collapsed="false">
      <c r="A1973" s="15" t="n">
        <v>1972</v>
      </c>
      <c r="B1973" s="9" t="s">
        <v>112</v>
      </c>
      <c r="C1973" s="9" t="s">
        <v>289</v>
      </c>
      <c r="D1973" s="10" t="s">
        <v>290</v>
      </c>
      <c r="E1973" s="11" t="s">
        <v>5018</v>
      </c>
      <c r="F1973" s="17"/>
      <c r="G1973" s="12" t="s">
        <v>1136</v>
      </c>
      <c r="H1973" s="13" t="n">
        <v>-0.009</v>
      </c>
      <c r="I1973" s="14"/>
      <c r="J1973" s="17"/>
      <c r="K1973" s="9"/>
      <c r="L1973" s="15" t="s">
        <v>50</v>
      </c>
      <c r="M1973" s="16" t="s">
        <v>51</v>
      </c>
      <c r="N1973" s="14"/>
      <c r="O1973" s="15" t="s">
        <v>52</v>
      </c>
      <c r="P1973" s="17" t="s">
        <v>53</v>
      </c>
      <c r="Q1973" s="15"/>
      <c r="R1973" s="18" t="s">
        <v>51</v>
      </c>
      <c r="S1973" s="19"/>
      <c r="T1973" s="17" t="str">
        <f aca="false">IF(R1973="維持",J1973,IF(R1973="排除","無關新聞事件",IFERROR(INDEX(事件規則!$B$2:$B$53,MATCH(S1973,事件規則!$A$2:$A$53,0)),"")))</f>
        <v>無關新聞事件</v>
      </c>
      <c r="U1973" s="20" t="n">
        <f aca="false">IF(R1973="維持",K1973,IF(R1973="排除",0,IFERROR(INDEX(事件規則!$C$2:$C$53,MATCH(S1973,事件規則!$A$2:$A$53,0)),"")))</f>
        <v>0</v>
      </c>
      <c r="V1973" s="21"/>
      <c r="W1973" s="22"/>
      <c r="X1973" s="10" t="str">
        <f aca="false">IF(AND(R1973="修改",S1973=""),"請選新事件代碼",IF(AND(R1973&lt;&gt;"修改",S1973&lt;&gt;""),"只有「修改」才需填代碼",""))</f>
        <v/>
      </c>
      <c r="Y1973" s="21"/>
      <c r="Z1973" s="22"/>
      <c r="AA1973" s="12" t="s">
        <v>5019</v>
      </c>
      <c r="AB1973" s="24"/>
    </row>
    <row r="1974" customFormat="false" ht="29.85" hidden="false" customHeight="false" outlineLevel="0" collapsed="false">
      <c r="A1974" s="15" t="n">
        <v>1973</v>
      </c>
      <c r="B1974" s="9" t="s">
        <v>112</v>
      </c>
      <c r="C1974" s="9" t="s">
        <v>469</v>
      </c>
      <c r="D1974" s="10" t="s">
        <v>470</v>
      </c>
      <c r="E1974" s="11" t="s">
        <v>5020</v>
      </c>
      <c r="F1974" s="17"/>
      <c r="G1974" s="12" t="s">
        <v>2033</v>
      </c>
      <c r="H1974" s="13" t="n">
        <v>-0.009</v>
      </c>
      <c r="I1974" s="14"/>
      <c r="J1974" s="17"/>
      <c r="K1974" s="9"/>
      <c r="L1974" s="15" t="s">
        <v>50</v>
      </c>
      <c r="M1974" s="16" t="s">
        <v>51</v>
      </c>
      <c r="N1974" s="14"/>
      <c r="O1974" s="15" t="s">
        <v>52</v>
      </c>
      <c r="P1974" s="17" t="s">
        <v>53</v>
      </c>
      <c r="Q1974" s="15"/>
      <c r="R1974" s="18" t="s">
        <v>51</v>
      </c>
      <c r="S1974" s="19"/>
      <c r="T1974" s="17" t="str">
        <f aca="false">IF(R1974="維持",J1974,IF(R1974="排除","無關新聞事件",IFERROR(INDEX(事件規則!$B$2:$B$53,MATCH(S1974,事件規則!$A$2:$A$53,0)),"")))</f>
        <v>無關新聞事件</v>
      </c>
      <c r="U1974" s="20" t="n">
        <f aca="false">IF(R1974="維持",K1974,IF(R1974="排除",0,IFERROR(INDEX(事件規則!$C$2:$C$53,MATCH(S1974,事件規則!$A$2:$A$53,0)),"")))</f>
        <v>0</v>
      </c>
      <c r="V1974" s="21"/>
      <c r="W1974" s="22"/>
      <c r="X1974" s="10" t="str">
        <f aca="false">IF(AND(R1974="修改",S1974=""),"請選新事件代碼",IF(AND(R1974&lt;&gt;"修改",S1974&lt;&gt;""),"只有「修改」才需填代碼",""))</f>
        <v/>
      </c>
      <c r="Y1974" s="21"/>
      <c r="Z1974" s="22"/>
      <c r="AA1974" s="12" t="s">
        <v>5021</v>
      </c>
      <c r="AB1974" s="24"/>
    </row>
    <row r="1975" customFormat="false" ht="29.85" hidden="false" customHeight="false" outlineLevel="0" collapsed="false">
      <c r="A1975" s="15" t="n">
        <v>1974</v>
      </c>
      <c r="B1975" s="9" t="s">
        <v>112</v>
      </c>
      <c r="C1975" s="9" t="s">
        <v>4394</v>
      </c>
      <c r="D1975" s="10" t="s">
        <v>4395</v>
      </c>
      <c r="E1975" s="11" t="s">
        <v>5022</v>
      </c>
      <c r="F1975" s="17"/>
      <c r="G1975" s="12" t="s">
        <v>95</v>
      </c>
      <c r="H1975" s="13" t="n">
        <v>-0.009</v>
      </c>
      <c r="I1975" s="14"/>
      <c r="J1975" s="17"/>
      <c r="K1975" s="9"/>
      <c r="L1975" s="15" t="s">
        <v>50</v>
      </c>
      <c r="M1975" s="16" t="s">
        <v>51</v>
      </c>
      <c r="N1975" s="14"/>
      <c r="O1975" s="15" t="s">
        <v>52</v>
      </c>
      <c r="P1975" s="17" t="s">
        <v>53</v>
      </c>
      <c r="Q1975" s="15"/>
      <c r="R1975" s="18" t="s">
        <v>51</v>
      </c>
      <c r="S1975" s="19"/>
      <c r="T1975" s="17" t="str">
        <f aca="false">IF(R1975="維持",J1975,IF(R1975="排除","無關新聞事件",IFERROR(INDEX(事件規則!$B$2:$B$53,MATCH(S1975,事件規則!$A$2:$A$53,0)),"")))</f>
        <v>無關新聞事件</v>
      </c>
      <c r="U1975" s="20" t="n">
        <f aca="false">IF(R1975="維持",K1975,IF(R1975="排除",0,IFERROR(INDEX(事件規則!$C$2:$C$53,MATCH(S1975,事件規則!$A$2:$A$53,0)),"")))</f>
        <v>0</v>
      </c>
      <c r="V1975" s="21"/>
      <c r="W1975" s="22"/>
      <c r="X1975" s="10" t="str">
        <f aca="false">IF(AND(R1975="修改",S1975=""),"請選新事件代碼",IF(AND(R1975&lt;&gt;"修改",S1975&lt;&gt;""),"只有「修改」才需填代碼",""))</f>
        <v/>
      </c>
      <c r="Y1975" s="21"/>
      <c r="Z1975" s="22"/>
      <c r="AA1975" s="12" t="s">
        <v>5023</v>
      </c>
      <c r="AB1975" s="24"/>
    </row>
    <row r="1976" customFormat="false" ht="29.85" hidden="false" customHeight="false" outlineLevel="0" collapsed="false">
      <c r="A1976" s="15" t="n">
        <v>1975</v>
      </c>
      <c r="B1976" s="9" t="s">
        <v>112</v>
      </c>
      <c r="C1976" s="9" t="s">
        <v>2962</v>
      </c>
      <c r="D1976" s="10" t="s">
        <v>2963</v>
      </c>
      <c r="E1976" s="11" t="s">
        <v>5024</v>
      </c>
      <c r="F1976" s="17"/>
      <c r="G1976" s="12" t="s">
        <v>164</v>
      </c>
      <c r="H1976" s="13" t="n">
        <v>-0.009</v>
      </c>
      <c r="I1976" s="14"/>
      <c r="J1976" s="17"/>
      <c r="K1976" s="9"/>
      <c r="L1976" s="15" t="s">
        <v>50</v>
      </c>
      <c r="M1976" s="16" t="s">
        <v>51</v>
      </c>
      <c r="N1976" s="14"/>
      <c r="O1976" s="15" t="s">
        <v>52</v>
      </c>
      <c r="P1976" s="17" t="s">
        <v>53</v>
      </c>
      <c r="Q1976" s="15"/>
      <c r="R1976" s="18" t="s">
        <v>51</v>
      </c>
      <c r="S1976" s="19"/>
      <c r="T1976" s="17" t="str">
        <f aca="false">IF(R1976="維持",J1976,IF(R1976="排除","無關新聞事件",IFERROR(INDEX(事件規則!$B$2:$B$53,MATCH(S1976,事件規則!$A$2:$A$53,0)),"")))</f>
        <v>無關新聞事件</v>
      </c>
      <c r="U1976" s="20" t="n">
        <f aca="false">IF(R1976="維持",K1976,IF(R1976="排除",0,IFERROR(INDEX(事件規則!$C$2:$C$53,MATCH(S1976,事件規則!$A$2:$A$53,0)),"")))</f>
        <v>0</v>
      </c>
      <c r="V1976" s="21"/>
      <c r="W1976" s="22"/>
      <c r="X1976" s="10" t="str">
        <f aca="false">IF(AND(R1976="修改",S1976=""),"請選新事件代碼",IF(AND(R1976&lt;&gt;"修改",S1976&lt;&gt;""),"只有「修改」才需填代碼",""))</f>
        <v/>
      </c>
      <c r="Y1976" s="21"/>
      <c r="Z1976" s="22"/>
      <c r="AA1976" s="12" t="s">
        <v>5025</v>
      </c>
      <c r="AB1976" s="24"/>
    </row>
    <row r="1977" customFormat="false" ht="29.85" hidden="false" customHeight="false" outlineLevel="0" collapsed="false">
      <c r="A1977" s="15" t="n">
        <v>1976</v>
      </c>
      <c r="B1977" s="9" t="s">
        <v>112</v>
      </c>
      <c r="C1977" s="9" t="s">
        <v>1739</v>
      </c>
      <c r="D1977" s="10" t="s">
        <v>1740</v>
      </c>
      <c r="E1977" s="11" t="s">
        <v>5026</v>
      </c>
      <c r="F1977" s="17"/>
      <c r="G1977" s="12" t="s">
        <v>95</v>
      </c>
      <c r="H1977" s="13" t="n">
        <v>-0.009</v>
      </c>
      <c r="I1977" s="14"/>
      <c r="J1977" s="17"/>
      <c r="K1977" s="9"/>
      <c r="L1977" s="15" t="s">
        <v>50</v>
      </c>
      <c r="M1977" s="16" t="s">
        <v>51</v>
      </c>
      <c r="N1977" s="14"/>
      <c r="O1977" s="15" t="s">
        <v>52</v>
      </c>
      <c r="P1977" s="17" t="s">
        <v>53</v>
      </c>
      <c r="Q1977" s="15"/>
      <c r="R1977" s="18" t="s">
        <v>51</v>
      </c>
      <c r="S1977" s="19"/>
      <c r="T1977" s="17" t="str">
        <f aca="false">IF(R1977="維持",J1977,IF(R1977="排除","無關新聞事件",IFERROR(INDEX(事件規則!$B$2:$B$53,MATCH(S1977,事件規則!$A$2:$A$53,0)),"")))</f>
        <v>無關新聞事件</v>
      </c>
      <c r="U1977" s="20" t="n">
        <f aca="false">IF(R1977="維持",K1977,IF(R1977="排除",0,IFERROR(INDEX(事件規則!$C$2:$C$53,MATCH(S1977,事件規則!$A$2:$A$53,0)),"")))</f>
        <v>0</v>
      </c>
      <c r="V1977" s="21"/>
      <c r="W1977" s="22"/>
      <c r="X1977" s="10" t="str">
        <f aca="false">IF(AND(R1977="修改",S1977=""),"請選新事件代碼",IF(AND(R1977&lt;&gt;"修改",S1977&lt;&gt;""),"只有「修改」才需填代碼",""))</f>
        <v/>
      </c>
      <c r="Y1977" s="21"/>
      <c r="Z1977" s="22"/>
      <c r="AA1977" s="12" t="s">
        <v>5027</v>
      </c>
      <c r="AB1977" s="24"/>
    </row>
    <row r="1978" customFormat="false" ht="29.85" hidden="false" customHeight="false" outlineLevel="0" collapsed="false">
      <c r="A1978" s="15" t="n">
        <v>1977</v>
      </c>
      <c r="B1978" s="9" t="s">
        <v>112</v>
      </c>
      <c r="C1978" s="9" t="s">
        <v>61</v>
      </c>
      <c r="D1978" s="10" t="s">
        <v>62</v>
      </c>
      <c r="E1978" s="11" t="s">
        <v>5028</v>
      </c>
      <c r="F1978" s="17"/>
      <c r="G1978" s="12" t="s">
        <v>5029</v>
      </c>
      <c r="H1978" s="13" t="n">
        <v>-0.009</v>
      </c>
      <c r="I1978" s="14"/>
      <c r="J1978" s="17"/>
      <c r="K1978" s="9"/>
      <c r="L1978" s="15" t="s">
        <v>50</v>
      </c>
      <c r="M1978" s="16" t="s">
        <v>51</v>
      </c>
      <c r="N1978" s="14"/>
      <c r="O1978" s="15" t="s">
        <v>52</v>
      </c>
      <c r="P1978" s="17" t="s">
        <v>53</v>
      </c>
      <c r="Q1978" s="15"/>
      <c r="R1978" s="18" t="s">
        <v>51</v>
      </c>
      <c r="S1978" s="19"/>
      <c r="T1978" s="17" t="str">
        <f aca="false">IF(R1978="維持",J1978,IF(R1978="排除","無關新聞事件",IFERROR(INDEX(事件規則!$B$2:$B$53,MATCH(S1978,事件規則!$A$2:$A$53,0)),"")))</f>
        <v>無關新聞事件</v>
      </c>
      <c r="U1978" s="20" t="n">
        <f aca="false">IF(R1978="維持",K1978,IF(R1978="排除",0,IFERROR(INDEX(事件規則!$C$2:$C$53,MATCH(S1978,事件規則!$A$2:$A$53,0)),"")))</f>
        <v>0</v>
      </c>
      <c r="V1978" s="21"/>
      <c r="W1978" s="22"/>
      <c r="X1978" s="10" t="str">
        <f aca="false">IF(AND(R1978="修改",S1978=""),"請選新事件代碼",IF(AND(R1978&lt;&gt;"修改",S1978&lt;&gt;""),"只有「修改」才需填代碼",""))</f>
        <v/>
      </c>
      <c r="Y1978" s="21"/>
      <c r="Z1978" s="22"/>
      <c r="AA1978" s="12" t="s">
        <v>5030</v>
      </c>
      <c r="AB1978" s="24"/>
    </row>
    <row r="1979" customFormat="false" ht="29.85" hidden="false" customHeight="false" outlineLevel="0" collapsed="false">
      <c r="A1979" s="15" t="n">
        <v>1978</v>
      </c>
      <c r="B1979" s="9" t="s">
        <v>112</v>
      </c>
      <c r="C1979" s="9" t="s">
        <v>2263</v>
      </c>
      <c r="D1979" s="10" t="s">
        <v>2264</v>
      </c>
      <c r="E1979" s="11" t="s">
        <v>5031</v>
      </c>
      <c r="F1979" s="17"/>
      <c r="G1979" s="12" t="s">
        <v>105</v>
      </c>
      <c r="H1979" s="13" t="n">
        <v>-0.009</v>
      </c>
      <c r="I1979" s="14"/>
      <c r="J1979" s="17"/>
      <c r="K1979" s="9"/>
      <c r="L1979" s="15" t="s">
        <v>50</v>
      </c>
      <c r="M1979" s="16" t="s">
        <v>51</v>
      </c>
      <c r="N1979" s="14"/>
      <c r="O1979" s="15" t="s">
        <v>52</v>
      </c>
      <c r="P1979" s="17" t="s">
        <v>53</v>
      </c>
      <c r="Q1979" s="15"/>
      <c r="R1979" s="18" t="s">
        <v>51</v>
      </c>
      <c r="S1979" s="19"/>
      <c r="T1979" s="17" t="str">
        <f aca="false">IF(R1979="維持",J1979,IF(R1979="排除","無關新聞事件",IFERROR(INDEX(事件規則!$B$2:$B$53,MATCH(S1979,事件規則!$A$2:$A$53,0)),"")))</f>
        <v>無關新聞事件</v>
      </c>
      <c r="U1979" s="20" t="n">
        <f aca="false">IF(R1979="維持",K1979,IF(R1979="排除",0,IFERROR(INDEX(事件規則!$C$2:$C$53,MATCH(S1979,事件規則!$A$2:$A$53,0)),"")))</f>
        <v>0</v>
      </c>
      <c r="V1979" s="21"/>
      <c r="W1979" s="22"/>
      <c r="X1979" s="10" t="str">
        <f aca="false">IF(AND(R1979="修改",S1979=""),"請選新事件代碼",IF(AND(R1979&lt;&gt;"修改",S1979&lt;&gt;""),"只有「修改」才需填代碼",""))</f>
        <v/>
      </c>
      <c r="Y1979" s="21"/>
      <c r="Z1979" s="22"/>
      <c r="AA1979" s="12" t="s">
        <v>5032</v>
      </c>
      <c r="AB1979" s="24"/>
    </row>
    <row r="1980" customFormat="false" ht="29.85" hidden="false" customHeight="false" outlineLevel="0" collapsed="false">
      <c r="A1980" s="15" t="n">
        <v>1979</v>
      </c>
      <c r="B1980" s="9" t="s">
        <v>112</v>
      </c>
      <c r="C1980" s="9" t="s">
        <v>1151</v>
      </c>
      <c r="D1980" s="10" t="s">
        <v>1152</v>
      </c>
      <c r="E1980" s="11" t="s">
        <v>5033</v>
      </c>
      <c r="F1980" s="17"/>
      <c r="G1980" s="12" t="s">
        <v>2033</v>
      </c>
      <c r="H1980" s="13" t="n">
        <v>-0.008</v>
      </c>
      <c r="I1980" s="14"/>
      <c r="J1980" s="17"/>
      <c r="K1980" s="9"/>
      <c r="L1980" s="15" t="s">
        <v>50</v>
      </c>
      <c r="M1980" s="16" t="s">
        <v>51</v>
      </c>
      <c r="N1980" s="14"/>
      <c r="O1980" s="15" t="s">
        <v>52</v>
      </c>
      <c r="P1980" s="17" t="s">
        <v>53</v>
      </c>
      <c r="Q1980" s="15"/>
      <c r="R1980" s="18" t="s">
        <v>51</v>
      </c>
      <c r="S1980" s="19"/>
      <c r="T1980" s="17" t="str">
        <f aca="false">IF(R1980="維持",J1980,IF(R1980="排除","無關新聞事件",IFERROR(INDEX(事件規則!$B$2:$B$53,MATCH(S1980,事件規則!$A$2:$A$53,0)),"")))</f>
        <v>無關新聞事件</v>
      </c>
      <c r="U1980" s="20" t="n">
        <f aca="false">IF(R1980="維持",K1980,IF(R1980="排除",0,IFERROR(INDEX(事件規則!$C$2:$C$53,MATCH(S1980,事件規則!$A$2:$A$53,0)),"")))</f>
        <v>0</v>
      </c>
      <c r="V1980" s="21"/>
      <c r="W1980" s="22"/>
      <c r="X1980" s="10" t="str">
        <f aca="false">IF(AND(R1980="修改",S1980=""),"請選新事件代碼",IF(AND(R1980&lt;&gt;"修改",S1980&lt;&gt;""),"只有「修改」才需填代碼",""))</f>
        <v/>
      </c>
      <c r="Y1980" s="21"/>
      <c r="Z1980" s="22"/>
      <c r="AA1980" s="12" t="s">
        <v>5034</v>
      </c>
      <c r="AB1980" s="24"/>
    </row>
    <row r="1981" customFormat="false" ht="29.85" hidden="false" customHeight="false" outlineLevel="0" collapsed="false">
      <c r="A1981" s="15" t="n">
        <v>1980</v>
      </c>
      <c r="B1981" s="9" t="s">
        <v>112</v>
      </c>
      <c r="C1981" s="9" t="s">
        <v>107</v>
      </c>
      <c r="D1981" s="10" t="s">
        <v>108</v>
      </c>
      <c r="E1981" s="11" t="s">
        <v>5035</v>
      </c>
      <c r="F1981" s="17"/>
      <c r="G1981" s="12" t="s">
        <v>324</v>
      </c>
      <c r="H1981" s="13" t="n">
        <v>-0.008</v>
      </c>
      <c r="I1981" s="14"/>
      <c r="J1981" s="17"/>
      <c r="K1981" s="9"/>
      <c r="L1981" s="15" t="s">
        <v>50</v>
      </c>
      <c r="M1981" s="16" t="s">
        <v>51</v>
      </c>
      <c r="N1981" s="14"/>
      <c r="O1981" s="15" t="s">
        <v>52</v>
      </c>
      <c r="P1981" s="17" t="s">
        <v>53</v>
      </c>
      <c r="Q1981" s="15"/>
      <c r="R1981" s="18" t="s">
        <v>51</v>
      </c>
      <c r="S1981" s="19"/>
      <c r="T1981" s="17" t="str">
        <f aca="false">IF(R1981="維持",J1981,IF(R1981="排除","無關新聞事件",IFERROR(INDEX(事件規則!$B$2:$B$53,MATCH(S1981,事件規則!$A$2:$A$53,0)),"")))</f>
        <v>無關新聞事件</v>
      </c>
      <c r="U1981" s="20" t="n">
        <f aca="false">IF(R1981="維持",K1981,IF(R1981="排除",0,IFERROR(INDEX(事件規則!$C$2:$C$53,MATCH(S1981,事件規則!$A$2:$A$53,0)),"")))</f>
        <v>0</v>
      </c>
      <c r="V1981" s="21"/>
      <c r="W1981" s="22"/>
      <c r="X1981" s="10" t="str">
        <f aca="false">IF(AND(R1981="修改",S1981=""),"請選新事件代碼",IF(AND(R1981&lt;&gt;"修改",S1981&lt;&gt;""),"只有「修改」才需填代碼",""))</f>
        <v/>
      </c>
      <c r="Y1981" s="21"/>
      <c r="Z1981" s="22"/>
      <c r="AA1981" s="12" t="s">
        <v>5036</v>
      </c>
      <c r="AB1981" s="24"/>
    </row>
    <row r="1982" customFormat="false" ht="29.85" hidden="false" customHeight="false" outlineLevel="0" collapsed="false">
      <c r="A1982" s="15" t="n">
        <v>1981</v>
      </c>
      <c r="B1982" s="9" t="s">
        <v>81</v>
      </c>
      <c r="C1982" s="9" t="s">
        <v>118</v>
      </c>
      <c r="D1982" s="10" t="s">
        <v>119</v>
      </c>
      <c r="E1982" s="11" t="s">
        <v>5037</v>
      </c>
      <c r="F1982" s="17"/>
      <c r="G1982" s="12" t="s">
        <v>2033</v>
      </c>
      <c r="H1982" s="13" t="n">
        <v>-0.008</v>
      </c>
      <c r="I1982" s="14"/>
      <c r="J1982" s="17"/>
      <c r="K1982" s="9"/>
      <c r="L1982" s="15" t="s">
        <v>50</v>
      </c>
      <c r="M1982" s="16" t="s">
        <v>51</v>
      </c>
      <c r="N1982" s="14"/>
      <c r="O1982" s="15" t="s">
        <v>52</v>
      </c>
      <c r="P1982" s="17" t="s">
        <v>53</v>
      </c>
      <c r="Q1982" s="15"/>
      <c r="R1982" s="18" t="s">
        <v>51</v>
      </c>
      <c r="S1982" s="19"/>
      <c r="T1982" s="17" t="str">
        <f aca="false">IF(R1982="維持",J1982,IF(R1982="排除","無關新聞事件",IFERROR(INDEX(事件規則!$B$2:$B$53,MATCH(S1982,事件規則!$A$2:$A$53,0)),"")))</f>
        <v>無關新聞事件</v>
      </c>
      <c r="U1982" s="20" t="n">
        <f aca="false">IF(R1982="維持",K1982,IF(R1982="排除",0,IFERROR(INDEX(事件規則!$C$2:$C$53,MATCH(S1982,事件規則!$A$2:$A$53,0)),"")))</f>
        <v>0</v>
      </c>
      <c r="V1982" s="21"/>
      <c r="W1982" s="22"/>
      <c r="X1982" s="10" t="str">
        <f aca="false">IF(AND(R1982="修改",S1982=""),"請選新事件代碼",IF(AND(R1982&lt;&gt;"修改",S1982&lt;&gt;""),"只有「修改」才需填代碼",""))</f>
        <v/>
      </c>
      <c r="Y1982" s="21"/>
      <c r="Z1982" s="22"/>
      <c r="AA1982" s="12" t="s">
        <v>5038</v>
      </c>
      <c r="AB1982" s="24"/>
    </row>
    <row r="1983" customFormat="false" ht="29.85" hidden="false" customHeight="false" outlineLevel="0" collapsed="false">
      <c r="A1983" s="15" t="n">
        <v>1982</v>
      </c>
      <c r="B1983" s="9" t="s">
        <v>81</v>
      </c>
      <c r="C1983" s="9" t="s">
        <v>1602</v>
      </c>
      <c r="D1983" s="10" t="s">
        <v>1603</v>
      </c>
      <c r="E1983" s="11" t="s">
        <v>5039</v>
      </c>
      <c r="F1983" s="17"/>
      <c r="G1983" s="12" t="s">
        <v>5040</v>
      </c>
      <c r="H1983" s="13" t="n">
        <v>-0.008</v>
      </c>
      <c r="I1983" s="14"/>
      <c r="J1983" s="17"/>
      <c r="K1983" s="9"/>
      <c r="L1983" s="15" t="s">
        <v>50</v>
      </c>
      <c r="M1983" s="16" t="s">
        <v>51</v>
      </c>
      <c r="N1983" s="14"/>
      <c r="O1983" s="15" t="s">
        <v>52</v>
      </c>
      <c r="P1983" s="17" t="s">
        <v>53</v>
      </c>
      <c r="Q1983" s="15"/>
      <c r="R1983" s="18" t="s">
        <v>51</v>
      </c>
      <c r="S1983" s="19"/>
      <c r="T1983" s="17" t="str">
        <f aca="false">IF(R1983="維持",J1983,IF(R1983="排除","無關新聞事件",IFERROR(INDEX(事件規則!$B$2:$B$53,MATCH(S1983,事件規則!$A$2:$A$53,0)),"")))</f>
        <v>無關新聞事件</v>
      </c>
      <c r="U1983" s="20" t="n">
        <f aca="false">IF(R1983="維持",K1983,IF(R1983="排除",0,IFERROR(INDEX(事件規則!$C$2:$C$53,MATCH(S1983,事件規則!$A$2:$A$53,0)),"")))</f>
        <v>0</v>
      </c>
      <c r="V1983" s="21"/>
      <c r="W1983" s="22"/>
      <c r="X1983" s="10" t="str">
        <f aca="false">IF(AND(R1983="修改",S1983=""),"請選新事件代碼",IF(AND(R1983&lt;&gt;"修改",S1983&lt;&gt;""),"只有「修改」才需填代碼",""))</f>
        <v/>
      </c>
      <c r="Y1983" s="21"/>
      <c r="Z1983" s="22"/>
      <c r="AA1983" s="12" t="s">
        <v>5041</v>
      </c>
      <c r="AB1983" s="24"/>
    </row>
    <row r="1984" customFormat="false" ht="29.85" hidden="false" customHeight="false" outlineLevel="0" collapsed="false">
      <c r="A1984" s="15" t="n">
        <v>1983</v>
      </c>
      <c r="B1984" s="9" t="s">
        <v>55</v>
      </c>
      <c r="C1984" s="9" t="s">
        <v>4993</v>
      </c>
      <c r="D1984" s="10" t="s">
        <v>4994</v>
      </c>
      <c r="E1984" s="11" t="s">
        <v>5042</v>
      </c>
      <c r="F1984" s="17"/>
      <c r="G1984" s="12" t="s">
        <v>95</v>
      </c>
      <c r="H1984" s="13" t="n">
        <v>-0.008</v>
      </c>
      <c r="I1984" s="14"/>
      <c r="J1984" s="17"/>
      <c r="K1984" s="9"/>
      <c r="L1984" s="15" t="s">
        <v>50</v>
      </c>
      <c r="M1984" s="16" t="s">
        <v>51</v>
      </c>
      <c r="N1984" s="14"/>
      <c r="O1984" s="15" t="s">
        <v>52</v>
      </c>
      <c r="P1984" s="17" t="s">
        <v>53</v>
      </c>
      <c r="Q1984" s="15"/>
      <c r="R1984" s="18" t="s">
        <v>51</v>
      </c>
      <c r="S1984" s="19"/>
      <c r="T1984" s="17" t="str">
        <f aca="false">IF(R1984="維持",J1984,IF(R1984="排除","無關新聞事件",IFERROR(INDEX(事件規則!$B$2:$B$53,MATCH(S1984,事件規則!$A$2:$A$53,0)),"")))</f>
        <v>無關新聞事件</v>
      </c>
      <c r="U1984" s="20" t="n">
        <f aca="false">IF(R1984="維持",K1984,IF(R1984="排除",0,IFERROR(INDEX(事件規則!$C$2:$C$53,MATCH(S1984,事件規則!$A$2:$A$53,0)),"")))</f>
        <v>0</v>
      </c>
      <c r="V1984" s="21"/>
      <c r="W1984" s="22"/>
      <c r="X1984" s="10" t="str">
        <f aca="false">IF(AND(R1984="修改",S1984=""),"請選新事件代碼",IF(AND(R1984&lt;&gt;"修改",S1984&lt;&gt;""),"只有「修改」才需填代碼",""))</f>
        <v/>
      </c>
      <c r="Y1984" s="21"/>
      <c r="Z1984" s="22"/>
      <c r="AA1984" s="12" t="s">
        <v>5043</v>
      </c>
      <c r="AB1984" s="24"/>
    </row>
    <row r="1985" customFormat="false" ht="29.85" hidden="false" customHeight="false" outlineLevel="0" collapsed="false">
      <c r="A1985" s="15" t="n">
        <v>1984</v>
      </c>
      <c r="B1985" s="9" t="s">
        <v>55</v>
      </c>
      <c r="C1985" s="9" t="s">
        <v>1318</v>
      </c>
      <c r="D1985" s="10" t="s">
        <v>1319</v>
      </c>
      <c r="E1985" s="11" t="s">
        <v>5044</v>
      </c>
      <c r="F1985" s="17"/>
      <c r="G1985" s="12" t="s">
        <v>95</v>
      </c>
      <c r="H1985" s="13" t="n">
        <v>-0.008</v>
      </c>
      <c r="I1985" s="14"/>
      <c r="J1985" s="17"/>
      <c r="K1985" s="9"/>
      <c r="L1985" s="15" t="s">
        <v>50</v>
      </c>
      <c r="M1985" s="16" t="s">
        <v>51</v>
      </c>
      <c r="N1985" s="14"/>
      <c r="O1985" s="15" t="s">
        <v>52</v>
      </c>
      <c r="P1985" s="17" t="s">
        <v>53</v>
      </c>
      <c r="Q1985" s="15"/>
      <c r="R1985" s="18" t="s">
        <v>51</v>
      </c>
      <c r="S1985" s="19"/>
      <c r="T1985" s="17" t="str">
        <f aca="false">IF(R1985="維持",J1985,IF(R1985="排除","無關新聞事件",IFERROR(INDEX(事件規則!$B$2:$B$53,MATCH(S1985,事件規則!$A$2:$A$53,0)),"")))</f>
        <v>無關新聞事件</v>
      </c>
      <c r="U1985" s="20" t="n">
        <f aca="false">IF(R1985="維持",K1985,IF(R1985="排除",0,IFERROR(INDEX(事件規則!$C$2:$C$53,MATCH(S1985,事件規則!$A$2:$A$53,0)),"")))</f>
        <v>0</v>
      </c>
      <c r="V1985" s="21"/>
      <c r="W1985" s="22"/>
      <c r="X1985" s="10" t="str">
        <f aca="false">IF(AND(R1985="修改",S1985=""),"請選新事件代碼",IF(AND(R1985&lt;&gt;"修改",S1985&lt;&gt;""),"只有「修改」才需填代碼",""))</f>
        <v/>
      </c>
      <c r="Y1985" s="21"/>
      <c r="Z1985" s="22"/>
      <c r="AA1985" s="12" t="s">
        <v>5045</v>
      </c>
      <c r="AB1985" s="24"/>
    </row>
    <row r="1986" customFormat="false" ht="29.85" hidden="false" customHeight="false" outlineLevel="0" collapsed="false">
      <c r="A1986" s="15" t="n">
        <v>1985</v>
      </c>
      <c r="B1986" s="9" t="s">
        <v>55</v>
      </c>
      <c r="C1986" s="9" t="s">
        <v>5046</v>
      </c>
      <c r="D1986" s="10" t="s">
        <v>5047</v>
      </c>
      <c r="E1986" s="11" t="s">
        <v>5048</v>
      </c>
      <c r="F1986" s="17"/>
      <c r="G1986" s="12" t="s">
        <v>95</v>
      </c>
      <c r="H1986" s="13" t="n">
        <v>-0.008</v>
      </c>
      <c r="I1986" s="14"/>
      <c r="J1986" s="17"/>
      <c r="K1986" s="9"/>
      <c r="L1986" s="15" t="s">
        <v>50</v>
      </c>
      <c r="M1986" s="16" t="s">
        <v>51</v>
      </c>
      <c r="N1986" s="14"/>
      <c r="O1986" s="15" t="s">
        <v>52</v>
      </c>
      <c r="P1986" s="17" t="s">
        <v>53</v>
      </c>
      <c r="Q1986" s="15"/>
      <c r="R1986" s="18" t="s">
        <v>51</v>
      </c>
      <c r="S1986" s="19"/>
      <c r="T1986" s="17" t="str">
        <f aca="false">IF(R1986="維持",J1986,IF(R1986="排除","無關新聞事件",IFERROR(INDEX(事件規則!$B$2:$B$53,MATCH(S1986,事件規則!$A$2:$A$53,0)),"")))</f>
        <v>無關新聞事件</v>
      </c>
      <c r="U1986" s="20" t="n">
        <f aca="false">IF(R1986="維持",K1986,IF(R1986="排除",0,IFERROR(INDEX(事件規則!$C$2:$C$53,MATCH(S1986,事件規則!$A$2:$A$53,0)),"")))</f>
        <v>0</v>
      </c>
      <c r="V1986" s="21"/>
      <c r="W1986" s="22"/>
      <c r="X1986" s="10" t="str">
        <f aca="false">IF(AND(R1986="修改",S1986=""),"請選新事件代碼",IF(AND(R1986&lt;&gt;"修改",S1986&lt;&gt;""),"只有「修改」才需填代碼",""))</f>
        <v/>
      </c>
      <c r="Y1986" s="21"/>
      <c r="Z1986" s="22"/>
      <c r="AA1986" s="12" t="s">
        <v>5049</v>
      </c>
      <c r="AB1986" s="24"/>
    </row>
    <row r="1987" customFormat="false" ht="29.85" hidden="false" customHeight="false" outlineLevel="0" collapsed="false">
      <c r="A1987" s="15" t="n">
        <v>1986</v>
      </c>
      <c r="B1987" s="9" t="s">
        <v>55</v>
      </c>
      <c r="C1987" s="9" t="s">
        <v>550</v>
      </c>
      <c r="D1987" s="10" t="s">
        <v>551</v>
      </c>
      <c r="E1987" s="11" t="s">
        <v>5050</v>
      </c>
      <c r="F1987" s="17"/>
      <c r="G1987" s="12" t="s">
        <v>95</v>
      </c>
      <c r="H1987" s="13" t="n">
        <v>-0.008</v>
      </c>
      <c r="I1987" s="14"/>
      <c r="J1987" s="17"/>
      <c r="K1987" s="9"/>
      <c r="L1987" s="15" t="s">
        <v>50</v>
      </c>
      <c r="M1987" s="16" t="s">
        <v>51</v>
      </c>
      <c r="N1987" s="14"/>
      <c r="O1987" s="15" t="s">
        <v>52</v>
      </c>
      <c r="P1987" s="17" t="s">
        <v>53</v>
      </c>
      <c r="Q1987" s="15"/>
      <c r="R1987" s="18" t="s">
        <v>51</v>
      </c>
      <c r="S1987" s="19"/>
      <c r="T1987" s="17" t="str">
        <f aca="false">IF(R1987="維持",J1987,IF(R1987="排除","無關新聞事件",IFERROR(INDEX(事件規則!$B$2:$B$53,MATCH(S1987,事件規則!$A$2:$A$53,0)),"")))</f>
        <v>無關新聞事件</v>
      </c>
      <c r="U1987" s="20" t="n">
        <f aca="false">IF(R1987="維持",K1987,IF(R1987="排除",0,IFERROR(INDEX(事件規則!$C$2:$C$53,MATCH(S1987,事件規則!$A$2:$A$53,0)),"")))</f>
        <v>0</v>
      </c>
      <c r="V1987" s="21"/>
      <c r="W1987" s="22"/>
      <c r="X1987" s="10" t="str">
        <f aca="false">IF(AND(R1987="修改",S1987=""),"請選新事件代碼",IF(AND(R1987&lt;&gt;"修改",S1987&lt;&gt;""),"只有「修改」才需填代碼",""))</f>
        <v/>
      </c>
      <c r="Y1987" s="21"/>
      <c r="Z1987" s="22"/>
      <c r="AA1987" s="12" t="s">
        <v>5051</v>
      </c>
      <c r="AB1987" s="24"/>
    </row>
    <row r="1988" customFormat="false" ht="29.85" hidden="false" customHeight="false" outlineLevel="0" collapsed="false">
      <c r="A1988" s="15" t="n">
        <v>1987</v>
      </c>
      <c r="B1988" s="9" t="s">
        <v>112</v>
      </c>
      <c r="C1988" s="9" t="s">
        <v>1629</v>
      </c>
      <c r="D1988" s="10" t="s">
        <v>1630</v>
      </c>
      <c r="E1988" s="11" t="s">
        <v>5052</v>
      </c>
      <c r="F1988" s="17"/>
      <c r="G1988" s="12" t="s">
        <v>105</v>
      </c>
      <c r="H1988" s="13" t="n">
        <v>-0.008</v>
      </c>
      <c r="I1988" s="14"/>
      <c r="J1988" s="17"/>
      <c r="K1988" s="9"/>
      <c r="L1988" s="15" t="s">
        <v>50</v>
      </c>
      <c r="M1988" s="16" t="s">
        <v>51</v>
      </c>
      <c r="N1988" s="14"/>
      <c r="O1988" s="15" t="s">
        <v>52</v>
      </c>
      <c r="P1988" s="17" t="s">
        <v>53</v>
      </c>
      <c r="Q1988" s="15"/>
      <c r="R1988" s="18" t="s">
        <v>51</v>
      </c>
      <c r="S1988" s="19"/>
      <c r="T1988" s="17" t="str">
        <f aca="false">IF(R1988="維持",J1988,IF(R1988="排除","無關新聞事件",IFERROR(INDEX(事件規則!$B$2:$B$53,MATCH(S1988,事件規則!$A$2:$A$53,0)),"")))</f>
        <v>無關新聞事件</v>
      </c>
      <c r="U1988" s="20" t="n">
        <f aca="false">IF(R1988="維持",K1988,IF(R1988="排除",0,IFERROR(INDEX(事件規則!$C$2:$C$53,MATCH(S1988,事件規則!$A$2:$A$53,0)),"")))</f>
        <v>0</v>
      </c>
      <c r="V1988" s="21"/>
      <c r="W1988" s="22"/>
      <c r="X1988" s="10" t="str">
        <f aca="false">IF(AND(R1988="修改",S1988=""),"請選新事件代碼",IF(AND(R1988&lt;&gt;"修改",S1988&lt;&gt;""),"只有「修改」才需填代碼",""))</f>
        <v/>
      </c>
      <c r="Y1988" s="21"/>
      <c r="Z1988" s="22"/>
      <c r="AA1988" s="12" t="s">
        <v>5053</v>
      </c>
      <c r="AB1988" s="24"/>
    </row>
    <row r="1989" customFormat="false" ht="29.85" hidden="false" customHeight="false" outlineLevel="0" collapsed="false">
      <c r="A1989" s="15" t="n">
        <v>1988</v>
      </c>
      <c r="B1989" s="9" t="s">
        <v>112</v>
      </c>
      <c r="C1989" s="9" t="s">
        <v>2703</v>
      </c>
      <c r="D1989" s="10" t="s">
        <v>2704</v>
      </c>
      <c r="E1989" s="11" t="s">
        <v>5054</v>
      </c>
      <c r="F1989" s="17"/>
      <c r="G1989" s="12" t="s">
        <v>105</v>
      </c>
      <c r="H1989" s="13" t="n">
        <v>-0.008</v>
      </c>
      <c r="I1989" s="14"/>
      <c r="J1989" s="17"/>
      <c r="K1989" s="9"/>
      <c r="L1989" s="15" t="s">
        <v>50</v>
      </c>
      <c r="M1989" s="16" t="s">
        <v>51</v>
      </c>
      <c r="N1989" s="14"/>
      <c r="O1989" s="15" t="s">
        <v>52</v>
      </c>
      <c r="P1989" s="17" t="s">
        <v>53</v>
      </c>
      <c r="Q1989" s="15"/>
      <c r="R1989" s="18" t="s">
        <v>51</v>
      </c>
      <c r="S1989" s="19"/>
      <c r="T1989" s="17" t="str">
        <f aca="false">IF(R1989="維持",J1989,IF(R1989="排除","無關新聞事件",IFERROR(INDEX(事件規則!$B$2:$B$53,MATCH(S1989,事件規則!$A$2:$A$53,0)),"")))</f>
        <v>無關新聞事件</v>
      </c>
      <c r="U1989" s="20" t="n">
        <f aca="false">IF(R1989="維持",K1989,IF(R1989="排除",0,IFERROR(INDEX(事件規則!$C$2:$C$53,MATCH(S1989,事件規則!$A$2:$A$53,0)),"")))</f>
        <v>0</v>
      </c>
      <c r="V1989" s="21"/>
      <c r="W1989" s="22"/>
      <c r="X1989" s="10" t="str">
        <f aca="false">IF(AND(R1989="修改",S1989=""),"請選新事件代碼",IF(AND(R1989&lt;&gt;"修改",S1989&lt;&gt;""),"只有「修改」才需填代碼",""))</f>
        <v/>
      </c>
      <c r="Y1989" s="21"/>
      <c r="Z1989" s="22"/>
      <c r="AA1989" s="12" t="s">
        <v>5055</v>
      </c>
      <c r="AB1989" s="24"/>
    </row>
    <row r="1990" customFormat="false" ht="29.85" hidden="false" customHeight="false" outlineLevel="0" collapsed="false">
      <c r="A1990" s="15" t="n">
        <v>1989</v>
      </c>
      <c r="B1990" s="9" t="s">
        <v>112</v>
      </c>
      <c r="C1990" s="9" t="s">
        <v>294</v>
      </c>
      <c r="D1990" s="10" t="s">
        <v>295</v>
      </c>
      <c r="E1990" s="11" t="s">
        <v>5056</v>
      </c>
      <c r="F1990" s="17"/>
      <c r="G1990" s="12" t="s">
        <v>105</v>
      </c>
      <c r="H1990" s="13" t="n">
        <v>-0.008</v>
      </c>
      <c r="I1990" s="14"/>
      <c r="J1990" s="17"/>
      <c r="K1990" s="9"/>
      <c r="L1990" s="15" t="s">
        <v>50</v>
      </c>
      <c r="M1990" s="16" t="s">
        <v>51</v>
      </c>
      <c r="N1990" s="14"/>
      <c r="O1990" s="15" t="s">
        <v>52</v>
      </c>
      <c r="P1990" s="17" t="s">
        <v>53</v>
      </c>
      <c r="Q1990" s="15"/>
      <c r="R1990" s="18" t="s">
        <v>51</v>
      </c>
      <c r="S1990" s="19"/>
      <c r="T1990" s="17" t="str">
        <f aca="false">IF(R1990="維持",J1990,IF(R1990="排除","無關新聞事件",IFERROR(INDEX(事件規則!$B$2:$B$53,MATCH(S1990,事件規則!$A$2:$A$53,0)),"")))</f>
        <v>無關新聞事件</v>
      </c>
      <c r="U1990" s="20" t="n">
        <f aca="false">IF(R1990="維持",K1990,IF(R1990="排除",0,IFERROR(INDEX(事件規則!$C$2:$C$53,MATCH(S1990,事件規則!$A$2:$A$53,0)),"")))</f>
        <v>0</v>
      </c>
      <c r="V1990" s="21"/>
      <c r="W1990" s="22"/>
      <c r="X1990" s="10" t="str">
        <f aca="false">IF(AND(R1990="修改",S1990=""),"請選新事件代碼",IF(AND(R1990&lt;&gt;"修改",S1990&lt;&gt;""),"只有「修改」才需填代碼",""))</f>
        <v/>
      </c>
      <c r="Y1990" s="21"/>
      <c r="Z1990" s="22"/>
      <c r="AA1990" s="12" t="s">
        <v>5057</v>
      </c>
      <c r="AB1990" s="24"/>
    </row>
    <row r="1991" customFormat="false" ht="29.85" hidden="false" customHeight="false" outlineLevel="0" collapsed="false">
      <c r="A1991" s="15" t="n">
        <v>1990</v>
      </c>
      <c r="B1991" s="9" t="s">
        <v>112</v>
      </c>
      <c r="C1991" s="9" t="s">
        <v>1727</v>
      </c>
      <c r="D1991" s="10" t="s">
        <v>1728</v>
      </c>
      <c r="E1991" s="11" t="s">
        <v>5058</v>
      </c>
      <c r="F1991" s="17"/>
      <c r="G1991" s="12" t="s">
        <v>2033</v>
      </c>
      <c r="H1991" s="13" t="n">
        <v>-0.008</v>
      </c>
      <c r="I1991" s="14"/>
      <c r="J1991" s="17"/>
      <c r="K1991" s="9"/>
      <c r="L1991" s="15" t="s">
        <v>50</v>
      </c>
      <c r="M1991" s="16" t="s">
        <v>51</v>
      </c>
      <c r="N1991" s="14"/>
      <c r="O1991" s="15" t="s">
        <v>52</v>
      </c>
      <c r="P1991" s="17" t="s">
        <v>53</v>
      </c>
      <c r="Q1991" s="15"/>
      <c r="R1991" s="18" t="s">
        <v>51</v>
      </c>
      <c r="S1991" s="19"/>
      <c r="T1991" s="17" t="str">
        <f aca="false">IF(R1991="維持",J1991,IF(R1991="排除","無關新聞事件",IFERROR(INDEX(事件規則!$B$2:$B$53,MATCH(S1991,事件規則!$A$2:$A$53,0)),"")))</f>
        <v>無關新聞事件</v>
      </c>
      <c r="U1991" s="20" t="n">
        <f aca="false">IF(R1991="維持",K1991,IF(R1991="排除",0,IFERROR(INDEX(事件規則!$C$2:$C$53,MATCH(S1991,事件規則!$A$2:$A$53,0)),"")))</f>
        <v>0</v>
      </c>
      <c r="V1991" s="21"/>
      <c r="W1991" s="22"/>
      <c r="X1991" s="10" t="str">
        <f aca="false">IF(AND(R1991="修改",S1991=""),"請選新事件代碼",IF(AND(R1991&lt;&gt;"修改",S1991&lt;&gt;""),"只有「修改」才需填代碼",""))</f>
        <v/>
      </c>
      <c r="Y1991" s="21"/>
      <c r="Z1991" s="22"/>
      <c r="AA1991" s="12" t="s">
        <v>5059</v>
      </c>
      <c r="AB1991" s="24"/>
    </row>
    <row r="1992" customFormat="false" ht="29.85" hidden="false" customHeight="false" outlineLevel="0" collapsed="false">
      <c r="A1992" s="15" t="n">
        <v>1991</v>
      </c>
      <c r="B1992" s="9" t="s">
        <v>45</v>
      </c>
      <c r="C1992" s="9" t="s">
        <v>917</v>
      </c>
      <c r="D1992" s="10" t="s">
        <v>918</v>
      </c>
      <c r="E1992" s="11" t="s">
        <v>5060</v>
      </c>
      <c r="F1992" s="17"/>
      <c r="G1992" s="12" t="s">
        <v>1136</v>
      </c>
      <c r="H1992" s="13" t="n">
        <v>-0.008</v>
      </c>
      <c r="I1992" s="14"/>
      <c r="J1992" s="17"/>
      <c r="K1992" s="9"/>
      <c r="L1992" s="15" t="s">
        <v>50</v>
      </c>
      <c r="M1992" s="16" t="s">
        <v>51</v>
      </c>
      <c r="N1992" s="14"/>
      <c r="O1992" s="15" t="s">
        <v>52</v>
      </c>
      <c r="P1992" s="17" t="s">
        <v>53</v>
      </c>
      <c r="Q1992" s="15"/>
      <c r="R1992" s="18" t="s">
        <v>51</v>
      </c>
      <c r="S1992" s="19"/>
      <c r="T1992" s="17" t="str">
        <f aca="false">IF(R1992="維持",J1992,IF(R1992="排除","無關新聞事件",IFERROR(INDEX(事件規則!$B$2:$B$53,MATCH(S1992,事件規則!$A$2:$A$53,0)),"")))</f>
        <v>無關新聞事件</v>
      </c>
      <c r="U1992" s="20" t="n">
        <f aca="false">IF(R1992="維持",K1992,IF(R1992="排除",0,IFERROR(INDEX(事件規則!$C$2:$C$53,MATCH(S1992,事件規則!$A$2:$A$53,0)),"")))</f>
        <v>0</v>
      </c>
      <c r="V1992" s="21"/>
      <c r="W1992" s="22"/>
      <c r="X1992" s="10" t="str">
        <f aca="false">IF(AND(R1992="修改",S1992=""),"請選新事件代碼",IF(AND(R1992&lt;&gt;"修改",S1992&lt;&gt;""),"只有「修改」才需填代碼",""))</f>
        <v/>
      </c>
      <c r="Y1992" s="21"/>
      <c r="Z1992" s="22"/>
      <c r="AA1992" s="12" t="s">
        <v>5061</v>
      </c>
      <c r="AB1992" s="24"/>
    </row>
    <row r="1993" customFormat="false" ht="29.85" hidden="false" customHeight="false" outlineLevel="0" collapsed="false">
      <c r="A1993" s="15" t="n">
        <v>1992</v>
      </c>
      <c r="B1993" s="9" t="s">
        <v>112</v>
      </c>
      <c r="C1993" s="9" t="s">
        <v>66</v>
      </c>
      <c r="D1993" s="10" t="s">
        <v>67</v>
      </c>
      <c r="E1993" s="11" t="s">
        <v>5062</v>
      </c>
      <c r="F1993" s="17"/>
      <c r="G1993" s="12" t="s">
        <v>176</v>
      </c>
      <c r="H1993" s="13" t="n">
        <v>-0.008</v>
      </c>
      <c r="I1993" s="14"/>
      <c r="J1993" s="17"/>
      <c r="K1993" s="9"/>
      <c r="L1993" s="15" t="s">
        <v>50</v>
      </c>
      <c r="M1993" s="16" t="s">
        <v>51</v>
      </c>
      <c r="N1993" s="14"/>
      <c r="O1993" s="15" t="s">
        <v>52</v>
      </c>
      <c r="P1993" s="17" t="s">
        <v>53</v>
      </c>
      <c r="Q1993" s="15"/>
      <c r="R1993" s="18" t="s">
        <v>51</v>
      </c>
      <c r="S1993" s="19"/>
      <c r="T1993" s="17" t="str">
        <f aca="false">IF(R1993="維持",J1993,IF(R1993="排除","無關新聞事件",IFERROR(INDEX(事件規則!$B$2:$B$53,MATCH(S1993,事件規則!$A$2:$A$53,0)),"")))</f>
        <v>無關新聞事件</v>
      </c>
      <c r="U1993" s="20" t="n">
        <f aca="false">IF(R1993="維持",K1993,IF(R1993="排除",0,IFERROR(INDEX(事件規則!$C$2:$C$53,MATCH(S1993,事件規則!$A$2:$A$53,0)),"")))</f>
        <v>0</v>
      </c>
      <c r="V1993" s="21"/>
      <c r="W1993" s="22"/>
      <c r="X1993" s="10" t="str">
        <f aca="false">IF(AND(R1993="修改",S1993=""),"請選新事件代碼",IF(AND(R1993&lt;&gt;"修改",S1993&lt;&gt;""),"只有「修改」才需填代碼",""))</f>
        <v/>
      </c>
      <c r="Y1993" s="21"/>
      <c r="Z1993" s="22"/>
      <c r="AA1993" s="12" t="s">
        <v>5063</v>
      </c>
      <c r="AB1993" s="24"/>
    </row>
    <row r="1994" customFormat="false" ht="29.85" hidden="false" customHeight="false" outlineLevel="0" collapsed="false">
      <c r="A1994" s="15" t="n">
        <v>1993</v>
      </c>
      <c r="B1994" s="9" t="s">
        <v>45</v>
      </c>
      <c r="C1994" s="9" t="s">
        <v>3645</v>
      </c>
      <c r="D1994" s="10" t="s">
        <v>3646</v>
      </c>
      <c r="E1994" s="11" t="s">
        <v>5064</v>
      </c>
      <c r="F1994" s="17"/>
      <c r="G1994" s="12" t="s">
        <v>176</v>
      </c>
      <c r="H1994" s="13" t="n">
        <v>-0.008</v>
      </c>
      <c r="I1994" s="14"/>
      <c r="J1994" s="17"/>
      <c r="K1994" s="9"/>
      <c r="L1994" s="15" t="s">
        <v>50</v>
      </c>
      <c r="M1994" s="16" t="s">
        <v>51</v>
      </c>
      <c r="N1994" s="14"/>
      <c r="O1994" s="15" t="s">
        <v>52</v>
      </c>
      <c r="P1994" s="17" t="s">
        <v>53</v>
      </c>
      <c r="Q1994" s="15"/>
      <c r="R1994" s="18" t="s">
        <v>51</v>
      </c>
      <c r="S1994" s="19"/>
      <c r="T1994" s="17" t="str">
        <f aca="false">IF(R1994="維持",J1994,IF(R1994="排除","無關新聞事件",IFERROR(INDEX(事件規則!$B$2:$B$53,MATCH(S1994,事件規則!$A$2:$A$53,0)),"")))</f>
        <v>無關新聞事件</v>
      </c>
      <c r="U1994" s="20" t="n">
        <f aca="false">IF(R1994="維持",K1994,IF(R1994="排除",0,IFERROR(INDEX(事件規則!$C$2:$C$53,MATCH(S1994,事件規則!$A$2:$A$53,0)),"")))</f>
        <v>0</v>
      </c>
      <c r="V1994" s="21"/>
      <c r="W1994" s="22"/>
      <c r="X1994" s="10" t="str">
        <f aca="false">IF(AND(R1994="修改",S1994=""),"請選新事件代碼",IF(AND(R1994&lt;&gt;"修改",S1994&lt;&gt;""),"只有「修改」才需填代碼",""))</f>
        <v/>
      </c>
      <c r="Y1994" s="21"/>
      <c r="Z1994" s="22"/>
      <c r="AA1994" s="12" t="s">
        <v>5065</v>
      </c>
      <c r="AB1994" s="24"/>
    </row>
    <row r="1995" customFormat="false" ht="29.85" hidden="false" customHeight="false" outlineLevel="0" collapsed="false">
      <c r="A1995" s="15" t="n">
        <v>1994</v>
      </c>
      <c r="B1995" s="9" t="s">
        <v>112</v>
      </c>
      <c r="C1995" s="9" t="s">
        <v>427</v>
      </c>
      <c r="D1995" s="10" t="s">
        <v>428</v>
      </c>
      <c r="E1995" s="11" t="s">
        <v>5066</v>
      </c>
      <c r="F1995" s="17"/>
      <c r="G1995" s="12" t="s">
        <v>105</v>
      </c>
      <c r="H1995" s="13" t="n">
        <v>-0.008</v>
      </c>
      <c r="I1995" s="14"/>
      <c r="J1995" s="17"/>
      <c r="K1995" s="9"/>
      <c r="L1995" s="15" t="s">
        <v>50</v>
      </c>
      <c r="M1995" s="16" t="s">
        <v>51</v>
      </c>
      <c r="N1995" s="14"/>
      <c r="O1995" s="15" t="s">
        <v>52</v>
      </c>
      <c r="P1995" s="17" t="s">
        <v>53</v>
      </c>
      <c r="Q1995" s="15"/>
      <c r="R1995" s="18" t="s">
        <v>51</v>
      </c>
      <c r="S1995" s="19"/>
      <c r="T1995" s="17" t="str">
        <f aca="false">IF(R1995="維持",J1995,IF(R1995="排除","無關新聞事件",IFERROR(INDEX(事件規則!$B$2:$B$53,MATCH(S1995,事件規則!$A$2:$A$53,0)),"")))</f>
        <v>無關新聞事件</v>
      </c>
      <c r="U1995" s="20" t="n">
        <f aca="false">IF(R1995="維持",K1995,IF(R1995="排除",0,IFERROR(INDEX(事件規則!$C$2:$C$53,MATCH(S1995,事件規則!$A$2:$A$53,0)),"")))</f>
        <v>0</v>
      </c>
      <c r="V1995" s="21"/>
      <c r="W1995" s="22"/>
      <c r="X1995" s="10" t="str">
        <f aca="false">IF(AND(R1995="修改",S1995=""),"請選新事件代碼",IF(AND(R1995&lt;&gt;"修改",S1995&lt;&gt;""),"只有「修改」才需填代碼",""))</f>
        <v/>
      </c>
      <c r="Y1995" s="21"/>
      <c r="Z1995" s="22"/>
      <c r="AA1995" s="12" t="s">
        <v>5067</v>
      </c>
      <c r="AB1995" s="24"/>
    </row>
    <row r="1996" customFormat="false" ht="29.85" hidden="false" customHeight="false" outlineLevel="0" collapsed="false">
      <c r="A1996" s="15" t="n">
        <v>1995</v>
      </c>
      <c r="B1996" s="9" t="s">
        <v>45</v>
      </c>
      <c r="C1996" s="9" t="s">
        <v>744</v>
      </c>
      <c r="D1996" s="10" t="s">
        <v>745</v>
      </c>
      <c r="E1996" s="11" t="s">
        <v>5068</v>
      </c>
      <c r="F1996" s="17"/>
      <c r="G1996" s="12" t="s">
        <v>5069</v>
      </c>
      <c r="H1996" s="13" t="n">
        <v>-0.008</v>
      </c>
      <c r="I1996" s="14"/>
      <c r="J1996" s="17"/>
      <c r="K1996" s="9"/>
      <c r="L1996" s="15" t="s">
        <v>50</v>
      </c>
      <c r="M1996" s="16" t="s">
        <v>51</v>
      </c>
      <c r="N1996" s="14"/>
      <c r="O1996" s="15" t="s">
        <v>52</v>
      </c>
      <c r="P1996" s="17" t="s">
        <v>53</v>
      </c>
      <c r="Q1996" s="15"/>
      <c r="R1996" s="18" t="s">
        <v>51</v>
      </c>
      <c r="S1996" s="19"/>
      <c r="T1996" s="17" t="str">
        <f aca="false">IF(R1996="維持",J1996,IF(R1996="排除","無關新聞事件",IFERROR(INDEX(事件規則!$B$2:$B$53,MATCH(S1996,事件規則!$A$2:$A$53,0)),"")))</f>
        <v>無關新聞事件</v>
      </c>
      <c r="U1996" s="20" t="n">
        <f aca="false">IF(R1996="維持",K1996,IF(R1996="排除",0,IFERROR(INDEX(事件規則!$C$2:$C$53,MATCH(S1996,事件規則!$A$2:$A$53,0)),"")))</f>
        <v>0</v>
      </c>
      <c r="V1996" s="21"/>
      <c r="W1996" s="22"/>
      <c r="X1996" s="10" t="str">
        <f aca="false">IF(AND(R1996="修改",S1996=""),"請選新事件代碼",IF(AND(R1996&lt;&gt;"修改",S1996&lt;&gt;""),"只有「修改」才需填代碼",""))</f>
        <v/>
      </c>
      <c r="Y1996" s="21"/>
      <c r="Z1996" s="22"/>
      <c r="AA1996" s="12" t="s">
        <v>5070</v>
      </c>
      <c r="AB1996" s="24"/>
    </row>
    <row r="1997" customFormat="false" ht="29.85" hidden="false" customHeight="false" outlineLevel="0" collapsed="false">
      <c r="A1997" s="15" t="n">
        <v>1996</v>
      </c>
      <c r="B1997" s="9" t="s">
        <v>45</v>
      </c>
      <c r="C1997" s="9" t="s">
        <v>535</v>
      </c>
      <c r="D1997" s="10" t="s">
        <v>536</v>
      </c>
      <c r="E1997" s="11" t="s">
        <v>5071</v>
      </c>
      <c r="F1997" s="17"/>
      <c r="G1997" s="12" t="s">
        <v>949</v>
      </c>
      <c r="H1997" s="13" t="n">
        <v>-0.008</v>
      </c>
      <c r="I1997" s="14"/>
      <c r="J1997" s="17"/>
      <c r="K1997" s="9"/>
      <c r="L1997" s="15" t="s">
        <v>50</v>
      </c>
      <c r="M1997" s="16" t="s">
        <v>51</v>
      </c>
      <c r="N1997" s="14"/>
      <c r="O1997" s="15" t="s">
        <v>52</v>
      </c>
      <c r="P1997" s="17" t="s">
        <v>53</v>
      </c>
      <c r="Q1997" s="15"/>
      <c r="R1997" s="18" t="s">
        <v>51</v>
      </c>
      <c r="S1997" s="19"/>
      <c r="T1997" s="17" t="str">
        <f aca="false">IF(R1997="維持",J1997,IF(R1997="排除","無關新聞事件",IFERROR(INDEX(事件規則!$B$2:$B$53,MATCH(S1997,事件規則!$A$2:$A$53,0)),"")))</f>
        <v>無關新聞事件</v>
      </c>
      <c r="U1997" s="20" t="n">
        <f aca="false">IF(R1997="維持",K1997,IF(R1997="排除",0,IFERROR(INDEX(事件規則!$C$2:$C$53,MATCH(S1997,事件規則!$A$2:$A$53,0)),"")))</f>
        <v>0</v>
      </c>
      <c r="V1997" s="21"/>
      <c r="W1997" s="22"/>
      <c r="X1997" s="10" t="str">
        <f aca="false">IF(AND(R1997="修改",S1997=""),"請選新事件代碼",IF(AND(R1997&lt;&gt;"修改",S1997&lt;&gt;""),"只有「修改」才需填代碼",""))</f>
        <v/>
      </c>
      <c r="Y1997" s="21"/>
      <c r="Z1997" s="22"/>
      <c r="AA1997" s="12" t="s">
        <v>5072</v>
      </c>
      <c r="AB1997" s="24"/>
    </row>
    <row r="1998" customFormat="false" ht="29.85" hidden="false" customHeight="false" outlineLevel="0" collapsed="false">
      <c r="A1998" s="15" t="n">
        <v>1997</v>
      </c>
      <c r="B1998" s="9" t="s">
        <v>45</v>
      </c>
      <c r="C1998" s="9" t="s">
        <v>5073</v>
      </c>
      <c r="D1998" s="10" t="s">
        <v>5074</v>
      </c>
      <c r="E1998" s="11" t="s">
        <v>5075</v>
      </c>
      <c r="F1998" s="17"/>
      <c r="G1998" s="12" t="s">
        <v>4116</v>
      </c>
      <c r="H1998" s="13" t="n">
        <v>-0.008</v>
      </c>
      <c r="I1998" s="14"/>
      <c r="J1998" s="17"/>
      <c r="K1998" s="9"/>
      <c r="L1998" s="15" t="s">
        <v>50</v>
      </c>
      <c r="M1998" s="16" t="s">
        <v>51</v>
      </c>
      <c r="N1998" s="14"/>
      <c r="O1998" s="15" t="s">
        <v>52</v>
      </c>
      <c r="P1998" s="17" t="s">
        <v>53</v>
      </c>
      <c r="Q1998" s="15"/>
      <c r="R1998" s="18" t="s">
        <v>51</v>
      </c>
      <c r="S1998" s="19"/>
      <c r="T1998" s="17" t="str">
        <f aca="false">IF(R1998="維持",J1998,IF(R1998="排除","無關新聞事件",IFERROR(INDEX(事件規則!$B$2:$B$53,MATCH(S1998,事件規則!$A$2:$A$53,0)),"")))</f>
        <v>無關新聞事件</v>
      </c>
      <c r="U1998" s="20" t="n">
        <f aca="false">IF(R1998="維持",K1998,IF(R1998="排除",0,IFERROR(INDEX(事件規則!$C$2:$C$53,MATCH(S1998,事件規則!$A$2:$A$53,0)),"")))</f>
        <v>0</v>
      </c>
      <c r="V1998" s="21"/>
      <c r="W1998" s="22"/>
      <c r="X1998" s="10" t="str">
        <f aca="false">IF(AND(R1998="修改",S1998=""),"請選新事件代碼",IF(AND(R1998&lt;&gt;"修改",S1998&lt;&gt;""),"只有「修改」才需填代碼",""))</f>
        <v/>
      </c>
      <c r="Y1998" s="21"/>
      <c r="Z1998" s="22"/>
      <c r="AA1998" s="12" t="s">
        <v>5076</v>
      </c>
      <c r="AB1998" s="24"/>
    </row>
    <row r="1999" customFormat="false" ht="15" hidden="false" customHeight="false" outlineLevel="0" collapsed="false">
      <c r="A1999" s="15" t="n">
        <v>1998</v>
      </c>
      <c r="B1999" s="9" t="s">
        <v>45</v>
      </c>
      <c r="C1999" s="9" t="s">
        <v>1242</v>
      </c>
      <c r="D1999" s="10" t="s">
        <v>1243</v>
      </c>
      <c r="E1999" s="11" t="s">
        <v>5077</v>
      </c>
      <c r="F1999" s="17"/>
      <c r="G1999" s="12" t="s">
        <v>5078</v>
      </c>
      <c r="H1999" s="13" t="n">
        <v>-0.008</v>
      </c>
      <c r="I1999" s="14"/>
      <c r="J1999" s="17"/>
      <c r="K1999" s="9"/>
      <c r="L1999" s="15" t="s">
        <v>50</v>
      </c>
      <c r="M1999" s="16" t="s">
        <v>131</v>
      </c>
      <c r="N1999" s="14" t="s">
        <v>1246</v>
      </c>
      <c r="O1999" s="15" t="s">
        <v>193</v>
      </c>
      <c r="P1999" s="10" t="s">
        <v>3615</v>
      </c>
      <c r="Q1999" s="15"/>
      <c r="R1999" s="18" t="s">
        <v>131</v>
      </c>
      <c r="S1999" s="19" t="s">
        <v>1246</v>
      </c>
      <c r="T1999" s="17" t="str">
        <f aca="false">IF(R1999="維持",J1999,IF(R1999="排除","無關新聞事件",IFERROR(INDEX(事件規則!$B$2:$B$53,MATCH(S1999,事件規則!$A$2:$A$53,0)),"")))</f>
        <v>資料外洩</v>
      </c>
      <c r="U1999" s="20" t="n">
        <f aca="false">IF(R1999="維持",K1999,IF(R1999="排除",0,IFERROR(INDEX(事件規則!$C$2:$C$53,MATCH(S1999,事件規則!$A$2:$A$53,0)),"")))</f>
        <v>3</v>
      </c>
      <c r="V1999" s="21"/>
      <c r="W1999" s="22"/>
      <c r="X1999" s="10" t="str">
        <f aca="false">IF(AND(R1999="修改",S1999=""),"請選新事件代碼",IF(AND(R1999&lt;&gt;"修改",S1999&lt;&gt;""),"只有「修改」才需填代碼",""))</f>
        <v/>
      </c>
      <c r="Y1999" s="21"/>
      <c r="Z1999" s="22"/>
      <c r="AA1999" s="12" t="s">
        <v>5079</v>
      </c>
      <c r="AB1999" s="24"/>
    </row>
    <row r="2000" customFormat="false" ht="29.85" hidden="false" customHeight="false" outlineLevel="0" collapsed="false">
      <c r="A2000" s="15" t="n">
        <v>1999</v>
      </c>
      <c r="B2000" s="9" t="s">
        <v>45</v>
      </c>
      <c r="C2000" s="9" t="s">
        <v>744</v>
      </c>
      <c r="D2000" s="10" t="s">
        <v>745</v>
      </c>
      <c r="E2000" s="11" t="s">
        <v>5080</v>
      </c>
      <c r="F2000" s="17"/>
      <c r="G2000" s="12" t="s">
        <v>5081</v>
      </c>
      <c r="H2000" s="13" t="n">
        <v>-0.008</v>
      </c>
      <c r="I2000" s="14"/>
      <c r="J2000" s="17"/>
      <c r="K2000" s="9"/>
      <c r="L2000" s="15" t="s">
        <v>50</v>
      </c>
      <c r="M2000" s="16" t="s">
        <v>51</v>
      </c>
      <c r="N2000" s="14"/>
      <c r="O2000" s="15" t="s">
        <v>52</v>
      </c>
      <c r="P2000" s="17" t="s">
        <v>53</v>
      </c>
      <c r="Q2000" s="15"/>
      <c r="R2000" s="18" t="s">
        <v>51</v>
      </c>
      <c r="S2000" s="19"/>
      <c r="T2000" s="17" t="str">
        <f aca="false">IF(R2000="維持",J2000,IF(R2000="排除","無關新聞事件",IFERROR(INDEX(事件規則!$B$2:$B$53,MATCH(S2000,事件規則!$A$2:$A$53,0)),"")))</f>
        <v>無關新聞事件</v>
      </c>
      <c r="U2000" s="20" t="n">
        <f aca="false">IF(R2000="維持",K2000,IF(R2000="排除",0,IFERROR(INDEX(事件規則!$C$2:$C$53,MATCH(S2000,事件規則!$A$2:$A$53,0)),"")))</f>
        <v>0</v>
      </c>
      <c r="V2000" s="21"/>
      <c r="W2000" s="22"/>
      <c r="X2000" s="10" t="str">
        <f aca="false">IF(AND(R2000="修改",S2000=""),"請選新事件代碼",IF(AND(R2000&lt;&gt;"修改",S2000&lt;&gt;""),"只有「修改」才需填代碼",""))</f>
        <v/>
      </c>
      <c r="Y2000" s="21"/>
      <c r="Z2000" s="22"/>
      <c r="AA2000" s="12" t="s">
        <v>5082</v>
      </c>
      <c r="AB2000" s="24"/>
    </row>
    <row r="2001" customFormat="false" ht="29.85" hidden="false" customHeight="false" outlineLevel="0" collapsed="false">
      <c r="A2001" s="15" t="n">
        <v>2000</v>
      </c>
      <c r="B2001" s="9" t="s">
        <v>45</v>
      </c>
      <c r="C2001" s="9" t="s">
        <v>3244</v>
      </c>
      <c r="D2001" s="10" t="s">
        <v>3245</v>
      </c>
      <c r="E2001" s="11" t="s">
        <v>5083</v>
      </c>
      <c r="F2001" s="17"/>
      <c r="G2001" s="12" t="s">
        <v>142</v>
      </c>
      <c r="H2001" s="13" t="n">
        <v>-0.008</v>
      </c>
      <c r="I2001" s="14"/>
      <c r="J2001" s="17"/>
      <c r="K2001" s="9"/>
      <c r="L2001" s="15" t="s">
        <v>50</v>
      </c>
      <c r="M2001" s="16" t="s">
        <v>51</v>
      </c>
      <c r="N2001" s="14"/>
      <c r="O2001" s="15" t="s">
        <v>52</v>
      </c>
      <c r="P2001" s="17" t="s">
        <v>53</v>
      </c>
      <c r="Q2001" s="15"/>
      <c r="R2001" s="18" t="s">
        <v>51</v>
      </c>
      <c r="S2001" s="19"/>
      <c r="T2001" s="17" t="str">
        <f aca="false">IF(R2001="維持",J2001,IF(R2001="排除","無關新聞事件",IFERROR(INDEX(事件規則!$B$2:$B$53,MATCH(S2001,事件規則!$A$2:$A$53,0)),"")))</f>
        <v>無關新聞事件</v>
      </c>
      <c r="U2001" s="20" t="n">
        <f aca="false">IF(R2001="維持",K2001,IF(R2001="排除",0,IFERROR(INDEX(事件規則!$C$2:$C$53,MATCH(S2001,事件規則!$A$2:$A$53,0)),"")))</f>
        <v>0</v>
      </c>
      <c r="V2001" s="21"/>
      <c r="W2001" s="22"/>
      <c r="X2001" s="10" t="str">
        <f aca="false">IF(AND(R2001="修改",S2001=""),"請選新事件代碼",IF(AND(R2001&lt;&gt;"修改",S2001&lt;&gt;""),"只有「修改」才需填代碼",""))</f>
        <v/>
      </c>
      <c r="Y2001" s="21"/>
      <c r="Z2001" s="22"/>
      <c r="AA2001" s="12" t="s">
        <v>5084</v>
      </c>
      <c r="AB2001" s="24"/>
    </row>
    <row r="2002" customFormat="false" ht="29.85" hidden="false" customHeight="false" outlineLevel="0" collapsed="false">
      <c r="A2002" s="15" t="n">
        <v>2001</v>
      </c>
      <c r="B2002" s="9" t="s">
        <v>55</v>
      </c>
      <c r="C2002" s="9" t="s">
        <v>716</v>
      </c>
      <c r="D2002" s="10" t="s">
        <v>717</v>
      </c>
      <c r="E2002" s="11" t="s">
        <v>5085</v>
      </c>
      <c r="F2002" s="17"/>
      <c r="G2002" s="12" t="s">
        <v>1136</v>
      </c>
      <c r="H2002" s="13" t="n">
        <v>-0.008</v>
      </c>
      <c r="I2002" s="14"/>
      <c r="J2002" s="17"/>
      <c r="K2002" s="9"/>
      <c r="L2002" s="15" t="s">
        <v>50</v>
      </c>
      <c r="M2002" s="16" t="s">
        <v>51</v>
      </c>
      <c r="N2002" s="14"/>
      <c r="O2002" s="15" t="s">
        <v>52</v>
      </c>
      <c r="P2002" s="17" t="s">
        <v>53</v>
      </c>
      <c r="Q2002" s="15"/>
      <c r="R2002" s="18" t="s">
        <v>51</v>
      </c>
      <c r="S2002" s="19"/>
      <c r="T2002" s="17" t="str">
        <f aca="false">IF(R2002="維持",J2002,IF(R2002="排除","無關新聞事件",IFERROR(INDEX(事件規則!$B$2:$B$53,MATCH(S2002,事件規則!$A$2:$A$53,0)),"")))</f>
        <v>無關新聞事件</v>
      </c>
      <c r="U2002" s="20" t="n">
        <f aca="false">IF(R2002="維持",K2002,IF(R2002="排除",0,IFERROR(INDEX(事件規則!$C$2:$C$53,MATCH(S2002,事件規則!$A$2:$A$53,0)),"")))</f>
        <v>0</v>
      </c>
      <c r="V2002" s="21"/>
      <c r="W2002" s="22"/>
      <c r="X2002" s="10" t="str">
        <f aca="false">IF(AND(R2002="修改",S2002=""),"請選新事件代碼",IF(AND(R2002&lt;&gt;"修改",S2002&lt;&gt;""),"只有「修改」才需填代碼",""))</f>
        <v/>
      </c>
      <c r="Y2002" s="21"/>
      <c r="Z2002" s="22"/>
      <c r="AA2002" s="12" t="s">
        <v>5086</v>
      </c>
      <c r="AB2002" s="24"/>
    </row>
    <row r="2003" customFormat="false" ht="29.85" hidden="false" customHeight="false" outlineLevel="0" collapsed="false">
      <c r="A2003" s="15" t="n">
        <v>2002</v>
      </c>
      <c r="B2003" s="9" t="s">
        <v>112</v>
      </c>
      <c r="C2003" s="9" t="s">
        <v>740</v>
      </c>
      <c r="D2003" s="10" t="s">
        <v>741</v>
      </c>
      <c r="E2003" s="11" t="s">
        <v>5087</v>
      </c>
      <c r="F2003" s="17"/>
      <c r="G2003" s="12" t="s">
        <v>169</v>
      </c>
      <c r="H2003" s="13" t="n">
        <v>-0.008</v>
      </c>
      <c r="I2003" s="14"/>
      <c r="J2003" s="17"/>
      <c r="K2003" s="9"/>
      <c r="L2003" s="15" t="s">
        <v>50</v>
      </c>
      <c r="M2003" s="16" t="s">
        <v>51</v>
      </c>
      <c r="N2003" s="14"/>
      <c r="O2003" s="15" t="s">
        <v>52</v>
      </c>
      <c r="P2003" s="17" t="s">
        <v>53</v>
      </c>
      <c r="Q2003" s="15"/>
      <c r="R2003" s="18" t="s">
        <v>51</v>
      </c>
      <c r="S2003" s="19"/>
      <c r="T2003" s="17" t="str">
        <f aca="false">IF(R2003="維持",J2003,IF(R2003="排除","無關新聞事件",IFERROR(INDEX(事件規則!$B$2:$B$53,MATCH(S2003,事件規則!$A$2:$A$53,0)),"")))</f>
        <v>無關新聞事件</v>
      </c>
      <c r="U2003" s="20" t="n">
        <f aca="false">IF(R2003="維持",K2003,IF(R2003="排除",0,IFERROR(INDEX(事件規則!$C$2:$C$53,MATCH(S2003,事件規則!$A$2:$A$53,0)),"")))</f>
        <v>0</v>
      </c>
      <c r="V2003" s="21"/>
      <c r="W2003" s="22"/>
      <c r="X2003" s="10" t="str">
        <f aca="false">IF(AND(R2003="修改",S2003=""),"請選新事件代碼",IF(AND(R2003&lt;&gt;"修改",S2003&lt;&gt;""),"只有「修改」才需填代碼",""))</f>
        <v/>
      </c>
      <c r="Y2003" s="21"/>
      <c r="Z2003" s="22"/>
      <c r="AA2003" s="12" t="s">
        <v>5088</v>
      </c>
      <c r="AB2003" s="24"/>
    </row>
    <row r="2004" customFormat="false" ht="29.85" hidden="false" customHeight="false" outlineLevel="0" collapsed="false">
      <c r="A2004" s="15" t="n">
        <v>2003</v>
      </c>
      <c r="B2004" s="9" t="s">
        <v>45</v>
      </c>
      <c r="C2004" s="9" t="s">
        <v>178</v>
      </c>
      <c r="D2004" s="10" t="s">
        <v>179</v>
      </c>
      <c r="E2004" s="11" t="s">
        <v>5089</v>
      </c>
      <c r="F2004" s="17"/>
      <c r="G2004" s="12" t="s">
        <v>5090</v>
      </c>
      <c r="H2004" s="13" t="n">
        <v>-0.008</v>
      </c>
      <c r="I2004" s="14"/>
      <c r="J2004" s="17"/>
      <c r="K2004" s="9"/>
      <c r="L2004" s="15" t="s">
        <v>50</v>
      </c>
      <c r="M2004" s="16" t="s">
        <v>51</v>
      </c>
      <c r="N2004" s="14"/>
      <c r="O2004" s="15" t="s">
        <v>52</v>
      </c>
      <c r="P2004" s="17" t="s">
        <v>53</v>
      </c>
      <c r="Q2004" s="15"/>
      <c r="R2004" s="18" t="s">
        <v>51</v>
      </c>
      <c r="S2004" s="19"/>
      <c r="T2004" s="17" t="str">
        <f aca="false">IF(R2004="維持",J2004,IF(R2004="排除","無關新聞事件",IFERROR(INDEX(事件規則!$B$2:$B$53,MATCH(S2004,事件規則!$A$2:$A$53,0)),"")))</f>
        <v>無關新聞事件</v>
      </c>
      <c r="U2004" s="20" t="n">
        <f aca="false">IF(R2004="維持",K2004,IF(R2004="排除",0,IFERROR(INDEX(事件規則!$C$2:$C$53,MATCH(S2004,事件規則!$A$2:$A$53,0)),"")))</f>
        <v>0</v>
      </c>
      <c r="V2004" s="21"/>
      <c r="W2004" s="22"/>
      <c r="X2004" s="10" t="str">
        <f aca="false">IF(AND(R2004="修改",S2004=""),"請選新事件代碼",IF(AND(R2004&lt;&gt;"修改",S2004&lt;&gt;""),"只有「修改」才需填代碼",""))</f>
        <v/>
      </c>
      <c r="Y2004" s="21"/>
      <c r="Z2004" s="22"/>
      <c r="AA2004" s="12" t="s">
        <v>5091</v>
      </c>
      <c r="AB2004" s="24"/>
    </row>
    <row r="2005" customFormat="false" ht="29.85" hidden="false" customHeight="false" outlineLevel="0" collapsed="false">
      <c r="A2005" s="15" t="n">
        <v>2004</v>
      </c>
      <c r="B2005" s="9" t="s">
        <v>45</v>
      </c>
      <c r="C2005" s="9" t="s">
        <v>118</v>
      </c>
      <c r="D2005" s="10" t="s">
        <v>119</v>
      </c>
      <c r="E2005" s="11" t="s">
        <v>5092</v>
      </c>
      <c r="F2005" s="17"/>
      <c r="G2005" s="12" t="s">
        <v>4702</v>
      </c>
      <c r="H2005" s="13" t="n">
        <v>-0.008</v>
      </c>
      <c r="I2005" s="14"/>
      <c r="J2005" s="17"/>
      <c r="K2005" s="9"/>
      <c r="L2005" s="15" t="s">
        <v>50</v>
      </c>
      <c r="M2005" s="16" t="s">
        <v>51</v>
      </c>
      <c r="N2005" s="14"/>
      <c r="O2005" s="15" t="s">
        <v>52</v>
      </c>
      <c r="P2005" s="17" t="s">
        <v>53</v>
      </c>
      <c r="Q2005" s="15"/>
      <c r="R2005" s="18" t="s">
        <v>51</v>
      </c>
      <c r="S2005" s="19"/>
      <c r="T2005" s="17" t="str">
        <f aca="false">IF(R2005="維持",J2005,IF(R2005="排除","無關新聞事件",IFERROR(INDEX(事件規則!$B$2:$B$53,MATCH(S2005,事件規則!$A$2:$A$53,0)),"")))</f>
        <v>無關新聞事件</v>
      </c>
      <c r="U2005" s="20" t="n">
        <f aca="false">IF(R2005="維持",K2005,IF(R2005="排除",0,IFERROR(INDEX(事件規則!$C$2:$C$53,MATCH(S2005,事件規則!$A$2:$A$53,0)),"")))</f>
        <v>0</v>
      </c>
      <c r="V2005" s="21"/>
      <c r="W2005" s="22"/>
      <c r="X2005" s="10" t="str">
        <f aca="false">IF(AND(R2005="修改",S2005=""),"請選新事件代碼",IF(AND(R2005&lt;&gt;"修改",S2005&lt;&gt;""),"只有「修改」才需填代碼",""))</f>
        <v/>
      </c>
      <c r="Y2005" s="21"/>
      <c r="Z2005" s="22"/>
      <c r="AA2005" s="12" t="s">
        <v>5093</v>
      </c>
      <c r="AB2005" s="24"/>
    </row>
    <row r="2006" customFormat="false" ht="29.85" hidden="false" customHeight="false" outlineLevel="0" collapsed="false">
      <c r="A2006" s="15" t="n">
        <v>2005</v>
      </c>
      <c r="B2006" s="9" t="s">
        <v>55</v>
      </c>
      <c r="C2006" s="9" t="s">
        <v>535</v>
      </c>
      <c r="D2006" s="10" t="s">
        <v>536</v>
      </c>
      <c r="E2006" s="11" t="s">
        <v>5094</v>
      </c>
      <c r="F2006" s="17"/>
      <c r="G2006" s="12" t="s">
        <v>95</v>
      </c>
      <c r="H2006" s="13" t="n">
        <v>-0.008</v>
      </c>
      <c r="I2006" s="14"/>
      <c r="J2006" s="17"/>
      <c r="K2006" s="9"/>
      <c r="L2006" s="15" t="s">
        <v>50</v>
      </c>
      <c r="M2006" s="16" t="s">
        <v>51</v>
      </c>
      <c r="N2006" s="14"/>
      <c r="O2006" s="15" t="s">
        <v>52</v>
      </c>
      <c r="P2006" s="17" t="s">
        <v>53</v>
      </c>
      <c r="Q2006" s="15"/>
      <c r="R2006" s="18" t="s">
        <v>51</v>
      </c>
      <c r="S2006" s="19"/>
      <c r="T2006" s="17" t="str">
        <f aca="false">IF(R2006="維持",J2006,IF(R2006="排除","無關新聞事件",IFERROR(INDEX(事件規則!$B$2:$B$53,MATCH(S2006,事件規則!$A$2:$A$53,0)),"")))</f>
        <v>無關新聞事件</v>
      </c>
      <c r="U2006" s="20" t="n">
        <f aca="false">IF(R2006="維持",K2006,IF(R2006="排除",0,IFERROR(INDEX(事件規則!$C$2:$C$53,MATCH(S2006,事件規則!$A$2:$A$53,0)),"")))</f>
        <v>0</v>
      </c>
      <c r="V2006" s="21"/>
      <c r="W2006" s="22"/>
      <c r="X2006" s="10" t="str">
        <f aca="false">IF(AND(R2006="修改",S2006=""),"請選新事件代碼",IF(AND(R2006&lt;&gt;"修改",S2006&lt;&gt;""),"只有「修改」才需填代碼",""))</f>
        <v/>
      </c>
      <c r="Y2006" s="21"/>
      <c r="Z2006" s="22"/>
      <c r="AA2006" s="12" t="s">
        <v>5095</v>
      </c>
      <c r="AB2006" s="24"/>
    </row>
    <row r="2007" customFormat="false" ht="29.85" hidden="false" customHeight="false" outlineLevel="0" collapsed="false">
      <c r="A2007" s="15" t="n">
        <v>2006</v>
      </c>
      <c r="B2007" s="9" t="s">
        <v>55</v>
      </c>
      <c r="C2007" s="9" t="s">
        <v>303</v>
      </c>
      <c r="D2007" s="10" t="s">
        <v>304</v>
      </c>
      <c r="E2007" s="11" t="s">
        <v>5096</v>
      </c>
      <c r="F2007" s="17"/>
      <c r="G2007" s="12" t="s">
        <v>176</v>
      </c>
      <c r="H2007" s="13" t="n">
        <v>-0.008</v>
      </c>
      <c r="I2007" s="14"/>
      <c r="J2007" s="17"/>
      <c r="K2007" s="9"/>
      <c r="L2007" s="15" t="s">
        <v>50</v>
      </c>
      <c r="M2007" s="16" t="s">
        <v>51</v>
      </c>
      <c r="N2007" s="14"/>
      <c r="O2007" s="15" t="s">
        <v>52</v>
      </c>
      <c r="P2007" s="17" t="s">
        <v>53</v>
      </c>
      <c r="Q2007" s="15"/>
      <c r="R2007" s="18" t="s">
        <v>51</v>
      </c>
      <c r="S2007" s="19"/>
      <c r="T2007" s="17" t="str">
        <f aca="false">IF(R2007="維持",J2007,IF(R2007="排除","無關新聞事件",IFERROR(INDEX(事件規則!$B$2:$B$53,MATCH(S2007,事件規則!$A$2:$A$53,0)),"")))</f>
        <v>無關新聞事件</v>
      </c>
      <c r="U2007" s="20" t="n">
        <f aca="false">IF(R2007="維持",K2007,IF(R2007="排除",0,IFERROR(INDEX(事件規則!$C$2:$C$53,MATCH(S2007,事件規則!$A$2:$A$53,0)),"")))</f>
        <v>0</v>
      </c>
      <c r="V2007" s="21"/>
      <c r="W2007" s="22"/>
      <c r="X2007" s="10" t="str">
        <f aca="false">IF(AND(R2007="修改",S2007=""),"請選新事件代碼",IF(AND(R2007&lt;&gt;"修改",S2007&lt;&gt;""),"只有「修改」才需填代碼",""))</f>
        <v/>
      </c>
      <c r="Y2007" s="21"/>
      <c r="Z2007" s="22"/>
      <c r="AA2007" s="12" t="s">
        <v>5097</v>
      </c>
      <c r="AB2007" s="24"/>
    </row>
    <row r="2008" customFormat="false" ht="29.85" hidden="false" customHeight="false" outlineLevel="0" collapsed="false">
      <c r="A2008" s="15" t="n">
        <v>2007</v>
      </c>
      <c r="B2008" s="9" t="s">
        <v>55</v>
      </c>
      <c r="C2008" s="9" t="s">
        <v>315</v>
      </c>
      <c r="D2008" s="10" t="s">
        <v>316</v>
      </c>
      <c r="E2008" s="11" t="s">
        <v>5098</v>
      </c>
      <c r="F2008" s="17"/>
      <c r="G2008" s="12" t="s">
        <v>5099</v>
      </c>
      <c r="H2008" s="13" t="n">
        <v>-0.008</v>
      </c>
      <c r="I2008" s="14"/>
      <c r="J2008" s="17"/>
      <c r="K2008" s="9"/>
      <c r="L2008" s="15" t="s">
        <v>50</v>
      </c>
      <c r="M2008" s="16" t="s">
        <v>51</v>
      </c>
      <c r="N2008" s="14"/>
      <c r="O2008" s="15" t="s">
        <v>52</v>
      </c>
      <c r="P2008" s="17" t="s">
        <v>53</v>
      </c>
      <c r="Q2008" s="15"/>
      <c r="R2008" s="18" t="s">
        <v>51</v>
      </c>
      <c r="S2008" s="19"/>
      <c r="T2008" s="17" t="str">
        <f aca="false">IF(R2008="維持",J2008,IF(R2008="排除","無關新聞事件",IFERROR(INDEX(事件規則!$B$2:$B$53,MATCH(S2008,事件規則!$A$2:$A$53,0)),"")))</f>
        <v>無關新聞事件</v>
      </c>
      <c r="U2008" s="20" t="n">
        <f aca="false">IF(R2008="維持",K2008,IF(R2008="排除",0,IFERROR(INDEX(事件規則!$C$2:$C$53,MATCH(S2008,事件規則!$A$2:$A$53,0)),"")))</f>
        <v>0</v>
      </c>
      <c r="V2008" s="21"/>
      <c r="W2008" s="22"/>
      <c r="X2008" s="10" t="str">
        <f aca="false">IF(AND(R2008="修改",S2008=""),"請選新事件代碼",IF(AND(R2008&lt;&gt;"修改",S2008&lt;&gt;""),"只有「修改」才需填代碼",""))</f>
        <v/>
      </c>
      <c r="Y2008" s="21"/>
      <c r="Z2008" s="22"/>
      <c r="AA2008" s="12" t="s">
        <v>5100</v>
      </c>
      <c r="AB2008" s="24"/>
    </row>
    <row r="2009" customFormat="false" ht="29.85" hidden="false" customHeight="false" outlineLevel="0" collapsed="false">
      <c r="A2009" s="15" t="n">
        <v>2008</v>
      </c>
      <c r="B2009" s="9" t="s">
        <v>55</v>
      </c>
      <c r="C2009" s="9" t="s">
        <v>326</v>
      </c>
      <c r="D2009" s="10" t="s">
        <v>326</v>
      </c>
      <c r="E2009" s="11" t="s">
        <v>5101</v>
      </c>
      <c r="F2009" s="17"/>
      <c r="G2009" s="12" t="s">
        <v>95</v>
      </c>
      <c r="H2009" s="13" t="n">
        <v>-0.008</v>
      </c>
      <c r="I2009" s="14"/>
      <c r="J2009" s="17"/>
      <c r="K2009" s="9"/>
      <c r="L2009" s="15" t="s">
        <v>50</v>
      </c>
      <c r="M2009" s="16" t="s">
        <v>51</v>
      </c>
      <c r="N2009" s="14"/>
      <c r="O2009" s="15" t="s">
        <v>52</v>
      </c>
      <c r="P2009" s="17" t="s">
        <v>53</v>
      </c>
      <c r="Q2009" s="15"/>
      <c r="R2009" s="18" t="s">
        <v>51</v>
      </c>
      <c r="S2009" s="19"/>
      <c r="T2009" s="17" t="str">
        <f aca="false">IF(R2009="維持",J2009,IF(R2009="排除","無關新聞事件",IFERROR(INDEX(事件規則!$B$2:$B$53,MATCH(S2009,事件規則!$A$2:$A$53,0)),"")))</f>
        <v>無關新聞事件</v>
      </c>
      <c r="U2009" s="20" t="n">
        <f aca="false">IF(R2009="維持",K2009,IF(R2009="排除",0,IFERROR(INDEX(事件規則!$C$2:$C$53,MATCH(S2009,事件規則!$A$2:$A$53,0)),"")))</f>
        <v>0</v>
      </c>
      <c r="V2009" s="21"/>
      <c r="W2009" s="22"/>
      <c r="X2009" s="10" t="str">
        <f aca="false">IF(AND(R2009="修改",S2009=""),"請選新事件代碼",IF(AND(R2009&lt;&gt;"修改",S2009&lt;&gt;""),"只有「修改」才需填代碼",""))</f>
        <v/>
      </c>
      <c r="Y2009" s="21"/>
      <c r="Z2009" s="22"/>
      <c r="AA2009" s="12" t="s">
        <v>5102</v>
      </c>
      <c r="AB2009" s="24"/>
    </row>
    <row r="2010" customFormat="false" ht="29.85" hidden="false" customHeight="false" outlineLevel="0" collapsed="false">
      <c r="A2010" s="15" t="n">
        <v>2009</v>
      </c>
      <c r="B2010" s="9" t="s">
        <v>45</v>
      </c>
      <c r="C2010" s="9" t="s">
        <v>2233</v>
      </c>
      <c r="D2010" s="10" t="s">
        <v>2234</v>
      </c>
      <c r="E2010" s="11" t="s">
        <v>5103</v>
      </c>
      <c r="F2010" s="17"/>
      <c r="G2010" s="12" t="s">
        <v>1136</v>
      </c>
      <c r="H2010" s="13" t="n">
        <v>-0.008</v>
      </c>
      <c r="I2010" s="14"/>
      <c r="J2010" s="17"/>
      <c r="K2010" s="9"/>
      <c r="L2010" s="15" t="s">
        <v>50</v>
      </c>
      <c r="M2010" s="16" t="s">
        <v>51</v>
      </c>
      <c r="N2010" s="14"/>
      <c r="O2010" s="15" t="s">
        <v>52</v>
      </c>
      <c r="P2010" s="17" t="s">
        <v>53</v>
      </c>
      <c r="Q2010" s="15"/>
      <c r="R2010" s="18" t="s">
        <v>51</v>
      </c>
      <c r="S2010" s="19"/>
      <c r="T2010" s="17" t="str">
        <f aca="false">IF(R2010="維持",J2010,IF(R2010="排除","無關新聞事件",IFERROR(INDEX(事件規則!$B$2:$B$53,MATCH(S2010,事件規則!$A$2:$A$53,0)),"")))</f>
        <v>無關新聞事件</v>
      </c>
      <c r="U2010" s="20" t="n">
        <f aca="false">IF(R2010="維持",K2010,IF(R2010="排除",0,IFERROR(INDEX(事件規則!$C$2:$C$53,MATCH(S2010,事件規則!$A$2:$A$53,0)),"")))</f>
        <v>0</v>
      </c>
      <c r="V2010" s="21"/>
      <c r="W2010" s="22"/>
      <c r="X2010" s="10" t="str">
        <f aca="false">IF(AND(R2010="修改",S2010=""),"請選新事件代碼",IF(AND(R2010&lt;&gt;"修改",S2010&lt;&gt;""),"只有「修改」才需填代碼",""))</f>
        <v/>
      </c>
      <c r="Y2010" s="21"/>
      <c r="Z2010" s="22"/>
      <c r="AA2010" s="12" t="s">
        <v>5104</v>
      </c>
      <c r="AB2010" s="24"/>
    </row>
    <row r="2011" customFormat="false" ht="29.85" hidden="false" customHeight="false" outlineLevel="0" collapsed="false">
      <c r="A2011" s="15" t="n">
        <v>2010</v>
      </c>
      <c r="B2011" s="9" t="s">
        <v>45</v>
      </c>
      <c r="C2011" s="9" t="s">
        <v>166</v>
      </c>
      <c r="D2011" s="10" t="s">
        <v>167</v>
      </c>
      <c r="E2011" s="11" t="s">
        <v>5105</v>
      </c>
      <c r="F2011" s="17"/>
      <c r="G2011" s="12" t="s">
        <v>95</v>
      </c>
      <c r="H2011" s="13" t="n">
        <v>-0.008</v>
      </c>
      <c r="I2011" s="14"/>
      <c r="J2011" s="17"/>
      <c r="K2011" s="9"/>
      <c r="L2011" s="15" t="s">
        <v>50</v>
      </c>
      <c r="M2011" s="16" t="s">
        <v>51</v>
      </c>
      <c r="N2011" s="14"/>
      <c r="O2011" s="15" t="s">
        <v>52</v>
      </c>
      <c r="P2011" s="17" t="s">
        <v>53</v>
      </c>
      <c r="Q2011" s="15"/>
      <c r="R2011" s="18" t="s">
        <v>51</v>
      </c>
      <c r="S2011" s="19"/>
      <c r="T2011" s="17" t="str">
        <f aca="false">IF(R2011="維持",J2011,IF(R2011="排除","無關新聞事件",IFERROR(INDEX(事件規則!$B$2:$B$53,MATCH(S2011,事件規則!$A$2:$A$53,0)),"")))</f>
        <v>無關新聞事件</v>
      </c>
      <c r="U2011" s="20" t="n">
        <f aca="false">IF(R2011="維持",K2011,IF(R2011="排除",0,IFERROR(INDEX(事件規則!$C$2:$C$53,MATCH(S2011,事件規則!$A$2:$A$53,0)),"")))</f>
        <v>0</v>
      </c>
      <c r="V2011" s="21"/>
      <c r="W2011" s="22"/>
      <c r="X2011" s="10" t="str">
        <f aca="false">IF(AND(R2011="修改",S2011=""),"請選新事件代碼",IF(AND(R2011&lt;&gt;"修改",S2011&lt;&gt;""),"只有「修改」才需填代碼",""))</f>
        <v/>
      </c>
      <c r="Y2011" s="21"/>
      <c r="Z2011" s="22"/>
      <c r="AA2011" s="12" t="s">
        <v>5106</v>
      </c>
      <c r="AB2011" s="24"/>
    </row>
    <row r="2012" customFormat="false" ht="29.85" hidden="false" customHeight="false" outlineLevel="0" collapsed="false">
      <c r="A2012" s="15" t="n">
        <v>2011</v>
      </c>
      <c r="B2012" s="9" t="s">
        <v>45</v>
      </c>
      <c r="C2012" s="9" t="s">
        <v>92</v>
      </c>
      <c r="D2012" s="10" t="s">
        <v>93</v>
      </c>
      <c r="E2012" s="11" t="s">
        <v>5107</v>
      </c>
      <c r="F2012" s="17"/>
      <c r="G2012" s="12" t="s">
        <v>95</v>
      </c>
      <c r="H2012" s="13" t="n">
        <v>-0.008</v>
      </c>
      <c r="I2012" s="14"/>
      <c r="J2012" s="17"/>
      <c r="K2012" s="9"/>
      <c r="L2012" s="15" t="s">
        <v>50</v>
      </c>
      <c r="M2012" s="16" t="s">
        <v>51</v>
      </c>
      <c r="N2012" s="14"/>
      <c r="O2012" s="15" t="s">
        <v>52</v>
      </c>
      <c r="P2012" s="17" t="s">
        <v>53</v>
      </c>
      <c r="Q2012" s="15"/>
      <c r="R2012" s="18" t="s">
        <v>51</v>
      </c>
      <c r="S2012" s="19"/>
      <c r="T2012" s="17" t="str">
        <f aca="false">IF(R2012="維持",J2012,IF(R2012="排除","無關新聞事件",IFERROR(INDEX(事件規則!$B$2:$B$53,MATCH(S2012,事件規則!$A$2:$A$53,0)),"")))</f>
        <v>無關新聞事件</v>
      </c>
      <c r="U2012" s="20" t="n">
        <f aca="false">IF(R2012="維持",K2012,IF(R2012="排除",0,IFERROR(INDEX(事件規則!$C$2:$C$53,MATCH(S2012,事件規則!$A$2:$A$53,0)),"")))</f>
        <v>0</v>
      </c>
      <c r="V2012" s="21"/>
      <c r="W2012" s="22"/>
      <c r="X2012" s="10" t="str">
        <f aca="false">IF(AND(R2012="修改",S2012=""),"請選新事件代碼",IF(AND(R2012&lt;&gt;"修改",S2012&lt;&gt;""),"只有「修改」才需填代碼",""))</f>
        <v/>
      </c>
      <c r="Y2012" s="21"/>
      <c r="Z2012" s="22"/>
      <c r="AA2012" s="12" t="s">
        <v>5108</v>
      </c>
      <c r="AB2012" s="24"/>
    </row>
    <row r="2013" customFormat="false" ht="29.85" hidden="false" customHeight="false" outlineLevel="0" collapsed="false">
      <c r="A2013" s="15" t="n">
        <v>2012</v>
      </c>
      <c r="B2013" s="9" t="s">
        <v>45</v>
      </c>
      <c r="C2013" s="9" t="s">
        <v>1602</v>
      </c>
      <c r="D2013" s="10" t="s">
        <v>1603</v>
      </c>
      <c r="E2013" s="11" t="s">
        <v>5109</v>
      </c>
      <c r="F2013" s="17"/>
      <c r="G2013" s="12" t="s">
        <v>176</v>
      </c>
      <c r="H2013" s="13" t="n">
        <v>-0.008</v>
      </c>
      <c r="I2013" s="14"/>
      <c r="J2013" s="17"/>
      <c r="K2013" s="9"/>
      <c r="L2013" s="15" t="s">
        <v>50</v>
      </c>
      <c r="M2013" s="16" t="s">
        <v>51</v>
      </c>
      <c r="N2013" s="14"/>
      <c r="O2013" s="15" t="s">
        <v>52</v>
      </c>
      <c r="P2013" s="17" t="s">
        <v>53</v>
      </c>
      <c r="Q2013" s="15"/>
      <c r="R2013" s="18" t="s">
        <v>51</v>
      </c>
      <c r="S2013" s="19"/>
      <c r="T2013" s="17" t="str">
        <f aca="false">IF(R2013="維持",J2013,IF(R2013="排除","無關新聞事件",IFERROR(INDEX(事件規則!$B$2:$B$53,MATCH(S2013,事件規則!$A$2:$A$53,0)),"")))</f>
        <v>無關新聞事件</v>
      </c>
      <c r="U2013" s="20" t="n">
        <f aca="false">IF(R2013="維持",K2013,IF(R2013="排除",0,IFERROR(INDEX(事件規則!$C$2:$C$53,MATCH(S2013,事件規則!$A$2:$A$53,0)),"")))</f>
        <v>0</v>
      </c>
      <c r="V2013" s="21"/>
      <c r="W2013" s="22"/>
      <c r="X2013" s="10" t="str">
        <f aca="false">IF(AND(R2013="修改",S2013=""),"請選新事件代碼",IF(AND(R2013&lt;&gt;"修改",S2013&lt;&gt;""),"只有「修改」才需填代碼",""))</f>
        <v/>
      </c>
      <c r="Y2013" s="21"/>
      <c r="Z2013" s="22"/>
      <c r="AA2013" s="12" t="s">
        <v>5110</v>
      </c>
      <c r="AB2013" s="24"/>
    </row>
    <row r="2014" customFormat="false" ht="29.85" hidden="false" customHeight="false" outlineLevel="0" collapsed="false">
      <c r="A2014" s="15" t="n">
        <v>2013</v>
      </c>
      <c r="B2014" s="9" t="s">
        <v>55</v>
      </c>
      <c r="C2014" s="9" t="s">
        <v>563</v>
      </c>
      <c r="D2014" s="10" t="s">
        <v>564</v>
      </c>
      <c r="E2014" s="11" t="s">
        <v>5111</v>
      </c>
      <c r="F2014" s="17"/>
      <c r="G2014" s="12" t="s">
        <v>95</v>
      </c>
      <c r="H2014" s="13" t="n">
        <v>-0.008</v>
      </c>
      <c r="I2014" s="14"/>
      <c r="J2014" s="17"/>
      <c r="K2014" s="9"/>
      <c r="L2014" s="15" t="s">
        <v>50</v>
      </c>
      <c r="M2014" s="16" t="s">
        <v>51</v>
      </c>
      <c r="N2014" s="14"/>
      <c r="O2014" s="15" t="s">
        <v>52</v>
      </c>
      <c r="P2014" s="17" t="s">
        <v>53</v>
      </c>
      <c r="Q2014" s="15"/>
      <c r="R2014" s="18" t="s">
        <v>51</v>
      </c>
      <c r="S2014" s="19"/>
      <c r="T2014" s="17" t="str">
        <f aca="false">IF(R2014="維持",J2014,IF(R2014="排除","無關新聞事件",IFERROR(INDEX(事件規則!$B$2:$B$53,MATCH(S2014,事件規則!$A$2:$A$53,0)),"")))</f>
        <v>無關新聞事件</v>
      </c>
      <c r="U2014" s="20" t="n">
        <f aca="false">IF(R2014="維持",K2014,IF(R2014="排除",0,IFERROR(INDEX(事件規則!$C$2:$C$53,MATCH(S2014,事件規則!$A$2:$A$53,0)),"")))</f>
        <v>0</v>
      </c>
      <c r="V2014" s="21"/>
      <c r="W2014" s="22"/>
      <c r="X2014" s="10" t="str">
        <f aca="false">IF(AND(R2014="修改",S2014=""),"請選新事件代碼",IF(AND(R2014&lt;&gt;"修改",S2014&lt;&gt;""),"只有「修改」才需填代碼",""))</f>
        <v/>
      </c>
      <c r="Y2014" s="21"/>
      <c r="Z2014" s="22"/>
      <c r="AA2014" s="12" t="s">
        <v>5112</v>
      </c>
      <c r="AB2014" s="24"/>
    </row>
    <row r="2015" customFormat="false" ht="29.85" hidden="false" customHeight="false" outlineLevel="0" collapsed="false">
      <c r="A2015" s="15" t="n">
        <v>2014</v>
      </c>
      <c r="B2015" s="9" t="s">
        <v>55</v>
      </c>
      <c r="C2015" s="9" t="s">
        <v>289</v>
      </c>
      <c r="D2015" s="10" t="s">
        <v>290</v>
      </c>
      <c r="E2015" s="11" t="s">
        <v>5113</v>
      </c>
      <c r="F2015" s="17"/>
      <c r="G2015" s="12" t="s">
        <v>3960</v>
      </c>
      <c r="H2015" s="13" t="n">
        <v>-0.008</v>
      </c>
      <c r="I2015" s="14"/>
      <c r="J2015" s="17"/>
      <c r="K2015" s="9"/>
      <c r="L2015" s="15" t="s">
        <v>50</v>
      </c>
      <c r="M2015" s="16" t="s">
        <v>51</v>
      </c>
      <c r="N2015" s="14"/>
      <c r="O2015" s="15" t="s">
        <v>52</v>
      </c>
      <c r="P2015" s="17" t="s">
        <v>53</v>
      </c>
      <c r="Q2015" s="15"/>
      <c r="R2015" s="18" t="s">
        <v>51</v>
      </c>
      <c r="S2015" s="19"/>
      <c r="T2015" s="17" t="str">
        <f aca="false">IF(R2015="維持",J2015,IF(R2015="排除","無關新聞事件",IFERROR(INDEX(事件規則!$B$2:$B$53,MATCH(S2015,事件規則!$A$2:$A$53,0)),"")))</f>
        <v>無關新聞事件</v>
      </c>
      <c r="U2015" s="20" t="n">
        <f aca="false">IF(R2015="維持",K2015,IF(R2015="排除",0,IFERROR(INDEX(事件規則!$C$2:$C$53,MATCH(S2015,事件規則!$A$2:$A$53,0)),"")))</f>
        <v>0</v>
      </c>
      <c r="V2015" s="21"/>
      <c r="W2015" s="22"/>
      <c r="X2015" s="10" t="str">
        <f aca="false">IF(AND(R2015="修改",S2015=""),"請選新事件代碼",IF(AND(R2015&lt;&gt;"修改",S2015&lt;&gt;""),"只有「修改」才需填代碼",""))</f>
        <v/>
      </c>
      <c r="Y2015" s="21"/>
      <c r="Z2015" s="22"/>
      <c r="AA2015" s="12" t="s">
        <v>5114</v>
      </c>
      <c r="AB2015" s="24"/>
    </row>
    <row r="2016" customFormat="false" ht="29.85" hidden="false" customHeight="false" outlineLevel="0" collapsed="false">
      <c r="A2016" s="15" t="n">
        <v>2015</v>
      </c>
      <c r="B2016" s="9" t="s">
        <v>112</v>
      </c>
      <c r="C2016" s="9" t="s">
        <v>5115</v>
      </c>
      <c r="D2016" s="10" t="s">
        <v>5116</v>
      </c>
      <c r="E2016" s="11" t="s">
        <v>5117</v>
      </c>
      <c r="F2016" s="17"/>
      <c r="G2016" s="12" t="s">
        <v>176</v>
      </c>
      <c r="H2016" s="13" t="n">
        <v>-0.008</v>
      </c>
      <c r="I2016" s="14"/>
      <c r="J2016" s="17"/>
      <c r="K2016" s="9"/>
      <c r="L2016" s="15" t="s">
        <v>50</v>
      </c>
      <c r="M2016" s="16" t="s">
        <v>51</v>
      </c>
      <c r="N2016" s="14"/>
      <c r="O2016" s="15" t="s">
        <v>52</v>
      </c>
      <c r="P2016" s="17" t="s">
        <v>53</v>
      </c>
      <c r="Q2016" s="15"/>
      <c r="R2016" s="18" t="s">
        <v>51</v>
      </c>
      <c r="S2016" s="19"/>
      <c r="T2016" s="17" t="str">
        <f aca="false">IF(R2016="維持",J2016,IF(R2016="排除","無關新聞事件",IFERROR(INDEX(事件規則!$B$2:$B$53,MATCH(S2016,事件規則!$A$2:$A$53,0)),"")))</f>
        <v>無關新聞事件</v>
      </c>
      <c r="U2016" s="20" t="n">
        <f aca="false">IF(R2016="維持",K2016,IF(R2016="排除",0,IFERROR(INDEX(事件規則!$C$2:$C$53,MATCH(S2016,事件規則!$A$2:$A$53,0)),"")))</f>
        <v>0</v>
      </c>
      <c r="V2016" s="21"/>
      <c r="W2016" s="22"/>
      <c r="X2016" s="10" t="str">
        <f aca="false">IF(AND(R2016="修改",S2016=""),"請選新事件代碼",IF(AND(R2016&lt;&gt;"修改",S2016&lt;&gt;""),"只有「修改」才需填代碼",""))</f>
        <v/>
      </c>
      <c r="Y2016" s="21"/>
      <c r="Z2016" s="22"/>
      <c r="AA2016" s="12" t="s">
        <v>5118</v>
      </c>
      <c r="AB2016" s="24"/>
    </row>
    <row r="2017" customFormat="false" ht="29.85" hidden="false" customHeight="false" outlineLevel="0" collapsed="false">
      <c r="A2017" s="15" t="n">
        <v>2016</v>
      </c>
      <c r="B2017" s="9" t="s">
        <v>112</v>
      </c>
      <c r="C2017" s="9" t="s">
        <v>654</v>
      </c>
      <c r="D2017" s="10" t="s">
        <v>655</v>
      </c>
      <c r="E2017" s="11" t="s">
        <v>5119</v>
      </c>
      <c r="F2017" s="17"/>
      <c r="G2017" s="12" t="s">
        <v>105</v>
      </c>
      <c r="H2017" s="13" t="n">
        <v>-0.008</v>
      </c>
      <c r="I2017" s="14"/>
      <c r="J2017" s="17"/>
      <c r="K2017" s="9"/>
      <c r="L2017" s="15" t="s">
        <v>50</v>
      </c>
      <c r="M2017" s="16" t="s">
        <v>51</v>
      </c>
      <c r="N2017" s="14"/>
      <c r="O2017" s="15" t="s">
        <v>52</v>
      </c>
      <c r="P2017" s="17" t="s">
        <v>53</v>
      </c>
      <c r="Q2017" s="15"/>
      <c r="R2017" s="18" t="s">
        <v>51</v>
      </c>
      <c r="S2017" s="19"/>
      <c r="T2017" s="17" t="str">
        <f aca="false">IF(R2017="維持",J2017,IF(R2017="排除","無關新聞事件",IFERROR(INDEX(事件規則!$B$2:$B$53,MATCH(S2017,事件規則!$A$2:$A$53,0)),"")))</f>
        <v>無關新聞事件</v>
      </c>
      <c r="U2017" s="20" t="n">
        <f aca="false">IF(R2017="維持",K2017,IF(R2017="排除",0,IFERROR(INDEX(事件規則!$C$2:$C$53,MATCH(S2017,事件規則!$A$2:$A$53,0)),"")))</f>
        <v>0</v>
      </c>
      <c r="V2017" s="21"/>
      <c r="W2017" s="22"/>
      <c r="X2017" s="10" t="str">
        <f aca="false">IF(AND(R2017="修改",S2017=""),"請選新事件代碼",IF(AND(R2017&lt;&gt;"修改",S2017&lt;&gt;""),"只有「修改」才需填代碼",""))</f>
        <v/>
      </c>
      <c r="Y2017" s="21"/>
      <c r="Z2017" s="22"/>
      <c r="AA2017" s="12" t="s">
        <v>5120</v>
      </c>
      <c r="AB2017" s="24"/>
    </row>
    <row r="2018" customFormat="false" ht="29.85" hidden="false" customHeight="false" outlineLevel="0" collapsed="false">
      <c r="A2018" s="15" t="n">
        <v>2017</v>
      </c>
      <c r="B2018" s="9" t="s">
        <v>112</v>
      </c>
      <c r="C2018" s="9" t="s">
        <v>885</v>
      </c>
      <c r="D2018" s="10" t="s">
        <v>886</v>
      </c>
      <c r="E2018" s="11" t="s">
        <v>5121</v>
      </c>
      <c r="F2018" s="17"/>
      <c r="G2018" s="12" t="s">
        <v>105</v>
      </c>
      <c r="H2018" s="13" t="n">
        <v>-0.008</v>
      </c>
      <c r="I2018" s="14"/>
      <c r="J2018" s="17"/>
      <c r="K2018" s="9"/>
      <c r="L2018" s="15" t="s">
        <v>50</v>
      </c>
      <c r="M2018" s="16" t="s">
        <v>51</v>
      </c>
      <c r="N2018" s="14"/>
      <c r="O2018" s="15" t="s">
        <v>52</v>
      </c>
      <c r="P2018" s="17" t="s">
        <v>53</v>
      </c>
      <c r="Q2018" s="15"/>
      <c r="R2018" s="18" t="s">
        <v>51</v>
      </c>
      <c r="S2018" s="19"/>
      <c r="T2018" s="17" t="str">
        <f aca="false">IF(R2018="維持",J2018,IF(R2018="排除","無關新聞事件",IFERROR(INDEX(事件規則!$B$2:$B$53,MATCH(S2018,事件規則!$A$2:$A$53,0)),"")))</f>
        <v>無關新聞事件</v>
      </c>
      <c r="U2018" s="20" t="n">
        <f aca="false">IF(R2018="維持",K2018,IF(R2018="排除",0,IFERROR(INDEX(事件規則!$C$2:$C$53,MATCH(S2018,事件規則!$A$2:$A$53,0)),"")))</f>
        <v>0</v>
      </c>
      <c r="V2018" s="21"/>
      <c r="W2018" s="22"/>
      <c r="X2018" s="10" t="str">
        <f aca="false">IF(AND(R2018="修改",S2018=""),"請選新事件代碼",IF(AND(R2018&lt;&gt;"修改",S2018&lt;&gt;""),"只有「修改」才需填代碼",""))</f>
        <v/>
      </c>
      <c r="Y2018" s="21"/>
      <c r="Z2018" s="22"/>
      <c r="AA2018" s="12" t="s">
        <v>5122</v>
      </c>
      <c r="AB2018" s="24"/>
    </row>
    <row r="2019" customFormat="false" ht="29.85" hidden="false" customHeight="false" outlineLevel="0" collapsed="false">
      <c r="A2019" s="15" t="n">
        <v>2018</v>
      </c>
      <c r="B2019" s="9" t="s">
        <v>112</v>
      </c>
      <c r="C2019" s="9" t="s">
        <v>469</v>
      </c>
      <c r="D2019" s="10" t="s">
        <v>470</v>
      </c>
      <c r="E2019" s="11" t="s">
        <v>5123</v>
      </c>
      <c r="F2019" s="17"/>
      <c r="G2019" s="12" t="s">
        <v>2033</v>
      </c>
      <c r="H2019" s="13" t="n">
        <v>-0.008</v>
      </c>
      <c r="I2019" s="14"/>
      <c r="J2019" s="17"/>
      <c r="K2019" s="9"/>
      <c r="L2019" s="15" t="s">
        <v>50</v>
      </c>
      <c r="M2019" s="16" t="s">
        <v>51</v>
      </c>
      <c r="N2019" s="14"/>
      <c r="O2019" s="15" t="s">
        <v>52</v>
      </c>
      <c r="P2019" s="17" t="s">
        <v>53</v>
      </c>
      <c r="Q2019" s="15"/>
      <c r="R2019" s="18" t="s">
        <v>51</v>
      </c>
      <c r="S2019" s="19"/>
      <c r="T2019" s="17" t="str">
        <f aca="false">IF(R2019="維持",J2019,IF(R2019="排除","無關新聞事件",IFERROR(INDEX(事件規則!$B$2:$B$53,MATCH(S2019,事件規則!$A$2:$A$53,0)),"")))</f>
        <v>無關新聞事件</v>
      </c>
      <c r="U2019" s="20" t="n">
        <f aca="false">IF(R2019="維持",K2019,IF(R2019="排除",0,IFERROR(INDEX(事件規則!$C$2:$C$53,MATCH(S2019,事件規則!$A$2:$A$53,0)),"")))</f>
        <v>0</v>
      </c>
      <c r="V2019" s="21"/>
      <c r="W2019" s="22"/>
      <c r="X2019" s="10" t="str">
        <f aca="false">IF(AND(R2019="修改",S2019=""),"請選新事件代碼",IF(AND(R2019&lt;&gt;"修改",S2019&lt;&gt;""),"只有「修改」才需填代碼",""))</f>
        <v/>
      </c>
      <c r="Y2019" s="21"/>
      <c r="Z2019" s="22"/>
      <c r="AA2019" s="12" t="s">
        <v>5124</v>
      </c>
      <c r="AB2019" s="24"/>
    </row>
    <row r="2020" customFormat="false" ht="29.85" hidden="false" customHeight="false" outlineLevel="0" collapsed="false">
      <c r="A2020" s="15" t="n">
        <v>2019</v>
      </c>
      <c r="B2020" s="9" t="s">
        <v>112</v>
      </c>
      <c r="C2020" s="9" t="s">
        <v>445</v>
      </c>
      <c r="D2020" s="10" t="s">
        <v>446</v>
      </c>
      <c r="E2020" s="11" t="s">
        <v>5125</v>
      </c>
      <c r="F2020" s="17"/>
      <c r="G2020" s="12" t="s">
        <v>3960</v>
      </c>
      <c r="H2020" s="13" t="n">
        <v>-0.008</v>
      </c>
      <c r="I2020" s="14"/>
      <c r="J2020" s="17"/>
      <c r="K2020" s="9"/>
      <c r="L2020" s="15" t="s">
        <v>50</v>
      </c>
      <c r="M2020" s="16" t="s">
        <v>51</v>
      </c>
      <c r="N2020" s="14"/>
      <c r="O2020" s="15" t="s">
        <v>52</v>
      </c>
      <c r="P2020" s="17" t="s">
        <v>53</v>
      </c>
      <c r="Q2020" s="15"/>
      <c r="R2020" s="18" t="s">
        <v>51</v>
      </c>
      <c r="S2020" s="19"/>
      <c r="T2020" s="17" t="str">
        <f aca="false">IF(R2020="維持",J2020,IF(R2020="排除","無關新聞事件",IFERROR(INDEX(事件規則!$B$2:$B$53,MATCH(S2020,事件規則!$A$2:$A$53,0)),"")))</f>
        <v>無關新聞事件</v>
      </c>
      <c r="U2020" s="20" t="n">
        <f aca="false">IF(R2020="維持",K2020,IF(R2020="排除",0,IFERROR(INDEX(事件規則!$C$2:$C$53,MATCH(S2020,事件規則!$A$2:$A$53,0)),"")))</f>
        <v>0</v>
      </c>
      <c r="V2020" s="21"/>
      <c r="W2020" s="22"/>
      <c r="X2020" s="10" t="str">
        <f aca="false">IF(AND(R2020="修改",S2020=""),"請選新事件代碼",IF(AND(R2020&lt;&gt;"修改",S2020&lt;&gt;""),"只有「修改」才需填代碼",""))</f>
        <v/>
      </c>
      <c r="Y2020" s="21"/>
      <c r="Z2020" s="22"/>
      <c r="AA2020" s="12" t="s">
        <v>5126</v>
      </c>
      <c r="AB2020" s="24"/>
    </row>
    <row r="2021" customFormat="false" ht="29.85" hidden="false" customHeight="false" outlineLevel="0" collapsed="false">
      <c r="A2021" s="15" t="n">
        <v>2020</v>
      </c>
      <c r="B2021" s="9" t="s">
        <v>112</v>
      </c>
      <c r="C2021" s="9" t="s">
        <v>1805</v>
      </c>
      <c r="D2021" s="10" t="s">
        <v>1806</v>
      </c>
      <c r="E2021" s="11" t="s">
        <v>5127</v>
      </c>
      <c r="F2021" s="17"/>
      <c r="G2021" s="12" t="s">
        <v>95</v>
      </c>
      <c r="H2021" s="13" t="n">
        <v>-0.008</v>
      </c>
      <c r="I2021" s="14"/>
      <c r="J2021" s="17"/>
      <c r="K2021" s="9"/>
      <c r="L2021" s="15" t="s">
        <v>50</v>
      </c>
      <c r="M2021" s="16" t="s">
        <v>51</v>
      </c>
      <c r="N2021" s="14"/>
      <c r="O2021" s="15" t="s">
        <v>52</v>
      </c>
      <c r="P2021" s="17" t="s">
        <v>53</v>
      </c>
      <c r="Q2021" s="15"/>
      <c r="R2021" s="18" t="s">
        <v>51</v>
      </c>
      <c r="S2021" s="19"/>
      <c r="T2021" s="17" t="str">
        <f aca="false">IF(R2021="維持",J2021,IF(R2021="排除","無關新聞事件",IFERROR(INDEX(事件規則!$B$2:$B$53,MATCH(S2021,事件規則!$A$2:$A$53,0)),"")))</f>
        <v>無關新聞事件</v>
      </c>
      <c r="U2021" s="20" t="n">
        <f aca="false">IF(R2021="維持",K2021,IF(R2021="排除",0,IFERROR(INDEX(事件規則!$C$2:$C$53,MATCH(S2021,事件規則!$A$2:$A$53,0)),"")))</f>
        <v>0</v>
      </c>
      <c r="V2021" s="21"/>
      <c r="W2021" s="22"/>
      <c r="X2021" s="10" t="str">
        <f aca="false">IF(AND(R2021="修改",S2021=""),"請選新事件代碼",IF(AND(R2021&lt;&gt;"修改",S2021&lt;&gt;""),"只有「修改」才需填代碼",""))</f>
        <v/>
      </c>
      <c r="Y2021" s="21"/>
      <c r="Z2021" s="22"/>
      <c r="AA2021" s="12" t="s">
        <v>5128</v>
      </c>
      <c r="AB2021" s="24"/>
    </row>
    <row r="2022" customFormat="false" ht="29.85" hidden="false" customHeight="false" outlineLevel="0" collapsed="false">
      <c r="A2022" s="15" t="n">
        <v>2021</v>
      </c>
      <c r="B2022" s="9" t="s">
        <v>55</v>
      </c>
      <c r="C2022" s="9" t="s">
        <v>672</v>
      </c>
      <c r="D2022" s="10" t="s">
        <v>673</v>
      </c>
      <c r="E2022" s="11" t="s">
        <v>5129</v>
      </c>
      <c r="F2022" s="17"/>
      <c r="G2022" s="12" t="s">
        <v>1136</v>
      </c>
      <c r="H2022" s="13" t="n">
        <v>-0.008</v>
      </c>
      <c r="I2022" s="14"/>
      <c r="J2022" s="17"/>
      <c r="K2022" s="9"/>
      <c r="L2022" s="15" t="s">
        <v>50</v>
      </c>
      <c r="M2022" s="16" t="s">
        <v>51</v>
      </c>
      <c r="N2022" s="14"/>
      <c r="O2022" s="15" t="s">
        <v>52</v>
      </c>
      <c r="P2022" s="17" t="s">
        <v>53</v>
      </c>
      <c r="Q2022" s="15"/>
      <c r="R2022" s="18" t="s">
        <v>51</v>
      </c>
      <c r="S2022" s="19"/>
      <c r="T2022" s="17" t="str">
        <f aca="false">IF(R2022="維持",J2022,IF(R2022="排除","無關新聞事件",IFERROR(INDEX(事件規則!$B$2:$B$53,MATCH(S2022,事件規則!$A$2:$A$53,0)),"")))</f>
        <v>無關新聞事件</v>
      </c>
      <c r="U2022" s="20" t="n">
        <f aca="false">IF(R2022="維持",K2022,IF(R2022="排除",0,IFERROR(INDEX(事件規則!$C$2:$C$53,MATCH(S2022,事件規則!$A$2:$A$53,0)),"")))</f>
        <v>0</v>
      </c>
      <c r="V2022" s="21"/>
      <c r="W2022" s="22"/>
      <c r="X2022" s="10" t="str">
        <f aca="false">IF(AND(R2022="修改",S2022=""),"請選新事件代碼",IF(AND(R2022&lt;&gt;"修改",S2022&lt;&gt;""),"只有「修改」才需填代碼",""))</f>
        <v/>
      </c>
      <c r="Y2022" s="21"/>
      <c r="Z2022" s="22"/>
      <c r="AA2022" s="12" t="s">
        <v>5130</v>
      </c>
      <c r="AB2022" s="24"/>
    </row>
    <row r="2023" customFormat="false" ht="29.85" hidden="false" customHeight="false" outlineLevel="0" collapsed="false">
      <c r="A2023" s="15" t="n">
        <v>2022</v>
      </c>
      <c r="B2023" s="9" t="s">
        <v>55</v>
      </c>
      <c r="C2023" s="9" t="s">
        <v>2134</v>
      </c>
      <c r="D2023" s="10" t="s">
        <v>2135</v>
      </c>
      <c r="E2023" s="11" t="s">
        <v>5131</v>
      </c>
      <c r="F2023" s="17"/>
      <c r="G2023" s="12" t="s">
        <v>95</v>
      </c>
      <c r="H2023" s="13" t="n">
        <v>-0.008</v>
      </c>
      <c r="I2023" s="14"/>
      <c r="J2023" s="17"/>
      <c r="K2023" s="9"/>
      <c r="L2023" s="15" t="s">
        <v>50</v>
      </c>
      <c r="M2023" s="16" t="s">
        <v>51</v>
      </c>
      <c r="N2023" s="14"/>
      <c r="O2023" s="15" t="s">
        <v>52</v>
      </c>
      <c r="P2023" s="17" t="s">
        <v>53</v>
      </c>
      <c r="Q2023" s="15"/>
      <c r="R2023" s="18" t="s">
        <v>51</v>
      </c>
      <c r="S2023" s="19"/>
      <c r="T2023" s="17" t="str">
        <f aca="false">IF(R2023="維持",J2023,IF(R2023="排除","無關新聞事件",IFERROR(INDEX(事件規則!$B$2:$B$53,MATCH(S2023,事件規則!$A$2:$A$53,0)),"")))</f>
        <v>無關新聞事件</v>
      </c>
      <c r="U2023" s="20" t="n">
        <f aca="false">IF(R2023="維持",K2023,IF(R2023="排除",0,IFERROR(INDEX(事件規則!$C$2:$C$53,MATCH(S2023,事件規則!$A$2:$A$53,0)),"")))</f>
        <v>0</v>
      </c>
      <c r="V2023" s="21"/>
      <c r="W2023" s="22"/>
      <c r="X2023" s="10" t="str">
        <f aca="false">IF(AND(R2023="修改",S2023=""),"請選新事件代碼",IF(AND(R2023&lt;&gt;"修改",S2023&lt;&gt;""),"只有「修改」才需填代碼",""))</f>
        <v/>
      </c>
      <c r="Y2023" s="21"/>
      <c r="Z2023" s="22"/>
      <c r="AA2023" s="12" t="s">
        <v>5132</v>
      </c>
      <c r="AB2023" s="24"/>
    </row>
    <row r="2024" customFormat="false" ht="29.85" hidden="false" customHeight="false" outlineLevel="0" collapsed="false">
      <c r="A2024" s="15" t="n">
        <v>2023</v>
      </c>
      <c r="B2024" s="9" t="s">
        <v>55</v>
      </c>
      <c r="C2024" s="9" t="s">
        <v>3093</v>
      </c>
      <c r="D2024" s="10" t="s">
        <v>3094</v>
      </c>
      <c r="E2024" s="11" t="s">
        <v>5133</v>
      </c>
      <c r="F2024" s="17"/>
      <c r="G2024" s="12" t="s">
        <v>105</v>
      </c>
      <c r="H2024" s="13" t="n">
        <v>-0.008</v>
      </c>
      <c r="I2024" s="14"/>
      <c r="J2024" s="17"/>
      <c r="K2024" s="9"/>
      <c r="L2024" s="15" t="s">
        <v>50</v>
      </c>
      <c r="M2024" s="16" t="s">
        <v>51</v>
      </c>
      <c r="N2024" s="14"/>
      <c r="O2024" s="15" t="s">
        <v>52</v>
      </c>
      <c r="P2024" s="17" t="s">
        <v>53</v>
      </c>
      <c r="Q2024" s="15"/>
      <c r="R2024" s="18" t="s">
        <v>51</v>
      </c>
      <c r="S2024" s="19"/>
      <c r="T2024" s="17" t="str">
        <f aca="false">IF(R2024="維持",J2024,IF(R2024="排除","無關新聞事件",IFERROR(INDEX(事件規則!$B$2:$B$53,MATCH(S2024,事件規則!$A$2:$A$53,0)),"")))</f>
        <v>無關新聞事件</v>
      </c>
      <c r="U2024" s="20" t="n">
        <f aca="false">IF(R2024="維持",K2024,IF(R2024="排除",0,IFERROR(INDEX(事件規則!$C$2:$C$53,MATCH(S2024,事件規則!$A$2:$A$53,0)),"")))</f>
        <v>0</v>
      </c>
      <c r="V2024" s="21"/>
      <c r="W2024" s="22"/>
      <c r="X2024" s="10" t="str">
        <f aca="false">IF(AND(R2024="修改",S2024=""),"請選新事件代碼",IF(AND(R2024&lt;&gt;"修改",S2024&lt;&gt;""),"只有「修改」才需填代碼",""))</f>
        <v/>
      </c>
      <c r="Y2024" s="21"/>
      <c r="Z2024" s="22"/>
      <c r="AA2024" s="12" t="s">
        <v>5134</v>
      </c>
      <c r="AB2024" s="24"/>
    </row>
    <row r="2025" customFormat="false" ht="29.85" hidden="false" customHeight="false" outlineLevel="0" collapsed="false">
      <c r="A2025" s="15" t="n">
        <v>2024</v>
      </c>
      <c r="B2025" s="9" t="s">
        <v>55</v>
      </c>
      <c r="C2025" s="9" t="s">
        <v>355</v>
      </c>
      <c r="D2025" s="10" t="s">
        <v>356</v>
      </c>
      <c r="E2025" s="11" t="s">
        <v>5135</v>
      </c>
      <c r="F2025" s="17"/>
      <c r="G2025" s="12" t="s">
        <v>5136</v>
      </c>
      <c r="H2025" s="13" t="n">
        <v>-0.008</v>
      </c>
      <c r="I2025" s="14"/>
      <c r="J2025" s="17"/>
      <c r="K2025" s="9"/>
      <c r="L2025" s="15" t="s">
        <v>50</v>
      </c>
      <c r="M2025" s="16" t="s">
        <v>51</v>
      </c>
      <c r="N2025" s="14"/>
      <c r="O2025" s="15" t="s">
        <v>52</v>
      </c>
      <c r="P2025" s="17" t="s">
        <v>53</v>
      </c>
      <c r="Q2025" s="15"/>
      <c r="R2025" s="18" t="s">
        <v>51</v>
      </c>
      <c r="S2025" s="19"/>
      <c r="T2025" s="17" t="str">
        <f aca="false">IF(R2025="維持",J2025,IF(R2025="排除","無關新聞事件",IFERROR(INDEX(事件規則!$B$2:$B$53,MATCH(S2025,事件規則!$A$2:$A$53,0)),"")))</f>
        <v>無關新聞事件</v>
      </c>
      <c r="U2025" s="20" t="n">
        <f aca="false">IF(R2025="維持",K2025,IF(R2025="排除",0,IFERROR(INDEX(事件規則!$C$2:$C$53,MATCH(S2025,事件規則!$A$2:$A$53,0)),"")))</f>
        <v>0</v>
      </c>
      <c r="V2025" s="21"/>
      <c r="W2025" s="22"/>
      <c r="X2025" s="10" t="str">
        <f aca="false">IF(AND(R2025="修改",S2025=""),"請選新事件代碼",IF(AND(R2025&lt;&gt;"修改",S2025&lt;&gt;""),"只有「修改」才需填代碼",""))</f>
        <v/>
      </c>
      <c r="Y2025" s="21"/>
      <c r="Z2025" s="22"/>
      <c r="AA2025" s="12" t="s">
        <v>5137</v>
      </c>
      <c r="AB2025" s="24"/>
    </row>
    <row r="2026" customFormat="false" ht="29.85" hidden="false" customHeight="false" outlineLevel="0" collapsed="false">
      <c r="A2026" s="15" t="n">
        <v>2025</v>
      </c>
      <c r="B2026" s="9" t="s">
        <v>81</v>
      </c>
      <c r="C2026" s="9" t="s">
        <v>1334</v>
      </c>
      <c r="D2026" s="10" t="s">
        <v>1335</v>
      </c>
      <c r="E2026" s="11" t="s">
        <v>5138</v>
      </c>
      <c r="F2026" s="17"/>
      <c r="G2026" s="12" t="s">
        <v>164</v>
      </c>
      <c r="H2026" s="13" t="n">
        <v>-0.008</v>
      </c>
      <c r="I2026" s="14"/>
      <c r="J2026" s="17"/>
      <c r="K2026" s="9"/>
      <c r="L2026" s="15" t="s">
        <v>50</v>
      </c>
      <c r="M2026" s="16" t="s">
        <v>51</v>
      </c>
      <c r="N2026" s="14"/>
      <c r="O2026" s="15" t="s">
        <v>52</v>
      </c>
      <c r="P2026" s="17" t="s">
        <v>53</v>
      </c>
      <c r="Q2026" s="15"/>
      <c r="R2026" s="18" t="s">
        <v>51</v>
      </c>
      <c r="S2026" s="19"/>
      <c r="T2026" s="17" t="str">
        <f aca="false">IF(R2026="維持",J2026,IF(R2026="排除","無關新聞事件",IFERROR(INDEX(事件規則!$B$2:$B$53,MATCH(S2026,事件規則!$A$2:$A$53,0)),"")))</f>
        <v>無關新聞事件</v>
      </c>
      <c r="U2026" s="20" t="n">
        <f aca="false">IF(R2026="維持",K2026,IF(R2026="排除",0,IFERROR(INDEX(事件規則!$C$2:$C$53,MATCH(S2026,事件規則!$A$2:$A$53,0)),"")))</f>
        <v>0</v>
      </c>
      <c r="V2026" s="21"/>
      <c r="W2026" s="22"/>
      <c r="X2026" s="10" t="str">
        <f aca="false">IF(AND(R2026="修改",S2026=""),"請選新事件代碼",IF(AND(R2026&lt;&gt;"修改",S2026&lt;&gt;""),"只有「修改」才需填代碼",""))</f>
        <v/>
      </c>
      <c r="Y2026" s="21"/>
      <c r="Z2026" s="22"/>
      <c r="AA2026" s="12" t="s">
        <v>5139</v>
      </c>
      <c r="AB2026" s="24"/>
    </row>
    <row r="2027" customFormat="false" ht="29.85" hidden="false" customHeight="false" outlineLevel="0" collapsed="false">
      <c r="A2027" s="15" t="n">
        <v>2026</v>
      </c>
      <c r="B2027" s="9" t="s">
        <v>81</v>
      </c>
      <c r="C2027" s="9" t="s">
        <v>118</v>
      </c>
      <c r="D2027" s="10" t="s">
        <v>119</v>
      </c>
      <c r="E2027" s="11" t="s">
        <v>5140</v>
      </c>
      <c r="F2027" s="17"/>
      <c r="G2027" s="12" t="s">
        <v>1136</v>
      </c>
      <c r="H2027" s="13" t="n">
        <v>-0.008</v>
      </c>
      <c r="I2027" s="14"/>
      <c r="J2027" s="17"/>
      <c r="K2027" s="9"/>
      <c r="L2027" s="15" t="s">
        <v>50</v>
      </c>
      <c r="M2027" s="16" t="s">
        <v>51</v>
      </c>
      <c r="N2027" s="14"/>
      <c r="O2027" s="15" t="s">
        <v>52</v>
      </c>
      <c r="P2027" s="17" t="s">
        <v>53</v>
      </c>
      <c r="Q2027" s="15"/>
      <c r="R2027" s="18" t="s">
        <v>51</v>
      </c>
      <c r="S2027" s="19"/>
      <c r="T2027" s="17" t="str">
        <f aca="false">IF(R2027="維持",J2027,IF(R2027="排除","無關新聞事件",IFERROR(INDEX(事件規則!$B$2:$B$53,MATCH(S2027,事件規則!$A$2:$A$53,0)),"")))</f>
        <v>無關新聞事件</v>
      </c>
      <c r="U2027" s="20" t="n">
        <f aca="false">IF(R2027="維持",K2027,IF(R2027="排除",0,IFERROR(INDEX(事件規則!$C$2:$C$53,MATCH(S2027,事件規則!$A$2:$A$53,0)),"")))</f>
        <v>0</v>
      </c>
      <c r="V2027" s="21"/>
      <c r="W2027" s="22"/>
      <c r="X2027" s="10" t="str">
        <f aca="false">IF(AND(R2027="修改",S2027=""),"請選新事件代碼",IF(AND(R2027&lt;&gt;"修改",S2027&lt;&gt;""),"只有「修改」才需填代碼",""))</f>
        <v/>
      </c>
      <c r="Y2027" s="21"/>
      <c r="Z2027" s="22"/>
      <c r="AA2027" s="12" t="s">
        <v>5141</v>
      </c>
      <c r="AB2027" s="24"/>
    </row>
    <row r="2028" customFormat="false" ht="29.85" hidden="false" customHeight="false" outlineLevel="0" collapsed="false">
      <c r="A2028" s="15" t="n">
        <v>2027</v>
      </c>
      <c r="B2028" s="9" t="s">
        <v>112</v>
      </c>
      <c r="C2028" s="9" t="s">
        <v>2263</v>
      </c>
      <c r="D2028" s="10" t="s">
        <v>2264</v>
      </c>
      <c r="E2028" s="11" t="s">
        <v>5142</v>
      </c>
      <c r="F2028" s="17"/>
      <c r="G2028" s="12" t="s">
        <v>2033</v>
      </c>
      <c r="H2028" s="13" t="n">
        <v>-0.008</v>
      </c>
      <c r="I2028" s="14"/>
      <c r="J2028" s="17"/>
      <c r="K2028" s="9"/>
      <c r="L2028" s="15" t="s">
        <v>50</v>
      </c>
      <c r="M2028" s="16" t="s">
        <v>51</v>
      </c>
      <c r="N2028" s="14"/>
      <c r="O2028" s="15" t="s">
        <v>52</v>
      </c>
      <c r="P2028" s="17" t="s">
        <v>53</v>
      </c>
      <c r="Q2028" s="15"/>
      <c r="R2028" s="18" t="s">
        <v>51</v>
      </c>
      <c r="S2028" s="19"/>
      <c r="T2028" s="17" t="str">
        <f aca="false">IF(R2028="維持",J2028,IF(R2028="排除","無關新聞事件",IFERROR(INDEX(事件規則!$B$2:$B$53,MATCH(S2028,事件規則!$A$2:$A$53,0)),"")))</f>
        <v>無關新聞事件</v>
      </c>
      <c r="U2028" s="20" t="n">
        <f aca="false">IF(R2028="維持",K2028,IF(R2028="排除",0,IFERROR(INDEX(事件規則!$C$2:$C$53,MATCH(S2028,事件規則!$A$2:$A$53,0)),"")))</f>
        <v>0</v>
      </c>
      <c r="V2028" s="21"/>
      <c r="W2028" s="22"/>
      <c r="X2028" s="10" t="str">
        <f aca="false">IF(AND(R2028="修改",S2028=""),"請選新事件代碼",IF(AND(R2028&lt;&gt;"修改",S2028&lt;&gt;""),"只有「修改」才需填代碼",""))</f>
        <v/>
      </c>
      <c r="Y2028" s="21"/>
      <c r="Z2028" s="22"/>
      <c r="AA2028" s="12" t="s">
        <v>5143</v>
      </c>
      <c r="AB2028" s="24"/>
    </row>
    <row r="2029" customFormat="false" ht="29.85" hidden="false" customHeight="false" outlineLevel="0" collapsed="false">
      <c r="A2029" s="15" t="n">
        <v>2028</v>
      </c>
      <c r="B2029" s="9" t="s">
        <v>112</v>
      </c>
      <c r="C2029" s="9" t="s">
        <v>1310</v>
      </c>
      <c r="D2029" s="10" t="s">
        <v>1311</v>
      </c>
      <c r="E2029" s="11" t="s">
        <v>5144</v>
      </c>
      <c r="F2029" s="17"/>
      <c r="G2029" s="12" t="s">
        <v>949</v>
      </c>
      <c r="H2029" s="13" t="n">
        <v>-0.007</v>
      </c>
      <c r="I2029" s="14"/>
      <c r="J2029" s="17"/>
      <c r="K2029" s="9"/>
      <c r="L2029" s="15" t="s">
        <v>50</v>
      </c>
      <c r="M2029" s="16" t="s">
        <v>51</v>
      </c>
      <c r="N2029" s="14"/>
      <c r="O2029" s="15" t="s">
        <v>52</v>
      </c>
      <c r="P2029" s="17" t="s">
        <v>53</v>
      </c>
      <c r="Q2029" s="15"/>
      <c r="R2029" s="18" t="s">
        <v>51</v>
      </c>
      <c r="S2029" s="19"/>
      <c r="T2029" s="17" t="str">
        <f aca="false">IF(R2029="維持",J2029,IF(R2029="排除","無關新聞事件",IFERROR(INDEX(事件規則!$B$2:$B$53,MATCH(S2029,事件規則!$A$2:$A$53,0)),"")))</f>
        <v>無關新聞事件</v>
      </c>
      <c r="U2029" s="20" t="n">
        <f aca="false">IF(R2029="維持",K2029,IF(R2029="排除",0,IFERROR(INDEX(事件規則!$C$2:$C$53,MATCH(S2029,事件規則!$A$2:$A$53,0)),"")))</f>
        <v>0</v>
      </c>
      <c r="V2029" s="21"/>
      <c r="W2029" s="22"/>
      <c r="X2029" s="10" t="str">
        <f aca="false">IF(AND(R2029="修改",S2029=""),"請選新事件代碼",IF(AND(R2029&lt;&gt;"修改",S2029&lt;&gt;""),"只有「修改」才需填代碼",""))</f>
        <v/>
      </c>
      <c r="Y2029" s="21"/>
      <c r="Z2029" s="22"/>
      <c r="AA2029" s="12" t="s">
        <v>5145</v>
      </c>
      <c r="AB2029" s="24"/>
    </row>
    <row r="2030" customFormat="false" ht="29.85" hidden="false" customHeight="false" outlineLevel="0" collapsed="false">
      <c r="A2030" s="15" t="n">
        <v>2029</v>
      </c>
      <c r="B2030" s="9" t="s">
        <v>112</v>
      </c>
      <c r="C2030" s="9" t="s">
        <v>326</v>
      </c>
      <c r="D2030" s="10" t="s">
        <v>326</v>
      </c>
      <c r="E2030" s="11" t="s">
        <v>5146</v>
      </c>
      <c r="F2030" s="17"/>
      <c r="G2030" s="12" t="s">
        <v>105</v>
      </c>
      <c r="H2030" s="13" t="n">
        <v>-0.007</v>
      </c>
      <c r="I2030" s="14"/>
      <c r="J2030" s="17"/>
      <c r="K2030" s="9"/>
      <c r="L2030" s="15" t="s">
        <v>50</v>
      </c>
      <c r="M2030" s="16" t="s">
        <v>51</v>
      </c>
      <c r="N2030" s="14"/>
      <c r="O2030" s="15" t="s">
        <v>52</v>
      </c>
      <c r="P2030" s="17" t="s">
        <v>53</v>
      </c>
      <c r="Q2030" s="15"/>
      <c r="R2030" s="18" t="s">
        <v>51</v>
      </c>
      <c r="S2030" s="19"/>
      <c r="T2030" s="17" t="str">
        <f aca="false">IF(R2030="維持",J2030,IF(R2030="排除","無關新聞事件",IFERROR(INDEX(事件規則!$B$2:$B$53,MATCH(S2030,事件規則!$A$2:$A$53,0)),"")))</f>
        <v>無關新聞事件</v>
      </c>
      <c r="U2030" s="20" t="n">
        <f aca="false">IF(R2030="維持",K2030,IF(R2030="排除",0,IFERROR(INDEX(事件規則!$C$2:$C$53,MATCH(S2030,事件規則!$A$2:$A$53,0)),"")))</f>
        <v>0</v>
      </c>
      <c r="V2030" s="21"/>
      <c r="W2030" s="22"/>
      <c r="X2030" s="10" t="str">
        <f aca="false">IF(AND(R2030="修改",S2030=""),"請選新事件代碼",IF(AND(R2030&lt;&gt;"修改",S2030&lt;&gt;""),"只有「修改」才需填代碼",""))</f>
        <v/>
      </c>
      <c r="Y2030" s="21"/>
      <c r="Z2030" s="22"/>
      <c r="AA2030" s="12" t="s">
        <v>5147</v>
      </c>
      <c r="AB2030" s="24"/>
    </row>
    <row r="2031" customFormat="false" ht="29.85" hidden="false" customHeight="false" outlineLevel="0" collapsed="false">
      <c r="A2031" s="15" t="n">
        <v>2030</v>
      </c>
      <c r="B2031" s="9" t="s">
        <v>112</v>
      </c>
      <c r="C2031" s="9" t="s">
        <v>76</v>
      </c>
      <c r="D2031" s="10" t="s">
        <v>77</v>
      </c>
      <c r="E2031" s="11" t="s">
        <v>5148</v>
      </c>
      <c r="F2031" s="17"/>
      <c r="G2031" s="12" t="s">
        <v>5149</v>
      </c>
      <c r="H2031" s="13" t="n">
        <v>-0.007</v>
      </c>
      <c r="I2031" s="14"/>
      <c r="J2031" s="17"/>
      <c r="K2031" s="9"/>
      <c r="L2031" s="15" t="s">
        <v>50</v>
      </c>
      <c r="M2031" s="16" t="s">
        <v>51</v>
      </c>
      <c r="N2031" s="14"/>
      <c r="O2031" s="15" t="s">
        <v>52</v>
      </c>
      <c r="P2031" s="17" t="s">
        <v>53</v>
      </c>
      <c r="Q2031" s="15"/>
      <c r="R2031" s="18" t="s">
        <v>51</v>
      </c>
      <c r="S2031" s="19"/>
      <c r="T2031" s="17" t="str">
        <f aca="false">IF(R2031="維持",J2031,IF(R2031="排除","無關新聞事件",IFERROR(INDEX(事件規則!$B$2:$B$53,MATCH(S2031,事件規則!$A$2:$A$53,0)),"")))</f>
        <v>無關新聞事件</v>
      </c>
      <c r="U2031" s="20" t="n">
        <f aca="false">IF(R2031="維持",K2031,IF(R2031="排除",0,IFERROR(INDEX(事件規則!$C$2:$C$53,MATCH(S2031,事件規則!$A$2:$A$53,0)),"")))</f>
        <v>0</v>
      </c>
      <c r="V2031" s="21"/>
      <c r="W2031" s="22"/>
      <c r="X2031" s="10" t="str">
        <f aca="false">IF(AND(R2031="修改",S2031=""),"請選新事件代碼",IF(AND(R2031&lt;&gt;"修改",S2031&lt;&gt;""),"只有「修改」才需填代碼",""))</f>
        <v/>
      </c>
      <c r="Y2031" s="21"/>
      <c r="Z2031" s="22"/>
      <c r="AA2031" s="12" t="s">
        <v>5150</v>
      </c>
      <c r="AB2031" s="24"/>
    </row>
    <row r="2032" customFormat="false" ht="29.85" hidden="false" customHeight="false" outlineLevel="0" collapsed="false">
      <c r="A2032" s="15" t="n">
        <v>2031</v>
      </c>
      <c r="B2032" s="9" t="s">
        <v>112</v>
      </c>
      <c r="C2032" s="9" t="s">
        <v>2508</v>
      </c>
      <c r="D2032" s="10" t="s">
        <v>2509</v>
      </c>
      <c r="E2032" s="11" t="s">
        <v>5151</v>
      </c>
      <c r="F2032" s="17"/>
      <c r="G2032" s="12" t="s">
        <v>105</v>
      </c>
      <c r="H2032" s="13" t="n">
        <v>-0.007</v>
      </c>
      <c r="I2032" s="14"/>
      <c r="J2032" s="17"/>
      <c r="K2032" s="9"/>
      <c r="L2032" s="15" t="s">
        <v>50</v>
      </c>
      <c r="M2032" s="16" t="s">
        <v>51</v>
      </c>
      <c r="N2032" s="14"/>
      <c r="O2032" s="15" t="s">
        <v>52</v>
      </c>
      <c r="P2032" s="17" t="s">
        <v>53</v>
      </c>
      <c r="Q2032" s="15"/>
      <c r="R2032" s="18" t="s">
        <v>51</v>
      </c>
      <c r="S2032" s="19"/>
      <c r="T2032" s="17" t="str">
        <f aca="false">IF(R2032="維持",J2032,IF(R2032="排除","無關新聞事件",IFERROR(INDEX(事件規則!$B$2:$B$53,MATCH(S2032,事件規則!$A$2:$A$53,0)),"")))</f>
        <v>無關新聞事件</v>
      </c>
      <c r="U2032" s="20" t="n">
        <f aca="false">IF(R2032="維持",K2032,IF(R2032="排除",0,IFERROR(INDEX(事件規則!$C$2:$C$53,MATCH(S2032,事件規則!$A$2:$A$53,0)),"")))</f>
        <v>0</v>
      </c>
      <c r="V2032" s="21"/>
      <c r="W2032" s="22"/>
      <c r="X2032" s="10" t="str">
        <f aca="false">IF(AND(R2032="修改",S2032=""),"請選新事件代碼",IF(AND(R2032&lt;&gt;"修改",S2032&lt;&gt;""),"只有「修改」才需填代碼",""))</f>
        <v/>
      </c>
      <c r="Y2032" s="21"/>
      <c r="Z2032" s="22"/>
      <c r="AA2032" s="12" t="s">
        <v>5152</v>
      </c>
      <c r="AB2032" s="24"/>
    </row>
    <row r="2033" customFormat="false" ht="29.85" hidden="false" customHeight="false" outlineLevel="0" collapsed="false">
      <c r="A2033" s="15" t="n">
        <v>2032</v>
      </c>
      <c r="B2033" s="9" t="s">
        <v>112</v>
      </c>
      <c r="C2033" s="9" t="s">
        <v>2233</v>
      </c>
      <c r="D2033" s="10" t="s">
        <v>2234</v>
      </c>
      <c r="E2033" s="11" t="s">
        <v>5153</v>
      </c>
      <c r="F2033" s="17"/>
      <c r="G2033" s="12" t="s">
        <v>95</v>
      </c>
      <c r="H2033" s="13" t="n">
        <v>-0.007</v>
      </c>
      <c r="I2033" s="14"/>
      <c r="J2033" s="17"/>
      <c r="K2033" s="9"/>
      <c r="L2033" s="15" t="s">
        <v>50</v>
      </c>
      <c r="M2033" s="16" t="s">
        <v>51</v>
      </c>
      <c r="N2033" s="14"/>
      <c r="O2033" s="15" t="s">
        <v>52</v>
      </c>
      <c r="P2033" s="17" t="s">
        <v>53</v>
      </c>
      <c r="Q2033" s="15"/>
      <c r="R2033" s="18" t="s">
        <v>51</v>
      </c>
      <c r="S2033" s="19"/>
      <c r="T2033" s="17" t="str">
        <f aca="false">IF(R2033="維持",J2033,IF(R2033="排除","無關新聞事件",IFERROR(INDEX(事件規則!$B$2:$B$53,MATCH(S2033,事件規則!$A$2:$A$53,0)),"")))</f>
        <v>無關新聞事件</v>
      </c>
      <c r="U2033" s="20" t="n">
        <f aca="false">IF(R2033="維持",K2033,IF(R2033="排除",0,IFERROR(INDEX(事件規則!$C$2:$C$53,MATCH(S2033,事件規則!$A$2:$A$53,0)),"")))</f>
        <v>0</v>
      </c>
      <c r="V2033" s="21"/>
      <c r="W2033" s="22"/>
      <c r="X2033" s="10" t="str">
        <f aca="false">IF(AND(R2033="修改",S2033=""),"請選新事件代碼",IF(AND(R2033&lt;&gt;"修改",S2033&lt;&gt;""),"只有「修改」才需填代碼",""))</f>
        <v/>
      </c>
      <c r="Y2033" s="21"/>
      <c r="Z2033" s="22"/>
      <c r="AA2033" s="12" t="s">
        <v>5154</v>
      </c>
      <c r="AB2033" s="24"/>
    </row>
    <row r="2034" customFormat="false" ht="29.85" hidden="false" customHeight="false" outlineLevel="0" collapsed="false">
      <c r="A2034" s="15" t="n">
        <v>2033</v>
      </c>
      <c r="B2034" s="9" t="s">
        <v>112</v>
      </c>
      <c r="C2034" s="9" t="s">
        <v>123</v>
      </c>
      <c r="D2034" s="10" t="s">
        <v>124</v>
      </c>
      <c r="E2034" s="11" t="s">
        <v>5155</v>
      </c>
      <c r="F2034" s="17"/>
      <c r="G2034" s="12" t="s">
        <v>105</v>
      </c>
      <c r="H2034" s="13" t="n">
        <v>-0.007</v>
      </c>
      <c r="I2034" s="14"/>
      <c r="J2034" s="17"/>
      <c r="K2034" s="9"/>
      <c r="L2034" s="15" t="s">
        <v>50</v>
      </c>
      <c r="M2034" s="16" t="s">
        <v>51</v>
      </c>
      <c r="N2034" s="14"/>
      <c r="O2034" s="15" t="s">
        <v>52</v>
      </c>
      <c r="P2034" s="17" t="s">
        <v>53</v>
      </c>
      <c r="Q2034" s="15"/>
      <c r="R2034" s="18" t="s">
        <v>51</v>
      </c>
      <c r="S2034" s="19"/>
      <c r="T2034" s="17" t="str">
        <f aca="false">IF(R2034="維持",J2034,IF(R2034="排除","無關新聞事件",IFERROR(INDEX(事件規則!$B$2:$B$53,MATCH(S2034,事件規則!$A$2:$A$53,0)),"")))</f>
        <v>無關新聞事件</v>
      </c>
      <c r="U2034" s="20" t="n">
        <f aca="false">IF(R2034="維持",K2034,IF(R2034="排除",0,IFERROR(INDEX(事件規則!$C$2:$C$53,MATCH(S2034,事件規則!$A$2:$A$53,0)),"")))</f>
        <v>0</v>
      </c>
      <c r="V2034" s="21"/>
      <c r="W2034" s="22"/>
      <c r="X2034" s="10" t="str">
        <f aca="false">IF(AND(R2034="修改",S2034=""),"請選新事件代碼",IF(AND(R2034&lt;&gt;"修改",S2034&lt;&gt;""),"只有「修改」才需填代碼",""))</f>
        <v/>
      </c>
      <c r="Y2034" s="21"/>
      <c r="Z2034" s="22"/>
      <c r="AA2034" s="12" t="s">
        <v>5156</v>
      </c>
      <c r="AB2034" s="24"/>
    </row>
    <row r="2035" customFormat="false" ht="29.85" hidden="false" customHeight="false" outlineLevel="0" collapsed="false">
      <c r="A2035" s="15" t="n">
        <v>2034</v>
      </c>
      <c r="B2035" s="9" t="s">
        <v>112</v>
      </c>
      <c r="C2035" s="9" t="s">
        <v>2041</v>
      </c>
      <c r="D2035" s="10" t="s">
        <v>2042</v>
      </c>
      <c r="E2035" s="11" t="s">
        <v>5157</v>
      </c>
      <c r="F2035" s="17"/>
      <c r="G2035" s="12" t="s">
        <v>105</v>
      </c>
      <c r="H2035" s="13" t="n">
        <v>-0.007</v>
      </c>
      <c r="I2035" s="14"/>
      <c r="J2035" s="17"/>
      <c r="K2035" s="9"/>
      <c r="L2035" s="15" t="s">
        <v>50</v>
      </c>
      <c r="M2035" s="16" t="s">
        <v>51</v>
      </c>
      <c r="N2035" s="14"/>
      <c r="O2035" s="15" t="s">
        <v>52</v>
      </c>
      <c r="P2035" s="17" t="s">
        <v>53</v>
      </c>
      <c r="Q2035" s="15"/>
      <c r="R2035" s="18" t="s">
        <v>51</v>
      </c>
      <c r="S2035" s="19"/>
      <c r="T2035" s="17" t="str">
        <f aca="false">IF(R2035="維持",J2035,IF(R2035="排除","無關新聞事件",IFERROR(INDEX(事件規則!$B$2:$B$53,MATCH(S2035,事件規則!$A$2:$A$53,0)),"")))</f>
        <v>無關新聞事件</v>
      </c>
      <c r="U2035" s="20" t="n">
        <f aca="false">IF(R2035="維持",K2035,IF(R2035="排除",0,IFERROR(INDEX(事件規則!$C$2:$C$53,MATCH(S2035,事件規則!$A$2:$A$53,0)),"")))</f>
        <v>0</v>
      </c>
      <c r="V2035" s="21"/>
      <c r="W2035" s="22"/>
      <c r="X2035" s="10" t="str">
        <f aca="false">IF(AND(R2035="修改",S2035=""),"請選新事件代碼",IF(AND(R2035&lt;&gt;"修改",S2035&lt;&gt;""),"只有「修改」才需填代碼",""))</f>
        <v/>
      </c>
      <c r="Y2035" s="21"/>
      <c r="Z2035" s="22"/>
      <c r="AA2035" s="12" t="s">
        <v>5158</v>
      </c>
      <c r="AB2035" s="24"/>
    </row>
    <row r="2036" customFormat="false" ht="29.85" hidden="false" customHeight="false" outlineLevel="0" collapsed="false">
      <c r="A2036" s="15" t="n">
        <v>2035</v>
      </c>
      <c r="B2036" s="9" t="s">
        <v>55</v>
      </c>
      <c r="C2036" s="9" t="s">
        <v>1318</v>
      </c>
      <c r="D2036" s="10" t="s">
        <v>1319</v>
      </c>
      <c r="E2036" s="11" t="s">
        <v>5159</v>
      </c>
      <c r="F2036" s="17"/>
      <c r="G2036" s="12" t="s">
        <v>95</v>
      </c>
      <c r="H2036" s="13" t="n">
        <v>-0.007</v>
      </c>
      <c r="I2036" s="14"/>
      <c r="J2036" s="17"/>
      <c r="K2036" s="9"/>
      <c r="L2036" s="15" t="s">
        <v>50</v>
      </c>
      <c r="M2036" s="16" t="s">
        <v>51</v>
      </c>
      <c r="N2036" s="14"/>
      <c r="O2036" s="15" t="s">
        <v>52</v>
      </c>
      <c r="P2036" s="17" t="s">
        <v>53</v>
      </c>
      <c r="Q2036" s="15"/>
      <c r="R2036" s="18" t="s">
        <v>51</v>
      </c>
      <c r="S2036" s="19"/>
      <c r="T2036" s="17" t="str">
        <f aca="false">IF(R2036="維持",J2036,IF(R2036="排除","無關新聞事件",IFERROR(INDEX(事件規則!$B$2:$B$53,MATCH(S2036,事件規則!$A$2:$A$53,0)),"")))</f>
        <v>無關新聞事件</v>
      </c>
      <c r="U2036" s="20" t="n">
        <f aca="false">IF(R2036="維持",K2036,IF(R2036="排除",0,IFERROR(INDEX(事件規則!$C$2:$C$53,MATCH(S2036,事件規則!$A$2:$A$53,0)),"")))</f>
        <v>0</v>
      </c>
      <c r="V2036" s="21"/>
      <c r="W2036" s="22"/>
      <c r="X2036" s="10" t="str">
        <f aca="false">IF(AND(R2036="修改",S2036=""),"請選新事件代碼",IF(AND(R2036&lt;&gt;"修改",S2036&lt;&gt;""),"只有「修改」才需填代碼",""))</f>
        <v/>
      </c>
      <c r="Y2036" s="21"/>
      <c r="Z2036" s="22"/>
      <c r="AA2036" s="12" t="s">
        <v>5160</v>
      </c>
      <c r="AB2036" s="24"/>
    </row>
    <row r="2037" customFormat="false" ht="29.85" hidden="false" customHeight="false" outlineLevel="0" collapsed="false">
      <c r="A2037" s="15" t="n">
        <v>2036</v>
      </c>
      <c r="B2037" s="9" t="s">
        <v>55</v>
      </c>
      <c r="C2037" s="9" t="s">
        <v>118</v>
      </c>
      <c r="D2037" s="10" t="s">
        <v>119</v>
      </c>
      <c r="E2037" s="11" t="s">
        <v>5161</v>
      </c>
      <c r="F2037" s="17"/>
      <c r="G2037" s="12" t="s">
        <v>105</v>
      </c>
      <c r="H2037" s="13" t="n">
        <v>-0.007</v>
      </c>
      <c r="I2037" s="14"/>
      <c r="J2037" s="17"/>
      <c r="K2037" s="9"/>
      <c r="L2037" s="15" t="s">
        <v>50</v>
      </c>
      <c r="M2037" s="16" t="s">
        <v>51</v>
      </c>
      <c r="N2037" s="14"/>
      <c r="O2037" s="15" t="s">
        <v>52</v>
      </c>
      <c r="P2037" s="17" t="s">
        <v>53</v>
      </c>
      <c r="Q2037" s="15"/>
      <c r="R2037" s="18" t="s">
        <v>51</v>
      </c>
      <c r="S2037" s="19"/>
      <c r="T2037" s="17" t="str">
        <f aca="false">IF(R2037="維持",J2037,IF(R2037="排除","無關新聞事件",IFERROR(INDEX(事件規則!$B$2:$B$53,MATCH(S2037,事件規則!$A$2:$A$53,0)),"")))</f>
        <v>無關新聞事件</v>
      </c>
      <c r="U2037" s="20" t="n">
        <f aca="false">IF(R2037="維持",K2037,IF(R2037="排除",0,IFERROR(INDEX(事件規則!$C$2:$C$53,MATCH(S2037,事件規則!$A$2:$A$53,0)),"")))</f>
        <v>0</v>
      </c>
      <c r="V2037" s="21"/>
      <c r="W2037" s="22"/>
      <c r="X2037" s="10" t="str">
        <f aca="false">IF(AND(R2037="修改",S2037=""),"請選新事件代碼",IF(AND(R2037&lt;&gt;"修改",S2037&lt;&gt;""),"只有「修改」才需填代碼",""))</f>
        <v/>
      </c>
      <c r="Y2037" s="21"/>
      <c r="Z2037" s="22"/>
      <c r="AA2037" s="12" t="s">
        <v>5162</v>
      </c>
      <c r="AB2037" s="24"/>
    </row>
    <row r="2038" customFormat="false" ht="29.85" hidden="false" customHeight="false" outlineLevel="0" collapsed="false">
      <c r="A2038" s="15" t="n">
        <v>2037</v>
      </c>
      <c r="B2038" s="9" t="s">
        <v>55</v>
      </c>
      <c r="C2038" s="9" t="s">
        <v>303</v>
      </c>
      <c r="D2038" s="10" t="s">
        <v>304</v>
      </c>
      <c r="E2038" s="11" t="s">
        <v>5163</v>
      </c>
      <c r="F2038" s="17"/>
      <c r="G2038" s="12" t="s">
        <v>49</v>
      </c>
      <c r="H2038" s="13" t="n">
        <v>-0.007</v>
      </c>
      <c r="I2038" s="14"/>
      <c r="J2038" s="17"/>
      <c r="K2038" s="9"/>
      <c r="L2038" s="15" t="s">
        <v>50</v>
      </c>
      <c r="M2038" s="16" t="s">
        <v>51</v>
      </c>
      <c r="N2038" s="14"/>
      <c r="O2038" s="15" t="s">
        <v>52</v>
      </c>
      <c r="P2038" s="17" t="s">
        <v>53</v>
      </c>
      <c r="Q2038" s="15"/>
      <c r="R2038" s="18" t="s">
        <v>51</v>
      </c>
      <c r="S2038" s="19"/>
      <c r="T2038" s="17" t="str">
        <f aca="false">IF(R2038="維持",J2038,IF(R2038="排除","無關新聞事件",IFERROR(INDEX(事件規則!$B$2:$B$53,MATCH(S2038,事件規則!$A$2:$A$53,0)),"")))</f>
        <v>無關新聞事件</v>
      </c>
      <c r="U2038" s="20" t="n">
        <f aca="false">IF(R2038="維持",K2038,IF(R2038="排除",0,IFERROR(INDEX(事件規則!$C$2:$C$53,MATCH(S2038,事件規則!$A$2:$A$53,0)),"")))</f>
        <v>0</v>
      </c>
      <c r="V2038" s="21"/>
      <c r="W2038" s="22"/>
      <c r="X2038" s="10" t="str">
        <f aca="false">IF(AND(R2038="修改",S2038=""),"請選新事件代碼",IF(AND(R2038&lt;&gt;"修改",S2038&lt;&gt;""),"只有「修改」才需填代碼",""))</f>
        <v/>
      </c>
      <c r="Y2038" s="21"/>
      <c r="Z2038" s="22"/>
      <c r="AA2038" s="12" t="s">
        <v>5164</v>
      </c>
      <c r="AB2038" s="24"/>
    </row>
    <row r="2039" customFormat="false" ht="29.85" hidden="false" customHeight="false" outlineLevel="0" collapsed="false">
      <c r="A2039" s="15" t="n">
        <v>2038</v>
      </c>
      <c r="B2039" s="9" t="s">
        <v>55</v>
      </c>
      <c r="C2039" s="9" t="s">
        <v>898</v>
      </c>
      <c r="D2039" s="10" t="s">
        <v>899</v>
      </c>
      <c r="E2039" s="11" t="s">
        <v>5165</v>
      </c>
      <c r="F2039" s="17"/>
      <c r="G2039" s="12" t="s">
        <v>59</v>
      </c>
      <c r="H2039" s="13" t="n">
        <v>-0.007</v>
      </c>
      <c r="I2039" s="14"/>
      <c r="J2039" s="17"/>
      <c r="K2039" s="9"/>
      <c r="L2039" s="15" t="s">
        <v>50</v>
      </c>
      <c r="M2039" s="16" t="s">
        <v>51</v>
      </c>
      <c r="N2039" s="14"/>
      <c r="O2039" s="15" t="s">
        <v>52</v>
      </c>
      <c r="P2039" s="17" t="s">
        <v>53</v>
      </c>
      <c r="Q2039" s="15"/>
      <c r="R2039" s="18" t="s">
        <v>51</v>
      </c>
      <c r="S2039" s="19"/>
      <c r="T2039" s="17" t="str">
        <f aca="false">IF(R2039="維持",J2039,IF(R2039="排除","無關新聞事件",IFERROR(INDEX(事件規則!$B$2:$B$53,MATCH(S2039,事件規則!$A$2:$A$53,0)),"")))</f>
        <v>無關新聞事件</v>
      </c>
      <c r="U2039" s="20" t="n">
        <f aca="false">IF(R2039="維持",K2039,IF(R2039="排除",0,IFERROR(INDEX(事件規則!$C$2:$C$53,MATCH(S2039,事件規則!$A$2:$A$53,0)),"")))</f>
        <v>0</v>
      </c>
      <c r="V2039" s="21"/>
      <c r="W2039" s="22"/>
      <c r="X2039" s="10" t="str">
        <f aca="false">IF(AND(R2039="修改",S2039=""),"請選新事件代碼",IF(AND(R2039&lt;&gt;"修改",S2039&lt;&gt;""),"只有「修改」才需填代碼",""))</f>
        <v/>
      </c>
      <c r="Y2039" s="21"/>
      <c r="Z2039" s="22"/>
      <c r="AA2039" s="12" t="s">
        <v>5166</v>
      </c>
      <c r="AB2039" s="24"/>
    </row>
    <row r="2040" customFormat="false" ht="29.85" hidden="false" customHeight="false" outlineLevel="0" collapsed="false">
      <c r="A2040" s="15" t="n">
        <v>2039</v>
      </c>
      <c r="B2040" s="9" t="s">
        <v>55</v>
      </c>
      <c r="C2040" s="9" t="s">
        <v>188</v>
      </c>
      <c r="D2040" s="10" t="s">
        <v>189</v>
      </c>
      <c r="E2040" s="11" t="s">
        <v>5167</v>
      </c>
      <c r="F2040" s="17"/>
      <c r="G2040" s="12" t="s">
        <v>121</v>
      </c>
      <c r="H2040" s="13" t="n">
        <v>-0.007</v>
      </c>
      <c r="I2040" s="14"/>
      <c r="J2040" s="17"/>
      <c r="K2040" s="9"/>
      <c r="L2040" s="15" t="s">
        <v>50</v>
      </c>
      <c r="M2040" s="16" t="s">
        <v>51</v>
      </c>
      <c r="N2040" s="14"/>
      <c r="O2040" s="15" t="s">
        <v>52</v>
      </c>
      <c r="P2040" s="17" t="s">
        <v>53</v>
      </c>
      <c r="Q2040" s="15"/>
      <c r="R2040" s="18" t="s">
        <v>51</v>
      </c>
      <c r="S2040" s="19"/>
      <c r="T2040" s="17" t="str">
        <f aca="false">IF(R2040="維持",J2040,IF(R2040="排除","無關新聞事件",IFERROR(INDEX(事件規則!$B$2:$B$53,MATCH(S2040,事件規則!$A$2:$A$53,0)),"")))</f>
        <v>無關新聞事件</v>
      </c>
      <c r="U2040" s="20" t="n">
        <f aca="false">IF(R2040="維持",K2040,IF(R2040="排除",0,IFERROR(INDEX(事件規則!$C$2:$C$53,MATCH(S2040,事件規則!$A$2:$A$53,0)),"")))</f>
        <v>0</v>
      </c>
      <c r="V2040" s="21"/>
      <c r="W2040" s="22"/>
      <c r="X2040" s="10" t="str">
        <f aca="false">IF(AND(R2040="修改",S2040=""),"請選新事件代碼",IF(AND(R2040&lt;&gt;"修改",S2040&lt;&gt;""),"只有「修改」才需填代碼",""))</f>
        <v/>
      </c>
      <c r="Y2040" s="21"/>
      <c r="Z2040" s="22"/>
      <c r="AA2040" s="12" t="s">
        <v>5168</v>
      </c>
      <c r="AB2040" s="24"/>
    </row>
    <row r="2041" customFormat="false" ht="29.85" hidden="false" customHeight="false" outlineLevel="0" collapsed="false">
      <c r="A2041" s="15" t="n">
        <v>2040</v>
      </c>
      <c r="B2041" s="9" t="s">
        <v>55</v>
      </c>
      <c r="C2041" s="9" t="s">
        <v>445</v>
      </c>
      <c r="D2041" s="10" t="s">
        <v>446</v>
      </c>
      <c r="E2041" s="11" t="s">
        <v>5169</v>
      </c>
      <c r="F2041" s="17"/>
      <c r="G2041" s="12" t="s">
        <v>3304</v>
      </c>
      <c r="H2041" s="13" t="n">
        <v>-0.007</v>
      </c>
      <c r="I2041" s="14"/>
      <c r="J2041" s="17"/>
      <c r="K2041" s="9"/>
      <c r="L2041" s="15" t="s">
        <v>50</v>
      </c>
      <c r="M2041" s="16" t="s">
        <v>51</v>
      </c>
      <c r="N2041" s="14"/>
      <c r="O2041" s="15" t="s">
        <v>52</v>
      </c>
      <c r="P2041" s="17" t="s">
        <v>53</v>
      </c>
      <c r="Q2041" s="15"/>
      <c r="R2041" s="18" t="s">
        <v>51</v>
      </c>
      <c r="S2041" s="19"/>
      <c r="T2041" s="17" t="str">
        <f aca="false">IF(R2041="維持",J2041,IF(R2041="排除","無關新聞事件",IFERROR(INDEX(事件規則!$B$2:$B$53,MATCH(S2041,事件規則!$A$2:$A$53,0)),"")))</f>
        <v>無關新聞事件</v>
      </c>
      <c r="U2041" s="20" t="n">
        <f aca="false">IF(R2041="維持",K2041,IF(R2041="排除",0,IFERROR(INDEX(事件規則!$C$2:$C$53,MATCH(S2041,事件規則!$A$2:$A$53,0)),"")))</f>
        <v>0</v>
      </c>
      <c r="V2041" s="21"/>
      <c r="W2041" s="22"/>
      <c r="X2041" s="10" t="str">
        <f aca="false">IF(AND(R2041="修改",S2041=""),"請選新事件代碼",IF(AND(R2041&lt;&gt;"修改",S2041&lt;&gt;""),"只有「修改」才需填代碼",""))</f>
        <v/>
      </c>
      <c r="Y2041" s="21"/>
      <c r="Z2041" s="22"/>
      <c r="AA2041" s="12" t="s">
        <v>5170</v>
      </c>
      <c r="AB2041" s="24"/>
    </row>
    <row r="2042" customFormat="false" ht="29.85" hidden="false" customHeight="false" outlineLevel="0" collapsed="false">
      <c r="A2042" s="15" t="n">
        <v>2041</v>
      </c>
      <c r="B2042" s="9" t="s">
        <v>45</v>
      </c>
      <c r="C2042" s="9" t="s">
        <v>3075</v>
      </c>
      <c r="D2042" s="10" t="s">
        <v>3076</v>
      </c>
      <c r="E2042" s="11" t="s">
        <v>5171</v>
      </c>
      <c r="F2042" s="17"/>
      <c r="G2042" s="12" t="s">
        <v>949</v>
      </c>
      <c r="H2042" s="13" t="n">
        <v>-0.007</v>
      </c>
      <c r="I2042" s="14"/>
      <c r="J2042" s="17"/>
      <c r="K2042" s="9"/>
      <c r="L2042" s="15" t="s">
        <v>50</v>
      </c>
      <c r="M2042" s="16" t="s">
        <v>51</v>
      </c>
      <c r="N2042" s="14"/>
      <c r="O2042" s="15" t="s">
        <v>52</v>
      </c>
      <c r="P2042" s="17" t="s">
        <v>53</v>
      </c>
      <c r="Q2042" s="15"/>
      <c r="R2042" s="18" t="s">
        <v>51</v>
      </c>
      <c r="S2042" s="19"/>
      <c r="T2042" s="17" t="str">
        <f aca="false">IF(R2042="維持",J2042,IF(R2042="排除","無關新聞事件",IFERROR(INDEX(事件規則!$B$2:$B$53,MATCH(S2042,事件規則!$A$2:$A$53,0)),"")))</f>
        <v>無關新聞事件</v>
      </c>
      <c r="U2042" s="20" t="n">
        <f aca="false">IF(R2042="維持",K2042,IF(R2042="排除",0,IFERROR(INDEX(事件規則!$C$2:$C$53,MATCH(S2042,事件規則!$A$2:$A$53,0)),"")))</f>
        <v>0</v>
      </c>
      <c r="V2042" s="21"/>
      <c r="W2042" s="22"/>
      <c r="X2042" s="10" t="str">
        <f aca="false">IF(AND(R2042="修改",S2042=""),"請選新事件代碼",IF(AND(R2042&lt;&gt;"修改",S2042&lt;&gt;""),"只有「修改」才需填代碼",""))</f>
        <v/>
      </c>
      <c r="Y2042" s="21"/>
      <c r="Z2042" s="22"/>
      <c r="AA2042" s="12" t="s">
        <v>5172</v>
      </c>
      <c r="AB2042" s="24"/>
    </row>
    <row r="2043" customFormat="false" ht="29.85" hidden="false" customHeight="false" outlineLevel="0" collapsed="false">
      <c r="A2043" s="15" t="n">
        <v>2042</v>
      </c>
      <c r="B2043" s="9" t="s">
        <v>55</v>
      </c>
      <c r="C2043" s="9" t="s">
        <v>2169</v>
      </c>
      <c r="D2043" s="10" t="s">
        <v>2170</v>
      </c>
      <c r="E2043" s="11" t="s">
        <v>5173</v>
      </c>
      <c r="F2043" s="17"/>
      <c r="G2043" s="12" t="s">
        <v>5174</v>
      </c>
      <c r="H2043" s="13" t="n">
        <v>-0.007</v>
      </c>
      <c r="I2043" s="14"/>
      <c r="J2043" s="17"/>
      <c r="K2043" s="9"/>
      <c r="L2043" s="15" t="s">
        <v>50</v>
      </c>
      <c r="M2043" s="16" t="s">
        <v>51</v>
      </c>
      <c r="N2043" s="14"/>
      <c r="O2043" s="15" t="s">
        <v>52</v>
      </c>
      <c r="P2043" s="17" t="s">
        <v>53</v>
      </c>
      <c r="Q2043" s="15"/>
      <c r="R2043" s="18" t="s">
        <v>51</v>
      </c>
      <c r="S2043" s="19"/>
      <c r="T2043" s="17" t="str">
        <f aca="false">IF(R2043="維持",J2043,IF(R2043="排除","無關新聞事件",IFERROR(INDEX(事件規則!$B$2:$B$53,MATCH(S2043,事件規則!$A$2:$A$53,0)),"")))</f>
        <v>無關新聞事件</v>
      </c>
      <c r="U2043" s="20" t="n">
        <f aca="false">IF(R2043="維持",K2043,IF(R2043="排除",0,IFERROR(INDEX(事件規則!$C$2:$C$53,MATCH(S2043,事件規則!$A$2:$A$53,0)),"")))</f>
        <v>0</v>
      </c>
      <c r="V2043" s="21"/>
      <c r="W2043" s="22"/>
      <c r="X2043" s="10" t="str">
        <f aca="false">IF(AND(R2043="修改",S2043=""),"請選新事件代碼",IF(AND(R2043&lt;&gt;"修改",S2043&lt;&gt;""),"只有「修改」才需填代碼",""))</f>
        <v/>
      </c>
      <c r="Y2043" s="21"/>
      <c r="Z2043" s="22"/>
      <c r="AA2043" s="12" t="s">
        <v>5175</v>
      </c>
      <c r="AB2043" s="24"/>
    </row>
    <row r="2044" customFormat="false" ht="29.85" hidden="false" customHeight="false" outlineLevel="0" collapsed="false">
      <c r="A2044" s="15" t="n">
        <v>2043</v>
      </c>
      <c r="B2044" s="9" t="s">
        <v>55</v>
      </c>
      <c r="C2044" s="9" t="s">
        <v>289</v>
      </c>
      <c r="D2044" s="10" t="s">
        <v>290</v>
      </c>
      <c r="E2044" s="11" t="s">
        <v>5176</v>
      </c>
      <c r="F2044" s="17"/>
      <c r="G2044" s="12" t="s">
        <v>95</v>
      </c>
      <c r="H2044" s="13" t="n">
        <v>-0.007</v>
      </c>
      <c r="I2044" s="14"/>
      <c r="J2044" s="17"/>
      <c r="K2044" s="9"/>
      <c r="L2044" s="15" t="s">
        <v>50</v>
      </c>
      <c r="M2044" s="16" t="s">
        <v>51</v>
      </c>
      <c r="N2044" s="14"/>
      <c r="O2044" s="15" t="s">
        <v>52</v>
      </c>
      <c r="P2044" s="17" t="s">
        <v>53</v>
      </c>
      <c r="Q2044" s="15"/>
      <c r="R2044" s="18" t="s">
        <v>51</v>
      </c>
      <c r="S2044" s="19"/>
      <c r="T2044" s="17" t="str">
        <f aca="false">IF(R2044="維持",J2044,IF(R2044="排除","無關新聞事件",IFERROR(INDEX(事件規則!$B$2:$B$53,MATCH(S2044,事件規則!$A$2:$A$53,0)),"")))</f>
        <v>無關新聞事件</v>
      </c>
      <c r="U2044" s="20" t="n">
        <f aca="false">IF(R2044="維持",K2044,IF(R2044="排除",0,IFERROR(INDEX(事件規則!$C$2:$C$53,MATCH(S2044,事件規則!$A$2:$A$53,0)),"")))</f>
        <v>0</v>
      </c>
      <c r="V2044" s="21"/>
      <c r="W2044" s="22"/>
      <c r="X2044" s="10" t="str">
        <f aca="false">IF(AND(R2044="修改",S2044=""),"請選新事件代碼",IF(AND(R2044&lt;&gt;"修改",S2044&lt;&gt;""),"只有「修改」才需填代碼",""))</f>
        <v/>
      </c>
      <c r="Y2044" s="21"/>
      <c r="Z2044" s="22"/>
      <c r="AA2044" s="12" t="s">
        <v>5177</v>
      </c>
      <c r="AB2044" s="24"/>
    </row>
    <row r="2045" customFormat="false" ht="29.85" hidden="false" customHeight="false" outlineLevel="0" collapsed="false">
      <c r="A2045" s="15" t="n">
        <v>2044</v>
      </c>
      <c r="B2045" s="9" t="s">
        <v>45</v>
      </c>
      <c r="C2045" s="9" t="s">
        <v>635</v>
      </c>
      <c r="D2045" s="10" t="s">
        <v>636</v>
      </c>
      <c r="E2045" s="11" t="s">
        <v>5178</v>
      </c>
      <c r="F2045" s="17"/>
      <c r="G2045" s="12" t="s">
        <v>4702</v>
      </c>
      <c r="H2045" s="13" t="n">
        <v>-0.007</v>
      </c>
      <c r="I2045" s="14"/>
      <c r="J2045" s="17"/>
      <c r="K2045" s="9"/>
      <c r="L2045" s="15" t="s">
        <v>50</v>
      </c>
      <c r="M2045" s="16" t="s">
        <v>51</v>
      </c>
      <c r="N2045" s="14"/>
      <c r="O2045" s="15" t="s">
        <v>52</v>
      </c>
      <c r="P2045" s="17" t="s">
        <v>53</v>
      </c>
      <c r="Q2045" s="15"/>
      <c r="R2045" s="18" t="s">
        <v>51</v>
      </c>
      <c r="S2045" s="19"/>
      <c r="T2045" s="17" t="str">
        <f aca="false">IF(R2045="維持",J2045,IF(R2045="排除","無關新聞事件",IFERROR(INDEX(事件規則!$B$2:$B$53,MATCH(S2045,事件規則!$A$2:$A$53,0)),"")))</f>
        <v>無關新聞事件</v>
      </c>
      <c r="U2045" s="20" t="n">
        <f aca="false">IF(R2045="維持",K2045,IF(R2045="排除",0,IFERROR(INDEX(事件規則!$C$2:$C$53,MATCH(S2045,事件規則!$A$2:$A$53,0)),"")))</f>
        <v>0</v>
      </c>
      <c r="V2045" s="21"/>
      <c r="W2045" s="22"/>
      <c r="X2045" s="10" t="str">
        <f aca="false">IF(AND(R2045="修改",S2045=""),"請選新事件代碼",IF(AND(R2045&lt;&gt;"修改",S2045&lt;&gt;""),"只有「修改」才需填代碼",""))</f>
        <v/>
      </c>
      <c r="Y2045" s="21"/>
      <c r="Z2045" s="22"/>
      <c r="AA2045" s="12" t="s">
        <v>5179</v>
      </c>
      <c r="AB2045" s="24"/>
    </row>
    <row r="2046" customFormat="false" ht="29.85" hidden="false" customHeight="false" outlineLevel="0" collapsed="false">
      <c r="A2046" s="15" t="n">
        <v>2045</v>
      </c>
      <c r="B2046" s="9" t="s">
        <v>45</v>
      </c>
      <c r="C2046" s="9" t="s">
        <v>825</v>
      </c>
      <c r="D2046" s="10" t="s">
        <v>826</v>
      </c>
      <c r="E2046" s="11" t="s">
        <v>5180</v>
      </c>
      <c r="F2046" s="17"/>
      <c r="G2046" s="12" t="s">
        <v>95</v>
      </c>
      <c r="H2046" s="13" t="n">
        <v>-0.007</v>
      </c>
      <c r="I2046" s="14"/>
      <c r="J2046" s="17"/>
      <c r="K2046" s="9"/>
      <c r="L2046" s="15" t="s">
        <v>50</v>
      </c>
      <c r="M2046" s="16" t="s">
        <v>51</v>
      </c>
      <c r="N2046" s="14"/>
      <c r="O2046" s="15" t="s">
        <v>52</v>
      </c>
      <c r="P2046" s="17" t="s">
        <v>53</v>
      </c>
      <c r="Q2046" s="15"/>
      <c r="R2046" s="18" t="s">
        <v>51</v>
      </c>
      <c r="S2046" s="19"/>
      <c r="T2046" s="17" t="str">
        <f aca="false">IF(R2046="維持",J2046,IF(R2046="排除","無關新聞事件",IFERROR(INDEX(事件規則!$B$2:$B$53,MATCH(S2046,事件規則!$A$2:$A$53,0)),"")))</f>
        <v>無關新聞事件</v>
      </c>
      <c r="U2046" s="20" t="n">
        <f aca="false">IF(R2046="維持",K2046,IF(R2046="排除",0,IFERROR(INDEX(事件規則!$C$2:$C$53,MATCH(S2046,事件規則!$A$2:$A$53,0)),"")))</f>
        <v>0</v>
      </c>
      <c r="V2046" s="21"/>
      <c r="W2046" s="22"/>
      <c r="X2046" s="10" t="str">
        <f aca="false">IF(AND(R2046="修改",S2046=""),"請選新事件代碼",IF(AND(R2046&lt;&gt;"修改",S2046&lt;&gt;""),"只有「修改」才需填代碼",""))</f>
        <v/>
      </c>
      <c r="Y2046" s="21"/>
      <c r="Z2046" s="22"/>
      <c r="AA2046" s="12" t="s">
        <v>5181</v>
      </c>
      <c r="AB2046" s="24"/>
    </row>
    <row r="2047" customFormat="false" ht="29.85" hidden="false" customHeight="false" outlineLevel="0" collapsed="false">
      <c r="A2047" s="15" t="n">
        <v>2046</v>
      </c>
      <c r="B2047" s="9" t="s">
        <v>45</v>
      </c>
      <c r="C2047" s="9" t="s">
        <v>289</v>
      </c>
      <c r="D2047" s="10" t="s">
        <v>290</v>
      </c>
      <c r="E2047" s="11" t="s">
        <v>5182</v>
      </c>
      <c r="F2047" s="17"/>
      <c r="G2047" s="12" t="s">
        <v>1136</v>
      </c>
      <c r="H2047" s="13" t="n">
        <v>-0.007</v>
      </c>
      <c r="I2047" s="14"/>
      <c r="J2047" s="17"/>
      <c r="K2047" s="9"/>
      <c r="L2047" s="15" t="s">
        <v>50</v>
      </c>
      <c r="M2047" s="16" t="s">
        <v>51</v>
      </c>
      <c r="N2047" s="14"/>
      <c r="O2047" s="15" t="s">
        <v>52</v>
      </c>
      <c r="P2047" s="17" t="s">
        <v>53</v>
      </c>
      <c r="Q2047" s="15"/>
      <c r="R2047" s="18" t="s">
        <v>51</v>
      </c>
      <c r="S2047" s="19"/>
      <c r="T2047" s="17" t="str">
        <f aca="false">IF(R2047="維持",J2047,IF(R2047="排除","無關新聞事件",IFERROR(INDEX(事件規則!$B$2:$B$53,MATCH(S2047,事件規則!$A$2:$A$53,0)),"")))</f>
        <v>無關新聞事件</v>
      </c>
      <c r="U2047" s="20" t="n">
        <f aca="false">IF(R2047="維持",K2047,IF(R2047="排除",0,IFERROR(INDEX(事件規則!$C$2:$C$53,MATCH(S2047,事件規則!$A$2:$A$53,0)),"")))</f>
        <v>0</v>
      </c>
      <c r="V2047" s="21"/>
      <c r="W2047" s="22"/>
      <c r="X2047" s="10" t="str">
        <f aca="false">IF(AND(R2047="修改",S2047=""),"請選新事件代碼",IF(AND(R2047&lt;&gt;"修改",S2047&lt;&gt;""),"只有「修改」才需填代碼",""))</f>
        <v/>
      </c>
      <c r="Y2047" s="21"/>
      <c r="Z2047" s="22"/>
      <c r="AA2047" s="12" t="s">
        <v>5183</v>
      </c>
      <c r="AB2047" s="24"/>
    </row>
    <row r="2048" customFormat="false" ht="29.85" hidden="false" customHeight="false" outlineLevel="0" collapsed="false">
      <c r="A2048" s="15" t="n">
        <v>2047</v>
      </c>
      <c r="B2048" s="9" t="s">
        <v>45</v>
      </c>
      <c r="C2048" s="9" t="s">
        <v>885</v>
      </c>
      <c r="D2048" s="10" t="s">
        <v>886</v>
      </c>
      <c r="E2048" s="11" t="s">
        <v>5184</v>
      </c>
      <c r="F2048" s="17"/>
      <c r="G2048" s="12" t="s">
        <v>95</v>
      </c>
      <c r="H2048" s="13" t="n">
        <v>-0.007</v>
      </c>
      <c r="I2048" s="14"/>
      <c r="J2048" s="17"/>
      <c r="K2048" s="9"/>
      <c r="L2048" s="15" t="s">
        <v>50</v>
      </c>
      <c r="M2048" s="16" t="s">
        <v>51</v>
      </c>
      <c r="N2048" s="14"/>
      <c r="O2048" s="15" t="s">
        <v>52</v>
      </c>
      <c r="P2048" s="17" t="s">
        <v>53</v>
      </c>
      <c r="Q2048" s="15"/>
      <c r="R2048" s="18" t="s">
        <v>51</v>
      </c>
      <c r="S2048" s="19"/>
      <c r="T2048" s="17" t="str">
        <f aca="false">IF(R2048="維持",J2048,IF(R2048="排除","無關新聞事件",IFERROR(INDEX(事件規則!$B$2:$B$53,MATCH(S2048,事件規則!$A$2:$A$53,0)),"")))</f>
        <v>無關新聞事件</v>
      </c>
      <c r="U2048" s="20" t="n">
        <f aca="false">IF(R2048="維持",K2048,IF(R2048="排除",0,IFERROR(INDEX(事件規則!$C$2:$C$53,MATCH(S2048,事件規則!$A$2:$A$53,0)),"")))</f>
        <v>0</v>
      </c>
      <c r="V2048" s="21"/>
      <c r="W2048" s="22"/>
      <c r="X2048" s="10" t="str">
        <f aca="false">IF(AND(R2048="修改",S2048=""),"請選新事件代碼",IF(AND(R2048&lt;&gt;"修改",S2048&lt;&gt;""),"只有「修改」才需填代碼",""))</f>
        <v/>
      </c>
      <c r="Y2048" s="21"/>
      <c r="Z2048" s="22"/>
      <c r="AA2048" s="12" t="s">
        <v>5185</v>
      </c>
      <c r="AB2048" s="24"/>
    </row>
    <row r="2049" customFormat="false" ht="29.85" hidden="false" customHeight="false" outlineLevel="0" collapsed="false">
      <c r="A2049" s="15" t="n">
        <v>2048</v>
      </c>
      <c r="B2049" s="9" t="s">
        <v>45</v>
      </c>
      <c r="C2049" s="9" t="s">
        <v>5186</v>
      </c>
      <c r="D2049" s="10" t="s">
        <v>5187</v>
      </c>
      <c r="E2049" s="11" t="s">
        <v>5188</v>
      </c>
      <c r="F2049" s="17"/>
      <c r="G2049" s="12" t="s">
        <v>176</v>
      </c>
      <c r="H2049" s="13" t="n">
        <v>-0.007</v>
      </c>
      <c r="I2049" s="14"/>
      <c r="J2049" s="17"/>
      <c r="K2049" s="9"/>
      <c r="L2049" s="15" t="s">
        <v>50</v>
      </c>
      <c r="M2049" s="16" t="s">
        <v>51</v>
      </c>
      <c r="N2049" s="14"/>
      <c r="O2049" s="15" t="s">
        <v>52</v>
      </c>
      <c r="P2049" s="17" t="s">
        <v>53</v>
      </c>
      <c r="Q2049" s="15"/>
      <c r="R2049" s="18" t="s">
        <v>51</v>
      </c>
      <c r="S2049" s="19"/>
      <c r="T2049" s="17" t="str">
        <f aca="false">IF(R2049="維持",J2049,IF(R2049="排除","無關新聞事件",IFERROR(INDEX(事件規則!$B$2:$B$53,MATCH(S2049,事件規則!$A$2:$A$53,0)),"")))</f>
        <v>無關新聞事件</v>
      </c>
      <c r="U2049" s="20" t="n">
        <f aca="false">IF(R2049="維持",K2049,IF(R2049="排除",0,IFERROR(INDEX(事件規則!$C$2:$C$53,MATCH(S2049,事件規則!$A$2:$A$53,0)),"")))</f>
        <v>0</v>
      </c>
      <c r="V2049" s="21"/>
      <c r="W2049" s="22"/>
      <c r="X2049" s="10" t="str">
        <f aca="false">IF(AND(R2049="修改",S2049=""),"請選新事件代碼",IF(AND(R2049&lt;&gt;"修改",S2049&lt;&gt;""),"只有「修改」才需填代碼",""))</f>
        <v/>
      </c>
      <c r="Y2049" s="21"/>
      <c r="Z2049" s="22"/>
      <c r="AA2049" s="12" t="s">
        <v>5189</v>
      </c>
      <c r="AB2049" s="24"/>
    </row>
    <row r="2050" customFormat="false" ht="29.85" hidden="false" customHeight="false" outlineLevel="0" collapsed="false">
      <c r="A2050" s="15" t="n">
        <v>2049</v>
      </c>
      <c r="B2050" s="9" t="s">
        <v>45</v>
      </c>
      <c r="C2050" s="9" t="s">
        <v>1734</v>
      </c>
      <c r="D2050" s="10" t="s">
        <v>1735</v>
      </c>
      <c r="E2050" s="11" t="s">
        <v>5190</v>
      </c>
      <c r="F2050" s="17"/>
      <c r="G2050" s="12" t="s">
        <v>1136</v>
      </c>
      <c r="H2050" s="13" t="n">
        <v>-0.007</v>
      </c>
      <c r="I2050" s="14"/>
      <c r="J2050" s="17"/>
      <c r="K2050" s="9"/>
      <c r="L2050" s="15" t="s">
        <v>50</v>
      </c>
      <c r="M2050" s="16" t="s">
        <v>51</v>
      </c>
      <c r="N2050" s="14"/>
      <c r="O2050" s="15" t="s">
        <v>52</v>
      </c>
      <c r="P2050" s="17" t="s">
        <v>53</v>
      </c>
      <c r="Q2050" s="15"/>
      <c r="R2050" s="18" t="s">
        <v>51</v>
      </c>
      <c r="S2050" s="19"/>
      <c r="T2050" s="17" t="str">
        <f aca="false">IF(R2050="維持",J2050,IF(R2050="排除","無關新聞事件",IFERROR(INDEX(事件規則!$B$2:$B$53,MATCH(S2050,事件規則!$A$2:$A$53,0)),"")))</f>
        <v>無關新聞事件</v>
      </c>
      <c r="U2050" s="20" t="n">
        <f aca="false">IF(R2050="維持",K2050,IF(R2050="排除",0,IFERROR(INDEX(事件規則!$C$2:$C$53,MATCH(S2050,事件規則!$A$2:$A$53,0)),"")))</f>
        <v>0</v>
      </c>
      <c r="V2050" s="21"/>
      <c r="W2050" s="22"/>
      <c r="X2050" s="10" t="str">
        <f aca="false">IF(AND(R2050="修改",S2050=""),"請選新事件代碼",IF(AND(R2050&lt;&gt;"修改",S2050&lt;&gt;""),"只有「修改」才需填代碼",""))</f>
        <v/>
      </c>
      <c r="Y2050" s="21"/>
      <c r="Z2050" s="22"/>
      <c r="AA2050" s="12" t="s">
        <v>5191</v>
      </c>
      <c r="AB2050" s="24"/>
    </row>
    <row r="2051" customFormat="false" ht="29.85" hidden="false" customHeight="false" outlineLevel="0" collapsed="false">
      <c r="A2051" s="15" t="n">
        <v>2050</v>
      </c>
      <c r="B2051" s="9" t="s">
        <v>45</v>
      </c>
      <c r="C2051" s="9" t="s">
        <v>2962</v>
      </c>
      <c r="D2051" s="10" t="s">
        <v>2963</v>
      </c>
      <c r="E2051" s="11" t="s">
        <v>5192</v>
      </c>
      <c r="F2051" s="17"/>
      <c r="G2051" s="12" t="s">
        <v>4343</v>
      </c>
      <c r="H2051" s="13" t="n">
        <v>-0.007</v>
      </c>
      <c r="I2051" s="14"/>
      <c r="J2051" s="17"/>
      <c r="K2051" s="9"/>
      <c r="L2051" s="15" t="s">
        <v>50</v>
      </c>
      <c r="M2051" s="16" t="s">
        <v>51</v>
      </c>
      <c r="N2051" s="14"/>
      <c r="O2051" s="15" t="s">
        <v>52</v>
      </c>
      <c r="P2051" s="17" t="s">
        <v>53</v>
      </c>
      <c r="Q2051" s="15"/>
      <c r="R2051" s="18" t="s">
        <v>51</v>
      </c>
      <c r="S2051" s="19"/>
      <c r="T2051" s="17" t="str">
        <f aca="false">IF(R2051="維持",J2051,IF(R2051="排除","無關新聞事件",IFERROR(INDEX(事件規則!$B$2:$B$53,MATCH(S2051,事件規則!$A$2:$A$53,0)),"")))</f>
        <v>無關新聞事件</v>
      </c>
      <c r="U2051" s="20" t="n">
        <f aca="false">IF(R2051="維持",K2051,IF(R2051="排除",0,IFERROR(INDEX(事件規則!$C$2:$C$53,MATCH(S2051,事件規則!$A$2:$A$53,0)),"")))</f>
        <v>0</v>
      </c>
      <c r="V2051" s="21"/>
      <c r="W2051" s="22"/>
      <c r="X2051" s="10" t="str">
        <f aca="false">IF(AND(R2051="修改",S2051=""),"請選新事件代碼",IF(AND(R2051&lt;&gt;"修改",S2051&lt;&gt;""),"只有「修改」才需填代碼",""))</f>
        <v/>
      </c>
      <c r="Y2051" s="21"/>
      <c r="Z2051" s="22"/>
      <c r="AA2051" s="12" t="s">
        <v>5193</v>
      </c>
      <c r="AB2051" s="24"/>
    </row>
    <row r="2052" customFormat="false" ht="29.85" hidden="false" customHeight="false" outlineLevel="0" collapsed="false">
      <c r="A2052" s="15" t="n">
        <v>2051</v>
      </c>
      <c r="B2052" s="9" t="s">
        <v>45</v>
      </c>
      <c r="C2052" s="9" t="s">
        <v>716</v>
      </c>
      <c r="D2052" s="10" t="s">
        <v>717</v>
      </c>
      <c r="E2052" s="11" t="s">
        <v>5194</v>
      </c>
      <c r="F2052" s="17"/>
      <c r="G2052" s="12" t="s">
        <v>1136</v>
      </c>
      <c r="H2052" s="13" t="n">
        <v>-0.007</v>
      </c>
      <c r="I2052" s="14"/>
      <c r="J2052" s="17"/>
      <c r="K2052" s="9"/>
      <c r="L2052" s="15" t="s">
        <v>50</v>
      </c>
      <c r="M2052" s="16" t="s">
        <v>51</v>
      </c>
      <c r="N2052" s="14"/>
      <c r="O2052" s="15" t="s">
        <v>52</v>
      </c>
      <c r="P2052" s="17" t="s">
        <v>53</v>
      </c>
      <c r="Q2052" s="15"/>
      <c r="R2052" s="18" t="s">
        <v>51</v>
      </c>
      <c r="S2052" s="19"/>
      <c r="T2052" s="17" t="str">
        <f aca="false">IF(R2052="維持",J2052,IF(R2052="排除","無關新聞事件",IFERROR(INDEX(事件規則!$B$2:$B$53,MATCH(S2052,事件規則!$A$2:$A$53,0)),"")))</f>
        <v>無關新聞事件</v>
      </c>
      <c r="U2052" s="20" t="n">
        <f aca="false">IF(R2052="維持",K2052,IF(R2052="排除",0,IFERROR(INDEX(事件規則!$C$2:$C$53,MATCH(S2052,事件規則!$A$2:$A$53,0)),"")))</f>
        <v>0</v>
      </c>
      <c r="V2052" s="21"/>
      <c r="W2052" s="22"/>
      <c r="X2052" s="10" t="str">
        <f aca="false">IF(AND(R2052="修改",S2052=""),"請選新事件代碼",IF(AND(R2052&lt;&gt;"修改",S2052&lt;&gt;""),"只有「修改」才需填代碼",""))</f>
        <v/>
      </c>
      <c r="Y2052" s="21"/>
      <c r="Z2052" s="22"/>
      <c r="AA2052" s="12" t="s">
        <v>5195</v>
      </c>
      <c r="AB2052" s="24"/>
    </row>
    <row r="2053" customFormat="false" ht="29.85" hidden="false" customHeight="false" outlineLevel="0" collapsed="false">
      <c r="A2053" s="15" t="n">
        <v>2052</v>
      </c>
      <c r="B2053" s="9" t="s">
        <v>45</v>
      </c>
      <c r="C2053" s="9" t="s">
        <v>92</v>
      </c>
      <c r="D2053" s="10" t="s">
        <v>93</v>
      </c>
      <c r="E2053" s="11" t="s">
        <v>5196</v>
      </c>
      <c r="F2053" s="17"/>
      <c r="G2053" s="12" t="s">
        <v>95</v>
      </c>
      <c r="H2053" s="13" t="n">
        <v>-0.007</v>
      </c>
      <c r="I2053" s="14"/>
      <c r="J2053" s="17"/>
      <c r="K2053" s="9"/>
      <c r="L2053" s="15" t="s">
        <v>50</v>
      </c>
      <c r="M2053" s="16" t="s">
        <v>51</v>
      </c>
      <c r="N2053" s="14"/>
      <c r="O2053" s="15" t="s">
        <v>52</v>
      </c>
      <c r="P2053" s="17" t="s">
        <v>53</v>
      </c>
      <c r="Q2053" s="15"/>
      <c r="R2053" s="18" t="s">
        <v>51</v>
      </c>
      <c r="S2053" s="19"/>
      <c r="T2053" s="17" t="str">
        <f aca="false">IF(R2053="維持",J2053,IF(R2053="排除","無關新聞事件",IFERROR(INDEX(事件規則!$B$2:$B$53,MATCH(S2053,事件規則!$A$2:$A$53,0)),"")))</f>
        <v>無關新聞事件</v>
      </c>
      <c r="U2053" s="20" t="n">
        <f aca="false">IF(R2053="維持",K2053,IF(R2053="排除",0,IFERROR(INDEX(事件規則!$C$2:$C$53,MATCH(S2053,事件規則!$A$2:$A$53,0)),"")))</f>
        <v>0</v>
      </c>
      <c r="V2053" s="21"/>
      <c r="W2053" s="22"/>
      <c r="X2053" s="10" t="str">
        <f aca="false">IF(AND(R2053="修改",S2053=""),"請選新事件代碼",IF(AND(R2053&lt;&gt;"修改",S2053&lt;&gt;""),"只有「修改」才需填代碼",""))</f>
        <v/>
      </c>
      <c r="Y2053" s="21"/>
      <c r="Z2053" s="22"/>
      <c r="AA2053" s="12" t="s">
        <v>5197</v>
      </c>
      <c r="AB2053" s="24"/>
    </row>
    <row r="2054" customFormat="false" ht="29.85" hidden="false" customHeight="false" outlineLevel="0" collapsed="false">
      <c r="A2054" s="15" t="n">
        <v>2053</v>
      </c>
      <c r="B2054" s="9" t="s">
        <v>45</v>
      </c>
      <c r="C2054" s="9" t="s">
        <v>953</v>
      </c>
      <c r="D2054" s="10" t="s">
        <v>954</v>
      </c>
      <c r="E2054" s="11" t="s">
        <v>5198</v>
      </c>
      <c r="F2054" s="17"/>
      <c r="G2054" s="12" t="s">
        <v>95</v>
      </c>
      <c r="H2054" s="13" t="n">
        <v>-0.007</v>
      </c>
      <c r="I2054" s="14"/>
      <c r="J2054" s="17"/>
      <c r="K2054" s="9"/>
      <c r="L2054" s="15" t="s">
        <v>50</v>
      </c>
      <c r="M2054" s="16" t="s">
        <v>51</v>
      </c>
      <c r="N2054" s="14"/>
      <c r="O2054" s="15" t="s">
        <v>52</v>
      </c>
      <c r="P2054" s="17" t="s">
        <v>53</v>
      </c>
      <c r="Q2054" s="15"/>
      <c r="R2054" s="18" t="s">
        <v>51</v>
      </c>
      <c r="S2054" s="19"/>
      <c r="T2054" s="17" t="str">
        <f aca="false">IF(R2054="維持",J2054,IF(R2054="排除","無關新聞事件",IFERROR(INDEX(事件規則!$B$2:$B$53,MATCH(S2054,事件規則!$A$2:$A$53,0)),"")))</f>
        <v>無關新聞事件</v>
      </c>
      <c r="U2054" s="20" t="n">
        <f aca="false">IF(R2054="維持",K2054,IF(R2054="排除",0,IFERROR(INDEX(事件規則!$C$2:$C$53,MATCH(S2054,事件規則!$A$2:$A$53,0)),"")))</f>
        <v>0</v>
      </c>
      <c r="V2054" s="21"/>
      <c r="W2054" s="22"/>
      <c r="X2054" s="10" t="str">
        <f aca="false">IF(AND(R2054="修改",S2054=""),"請選新事件代碼",IF(AND(R2054&lt;&gt;"修改",S2054&lt;&gt;""),"只有「修改」才需填代碼",""))</f>
        <v/>
      </c>
      <c r="Y2054" s="21"/>
      <c r="Z2054" s="22"/>
      <c r="AA2054" s="12" t="s">
        <v>5199</v>
      </c>
      <c r="AB2054" s="24"/>
    </row>
    <row r="2055" customFormat="false" ht="29.85" hidden="false" customHeight="false" outlineLevel="0" collapsed="false">
      <c r="A2055" s="15" t="n">
        <v>2054</v>
      </c>
      <c r="B2055" s="9" t="s">
        <v>55</v>
      </c>
      <c r="C2055" s="9" t="s">
        <v>5200</v>
      </c>
      <c r="D2055" s="10" t="s">
        <v>5201</v>
      </c>
      <c r="E2055" s="11" t="s">
        <v>5202</v>
      </c>
      <c r="F2055" s="17"/>
      <c r="G2055" s="12" t="s">
        <v>4702</v>
      </c>
      <c r="H2055" s="13" t="n">
        <v>-0.007</v>
      </c>
      <c r="I2055" s="14"/>
      <c r="J2055" s="17"/>
      <c r="K2055" s="9"/>
      <c r="L2055" s="15" t="s">
        <v>50</v>
      </c>
      <c r="M2055" s="16" t="s">
        <v>51</v>
      </c>
      <c r="N2055" s="14"/>
      <c r="O2055" s="15" t="s">
        <v>52</v>
      </c>
      <c r="P2055" s="17" t="s">
        <v>53</v>
      </c>
      <c r="Q2055" s="15"/>
      <c r="R2055" s="18" t="s">
        <v>51</v>
      </c>
      <c r="S2055" s="19"/>
      <c r="T2055" s="17" t="str">
        <f aca="false">IF(R2055="維持",J2055,IF(R2055="排除","無關新聞事件",IFERROR(INDEX(事件規則!$B$2:$B$53,MATCH(S2055,事件規則!$A$2:$A$53,0)),"")))</f>
        <v>無關新聞事件</v>
      </c>
      <c r="U2055" s="20" t="n">
        <f aca="false">IF(R2055="維持",K2055,IF(R2055="排除",0,IFERROR(INDEX(事件規則!$C$2:$C$53,MATCH(S2055,事件規則!$A$2:$A$53,0)),"")))</f>
        <v>0</v>
      </c>
      <c r="V2055" s="21"/>
      <c r="W2055" s="22"/>
      <c r="X2055" s="10" t="str">
        <f aca="false">IF(AND(R2055="修改",S2055=""),"請選新事件代碼",IF(AND(R2055&lt;&gt;"修改",S2055&lt;&gt;""),"只有「修改」才需填代碼",""))</f>
        <v/>
      </c>
      <c r="Y2055" s="21"/>
      <c r="Z2055" s="22"/>
      <c r="AA2055" s="12" t="s">
        <v>5203</v>
      </c>
      <c r="AB2055" s="24"/>
    </row>
    <row r="2056" customFormat="false" ht="29.85" hidden="false" customHeight="false" outlineLevel="0" collapsed="false">
      <c r="A2056" s="15" t="n">
        <v>2055</v>
      </c>
      <c r="B2056" s="9" t="s">
        <v>55</v>
      </c>
      <c r="C2056" s="9" t="s">
        <v>1571</v>
      </c>
      <c r="D2056" s="10" t="s">
        <v>1572</v>
      </c>
      <c r="E2056" s="11" t="s">
        <v>5204</v>
      </c>
      <c r="F2056" s="17"/>
      <c r="G2056" s="12" t="s">
        <v>3873</v>
      </c>
      <c r="H2056" s="13" t="n">
        <v>-0.007</v>
      </c>
      <c r="I2056" s="14"/>
      <c r="J2056" s="17"/>
      <c r="K2056" s="9"/>
      <c r="L2056" s="15" t="s">
        <v>50</v>
      </c>
      <c r="M2056" s="16" t="s">
        <v>51</v>
      </c>
      <c r="N2056" s="14"/>
      <c r="O2056" s="15" t="s">
        <v>52</v>
      </c>
      <c r="P2056" s="17" t="s">
        <v>53</v>
      </c>
      <c r="Q2056" s="15"/>
      <c r="R2056" s="18" t="s">
        <v>51</v>
      </c>
      <c r="S2056" s="19"/>
      <c r="T2056" s="17" t="str">
        <f aca="false">IF(R2056="維持",J2056,IF(R2056="排除","無關新聞事件",IFERROR(INDEX(事件規則!$B$2:$B$53,MATCH(S2056,事件規則!$A$2:$A$53,0)),"")))</f>
        <v>無關新聞事件</v>
      </c>
      <c r="U2056" s="20" t="n">
        <f aca="false">IF(R2056="維持",K2056,IF(R2056="排除",0,IFERROR(INDEX(事件規則!$C$2:$C$53,MATCH(S2056,事件規則!$A$2:$A$53,0)),"")))</f>
        <v>0</v>
      </c>
      <c r="V2056" s="21"/>
      <c r="W2056" s="22"/>
      <c r="X2056" s="10" t="str">
        <f aca="false">IF(AND(R2056="修改",S2056=""),"請選新事件代碼",IF(AND(R2056&lt;&gt;"修改",S2056&lt;&gt;""),"只有「修改」才需填代碼",""))</f>
        <v/>
      </c>
      <c r="Y2056" s="21"/>
      <c r="Z2056" s="22"/>
      <c r="AA2056" s="12" t="s">
        <v>5205</v>
      </c>
      <c r="AB2056" s="24"/>
    </row>
    <row r="2057" customFormat="false" ht="29.85" hidden="false" customHeight="false" outlineLevel="0" collapsed="false">
      <c r="A2057" s="15" t="n">
        <v>2056</v>
      </c>
      <c r="B2057" s="9" t="s">
        <v>55</v>
      </c>
      <c r="C2057" s="9" t="s">
        <v>1874</v>
      </c>
      <c r="D2057" s="10" t="s">
        <v>1875</v>
      </c>
      <c r="E2057" s="11" t="s">
        <v>5206</v>
      </c>
      <c r="F2057" s="17"/>
      <c r="G2057" s="12" t="s">
        <v>1136</v>
      </c>
      <c r="H2057" s="13" t="n">
        <v>-0.007</v>
      </c>
      <c r="I2057" s="14"/>
      <c r="J2057" s="17"/>
      <c r="K2057" s="9"/>
      <c r="L2057" s="15" t="s">
        <v>50</v>
      </c>
      <c r="M2057" s="16" t="s">
        <v>51</v>
      </c>
      <c r="N2057" s="14"/>
      <c r="O2057" s="15" t="s">
        <v>52</v>
      </c>
      <c r="P2057" s="17" t="s">
        <v>53</v>
      </c>
      <c r="Q2057" s="15"/>
      <c r="R2057" s="18" t="s">
        <v>51</v>
      </c>
      <c r="S2057" s="19"/>
      <c r="T2057" s="17" t="str">
        <f aca="false">IF(R2057="維持",J2057,IF(R2057="排除","無關新聞事件",IFERROR(INDEX(事件規則!$B$2:$B$53,MATCH(S2057,事件規則!$A$2:$A$53,0)),"")))</f>
        <v>無關新聞事件</v>
      </c>
      <c r="U2057" s="20" t="n">
        <f aca="false">IF(R2057="維持",K2057,IF(R2057="排除",0,IFERROR(INDEX(事件規則!$C$2:$C$53,MATCH(S2057,事件規則!$A$2:$A$53,0)),"")))</f>
        <v>0</v>
      </c>
      <c r="V2057" s="21"/>
      <c r="W2057" s="22"/>
      <c r="X2057" s="10" t="str">
        <f aca="false">IF(AND(R2057="修改",S2057=""),"請選新事件代碼",IF(AND(R2057&lt;&gt;"修改",S2057&lt;&gt;""),"只有「修改」才需填代碼",""))</f>
        <v/>
      </c>
      <c r="Y2057" s="21"/>
      <c r="Z2057" s="22"/>
      <c r="AA2057" s="12" t="s">
        <v>5207</v>
      </c>
      <c r="AB2057" s="24"/>
    </row>
    <row r="2058" customFormat="false" ht="29.85" hidden="false" customHeight="false" outlineLevel="0" collapsed="false">
      <c r="A2058" s="15" t="n">
        <v>2057</v>
      </c>
      <c r="B2058" s="9" t="s">
        <v>55</v>
      </c>
      <c r="C2058" s="9" t="s">
        <v>2309</v>
      </c>
      <c r="D2058" s="10" t="s">
        <v>2310</v>
      </c>
      <c r="E2058" s="11" t="s">
        <v>5208</v>
      </c>
      <c r="F2058" s="17"/>
      <c r="G2058" s="12" t="s">
        <v>105</v>
      </c>
      <c r="H2058" s="13" t="n">
        <v>-0.007</v>
      </c>
      <c r="I2058" s="14"/>
      <c r="J2058" s="17"/>
      <c r="K2058" s="9"/>
      <c r="L2058" s="15" t="s">
        <v>50</v>
      </c>
      <c r="M2058" s="16" t="s">
        <v>51</v>
      </c>
      <c r="N2058" s="14"/>
      <c r="O2058" s="15" t="s">
        <v>52</v>
      </c>
      <c r="P2058" s="17" t="s">
        <v>53</v>
      </c>
      <c r="Q2058" s="15"/>
      <c r="R2058" s="18" t="s">
        <v>51</v>
      </c>
      <c r="S2058" s="19"/>
      <c r="T2058" s="17" t="str">
        <f aca="false">IF(R2058="維持",J2058,IF(R2058="排除","無關新聞事件",IFERROR(INDEX(事件規則!$B$2:$B$53,MATCH(S2058,事件規則!$A$2:$A$53,0)),"")))</f>
        <v>無關新聞事件</v>
      </c>
      <c r="U2058" s="20" t="n">
        <f aca="false">IF(R2058="維持",K2058,IF(R2058="排除",0,IFERROR(INDEX(事件規則!$C$2:$C$53,MATCH(S2058,事件規則!$A$2:$A$53,0)),"")))</f>
        <v>0</v>
      </c>
      <c r="V2058" s="21"/>
      <c r="W2058" s="22"/>
      <c r="X2058" s="10" t="str">
        <f aca="false">IF(AND(R2058="修改",S2058=""),"請選新事件代碼",IF(AND(R2058&lt;&gt;"修改",S2058&lt;&gt;""),"只有「修改」才需填代碼",""))</f>
        <v/>
      </c>
      <c r="Y2058" s="21"/>
      <c r="Z2058" s="22"/>
      <c r="AA2058" s="12" t="s">
        <v>5209</v>
      </c>
      <c r="AB2058" s="24"/>
    </row>
    <row r="2059" customFormat="false" ht="29.85" hidden="false" customHeight="false" outlineLevel="0" collapsed="false">
      <c r="A2059" s="15" t="n">
        <v>2058</v>
      </c>
      <c r="B2059" s="9" t="s">
        <v>45</v>
      </c>
      <c r="C2059" s="9" t="s">
        <v>2424</v>
      </c>
      <c r="D2059" s="10" t="s">
        <v>2425</v>
      </c>
      <c r="E2059" s="11" t="s">
        <v>5210</v>
      </c>
      <c r="F2059" s="17"/>
      <c r="G2059" s="12" t="s">
        <v>1136</v>
      </c>
      <c r="H2059" s="13" t="n">
        <v>-0.007</v>
      </c>
      <c r="I2059" s="14"/>
      <c r="J2059" s="17"/>
      <c r="K2059" s="9"/>
      <c r="L2059" s="15" t="s">
        <v>50</v>
      </c>
      <c r="M2059" s="16" t="s">
        <v>51</v>
      </c>
      <c r="N2059" s="14"/>
      <c r="O2059" s="15" t="s">
        <v>52</v>
      </c>
      <c r="P2059" s="17" t="s">
        <v>53</v>
      </c>
      <c r="Q2059" s="15"/>
      <c r="R2059" s="18" t="s">
        <v>51</v>
      </c>
      <c r="S2059" s="19"/>
      <c r="T2059" s="17" t="str">
        <f aca="false">IF(R2059="維持",J2059,IF(R2059="排除","無關新聞事件",IFERROR(INDEX(事件規則!$B$2:$B$53,MATCH(S2059,事件規則!$A$2:$A$53,0)),"")))</f>
        <v>無關新聞事件</v>
      </c>
      <c r="U2059" s="20" t="n">
        <f aca="false">IF(R2059="維持",K2059,IF(R2059="排除",0,IFERROR(INDEX(事件規則!$C$2:$C$53,MATCH(S2059,事件規則!$A$2:$A$53,0)),"")))</f>
        <v>0</v>
      </c>
      <c r="V2059" s="21"/>
      <c r="W2059" s="22"/>
      <c r="X2059" s="10" t="str">
        <f aca="false">IF(AND(R2059="修改",S2059=""),"請選新事件代碼",IF(AND(R2059&lt;&gt;"修改",S2059&lt;&gt;""),"只有「修改」才需填代碼",""))</f>
        <v/>
      </c>
      <c r="Y2059" s="21"/>
      <c r="Z2059" s="22"/>
      <c r="AA2059" s="12" t="s">
        <v>5211</v>
      </c>
      <c r="AB2059" s="24"/>
    </row>
    <row r="2060" customFormat="false" ht="29.85" hidden="false" customHeight="false" outlineLevel="0" collapsed="false">
      <c r="A2060" s="15" t="n">
        <v>2059</v>
      </c>
      <c r="B2060" s="9" t="s">
        <v>45</v>
      </c>
      <c r="C2060" s="9" t="s">
        <v>3980</v>
      </c>
      <c r="D2060" s="10" t="s">
        <v>3981</v>
      </c>
      <c r="E2060" s="11" t="s">
        <v>5212</v>
      </c>
      <c r="F2060" s="17"/>
      <c r="G2060" s="12" t="s">
        <v>95</v>
      </c>
      <c r="H2060" s="13" t="n">
        <v>-0.007</v>
      </c>
      <c r="I2060" s="14"/>
      <c r="J2060" s="17"/>
      <c r="K2060" s="9"/>
      <c r="L2060" s="15" t="s">
        <v>50</v>
      </c>
      <c r="M2060" s="16" t="s">
        <v>51</v>
      </c>
      <c r="N2060" s="14"/>
      <c r="O2060" s="15" t="s">
        <v>52</v>
      </c>
      <c r="P2060" s="17" t="s">
        <v>53</v>
      </c>
      <c r="Q2060" s="15"/>
      <c r="R2060" s="18" t="s">
        <v>51</v>
      </c>
      <c r="S2060" s="19"/>
      <c r="T2060" s="17" t="str">
        <f aca="false">IF(R2060="維持",J2060,IF(R2060="排除","無關新聞事件",IFERROR(INDEX(事件規則!$B$2:$B$53,MATCH(S2060,事件規則!$A$2:$A$53,0)),"")))</f>
        <v>無關新聞事件</v>
      </c>
      <c r="U2060" s="20" t="n">
        <f aca="false">IF(R2060="維持",K2060,IF(R2060="排除",0,IFERROR(INDEX(事件規則!$C$2:$C$53,MATCH(S2060,事件規則!$A$2:$A$53,0)),"")))</f>
        <v>0</v>
      </c>
      <c r="V2060" s="21"/>
      <c r="W2060" s="22"/>
      <c r="X2060" s="10" t="str">
        <f aca="false">IF(AND(R2060="修改",S2060=""),"請選新事件代碼",IF(AND(R2060&lt;&gt;"修改",S2060&lt;&gt;""),"只有「修改」才需填代碼",""))</f>
        <v/>
      </c>
      <c r="Y2060" s="21"/>
      <c r="Z2060" s="22"/>
      <c r="AA2060" s="12" t="s">
        <v>5213</v>
      </c>
      <c r="AB2060" s="24"/>
    </row>
    <row r="2061" customFormat="false" ht="29.85" hidden="false" customHeight="false" outlineLevel="0" collapsed="false">
      <c r="A2061" s="15" t="n">
        <v>2060</v>
      </c>
      <c r="B2061" s="9" t="s">
        <v>45</v>
      </c>
      <c r="C2061" s="9" t="s">
        <v>869</v>
      </c>
      <c r="D2061" s="10" t="s">
        <v>870</v>
      </c>
      <c r="E2061" s="11" t="s">
        <v>5214</v>
      </c>
      <c r="F2061" s="17"/>
      <c r="G2061" s="12" t="s">
        <v>5215</v>
      </c>
      <c r="H2061" s="13" t="n">
        <v>-0.007</v>
      </c>
      <c r="I2061" s="14"/>
      <c r="J2061" s="17"/>
      <c r="K2061" s="9"/>
      <c r="L2061" s="15" t="s">
        <v>50</v>
      </c>
      <c r="M2061" s="16" t="s">
        <v>51</v>
      </c>
      <c r="N2061" s="14"/>
      <c r="O2061" s="15" t="s">
        <v>52</v>
      </c>
      <c r="P2061" s="17" t="s">
        <v>53</v>
      </c>
      <c r="Q2061" s="15"/>
      <c r="R2061" s="18" t="s">
        <v>51</v>
      </c>
      <c r="S2061" s="19"/>
      <c r="T2061" s="17" t="str">
        <f aca="false">IF(R2061="維持",J2061,IF(R2061="排除","無關新聞事件",IFERROR(INDEX(事件規則!$B$2:$B$53,MATCH(S2061,事件規則!$A$2:$A$53,0)),"")))</f>
        <v>無關新聞事件</v>
      </c>
      <c r="U2061" s="20" t="n">
        <f aca="false">IF(R2061="維持",K2061,IF(R2061="排除",0,IFERROR(INDEX(事件規則!$C$2:$C$53,MATCH(S2061,事件規則!$A$2:$A$53,0)),"")))</f>
        <v>0</v>
      </c>
      <c r="V2061" s="21"/>
      <c r="W2061" s="22"/>
      <c r="X2061" s="10" t="str">
        <f aca="false">IF(AND(R2061="修改",S2061=""),"請選新事件代碼",IF(AND(R2061&lt;&gt;"修改",S2061&lt;&gt;""),"只有「修改」才需填代碼",""))</f>
        <v/>
      </c>
      <c r="Y2061" s="21"/>
      <c r="Z2061" s="22"/>
      <c r="AA2061" s="12" t="s">
        <v>5216</v>
      </c>
      <c r="AB2061" s="24"/>
    </row>
    <row r="2062" customFormat="false" ht="29.85" hidden="false" customHeight="false" outlineLevel="0" collapsed="false">
      <c r="A2062" s="15" t="n">
        <v>2061</v>
      </c>
      <c r="B2062" s="9" t="s">
        <v>45</v>
      </c>
      <c r="C2062" s="9" t="s">
        <v>268</v>
      </c>
      <c r="D2062" s="10" t="s">
        <v>269</v>
      </c>
      <c r="E2062" s="11" t="s">
        <v>5217</v>
      </c>
      <c r="F2062" s="17"/>
      <c r="G2062" s="12" t="s">
        <v>271</v>
      </c>
      <c r="H2062" s="13" t="n">
        <v>-0.007</v>
      </c>
      <c r="I2062" s="14"/>
      <c r="J2062" s="17"/>
      <c r="K2062" s="9"/>
      <c r="L2062" s="15" t="s">
        <v>50</v>
      </c>
      <c r="M2062" s="16" t="s">
        <v>51</v>
      </c>
      <c r="N2062" s="14"/>
      <c r="O2062" s="15" t="s">
        <v>52</v>
      </c>
      <c r="P2062" s="17" t="s">
        <v>53</v>
      </c>
      <c r="Q2062" s="15"/>
      <c r="R2062" s="18" t="s">
        <v>51</v>
      </c>
      <c r="S2062" s="19"/>
      <c r="T2062" s="17" t="str">
        <f aca="false">IF(R2062="維持",J2062,IF(R2062="排除","無關新聞事件",IFERROR(INDEX(事件規則!$B$2:$B$53,MATCH(S2062,事件規則!$A$2:$A$53,0)),"")))</f>
        <v>無關新聞事件</v>
      </c>
      <c r="U2062" s="20" t="n">
        <f aca="false">IF(R2062="維持",K2062,IF(R2062="排除",0,IFERROR(INDEX(事件規則!$C$2:$C$53,MATCH(S2062,事件規則!$A$2:$A$53,0)),"")))</f>
        <v>0</v>
      </c>
      <c r="V2062" s="21"/>
      <c r="W2062" s="22"/>
      <c r="X2062" s="10" t="str">
        <f aca="false">IF(AND(R2062="修改",S2062=""),"請選新事件代碼",IF(AND(R2062&lt;&gt;"修改",S2062&lt;&gt;""),"只有「修改」才需填代碼",""))</f>
        <v/>
      </c>
      <c r="Y2062" s="21"/>
      <c r="Z2062" s="22"/>
      <c r="AA2062" s="12" t="s">
        <v>5218</v>
      </c>
      <c r="AB2062" s="24"/>
    </row>
    <row r="2063" customFormat="false" ht="29.85" hidden="false" customHeight="false" outlineLevel="0" collapsed="false">
      <c r="A2063" s="15" t="n">
        <v>2062</v>
      </c>
      <c r="B2063" s="9" t="s">
        <v>112</v>
      </c>
      <c r="C2063" s="9" t="s">
        <v>3101</v>
      </c>
      <c r="D2063" s="10" t="s">
        <v>3102</v>
      </c>
      <c r="E2063" s="11" t="s">
        <v>5219</v>
      </c>
      <c r="F2063" s="17"/>
      <c r="G2063" s="12" t="s">
        <v>2033</v>
      </c>
      <c r="H2063" s="13" t="n">
        <v>-0.007</v>
      </c>
      <c r="I2063" s="14"/>
      <c r="J2063" s="17"/>
      <c r="K2063" s="9"/>
      <c r="L2063" s="15" t="s">
        <v>50</v>
      </c>
      <c r="M2063" s="16" t="s">
        <v>51</v>
      </c>
      <c r="N2063" s="14"/>
      <c r="O2063" s="15" t="s">
        <v>52</v>
      </c>
      <c r="P2063" s="17" t="s">
        <v>53</v>
      </c>
      <c r="Q2063" s="15"/>
      <c r="R2063" s="18" t="s">
        <v>51</v>
      </c>
      <c r="S2063" s="19"/>
      <c r="T2063" s="17" t="str">
        <f aca="false">IF(R2063="維持",J2063,IF(R2063="排除","無關新聞事件",IFERROR(INDEX(事件規則!$B$2:$B$53,MATCH(S2063,事件規則!$A$2:$A$53,0)),"")))</f>
        <v>無關新聞事件</v>
      </c>
      <c r="U2063" s="20" t="n">
        <f aca="false">IF(R2063="維持",K2063,IF(R2063="排除",0,IFERROR(INDEX(事件規則!$C$2:$C$53,MATCH(S2063,事件規則!$A$2:$A$53,0)),"")))</f>
        <v>0</v>
      </c>
      <c r="V2063" s="21"/>
      <c r="W2063" s="22"/>
      <c r="X2063" s="10" t="str">
        <f aca="false">IF(AND(R2063="修改",S2063=""),"請選新事件代碼",IF(AND(R2063&lt;&gt;"修改",S2063&lt;&gt;""),"只有「修改」才需填代碼",""))</f>
        <v/>
      </c>
      <c r="Y2063" s="21"/>
      <c r="Z2063" s="22"/>
      <c r="AA2063" s="12" t="s">
        <v>5220</v>
      </c>
      <c r="AB2063" s="24"/>
    </row>
    <row r="2064" customFormat="false" ht="29.85" hidden="false" customHeight="false" outlineLevel="0" collapsed="false">
      <c r="A2064" s="15" t="n">
        <v>2063</v>
      </c>
      <c r="B2064" s="9" t="s">
        <v>112</v>
      </c>
      <c r="C2064" s="9" t="s">
        <v>427</v>
      </c>
      <c r="D2064" s="10" t="s">
        <v>428</v>
      </c>
      <c r="E2064" s="11" t="s">
        <v>5221</v>
      </c>
      <c r="F2064" s="17"/>
      <c r="G2064" s="12" t="s">
        <v>105</v>
      </c>
      <c r="H2064" s="13" t="n">
        <v>-0.007</v>
      </c>
      <c r="I2064" s="14"/>
      <c r="J2064" s="17"/>
      <c r="K2064" s="9"/>
      <c r="L2064" s="15" t="s">
        <v>50</v>
      </c>
      <c r="M2064" s="16" t="s">
        <v>51</v>
      </c>
      <c r="N2064" s="14"/>
      <c r="O2064" s="15" t="s">
        <v>52</v>
      </c>
      <c r="P2064" s="17" t="s">
        <v>53</v>
      </c>
      <c r="Q2064" s="15"/>
      <c r="R2064" s="18" t="s">
        <v>51</v>
      </c>
      <c r="S2064" s="19"/>
      <c r="T2064" s="17" t="str">
        <f aca="false">IF(R2064="維持",J2064,IF(R2064="排除","無關新聞事件",IFERROR(INDEX(事件規則!$B$2:$B$53,MATCH(S2064,事件規則!$A$2:$A$53,0)),"")))</f>
        <v>無關新聞事件</v>
      </c>
      <c r="U2064" s="20" t="n">
        <f aca="false">IF(R2064="維持",K2064,IF(R2064="排除",0,IFERROR(INDEX(事件規則!$C$2:$C$53,MATCH(S2064,事件規則!$A$2:$A$53,0)),"")))</f>
        <v>0</v>
      </c>
      <c r="V2064" s="21"/>
      <c r="W2064" s="22"/>
      <c r="X2064" s="10" t="str">
        <f aca="false">IF(AND(R2064="修改",S2064=""),"請選新事件代碼",IF(AND(R2064&lt;&gt;"修改",S2064&lt;&gt;""),"只有「修改」才需填代碼",""))</f>
        <v/>
      </c>
      <c r="Y2064" s="21"/>
      <c r="Z2064" s="22"/>
      <c r="AA2064" s="12" t="s">
        <v>5222</v>
      </c>
      <c r="AB2064" s="24"/>
    </row>
    <row r="2065" customFormat="false" ht="29.85" hidden="false" customHeight="false" outlineLevel="0" collapsed="false">
      <c r="A2065" s="15" t="n">
        <v>2064</v>
      </c>
      <c r="B2065" s="9" t="s">
        <v>112</v>
      </c>
      <c r="C2065" s="9" t="s">
        <v>563</v>
      </c>
      <c r="D2065" s="10" t="s">
        <v>564</v>
      </c>
      <c r="E2065" s="11" t="s">
        <v>5223</v>
      </c>
      <c r="F2065" s="17"/>
      <c r="G2065" s="12" t="s">
        <v>105</v>
      </c>
      <c r="H2065" s="13" t="n">
        <v>-0.007</v>
      </c>
      <c r="I2065" s="14"/>
      <c r="J2065" s="17"/>
      <c r="K2065" s="9"/>
      <c r="L2065" s="15" t="s">
        <v>50</v>
      </c>
      <c r="M2065" s="16" t="s">
        <v>51</v>
      </c>
      <c r="N2065" s="14"/>
      <c r="O2065" s="15" t="s">
        <v>52</v>
      </c>
      <c r="P2065" s="17" t="s">
        <v>53</v>
      </c>
      <c r="Q2065" s="15"/>
      <c r="R2065" s="18" t="s">
        <v>51</v>
      </c>
      <c r="S2065" s="19"/>
      <c r="T2065" s="17" t="str">
        <f aca="false">IF(R2065="維持",J2065,IF(R2065="排除","無關新聞事件",IFERROR(INDEX(事件規則!$B$2:$B$53,MATCH(S2065,事件規則!$A$2:$A$53,0)),"")))</f>
        <v>無關新聞事件</v>
      </c>
      <c r="U2065" s="20" t="n">
        <f aca="false">IF(R2065="維持",K2065,IF(R2065="排除",0,IFERROR(INDEX(事件規則!$C$2:$C$53,MATCH(S2065,事件規則!$A$2:$A$53,0)),"")))</f>
        <v>0</v>
      </c>
      <c r="V2065" s="21"/>
      <c r="W2065" s="22"/>
      <c r="X2065" s="10" t="str">
        <f aca="false">IF(AND(R2065="修改",S2065=""),"請選新事件代碼",IF(AND(R2065&lt;&gt;"修改",S2065&lt;&gt;""),"只有「修改」才需填代碼",""))</f>
        <v/>
      </c>
      <c r="Y2065" s="21"/>
      <c r="Z2065" s="22"/>
      <c r="AA2065" s="12" t="s">
        <v>5224</v>
      </c>
      <c r="AB2065" s="24"/>
    </row>
    <row r="2066" customFormat="false" ht="29.85" hidden="false" customHeight="false" outlineLevel="0" collapsed="false">
      <c r="A2066" s="15" t="n">
        <v>2065</v>
      </c>
      <c r="B2066" s="9" t="s">
        <v>112</v>
      </c>
      <c r="C2066" s="9" t="s">
        <v>1406</v>
      </c>
      <c r="D2066" s="10" t="s">
        <v>1407</v>
      </c>
      <c r="E2066" s="11" t="s">
        <v>5225</v>
      </c>
      <c r="F2066" s="17"/>
      <c r="G2066" s="12" t="s">
        <v>95</v>
      </c>
      <c r="H2066" s="13" t="n">
        <v>-0.007</v>
      </c>
      <c r="I2066" s="14"/>
      <c r="J2066" s="17"/>
      <c r="K2066" s="9"/>
      <c r="L2066" s="15" t="s">
        <v>50</v>
      </c>
      <c r="M2066" s="16" t="s">
        <v>51</v>
      </c>
      <c r="N2066" s="14"/>
      <c r="O2066" s="15" t="s">
        <v>52</v>
      </c>
      <c r="P2066" s="17" t="s">
        <v>53</v>
      </c>
      <c r="Q2066" s="15"/>
      <c r="R2066" s="18" t="s">
        <v>51</v>
      </c>
      <c r="S2066" s="19"/>
      <c r="T2066" s="17" t="str">
        <f aca="false">IF(R2066="維持",J2066,IF(R2066="排除","無關新聞事件",IFERROR(INDEX(事件規則!$B$2:$B$53,MATCH(S2066,事件規則!$A$2:$A$53,0)),"")))</f>
        <v>無關新聞事件</v>
      </c>
      <c r="U2066" s="20" t="n">
        <f aca="false">IF(R2066="維持",K2066,IF(R2066="排除",0,IFERROR(INDEX(事件規則!$C$2:$C$53,MATCH(S2066,事件規則!$A$2:$A$53,0)),"")))</f>
        <v>0</v>
      </c>
      <c r="V2066" s="21"/>
      <c r="W2066" s="22"/>
      <c r="X2066" s="10" t="str">
        <f aca="false">IF(AND(R2066="修改",S2066=""),"請選新事件代碼",IF(AND(R2066&lt;&gt;"修改",S2066&lt;&gt;""),"只有「修改」才需填代碼",""))</f>
        <v/>
      </c>
      <c r="Y2066" s="21"/>
      <c r="Z2066" s="22"/>
      <c r="AA2066" s="12" t="s">
        <v>5226</v>
      </c>
      <c r="AB2066" s="24"/>
    </row>
    <row r="2067" customFormat="false" ht="29.85" hidden="false" customHeight="false" outlineLevel="0" collapsed="false">
      <c r="A2067" s="15" t="n">
        <v>2066</v>
      </c>
      <c r="B2067" s="9" t="s">
        <v>45</v>
      </c>
      <c r="C2067" s="9" t="s">
        <v>71</v>
      </c>
      <c r="D2067" s="10" t="s">
        <v>72</v>
      </c>
      <c r="E2067" s="11" t="s">
        <v>5227</v>
      </c>
      <c r="F2067" s="17"/>
      <c r="G2067" s="12" t="s">
        <v>5228</v>
      </c>
      <c r="H2067" s="13" t="n">
        <v>-0.007</v>
      </c>
      <c r="I2067" s="14"/>
      <c r="J2067" s="17"/>
      <c r="K2067" s="9"/>
      <c r="L2067" s="15" t="s">
        <v>50</v>
      </c>
      <c r="M2067" s="16" t="s">
        <v>51</v>
      </c>
      <c r="N2067" s="14"/>
      <c r="O2067" s="15" t="s">
        <v>52</v>
      </c>
      <c r="P2067" s="17" t="s">
        <v>53</v>
      </c>
      <c r="Q2067" s="15"/>
      <c r="R2067" s="18" t="s">
        <v>51</v>
      </c>
      <c r="S2067" s="19"/>
      <c r="T2067" s="17" t="str">
        <f aca="false">IF(R2067="維持",J2067,IF(R2067="排除","無關新聞事件",IFERROR(INDEX(事件規則!$B$2:$B$53,MATCH(S2067,事件規則!$A$2:$A$53,0)),"")))</f>
        <v>無關新聞事件</v>
      </c>
      <c r="U2067" s="20" t="n">
        <f aca="false">IF(R2067="維持",K2067,IF(R2067="排除",0,IFERROR(INDEX(事件規則!$C$2:$C$53,MATCH(S2067,事件規則!$A$2:$A$53,0)),"")))</f>
        <v>0</v>
      </c>
      <c r="V2067" s="21"/>
      <c r="W2067" s="22"/>
      <c r="X2067" s="10" t="str">
        <f aca="false">IF(AND(R2067="修改",S2067=""),"請選新事件代碼",IF(AND(R2067&lt;&gt;"修改",S2067&lt;&gt;""),"只有「修改」才需填代碼",""))</f>
        <v/>
      </c>
      <c r="Y2067" s="21"/>
      <c r="Z2067" s="22"/>
      <c r="AA2067" s="12" t="s">
        <v>5229</v>
      </c>
      <c r="AB2067" s="24"/>
    </row>
    <row r="2068" customFormat="false" ht="29.85" hidden="false" customHeight="false" outlineLevel="0" collapsed="false">
      <c r="A2068" s="15" t="n">
        <v>2067</v>
      </c>
      <c r="B2068" s="9" t="s">
        <v>45</v>
      </c>
      <c r="C2068" s="9" t="s">
        <v>1571</v>
      </c>
      <c r="D2068" s="10" t="s">
        <v>1572</v>
      </c>
      <c r="E2068" s="11" t="s">
        <v>5204</v>
      </c>
      <c r="F2068" s="17"/>
      <c r="G2068" s="12" t="s">
        <v>3873</v>
      </c>
      <c r="H2068" s="13" t="n">
        <v>-0.007</v>
      </c>
      <c r="I2068" s="14"/>
      <c r="J2068" s="17"/>
      <c r="K2068" s="9"/>
      <c r="L2068" s="15" t="s">
        <v>50</v>
      </c>
      <c r="M2068" s="16" t="s">
        <v>51</v>
      </c>
      <c r="N2068" s="14"/>
      <c r="O2068" s="15" t="s">
        <v>52</v>
      </c>
      <c r="P2068" s="17" t="s">
        <v>53</v>
      </c>
      <c r="Q2068" s="15"/>
      <c r="R2068" s="18" t="s">
        <v>51</v>
      </c>
      <c r="S2068" s="19"/>
      <c r="T2068" s="17" t="str">
        <f aca="false">IF(R2068="維持",J2068,IF(R2068="排除","無關新聞事件",IFERROR(INDEX(事件規則!$B$2:$B$53,MATCH(S2068,事件規則!$A$2:$A$53,0)),"")))</f>
        <v>無關新聞事件</v>
      </c>
      <c r="U2068" s="20" t="n">
        <f aca="false">IF(R2068="維持",K2068,IF(R2068="排除",0,IFERROR(INDEX(事件規則!$C$2:$C$53,MATCH(S2068,事件規則!$A$2:$A$53,0)),"")))</f>
        <v>0</v>
      </c>
      <c r="V2068" s="21"/>
      <c r="W2068" s="22"/>
      <c r="X2068" s="10" t="str">
        <f aca="false">IF(AND(R2068="修改",S2068=""),"請選新事件代碼",IF(AND(R2068&lt;&gt;"修改",S2068&lt;&gt;""),"只有「修改」才需填代碼",""))</f>
        <v/>
      </c>
      <c r="Y2068" s="21"/>
      <c r="Z2068" s="22"/>
      <c r="AA2068" s="12" t="s">
        <v>5205</v>
      </c>
      <c r="AB2068" s="24"/>
    </row>
    <row r="2069" customFormat="false" ht="29.85" hidden="false" customHeight="false" outlineLevel="0" collapsed="false">
      <c r="A2069" s="15" t="n">
        <v>2068</v>
      </c>
      <c r="B2069" s="9" t="s">
        <v>45</v>
      </c>
      <c r="C2069" s="9" t="s">
        <v>2962</v>
      </c>
      <c r="D2069" s="10" t="s">
        <v>2963</v>
      </c>
      <c r="E2069" s="11" t="s">
        <v>5230</v>
      </c>
      <c r="F2069" s="17"/>
      <c r="G2069" s="12" t="s">
        <v>4957</v>
      </c>
      <c r="H2069" s="13" t="n">
        <v>-0.007</v>
      </c>
      <c r="I2069" s="14"/>
      <c r="J2069" s="17"/>
      <c r="K2069" s="9"/>
      <c r="L2069" s="15" t="s">
        <v>50</v>
      </c>
      <c r="M2069" s="16" t="s">
        <v>51</v>
      </c>
      <c r="N2069" s="14"/>
      <c r="O2069" s="15" t="s">
        <v>52</v>
      </c>
      <c r="P2069" s="17" t="s">
        <v>53</v>
      </c>
      <c r="Q2069" s="15"/>
      <c r="R2069" s="18" t="s">
        <v>51</v>
      </c>
      <c r="S2069" s="19"/>
      <c r="T2069" s="17" t="str">
        <f aca="false">IF(R2069="維持",J2069,IF(R2069="排除","無關新聞事件",IFERROR(INDEX(事件規則!$B$2:$B$53,MATCH(S2069,事件規則!$A$2:$A$53,0)),"")))</f>
        <v>無關新聞事件</v>
      </c>
      <c r="U2069" s="20" t="n">
        <f aca="false">IF(R2069="維持",K2069,IF(R2069="排除",0,IFERROR(INDEX(事件規則!$C$2:$C$53,MATCH(S2069,事件規則!$A$2:$A$53,0)),"")))</f>
        <v>0</v>
      </c>
      <c r="V2069" s="21"/>
      <c r="W2069" s="22"/>
      <c r="X2069" s="10" t="str">
        <f aca="false">IF(AND(R2069="修改",S2069=""),"請選新事件代碼",IF(AND(R2069&lt;&gt;"修改",S2069&lt;&gt;""),"只有「修改」才需填代碼",""))</f>
        <v/>
      </c>
      <c r="Y2069" s="21"/>
      <c r="Z2069" s="22"/>
      <c r="AA2069" s="12" t="s">
        <v>5231</v>
      </c>
      <c r="AB2069" s="24"/>
    </row>
    <row r="2070" customFormat="false" ht="29.85" hidden="false" customHeight="false" outlineLevel="0" collapsed="false">
      <c r="A2070" s="15" t="n">
        <v>2069</v>
      </c>
      <c r="B2070" s="9" t="s">
        <v>45</v>
      </c>
      <c r="C2070" s="9" t="s">
        <v>1008</v>
      </c>
      <c r="D2070" s="10" t="s">
        <v>1009</v>
      </c>
      <c r="E2070" s="11" t="s">
        <v>5232</v>
      </c>
      <c r="F2070" s="17"/>
      <c r="G2070" s="12" t="s">
        <v>49</v>
      </c>
      <c r="H2070" s="13" t="n">
        <v>-0.007</v>
      </c>
      <c r="I2070" s="14"/>
      <c r="J2070" s="17"/>
      <c r="K2070" s="9"/>
      <c r="L2070" s="15" t="s">
        <v>50</v>
      </c>
      <c r="M2070" s="16" t="s">
        <v>51</v>
      </c>
      <c r="N2070" s="14"/>
      <c r="O2070" s="15" t="s">
        <v>52</v>
      </c>
      <c r="P2070" s="17" t="s">
        <v>53</v>
      </c>
      <c r="Q2070" s="15"/>
      <c r="R2070" s="18" t="s">
        <v>51</v>
      </c>
      <c r="S2070" s="19"/>
      <c r="T2070" s="17" t="str">
        <f aca="false">IF(R2070="維持",J2070,IF(R2070="排除","無關新聞事件",IFERROR(INDEX(事件規則!$B$2:$B$53,MATCH(S2070,事件規則!$A$2:$A$53,0)),"")))</f>
        <v>無關新聞事件</v>
      </c>
      <c r="U2070" s="20" t="n">
        <f aca="false">IF(R2070="維持",K2070,IF(R2070="排除",0,IFERROR(INDEX(事件規則!$C$2:$C$53,MATCH(S2070,事件規則!$A$2:$A$53,0)),"")))</f>
        <v>0</v>
      </c>
      <c r="V2070" s="21"/>
      <c r="W2070" s="22"/>
      <c r="X2070" s="10" t="str">
        <f aca="false">IF(AND(R2070="修改",S2070=""),"請選新事件代碼",IF(AND(R2070&lt;&gt;"修改",S2070&lt;&gt;""),"只有「修改」才需填代碼",""))</f>
        <v/>
      </c>
      <c r="Y2070" s="21"/>
      <c r="Z2070" s="22"/>
      <c r="AA2070" s="12" t="s">
        <v>5233</v>
      </c>
      <c r="AB2070" s="24"/>
    </row>
    <row r="2071" customFormat="false" ht="29.85" hidden="false" customHeight="false" outlineLevel="0" collapsed="false">
      <c r="A2071" s="15" t="n">
        <v>2070</v>
      </c>
      <c r="B2071" s="9" t="s">
        <v>45</v>
      </c>
      <c r="C2071" s="9" t="s">
        <v>5234</v>
      </c>
      <c r="D2071" s="10" t="s">
        <v>5235</v>
      </c>
      <c r="E2071" s="11" t="s">
        <v>5236</v>
      </c>
      <c r="F2071" s="17"/>
      <c r="G2071" s="12" t="s">
        <v>5237</v>
      </c>
      <c r="H2071" s="13" t="n">
        <v>-0.007</v>
      </c>
      <c r="I2071" s="14"/>
      <c r="J2071" s="17"/>
      <c r="K2071" s="9"/>
      <c r="L2071" s="15" t="s">
        <v>50</v>
      </c>
      <c r="M2071" s="16" t="s">
        <v>51</v>
      </c>
      <c r="N2071" s="14"/>
      <c r="O2071" s="15" t="s">
        <v>52</v>
      </c>
      <c r="P2071" s="17" t="s">
        <v>53</v>
      </c>
      <c r="Q2071" s="15"/>
      <c r="R2071" s="18" t="s">
        <v>51</v>
      </c>
      <c r="S2071" s="19"/>
      <c r="T2071" s="17" t="str">
        <f aca="false">IF(R2071="維持",J2071,IF(R2071="排除","無關新聞事件",IFERROR(INDEX(事件規則!$B$2:$B$53,MATCH(S2071,事件規則!$A$2:$A$53,0)),"")))</f>
        <v>無關新聞事件</v>
      </c>
      <c r="U2071" s="20" t="n">
        <f aca="false">IF(R2071="維持",K2071,IF(R2071="排除",0,IFERROR(INDEX(事件規則!$C$2:$C$53,MATCH(S2071,事件規則!$A$2:$A$53,0)),"")))</f>
        <v>0</v>
      </c>
      <c r="V2071" s="21"/>
      <c r="W2071" s="22"/>
      <c r="X2071" s="10" t="str">
        <f aca="false">IF(AND(R2071="修改",S2071=""),"請選新事件代碼",IF(AND(R2071&lt;&gt;"修改",S2071&lt;&gt;""),"只有「修改」才需填代碼",""))</f>
        <v/>
      </c>
      <c r="Y2071" s="21"/>
      <c r="Z2071" s="22"/>
      <c r="AA2071" s="12" t="s">
        <v>5238</v>
      </c>
      <c r="AB2071" s="24"/>
    </row>
    <row r="2072" customFormat="false" ht="29.85" hidden="false" customHeight="false" outlineLevel="0" collapsed="false">
      <c r="A2072" s="15" t="n">
        <v>2071</v>
      </c>
      <c r="B2072" s="9" t="s">
        <v>81</v>
      </c>
      <c r="C2072" s="9" t="s">
        <v>1478</v>
      </c>
      <c r="D2072" s="10" t="s">
        <v>1479</v>
      </c>
      <c r="E2072" s="11" t="s">
        <v>5239</v>
      </c>
      <c r="F2072" s="17"/>
      <c r="G2072" s="12" t="s">
        <v>142</v>
      </c>
      <c r="H2072" s="13" t="n">
        <v>-0.007</v>
      </c>
      <c r="I2072" s="14"/>
      <c r="J2072" s="17"/>
      <c r="K2072" s="9"/>
      <c r="L2072" s="15" t="s">
        <v>50</v>
      </c>
      <c r="M2072" s="16" t="s">
        <v>51</v>
      </c>
      <c r="N2072" s="14"/>
      <c r="O2072" s="15" t="s">
        <v>52</v>
      </c>
      <c r="P2072" s="17" t="s">
        <v>53</v>
      </c>
      <c r="Q2072" s="15"/>
      <c r="R2072" s="18" t="s">
        <v>51</v>
      </c>
      <c r="S2072" s="19"/>
      <c r="T2072" s="17" t="str">
        <f aca="false">IF(R2072="維持",J2072,IF(R2072="排除","無關新聞事件",IFERROR(INDEX(事件規則!$B$2:$B$53,MATCH(S2072,事件規則!$A$2:$A$53,0)),"")))</f>
        <v>無關新聞事件</v>
      </c>
      <c r="U2072" s="20" t="n">
        <f aca="false">IF(R2072="維持",K2072,IF(R2072="排除",0,IFERROR(INDEX(事件規則!$C$2:$C$53,MATCH(S2072,事件規則!$A$2:$A$53,0)),"")))</f>
        <v>0</v>
      </c>
      <c r="V2072" s="21"/>
      <c r="W2072" s="22"/>
      <c r="X2072" s="10" t="str">
        <f aca="false">IF(AND(R2072="修改",S2072=""),"請選新事件代碼",IF(AND(R2072&lt;&gt;"修改",S2072&lt;&gt;""),"只有「修改」才需填代碼",""))</f>
        <v/>
      </c>
      <c r="Y2072" s="21"/>
      <c r="Z2072" s="22"/>
      <c r="AA2072" s="12" t="s">
        <v>5240</v>
      </c>
      <c r="AB2072" s="24"/>
    </row>
    <row r="2073" customFormat="false" ht="29.85" hidden="false" customHeight="false" outlineLevel="0" collapsed="false">
      <c r="A2073" s="15" t="n">
        <v>2072</v>
      </c>
      <c r="B2073" s="9" t="s">
        <v>81</v>
      </c>
      <c r="C2073" s="9" t="s">
        <v>5241</v>
      </c>
      <c r="D2073" s="10" t="s">
        <v>5242</v>
      </c>
      <c r="E2073" s="11" t="s">
        <v>5243</v>
      </c>
      <c r="F2073" s="17"/>
      <c r="G2073" s="12" t="s">
        <v>1136</v>
      </c>
      <c r="H2073" s="13" t="n">
        <v>-0.007</v>
      </c>
      <c r="I2073" s="14"/>
      <c r="J2073" s="17"/>
      <c r="K2073" s="9"/>
      <c r="L2073" s="15" t="s">
        <v>50</v>
      </c>
      <c r="M2073" s="16" t="s">
        <v>51</v>
      </c>
      <c r="N2073" s="14"/>
      <c r="O2073" s="15" t="s">
        <v>52</v>
      </c>
      <c r="P2073" s="17" t="s">
        <v>53</v>
      </c>
      <c r="Q2073" s="15"/>
      <c r="R2073" s="18" t="s">
        <v>51</v>
      </c>
      <c r="S2073" s="19"/>
      <c r="T2073" s="17" t="str">
        <f aca="false">IF(R2073="維持",J2073,IF(R2073="排除","無關新聞事件",IFERROR(INDEX(事件規則!$B$2:$B$53,MATCH(S2073,事件規則!$A$2:$A$53,0)),"")))</f>
        <v>無關新聞事件</v>
      </c>
      <c r="U2073" s="20" t="n">
        <f aca="false">IF(R2073="維持",K2073,IF(R2073="排除",0,IFERROR(INDEX(事件規則!$C$2:$C$53,MATCH(S2073,事件規則!$A$2:$A$53,0)),"")))</f>
        <v>0</v>
      </c>
      <c r="V2073" s="21"/>
      <c r="W2073" s="22"/>
      <c r="X2073" s="10" t="str">
        <f aca="false">IF(AND(R2073="修改",S2073=""),"請選新事件代碼",IF(AND(R2073&lt;&gt;"修改",S2073&lt;&gt;""),"只有「修改」才需填代碼",""))</f>
        <v/>
      </c>
      <c r="Y2073" s="21"/>
      <c r="Z2073" s="22"/>
      <c r="AA2073" s="12" t="s">
        <v>5244</v>
      </c>
      <c r="AB2073" s="24"/>
    </row>
    <row r="2074" customFormat="false" ht="29.85" hidden="false" customHeight="false" outlineLevel="0" collapsed="false">
      <c r="A2074" s="15" t="n">
        <v>2073</v>
      </c>
      <c r="B2074" s="9" t="s">
        <v>112</v>
      </c>
      <c r="C2074" s="9" t="s">
        <v>535</v>
      </c>
      <c r="D2074" s="10" t="s">
        <v>536</v>
      </c>
      <c r="E2074" s="11" t="s">
        <v>5245</v>
      </c>
      <c r="F2074" s="17"/>
      <c r="G2074" s="12" t="s">
        <v>949</v>
      </c>
      <c r="H2074" s="13" t="n">
        <v>-0.007</v>
      </c>
      <c r="I2074" s="14"/>
      <c r="J2074" s="17"/>
      <c r="K2074" s="9"/>
      <c r="L2074" s="15" t="s">
        <v>50</v>
      </c>
      <c r="M2074" s="16" t="s">
        <v>51</v>
      </c>
      <c r="N2074" s="14"/>
      <c r="O2074" s="15" t="s">
        <v>52</v>
      </c>
      <c r="P2074" s="17" t="s">
        <v>53</v>
      </c>
      <c r="Q2074" s="15"/>
      <c r="R2074" s="18" t="s">
        <v>51</v>
      </c>
      <c r="S2074" s="19"/>
      <c r="T2074" s="17" t="str">
        <f aca="false">IF(R2074="維持",J2074,IF(R2074="排除","無關新聞事件",IFERROR(INDEX(事件規則!$B$2:$B$53,MATCH(S2074,事件規則!$A$2:$A$53,0)),"")))</f>
        <v>無關新聞事件</v>
      </c>
      <c r="U2074" s="20" t="n">
        <f aca="false">IF(R2074="維持",K2074,IF(R2074="排除",0,IFERROR(INDEX(事件規則!$C$2:$C$53,MATCH(S2074,事件規則!$A$2:$A$53,0)),"")))</f>
        <v>0</v>
      </c>
      <c r="V2074" s="21"/>
      <c r="W2074" s="22"/>
      <c r="X2074" s="10" t="str">
        <f aca="false">IF(AND(R2074="修改",S2074=""),"請選新事件代碼",IF(AND(R2074&lt;&gt;"修改",S2074&lt;&gt;""),"只有「修改」才需填代碼",""))</f>
        <v/>
      </c>
      <c r="Y2074" s="21"/>
      <c r="Z2074" s="22"/>
      <c r="AA2074" s="12" t="s">
        <v>5246</v>
      </c>
      <c r="AB2074" s="24"/>
    </row>
    <row r="2075" customFormat="false" ht="29.85" hidden="false" customHeight="false" outlineLevel="0" collapsed="false">
      <c r="A2075" s="15" t="n">
        <v>2074</v>
      </c>
      <c r="B2075" s="9" t="s">
        <v>112</v>
      </c>
      <c r="C2075" s="9" t="s">
        <v>2319</v>
      </c>
      <c r="D2075" s="10" t="s">
        <v>2320</v>
      </c>
      <c r="E2075" s="11" t="s">
        <v>5247</v>
      </c>
      <c r="F2075" s="17"/>
      <c r="G2075" s="12" t="s">
        <v>176</v>
      </c>
      <c r="H2075" s="13" t="n">
        <v>-0.007</v>
      </c>
      <c r="I2075" s="14"/>
      <c r="J2075" s="17"/>
      <c r="K2075" s="9"/>
      <c r="L2075" s="15" t="s">
        <v>50</v>
      </c>
      <c r="M2075" s="16" t="s">
        <v>51</v>
      </c>
      <c r="N2075" s="14"/>
      <c r="O2075" s="15" t="s">
        <v>52</v>
      </c>
      <c r="P2075" s="17" t="s">
        <v>53</v>
      </c>
      <c r="Q2075" s="15"/>
      <c r="R2075" s="18" t="s">
        <v>51</v>
      </c>
      <c r="S2075" s="19"/>
      <c r="T2075" s="17" t="str">
        <f aca="false">IF(R2075="維持",J2075,IF(R2075="排除","無關新聞事件",IFERROR(INDEX(事件規則!$B$2:$B$53,MATCH(S2075,事件規則!$A$2:$A$53,0)),"")))</f>
        <v>無關新聞事件</v>
      </c>
      <c r="U2075" s="20" t="n">
        <f aca="false">IF(R2075="維持",K2075,IF(R2075="排除",0,IFERROR(INDEX(事件規則!$C$2:$C$53,MATCH(S2075,事件規則!$A$2:$A$53,0)),"")))</f>
        <v>0</v>
      </c>
      <c r="V2075" s="21"/>
      <c r="W2075" s="22"/>
      <c r="X2075" s="10" t="str">
        <f aca="false">IF(AND(R2075="修改",S2075=""),"請選新事件代碼",IF(AND(R2075&lt;&gt;"修改",S2075&lt;&gt;""),"只有「修改」才需填代碼",""))</f>
        <v/>
      </c>
      <c r="Y2075" s="21"/>
      <c r="Z2075" s="22"/>
      <c r="AA2075" s="12" t="s">
        <v>5248</v>
      </c>
      <c r="AB2075" s="24"/>
    </row>
    <row r="2076" customFormat="false" ht="29.85" hidden="false" customHeight="false" outlineLevel="0" collapsed="false">
      <c r="A2076" s="15" t="n">
        <v>2075</v>
      </c>
      <c r="B2076" s="9" t="s">
        <v>112</v>
      </c>
      <c r="C2076" s="9" t="s">
        <v>2283</v>
      </c>
      <c r="D2076" s="10" t="s">
        <v>2284</v>
      </c>
      <c r="E2076" s="11" t="s">
        <v>5249</v>
      </c>
      <c r="F2076" s="17"/>
      <c r="G2076" s="12" t="s">
        <v>105</v>
      </c>
      <c r="H2076" s="13" t="n">
        <v>-0.007</v>
      </c>
      <c r="I2076" s="14"/>
      <c r="J2076" s="17"/>
      <c r="K2076" s="9"/>
      <c r="L2076" s="15" t="s">
        <v>50</v>
      </c>
      <c r="M2076" s="16" t="s">
        <v>51</v>
      </c>
      <c r="N2076" s="14"/>
      <c r="O2076" s="15" t="s">
        <v>52</v>
      </c>
      <c r="P2076" s="17" t="s">
        <v>53</v>
      </c>
      <c r="Q2076" s="15"/>
      <c r="R2076" s="18" t="s">
        <v>51</v>
      </c>
      <c r="S2076" s="19"/>
      <c r="T2076" s="17" t="str">
        <f aca="false">IF(R2076="維持",J2076,IF(R2076="排除","無關新聞事件",IFERROR(INDEX(事件規則!$B$2:$B$53,MATCH(S2076,事件規則!$A$2:$A$53,0)),"")))</f>
        <v>無關新聞事件</v>
      </c>
      <c r="U2076" s="20" t="n">
        <f aca="false">IF(R2076="維持",K2076,IF(R2076="排除",0,IFERROR(INDEX(事件規則!$C$2:$C$53,MATCH(S2076,事件規則!$A$2:$A$53,0)),"")))</f>
        <v>0</v>
      </c>
      <c r="V2076" s="21"/>
      <c r="W2076" s="22"/>
      <c r="X2076" s="10" t="str">
        <f aca="false">IF(AND(R2076="修改",S2076=""),"請選新事件代碼",IF(AND(R2076&lt;&gt;"修改",S2076&lt;&gt;""),"只有「修改」才需填代碼",""))</f>
        <v/>
      </c>
      <c r="Y2076" s="21"/>
      <c r="Z2076" s="22"/>
      <c r="AA2076" s="12" t="s">
        <v>5250</v>
      </c>
      <c r="AB2076" s="24"/>
    </row>
    <row r="2077" customFormat="false" ht="29.85" hidden="false" customHeight="false" outlineLevel="0" collapsed="false">
      <c r="A2077" s="15" t="n">
        <v>2076</v>
      </c>
      <c r="B2077" s="9" t="s">
        <v>112</v>
      </c>
      <c r="C2077" s="9" t="s">
        <v>2059</v>
      </c>
      <c r="D2077" s="10" t="s">
        <v>2060</v>
      </c>
      <c r="E2077" s="11" t="s">
        <v>5251</v>
      </c>
      <c r="F2077" s="17"/>
      <c r="G2077" s="12" t="s">
        <v>5252</v>
      </c>
      <c r="H2077" s="13" t="n">
        <v>-0.007</v>
      </c>
      <c r="I2077" s="14"/>
      <c r="J2077" s="17"/>
      <c r="K2077" s="9"/>
      <c r="L2077" s="15" t="s">
        <v>50</v>
      </c>
      <c r="M2077" s="16" t="s">
        <v>51</v>
      </c>
      <c r="N2077" s="14"/>
      <c r="O2077" s="15" t="s">
        <v>52</v>
      </c>
      <c r="P2077" s="17" t="s">
        <v>53</v>
      </c>
      <c r="Q2077" s="15"/>
      <c r="R2077" s="18" t="s">
        <v>51</v>
      </c>
      <c r="S2077" s="19"/>
      <c r="T2077" s="17" t="str">
        <f aca="false">IF(R2077="維持",J2077,IF(R2077="排除","無關新聞事件",IFERROR(INDEX(事件規則!$B$2:$B$53,MATCH(S2077,事件規則!$A$2:$A$53,0)),"")))</f>
        <v>無關新聞事件</v>
      </c>
      <c r="U2077" s="20" t="n">
        <f aca="false">IF(R2077="維持",K2077,IF(R2077="排除",0,IFERROR(INDEX(事件規則!$C$2:$C$53,MATCH(S2077,事件規則!$A$2:$A$53,0)),"")))</f>
        <v>0</v>
      </c>
      <c r="V2077" s="21"/>
      <c r="W2077" s="22"/>
      <c r="X2077" s="10" t="str">
        <f aca="false">IF(AND(R2077="修改",S2077=""),"請選新事件代碼",IF(AND(R2077&lt;&gt;"修改",S2077&lt;&gt;""),"只有「修改」才需填代碼",""))</f>
        <v/>
      </c>
      <c r="Y2077" s="21"/>
      <c r="Z2077" s="22"/>
      <c r="AA2077" s="12" t="s">
        <v>5253</v>
      </c>
      <c r="AB2077" s="24"/>
    </row>
    <row r="2078" customFormat="false" ht="29.85" hidden="false" customHeight="false" outlineLevel="0" collapsed="false">
      <c r="A2078" s="15" t="n">
        <v>2077</v>
      </c>
      <c r="B2078" s="9" t="s">
        <v>112</v>
      </c>
      <c r="C2078" s="9" t="s">
        <v>66</v>
      </c>
      <c r="D2078" s="10" t="s">
        <v>67</v>
      </c>
      <c r="E2078" s="11" t="s">
        <v>5254</v>
      </c>
      <c r="F2078" s="17"/>
      <c r="G2078" s="12" t="s">
        <v>1136</v>
      </c>
      <c r="H2078" s="13" t="n">
        <v>-0.007</v>
      </c>
      <c r="I2078" s="14"/>
      <c r="J2078" s="17"/>
      <c r="K2078" s="9"/>
      <c r="L2078" s="15" t="s">
        <v>50</v>
      </c>
      <c r="M2078" s="16" t="s">
        <v>51</v>
      </c>
      <c r="N2078" s="14"/>
      <c r="O2078" s="15" t="s">
        <v>52</v>
      </c>
      <c r="P2078" s="17" t="s">
        <v>53</v>
      </c>
      <c r="Q2078" s="15"/>
      <c r="R2078" s="18" t="s">
        <v>51</v>
      </c>
      <c r="S2078" s="19"/>
      <c r="T2078" s="17" t="str">
        <f aca="false">IF(R2078="維持",J2078,IF(R2078="排除","無關新聞事件",IFERROR(INDEX(事件規則!$B$2:$B$53,MATCH(S2078,事件規則!$A$2:$A$53,0)),"")))</f>
        <v>無關新聞事件</v>
      </c>
      <c r="U2078" s="20" t="n">
        <f aca="false">IF(R2078="維持",K2078,IF(R2078="排除",0,IFERROR(INDEX(事件規則!$C$2:$C$53,MATCH(S2078,事件規則!$A$2:$A$53,0)),"")))</f>
        <v>0</v>
      </c>
      <c r="V2078" s="21"/>
      <c r="W2078" s="22"/>
      <c r="X2078" s="10" t="str">
        <f aca="false">IF(AND(R2078="修改",S2078=""),"請選新事件代碼",IF(AND(R2078&lt;&gt;"修改",S2078&lt;&gt;""),"只有「修改」才需填代碼",""))</f>
        <v/>
      </c>
      <c r="Y2078" s="21"/>
      <c r="Z2078" s="22"/>
      <c r="AA2078" s="12" t="s">
        <v>5255</v>
      </c>
      <c r="AB2078" s="24"/>
    </row>
    <row r="2079" customFormat="false" ht="29.85" hidden="false" customHeight="false" outlineLevel="0" collapsed="false">
      <c r="A2079" s="15" t="n">
        <v>2078</v>
      </c>
      <c r="B2079" s="9" t="s">
        <v>55</v>
      </c>
      <c r="C2079" s="9" t="s">
        <v>445</v>
      </c>
      <c r="D2079" s="10" t="s">
        <v>446</v>
      </c>
      <c r="E2079" s="11" t="s">
        <v>5256</v>
      </c>
      <c r="F2079" s="17"/>
      <c r="G2079" s="12" t="s">
        <v>5257</v>
      </c>
      <c r="H2079" s="13" t="n">
        <v>-0.007</v>
      </c>
      <c r="I2079" s="14"/>
      <c r="J2079" s="17"/>
      <c r="K2079" s="9"/>
      <c r="L2079" s="15" t="s">
        <v>50</v>
      </c>
      <c r="M2079" s="16" t="s">
        <v>51</v>
      </c>
      <c r="N2079" s="14"/>
      <c r="O2079" s="15" t="s">
        <v>52</v>
      </c>
      <c r="P2079" s="17" t="s">
        <v>53</v>
      </c>
      <c r="Q2079" s="15"/>
      <c r="R2079" s="18" t="s">
        <v>51</v>
      </c>
      <c r="S2079" s="19"/>
      <c r="T2079" s="17" t="str">
        <f aca="false">IF(R2079="維持",J2079,IF(R2079="排除","無關新聞事件",IFERROR(INDEX(事件規則!$B$2:$B$53,MATCH(S2079,事件規則!$A$2:$A$53,0)),"")))</f>
        <v>無關新聞事件</v>
      </c>
      <c r="U2079" s="20" t="n">
        <f aca="false">IF(R2079="維持",K2079,IF(R2079="排除",0,IFERROR(INDEX(事件規則!$C$2:$C$53,MATCH(S2079,事件規則!$A$2:$A$53,0)),"")))</f>
        <v>0</v>
      </c>
      <c r="V2079" s="21"/>
      <c r="W2079" s="22"/>
      <c r="X2079" s="10" t="str">
        <f aca="false">IF(AND(R2079="修改",S2079=""),"請選新事件代碼",IF(AND(R2079&lt;&gt;"修改",S2079&lt;&gt;""),"只有「修改」才需填代碼",""))</f>
        <v/>
      </c>
      <c r="Y2079" s="21"/>
      <c r="Z2079" s="22"/>
      <c r="AA2079" s="12" t="s">
        <v>5258</v>
      </c>
      <c r="AB2079" s="24"/>
    </row>
    <row r="2080" customFormat="false" ht="29.85" hidden="false" customHeight="false" outlineLevel="0" collapsed="false">
      <c r="A2080" s="15" t="n">
        <v>2079</v>
      </c>
      <c r="B2080" s="9" t="s">
        <v>45</v>
      </c>
      <c r="C2080" s="9" t="s">
        <v>156</v>
      </c>
      <c r="D2080" s="10" t="s">
        <v>157</v>
      </c>
      <c r="E2080" s="11" t="s">
        <v>5259</v>
      </c>
      <c r="F2080" s="17"/>
      <c r="G2080" s="12" t="s">
        <v>95</v>
      </c>
      <c r="H2080" s="13" t="n">
        <v>-0.007</v>
      </c>
      <c r="I2080" s="14"/>
      <c r="J2080" s="17"/>
      <c r="K2080" s="9"/>
      <c r="L2080" s="15" t="s">
        <v>50</v>
      </c>
      <c r="M2080" s="16" t="s">
        <v>51</v>
      </c>
      <c r="N2080" s="14"/>
      <c r="O2080" s="15" t="s">
        <v>52</v>
      </c>
      <c r="P2080" s="17" t="s">
        <v>53</v>
      </c>
      <c r="Q2080" s="15"/>
      <c r="R2080" s="18" t="s">
        <v>51</v>
      </c>
      <c r="S2080" s="19"/>
      <c r="T2080" s="17" t="str">
        <f aca="false">IF(R2080="維持",J2080,IF(R2080="排除","無關新聞事件",IFERROR(INDEX(事件規則!$B$2:$B$53,MATCH(S2080,事件規則!$A$2:$A$53,0)),"")))</f>
        <v>無關新聞事件</v>
      </c>
      <c r="U2080" s="20" t="n">
        <f aca="false">IF(R2080="維持",K2080,IF(R2080="排除",0,IFERROR(INDEX(事件規則!$C$2:$C$53,MATCH(S2080,事件規則!$A$2:$A$53,0)),"")))</f>
        <v>0</v>
      </c>
      <c r="V2080" s="21"/>
      <c r="W2080" s="22"/>
      <c r="X2080" s="10" t="str">
        <f aca="false">IF(AND(R2080="修改",S2080=""),"請選新事件代碼",IF(AND(R2080&lt;&gt;"修改",S2080&lt;&gt;""),"只有「修改」才需填代碼",""))</f>
        <v/>
      </c>
      <c r="Y2080" s="21"/>
      <c r="Z2080" s="22"/>
      <c r="AA2080" s="12" t="s">
        <v>5260</v>
      </c>
      <c r="AB2080" s="24"/>
    </row>
    <row r="2081" customFormat="false" ht="29.85" hidden="false" customHeight="false" outlineLevel="0" collapsed="false">
      <c r="A2081" s="15" t="n">
        <v>2080</v>
      </c>
      <c r="B2081" s="9" t="s">
        <v>81</v>
      </c>
      <c r="C2081" s="9" t="s">
        <v>76</v>
      </c>
      <c r="D2081" s="10" t="s">
        <v>77</v>
      </c>
      <c r="E2081" s="11" t="s">
        <v>5239</v>
      </c>
      <c r="F2081" s="17"/>
      <c r="G2081" s="12" t="s">
        <v>142</v>
      </c>
      <c r="H2081" s="13" t="n">
        <v>-0.007</v>
      </c>
      <c r="I2081" s="14"/>
      <c r="J2081" s="17"/>
      <c r="K2081" s="9"/>
      <c r="L2081" s="15" t="s">
        <v>50</v>
      </c>
      <c r="M2081" s="16" t="s">
        <v>51</v>
      </c>
      <c r="N2081" s="14"/>
      <c r="O2081" s="15" t="s">
        <v>52</v>
      </c>
      <c r="P2081" s="17" t="s">
        <v>53</v>
      </c>
      <c r="Q2081" s="15"/>
      <c r="R2081" s="18" t="s">
        <v>51</v>
      </c>
      <c r="S2081" s="19"/>
      <c r="T2081" s="17" t="str">
        <f aca="false">IF(R2081="維持",J2081,IF(R2081="排除","無關新聞事件",IFERROR(INDEX(事件規則!$B$2:$B$53,MATCH(S2081,事件規則!$A$2:$A$53,0)),"")))</f>
        <v>無關新聞事件</v>
      </c>
      <c r="U2081" s="20" t="n">
        <f aca="false">IF(R2081="維持",K2081,IF(R2081="排除",0,IFERROR(INDEX(事件規則!$C$2:$C$53,MATCH(S2081,事件規則!$A$2:$A$53,0)),"")))</f>
        <v>0</v>
      </c>
      <c r="V2081" s="21"/>
      <c r="W2081" s="22"/>
      <c r="X2081" s="10" t="str">
        <f aca="false">IF(AND(R2081="修改",S2081=""),"請選新事件代碼",IF(AND(R2081&lt;&gt;"修改",S2081&lt;&gt;""),"只有「修改」才需填代碼",""))</f>
        <v/>
      </c>
      <c r="Y2081" s="21"/>
      <c r="Z2081" s="22"/>
      <c r="AA2081" s="12" t="s">
        <v>5261</v>
      </c>
      <c r="AB2081" s="24"/>
    </row>
    <row r="2082" customFormat="false" ht="29.85" hidden="false" customHeight="false" outlineLevel="0" collapsed="false">
      <c r="A2082" s="15" t="n">
        <v>2081</v>
      </c>
      <c r="B2082" s="9" t="s">
        <v>55</v>
      </c>
      <c r="C2082" s="9" t="s">
        <v>4111</v>
      </c>
      <c r="D2082" s="10" t="s">
        <v>4112</v>
      </c>
      <c r="E2082" s="11" t="s">
        <v>5262</v>
      </c>
      <c r="F2082" s="17"/>
      <c r="G2082" s="12" t="s">
        <v>95</v>
      </c>
      <c r="H2082" s="13" t="n">
        <v>-0.006</v>
      </c>
      <c r="I2082" s="14"/>
      <c r="J2082" s="17"/>
      <c r="K2082" s="9"/>
      <c r="L2082" s="15" t="s">
        <v>50</v>
      </c>
      <c r="M2082" s="16" t="s">
        <v>51</v>
      </c>
      <c r="N2082" s="14"/>
      <c r="O2082" s="15" t="s">
        <v>52</v>
      </c>
      <c r="P2082" s="17" t="s">
        <v>53</v>
      </c>
      <c r="Q2082" s="15"/>
      <c r="R2082" s="18" t="s">
        <v>51</v>
      </c>
      <c r="S2082" s="19"/>
      <c r="T2082" s="17" t="str">
        <f aca="false">IF(R2082="維持",J2082,IF(R2082="排除","無關新聞事件",IFERROR(INDEX(事件規則!$B$2:$B$53,MATCH(S2082,事件規則!$A$2:$A$53,0)),"")))</f>
        <v>無關新聞事件</v>
      </c>
      <c r="U2082" s="20" t="n">
        <f aca="false">IF(R2082="維持",K2082,IF(R2082="排除",0,IFERROR(INDEX(事件規則!$C$2:$C$53,MATCH(S2082,事件規則!$A$2:$A$53,0)),"")))</f>
        <v>0</v>
      </c>
      <c r="V2082" s="21"/>
      <c r="W2082" s="22"/>
      <c r="X2082" s="10" t="str">
        <f aca="false">IF(AND(R2082="修改",S2082=""),"請選新事件代碼",IF(AND(R2082&lt;&gt;"修改",S2082&lt;&gt;""),"只有「修改」才需填代碼",""))</f>
        <v/>
      </c>
      <c r="Y2082" s="21"/>
      <c r="Z2082" s="22"/>
      <c r="AA2082" s="12" t="s">
        <v>5263</v>
      </c>
      <c r="AB2082" s="24"/>
    </row>
    <row r="2083" customFormat="false" ht="29.85" hidden="false" customHeight="false" outlineLevel="0" collapsed="false">
      <c r="A2083" s="15" t="n">
        <v>2082</v>
      </c>
      <c r="B2083" s="9" t="s">
        <v>45</v>
      </c>
      <c r="C2083" s="9" t="s">
        <v>469</v>
      </c>
      <c r="D2083" s="10" t="s">
        <v>470</v>
      </c>
      <c r="E2083" s="11" t="s">
        <v>5264</v>
      </c>
      <c r="F2083" s="17"/>
      <c r="G2083" s="12" t="s">
        <v>4702</v>
      </c>
      <c r="H2083" s="13" t="n">
        <v>-0.006</v>
      </c>
      <c r="I2083" s="14"/>
      <c r="J2083" s="17"/>
      <c r="K2083" s="9"/>
      <c r="L2083" s="15" t="s">
        <v>50</v>
      </c>
      <c r="M2083" s="16" t="s">
        <v>51</v>
      </c>
      <c r="N2083" s="14"/>
      <c r="O2083" s="15" t="s">
        <v>52</v>
      </c>
      <c r="P2083" s="17" t="s">
        <v>53</v>
      </c>
      <c r="Q2083" s="15"/>
      <c r="R2083" s="18" t="s">
        <v>51</v>
      </c>
      <c r="S2083" s="19"/>
      <c r="T2083" s="17" t="str">
        <f aca="false">IF(R2083="維持",J2083,IF(R2083="排除","無關新聞事件",IFERROR(INDEX(事件規則!$B$2:$B$53,MATCH(S2083,事件規則!$A$2:$A$53,0)),"")))</f>
        <v>無關新聞事件</v>
      </c>
      <c r="U2083" s="20" t="n">
        <f aca="false">IF(R2083="維持",K2083,IF(R2083="排除",0,IFERROR(INDEX(事件規則!$C$2:$C$53,MATCH(S2083,事件規則!$A$2:$A$53,0)),"")))</f>
        <v>0</v>
      </c>
      <c r="V2083" s="21"/>
      <c r="W2083" s="22"/>
      <c r="X2083" s="10" t="str">
        <f aca="false">IF(AND(R2083="修改",S2083=""),"請選新事件代碼",IF(AND(R2083&lt;&gt;"修改",S2083&lt;&gt;""),"只有「修改」才需填代碼",""))</f>
        <v/>
      </c>
      <c r="Y2083" s="21"/>
      <c r="Z2083" s="22"/>
      <c r="AA2083" s="12" t="s">
        <v>5265</v>
      </c>
      <c r="AB2083" s="24"/>
    </row>
    <row r="2084" customFormat="false" ht="29.85" hidden="false" customHeight="false" outlineLevel="0" collapsed="false">
      <c r="A2084" s="15" t="n">
        <v>2083</v>
      </c>
      <c r="B2084" s="9" t="s">
        <v>55</v>
      </c>
      <c r="C2084" s="9" t="s">
        <v>576</v>
      </c>
      <c r="D2084" s="10" t="s">
        <v>577</v>
      </c>
      <c r="E2084" s="11" t="s">
        <v>5266</v>
      </c>
      <c r="F2084" s="17"/>
      <c r="G2084" s="12" t="s">
        <v>176</v>
      </c>
      <c r="H2084" s="13" t="n">
        <v>-0.006</v>
      </c>
      <c r="I2084" s="14"/>
      <c r="J2084" s="17"/>
      <c r="K2084" s="9"/>
      <c r="L2084" s="15" t="s">
        <v>50</v>
      </c>
      <c r="M2084" s="16" t="s">
        <v>51</v>
      </c>
      <c r="N2084" s="14"/>
      <c r="O2084" s="15" t="s">
        <v>52</v>
      </c>
      <c r="P2084" s="17" t="s">
        <v>53</v>
      </c>
      <c r="Q2084" s="15"/>
      <c r="R2084" s="18" t="s">
        <v>51</v>
      </c>
      <c r="S2084" s="19"/>
      <c r="T2084" s="17" t="str">
        <f aca="false">IF(R2084="維持",J2084,IF(R2084="排除","無關新聞事件",IFERROR(INDEX(事件規則!$B$2:$B$53,MATCH(S2084,事件規則!$A$2:$A$53,0)),"")))</f>
        <v>無關新聞事件</v>
      </c>
      <c r="U2084" s="20" t="n">
        <f aca="false">IF(R2084="維持",K2084,IF(R2084="排除",0,IFERROR(INDEX(事件規則!$C$2:$C$53,MATCH(S2084,事件規則!$A$2:$A$53,0)),"")))</f>
        <v>0</v>
      </c>
      <c r="V2084" s="21"/>
      <c r="W2084" s="22"/>
      <c r="X2084" s="10" t="str">
        <f aca="false">IF(AND(R2084="修改",S2084=""),"請選新事件代碼",IF(AND(R2084&lt;&gt;"修改",S2084&lt;&gt;""),"只有「修改」才需填代碼",""))</f>
        <v/>
      </c>
      <c r="Y2084" s="21"/>
      <c r="Z2084" s="22"/>
      <c r="AA2084" s="12" t="s">
        <v>5267</v>
      </c>
      <c r="AB2084" s="24"/>
    </row>
    <row r="2085" customFormat="false" ht="29.85" hidden="false" customHeight="false" outlineLevel="0" collapsed="false">
      <c r="A2085" s="15" t="n">
        <v>2084</v>
      </c>
      <c r="B2085" s="9" t="s">
        <v>55</v>
      </c>
      <c r="C2085" s="9" t="s">
        <v>595</v>
      </c>
      <c r="D2085" s="10" t="s">
        <v>596</v>
      </c>
      <c r="E2085" s="11" t="s">
        <v>5268</v>
      </c>
      <c r="F2085" s="17"/>
      <c r="G2085" s="12" t="s">
        <v>728</v>
      </c>
      <c r="H2085" s="13" t="n">
        <v>-0.006</v>
      </c>
      <c r="I2085" s="14"/>
      <c r="J2085" s="17"/>
      <c r="K2085" s="9"/>
      <c r="L2085" s="15" t="s">
        <v>50</v>
      </c>
      <c r="M2085" s="16" t="s">
        <v>51</v>
      </c>
      <c r="N2085" s="14"/>
      <c r="O2085" s="15" t="s">
        <v>52</v>
      </c>
      <c r="P2085" s="17" t="s">
        <v>53</v>
      </c>
      <c r="Q2085" s="15"/>
      <c r="R2085" s="18" t="s">
        <v>51</v>
      </c>
      <c r="S2085" s="19"/>
      <c r="T2085" s="17" t="str">
        <f aca="false">IF(R2085="維持",J2085,IF(R2085="排除","無關新聞事件",IFERROR(INDEX(事件規則!$B$2:$B$53,MATCH(S2085,事件規則!$A$2:$A$53,0)),"")))</f>
        <v>無關新聞事件</v>
      </c>
      <c r="U2085" s="20" t="n">
        <f aca="false">IF(R2085="維持",K2085,IF(R2085="排除",0,IFERROR(INDEX(事件規則!$C$2:$C$53,MATCH(S2085,事件規則!$A$2:$A$53,0)),"")))</f>
        <v>0</v>
      </c>
      <c r="V2085" s="21"/>
      <c r="W2085" s="22"/>
      <c r="X2085" s="10" t="str">
        <f aca="false">IF(AND(R2085="修改",S2085=""),"請選新事件代碼",IF(AND(R2085&lt;&gt;"修改",S2085&lt;&gt;""),"只有「修改」才需填代碼",""))</f>
        <v/>
      </c>
      <c r="Y2085" s="21"/>
      <c r="Z2085" s="22"/>
      <c r="AA2085" s="12" t="s">
        <v>5269</v>
      </c>
      <c r="AB2085" s="24"/>
    </row>
    <row r="2086" customFormat="false" ht="29.85" hidden="false" customHeight="false" outlineLevel="0" collapsed="false">
      <c r="A2086" s="15" t="n">
        <v>2085</v>
      </c>
      <c r="B2086" s="9" t="s">
        <v>45</v>
      </c>
      <c r="C2086" s="9" t="s">
        <v>1629</v>
      </c>
      <c r="D2086" s="10" t="s">
        <v>1630</v>
      </c>
      <c r="E2086" s="11" t="s">
        <v>5270</v>
      </c>
      <c r="F2086" s="17"/>
      <c r="G2086" s="12" t="s">
        <v>1136</v>
      </c>
      <c r="H2086" s="13" t="n">
        <v>-0.006</v>
      </c>
      <c r="I2086" s="14"/>
      <c r="J2086" s="17"/>
      <c r="K2086" s="9"/>
      <c r="L2086" s="15" t="s">
        <v>50</v>
      </c>
      <c r="M2086" s="16" t="s">
        <v>51</v>
      </c>
      <c r="N2086" s="14"/>
      <c r="O2086" s="15" t="s">
        <v>52</v>
      </c>
      <c r="P2086" s="17" t="s">
        <v>53</v>
      </c>
      <c r="Q2086" s="15"/>
      <c r="R2086" s="18" t="s">
        <v>51</v>
      </c>
      <c r="S2086" s="19"/>
      <c r="T2086" s="17" t="str">
        <f aca="false">IF(R2086="維持",J2086,IF(R2086="排除","無關新聞事件",IFERROR(INDEX(事件規則!$B$2:$B$53,MATCH(S2086,事件規則!$A$2:$A$53,0)),"")))</f>
        <v>無關新聞事件</v>
      </c>
      <c r="U2086" s="20" t="n">
        <f aca="false">IF(R2086="維持",K2086,IF(R2086="排除",0,IFERROR(INDEX(事件規則!$C$2:$C$53,MATCH(S2086,事件規則!$A$2:$A$53,0)),"")))</f>
        <v>0</v>
      </c>
      <c r="V2086" s="21"/>
      <c r="W2086" s="22"/>
      <c r="X2086" s="10" t="str">
        <f aca="false">IF(AND(R2086="修改",S2086=""),"請選新事件代碼",IF(AND(R2086&lt;&gt;"修改",S2086&lt;&gt;""),"只有「修改」才需填代碼",""))</f>
        <v/>
      </c>
      <c r="Y2086" s="21"/>
      <c r="Z2086" s="22"/>
      <c r="AA2086" s="12" t="s">
        <v>5271</v>
      </c>
      <c r="AB2086" s="24"/>
    </row>
    <row r="2087" customFormat="false" ht="29.85" hidden="false" customHeight="false" outlineLevel="0" collapsed="false">
      <c r="A2087" s="15" t="n">
        <v>2086</v>
      </c>
      <c r="B2087" s="9" t="s">
        <v>45</v>
      </c>
      <c r="C2087" s="9" t="s">
        <v>5200</v>
      </c>
      <c r="D2087" s="10" t="s">
        <v>5201</v>
      </c>
      <c r="E2087" s="11" t="s">
        <v>5272</v>
      </c>
      <c r="F2087" s="17"/>
      <c r="G2087" s="12" t="s">
        <v>3960</v>
      </c>
      <c r="H2087" s="13" t="n">
        <v>-0.006</v>
      </c>
      <c r="I2087" s="14"/>
      <c r="J2087" s="17"/>
      <c r="K2087" s="9"/>
      <c r="L2087" s="15" t="s">
        <v>50</v>
      </c>
      <c r="M2087" s="16" t="s">
        <v>51</v>
      </c>
      <c r="N2087" s="14"/>
      <c r="O2087" s="15" t="s">
        <v>52</v>
      </c>
      <c r="P2087" s="17" t="s">
        <v>53</v>
      </c>
      <c r="Q2087" s="15"/>
      <c r="R2087" s="18" t="s">
        <v>51</v>
      </c>
      <c r="S2087" s="19"/>
      <c r="T2087" s="17" t="str">
        <f aca="false">IF(R2087="維持",J2087,IF(R2087="排除","無關新聞事件",IFERROR(INDEX(事件規則!$B$2:$B$53,MATCH(S2087,事件規則!$A$2:$A$53,0)),"")))</f>
        <v>無關新聞事件</v>
      </c>
      <c r="U2087" s="20" t="n">
        <f aca="false">IF(R2087="維持",K2087,IF(R2087="排除",0,IFERROR(INDEX(事件規則!$C$2:$C$53,MATCH(S2087,事件規則!$A$2:$A$53,0)),"")))</f>
        <v>0</v>
      </c>
      <c r="V2087" s="21"/>
      <c r="W2087" s="22"/>
      <c r="X2087" s="10" t="str">
        <f aca="false">IF(AND(R2087="修改",S2087=""),"請選新事件代碼",IF(AND(R2087&lt;&gt;"修改",S2087&lt;&gt;""),"只有「修改」才需填代碼",""))</f>
        <v/>
      </c>
      <c r="Y2087" s="21"/>
      <c r="Z2087" s="22"/>
      <c r="AA2087" s="12" t="s">
        <v>5273</v>
      </c>
      <c r="AB2087" s="24"/>
    </row>
    <row r="2088" customFormat="false" ht="29.85" hidden="false" customHeight="false" outlineLevel="0" collapsed="false">
      <c r="A2088" s="15" t="n">
        <v>2087</v>
      </c>
      <c r="B2088" s="9" t="s">
        <v>45</v>
      </c>
      <c r="C2088" s="9" t="s">
        <v>550</v>
      </c>
      <c r="D2088" s="10" t="s">
        <v>551</v>
      </c>
      <c r="E2088" s="11" t="s">
        <v>5274</v>
      </c>
      <c r="F2088" s="17"/>
      <c r="G2088" s="12" t="s">
        <v>949</v>
      </c>
      <c r="H2088" s="13" t="n">
        <v>-0.006</v>
      </c>
      <c r="I2088" s="14"/>
      <c r="J2088" s="17"/>
      <c r="K2088" s="9"/>
      <c r="L2088" s="15" t="s">
        <v>50</v>
      </c>
      <c r="M2088" s="16" t="s">
        <v>51</v>
      </c>
      <c r="N2088" s="14"/>
      <c r="O2088" s="15" t="s">
        <v>52</v>
      </c>
      <c r="P2088" s="17" t="s">
        <v>53</v>
      </c>
      <c r="Q2088" s="15"/>
      <c r="R2088" s="18" t="s">
        <v>51</v>
      </c>
      <c r="S2088" s="19"/>
      <c r="T2088" s="17" t="str">
        <f aca="false">IF(R2088="維持",J2088,IF(R2088="排除","無關新聞事件",IFERROR(INDEX(事件規則!$B$2:$B$53,MATCH(S2088,事件規則!$A$2:$A$53,0)),"")))</f>
        <v>無關新聞事件</v>
      </c>
      <c r="U2088" s="20" t="n">
        <f aca="false">IF(R2088="維持",K2088,IF(R2088="排除",0,IFERROR(INDEX(事件規則!$C$2:$C$53,MATCH(S2088,事件規則!$A$2:$A$53,0)),"")))</f>
        <v>0</v>
      </c>
      <c r="V2088" s="21"/>
      <c r="W2088" s="22"/>
      <c r="X2088" s="10" t="str">
        <f aca="false">IF(AND(R2088="修改",S2088=""),"請選新事件代碼",IF(AND(R2088&lt;&gt;"修改",S2088&lt;&gt;""),"只有「修改」才需填代碼",""))</f>
        <v/>
      </c>
      <c r="Y2088" s="21"/>
      <c r="Z2088" s="22"/>
      <c r="AA2088" s="12" t="s">
        <v>5275</v>
      </c>
      <c r="AB2088" s="24"/>
    </row>
    <row r="2089" customFormat="false" ht="29.85" hidden="false" customHeight="false" outlineLevel="0" collapsed="false">
      <c r="A2089" s="15" t="n">
        <v>2088</v>
      </c>
      <c r="B2089" s="9" t="s">
        <v>45</v>
      </c>
      <c r="C2089" s="9" t="s">
        <v>1860</v>
      </c>
      <c r="D2089" s="10" t="s">
        <v>280</v>
      </c>
      <c r="E2089" s="11" t="s">
        <v>5276</v>
      </c>
      <c r="F2089" s="17"/>
      <c r="G2089" s="12" t="s">
        <v>4343</v>
      </c>
      <c r="H2089" s="13" t="n">
        <v>-0.006</v>
      </c>
      <c r="I2089" s="14"/>
      <c r="J2089" s="17"/>
      <c r="K2089" s="9"/>
      <c r="L2089" s="15" t="s">
        <v>50</v>
      </c>
      <c r="M2089" s="16" t="s">
        <v>51</v>
      </c>
      <c r="N2089" s="14"/>
      <c r="O2089" s="15" t="s">
        <v>52</v>
      </c>
      <c r="P2089" s="17" t="s">
        <v>53</v>
      </c>
      <c r="Q2089" s="15"/>
      <c r="R2089" s="18" t="s">
        <v>51</v>
      </c>
      <c r="S2089" s="19"/>
      <c r="T2089" s="17" t="str">
        <f aca="false">IF(R2089="維持",J2089,IF(R2089="排除","無關新聞事件",IFERROR(INDEX(事件規則!$B$2:$B$53,MATCH(S2089,事件規則!$A$2:$A$53,0)),"")))</f>
        <v>無關新聞事件</v>
      </c>
      <c r="U2089" s="20" t="n">
        <f aca="false">IF(R2089="維持",K2089,IF(R2089="排除",0,IFERROR(INDEX(事件規則!$C$2:$C$53,MATCH(S2089,事件規則!$A$2:$A$53,0)),"")))</f>
        <v>0</v>
      </c>
      <c r="V2089" s="21"/>
      <c r="W2089" s="22"/>
      <c r="X2089" s="10" t="str">
        <f aca="false">IF(AND(R2089="修改",S2089=""),"請選新事件代碼",IF(AND(R2089&lt;&gt;"修改",S2089&lt;&gt;""),"只有「修改」才需填代碼",""))</f>
        <v/>
      </c>
      <c r="Y2089" s="21"/>
      <c r="Z2089" s="22"/>
      <c r="AA2089" s="12" t="s">
        <v>5277</v>
      </c>
      <c r="AB2089" s="24"/>
    </row>
    <row r="2090" customFormat="false" ht="29.85" hidden="false" customHeight="false" outlineLevel="0" collapsed="false">
      <c r="A2090" s="15" t="n">
        <v>2089</v>
      </c>
      <c r="B2090" s="9" t="s">
        <v>112</v>
      </c>
      <c r="C2090" s="9" t="s">
        <v>755</v>
      </c>
      <c r="D2090" s="10" t="s">
        <v>756</v>
      </c>
      <c r="E2090" s="11" t="s">
        <v>5278</v>
      </c>
      <c r="F2090" s="17"/>
      <c r="G2090" s="12" t="s">
        <v>176</v>
      </c>
      <c r="H2090" s="13" t="n">
        <v>-0.006</v>
      </c>
      <c r="I2090" s="14"/>
      <c r="J2090" s="17"/>
      <c r="K2090" s="9"/>
      <c r="L2090" s="15" t="s">
        <v>50</v>
      </c>
      <c r="M2090" s="16" t="s">
        <v>51</v>
      </c>
      <c r="N2090" s="14"/>
      <c r="O2090" s="15" t="s">
        <v>52</v>
      </c>
      <c r="P2090" s="17" t="s">
        <v>53</v>
      </c>
      <c r="Q2090" s="15"/>
      <c r="R2090" s="18" t="s">
        <v>51</v>
      </c>
      <c r="S2090" s="19"/>
      <c r="T2090" s="17" t="str">
        <f aca="false">IF(R2090="維持",J2090,IF(R2090="排除","無關新聞事件",IFERROR(INDEX(事件規則!$B$2:$B$53,MATCH(S2090,事件規則!$A$2:$A$53,0)),"")))</f>
        <v>無關新聞事件</v>
      </c>
      <c r="U2090" s="20" t="n">
        <f aca="false">IF(R2090="維持",K2090,IF(R2090="排除",0,IFERROR(INDEX(事件規則!$C$2:$C$53,MATCH(S2090,事件規則!$A$2:$A$53,0)),"")))</f>
        <v>0</v>
      </c>
      <c r="V2090" s="21"/>
      <c r="W2090" s="22"/>
      <c r="X2090" s="10" t="str">
        <f aca="false">IF(AND(R2090="修改",S2090=""),"請選新事件代碼",IF(AND(R2090&lt;&gt;"修改",S2090&lt;&gt;""),"只有「修改」才需填代碼",""))</f>
        <v/>
      </c>
      <c r="Y2090" s="21"/>
      <c r="Z2090" s="22"/>
      <c r="AA2090" s="12" t="s">
        <v>5279</v>
      </c>
      <c r="AB2090" s="24"/>
    </row>
    <row r="2091" customFormat="false" ht="29.85" hidden="false" customHeight="false" outlineLevel="0" collapsed="false">
      <c r="A2091" s="15" t="n">
        <v>2090</v>
      </c>
      <c r="B2091" s="9" t="s">
        <v>55</v>
      </c>
      <c r="C2091" s="9" t="s">
        <v>355</v>
      </c>
      <c r="D2091" s="10" t="s">
        <v>356</v>
      </c>
      <c r="E2091" s="11" t="s">
        <v>5280</v>
      </c>
      <c r="F2091" s="17"/>
      <c r="G2091" s="12" t="s">
        <v>3304</v>
      </c>
      <c r="H2091" s="13" t="n">
        <v>-0.006</v>
      </c>
      <c r="I2091" s="14"/>
      <c r="J2091" s="17"/>
      <c r="K2091" s="9"/>
      <c r="L2091" s="15" t="s">
        <v>50</v>
      </c>
      <c r="M2091" s="16" t="s">
        <v>51</v>
      </c>
      <c r="N2091" s="14"/>
      <c r="O2091" s="15" t="s">
        <v>52</v>
      </c>
      <c r="P2091" s="17" t="s">
        <v>53</v>
      </c>
      <c r="Q2091" s="15"/>
      <c r="R2091" s="18" t="s">
        <v>51</v>
      </c>
      <c r="S2091" s="19"/>
      <c r="T2091" s="17" t="str">
        <f aca="false">IF(R2091="維持",J2091,IF(R2091="排除","無關新聞事件",IFERROR(INDEX(事件規則!$B$2:$B$53,MATCH(S2091,事件規則!$A$2:$A$53,0)),"")))</f>
        <v>無關新聞事件</v>
      </c>
      <c r="U2091" s="20" t="n">
        <f aca="false">IF(R2091="維持",K2091,IF(R2091="排除",0,IFERROR(INDEX(事件規則!$C$2:$C$53,MATCH(S2091,事件規則!$A$2:$A$53,0)),"")))</f>
        <v>0</v>
      </c>
      <c r="V2091" s="21"/>
      <c r="W2091" s="22"/>
      <c r="X2091" s="10" t="str">
        <f aca="false">IF(AND(R2091="修改",S2091=""),"請選新事件代碼",IF(AND(R2091&lt;&gt;"修改",S2091&lt;&gt;""),"只有「修改」才需填代碼",""))</f>
        <v/>
      </c>
      <c r="Y2091" s="21"/>
      <c r="Z2091" s="22"/>
      <c r="AA2091" s="12" t="s">
        <v>5281</v>
      </c>
      <c r="AB2091" s="24"/>
    </row>
    <row r="2092" customFormat="false" ht="29.85" hidden="false" customHeight="false" outlineLevel="0" collapsed="false">
      <c r="A2092" s="15" t="n">
        <v>2091</v>
      </c>
      <c r="B2092" s="9" t="s">
        <v>45</v>
      </c>
      <c r="C2092" s="9" t="s">
        <v>957</v>
      </c>
      <c r="D2092" s="10" t="s">
        <v>958</v>
      </c>
      <c r="E2092" s="11" t="s">
        <v>5282</v>
      </c>
      <c r="F2092" s="17"/>
      <c r="G2092" s="12" t="s">
        <v>949</v>
      </c>
      <c r="H2092" s="13" t="n">
        <v>-0.006</v>
      </c>
      <c r="I2092" s="14"/>
      <c r="J2092" s="17"/>
      <c r="K2092" s="9"/>
      <c r="L2092" s="15" t="s">
        <v>50</v>
      </c>
      <c r="M2092" s="16" t="s">
        <v>51</v>
      </c>
      <c r="N2092" s="14"/>
      <c r="O2092" s="15" t="s">
        <v>52</v>
      </c>
      <c r="P2092" s="17" t="s">
        <v>53</v>
      </c>
      <c r="Q2092" s="15"/>
      <c r="R2092" s="18" t="s">
        <v>51</v>
      </c>
      <c r="S2092" s="19"/>
      <c r="T2092" s="17" t="str">
        <f aca="false">IF(R2092="維持",J2092,IF(R2092="排除","無關新聞事件",IFERROR(INDEX(事件規則!$B$2:$B$53,MATCH(S2092,事件規則!$A$2:$A$53,0)),"")))</f>
        <v>無關新聞事件</v>
      </c>
      <c r="U2092" s="20" t="n">
        <f aca="false">IF(R2092="維持",K2092,IF(R2092="排除",0,IFERROR(INDEX(事件規則!$C$2:$C$53,MATCH(S2092,事件規則!$A$2:$A$53,0)),"")))</f>
        <v>0</v>
      </c>
      <c r="V2092" s="21"/>
      <c r="W2092" s="22"/>
      <c r="X2092" s="10" t="str">
        <f aca="false">IF(AND(R2092="修改",S2092=""),"請選新事件代碼",IF(AND(R2092&lt;&gt;"修改",S2092&lt;&gt;""),"只有「修改」才需填代碼",""))</f>
        <v/>
      </c>
      <c r="Y2092" s="21"/>
      <c r="Z2092" s="22"/>
      <c r="AA2092" s="12" t="s">
        <v>5283</v>
      </c>
      <c r="AB2092" s="24"/>
    </row>
    <row r="2093" customFormat="false" ht="29.85" hidden="false" customHeight="false" outlineLevel="0" collapsed="false">
      <c r="A2093" s="15" t="n">
        <v>2092</v>
      </c>
      <c r="B2093" s="9" t="s">
        <v>55</v>
      </c>
      <c r="C2093" s="9" t="s">
        <v>2730</v>
      </c>
      <c r="D2093" s="10" t="s">
        <v>2731</v>
      </c>
      <c r="E2093" s="11" t="s">
        <v>5284</v>
      </c>
      <c r="F2093" s="17"/>
      <c r="G2093" s="12" t="s">
        <v>4343</v>
      </c>
      <c r="H2093" s="13" t="n">
        <v>-0.006</v>
      </c>
      <c r="I2093" s="14"/>
      <c r="J2093" s="17"/>
      <c r="K2093" s="9"/>
      <c r="L2093" s="15" t="s">
        <v>50</v>
      </c>
      <c r="M2093" s="16" t="s">
        <v>51</v>
      </c>
      <c r="N2093" s="14"/>
      <c r="O2093" s="15" t="s">
        <v>52</v>
      </c>
      <c r="P2093" s="17" t="s">
        <v>53</v>
      </c>
      <c r="Q2093" s="15"/>
      <c r="R2093" s="18" t="s">
        <v>51</v>
      </c>
      <c r="S2093" s="19"/>
      <c r="T2093" s="17" t="str">
        <f aca="false">IF(R2093="維持",J2093,IF(R2093="排除","無關新聞事件",IFERROR(INDEX(事件規則!$B$2:$B$53,MATCH(S2093,事件規則!$A$2:$A$53,0)),"")))</f>
        <v>無關新聞事件</v>
      </c>
      <c r="U2093" s="20" t="n">
        <f aca="false">IF(R2093="維持",K2093,IF(R2093="排除",0,IFERROR(INDEX(事件規則!$C$2:$C$53,MATCH(S2093,事件規則!$A$2:$A$53,0)),"")))</f>
        <v>0</v>
      </c>
      <c r="V2093" s="21"/>
      <c r="W2093" s="22"/>
      <c r="X2093" s="10" t="str">
        <f aca="false">IF(AND(R2093="修改",S2093=""),"請選新事件代碼",IF(AND(R2093&lt;&gt;"修改",S2093&lt;&gt;""),"只有「修改」才需填代碼",""))</f>
        <v/>
      </c>
      <c r="Y2093" s="21"/>
      <c r="Z2093" s="22"/>
      <c r="AA2093" s="12" t="s">
        <v>5285</v>
      </c>
      <c r="AB2093" s="24"/>
    </row>
    <row r="2094" customFormat="false" ht="29.85" hidden="false" customHeight="false" outlineLevel="0" collapsed="false">
      <c r="A2094" s="15" t="n">
        <v>2093</v>
      </c>
      <c r="B2094" s="9" t="s">
        <v>55</v>
      </c>
      <c r="C2094" s="9" t="s">
        <v>3141</v>
      </c>
      <c r="D2094" s="10" t="s">
        <v>3142</v>
      </c>
      <c r="E2094" s="11" t="s">
        <v>5286</v>
      </c>
      <c r="F2094" s="17"/>
      <c r="G2094" s="12" t="s">
        <v>105</v>
      </c>
      <c r="H2094" s="13" t="n">
        <v>-0.006</v>
      </c>
      <c r="I2094" s="14"/>
      <c r="J2094" s="17"/>
      <c r="K2094" s="9"/>
      <c r="L2094" s="15" t="s">
        <v>50</v>
      </c>
      <c r="M2094" s="16" t="s">
        <v>51</v>
      </c>
      <c r="N2094" s="14"/>
      <c r="O2094" s="15" t="s">
        <v>52</v>
      </c>
      <c r="P2094" s="17" t="s">
        <v>53</v>
      </c>
      <c r="Q2094" s="15"/>
      <c r="R2094" s="18" t="s">
        <v>51</v>
      </c>
      <c r="S2094" s="19"/>
      <c r="T2094" s="17" t="str">
        <f aca="false">IF(R2094="維持",J2094,IF(R2094="排除","無關新聞事件",IFERROR(INDEX(事件規則!$B$2:$B$53,MATCH(S2094,事件規則!$A$2:$A$53,0)),"")))</f>
        <v>無關新聞事件</v>
      </c>
      <c r="U2094" s="20" t="n">
        <f aca="false">IF(R2094="維持",K2094,IF(R2094="排除",0,IFERROR(INDEX(事件規則!$C$2:$C$53,MATCH(S2094,事件規則!$A$2:$A$53,0)),"")))</f>
        <v>0</v>
      </c>
      <c r="V2094" s="21"/>
      <c r="W2094" s="22"/>
      <c r="X2094" s="10" t="str">
        <f aca="false">IF(AND(R2094="修改",S2094=""),"請選新事件代碼",IF(AND(R2094&lt;&gt;"修改",S2094&lt;&gt;""),"只有「修改」才需填代碼",""))</f>
        <v/>
      </c>
      <c r="Y2094" s="21"/>
      <c r="Z2094" s="22"/>
      <c r="AA2094" s="12" t="s">
        <v>5287</v>
      </c>
      <c r="AB2094" s="24"/>
    </row>
    <row r="2095" customFormat="false" ht="29.85" hidden="false" customHeight="false" outlineLevel="0" collapsed="false">
      <c r="A2095" s="15" t="n">
        <v>2094</v>
      </c>
      <c r="B2095" s="9" t="s">
        <v>55</v>
      </c>
      <c r="C2095" s="9" t="s">
        <v>1717</v>
      </c>
      <c r="D2095" s="10" t="s">
        <v>1718</v>
      </c>
      <c r="E2095" s="11" t="s">
        <v>5288</v>
      </c>
      <c r="F2095" s="17"/>
      <c r="G2095" s="12" t="s">
        <v>176</v>
      </c>
      <c r="H2095" s="13" t="n">
        <v>-0.006</v>
      </c>
      <c r="I2095" s="14"/>
      <c r="J2095" s="17"/>
      <c r="K2095" s="9"/>
      <c r="L2095" s="15" t="s">
        <v>50</v>
      </c>
      <c r="M2095" s="16" t="s">
        <v>51</v>
      </c>
      <c r="N2095" s="14"/>
      <c r="O2095" s="15" t="s">
        <v>52</v>
      </c>
      <c r="P2095" s="17" t="s">
        <v>53</v>
      </c>
      <c r="Q2095" s="15"/>
      <c r="R2095" s="18" t="s">
        <v>51</v>
      </c>
      <c r="S2095" s="19"/>
      <c r="T2095" s="17" t="str">
        <f aca="false">IF(R2095="維持",J2095,IF(R2095="排除","無關新聞事件",IFERROR(INDEX(事件規則!$B$2:$B$53,MATCH(S2095,事件規則!$A$2:$A$53,0)),"")))</f>
        <v>無關新聞事件</v>
      </c>
      <c r="U2095" s="20" t="n">
        <f aca="false">IF(R2095="維持",K2095,IF(R2095="排除",0,IFERROR(INDEX(事件規則!$C$2:$C$53,MATCH(S2095,事件規則!$A$2:$A$53,0)),"")))</f>
        <v>0</v>
      </c>
      <c r="V2095" s="21"/>
      <c r="W2095" s="22"/>
      <c r="X2095" s="10" t="str">
        <f aca="false">IF(AND(R2095="修改",S2095=""),"請選新事件代碼",IF(AND(R2095&lt;&gt;"修改",S2095&lt;&gt;""),"只有「修改」才需填代碼",""))</f>
        <v/>
      </c>
      <c r="Y2095" s="21"/>
      <c r="Z2095" s="22"/>
      <c r="AA2095" s="12" t="s">
        <v>5289</v>
      </c>
      <c r="AB2095" s="24"/>
    </row>
    <row r="2096" customFormat="false" ht="29.85" hidden="false" customHeight="false" outlineLevel="0" collapsed="false">
      <c r="A2096" s="15" t="n">
        <v>2095</v>
      </c>
      <c r="B2096" s="9" t="s">
        <v>55</v>
      </c>
      <c r="C2096" s="9" t="s">
        <v>273</v>
      </c>
      <c r="D2096" s="10" t="s">
        <v>274</v>
      </c>
      <c r="E2096" s="11" t="s">
        <v>5290</v>
      </c>
      <c r="F2096" s="17"/>
      <c r="G2096" s="12" t="s">
        <v>1136</v>
      </c>
      <c r="H2096" s="13" t="n">
        <v>-0.006</v>
      </c>
      <c r="I2096" s="14"/>
      <c r="J2096" s="17"/>
      <c r="K2096" s="9"/>
      <c r="L2096" s="15" t="s">
        <v>50</v>
      </c>
      <c r="M2096" s="16" t="s">
        <v>51</v>
      </c>
      <c r="N2096" s="14"/>
      <c r="O2096" s="15" t="s">
        <v>52</v>
      </c>
      <c r="P2096" s="17" t="s">
        <v>53</v>
      </c>
      <c r="Q2096" s="15"/>
      <c r="R2096" s="18" t="s">
        <v>51</v>
      </c>
      <c r="S2096" s="19"/>
      <c r="T2096" s="17" t="str">
        <f aca="false">IF(R2096="維持",J2096,IF(R2096="排除","無關新聞事件",IFERROR(INDEX(事件規則!$B$2:$B$53,MATCH(S2096,事件規則!$A$2:$A$53,0)),"")))</f>
        <v>無關新聞事件</v>
      </c>
      <c r="U2096" s="20" t="n">
        <f aca="false">IF(R2096="維持",K2096,IF(R2096="排除",0,IFERROR(INDEX(事件規則!$C$2:$C$53,MATCH(S2096,事件規則!$A$2:$A$53,0)),"")))</f>
        <v>0</v>
      </c>
      <c r="V2096" s="21"/>
      <c r="W2096" s="22"/>
      <c r="X2096" s="10" t="str">
        <f aca="false">IF(AND(R2096="修改",S2096=""),"請選新事件代碼",IF(AND(R2096&lt;&gt;"修改",S2096&lt;&gt;""),"只有「修改」才需填代碼",""))</f>
        <v/>
      </c>
      <c r="Y2096" s="21"/>
      <c r="Z2096" s="22"/>
      <c r="AA2096" s="12" t="s">
        <v>5291</v>
      </c>
      <c r="AB2096" s="24"/>
    </row>
    <row r="2097" customFormat="false" ht="29.85" hidden="false" customHeight="false" outlineLevel="0" collapsed="false">
      <c r="A2097" s="15" t="n">
        <v>2096</v>
      </c>
      <c r="B2097" s="9" t="s">
        <v>45</v>
      </c>
      <c r="C2097" s="9" t="s">
        <v>355</v>
      </c>
      <c r="D2097" s="10" t="s">
        <v>356</v>
      </c>
      <c r="E2097" s="11" t="s">
        <v>5292</v>
      </c>
      <c r="F2097" s="17"/>
      <c r="G2097" s="12" t="s">
        <v>5293</v>
      </c>
      <c r="H2097" s="13" t="n">
        <v>-0.006</v>
      </c>
      <c r="I2097" s="14"/>
      <c r="J2097" s="17"/>
      <c r="K2097" s="9"/>
      <c r="L2097" s="15" t="s">
        <v>50</v>
      </c>
      <c r="M2097" s="16" t="s">
        <v>51</v>
      </c>
      <c r="N2097" s="14"/>
      <c r="O2097" s="15" t="s">
        <v>52</v>
      </c>
      <c r="P2097" s="17" t="s">
        <v>53</v>
      </c>
      <c r="Q2097" s="15"/>
      <c r="R2097" s="18" t="s">
        <v>51</v>
      </c>
      <c r="S2097" s="19"/>
      <c r="T2097" s="17" t="str">
        <f aca="false">IF(R2097="維持",J2097,IF(R2097="排除","無關新聞事件",IFERROR(INDEX(事件規則!$B$2:$B$53,MATCH(S2097,事件規則!$A$2:$A$53,0)),"")))</f>
        <v>無關新聞事件</v>
      </c>
      <c r="U2097" s="20" t="n">
        <f aca="false">IF(R2097="維持",K2097,IF(R2097="排除",0,IFERROR(INDEX(事件規則!$C$2:$C$53,MATCH(S2097,事件規則!$A$2:$A$53,0)),"")))</f>
        <v>0</v>
      </c>
      <c r="V2097" s="21"/>
      <c r="W2097" s="22"/>
      <c r="X2097" s="10" t="str">
        <f aca="false">IF(AND(R2097="修改",S2097=""),"請選新事件代碼",IF(AND(R2097&lt;&gt;"修改",S2097&lt;&gt;""),"只有「修改」才需填代碼",""))</f>
        <v/>
      </c>
      <c r="Y2097" s="21"/>
      <c r="Z2097" s="22"/>
      <c r="AA2097" s="12" t="s">
        <v>5294</v>
      </c>
      <c r="AB2097" s="24"/>
    </row>
    <row r="2098" customFormat="false" ht="29.85" hidden="false" customHeight="false" outlineLevel="0" collapsed="false">
      <c r="A2098" s="15" t="n">
        <v>2097</v>
      </c>
      <c r="B2098" s="9" t="s">
        <v>45</v>
      </c>
      <c r="C2098" s="9" t="s">
        <v>268</v>
      </c>
      <c r="D2098" s="10" t="s">
        <v>269</v>
      </c>
      <c r="E2098" s="11" t="s">
        <v>5295</v>
      </c>
      <c r="F2098" s="17"/>
      <c r="G2098" s="12" t="s">
        <v>572</v>
      </c>
      <c r="H2098" s="13" t="n">
        <v>-0.006</v>
      </c>
      <c r="I2098" s="14"/>
      <c r="J2098" s="17"/>
      <c r="K2098" s="9"/>
      <c r="L2098" s="15" t="s">
        <v>50</v>
      </c>
      <c r="M2098" s="16" t="s">
        <v>51</v>
      </c>
      <c r="N2098" s="14"/>
      <c r="O2098" s="15" t="s">
        <v>52</v>
      </c>
      <c r="P2098" s="17" t="s">
        <v>53</v>
      </c>
      <c r="Q2098" s="15"/>
      <c r="R2098" s="18" t="s">
        <v>51</v>
      </c>
      <c r="S2098" s="19"/>
      <c r="T2098" s="17" t="str">
        <f aca="false">IF(R2098="維持",J2098,IF(R2098="排除","無關新聞事件",IFERROR(INDEX(事件規則!$B$2:$B$53,MATCH(S2098,事件規則!$A$2:$A$53,0)),"")))</f>
        <v>無關新聞事件</v>
      </c>
      <c r="U2098" s="20" t="n">
        <f aca="false">IF(R2098="維持",K2098,IF(R2098="排除",0,IFERROR(INDEX(事件規則!$C$2:$C$53,MATCH(S2098,事件規則!$A$2:$A$53,0)),"")))</f>
        <v>0</v>
      </c>
      <c r="V2098" s="21"/>
      <c r="W2098" s="22"/>
      <c r="X2098" s="10" t="str">
        <f aca="false">IF(AND(R2098="修改",S2098=""),"請選新事件代碼",IF(AND(R2098&lt;&gt;"修改",S2098&lt;&gt;""),"只有「修改」才需填代碼",""))</f>
        <v/>
      </c>
      <c r="Y2098" s="21"/>
      <c r="Z2098" s="22"/>
      <c r="AA2098" s="12" t="s">
        <v>5296</v>
      </c>
      <c r="AB2098" s="24"/>
    </row>
    <row r="2099" customFormat="false" ht="29.85" hidden="false" customHeight="false" outlineLevel="0" collapsed="false">
      <c r="A2099" s="15" t="n">
        <v>2098</v>
      </c>
      <c r="B2099" s="9" t="s">
        <v>45</v>
      </c>
      <c r="C2099" s="9" t="s">
        <v>254</v>
      </c>
      <c r="D2099" s="10" t="s">
        <v>255</v>
      </c>
      <c r="E2099" s="11" t="s">
        <v>5297</v>
      </c>
      <c r="F2099" s="17"/>
      <c r="G2099" s="12" t="s">
        <v>1068</v>
      </c>
      <c r="H2099" s="13" t="n">
        <v>-0.006</v>
      </c>
      <c r="I2099" s="14"/>
      <c r="J2099" s="17"/>
      <c r="K2099" s="9"/>
      <c r="L2099" s="15" t="s">
        <v>50</v>
      </c>
      <c r="M2099" s="16" t="s">
        <v>51</v>
      </c>
      <c r="N2099" s="14"/>
      <c r="O2099" s="15" t="s">
        <v>52</v>
      </c>
      <c r="P2099" s="17" t="s">
        <v>53</v>
      </c>
      <c r="Q2099" s="15"/>
      <c r="R2099" s="18" t="s">
        <v>51</v>
      </c>
      <c r="S2099" s="19"/>
      <c r="T2099" s="17" t="str">
        <f aca="false">IF(R2099="維持",J2099,IF(R2099="排除","無關新聞事件",IFERROR(INDEX(事件規則!$B$2:$B$53,MATCH(S2099,事件規則!$A$2:$A$53,0)),"")))</f>
        <v>無關新聞事件</v>
      </c>
      <c r="U2099" s="20" t="n">
        <f aca="false">IF(R2099="維持",K2099,IF(R2099="排除",0,IFERROR(INDEX(事件規則!$C$2:$C$53,MATCH(S2099,事件規則!$A$2:$A$53,0)),"")))</f>
        <v>0</v>
      </c>
      <c r="V2099" s="21"/>
      <c r="W2099" s="22"/>
      <c r="X2099" s="10" t="str">
        <f aca="false">IF(AND(R2099="修改",S2099=""),"請選新事件代碼",IF(AND(R2099&lt;&gt;"修改",S2099&lt;&gt;""),"只有「修改」才需填代碼",""))</f>
        <v/>
      </c>
      <c r="Y2099" s="21"/>
      <c r="Z2099" s="22"/>
      <c r="AA2099" s="12" t="s">
        <v>5298</v>
      </c>
      <c r="AB2099" s="24"/>
    </row>
    <row r="2100" customFormat="false" ht="29.85" hidden="false" customHeight="false" outlineLevel="0" collapsed="false">
      <c r="A2100" s="15" t="n">
        <v>2099</v>
      </c>
      <c r="B2100" s="9" t="s">
        <v>45</v>
      </c>
      <c r="C2100" s="9" t="s">
        <v>668</v>
      </c>
      <c r="D2100" s="10" t="s">
        <v>669</v>
      </c>
      <c r="E2100" s="11" t="s">
        <v>5299</v>
      </c>
      <c r="F2100" s="17"/>
      <c r="G2100" s="12" t="s">
        <v>5300</v>
      </c>
      <c r="H2100" s="13" t="n">
        <v>-0.006</v>
      </c>
      <c r="I2100" s="14"/>
      <c r="J2100" s="17"/>
      <c r="K2100" s="9"/>
      <c r="L2100" s="15" t="s">
        <v>50</v>
      </c>
      <c r="M2100" s="16" t="s">
        <v>51</v>
      </c>
      <c r="N2100" s="14"/>
      <c r="O2100" s="15" t="s">
        <v>52</v>
      </c>
      <c r="P2100" s="17" t="s">
        <v>53</v>
      </c>
      <c r="Q2100" s="15"/>
      <c r="R2100" s="18" t="s">
        <v>51</v>
      </c>
      <c r="S2100" s="19"/>
      <c r="T2100" s="17" t="str">
        <f aca="false">IF(R2100="維持",J2100,IF(R2100="排除","無關新聞事件",IFERROR(INDEX(事件規則!$B$2:$B$53,MATCH(S2100,事件規則!$A$2:$A$53,0)),"")))</f>
        <v>無關新聞事件</v>
      </c>
      <c r="U2100" s="20" t="n">
        <f aca="false">IF(R2100="維持",K2100,IF(R2100="排除",0,IFERROR(INDEX(事件規則!$C$2:$C$53,MATCH(S2100,事件規則!$A$2:$A$53,0)),"")))</f>
        <v>0</v>
      </c>
      <c r="V2100" s="21"/>
      <c r="W2100" s="22"/>
      <c r="X2100" s="10" t="str">
        <f aca="false">IF(AND(R2100="修改",S2100=""),"請選新事件代碼",IF(AND(R2100&lt;&gt;"修改",S2100&lt;&gt;""),"只有「修改」才需填代碼",""))</f>
        <v/>
      </c>
      <c r="Y2100" s="21"/>
      <c r="Z2100" s="22"/>
      <c r="AA2100" s="12" t="s">
        <v>5301</v>
      </c>
      <c r="AB2100" s="24"/>
    </row>
    <row r="2101" customFormat="false" ht="29.85" hidden="false" customHeight="false" outlineLevel="0" collapsed="false">
      <c r="A2101" s="15" t="n">
        <v>2100</v>
      </c>
      <c r="B2101" s="9" t="s">
        <v>55</v>
      </c>
      <c r="C2101" s="9" t="s">
        <v>3041</v>
      </c>
      <c r="D2101" s="10" t="s">
        <v>3042</v>
      </c>
      <c r="E2101" s="11" t="s">
        <v>5302</v>
      </c>
      <c r="F2101" s="17"/>
      <c r="G2101" s="12" t="s">
        <v>105</v>
      </c>
      <c r="H2101" s="13" t="n">
        <v>-0.006</v>
      </c>
      <c r="I2101" s="14"/>
      <c r="J2101" s="17"/>
      <c r="K2101" s="9"/>
      <c r="L2101" s="15" t="s">
        <v>50</v>
      </c>
      <c r="M2101" s="16" t="s">
        <v>51</v>
      </c>
      <c r="N2101" s="14"/>
      <c r="O2101" s="15" t="s">
        <v>52</v>
      </c>
      <c r="P2101" s="17" t="s">
        <v>53</v>
      </c>
      <c r="Q2101" s="15"/>
      <c r="R2101" s="18" t="s">
        <v>51</v>
      </c>
      <c r="S2101" s="19"/>
      <c r="T2101" s="17" t="str">
        <f aca="false">IF(R2101="維持",J2101,IF(R2101="排除","無關新聞事件",IFERROR(INDEX(事件規則!$B$2:$B$53,MATCH(S2101,事件規則!$A$2:$A$53,0)),"")))</f>
        <v>無關新聞事件</v>
      </c>
      <c r="U2101" s="20" t="n">
        <f aca="false">IF(R2101="維持",K2101,IF(R2101="排除",0,IFERROR(INDEX(事件規則!$C$2:$C$53,MATCH(S2101,事件規則!$A$2:$A$53,0)),"")))</f>
        <v>0</v>
      </c>
      <c r="V2101" s="21"/>
      <c r="W2101" s="22"/>
      <c r="X2101" s="10" t="str">
        <f aca="false">IF(AND(R2101="修改",S2101=""),"請選新事件代碼",IF(AND(R2101&lt;&gt;"修改",S2101&lt;&gt;""),"只有「修改」才需填代碼",""))</f>
        <v/>
      </c>
      <c r="Y2101" s="21"/>
      <c r="Z2101" s="22"/>
      <c r="AA2101" s="12" t="s">
        <v>5303</v>
      </c>
      <c r="AB2101" s="24"/>
    </row>
    <row r="2102" customFormat="false" ht="29.85" hidden="false" customHeight="false" outlineLevel="0" collapsed="false">
      <c r="A2102" s="15" t="n">
        <v>2101</v>
      </c>
      <c r="B2102" s="9" t="s">
        <v>55</v>
      </c>
      <c r="C2102" s="9" t="s">
        <v>166</v>
      </c>
      <c r="D2102" s="10" t="s">
        <v>167</v>
      </c>
      <c r="E2102" s="11" t="s">
        <v>5304</v>
      </c>
      <c r="F2102" s="17"/>
      <c r="G2102" s="12" t="s">
        <v>95</v>
      </c>
      <c r="H2102" s="13" t="n">
        <v>-0.006</v>
      </c>
      <c r="I2102" s="14"/>
      <c r="J2102" s="17"/>
      <c r="K2102" s="9"/>
      <c r="L2102" s="15" t="s">
        <v>50</v>
      </c>
      <c r="M2102" s="16" t="s">
        <v>51</v>
      </c>
      <c r="N2102" s="14"/>
      <c r="O2102" s="15" t="s">
        <v>52</v>
      </c>
      <c r="P2102" s="17" t="s">
        <v>53</v>
      </c>
      <c r="Q2102" s="15"/>
      <c r="R2102" s="18" t="s">
        <v>51</v>
      </c>
      <c r="S2102" s="19"/>
      <c r="T2102" s="17" t="str">
        <f aca="false">IF(R2102="維持",J2102,IF(R2102="排除","無關新聞事件",IFERROR(INDEX(事件規則!$B$2:$B$53,MATCH(S2102,事件規則!$A$2:$A$53,0)),"")))</f>
        <v>無關新聞事件</v>
      </c>
      <c r="U2102" s="20" t="n">
        <f aca="false">IF(R2102="維持",K2102,IF(R2102="排除",0,IFERROR(INDEX(事件規則!$C$2:$C$53,MATCH(S2102,事件規則!$A$2:$A$53,0)),"")))</f>
        <v>0</v>
      </c>
      <c r="V2102" s="21"/>
      <c r="W2102" s="22"/>
      <c r="X2102" s="10" t="str">
        <f aca="false">IF(AND(R2102="修改",S2102=""),"請選新事件代碼",IF(AND(R2102&lt;&gt;"修改",S2102&lt;&gt;""),"只有「修改」才需填代碼",""))</f>
        <v/>
      </c>
      <c r="Y2102" s="21"/>
      <c r="Z2102" s="22"/>
      <c r="AA2102" s="12" t="s">
        <v>5305</v>
      </c>
      <c r="AB2102" s="24"/>
    </row>
    <row r="2103" customFormat="false" ht="29.85" hidden="false" customHeight="false" outlineLevel="0" collapsed="false">
      <c r="A2103" s="15" t="n">
        <v>2102</v>
      </c>
      <c r="B2103" s="9" t="s">
        <v>55</v>
      </c>
      <c r="C2103" s="9" t="s">
        <v>1391</v>
      </c>
      <c r="D2103" s="10" t="s">
        <v>1392</v>
      </c>
      <c r="E2103" s="11" t="s">
        <v>5306</v>
      </c>
      <c r="F2103" s="17"/>
      <c r="G2103" s="12" t="s">
        <v>95</v>
      </c>
      <c r="H2103" s="13" t="n">
        <v>-0.006</v>
      </c>
      <c r="I2103" s="14"/>
      <c r="J2103" s="17"/>
      <c r="K2103" s="9"/>
      <c r="L2103" s="15" t="s">
        <v>50</v>
      </c>
      <c r="M2103" s="16" t="s">
        <v>51</v>
      </c>
      <c r="N2103" s="14"/>
      <c r="O2103" s="15" t="s">
        <v>52</v>
      </c>
      <c r="P2103" s="17" t="s">
        <v>53</v>
      </c>
      <c r="Q2103" s="15"/>
      <c r="R2103" s="18" t="s">
        <v>51</v>
      </c>
      <c r="S2103" s="19"/>
      <c r="T2103" s="17" t="str">
        <f aca="false">IF(R2103="維持",J2103,IF(R2103="排除","無關新聞事件",IFERROR(INDEX(事件規則!$B$2:$B$53,MATCH(S2103,事件規則!$A$2:$A$53,0)),"")))</f>
        <v>無關新聞事件</v>
      </c>
      <c r="U2103" s="20" t="n">
        <f aca="false">IF(R2103="維持",K2103,IF(R2103="排除",0,IFERROR(INDEX(事件規則!$C$2:$C$53,MATCH(S2103,事件規則!$A$2:$A$53,0)),"")))</f>
        <v>0</v>
      </c>
      <c r="V2103" s="21"/>
      <c r="W2103" s="22"/>
      <c r="X2103" s="10" t="str">
        <f aca="false">IF(AND(R2103="修改",S2103=""),"請選新事件代碼",IF(AND(R2103&lt;&gt;"修改",S2103&lt;&gt;""),"只有「修改」才需填代碼",""))</f>
        <v/>
      </c>
      <c r="Y2103" s="21"/>
      <c r="Z2103" s="22"/>
      <c r="AA2103" s="12" t="s">
        <v>5307</v>
      </c>
      <c r="AB2103" s="24"/>
    </row>
    <row r="2104" customFormat="false" ht="29.85" hidden="false" customHeight="false" outlineLevel="0" collapsed="false">
      <c r="A2104" s="15" t="n">
        <v>2103</v>
      </c>
      <c r="B2104" s="9" t="s">
        <v>55</v>
      </c>
      <c r="C2104" s="9" t="s">
        <v>716</v>
      </c>
      <c r="D2104" s="10" t="s">
        <v>717</v>
      </c>
      <c r="E2104" s="11" t="s">
        <v>5308</v>
      </c>
      <c r="F2104" s="17"/>
      <c r="G2104" s="12" t="s">
        <v>4702</v>
      </c>
      <c r="H2104" s="13" t="n">
        <v>-0.006</v>
      </c>
      <c r="I2104" s="14"/>
      <c r="J2104" s="17"/>
      <c r="K2104" s="9"/>
      <c r="L2104" s="15" t="s">
        <v>50</v>
      </c>
      <c r="M2104" s="16" t="s">
        <v>51</v>
      </c>
      <c r="N2104" s="14"/>
      <c r="O2104" s="15" t="s">
        <v>52</v>
      </c>
      <c r="P2104" s="17" t="s">
        <v>53</v>
      </c>
      <c r="Q2104" s="15"/>
      <c r="R2104" s="18" t="s">
        <v>51</v>
      </c>
      <c r="S2104" s="19"/>
      <c r="T2104" s="17" t="str">
        <f aca="false">IF(R2104="維持",J2104,IF(R2104="排除","無關新聞事件",IFERROR(INDEX(事件規則!$B$2:$B$53,MATCH(S2104,事件規則!$A$2:$A$53,0)),"")))</f>
        <v>無關新聞事件</v>
      </c>
      <c r="U2104" s="20" t="n">
        <f aca="false">IF(R2104="維持",K2104,IF(R2104="排除",0,IFERROR(INDEX(事件規則!$C$2:$C$53,MATCH(S2104,事件規則!$A$2:$A$53,0)),"")))</f>
        <v>0</v>
      </c>
      <c r="V2104" s="21"/>
      <c r="W2104" s="22"/>
      <c r="X2104" s="10" t="str">
        <f aca="false">IF(AND(R2104="修改",S2104=""),"請選新事件代碼",IF(AND(R2104&lt;&gt;"修改",S2104&lt;&gt;""),"只有「修改」才需填代碼",""))</f>
        <v/>
      </c>
      <c r="Y2104" s="21"/>
      <c r="Z2104" s="22"/>
      <c r="AA2104" s="12" t="s">
        <v>5309</v>
      </c>
      <c r="AB2104" s="24"/>
    </row>
    <row r="2105" customFormat="false" ht="29.85" hidden="false" customHeight="false" outlineLevel="0" collapsed="false">
      <c r="A2105" s="15" t="n">
        <v>2104</v>
      </c>
      <c r="B2105" s="9" t="s">
        <v>55</v>
      </c>
      <c r="C2105" s="9" t="s">
        <v>936</v>
      </c>
      <c r="D2105" s="10" t="s">
        <v>937</v>
      </c>
      <c r="E2105" s="11" t="s">
        <v>5310</v>
      </c>
      <c r="F2105" s="17"/>
      <c r="G2105" s="12" t="s">
        <v>5311</v>
      </c>
      <c r="H2105" s="13" t="n">
        <v>-0.006</v>
      </c>
      <c r="I2105" s="14"/>
      <c r="J2105" s="17"/>
      <c r="K2105" s="9"/>
      <c r="L2105" s="15" t="s">
        <v>50</v>
      </c>
      <c r="M2105" s="16" t="s">
        <v>51</v>
      </c>
      <c r="N2105" s="14"/>
      <c r="O2105" s="15" t="s">
        <v>52</v>
      </c>
      <c r="P2105" s="17" t="s">
        <v>53</v>
      </c>
      <c r="Q2105" s="15"/>
      <c r="R2105" s="18" t="s">
        <v>51</v>
      </c>
      <c r="S2105" s="19"/>
      <c r="T2105" s="17" t="str">
        <f aca="false">IF(R2105="維持",J2105,IF(R2105="排除","無關新聞事件",IFERROR(INDEX(事件規則!$B$2:$B$53,MATCH(S2105,事件規則!$A$2:$A$53,0)),"")))</f>
        <v>無關新聞事件</v>
      </c>
      <c r="U2105" s="20" t="n">
        <f aca="false">IF(R2105="維持",K2105,IF(R2105="排除",0,IFERROR(INDEX(事件規則!$C$2:$C$53,MATCH(S2105,事件規則!$A$2:$A$53,0)),"")))</f>
        <v>0</v>
      </c>
      <c r="V2105" s="21"/>
      <c r="W2105" s="22"/>
      <c r="X2105" s="10" t="str">
        <f aca="false">IF(AND(R2105="修改",S2105=""),"請選新事件代碼",IF(AND(R2105&lt;&gt;"修改",S2105&lt;&gt;""),"只有「修改」才需填代碼",""))</f>
        <v/>
      </c>
      <c r="Y2105" s="21"/>
      <c r="Z2105" s="22"/>
      <c r="AA2105" s="12" t="s">
        <v>5312</v>
      </c>
      <c r="AB2105" s="24"/>
    </row>
    <row r="2106" customFormat="false" ht="29.85" hidden="false" customHeight="false" outlineLevel="0" collapsed="false">
      <c r="A2106" s="15" t="n">
        <v>2105</v>
      </c>
      <c r="B2106" s="9" t="s">
        <v>55</v>
      </c>
      <c r="C2106" s="9" t="s">
        <v>878</v>
      </c>
      <c r="D2106" s="10" t="s">
        <v>879</v>
      </c>
      <c r="E2106" s="11" t="s">
        <v>5313</v>
      </c>
      <c r="F2106" s="17"/>
      <c r="G2106" s="12" t="s">
        <v>95</v>
      </c>
      <c r="H2106" s="13" t="n">
        <v>-0.006</v>
      </c>
      <c r="I2106" s="14"/>
      <c r="J2106" s="17"/>
      <c r="K2106" s="9"/>
      <c r="L2106" s="15" t="s">
        <v>50</v>
      </c>
      <c r="M2106" s="16" t="s">
        <v>51</v>
      </c>
      <c r="N2106" s="14"/>
      <c r="O2106" s="15" t="s">
        <v>52</v>
      </c>
      <c r="P2106" s="17" t="s">
        <v>53</v>
      </c>
      <c r="Q2106" s="15"/>
      <c r="R2106" s="18" t="s">
        <v>51</v>
      </c>
      <c r="S2106" s="19"/>
      <c r="T2106" s="17" t="str">
        <f aca="false">IF(R2106="維持",J2106,IF(R2106="排除","無關新聞事件",IFERROR(INDEX(事件規則!$B$2:$B$53,MATCH(S2106,事件規則!$A$2:$A$53,0)),"")))</f>
        <v>無關新聞事件</v>
      </c>
      <c r="U2106" s="20" t="n">
        <f aca="false">IF(R2106="維持",K2106,IF(R2106="排除",0,IFERROR(INDEX(事件規則!$C$2:$C$53,MATCH(S2106,事件規則!$A$2:$A$53,0)),"")))</f>
        <v>0</v>
      </c>
      <c r="V2106" s="21"/>
      <c r="W2106" s="22"/>
      <c r="X2106" s="10" t="str">
        <f aca="false">IF(AND(R2106="修改",S2106=""),"請選新事件代碼",IF(AND(R2106&lt;&gt;"修改",S2106&lt;&gt;""),"只有「修改」才需填代碼",""))</f>
        <v/>
      </c>
      <c r="Y2106" s="21"/>
      <c r="Z2106" s="22"/>
      <c r="AA2106" s="12" t="s">
        <v>5314</v>
      </c>
      <c r="AB2106" s="24"/>
    </row>
    <row r="2107" customFormat="false" ht="29.85" hidden="false" customHeight="false" outlineLevel="0" collapsed="false">
      <c r="A2107" s="15" t="n">
        <v>2106</v>
      </c>
      <c r="B2107" s="9" t="s">
        <v>55</v>
      </c>
      <c r="C2107" s="9" t="s">
        <v>957</v>
      </c>
      <c r="D2107" s="10" t="s">
        <v>958</v>
      </c>
      <c r="E2107" s="11" t="s">
        <v>5315</v>
      </c>
      <c r="F2107" s="17"/>
      <c r="G2107" s="12" t="s">
        <v>95</v>
      </c>
      <c r="H2107" s="13" t="n">
        <v>-0.006</v>
      </c>
      <c r="I2107" s="14"/>
      <c r="J2107" s="17"/>
      <c r="K2107" s="9"/>
      <c r="L2107" s="15" t="s">
        <v>50</v>
      </c>
      <c r="M2107" s="16" t="s">
        <v>51</v>
      </c>
      <c r="N2107" s="14"/>
      <c r="O2107" s="15" t="s">
        <v>52</v>
      </c>
      <c r="P2107" s="17" t="s">
        <v>53</v>
      </c>
      <c r="Q2107" s="15"/>
      <c r="R2107" s="18" t="s">
        <v>51</v>
      </c>
      <c r="S2107" s="19"/>
      <c r="T2107" s="17" t="str">
        <f aca="false">IF(R2107="維持",J2107,IF(R2107="排除","無關新聞事件",IFERROR(INDEX(事件規則!$B$2:$B$53,MATCH(S2107,事件規則!$A$2:$A$53,0)),"")))</f>
        <v>無關新聞事件</v>
      </c>
      <c r="U2107" s="20" t="n">
        <f aca="false">IF(R2107="維持",K2107,IF(R2107="排除",0,IFERROR(INDEX(事件規則!$C$2:$C$53,MATCH(S2107,事件規則!$A$2:$A$53,0)),"")))</f>
        <v>0</v>
      </c>
      <c r="V2107" s="21"/>
      <c r="W2107" s="22"/>
      <c r="X2107" s="10" t="str">
        <f aca="false">IF(AND(R2107="修改",S2107=""),"請選新事件代碼",IF(AND(R2107&lt;&gt;"修改",S2107&lt;&gt;""),"只有「修改」才需填代碼",""))</f>
        <v/>
      </c>
      <c r="Y2107" s="21"/>
      <c r="Z2107" s="22"/>
      <c r="AA2107" s="12" t="s">
        <v>5316</v>
      </c>
      <c r="AB2107" s="24"/>
    </row>
    <row r="2108" customFormat="false" ht="29.85" hidden="false" customHeight="false" outlineLevel="0" collapsed="false">
      <c r="A2108" s="15" t="n">
        <v>2107</v>
      </c>
      <c r="B2108" s="9" t="s">
        <v>55</v>
      </c>
      <c r="C2108" s="9" t="s">
        <v>1602</v>
      </c>
      <c r="D2108" s="10" t="s">
        <v>1603</v>
      </c>
      <c r="E2108" s="11" t="s">
        <v>5317</v>
      </c>
      <c r="F2108" s="17"/>
      <c r="G2108" s="12" t="s">
        <v>95</v>
      </c>
      <c r="H2108" s="13" t="n">
        <v>-0.006</v>
      </c>
      <c r="I2108" s="14"/>
      <c r="J2108" s="17"/>
      <c r="K2108" s="9"/>
      <c r="L2108" s="15" t="s">
        <v>50</v>
      </c>
      <c r="M2108" s="16" t="s">
        <v>51</v>
      </c>
      <c r="N2108" s="14"/>
      <c r="O2108" s="15" t="s">
        <v>52</v>
      </c>
      <c r="P2108" s="17" t="s">
        <v>53</v>
      </c>
      <c r="Q2108" s="15"/>
      <c r="R2108" s="18" t="s">
        <v>51</v>
      </c>
      <c r="S2108" s="19"/>
      <c r="T2108" s="17" t="str">
        <f aca="false">IF(R2108="維持",J2108,IF(R2108="排除","無關新聞事件",IFERROR(INDEX(事件規則!$B$2:$B$53,MATCH(S2108,事件規則!$A$2:$A$53,0)),"")))</f>
        <v>無關新聞事件</v>
      </c>
      <c r="U2108" s="20" t="n">
        <f aca="false">IF(R2108="維持",K2108,IF(R2108="排除",0,IFERROR(INDEX(事件規則!$C$2:$C$53,MATCH(S2108,事件規則!$A$2:$A$53,0)),"")))</f>
        <v>0</v>
      </c>
      <c r="V2108" s="21"/>
      <c r="W2108" s="22"/>
      <c r="X2108" s="10" t="str">
        <f aca="false">IF(AND(R2108="修改",S2108=""),"請選新事件代碼",IF(AND(R2108&lt;&gt;"修改",S2108&lt;&gt;""),"只有「修改」才需填代碼",""))</f>
        <v/>
      </c>
      <c r="Y2108" s="21"/>
      <c r="Z2108" s="22"/>
      <c r="AA2108" s="12" t="s">
        <v>5318</v>
      </c>
      <c r="AB2108" s="24"/>
    </row>
    <row r="2109" customFormat="false" ht="29.85" hidden="false" customHeight="false" outlineLevel="0" collapsed="false">
      <c r="A2109" s="15" t="n">
        <v>2108</v>
      </c>
      <c r="B2109" s="9" t="s">
        <v>45</v>
      </c>
      <c r="C2109" s="9" t="s">
        <v>957</v>
      </c>
      <c r="D2109" s="10" t="s">
        <v>958</v>
      </c>
      <c r="E2109" s="11" t="s">
        <v>5319</v>
      </c>
      <c r="F2109" s="17"/>
      <c r="G2109" s="12" t="s">
        <v>95</v>
      </c>
      <c r="H2109" s="13" t="n">
        <v>-0.006</v>
      </c>
      <c r="I2109" s="14"/>
      <c r="J2109" s="17"/>
      <c r="K2109" s="9"/>
      <c r="L2109" s="15" t="s">
        <v>50</v>
      </c>
      <c r="M2109" s="16" t="s">
        <v>51</v>
      </c>
      <c r="N2109" s="14"/>
      <c r="O2109" s="15" t="s">
        <v>52</v>
      </c>
      <c r="P2109" s="17" t="s">
        <v>53</v>
      </c>
      <c r="Q2109" s="15"/>
      <c r="R2109" s="18" t="s">
        <v>51</v>
      </c>
      <c r="S2109" s="19"/>
      <c r="T2109" s="17" t="str">
        <f aca="false">IF(R2109="維持",J2109,IF(R2109="排除","無關新聞事件",IFERROR(INDEX(事件規則!$B$2:$B$53,MATCH(S2109,事件規則!$A$2:$A$53,0)),"")))</f>
        <v>無關新聞事件</v>
      </c>
      <c r="U2109" s="20" t="n">
        <f aca="false">IF(R2109="維持",K2109,IF(R2109="排除",0,IFERROR(INDEX(事件規則!$C$2:$C$53,MATCH(S2109,事件規則!$A$2:$A$53,0)),"")))</f>
        <v>0</v>
      </c>
      <c r="V2109" s="21"/>
      <c r="W2109" s="22"/>
      <c r="X2109" s="10" t="str">
        <f aca="false">IF(AND(R2109="修改",S2109=""),"請選新事件代碼",IF(AND(R2109&lt;&gt;"修改",S2109&lt;&gt;""),"只有「修改」才需填代碼",""))</f>
        <v/>
      </c>
      <c r="Y2109" s="21"/>
      <c r="Z2109" s="22"/>
      <c r="AA2109" s="12" t="s">
        <v>5320</v>
      </c>
      <c r="AB2109" s="24"/>
    </row>
    <row r="2110" customFormat="false" ht="29.85" hidden="false" customHeight="false" outlineLevel="0" collapsed="false">
      <c r="A2110" s="15" t="n">
        <v>2109</v>
      </c>
      <c r="B2110" s="9" t="s">
        <v>45</v>
      </c>
      <c r="C2110" s="9" t="s">
        <v>427</v>
      </c>
      <c r="D2110" s="10" t="s">
        <v>428</v>
      </c>
      <c r="E2110" s="11" t="s">
        <v>5321</v>
      </c>
      <c r="F2110" s="17"/>
      <c r="G2110" s="12" t="s">
        <v>142</v>
      </c>
      <c r="H2110" s="13" t="n">
        <v>-0.006</v>
      </c>
      <c r="I2110" s="14"/>
      <c r="J2110" s="17"/>
      <c r="K2110" s="9"/>
      <c r="L2110" s="15" t="s">
        <v>50</v>
      </c>
      <c r="M2110" s="16" t="s">
        <v>51</v>
      </c>
      <c r="N2110" s="14"/>
      <c r="O2110" s="15" t="s">
        <v>52</v>
      </c>
      <c r="P2110" s="17" t="s">
        <v>53</v>
      </c>
      <c r="Q2110" s="15"/>
      <c r="R2110" s="18" t="s">
        <v>51</v>
      </c>
      <c r="S2110" s="19"/>
      <c r="T2110" s="17" t="str">
        <f aca="false">IF(R2110="維持",J2110,IF(R2110="排除","無關新聞事件",IFERROR(INDEX(事件規則!$B$2:$B$53,MATCH(S2110,事件規則!$A$2:$A$53,0)),"")))</f>
        <v>無關新聞事件</v>
      </c>
      <c r="U2110" s="20" t="n">
        <f aca="false">IF(R2110="維持",K2110,IF(R2110="排除",0,IFERROR(INDEX(事件規則!$C$2:$C$53,MATCH(S2110,事件規則!$A$2:$A$53,0)),"")))</f>
        <v>0</v>
      </c>
      <c r="V2110" s="21"/>
      <c r="W2110" s="22"/>
      <c r="X2110" s="10" t="str">
        <f aca="false">IF(AND(R2110="修改",S2110=""),"請選新事件代碼",IF(AND(R2110&lt;&gt;"修改",S2110&lt;&gt;""),"只有「修改」才需填代碼",""))</f>
        <v/>
      </c>
      <c r="Y2110" s="21"/>
      <c r="Z2110" s="22"/>
      <c r="AA2110" s="12" t="s">
        <v>5322</v>
      </c>
      <c r="AB2110" s="24"/>
    </row>
    <row r="2111" customFormat="false" ht="29.85" hidden="false" customHeight="false" outlineLevel="0" collapsed="false">
      <c r="A2111" s="15" t="n">
        <v>2110</v>
      </c>
      <c r="B2111" s="9" t="s">
        <v>55</v>
      </c>
      <c r="C2111" s="9" t="s">
        <v>3753</v>
      </c>
      <c r="D2111" s="10" t="s">
        <v>3754</v>
      </c>
      <c r="E2111" s="11" t="s">
        <v>5323</v>
      </c>
      <c r="F2111" s="17"/>
      <c r="G2111" s="12" t="s">
        <v>1136</v>
      </c>
      <c r="H2111" s="13" t="n">
        <v>-0.006</v>
      </c>
      <c r="I2111" s="14"/>
      <c r="J2111" s="17"/>
      <c r="K2111" s="9"/>
      <c r="L2111" s="15" t="s">
        <v>50</v>
      </c>
      <c r="M2111" s="16" t="s">
        <v>51</v>
      </c>
      <c r="N2111" s="14"/>
      <c r="O2111" s="15" t="s">
        <v>52</v>
      </c>
      <c r="P2111" s="17" t="s">
        <v>53</v>
      </c>
      <c r="Q2111" s="15"/>
      <c r="R2111" s="18" t="s">
        <v>51</v>
      </c>
      <c r="S2111" s="19"/>
      <c r="T2111" s="17" t="str">
        <f aca="false">IF(R2111="維持",J2111,IF(R2111="排除","無關新聞事件",IFERROR(INDEX(事件規則!$B$2:$B$53,MATCH(S2111,事件規則!$A$2:$A$53,0)),"")))</f>
        <v>無關新聞事件</v>
      </c>
      <c r="U2111" s="20" t="n">
        <f aca="false">IF(R2111="維持",K2111,IF(R2111="排除",0,IFERROR(INDEX(事件規則!$C$2:$C$53,MATCH(S2111,事件規則!$A$2:$A$53,0)),"")))</f>
        <v>0</v>
      </c>
      <c r="V2111" s="21"/>
      <c r="W2111" s="22"/>
      <c r="X2111" s="10" t="str">
        <f aca="false">IF(AND(R2111="修改",S2111=""),"請選新事件代碼",IF(AND(R2111&lt;&gt;"修改",S2111&lt;&gt;""),"只有「修改」才需填代碼",""))</f>
        <v/>
      </c>
      <c r="Y2111" s="21"/>
      <c r="Z2111" s="22"/>
      <c r="AA2111" s="12" t="s">
        <v>5324</v>
      </c>
      <c r="AB2111" s="24"/>
    </row>
    <row r="2112" customFormat="false" ht="29.85" hidden="false" customHeight="false" outlineLevel="0" collapsed="false">
      <c r="A2112" s="15" t="n">
        <v>2111</v>
      </c>
      <c r="B2112" s="9" t="s">
        <v>45</v>
      </c>
      <c r="C2112" s="9" t="s">
        <v>92</v>
      </c>
      <c r="D2112" s="10" t="s">
        <v>93</v>
      </c>
      <c r="E2112" s="11" t="s">
        <v>5325</v>
      </c>
      <c r="F2112" s="17"/>
      <c r="G2112" s="12" t="s">
        <v>95</v>
      </c>
      <c r="H2112" s="13" t="n">
        <v>-0.006</v>
      </c>
      <c r="I2112" s="14"/>
      <c r="J2112" s="17"/>
      <c r="K2112" s="9"/>
      <c r="L2112" s="15" t="s">
        <v>50</v>
      </c>
      <c r="M2112" s="16" t="s">
        <v>51</v>
      </c>
      <c r="N2112" s="14"/>
      <c r="O2112" s="15" t="s">
        <v>52</v>
      </c>
      <c r="P2112" s="17" t="s">
        <v>53</v>
      </c>
      <c r="Q2112" s="15"/>
      <c r="R2112" s="18" t="s">
        <v>51</v>
      </c>
      <c r="S2112" s="19"/>
      <c r="T2112" s="17" t="str">
        <f aca="false">IF(R2112="維持",J2112,IF(R2112="排除","無關新聞事件",IFERROR(INDEX(事件規則!$B$2:$B$53,MATCH(S2112,事件規則!$A$2:$A$53,0)),"")))</f>
        <v>無關新聞事件</v>
      </c>
      <c r="U2112" s="20" t="n">
        <f aca="false">IF(R2112="維持",K2112,IF(R2112="排除",0,IFERROR(INDEX(事件規則!$C$2:$C$53,MATCH(S2112,事件規則!$A$2:$A$53,0)),"")))</f>
        <v>0</v>
      </c>
      <c r="V2112" s="21"/>
      <c r="W2112" s="22"/>
      <c r="X2112" s="10" t="str">
        <f aca="false">IF(AND(R2112="修改",S2112=""),"請選新事件代碼",IF(AND(R2112&lt;&gt;"修改",S2112&lt;&gt;""),"只有「修改」才需填代碼",""))</f>
        <v/>
      </c>
      <c r="Y2112" s="21"/>
      <c r="Z2112" s="22"/>
      <c r="AA2112" s="12" t="s">
        <v>5326</v>
      </c>
      <c r="AB2112" s="24"/>
    </row>
    <row r="2113" customFormat="false" ht="29.85" hidden="false" customHeight="false" outlineLevel="0" collapsed="false">
      <c r="A2113" s="15" t="n">
        <v>2112</v>
      </c>
      <c r="B2113" s="9" t="s">
        <v>112</v>
      </c>
      <c r="C2113" s="9" t="s">
        <v>4769</v>
      </c>
      <c r="D2113" s="10" t="s">
        <v>4770</v>
      </c>
      <c r="E2113" s="11" t="s">
        <v>5327</v>
      </c>
      <c r="F2113" s="17"/>
      <c r="G2113" s="12" t="s">
        <v>2716</v>
      </c>
      <c r="H2113" s="13" t="n">
        <v>-0.006</v>
      </c>
      <c r="I2113" s="14"/>
      <c r="J2113" s="17"/>
      <c r="K2113" s="9"/>
      <c r="L2113" s="15" t="s">
        <v>50</v>
      </c>
      <c r="M2113" s="16" t="s">
        <v>51</v>
      </c>
      <c r="N2113" s="14"/>
      <c r="O2113" s="15" t="s">
        <v>52</v>
      </c>
      <c r="P2113" s="17" t="s">
        <v>53</v>
      </c>
      <c r="Q2113" s="15"/>
      <c r="R2113" s="18" t="s">
        <v>51</v>
      </c>
      <c r="S2113" s="19"/>
      <c r="T2113" s="17" t="str">
        <f aca="false">IF(R2113="維持",J2113,IF(R2113="排除","無關新聞事件",IFERROR(INDEX(事件規則!$B$2:$B$53,MATCH(S2113,事件規則!$A$2:$A$53,0)),"")))</f>
        <v>無關新聞事件</v>
      </c>
      <c r="U2113" s="20" t="n">
        <f aca="false">IF(R2113="維持",K2113,IF(R2113="排除",0,IFERROR(INDEX(事件規則!$C$2:$C$53,MATCH(S2113,事件規則!$A$2:$A$53,0)),"")))</f>
        <v>0</v>
      </c>
      <c r="V2113" s="21"/>
      <c r="W2113" s="22"/>
      <c r="X2113" s="10" t="str">
        <f aca="false">IF(AND(R2113="修改",S2113=""),"請選新事件代碼",IF(AND(R2113&lt;&gt;"修改",S2113&lt;&gt;""),"只有「修改」才需填代碼",""))</f>
        <v/>
      </c>
      <c r="Y2113" s="21"/>
      <c r="Z2113" s="22"/>
      <c r="AA2113" s="12" t="s">
        <v>5328</v>
      </c>
      <c r="AB2113" s="24"/>
    </row>
    <row r="2114" customFormat="false" ht="29.85" hidden="false" customHeight="false" outlineLevel="0" collapsed="false">
      <c r="A2114" s="15" t="n">
        <v>2113</v>
      </c>
      <c r="B2114" s="9" t="s">
        <v>112</v>
      </c>
      <c r="C2114" s="9" t="s">
        <v>2055</v>
      </c>
      <c r="D2114" s="10" t="s">
        <v>2056</v>
      </c>
      <c r="E2114" s="11" t="s">
        <v>5329</v>
      </c>
      <c r="F2114" s="17"/>
      <c r="G2114" s="12" t="s">
        <v>105</v>
      </c>
      <c r="H2114" s="13" t="n">
        <v>-0.006</v>
      </c>
      <c r="I2114" s="14"/>
      <c r="J2114" s="17"/>
      <c r="K2114" s="9"/>
      <c r="L2114" s="15" t="s">
        <v>50</v>
      </c>
      <c r="M2114" s="16" t="s">
        <v>51</v>
      </c>
      <c r="N2114" s="14"/>
      <c r="O2114" s="15" t="s">
        <v>52</v>
      </c>
      <c r="P2114" s="17" t="s">
        <v>53</v>
      </c>
      <c r="Q2114" s="15"/>
      <c r="R2114" s="18" t="s">
        <v>51</v>
      </c>
      <c r="S2114" s="19"/>
      <c r="T2114" s="17" t="str">
        <f aca="false">IF(R2114="維持",J2114,IF(R2114="排除","無關新聞事件",IFERROR(INDEX(事件規則!$B$2:$B$53,MATCH(S2114,事件規則!$A$2:$A$53,0)),"")))</f>
        <v>無關新聞事件</v>
      </c>
      <c r="U2114" s="20" t="n">
        <f aca="false">IF(R2114="維持",K2114,IF(R2114="排除",0,IFERROR(INDEX(事件規則!$C$2:$C$53,MATCH(S2114,事件規則!$A$2:$A$53,0)),"")))</f>
        <v>0</v>
      </c>
      <c r="V2114" s="21"/>
      <c r="W2114" s="22"/>
      <c r="X2114" s="10" t="str">
        <f aca="false">IF(AND(R2114="修改",S2114=""),"請選新事件代碼",IF(AND(R2114&lt;&gt;"修改",S2114&lt;&gt;""),"只有「修改」才需填代碼",""))</f>
        <v/>
      </c>
      <c r="Y2114" s="21"/>
      <c r="Z2114" s="22"/>
      <c r="AA2114" s="12" t="s">
        <v>5330</v>
      </c>
      <c r="AB2114" s="24"/>
    </row>
    <row r="2115" customFormat="false" ht="29.85" hidden="false" customHeight="false" outlineLevel="0" collapsed="false">
      <c r="A2115" s="15" t="n">
        <v>2114</v>
      </c>
      <c r="B2115" s="9" t="s">
        <v>45</v>
      </c>
      <c r="C2115" s="9" t="s">
        <v>550</v>
      </c>
      <c r="D2115" s="10" t="s">
        <v>551</v>
      </c>
      <c r="E2115" s="11" t="s">
        <v>5331</v>
      </c>
      <c r="F2115" s="17"/>
      <c r="G2115" s="12" t="s">
        <v>949</v>
      </c>
      <c r="H2115" s="13" t="n">
        <v>-0.006</v>
      </c>
      <c r="I2115" s="14"/>
      <c r="J2115" s="17"/>
      <c r="K2115" s="9"/>
      <c r="L2115" s="15" t="s">
        <v>50</v>
      </c>
      <c r="M2115" s="16" t="s">
        <v>51</v>
      </c>
      <c r="N2115" s="14"/>
      <c r="O2115" s="15" t="s">
        <v>52</v>
      </c>
      <c r="P2115" s="17" t="s">
        <v>53</v>
      </c>
      <c r="Q2115" s="15"/>
      <c r="R2115" s="18" t="s">
        <v>51</v>
      </c>
      <c r="S2115" s="19"/>
      <c r="T2115" s="17" t="str">
        <f aca="false">IF(R2115="維持",J2115,IF(R2115="排除","無關新聞事件",IFERROR(INDEX(事件規則!$B$2:$B$53,MATCH(S2115,事件規則!$A$2:$A$53,0)),"")))</f>
        <v>無關新聞事件</v>
      </c>
      <c r="U2115" s="20" t="n">
        <f aca="false">IF(R2115="維持",K2115,IF(R2115="排除",0,IFERROR(INDEX(事件規則!$C$2:$C$53,MATCH(S2115,事件規則!$A$2:$A$53,0)),"")))</f>
        <v>0</v>
      </c>
      <c r="V2115" s="21"/>
      <c r="W2115" s="22"/>
      <c r="X2115" s="10" t="str">
        <f aca="false">IF(AND(R2115="修改",S2115=""),"請選新事件代碼",IF(AND(R2115&lt;&gt;"修改",S2115&lt;&gt;""),"只有「修改」才需填代碼",""))</f>
        <v/>
      </c>
      <c r="Y2115" s="21"/>
      <c r="Z2115" s="22"/>
      <c r="AA2115" s="12" t="s">
        <v>5332</v>
      </c>
      <c r="AB2115" s="24"/>
    </row>
    <row r="2116" customFormat="false" ht="29.85" hidden="false" customHeight="false" outlineLevel="0" collapsed="false">
      <c r="A2116" s="15" t="n">
        <v>2115</v>
      </c>
      <c r="B2116" s="9" t="s">
        <v>45</v>
      </c>
      <c r="C2116" s="9" t="s">
        <v>2786</v>
      </c>
      <c r="D2116" s="10" t="s">
        <v>277</v>
      </c>
      <c r="E2116" s="11" t="s">
        <v>5333</v>
      </c>
      <c r="F2116" s="17"/>
      <c r="G2116" s="12" t="s">
        <v>949</v>
      </c>
      <c r="H2116" s="13" t="n">
        <v>-0.006</v>
      </c>
      <c r="I2116" s="14"/>
      <c r="J2116" s="17"/>
      <c r="K2116" s="9"/>
      <c r="L2116" s="15" t="s">
        <v>50</v>
      </c>
      <c r="M2116" s="16" t="s">
        <v>51</v>
      </c>
      <c r="N2116" s="14"/>
      <c r="O2116" s="15" t="s">
        <v>52</v>
      </c>
      <c r="P2116" s="17" t="s">
        <v>53</v>
      </c>
      <c r="Q2116" s="15"/>
      <c r="R2116" s="18" t="s">
        <v>51</v>
      </c>
      <c r="S2116" s="19"/>
      <c r="T2116" s="17" t="str">
        <f aca="false">IF(R2116="維持",J2116,IF(R2116="排除","無關新聞事件",IFERROR(INDEX(事件規則!$B$2:$B$53,MATCH(S2116,事件規則!$A$2:$A$53,0)),"")))</f>
        <v>無關新聞事件</v>
      </c>
      <c r="U2116" s="20" t="n">
        <f aca="false">IF(R2116="維持",K2116,IF(R2116="排除",0,IFERROR(INDEX(事件規則!$C$2:$C$53,MATCH(S2116,事件規則!$A$2:$A$53,0)),"")))</f>
        <v>0</v>
      </c>
      <c r="V2116" s="21"/>
      <c r="W2116" s="22"/>
      <c r="X2116" s="10" t="str">
        <f aca="false">IF(AND(R2116="修改",S2116=""),"請選新事件代碼",IF(AND(R2116&lt;&gt;"修改",S2116&lt;&gt;""),"只有「修改」才需填代碼",""))</f>
        <v/>
      </c>
      <c r="Y2116" s="21"/>
      <c r="Z2116" s="22"/>
      <c r="AA2116" s="12" t="s">
        <v>5334</v>
      </c>
      <c r="AB2116" s="24"/>
    </row>
    <row r="2117" customFormat="false" ht="29.85" hidden="false" customHeight="false" outlineLevel="0" collapsed="false">
      <c r="A2117" s="15" t="n">
        <v>2116</v>
      </c>
      <c r="B2117" s="9" t="s">
        <v>81</v>
      </c>
      <c r="C2117" s="9" t="s">
        <v>1893</v>
      </c>
      <c r="D2117" s="10" t="s">
        <v>1894</v>
      </c>
      <c r="E2117" s="11" t="s">
        <v>5335</v>
      </c>
      <c r="F2117" s="17"/>
      <c r="G2117" s="12" t="s">
        <v>176</v>
      </c>
      <c r="H2117" s="13" t="n">
        <v>-0.006</v>
      </c>
      <c r="I2117" s="14"/>
      <c r="J2117" s="17"/>
      <c r="K2117" s="9"/>
      <c r="L2117" s="15" t="s">
        <v>50</v>
      </c>
      <c r="M2117" s="16" t="s">
        <v>51</v>
      </c>
      <c r="N2117" s="14"/>
      <c r="O2117" s="15" t="s">
        <v>52</v>
      </c>
      <c r="P2117" s="17" t="s">
        <v>53</v>
      </c>
      <c r="Q2117" s="15"/>
      <c r="R2117" s="18" t="s">
        <v>51</v>
      </c>
      <c r="S2117" s="19"/>
      <c r="T2117" s="17" t="str">
        <f aca="false">IF(R2117="維持",J2117,IF(R2117="排除","無關新聞事件",IFERROR(INDEX(事件規則!$B$2:$B$53,MATCH(S2117,事件規則!$A$2:$A$53,0)),"")))</f>
        <v>無關新聞事件</v>
      </c>
      <c r="U2117" s="20" t="n">
        <f aca="false">IF(R2117="維持",K2117,IF(R2117="排除",0,IFERROR(INDEX(事件規則!$C$2:$C$53,MATCH(S2117,事件規則!$A$2:$A$53,0)),"")))</f>
        <v>0</v>
      </c>
      <c r="V2117" s="21"/>
      <c r="W2117" s="22"/>
      <c r="X2117" s="10" t="str">
        <f aca="false">IF(AND(R2117="修改",S2117=""),"請選新事件代碼",IF(AND(R2117&lt;&gt;"修改",S2117&lt;&gt;""),"只有「修改」才需填代碼",""))</f>
        <v/>
      </c>
      <c r="Y2117" s="21"/>
      <c r="Z2117" s="22"/>
      <c r="AA2117" s="12" t="s">
        <v>5336</v>
      </c>
      <c r="AB2117" s="24"/>
    </row>
    <row r="2118" customFormat="false" ht="29.85" hidden="false" customHeight="false" outlineLevel="0" collapsed="false">
      <c r="A2118" s="15" t="n">
        <v>2117</v>
      </c>
      <c r="B2118" s="9" t="s">
        <v>81</v>
      </c>
      <c r="C2118" s="9" t="s">
        <v>1261</v>
      </c>
      <c r="D2118" s="10" t="s">
        <v>1262</v>
      </c>
      <c r="E2118" s="11" t="s">
        <v>5337</v>
      </c>
      <c r="F2118" s="17"/>
      <c r="G2118" s="12" t="s">
        <v>176</v>
      </c>
      <c r="H2118" s="13" t="n">
        <v>-0.006</v>
      </c>
      <c r="I2118" s="14"/>
      <c r="J2118" s="17"/>
      <c r="K2118" s="9"/>
      <c r="L2118" s="15" t="s">
        <v>50</v>
      </c>
      <c r="M2118" s="16" t="s">
        <v>51</v>
      </c>
      <c r="N2118" s="14"/>
      <c r="O2118" s="15" t="s">
        <v>52</v>
      </c>
      <c r="P2118" s="17" t="s">
        <v>53</v>
      </c>
      <c r="Q2118" s="15"/>
      <c r="R2118" s="18" t="s">
        <v>51</v>
      </c>
      <c r="S2118" s="19"/>
      <c r="T2118" s="17" t="str">
        <f aca="false">IF(R2118="維持",J2118,IF(R2118="排除","無關新聞事件",IFERROR(INDEX(事件規則!$B$2:$B$53,MATCH(S2118,事件規則!$A$2:$A$53,0)),"")))</f>
        <v>無關新聞事件</v>
      </c>
      <c r="U2118" s="20" t="n">
        <f aca="false">IF(R2118="維持",K2118,IF(R2118="排除",0,IFERROR(INDEX(事件規則!$C$2:$C$53,MATCH(S2118,事件規則!$A$2:$A$53,0)),"")))</f>
        <v>0</v>
      </c>
      <c r="V2118" s="21"/>
      <c r="W2118" s="22"/>
      <c r="X2118" s="10" t="str">
        <f aca="false">IF(AND(R2118="修改",S2118=""),"請選新事件代碼",IF(AND(R2118&lt;&gt;"修改",S2118&lt;&gt;""),"只有「修改」才需填代碼",""))</f>
        <v/>
      </c>
      <c r="Y2118" s="21"/>
      <c r="Z2118" s="22"/>
      <c r="AA2118" s="12" t="s">
        <v>5338</v>
      </c>
      <c r="AB2118" s="24"/>
    </row>
    <row r="2119" customFormat="false" ht="29.85" hidden="false" customHeight="false" outlineLevel="0" collapsed="false">
      <c r="A2119" s="15" t="n">
        <v>2118</v>
      </c>
      <c r="B2119" s="9" t="s">
        <v>112</v>
      </c>
      <c r="C2119" s="9" t="s">
        <v>1036</v>
      </c>
      <c r="D2119" s="10" t="s">
        <v>1037</v>
      </c>
      <c r="E2119" s="11" t="s">
        <v>5339</v>
      </c>
      <c r="F2119" s="17"/>
      <c r="G2119" s="12" t="s">
        <v>949</v>
      </c>
      <c r="H2119" s="13" t="n">
        <v>-0.006</v>
      </c>
      <c r="I2119" s="14"/>
      <c r="J2119" s="17"/>
      <c r="K2119" s="9"/>
      <c r="L2119" s="15" t="s">
        <v>50</v>
      </c>
      <c r="M2119" s="16" t="s">
        <v>51</v>
      </c>
      <c r="N2119" s="14"/>
      <c r="O2119" s="15" t="s">
        <v>52</v>
      </c>
      <c r="P2119" s="17" t="s">
        <v>53</v>
      </c>
      <c r="Q2119" s="15"/>
      <c r="R2119" s="18" t="s">
        <v>51</v>
      </c>
      <c r="S2119" s="19"/>
      <c r="T2119" s="17" t="str">
        <f aca="false">IF(R2119="維持",J2119,IF(R2119="排除","無關新聞事件",IFERROR(INDEX(事件規則!$B$2:$B$53,MATCH(S2119,事件規則!$A$2:$A$53,0)),"")))</f>
        <v>無關新聞事件</v>
      </c>
      <c r="U2119" s="20" t="n">
        <f aca="false">IF(R2119="維持",K2119,IF(R2119="排除",0,IFERROR(INDEX(事件規則!$C$2:$C$53,MATCH(S2119,事件規則!$A$2:$A$53,0)),"")))</f>
        <v>0</v>
      </c>
      <c r="V2119" s="21"/>
      <c r="W2119" s="22"/>
      <c r="X2119" s="10" t="str">
        <f aca="false">IF(AND(R2119="修改",S2119=""),"請選新事件代碼",IF(AND(R2119&lt;&gt;"修改",S2119&lt;&gt;""),"只有「修改」才需填代碼",""))</f>
        <v/>
      </c>
      <c r="Y2119" s="21"/>
      <c r="Z2119" s="22"/>
      <c r="AA2119" s="12" t="s">
        <v>5340</v>
      </c>
      <c r="AB2119" s="24"/>
    </row>
    <row r="2120" customFormat="false" ht="29.85" hidden="false" customHeight="false" outlineLevel="0" collapsed="false">
      <c r="A2120" s="15" t="n">
        <v>2119</v>
      </c>
      <c r="B2120" s="9" t="s">
        <v>112</v>
      </c>
      <c r="C2120" s="9" t="s">
        <v>4948</v>
      </c>
      <c r="D2120" s="10" t="s">
        <v>4949</v>
      </c>
      <c r="E2120" s="11" t="s">
        <v>5341</v>
      </c>
      <c r="F2120" s="17"/>
      <c r="G2120" s="12" t="s">
        <v>49</v>
      </c>
      <c r="H2120" s="13" t="n">
        <v>-0.006</v>
      </c>
      <c r="I2120" s="14"/>
      <c r="J2120" s="17"/>
      <c r="K2120" s="9"/>
      <c r="L2120" s="15" t="s">
        <v>50</v>
      </c>
      <c r="M2120" s="16" t="s">
        <v>51</v>
      </c>
      <c r="N2120" s="14"/>
      <c r="O2120" s="15" t="s">
        <v>52</v>
      </c>
      <c r="P2120" s="17" t="s">
        <v>53</v>
      </c>
      <c r="Q2120" s="15"/>
      <c r="R2120" s="18" t="s">
        <v>51</v>
      </c>
      <c r="S2120" s="19"/>
      <c r="T2120" s="17" t="str">
        <f aca="false">IF(R2120="維持",J2120,IF(R2120="排除","無關新聞事件",IFERROR(INDEX(事件規則!$B$2:$B$53,MATCH(S2120,事件規則!$A$2:$A$53,0)),"")))</f>
        <v>無關新聞事件</v>
      </c>
      <c r="U2120" s="20" t="n">
        <f aca="false">IF(R2120="維持",K2120,IF(R2120="排除",0,IFERROR(INDEX(事件規則!$C$2:$C$53,MATCH(S2120,事件規則!$A$2:$A$53,0)),"")))</f>
        <v>0</v>
      </c>
      <c r="V2120" s="21"/>
      <c r="W2120" s="22"/>
      <c r="X2120" s="10" t="str">
        <f aca="false">IF(AND(R2120="修改",S2120=""),"請選新事件代碼",IF(AND(R2120&lt;&gt;"修改",S2120&lt;&gt;""),"只有「修改」才需填代碼",""))</f>
        <v/>
      </c>
      <c r="Y2120" s="21"/>
      <c r="Z2120" s="22"/>
      <c r="AA2120" s="12" t="s">
        <v>5342</v>
      </c>
      <c r="AB2120" s="24"/>
    </row>
    <row r="2121" customFormat="false" ht="29.85" hidden="false" customHeight="false" outlineLevel="0" collapsed="false">
      <c r="A2121" s="15" t="n">
        <v>2120</v>
      </c>
      <c r="B2121" s="9" t="s">
        <v>112</v>
      </c>
      <c r="C2121" s="9" t="s">
        <v>3645</v>
      </c>
      <c r="D2121" s="10" t="s">
        <v>3646</v>
      </c>
      <c r="E2121" s="11" t="s">
        <v>5343</v>
      </c>
      <c r="F2121" s="17"/>
      <c r="G2121" s="12" t="s">
        <v>949</v>
      </c>
      <c r="H2121" s="13" t="n">
        <v>-0.006</v>
      </c>
      <c r="I2121" s="14"/>
      <c r="J2121" s="17"/>
      <c r="K2121" s="9"/>
      <c r="L2121" s="15" t="s">
        <v>50</v>
      </c>
      <c r="M2121" s="16" t="s">
        <v>51</v>
      </c>
      <c r="N2121" s="14"/>
      <c r="O2121" s="15" t="s">
        <v>52</v>
      </c>
      <c r="P2121" s="17" t="s">
        <v>53</v>
      </c>
      <c r="Q2121" s="15"/>
      <c r="R2121" s="18" t="s">
        <v>51</v>
      </c>
      <c r="S2121" s="19"/>
      <c r="T2121" s="17" t="str">
        <f aca="false">IF(R2121="維持",J2121,IF(R2121="排除","無關新聞事件",IFERROR(INDEX(事件規則!$B$2:$B$53,MATCH(S2121,事件規則!$A$2:$A$53,0)),"")))</f>
        <v>無關新聞事件</v>
      </c>
      <c r="U2121" s="20" t="n">
        <f aca="false">IF(R2121="維持",K2121,IF(R2121="排除",0,IFERROR(INDEX(事件規則!$C$2:$C$53,MATCH(S2121,事件規則!$A$2:$A$53,0)),"")))</f>
        <v>0</v>
      </c>
      <c r="V2121" s="21"/>
      <c r="W2121" s="22"/>
      <c r="X2121" s="10" t="str">
        <f aca="false">IF(AND(R2121="修改",S2121=""),"請選新事件代碼",IF(AND(R2121&lt;&gt;"修改",S2121&lt;&gt;""),"只有「修改」才需填代碼",""))</f>
        <v/>
      </c>
      <c r="Y2121" s="21"/>
      <c r="Z2121" s="22"/>
      <c r="AA2121" s="12" t="s">
        <v>5344</v>
      </c>
      <c r="AB2121" s="24"/>
    </row>
    <row r="2122" customFormat="false" ht="29.85" hidden="false" customHeight="false" outlineLevel="0" collapsed="false">
      <c r="A2122" s="15" t="n">
        <v>2121</v>
      </c>
      <c r="B2122" s="9" t="s">
        <v>112</v>
      </c>
      <c r="C2122" s="9" t="s">
        <v>404</v>
      </c>
      <c r="D2122" s="10" t="s">
        <v>405</v>
      </c>
      <c r="E2122" s="11" t="s">
        <v>5345</v>
      </c>
      <c r="F2122" s="17"/>
      <c r="G2122" s="12" t="s">
        <v>2033</v>
      </c>
      <c r="H2122" s="13" t="n">
        <v>-0.006</v>
      </c>
      <c r="I2122" s="14"/>
      <c r="J2122" s="17"/>
      <c r="K2122" s="9"/>
      <c r="L2122" s="15" t="s">
        <v>50</v>
      </c>
      <c r="M2122" s="16" t="s">
        <v>51</v>
      </c>
      <c r="N2122" s="14"/>
      <c r="O2122" s="15" t="s">
        <v>52</v>
      </c>
      <c r="P2122" s="17" t="s">
        <v>53</v>
      </c>
      <c r="Q2122" s="15"/>
      <c r="R2122" s="18" t="s">
        <v>51</v>
      </c>
      <c r="S2122" s="19"/>
      <c r="T2122" s="17" t="str">
        <f aca="false">IF(R2122="維持",J2122,IF(R2122="排除","無關新聞事件",IFERROR(INDEX(事件規則!$B$2:$B$53,MATCH(S2122,事件規則!$A$2:$A$53,0)),"")))</f>
        <v>無關新聞事件</v>
      </c>
      <c r="U2122" s="20" t="n">
        <f aca="false">IF(R2122="維持",K2122,IF(R2122="排除",0,IFERROR(INDEX(事件規則!$C$2:$C$53,MATCH(S2122,事件規則!$A$2:$A$53,0)),"")))</f>
        <v>0</v>
      </c>
      <c r="V2122" s="21"/>
      <c r="W2122" s="22"/>
      <c r="X2122" s="10" t="str">
        <f aca="false">IF(AND(R2122="修改",S2122=""),"請選新事件代碼",IF(AND(R2122&lt;&gt;"修改",S2122&lt;&gt;""),"只有「修改」才需填代碼",""))</f>
        <v/>
      </c>
      <c r="Y2122" s="21"/>
      <c r="Z2122" s="22"/>
      <c r="AA2122" s="12" t="s">
        <v>5346</v>
      </c>
      <c r="AB2122" s="24"/>
    </row>
    <row r="2123" customFormat="false" ht="29.85" hidden="false" customHeight="false" outlineLevel="0" collapsed="false">
      <c r="A2123" s="15" t="n">
        <v>2122</v>
      </c>
      <c r="B2123" s="9" t="s">
        <v>45</v>
      </c>
      <c r="C2123" s="9" t="s">
        <v>977</v>
      </c>
      <c r="D2123" s="10" t="s">
        <v>978</v>
      </c>
      <c r="E2123" s="11" t="s">
        <v>5347</v>
      </c>
      <c r="F2123" s="17"/>
      <c r="G2123" s="12" t="s">
        <v>1136</v>
      </c>
      <c r="H2123" s="13" t="n">
        <v>-0.006</v>
      </c>
      <c r="I2123" s="14"/>
      <c r="J2123" s="17"/>
      <c r="K2123" s="9"/>
      <c r="L2123" s="15" t="s">
        <v>50</v>
      </c>
      <c r="M2123" s="16" t="s">
        <v>51</v>
      </c>
      <c r="N2123" s="14"/>
      <c r="O2123" s="15" t="s">
        <v>52</v>
      </c>
      <c r="P2123" s="17" t="s">
        <v>53</v>
      </c>
      <c r="Q2123" s="15"/>
      <c r="R2123" s="18" t="s">
        <v>51</v>
      </c>
      <c r="S2123" s="19"/>
      <c r="T2123" s="17" t="str">
        <f aca="false">IF(R2123="維持",J2123,IF(R2123="排除","無關新聞事件",IFERROR(INDEX(事件規則!$B$2:$B$53,MATCH(S2123,事件規則!$A$2:$A$53,0)),"")))</f>
        <v>無關新聞事件</v>
      </c>
      <c r="U2123" s="20" t="n">
        <f aca="false">IF(R2123="維持",K2123,IF(R2123="排除",0,IFERROR(INDEX(事件規則!$C$2:$C$53,MATCH(S2123,事件規則!$A$2:$A$53,0)),"")))</f>
        <v>0</v>
      </c>
      <c r="V2123" s="21"/>
      <c r="W2123" s="22"/>
      <c r="X2123" s="10" t="str">
        <f aca="false">IF(AND(R2123="修改",S2123=""),"請選新事件代碼",IF(AND(R2123&lt;&gt;"修改",S2123&lt;&gt;""),"只有「修改」才需填代碼",""))</f>
        <v/>
      </c>
      <c r="Y2123" s="21"/>
      <c r="Z2123" s="22"/>
      <c r="AA2123" s="12" t="s">
        <v>5348</v>
      </c>
      <c r="AB2123" s="24"/>
    </row>
    <row r="2124" customFormat="false" ht="29.85" hidden="false" customHeight="false" outlineLevel="0" collapsed="false">
      <c r="A2124" s="15" t="n">
        <v>2123</v>
      </c>
      <c r="B2124" s="9" t="s">
        <v>112</v>
      </c>
      <c r="C2124" s="9" t="s">
        <v>5349</v>
      </c>
      <c r="D2124" s="10" t="s">
        <v>5350</v>
      </c>
      <c r="E2124" s="11" t="s">
        <v>5351</v>
      </c>
      <c r="F2124" s="17"/>
      <c r="G2124" s="12" t="s">
        <v>105</v>
      </c>
      <c r="H2124" s="13" t="n">
        <v>-0.006</v>
      </c>
      <c r="I2124" s="14"/>
      <c r="J2124" s="17"/>
      <c r="K2124" s="9"/>
      <c r="L2124" s="15" t="s">
        <v>50</v>
      </c>
      <c r="M2124" s="16" t="s">
        <v>51</v>
      </c>
      <c r="N2124" s="14"/>
      <c r="O2124" s="15" t="s">
        <v>52</v>
      </c>
      <c r="P2124" s="17" t="s">
        <v>53</v>
      </c>
      <c r="Q2124" s="15"/>
      <c r="R2124" s="18" t="s">
        <v>51</v>
      </c>
      <c r="S2124" s="19"/>
      <c r="T2124" s="17" t="str">
        <f aca="false">IF(R2124="維持",J2124,IF(R2124="排除","無關新聞事件",IFERROR(INDEX(事件規則!$B$2:$B$53,MATCH(S2124,事件規則!$A$2:$A$53,0)),"")))</f>
        <v>無關新聞事件</v>
      </c>
      <c r="U2124" s="20" t="n">
        <f aca="false">IF(R2124="維持",K2124,IF(R2124="排除",0,IFERROR(INDEX(事件規則!$C$2:$C$53,MATCH(S2124,事件規則!$A$2:$A$53,0)),"")))</f>
        <v>0</v>
      </c>
      <c r="V2124" s="21"/>
      <c r="W2124" s="22"/>
      <c r="X2124" s="10" t="str">
        <f aca="false">IF(AND(R2124="修改",S2124=""),"請選新事件代碼",IF(AND(R2124&lt;&gt;"修改",S2124&lt;&gt;""),"只有「修改」才需填代碼",""))</f>
        <v/>
      </c>
      <c r="Y2124" s="21"/>
      <c r="Z2124" s="22"/>
      <c r="AA2124" s="12" t="s">
        <v>5352</v>
      </c>
      <c r="AB2124" s="24"/>
    </row>
    <row r="2125" customFormat="false" ht="29.85" hidden="false" customHeight="false" outlineLevel="0" collapsed="false">
      <c r="A2125" s="15" t="n">
        <v>2124</v>
      </c>
      <c r="B2125" s="9" t="s">
        <v>112</v>
      </c>
      <c r="C2125" s="9" t="s">
        <v>889</v>
      </c>
      <c r="D2125" s="10" t="s">
        <v>890</v>
      </c>
      <c r="E2125" s="11" t="s">
        <v>5353</v>
      </c>
      <c r="F2125" s="17"/>
      <c r="G2125" s="12" t="s">
        <v>949</v>
      </c>
      <c r="H2125" s="13" t="n">
        <v>-0.006</v>
      </c>
      <c r="I2125" s="14"/>
      <c r="J2125" s="17"/>
      <c r="K2125" s="9"/>
      <c r="L2125" s="15" t="s">
        <v>50</v>
      </c>
      <c r="M2125" s="16" t="s">
        <v>51</v>
      </c>
      <c r="N2125" s="14"/>
      <c r="O2125" s="15" t="s">
        <v>52</v>
      </c>
      <c r="P2125" s="17" t="s">
        <v>53</v>
      </c>
      <c r="Q2125" s="15"/>
      <c r="R2125" s="18" t="s">
        <v>51</v>
      </c>
      <c r="S2125" s="19"/>
      <c r="T2125" s="17" t="str">
        <f aca="false">IF(R2125="維持",J2125,IF(R2125="排除","無關新聞事件",IFERROR(INDEX(事件規則!$B$2:$B$53,MATCH(S2125,事件規則!$A$2:$A$53,0)),"")))</f>
        <v>無關新聞事件</v>
      </c>
      <c r="U2125" s="20" t="n">
        <f aca="false">IF(R2125="維持",K2125,IF(R2125="排除",0,IFERROR(INDEX(事件規則!$C$2:$C$53,MATCH(S2125,事件規則!$A$2:$A$53,0)),"")))</f>
        <v>0</v>
      </c>
      <c r="V2125" s="21"/>
      <c r="W2125" s="22"/>
      <c r="X2125" s="10" t="str">
        <f aca="false">IF(AND(R2125="修改",S2125=""),"請選新事件代碼",IF(AND(R2125&lt;&gt;"修改",S2125&lt;&gt;""),"只有「修改」才需填代碼",""))</f>
        <v/>
      </c>
      <c r="Y2125" s="21"/>
      <c r="Z2125" s="22"/>
      <c r="AA2125" s="12" t="s">
        <v>5354</v>
      </c>
      <c r="AB2125" s="24"/>
    </row>
    <row r="2126" customFormat="false" ht="29.85" hidden="false" customHeight="false" outlineLevel="0" collapsed="false">
      <c r="A2126" s="15" t="n">
        <v>2125</v>
      </c>
      <c r="B2126" s="9" t="s">
        <v>112</v>
      </c>
      <c r="C2126" s="9" t="s">
        <v>1242</v>
      </c>
      <c r="D2126" s="10" t="s">
        <v>1243</v>
      </c>
      <c r="E2126" s="11" t="s">
        <v>5355</v>
      </c>
      <c r="F2126" s="17"/>
      <c r="G2126" s="12" t="s">
        <v>1136</v>
      </c>
      <c r="H2126" s="13" t="n">
        <v>-0.006</v>
      </c>
      <c r="I2126" s="14"/>
      <c r="J2126" s="17"/>
      <c r="K2126" s="9"/>
      <c r="L2126" s="15" t="s">
        <v>50</v>
      </c>
      <c r="M2126" s="16" t="s">
        <v>51</v>
      </c>
      <c r="N2126" s="14"/>
      <c r="O2126" s="15" t="s">
        <v>52</v>
      </c>
      <c r="P2126" s="17" t="s">
        <v>53</v>
      </c>
      <c r="Q2126" s="15"/>
      <c r="R2126" s="18" t="s">
        <v>51</v>
      </c>
      <c r="S2126" s="19"/>
      <c r="T2126" s="17" t="str">
        <f aca="false">IF(R2126="維持",J2126,IF(R2126="排除","無關新聞事件",IFERROR(INDEX(事件規則!$B$2:$B$53,MATCH(S2126,事件規則!$A$2:$A$53,0)),"")))</f>
        <v>無關新聞事件</v>
      </c>
      <c r="U2126" s="20" t="n">
        <f aca="false">IF(R2126="維持",K2126,IF(R2126="排除",0,IFERROR(INDEX(事件規則!$C$2:$C$53,MATCH(S2126,事件規則!$A$2:$A$53,0)),"")))</f>
        <v>0</v>
      </c>
      <c r="V2126" s="21"/>
      <c r="W2126" s="22"/>
      <c r="X2126" s="10" t="str">
        <f aca="false">IF(AND(R2126="修改",S2126=""),"請選新事件代碼",IF(AND(R2126&lt;&gt;"修改",S2126&lt;&gt;""),"只有「修改」才需填代碼",""))</f>
        <v/>
      </c>
      <c r="Y2126" s="21"/>
      <c r="Z2126" s="22"/>
      <c r="AA2126" s="12" t="s">
        <v>5356</v>
      </c>
      <c r="AB2126" s="24"/>
    </row>
    <row r="2127" customFormat="false" ht="29.85" hidden="false" customHeight="false" outlineLevel="0" collapsed="false">
      <c r="A2127" s="15" t="n">
        <v>2126</v>
      </c>
      <c r="B2127" s="9" t="s">
        <v>112</v>
      </c>
      <c r="C2127" s="9" t="s">
        <v>535</v>
      </c>
      <c r="D2127" s="10" t="s">
        <v>536</v>
      </c>
      <c r="E2127" s="11" t="s">
        <v>5357</v>
      </c>
      <c r="F2127" s="17"/>
      <c r="G2127" s="12" t="s">
        <v>95</v>
      </c>
      <c r="H2127" s="13" t="n">
        <v>-0.006</v>
      </c>
      <c r="I2127" s="14"/>
      <c r="J2127" s="17"/>
      <c r="K2127" s="9"/>
      <c r="L2127" s="15" t="s">
        <v>50</v>
      </c>
      <c r="M2127" s="16" t="s">
        <v>51</v>
      </c>
      <c r="N2127" s="14"/>
      <c r="O2127" s="15" t="s">
        <v>52</v>
      </c>
      <c r="P2127" s="17" t="s">
        <v>53</v>
      </c>
      <c r="Q2127" s="15"/>
      <c r="R2127" s="18" t="s">
        <v>51</v>
      </c>
      <c r="S2127" s="19"/>
      <c r="T2127" s="17" t="str">
        <f aca="false">IF(R2127="維持",J2127,IF(R2127="排除","無關新聞事件",IFERROR(INDEX(事件規則!$B$2:$B$53,MATCH(S2127,事件規則!$A$2:$A$53,0)),"")))</f>
        <v>無關新聞事件</v>
      </c>
      <c r="U2127" s="20" t="n">
        <f aca="false">IF(R2127="維持",K2127,IF(R2127="排除",0,IFERROR(INDEX(事件規則!$C$2:$C$53,MATCH(S2127,事件規則!$A$2:$A$53,0)),"")))</f>
        <v>0</v>
      </c>
      <c r="V2127" s="21"/>
      <c r="W2127" s="22"/>
      <c r="X2127" s="10" t="str">
        <f aca="false">IF(AND(R2127="修改",S2127=""),"請選新事件代碼",IF(AND(R2127&lt;&gt;"修改",S2127&lt;&gt;""),"只有「修改」才需填代碼",""))</f>
        <v/>
      </c>
      <c r="Y2127" s="21"/>
      <c r="Z2127" s="22"/>
      <c r="AA2127" s="12" t="s">
        <v>5358</v>
      </c>
      <c r="AB2127" s="24"/>
    </row>
    <row r="2128" customFormat="false" ht="29.85" hidden="false" customHeight="false" outlineLevel="0" collapsed="false">
      <c r="A2128" s="15" t="n">
        <v>2127</v>
      </c>
      <c r="B2128" s="9" t="s">
        <v>112</v>
      </c>
      <c r="C2128" s="9" t="s">
        <v>315</v>
      </c>
      <c r="D2128" s="10" t="s">
        <v>316</v>
      </c>
      <c r="E2128" s="11" t="s">
        <v>5359</v>
      </c>
      <c r="F2128" s="17"/>
      <c r="G2128" s="12" t="s">
        <v>176</v>
      </c>
      <c r="H2128" s="13" t="n">
        <v>-0.006</v>
      </c>
      <c r="I2128" s="14"/>
      <c r="J2128" s="17"/>
      <c r="K2128" s="9"/>
      <c r="L2128" s="15" t="s">
        <v>50</v>
      </c>
      <c r="M2128" s="16" t="s">
        <v>51</v>
      </c>
      <c r="N2128" s="14"/>
      <c r="O2128" s="15" t="s">
        <v>52</v>
      </c>
      <c r="P2128" s="17" t="s">
        <v>53</v>
      </c>
      <c r="Q2128" s="15"/>
      <c r="R2128" s="18" t="s">
        <v>51</v>
      </c>
      <c r="S2128" s="19"/>
      <c r="T2128" s="17" t="str">
        <f aca="false">IF(R2128="維持",J2128,IF(R2128="排除","無關新聞事件",IFERROR(INDEX(事件規則!$B$2:$B$53,MATCH(S2128,事件規則!$A$2:$A$53,0)),"")))</f>
        <v>無關新聞事件</v>
      </c>
      <c r="U2128" s="20" t="n">
        <f aca="false">IF(R2128="維持",K2128,IF(R2128="排除",0,IFERROR(INDEX(事件規則!$C$2:$C$53,MATCH(S2128,事件規則!$A$2:$A$53,0)),"")))</f>
        <v>0</v>
      </c>
      <c r="V2128" s="21"/>
      <c r="W2128" s="22"/>
      <c r="X2128" s="10" t="str">
        <f aca="false">IF(AND(R2128="修改",S2128=""),"請選新事件代碼",IF(AND(R2128&lt;&gt;"修改",S2128&lt;&gt;""),"只有「修改」才需填代碼",""))</f>
        <v/>
      </c>
      <c r="Y2128" s="21"/>
      <c r="Z2128" s="22"/>
      <c r="AA2128" s="12" t="s">
        <v>5360</v>
      </c>
      <c r="AB2128" s="24"/>
    </row>
    <row r="2129" customFormat="false" ht="29.85" hidden="false" customHeight="false" outlineLevel="0" collapsed="false">
      <c r="A2129" s="15" t="n">
        <v>2128</v>
      </c>
      <c r="B2129" s="9" t="s">
        <v>112</v>
      </c>
      <c r="C2129" s="9" t="s">
        <v>1711</v>
      </c>
      <c r="D2129" s="10" t="s">
        <v>1712</v>
      </c>
      <c r="E2129" s="11" t="s">
        <v>5361</v>
      </c>
      <c r="F2129" s="17"/>
      <c r="G2129" s="12" t="s">
        <v>105</v>
      </c>
      <c r="H2129" s="13" t="n">
        <v>-0.006</v>
      </c>
      <c r="I2129" s="14"/>
      <c r="J2129" s="17"/>
      <c r="K2129" s="9"/>
      <c r="L2129" s="15" t="s">
        <v>50</v>
      </c>
      <c r="M2129" s="16" t="s">
        <v>51</v>
      </c>
      <c r="N2129" s="14"/>
      <c r="O2129" s="15" t="s">
        <v>52</v>
      </c>
      <c r="P2129" s="17" t="s">
        <v>53</v>
      </c>
      <c r="Q2129" s="15"/>
      <c r="R2129" s="18" t="s">
        <v>51</v>
      </c>
      <c r="S2129" s="19"/>
      <c r="T2129" s="17" t="str">
        <f aca="false">IF(R2129="維持",J2129,IF(R2129="排除","無關新聞事件",IFERROR(INDEX(事件規則!$B$2:$B$53,MATCH(S2129,事件規則!$A$2:$A$53,0)),"")))</f>
        <v>無關新聞事件</v>
      </c>
      <c r="U2129" s="20" t="n">
        <f aca="false">IF(R2129="維持",K2129,IF(R2129="排除",0,IFERROR(INDEX(事件規則!$C$2:$C$53,MATCH(S2129,事件規則!$A$2:$A$53,0)),"")))</f>
        <v>0</v>
      </c>
      <c r="V2129" s="21"/>
      <c r="W2129" s="22"/>
      <c r="X2129" s="10" t="str">
        <f aca="false">IF(AND(R2129="修改",S2129=""),"請選新事件代碼",IF(AND(R2129&lt;&gt;"修改",S2129&lt;&gt;""),"只有「修改」才需填代碼",""))</f>
        <v/>
      </c>
      <c r="Y2129" s="21"/>
      <c r="Z2129" s="22"/>
      <c r="AA2129" s="12" t="s">
        <v>5362</v>
      </c>
      <c r="AB2129" s="24"/>
    </row>
    <row r="2130" customFormat="false" ht="29.85" hidden="false" customHeight="false" outlineLevel="0" collapsed="false">
      <c r="A2130" s="15" t="n">
        <v>2129</v>
      </c>
      <c r="B2130" s="9" t="s">
        <v>112</v>
      </c>
      <c r="C2130" s="9" t="s">
        <v>1017</v>
      </c>
      <c r="D2130" s="10" t="s">
        <v>1018</v>
      </c>
      <c r="E2130" s="11" t="s">
        <v>5363</v>
      </c>
      <c r="F2130" s="17"/>
      <c r="G2130" s="12" t="s">
        <v>2033</v>
      </c>
      <c r="H2130" s="13" t="n">
        <v>-0.006</v>
      </c>
      <c r="I2130" s="14"/>
      <c r="J2130" s="17"/>
      <c r="K2130" s="9"/>
      <c r="L2130" s="15" t="s">
        <v>50</v>
      </c>
      <c r="M2130" s="16" t="s">
        <v>51</v>
      </c>
      <c r="N2130" s="14"/>
      <c r="O2130" s="15" t="s">
        <v>52</v>
      </c>
      <c r="P2130" s="17" t="s">
        <v>53</v>
      </c>
      <c r="Q2130" s="15"/>
      <c r="R2130" s="18" t="s">
        <v>51</v>
      </c>
      <c r="S2130" s="19"/>
      <c r="T2130" s="17" t="str">
        <f aca="false">IF(R2130="維持",J2130,IF(R2130="排除","無關新聞事件",IFERROR(INDEX(事件規則!$B$2:$B$53,MATCH(S2130,事件規則!$A$2:$A$53,0)),"")))</f>
        <v>無關新聞事件</v>
      </c>
      <c r="U2130" s="20" t="n">
        <f aca="false">IF(R2130="維持",K2130,IF(R2130="排除",0,IFERROR(INDEX(事件規則!$C$2:$C$53,MATCH(S2130,事件規則!$A$2:$A$53,0)),"")))</f>
        <v>0</v>
      </c>
      <c r="V2130" s="21"/>
      <c r="W2130" s="22"/>
      <c r="X2130" s="10" t="str">
        <f aca="false">IF(AND(R2130="修改",S2130=""),"請選新事件代碼",IF(AND(R2130&lt;&gt;"修改",S2130&lt;&gt;""),"只有「修改」才需填代碼",""))</f>
        <v/>
      </c>
      <c r="Y2130" s="21"/>
      <c r="Z2130" s="22"/>
      <c r="AA2130" s="12" t="s">
        <v>5364</v>
      </c>
      <c r="AB2130" s="24"/>
    </row>
    <row r="2131" customFormat="false" ht="29.85" hidden="false" customHeight="false" outlineLevel="0" collapsed="false">
      <c r="A2131" s="15" t="n">
        <v>2130</v>
      </c>
      <c r="B2131" s="9" t="s">
        <v>112</v>
      </c>
      <c r="C2131" s="9" t="s">
        <v>3927</v>
      </c>
      <c r="D2131" s="10" t="s">
        <v>3928</v>
      </c>
      <c r="E2131" s="11" t="s">
        <v>5365</v>
      </c>
      <c r="F2131" s="17"/>
      <c r="G2131" s="12" t="s">
        <v>95</v>
      </c>
      <c r="H2131" s="13" t="n">
        <v>-0.006</v>
      </c>
      <c r="I2131" s="14"/>
      <c r="J2131" s="17"/>
      <c r="K2131" s="9"/>
      <c r="L2131" s="15" t="s">
        <v>50</v>
      </c>
      <c r="M2131" s="16" t="s">
        <v>51</v>
      </c>
      <c r="N2131" s="14"/>
      <c r="O2131" s="15" t="s">
        <v>52</v>
      </c>
      <c r="P2131" s="17" t="s">
        <v>53</v>
      </c>
      <c r="Q2131" s="15"/>
      <c r="R2131" s="18" t="s">
        <v>51</v>
      </c>
      <c r="S2131" s="19"/>
      <c r="T2131" s="17" t="str">
        <f aca="false">IF(R2131="維持",J2131,IF(R2131="排除","無關新聞事件",IFERROR(INDEX(事件規則!$B$2:$B$53,MATCH(S2131,事件規則!$A$2:$A$53,0)),"")))</f>
        <v>無關新聞事件</v>
      </c>
      <c r="U2131" s="20" t="n">
        <f aca="false">IF(R2131="維持",K2131,IF(R2131="排除",0,IFERROR(INDEX(事件規則!$C$2:$C$53,MATCH(S2131,事件規則!$A$2:$A$53,0)),"")))</f>
        <v>0</v>
      </c>
      <c r="V2131" s="21"/>
      <c r="W2131" s="22"/>
      <c r="X2131" s="10" t="str">
        <f aca="false">IF(AND(R2131="修改",S2131=""),"請選新事件代碼",IF(AND(R2131&lt;&gt;"修改",S2131&lt;&gt;""),"只有「修改」才需填代碼",""))</f>
        <v/>
      </c>
      <c r="Y2131" s="21"/>
      <c r="Z2131" s="22"/>
      <c r="AA2131" s="12" t="s">
        <v>5366</v>
      </c>
      <c r="AB2131" s="24"/>
    </row>
    <row r="2132" customFormat="false" ht="29.85" hidden="false" customHeight="false" outlineLevel="0" collapsed="false">
      <c r="A2132" s="15" t="n">
        <v>2131</v>
      </c>
      <c r="B2132" s="9" t="s">
        <v>112</v>
      </c>
      <c r="C2132" s="9" t="s">
        <v>3980</v>
      </c>
      <c r="D2132" s="10" t="s">
        <v>3981</v>
      </c>
      <c r="E2132" s="11" t="s">
        <v>5367</v>
      </c>
      <c r="F2132" s="17"/>
      <c r="G2132" s="12" t="s">
        <v>105</v>
      </c>
      <c r="H2132" s="13" t="n">
        <v>-0.006</v>
      </c>
      <c r="I2132" s="14"/>
      <c r="J2132" s="17"/>
      <c r="K2132" s="9"/>
      <c r="L2132" s="15" t="s">
        <v>50</v>
      </c>
      <c r="M2132" s="16" t="s">
        <v>51</v>
      </c>
      <c r="N2132" s="14"/>
      <c r="O2132" s="15" t="s">
        <v>52</v>
      </c>
      <c r="P2132" s="17" t="s">
        <v>53</v>
      </c>
      <c r="Q2132" s="15"/>
      <c r="R2132" s="18" t="s">
        <v>51</v>
      </c>
      <c r="S2132" s="19"/>
      <c r="T2132" s="17" t="str">
        <f aca="false">IF(R2132="維持",J2132,IF(R2132="排除","無關新聞事件",IFERROR(INDEX(事件規則!$B$2:$B$53,MATCH(S2132,事件規則!$A$2:$A$53,0)),"")))</f>
        <v>無關新聞事件</v>
      </c>
      <c r="U2132" s="20" t="n">
        <f aca="false">IF(R2132="維持",K2132,IF(R2132="排除",0,IFERROR(INDEX(事件規則!$C$2:$C$53,MATCH(S2132,事件規則!$A$2:$A$53,0)),"")))</f>
        <v>0</v>
      </c>
      <c r="V2132" s="21"/>
      <c r="W2132" s="22"/>
      <c r="X2132" s="10" t="str">
        <f aca="false">IF(AND(R2132="修改",S2132=""),"請選新事件代碼",IF(AND(R2132&lt;&gt;"修改",S2132&lt;&gt;""),"只有「修改」才需填代碼",""))</f>
        <v/>
      </c>
      <c r="Y2132" s="21"/>
      <c r="Z2132" s="22"/>
      <c r="AA2132" s="12" t="s">
        <v>5368</v>
      </c>
      <c r="AB2132" s="24"/>
    </row>
    <row r="2133" customFormat="false" ht="29.85" hidden="false" customHeight="false" outlineLevel="0" collapsed="false">
      <c r="A2133" s="15" t="n">
        <v>2132</v>
      </c>
      <c r="B2133" s="9" t="s">
        <v>112</v>
      </c>
      <c r="C2133" s="9" t="s">
        <v>563</v>
      </c>
      <c r="D2133" s="10" t="s">
        <v>564</v>
      </c>
      <c r="E2133" s="11" t="s">
        <v>5369</v>
      </c>
      <c r="F2133" s="17"/>
      <c r="G2133" s="12" t="s">
        <v>105</v>
      </c>
      <c r="H2133" s="13" t="n">
        <v>-0.006</v>
      </c>
      <c r="I2133" s="14"/>
      <c r="J2133" s="17"/>
      <c r="K2133" s="9"/>
      <c r="L2133" s="15" t="s">
        <v>50</v>
      </c>
      <c r="M2133" s="16" t="s">
        <v>51</v>
      </c>
      <c r="N2133" s="14"/>
      <c r="O2133" s="15" t="s">
        <v>52</v>
      </c>
      <c r="P2133" s="17" t="s">
        <v>53</v>
      </c>
      <c r="Q2133" s="15"/>
      <c r="R2133" s="18" t="s">
        <v>51</v>
      </c>
      <c r="S2133" s="19"/>
      <c r="T2133" s="17" t="str">
        <f aca="false">IF(R2133="維持",J2133,IF(R2133="排除","無關新聞事件",IFERROR(INDEX(事件規則!$B$2:$B$53,MATCH(S2133,事件規則!$A$2:$A$53,0)),"")))</f>
        <v>無關新聞事件</v>
      </c>
      <c r="U2133" s="20" t="n">
        <f aca="false">IF(R2133="維持",K2133,IF(R2133="排除",0,IFERROR(INDEX(事件規則!$C$2:$C$53,MATCH(S2133,事件規則!$A$2:$A$53,0)),"")))</f>
        <v>0</v>
      </c>
      <c r="V2133" s="21"/>
      <c r="W2133" s="22"/>
      <c r="X2133" s="10" t="str">
        <f aca="false">IF(AND(R2133="修改",S2133=""),"請選新事件代碼",IF(AND(R2133&lt;&gt;"修改",S2133&lt;&gt;""),"只有「修改」才需填代碼",""))</f>
        <v/>
      </c>
      <c r="Y2133" s="21"/>
      <c r="Z2133" s="22"/>
      <c r="AA2133" s="12" t="s">
        <v>5370</v>
      </c>
      <c r="AB2133" s="24"/>
    </row>
    <row r="2134" customFormat="false" ht="29.85" hidden="false" customHeight="false" outlineLevel="0" collapsed="false">
      <c r="A2134" s="15" t="n">
        <v>2133</v>
      </c>
      <c r="B2134" s="9" t="s">
        <v>55</v>
      </c>
      <c r="C2134" s="9" t="s">
        <v>1653</v>
      </c>
      <c r="D2134" s="10" t="s">
        <v>1654</v>
      </c>
      <c r="E2134" s="11" t="s">
        <v>5371</v>
      </c>
      <c r="F2134" s="17"/>
      <c r="G2134" s="12" t="s">
        <v>5372</v>
      </c>
      <c r="H2134" s="13" t="n">
        <v>-0.005</v>
      </c>
      <c r="I2134" s="14"/>
      <c r="J2134" s="17"/>
      <c r="K2134" s="9"/>
      <c r="L2134" s="15" t="s">
        <v>50</v>
      </c>
      <c r="M2134" s="16" t="s">
        <v>51</v>
      </c>
      <c r="N2134" s="14"/>
      <c r="O2134" s="15" t="s">
        <v>52</v>
      </c>
      <c r="P2134" s="17" t="s">
        <v>53</v>
      </c>
      <c r="Q2134" s="15"/>
      <c r="R2134" s="18" t="s">
        <v>51</v>
      </c>
      <c r="S2134" s="19"/>
      <c r="T2134" s="17" t="str">
        <f aca="false">IF(R2134="維持",J2134,IF(R2134="排除","無關新聞事件",IFERROR(INDEX(事件規則!$B$2:$B$53,MATCH(S2134,事件規則!$A$2:$A$53,0)),"")))</f>
        <v>無關新聞事件</v>
      </c>
      <c r="U2134" s="20" t="n">
        <f aca="false">IF(R2134="維持",K2134,IF(R2134="排除",0,IFERROR(INDEX(事件規則!$C$2:$C$53,MATCH(S2134,事件規則!$A$2:$A$53,0)),"")))</f>
        <v>0</v>
      </c>
      <c r="V2134" s="21"/>
      <c r="W2134" s="22"/>
      <c r="X2134" s="10" t="str">
        <f aca="false">IF(AND(R2134="修改",S2134=""),"請選新事件代碼",IF(AND(R2134&lt;&gt;"修改",S2134&lt;&gt;""),"只有「修改」才需填代碼",""))</f>
        <v/>
      </c>
      <c r="Y2134" s="21"/>
      <c r="Z2134" s="22"/>
      <c r="AA2134" s="12" t="s">
        <v>5373</v>
      </c>
      <c r="AB2134" s="24"/>
    </row>
    <row r="2135" customFormat="false" ht="29.85" hidden="false" customHeight="false" outlineLevel="0" collapsed="false">
      <c r="A2135" s="15" t="n">
        <v>2134</v>
      </c>
      <c r="B2135" s="9" t="s">
        <v>55</v>
      </c>
      <c r="C2135" s="9" t="s">
        <v>1196</v>
      </c>
      <c r="D2135" s="10" t="s">
        <v>1197</v>
      </c>
      <c r="E2135" s="11" t="s">
        <v>5374</v>
      </c>
      <c r="F2135" s="17"/>
      <c r="G2135" s="12" t="s">
        <v>949</v>
      </c>
      <c r="H2135" s="13" t="n">
        <v>-0.005</v>
      </c>
      <c r="I2135" s="14"/>
      <c r="J2135" s="17"/>
      <c r="K2135" s="9"/>
      <c r="L2135" s="15" t="s">
        <v>50</v>
      </c>
      <c r="M2135" s="16" t="s">
        <v>51</v>
      </c>
      <c r="N2135" s="14"/>
      <c r="O2135" s="15" t="s">
        <v>52</v>
      </c>
      <c r="P2135" s="17" t="s">
        <v>53</v>
      </c>
      <c r="Q2135" s="15"/>
      <c r="R2135" s="18" t="s">
        <v>51</v>
      </c>
      <c r="S2135" s="19"/>
      <c r="T2135" s="17" t="str">
        <f aca="false">IF(R2135="維持",J2135,IF(R2135="排除","無關新聞事件",IFERROR(INDEX(事件規則!$B$2:$B$53,MATCH(S2135,事件規則!$A$2:$A$53,0)),"")))</f>
        <v>無關新聞事件</v>
      </c>
      <c r="U2135" s="20" t="n">
        <f aca="false">IF(R2135="維持",K2135,IF(R2135="排除",0,IFERROR(INDEX(事件規則!$C$2:$C$53,MATCH(S2135,事件規則!$A$2:$A$53,0)),"")))</f>
        <v>0</v>
      </c>
      <c r="V2135" s="21"/>
      <c r="W2135" s="22"/>
      <c r="X2135" s="10" t="str">
        <f aca="false">IF(AND(R2135="修改",S2135=""),"請選新事件代碼",IF(AND(R2135&lt;&gt;"修改",S2135&lt;&gt;""),"只有「修改」才需填代碼",""))</f>
        <v/>
      </c>
      <c r="Y2135" s="21"/>
      <c r="Z2135" s="22"/>
      <c r="AA2135" s="12" t="s">
        <v>5375</v>
      </c>
      <c r="AB2135" s="24"/>
    </row>
    <row r="2136" customFormat="false" ht="29.85" hidden="false" customHeight="false" outlineLevel="0" collapsed="false">
      <c r="A2136" s="15" t="n">
        <v>2135</v>
      </c>
      <c r="B2136" s="9" t="s">
        <v>55</v>
      </c>
      <c r="C2136" s="9" t="s">
        <v>2432</v>
      </c>
      <c r="D2136" s="10" t="s">
        <v>2433</v>
      </c>
      <c r="E2136" s="11" t="s">
        <v>5376</v>
      </c>
      <c r="F2136" s="17"/>
      <c r="G2136" s="12" t="s">
        <v>105</v>
      </c>
      <c r="H2136" s="13" t="n">
        <v>-0.005</v>
      </c>
      <c r="I2136" s="14"/>
      <c r="J2136" s="17"/>
      <c r="K2136" s="9"/>
      <c r="L2136" s="15" t="s">
        <v>50</v>
      </c>
      <c r="M2136" s="16" t="s">
        <v>51</v>
      </c>
      <c r="N2136" s="14"/>
      <c r="O2136" s="15" t="s">
        <v>52</v>
      </c>
      <c r="P2136" s="17" t="s">
        <v>53</v>
      </c>
      <c r="Q2136" s="15"/>
      <c r="R2136" s="18" t="s">
        <v>51</v>
      </c>
      <c r="S2136" s="19"/>
      <c r="T2136" s="17" t="str">
        <f aca="false">IF(R2136="維持",J2136,IF(R2136="排除","無關新聞事件",IFERROR(INDEX(事件規則!$B$2:$B$53,MATCH(S2136,事件規則!$A$2:$A$53,0)),"")))</f>
        <v>無關新聞事件</v>
      </c>
      <c r="U2136" s="20" t="n">
        <f aca="false">IF(R2136="維持",K2136,IF(R2136="排除",0,IFERROR(INDEX(事件規則!$C$2:$C$53,MATCH(S2136,事件規則!$A$2:$A$53,0)),"")))</f>
        <v>0</v>
      </c>
      <c r="V2136" s="21"/>
      <c r="W2136" s="22"/>
      <c r="X2136" s="10" t="str">
        <f aca="false">IF(AND(R2136="修改",S2136=""),"請選新事件代碼",IF(AND(R2136&lt;&gt;"修改",S2136&lt;&gt;""),"只有「修改」才需填代碼",""))</f>
        <v/>
      </c>
      <c r="Y2136" s="21"/>
      <c r="Z2136" s="22"/>
      <c r="AA2136" s="12" t="s">
        <v>5377</v>
      </c>
      <c r="AB2136" s="24"/>
    </row>
    <row r="2137" customFormat="false" ht="29.85" hidden="false" customHeight="false" outlineLevel="0" collapsed="false">
      <c r="A2137" s="15" t="n">
        <v>2136</v>
      </c>
      <c r="B2137" s="9" t="s">
        <v>112</v>
      </c>
      <c r="C2137" s="9" t="s">
        <v>1060</v>
      </c>
      <c r="D2137" s="10" t="s">
        <v>1061</v>
      </c>
      <c r="E2137" s="11" t="s">
        <v>5378</v>
      </c>
      <c r="F2137" s="17"/>
      <c r="G2137" s="12" t="s">
        <v>4343</v>
      </c>
      <c r="H2137" s="13" t="n">
        <v>-0.005</v>
      </c>
      <c r="I2137" s="14"/>
      <c r="J2137" s="17"/>
      <c r="K2137" s="9"/>
      <c r="L2137" s="15" t="s">
        <v>50</v>
      </c>
      <c r="M2137" s="16" t="s">
        <v>51</v>
      </c>
      <c r="N2137" s="14"/>
      <c r="O2137" s="15" t="s">
        <v>52</v>
      </c>
      <c r="P2137" s="17" t="s">
        <v>53</v>
      </c>
      <c r="Q2137" s="15"/>
      <c r="R2137" s="18" t="s">
        <v>51</v>
      </c>
      <c r="S2137" s="19"/>
      <c r="T2137" s="17" t="str">
        <f aca="false">IF(R2137="維持",J2137,IF(R2137="排除","無關新聞事件",IFERROR(INDEX(事件規則!$B$2:$B$53,MATCH(S2137,事件規則!$A$2:$A$53,0)),"")))</f>
        <v>無關新聞事件</v>
      </c>
      <c r="U2137" s="20" t="n">
        <f aca="false">IF(R2137="維持",K2137,IF(R2137="排除",0,IFERROR(INDEX(事件規則!$C$2:$C$53,MATCH(S2137,事件規則!$A$2:$A$53,0)),"")))</f>
        <v>0</v>
      </c>
      <c r="V2137" s="21"/>
      <c r="W2137" s="22"/>
      <c r="X2137" s="10" t="str">
        <f aca="false">IF(AND(R2137="修改",S2137=""),"請選新事件代碼",IF(AND(R2137&lt;&gt;"修改",S2137&lt;&gt;""),"只有「修改」才需填代碼",""))</f>
        <v/>
      </c>
      <c r="Y2137" s="21"/>
      <c r="Z2137" s="22"/>
      <c r="AA2137" s="12" t="s">
        <v>5379</v>
      </c>
      <c r="AB2137" s="24"/>
    </row>
    <row r="2138" customFormat="false" ht="29.85" hidden="false" customHeight="false" outlineLevel="0" collapsed="false">
      <c r="A2138" s="15" t="n">
        <v>2137</v>
      </c>
      <c r="B2138" s="9" t="s">
        <v>112</v>
      </c>
      <c r="C2138" s="9" t="s">
        <v>113</v>
      </c>
      <c r="D2138" s="10" t="s">
        <v>114</v>
      </c>
      <c r="E2138" s="11" t="s">
        <v>5380</v>
      </c>
      <c r="F2138" s="17"/>
      <c r="G2138" s="12" t="s">
        <v>949</v>
      </c>
      <c r="H2138" s="13" t="n">
        <v>-0.005</v>
      </c>
      <c r="I2138" s="14"/>
      <c r="J2138" s="17"/>
      <c r="K2138" s="9"/>
      <c r="L2138" s="15" t="s">
        <v>50</v>
      </c>
      <c r="M2138" s="16" t="s">
        <v>51</v>
      </c>
      <c r="N2138" s="14"/>
      <c r="O2138" s="15" t="s">
        <v>52</v>
      </c>
      <c r="P2138" s="17" t="s">
        <v>53</v>
      </c>
      <c r="Q2138" s="15"/>
      <c r="R2138" s="18" t="s">
        <v>51</v>
      </c>
      <c r="S2138" s="19"/>
      <c r="T2138" s="17" t="str">
        <f aca="false">IF(R2138="維持",J2138,IF(R2138="排除","無關新聞事件",IFERROR(INDEX(事件規則!$B$2:$B$53,MATCH(S2138,事件規則!$A$2:$A$53,0)),"")))</f>
        <v>無關新聞事件</v>
      </c>
      <c r="U2138" s="20" t="n">
        <f aca="false">IF(R2138="維持",K2138,IF(R2138="排除",0,IFERROR(INDEX(事件規則!$C$2:$C$53,MATCH(S2138,事件規則!$A$2:$A$53,0)),"")))</f>
        <v>0</v>
      </c>
      <c r="V2138" s="21"/>
      <c r="W2138" s="22"/>
      <c r="X2138" s="10" t="str">
        <f aca="false">IF(AND(R2138="修改",S2138=""),"請選新事件代碼",IF(AND(R2138&lt;&gt;"修改",S2138&lt;&gt;""),"只有「修改」才需填代碼",""))</f>
        <v/>
      </c>
      <c r="Y2138" s="21"/>
      <c r="Z2138" s="22"/>
      <c r="AA2138" s="12" t="s">
        <v>5381</v>
      </c>
      <c r="AB2138" s="24"/>
    </row>
    <row r="2139" customFormat="false" ht="29.85" hidden="false" customHeight="false" outlineLevel="0" collapsed="false">
      <c r="A2139" s="15" t="n">
        <v>2138</v>
      </c>
      <c r="B2139" s="9" t="s">
        <v>112</v>
      </c>
      <c r="C2139" s="9" t="s">
        <v>61</v>
      </c>
      <c r="D2139" s="10" t="s">
        <v>62</v>
      </c>
      <c r="E2139" s="11" t="s">
        <v>5382</v>
      </c>
      <c r="F2139" s="17"/>
      <c r="G2139" s="12" t="s">
        <v>2033</v>
      </c>
      <c r="H2139" s="13" t="n">
        <v>-0.005</v>
      </c>
      <c r="I2139" s="14"/>
      <c r="J2139" s="17"/>
      <c r="K2139" s="9"/>
      <c r="L2139" s="15" t="s">
        <v>50</v>
      </c>
      <c r="M2139" s="16" t="s">
        <v>51</v>
      </c>
      <c r="N2139" s="14"/>
      <c r="O2139" s="15" t="s">
        <v>52</v>
      </c>
      <c r="P2139" s="17" t="s">
        <v>53</v>
      </c>
      <c r="Q2139" s="15"/>
      <c r="R2139" s="18" t="s">
        <v>51</v>
      </c>
      <c r="S2139" s="19"/>
      <c r="T2139" s="17" t="str">
        <f aca="false">IF(R2139="維持",J2139,IF(R2139="排除","無關新聞事件",IFERROR(INDEX(事件規則!$B$2:$B$53,MATCH(S2139,事件規則!$A$2:$A$53,0)),"")))</f>
        <v>無關新聞事件</v>
      </c>
      <c r="U2139" s="20" t="n">
        <f aca="false">IF(R2139="維持",K2139,IF(R2139="排除",0,IFERROR(INDEX(事件規則!$C$2:$C$53,MATCH(S2139,事件規則!$A$2:$A$53,0)),"")))</f>
        <v>0</v>
      </c>
      <c r="V2139" s="21"/>
      <c r="W2139" s="22"/>
      <c r="X2139" s="10" t="str">
        <f aca="false">IF(AND(R2139="修改",S2139=""),"請選新事件代碼",IF(AND(R2139&lt;&gt;"修改",S2139&lt;&gt;""),"只有「修改」才需填代碼",""))</f>
        <v/>
      </c>
      <c r="Y2139" s="21"/>
      <c r="Z2139" s="22"/>
      <c r="AA2139" s="12" t="s">
        <v>5383</v>
      </c>
      <c r="AB2139" s="24"/>
    </row>
    <row r="2140" customFormat="false" ht="29.85" hidden="false" customHeight="false" outlineLevel="0" collapsed="false">
      <c r="A2140" s="15" t="n">
        <v>2139</v>
      </c>
      <c r="B2140" s="9" t="s">
        <v>112</v>
      </c>
      <c r="C2140" s="9" t="s">
        <v>761</v>
      </c>
      <c r="D2140" s="10" t="s">
        <v>762</v>
      </c>
      <c r="E2140" s="11" t="s">
        <v>5384</v>
      </c>
      <c r="F2140" s="17"/>
      <c r="G2140" s="12" t="s">
        <v>95</v>
      </c>
      <c r="H2140" s="13" t="n">
        <v>-0.005</v>
      </c>
      <c r="I2140" s="14"/>
      <c r="J2140" s="17"/>
      <c r="K2140" s="9"/>
      <c r="L2140" s="15" t="s">
        <v>50</v>
      </c>
      <c r="M2140" s="16" t="s">
        <v>51</v>
      </c>
      <c r="N2140" s="14"/>
      <c r="O2140" s="15" t="s">
        <v>52</v>
      </c>
      <c r="P2140" s="17" t="s">
        <v>53</v>
      </c>
      <c r="Q2140" s="15"/>
      <c r="R2140" s="18" t="s">
        <v>51</v>
      </c>
      <c r="S2140" s="19"/>
      <c r="T2140" s="17" t="str">
        <f aca="false">IF(R2140="維持",J2140,IF(R2140="排除","無關新聞事件",IFERROR(INDEX(事件規則!$B$2:$B$53,MATCH(S2140,事件規則!$A$2:$A$53,0)),"")))</f>
        <v>無關新聞事件</v>
      </c>
      <c r="U2140" s="20" t="n">
        <f aca="false">IF(R2140="維持",K2140,IF(R2140="排除",0,IFERROR(INDEX(事件規則!$C$2:$C$53,MATCH(S2140,事件規則!$A$2:$A$53,0)),"")))</f>
        <v>0</v>
      </c>
      <c r="V2140" s="21"/>
      <c r="W2140" s="22"/>
      <c r="X2140" s="10" t="str">
        <f aca="false">IF(AND(R2140="修改",S2140=""),"請選新事件代碼",IF(AND(R2140&lt;&gt;"修改",S2140&lt;&gt;""),"只有「修改」才需填代碼",""))</f>
        <v/>
      </c>
      <c r="Y2140" s="21"/>
      <c r="Z2140" s="22"/>
      <c r="AA2140" s="12" t="s">
        <v>5385</v>
      </c>
      <c r="AB2140" s="24"/>
    </row>
    <row r="2141" customFormat="false" ht="29.85" hidden="false" customHeight="false" outlineLevel="0" collapsed="false">
      <c r="A2141" s="15" t="n">
        <v>2140</v>
      </c>
      <c r="B2141" s="9" t="s">
        <v>112</v>
      </c>
      <c r="C2141" s="9" t="s">
        <v>5386</v>
      </c>
      <c r="D2141" s="10" t="s">
        <v>5387</v>
      </c>
      <c r="E2141" s="11" t="s">
        <v>5388</v>
      </c>
      <c r="F2141" s="17"/>
      <c r="G2141" s="12" t="s">
        <v>176</v>
      </c>
      <c r="H2141" s="13" t="n">
        <v>-0.005</v>
      </c>
      <c r="I2141" s="14"/>
      <c r="J2141" s="17"/>
      <c r="K2141" s="9"/>
      <c r="L2141" s="15" t="s">
        <v>50</v>
      </c>
      <c r="M2141" s="16" t="s">
        <v>51</v>
      </c>
      <c r="N2141" s="14"/>
      <c r="O2141" s="15" t="s">
        <v>52</v>
      </c>
      <c r="P2141" s="17" t="s">
        <v>53</v>
      </c>
      <c r="Q2141" s="15"/>
      <c r="R2141" s="18" t="s">
        <v>51</v>
      </c>
      <c r="S2141" s="19"/>
      <c r="T2141" s="17" t="str">
        <f aca="false">IF(R2141="維持",J2141,IF(R2141="排除","無關新聞事件",IFERROR(INDEX(事件規則!$B$2:$B$53,MATCH(S2141,事件規則!$A$2:$A$53,0)),"")))</f>
        <v>無關新聞事件</v>
      </c>
      <c r="U2141" s="20" t="n">
        <f aca="false">IF(R2141="維持",K2141,IF(R2141="排除",0,IFERROR(INDEX(事件規則!$C$2:$C$53,MATCH(S2141,事件規則!$A$2:$A$53,0)),"")))</f>
        <v>0</v>
      </c>
      <c r="V2141" s="21"/>
      <c r="W2141" s="22"/>
      <c r="X2141" s="10" t="str">
        <f aca="false">IF(AND(R2141="修改",S2141=""),"請選新事件代碼",IF(AND(R2141&lt;&gt;"修改",S2141&lt;&gt;""),"只有「修改」才需填代碼",""))</f>
        <v/>
      </c>
      <c r="Y2141" s="21"/>
      <c r="Z2141" s="22"/>
      <c r="AA2141" s="12" t="s">
        <v>5389</v>
      </c>
      <c r="AB2141" s="24"/>
    </row>
    <row r="2142" customFormat="false" ht="29.85" hidden="false" customHeight="false" outlineLevel="0" collapsed="false">
      <c r="A2142" s="15" t="n">
        <v>2141</v>
      </c>
      <c r="B2142" s="9" t="s">
        <v>112</v>
      </c>
      <c r="C2142" s="9" t="s">
        <v>1629</v>
      </c>
      <c r="D2142" s="10" t="s">
        <v>1630</v>
      </c>
      <c r="E2142" s="11" t="s">
        <v>5390</v>
      </c>
      <c r="F2142" s="17"/>
      <c r="G2142" s="12" t="s">
        <v>105</v>
      </c>
      <c r="H2142" s="13" t="n">
        <v>-0.005</v>
      </c>
      <c r="I2142" s="14"/>
      <c r="J2142" s="17"/>
      <c r="K2142" s="9"/>
      <c r="L2142" s="15" t="s">
        <v>50</v>
      </c>
      <c r="M2142" s="16" t="s">
        <v>51</v>
      </c>
      <c r="N2142" s="14"/>
      <c r="O2142" s="15" t="s">
        <v>52</v>
      </c>
      <c r="P2142" s="17" t="s">
        <v>53</v>
      </c>
      <c r="Q2142" s="15"/>
      <c r="R2142" s="18" t="s">
        <v>51</v>
      </c>
      <c r="S2142" s="19"/>
      <c r="T2142" s="17" t="str">
        <f aca="false">IF(R2142="維持",J2142,IF(R2142="排除","無關新聞事件",IFERROR(INDEX(事件規則!$B$2:$B$53,MATCH(S2142,事件規則!$A$2:$A$53,0)),"")))</f>
        <v>無關新聞事件</v>
      </c>
      <c r="U2142" s="20" t="n">
        <f aca="false">IF(R2142="維持",K2142,IF(R2142="排除",0,IFERROR(INDEX(事件規則!$C$2:$C$53,MATCH(S2142,事件規則!$A$2:$A$53,0)),"")))</f>
        <v>0</v>
      </c>
      <c r="V2142" s="21"/>
      <c r="W2142" s="22"/>
      <c r="X2142" s="10" t="str">
        <f aca="false">IF(AND(R2142="修改",S2142=""),"請選新事件代碼",IF(AND(R2142&lt;&gt;"修改",S2142&lt;&gt;""),"只有「修改」才需填代碼",""))</f>
        <v/>
      </c>
      <c r="Y2142" s="21"/>
      <c r="Z2142" s="22"/>
      <c r="AA2142" s="12" t="s">
        <v>5391</v>
      </c>
      <c r="AB2142" s="24"/>
    </row>
    <row r="2143" customFormat="false" ht="29.85" hidden="false" customHeight="false" outlineLevel="0" collapsed="false">
      <c r="A2143" s="15" t="n">
        <v>2142</v>
      </c>
      <c r="B2143" s="9" t="s">
        <v>112</v>
      </c>
      <c r="C2143" s="9" t="s">
        <v>831</v>
      </c>
      <c r="D2143" s="10" t="s">
        <v>832</v>
      </c>
      <c r="E2143" s="11" t="s">
        <v>5392</v>
      </c>
      <c r="F2143" s="17"/>
      <c r="G2143" s="12" t="s">
        <v>105</v>
      </c>
      <c r="H2143" s="13" t="n">
        <v>-0.005</v>
      </c>
      <c r="I2143" s="14"/>
      <c r="J2143" s="17"/>
      <c r="K2143" s="9"/>
      <c r="L2143" s="15" t="s">
        <v>50</v>
      </c>
      <c r="M2143" s="16" t="s">
        <v>51</v>
      </c>
      <c r="N2143" s="14"/>
      <c r="O2143" s="15" t="s">
        <v>52</v>
      </c>
      <c r="P2143" s="17" t="s">
        <v>53</v>
      </c>
      <c r="Q2143" s="15"/>
      <c r="R2143" s="18" t="s">
        <v>51</v>
      </c>
      <c r="S2143" s="19"/>
      <c r="T2143" s="17" t="str">
        <f aca="false">IF(R2143="維持",J2143,IF(R2143="排除","無關新聞事件",IFERROR(INDEX(事件規則!$B$2:$B$53,MATCH(S2143,事件規則!$A$2:$A$53,0)),"")))</f>
        <v>無關新聞事件</v>
      </c>
      <c r="U2143" s="20" t="n">
        <f aca="false">IF(R2143="維持",K2143,IF(R2143="排除",0,IFERROR(INDEX(事件規則!$C$2:$C$53,MATCH(S2143,事件規則!$A$2:$A$53,0)),"")))</f>
        <v>0</v>
      </c>
      <c r="V2143" s="21"/>
      <c r="W2143" s="22"/>
      <c r="X2143" s="10" t="str">
        <f aca="false">IF(AND(R2143="修改",S2143=""),"請選新事件代碼",IF(AND(R2143&lt;&gt;"修改",S2143&lt;&gt;""),"只有「修改」才需填代碼",""))</f>
        <v/>
      </c>
      <c r="Y2143" s="21"/>
      <c r="Z2143" s="22"/>
      <c r="AA2143" s="12" t="s">
        <v>5393</v>
      </c>
      <c r="AB2143" s="24"/>
    </row>
    <row r="2144" customFormat="false" ht="29.85" hidden="false" customHeight="false" outlineLevel="0" collapsed="false">
      <c r="A2144" s="15" t="n">
        <v>2143</v>
      </c>
      <c r="B2144" s="9" t="s">
        <v>112</v>
      </c>
      <c r="C2144" s="9" t="s">
        <v>4403</v>
      </c>
      <c r="D2144" s="10" t="s">
        <v>4404</v>
      </c>
      <c r="E2144" s="11" t="s">
        <v>5394</v>
      </c>
      <c r="F2144" s="17"/>
      <c r="G2144" s="12" t="s">
        <v>5395</v>
      </c>
      <c r="H2144" s="13" t="n">
        <v>-0.005</v>
      </c>
      <c r="I2144" s="14"/>
      <c r="J2144" s="17"/>
      <c r="K2144" s="9"/>
      <c r="L2144" s="15" t="s">
        <v>50</v>
      </c>
      <c r="M2144" s="16" t="s">
        <v>51</v>
      </c>
      <c r="N2144" s="14"/>
      <c r="O2144" s="15" t="s">
        <v>52</v>
      </c>
      <c r="P2144" s="17" t="s">
        <v>53</v>
      </c>
      <c r="Q2144" s="15"/>
      <c r="R2144" s="18" t="s">
        <v>51</v>
      </c>
      <c r="S2144" s="19"/>
      <c r="T2144" s="17" t="str">
        <f aca="false">IF(R2144="維持",J2144,IF(R2144="排除","無關新聞事件",IFERROR(INDEX(事件規則!$B$2:$B$53,MATCH(S2144,事件規則!$A$2:$A$53,0)),"")))</f>
        <v>無關新聞事件</v>
      </c>
      <c r="U2144" s="20" t="n">
        <f aca="false">IF(R2144="維持",K2144,IF(R2144="排除",0,IFERROR(INDEX(事件規則!$C$2:$C$53,MATCH(S2144,事件規則!$A$2:$A$53,0)),"")))</f>
        <v>0</v>
      </c>
      <c r="V2144" s="21"/>
      <c r="W2144" s="22"/>
      <c r="X2144" s="10" t="str">
        <f aca="false">IF(AND(R2144="修改",S2144=""),"請選新事件代碼",IF(AND(R2144&lt;&gt;"修改",S2144&lt;&gt;""),"只有「修改」才需填代碼",""))</f>
        <v/>
      </c>
      <c r="Y2144" s="21"/>
      <c r="Z2144" s="22"/>
      <c r="AA2144" s="12" t="s">
        <v>5396</v>
      </c>
      <c r="AB2144" s="24"/>
    </row>
    <row r="2145" customFormat="false" ht="29.85" hidden="false" customHeight="false" outlineLevel="0" collapsed="false">
      <c r="A2145" s="15" t="n">
        <v>2144</v>
      </c>
      <c r="B2145" s="9" t="s">
        <v>112</v>
      </c>
      <c r="C2145" s="9" t="s">
        <v>3060</v>
      </c>
      <c r="D2145" s="10" t="s">
        <v>3061</v>
      </c>
      <c r="E2145" s="11" t="s">
        <v>5397</v>
      </c>
      <c r="F2145" s="17"/>
      <c r="G2145" s="12" t="s">
        <v>176</v>
      </c>
      <c r="H2145" s="13" t="n">
        <v>-0.005</v>
      </c>
      <c r="I2145" s="14"/>
      <c r="J2145" s="17"/>
      <c r="K2145" s="9"/>
      <c r="L2145" s="15" t="s">
        <v>50</v>
      </c>
      <c r="M2145" s="16" t="s">
        <v>51</v>
      </c>
      <c r="N2145" s="14"/>
      <c r="O2145" s="15" t="s">
        <v>52</v>
      </c>
      <c r="P2145" s="17" t="s">
        <v>53</v>
      </c>
      <c r="Q2145" s="15"/>
      <c r="R2145" s="18" t="s">
        <v>51</v>
      </c>
      <c r="S2145" s="19"/>
      <c r="T2145" s="17" t="str">
        <f aca="false">IF(R2145="維持",J2145,IF(R2145="排除","無關新聞事件",IFERROR(INDEX(事件規則!$B$2:$B$53,MATCH(S2145,事件規則!$A$2:$A$53,0)),"")))</f>
        <v>無關新聞事件</v>
      </c>
      <c r="U2145" s="20" t="n">
        <f aca="false">IF(R2145="維持",K2145,IF(R2145="排除",0,IFERROR(INDEX(事件規則!$C$2:$C$53,MATCH(S2145,事件規則!$A$2:$A$53,0)),"")))</f>
        <v>0</v>
      </c>
      <c r="V2145" s="21"/>
      <c r="W2145" s="22"/>
      <c r="X2145" s="10" t="str">
        <f aca="false">IF(AND(R2145="修改",S2145=""),"請選新事件代碼",IF(AND(R2145&lt;&gt;"修改",S2145&lt;&gt;""),"只有「修改」才需填代碼",""))</f>
        <v/>
      </c>
      <c r="Y2145" s="21"/>
      <c r="Z2145" s="22"/>
      <c r="AA2145" s="12" t="s">
        <v>5398</v>
      </c>
      <c r="AB2145" s="24"/>
    </row>
    <row r="2146" customFormat="false" ht="29.85" hidden="false" customHeight="false" outlineLevel="0" collapsed="false">
      <c r="A2146" s="15" t="n">
        <v>2145</v>
      </c>
      <c r="B2146" s="9" t="s">
        <v>45</v>
      </c>
      <c r="C2146" s="9" t="s">
        <v>260</v>
      </c>
      <c r="D2146" s="10" t="s">
        <v>261</v>
      </c>
      <c r="E2146" s="11" t="s">
        <v>5399</v>
      </c>
      <c r="F2146" s="17"/>
      <c r="G2146" s="12" t="s">
        <v>1136</v>
      </c>
      <c r="H2146" s="13" t="n">
        <v>-0.005</v>
      </c>
      <c r="I2146" s="14"/>
      <c r="J2146" s="17"/>
      <c r="K2146" s="9"/>
      <c r="L2146" s="15" t="s">
        <v>50</v>
      </c>
      <c r="M2146" s="16" t="s">
        <v>51</v>
      </c>
      <c r="N2146" s="14"/>
      <c r="O2146" s="15" t="s">
        <v>52</v>
      </c>
      <c r="P2146" s="17" t="s">
        <v>53</v>
      </c>
      <c r="Q2146" s="15"/>
      <c r="R2146" s="18" t="s">
        <v>51</v>
      </c>
      <c r="S2146" s="19"/>
      <c r="T2146" s="17" t="str">
        <f aca="false">IF(R2146="維持",J2146,IF(R2146="排除","無關新聞事件",IFERROR(INDEX(事件規則!$B$2:$B$53,MATCH(S2146,事件規則!$A$2:$A$53,0)),"")))</f>
        <v>無關新聞事件</v>
      </c>
      <c r="U2146" s="20" t="n">
        <f aca="false">IF(R2146="維持",K2146,IF(R2146="排除",0,IFERROR(INDEX(事件規則!$C$2:$C$53,MATCH(S2146,事件規則!$A$2:$A$53,0)),"")))</f>
        <v>0</v>
      </c>
      <c r="V2146" s="21"/>
      <c r="W2146" s="22"/>
      <c r="X2146" s="10" t="str">
        <f aca="false">IF(AND(R2146="修改",S2146=""),"請選新事件代碼",IF(AND(R2146&lt;&gt;"修改",S2146&lt;&gt;""),"只有「修改」才需填代碼",""))</f>
        <v/>
      </c>
      <c r="Y2146" s="21"/>
      <c r="Z2146" s="22"/>
      <c r="AA2146" s="12" t="s">
        <v>5400</v>
      </c>
      <c r="AB2146" s="24"/>
    </row>
    <row r="2147" customFormat="false" ht="29.85" hidden="false" customHeight="false" outlineLevel="0" collapsed="false">
      <c r="A2147" s="15" t="n">
        <v>2146</v>
      </c>
      <c r="B2147" s="9" t="s">
        <v>45</v>
      </c>
      <c r="C2147" s="9" t="s">
        <v>3426</v>
      </c>
      <c r="D2147" s="10" t="s">
        <v>3427</v>
      </c>
      <c r="E2147" s="11" t="s">
        <v>5401</v>
      </c>
      <c r="F2147" s="17"/>
      <c r="G2147" s="12" t="s">
        <v>142</v>
      </c>
      <c r="H2147" s="13" t="n">
        <v>-0.005</v>
      </c>
      <c r="I2147" s="14"/>
      <c r="J2147" s="17"/>
      <c r="K2147" s="9"/>
      <c r="L2147" s="15" t="s">
        <v>50</v>
      </c>
      <c r="M2147" s="16" t="s">
        <v>51</v>
      </c>
      <c r="N2147" s="14"/>
      <c r="O2147" s="15" t="s">
        <v>52</v>
      </c>
      <c r="P2147" s="17" t="s">
        <v>53</v>
      </c>
      <c r="Q2147" s="15"/>
      <c r="R2147" s="18" t="s">
        <v>51</v>
      </c>
      <c r="S2147" s="19"/>
      <c r="T2147" s="17" t="str">
        <f aca="false">IF(R2147="維持",J2147,IF(R2147="排除","無關新聞事件",IFERROR(INDEX(事件規則!$B$2:$B$53,MATCH(S2147,事件規則!$A$2:$A$53,0)),"")))</f>
        <v>無關新聞事件</v>
      </c>
      <c r="U2147" s="20" t="n">
        <f aca="false">IF(R2147="維持",K2147,IF(R2147="排除",0,IFERROR(INDEX(事件規則!$C$2:$C$53,MATCH(S2147,事件規則!$A$2:$A$53,0)),"")))</f>
        <v>0</v>
      </c>
      <c r="V2147" s="21"/>
      <c r="W2147" s="22"/>
      <c r="X2147" s="10" t="str">
        <f aca="false">IF(AND(R2147="修改",S2147=""),"請選新事件代碼",IF(AND(R2147&lt;&gt;"修改",S2147&lt;&gt;""),"只有「修改」才需填代碼",""))</f>
        <v/>
      </c>
      <c r="Y2147" s="21"/>
      <c r="Z2147" s="22"/>
      <c r="AA2147" s="12" t="s">
        <v>5402</v>
      </c>
      <c r="AB2147" s="24"/>
    </row>
    <row r="2148" customFormat="false" ht="29.85" hidden="false" customHeight="false" outlineLevel="0" collapsed="false">
      <c r="A2148" s="15" t="n">
        <v>2147</v>
      </c>
      <c r="B2148" s="9" t="s">
        <v>45</v>
      </c>
      <c r="C2148" s="9" t="s">
        <v>1147</v>
      </c>
      <c r="D2148" s="10" t="s">
        <v>1148</v>
      </c>
      <c r="E2148" s="11" t="s">
        <v>5403</v>
      </c>
      <c r="F2148" s="17"/>
      <c r="G2148" s="12" t="s">
        <v>95</v>
      </c>
      <c r="H2148" s="13" t="n">
        <v>-0.005</v>
      </c>
      <c r="I2148" s="14"/>
      <c r="J2148" s="17"/>
      <c r="K2148" s="9"/>
      <c r="L2148" s="15" t="s">
        <v>50</v>
      </c>
      <c r="M2148" s="16" t="s">
        <v>51</v>
      </c>
      <c r="N2148" s="14"/>
      <c r="O2148" s="15" t="s">
        <v>52</v>
      </c>
      <c r="P2148" s="17" t="s">
        <v>53</v>
      </c>
      <c r="Q2148" s="15"/>
      <c r="R2148" s="18" t="s">
        <v>51</v>
      </c>
      <c r="S2148" s="19"/>
      <c r="T2148" s="17" t="str">
        <f aca="false">IF(R2148="維持",J2148,IF(R2148="排除","無關新聞事件",IFERROR(INDEX(事件規則!$B$2:$B$53,MATCH(S2148,事件規則!$A$2:$A$53,0)),"")))</f>
        <v>無關新聞事件</v>
      </c>
      <c r="U2148" s="20" t="n">
        <f aca="false">IF(R2148="維持",K2148,IF(R2148="排除",0,IFERROR(INDEX(事件規則!$C$2:$C$53,MATCH(S2148,事件規則!$A$2:$A$53,0)),"")))</f>
        <v>0</v>
      </c>
      <c r="V2148" s="21"/>
      <c r="W2148" s="22"/>
      <c r="X2148" s="10" t="str">
        <f aca="false">IF(AND(R2148="修改",S2148=""),"請選新事件代碼",IF(AND(R2148&lt;&gt;"修改",S2148&lt;&gt;""),"只有「修改」才需填代碼",""))</f>
        <v/>
      </c>
      <c r="Y2148" s="21"/>
      <c r="Z2148" s="22"/>
      <c r="AA2148" s="12" t="s">
        <v>5404</v>
      </c>
      <c r="AB2148" s="24"/>
    </row>
    <row r="2149" customFormat="false" ht="29.85" hidden="false" customHeight="false" outlineLevel="0" collapsed="false">
      <c r="A2149" s="15" t="n">
        <v>2148</v>
      </c>
      <c r="B2149" s="9" t="s">
        <v>45</v>
      </c>
      <c r="C2149" s="9" t="s">
        <v>2942</v>
      </c>
      <c r="D2149" s="10" t="s">
        <v>2943</v>
      </c>
      <c r="E2149" s="11" t="s">
        <v>5405</v>
      </c>
      <c r="F2149" s="17"/>
      <c r="G2149" s="12" t="s">
        <v>1136</v>
      </c>
      <c r="H2149" s="13" t="n">
        <v>-0.005</v>
      </c>
      <c r="I2149" s="14"/>
      <c r="J2149" s="17"/>
      <c r="K2149" s="9"/>
      <c r="L2149" s="15" t="s">
        <v>50</v>
      </c>
      <c r="M2149" s="16" t="s">
        <v>51</v>
      </c>
      <c r="N2149" s="14"/>
      <c r="O2149" s="15" t="s">
        <v>52</v>
      </c>
      <c r="P2149" s="17" t="s">
        <v>53</v>
      </c>
      <c r="Q2149" s="15"/>
      <c r="R2149" s="18" t="s">
        <v>51</v>
      </c>
      <c r="S2149" s="19"/>
      <c r="T2149" s="17" t="str">
        <f aca="false">IF(R2149="維持",J2149,IF(R2149="排除","無關新聞事件",IFERROR(INDEX(事件規則!$B$2:$B$53,MATCH(S2149,事件規則!$A$2:$A$53,0)),"")))</f>
        <v>無關新聞事件</v>
      </c>
      <c r="U2149" s="20" t="n">
        <f aca="false">IF(R2149="維持",K2149,IF(R2149="排除",0,IFERROR(INDEX(事件規則!$C$2:$C$53,MATCH(S2149,事件規則!$A$2:$A$53,0)),"")))</f>
        <v>0</v>
      </c>
      <c r="V2149" s="21"/>
      <c r="W2149" s="22"/>
      <c r="X2149" s="10" t="str">
        <f aca="false">IF(AND(R2149="修改",S2149=""),"請選新事件代碼",IF(AND(R2149&lt;&gt;"修改",S2149&lt;&gt;""),"只有「修改」才需填代碼",""))</f>
        <v/>
      </c>
      <c r="Y2149" s="21"/>
      <c r="Z2149" s="22"/>
      <c r="AA2149" s="12" t="s">
        <v>5406</v>
      </c>
      <c r="AB2149" s="24"/>
    </row>
    <row r="2150" customFormat="false" ht="29.85" hidden="false" customHeight="false" outlineLevel="0" collapsed="false">
      <c r="A2150" s="15" t="n">
        <v>2149</v>
      </c>
      <c r="B2150" s="9" t="s">
        <v>55</v>
      </c>
      <c r="C2150" s="9" t="s">
        <v>326</v>
      </c>
      <c r="D2150" s="10" t="s">
        <v>326</v>
      </c>
      <c r="E2150" s="11" t="s">
        <v>5407</v>
      </c>
      <c r="F2150" s="17"/>
      <c r="G2150" s="12" t="s">
        <v>95</v>
      </c>
      <c r="H2150" s="13" t="n">
        <v>-0.005</v>
      </c>
      <c r="I2150" s="14"/>
      <c r="J2150" s="17"/>
      <c r="K2150" s="9"/>
      <c r="L2150" s="15" t="s">
        <v>50</v>
      </c>
      <c r="M2150" s="16" t="s">
        <v>51</v>
      </c>
      <c r="N2150" s="14"/>
      <c r="O2150" s="15" t="s">
        <v>52</v>
      </c>
      <c r="P2150" s="17" t="s">
        <v>53</v>
      </c>
      <c r="Q2150" s="15"/>
      <c r="R2150" s="18" t="s">
        <v>51</v>
      </c>
      <c r="S2150" s="19"/>
      <c r="T2150" s="17" t="str">
        <f aca="false">IF(R2150="維持",J2150,IF(R2150="排除","無關新聞事件",IFERROR(INDEX(事件規則!$B$2:$B$53,MATCH(S2150,事件規則!$A$2:$A$53,0)),"")))</f>
        <v>無關新聞事件</v>
      </c>
      <c r="U2150" s="20" t="n">
        <f aca="false">IF(R2150="維持",K2150,IF(R2150="排除",0,IFERROR(INDEX(事件規則!$C$2:$C$53,MATCH(S2150,事件規則!$A$2:$A$53,0)),"")))</f>
        <v>0</v>
      </c>
      <c r="V2150" s="21"/>
      <c r="W2150" s="22"/>
      <c r="X2150" s="10" t="str">
        <f aca="false">IF(AND(R2150="修改",S2150=""),"請選新事件代碼",IF(AND(R2150&lt;&gt;"修改",S2150&lt;&gt;""),"只有「修改」才需填代碼",""))</f>
        <v/>
      </c>
      <c r="Y2150" s="21"/>
      <c r="Z2150" s="22"/>
      <c r="AA2150" s="12" t="s">
        <v>5408</v>
      </c>
      <c r="AB2150" s="24"/>
    </row>
    <row r="2151" customFormat="false" ht="29.85" hidden="false" customHeight="false" outlineLevel="0" collapsed="false">
      <c r="A2151" s="15" t="n">
        <v>2150</v>
      </c>
      <c r="B2151" s="9" t="s">
        <v>55</v>
      </c>
      <c r="C2151" s="9" t="s">
        <v>2667</v>
      </c>
      <c r="D2151" s="10" t="s">
        <v>2668</v>
      </c>
      <c r="E2151" s="11" t="s">
        <v>5409</v>
      </c>
      <c r="F2151" s="17"/>
      <c r="G2151" s="12" t="s">
        <v>95</v>
      </c>
      <c r="H2151" s="13" t="n">
        <v>-0.005</v>
      </c>
      <c r="I2151" s="14"/>
      <c r="J2151" s="17"/>
      <c r="K2151" s="9"/>
      <c r="L2151" s="15" t="s">
        <v>50</v>
      </c>
      <c r="M2151" s="16" t="s">
        <v>51</v>
      </c>
      <c r="N2151" s="14"/>
      <c r="O2151" s="15" t="s">
        <v>52</v>
      </c>
      <c r="P2151" s="17" t="s">
        <v>53</v>
      </c>
      <c r="Q2151" s="15"/>
      <c r="R2151" s="18" t="s">
        <v>51</v>
      </c>
      <c r="S2151" s="19"/>
      <c r="T2151" s="17" t="str">
        <f aca="false">IF(R2151="維持",J2151,IF(R2151="排除","無關新聞事件",IFERROR(INDEX(事件規則!$B$2:$B$53,MATCH(S2151,事件規則!$A$2:$A$53,0)),"")))</f>
        <v>無關新聞事件</v>
      </c>
      <c r="U2151" s="20" t="n">
        <f aca="false">IF(R2151="維持",K2151,IF(R2151="排除",0,IFERROR(INDEX(事件規則!$C$2:$C$53,MATCH(S2151,事件規則!$A$2:$A$53,0)),"")))</f>
        <v>0</v>
      </c>
      <c r="V2151" s="21"/>
      <c r="W2151" s="22"/>
      <c r="X2151" s="10" t="str">
        <f aca="false">IF(AND(R2151="修改",S2151=""),"請選新事件代碼",IF(AND(R2151&lt;&gt;"修改",S2151&lt;&gt;""),"只有「修改」才需填代碼",""))</f>
        <v/>
      </c>
      <c r="Y2151" s="21"/>
      <c r="Z2151" s="22"/>
      <c r="AA2151" s="12" t="s">
        <v>5410</v>
      </c>
      <c r="AB2151" s="24"/>
    </row>
    <row r="2152" customFormat="false" ht="29.85" hidden="false" customHeight="false" outlineLevel="0" collapsed="false">
      <c r="A2152" s="15" t="n">
        <v>2151</v>
      </c>
      <c r="B2152" s="9" t="s">
        <v>45</v>
      </c>
      <c r="C2152" s="9" t="s">
        <v>284</v>
      </c>
      <c r="D2152" s="10" t="s">
        <v>285</v>
      </c>
      <c r="E2152" s="11" t="s">
        <v>5411</v>
      </c>
      <c r="F2152" s="17"/>
      <c r="G2152" s="12" t="s">
        <v>5412</v>
      </c>
      <c r="H2152" s="13" t="n">
        <v>-0.005</v>
      </c>
      <c r="I2152" s="14"/>
      <c r="J2152" s="17"/>
      <c r="K2152" s="9"/>
      <c r="L2152" s="15" t="s">
        <v>50</v>
      </c>
      <c r="M2152" s="16" t="s">
        <v>51</v>
      </c>
      <c r="N2152" s="14"/>
      <c r="O2152" s="15" t="s">
        <v>52</v>
      </c>
      <c r="P2152" s="17" t="s">
        <v>53</v>
      </c>
      <c r="Q2152" s="15"/>
      <c r="R2152" s="18" t="s">
        <v>51</v>
      </c>
      <c r="S2152" s="19"/>
      <c r="T2152" s="17" t="str">
        <f aca="false">IF(R2152="維持",J2152,IF(R2152="排除","無關新聞事件",IFERROR(INDEX(事件規則!$B$2:$B$53,MATCH(S2152,事件規則!$A$2:$A$53,0)),"")))</f>
        <v>無關新聞事件</v>
      </c>
      <c r="U2152" s="20" t="n">
        <f aca="false">IF(R2152="維持",K2152,IF(R2152="排除",0,IFERROR(INDEX(事件規則!$C$2:$C$53,MATCH(S2152,事件規則!$A$2:$A$53,0)),"")))</f>
        <v>0</v>
      </c>
      <c r="V2152" s="21"/>
      <c r="W2152" s="22"/>
      <c r="X2152" s="10" t="str">
        <f aca="false">IF(AND(R2152="修改",S2152=""),"請選新事件代碼",IF(AND(R2152&lt;&gt;"修改",S2152&lt;&gt;""),"只有「修改」才需填代碼",""))</f>
        <v/>
      </c>
      <c r="Y2152" s="21"/>
      <c r="Z2152" s="22"/>
      <c r="AA2152" s="12" t="s">
        <v>5413</v>
      </c>
      <c r="AB2152" s="24"/>
    </row>
    <row r="2153" customFormat="false" ht="29.85" hidden="false" customHeight="false" outlineLevel="0" collapsed="false">
      <c r="A2153" s="15" t="n">
        <v>2152</v>
      </c>
      <c r="B2153" s="9" t="s">
        <v>45</v>
      </c>
      <c r="C2153" s="9" t="s">
        <v>268</v>
      </c>
      <c r="D2153" s="10" t="s">
        <v>269</v>
      </c>
      <c r="E2153" s="11" t="s">
        <v>5414</v>
      </c>
      <c r="F2153" s="17"/>
      <c r="G2153" s="12" t="s">
        <v>95</v>
      </c>
      <c r="H2153" s="13" t="n">
        <v>-0.005</v>
      </c>
      <c r="I2153" s="14"/>
      <c r="J2153" s="17"/>
      <c r="K2153" s="9"/>
      <c r="L2153" s="15" t="s">
        <v>50</v>
      </c>
      <c r="M2153" s="16" t="s">
        <v>51</v>
      </c>
      <c r="N2153" s="14"/>
      <c r="O2153" s="15" t="s">
        <v>52</v>
      </c>
      <c r="P2153" s="17" t="s">
        <v>53</v>
      </c>
      <c r="Q2153" s="15"/>
      <c r="R2153" s="18" t="s">
        <v>51</v>
      </c>
      <c r="S2153" s="19"/>
      <c r="T2153" s="17" t="str">
        <f aca="false">IF(R2153="維持",J2153,IF(R2153="排除","無關新聞事件",IFERROR(INDEX(事件規則!$B$2:$B$53,MATCH(S2153,事件規則!$A$2:$A$53,0)),"")))</f>
        <v>無關新聞事件</v>
      </c>
      <c r="U2153" s="20" t="n">
        <f aca="false">IF(R2153="維持",K2153,IF(R2153="排除",0,IFERROR(INDEX(事件規則!$C$2:$C$53,MATCH(S2153,事件規則!$A$2:$A$53,0)),"")))</f>
        <v>0</v>
      </c>
      <c r="V2153" s="21"/>
      <c r="W2153" s="22"/>
      <c r="X2153" s="10" t="str">
        <f aca="false">IF(AND(R2153="修改",S2153=""),"請選新事件代碼",IF(AND(R2153&lt;&gt;"修改",S2153&lt;&gt;""),"只有「修改」才需填代碼",""))</f>
        <v/>
      </c>
      <c r="Y2153" s="21"/>
      <c r="Z2153" s="22"/>
      <c r="AA2153" s="12" t="s">
        <v>5415</v>
      </c>
      <c r="AB2153" s="24"/>
    </row>
    <row r="2154" customFormat="false" ht="29.85" hidden="false" customHeight="false" outlineLevel="0" collapsed="false">
      <c r="A2154" s="15" t="n">
        <v>2153</v>
      </c>
      <c r="B2154" s="9" t="s">
        <v>112</v>
      </c>
      <c r="C2154" s="9" t="s">
        <v>917</v>
      </c>
      <c r="D2154" s="10" t="s">
        <v>918</v>
      </c>
      <c r="E2154" s="11" t="s">
        <v>5416</v>
      </c>
      <c r="F2154" s="17"/>
      <c r="G2154" s="12" t="s">
        <v>105</v>
      </c>
      <c r="H2154" s="13" t="n">
        <v>-0.005</v>
      </c>
      <c r="I2154" s="14"/>
      <c r="J2154" s="17"/>
      <c r="K2154" s="9"/>
      <c r="L2154" s="15" t="s">
        <v>50</v>
      </c>
      <c r="M2154" s="16" t="s">
        <v>51</v>
      </c>
      <c r="N2154" s="14"/>
      <c r="O2154" s="15" t="s">
        <v>52</v>
      </c>
      <c r="P2154" s="17" t="s">
        <v>53</v>
      </c>
      <c r="Q2154" s="15"/>
      <c r="R2154" s="18" t="s">
        <v>51</v>
      </c>
      <c r="S2154" s="19"/>
      <c r="T2154" s="17" t="str">
        <f aca="false">IF(R2154="維持",J2154,IF(R2154="排除","無關新聞事件",IFERROR(INDEX(事件規則!$B$2:$B$53,MATCH(S2154,事件規則!$A$2:$A$53,0)),"")))</f>
        <v>無關新聞事件</v>
      </c>
      <c r="U2154" s="20" t="n">
        <f aca="false">IF(R2154="維持",K2154,IF(R2154="排除",0,IFERROR(INDEX(事件規則!$C$2:$C$53,MATCH(S2154,事件規則!$A$2:$A$53,0)),"")))</f>
        <v>0</v>
      </c>
      <c r="V2154" s="21"/>
      <c r="W2154" s="22"/>
      <c r="X2154" s="10" t="str">
        <f aca="false">IF(AND(R2154="修改",S2154=""),"請選新事件代碼",IF(AND(R2154&lt;&gt;"修改",S2154&lt;&gt;""),"只有「修改」才需填代碼",""))</f>
        <v/>
      </c>
      <c r="Y2154" s="21"/>
      <c r="Z2154" s="22"/>
      <c r="AA2154" s="12" t="s">
        <v>5417</v>
      </c>
      <c r="AB2154" s="24"/>
    </row>
    <row r="2155" customFormat="false" ht="29.85" hidden="false" customHeight="false" outlineLevel="0" collapsed="false">
      <c r="A2155" s="15" t="n">
        <v>2154</v>
      </c>
      <c r="B2155" s="9" t="s">
        <v>112</v>
      </c>
      <c r="C2155" s="9" t="s">
        <v>260</v>
      </c>
      <c r="D2155" s="10" t="s">
        <v>261</v>
      </c>
      <c r="E2155" s="11" t="s">
        <v>5418</v>
      </c>
      <c r="F2155" s="17"/>
      <c r="G2155" s="12" t="s">
        <v>105</v>
      </c>
      <c r="H2155" s="13" t="n">
        <v>-0.005</v>
      </c>
      <c r="I2155" s="14"/>
      <c r="J2155" s="17"/>
      <c r="K2155" s="9"/>
      <c r="L2155" s="15" t="s">
        <v>50</v>
      </c>
      <c r="M2155" s="16" t="s">
        <v>51</v>
      </c>
      <c r="N2155" s="14"/>
      <c r="O2155" s="15" t="s">
        <v>52</v>
      </c>
      <c r="P2155" s="17" t="s">
        <v>53</v>
      </c>
      <c r="Q2155" s="15"/>
      <c r="R2155" s="18" t="s">
        <v>51</v>
      </c>
      <c r="S2155" s="19"/>
      <c r="T2155" s="17" t="str">
        <f aca="false">IF(R2155="維持",J2155,IF(R2155="排除","無關新聞事件",IFERROR(INDEX(事件規則!$B$2:$B$53,MATCH(S2155,事件規則!$A$2:$A$53,0)),"")))</f>
        <v>無關新聞事件</v>
      </c>
      <c r="U2155" s="20" t="n">
        <f aca="false">IF(R2155="維持",K2155,IF(R2155="排除",0,IFERROR(INDEX(事件規則!$C$2:$C$53,MATCH(S2155,事件規則!$A$2:$A$53,0)),"")))</f>
        <v>0</v>
      </c>
      <c r="V2155" s="21"/>
      <c r="W2155" s="22"/>
      <c r="X2155" s="10" t="str">
        <f aca="false">IF(AND(R2155="修改",S2155=""),"請選新事件代碼",IF(AND(R2155&lt;&gt;"修改",S2155&lt;&gt;""),"只有「修改」才需填代碼",""))</f>
        <v/>
      </c>
      <c r="Y2155" s="21"/>
      <c r="Z2155" s="22"/>
      <c r="AA2155" s="12" t="s">
        <v>5419</v>
      </c>
      <c r="AB2155" s="24"/>
    </row>
    <row r="2156" customFormat="false" ht="29.85" hidden="false" customHeight="false" outlineLevel="0" collapsed="false">
      <c r="A2156" s="15" t="n">
        <v>2155</v>
      </c>
      <c r="B2156" s="9" t="s">
        <v>112</v>
      </c>
      <c r="C2156" s="9" t="s">
        <v>550</v>
      </c>
      <c r="D2156" s="10" t="s">
        <v>551</v>
      </c>
      <c r="E2156" s="11" t="s">
        <v>5420</v>
      </c>
      <c r="F2156" s="17"/>
      <c r="G2156" s="12" t="s">
        <v>949</v>
      </c>
      <c r="H2156" s="13" t="n">
        <v>-0.005</v>
      </c>
      <c r="I2156" s="14"/>
      <c r="J2156" s="17"/>
      <c r="K2156" s="9"/>
      <c r="L2156" s="15" t="s">
        <v>50</v>
      </c>
      <c r="M2156" s="16" t="s">
        <v>51</v>
      </c>
      <c r="N2156" s="14"/>
      <c r="O2156" s="15" t="s">
        <v>52</v>
      </c>
      <c r="P2156" s="17" t="s">
        <v>53</v>
      </c>
      <c r="Q2156" s="15"/>
      <c r="R2156" s="18" t="s">
        <v>51</v>
      </c>
      <c r="S2156" s="19"/>
      <c r="T2156" s="17" t="str">
        <f aca="false">IF(R2156="維持",J2156,IF(R2156="排除","無關新聞事件",IFERROR(INDEX(事件規則!$B$2:$B$53,MATCH(S2156,事件規則!$A$2:$A$53,0)),"")))</f>
        <v>無關新聞事件</v>
      </c>
      <c r="U2156" s="20" t="n">
        <f aca="false">IF(R2156="維持",K2156,IF(R2156="排除",0,IFERROR(INDEX(事件規則!$C$2:$C$53,MATCH(S2156,事件規則!$A$2:$A$53,0)),"")))</f>
        <v>0</v>
      </c>
      <c r="V2156" s="21"/>
      <c r="W2156" s="22"/>
      <c r="X2156" s="10" t="str">
        <f aca="false">IF(AND(R2156="修改",S2156=""),"請選新事件代碼",IF(AND(R2156&lt;&gt;"修改",S2156&lt;&gt;""),"只有「修改」才需填代碼",""))</f>
        <v/>
      </c>
      <c r="Y2156" s="21"/>
      <c r="Z2156" s="22"/>
      <c r="AA2156" s="12" t="s">
        <v>5421</v>
      </c>
      <c r="AB2156" s="24"/>
    </row>
    <row r="2157" customFormat="false" ht="29.85" hidden="false" customHeight="false" outlineLevel="0" collapsed="false">
      <c r="A2157" s="15" t="n">
        <v>2156</v>
      </c>
      <c r="B2157" s="9" t="s">
        <v>112</v>
      </c>
      <c r="C2157" s="9" t="s">
        <v>1874</v>
      </c>
      <c r="D2157" s="10" t="s">
        <v>1875</v>
      </c>
      <c r="E2157" s="11" t="s">
        <v>5422</v>
      </c>
      <c r="F2157" s="17"/>
      <c r="G2157" s="12" t="s">
        <v>105</v>
      </c>
      <c r="H2157" s="13" t="n">
        <v>-0.005</v>
      </c>
      <c r="I2157" s="14"/>
      <c r="J2157" s="17"/>
      <c r="K2157" s="9"/>
      <c r="L2157" s="15" t="s">
        <v>50</v>
      </c>
      <c r="M2157" s="16" t="s">
        <v>51</v>
      </c>
      <c r="N2157" s="14"/>
      <c r="O2157" s="15" t="s">
        <v>52</v>
      </c>
      <c r="P2157" s="17" t="s">
        <v>53</v>
      </c>
      <c r="Q2157" s="15"/>
      <c r="R2157" s="18" t="s">
        <v>51</v>
      </c>
      <c r="S2157" s="19"/>
      <c r="T2157" s="17" t="str">
        <f aca="false">IF(R2157="維持",J2157,IF(R2157="排除","無關新聞事件",IFERROR(INDEX(事件規則!$B$2:$B$53,MATCH(S2157,事件規則!$A$2:$A$53,0)),"")))</f>
        <v>無關新聞事件</v>
      </c>
      <c r="U2157" s="20" t="n">
        <f aca="false">IF(R2157="維持",K2157,IF(R2157="排除",0,IFERROR(INDEX(事件規則!$C$2:$C$53,MATCH(S2157,事件規則!$A$2:$A$53,0)),"")))</f>
        <v>0</v>
      </c>
      <c r="V2157" s="21"/>
      <c r="W2157" s="22"/>
      <c r="X2157" s="10" t="str">
        <f aca="false">IF(AND(R2157="修改",S2157=""),"請選新事件代碼",IF(AND(R2157&lt;&gt;"修改",S2157&lt;&gt;""),"只有「修改」才需填代碼",""))</f>
        <v/>
      </c>
      <c r="Y2157" s="21"/>
      <c r="Z2157" s="22"/>
      <c r="AA2157" s="12" t="s">
        <v>5423</v>
      </c>
      <c r="AB2157" s="24"/>
    </row>
    <row r="2158" customFormat="false" ht="29.85" hidden="false" customHeight="false" outlineLevel="0" collapsed="false">
      <c r="A2158" s="15" t="n">
        <v>2157</v>
      </c>
      <c r="B2158" s="9" t="s">
        <v>112</v>
      </c>
      <c r="C2158" s="9" t="s">
        <v>1639</v>
      </c>
      <c r="D2158" s="10" t="s">
        <v>1640</v>
      </c>
      <c r="E2158" s="11" t="s">
        <v>5424</v>
      </c>
      <c r="F2158" s="17"/>
      <c r="G2158" s="12" t="s">
        <v>95</v>
      </c>
      <c r="H2158" s="13" t="n">
        <v>-0.005</v>
      </c>
      <c r="I2158" s="14"/>
      <c r="J2158" s="17"/>
      <c r="K2158" s="9"/>
      <c r="L2158" s="15" t="s">
        <v>50</v>
      </c>
      <c r="M2158" s="16" t="s">
        <v>51</v>
      </c>
      <c r="N2158" s="14"/>
      <c r="O2158" s="15" t="s">
        <v>52</v>
      </c>
      <c r="P2158" s="17" t="s">
        <v>53</v>
      </c>
      <c r="Q2158" s="15"/>
      <c r="R2158" s="18" t="s">
        <v>51</v>
      </c>
      <c r="S2158" s="19"/>
      <c r="T2158" s="17" t="str">
        <f aca="false">IF(R2158="維持",J2158,IF(R2158="排除","無關新聞事件",IFERROR(INDEX(事件規則!$B$2:$B$53,MATCH(S2158,事件規則!$A$2:$A$53,0)),"")))</f>
        <v>無關新聞事件</v>
      </c>
      <c r="U2158" s="20" t="n">
        <f aca="false">IF(R2158="維持",K2158,IF(R2158="排除",0,IFERROR(INDEX(事件規則!$C$2:$C$53,MATCH(S2158,事件規則!$A$2:$A$53,0)),"")))</f>
        <v>0</v>
      </c>
      <c r="V2158" s="21"/>
      <c r="W2158" s="22"/>
      <c r="X2158" s="10" t="str">
        <f aca="false">IF(AND(R2158="修改",S2158=""),"請選新事件代碼",IF(AND(R2158&lt;&gt;"修改",S2158&lt;&gt;""),"只有「修改」才需填代碼",""))</f>
        <v/>
      </c>
      <c r="Y2158" s="21"/>
      <c r="Z2158" s="22"/>
      <c r="AA2158" s="12" t="s">
        <v>5425</v>
      </c>
      <c r="AB2158" s="24"/>
    </row>
    <row r="2159" customFormat="false" ht="29.85" hidden="false" customHeight="false" outlineLevel="0" collapsed="false">
      <c r="A2159" s="15" t="n">
        <v>2158</v>
      </c>
      <c r="B2159" s="9" t="s">
        <v>112</v>
      </c>
      <c r="C2159" s="9" t="s">
        <v>981</v>
      </c>
      <c r="D2159" s="10" t="s">
        <v>982</v>
      </c>
      <c r="E2159" s="11" t="s">
        <v>5426</v>
      </c>
      <c r="F2159" s="17"/>
      <c r="G2159" s="12" t="s">
        <v>49</v>
      </c>
      <c r="H2159" s="13" t="n">
        <v>-0.005</v>
      </c>
      <c r="I2159" s="14"/>
      <c r="J2159" s="17"/>
      <c r="K2159" s="9"/>
      <c r="L2159" s="15" t="s">
        <v>50</v>
      </c>
      <c r="M2159" s="16" t="s">
        <v>51</v>
      </c>
      <c r="N2159" s="14"/>
      <c r="O2159" s="15" t="s">
        <v>52</v>
      </c>
      <c r="P2159" s="17" t="s">
        <v>53</v>
      </c>
      <c r="Q2159" s="15"/>
      <c r="R2159" s="18" t="s">
        <v>51</v>
      </c>
      <c r="S2159" s="19"/>
      <c r="T2159" s="17" t="str">
        <f aca="false">IF(R2159="維持",J2159,IF(R2159="排除","無關新聞事件",IFERROR(INDEX(事件規則!$B$2:$B$53,MATCH(S2159,事件規則!$A$2:$A$53,0)),"")))</f>
        <v>無關新聞事件</v>
      </c>
      <c r="U2159" s="20" t="n">
        <f aca="false">IF(R2159="維持",K2159,IF(R2159="排除",0,IFERROR(INDEX(事件規則!$C$2:$C$53,MATCH(S2159,事件規則!$A$2:$A$53,0)),"")))</f>
        <v>0</v>
      </c>
      <c r="V2159" s="21"/>
      <c r="W2159" s="22"/>
      <c r="X2159" s="10" t="str">
        <f aca="false">IF(AND(R2159="修改",S2159=""),"請選新事件代碼",IF(AND(R2159&lt;&gt;"修改",S2159&lt;&gt;""),"只有「修改」才需填代碼",""))</f>
        <v/>
      </c>
      <c r="Y2159" s="21"/>
      <c r="Z2159" s="22"/>
      <c r="AA2159" s="12" t="s">
        <v>5427</v>
      </c>
      <c r="AB2159" s="24"/>
    </row>
    <row r="2160" customFormat="false" ht="29.85" hidden="false" customHeight="false" outlineLevel="0" collapsed="false">
      <c r="A2160" s="15" t="n">
        <v>2159</v>
      </c>
      <c r="B2160" s="9" t="s">
        <v>112</v>
      </c>
      <c r="C2160" s="9" t="s">
        <v>85</v>
      </c>
      <c r="D2160" s="10" t="s">
        <v>86</v>
      </c>
      <c r="E2160" s="11" t="s">
        <v>5428</v>
      </c>
      <c r="F2160" s="17"/>
      <c r="G2160" s="12" t="s">
        <v>176</v>
      </c>
      <c r="H2160" s="13" t="n">
        <v>-0.005</v>
      </c>
      <c r="I2160" s="14"/>
      <c r="J2160" s="17"/>
      <c r="K2160" s="9"/>
      <c r="L2160" s="15" t="s">
        <v>50</v>
      </c>
      <c r="M2160" s="16" t="s">
        <v>51</v>
      </c>
      <c r="N2160" s="14"/>
      <c r="O2160" s="15" t="s">
        <v>52</v>
      </c>
      <c r="P2160" s="17" t="s">
        <v>53</v>
      </c>
      <c r="Q2160" s="15"/>
      <c r="R2160" s="18" t="s">
        <v>51</v>
      </c>
      <c r="S2160" s="19"/>
      <c r="T2160" s="17" t="str">
        <f aca="false">IF(R2160="維持",J2160,IF(R2160="排除","無關新聞事件",IFERROR(INDEX(事件規則!$B$2:$B$53,MATCH(S2160,事件規則!$A$2:$A$53,0)),"")))</f>
        <v>無關新聞事件</v>
      </c>
      <c r="U2160" s="20" t="n">
        <f aca="false">IF(R2160="維持",K2160,IF(R2160="排除",0,IFERROR(INDEX(事件規則!$C$2:$C$53,MATCH(S2160,事件規則!$A$2:$A$53,0)),"")))</f>
        <v>0</v>
      </c>
      <c r="V2160" s="21"/>
      <c r="W2160" s="22"/>
      <c r="X2160" s="10" t="str">
        <f aca="false">IF(AND(R2160="修改",S2160=""),"請選新事件代碼",IF(AND(R2160&lt;&gt;"修改",S2160&lt;&gt;""),"只有「修改」才需填代碼",""))</f>
        <v/>
      </c>
      <c r="Y2160" s="21"/>
      <c r="Z2160" s="22"/>
      <c r="AA2160" s="12" t="s">
        <v>5429</v>
      </c>
      <c r="AB2160" s="24"/>
    </row>
    <row r="2161" customFormat="false" ht="29.85" hidden="false" customHeight="false" outlineLevel="0" collapsed="false">
      <c r="A2161" s="15" t="n">
        <v>2160</v>
      </c>
      <c r="B2161" s="9" t="s">
        <v>55</v>
      </c>
      <c r="C2161" s="9" t="s">
        <v>744</v>
      </c>
      <c r="D2161" s="10" t="s">
        <v>745</v>
      </c>
      <c r="E2161" s="11" t="s">
        <v>5430</v>
      </c>
      <c r="F2161" s="17"/>
      <c r="G2161" s="12" t="s">
        <v>4679</v>
      </c>
      <c r="H2161" s="13" t="n">
        <v>-0.005</v>
      </c>
      <c r="I2161" s="14"/>
      <c r="J2161" s="17"/>
      <c r="K2161" s="9"/>
      <c r="L2161" s="15" t="s">
        <v>50</v>
      </c>
      <c r="M2161" s="16" t="s">
        <v>51</v>
      </c>
      <c r="N2161" s="14"/>
      <c r="O2161" s="15" t="s">
        <v>52</v>
      </c>
      <c r="P2161" s="17" t="s">
        <v>53</v>
      </c>
      <c r="Q2161" s="15"/>
      <c r="R2161" s="18" t="s">
        <v>51</v>
      </c>
      <c r="S2161" s="19"/>
      <c r="T2161" s="17" t="str">
        <f aca="false">IF(R2161="維持",J2161,IF(R2161="排除","無關新聞事件",IFERROR(INDEX(事件規則!$B$2:$B$53,MATCH(S2161,事件規則!$A$2:$A$53,0)),"")))</f>
        <v>無關新聞事件</v>
      </c>
      <c r="U2161" s="20" t="n">
        <f aca="false">IF(R2161="維持",K2161,IF(R2161="排除",0,IFERROR(INDEX(事件規則!$C$2:$C$53,MATCH(S2161,事件規則!$A$2:$A$53,0)),"")))</f>
        <v>0</v>
      </c>
      <c r="V2161" s="21"/>
      <c r="W2161" s="22"/>
      <c r="X2161" s="10" t="str">
        <f aca="false">IF(AND(R2161="修改",S2161=""),"請選新事件代碼",IF(AND(R2161&lt;&gt;"修改",S2161&lt;&gt;""),"只有「修改」才需填代碼",""))</f>
        <v/>
      </c>
      <c r="Y2161" s="21"/>
      <c r="Z2161" s="22"/>
      <c r="AA2161" s="12" t="s">
        <v>5431</v>
      </c>
      <c r="AB2161" s="24"/>
    </row>
    <row r="2162" customFormat="false" ht="29.85" hidden="false" customHeight="false" outlineLevel="0" collapsed="false">
      <c r="A2162" s="15" t="n">
        <v>2161</v>
      </c>
      <c r="B2162" s="9" t="s">
        <v>55</v>
      </c>
      <c r="C2162" s="9" t="s">
        <v>5432</v>
      </c>
      <c r="D2162" s="10" t="s">
        <v>5433</v>
      </c>
      <c r="E2162" s="11" t="s">
        <v>5434</v>
      </c>
      <c r="F2162" s="17"/>
      <c r="G2162" s="12" t="s">
        <v>121</v>
      </c>
      <c r="H2162" s="13" t="n">
        <v>-0.005</v>
      </c>
      <c r="I2162" s="14"/>
      <c r="J2162" s="17"/>
      <c r="K2162" s="9"/>
      <c r="L2162" s="15" t="s">
        <v>50</v>
      </c>
      <c r="M2162" s="16" t="s">
        <v>51</v>
      </c>
      <c r="N2162" s="14"/>
      <c r="O2162" s="15" t="s">
        <v>52</v>
      </c>
      <c r="P2162" s="17" t="s">
        <v>53</v>
      </c>
      <c r="Q2162" s="15"/>
      <c r="R2162" s="18" t="s">
        <v>51</v>
      </c>
      <c r="S2162" s="19"/>
      <c r="T2162" s="17" t="str">
        <f aca="false">IF(R2162="維持",J2162,IF(R2162="排除","無關新聞事件",IFERROR(INDEX(事件規則!$B$2:$B$53,MATCH(S2162,事件規則!$A$2:$A$53,0)),"")))</f>
        <v>無關新聞事件</v>
      </c>
      <c r="U2162" s="20" t="n">
        <f aca="false">IF(R2162="維持",K2162,IF(R2162="排除",0,IFERROR(INDEX(事件規則!$C$2:$C$53,MATCH(S2162,事件規則!$A$2:$A$53,0)),"")))</f>
        <v>0</v>
      </c>
      <c r="V2162" s="21"/>
      <c r="W2162" s="22"/>
      <c r="X2162" s="10" t="str">
        <f aca="false">IF(AND(R2162="修改",S2162=""),"請選新事件代碼",IF(AND(R2162&lt;&gt;"修改",S2162&lt;&gt;""),"只有「修改」才需填代碼",""))</f>
        <v/>
      </c>
      <c r="Y2162" s="21"/>
      <c r="Z2162" s="22"/>
      <c r="AA2162" s="12" t="s">
        <v>5435</v>
      </c>
      <c r="AB2162" s="24"/>
    </row>
    <row r="2163" customFormat="false" ht="29.85" hidden="false" customHeight="false" outlineLevel="0" collapsed="false">
      <c r="A2163" s="15" t="n">
        <v>2162</v>
      </c>
      <c r="B2163" s="9" t="s">
        <v>55</v>
      </c>
      <c r="C2163" s="9" t="s">
        <v>3141</v>
      </c>
      <c r="D2163" s="10" t="s">
        <v>3142</v>
      </c>
      <c r="E2163" s="11" t="s">
        <v>5436</v>
      </c>
      <c r="F2163" s="17"/>
      <c r="G2163" s="12" t="s">
        <v>105</v>
      </c>
      <c r="H2163" s="13" t="n">
        <v>-0.005</v>
      </c>
      <c r="I2163" s="14"/>
      <c r="J2163" s="17"/>
      <c r="K2163" s="9"/>
      <c r="L2163" s="15" t="s">
        <v>50</v>
      </c>
      <c r="M2163" s="16" t="s">
        <v>51</v>
      </c>
      <c r="N2163" s="14"/>
      <c r="O2163" s="15" t="s">
        <v>52</v>
      </c>
      <c r="P2163" s="17" t="s">
        <v>53</v>
      </c>
      <c r="Q2163" s="15"/>
      <c r="R2163" s="18" t="s">
        <v>51</v>
      </c>
      <c r="S2163" s="19"/>
      <c r="T2163" s="17" t="str">
        <f aca="false">IF(R2163="維持",J2163,IF(R2163="排除","無關新聞事件",IFERROR(INDEX(事件規則!$B$2:$B$53,MATCH(S2163,事件規則!$A$2:$A$53,0)),"")))</f>
        <v>無關新聞事件</v>
      </c>
      <c r="U2163" s="20" t="n">
        <f aca="false">IF(R2163="維持",K2163,IF(R2163="排除",0,IFERROR(INDEX(事件規則!$C$2:$C$53,MATCH(S2163,事件規則!$A$2:$A$53,0)),"")))</f>
        <v>0</v>
      </c>
      <c r="V2163" s="21"/>
      <c r="W2163" s="22"/>
      <c r="X2163" s="10" t="str">
        <f aca="false">IF(AND(R2163="修改",S2163=""),"請選新事件代碼",IF(AND(R2163&lt;&gt;"修改",S2163&lt;&gt;""),"只有「修改」才需填代碼",""))</f>
        <v/>
      </c>
      <c r="Y2163" s="21"/>
      <c r="Z2163" s="22"/>
      <c r="AA2163" s="12" t="s">
        <v>5437</v>
      </c>
      <c r="AB2163" s="24"/>
    </row>
    <row r="2164" customFormat="false" ht="29.85" hidden="false" customHeight="false" outlineLevel="0" collapsed="false">
      <c r="A2164" s="15" t="n">
        <v>2163</v>
      </c>
      <c r="B2164" s="9" t="s">
        <v>55</v>
      </c>
      <c r="C2164" s="9" t="s">
        <v>2134</v>
      </c>
      <c r="D2164" s="10" t="s">
        <v>2135</v>
      </c>
      <c r="E2164" s="11" t="s">
        <v>5438</v>
      </c>
      <c r="F2164" s="17"/>
      <c r="G2164" s="12" t="s">
        <v>95</v>
      </c>
      <c r="H2164" s="13" t="n">
        <v>-0.005</v>
      </c>
      <c r="I2164" s="14"/>
      <c r="J2164" s="17"/>
      <c r="K2164" s="9"/>
      <c r="L2164" s="15" t="s">
        <v>50</v>
      </c>
      <c r="M2164" s="16" t="s">
        <v>51</v>
      </c>
      <c r="N2164" s="14"/>
      <c r="O2164" s="15" t="s">
        <v>52</v>
      </c>
      <c r="P2164" s="17" t="s">
        <v>53</v>
      </c>
      <c r="Q2164" s="15"/>
      <c r="R2164" s="18" t="s">
        <v>51</v>
      </c>
      <c r="S2164" s="19"/>
      <c r="T2164" s="17" t="str">
        <f aca="false">IF(R2164="維持",J2164,IF(R2164="排除","無關新聞事件",IFERROR(INDEX(事件規則!$B$2:$B$53,MATCH(S2164,事件規則!$A$2:$A$53,0)),"")))</f>
        <v>無關新聞事件</v>
      </c>
      <c r="U2164" s="20" t="n">
        <f aca="false">IF(R2164="維持",K2164,IF(R2164="排除",0,IFERROR(INDEX(事件規則!$C$2:$C$53,MATCH(S2164,事件規則!$A$2:$A$53,0)),"")))</f>
        <v>0</v>
      </c>
      <c r="V2164" s="21"/>
      <c r="W2164" s="22"/>
      <c r="X2164" s="10" t="str">
        <f aca="false">IF(AND(R2164="修改",S2164=""),"請選新事件代碼",IF(AND(R2164&lt;&gt;"修改",S2164&lt;&gt;""),"只有「修改」才需填代碼",""))</f>
        <v/>
      </c>
      <c r="Y2164" s="21"/>
      <c r="Z2164" s="22"/>
      <c r="AA2164" s="12" t="s">
        <v>5439</v>
      </c>
      <c r="AB2164" s="24"/>
    </row>
    <row r="2165" customFormat="false" ht="29.85" hidden="false" customHeight="false" outlineLevel="0" collapsed="false">
      <c r="A2165" s="15" t="n">
        <v>2164</v>
      </c>
      <c r="B2165" s="9" t="s">
        <v>45</v>
      </c>
      <c r="C2165" s="9" t="s">
        <v>56</v>
      </c>
      <c r="D2165" s="10" t="s">
        <v>57</v>
      </c>
      <c r="E2165" s="11" t="s">
        <v>5440</v>
      </c>
      <c r="F2165" s="17"/>
      <c r="G2165" s="12" t="s">
        <v>95</v>
      </c>
      <c r="H2165" s="13" t="n">
        <v>-0.005</v>
      </c>
      <c r="I2165" s="14"/>
      <c r="J2165" s="17"/>
      <c r="K2165" s="9"/>
      <c r="L2165" s="15" t="s">
        <v>50</v>
      </c>
      <c r="M2165" s="16" t="s">
        <v>51</v>
      </c>
      <c r="N2165" s="14"/>
      <c r="O2165" s="15" t="s">
        <v>52</v>
      </c>
      <c r="P2165" s="17" t="s">
        <v>53</v>
      </c>
      <c r="Q2165" s="15"/>
      <c r="R2165" s="18" t="s">
        <v>51</v>
      </c>
      <c r="S2165" s="19"/>
      <c r="T2165" s="17" t="str">
        <f aca="false">IF(R2165="維持",J2165,IF(R2165="排除","無關新聞事件",IFERROR(INDEX(事件規則!$B$2:$B$53,MATCH(S2165,事件規則!$A$2:$A$53,0)),"")))</f>
        <v>無關新聞事件</v>
      </c>
      <c r="U2165" s="20" t="n">
        <f aca="false">IF(R2165="維持",K2165,IF(R2165="排除",0,IFERROR(INDEX(事件規則!$C$2:$C$53,MATCH(S2165,事件規則!$A$2:$A$53,0)),"")))</f>
        <v>0</v>
      </c>
      <c r="V2165" s="21"/>
      <c r="W2165" s="22"/>
      <c r="X2165" s="10" t="str">
        <f aca="false">IF(AND(R2165="修改",S2165=""),"請選新事件代碼",IF(AND(R2165&lt;&gt;"修改",S2165&lt;&gt;""),"只有「修改」才需填代碼",""))</f>
        <v/>
      </c>
      <c r="Y2165" s="21"/>
      <c r="Z2165" s="22"/>
      <c r="AA2165" s="12" t="s">
        <v>5441</v>
      </c>
      <c r="AB2165" s="24"/>
    </row>
    <row r="2166" customFormat="false" ht="29.85" hidden="false" customHeight="false" outlineLevel="0" collapsed="false">
      <c r="A2166" s="15" t="n">
        <v>2165</v>
      </c>
      <c r="B2166" s="9" t="s">
        <v>81</v>
      </c>
      <c r="C2166" s="9" t="s">
        <v>178</v>
      </c>
      <c r="D2166" s="10" t="s">
        <v>179</v>
      </c>
      <c r="E2166" s="11" t="s">
        <v>5442</v>
      </c>
      <c r="F2166" s="17"/>
      <c r="G2166" s="12" t="s">
        <v>1015</v>
      </c>
      <c r="H2166" s="13" t="n">
        <v>-0.005</v>
      </c>
      <c r="I2166" s="14"/>
      <c r="J2166" s="17"/>
      <c r="K2166" s="9"/>
      <c r="L2166" s="15" t="s">
        <v>50</v>
      </c>
      <c r="M2166" s="16" t="s">
        <v>51</v>
      </c>
      <c r="N2166" s="14"/>
      <c r="O2166" s="15" t="s">
        <v>52</v>
      </c>
      <c r="P2166" s="17" t="s">
        <v>53</v>
      </c>
      <c r="Q2166" s="15"/>
      <c r="R2166" s="18" t="s">
        <v>51</v>
      </c>
      <c r="S2166" s="19"/>
      <c r="T2166" s="17" t="str">
        <f aca="false">IF(R2166="維持",J2166,IF(R2166="排除","無關新聞事件",IFERROR(INDEX(事件規則!$B$2:$B$53,MATCH(S2166,事件規則!$A$2:$A$53,0)),"")))</f>
        <v>無關新聞事件</v>
      </c>
      <c r="U2166" s="20" t="n">
        <f aca="false">IF(R2166="維持",K2166,IF(R2166="排除",0,IFERROR(INDEX(事件規則!$C$2:$C$53,MATCH(S2166,事件規則!$A$2:$A$53,0)),"")))</f>
        <v>0</v>
      </c>
      <c r="V2166" s="21"/>
      <c r="W2166" s="22"/>
      <c r="X2166" s="10" t="str">
        <f aca="false">IF(AND(R2166="修改",S2166=""),"請選新事件代碼",IF(AND(R2166&lt;&gt;"修改",S2166&lt;&gt;""),"只有「修改」才需填代碼",""))</f>
        <v/>
      </c>
      <c r="Y2166" s="21"/>
      <c r="Z2166" s="22"/>
      <c r="AA2166" s="12" t="s">
        <v>5443</v>
      </c>
      <c r="AB2166" s="24"/>
    </row>
    <row r="2167" customFormat="false" ht="29.85" hidden="false" customHeight="false" outlineLevel="0" collapsed="false">
      <c r="A2167" s="15" t="n">
        <v>2166</v>
      </c>
      <c r="B2167" s="9" t="s">
        <v>81</v>
      </c>
      <c r="C2167" s="9" t="s">
        <v>973</v>
      </c>
      <c r="D2167" s="10" t="s">
        <v>974</v>
      </c>
      <c r="E2167" s="11" t="s">
        <v>5444</v>
      </c>
      <c r="F2167" s="17"/>
      <c r="G2167" s="12" t="s">
        <v>105</v>
      </c>
      <c r="H2167" s="13" t="n">
        <v>-0.005</v>
      </c>
      <c r="I2167" s="14"/>
      <c r="J2167" s="17"/>
      <c r="K2167" s="9"/>
      <c r="L2167" s="15" t="s">
        <v>50</v>
      </c>
      <c r="M2167" s="16" t="s">
        <v>51</v>
      </c>
      <c r="N2167" s="14"/>
      <c r="O2167" s="15" t="s">
        <v>52</v>
      </c>
      <c r="P2167" s="17" t="s">
        <v>53</v>
      </c>
      <c r="Q2167" s="15"/>
      <c r="R2167" s="18" t="s">
        <v>51</v>
      </c>
      <c r="S2167" s="19"/>
      <c r="T2167" s="17" t="str">
        <f aca="false">IF(R2167="維持",J2167,IF(R2167="排除","無關新聞事件",IFERROR(INDEX(事件規則!$B$2:$B$53,MATCH(S2167,事件規則!$A$2:$A$53,0)),"")))</f>
        <v>無關新聞事件</v>
      </c>
      <c r="U2167" s="20" t="n">
        <f aca="false">IF(R2167="維持",K2167,IF(R2167="排除",0,IFERROR(INDEX(事件規則!$C$2:$C$53,MATCH(S2167,事件規則!$A$2:$A$53,0)),"")))</f>
        <v>0</v>
      </c>
      <c r="V2167" s="21"/>
      <c r="W2167" s="22"/>
      <c r="X2167" s="10" t="str">
        <f aca="false">IF(AND(R2167="修改",S2167=""),"請選新事件代碼",IF(AND(R2167&lt;&gt;"修改",S2167&lt;&gt;""),"只有「修改」才需填代碼",""))</f>
        <v/>
      </c>
      <c r="Y2167" s="21"/>
      <c r="Z2167" s="22"/>
      <c r="AA2167" s="12" t="s">
        <v>5445</v>
      </c>
      <c r="AB2167" s="24"/>
    </row>
    <row r="2168" customFormat="false" ht="29.85" hidden="false" customHeight="false" outlineLevel="0" collapsed="false">
      <c r="A2168" s="15" t="n">
        <v>2167</v>
      </c>
      <c r="B2168" s="9" t="s">
        <v>55</v>
      </c>
      <c r="C2168" s="9" t="s">
        <v>2049</v>
      </c>
      <c r="D2168" s="10" t="s">
        <v>2050</v>
      </c>
      <c r="E2168" s="11" t="s">
        <v>5446</v>
      </c>
      <c r="F2168" s="17"/>
      <c r="G2168" s="12" t="s">
        <v>176</v>
      </c>
      <c r="H2168" s="13" t="n">
        <v>-0.005</v>
      </c>
      <c r="I2168" s="14"/>
      <c r="J2168" s="17"/>
      <c r="K2168" s="9"/>
      <c r="L2168" s="15" t="s">
        <v>50</v>
      </c>
      <c r="M2168" s="16" t="s">
        <v>51</v>
      </c>
      <c r="N2168" s="14"/>
      <c r="O2168" s="15" t="s">
        <v>52</v>
      </c>
      <c r="P2168" s="17" t="s">
        <v>53</v>
      </c>
      <c r="Q2168" s="15"/>
      <c r="R2168" s="18" t="s">
        <v>51</v>
      </c>
      <c r="S2168" s="19"/>
      <c r="T2168" s="17" t="str">
        <f aca="false">IF(R2168="維持",J2168,IF(R2168="排除","無關新聞事件",IFERROR(INDEX(事件規則!$B$2:$B$53,MATCH(S2168,事件規則!$A$2:$A$53,0)),"")))</f>
        <v>無關新聞事件</v>
      </c>
      <c r="U2168" s="20" t="n">
        <f aca="false">IF(R2168="維持",K2168,IF(R2168="排除",0,IFERROR(INDEX(事件規則!$C$2:$C$53,MATCH(S2168,事件規則!$A$2:$A$53,0)),"")))</f>
        <v>0</v>
      </c>
      <c r="V2168" s="21"/>
      <c r="W2168" s="22"/>
      <c r="X2168" s="10" t="str">
        <f aca="false">IF(AND(R2168="修改",S2168=""),"請選新事件代碼",IF(AND(R2168&lt;&gt;"修改",S2168&lt;&gt;""),"只有「修改」才需填代碼",""))</f>
        <v/>
      </c>
      <c r="Y2168" s="21"/>
      <c r="Z2168" s="22"/>
      <c r="AA2168" s="12" t="s">
        <v>5447</v>
      </c>
      <c r="AB2168" s="24"/>
    </row>
    <row r="2169" customFormat="false" ht="29.85" hidden="false" customHeight="false" outlineLevel="0" collapsed="false">
      <c r="A2169" s="15" t="n">
        <v>2168</v>
      </c>
      <c r="B2169" s="9" t="s">
        <v>55</v>
      </c>
      <c r="C2169" s="9" t="s">
        <v>355</v>
      </c>
      <c r="D2169" s="10" t="s">
        <v>356</v>
      </c>
      <c r="E2169" s="11" t="s">
        <v>5448</v>
      </c>
      <c r="F2169" s="17"/>
      <c r="G2169" s="12" t="s">
        <v>3304</v>
      </c>
      <c r="H2169" s="13" t="n">
        <v>-0.005</v>
      </c>
      <c r="I2169" s="14"/>
      <c r="J2169" s="17"/>
      <c r="K2169" s="9"/>
      <c r="L2169" s="15" t="s">
        <v>50</v>
      </c>
      <c r="M2169" s="16" t="s">
        <v>51</v>
      </c>
      <c r="N2169" s="14"/>
      <c r="O2169" s="15" t="s">
        <v>52</v>
      </c>
      <c r="P2169" s="17" t="s">
        <v>53</v>
      </c>
      <c r="Q2169" s="15"/>
      <c r="R2169" s="18" t="s">
        <v>51</v>
      </c>
      <c r="S2169" s="19"/>
      <c r="T2169" s="17" t="str">
        <f aca="false">IF(R2169="維持",J2169,IF(R2169="排除","無關新聞事件",IFERROR(INDEX(事件規則!$B$2:$B$53,MATCH(S2169,事件規則!$A$2:$A$53,0)),"")))</f>
        <v>無關新聞事件</v>
      </c>
      <c r="U2169" s="20" t="n">
        <f aca="false">IF(R2169="維持",K2169,IF(R2169="排除",0,IFERROR(INDEX(事件規則!$C$2:$C$53,MATCH(S2169,事件規則!$A$2:$A$53,0)),"")))</f>
        <v>0</v>
      </c>
      <c r="V2169" s="21"/>
      <c r="W2169" s="22"/>
      <c r="X2169" s="10" t="str">
        <f aca="false">IF(AND(R2169="修改",S2169=""),"請選新事件代碼",IF(AND(R2169&lt;&gt;"修改",S2169&lt;&gt;""),"只有「修改」才需填代碼",""))</f>
        <v/>
      </c>
      <c r="Y2169" s="21"/>
      <c r="Z2169" s="22"/>
      <c r="AA2169" s="12" t="s">
        <v>5449</v>
      </c>
      <c r="AB2169" s="24"/>
    </row>
    <row r="2170" customFormat="false" ht="29.85" hidden="false" customHeight="false" outlineLevel="0" collapsed="false">
      <c r="A2170" s="15" t="n">
        <v>2169</v>
      </c>
      <c r="B2170" s="9" t="s">
        <v>45</v>
      </c>
      <c r="C2170" s="9" t="s">
        <v>349</v>
      </c>
      <c r="D2170" s="10" t="s">
        <v>350</v>
      </c>
      <c r="E2170" s="11" t="s">
        <v>5450</v>
      </c>
      <c r="F2170" s="17"/>
      <c r="G2170" s="12" t="s">
        <v>326</v>
      </c>
      <c r="H2170" s="13" t="n">
        <v>-0.005</v>
      </c>
      <c r="I2170" s="14"/>
      <c r="J2170" s="17"/>
      <c r="K2170" s="9"/>
      <c r="L2170" s="15" t="s">
        <v>50</v>
      </c>
      <c r="M2170" s="16" t="s">
        <v>51</v>
      </c>
      <c r="N2170" s="14"/>
      <c r="O2170" s="15" t="s">
        <v>52</v>
      </c>
      <c r="P2170" s="17" t="s">
        <v>53</v>
      </c>
      <c r="Q2170" s="15"/>
      <c r="R2170" s="18" t="s">
        <v>51</v>
      </c>
      <c r="S2170" s="19"/>
      <c r="T2170" s="17" t="str">
        <f aca="false">IF(R2170="維持",J2170,IF(R2170="排除","無關新聞事件",IFERROR(INDEX(事件規則!$B$2:$B$53,MATCH(S2170,事件規則!$A$2:$A$53,0)),"")))</f>
        <v>無關新聞事件</v>
      </c>
      <c r="U2170" s="20" t="n">
        <f aca="false">IF(R2170="維持",K2170,IF(R2170="排除",0,IFERROR(INDEX(事件規則!$C$2:$C$53,MATCH(S2170,事件規則!$A$2:$A$53,0)),"")))</f>
        <v>0</v>
      </c>
      <c r="V2170" s="21"/>
      <c r="W2170" s="22"/>
      <c r="X2170" s="10" t="str">
        <f aca="false">IF(AND(R2170="修改",S2170=""),"請選新事件代碼",IF(AND(R2170&lt;&gt;"修改",S2170&lt;&gt;""),"只有「修改」才需填代碼",""))</f>
        <v/>
      </c>
      <c r="Y2170" s="21"/>
      <c r="Z2170" s="22"/>
      <c r="AA2170" s="12" t="s">
        <v>5451</v>
      </c>
      <c r="AB2170" s="24"/>
    </row>
    <row r="2171" customFormat="false" ht="29.85" hidden="false" customHeight="false" outlineLevel="0" collapsed="false">
      <c r="A2171" s="15" t="n">
        <v>2170</v>
      </c>
      <c r="B2171" s="9" t="s">
        <v>45</v>
      </c>
      <c r="C2171" s="9" t="s">
        <v>326</v>
      </c>
      <c r="D2171" s="10" t="s">
        <v>326</v>
      </c>
      <c r="E2171" s="11" t="s">
        <v>5450</v>
      </c>
      <c r="F2171" s="17"/>
      <c r="G2171" s="12" t="s">
        <v>326</v>
      </c>
      <c r="H2171" s="13" t="n">
        <v>-0.005</v>
      </c>
      <c r="I2171" s="14"/>
      <c r="J2171" s="17"/>
      <c r="K2171" s="9"/>
      <c r="L2171" s="15" t="s">
        <v>50</v>
      </c>
      <c r="M2171" s="16" t="s">
        <v>51</v>
      </c>
      <c r="N2171" s="14"/>
      <c r="O2171" s="15" t="s">
        <v>52</v>
      </c>
      <c r="P2171" s="17" t="s">
        <v>53</v>
      </c>
      <c r="Q2171" s="15"/>
      <c r="R2171" s="18" t="s">
        <v>51</v>
      </c>
      <c r="S2171" s="19"/>
      <c r="T2171" s="17" t="str">
        <f aca="false">IF(R2171="維持",J2171,IF(R2171="排除","無關新聞事件",IFERROR(INDEX(事件規則!$B$2:$B$53,MATCH(S2171,事件規則!$A$2:$A$53,0)),"")))</f>
        <v>無關新聞事件</v>
      </c>
      <c r="U2171" s="20" t="n">
        <f aca="false">IF(R2171="維持",K2171,IF(R2171="排除",0,IFERROR(INDEX(事件規則!$C$2:$C$53,MATCH(S2171,事件規則!$A$2:$A$53,0)),"")))</f>
        <v>0</v>
      </c>
      <c r="V2171" s="21"/>
      <c r="W2171" s="22"/>
      <c r="X2171" s="10" t="str">
        <f aca="false">IF(AND(R2171="修改",S2171=""),"請選新事件代碼",IF(AND(R2171&lt;&gt;"修改",S2171&lt;&gt;""),"只有「修改」才需填代碼",""))</f>
        <v/>
      </c>
      <c r="Y2171" s="21"/>
      <c r="Z2171" s="22"/>
      <c r="AA2171" s="12" t="s">
        <v>5452</v>
      </c>
      <c r="AB2171" s="24"/>
    </row>
    <row r="2172" customFormat="false" ht="29.85" hidden="false" customHeight="false" outlineLevel="0" collapsed="false">
      <c r="A2172" s="15" t="n">
        <v>2171</v>
      </c>
      <c r="B2172" s="9" t="s">
        <v>45</v>
      </c>
      <c r="C2172" s="9" t="s">
        <v>744</v>
      </c>
      <c r="D2172" s="10" t="s">
        <v>745</v>
      </c>
      <c r="E2172" s="11" t="s">
        <v>5453</v>
      </c>
      <c r="F2172" s="17"/>
      <c r="G2172" s="12" t="s">
        <v>5454</v>
      </c>
      <c r="H2172" s="13" t="n">
        <v>-0.005</v>
      </c>
      <c r="I2172" s="14"/>
      <c r="J2172" s="17"/>
      <c r="K2172" s="9"/>
      <c r="L2172" s="15" t="s">
        <v>50</v>
      </c>
      <c r="M2172" s="16" t="s">
        <v>51</v>
      </c>
      <c r="N2172" s="14"/>
      <c r="O2172" s="15" t="s">
        <v>52</v>
      </c>
      <c r="P2172" s="17" t="s">
        <v>53</v>
      </c>
      <c r="Q2172" s="15"/>
      <c r="R2172" s="18" t="s">
        <v>51</v>
      </c>
      <c r="S2172" s="19"/>
      <c r="T2172" s="17" t="str">
        <f aca="false">IF(R2172="維持",J2172,IF(R2172="排除","無關新聞事件",IFERROR(INDEX(事件規則!$B$2:$B$53,MATCH(S2172,事件規則!$A$2:$A$53,0)),"")))</f>
        <v>無關新聞事件</v>
      </c>
      <c r="U2172" s="20" t="n">
        <f aca="false">IF(R2172="維持",K2172,IF(R2172="排除",0,IFERROR(INDEX(事件規則!$C$2:$C$53,MATCH(S2172,事件規則!$A$2:$A$53,0)),"")))</f>
        <v>0</v>
      </c>
      <c r="V2172" s="21"/>
      <c r="W2172" s="22"/>
      <c r="X2172" s="10" t="str">
        <f aca="false">IF(AND(R2172="修改",S2172=""),"請選新事件代碼",IF(AND(R2172&lt;&gt;"修改",S2172&lt;&gt;""),"只有「修改」才需填代碼",""))</f>
        <v/>
      </c>
      <c r="Y2172" s="21"/>
      <c r="Z2172" s="22"/>
      <c r="AA2172" s="12" t="s">
        <v>5455</v>
      </c>
      <c r="AB2172" s="24"/>
    </row>
    <row r="2173" customFormat="false" ht="29.85" hidden="false" customHeight="false" outlineLevel="0" collapsed="false">
      <c r="A2173" s="15" t="n">
        <v>2172</v>
      </c>
      <c r="B2173" s="9" t="s">
        <v>55</v>
      </c>
      <c r="C2173" s="9" t="s">
        <v>2371</v>
      </c>
      <c r="D2173" s="10" t="s">
        <v>2372</v>
      </c>
      <c r="E2173" s="11" t="s">
        <v>5456</v>
      </c>
      <c r="F2173" s="17"/>
      <c r="G2173" s="12" t="s">
        <v>4702</v>
      </c>
      <c r="H2173" s="13" t="n">
        <v>-0.005</v>
      </c>
      <c r="I2173" s="14"/>
      <c r="J2173" s="17"/>
      <c r="K2173" s="9"/>
      <c r="L2173" s="15" t="s">
        <v>50</v>
      </c>
      <c r="M2173" s="16" t="s">
        <v>51</v>
      </c>
      <c r="N2173" s="14"/>
      <c r="O2173" s="15" t="s">
        <v>52</v>
      </c>
      <c r="P2173" s="17" t="s">
        <v>53</v>
      </c>
      <c r="Q2173" s="15"/>
      <c r="R2173" s="18" t="s">
        <v>51</v>
      </c>
      <c r="S2173" s="19"/>
      <c r="T2173" s="17" t="str">
        <f aca="false">IF(R2173="維持",J2173,IF(R2173="排除","無關新聞事件",IFERROR(INDEX(事件規則!$B$2:$B$53,MATCH(S2173,事件規則!$A$2:$A$53,0)),"")))</f>
        <v>無關新聞事件</v>
      </c>
      <c r="U2173" s="20" t="n">
        <f aca="false">IF(R2173="維持",K2173,IF(R2173="排除",0,IFERROR(INDEX(事件規則!$C$2:$C$53,MATCH(S2173,事件規則!$A$2:$A$53,0)),"")))</f>
        <v>0</v>
      </c>
      <c r="V2173" s="21"/>
      <c r="W2173" s="22"/>
      <c r="X2173" s="10" t="str">
        <f aca="false">IF(AND(R2173="修改",S2173=""),"請選新事件代碼",IF(AND(R2173&lt;&gt;"修改",S2173&lt;&gt;""),"只有「修改」才需填代碼",""))</f>
        <v/>
      </c>
      <c r="Y2173" s="21"/>
      <c r="Z2173" s="22"/>
      <c r="AA2173" s="12" t="s">
        <v>5457</v>
      </c>
      <c r="AB2173" s="24"/>
    </row>
    <row r="2174" customFormat="false" ht="29.85" hidden="false" customHeight="false" outlineLevel="0" collapsed="false">
      <c r="A2174" s="15" t="n">
        <v>2173</v>
      </c>
      <c r="B2174" s="9" t="s">
        <v>55</v>
      </c>
      <c r="C2174" s="9" t="s">
        <v>5458</v>
      </c>
      <c r="D2174" s="10" t="s">
        <v>5459</v>
      </c>
      <c r="E2174" s="11" t="s">
        <v>5460</v>
      </c>
      <c r="F2174" s="17"/>
      <c r="G2174" s="12" t="s">
        <v>95</v>
      </c>
      <c r="H2174" s="13" t="n">
        <v>-0.005</v>
      </c>
      <c r="I2174" s="14"/>
      <c r="J2174" s="17"/>
      <c r="K2174" s="9"/>
      <c r="L2174" s="15" t="s">
        <v>50</v>
      </c>
      <c r="M2174" s="16" t="s">
        <v>51</v>
      </c>
      <c r="N2174" s="14"/>
      <c r="O2174" s="15" t="s">
        <v>52</v>
      </c>
      <c r="P2174" s="17" t="s">
        <v>53</v>
      </c>
      <c r="Q2174" s="15"/>
      <c r="R2174" s="18" t="s">
        <v>51</v>
      </c>
      <c r="S2174" s="19"/>
      <c r="T2174" s="17" t="str">
        <f aca="false">IF(R2174="維持",J2174,IF(R2174="排除","無關新聞事件",IFERROR(INDEX(事件規則!$B$2:$B$53,MATCH(S2174,事件規則!$A$2:$A$53,0)),"")))</f>
        <v>無關新聞事件</v>
      </c>
      <c r="U2174" s="20" t="n">
        <f aca="false">IF(R2174="維持",K2174,IF(R2174="排除",0,IFERROR(INDEX(事件規則!$C$2:$C$53,MATCH(S2174,事件規則!$A$2:$A$53,0)),"")))</f>
        <v>0</v>
      </c>
      <c r="V2174" s="21"/>
      <c r="W2174" s="22"/>
      <c r="X2174" s="10" t="str">
        <f aca="false">IF(AND(R2174="修改",S2174=""),"請選新事件代碼",IF(AND(R2174&lt;&gt;"修改",S2174&lt;&gt;""),"只有「修改」才需填代碼",""))</f>
        <v/>
      </c>
      <c r="Y2174" s="21"/>
      <c r="Z2174" s="22"/>
      <c r="AA2174" s="12" t="s">
        <v>5461</v>
      </c>
      <c r="AB2174" s="24"/>
    </row>
    <row r="2175" customFormat="false" ht="29.85" hidden="false" customHeight="false" outlineLevel="0" collapsed="false">
      <c r="A2175" s="15" t="n">
        <v>2174</v>
      </c>
      <c r="B2175" s="9" t="s">
        <v>55</v>
      </c>
      <c r="C2175" s="9" t="s">
        <v>355</v>
      </c>
      <c r="D2175" s="10" t="s">
        <v>356</v>
      </c>
      <c r="E2175" s="11" t="s">
        <v>5462</v>
      </c>
      <c r="F2175" s="17"/>
      <c r="G2175" s="12" t="s">
        <v>3304</v>
      </c>
      <c r="H2175" s="13" t="n">
        <v>-0.005</v>
      </c>
      <c r="I2175" s="14"/>
      <c r="J2175" s="17"/>
      <c r="K2175" s="9"/>
      <c r="L2175" s="15" t="s">
        <v>50</v>
      </c>
      <c r="M2175" s="16" t="s">
        <v>51</v>
      </c>
      <c r="N2175" s="14"/>
      <c r="O2175" s="15" t="s">
        <v>52</v>
      </c>
      <c r="P2175" s="17" t="s">
        <v>53</v>
      </c>
      <c r="Q2175" s="15"/>
      <c r="R2175" s="18" t="s">
        <v>51</v>
      </c>
      <c r="S2175" s="19"/>
      <c r="T2175" s="17" t="str">
        <f aca="false">IF(R2175="維持",J2175,IF(R2175="排除","無關新聞事件",IFERROR(INDEX(事件規則!$B$2:$B$53,MATCH(S2175,事件規則!$A$2:$A$53,0)),"")))</f>
        <v>無關新聞事件</v>
      </c>
      <c r="U2175" s="20" t="n">
        <f aca="false">IF(R2175="維持",K2175,IF(R2175="排除",0,IFERROR(INDEX(事件規則!$C$2:$C$53,MATCH(S2175,事件規則!$A$2:$A$53,0)),"")))</f>
        <v>0</v>
      </c>
      <c r="V2175" s="21"/>
      <c r="W2175" s="22"/>
      <c r="X2175" s="10" t="str">
        <f aca="false">IF(AND(R2175="修改",S2175=""),"請選新事件代碼",IF(AND(R2175&lt;&gt;"修改",S2175&lt;&gt;""),"只有「修改」才需填代碼",""))</f>
        <v/>
      </c>
      <c r="Y2175" s="21"/>
      <c r="Z2175" s="22"/>
      <c r="AA2175" s="12" t="s">
        <v>5463</v>
      </c>
      <c r="AB2175" s="24"/>
    </row>
    <row r="2176" customFormat="false" ht="29.85" hidden="false" customHeight="false" outlineLevel="0" collapsed="false">
      <c r="A2176" s="15" t="n">
        <v>2175</v>
      </c>
      <c r="B2176" s="9" t="s">
        <v>45</v>
      </c>
      <c r="C2176" s="9" t="s">
        <v>957</v>
      </c>
      <c r="D2176" s="10" t="s">
        <v>958</v>
      </c>
      <c r="E2176" s="11" t="s">
        <v>5464</v>
      </c>
      <c r="F2176" s="17"/>
      <c r="G2176" s="12" t="s">
        <v>949</v>
      </c>
      <c r="H2176" s="13" t="n">
        <v>-0.005</v>
      </c>
      <c r="I2176" s="14"/>
      <c r="J2176" s="17"/>
      <c r="K2176" s="9"/>
      <c r="L2176" s="15" t="s">
        <v>50</v>
      </c>
      <c r="M2176" s="16" t="s">
        <v>51</v>
      </c>
      <c r="N2176" s="14"/>
      <c r="O2176" s="15" t="s">
        <v>52</v>
      </c>
      <c r="P2176" s="17" t="s">
        <v>53</v>
      </c>
      <c r="Q2176" s="15"/>
      <c r="R2176" s="18" t="s">
        <v>51</v>
      </c>
      <c r="S2176" s="19"/>
      <c r="T2176" s="17" t="str">
        <f aca="false">IF(R2176="維持",J2176,IF(R2176="排除","無關新聞事件",IFERROR(INDEX(事件規則!$B$2:$B$53,MATCH(S2176,事件規則!$A$2:$A$53,0)),"")))</f>
        <v>無關新聞事件</v>
      </c>
      <c r="U2176" s="20" t="n">
        <f aca="false">IF(R2176="維持",K2176,IF(R2176="排除",0,IFERROR(INDEX(事件規則!$C$2:$C$53,MATCH(S2176,事件規則!$A$2:$A$53,0)),"")))</f>
        <v>0</v>
      </c>
      <c r="V2176" s="21"/>
      <c r="W2176" s="22"/>
      <c r="X2176" s="10" t="str">
        <f aca="false">IF(AND(R2176="修改",S2176=""),"請選新事件代碼",IF(AND(R2176&lt;&gt;"修改",S2176&lt;&gt;""),"只有「修改」才需填代碼",""))</f>
        <v/>
      </c>
      <c r="Y2176" s="21"/>
      <c r="Z2176" s="22"/>
      <c r="AA2176" s="12" t="s">
        <v>5465</v>
      </c>
      <c r="AB2176" s="24"/>
    </row>
    <row r="2177" customFormat="false" ht="29.85" hidden="false" customHeight="false" outlineLevel="0" collapsed="false">
      <c r="A2177" s="15" t="n">
        <v>2176</v>
      </c>
      <c r="B2177" s="9" t="s">
        <v>55</v>
      </c>
      <c r="C2177" s="9" t="s">
        <v>414</v>
      </c>
      <c r="D2177" s="10" t="s">
        <v>415</v>
      </c>
      <c r="E2177" s="11" t="s">
        <v>5466</v>
      </c>
      <c r="F2177" s="17"/>
      <c r="G2177" s="12" t="s">
        <v>95</v>
      </c>
      <c r="H2177" s="13" t="n">
        <v>-0.004</v>
      </c>
      <c r="I2177" s="14"/>
      <c r="J2177" s="17"/>
      <c r="K2177" s="9"/>
      <c r="L2177" s="15" t="s">
        <v>50</v>
      </c>
      <c r="M2177" s="16" t="s">
        <v>51</v>
      </c>
      <c r="N2177" s="14"/>
      <c r="O2177" s="15" t="s">
        <v>52</v>
      </c>
      <c r="P2177" s="17" t="s">
        <v>53</v>
      </c>
      <c r="Q2177" s="15"/>
      <c r="R2177" s="18" t="s">
        <v>51</v>
      </c>
      <c r="S2177" s="19"/>
      <c r="T2177" s="17" t="str">
        <f aca="false">IF(R2177="維持",J2177,IF(R2177="排除","無關新聞事件",IFERROR(INDEX(事件規則!$B$2:$B$53,MATCH(S2177,事件規則!$A$2:$A$53,0)),"")))</f>
        <v>無關新聞事件</v>
      </c>
      <c r="U2177" s="20" t="n">
        <f aca="false">IF(R2177="維持",K2177,IF(R2177="排除",0,IFERROR(INDEX(事件規則!$C$2:$C$53,MATCH(S2177,事件規則!$A$2:$A$53,0)),"")))</f>
        <v>0</v>
      </c>
      <c r="V2177" s="21"/>
      <c r="W2177" s="22"/>
      <c r="X2177" s="10" t="str">
        <f aca="false">IF(AND(R2177="修改",S2177=""),"請選新事件代碼",IF(AND(R2177&lt;&gt;"修改",S2177&lt;&gt;""),"只有「修改」才需填代碼",""))</f>
        <v/>
      </c>
      <c r="Y2177" s="21"/>
      <c r="Z2177" s="22"/>
      <c r="AA2177" s="12" t="s">
        <v>5467</v>
      </c>
      <c r="AB2177" s="24"/>
    </row>
    <row r="2178" customFormat="false" ht="29.85" hidden="false" customHeight="false" outlineLevel="0" collapsed="false">
      <c r="A2178" s="15" t="n">
        <v>2177</v>
      </c>
      <c r="B2178" s="9" t="s">
        <v>55</v>
      </c>
      <c r="C2178" s="9" t="s">
        <v>66</v>
      </c>
      <c r="D2178" s="10" t="s">
        <v>67</v>
      </c>
      <c r="E2178" s="11" t="s">
        <v>5468</v>
      </c>
      <c r="F2178" s="17"/>
      <c r="G2178" s="12" t="s">
        <v>105</v>
      </c>
      <c r="H2178" s="13" t="n">
        <v>-0.004</v>
      </c>
      <c r="I2178" s="14"/>
      <c r="J2178" s="17"/>
      <c r="K2178" s="9"/>
      <c r="L2178" s="15" t="s">
        <v>50</v>
      </c>
      <c r="M2178" s="16" t="s">
        <v>51</v>
      </c>
      <c r="N2178" s="14"/>
      <c r="O2178" s="15" t="s">
        <v>52</v>
      </c>
      <c r="P2178" s="17" t="s">
        <v>53</v>
      </c>
      <c r="Q2178" s="15"/>
      <c r="R2178" s="18" t="s">
        <v>51</v>
      </c>
      <c r="S2178" s="19"/>
      <c r="T2178" s="17" t="str">
        <f aca="false">IF(R2178="維持",J2178,IF(R2178="排除","無關新聞事件",IFERROR(INDEX(事件規則!$B$2:$B$53,MATCH(S2178,事件規則!$A$2:$A$53,0)),"")))</f>
        <v>無關新聞事件</v>
      </c>
      <c r="U2178" s="20" t="n">
        <f aca="false">IF(R2178="維持",K2178,IF(R2178="排除",0,IFERROR(INDEX(事件規則!$C$2:$C$53,MATCH(S2178,事件規則!$A$2:$A$53,0)),"")))</f>
        <v>0</v>
      </c>
      <c r="V2178" s="21"/>
      <c r="W2178" s="22"/>
      <c r="X2178" s="10" t="str">
        <f aca="false">IF(AND(R2178="修改",S2178=""),"請選新事件代碼",IF(AND(R2178&lt;&gt;"修改",S2178&lt;&gt;""),"只有「修改」才需填代碼",""))</f>
        <v/>
      </c>
      <c r="Y2178" s="21"/>
      <c r="Z2178" s="22"/>
      <c r="AA2178" s="12" t="s">
        <v>5469</v>
      </c>
      <c r="AB2178" s="24"/>
    </row>
    <row r="2179" customFormat="false" ht="29.85" hidden="false" customHeight="false" outlineLevel="0" collapsed="false">
      <c r="A2179" s="15" t="n">
        <v>2178</v>
      </c>
      <c r="B2179" s="9" t="s">
        <v>55</v>
      </c>
      <c r="C2179" s="9" t="s">
        <v>1086</v>
      </c>
      <c r="D2179" s="10" t="s">
        <v>1087</v>
      </c>
      <c r="E2179" s="11" t="s">
        <v>5470</v>
      </c>
      <c r="F2179" s="17"/>
      <c r="G2179" s="12" t="s">
        <v>95</v>
      </c>
      <c r="H2179" s="13" t="n">
        <v>-0.004</v>
      </c>
      <c r="I2179" s="14"/>
      <c r="J2179" s="17"/>
      <c r="K2179" s="9"/>
      <c r="L2179" s="15" t="s">
        <v>50</v>
      </c>
      <c r="M2179" s="16" t="s">
        <v>51</v>
      </c>
      <c r="N2179" s="14"/>
      <c r="O2179" s="15" t="s">
        <v>52</v>
      </c>
      <c r="P2179" s="17" t="s">
        <v>53</v>
      </c>
      <c r="Q2179" s="15"/>
      <c r="R2179" s="18" t="s">
        <v>51</v>
      </c>
      <c r="S2179" s="19"/>
      <c r="T2179" s="17" t="str">
        <f aca="false">IF(R2179="維持",J2179,IF(R2179="排除","無關新聞事件",IFERROR(INDEX(事件規則!$B$2:$B$53,MATCH(S2179,事件規則!$A$2:$A$53,0)),"")))</f>
        <v>無關新聞事件</v>
      </c>
      <c r="U2179" s="20" t="n">
        <f aca="false">IF(R2179="維持",K2179,IF(R2179="排除",0,IFERROR(INDEX(事件規則!$C$2:$C$53,MATCH(S2179,事件規則!$A$2:$A$53,0)),"")))</f>
        <v>0</v>
      </c>
      <c r="V2179" s="21"/>
      <c r="W2179" s="22"/>
      <c r="X2179" s="10" t="str">
        <f aca="false">IF(AND(R2179="修改",S2179=""),"請選新事件代碼",IF(AND(R2179&lt;&gt;"修改",S2179&lt;&gt;""),"只有「修改」才需填代碼",""))</f>
        <v/>
      </c>
      <c r="Y2179" s="21"/>
      <c r="Z2179" s="22"/>
      <c r="AA2179" s="12" t="s">
        <v>5471</v>
      </c>
      <c r="AB2179" s="24"/>
    </row>
    <row r="2180" customFormat="false" ht="29.85" hidden="false" customHeight="false" outlineLevel="0" collapsed="false">
      <c r="A2180" s="15" t="n">
        <v>2179</v>
      </c>
      <c r="B2180" s="9" t="s">
        <v>112</v>
      </c>
      <c r="C2180" s="9" t="s">
        <v>445</v>
      </c>
      <c r="D2180" s="10" t="s">
        <v>446</v>
      </c>
      <c r="E2180" s="11" t="s">
        <v>5472</v>
      </c>
      <c r="F2180" s="17"/>
      <c r="G2180" s="12" t="s">
        <v>5473</v>
      </c>
      <c r="H2180" s="13" t="n">
        <v>-0.004</v>
      </c>
      <c r="I2180" s="14"/>
      <c r="J2180" s="17"/>
      <c r="K2180" s="9"/>
      <c r="L2180" s="15" t="s">
        <v>50</v>
      </c>
      <c r="M2180" s="16" t="s">
        <v>51</v>
      </c>
      <c r="N2180" s="14"/>
      <c r="O2180" s="15" t="s">
        <v>52</v>
      </c>
      <c r="P2180" s="17" t="s">
        <v>53</v>
      </c>
      <c r="Q2180" s="15"/>
      <c r="R2180" s="18" t="s">
        <v>51</v>
      </c>
      <c r="S2180" s="19"/>
      <c r="T2180" s="17" t="str">
        <f aca="false">IF(R2180="維持",J2180,IF(R2180="排除","無關新聞事件",IFERROR(INDEX(事件規則!$B$2:$B$53,MATCH(S2180,事件規則!$A$2:$A$53,0)),"")))</f>
        <v>無關新聞事件</v>
      </c>
      <c r="U2180" s="20" t="n">
        <f aca="false">IF(R2180="維持",K2180,IF(R2180="排除",0,IFERROR(INDEX(事件規則!$C$2:$C$53,MATCH(S2180,事件規則!$A$2:$A$53,0)),"")))</f>
        <v>0</v>
      </c>
      <c r="V2180" s="21"/>
      <c r="W2180" s="22"/>
      <c r="X2180" s="10" t="str">
        <f aca="false">IF(AND(R2180="修改",S2180=""),"請選新事件代碼",IF(AND(R2180&lt;&gt;"修改",S2180&lt;&gt;""),"只有「修改」才需填代碼",""))</f>
        <v/>
      </c>
      <c r="Y2180" s="21"/>
      <c r="Z2180" s="22"/>
      <c r="AA2180" s="12" t="s">
        <v>5474</v>
      </c>
      <c r="AB2180" s="24"/>
    </row>
    <row r="2181" customFormat="false" ht="29.85" hidden="false" customHeight="false" outlineLevel="0" collapsed="false">
      <c r="A2181" s="15" t="n">
        <v>2180</v>
      </c>
      <c r="B2181" s="9" t="s">
        <v>55</v>
      </c>
      <c r="C2181" s="9" t="s">
        <v>2371</v>
      </c>
      <c r="D2181" s="10" t="s">
        <v>2372</v>
      </c>
      <c r="E2181" s="11" t="s">
        <v>5475</v>
      </c>
      <c r="F2181" s="17"/>
      <c r="G2181" s="12" t="s">
        <v>105</v>
      </c>
      <c r="H2181" s="13" t="n">
        <v>-0.004</v>
      </c>
      <c r="I2181" s="14"/>
      <c r="J2181" s="17"/>
      <c r="K2181" s="9"/>
      <c r="L2181" s="15" t="s">
        <v>50</v>
      </c>
      <c r="M2181" s="16" t="s">
        <v>51</v>
      </c>
      <c r="N2181" s="14"/>
      <c r="O2181" s="15" t="s">
        <v>52</v>
      </c>
      <c r="P2181" s="17" t="s">
        <v>53</v>
      </c>
      <c r="Q2181" s="15"/>
      <c r="R2181" s="18" t="s">
        <v>51</v>
      </c>
      <c r="S2181" s="19"/>
      <c r="T2181" s="17" t="str">
        <f aca="false">IF(R2181="維持",J2181,IF(R2181="排除","無關新聞事件",IFERROR(INDEX(事件規則!$B$2:$B$53,MATCH(S2181,事件規則!$A$2:$A$53,0)),"")))</f>
        <v>無關新聞事件</v>
      </c>
      <c r="U2181" s="20" t="n">
        <f aca="false">IF(R2181="維持",K2181,IF(R2181="排除",0,IFERROR(INDEX(事件規則!$C$2:$C$53,MATCH(S2181,事件規則!$A$2:$A$53,0)),"")))</f>
        <v>0</v>
      </c>
      <c r="V2181" s="21"/>
      <c r="W2181" s="22"/>
      <c r="X2181" s="10" t="str">
        <f aca="false">IF(AND(R2181="修改",S2181=""),"請選新事件代碼",IF(AND(R2181&lt;&gt;"修改",S2181&lt;&gt;""),"只有「修改」才需填代碼",""))</f>
        <v/>
      </c>
      <c r="Y2181" s="21"/>
      <c r="Z2181" s="22"/>
      <c r="AA2181" s="12" t="s">
        <v>5476</v>
      </c>
      <c r="AB2181" s="24"/>
    </row>
    <row r="2182" customFormat="false" ht="29.85" hidden="false" customHeight="false" outlineLevel="0" collapsed="false">
      <c r="A2182" s="15" t="n">
        <v>2181</v>
      </c>
      <c r="B2182" s="9" t="s">
        <v>45</v>
      </c>
      <c r="C2182" s="9" t="s">
        <v>123</v>
      </c>
      <c r="D2182" s="10" t="s">
        <v>124</v>
      </c>
      <c r="E2182" s="11" t="s">
        <v>5477</v>
      </c>
      <c r="F2182" s="17"/>
      <c r="G2182" s="12" t="s">
        <v>949</v>
      </c>
      <c r="H2182" s="13" t="n">
        <v>-0.004</v>
      </c>
      <c r="I2182" s="14"/>
      <c r="J2182" s="17"/>
      <c r="K2182" s="9"/>
      <c r="L2182" s="15" t="s">
        <v>50</v>
      </c>
      <c r="M2182" s="16" t="s">
        <v>51</v>
      </c>
      <c r="N2182" s="14"/>
      <c r="O2182" s="15" t="s">
        <v>52</v>
      </c>
      <c r="P2182" s="17" t="s">
        <v>53</v>
      </c>
      <c r="Q2182" s="15"/>
      <c r="R2182" s="18" t="s">
        <v>51</v>
      </c>
      <c r="S2182" s="19"/>
      <c r="T2182" s="17" t="str">
        <f aca="false">IF(R2182="維持",J2182,IF(R2182="排除","無關新聞事件",IFERROR(INDEX(事件規則!$B$2:$B$53,MATCH(S2182,事件規則!$A$2:$A$53,0)),"")))</f>
        <v>無關新聞事件</v>
      </c>
      <c r="U2182" s="20" t="n">
        <f aca="false">IF(R2182="維持",K2182,IF(R2182="排除",0,IFERROR(INDEX(事件規則!$C$2:$C$53,MATCH(S2182,事件規則!$A$2:$A$53,0)),"")))</f>
        <v>0</v>
      </c>
      <c r="V2182" s="21"/>
      <c r="W2182" s="22"/>
      <c r="X2182" s="10" t="str">
        <f aca="false">IF(AND(R2182="修改",S2182=""),"請選新事件代碼",IF(AND(R2182&lt;&gt;"修改",S2182&lt;&gt;""),"只有「修改」才需填代碼",""))</f>
        <v/>
      </c>
      <c r="Y2182" s="21"/>
      <c r="Z2182" s="22"/>
      <c r="AA2182" s="12" t="s">
        <v>5478</v>
      </c>
      <c r="AB2182" s="24"/>
    </row>
    <row r="2183" customFormat="false" ht="29.85" hidden="false" customHeight="false" outlineLevel="0" collapsed="false">
      <c r="A2183" s="15" t="n">
        <v>2182</v>
      </c>
      <c r="B2183" s="9" t="s">
        <v>45</v>
      </c>
      <c r="C2183" s="9" t="s">
        <v>654</v>
      </c>
      <c r="D2183" s="10" t="s">
        <v>655</v>
      </c>
      <c r="E2183" s="11" t="s">
        <v>5479</v>
      </c>
      <c r="F2183" s="17"/>
      <c r="G2183" s="12" t="s">
        <v>1136</v>
      </c>
      <c r="H2183" s="13" t="n">
        <v>-0.004</v>
      </c>
      <c r="I2183" s="14"/>
      <c r="J2183" s="17"/>
      <c r="K2183" s="9"/>
      <c r="L2183" s="15" t="s">
        <v>50</v>
      </c>
      <c r="M2183" s="16" t="s">
        <v>51</v>
      </c>
      <c r="N2183" s="14"/>
      <c r="O2183" s="15" t="s">
        <v>52</v>
      </c>
      <c r="P2183" s="17" t="s">
        <v>53</v>
      </c>
      <c r="Q2183" s="15"/>
      <c r="R2183" s="18" t="s">
        <v>51</v>
      </c>
      <c r="S2183" s="19"/>
      <c r="T2183" s="17" t="str">
        <f aca="false">IF(R2183="維持",J2183,IF(R2183="排除","無關新聞事件",IFERROR(INDEX(事件規則!$B$2:$B$53,MATCH(S2183,事件規則!$A$2:$A$53,0)),"")))</f>
        <v>無關新聞事件</v>
      </c>
      <c r="U2183" s="20" t="n">
        <f aca="false">IF(R2183="維持",K2183,IF(R2183="排除",0,IFERROR(INDEX(事件規則!$C$2:$C$53,MATCH(S2183,事件規則!$A$2:$A$53,0)),"")))</f>
        <v>0</v>
      </c>
      <c r="V2183" s="21"/>
      <c r="W2183" s="22"/>
      <c r="X2183" s="10" t="str">
        <f aca="false">IF(AND(R2183="修改",S2183=""),"請選新事件代碼",IF(AND(R2183&lt;&gt;"修改",S2183&lt;&gt;""),"只有「修改」才需填代碼",""))</f>
        <v/>
      </c>
      <c r="Y2183" s="21"/>
      <c r="Z2183" s="22"/>
      <c r="AA2183" s="12" t="s">
        <v>5480</v>
      </c>
      <c r="AB2183" s="24"/>
    </row>
    <row r="2184" customFormat="false" ht="29.85" hidden="false" customHeight="false" outlineLevel="0" collapsed="false">
      <c r="A2184" s="15" t="n">
        <v>2183</v>
      </c>
      <c r="B2184" s="9" t="s">
        <v>45</v>
      </c>
      <c r="C2184" s="9" t="s">
        <v>3916</v>
      </c>
      <c r="D2184" s="10" t="s">
        <v>3917</v>
      </c>
      <c r="E2184" s="11" t="s">
        <v>5481</v>
      </c>
      <c r="F2184" s="17"/>
      <c r="G2184" s="12" t="s">
        <v>3221</v>
      </c>
      <c r="H2184" s="13" t="n">
        <v>-0.004</v>
      </c>
      <c r="I2184" s="14"/>
      <c r="J2184" s="17"/>
      <c r="K2184" s="9"/>
      <c r="L2184" s="15" t="s">
        <v>50</v>
      </c>
      <c r="M2184" s="16" t="s">
        <v>51</v>
      </c>
      <c r="N2184" s="14"/>
      <c r="O2184" s="15" t="s">
        <v>52</v>
      </c>
      <c r="P2184" s="17" t="s">
        <v>53</v>
      </c>
      <c r="Q2184" s="15"/>
      <c r="R2184" s="18" t="s">
        <v>51</v>
      </c>
      <c r="S2184" s="19"/>
      <c r="T2184" s="17" t="str">
        <f aca="false">IF(R2184="維持",J2184,IF(R2184="排除","無關新聞事件",IFERROR(INDEX(事件規則!$B$2:$B$53,MATCH(S2184,事件規則!$A$2:$A$53,0)),"")))</f>
        <v>無關新聞事件</v>
      </c>
      <c r="U2184" s="20" t="n">
        <f aca="false">IF(R2184="維持",K2184,IF(R2184="排除",0,IFERROR(INDEX(事件規則!$C$2:$C$53,MATCH(S2184,事件規則!$A$2:$A$53,0)),"")))</f>
        <v>0</v>
      </c>
      <c r="V2184" s="21"/>
      <c r="W2184" s="22"/>
      <c r="X2184" s="10" t="str">
        <f aca="false">IF(AND(R2184="修改",S2184=""),"請選新事件代碼",IF(AND(R2184&lt;&gt;"修改",S2184&lt;&gt;""),"只有「修改」才需填代碼",""))</f>
        <v/>
      </c>
      <c r="Y2184" s="21"/>
      <c r="Z2184" s="22"/>
      <c r="AA2184" s="12" t="s">
        <v>5482</v>
      </c>
      <c r="AB2184" s="24"/>
    </row>
    <row r="2185" customFormat="false" ht="29.85" hidden="false" customHeight="false" outlineLevel="0" collapsed="false">
      <c r="A2185" s="15" t="n">
        <v>2184</v>
      </c>
      <c r="B2185" s="9" t="s">
        <v>45</v>
      </c>
      <c r="C2185" s="9" t="s">
        <v>1314</v>
      </c>
      <c r="D2185" s="10" t="s">
        <v>1315</v>
      </c>
      <c r="E2185" s="11" t="s">
        <v>5483</v>
      </c>
      <c r="F2185" s="17"/>
      <c r="G2185" s="12" t="s">
        <v>95</v>
      </c>
      <c r="H2185" s="13" t="n">
        <v>-0.004</v>
      </c>
      <c r="I2185" s="14"/>
      <c r="J2185" s="17"/>
      <c r="K2185" s="9"/>
      <c r="L2185" s="15" t="s">
        <v>50</v>
      </c>
      <c r="M2185" s="16" t="s">
        <v>51</v>
      </c>
      <c r="N2185" s="14"/>
      <c r="O2185" s="15" t="s">
        <v>52</v>
      </c>
      <c r="P2185" s="17" t="s">
        <v>53</v>
      </c>
      <c r="Q2185" s="15"/>
      <c r="R2185" s="18" t="s">
        <v>51</v>
      </c>
      <c r="S2185" s="19"/>
      <c r="T2185" s="17" t="str">
        <f aca="false">IF(R2185="維持",J2185,IF(R2185="排除","無關新聞事件",IFERROR(INDEX(事件規則!$B$2:$B$53,MATCH(S2185,事件規則!$A$2:$A$53,0)),"")))</f>
        <v>無關新聞事件</v>
      </c>
      <c r="U2185" s="20" t="n">
        <f aca="false">IF(R2185="維持",K2185,IF(R2185="排除",0,IFERROR(INDEX(事件規則!$C$2:$C$53,MATCH(S2185,事件規則!$A$2:$A$53,0)),"")))</f>
        <v>0</v>
      </c>
      <c r="V2185" s="21"/>
      <c r="W2185" s="22"/>
      <c r="X2185" s="10" t="str">
        <f aca="false">IF(AND(R2185="修改",S2185=""),"請選新事件代碼",IF(AND(R2185&lt;&gt;"修改",S2185&lt;&gt;""),"只有「修改」才需填代碼",""))</f>
        <v/>
      </c>
      <c r="Y2185" s="21"/>
      <c r="Z2185" s="22"/>
      <c r="AA2185" s="12" t="s">
        <v>5484</v>
      </c>
      <c r="AB2185" s="24"/>
    </row>
    <row r="2186" customFormat="false" ht="29.85" hidden="false" customHeight="false" outlineLevel="0" collapsed="false">
      <c r="A2186" s="15" t="n">
        <v>2185</v>
      </c>
      <c r="B2186" s="9" t="s">
        <v>45</v>
      </c>
      <c r="C2186" s="9" t="s">
        <v>563</v>
      </c>
      <c r="D2186" s="10" t="s">
        <v>564</v>
      </c>
      <c r="E2186" s="11" t="s">
        <v>5485</v>
      </c>
      <c r="F2186" s="17"/>
      <c r="G2186" s="12" t="s">
        <v>4702</v>
      </c>
      <c r="H2186" s="13" t="n">
        <v>-0.004</v>
      </c>
      <c r="I2186" s="14"/>
      <c r="J2186" s="17"/>
      <c r="K2186" s="9"/>
      <c r="L2186" s="15" t="s">
        <v>50</v>
      </c>
      <c r="M2186" s="16" t="s">
        <v>51</v>
      </c>
      <c r="N2186" s="14"/>
      <c r="O2186" s="15" t="s">
        <v>52</v>
      </c>
      <c r="P2186" s="17" t="s">
        <v>53</v>
      </c>
      <c r="Q2186" s="15"/>
      <c r="R2186" s="18" t="s">
        <v>51</v>
      </c>
      <c r="S2186" s="19"/>
      <c r="T2186" s="17" t="str">
        <f aca="false">IF(R2186="維持",J2186,IF(R2186="排除","無關新聞事件",IFERROR(INDEX(事件規則!$B$2:$B$53,MATCH(S2186,事件規則!$A$2:$A$53,0)),"")))</f>
        <v>無關新聞事件</v>
      </c>
      <c r="U2186" s="20" t="n">
        <f aca="false">IF(R2186="維持",K2186,IF(R2186="排除",0,IFERROR(INDEX(事件規則!$C$2:$C$53,MATCH(S2186,事件規則!$A$2:$A$53,0)),"")))</f>
        <v>0</v>
      </c>
      <c r="V2186" s="21"/>
      <c r="W2186" s="22"/>
      <c r="X2186" s="10" t="str">
        <f aca="false">IF(AND(R2186="修改",S2186=""),"請選新事件代碼",IF(AND(R2186&lt;&gt;"修改",S2186&lt;&gt;""),"只有「修改」才需填代碼",""))</f>
        <v/>
      </c>
      <c r="Y2186" s="21"/>
      <c r="Z2186" s="22"/>
      <c r="AA2186" s="12" t="s">
        <v>5486</v>
      </c>
      <c r="AB2186" s="24"/>
    </row>
    <row r="2187" customFormat="false" ht="29.85" hidden="false" customHeight="false" outlineLevel="0" collapsed="false">
      <c r="A2187" s="15" t="n">
        <v>2186</v>
      </c>
      <c r="B2187" s="9" t="s">
        <v>45</v>
      </c>
      <c r="C2187" s="9" t="s">
        <v>2130</v>
      </c>
      <c r="D2187" s="10" t="s">
        <v>2131</v>
      </c>
      <c r="E2187" s="11" t="s">
        <v>5487</v>
      </c>
      <c r="F2187" s="17"/>
      <c r="G2187" s="12" t="s">
        <v>105</v>
      </c>
      <c r="H2187" s="13" t="n">
        <v>-0.004</v>
      </c>
      <c r="I2187" s="14"/>
      <c r="J2187" s="17"/>
      <c r="K2187" s="9"/>
      <c r="L2187" s="15" t="s">
        <v>50</v>
      </c>
      <c r="M2187" s="16" t="s">
        <v>51</v>
      </c>
      <c r="N2187" s="14"/>
      <c r="O2187" s="15" t="s">
        <v>52</v>
      </c>
      <c r="P2187" s="17" t="s">
        <v>53</v>
      </c>
      <c r="Q2187" s="15"/>
      <c r="R2187" s="18" t="s">
        <v>51</v>
      </c>
      <c r="S2187" s="19"/>
      <c r="T2187" s="17" t="str">
        <f aca="false">IF(R2187="維持",J2187,IF(R2187="排除","無關新聞事件",IFERROR(INDEX(事件規則!$B$2:$B$53,MATCH(S2187,事件規則!$A$2:$A$53,0)),"")))</f>
        <v>無關新聞事件</v>
      </c>
      <c r="U2187" s="20" t="n">
        <f aca="false">IF(R2187="維持",K2187,IF(R2187="排除",0,IFERROR(INDEX(事件規則!$C$2:$C$53,MATCH(S2187,事件規則!$A$2:$A$53,0)),"")))</f>
        <v>0</v>
      </c>
      <c r="V2187" s="21"/>
      <c r="W2187" s="22"/>
      <c r="X2187" s="10" t="str">
        <f aca="false">IF(AND(R2187="修改",S2187=""),"請選新事件代碼",IF(AND(R2187&lt;&gt;"修改",S2187&lt;&gt;""),"只有「修改」才需填代碼",""))</f>
        <v/>
      </c>
      <c r="Y2187" s="21"/>
      <c r="Z2187" s="22"/>
      <c r="AA2187" s="12" t="s">
        <v>5488</v>
      </c>
      <c r="AB2187" s="24"/>
    </row>
    <row r="2188" customFormat="false" ht="29.85" hidden="false" customHeight="false" outlineLevel="0" collapsed="false">
      <c r="A2188" s="15" t="n">
        <v>2187</v>
      </c>
      <c r="B2188" s="9" t="s">
        <v>45</v>
      </c>
      <c r="C2188" s="9" t="s">
        <v>242</v>
      </c>
      <c r="D2188" s="10" t="s">
        <v>243</v>
      </c>
      <c r="E2188" s="11" t="s">
        <v>5489</v>
      </c>
      <c r="F2188" s="17"/>
      <c r="G2188" s="12" t="s">
        <v>1308</v>
      </c>
      <c r="H2188" s="13" t="n">
        <v>-0.004</v>
      </c>
      <c r="I2188" s="14"/>
      <c r="J2188" s="17"/>
      <c r="K2188" s="9"/>
      <c r="L2188" s="15" t="s">
        <v>50</v>
      </c>
      <c r="M2188" s="16" t="s">
        <v>51</v>
      </c>
      <c r="N2188" s="14"/>
      <c r="O2188" s="15" t="s">
        <v>52</v>
      </c>
      <c r="P2188" s="17" t="s">
        <v>53</v>
      </c>
      <c r="Q2188" s="15"/>
      <c r="R2188" s="18" t="s">
        <v>51</v>
      </c>
      <c r="S2188" s="19"/>
      <c r="T2188" s="17" t="str">
        <f aca="false">IF(R2188="維持",J2188,IF(R2188="排除","無關新聞事件",IFERROR(INDEX(事件規則!$B$2:$B$53,MATCH(S2188,事件規則!$A$2:$A$53,0)),"")))</f>
        <v>無關新聞事件</v>
      </c>
      <c r="U2188" s="20" t="n">
        <f aca="false">IF(R2188="維持",K2188,IF(R2188="排除",0,IFERROR(INDEX(事件規則!$C$2:$C$53,MATCH(S2188,事件規則!$A$2:$A$53,0)),"")))</f>
        <v>0</v>
      </c>
      <c r="V2188" s="21"/>
      <c r="W2188" s="22"/>
      <c r="X2188" s="10" t="str">
        <f aca="false">IF(AND(R2188="修改",S2188=""),"請選新事件代碼",IF(AND(R2188&lt;&gt;"修改",S2188&lt;&gt;""),"只有「修改」才需填代碼",""))</f>
        <v/>
      </c>
      <c r="Y2188" s="21"/>
      <c r="Z2188" s="22"/>
      <c r="AA2188" s="12" t="s">
        <v>5490</v>
      </c>
      <c r="AB2188" s="24"/>
    </row>
    <row r="2189" customFormat="false" ht="29.85" hidden="false" customHeight="false" outlineLevel="0" collapsed="false">
      <c r="A2189" s="15" t="n">
        <v>2188</v>
      </c>
      <c r="B2189" s="9" t="s">
        <v>55</v>
      </c>
      <c r="C2189" s="9" t="s">
        <v>202</v>
      </c>
      <c r="D2189" s="10" t="s">
        <v>203</v>
      </c>
      <c r="E2189" s="11" t="s">
        <v>5491</v>
      </c>
      <c r="F2189" s="17"/>
      <c r="G2189" s="12" t="s">
        <v>5492</v>
      </c>
      <c r="H2189" s="13" t="n">
        <v>-0.004</v>
      </c>
      <c r="I2189" s="14"/>
      <c r="J2189" s="17"/>
      <c r="K2189" s="9"/>
      <c r="L2189" s="15" t="s">
        <v>50</v>
      </c>
      <c r="M2189" s="16" t="s">
        <v>51</v>
      </c>
      <c r="N2189" s="14"/>
      <c r="O2189" s="15" t="s">
        <v>52</v>
      </c>
      <c r="P2189" s="17" t="s">
        <v>53</v>
      </c>
      <c r="Q2189" s="15"/>
      <c r="R2189" s="18" t="s">
        <v>51</v>
      </c>
      <c r="S2189" s="19"/>
      <c r="T2189" s="17" t="str">
        <f aca="false">IF(R2189="維持",J2189,IF(R2189="排除","無關新聞事件",IFERROR(INDEX(事件規則!$B$2:$B$53,MATCH(S2189,事件規則!$A$2:$A$53,0)),"")))</f>
        <v>無關新聞事件</v>
      </c>
      <c r="U2189" s="20" t="n">
        <f aca="false">IF(R2189="維持",K2189,IF(R2189="排除",0,IFERROR(INDEX(事件規則!$C$2:$C$53,MATCH(S2189,事件規則!$A$2:$A$53,0)),"")))</f>
        <v>0</v>
      </c>
      <c r="V2189" s="21"/>
      <c r="W2189" s="22"/>
      <c r="X2189" s="10" t="str">
        <f aca="false">IF(AND(R2189="修改",S2189=""),"請選新事件代碼",IF(AND(R2189&lt;&gt;"修改",S2189&lt;&gt;""),"只有「修改」才需填代碼",""))</f>
        <v/>
      </c>
      <c r="Y2189" s="21"/>
      <c r="Z2189" s="22"/>
      <c r="AA2189" s="12" t="s">
        <v>5493</v>
      </c>
      <c r="AB2189" s="24"/>
    </row>
    <row r="2190" customFormat="false" ht="29.85" hidden="false" customHeight="false" outlineLevel="0" collapsed="false">
      <c r="A2190" s="15" t="n">
        <v>2189</v>
      </c>
      <c r="B2190" s="9" t="s">
        <v>45</v>
      </c>
      <c r="C2190" s="9" t="s">
        <v>1734</v>
      </c>
      <c r="D2190" s="10" t="s">
        <v>1735</v>
      </c>
      <c r="E2190" s="11" t="s">
        <v>5494</v>
      </c>
      <c r="F2190" s="17"/>
      <c r="G2190" s="12" t="s">
        <v>105</v>
      </c>
      <c r="H2190" s="13" t="n">
        <v>-0.004</v>
      </c>
      <c r="I2190" s="14"/>
      <c r="J2190" s="17"/>
      <c r="K2190" s="9"/>
      <c r="L2190" s="15" t="s">
        <v>50</v>
      </c>
      <c r="M2190" s="16" t="s">
        <v>51</v>
      </c>
      <c r="N2190" s="14"/>
      <c r="O2190" s="15" t="s">
        <v>52</v>
      </c>
      <c r="P2190" s="17" t="s">
        <v>53</v>
      </c>
      <c r="Q2190" s="15"/>
      <c r="R2190" s="18" t="s">
        <v>51</v>
      </c>
      <c r="S2190" s="19"/>
      <c r="T2190" s="17" t="str">
        <f aca="false">IF(R2190="維持",J2190,IF(R2190="排除","無關新聞事件",IFERROR(INDEX(事件規則!$B$2:$B$53,MATCH(S2190,事件規則!$A$2:$A$53,0)),"")))</f>
        <v>無關新聞事件</v>
      </c>
      <c r="U2190" s="20" t="n">
        <f aca="false">IF(R2190="維持",K2190,IF(R2190="排除",0,IFERROR(INDEX(事件規則!$C$2:$C$53,MATCH(S2190,事件規則!$A$2:$A$53,0)),"")))</f>
        <v>0</v>
      </c>
      <c r="V2190" s="21"/>
      <c r="W2190" s="22"/>
      <c r="X2190" s="10" t="str">
        <f aca="false">IF(AND(R2190="修改",S2190=""),"請選新事件代碼",IF(AND(R2190&lt;&gt;"修改",S2190&lt;&gt;""),"只有「修改」才需填代碼",""))</f>
        <v/>
      </c>
      <c r="Y2190" s="21"/>
      <c r="Z2190" s="22"/>
      <c r="AA2190" s="12" t="s">
        <v>5495</v>
      </c>
      <c r="AB2190" s="24"/>
    </row>
    <row r="2191" customFormat="false" ht="29.85" hidden="false" customHeight="false" outlineLevel="0" collapsed="false">
      <c r="A2191" s="15" t="n">
        <v>2190</v>
      </c>
      <c r="B2191" s="9" t="s">
        <v>45</v>
      </c>
      <c r="C2191" s="9" t="s">
        <v>2371</v>
      </c>
      <c r="D2191" s="10" t="s">
        <v>2372</v>
      </c>
      <c r="E2191" s="11" t="s">
        <v>5496</v>
      </c>
      <c r="F2191" s="17"/>
      <c r="G2191" s="12" t="s">
        <v>176</v>
      </c>
      <c r="H2191" s="13" t="n">
        <v>-0.004</v>
      </c>
      <c r="I2191" s="14"/>
      <c r="J2191" s="17"/>
      <c r="K2191" s="9"/>
      <c r="L2191" s="15" t="s">
        <v>50</v>
      </c>
      <c r="M2191" s="16" t="s">
        <v>51</v>
      </c>
      <c r="N2191" s="14"/>
      <c r="O2191" s="15" t="s">
        <v>52</v>
      </c>
      <c r="P2191" s="17" t="s">
        <v>53</v>
      </c>
      <c r="Q2191" s="15"/>
      <c r="R2191" s="18" t="s">
        <v>51</v>
      </c>
      <c r="S2191" s="19"/>
      <c r="T2191" s="17" t="str">
        <f aca="false">IF(R2191="維持",J2191,IF(R2191="排除","無關新聞事件",IFERROR(INDEX(事件規則!$B$2:$B$53,MATCH(S2191,事件規則!$A$2:$A$53,0)),"")))</f>
        <v>無關新聞事件</v>
      </c>
      <c r="U2191" s="20" t="n">
        <f aca="false">IF(R2191="維持",K2191,IF(R2191="排除",0,IFERROR(INDEX(事件規則!$C$2:$C$53,MATCH(S2191,事件規則!$A$2:$A$53,0)),"")))</f>
        <v>0</v>
      </c>
      <c r="V2191" s="21"/>
      <c r="W2191" s="22"/>
      <c r="X2191" s="10" t="str">
        <f aca="false">IF(AND(R2191="修改",S2191=""),"請選新事件代碼",IF(AND(R2191&lt;&gt;"修改",S2191&lt;&gt;""),"只有「修改」才需填代碼",""))</f>
        <v/>
      </c>
      <c r="Y2191" s="21"/>
      <c r="Z2191" s="22"/>
      <c r="AA2191" s="12" t="s">
        <v>5497</v>
      </c>
      <c r="AB2191" s="24"/>
    </row>
    <row r="2192" customFormat="false" ht="29.85" hidden="false" customHeight="false" outlineLevel="0" collapsed="false">
      <c r="A2192" s="15" t="n">
        <v>2191</v>
      </c>
      <c r="B2192" s="9" t="s">
        <v>45</v>
      </c>
      <c r="C2192" s="9" t="s">
        <v>315</v>
      </c>
      <c r="D2192" s="10" t="s">
        <v>316</v>
      </c>
      <c r="E2192" s="11" t="s">
        <v>5498</v>
      </c>
      <c r="F2192" s="17"/>
      <c r="G2192" s="12" t="s">
        <v>1136</v>
      </c>
      <c r="H2192" s="13" t="n">
        <v>-0.004</v>
      </c>
      <c r="I2192" s="14"/>
      <c r="J2192" s="17"/>
      <c r="K2192" s="9"/>
      <c r="L2192" s="15" t="s">
        <v>50</v>
      </c>
      <c r="M2192" s="16" t="s">
        <v>51</v>
      </c>
      <c r="N2192" s="14"/>
      <c r="O2192" s="15" t="s">
        <v>52</v>
      </c>
      <c r="P2192" s="17" t="s">
        <v>53</v>
      </c>
      <c r="Q2192" s="15"/>
      <c r="R2192" s="18" t="s">
        <v>51</v>
      </c>
      <c r="S2192" s="19"/>
      <c r="T2192" s="17" t="str">
        <f aca="false">IF(R2192="維持",J2192,IF(R2192="排除","無關新聞事件",IFERROR(INDEX(事件規則!$B$2:$B$53,MATCH(S2192,事件規則!$A$2:$A$53,0)),"")))</f>
        <v>無關新聞事件</v>
      </c>
      <c r="U2192" s="20" t="n">
        <f aca="false">IF(R2192="維持",K2192,IF(R2192="排除",0,IFERROR(INDEX(事件規則!$C$2:$C$53,MATCH(S2192,事件規則!$A$2:$A$53,0)),"")))</f>
        <v>0</v>
      </c>
      <c r="V2192" s="21"/>
      <c r="W2192" s="22"/>
      <c r="X2192" s="10" t="str">
        <f aca="false">IF(AND(R2192="修改",S2192=""),"請選新事件代碼",IF(AND(R2192&lt;&gt;"修改",S2192&lt;&gt;""),"只有「修改」才需填代碼",""))</f>
        <v/>
      </c>
      <c r="Y2192" s="21"/>
      <c r="Z2192" s="22"/>
      <c r="AA2192" s="12" t="s">
        <v>5499</v>
      </c>
      <c r="AB2192" s="24"/>
    </row>
    <row r="2193" customFormat="false" ht="29.85" hidden="false" customHeight="false" outlineLevel="0" collapsed="false">
      <c r="A2193" s="15" t="n">
        <v>2192</v>
      </c>
      <c r="B2193" s="9" t="s">
        <v>112</v>
      </c>
      <c r="C2193" s="9" t="s">
        <v>5241</v>
      </c>
      <c r="D2193" s="10" t="s">
        <v>5242</v>
      </c>
      <c r="E2193" s="11" t="s">
        <v>5500</v>
      </c>
      <c r="F2193" s="17"/>
      <c r="G2193" s="12" t="s">
        <v>59</v>
      </c>
      <c r="H2193" s="13" t="n">
        <v>-0.004</v>
      </c>
      <c r="I2193" s="14"/>
      <c r="J2193" s="17"/>
      <c r="K2193" s="9"/>
      <c r="L2193" s="15" t="s">
        <v>50</v>
      </c>
      <c r="M2193" s="16" t="s">
        <v>51</v>
      </c>
      <c r="N2193" s="14"/>
      <c r="O2193" s="15" t="s">
        <v>52</v>
      </c>
      <c r="P2193" s="17" t="s">
        <v>53</v>
      </c>
      <c r="Q2193" s="15"/>
      <c r="R2193" s="18" t="s">
        <v>51</v>
      </c>
      <c r="S2193" s="19"/>
      <c r="T2193" s="17" t="str">
        <f aca="false">IF(R2193="維持",J2193,IF(R2193="排除","無關新聞事件",IFERROR(INDEX(事件規則!$B$2:$B$53,MATCH(S2193,事件規則!$A$2:$A$53,0)),"")))</f>
        <v>無關新聞事件</v>
      </c>
      <c r="U2193" s="20" t="n">
        <f aca="false">IF(R2193="維持",K2193,IF(R2193="排除",0,IFERROR(INDEX(事件規則!$C$2:$C$53,MATCH(S2193,事件規則!$A$2:$A$53,0)),"")))</f>
        <v>0</v>
      </c>
      <c r="V2193" s="21"/>
      <c r="W2193" s="22"/>
      <c r="X2193" s="10" t="str">
        <f aca="false">IF(AND(R2193="修改",S2193=""),"請選新事件代碼",IF(AND(R2193&lt;&gt;"修改",S2193&lt;&gt;""),"只有「修改」才需填代碼",""))</f>
        <v/>
      </c>
      <c r="Y2193" s="21"/>
      <c r="Z2193" s="22"/>
      <c r="AA2193" s="12" t="s">
        <v>5501</v>
      </c>
      <c r="AB2193" s="24"/>
    </row>
    <row r="2194" customFormat="false" ht="29.85" hidden="false" customHeight="false" outlineLevel="0" collapsed="false">
      <c r="A2194" s="15" t="n">
        <v>2193</v>
      </c>
      <c r="B2194" s="9" t="s">
        <v>112</v>
      </c>
      <c r="C2194" s="9" t="s">
        <v>2598</v>
      </c>
      <c r="D2194" s="10" t="s">
        <v>2599</v>
      </c>
      <c r="E2194" s="11" t="s">
        <v>5502</v>
      </c>
      <c r="F2194" s="17"/>
      <c r="G2194" s="12" t="s">
        <v>105</v>
      </c>
      <c r="H2194" s="13" t="n">
        <v>-0.004</v>
      </c>
      <c r="I2194" s="14"/>
      <c r="J2194" s="17"/>
      <c r="K2194" s="9"/>
      <c r="L2194" s="15" t="s">
        <v>50</v>
      </c>
      <c r="M2194" s="16" t="s">
        <v>51</v>
      </c>
      <c r="N2194" s="14"/>
      <c r="O2194" s="15" t="s">
        <v>52</v>
      </c>
      <c r="P2194" s="17" t="s">
        <v>53</v>
      </c>
      <c r="Q2194" s="15"/>
      <c r="R2194" s="18" t="s">
        <v>51</v>
      </c>
      <c r="S2194" s="19"/>
      <c r="T2194" s="17" t="str">
        <f aca="false">IF(R2194="維持",J2194,IF(R2194="排除","無關新聞事件",IFERROR(INDEX(事件規則!$B$2:$B$53,MATCH(S2194,事件規則!$A$2:$A$53,0)),"")))</f>
        <v>無關新聞事件</v>
      </c>
      <c r="U2194" s="20" t="n">
        <f aca="false">IF(R2194="維持",K2194,IF(R2194="排除",0,IFERROR(INDEX(事件規則!$C$2:$C$53,MATCH(S2194,事件規則!$A$2:$A$53,0)),"")))</f>
        <v>0</v>
      </c>
      <c r="V2194" s="21"/>
      <c r="W2194" s="22"/>
      <c r="X2194" s="10" t="str">
        <f aca="false">IF(AND(R2194="修改",S2194=""),"請選新事件代碼",IF(AND(R2194&lt;&gt;"修改",S2194&lt;&gt;""),"只有「修改」才需填代碼",""))</f>
        <v/>
      </c>
      <c r="Y2194" s="21"/>
      <c r="Z2194" s="22"/>
      <c r="AA2194" s="12" t="s">
        <v>5503</v>
      </c>
      <c r="AB2194" s="24"/>
    </row>
    <row r="2195" customFormat="false" ht="29.85" hidden="false" customHeight="false" outlineLevel="0" collapsed="false">
      <c r="A2195" s="15" t="n">
        <v>2194</v>
      </c>
      <c r="B2195" s="9" t="s">
        <v>112</v>
      </c>
      <c r="C2195" s="9" t="s">
        <v>580</v>
      </c>
      <c r="D2195" s="10" t="s">
        <v>581</v>
      </c>
      <c r="E2195" s="11" t="s">
        <v>5504</v>
      </c>
      <c r="F2195" s="17"/>
      <c r="G2195" s="12" t="s">
        <v>95</v>
      </c>
      <c r="H2195" s="13" t="n">
        <v>-0.004</v>
      </c>
      <c r="I2195" s="14"/>
      <c r="J2195" s="17"/>
      <c r="K2195" s="9"/>
      <c r="L2195" s="15" t="s">
        <v>50</v>
      </c>
      <c r="M2195" s="16" t="s">
        <v>51</v>
      </c>
      <c r="N2195" s="14"/>
      <c r="O2195" s="15" t="s">
        <v>52</v>
      </c>
      <c r="P2195" s="17" t="s">
        <v>53</v>
      </c>
      <c r="Q2195" s="15"/>
      <c r="R2195" s="18" t="s">
        <v>51</v>
      </c>
      <c r="S2195" s="19"/>
      <c r="T2195" s="17" t="str">
        <f aca="false">IF(R2195="維持",J2195,IF(R2195="排除","無關新聞事件",IFERROR(INDEX(事件規則!$B$2:$B$53,MATCH(S2195,事件規則!$A$2:$A$53,0)),"")))</f>
        <v>無關新聞事件</v>
      </c>
      <c r="U2195" s="20" t="n">
        <f aca="false">IF(R2195="維持",K2195,IF(R2195="排除",0,IFERROR(INDEX(事件規則!$C$2:$C$53,MATCH(S2195,事件規則!$A$2:$A$53,0)),"")))</f>
        <v>0</v>
      </c>
      <c r="V2195" s="21"/>
      <c r="W2195" s="22"/>
      <c r="X2195" s="10" t="str">
        <f aca="false">IF(AND(R2195="修改",S2195=""),"請選新事件代碼",IF(AND(R2195&lt;&gt;"修改",S2195&lt;&gt;""),"只有「修改」才需填代碼",""))</f>
        <v/>
      </c>
      <c r="Y2195" s="21"/>
      <c r="Z2195" s="22"/>
      <c r="AA2195" s="12" t="s">
        <v>5505</v>
      </c>
      <c r="AB2195" s="24"/>
    </row>
    <row r="2196" customFormat="false" ht="29.85" hidden="false" customHeight="false" outlineLevel="0" collapsed="false">
      <c r="A2196" s="15" t="n">
        <v>2195</v>
      </c>
      <c r="B2196" s="9" t="s">
        <v>45</v>
      </c>
      <c r="C2196" s="9" t="s">
        <v>1310</v>
      </c>
      <c r="D2196" s="10" t="s">
        <v>1311</v>
      </c>
      <c r="E2196" s="11" t="s">
        <v>5506</v>
      </c>
      <c r="F2196" s="17"/>
      <c r="G2196" s="12" t="s">
        <v>142</v>
      </c>
      <c r="H2196" s="13" t="n">
        <v>-0.004</v>
      </c>
      <c r="I2196" s="14"/>
      <c r="J2196" s="17"/>
      <c r="K2196" s="9"/>
      <c r="L2196" s="15" t="s">
        <v>50</v>
      </c>
      <c r="M2196" s="16" t="s">
        <v>51</v>
      </c>
      <c r="N2196" s="14"/>
      <c r="O2196" s="15" t="s">
        <v>52</v>
      </c>
      <c r="P2196" s="17" t="s">
        <v>53</v>
      </c>
      <c r="Q2196" s="15"/>
      <c r="R2196" s="18" t="s">
        <v>51</v>
      </c>
      <c r="S2196" s="19"/>
      <c r="T2196" s="17" t="str">
        <f aca="false">IF(R2196="維持",J2196,IF(R2196="排除","無關新聞事件",IFERROR(INDEX(事件規則!$B$2:$B$53,MATCH(S2196,事件規則!$A$2:$A$53,0)),"")))</f>
        <v>無關新聞事件</v>
      </c>
      <c r="U2196" s="20" t="n">
        <f aca="false">IF(R2196="維持",K2196,IF(R2196="排除",0,IFERROR(INDEX(事件規則!$C$2:$C$53,MATCH(S2196,事件規則!$A$2:$A$53,0)),"")))</f>
        <v>0</v>
      </c>
      <c r="V2196" s="21"/>
      <c r="W2196" s="22"/>
      <c r="X2196" s="10" t="str">
        <f aca="false">IF(AND(R2196="修改",S2196=""),"請選新事件代碼",IF(AND(R2196&lt;&gt;"修改",S2196&lt;&gt;""),"只有「修改」才需填代碼",""))</f>
        <v/>
      </c>
      <c r="Y2196" s="21"/>
      <c r="Z2196" s="22"/>
      <c r="AA2196" s="12" t="s">
        <v>5507</v>
      </c>
      <c r="AB2196" s="24"/>
    </row>
    <row r="2197" customFormat="false" ht="29.85" hidden="false" customHeight="false" outlineLevel="0" collapsed="false">
      <c r="A2197" s="15" t="n">
        <v>2196</v>
      </c>
      <c r="B2197" s="9" t="s">
        <v>55</v>
      </c>
      <c r="C2197" s="9" t="s">
        <v>831</v>
      </c>
      <c r="D2197" s="10" t="s">
        <v>832</v>
      </c>
      <c r="E2197" s="11" t="s">
        <v>5508</v>
      </c>
      <c r="F2197" s="17"/>
      <c r="G2197" s="12" t="s">
        <v>105</v>
      </c>
      <c r="H2197" s="13" t="n">
        <v>-0.004</v>
      </c>
      <c r="I2197" s="14"/>
      <c r="J2197" s="17"/>
      <c r="K2197" s="9"/>
      <c r="L2197" s="15" t="s">
        <v>50</v>
      </c>
      <c r="M2197" s="16" t="s">
        <v>51</v>
      </c>
      <c r="N2197" s="14"/>
      <c r="O2197" s="15" t="s">
        <v>52</v>
      </c>
      <c r="P2197" s="17" t="s">
        <v>53</v>
      </c>
      <c r="Q2197" s="15"/>
      <c r="R2197" s="18" t="s">
        <v>51</v>
      </c>
      <c r="S2197" s="19"/>
      <c r="T2197" s="17" t="str">
        <f aca="false">IF(R2197="維持",J2197,IF(R2197="排除","無關新聞事件",IFERROR(INDEX(事件規則!$B$2:$B$53,MATCH(S2197,事件規則!$A$2:$A$53,0)),"")))</f>
        <v>無關新聞事件</v>
      </c>
      <c r="U2197" s="20" t="n">
        <f aca="false">IF(R2197="維持",K2197,IF(R2197="排除",0,IFERROR(INDEX(事件規則!$C$2:$C$53,MATCH(S2197,事件規則!$A$2:$A$53,0)),"")))</f>
        <v>0</v>
      </c>
      <c r="V2197" s="21"/>
      <c r="W2197" s="22"/>
      <c r="X2197" s="10" t="str">
        <f aca="false">IF(AND(R2197="修改",S2197=""),"請選新事件代碼",IF(AND(R2197&lt;&gt;"修改",S2197&lt;&gt;""),"只有「修改」才需填代碼",""))</f>
        <v/>
      </c>
      <c r="Y2197" s="21"/>
      <c r="Z2197" s="22"/>
      <c r="AA2197" s="12" t="s">
        <v>5509</v>
      </c>
      <c r="AB2197" s="24"/>
    </row>
    <row r="2198" customFormat="false" ht="29.85" hidden="false" customHeight="false" outlineLevel="0" collapsed="false">
      <c r="A2198" s="15" t="n">
        <v>2197</v>
      </c>
      <c r="B2198" s="9" t="s">
        <v>81</v>
      </c>
      <c r="C2198" s="9" t="s">
        <v>751</v>
      </c>
      <c r="D2198" s="10" t="s">
        <v>752</v>
      </c>
      <c r="E2198" s="11" t="s">
        <v>5510</v>
      </c>
      <c r="F2198" s="17"/>
      <c r="G2198" s="12" t="s">
        <v>4702</v>
      </c>
      <c r="H2198" s="13" t="n">
        <v>-0.004</v>
      </c>
      <c r="I2198" s="14"/>
      <c r="J2198" s="17"/>
      <c r="K2198" s="9"/>
      <c r="L2198" s="15" t="s">
        <v>50</v>
      </c>
      <c r="M2198" s="16" t="s">
        <v>51</v>
      </c>
      <c r="N2198" s="14"/>
      <c r="O2198" s="15" t="s">
        <v>52</v>
      </c>
      <c r="P2198" s="17" t="s">
        <v>53</v>
      </c>
      <c r="Q2198" s="15"/>
      <c r="R2198" s="18" t="s">
        <v>51</v>
      </c>
      <c r="S2198" s="19"/>
      <c r="T2198" s="17" t="str">
        <f aca="false">IF(R2198="維持",J2198,IF(R2198="排除","無關新聞事件",IFERROR(INDEX(事件規則!$B$2:$B$53,MATCH(S2198,事件規則!$A$2:$A$53,0)),"")))</f>
        <v>無關新聞事件</v>
      </c>
      <c r="U2198" s="20" t="n">
        <f aca="false">IF(R2198="維持",K2198,IF(R2198="排除",0,IFERROR(INDEX(事件規則!$C$2:$C$53,MATCH(S2198,事件規則!$A$2:$A$53,0)),"")))</f>
        <v>0</v>
      </c>
      <c r="V2198" s="21"/>
      <c r="W2198" s="22"/>
      <c r="X2198" s="10" t="str">
        <f aca="false">IF(AND(R2198="修改",S2198=""),"請選新事件代碼",IF(AND(R2198&lt;&gt;"修改",S2198&lt;&gt;""),"只有「修改」才需填代碼",""))</f>
        <v/>
      </c>
      <c r="Y2198" s="21"/>
      <c r="Z2198" s="22"/>
      <c r="AA2198" s="12" t="s">
        <v>5511</v>
      </c>
      <c r="AB2198" s="24"/>
    </row>
    <row r="2199" customFormat="false" ht="29.85" hidden="false" customHeight="false" outlineLevel="0" collapsed="false">
      <c r="A2199" s="15" t="n">
        <v>2198</v>
      </c>
      <c r="B2199" s="9" t="s">
        <v>112</v>
      </c>
      <c r="C2199" s="9" t="s">
        <v>936</v>
      </c>
      <c r="D2199" s="10" t="s">
        <v>937</v>
      </c>
      <c r="E2199" s="11" t="s">
        <v>5512</v>
      </c>
      <c r="F2199" s="17"/>
      <c r="G2199" s="12" t="s">
        <v>176</v>
      </c>
      <c r="H2199" s="13" t="n">
        <v>-0.004</v>
      </c>
      <c r="I2199" s="14"/>
      <c r="J2199" s="17"/>
      <c r="K2199" s="9"/>
      <c r="L2199" s="15" t="s">
        <v>50</v>
      </c>
      <c r="M2199" s="16" t="s">
        <v>51</v>
      </c>
      <c r="N2199" s="14"/>
      <c r="O2199" s="15" t="s">
        <v>52</v>
      </c>
      <c r="P2199" s="17" t="s">
        <v>53</v>
      </c>
      <c r="Q2199" s="15"/>
      <c r="R2199" s="18" t="s">
        <v>51</v>
      </c>
      <c r="S2199" s="19"/>
      <c r="T2199" s="17" t="str">
        <f aca="false">IF(R2199="維持",J2199,IF(R2199="排除","無關新聞事件",IFERROR(INDEX(事件規則!$B$2:$B$53,MATCH(S2199,事件規則!$A$2:$A$53,0)),"")))</f>
        <v>無關新聞事件</v>
      </c>
      <c r="U2199" s="20" t="n">
        <f aca="false">IF(R2199="維持",K2199,IF(R2199="排除",0,IFERROR(INDEX(事件規則!$C$2:$C$53,MATCH(S2199,事件規則!$A$2:$A$53,0)),"")))</f>
        <v>0</v>
      </c>
      <c r="V2199" s="21"/>
      <c r="W2199" s="22"/>
      <c r="X2199" s="10" t="str">
        <f aca="false">IF(AND(R2199="修改",S2199=""),"請選新事件代碼",IF(AND(R2199&lt;&gt;"修改",S2199&lt;&gt;""),"只有「修改」才需填代碼",""))</f>
        <v/>
      </c>
      <c r="Y2199" s="21"/>
      <c r="Z2199" s="22"/>
      <c r="AA2199" s="12" t="s">
        <v>5513</v>
      </c>
      <c r="AB2199" s="24"/>
    </row>
    <row r="2200" customFormat="false" ht="29.85" hidden="false" customHeight="false" outlineLevel="0" collapsed="false">
      <c r="A2200" s="15" t="n">
        <v>2199</v>
      </c>
      <c r="B2200" s="9" t="s">
        <v>112</v>
      </c>
      <c r="C2200" s="9" t="s">
        <v>113</v>
      </c>
      <c r="D2200" s="10" t="s">
        <v>114</v>
      </c>
      <c r="E2200" s="11" t="s">
        <v>5514</v>
      </c>
      <c r="F2200" s="17"/>
      <c r="G2200" s="12" t="s">
        <v>169</v>
      </c>
      <c r="H2200" s="13" t="n">
        <v>-0.004</v>
      </c>
      <c r="I2200" s="14"/>
      <c r="J2200" s="17"/>
      <c r="K2200" s="9"/>
      <c r="L2200" s="15" t="s">
        <v>50</v>
      </c>
      <c r="M2200" s="16" t="s">
        <v>51</v>
      </c>
      <c r="N2200" s="14"/>
      <c r="O2200" s="15" t="s">
        <v>52</v>
      </c>
      <c r="P2200" s="17" t="s">
        <v>53</v>
      </c>
      <c r="Q2200" s="15"/>
      <c r="R2200" s="18" t="s">
        <v>51</v>
      </c>
      <c r="S2200" s="19"/>
      <c r="T2200" s="17" t="str">
        <f aca="false">IF(R2200="維持",J2200,IF(R2200="排除","無關新聞事件",IFERROR(INDEX(事件規則!$B$2:$B$53,MATCH(S2200,事件規則!$A$2:$A$53,0)),"")))</f>
        <v>無關新聞事件</v>
      </c>
      <c r="U2200" s="20" t="n">
        <f aca="false">IF(R2200="維持",K2200,IF(R2200="排除",0,IFERROR(INDEX(事件規則!$C$2:$C$53,MATCH(S2200,事件規則!$A$2:$A$53,0)),"")))</f>
        <v>0</v>
      </c>
      <c r="V2200" s="21"/>
      <c r="W2200" s="22"/>
      <c r="X2200" s="10" t="str">
        <f aca="false">IF(AND(R2200="修改",S2200=""),"請選新事件代碼",IF(AND(R2200&lt;&gt;"修改",S2200&lt;&gt;""),"只有「修改」才需填代碼",""))</f>
        <v/>
      </c>
      <c r="Y2200" s="21"/>
      <c r="Z2200" s="22"/>
      <c r="AA2200" s="12" t="s">
        <v>5515</v>
      </c>
      <c r="AB2200" s="24"/>
    </row>
    <row r="2201" customFormat="false" ht="29.85" hidden="false" customHeight="false" outlineLevel="0" collapsed="false">
      <c r="A2201" s="15" t="n">
        <v>2200</v>
      </c>
      <c r="B2201" s="9" t="s">
        <v>112</v>
      </c>
      <c r="C2201" s="9" t="s">
        <v>419</v>
      </c>
      <c r="D2201" s="10" t="s">
        <v>420</v>
      </c>
      <c r="E2201" s="11" t="s">
        <v>5516</v>
      </c>
      <c r="F2201" s="17"/>
      <c r="G2201" s="12" t="s">
        <v>419</v>
      </c>
      <c r="H2201" s="13" t="n">
        <v>-0.004</v>
      </c>
      <c r="I2201" s="14"/>
      <c r="J2201" s="17"/>
      <c r="K2201" s="9"/>
      <c r="L2201" s="15" t="s">
        <v>50</v>
      </c>
      <c r="M2201" s="16" t="s">
        <v>51</v>
      </c>
      <c r="N2201" s="14"/>
      <c r="O2201" s="15" t="s">
        <v>52</v>
      </c>
      <c r="P2201" s="17" t="s">
        <v>53</v>
      </c>
      <c r="Q2201" s="15"/>
      <c r="R2201" s="18" t="s">
        <v>51</v>
      </c>
      <c r="S2201" s="19"/>
      <c r="T2201" s="17" t="str">
        <f aca="false">IF(R2201="維持",J2201,IF(R2201="排除","無關新聞事件",IFERROR(INDEX(事件規則!$B$2:$B$53,MATCH(S2201,事件規則!$A$2:$A$53,0)),"")))</f>
        <v>無關新聞事件</v>
      </c>
      <c r="U2201" s="20" t="n">
        <f aca="false">IF(R2201="維持",K2201,IF(R2201="排除",0,IFERROR(INDEX(事件規則!$C$2:$C$53,MATCH(S2201,事件規則!$A$2:$A$53,0)),"")))</f>
        <v>0</v>
      </c>
      <c r="V2201" s="21"/>
      <c r="W2201" s="22"/>
      <c r="X2201" s="10" t="str">
        <f aca="false">IF(AND(R2201="修改",S2201=""),"請選新事件代碼",IF(AND(R2201&lt;&gt;"修改",S2201&lt;&gt;""),"只有「修改」才需填代碼",""))</f>
        <v/>
      </c>
      <c r="Y2201" s="21"/>
      <c r="Z2201" s="22"/>
      <c r="AA2201" s="12" t="s">
        <v>5517</v>
      </c>
      <c r="AB2201" s="24"/>
    </row>
    <row r="2202" customFormat="false" ht="29.85" hidden="false" customHeight="false" outlineLevel="0" collapsed="false">
      <c r="A2202" s="15" t="n">
        <v>2201</v>
      </c>
      <c r="B2202" s="9" t="s">
        <v>112</v>
      </c>
      <c r="C2202" s="9" t="s">
        <v>469</v>
      </c>
      <c r="D2202" s="10" t="s">
        <v>470</v>
      </c>
      <c r="E2202" s="11" t="s">
        <v>5518</v>
      </c>
      <c r="F2202" s="17"/>
      <c r="G2202" s="12" t="s">
        <v>105</v>
      </c>
      <c r="H2202" s="13" t="n">
        <v>-0.004</v>
      </c>
      <c r="I2202" s="14"/>
      <c r="J2202" s="17"/>
      <c r="K2202" s="9"/>
      <c r="L2202" s="15" t="s">
        <v>50</v>
      </c>
      <c r="M2202" s="16" t="s">
        <v>51</v>
      </c>
      <c r="N2202" s="14"/>
      <c r="O2202" s="15" t="s">
        <v>52</v>
      </c>
      <c r="P2202" s="17" t="s">
        <v>53</v>
      </c>
      <c r="Q2202" s="15"/>
      <c r="R2202" s="18" t="s">
        <v>51</v>
      </c>
      <c r="S2202" s="19"/>
      <c r="T2202" s="17" t="str">
        <f aca="false">IF(R2202="維持",J2202,IF(R2202="排除","無關新聞事件",IFERROR(INDEX(事件規則!$B$2:$B$53,MATCH(S2202,事件規則!$A$2:$A$53,0)),"")))</f>
        <v>無關新聞事件</v>
      </c>
      <c r="U2202" s="20" t="n">
        <f aca="false">IF(R2202="維持",K2202,IF(R2202="排除",0,IFERROR(INDEX(事件規則!$C$2:$C$53,MATCH(S2202,事件規則!$A$2:$A$53,0)),"")))</f>
        <v>0</v>
      </c>
      <c r="V2202" s="21"/>
      <c r="W2202" s="22"/>
      <c r="X2202" s="10" t="str">
        <f aca="false">IF(AND(R2202="修改",S2202=""),"請選新事件代碼",IF(AND(R2202&lt;&gt;"修改",S2202&lt;&gt;""),"只有「修改」才需填代碼",""))</f>
        <v/>
      </c>
      <c r="Y2202" s="21"/>
      <c r="Z2202" s="22"/>
      <c r="AA2202" s="12" t="s">
        <v>5519</v>
      </c>
      <c r="AB2202" s="24"/>
    </row>
    <row r="2203" customFormat="false" ht="29.85" hidden="false" customHeight="false" outlineLevel="0" collapsed="false">
      <c r="A2203" s="15" t="n">
        <v>2202</v>
      </c>
      <c r="B2203" s="9" t="s">
        <v>81</v>
      </c>
      <c r="C2203" s="15"/>
      <c r="D2203" s="10" t="s">
        <v>5520</v>
      </c>
      <c r="E2203" s="11" t="s">
        <v>5521</v>
      </c>
      <c r="F2203" s="17"/>
      <c r="G2203" s="12" t="s">
        <v>49</v>
      </c>
      <c r="H2203" s="13" t="n">
        <v>-0.004</v>
      </c>
      <c r="I2203" s="14"/>
      <c r="J2203" s="17"/>
      <c r="K2203" s="9"/>
      <c r="L2203" s="15" t="s">
        <v>50</v>
      </c>
      <c r="M2203" s="16" t="s">
        <v>51</v>
      </c>
      <c r="N2203" s="14"/>
      <c r="O2203" s="15" t="s">
        <v>52</v>
      </c>
      <c r="P2203" s="17" t="s">
        <v>53</v>
      </c>
      <c r="Q2203" s="15"/>
      <c r="R2203" s="18" t="s">
        <v>51</v>
      </c>
      <c r="S2203" s="19"/>
      <c r="T2203" s="17" t="str">
        <f aca="false">IF(R2203="維持",J2203,IF(R2203="排除","無關新聞事件",IFERROR(INDEX(事件規則!$B$2:$B$53,MATCH(S2203,事件規則!$A$2:$A$53,0)),"")))</f>
        <v>無關新聞事件</v>
      </c>
      <c r="U2203" s="20" t="n">
        <f aca="false">IF(R2203="維持",K2203,IF(R2203="排除",0,IFERROR(INDEX(事件規則!$C$2:$C$53,MATCH(S2203,事件規則!$A$2:$A$53,0)),"")))</f>
        <v>0</v>
      </c>
      <c r="V2203" s="21"/>
      <c r="W2203" s="22"/>
      <c r="X2203" s="10" t="str">
        <f aca="false">IF(AND(R2203="修改",S2203=""),"請選新事件代碼",IF(AND(R2203&lt;&gt;"修改",S2203&lt;&gt;""),"只有「修改」才需填代碼",""))</f>
        <v/>
      </c>
      <c r="Y2203" s="21"/>
      <c r="Z2203" s="22"/>
      <c r="AA2203" s="12" t="s">
        <v>5522</v>
      </c>
      <c r="AB2203" s="24"/>
    </row>
    <row r="2204" customFormat="false" ht="29.85" hidden="false" customHeight="false" outlineLevel="0" collapsed="false">
      <c r="A2204" s="15" t="n">
        <v>2203</v>
      </c>
      <c r="B2204" s="9" t="s">
        <v>112</v>
      </c>
      <c r="C2204" s="9" t="s">
        <v>178</v>
      </c>
      <c r="D2204" s="10" t="s">
        <v>179</v>
      </c>
      <c r="E2204" s="11" t="s">
        <v>5523</v>
      </c>
      <c r="F2204" s="17"/>
      <c r="G2204" s="12" t="s">
        <v>2094</v>
      </c>
      <c r="H2204" s="13" t="n">
        <v>-0.004</v>
      </c>
      <c r="I2204" s="14"/>
      <c r="J2204" s="17"/>
      <c r="K2204" s="9"/>
      <c r="L2204" s="15" t="s">
        <v>50</v>
      </c>
      <c r="M2204" s="16" t="s">
        <v>51</v>
      </c>
      <c r="N2204" s="14"/>
      <c r="O2204" s="15" t="s">
        <v>52</v>
      </c>
      <c r="P2204" s="17" t="s">
        <v>53</v>
      </c>
      <c r="Q2204" s="15"/>
      <c r="R2204" s="18" t="s">
        <v>51</v>
      </c>
      <c r="S2204" s="19"/>
      <c r="T2204" s="17" t="str">
        <f aca="false">IF(R2204="維持",J2204,IF(R2204="排除","無關新聞事件",IFERROR(INDEX(事件規則!$B$2:$B$53,MATCH(S2204,事件規則!$A$2:$A$53,0)),"")))</f>
        <v>無關新聞事件</v>
      </c>
      <c r="U2204" s="20" t="n">
        <f aca="false">IF(R2204="維持",K2204,IF(R2204="排除",0,IFERROR(INDEX(事件規則!$C$2:$C$53,MATCH(S2204,事件規則!$A$2:$A$53,0)),"")))</f>
        <v>0</v>
      </c>
      <c r="V2204" s="21"/>
      <c r="W2204" s="22"/>
      <c r="X2204" s="10" t="str">
        <f aca="false">IF(AND(R2204="修改",S2204=""),"請選新事件代碼",IF(AND(R2204&lt;&gt;"修改",S2204&lt;&gt;""),"只有「修改」才需填代碼",""))</f>
        <v/>
      </c>
      <c r="Y2204" s="21"/>
      <c r="Z2204" s="22"/>
      <c r="AA2204" s="12" t="s">
        <v>5524</v>
      </c>
      <c r="AB2204" s="24"/>
    </row>
    <row r="2205" customFormat="false" ht="29.85" hidden="false" customHeight="false" outlineLevel="0" collapsed="false">
      <c r="A2205" s="15" t="n">
        <v>2204</v>
      </c>
      <c r="B2205" s="9" t="s">
        <v>112</v>
      </c>
      <c r="C2205" s="9" t="s">
        <v>355</v>
      </c>
      <c r="D2205" s="10" t="s">
        <v>356</v>
      </c>
      <c r="E2205" s="11" t="s">
        <v>5525</v>
      </c>
      <c r="F2205" s="17"/>
      <c r="G2205" s="12" t="s">
        <v>5526</v>
      </c>
      <c r="H2205" s="13" t="n">
        <v>-0.004</v>
      </c>
      <c r="I2205" s="14"/>
      <c r="J2205" s="17"/>
      <c r="K2205" s="9"/>
      <c r="L2205" s="15" t="s">
        <v>50</v>
      </c>
      <c r="M2205" s="16" t="s">
        <v>51</v>
      </c>
      <c r="N2205" s="14"/>
      <c r="O2205" s="15" t="s">
        <v>52</v>
      </c>
      <c r="P2205" s="17" t="s">
        <v>53</v>
      </c>
      <c r="Q2205" s="15"/>
      <c r="R2205" s="18" t="s">
        <v>51</v>
      </c>
      <c r="S2205" s="19"/>
      <c r="T2205" s="17" t="str">
        <f aca="false">IF(R2205="維持",J2205,IF(R2205="排除","無關新聞事件",IFERROR(INDEX(事件規則!$B$2:$B$53,MATCH(S2205,事件規則!$A$2:$A$53,0)),"")))</f>
        <v>無關新聞事件</v>
      </c>
      <c r="U2205" s="20" t="n">
        <f aca="false">IF(R2205="維持",K2205,IF(R2205="排除",0,IFERROR(INDEX(事件規則!$C$2:$C$53,MATCH(S2205,事件規則!$A$2:$A$53,0)),"")))</f>
        <v>0</v>
      </c>
      <c r="V2205" s="21"/>
      <c r="W2205" s="22"/>
      <c r="X2205" s="10" t="str">
        <f aca="false">IF(AND(R2205="修改",S2205=""),"請選新事件代碼",IF(AND(R2205&lt;&gt;"修改",S2205&lt;&gt;""),"只有「修改」才需填代碼",""))</f>
        <v/>
      </c>
      <c r="Y2205" s="21"/>
      <c r="Z2205" s="22"/>
      <c r="AA2205" s="12" t="s">
        <v>5527</v>
      </c>
      <c r="AB2205" s="24"/>
    </row>
    <row r="2206" customFormat="false" ht="29.85" hidden="false" customHeight="false" outlineLevel="0" collapsed="false">
      <c r="A2206" s="15" t="n">
        <v>2205</v>
      </c>
      <c r="B2206" s="9" t="s">
        <v>112</v>
      </c>
      <c r="C2206" s="9" t="s">
        <v>268</v>
      </c>
      <c r="D2206" s="10" t="s">
        <v>269</v>
      </c>
      <c r="E2206" s="11" t="s">
        <v>5528</v>
      </c>
      <c r="F2206" s="17"/>
      <c r="G2206" s="12" t="s">
        <v>176</v>
      </c>
      <c r="H2206" s="13" t="n">
        <v>-0.004</v>
      </c>
      <c r="I2206" s="14"/>
      <c r="J2206" s="17"/>
      <c r="K2206" s="9"/>
      <c r="L2206" s="15" t="s">
        <v>50</v>
      </c>
      <c r="M2206" s="16" t="s">
        <v>51</v>
      </c>
      <c r="N2206" s="14"/>
      <c r="O2206" s="15" t="s">
        <v>52</v>
      </c>
      <c r="P2206" s="17" t="s">
        <v>53</v>
      </c>
      <c r="Q2206" s="15"/>
      <c r="R2206" s="18" t="s">
        <v>51</v>
      </c>
      <c r="S2206" s="19"/>
      <c r="T2206" s="17" t="str">
        <f aca="false">IF(R2206="維持",J2206,IF(R2206="排除","無關新聞事件",IFERROR(INDEX(事件規則!$B$2:$B$53,MATCH(S2206,事件規則!$A$2:$A$53,0)),"")))</f>
        <v>無關新聞事件</v>
      </c>
      <c r="U2206" s="20" t="n">
        <f aca="false">IF(R2206="維持",K2206,IF(R2206="排除",0,IFERROR(INDEX(事件規則!$C$2:$C$53,MATCH(S2206,事件規則!$A$2:$A$53,0)),"")))</f>
        <v>0</v>
      </c>
      <c r="V2206" s="21"/>
      <c r="W2206" s="22"/>
      <c r="X2206" s="10" t="str">
        <f aca="false">IF(AND(R2206="修改",S2206=""),"請選新事件代碼",IF(AND(R2206&lt;&gt;"修改",S2206&lt;&gt;""),"只有「修改」才需填代碼",""))</f>
        <v/>
      </c>
      <c r="Y2206" s="21"/>
      <c r="Z2206" s="22"/>
      <c r="AA2206" s="12" t="s">
        <v>5529</v>
      </c>
      <c r="AB2206" s="24"/>
    </row>
    <row r="2207" customFormat="false" ht="29.85" hidden="false" customHeight="false" outlineLevel="0" collapsed="false">
      <c r="A2207" s="15" t="n">
        <v>2206</v>
      </c>
      <c r="B2207" s="9" t="s">
        <v>112</v>
      </c>
      <c r="C2207" s="9" t="s">
        <v>1196</v>
      </c>
      <c r="D2207" s="10" t="s">
        <v>1197</v>
      </c>
      <c r="E2207" s="11" t="s">
        <v>5530</v>
      </c>
      <c r="F2207" s="17"/>
      <c r="G2207" s="12" t="s">
        <v>949</v>
      </c>
      <c r="H2207" s="13" t="n">
        <v>-0.004</v>
      </c>
      <c r="I2207" s="14"/>
      <c r="J2207" s="17"/>
      <c r="K2207" s="9"/>
      <c r="L2207" s="15" t="s">
        <v>50</v>
      </c>
      <c r="M2207" s="16" t="s">
        <v>51</v>
      </c>
      <c r="N2207" s="14"/>
      <c r="O2207" s="15" t="s">
        <v>52</v>
      </c>
      <c r="P2207" s="17" t="s">
        <v>53</v>
      </c>
      <c r="Q2207" s="15"/>
      <c r="R2207" s="18" t="s">
        <v>51</v>
      </c>
      <c r="S2207" s="19"/>
      <c r="T2207" s="17" t="str">
        <f aca="false">IF(R2207="維持",J2207,IF(R2207="排除","無關新聞事件",IFERROR(INDEX(事件規則!$B$2:$B$53,MATCH(S2207,事件規則!$A$2:$A$53,0)),"")))</f>
        <v>無關新聞事件</v>
      </c>
      <c r="U2207" s="20" t="n">
        <f aca="false">IF(R2207="維持",K2207,IF(R2207="排除",0,IFERROR(INDEX(事件規則!$C$2:$C$53,MATCH(S2207,事件規則!$A$2:$A$53,0)),"")))</f>
        <v>0</v>
      </c>
      <c r="V2207" s="21"/>
      <c r="W2207" s="22"/>
      <c r="X2207" s="10" t="str">
        <f aca="false">IF(AND(R2207="修改",S2207=""),"請選新事件代碼",IF(AND(R2207&lt;&gt;"修改",S2207&lt;&gt;""),"只有「修改」才需填代碼",""))</f>
        <v/>
      </c>
      <c r="Y2207" s="21"/>
      <c r="Z2207" s="22"/>
      <c r="AA2207" s="12" t="s">
        <v>5531</v>
      </c>
      <c r="AB2207" s="24"/>
    </row>
    <row r="2208" customFormat="false" ht="29.85" hidden="false" customHeight="false" outlineLevel="0" collapsed="false">
      <c r="A2208" s="15" t="n">
        <v>2207</v>
      </c>
      <c r="B2208" s="9" t="s">
        <v>112</v>
      </c>
      <c r="C2208" s="9" t="s">
        <v>3141</v>
      </c>
      <c r="D2208" s="10" t="s">
        <v>3142</v>
      </c>
      <c r="E2208" s="11" t="s">
        <v>5532</v>
      </c>
      <c r="F2208" s="17"/>
      <c r="G2208" s="12" t="s">
        <v>2033</v>
      </c>
      <c r="H2208" s="13" t="n">
        <v>-0.004</v>
      </c>
      <c r="I2208" s="14"/>
      <c r="J2208" s="17"/>
      <c r="K2208" s="9"/>
      <c r="L2208" s="15" t="s">
        <v>50</v>
      </c>
      <c r="M2208" s="16" t="s">
        <v>51</v>
      </c>
      <c r="N2208" s="14"/>
      <c r="O2208" s="15" t="s">
        <v>52</v>
      </c>
      <c r="P2208" s="17" t="s">
        <v>53</v>
      </c>
      <c r="Q2208" s="15"/>
      <c r="R2208" s="18" t="s">
        <v>51</v>
      </c>
      <c r="S2208" s="19"/>
      <c r="T2208" s="17" t="str">
        <f aca="false">IF(R2208="維持",J2208,IF(R2208="排除","無關新聞事件",IFERROR(INDEX(事件規則!$B$2:$B$53,MATCH(S2208,事件規則!$A$2:$A$53,0)),"")))</f>
        <v>無關新聞事件</v>
      </c>
      <c r="U2208" s="20" t="n">
        <f aca="false">IF(R2208="維持",K2208,IF(R2208="排除",0,IFERROR(INDEX(事件規則!$C$2:$C$53,MATCH(S2208,事件規則!$A$2:$A$53,0)),"")))</f>
        <v>0</v>
      </c>
      <c r="V2208" s="21"/>
      <c r="W2208" s="22"/>
      <c r="X2208" s="10" t="str">
        <f aca="false">IF(AND(R2208="修改",S2208=""),"請選新事件代碼",IF(AND(R2208&lt;&gt;"修改",S2208&lt;&gt;""),"只有「修改」才需填代碼",""))</f>
        <v/>
      </c>
      <c r="Y2208" s="21"/>
      <c r="Z2208" s="22"/>
      <c r="AA2208" s="12" t="s">
        <v>5533</v>
      </c>
      <c r="AB2208" s="24"/>
    </row>
    <row r="2209" customFormat="false" ht="29.85" hidden="false" customHeight="false" outlineLevel="0" collapsed="false">
      <c r="A2209" s="15" t="n">
        <v>2208</v>
      </c>
      <c r="B2209" s="9" t="s">
        <v>112</v>
      </c>
      <c r="C2209" s="9" t="s">
        <v>242</v>
      </c>
      <c r="D2209" s="10" t="s">
        <v>243</v>
      </c>
      <c r="E2209" s="11" t="s">
        <v>5534</v>
      </c>
      <c r="F2209" s="17"/>
      <c r="G2209" s="12" t="s">
        <v>2033</v>
      </c>
      <c r="H2209" s="13" t="n">
        <v>-0.004</v>
      </c>
      <c r="I2209" s="14"/>
      <c r="J2209" s="17"/>
      <c r="K2209" s="9"/>
      <c r="L2209" s="15" t="s">
        <v>50</v>
      </c>
      <c r="M2209" s="16" t="s">
        <v>51</v>
      </c>
      <c r="N2209" s="14"/>
      <c r="O2209" s="15" t="s">
        <v>52</v>
      </c>
      <c r="P2209" s="17" t="s">
        <v>53</v>
      </c>
      <c r="Q2209" s="15"/>
      <c r="R2209" s="18" t="s">
        <v>51</v>
      </c>
      <c r="S2209" s="19"/>
      <c r="T2209" s="17" t="str">
        <f aca="false">IF(R2209="維持",J2209,IF(R2209="排除","無關新聞事件",IFERROR(INDEX(事件規則!$B$2:$B$53,MATCH(S2209,事件規則!$A$2:$A$53,0)),"")))</f>
        <v>無關新聞事件</v>
      </c>
      <c r="U2209" s="20" t="n">
        <f aca="false">IF(R2209="維持",K2209,IF(R2209="排除",0,IFERROR(INDEX(事件規則!$C$2:$C$53,MATCH(S2209,事件規則!$A$2:$A$53,0)),"")))</f>
        <v>0</v>
      </c>
      <c r="V2209" s="21"/>
      <c r="W2209" s="22"/>
      <c r="X2209" s="10" t="str">
        <f aca="false">IF(AND(R2209="修改",S2209=""),"請選新事件代碼",IF(AND(R2209&lt;&gt;"修改",S2209&lt;&gt;""),"只有「修改」才需填代碼",""))</f>
        <v/>
      </c>
      <c r="Y2209" s="21"/>
      <c r="Z2209" s="22"/>
      <c r="AA2209" s="12" t="s">
        <v>5535</v>
      </c>
      <c r="AB2209" s="24"/>
    </row>
    <row r="2210" customFormat="false" ht="29.85" hidden="false" customHeight="false" outlineLevel="0" collapsed="false">
      <c r="A2210" s="15" t="n">
        <v>2209</v>
      </c>
      <c r="B2210" s="9" t="s">
        <v>112</v>
      </c>
      <c r="C2210" s="9" t="s">
        <v>289</v>
      </c>
      <c r="D2210" s="10" t="s">
        <v>290</v>
      </c>
      <c r="E2210" s="11" t="s">
        <v>5536</v>
      </c>
      <c r="F2210" s="17"/>
      <c r="G2210" s="12" t="s">
        <v>176</v>
      </c>
      <c r="H2210" s="13" t="n">
        <v>-0.004</v>
      </c>
      <c r="I2210" s="14"/>
      <c r="J2210" s="17"/>
      <c r="K2210" s="9"/>
      <c r="L2210" s="15" t="s">
        <v>50</v>
      </c>
      <c r="M2210" s="16" t="s">
        <v>51</v>
      </c>
      <c r="N2210" s="14"/>
      <c r="O2210" s="15" t="s">
        <v>52</v>
      </c>
      <c r="P2210" s="17" t="s">
        <v>53</v>
      </c>
      <c r="Q2210" s="15"/>
      <c r="R2210" s="18" t="s">
        <v>51</v>
      </c>
      <c r="S2210" s="19"/>
      <c r="T2210" s="17" t="str">
        <f aca="false">IF(R2210="維持",J2210,IF(R2210="排除","無關新聞事件",IFERROR(INDEX(事件規則!$B$2:$B$53,MATCH(S2210,事件規則!$A$2:$A$53,0)),"")))</f>
        <v>無關新聞事件</v>
      </c>
      <c r="U2210" s="20" t="n">
        <f aca="false">IF(R2210="維持",K2210,IF(R2210="排除",0,IFERROR(INDEX(事件規則!$C$2:$C$53,MATCH(S2210,事件規則!$A$2:$A$53,0)),"")))</f>
        <v>0</v>
      </c>
      <c r="V2210" s="21"/>
      <c r="W2210" s="22"/>
      <c r="X2210" s="10" t="str">
        <f aca="false">IF(AND(R2210="修改",S2210=""),"請選新事件代碼",IF(AND(R2210&lt;&gt;"修改",S2210&lt;&gt;""),"只有「修改」才需填代碼",""))</f>
        <v/>
      </c>
      <c r="Y2210" s="21"/>
      <c r="Z2210" s="22"/>
      <c r="AA2210" s="12" t="s">
        <v>5537</v>
      </c>
      <c r="AB2210" s="24"/>
    </row>
    <row r="2211" customFormat="false" ht="29.85" hidden="false" customHeight="false" outlineLevel="0" collapsed="false">
      <c r="A2211" s="15" t="n">
        <v>2210</v>
      </c>
      <c r="B2211" s="9" t="s">
        <v>112</v>
      </c>
      <c r="C2211" s="9" t="s">
        <v>3980</v>
      </c>
      <c r="D2211" s="10" t="s">
        <v>3981</v>
      </c>
      <c r="E2211" s="11" t="s">
        <v>5538</v>
      </c>
      <c r="F2211" s="17"/>
      <c r="G2211" s="12" t="s">
        <v>95</v>
      </c>
      <c r="H2211" s="13" t="n">
        <v>-0.004</v>
      </c>
      <c r="I2211" s="14"/>
      <c r="J2211" s="17"/>
      <c r="K2211" s="9"/>
      <c r="L2211" s="15" t="s">
        <v>50</v>
      </c>
      <c r="M2211" s="16" t="s">
        <v>51</v>
      </c>
      <c r="N2211" s="14"/>
      <c r="O2211" s="15" t="s">
        <v>52</v>
      </c>
      <c r="P2211" s="17" t="s">
        <v>53</v>
      </c>
      <c r="Q2211" s="15"/>
      <c r="R2211" s="18" t="s">
        <v>51</v>
      </c>
      <c r="S2211" s="19"/>
      <c r="T2211" s="17" t="str">
        <f aca="false">IF(R2211="維持",J2211,IF(R2211="排除","無關新聞事件",IFERROR(INDEX(事件規則!$B$2:$B$53,MATCH(S2211,事件規則!$A$2:$A$53,0)),"")))</f>
        <v>無關新聞事件</v>
      </c>
      <c r="U2211" s="20" t="n">
        <f aca="false">IF(R2211="維持",K2211,IF(R2211="排除",0,IFERROR(INDEX(事件規則!$C$2:$C$53,MATCH(S2211,事件規則!$A$2:$A$53,0)),"")))</f>
        <v>0</v>
      </c>
      <c r="V2211" s="21"/>
      <c r="W2211" s="22"/>
      <c r="X2211" s="10" t="str">
        <f aca="false">IF(AND(R2211="修改",S2211=""),"請選新事件代碼",IF(AND(R2211&lt;&gt;"修改",S2211&lt;&gt;""),"只有「修改」才需填代碼",""))</f>
        <v/>
      </c>
      <c r="Y2211" s="21"/>
      <c r="Z2211" s="22"/>
      <c r="AA2211" s="12" t="s">
        <v>5539</v>
      </c>
      <c r="AB2211" s="24"/>
    </row>
    <row r="2212" customFormat="false" ht="29.85" hidden="false" customHeight="false" outlineLevel="0" collapsed="false">
      <c r="A2212" s="15" t="n">
        <v>2211</v>
      </c>
      <c r="B2212" s="9" t="s">
        <v>45</v>
      </c>
      <c r="C2212" s="9" t="s">
        <v>445</v>
      </c>
      <c r="D2212" s="10" t="s">
        <v>446</v>
      </c>
      <c r="E2212" s="11" t="s">
        <v>5540</v>
      </c>
      <c r="F2212" s="17"/>
      <c r="G2212" s="12" t="s">
        <v>210</v>
      </c>
      <c r="H2212" s="13" t="n">
        <v>-0.004</v>
      </c>
      <c r="I2212" s="14"/>
      <c r="J2212" s="17"/>
      <c r="K2212" s="9"/>
      <c r="L2212" s="15" t="s">
        <v>50</v>
      </c>
      <c r="M2212" s="16" t="s">
        <v>51</v>
      </c>
      <c r="N2212" s="14"/>
      <c r="O2212" s="15" t="s">
        <v>52</v>
      </c>
      <c r="P2212" s="17" t="s">
        <v>53</v>
      </c>
      <c r="Q2212" s="15"/>
      <c r="R2212" s="18" t="s">
        <v>51</v>
      </c>
      <c r="S2212" s="19"/>
      <c r="T2212" s="17" t="str">
        <f aca="false">IF(R2212="維持",J2212,IF(R2212="排除","無關新聞事件",IFERROR(INDEX(事件規則!$B$2:$B$53,MATCH(S2212,事件規則!$A$2:$A$53,0)),"")))</f>
        <v>無關新聞事件</v>
      </c>
      <c r="U2212" s="20" t="n">
        <f aca="false">IF(R2212="維持",K2212,IF(R2212="排除",0,IFERROR(INDEX(事件規則!$C$2:$C$53,MATCH(S2212,事件規則!$A$2:$A$53,0)),"")))</f>
        <v>0</v>
      </c>
      <c r="V2212" s="21"/>
      <c r="W2212" s="22"/>
      <c r="X2212" s="10" t="str">
        <f aca="false">IF(AND(R2212="修改",S2212=""),"請選新事件代碼",IF(AND(R2212&lt;&gt;"修改",S2212&lt;&gt;""),"只有「修改」才需填代碼",""))</f>
        <v/>
      </c>
      <c r="Y2212" s="21"/>
      <c r="Z2212" s="22"/>
      <c r="AA2212" s="12" t="s">
        <v>5541</v>
      </c>
      <c r="AB2212" s="24"/>
    </row>
    <row r="2213" customFormat="false" ht="29.85" hidden="false" customHeight="false" outlineLevel="0" collapsed="false">
      <c r="A2213" s="15" t="n">
        <v>2212</v>
      </c>
      <c r="B2213" s="9" t="s">
        <v>45</v>
      </c>
      <c r="C2213" s="9" t="s">
        <v>2134</v>
      </c>
      <c r="D2213" s="10" t="s">
        <v>2135</v>
      </c>
      <c r="E2213" s="11" t="s">
        <v>5542</v>
      </c>
      <c r="F2213" s="17"/>
      <c r="G2213" s="12" t="s">
        <v>95</v>
      </c>
      <c r="H2213" s="13" t="n">
        <v>-0.004</v>
      </c>
      <c r="I2213" s="14"/>
      <c r="J2213" s="17"/>
      <c r="K2213" s="9"/>
      <c r="L2213" s="15" t="s">
        <v>50</v>
      </c>
      <c r="M2213" s="16" t="s">
        <v>51</v>
      </c>
      <c r="N2213" s="14"/>
      <c r="O2213" s="15" t="s">
        <v>52</v>
      </c>
      <c r="P2213" s="17" t="s">
        <v>53</v>
      </c>
      <c r="Q2213" s="15"/>
      <c r="R2213" s="18" t="s">
        <v>51</v>
      </c>
      <c r="S2213" s="19"/>
      <c r="T2213" s="17" t="str">
        <f aca="false">IF(R2213="維持",J2213,IF(R2213="排除","無關新聞事件",IFERROR(INDEX(事件規則!$B$2:$B$53,MATCH(S2213,事件規則!$A$2:$A$53,0)),"")))</f>
        <v>無關新聞事件</v>
      </c>
      <c r="U2213" s="20" t="n">
        <f aca="false">IF(R2213="維持",K2213,IF(R2213="排除",0,IFERROR(INDEX(事件規則!$C$2:$C$53,MATCH(S2213,事件規則!$A$2:$A$53,0)),"")))</f>
        <v>0</v>
      </c>
      <c r="V2213" s="21"/>
      <c r="W2213" s="22"/>
      <c r="X2213" s="10" t="str">
        <f aca="false">IF(AND(R2213="修改",S2213=""),"請選新事件代碼",IF(AND(R2213&lt;&gt;"修改",S2213&lt;&gt;""),"只有「修改」才需填代碼",""))</f>
        <v/>
      </c>
      <c r="Y2213" s="21"/>
      <c r="Z2213" s="22"/>
      <c r="AA2213" s="12" t="s">
        <v>5543</v>
      </c>
      <c r="AB2213" s="24"/>
    </row>
    <row r="2214" customFormat="false" ht="29.85" hidden="false" customHeight="false" outlineLevel="0" collapsed="false">
      <c r="A2214" s="15" t="n">
        <v>2213</v>
      </c>
      <c r="B2214" s="9" t="s">
        <v>112</v>
      </c>
      <c r="C2214" s="9" t="s">
        <v>1507</v>
      </c>
      <c r="D2214" s="10" t="s">
        <v>1508</v>
      </c>
      <c r="E2214" s="11" t="s">
        <v>5544</v>
      </c>
      <c r="F2214" s="17"/>
      <c r="G2214" s="12" t="s">
        <v>59</v>
      </c>
      <c r="H2214" s="13" t="n">
        <v>-0.004</v>
      </c>
      <c r="I2214" s="14"/>
      <c r="J2214" s="17"/>
      <c r="K2214" s="9"/>
      <c r="L2214" s="15" t="s">
        <v>50</v>
      </c>
      <c r="M2214" s="16" t="s">
        <v>51</v>
      </c>
      <c r="N2214" s="14"/>
      <c r="O2214" s="15" t="s">
        <v>52</v>
      </c>
      <c r="P2214" s="17" t="s">
        <v>53</v>
      </c>
      <c r="Q2214" s="15"/>
      <c r="R2214" s="18" t="s">
        <v>51</v>
      </c>
      <c r="S2214" s="19"/>
      <c r="T2214" s="17" t="str">
        <f aca="false">IF(R2214="維持",J2214,IF(R2214="排除","無關新聞事件",IFERROR(INDEX(事件規則!$B$2:$B$53,MATCH(S2214,事件規則!$A$2:$A$53,0)),"")))</f>
        <v>無關新聞事件</v>
      </c>
      <c r="U2214" s="20" t="n">
        <f aca="false">IF(R2214="維持",K2214,IF(R2214="排除",0,IFERROR(INDEX(事件規則!$C$2:$C$53,MATCH(S2214,事件規則!$A$2:$A$53,0)),"")))</f>
        <v>0</v>
      </c>
      <c r="V2214" s="21"/>
      <c r="W2214" s="22"/>
      <c r="X2214" s="10" t="str">
        <f aca="false">IF(AND(R2214="修改",S2214=""),"請選新事件代碼",IF(AND(R2214&lt;&gt;"修改",S2214&lt;&gt;""),"只有「修改」才需填代碼",""))</f>
        <v/>
      </c>
      <c r="Y2214" s="21"/>
      <c r="Z2214" s="22"/>
      <c r="AA2214" s="12" t="s">
        <v>5545</v>
      </c>
      <c r="AB2214" s="24"/>
    </row>
    <row r="2215" customFormat="false" ht="29.85" hidden="false" customHeight="false" outlineLevel="0" collapsed="false">
      <c r="A2215" s="15" t="n">
        <v>2214</v>
      </c>
      <c r="B2215" s="9" t="s">
        <v>112</v>
      </c>
      <c r="C2215" s="9" t="s">
        <v>144</v>
      </c>
      <c r="D2215" s="10" t="s">
        <v>145</v>
      </c>
      <c r="E2215" s="11" t="s">
        <v>5546</v>
      </c>
      <c r="F2215" s="17"/>
      <c r="G2215" s="12" t="s">
        <v>176</v>
      </c>
      <c r="H2215" s="13" t="n">
        <v>-0.004</v>
      </c>
      <c r="I2215" s="14"/>
      <c r="J2215" s="17"/>
      <c r="K2215" s="9"/>
      <c r="L2215" s="15" t="s">
        <v>50</v>
      </c>
      <c r="M2215" s="16" t="s">
        <v>51</v>
      </c>
      <c r="N2215" s="14"/>
      <c r="O2215" s="15" t="s">
        <v>52</v>
      </c>
      <c r="P2215" s="17" t="s">
        <v>53</v>
      </c>
      <c r="Q2215" s="15"/>
      <c r="R2215" s="18" t="s">
        <v>51</v>
      </c>
      <c r="S2215" s="19"/>
      <c r="T2215" s="17" t="str">
        <f aca="false">IF(R2215="維持",J2215,IF(R2215="排除","無關新聞事件",IFERROR(INDEX(事件規則!$B$2:$B$53,MATCH(S2215,事件規則!$A$2:$A$53,0)),"")))</f>
        <v>無關新聞事件</v>
      </c>
      <c r="U2215" s="20" t="n">
        <f aca="false">IF(R2215="維持",K2215,IF(R2215="排除",0,IFERROR(INDEX(事件規則!$C$2:$C$53,MATCH(S2215,事件規則!$A$2:$A$53,0)),"")))</f>
        <v>0</v>
      </c>
      <c r="V2215" s="21"/>
      <c r="W2215" s="22"/>
      <c r="X2215" s="10" t="str">
        <f aca="false">IF(AND(R2215="修改",S2215=""),"請選新事件代碼",IF(AND(R2215&lt;&gt;"修改",S2215&lt;&gt;""),"只有「修改」才需填代碼",""))</f>
        <v/>
      </c>
      <c r="Y2215" s="21"/>
      <c r="Z2215" s="22"/>
      <c r="AA2215" s="12" t="s">
        <v>5547</v>
      </c>
      <c r="AB2215" s="24"/>
    </row>
    <row r="2216" customFormat="false" ht="29.85" hidden="false" customHeight="false" outlineLevel="0" collapsed="false">
      <c r="A2216" s="15" t="n">
        <v>2215</v>
      </c>
      <c r="B2216" s="9" t="s">
        <v>45</v>
      </c>
      <c r="C2216" s="9" t="s">
        <v>202</v>
      </c>
      <c r="D2216" s="10" t="s">
        <v>203</v>
      </c>
      <c r="E2216" s="11" t="s">
        <v>5491</v>
      </c>
      <c r="F2216" s="17"/>
      <c r="G2216" s="12" t="s">
        <v>5492</v>
      </c>
      <c r="H2216" s="13" t="n">
        <v>-0.004</v>
      </c>
      <c r="I2216" s="14"/>
      <c r="J2216" s="17"/>
      <c r="K2216" s="9"/>
      <c r="L2216" s="15" t="s">
        <v>50</v>
      </c>
      <c r="M2216" s="16" t="s">
        <v>51</v>
      </c>
      <c r="N2216" s="14"/>
      <c r="O2216" s="15" t="s">
        <v>52</v>
      </c>
      <c r="P2216" s="17" t="s">
        <v>53</v>
      </c>
      <c r="Q2216" s="15"/>
      <c r="R2216" s="18" t="s">
        <v>51</v>
      </c>
      <c r="S2216" s="19"/>
      <c r="T2216" s="17" t="str">
        <f aca="false">IF(R2216="維持",J2216,IF(R2216="排除","無關新聞事件",IFERROR(INDEX(事件規則!$B$2:$B$53,MATCH(S2216,事件規則!$A$2:$A$53,0)),"")))</f>
        <v>無關新聞事件</v>
      </c>
      <c r="U2216" s="20" t="n">
        <f aca="false">IF(R2216="維持",K2216,IF(R2216="排除",0,IFERROR(INDEX(事件規則!$C$2:$C$53,MATCH(S2216,事件規則!$A$2:$A$53,0)),"")))</f>
        <v>0</v>
      </c>
      <c r="V2216" s="21"/>
      <c r="W2216" s="22"/>
      <c r="X2216" s="10" t="str">
        <f aca="false">IF(AND(R2216="修改",S2216=""),"請選新事件代碼",IF(AND(R2216&lt;&gt;"修改",S2216&lt;&gt;""),"只有「修改」才需填代碼",""))</f>
        <v/>
      </c>
      <c r="Y2216" s="21"/>
      <c r="Z2216" s="22"/>
      <c r="AA2216" s="12" t="s">
        <v>5493</v>
      </c>
      <c r="AB2216" s="24"/>
    </row>
    <row r="2217" customFormat="false" ht="29.85" hidden="false" customHeight="false" outlineLevel="0" collapsed="false">
      <c r="A2217" s="15" t="n">
        <v>2216</v>
      </c>
      <c r="B2217" s="9" t="s">
        <v>45</v>
      </c>
      <c r="C2217" s="9" t="s">
        <v>1829</v>
      </c>
      <c r="D2217" s="10" t="s">
        <v>1830</v>
      </c>
      <c r="E2217" s="11" t="s">
        <v>5548</v>
      </c>
      <c r="F2217" s="17"/>
      <c r="G2217" s="12" t="s">
        <v>176</v>
      </c>
      <c r="H2217" s="13" t="n">
        <v>-0.004</v>
      </c>
      <c r="I2217" s="14"/>
      <c r="J2217" s="17"/>
      <c r="K2217" s="9"/>
      <c r="L2217" s="15" t="s">
        <v>50</v>
      </c>
      <c r="M2217" s="16" t="s">
        <v>51</v>
      </c>
      <c r="N2217" s="14"/>
      <c r="O2217" s="15" t="s">
        <v>52</v>
      </c>
      <c r="P2217" s="17" t="s">
        <v>53</v>
      </c>
      <c r="Q2217" s="15"/>
      <c r="R2217" s="18" t="s">
        <v>51</v>
      </c>
      <c r="S2217" s="19"/>
      <c r="T2217" s="17" t="str">
        <f aca="false">IF(R2217="維持",J2217,IF(R2217="排除","無關新聞事件",IFERROR(INDEX(事件規則!$B$2:$B$53,MATCH(S2217,事件規則!$A$2:$A$53,0)),"")))</f>
        <v>無關新聞事件</v>
      </c>
      <c r="U2217" s="20" t="n">
        <f aca="false">IF(R2217="維持",K2217,IF(R2217="排除",0,IFERROR(INDEX(事件規則!$C$2:$C$53,MATCH(S2217,事件規則!$A$2:$A$53,0)),"")))</f>
        <v>0</v>
      </c>
      <c r="V2217" s="21"/>
      <c r="W2217" s="22"/>
      <c r="X2217" s="10" t="str">
        <f aca="false">IF(AND(R2217="修改",S2217=""),"請選新事件代碼",IF(AND(R2217&lt;&gt;"修改",S2217&lt;&gt;""),"只有「修改」才需填代碼",""))</f>
        <v/>
      </c>
      <c r="Y2217" s="21"/>
      <c r="Z2217" s="22"/>
      <c r="AA2217" s="12" t="s">
        <v>5549</v>
      </c>
      <c r="AB2217" s="24"/>
    </row>
    <row r="2218" customFormat="false" ht="29.85" hidden="false" customHeight="false" outlineLevel="0" collapsed="false">
      <c r="A2218" s="15" t="n">
        <v>2217</v>
      </c>
      <c r="B2218" s="9" t="s">
        <v>45</v>
      </c>
      <c r="C2218" s="9" t="s">
        <v>355</v>
      </c>
      <c r="D2218" s="10" t="s">
        <v>356</v>
      </c>
      <c r="E2218" s="11" t="s">
        <v>5550</v>
      </c>
      <c r="F2218" s="17"/>
      <c r="G2218" s="12" t="s">
        <v>5551</v>
      </c>
      <c r="H2218" s="13" t="n">
        <v>-0.004</v>
      </c>
      <c r="I2218" s="14"/>
      <c r="J2218" s="17"/>
      <c r="K2218" s="9"/>
      <c r="L2218" s="15" t="s">
        <v>50</v>
      </c>
      <c r="M2218" s="16" t="s">
        <v>51</v>
      </c>
      <c r="N2218" s="14"/>
      <c r="O2218" s="15" t="s">
        <v>52</v>
      </c>
      <c r="P2218" s="17" t="s">
        <v>53</v>
      </c>
      <c r="Q2218" s="15"/>
      <c r="R2218" s="18" t="s">
        <v>51</v>
      </c>
      <c r="S2218" s="19"/>
      <c r="T2218" s="17" t="str">
        <f aca="false">IF(R2218="維持",J2218,IF(R2218="排除","無關新聞事件",IFERROR(INDEX(事件規則!$B$2:$B$53,MATCH(S2218,事件規則!$A$2:$A$53,0)),"")))</f>
        <v>無關新聞事件</v>
      </c>
      <c r="U2218" s="20" t="n">
        <f aca="false">IF(R2218="維持",K2218,IF(R2218="排除",0,IFERROR(INDEX(事件規則!$C$2:$C$53,MATCH(S2218,事件規則!$A$2:$A$53,0)),"")))</f>
        <v>0</v>
      </c>
      <c r="V2218" s="21"/>
      <c r="W2218" s="22"/>
      <c r="X2218" s="10" t="str">
        <f aca="false">IF(AND(R2218="修改",S2218=""),"請選新事件代碼",IF(AND(R2218&lt;&gt;"修改",S2218&lt;&gt;""),"只有「修改」才需填代碼",""))</f>
        <v/>
      </c>
      <c r="Y2218" s="21"/>
      <c r="Z2218" s="22"/>
      <c r="AA2218" s="12" t="s">
        <v>5552</v>
      </c>
      <c r="AB2218" s="24"/>
    </row>
    <row r="2219" customFormat="false" ht="29.85" hidden="false" customHeight="false" outlineLevel="0" collapsed="false">
      <c r="A2219" s="15" t="n">
        <v>2218</v>
      </c>
      <c r="B2219" s="9" t="s">
        <v>55</v>
      </c>
      <c r="C2219" s="9" t="s">
        <v>227</v>
      </c>
      <c r="D2219" s="10" t="s">
        <v>228</v>
      </c>
      <c r="E2219" s="11" t="s">
        <v>5553</v>
      </c>
      <c r="F2219" s="17"/>
      <c r="G2219" s="12" t="s">
        <v>5554</v>
      </c>
      <c r="H2219" s="13" t="n">
        <v>-0.004</v>
      </c>
      <c r="I2219" s="14"/>
      <c r="J2219" s="17"/>
      <c r="K2219" s="9"/>
      <c r="L2219" s="15" t="s">
        <v>50</v>
      </c>
      <c r="M2219" s="16" t="s">
        <v>51</v>
      </c>
      <c r="N2219" s="14"/>
      <c r="O2219" s="15" t="s">
        <v>52</v>
      </c>
      <c r="P2219" s="17" t="s">
        <v>53</v>
      </c>
      <c r="Q2219" s="15"/>
      <c r="R2219" s="18" t="s">
        <v>51</v>
      </c>
      <c r="S2219" s="19"/>
      <c r="T2219" s="17" t="str">
        <f aca="false">IF(R2219="維持",J2219,IF(R2219="排除","無關新聞事件",IFERROR(INDEX(事件規則!$B$2:$B$53,MATCH(S2219,事件規則!$A$2:$A$53,0)),"")))</f>
        <v>無關新聞事件</v>
      </c>
      <c r="U2219" s="20" t="n">
        <f aca="false">IF(R2219="維持",K2219,IF(R2219="排除",0,IFERROR(INDEX(事件規則!$C$2:$C$53,MATCH(S2219,事件規則!$A$2:$A$53,0)),"")))</f>
        <v>0</v>
      </c>
      <c r="V2219" s="21"/>
      <c r="W2219" s="22"/>
      <c r="X2219" s="10" t="str">
        <f aca="false">IF(AND(R2219="修改",S2219=""),"請選新事件代碼",IF(AND(R2219&lt;&gt;"修改",S2219&lt;&gt;""),"只有「修改」才需填代碼",""))</f>
        <v/>
      </c>
      <c r="Y2219" s="21"/>
      <c r="Z2219" s="22"/>
      <c r="AA2219" s="12" t="s">
        <v>5555</v>
      </c>
      <c r="AB2219" s="24"/>
    </row>
    <row r="2220" customFormat="false" ht="29.85" hidden="false" customHeight="false" outlineLevel="0" collapsed="false">
      <c r="A2220" s="15" t="n">
        <v>2219</v>
      </c>
      <c r="B2220" s="9" t="s">
        <v>55</v>
      </c>
      <c r="C2220" s="9" t="s">
        <v>178</v>
      </c>
      <c r="D2220" s="10" t="s">
        <v>179</v>
      </c>
      <c r="E2220" s="11" t="s">
        <v>5556</v>
      </c>
      <c r="F2220" s="17"/>
      <c r="G2220" s="12" t="s">
        <v>5557</v>
      </c>
      <c r="H2220" s="13" t="n">
        <v>-0.004</v>
      </c>
      <c r="I2220" s="14"/>
      <c r="J2220" s="17"/>
      <c r="K2220" s="9"/>
      <c r="L2220" s="15" t="s">
        <v>50</v>
      </c>
      <c r="M2220" s="16" t="s">
        <v>51</v>
      </c>
      <c r="N2220" s="14"/>
      <c r="O2220" s="15" t="s">
        <v>52</v>
      </c>
      <c r="P2220" s="17" t="s">
        <v>53</v>
      </c>
      <c r="Q2220" s="15"/>
      <c r="R2220" s="18" t="s">
        <v>51</v>
      </c>
      <c r="S2220" s="19"/>
      <c r="T2220" s="17" t="str">
        <f aca="false">IF(R2220="維持",J2220,IF(R2220="排除","無關新聞事件",IFERROR(INDEX(事件規則!$B$2:$B$53,MATCH(S2220,事件規則!$A$2:$A$53,0)),"")))</f>
        <v>無關新聞事件</v>
      </c>
      <c r="U2220" s="20" t="n">
        <f aca="false">IF(R2220="維持",K2220,IF(R2220="排除",0,IFERROR(INDEX(事件規則!$C$2:$C$53,MATCH(S2220,事件規則!$A$2:$A$53,0)),"")))</f>
        <v>0</v>
      </c>
      <c r="V2220" s="21"/>
      <c r="W2220" s="22"/>
      <c r="X2220" s="10" t="str">
        <f aca="false">IF(AND(R2220="修改",S2220=""),"請選新事件代碼",IF(AND(R2220&lt;&gt;"修改",S2220&lt;&gt;""),"只有「修改」才需填代碼",""))</f>
        <v/>
      </c>
      <c r="Y2220" s="21"/>
      <c r="Z2220" s="22"/>
      <c r="AA2220" s="12" t="s">
        <v>5558</v>
      </c>
      <c r="AB2220" s="24"/>
    </row>
    <row r="2221" customFormat="false" ht="29.85" hidden="false" customHeight="false" outlineLevel="0" collapsed="false">
      <c r="A2221" s="15" t="n">
        <v>2220</v>
      </c>
      <c r="B2221" s="9" t="s">
        <v>45</v>
      </c>
      <c r="C2221" s="9" t="s">
        <v>419</v>
      </c>
      <c r="D2221" s="10" t="s">
        <v>420</v>
      </c>
      <c r="E2221" s="11" t="s">
        <v>5559</v>
      </c>
      <c r="F2221" s="17"/>
      <c r="G2221" s="12" t="s">
        <v>422</v>
      </c>
      <c r="H2221" s="13" t="n">
        <v>-0.004</v>
      </c>
      <c r="I2221" s="14"/>
      <c r="J2221" s="17"/>
      <c r="K2221" s="9"/>
      <c r="L2221" s="15" t="s">
        <v>50</v>
      </c>
      <c r="M2221" s="16" t="s">
        <v>51</v>
      </c>
      <c r="N2221" s="14"/>
      <c r="O2221" s="15" t="s">
        <v>52</v>
      </c>
      <c r="P2221" s="17" t="s">
        <v>53</v>
      </c>
      <c r="Q2221" s="15"/>
      <c r="R2221" s="18" t="s">
        <v>51</v>
      </c>
      <c r="S2221" s="19"/>
      <c r="T2221" s="17" t="str">
        <f aca="false">IF(R2221="維持",J2221,IF(R2221="排除","無關新聞事件",IFERROR(INDEX(事件規則!$B$2:$B$53,MATCH(S2221,事件規則!$A$2:$A$53,0)),"")))</f>
        <v>無關新聞事件</v>
      </c>
      <c r="U2221" s="20" t="n">
        <f aca="false">IF(R2221="維持",K2221,IF(R2221="排除",0,IFERROR(INDEX(事件規則!$C$2:$C$53,MATCH(S2221,事件規則!$A$2:$A$53,0)),"")))</f>
        <v>0</v>
      </c>
      <c r="V2221" s="21"/>
      <c r="W2221" s="22"/>
      <c r="X2221" s="10" t="str">
        <f aca="false">IF(AND(R2221="修改",S2221=""),"請選新事件代碼",IF(AND(R2221&lt;&gt;"修改",S2221&lt;&gt;""),"只有「修改」才需填代碼",""))</f>
        <v/>
      </c>
      <c r="Y2221" s="21"/>
      <c r="Z2221" s="22"/>
      <c r="AA2221" s="12" t="s">
        <v>5560</v>
      </c>
      <c r="AB2221" s="24"/>
    </row>
    <row r="2222" customFormat="false" ht="29.85" hidden="false" customHeight="false" outlineLevel="0" collapsed="false">
      <c r="A2222" s="15" t="n">
        <v>2221</v>
      </c>
      <c r="B2222" s="9" t="s">
        <v>45</v>
      </c>
      <c r="C2222" s="9" t="s">
        <v>4200</v>
      </c>
      <c r="D2222" s="10" t="s">
        <v>4201</v>
      </c>
      <c r="E2222" s="11" t="s">
        <v>5561</v>
      </c>
      <c r="F2222" s="17"/>
      <c r="G2222" s="12" t="s">
        <v>95</v>
      </c>
      <c r="H2222" s="13" t="n">
        <v>-0.004</v>
      </c>
      <c r="I2222" s="14"/>
      <c r="J2222" s="17"/>
      <c r="K2222" s="9"/>
      <c r="L2222" s="15" t="s">
        <v>50</v>
      </c>
      <c r="M2222" s="16" t="s">
        <v>51</v>
      </c>
      <c r="N2222" s="14"/>
      <c r="O2222" s="15" t="s">
        <v>52</v>
      </c>
      <c r="P2222" s="17" t="s">
        <v>53</v>
      </c>
      <c r="Q2222" s="15"/>
      <c r="R2222" s="18" t="s">
        <v>51</v>
      </c>
      <c r="S2222" s="19"/>
      <c r="T2222" s="17" t="str">
        <f aca="false">IF(R2222="維持",J2222,IF(R2222="排除","無關新聞事件",IFERROR(INDEX(事件規則!$B$2:$B$53,MATCH(S2222,事件規則!$A$2:$A$53,0)),"")))</f>
        <v>無關新聞事件</v>
      </c>
      <c r="U2222" s="20" t="n">
        <f aca="false">IF(R2222="維持",K2222,IF(R2222="排除",0,IFERROR(INDEX(事件規則!$C$2:$C$53,MATCH(S2222,事件規則!$A$2:$A$53,0)),"")))</f>
        <v>0</v>
      </c>
      <c r="V2222" s="21"/>
      <c r="W2222" s="22"/>
      <c r="X2222" s="10" t="str">
        <f aca="false">IF(AND(R2222="修改",S2222=""),"請選新事件代碼",IF(AND(R2222&lt;&gt;"修改",S2222&lt;&gt;""),"只有「修改」才需填代碼",""))</f>
        <v/>
      </c>
      <c r="Y2222" s="21"/>
      <c r="Z2222" s="22"/>
      <c r="AA2222" s="12" t="s">
        <v>5562</v>
      </c>
      <c r="AB2222" s="24"/>
    </row>
    <row r="2223" customFormat="false" ht="29.85" hidden="false" customHeight="false" outlineLevel="0" collapsed="false">
      <c r="A2223" s="15" t="n">
        <v>2222</v>
      </c>
      <c r="B2223" s="9" t="s">
        <v>112</v>
      </c>
      <c r="C2223" s="9" t="s">
        <v>672</v>
      </c>
      <c r="D2223" s="10" t="s">
        <v>673</v>
      </c>
      <c r="E2223" s="11" t="s">
        <v>5563</v>
      </c>
      <c r="F2223" s="17"/>
      <c r="G2223" s="12" t="s">
        <v>95</v>
      </c>
      <c r="H2223" s="13" t="n">
        <v>-0.004</v>
      </c>
      <c r="I2223" s="14"/>
      <c r="J2223" s="17"/>
      <c r="K2223" s="9"/>
      <c r="L2223" s="15" t="s">
        <v>50</v>
      </c>
      <c r="M2223" s="16" t="s">
        <v>51</v>
      </c>
      <c r="N2223" s="14"/>
      <c r="O2223" s="15" t="s">
        <v>52</v>
      </c>
      <c r="P2223" s="17" t="s">
        <v>53</v>
      </c>
      <c r="Q2223" s="15"/>
      <c r="R2223" s="18" t="s">
        <v>51</v>
      </c>
      <c r="S2223" s="19"/>
      <c r="T2223" s="17" t="str">
        <f aca="false">IF(R2223="維持",J2223,IF(R2223="排除","無關新聞事件",IFERROR(INDEX(事件規則!$B$2:$B$53,MATCH(S2223,事件規則!$A$2:$A$53,0)),"")))</f>
        <v>無關新聞事件</v>
      </c>
      <c r="U2223" s="20" t="n">
        <f aca="false">IF(R2223="維持",K2223,IF(R2223="排除",0,IFERROR(INDEX(事件規則!$C$2:$C$53,MATCH(S2223,事件規則!$A$2:$A$53,0)),"")))</f>
        <v>0</v>
      </c>
      <c r="V2223" s="21"/>
      <c r="W2223" s="22"/>
      <c r="X2223" s="10" t="str">
        <f aca="false">IF(AND(R2223="修改",S2223=""),"請選新事件代碼",IF(AND(R2223&lt;&gt;"修改",S2223&lt;&gt;""),"只有「修改」才需填代碼",""))</f>
        <v/>
      </c>
      <c r="Y2223" s="21"/>
      <c r="Z2223" s="22"/>
      <c r="AA2223" s="12" t="s">
        <v>5564</v>
      </c>
      <c r="AB2223" s="24"/>
    </row>
    <row r="2224" customFormat="false" ht="29.85" hidden="false" customHeight="false" outlineLevel="0" collapsed="false">
      <c r="A2224" s="15" t="n">
        <v>2223</v>
      </c>
      <c r="B2224" s="9" t="s">
        <v>112</v>
      </c>
      <c r="C2224" s="9" t="s">
        <v>885</v>
      </c>
      <c r="D2224" s="10" t="s">
        <v>886</v>
      </c>
      <c r="E2224" s="11" t="s">
        <v>5565</v>
      </c>
      <c r="F2224" s="17"/>
      <c r="G2224" s="12" t="s">
        <v>949</v>
      </c>
      <c r="H2224" s="13" t="n">
        <v>-0.004</v>
      </c>
      <c r="I2224" s="14"/>
      <c r="J2224" s="17"/>
      <c r="K2224" s="9"/>
      <c r="L2224" s="15" t="s">
        <v>50</v>
      </c>
      <c r="M2224" s="16" t="s">
        <v>51</v>
      </c>
      <c r="N2224" s="14"/>
      <c r="O2224" s="15" t="s">
        <v>52</v>
      </c>
      <c r="P2224" s="17" t="s">
        <v>53</v>
      </c>
      <c r="Q2224" s="15"/>
      <c r="R2224" s="18" t="s">
        <v>51</v>
      </c>
      <c r="S2224" s="19"/>
      <c r="T2224" s="17" t="str">
        <f aca="false">IF(R2224="維持",J2224,IF(R2224="排除","無關新聞事件",IFERROR(INDEX(事件規則!$B$2:$B$53,MATCH(S2224,事件規則!$A$2:$A$53,0)),"")))</f>
        <v>無關新聞事件</v>
      </c>
      <c r="U2224" s="20" t="n">
        <f aca="false">IF(R2224="維持",K2224,IF(R2224="排除",0,IFERROR(INDEX(事件規則!$C$2:$C$53,MATCH(S2224,事件規則!$A$2:$A$53,0)),"")))</f>
        <v>0</v>
      </c>
      <c r="V2224" s="21"/>
      <c r="W2224" s="22"/>
      <c r="X2224" s="10" t="str">
        <f aca="false">IF(AND(R2224="修改",S2224=""),"請選新事件代碼",IF(AND(R2224&lt;&gt;"修改",S2224&lt;&gt;""),"只有「修改」才需填代碼",""))</f>
        <v/>
      </c>
      <c r="Y2224" s="21"/>
      <c r="Z2224" s="22"/>
      <c r="AA2224" s="12" t="s">
        <v>5566</v>
      </c>
      <c r="AB2224" s="24"/>
    </row>
    <row r="2225" customFormat="false" ht="29.85" hidden="false" customHeight="false" outlineLevel="0" collapsed="false">
      <c r="A2225" s="15" t="n">
        <v>2224</v>
      </c>
      <c r="B2225" s="9" t="s">
        <v>55</v>
      </c>
      <c r="C2225" s="9" t="s">
        <v>355</v>
      </c>
      <c r="D2225" s="10" t="s">
        <v>356</v>
      </c>
      <c r="E2225" s="11" t="s">
        <v>5567</v>
      </c>
      <c r="F2225" s="17"/>
      <c r="G2225" s="12" t="s">
        <v>5568</v>
      </c>
      <c r="H2225" s="13" t="n">
        <v>-0.004</v>
      </c>
      <c r="I2225" s="14"/>
      <c r="J2225" s="17"/>
      <c r="K2225" s="9"/>
      <c r="L2225" s="15" t="s">
        <v>50</v>
      </c>
      <c r="M2225" s="16" t="s">
        <v>51</v>
      </c>
      <c r="N2225" s="14"/>
      <c r="O2225" s="15" t="s">
        <v>52</v>
      </c>
      <c r="P2225" s="17" t="s">
        <v>53</v>
      </c>
      <c r="Q2225" s="15"/>
      <c r="R2225" s="18" t="s">
        <v>51</v>
      </c>
      <c r="S2225" s="19"/>
      <c r="T2225" s="17" t="str">
        <f aca="false">IF(R2225="維持",J2225,IF(R2225="排除","無關新聞事件",IFERROR(INDEX(事件規則!$B$2:$B$53,MATCH(S2225,事件規則!$A$2:$A$53,0)),"")))</f>
        <v>無關新聞事件</v>
      </c>
      <c r="U2225" s="20" t="n">
        <f aca="false">IF(R2225="維持",K2225,IF(R2225="排除",0,IFERROR(INDEX(事件規則!$C$2:$C$53,MATCH(S2225,事件規則!$A$2:$A$53,0)),"")))</f>
        <v>0</v>
      </c>
      <c r="V2225" s="21"/>
      <c r="W2225" s="22"/>
      <c r="X2225" s="10" t="str">
        <f aca="false">IF(AND(R2225="修改",S2225=""),"請選新事件代碼",IF(AND(R2225&lt;&gt;"修改",S2225&lt;&gt;""),"只有「修改」才需填代碼",""))</f>
        <v/>
      </c>
      <c r="Y2225" s="21"/>
      <c r="Z2225" s="22"/>
      <c r="AA2225" s="12" t="s">
        <v>5569</v>
      </c>
      <c r="AB2225" s="24"/>
    </row>
    <row r="2226" customFormat="false" ht="29.85" hidden="false" customHeight="false" outlineLevel="0" collapsed="false">
      <c r="A2226" s="15" t="n">
        <v>2225</v>
      </c>
      <c r="B2226" s="9" t="s">
        <v>55</v>
      </c>
      <c r="C2226" s="9" t="s">
        <v>5432</v>
      </c>
      <c r="D2226" s="10" t="s">
        <v>5433</v>
      </c>
      <c r="E2226" s="11" t="s">
        <v>5570</v>
      </c>
      <c r="F2226" s="17"/>
      <c r="G2226" s="12" t="s">
        <v>5571</v>
      </c>
      <c r="H2226" s="13" t="n">
        <v>-0.004</v>
      </c>
      <c r="I2226" s="14"/>
      <c r="J2226" s="17"/>
      <c r="K2226" s="9"/>
      <c r="L2226" s="15" t="s">
        <v>50</v>
      </c>
      <c r="M2226" s="16" t="s">
        <v>51</v>
      </c>
      <c r="N2226" s="14"/>
      <c r="O2226" s="15" t="s">
        <v>52</v>
      </c>
      <c r="P2226" s="17" t="s">
        <v>53</v>
      </c>
      <c r="Q2226" s="15"/>
      <c r="R2226" s="18" t="s">
        <v>51</v>
      </c>
      <c r="S2226" s="19"/>
      <c r="T2226" s="17" t="str">
        <f aca="false">IF(R2226="維持",J2226,IF(R2226="排除","無關新聞事件",IFERROR(INDEX(事件規則!$B$2:$B$53,MATCH(S2226,事件規則!$A$2:$A$53,0)),"")))</f>
        <v>無關新聞事件</v>
      </c>
      <c r="U2226" s="20" t="n">
        <f aca="false">IF(R2226="維持",K2226,IF(R2226="排除",0,IFERROR(INDEX(事件規則!$C$2:$C$53,MATCH(S2226,事件規則!$A$2:$A$53,0)),"")))</f>
        <v>0</v>
      </c>
      <c r="V2226" s="21"/>
      <c r="W2226" s="22"/>
      <c r="X2226" s="10" t="str">
        <f aca="false">IF(AND(R2226="修改",S2226=""),"請選新事件代碼",IF(AND(R2226&lt;&gt;"修改",S2226&lt;&gt;""),"只有「修改」才需填代碼",""))</f>
        <v/>
      </c>
      <c r="Y2226" s="21"/>
      <c r="Z2226" s="22"/>
      <c r="AA2226" s="12" t="s">
        <v>5572</v>
      </c>
      <c r="AB2226" s="24"/>
    </row>
    <row r="2227" customFormat="false" ht="29.85" hidden="false" customHeight="false" outlineLevel="0" collapsed="false">
      <c r="A2227" s="15" t="n">
        <v>2226</v>
      </c>
      <c r="B2227" s="9" t="s">
        <v>55</v>
      </c>
      <c r="C2227" s="9" t="s">
        <v>113</v>
      </c>
      <c r="D2227" s="10" t="s">
        <v>114</v>
      </c>
      <c r="E2227" s="11" t="s">
        <v>5573</v>
      </c>
      <c r="F2227" s="17"/>
      <c r="G2227" s="12" t="s">
        <v>949</v>
      </c>
      <c r="H2227" s="13" t="n">
        <v>-0.004</v>
      </c>
      <c r="I2227" s="14"/>
      <c r="J2227" s="17"/>
      <c r="K2227" s="9"/>
      <c r="L2227" s="15" t="s">
        <v>50</v>
      </c>
      <c r="M2227" s="16" t="s">
        <v>51</v>
      </c>
      <c r="N2227" s="14"/>
      <c r="O2227" s="15" t="s">
        <v>52</v>
      </c>
      <c r="P2227" s="17" t="s">
        <v>53</v>
      </c>
      <c r="Q2227" s="15"/>
      <c r="R2227" s="18" t="s">
        <v>51</v>
      </c>
      <c r="S2227" s="19"/>
      <c r="T2227" s="17" t="str">
        <f aca="false">IF(R2227="維持",J2227,IF(R2227="排除","無關新聞事件",IFERROR(INDEX(事件規則!$B$2:$B$53,MATCH(S2227,事件規則!$A$2:$A$53,0)),"")))</f>
        <v>無關新聞事件</v>
      </c>
      <c r="U2227" s="20" t="n">
        <f aca="false">IF(R2227="維持",K2227,IF(R2227="排除",0,IFERROR(INDEX(事件規則!$C$2:$C$53,MATCH(S2227,事件規則!$A$2:$A$53,0)),"")))</f>
        <v>0</v>
      </c>
      <c r="V2227" s="21"/>
      <c r="W2227" s="22"/>
      <c r="X2227" s="10" t="str">
        <f aca="false">IF(AND(R2227="修改",S2227=""),"請選新事件代碼",IF(AND(R2227&lt;&gt;"修改",S2227&lt;&gt;""),"只有「修改」才需填代碼",""))</f>
        <v/>
      </c>
      <c r="Y2227" s="21"/>
      <c r="Z2227" s="22"/>
      <c r="AA2227" s="12" t="s">
        <v>5574</v>
      </c>
      <c r="AB2227" s="24"/>
    </row>
    <row r="2228" customFormat="false" ht="29.85" hidden="false" customHeight="false" outlineLevel="0" collapsed="false">
      <c r="A2228" s="15" t="n">
        <v>2227</v>
      </c>
      <c r="B2228" s="9" t="s">
        <v>55</v>
      </c>
      <c r="C2228" s="9" t="s">
        <v>1017</v>
      </c>
      <c r="D2228" s="10" t="s">
        <v>1018</v>
      </c>
      <c r="E2228" s="11" t="s">
        <v>5575</v>
      </c>
      <c r="F2228" s="17"/>
      <c r="G2228" s="12" t="s">
        <v>1136</v>
      </c>
      <c r="H2228" s="13" t="n">
        <v>-0.004</v>
      </c>
      <c r="I2228" s="14"/>
      <c r="J2228" s="17"/>
      <c r="K2228" s="9"/>
      <c r="L2228" s="15" t="s">
        <v>50</v>
      </c>
      <c r="M2228" s="16" t="s">
        <v>51</v>
      </c>
      <c r="N2228" s="14"/>
      <c r="O2228" s="15" t="s">
        <v>52</v>
      </c>
      <c r="P2228" s="17" t="s">
        <v>53</v>
      </c>
      <c r="Q2228" s="15"/>
      <c r="R2228" s="18" t="s">
        <v>51</v>
      </c>
      <c r="S2228" s="19"/>
      <c r="T2228" s="17" t="str">
        <f aca="false">IF(R2228="維持",J2228,IF(R2228="排除","無關新聞事件",IFERROR(INDEX(事件規則!$B$2:$B$53,MATCH(S2228,事件規則!$A$2:$A$53,0)),"")))</f>
        <v>無關新聞事件</v>
      </c>
      <c r="U2228" s="20" t="n">
        <f aca="false">IF(R2228="維持",K2228,IF(R2228="排除",0,IFERROR(INDEX(事件規則!$C$2:$C$53,MATCH(S2228,事件規則!$A$2:$A$53,0)),"")))</f>
        <v>0</v>
      </c>
      <c r="V2228" s="21"/>
      <c r="W2228" s="22"/>
      <c r="X2228" s="10" t="str">
        <f aca="false">IF(AND(R2228="修改",S2228=""),"請選新事件代碼",IF(AND(R2228&lt;&gt;"修改",S2228&lt;&gt;""),"只有「修改」才需填代碼",""))</f>
        <v/>
      </c>
      <c r="Y2228" s="21"/>
      <c r="Z2228" s="22"/>
      <c r="AA2228" s="12" t="s">
        <v>5576</v>
      </c>
      <c r="AB2228" s="24"/>
    </row>
    <row r="2229" customFormat="false" ht="29.85" hidden="false" customHeight="false" outlineLevel="0" collapsed="false">
      <c r="A2229" s="15" t="n">
        <v>2228</v>
      </c>
      <c r="B2229" s="9" t="s">
        <v>81</v>
      </c>
      <c r="C2229" s="9" t="s">
        <v>1231</v>
      </c>
      <c r="D2229" s="10" t="s">
        <v>1232</v>
      </c>
      <c r="E2229" s="11" t="s">
        <v>5577</v>
      </c>
      <c r="F2229" s="17"/>
      <c r="G2229" s="12" t="s">
        <v>5578</v>
      </c>
      <c r="H2229" s="13" t="n">
        <v>-0.004</v>
      </c>
      <c r="I2229" s="14"/>
      <c r="J2229" s="17"/>
      <c r="K2229" s="9"/>
      <c r="L2229" s="15" t="s">
        <v>50</v>
      </c>
      <c r="M2229" s="16" t="s">
        <v>51</v>
      </c>
      <c r="N2229" s="14"/>
      <c r="O2229" s="15" t="s">
        <v>52</v>
      </c>
      <c r="P2229" s="17" t="s">
        <v>53</v>
      </c>
      <c r="Q2229" s="15"/>
      <c r="R2229" s="18" t="s">
        <v>51</v>
      </c>
      <c r="S2229" s="19"/>
      <c r="T2229" s="17" t="str">
        <f aca="false">IF(R2229="維持",J2229,IF(R2229="排除","無關新聞事件",IFERROR(INDEX(事件規則!$B$2:$B$53,MATCH(S2229,事件規則!$A$2:$A$53,0)),"")))</f>
        <v>無關新聞事件</v>
      </c>
      <c r="U2229" s="20" t="n">
        <f aca="false">IF(R2229="維持",K2229,IF(R2229="排除",0,IFERROR(INDEX(事件規則!$C$2:$C$53,MATCH(S2229,事件規則!$A$2:$A$53,0)),"")))</f>
        <v>0</v>
      </c>
      <c r="V2229" s="21"/>
      <c r="W2229" s="22"/>
      <c r="X2229" s="10" t="str">
        <f aca="false">IF(AND(R2229="修改",S2229=""),"請選新事件代碼",IF(AND(R2229&lt;&gt;"修改",S2229&lt;&gt;""),"只有「修改」才需填代碼",""))</f>
        <v/>
      </c>
      <c r="Y2229" s="21"/>
      <c r="Z2229" s="22"/>
      <c r="AA2229" s="12" t="s">
        <v>5579</v>
      </c>
      <c r="AB2229" s="24"/>
    </row>
    <row r="2230" customFormat="false" ht="29.85" hidden="false" customHeight="false" outlineLevel="0" collapsed="false">
      <c r="A2230" s="15" t="n">
        <v>2229</v>
      </c>
      <c r="B2230" s="9" t="s">
        <v>45</v>
      </c>
      <c r="C2230" s="9" t="s">
        <v>4620</v>
      </c>
      <c r="D2230" s="10" t="s">
        <v>4621</v>
      </c>
      <c r="E2230" s="11" t="s">
        <v>5580</v>
      </c>
      <c r="F2230" s="17"/>
      <c r="G2230" s="12" t="s">
        <v>5581</v>
      </c>
      <c r="H2230" s="13" t="n">
        <v>-0.004</v>
      </c>
      <c r="I2230" s="14"/>
      <c r="J2230" s="17"/>
      <c r="K2230" s="9"/>
      <c r="L2230" s="15" t="s">
        <v>50</v>
      </c>
      <c r="M2230" s="16" t="s">
        <v>51</v>
      </c>
      <c r="N2230" s="14"/>
      <c r="O2230" s="15" t="s">
        <v>52</v>
      </c>
      <c r="P2230" s="17" t="s">
        <v>53</v>
      </c>
      <c r="Q2230" s="15"/>
      <c r="R2230" s="18" t="s">
        <v>51</v>
      </c>
      <c r="S2230" s="19"/>
      <c r="T2230" s="17" t="str">
        <f aca="false">IF(R2230="維持",J2230,IF(R2230="排除","無關新聞事件",IFERROR(INDEX(事件規則!$B$2:$B$53,MATCH(S2230,事件規則!$A$2:$A$53,0)),"")))</f>
        <v>無關新聞事件</v>
      </c>
      <c r="U2230" s="20" t="n">
        <f aca="false">IF(R2230="維持",K2230,IF(R2230="排除",0,IFERROR(INDEX(事件規則!$C$2:$C$53,MATCH(S2230,事件規則!$A$2:$A$53,0)),"")))</f>
        <v>0</v>
      </c>
      <c r="V2230" s="21"/>
      <c r="W2230" s="22"/>
      <c r="X2230" s="10" t="str">
        <f aca="false">IF(AND(R2230="修改",S2230=""),"請選新事件代碼",IF(AND(R2230&lt;&gt;"修改",S2230&lt;&gt;""),"只有「修改」才需填代碼",""))</f>
        <v/>
      </c>
      <c r="Y2230" s="21"/>
      <c r="Z2230" s="22"/>
      <c r="AA2230" s="12" t="s">
        <v>5582</v>
      </c>
      <c r="AB2230" s="24"/>
    </row>
    <row r="2231" customFormat="false" ht="29.85" hidden="false" customHeight="false" outlineLevel="0" collapsed="false">
      <c r="A2231" s="15" t="n">
        <v>2230</v>
      </c>
      <c r="B2231" s="9" t="s">
        <v>45</v>
      </c>
      <c r="C2231" s="9" t="s">
        <v>85</v>
      </c>
      <c r="D2231" s="10" t="s">
        <v>86</v>
      </c>
      <c r="E2231" s="11" t="s">
        <v>5583</v>
      </c>
      <c r="F2231" s="17"/>
      <c r="G2231" s="12" t="s">
        <v>1136</v>
      </c>
      <c r="H2231" s="13" t="n">
        <v>-0.004</v>
      </c>
      <c r="I2231" s="14"/>
      <c r="J2231" s="17"/>
      <c r="K2231" s="9"/>
      <c r="L2231" s="15" t="s">
        <v>50</v>
      </c>
      <c r="M2231" s="16" t="s">
        <v>51</v>
      </c>
      <c r="N2231" s="14"/>
      <c r="O2231" s="15" t="s">
        <v>52</v>
      </c>
      <c r="P2231" s="17" t="s">
        <v>53</v>
      </c>
      <c r="Q2231" s="15"/>
      <c r="R2231" s="18" t="s">
        <v>51</v>
      </c>
      <c r="S2231" s="19"/>
      <c r="T2231" s="17" t="str">
        <f aca="false">IF(R2231="維持",J2231,IF(R2231="排除","無關新聞事件",IFERROR(INDEX(事件規則!$B$2:$B$53,MATCH(S2231,事件規則!$A$2:$A$53,0)),"")))</f>
        <v>無關新聞事件</v>
      </c>
      <c r="U2231" s="20" t="n">
        <f aca="false">IF(R2231="維持",K2231,IF(R2231="排除",0,IFERROR(INDEX(事件規則!$C$2:$C$53,MATCH(S2231,事件規則!$A$2:$A$53,0)),"")))</f>
        <v>0</v>
      </c>
      <c r="V2231" s="21"/>
      <c r="W2231" s="22"/>
      <c r="X2231" s="10" t="str">
        <f aca="false">IF(AND(R2231="修改",S2231=""),"請選新事件代碼",IF(AND(R2231&lt;&gt;"修改",S2231&lt;&gt;""),"只有「修改」才需填代碼",""))</f>
        <v/>
      </c>
      <c r="Y2231" s="21"/>
      <c r="Z2231" s="22"/>
      <c r="AA2231" s="12" t="s">
        <v>5584</v>
      </c>
      <c r="AB2231" s="24"/>
    </row>
    <row r="2232" customFormat="false" ht="29.85" hidden="false" customHeight="false" outlineLevel="0" collapsed="false">
      <c r="A2232" s="15" t="n">
        <v>2231</v>
      </c>
      <c r="B2232" s="9" t="s">
        <v>55</v>
      </c>
      <c r="C2232" s="9" t="s">
        <v>355</v>
      </c>
      <c r="D2232" s="10" t="s">
        <v>356</v>
      </c>
      <c r="E2232" s="11" t="s">
        <v>5585</v>
      </c>
      <c r="F2232" s="17"/>
      <c r="G2232" s="12" t="s">
        <v>3304</v>
      </c>
      <c r="H2232" s="13" t="n">
        <v>-0.004</v>
      </c>
      <c r="I2232" s="14"/>
      <c r="J2232" s="17"/>
      <c r="K2232" s="9"/>
      <c r="L2232" s="15" t="s">
        <v>50</v>
      </c>
      <c r="M2232" s="16" t="s">
        <v>51</v>
      </c>
      <c r="N2232" s="14"/>
      <c r="O2232" s="15" t="s">
        <v>52</v>
      </c>
      <c r="P2232" s="17" t="s">
        <v>53</v>
      </c>
      <c r="Q2232" s="15"/>
      <c r="R2232" s="18" t="s">
        <v>51</v>
      </c>
      <c r="S2232" s="19"/>
      <c r="T2232" s="17" t="str">
        <f aca="false">IF(R2232="維持",J2232,IF(R2232="排除","無關新聞事件",IFERROR(INDEX(事件規則!$B$2:$B$53,MATCH(S2232,事件規則!$A$2:$A$53,0)),"")))</f>
        <v>無關新聞事件</v>
      </c>
      <c r="U2232" s="20" t="n">
        <f aca="false">IF(R2232="維持",K2232,IF(R2232="排除",0,IFERROR(INDEX(事件規則!$C$2:$C$53,MATCH(S2232,事件規則!$A$2:$A$53,0)),"")))</f>
        <v>0</v>
      </c>
      <c r="V2232" s="21"/>
      <c r="W2232" s="22"/>
      <c r="X2232" s="10" t="str">
        <f aca="false">IF(AND(R2232="修改",S2232=""),"請選新事件代碼",IF(AND(R2232&lt;&gt;"修改",S2232&lt;&gt;""),"只有「修改」才需填代碼",""))</f>
        <v/>
      </c>
      <c r="Y2232" s="21"/>
      <c r="Z2232" s="22"/>
      <c r="AA2232" s="12" t="s">
        <v>5586</v>
      </c>
      <c r="AB2232" s="24"/>
    </row>
    <row r="2233" customFormat="false" ht="29.85" hidden="false" customHeight="false" outlineLevel="0" collapsed="false">
      <c r="A2233" s="15" t="n">
        <v>2232</v>
      </c>
      <c r="B2233" s="9" t="s">
        <v>55</v>
      </c>
      <c r="C2233" s="9" t="s">
        <v>299</v>
      </c>
      <c r="D2233" s="10" t="s">
        <v>300</v>
      </c>
      <c r="E2233" s="11" t="s">
        <v>5587</v>
      </c>
      <c r="F2233" s="17"/>
      <c r="G2233" s="12" t="s">
        <v>4679</v>
      </c>
      <c r="H2233" s="13" t="n">
        <v>-0.004</v>
      </c>
      <c r="I2233" s="14"/>
      <c r="J2233" s="17"/>
      <c r="K2233" s="9"/>
      <c r="L2233" s="15" t="s">
        <v>50</v>
      </c>
      <c r="M2233" s="16" t="s">
        <v>51</v>
      </c>
      <c r="N2233" s="14"/>
      <c r="O2233" s="15" t="s">
        <v>52</v>
      </c>
      <c r="P2233" s="17" t="s">
        <v>53</v>
      </c>
      <c r="Q2233" s="15"/>
      <c r="R2233" s="18" t="s">
        <v>51</v>
      </c>
      <c r="S2233" s="19"/>
      <c r="T2233" s="17" t="str">
        <f aca="false">IF(R2233="維持",J2233,IF(R2233="排除","無關新聞事件",IFERROR(INDEX(事件規則!$B$2:$B$53,MATCH(S2233,事件規則!$A$2:$A$53,0)),"")))</f>
        <v>無關新聞事件</v>
      </c>
      <c r="U2233" s="20" t="n">
        <f aca="false">IF(R2233="維持",K2233,IF(R2233="排除",0,IFERROR(INDEX(事件規則!$C$2:$C$53,MATCH(S2233,事件規則!$A$2:$A$53,0)),"")))</f>
        <v>0</v>
      </c>
      <c r="V2233" s="21"/>
      <c r="W2233" s="22"/>
      <c r="X2233" s="10" t="str">
        <f aca="false">IF(AND(R2233="修改",S2233=""),"請選新事件代碼",IF(AND(R2233&lt;&gt;"修改",S2233&lt;&gt;""),"只有「修改」才需填代碼",""))</f>
        <v/>
      </c>
      <c r="Y2233" s="21"/>
      <c r="Z2233" s="22"/>
      <c r="AA2233" s="12" t="s">
        <v>5588</v>
      </c>
      <c r="AB2233" s="24"/>
    </row>
    <row r="2234" customFormat="false" ht="29.85" hidden="false" customHeight="false" outlineLevel="0" collapsed="false">
      <c r="A2234" s="15" t="n">
        <v>2233</v>
      </c>
      <c r="B2234" s="9" t="s">
        <v>55</v>
      </c>
      <c r="C2234" s="9" t="s">
        <v>166</v>
      </c>
      <c r="D2234" s="10" t="s">
        <v>167</v>
      </c>
      <c r="E2234" s="11" t="s">
        <v>5589</v>
      </c>
      <c r="F2234" s="17"/>
      <c r="G2234" s="12" t="s">
        <v>95</v>
      </c>
      <c r="H2234" s="13" t="n">
        <v>-0.004</v>
      </c>
      <c r="I2234" s="14"/>
      <c r="J2234" s="17"/>
      <c r="K2234" s="9"/>
      <c r="L2234" s="15" t="s">
        <v>50</v>
      </c>
      <c r="M2234" s="16" t="s">
        <v>51</v>
      </c>
      <c r="N2234" s="14"/>
      <c r="O2234" s="15" t="s">
        <v>52</v>
      </c>
      <c r="P2234" s="17" t="s">
        <v>53</v>
      </c>
      <c r="Q2234" s="15"/>
      <c r="R2234" s="18" t="s">
        <v>51</v>
      </c>
      <c r="S2234" s="19"/>
      <c r="T2234" s="17" t="str">
        <f aca="false">IF(R2234="維持",J2234,IF(R2234="排除","無關新聞事件",IFERROR(INDEX(事件規則!$B$2:$B$53,MATCH(S2234,事件規則!$A$2:$A$53,0)),"")))</f>
        <v>無關新聞事件</v>
      </c>
      <c r="U2234" s="20" t="n">
        <f aca="false">IF(R2234="維持",K2234,IF(R2234="排除",0,IFERROR(INDEX(事件規則!$C$2:$C$53,MATCH(S2234,事件規則!$A$2:$A$53,0)),"")))</f>
        <v>0</v>
      </c>
      <c r="V2234" s="21"/>
      <c r="W2234" s="22"/>
      <c r="X2234" s="10" t="str">
        <f aca="false">IF(AND(R2234="修改",S2234=""),"請選新事件代碼",IF(AND(R2234&lt;&gt;"修改",S2234&lt;&gt;""),"只有「修改」才需填代碼",""))</f>
        <v/>
      </c>
      <c r="Y2234" s="21"/>
      <c r="Z2234" s="22"/>
      <c r="AA2234" s="12" t="s">
        <v>5590</v>
      </c>
      <c r="AB2234" s="24"/>
    </row>
    <row r="2235" customFormat="false" ht="29.85" hidden="false" customHeight="false" outlineLevel="0" collapsed="false">
      <c r="A2235" s="15" t="n">
        <v>2234</v>
      </c>
      <c r="B2235" s="9" t="s">
        <v>55</v>
      </c>
      <c r="C2235" s="9" t="s">
        <v>355</v>
      </c>
      <c r="D2235" s="10" t="s">
        <v>356</v>
      </c>
      <c r="E2235" s="11" t="s">
        <v>5591</v>
      </c>
      <c r="F2235" s="17"/>
      <c r="G2235" s="12" t="s">
        <v>3304</v>
      </c>
      <c r="H2235" s="13" t="n">
        <v>-0.004</v>
      </c>
      <c r="I2235" s="14"/>
      <c r="J2235" s="17"/>
      <c r="K2235" s="9"/>
      <c r="L2235" s="15" t="s">
        <v>50</v>
      </c>
      <c r="M2235" s="16" t="s">
        <v>51</v>
      </c>
      <c r="N2235" s="14"/>
      <c r="O2235" s="15" t="s">
        <v>52</v>
      </c>
      <c r="P2235" s="17" t="s">
        <v>53</v>
      </c>
      <c r="Q2235" s="15"/>
      <c r="R2235" s="18" t="s">
        <v>51</v>
      </c>
      <c r="S2235" s="19"/>
      <c r="T2235" s="17" t="str">
        <f aca="false">IF(R2235="維持",J2235,IF(R2235="排除","無關新聞事件",IFERROR(INDEX(事件規則!$B$2:$B$53,MATCH(S2235,事件規則!$A$2:$A$53,0)),"")))</f>
        <v>無關新聞事件</v>
      </c>
      <c r="U2235" s="20" t="n">
        <f aca="false">IF(R2235="維持",K2235,IF(R2235="排除",0,IFERROR(INDEX(事件規則!$C$2:$C$53,MATCH(S2235,事件規則!$A$2:$A$53,0)),"")))</f>
        <v>0</v>
      </c>
      <c r="V2235" s="21"/>
      <c r="W2235" s="22"/>
      <c r="X2235" s="10" t="str">
        <f aca="false">IF(AND(R2235="修改",S2235=""),"請選新事件代碼",IF(AND(R2235&lt;&gt;"修改",S2235&lt;&gt;""),"只有「修改」才需填代碼",""))</f>
        <v/>
      </c>
      <c r="Y2235" s="21"/>
      <c r="Z2235" s="22"/>
      <c r="AA2235" s="12" t="s">
        <v>5592</v>
      </c>
      <c r="AB2235" s="24"/>
    </row>
    <row r="2236" customFormat="false" ht="29.85" hidden="false" customHeight="false" outlineLevel="0" collapsed="false">
      <c r="A2236" s="15" t="n">
        <v>2235</v>
      </c>
      <c r="B2236" s="9" t="s">
        <v>112</v>
      </c>
      <c r="C2236" s="9" t="s">
        <v>663</v>
      </c>
      <c r="D2236" s="10" t="s">
        <v>664</v>
      </c>
      <c r="E2236" s="11" t="s">
        <v>5593</v>
      </c>
      <c r="F2236" s="17"/>
      <c r="G2236" s="12" t="s">
        <v>176</v>
      </c>
      <c r="H2236" s="13" t="n">
        <v>-0.003</v>
      </c>
      <c r="I2236" s="14"/>
      <c r="J2236" s="17"/>
      <c r="K2236" s="9"/>
      <c r="L2236" s="15" t="s">
        <v>50</v>
      </c>
      <c r="M2236" s="16" t="s">
        <v>51</v>
      </c>
      <c r="N2236" s="14"/>
      <c r="O2236" s="15" t="s">
        <v>52</v>
      </c>
      <c r="P2236" s="17" t="s">
        <v>53</v>
      </c>
      <c r="Q2236" s="15"/>
      <c r="R2236" s="18" t="s">
        <v>51</v>
      </c>
      <c r="S2236" s="19"/>
      <c r="T2236" s="17" t="str">
        <f aca="false">IF(R2236="維持",J2236,IF(R2236="排除","無關新聞事件",IFERROR(INDEX(事件規則!$B$2:$B$53,MATCH(S2236,事件規則!$A$2:$A$53,0)),"")))</f>
        <v>無關新聞事件</v>
      </c>
      <c r="U2236" s="20" t="n">
        <f aca="false">IF(R2236="維持",K2236,IF(R2236="排除",0,IFERROR(INDEX(事件規則!$C$2:$C$53,MATCH(S2236,事件規則!$A$2:$A$53,0)),"")))</f>
        <v>0</v>
      </c>
      <c r="V2236" s="21"/>
      <c r="W2236" s="22"/>
      <c r="X2236" s="10" t="str">
        <f aca="false">IF(AND(R2236="修改",S2236=""),"請選新事件代碼",IF(AND(R2236&lt;&gt;"修改",S2236&lt;&gt;""),"只有「修改」才需填代碼",""))</f>
        <v/>
      </c>
      <c r="Y2236" s="21"/>
      <c r="Z2236" s="22"/>
      <c r="AA2236" s="12" t="s">
        <v>5594</v>
      </c>
      <c r="AB2236" s="24"/>
    </row>
    <row r="2237" customFormat="false" ht="29.85" hidden="false" customHeight="false" outlineLevel="0" collapsed="false">
      <c r="A2237" s="15" t="n">
        <v>2236</v>
      </c>
      <c r="B2237" s="9" t="s">
        <v>112</v>
      </c>
      <c r="C2237" s="9" t="s">
        <v>2283</v>
      </c>
      <c r="D2237" s="10" t="s">
        <v>2284</v>
      </c>
      <c r="E2237" s="11" t="s">
        <v>5595</v>
      </c>
      <c r="F2237" s="17"/>
      <c r="G2237" s="12" t="s">
        <v>49</v>
      </c>
      <c r="H2237" s="13" t="n">
        <v>-0.003</v>
      </c>
      <c r="I2237" s="14"/>
      <c r="J2237" s="17"/>
      <c r="K2237" s="9"/>
      <c r="L2237" s="15" t="s">
        <v>50</v>
      </c>
      <c r="M2237" s="16" t="s">
        <v>51</v>
      </c>
      <c r="N2237" s="14"/>
      <c r="O2237" s="15" t="s">
        <v>52</v>
      </c>
      <c r="P2237" s="17" t="s">
        <v>53</v>
      </c>
      <c r="Q2237" s="15"/>
      <c r="R2237" s="18" t="s">
        <v>51</v>
      </c>
      <c r="S2237" s="19"/>
      <c r="T2237" s="17" t="str">
        <f aca="false">IF(R2237="維持",J2237,IF(R2237="排除","無關新聞事件",IFERROR(INDEX(事件規則!$B$2:$B$53,MATCH(S2237,事件規則!$A$2:$A$53,0)),"")))</f>
        <v>無關新聞事件</v>
      </c>
      <c r="U2237" s="20" t="n">
        <f aca="false">IF(R2237="維持",K2237,IF(R2237="排除",0,IFERROR(INDEX(事件規則!$C$2:$C$53,MATCH(S2237,事件規則!$A$2:$A$53,0)),"")))</f>
        <v>0</v>
      </c>
      <c r="V2237" s="21"/>
      <c r="W2237" s="22"/>
      <c r="X2237" s="10" t="str">
        <f aca="false">IF(AND(R2237="修改",S2237=""),"請選新事件代碼",IF(AND(R2237&lt;&gt;"修改",S2237&lt;&gt;""),"只有「修改」才需填代碼",""))</f>
        <v/>
      </c>
      <c r="Y2237" s="21"/>
      <c r="Z2237" s="22"/>
      <c r="AA2237" s="12" t="s">
        <v>5596</v>
      </c>
      <c r="AB2237" s="24"/>
    </row>
    <row r="2238" customFormat="false" ht="29.85" hidden="false" customHeight="false" outlineLevel="0" collapsed="false">
      <c r="A2238" s="15" t="n">
        <v>2237</v>
      </c>
      <c r="B2238" s="9" t="s">
        <v>45</v>
      </c>
      <c r="C2238" s="9" t="s">
        <v>156</v>
      </c>
      <c r="D2238" s="10" t="s">
        <v>157</v>
      </c>
      <c r="E2238" s="11" t="s">
        <v>5597</v>
      </c>
      <c r="F2238" s="17"/>
      <c r="G2238" s="12" t="s">
        <v>142</v>
      </c>
      <c r="H2238" s="13" t="n">
        <v>-0.003</v>
      </c>
      <c r="I2238" s="14"/>
      <c r="J2238" s="17"/>
      <c r="K2238" s="9"/>
      <c r="L2238" s="15" t="s">
        <v>50</v>
      </c>
      <c r="M2238" s="16" t="s">
        <v>51</v>
      </c>
      <c r="N2238" s="14"/>
      <c r="O2238" s="15" t="s">
        <v>52</v>
      </c>
      <c r="P2238" s="17" t="s">
        <v>53</v>
      </c>
      <c r="Q2238" s="15"/>
      <c r="R2238" s="18" t="s">
        <v>51</v>
      </c>
      <c r="S2238" s="19"/>
      <c r="T2238" s="17" t="str">
        <f aca="false">IF(R2238="維持",J2238,IF(R2238="排除","無關新聞事件",IFERROR(INDEX(事件規則!$B$2:$B$53,MATCH(S2238,事件規則!$A$2:$A$53,0)),"")))</f>
        <v>無關新聞事件</v>
      </c>
      <c r="U2238" s="20" t="n">
        <f aca="false">IF(R2238="維持",K2238,IF(R2238="排除",0,IFERROR(INDEX(事件規則!$C$2:$C$53,MATCH(S2238,事件規則!$A$2:$A$53,0)),"")))</f>
        <v>0</v>
      </c>
      <c r="V2238" s="21"/>
      <c r="W2238" s="22"/>
      <c r="X2238" s="10" t="str">
        <f aca="false">IF(AND(R2238="修改",S2238=""),"請選新事件代碼",IF(AND(R2238&lt;&gt;"修改",S2238&lt;&gt;""),"只有「修改」才需填代碼",""))</f>
        <v/>
      </c>
      <c r="Y2238" s="21"/>
      <c r="Z2238" s="22"/>
      <c r="AA2238" s="12" t="s">
        <v>5598</v>
      </c>
      <c r="AB2238" s="24"/>
    </row>
    <row r="2239" customFormat="false" ht="29.85" hidden="false" customHeight="false" outlineLevel="0" collapsed="false">
      <c r="A2239" s="15" t="n">
        <v>2238</v>
      </c>
      <c r="B2239" s="9" t="s">
        <v>45</v>
      </c>
      <c r="C2239" s="9" t="s">
        <v>71</v>
      </c>
      <c r="D2239" s="10" t="s">
        <v>72</v>
      </c>
      <c r="E2239" s="11" t="s">
        <v>5599</v>
      </c>
      <c r="F2239" s="17"/>
      <c r="G2239" s="12" t="s">
        <v>4343</v>
      </c>
      <c r="H2239" s="13" t="n">
        <v>-0.003</v>
      </c>
      <c r="I2239" s="14"/>
      <c r="J2239" s="17"/>
      <c r="K2239" s="9"/>
      <c r="L2239" s="15" t="s">
        <v>50</v>
      </c>
      <c r="M2239" s="16" t="s">
        <v>51</v>
      </c>
      <c r="N2239" s="14"/>
      <c r="O2239" s="15" t="s">
        <v>52</v>
      </c>
      <c r="P2239" s="17" t="s">
        <v>53</v>
      </c>
      <c r="Q2239" s="15"/>
      <c r="R2239" s="18" t="s">
        <v>51</v>
      </c>
      <c r="S2239" s="19"/>
      <c r="T2239" s="17" t="str">
        <f aca="false">IF(R2239="維持",J2239,IF(R2239="排除","無關新聞事件",IFERROR(INDEX(事件規則!$B$2:$B$53,MATCH(S2239,事件規則!$A$2:$A$53,0)),"")))</f>
        <v>無關新聞事件</v>
      </c>
      <c r="U2239" s="20" t="n">
        <f aca="false">IF(R2239="維持",K2239,IF(R2239="排除",0,IFERROR(INDEX(事件規則!$C$2:$C$53,MATCH(S2239,事件規則!$A$2:$A$53,0)),"")))</f>
        <v>0</v>
      </c>
      <c r="V2239" s="21"/>
      <c r="W2239" s="22"/>
      <c r="X2239" s="10" t="str">
        <f aca="false">IF(AND(R2239="修改",S2239=""),"請選新事件代碼",IF(AND(R2239&lt;&gt;"修改",S2239&lt;&gt;""),"只有「修改」才需填代碼",""))</f>
        <v/>
      </c>
      <c r="Y2239" s="21"/>
      <c r="Z2239" s="22"/>
      <c r="AA2239" s="12" t="s">
        <v>5600</v>
      </c>
      <c r="AB2239" s="24"/>
    </row>
    <row r="2240" customFormat="false" ht="29.85" hidden="false" customHeight="false" outlineLevel="0" collapsed="false">
      <c r="A2240" s="15" t="n">
        <v>2239</v>
      </c>
      <c r="B2240" s="9" t="s">
        <v>45</v>
      </c>
      <c r="C2240" s="9" t="s">
        <v>1571</v>
      </c>
      <c r="D2240" s="10" t="s">
        <v>1572</v>
      </c>
      <c r="E2240" s="11" t="s">
        <v>5601</v>
      </c>
      <c r="F2240" s="17"/>
      <c r="G2240" s="12" t="s">
        <v>3873</v>
      </c>
      <c r="H2240" s="13" t="n">
        <v>-0.003</v>
      </c>
      <c r="I2240" s="14"/>
      <c r="J2240" s="17"/>
      <c r="K2240" s="9"/>
      <c r="L2240" s="15" t="s">
        <v>50</v>
      </c>
      <c r="M2240" s="16" t="s">
        <v>51</v>
      </c>
      <c r="N2240" s="14"/>
      <c r="O2240" s="15" t="s">
        <v>52</v>
      </c>
      <c r="P2240" s="17" t="s">
        <v>53</v>
      </c>
      <c r="Q2240" s="15"/>
      <c r="R2240" s="18" t="s">
        <v>51</v>
      </c>
      <c r="S2240" s="19"/>
      <c r="T2240" s="17" t="str">
        <f aca="false">IF(R2240="維持",J2240,IF(R2240="排除","無關新聞事件",IFERROR(INDEX(事件規則!$B$2:$B$53,MATCH(S2240,事件規則!$A$2:$A$53,0)),"")))</f>
        <v>無關新聞事件</v>
      </c>
      <c r="U2240" s="20" t="n">
        <f aca="false">IF(R2240="維持",K2240,IF(R2240="排除",0,IFERROR(INDEX(事件規則!$C$2:$C$53,MATCH(S2240,事件規則!$A$2:$A$53,0)),"")))</f>
        <v>0</v>
      </c>
      <c r="V2240" s="21"/>
      <c r="W2240" s="22"/>
      <c r="X2240" s="10" t="str">
        <f aca="false">IF(AND(R2240="修改",S2240=""),"請選新事件代碼",IF(AND(R2240&lt;&gt;"修改",S2240&lt;&gt;""),"只有「修改」才需填代碼",""))</f>
        <v/>
      </c>
      <c r="Y2240" s="21"/>
      <c r="Z2240" s="22"/>
      <c r="AA2240" s="12" t="s">
        <v>5602</v>
      </c>
      <c r="AB2240" s="24"/>
    </row>
    <row r="2241" customFormat="false" ht="29.85" hidden="false" customHeight="false" outlineLevel="0" collapsed="false">
      <c r="A2241" s="15" t="n">
        <v>2240</v>
      </c>
      <c r="B2241" s="9" t="s">
        <v>45</v>
      </c>
      <c r="C2241" s="9" t="s">
        <v>1478</v>
      </c>
      <c r="D2241" s="10" t="s">
        <v>1479</v>
      </c>
      <c r="E2241" s="11" t="s">
        <v>5603</v>
      </c>
      <c r="F2241" s="17"/>
      <c r="G2241" s="12" t="s">
        <v>5604</v>
      </c>
      <c r="H2241" s="13" t="n">
        <v>-0.003</v>
      </c>
      <c r="I2241" s="14"/>
      <c r="J2241" s="17"/>
      <c r="K2241" s="9"/>
      <c r="L2241" s="15" t="s">
        <v>50</v>
      </c>
      <c r="M2241" s="16" t="s">
        <v>51</v>
      </c>
      <c r="N2241" s="14"/>
      <c r="O2241" s="15" t="s">
        <v>52</v>
      </c>
      <c r="P2241" s="17" t="s">
        <v>53</v>
      </c>
      <c r="Q2241" s="15"/>
      <c r="R2241" s="18" t="s">
        <v>51</v>
      </c>
      <c r="S2241" s="19"/>
      <c r="T2241" s="17" t="str">
        <f aca="false">IF(R2241="維持",J2241,IF(R2241="排除","無關新聞事件",IFERROR(INDEX(事件規則!$B$2:$B$53,MATCH(S2241,事件規則!$A$2:$A$53,0)),"")))</f>
        <v>無關新聞事件</v>
      </c>
      <c r="U2241" s="20" t="n">
        <f aca="false">IF(R2241="維持",K2241,IF(R2241="排除",0,IFERROR(INDEX(事件規則!$C$2:$C$53,MATCH(S2241,事件規則!$A$2:$A$53,0)),"")))</f>
        <v>0</v>
      </c>
      <c r="V2241" s="21"/>
      <c r="W2241" s="22"/>
      <c r="X2241" s="10" t="str">
        <f aca="false">IF(AND(R2241="修改",S2241=""),"請選新事件代碼",IF(AND(R2241&lt;&gt;"修改",S2241&lt;&gt;""),"只有「修改」才需填代碼",""))</f>
        <v/>
      </c>
      <c r="Y2241" s="21"/>
      <c r="Z2241" s="22"/>
      <c r="AA2241" s="12" t="s">
        <v>5605</v>
      </c>
      <c r="AB2241" s="24"/>
    </row>
    <row r="2242" customFormat="false" ht="29.85" hidden="false" customHeight="false" outlineLevel="0" collapsed="false">
      <c r="A2242" s="15" t="n">
        <v>2241</v>
      </c>
      <c r="B2242" s="9" t="s">
        <v>45</v>
      </c>
      <c r="C2242" s="9" t="s">
        <v>788</v>
      </c>
      <c r="D2242" s="10" t="s">
        <v>789</v>
      </c>
      <c r="E2242" s="11" t="s">
        <v>5606</v>
      </c>
      <c r="F2242" s="17"/>
      <c r="G2242" s="12" t="s">
        <v>176</v>
      </c>
      <c r="H2242" s="13" t="n">
        <v>-0.003</v>
      </c>
      <c r="I2242" s="14"/>
      <c r="J2242" s="17"/>
      <c r="K2242" s="9"/>
      <c r="L2242" s="15" t="s">
        <v>50</v>
      </c>
      <c r="M2242" s="16" t="s">
        <v>51</v>
      </c>
      <c r="N2242" s="14"/>
      <c r="O2242" s="15" t="s">
        <v>52</v>
      </c>
      <c r="P2242" s="17" t="s">
        <v>53</v>
      </c>
      <c r="Q2242" s="15"/>
      <c r="R2242" s="18" t="s">
        <v>51</v>
      </c>
      <c r="S2242" s="19"/>
      <c r="T2242" s="17" t="str">
        <f aca="false">IF(R2242="維持",J2242,IF(R2242="排除","無關新聞事件",IFERROR(INDEX(事件規則!$B$2:$B$53,MATCH(S2242,事件規則!$A$2:$A$53,0)),"")))</f>
        <v>無關新聞事件</v>
      </c>
      <c r="U2242" s="20" t="n">
        <f aca="false">IF(R2242="維持",K2242,IF(R2242="排除",0,IFERROR(INDEX(事件規則!$C$2:$C$53,MATCH(S2242,事件規則!$A$2:$A$53,0)),"")))</f>
        <v>0</v>
      </c>
      <c r="V2242" s="21"/>
      <c r="W2242" s="22"/>
      <c r="X2242" s="10" t="str">
        <f aca="false">IF(AND(R2242="修改",S2242=""),"請選新事件代碼",IF(AND(R2242&lt;&gt;"修改",S2242&lt;&gt;""),"只有「修改」才需填代碼",""))</f>
        <v/>
      </c>
      <c r="Y2242" s="21"/>
      <c r="Z2242" s="22"/>
      <c r="AA2242" s="12" t="s">
        <v>5607</v>
      </c>
      <c r="AB2242" s="24"/>
    </row>
    <row r="2243" customFormat="false" ht="29.85" hidden="false" customHeight="false" outlineLevel="0" collapsed="false">
      <c r="A2243" s="15" t="n">
        <v>2242</v>
      </c>
      <c r="B2243" s="9" t="s">
        <v>112</v>
      </c>
      <c r="C2243" s="9" t="s">
        <v>1629</v>
      </c>
      <c r="D2243" s="10" t="s">
        <v>1630</v>
      </c>
      <c r="E2243" s="11" t="s">
        <v>5608</v>
      </c>
      <c r="F2243" s="17"/>
      <c r="G2243" s="12" t="s">
        <v>949</v>
      </c>
      <c r="H2243" s="13" t="n">
        <v>-0.003</v>
      </c>
      <c r="I2243" s="14"/>
      <c r="J2243" s="17"/>
      <c r="K2243" s="9"/>
      <c r="L2243" s="15" t="s">
        <v>50</v>
      </c>
      <c r="M2243" s="16" t="s">
        <v>51</v>
      </c>
      <c r="N2243" s="14"/>
      <c r="O2243" s="15" t="s">
        <v>52</v>
      </c>
      <c r="P2243" s="17" t="s">
        <v>53</v>
      </c>
      <c r="Q2243" s="15"/>
      <c r="R2243" s="18" t="s">
        <v>51</v>
      </c>
      <c r="S2243" s="19"/>
      <c r="T2243" s="17" t="str">
        <f aca="false">IF(R2243="維持",J2243,IF(R2243="排除","無關新聞事件",IFERROR(INDEX(事件規則!$B$2:$B$53,MATCH(S2243,事件規則!$A$2:$A$53,0)),"")))</f>
        <v>無關新聞事件</v>
      </c>
      <c r="U2243" s="20" t="n">
        <f aca="false">IF(R2243="維持",K2243,IF(R2243="排除",0,IFERROR(INDEX(事件規則!$C$2:$C$53,MATCH(S2243,事件規則!$A$2:$A$53,0)),"")))</f>
        <v>0</v>
      </c>
      <c r="V2243" s="21"/>
      <c r="W2243" s="22"/>
      <c r="X2243" s="10" t="str">
        <f aca="false">IF(AND(R2243="修改",S2243=""),"請選新事件代碼",IF(AND(R2243&lt;&gt;"修改",S2243&lt;&gt;""),"只有「修改」才需填代碼",""))</f>
        <v/>
      </c>
      <c r="Y2243" s="21"/>
      <c r="Z2243" s="22"/>
      <c r="AA2243" s="12" t="s">
        <v>5609</v>
      </c>
      <c r="AB2243" s="24"/>
    </row>
    <row r="2244" customFormat="false" ht="29.85" hidden="false" customHeight="false" outlineLevel="0" collapsed="false">
      <c r="A2244" s="15" t="n">
        <v>2243</v>
      </c>
      <c r="B2244" s="9" t="s">
        <v>45</v>
      </c>
      <c r="C2244" s="9" t="s">
        <v>315</v>
      </c>
      <c r="D2244" s="10" t="s">
        <v>316</v>
      </c>
      <c r="E2244" s="11" t="s">
        <v>5610</v>
      </c>
      <c r="F2244" s="17"/>
      <c r="G2244" s="12" t="s">
        <v>949</v>
      </c>
      <c r="H2244" s="13" t="n">
        <v>-0.003</v>
      </c>
      <c r="I2244" s="14"/>
      <c r="J2244" s="17"/>
      <c r="K2244" s="9"/>
      <c r="L2244" s="15" t="s">
        <v>50</v>
      </c>
      <c r="M2244" s="16" t="s">
        <v>51</v>
      </c>
      <c r="N2244" s="14"/>
      <c r="O2244" s="15" t="s">
        <v>52</v>
      </c>
      <c r="P2244" s="17" t="s">
        <v>53</v>
      </c>
      <c r="Q2244" s="15"/>
      <c r="R2244" s="18" t="s">
        <v>51</v>
      </c>
      <c r="S2244" s="19"/>
      <c r="T2244" s="17" t="str">
        <f aca="false">IF(R2244="維持",J2244,IF(R2244="排除","無關新聞事件",IFERROR(INDEX(事件規則!$B$2:$B$53,MATCH(S2244,事件規則!$A$2:$A$53,0)),"")))</f>
        <v>無關新聞事件</v>
      </c>
      <c r="U2244" s="20" t="n">
        <f aca="false">IF(R2244="維持",K2244,IF(R2244="排除",0,IFERROR(INDEX(事件規則!$C$2:$C$53,MATCH(S2244,事件規則!$A$2:$A$53,0)),"")))</f>
        <v>0</v>
      </c>
      <c r="V2244" s="21"/>
      <c r="W2244" s="22"/>
      <c r="X2244" s="10" t="str">
        <f aca="false">IF(AND(R2244="修改",S2244=""),"請選新事件代碼",IF(AND(R2244&lt;&gt;"修改",S2244&lt;&gt;""),"只有「修改」才需填代碼",""))</f>
        <v/>
      </c>
      <c r="Y2244" s="21"/>
      <c r="Z2244" s="22"/>
      <c r="AA2244" s="12" t="s">
        <v>5611</v>
      </c>
      <c r="AB2244" s="24"/>
    </row>
    <row r="2245" customFormat="false" ht="29.85" hidden="false" customHeight="false" outlineLevel="0" collapsed="false">
      <c r="A2245" s="15" t="n">
        <v>2244</v>
      </c>
      <c r="B2245" s="9" t="s">
        <v>45</v>
      </c>
      <c r="C2245" s="9" t="s">
        <v>449</v>
      </c>
      <c r="D2245" s="10" t="s">
        <v>450</v>
      </c>
      <c r="E2245" s="11" t="s">
        <v>5612</v>
      </c>
      <c r="F2245" s="17"/>
      <c r="G2245" s="12" t="s">
        <v>949</v>
      </c>
      <c r="H2245" s="13" t="n">
        <v>-0.003</v>
      </c>
      <c r="I2245" s="14"/>
      <c r="J2245" s="17"/>
      <c r="K2245" s="9"/>
      <c r="L2245" s="15" t="s">
        <v>50</v>
      </c>
      <c r="M2245" s="16" t="s">
        <v>51</v>
      </c>
      <c r="N2245" s="14"/>
      <c r="O2245" s="15" t="s">
        <v>52</v>
      </c>
      <c r="P2245" s="17" t="s">
        <v>53</v>
      </c>
      <c r="Q2245" s="15"/>
      <c r="R2245" s="18" t="s">
        <v>51</v>
      </c>
      <c r="S2245" s="19"/>
      <c r="T2245" s="17" t="str">
        <f aca="false">IF(R2245="維持",J2245,IF(R2245="排除","無關新聞事件",IFERROR(INDEX(事件規則!$B$2:$B$53,MATCH(S2245,事件規則!$A$2:$A$53,0)),"")))</f>
        <v>無關新聞事件</v>
      </c>
      <c r="U2245" s="20" t="n">
        <f aca="false">IF(R2245="維持",K2245,IF(R2245="排除",0,IFERROR(INDEX(事件規則!$C$2:$C$53,MATCH(S2245,事件規則!$A$2:$A$53,0)),"")))</f>
        <v>0</v>
      </c>
      <c r="V2245" s="21"/>
      <c r="W2245" s="22"/>
      <c r="X2245" s="10" t="str">
        <f aca="false">IF(AND(R2245="修改",S2245=""),"請選新事件代碼",IF(AND(R2245&lt;&gt;"修改",S2245&lt;&gt;""),"只有「修改」才需填代碼",""))</f>
        <v/>
      </c>
      <c r="Y2245" s="21"/>
      <c r="Z2245" s="22"/>
      <c r="AA2245" s="12" t="s">
        <v>5613</v>
      </c>
      <c r="AB2245" s="24"/>
    </row>
    <row r="2246" customFormat="false" ht="29.85" hidden="false" customHeight="false" outlineLevel="0" collapsed="false">
      <c r="A2246" s="15" t="n">
        <v>2245</v>
      </c>
      <c r="B2246" s="9" t="s">
        <v>112</v>
      </c>
      <c r="C2246" s="9" t="s">
        <v>1672</v>
      </c>
      <c r="D2246" s="10" t="s">
        <v>1673</v>
      </c>
      <c r="E2246" s="11" t="s">
        <v>5614</v>
      </c>
      <c r="F2246" s="17"/>
      <c r="G2246" s="12" t="s">
        <v>5615</v>
      </c>
      <c r="H2246" s="13" t="n">
        <v>-0.003</v>
      </c>
      <c r="I2246" s="14"/>
      <c r="J2246" s="17"/>
      <c r="K2246" s="9"/>
      <c r="L2246" s="15" t="s">
        <v>50</v>
      </c>
      <c r="M2246" s="16" t="s">
        <v>51</v>
      </c>
      <c r="N2246" s="14"/>
      <c r="O2246" s="15" t="s">
        <v>52</v>
      </c>
      <c r="P2246" s="17" t="s">
        <v>53</v>
      </c>
      <c r="Q2246" s="15"/>
      <c r="R2246" s="18" t="s">
        <v>51</v>
      </c>
      <c r="S2246" s="19"/>
      <c r="T2246" s="17" t="str">
        <f aca="false">IF(R2246="維持",J2246,IF(R2246="排除","無關新聞事件",IFERROR(INDEX(事件規則!$B$2:$B$53,MATCH(S2246,事件規則!$A$2:$A$53,0)),"")))</f>
        <v>無關新聞事件</v>
      </c>
      <c r="U2246" s="20" t="n">
        <f aca="false">IF(R2246="維持",K2246,IF(R2246="排除",0,IFERROR(INDEX(事件規則!$C$2:$C$53,MATCH(S2246,事件規則!$A$2:$A$53,0)),"")))</f>
        <v>0</v>
      </c>
      <c r="V2246" s="21"/>
      <c r="W2246" s="22"/>
      <c r="X2246" s="10" t="str">
        <f aca="false">IF(AND(R2246="修改",S2246=""),"請選新事件代碼",IF(AND(R2246&lt;&gt;"修改",S2246&lt;&gt;""),"只有「修改」才需填代碼",""))</f>
        <v/>
      </c>
      <c r="Y2246" s="21"/>
      <c r="Z2246" s="22"/>
      <c r="AA2246" s="12" t="s">
        <v>5616</v>
      </c>
      <c r="AB2246" s="24"/>
    </row>
    <row r="2247" customFormat="false" ht="29.85" hidden="false" customHeight="false" outlineLevel="0" collapsed="false">
      <c r="A2247" s="15" t="n">
        <v>2246</v>
      </c>
      <c r="B2247" s="9" t="s">
        <v>112</v>
      </c>
      <c r="C2247" s="9" t="s">
        <v>107</v>
      </c>
      <c r="D2247" s="10" t="s">
        <v>108</v>
      </c>
      <c r="E2247" s="11" t="s">
        <v>5617</v>
      </c>
      <c r="F2247" s="17"/>
      <c r="G2247" s="12" t="s">
        <v>949</v>
      </c>
      <c r="H2247" s="13" t="n">
        <v>-0.003</v>
      </c>
      <c r="I2247" s="14"/>
      <c r="J2247" s="17"/>
      <c r="K2247" s="9"/>
      <c r="L2247" s="15" t="s">
        <v>50</v>
      </c>
      <c r="M2247" s="16" t="s">
        <v>51</v>
      </c>
      <c r="N2247" s="14"/>
      <c r="O2247" s="15" t="s">
        <v>52</v>
      </c>
      <c r="P2247" s="17" t="s">
        <v>53</v>
      </c>
      <c r="Q2247" s="15"/>
      <c r="R2247" s="18" t="s">
        <v>51</v>
      </c>
      <c r="S2247" s="19"/>
      <c r="T2247" s="17" t="str">
        <f aca="false">IF(R2247="維持",J2247,IF(R2247="排除","無關新聞事件",IFERROR(INDEX(事件規則!$B$2:$B$53,MATCH(S2247,事件規則!$A$2:$A$53,0)),"")))</f>
        <v>無關新聞事件</v>
      </c>
      <c r="U2247" s="20" t="n">
        <f aca="false">IF(R2247="維持",K2247,IF(R2247="排除",0,IFERROR(INDEX(事件規則!$C$2:$C$53,MATCH(S2247,事件規則!$A$2:$A$53,0)),"")))</f>
        <v>0</v>
      </c>
      <c r="V2247" s="21"/>
      <c r="W2247" s="22"/>
      <c r="X2247" s="10" t="str">
        <f aca="false">IF(AND(R2247="修改",S2247=""),"請選新事件代碼",IF(AND(R2247&lt;&gt;"修改",S2247&lt;&gt;""),"只有「修改」才需填代碼",""))</f>
        <v/>
      </c>
      <c r="Y2247" s="21"/>
      <c r="Z2247" s="22"/>
      <c r="AA2247" s="12" t="s">
        <v>5618</v>
      </c>
      <c r="AB2247" s="24"/>
    </row>
    <row r="2248" customFormat="false" ht="29.85" hidden="false" customHeight="false" outlineLevel="0" collapsed="false">
      <c r="A2248" s="15" t="n">
        <v>2247</v>
      </c>
      <c r="B2248" s="9" t="s">
        <v>55</v>
      </c>
      <c r="C2248" s="9" t="s">
        <v>1571</v>
      </c>
      <c r="D2248" s="10" t="s">
        <v>1572</v>
      </c>
      <c r="E2248" s="11" t="s">
        <v>5601</v>
      </c>
      <c r="F2248" s="17"/>
      <c r="G2248" s="12" t="s">
        <v>3873</v>
      </c>
      <c r="H2248" s="13" t="n">
        <v>-0.003</v>
      </c>
      <c r="I2248" s="14"/>
      <c r="J2248" s="17"/>
      <c r="K2248" s="9"/>
      <c r="L2248" s="15" t="s">
        <v>50</v>
      </c>
      <c r="M2248" s="16" t="s">
        <v>51</v>
      </c>
      <c r="N2248" s="14"/>
      <c r="O2248" s="15" t="s">
        <v>52</v>
      </c>
      <c r="P2248" s="17" t="s">
        <v>53</v>
      </c>
      <c r="Q2248" s="15"/>
      <c r="R2248" s="18" t="s">
        <v>51</v>
      </c>
      <c r="S2248" s="19"/>
      <c r="T2248" s="17" t="str">
        <f aca="false">IF(R2248="維持",J2248,IF(R2248="排除","無關新聞事件",IFERROR(INDEX(事件規則!$B$2:$B$53,MATCH(S2248,事件規則!$A$2:$A$53,0)),"")))</f>
        <v>無關新聞事件</v>
      </c>
      <c r="U2248" s="20" t="n">
        <f aca="false">IF(R2248="維持",K2248,IF(R2248="排除",0,IFERROR(INDEX(事件規則!$C$2:$C$53,MATCH(S2248,事件規則!$A$2:$A$53,0)),"")))</f>
        <v>0</v>
      </c>
      <c r="V2248" s="21"/>
      <c r="W2248" s="22"/>
      <c r="X2248" s="10" t="str">
        <f aca="false">IF(AND(R2248="修改",S2248=""),"請選新事件代碼",IF(AND(R2248&lt;&gt;"修改",S2248&lt;&gt;""),"只有「修改」才需填代碼",""))</f>
        <v/>
      </c>
      <c r="Y2248" s="21"/>
      <c r="Z2248" s="22"/>
      <c r="AA2248" s="12" t="s">
        <v>5602</v>
      </c>
      <c r="AB2248" s="24"/>
    </row>
    <row r="2249" customFormat="false" ht="29.85" hidden="false" customHeight="false" outlineLevel="0" collapsed="false">
      <c r="A2249" s="15" t="n">
        <v>2248</v>
      </c>
      <c r="B2249" s="9" t="s">
        <v>45</v>
      </c>
      <c r="C2249" s="9" t="s">
        <v>344</v>
      </c>
      <c r="D2249" s="10" t="s">
        <v>345</v>
      </c>
      <c r="E2249" s="11" t="s">
        <v>5619</v>
      </c>
      <c r="F2249" s="17"/>
      <c r="G2249" s="12" t="s">
        <v>949</v>
      </c>
      <c r="H2249" s="13" t="n">
        <v>-0.003</v>
      </c>
      <c r="I2249" s="14"/>
      <c r="J2249" s="17"/>
      <c r="K2249" s="9"/>
      <c r="L2249" s="15" t="s">
        <v>50</v>
      </c>
      <c r="M2249" s="16" t="s">
        <v>51</v>
      </c>
      <c r="N2249" s="14"/>
      <c r="O2249" s="15" t="s">
        <v>52</v>
      </c>
      <c r="P2249" s="17" t="s">
        <v>53</v>
      </c>
      <c r="Q2249" s="15"/>
      <c r="R2249" s="18" t="s">
        <v>51</v>
      </c>
      <c r="S2249" s="19"/>
      <c r="T2249" s="17" t="str">
        <f aca="false">IF(R2249="維持",J2249,IF(R2249="排除","無關新聞事件",IFERROR(INDEX(事件規則!$B$2:$B$53,MATCH(S2249,事件規則!$A$2:$A$53,0)),"")))</f>
        <v>無關新聞事件</v>
      </c>
      <c r="U2249" s="20" t="n">
        <f aca="false">IF(R2249="維持",K2249,IF(R2249="排除",0,IFERROR(INDEX(事件規則!$C$2:$C$53,MATCH(S2249,事件規則!$A$2:$A$53,0)),"")))</f>
        <v>0</v>
      </c>
      <c r="V2249" s="21"/>
      <c r="W2249" s="22"/>
      <c r="X2249" s="10" t="str">
        <f aca="false">IF(AND(R2249="修改",S2249=""),"請選新事件代碼",IF(AND(R2249&lt;&gt;"修改",S2249&lt;&gt;""),"只有「修改」才需填代碼",""))</f>
        <v/>
      </c>
      <c r="Y2249" s="21"/>
      <c r="Z2249" s="22"/>
      <c r="AA2249" s="12" t="s">
        <v>5620</v>
      </c>
      <c r="AB2249" s="24"/>
    </row>
    <row r="2250" customFormat="false" ht="29.85" hidden="false" customHeight="false" outlineLevel="0" collapsed="false">
      <c r="A2250" s="15" t="n">
        <v>2249</v>
      </c>
      <c r="B2250" s="9" t="s">
        <v>81</v>
      </c>
      <c r="C2250" s="9" t="s">
        <v>1017</v>
      </c>
      <c r="D2250" s="10" t="s">
        <v>1018</v>
      </c>
      <c r="E2250" s="11" t="s">
        <v>5621</v>
      </c>
      <c r="F2250" s="17"/>
      <c r="G2250" s="12" t="s">
        <v>2033</v>
      </c>
      <c r="H2250" s="13" t="n">
        <v>-0.003</v>
      </c>
      <c r="I2250" s="14"/>
      <c r="J2250" s="17"/>
      <c r="K2250" s="9"/>
      <c r="L2250" s="15" t="s">
        <v>50</v>
      </c>
      <c r="M2250" s="16" t="s">
        <v>51</v>
      </c>
      <c r="N2250" s="14"/>
      <c r="O2250" s="15" t="s">
        <v>52</v>
      </c>
      <c r="P2250" s="17" t="s">
        <v>53</v>
      </c>
      <c r="Q2250" s="15"/>
      <c r="R2250" s="18" t="s">
        <v>51</v>
      </c>
      <c r="S2250" s="19"/>
      <c r="T2250" s="17" t="str">
        <f aca="false">IF(R2250="維持",J2250,IF(R2250="排除","無關新聞事件",IFERROR(INDEX(事件規則!$B$2:$B$53,MATCH(S2250,事件規則!$A$2:$A$53,0)),"")))</f>
        <v>無關新聞事件</v>
      </c>
      <c r="U2250" s="20" t="n">
        <f aca="false">IF(R2250="維持",K2250,IF(R2250="排除",0,IFERROR(INDEX(事件規則!$C$2:$C$53,MATCH(S2250,事件規則!$A$2:$A$53,0)),"")))</f>
        <v>0</v>
      </c>
      <c r="V2250" s="21"/>
      <c r="W2250" s="22"/>
      <c r="X2250" s="10" t="str">
        <f aca="false">IF(AND(R2250="修改",S2250=""),"請選新事件代碼",IF(AND(R2250&lt;&gt;"修改",S2250&lt;&gt;""),"只有「修改」才需填代碼",""))</f>
        <v/>
      </c>
      <c r="Y2250" s="21"/>
      <c r="Z2250" s="22"/>
      <c r="AA2250" s="12" t="s">
        <v>5622</v>
      </c>
      <c r="AB2250" s="24"/>
    </row>
    <row r="2251" customFormat="false" ht="29.85" hidden="false" customHeight="false" outlineLevel="0" collapsed="false">
      <c r="A2251" s="15" t="n">
        <v>2250</v>
      </c>
      <c r="B2251" s="9" t="s">
        <v>55</v>
      </c>
      <c r="C2251" s="9" t="s">
        <v>957</v>
      </c>
      <c r="D2251" s="10" t="s">
        <v>958</v>
      </c>
      <c r="E2251" s="11" t="s">
        <v>5623</v>
      </c>
      <c r="F2251" s="17"/>
      <c r="G2251" s="12" t="s">
        <v>5604</v>
      </c>
      <c r="H2251" s="13" t="n">
        <v>-0.003</v>
      </c>
      <c r="I2251" s="14"/>
      <c r="J2251" s="17"/>
      <c r="K2251" s="9"/>
      <c r="L2251" s="15" t="s">
        <v>50</v>
      </c>
      <c r="M2251" s="16" t="s">
        <v>51</v>
      </c>
      <c r="N2251" s="14"/>
      <c r="O2251" s="15" t="s">
        <v>52</v>
      </c>
      <c r="P2251" s="17" t="s">
        <v>53</v>
      </c>
      <c r="Q2251" s="15"/>
      <c r="R2251" s="18" t="s">
        <v>51</v>
      </c>
      <c r="S2251" s="19"/>
      <c r="T2251" s="17" t="str">
        <f aca="false">IF(R2251="維持",J2251,IF(R2251="排除","無關新聞事件",IFERROR(INDEX(事件規則!$B$2:$B$53,MATCH(S2251,事件規則!$A$2:$A$53,0)),"")))</f>
        <v>無關新聞事件</v>
      </c>
      <c r="U2251" s="20" t="n">
        <f aca="false">IF(R2251="維持",K2251,IF(R2251="排除",0,IFERROR(INDEX(事件規則!$C$2:$C$53,MATCH(S2251,事件規則!$A$2:$A$53,0)),"")))</f>
        <v>0</v>
      </c>
      <c r="V2251" s="21"/>
      <c r="W2251" s="22"/>
      <c r="X2251" s="10" t="str">
        <f aca="false">IF(AND(R2251="修改",S2251=""),"請選新事件代碼",IF(AND(R2251&lt;&gt;"修改",S2251&lt;&gt;""),"只有「修改」才需填代碼",""))</f>
        <v/>
      </c>
      <c r="Y2251" s="21"/>
      <c r="Z2251" s="22"/>
      <c r="AA2251" s="12" t="s">
        <v>5624</v>
      </c>
      <c r="AB2251" s="24"/>
    </row>
    <row r="2252" customFormat="false" ht="29.85" hidden="false" customHeight="false" outlineLevel="0" collapsed="false">
      <c r="A2252" s="15" t="n">
        <v>2251</v>
      </c>
      <c r="B2252" s="9" t="s">
        <v>55</v>
      </c>
      <c r="C2252" s="9" t="s">
        <v>484</v>
      </c>
      <c r="D2252" s="10" t="s">
        <v>485</v>
      </c>
      <c r="E2252" s="11" t="s">
        <v>5625</v>
      </c>
      <c r="F2252" s="17"/>
      <c r="G2252" s="12" t="s">
        <v>5626</v>
      </c>
      <c r="H2252" s="13" t="n">
        <v>-0.003</v>
      </c>
      <c r="I2252" s="14"/>
      <c r="J2252" s="17"/>
      <c r="K2252" s="9"/>
      <c r="L2252" s="15" t="s">
        <v>50</v>
      </c>
      <c r="M2252" s="16" t="s">
        <v>51</v>
      </c>
      <c r="N2252" s="14"/>
      <c r="O2252" s="15" t="s">
        <v>52</v>
      </c>
      <c r="P2252" s="17" t="s">
        <v>53</v>
      </c>
      <c r="Q2252" s="15"/>
      <c r="R2252" s="18" t="s">
        <v>51</v>
      </c>
      <c r="S2252" s="19"/>
      <c r="T2252" s="17" t="str">
        <f aca="false">IF(R2252="維持",J2252,IF(R2252="排除","無關新聞事件",IFERROR(INDEX(事件規則!$B$2:$B$53,MATCH(S2252,事件規則!$A$2:$A$53,0)),"")))</f>
        <v>無關新聞事件</v>
      </c>
      <c r="U2252" s="20" t="n">
        <f aca="false">IF(R2252="維持",K2252,IF(R2252="排除",0,IFERROR(INDEX(事件規則!$C$2:$C$53,MATCH(S2252,事件規則!$A$2:$A$53,0)),"")))</f>
        <v>0</v>
      </c>
      <c r="V2252" s="21"/>
      <c r="W2252" s="22"/>
      <c r="X2252" s="10" t="str">
        <f aca="false">IF(AND(R2252="修改",S2252=""),"請選新事件代碼",IF(AND(R2252&lt;&gt;"修改",S2252&lt;&gt;""),"只有「修改」才需填代碼",""))</f>
        <v/>
      </c>
      <c r="Y2252" s="21"/>
      <c r="Z2252" s="22"/>
      <c r="AA2252" s="12" t="s">
        <v>5627</v>
      </c>
      <c r="AB2252" s="24"/>
    </row>
    <row r="2253" customFormat="false" ht="29.85" hidden="false" customHeight="false" outlineLevel="0" collapsed="false">
      <c r="A2253" s="15" t="n">
        <v>2252</v>
      </c>
      <c r="B2253" s="9" t="s">
        <v>81</v>
      </c>
      <c r="C2253" s="9" t="s">
        <v>2124</v>
      </c>
      <c r="D2253" s="10" t="s">
        <v>2125</v>
      </c>
      <c r="E2253" s="11" t="s">
        <v>5628</v>
      </c>
      <c r="F2253" s="17"/>
      <c r="G2253" s="12" t="s">
        <v>4702</v>
      </c>
      <c r="H2253" s="13" t="n">
        <v>-0.003</v>
      </c>
      <c r="I2253" s="14"/>
      <c r="J2253" s="17"/>
      <c r="K2253" s="9"/>
      <c r="L2253" s="15" t="s">
        <v>50</v>
      </c>
      <c r="M2253" s="16" t="s">
        <v>51</v>
      </c>
      <c r="N2253" s="14"/>
      <c r="O2253" s="15" t="s">
        <v>52</v>
      </c>
      <c r="P2253" s="17" t="s">
        <v>53</v>
      </c>
      <c r="Q2253" s="15"/>
      <c r="R2253" s="18" t="s">
        <v>51</v>
      </c>
      <c r="S2253" s="19"/>
      <c r="T2253" s="17" t="str">
        <f aca="false">IF(R2253="維持",J2253,IF(R2253="排除","無關新聞事件",IFERROR(INDEX(事件規則!$B$2:$B$53,MATCH(S2253,事件規則!$A$2:$A$53,0)),"")))</f>
        <v>無關新聞事件</v>
      </c>
      <c r="U2253" s="20" t="n">
        <f aca="false">IF(R2253="維持",K2253,IF(R2253="排除",0,IFERROR(INDEX(事件規則!$C$2:$C$53,MATCH(S2253,事件規則!$A$2:$A$53,0)),"")))</f>
        <v>0</v>
      </c>
      <c r="V2253" s="21"/>
      <c r="W2253" s="22"/>
      <c r="X2253" s="10" t="str">
        <f aca="false">IF(AND(R2253="修改",S2253=""),"請選新事件代碼",IF(AND(R2253&lt;&gt;"修改",S2253&lt;&gt;""),"只有「修改」才需填代碼",""))</f>
        <v/>
      </c>
      <c r="Y2253" s="21"/>
      <c r="Z2253" s="22"/>
      <c r="AA2253" s="12" t="s">
        <v>5629</v>
      </c>
      <c r="AB2253" s="24"/>
    </row>
    <row r="2254" customFormat="false" ht="29.85" hidden="false" customHeight="false" outlineLevel="0" collapsed="false">
      <c r="A2254" s="15" t="n">
        <v>2253</v>
      </c>
      <c r="B2254" s="9" t="s">
        <v>55</v>
      </c>
      <c r="C2254" s="9" t="s">
        <v>303</v>
      </c>
      <c r="D2254" s="10" t="s">
        <v>304</v>
      </c>
      <c r="E2254" s="11" t="s">
        <v>5630</v>
      </c>
      <c r="F2254" s="17"/>
      <c r="G2254" s="12" t="s">
        <v>5631</v>
      </c>
      <c r="H2254" s="13" t="n">
        <v>-0.003</v>
      </c>
      <c r="I2254" s="14"/>
      <c r="J2254" s="17"/>
      <c r="K2254" s="9"/>
      <c r="L2254" s="15" t="s">
        <v>50</v>
      </c>
      <c r="M2254" s="16" t="s">
        <v>51</v>
      </c>
      <c r="N2254" s="14"/>
      <c r="O2254" s="15" t="s">
        <v>52</v>
      </c>
      <c r="P2254" s="17" t="s">
        <v>53</v>
      </c>
      <c r="Q2254" s="15"/>
      <c r="R2254" s="18" t="s">
        <v>51</v>
      </c>
      <c r="S2254" s="19"/>
      <c r="T2254" s="17" t="str">
        <f aca="false">IF(R2254="維持",J2254,IF(R2254="排除","無關新聞事件",IFERROR(INDEX(事件規則!$B$2:$B$53,MATCH(S2254,事件規則!$A$2:$A$53,0)),"")))</f>
        <v>無關新聞事件</v>
      </c>
      <c r="U2254" s="20" t="n">
        <f aca="false">IF(R2254="維持",K2254,IF(R2254="排除",0,IFERROR(INDEX(事件規則!$C$2:$C$53,MATCH(S2254,事件規則!$A$2:$A$53,0)),"")))</f>
        <v>0</v>
      </c>
      <c r="V2254" s="21"/>
      <c r="W2254" s="22"/>
      <c r="X2254" s="10" t="str">
        <f aca="false">IF(AND(R2254="修改",S2254=""),"請選新事件代碼",IF(AND(R2254&lt;&gt;"修改",S2254&lt;&gt;""),"只有「修改」才需填代碼",""))</f>
        <v/>
      </c>
      <c r="Y2254" s="21"/>
      <c r="Z2254" s="22"/>
      <c r="AA2254" s="12" t="s">
        <v>5632</v>
      </c>
      <c r="AB2254" s="24"/>
    </row>
    <row r="2255" customFormat="false" ht="29.85" hidden="false" customHeight="false" outlineLevel="0" collapsed="false">
      <c r="A2255" s="15" t="n">
        <v>2254</v>
      </c>
      <c r="B2255" s="9" t="s">
        <v>55</v>
      </c>
      <c r="C2255" s="9" t="s">
        <v>4134</v>
      </c>
      <c r="D2255" s="10" t="s">
        <v>4135</v>
      </c>
      <c r="E2255" s="11" t="s">
        <v>5633</v>
      </c>
      <c r="F2255" s="17"/>
      <c r="G2255" s="12" t="s">
        <v>95</v>
      </c>
      <c r="H2255" s="13" t="n">
        <v>-0.003</v>
      </c>
      <c r="I2255" s="14"/>
      <c r="J2255" s="17"/>
      <c r="K2255" s="9"/>
      <c r="L2255" s="15" t="s">
        <v>50</v>
      </c>
      <c r="M2255" s="16" t="s">
        <v>51</v>
      </c>
      <c r="N2255" s="14"/>
      <c r="O2255" s="15" t="s">
        <v>52</v>
      </c>
      <c r="P2255" s="17" t="s">
        <v>53</v>
      </c>
      <c r="Q2255" s="15"/>
      <c r="R2255" s="18" t="s">
        <v>51</v>
      </c>
      <c r="S2255" s="19"/>
      <c r="T2255" s="17" t="str">
        <f aca="false">IF(R2255="維持",J2255,IF(R2255="排除","無關新聞事件",IFERROR(INDEX(事件規則!$B$2:$B$53,MATCH(S2255,事件規則!$A$2:$A$53,0)),"")))</f>
        <v>無關新聞事件</v>
      </c>
      <c r="U2255" s="20" t="n">
        <f aca="false">IF(R2255="維持",K2255,IF(R2255="排除",0,IFERROR(INDEX(事件規則!$C$2:$C$53,MATCH(S2255,事件規則!$A$2:$A$53,0)),"")))</f>
        <v>0</v>
      </c>
      <c r="V2255" s="21"/>
      <c r="W2255" s="22"/>
      <c r="X2255" s="10" t="str">
        <f aca="false">IF(AND(R2255="修改",S2255=""),"請選新事件代碼",IF(AND(R2255&lt;&gt;"修改",S2255&lt;&gt;""),"只有「修改」才需填代碼",""))</f>
        <v/>
      </c>
      <c r="Y2255" s="21"/>
      <c r="Z2255" s="22"/>
      <c r="AA2255" s="12" t="s">
        <v>5634</v>
      </c>
      <c r="AB2255" s="24"/>
    </row>
    <row r="2256" customFormat="false" ht="29.85" hidden="false" customHeight="false" outlineLevel="0" collapsed="false">
      <c r="A2256" s="15" t="n">
        <v>2255</v>
      </c>
      <c r="B2256" s="9" t="s">
        <v>55</v>
      </c>
      <c r="C2256" s="9" t="s">
        <v>3141</v>
      </c>
      <c r="D2256" s="10" t="s">
        <v>3142</v>
      </c>
      <c r="E2256" s="11" t="s">
        <v>5635</v>
      </c>
      <c r="F2256" s="17"/>
      <c r="G2256" s="12" t="s">
        <v>105</v>
      </c>
      <c r="H2256" s="13" t="n">
        <v>-0.003</v>
      </c>
      <c r="I2256" s="14"/>
      <c r="J2256" s="17"/>
      <c r="K2256" s="9"/>
      <c r="L2256" s="15" t="s">
        <v>50</v>
      </c>
      <c r="M2256" s="16" t="s">
        <v>51</v>
      </c>
      <c r="N2256" s="14"/>
      <c r="O2256" s="15" t="s">
        <v>52</v>
      </c>
      <c r="P2256" s="17" t="s">
        <v>53</v>
      </c>
      <c r="Q2256" s="15"/>
      <c r="R2256" s="18" t="s">
        <v>51</v>
      </c>
      <c r="S2256" s="19"/>
      <c r="T2256" s="17" t="str">
        <f aca="false">IF(R2256="維持",J2256,IF(R2256="排除","無關新聞事件",IFERROR(INDEX(事件規則!$B$2:$B$53,MATCH(S2256,事件規則!$A$2:$A$53,0)),"")))</f>
        <v>無關新聞事件</v>
      </c>
      <c r="U2256" s="20" t="n">
        <f aca="false">IF(R2256="維持",K2256,IF(R2256="排除",0,IFERROR(INDEX(事件規則!$C$2:$C$53,MATCH(S2256,事件規則!$A$2:$A$53,0)),"")))</f>
        <v>0</v>
      </c>
      <c r="V2256" s="21"/>
      <c r="W2256" s="22"/>
      <c r="X2256" s="10" t="str">
        <f aca="false">IF(AND(R2256="修改",S2256=""),"請選新事件代碼",IF(AND(R2256&lt;&gt;"修改",S2256&lt;&gt;""),"只有「修改」才需填代碼",""))</f>
        <v/>
      </c>
      <c r="Y2256" s="21"/>
      <c r="Z2256" s="22"/>
      <c r="AA2256" s="12" t="s">
        <v>5636</v>
      </c>
      <c r="AB2256" s="24"/>
    </row>
    <row r="2257" customFormat="false" ht="29.85" hidden="false" customHeight="false" outlineLevel="0" collapsed="false">
      <c r="A2257" s="15" t="n">
        <v>2256</v>
      </c>
      <c r="B2257" s="9" t="s">
        <v>55</v>
      </c>
      <c r="C2257" s="9" t="s">
        <v>166</v>
      </c>
      <c r="D2257" s="10" t="s">
        <v>167</v>
      </c>
      <c r="E2257" s="11" t="s">
        <v>5637</v>
      </c>
      <c r="F2257" s="17"/>
      <c r="G2257" s="12" t="s">
        <v>949</v>
      </c>
      <c r="H2257" s="13" t="n">
        <v>-0.003</v>
      </c>
      <c r="I2257" s="14"/>
      <c r="J2257" s="17"/>
      <c r="K2257" s="9"/>
      <c r="L2257" s="15" t="s">
        <v>50</v>
      </c>
      <c r="M2257" s="16" t="s">
        <v>51</v>
      </c>
      <c r="N2257" s="14"/>
      <c r="O2257" s="15" t="s">
        <v>52</v>
      </c>
      <c r="P2257" s="17" t="s">
        <v>53</v>
      </c>
      <c r="Q2257" s="15"/>
      <c r="R2257" s="18" t="s">
        <v>51</v>
      </c>
      <c r="S2257" s="19"/>
      <c r="T2257" s="17" t="str">
        <f aca="false">IF(R2257="維持",J2257,IF(R2257="排除","無關新聞事件",IFERROR(INDEX(事件規則!$B$2:$B$53,MATCH(S2257,事件規則!$A$2:$A$53,0)),"")))</f>
        <v>無關新聞事件</v>
      </c>
      <c r="U2257" s="20" t="n">
        <f aca="false">IF(R2257="維持",K2257,IF(R2257="排除",0,IFERROR(INDEX(事件規則!$C$2:$C$53,MATCH(S2257,事件規則!$A$2:$A$53,0)),"")))</f>
        <v>0</v>
      </c>
      <c r="V2257" s="21"/>
      <c r="W2257" s="22"/>
      <c r="X2257" s="10" t="str">
        <f aca="false">IF(AND(R2257="修改",S2257=""),"請選新事件代碼",IF(AND(R2257&lt;&gt;"修改",S2257&lt;&gt;""),"只有「修改」才需填代碼",""))</f>
        <v/>
      </c>
      <c r="Y2257" s="21"/>
      <c r="Z2257" s="22"/>
      <c r="AA2257" s="12" t="s">
        <v>5638</v>
      </c>
      <c r="AB2257" s="24"/>
    </row>
    <row r="2258" customFormat="false" ht="29.85" hidden="false" customHeight="false" outlineLevel="0" collapsed="false">
      <c r="A2258" s="15" t="n">
        <v>2257</v>
      </c>
      <c r="B2258" s="9" t="s">
        <v>55</v>
      </c>
      <c r="C2258" s="9" t="s">
        <v>2169</v>
      </c>
      <c r="D2258" s="10" t="s">
        <v>2170</v>
      </c>
      <c r="E2258" s="11" t="s">
        <v>5639</v>
      </c>
      <c r="F2258" s="17"/>
      <c r="G2258" s="12" t="s">
        <v>95</v>
      </c>
      <c r="H2258" s="13" t="n">
        <v>-0.003</v>
      </c>
      <c r="I2258" s="14"/>
      <c r="J2258" s="17"/>
      <c r="K2258" s="9"/>
      <c r="L2258" s="15" t="s">
        <v>50</v>
      </c>
      <c r="M2258" s="16" t="s">
        <v>51</v>
      </c>
      <c r="N2258" s="14"/>
      <c r="O2258" s="15" t="s">
        <v>52</v>
      </c>
      <c r="P2258" s="17" t="s">
        <v>53</v>
      </c>
      <c r="Q2258" s="15"/>
      <c r="R2258" s="18" t="s">
        <v>51</v>
      </c>
      <c r="S2258" s="19"/>
      <c r="T2258" s="17" t="str">
        <f aca="false">IF(R2258="維持",J2258,IF(R2258="排除","無關新聞事件",IFERROR(INDEX(事件規則!$B$2:$B$53,MATCH(S2258,事件規則!$A$2:$A$53,0)),"")))</f>
        <v>無關新聞事件</v>
      </c>
      <c r="U2258" s="20" t="n">
        <f aca="false">IF(R2258="維持",K2258,IF(R2258="排除",0,IFERROR(INDEX(事件規則!$C$2:$C$53,MATCH(S2258,事件規則!$A$2:$A$53,0)),"")))</f>
        <v>0</v>
      </c>
      <c r="V2258" s="21"/>
      <c r="W2258" s="22"/>
      <c r="X2258" s="10" t="str">
        <f aca="false">IF(AND(R2258="修改",S2258=""),"請選新事件代碼",IF(AND(R2258&lt;&gt;"修改",S2258&lt;&gt;""),"只有「修改」才需填代碼",""))</f>
        <v/>
      </c>
      <c r="Y2258" s="21"/>
      <c r="Z2258" s="22"/>
      <c r="AA2258" s="12" t="s">
        <v>5640</v>
      </c>
      <c r="AB2258" s="24"/>
    </row>
    <row r="2259" customFormat="false" ht="29.85" hidden="false" customHeight="false" outlineLevel="0" collapsed="false">
      <c r="A2259" s="15" t="n">
        <v>2258</v>
      </c>
      <c r="B2259" s="9" t="s">
        <v>45</v>
      </c>
      <c r="C2259" s="9" t="s">
        <v>294</v>
      </c>
      <c r="D2259" s="10" t="s">
        <v>295</v>
      </c>
      <c r="E2259" s="11" t="s">
        <v>5641</v>
      </c>
      <c r="F2259" s="17"/>
      <c r="G2259" s="12" t="s">
        <v>5642</v>
      </c>
      <c r="H2259" s="13" t="n">
        <v>-0.003</v>
      </c>
      <c r="I2259" s="14"/>
      <c r="J2259" s="17"/>
      <c r="K2259" s="9"/>
      <c r="L2259" s="15" t="s">
        <v>50</v>
      </c>
      <c r="M2259" s="16" t="s">
        <v>51</v>
      </c>
      <c r="N2259" s="14"/>
      <c r="O2259" s="15" t="s">
        <v>52</v>
      </c>
      <c r="P2259" s="17" t="s">
        <v>53</v>
      </c>
      <c r="Q2259" s="15"/>
      <c r="R2259" s="18" t="s">
        <v>51</v>
      </c>
      <c r="S2259" s="19"/>
      <c r="T2259" s="17" t="str">
        <f aca="false">IF(R2259="維持",J2259,IF(R2259="排除","無關新聞事件",IFERROR(INDEX(事件規則!$B$2:$B$53,MATCH(S2259,事件規則!$A$2:$A$53,0)),"")))</f>
        <v>無關新聞事件</v>
      </c>
      <c r="U2259" s="20" t="n">
        <f aca="false">IF(R2259="維持",K2259,IF(R2259="排除",0,IFERROR(INDEX(事件規則!$C$2:$C$53,MATCH(S2259,事件規則!$A$2:$A$53,0)),"")))</f>
        <v>0</v>
      </c>
      <c r="V2259" s="21"/>
      <c r="W2259" s="22"/>
      <c r="X2259" s="10" t="str">
        <f aca="false">IF(AND(R2259="修改",S2259=""),"請選新事件代碼",IF(AND(R2259&lt;&gt;"修改",S2259&lt;&gt;""),"只有「修改」才需填代碼",""))</f>
        <v/>
      </c>
      <c r="Y2259" s="21"/>
      <c r="Z2259" s="22"/>
      <c r="AA2259" s="12" t="s">
        <v>5643</v>
      </c>
      <c r="AB2259" s="24"/>
    </row>
    <row r="2260" customFormat="false" ht="29.85" hidden="false" customHeight="false" outlineLevel="0" collapsed="false">
      <c r="A2260" s="15" t="n">
        <v>2259</v>
      </c>
      <c r="B2260" s="9" t="s">
        <v>55</v>
      </c>
      <c r="C2260" s="9" t="s">
        <v>355</v>
      </c>
      <c r="D2260" s="10" t="s">
        <v>356</v>
      </c>
      <c r="E2260" s="11" t="s">
        <v>5644</v>
      </c>
      <c r="F2260" s="17"/>
      <c r="G2260" s="12" t="s">
        <v>5492</v>
      </c>
      <c r="H2260" s="13" t="n">
        <v>-0.003</v>
      </c>
      <c r="I2260" s="14"/>
      <c r="J2260" s="17"/>
      <c r="K2260" s="9"/>
      <c r="L2260" s="15" t="s">
        <v>50</v>
      </c>
      <c r="M2260" s="16" t="s">
        <v>51</v>
      </c>
      <c r="N2260" s="14"/>
      <c r="O2260" s="15" t="s">
        <v>52</v>
      </c>
      <c r="P2260" s="17" t="s">
        <v>53</v>
      </c>
      <c r="Q2260" s="15"/>
      <c r="R2260" s="18" t="s">
        <v>51</v>
      </c>
      <c r="S2260" s="19"/>
      <c r="T2260" s="17" t="str">
        <f aca="false">IF(R2260="維持",J2260,IF(R2260="排除","無關新聞事件",IFERROR(INDEX(事件規則!$B$2:$B$53,MATCH(S2260,事件規則!$A$2:$A$53,0)),"")))</f>
        <v>無關新聞事件</v>
      </c>
      <c r="U2260" s="20" t="n">
        <f aca="false">IF(R2260="維持",K2260,IF(R2260="排除",0,IFERROR(INDEX(事件規則!$C$2:$C$53,MATCH(S2260,事件規則!$A$2:$A$53,0)),"")))</f>
        <v>0</v>
      </c>
      <c r="V2260" s="21"/>
      <c r="W2260" s="22"/>
      <c r="X2260" s="10" t="str">
        <f aca="false">IF(AND(R2260="修改",S2260=""),"請選新事件代碼",IF(AND(R2260&lt;&gt;"修改",S2260&lt;&gt;""),"只有「修改」才需填代碼",""))</f>
        <v/>
      </c>
      <c r="Y2260" s="21"/>
      <c r="Z2260" s="22"/>
      <c r="AA2260" s="12" t="s">
        <v>5645</v>
      </c>
      <c r="AB2260" s="24"/>
    </row>
    <row r="2261" customFormat="false" ht="29.85" hidden="false" customHeight="false" outlineLevel="0" collapsed="false">
      <c r="A2261" s="15" t="n">
        <v>2260</v>
      </c>
      <c r="B2261" s="9" t="s">
        <v>55</v>
      </c>
      <c r="C2261" s="9" t="s">
        <v>3141</v>
      </c>
      <c r="D2261" s="10" t="s">
        <v>3142</v>
      </c>
      <c r="E2261" s="11" t="s">
        <v>5646</v>
      </c>
      <c r="F2261" s="17"/>
      <c r="G2261" s="12" t="s">
        <v>105</v>
      </c>
      <c r="H2261" s="13" t="n">
        <v>-0.003</v>
      </c>
      <c r="I2261" s="14"/>
      <c r="J2261" s="17"/>
      <c r="K2261" s="9"/>
      <c r="L2261" s="15" t="s">
        <v>50</v>
      </c>
      <c r="M2261" s="16" t="s">
        <v>51</v>
      </c>
      <c r="N2261" s="14"/>
      <c r="O2261" s="15" t="s">
        <v>52</v>
      </c>
      <c r="P2261" s="17" t="s">
        <v>53</v>
      </c>
      <c r="Q2261" s="15"/>
      <c r="R2261" s="18" t="s">
        <v>51</v>
      </c>
      <c r="S2261" s="19"/>
      <c r="T2261" s="17" t="str">
        <f aca="false">IF(R2261="維持",J2261,IF(R2261="排除","無關新聞事件",IFERROR(INDEX(事件規則!$B$2:$B$53,MATCH(S2261,事件規則!$A$2:$A$53,0)),"")))</f>
        <v>無關新聞事件</v>
      </c>
      <c r="U2261" s="20" t="n">
        <f aca="false">IF(R2261="維持",K2261,IF(R2261="排除",0,IFERROR(INDEX(事件規則!$C$2:$C$53,MATCH(S2261,事件規則!$A$2:$A$53,0)),"")))</f>
        <v>0</v>
      </c>
      <c r="V2261" s="21"/>
      <c r="W2261" s="22"/>
      <c r="X2261" s="10" t="str">
        <f aca="false">IF(AND(R2261="修改",S2261=""),"請選新事件代碼",IF(AND(R2261&lt;&gt;"修改",S2261&lt;&gt;""),"只有「修改」才需填代碼",""))</f>
        <v/>
      </c>
      <c r="Y2261" s="21"/>
      <c r="Z2261" s="22"/>
      <c r="AA2261" s="12" t="s">
        <v>5647</v>
      </c>
      <c r="AB2261" s="24"/>
    </row>
    <row r="2262" customFormat="false" ht="29.85" hidden="false" customHeight="false" outlineLevel="0" collapsed="false">
      <c r="A2262" s="15" t="n">
        <v>2261</v>
      </c>
      <c r="B2262" s="9" t="s">
        <v>81</v>
      </c>
      <c r="C2262" s="9" t="s">
        <v>242</v>
      </c>
      <c r="D2262" s="10" t="s">
        <v>243</v>
      </c>
      <c r="E2262" s="11" t="s">
        <v>5648</v>
      </c>
      <c r="F2262" s="17"/>
      <c r="G2262" s="12" t="s">
        <v>4343</v>
      </c>
      <c r="H2262" s="13" t="n">
        <v>-0.003</v>
      </c>
      <c r="I2262" s="14"/>
      <c r="J2262" s="17"/>
      <c r="K2262" s="9"/>
      <c r="L2262" s="15" t="s">
        <v>50</v>
      </c>
      <c r="M2262" s="16" t="s">
        <v>51</v>
      </c>
      <c r="N2262" s="14"/>
      <c r="O2262" s="15" t="s">
        <v>52</v>
      </c>
      <c r="P2262" s="17" t="s">
        <v>53</v>
      </c>
      <c r="Q2262" s="15"/>
      <c r="R2262" s="18" t="s">
        <v>51</v>
      </c>
      <c r="S2262" s="19"/>
      <c r="T2262" s="17" t="str">
        <f aca="false">IF(R2262="維持",J2262,IF(R2262="排除","無關新聞事件",IFERROR(INDEX(事件規則!$B$2:$B$53,MATCH(S2262,事件規則!$A$2:$A$53,0)),"")))</f>
        <v>無關新聞事件</v>
      </c>
      <c r="U2262" s="20" t="n">
        <f aca="false">IF(R2262="維持",K2262,IF(R2262="排除",0,IFERROR(INDEX(事件規則!$C$2:$C$53,MATCH(S2262,事件規則!$A$2:$A$53,0)),"")))</f>
        <v>0</v>
      </c>
      <c r="V2262" s="21"/>
      <c r="W2262" s="22"/>
      <c r="X2262" s="10" t="str">
        <f aca="false">IF(AND(R2262="修改",S2262=""),"請選新事件代碼",IF(AND(R2262&lt;&gt;"修改",S2262&lt;&gt;""),"只有「修改」才需填代碼",""))</f>
        <v/>
      </c>
      <c r="Y2262" s="21"/>
      <c r="Z2262" s="22"/>
      <c r="AA2262" s="12" t="s">
        <v>5649</v>
      </c>
      <c r="AB2262" s="24"/>
    </row>
    <row r="2263" customFormat="false" ht="29.85" hidden="false" customHeight="false" outlineLevel="0" collapsed="false">
      <c r="A2263" s="15" t="n">
        <v>2262</v>
      </c>
      <c r="B2263" s="9" t="s">
        <v>112</v>
      </c>
      <c r="C2263" s="9" t="s">
        <v>3093</v>
      </c>
      <c r="D2263" s="10" t="s">
        <v>3094</v>
      </c>
      <c r="E2263" s="11" t="s">
        <v>5650</v>
      </c>
      <c r="F2263" s="17"/>
      <c r="G2263" s="12" t="s">
        <v>176</v>
      </c>
      <c r="H2263" s="13" t="n">
        <v>-0.003</v>
      </c>
      <c r="I2263" s="14"/>
      <c r="J2263" s="17"/>
      <c r="K2263" s="9"/>
      <c r="L2263" s="15" t="s">
        <v>50</v>
      </c>
      <c r="M2263" s="16" t="s">
        <v>51</v>
      </c>
      <c r="N2263" s="14"/>
      <c r="O2263" s="15" t="s">
        <v>52</v>
      </c>
      <c r="P2263" s="17" t="s">
        <v>53</v>
      </c>
      <c r="Q2263" s="15"/>
      <c r="R2263" s="18" t="s">
        <v>51</v>
      </c>
      <c r="S2263" s="19"/>
      <c r="T2263" s="17" t="str">
        <f aca="false">IF(R2263="維持",J2263,IF(R2263="排除","無關新聞事件",IFERROR(INDEX(事件規則!$B$2:$B$53,MATCH(S2263,事件規則!$A$2:$A$53,0)),"")))</f>
        <v>無關新聞事件</v>
      </c>
      <c r="U2263" s="20" t="n">
        <f aca="false">IF(R2263="維持",K2263,IF(R2263="排除",0,IFERROR(INDEX(事件規則!$C$2:$C$53,MATCH(S2263,事件規則!$A$2:$A$53,0)),"")))</f>
        <v>0</v>
      </c>
      <c r="V2263" s="21"/>
      <c r="W2263" s="22"/>
      <c r="X2263" s="10" t="str">
        <f aca="false">IF(AND(R2263="修改",S2263=""),"請選新事件代碼",IF(AND(R2263&lt;&gt;"修改",S2263&lt;&gt;""),"只有「修改」才需填代碼",""))</f>
        <v/>
      </c>
      <c r="Y2263" s="21"/>
      <c r="Z2263" s="22"/>
      <c r="AA2263" s="12" t="s">
        <v>5651</v>
      </c>
      <c r="AB2263" s="24"/>
    </row>
    <row r="2264" customFormat="false" ht="29.85" hidden="false" customHeight="false" outlineLevel="0" collapsed="false">
      <c r="A2264" s="15" t="n">
        <v>2263</v>
      </c>
      <c r="B2264" s="9" t="s">
        <v>112</v>
      </c>
      <c r="C2264" s="9" t="s">
        <v>242</v>
      </c>
      <c r="D2264" s="10" t="s">
        <v>243</v>
      </c>
      <c r="E2264" s="11" t="s">
        <v>5652</v>
      </c>
      <c r="F2264" s="17"/>
      <c r="G2264" s="12" t="s">
        <v>949</v>
      </c>
      <c r="H2264" s="13" t="n">
        <v>-0.003</v>
      </c>
      <c r="I2264" s="14"/>
      <c r="J2264" s="17"/>
      <c r="K2264" s="9"/>
      <c r="L2264" s="15" t="s">
        <v>50</v>
      </c>
      <c r="M2264" s="16" t="s">
        <v>51</v>
      </c>
      <c r="N2264" s="14"/>
      <c r="O2264" s="15" t="s">
        <v>52</v>
      </c>
      <c r="P2264" s="17" t="s">
        <v>53</v>
      </c>
      <c r="Q2264" s="15"/>
      <c r="R2264" s="18" t="s">
        <v>51</v>
      </c>
      <c r="S2264" s="19"/>
      <c r="T2264" s="17" t="str">
        <f aca="false">IF(R2264="維持",J2264,IF(R2264="排除","無關新聞事件",IFERROR(INDEX(事件規則!$B$2:$B$53,MATCH(S2264,事件規則!$A$2:$A$53,0)),"")))</f>
        <v>無關新聞事件</v>
      </c>
      <c r="U2264" s="20" t="n">
        <f aca="false">IF(R2264="維持",K2264,IF(R2264="排除",0,IFERROR(INDEX(事件規則!$C$2:$C$53,MATCH(S2264,事件規則!$A$2:$A$53,0)),"")))</f>
        <v>0</v>
      </c>
      <c r="V2264" s="21"/>
      <c r="W2264" s="22"/>
      <c r="X2264" s="10" t="str">
        <f aca="false">IF(AND(R2264="修改",S2264=""),"請選新事件代碼",IF(AND(R2264&lt;&gt;"修改",S2264&lt;&gt;""),"只有「修改」才需填代碼",""))</f>
        <v/>
      </c>
      <c r="Y2264" s="21"/>
      <c r="Z2264" s="22"/>
      <c r="AA2264" s="12" t="s">
        <v>5653</v>
      </c>
      <c r="AB2264" s="24"/>
    </row>
    <row r="2265" customFormat="false" ht="29.85" hidden="false" customHeight="false" outlineLevel="0" collapsed="false">
      <c r="A2265" s="15" t="n">
        <v>2264</v>
      </c>
      <c r="B2265" s="9" t="s">
        <v>55</v>
      </c>
      <c r="C2265" s="9" t="s">
        <v>973</v>
      </c>
      <c r="D2265" s="10" t="s">
        <v>974</v>
      </c>
      <c r="E2265" s="11" t="s">
        <v>5654</v>
      </c>
      <c r="F2265" s="17"/>
      <c r="G2265" s="12" t="s">
        <v>176</v>
      </c>
      <c r="H2265" s="13" t="n">
        <v>-0.003</v>
      </c>
      <c r="I2265" s="14"/>
      <c r="J2265" s="17"/>
      <c r="K2265" s="9"/>
      <c r="L2265" s="15" t="s">
        <v>50</v>
      </c>
      <c r="M2265" s="16" t="s">
        <v>51</v>
      </c>
      <c r="N2265" s="14"/>
      <c r="O2265" s="15" t="s">
        <v>52</v>
      </c>
      <c r="P2265" s="17" t="s">
        <v>53</v>
      </c>
      <c r="Q2265" s="15"/>
      <c r="R2265" s="18" t="s">
        <v>51</v>
      </c>
      <c r="S2265" s="19"/>
      <c r="T2265" s="17" t="str">
        <f aca="false">IF(R2265="維持",J2265,IF(R2265="排除","無關新聞事件",IFERROR(INDEX(事件規則!$B$2:$B$53,MATCH(S2265,事件規則!$A$2:$A$53,0)),"")))</f>
        <v>無關新聞事件</v>
      </c>
      <c r="U2265" s="20" t="n">
        <f aca="false">IF(R2265="維持",K2265,IF(R2265="排除",0,IFERROR(INDEX(事件規則!$C$2:$C$53,MATCH(S2265,事件規則!$A$2:$A$53,0)),"")))</f>
        <v>0</v>
      </c>
      <c r="V2265" s="21"/>
      <c r="W2265" s="22"/>
      <c r="X2265" s="10" t="str">
        <f aca="false">IF(AND(R2265="修改",S2265=""),"請選新事件代碼",IF(AND(R2265&lt;&gt;"修改",S2265&lt;&gt;""),"只有「修改」才需填代碼",""))</f>
        <v/>
      </c>
      <c r="Y2265" s="21"/>
      <c r="Z2265" s="22"/>
      <c r="AA2265" s="12" t="s">
        <v>5655</v>
      </c>
      <c r="AB2265" s="24"/>
    </row>
    <row r="2266" customFormat="false" ht="29.85" hidden="false" customHeight="false" outlineLevel="0" collapsed="false">
      <c r="A2266" s="15" t="n">
        <v>2265</v>
      </c>
      <c r="B2266" s="9" t="s">
        <v>112</v>
      </c>
      <c r="C2266" s="9" t="s">
        <v>1151</v>
      </c>
      <c r="D2266" s="10" t="s">
        <v>1152</v>
      </c>
      <c r="E2266" s="11" t="s">
        <v>5656</v>
      </c>
      <c r="F2266" s="17"/>
      <c r="G2266" s="12" t="s">
        <v>2033</v>
      </c>
      <c r="H2266" s="13" t="n">
        <v>-0.003</v>
      </c>
      <c r="I2266" s="14"/>
      <c r="J2266" s="17"/>
      <c r="K2266" s="9"/>
      <c r="L2266" s="15" t="s">
        <v>50</v>
      </c>
      <c r="M2266" s="16" t="s">
        <v>51</v>
      </c>
      <c r="N2266" s="14"/>
      <c r="O2266" s="15" t="s">
        <v>52</v>
      </c>
      <c r="P2266" s="17" t="s">
        <v>53</v>
      </c>
      <c r="Q2266" s="15"/>
      <c r="R2266" s="18" t="s">
        <v>51</v>
      </c>
      <c r="S2266" s="19"/>
      <c r="T2266" s="17" t="str">
        <f aca="false">IF(R2266="維持",J2266,IF(R2266="排除","無關新聞事件",IFERROR(INDEX(事件規則!$B$2:$B$53,MATCH(S2266,事件規則!$A$2:$A$53,0)),"")))</f>
        <v>無關新聞事件</v>
      </c>
      <c r="U2266" s="20" t="n">
        <f aca="false">IF(R2266="維持",K2266,IF(R2266="排除",0,IFERROR(INDEX(事件規則!$C$2:$C$53,MATCH(S2266,事件規則!$A$2:$A$53,0)),"")))</f>
        <v>0</v>
      </c>
      <c r="V2266" s="21"/>
      <c r="W2266" s="22"/>
      <c r="X2266" s="10" t="str">
        <f aca="false">IF(AND(R2266="修改",S2266=""),"請選新事件代碼",IF(AND(R2266&lt;&gt;"修改",S2266&lt;&gt;""),"只有「修改」才需填代碼",""))</f>
        <v/>
      </c>
      <c r="Y2266" s="21"/>
      <c r="Z2266" s="22"/>
      <c r="AA2266" s="12" t="s">
        <v>5657</v>
      </c>
      <c r="AB2266" s="24"/>
    </row>
    <row r="2267" customFormat="false" ht="29.85" hidden="false" customHeight="false" outlineLevel="0" collapsed="false">
      <c r="A2267" s="15" t="n">
        <v>2266</v>
      </c>
      <c r="B2267" s="9" t="s">
        <v>112</v>
      </c>
      <c r="C2267" s="9" t="s">
        <v>2049</v>
      </c>
      <c r="D2267" s="10" t="s">
        <v>2050</v>
      </c>
      <c r="E2267" s="11" t="s">
        <v>5658</v>
      </c>
      <c r="F2267" s="17"/>
      <c r="G2267" s="12" t="s">
        <v>95</v>
      </c>
      <c r="H2267" s="13" t="n">
        <v>-0.003</v>
      </c>
      <c r="I2267" s="14"/>
      <c r="J2267" s="17"/>
      <c r="K2267" s="9"/>
      <c r="L2267" s="15" t="s">
        <v>50</v>
      </c>
      <c r="M2267" s="16" t="s">
        <v>51</v>
      </c>
      <c r="N2267" s="14"/>
      <c r="O2267" s="15" t="s">
        <v>52</v>
      </c>
      <c r="P2267" s="17" t="s">
        <v>53</v>
      </c>
      <c r="Q2267" s="15"/>
      <c r="R2267" s="18" t="s">
        <v>51</v>
      </c>
      <c r="S2267" s="19"/>
      <c r="T2267" s="17" t="str">
        <f aca="false">IF(R2267="維持",J2267,IF(R2267="排除","無關新聞事件",IFERROR(INDEX(事件規則!$B$2:$B$53,MATCH(S2267,事件規則!$A$2:$A$53,0)),"")))</f>
        <v>無關新聞事件</v>
      </c>
      <c r="U2267" s="20" t="n">
        <f aca="false">IF(R2267="維持",K2267,IF(R2267="排除",0,IFERROR(INDEX(事件規則!$C$2:$C$53,MATCH(S2267,事件規則!$A$2:$A$53,0)),"")))</f>
        <v>0</v>
      </c>
      <c r="V2267" s="21"/>
      <c r="W2267" s="22"/>
      <c r="X2267" s="10" t="str">
        <f aca="false">IF(AND(R2267="修改",S2267=""),"請選新事件代碼",IF(AND(R2267&lt;&gt;"修改",S2267&lt;&gt;""),"只有「修改」才需填代碼",""))</f>
        <v/>
      </c>
      <c r="Y2267" s="21"/>
      <c r="Z2267" s="22"/>
      <c r="AA2267" s="12" t="s">
        <v>5659</v>
      </c>
      <c r="AB2267" s="24"/>
    </row>
    <row r="2268" customFormat="false" ht="29.85" hidden="false" customHeight="false" outlineLevel="0" collapsed="false">
      <c r="A2268" s="15" t="n">
        <v>2267</v>
      </c>
      <c r="B2268" s="9" t="s">
        <v>112</v>
      </c>
      <c r="C2268" s="9" t="s">
        <v>563</v>
      </c>
      <c r="D2268" s="10" t="s">
        <v>564</v>
      </c>
      <c r="E2268" s="11" t="s">
        <v>5660</v>
      </c>
      <c r="F2268" s="17"/>
      <c r="G2268" s="12" t="s">
        <v>4702</v>
      </c>
      <c r="H2268" s="13" t="n">
        <v>-0.003</v>
      </c>
      <c r="I2268" s="14"/>
      <c r="J2268" s="17"/>
      <c r="K2268" s="9"/>
      <c r="L2268" s="15" t="s">
        <v>50</v>
      </c>
      <c r="M2268" s="16" t="s">
        <v>51</v>
      </c>
      <c r="N2268" s="14"/>
      <c r="O2268" s="15" t="s">
        <v>52</v>
      </c>
      <c r="P2268" s="17" t="s">
        <v>53</v>
      </c>
      <c r="Q2268" s="15"/>
      <c r="R2268" s="18" t="s">
        <v>51</v>
      </c>
      <c r="S2268" s="19"/>
      <c r="T2268" s="17" t="str">
        <f aca="false">IF(R2268="維持",J2268,IF(R2268="排除","無關新聞事件",IFERROR(INDEX(事件規則!$B$2:$B$53,MATCH(S2268,事件規則!$A$2:$A$53,0)),"")))</f>
        <v>無關新聞事件</v>
      </c>
      <c r="U2268" s="20" t="n">
        <f aca="false">IF(R2268="維持",K2268,IF(R2268="排除",0,IFERROR(INDEX(事件規則!$C$2:$C$53,MATCH(S2268,事件規則!$A$2:$A$53,0)),"")))</f>
        <v>0</v>
      </c>
      <c r="V2268" s="21"/>
      <c r="W2268" s="22"/>
      <c r="X2268" s="10" t="str">
        <f aca="false">IF(AND(R2268="修改",S2268=""),"請選新事件代碼",IF(AND(R2268&lt;&gt;"修改",S2268&lt;&gt;""),"只有「修改」才需填代碼",""))</f>
        <v/>
      </c>
      <c r="Y2268" s="21"/>
      <c r="Z2268" s="22"/>
      <c r="AA2268" s="12" t="s">
        <v>5661</v>
      </c>
      <c r="AB2268" s="24"/>
    </row>
    <row r="2269" customFormat="false" ht="29.85" hidden="false" customHeight="false" outlineLevel="0" collapsed="false">
      <c r="A2269" s="15" t="n">
        <v>2268</v>
      </c>
      <c r="B2269" s="9" t="s">
        <v>112</v>
      </c>
      <c r="C2269" s="9" t="s">
        <v>987</v>
      </c>
      <c r="D2269" s="10" t="s">
        <v>988</v>
      </c>
      <c r="E2269" s="11" t="s">
        <v>5662</v>
      </c>
      <c r="F2269" s="17"/>
      <c r="G2269" s="12" t="s">
        <v>105</v>
      </c>
      <c r="H2269" s="13" t="n">
        <v>-0.003</v>
      </c>
      <c r="I2269" s="14"/>
      <c r="J2269" s="17"/>
      <c r="K2269" s="9"/>
      <c r="L2269" s="15" t="s">
        <v>50</v>
      </c>
      <c r="M2269" s="16" t="s">
        <v>51</v>
      </c>
      <c r="N2269" s="14"/>
      <c r="O2269" s="15" t="s">
        <v>52</v>
      </c>
      <c r="P2269" s="17" t="s">
        <v>53</v>
      </c>
      <c r="Q2269" s="15"/>
      <c r="R2269" s="18" t="s">
        <v>51</v>
      </c>
      <c r="S2269" s="19"/>
      <c r="T2269" s="17" t="str">
        <f aca="false">IF(R2269="維持",J2269,IF(R2269="排除","無關新聞事件",IFERROR(INDEX(事件規則!$B$2:$B$53,MATCH(S2269,事件規則!$A$2:$A$53,0)),"")))</f>
        <v>無關新聞事件</v>
      </c>
      <c r="U2269" s="20" t="n">
        <f aca="false">IF(R2269="維持",K2269,IF(R2269="排除",0,IFERROR(INDEX(事件規則!$C$2:$C$53,MATCH(S2269,事件規則!$A$2:$A$53,0)),"")))</f>
        <v>0</v>
      </c>
      <c r="V2269" s="21"/>
      <c r="W2269" s="22"/>
      <c r="X2269" s="10" t="str">
        <f aca="false">IF(AND(R2269="修改",S2269=""),"請選新事件代碼",IF(AND(R2269&lt;&gt;"修改",S2269&lt;&gt;""),"只有「修改」才需填代碼",""))</f>
        <v/>
      </c>
      <c r="Y2269" s="21"/>
      <c r="Z2269" s="22"/>
      <c r="AA2269" s="12" t="s">
        <v>5663</v>
      </c>
      <c r="AB2269" s="24"/>
    </row>
    <row r="2270" customFormat="false" ht="29.85" hidden="false" customHeight="false" outlineLevel="0" collapsed="false">
      <c r="A2270" s="15" t="n">
        <v>2269</v>
      </c>
      <c r="B2270" s="9" t="s">
        <v>112</v>
      </c>
      <c r="C2270" s="9" t="s">
        <v>2598</v>
      </c>
      <c r="D2270" s="10" t="s">
        <v>2599</v>
      </c>
      <c r="E2270" s="11" t="s">
        <v>5664</v>
      </c>
      <c r="F2270" s="17"/>
      <c r="G2270" s="12" t="s">
        <v>949</v>
      </c>
      <c r="H2270" s="13" t="n">
        <v>-0.003</v>
      </c>
      <c r="I2270" s="14"/>
      <c r="J2270" s="17"/>
      <c r="K2270" s="9"/>
      <c r="L2270" s="15" t="s">
        <v>50</v>
      </c>
      <c r="M2270" s="16" t="s">
        <v>51</v>
      </c>
      <c r="N2270" s="14"/>
      <c r="O2270" s="15" t="s">
        <v>52</v>
      </c>
      <c r="P2270" s="17" t="s">
        <v>53</v>
      </c>
      <c r="Q2270" s="15"/>
      <c r="R2270" s="18" t="s">
        <v>51</v>
      </c>
      <c r="S2270" s="19"/>
      <c r="T2270" s="17" t="str">
        <f aca="false">IF(R2270="維持",J2270,IF(R2270="排除","無關新聞事件",IFERROR(INDEX(事件規則!$B$2:$B$53,MATCH(S2270,事件規則!$A$2:$A$53,0)),"")))</f>
        <v>無關新聞事件</v>
      </c>
      <c r="U2270" s="20" t="n">
        <f aca="false">IF(R2270="維持",K2270,IF(R2270="排除",0,IFERROR(INDEX(事件規則!$C$2:$C$53,MATCH(S2270,事件規則!$A$2:$A$53,0)),"")))</f>
        <v>0</v>
      </c>
      <c r="V2270" s="21"/>
      <c r="W2270" s="22"/>
      <c r="X2270" s="10" t="str">
        <f aca="false">IF(AND(R2270="修改",S2270=""),"請選新事件代碼",IF(AND(R2270&lt;&gt;"修改",S2270&lt;&gt;""),"只有「修改」才需填代碼",""))</f>
        <v/>
      </c>
      <c r="Y2270" s="21"/>
      <c r="Z2270" s="22"/>
      <c r="AA2270" s="12" t="s">
        <v>5665</v>
      </c>
      <c r="AB2270" s="24"/>
    </row>
    <row r="2271" customFormat="false" ht="29.85" hidden="false" customHeight="false" outlineLevel="0" collapsed="false">
      <c r="A2271" s="15" t="n">
        <v>2270</v>
      </c>
      <c r="B2271" s="9" t="s">
        <v>45</v>
      </c>
      <c r="C2271" s="9" t="s">
        <v>113</v>
      </c>
      <c r="D2271" s="10" t="s">
        <v>114</v>
      </c>
      <c r="E2271" s="11" t="s">
        <v>5666</v>
      </c>
      <c r="F2271" s="17"/>
      <c r="G2271" s="12" t="s">
        <v>142</v>
      </c>
      <c r="H2271" s="13" t="n">
        <v>-0.003</v>
      </c>
      <c r="I2271" s="14"/>
      <c r="J2271" s="17"/>
      <c r="K2271" s="9"/>
      <c r="L2271" s="15" t="s">
        <v>50</v>
      </c>
      <c r="M2271" s="16" t="s">
        <v>51</v>
      </c>
      <c r="N2271" s="14"/>
      <c r="O2271" s="15" t="s">
        <v>52</v>
      </c>
      <c r="P2271" s="17" t="s">
        <v>53</v>
      </c>
      <c r="Q2271" s="15"/>
      <c r="R2271" s="18" t="s">
        <v>51</v>
      </c>
      <c r="S2271" s="19"/>
      <c r="T2271" s="17" t="str">
        <f aca="false">IF(R2271="維持",J2271,IF(R2271="排除","無關新聞事件",IFERROR(INDEX(事件規則!$B$2:$B$53,MATCH(S2271,事件規則!$A$2:$A$53,0)),"")))</f>
        <v>無關新聞事件</v>
      </c>
      <c r="U2271" s="20" t="n">
        <f aca="false">IF(R2271="維持",K2271,IF(R2271="排除",0,IFERROR(INDEX(事件規則!$C$2:$C$53,MATCH(S2271,事件規則!$A$2:$A$53,0)),"")))</f>
        <v>0</v>
      </c>
      <c r="V2271" s="21"/>
      <c r="W2271" s="22"/>
      <c r="X2271" s="10" t="str">
        <f aca="false">IF(AND(R2271="修改",S2271=""),"請選新事件代碼",IF(AND(R2271&lt;&gt;"修改",S2271&lt;&gt;""),"只有「修改」才需填代碼",""))</f>
        <v/>
      </c>
      <c r="Y2271" s="21"/>
      <c r="Z2271" s="22"/>
      <c r="AA2271" s="12" t="s">
        <v>5667</v>
      </c>
      <c r="AB2271" s="24"/>
    </row>
    <row r="2272" customFormat="false" ht="29.85" hidden="false" customHeight="false" outlineLevel="0" collapsed="false">
      <c r="A2272" s="15" t="n">
        <v>2271</v>
      </c>
      <c r="B2272" s="9" t="s">
        <v>112</v>
      </c>
      <c r="C2272" s="9" t="s">
        <v>869</v>
      </c>
      <c r="D2272" s="10" t="s">
        <v>870</v>
      </c>
      <c r="E2272" s="11" t="s">
        <v>5668</v>
      </c>
      <c r="F2272" s="17"/>
      <c r="G2272" s="12" t="s">
        <v>95</v>
      </c>
      <c r="H2272" s="13" t="n">
        <v>-0.003</v>
      </c>
      <c r="I2272" s="14"/>
      <c r="J2272" s="17"/>
      <c r="K2272" s="9"/>
      <c r="L2272" s="15" t="s">
        <v>50</v>
      </c>
      <c r="M2272" s="16" t="s">
        <v>51</v>
      </c>
      <c r="N2272" s="14"/>
      <c r="O2272" s="15" t="s">
        <v>52</v>
      </c>
      <c r="P2272" s="17" t="s">
        <v>53</v>
      </c>
      <c r="Q2272" s="15"/>
      <c r="R2272" s="18" t="s">
        <v>51</v>
      </c>
      <c r="S2272" s="19"/>
      <c r="T2272" s="17" t="str">
        <f aca="false">IF(R2272="維持",J2272,IF(R2272="排除","無關新聞事件",IFERROR(INDEX(事件規則!$B$2:$B$53,MATCH(S2272,事件規則!$A$2:$A$53,0)),"")))</f>
        <v>無關新聞事件</v>
      </c>
      <c r="U2272" s="20" t="n">
        <f aca="false">IF(R2272="維持",K2272,IF(R2272="排除",0,IFERROR(INDEX(事件規則!$C$2:$C$53,MATCH(S2272,事件規則!$A$2:$A$53,0)),"")))</f>
        <v>0</v>
      </c>
      <c r="V2272" s="21"/>
      <c r="W2272" s="22"/>
      <c r="X2272" s="10" t="str">
        <f aca="false">IF(AND(R2272="修改",S2272=""),"請選新事件代碼",IF(AND(R2272&lt;&gt;"修改",S2272&lt;&gt;""),"只有「修改」才需填代碼",""))</f>
        <v/>
      </c>
      <c r="Y2272" s="21"/>
      <c r="Z2272" s="22"/>
      <c r="AA2272" s="12" t="s">
        <v>5669</v>
      </c>
      <c r="AB2272" s="24"/>
    </row>
    <row r="2273" customFormat="false" ht="29.85" hidden="false" customHeight="false" outlineLevel="0" collapsed="false">
      <c r="A2273" s="15" t="n">
        <v>2272</v>
      </c>
      <c r="B2273" s="9" t="s">
        <v>112</v>
      </c>
      <c r="C2273" s="9" t="s">
        <v>2124</v>
      </c>
      <c r="D2273" s="10" t="s">
        <v>2125</v>
      </c>
      <c r="E2273" s="11" t="s">
        <v>5670</v>
      </c>
      <c r="F2273" s="17"/>
      <c r="G2273" s="12" t="s">
        <v>95</v>
      </c>
      <c r="H2273" s="13" t="n">
        <v>-0.003</v>
      </c>
      <c r="I2273" s="14"/>
      <c r="J2273" s="17"/>
      <c r="K2273" s="9"/>
      <c r="L2273" s="15" t="s">
        <v>50</v>
      </c>
      <c r="M2273" s="16" t="s">
        <v>51</v>
      </c>
      <c r="N2273" s="14"/>
      <c r="O2273" s="15" t="s">
        <v>52</v>
      </c>
      <c r="P2273" s="17" t="s">
        <v>53</v>
      </c>
      <c r="Q2273" s="15"/>
      <c r="R2273" s="18" t="s">
        <v>51</v>
      </c>
      <c r="S2273" s="19"/>
      <c r="T2273" s="17" t="str">
        <f aca="false">IF(R2273="維持",J2273,IF(R2273="排除","無關新聞事件",IFERROR(INDEX(事件規則!$B$2:$B$53,MATCH(S2273,事件規則!$A$2:$A$53,0)),"")))</f>
        <v>無關新聞事件</v>
      </c>
      <c r="U2273" s="20" t="n">
        <f aca="false">IF(R2273="維持",K2273,IF(R2273="排除",0,IFERROR(INDEX(事件規則!$C$2:$C$53,MATCH(S2273,事件規則!$A$2:$A$53,0)),"")))</f>
        <v>0</v>
      </c>
      <c r="V2273" s="21"/>
      <c r="W2273" s="22"/>
      <c r="X2273" s="10" t="str">
        <f aca="false">IF(AND(R2273="修改",S2273=""),"請選新事件代碼",IF(AND(R2273&lt;&gt;"修改",S2273&lt;&gt;""),"只有「修改」才需填代碼",""))</f>
        <v/>
      </c>
      <c r="Y2273" s="21"/>
      <c r="Z2273" s="22"/>
      <c r="AA2273" s="12" t="s">
        <v>5671</v>
      </c>
      <c r="AB2273" s="24"/>
    </row>
    <row r="2274" customFormat="false" ht="29.85" hidden="false" customHeight="false" outlineLevel="0" collapsed="false">
      <c r="A2274" s="15" t="n">
        <v>2273</v>
      </c>
      <c r="B2274" s="9" t="s">
        <v>112</v>
      </c>
      <c r="C2274" s="9" t="s">
        <v>2124</v>
      </c>
      <c r="D2274" s="10" t="s">
        <v>2125</v>
      </c>
      <c r="E2274" s="11" t="s">
        <v>5672</v>
      </c>
      <c r="F2274" s="17"/>
      <c r="G2274" s="12" t="s">
        <v>95</v>
      </c>
      <c r="H2274" s="13" t="n">
        <v>-0.003</v>
      </c>
      <c r="I2274" s="14"/>
      <c r="J2274" s="17"/>
      <c r="K2274" s="9"/>
      <c r="L2274" s="15" t="s">
        <v>50</v>
      </c>
      <c r="M2274" s="16" t="s">
        <v>51</v>
      </c>
      <c r="N2274" s="14"/>
      <c r="O2274" s="15" t="s">
        <v>52</v>
      </c>
      <c r="P2274" s="17" t="s">
        <v>53</v>
      </c>
      <c r="Q2274" s="15"/>
      <c r="R2274" s="18" t="s">
        <v>51</v>
      </c>
      <c r="S2274" s="19"/>
      <c r="T2274" s="17" t="str">
        <f aca="false">IF(R2274="維持",J2274,IF(R2274="排除","無關新聞事件",IFERROR(INDEX(事件規則!$B$2:$B$53,MATCH(S2274,事件規則!$A$2:$A$53,0)),"")))</f>
        <v>無關新聞事件</v>
      </c>
      <c r="U2274" s="20" t="n">
        <f aca="false">IF(R2274="維持",K2274,IF(R2274="排除",0,IFERROR(INDEX(事件規則!$C$2:$C$53,MATCH(S2274,事件規則!$A$2:$A$53,0)),"")))</f>
        <v>0</v>
      </c>
      <c r="V2274" s="21"/>
      <c r="W2274" s="22"/>
      <c r="X2274" s="10" t="str">
        <f aca="false">IF(AND(R2274="修改",S2274=""),"請選新事件代碼",IF(AND(R2274&lt;&gt;"修改",S2274&lt;&gt;""),"只有「修改」才需填代碼",""))</f>
        <v/>
      </c>
      <c r="Y2274" s="21"/>
      <c r="Z2274" s="22"/>
      <c r="AA2274" s="12" t="s">
        <v>5673</v>
      </c>
      <c r="AB2274" s="24"/>
    </row>
    <row r="2275" customFormat="false" ht="29.85" hidden="false" customHeight="false" outlineLevel="0" collapsed="false">
      <c r="A2275" s="15" t="n">
        <v>2274</v>
      </c>
      <c r="B2275" s="9" t="s">
        <v>112</v>
      </c>
      <c r="C2275" s="9" t="s">
        <v>550</v>
      </c>
      <c r="D2275" s="10" t="s">
        <v>551</v>
      </c>
      <c r="E2275" s="11" t="s">
        <v>5674</v>
      </c>
      <c r="F2275" s="17"/>
      <c r="G2275" s="12" t="s">
        <v>949</v>
      </c>
      <c r="H2275" s="13" t="n">
        <v>-0.003</v>
      </c>
      <c r="I2275" s="14"/>
      <c r="J2275" s="17"/>
      <c r="K2275" s="9"/>
      <c r="L2275" s="15" t="s">
        <v>50</v>
      </c>
      <c r="M2275" s="16" t="s">
        <v>51</v>
      </c>
      <c r="N2275" s="14"/>
      <c r="O2275" s="15" t="s">
        <v>52</v>
      </c>
      <c r="P2275" s="17" t="s">
        <v>53</v>
      </c>
      <c r="Q2275" s="15"/>
      <c r="R2275" s="18" t="s">
        <v>51</v>
      </c>
      <c r="S2275" s="19"/>
      <c r="T2275" s="17" t="str">
        <f aca="false">IF(R2275="維持",J2275,IF(R2275="排除","無關新聞事件",IFERROR(INDEX(事件規則!$B$2:$B$53,MATCH(S2275,事件規則!$A$2:$A$53,0)),"")))</f>
        <v>無關新聞事件</v>
      </c>
      <c r="U2275" s="20" t="n">
        <f aca="false">IF(R2275="維持",K2275,IF(R2275="排除",0,IFERROR(INDEX(事件規則!$C$2:$C$53,MATCH(S2275,事件規則!$A$2:$A$53,0)),"")))</f>
        <v>0</v>
      </c>
      <c r="V2275" s="21"/>
      <c r="W2275" s="22"/>
      <c r="X2275" s="10" t="str">
        <f aca="false">IF(AND(R2275="修改",S2275=""),"請選新事件代碼",IF(AND(R2275&lt;&gt;"修改",S2275&lt;&gt;""),"只有「修改」才需填代碼",""))</f>
        <v/>
      </c>
      <c r="Y2275" s="21"/>
      <c r="Z2275" s="22"/>
      <c r="AA2275" s="12" t="s">
        <v>5675</v>
      </c>
      <c r="AB2275" s="24"/>
    </row>
    <row r="2276" customFormat="false" ht="29.85" hidden="false" customHeight="false" outlineLevel="0" collapsed="false">
      <c r="A2276" s="15" t="n">
        <v>2275</v>
      </c>
      <c r="B2276" s="9" t="s">
        <v>112</v>
      </c>
      <c r="C2276" s="9" t="s">
        <v>268</v>
      </c>
      <c r="D2276" s="10" t="s">
        <v>269</v>
      </c>
      <c r="E2276" s="11" t="s">
        <v>5676</v>
      </c>
      <c r="F2276" s="17"/>
      <c r="G2276" s="12" t="s">
        <v>176</v>
      </c>
      <c r="H2276" s="13" t="n">
        <v>-0.003</v>
      </c>
      <c r="I2276" s="14"/>
      <c r="J2276" s="17"/>
      <c r="K2276" s="9"/>
      <c r="L2276" s="15" t="s">
        <v>50</v>
      </c>
      <c r="M2276" s="16" t="s">
        <v>51</v>
      </c>
      <c r="N2276" s="14"/>
      <c r="O2276" s="15" t="s">
        <v>52</v>
      </c>
      <c r="P2276" s="17" t="s">
        <v>53</v>
      </c>
      <c r="Q2276" s="15"/>
      <c r="R2276" s="18" t="s">
        <v>51</v>
      </c>
      <c r="S2276" s="19"/>
      <c r="T2276" s="17" t="str">
        <f aca="false">IF(R2276="維持",J2276,IF(R2276="排除","無關新聞事件",IFERROR(INDEX(事件規則!$B$2:$B$53,MATCH(S2276,事件規則!$A$2:$A$53,0)),"")))</f>
        <v>無關新聞事件</v>
      </c>
      <c r="U2276" s="20" t="n">
        <f aca="false">IF(R2276="維持",K2276,IF(R2276="排除",0,IFERROR(INDEX(事件規則!$C$2:$C$53,MATCH(S2276,事件規則!$A$2:$A$53,0)),"")))</f>
        <v>0</v>
      </c>
      <c r="V2276" s="21"/>
      <c r="W2276" s="22"/>
      <c r="X2276" s="10" t="str">
        <f aca="false">IF(AND(R2276="修改",S2276=""),"請選新事件代碼",IF(AND(R2276&lt;&gt;"修改",S2276&lt;&gt;""),"只有「修改」才需填代碼",""))</f>
        <v/>
      </c>
      <c r="Y2276" s="21"/>
      <c r="Z2276" s="22"/>
      <c r="AA2276" s="12" t="s">
        <v>5677</v>
      </c>
      <c r="AB2276" s="24"/>
    </row>
    <row r="2277" customFormat="false" ht="29.85" hidden="false" customHeight="false" outlineLevel="0" collapsed="false">
      <c r="A2277" s="15" t="n">
        <v>2276</v>
      </c>
      <c r="B2277" s="9" t="s">
        <v>112</v>
      </c>
      <c r="C2277" s="9" t="s">
        <v>1672</v>
      </c>
      <c r="D2277" s="10" t="s">
        <v>1673</v>
      </c>
      <c r="E2277" s="11" t="s">
        <v>5678</v>
      </c>
      <c r="F2277" s="17"/>
      <c r="G2277" s="12" t="s">
        <v>176</v>
      </c>
      <c r="H2277" s="13" t="n">
        <v>-0.003</v>
      </c>
      <c r="I2277" s="14"/>
      <c r="J2277" s="17"/>
      <c r="K2277" s="9"/>
      <c r="L2277" s="15" t="s">
        <v>50</v>
      </c>
      <c r="M2277" s="16" t="s">
        <v>51</v>
      </c>
      <c r="N2277" s="14"/>
      <c r="O2277" s="15" t="s">
        <v>52</v>
      </c>
      <c r="P2277" s="17" t="s">
        <v>53</v>
      </c>
      <c r="Q2277" s="15"/>
      <c r="R2277" s="18" t="s">
        <v>51</v>
      </c>
      <c r="S2277" s="19"/>
      <c r="T2277" s="17" t="str">
        <f aca="false">IF(R2277="維持",J2277,IF(R2277="排除","無關新聞事件",IFERROR(INDEX(事件規則!$B$2:$B$53,MATCH(S2277,事件規則!$A$2:$A$53,0)),"")))</f>
        <v>無關新聞事件</v>
      </c>
      <c r="U2277" s="20" t="n">
        <f aca="false">IF(R2277="維持",K2277,IF(R2277="排除",0,IFERROR(INDEX(事件規則!$C$2:$C$53,MATCH(S2277,事件規則!$A$2:$A$53,0)),"")))</f>
        <v>0</v>
      </c>
      <c r="V2277" s="21"/>
      <c r="W2277" s="22"/>
      <c r="X2277" s="10" t="str">
        <f aca="false">IF(AND(R2277="修改",S2277=""),"請選新事件代碼",IF(AND(R2277&lt;&gt;"修改",S2277&lt;&gt;""),"只有「修改」才需填代碼",""))</f>
        <v/>
      </c>
      <c r="Y2277" s="21"/>
      <c r="Z2277" s="22"/>
      <c r="AA2277" s="12" t="s">
        <v>5679</v>
      </c>
      <c r="AB2277" s="24"/>
    </row>
    <row r="2278" customFormat="false" ht="29.85" hidden="false" customHeight="false" outlineLevel="0" collapsed="false">
      <c r="A2278" s="15" t="n">
        <v>2277</v>
      </c>
      <c r="B2278" s="9" t="s">
        <v>45</v>
      </c>
      <c r="C2278" s="9" t="s">
        <v>3916</v>
      </c>
      <c r="D2278" s="10" t="s">
        <v>3917</v>
      </c>
      <c r="E2278" s="11" t="s">
        <v>5680</v>
      </c>
      <c r="F2278" s="17"/>
      <c r="G2278" s="12" t="s">
        <v>4343</v>
      </c>
      <c r="H2278" s="13" t="n">
        <v>-0.003</v>
      </c>
      <c r="I2278" s="14"/>
      <c r="J2278" s="17"/>
      <c r="K2278" s="9"/>
      <c r="L2278" s="15" t="s">
        <v>50</v>
      </c>
      <c r="M2278" s="16" t="s">
        <v>51</v>
      </c>
      <c r="N2278" s="14"/>
      <c r="O2278" s="15" t="s">
        <v>52</v>
      </c>
      <c r="P2278" s="17" t="s">
        <v>53</v>
      </c>
      <c r="Q2278" s="15"/>
      <c r="R2278" s="18" t="s">
        <v>51</v>
      </c>
      <c r="S2278" s="19"/>
      <c r="T2278" s="17" t="str">
        <f aca="false">IF(R2278="維持",J2278,IF(R2278="排除","無關新聞事件",IFERROR(INDEX(事件規則!$B$2:$B$53,MATCH(S2278,事件規則!$A$2:$A$53,0)),"")))</f>
        <v>無關新聞事件</v>
      </c>
      <c r="U2278" s="20" t="n">
        <f aca="false">IF(R2278="維持",K2278,IF(R2278="排除",0,IFERROR(INDEX(事件規則!$C$2:$C$53,MATCH(S2278,事件規則!$A$2:$A$53,0)),"")))</f>
        <v>0</v>
      </c>
      <c r="V2278" s="21"/>
      <c r="W2278" s="22"/>
      <c r="X2278" s="10" t="str">
        <f aca="false">IF(AND(R2278="修改",S2278=""),"請選新事件代碼",IF(AND(R2278&lt;&gt;"修改",S2278&lt;&gt;""),"只有「修改」才需填代碼",""))</f>
        <v/>
      </c>
      <c r="Y2278" s="21"/>
      <c r="Z2278" s="22"/>
      <c r="AA2278" s="12" t="s">
        <v>5681</v>
      </c>
      <c r="AB2278" s="24"/>
    </row>
    <row r="2279" customFormat="false" ht="29.85" hidden="false" customHeight="false" outlineLevel="0" collapsed="false">
      <c r="A2279" s="15" t="n">
        <v>2278</v>
      </c>
      <c r="B2279" s="9" t="s">
        <v>45</v>
      </c>
      <c r="C2279" s="9" t="s">
        <v>156</v>
      </c>
      <c r="D2279" s="10" t="s">
        <v>157</v>
      </c>
      <c r="E2279" s="11" t="s">
        <v>5682</v>
      </c>
      <c r="F2279" s="17"/>
      <c r="G2279" s="12" t="s">
        <v>95</v>
      </c>
      <c r="H2279" s="13" t="n">
        <v>-0.003</v>
      </c>
      <c r="I2279" s="14"/>
      <c r="J2279" s="17"/>
      <c r="K2279" s="9"/>
      <c r="L2279" s="15" t="s">
        <v>50</v>
      </c>
      <c r="M2279" s="16" t="s">
        <v>51</v>
      </c>
      <c r="N2279" s="14"/>
      <c r="O2279" s="15" t="s">
        <v>52</v>
      </c>
      <c r="P2279" s="17" t="s">
        <v>53</v>
      </c>
      <c r="Q2279" s="15"/>
      <c r="R2279" s="18" t="s">
        <v>51</v>
      </c>
      <c r="S2279" s="19"/>
      <c r="T2279" s="17" t="str">
        <f aca="false">IF(R2279="維持",J2279,IF(R2279="排除","無關新聞事件",IFERROR(INDEX(事件規則!$B$2:$B$53,MATCH(S2279,事件規則!$A$2:$A$53,0)),"")))</f>
        <v>無關新聞事件</v>
      </c>
      <c r="U2279" s="20" t="n">
        <f aca="false">IF(R2279="維持",K2279,IF(R2279="排除",0,IFERROR(INDEX(事件規則!$C$2:$C$53,MATCH(S2279,事件規則!$A$2:$A$53,0)),"")))</f>
        <v>0</v>
      </c>
      <c r="V2279" s="21"/>
      <c r="W2279" s="22"/>
      <c r="X2279" s="10" t="str">
        <f aca="false">IF(AND(R2279="修改",S2279=""),"請選新事件代碼",IF(AND(R2279&lt;&gt;"修改",S2279&lt;&gt;""),"只有「修改」才需填代碼",""))</f>
        <v/>
      </c>
      <c r="Y2279" s="21"/>
      <c r="Z2279" s="22"/>
      <c r="AA2279" s="12" t="s">
        <v>5683</v>
      </c>
      <c r="AB2279" s="24"/>
    </row>
    <row r="2280" customFormat="false" ht="29.85" hidden="false" customHeight="false" outlineLevel="0" collapsed="false">
      <c r="A2280" s="15" t="n">
        <v>2279</v>
      </c>
      <c r="B2280" s="9" t="s">
        <v>45</v>
      </c>
      <c r="C2280" s="9" t="s">
        <v>2219</v>
      </c>
      <c r="D2280" s="10" t="s">
        <v>2220</v>
      </c>
      <c r="E2280" s="11" t="s">
        <v>5684</v>
      </c>
      <c r="F2280" s="17"/>
      <c r="G2280" s="12" t="s">
        <v>95</v>
      </c>
      <c r="H2280" s="13" t="n">
        <v>-0.003</v>
      </c>
      <c r="I2280" s="14"/>
      <c r="J2280" s="17"/>
      <c r="K2280" s="9"/>
      <c r="L2280" s="15" t="s">
        <v>50</v>
      </c>
      <c r="M2280" s="16" t="s">
        <v>51</v>
      </c>
      <c r="N2280" s="14"/>
      <c r="O2280" s="15" t="s">
        <v>52</v>
      </c>
      <c r="P2280" s="17" t="s">
        <v>53</v>
      </c>
      <c r="Q2280" s="15"/>
      <c r="R2280" s="18" t="s">
        <v>51</v>
      </c>
      <c r="S2280" s="19"/>
      <c r="T2280" s="17" t="str">
        <f aca="false">IF(R2280="維持",J2280,IF(R2280="排除","無關新聞事件",IFERROR(INDEX(事件規則!$B$2:$B$53,MATCH(S2280,事件規則!$A$2:$A$53,0)),"")))</f>
        <v>無關新聞事件</v>
      </c>
      <c r="U2280" s="20" t="n">
        <f aca="false">IF(R2280="維持",K2280,IF(R2280="排除",0,IFERROR(INDEX(事件規則!$C$2:$C$53,MATCH(S2280,事件規則!$A$2:$A$53,0)),"")))</f>
        <v>0</v>
      </c>
      <c r="V2280" s="21"/>
      <c r="W2280" s="22"/>
      <c r="X2280" s="10" t="str">
        <f aca="false">IF(AND(R2280="修改",S2280=""),"請選新事件代碼",IF(AND(R2280&lt;&gt;"修改",S2280&lt;&gt;""),"只有「修改」才需填代碼",""))</f>
        <v/>
      </c>
      <c r="Y2280" s="21"/>
      <c r="Z2280" s="22"/>
      <c r="AA2280" s="12" t="s">
        <v>5685</v>
      </c>
      <c r="AB2280" s="24"/>
    </row>
    <row r="2281" customFormat="false" ht="29.85" hidden="false" customHeight="false" outlineLevel="0" collapsed="false">
      <c r="A2281" s="15" t="n">
        <v>2280</v>
      </c>
      <c r="B2281" s="9" t="s">
        <v>45</v>
      </c>
      <c r="C2281" s="9" t="s">
        <v>144</v>
      </c>
      <c r="D2281" s="10" t="s">
        <v>145</v>
      </c>
      <c r="E2281" s="11" t="s">
        <v>5686</v>
      </c>
      <c r="F2281" s="17"/>
      <c r="G2281" s="12" t="s">
        <v>949</v>
      </c>
      <c r="H2281" s="13" t="n">
        <v>-0.003</v>
      </c>
      <c r="I2281" s="14"/>
      <c r="J2281" s="17"/>
      <c r="K2281" s="9"/>
      <c r="L2281" s="15" t="s">
        <v>50</v>
      </c>
      <c r="M2281" s="16" t="s">
        <v>51</v>
      </c>
      <c r="N2281" s="14"/>
      <c r="O2281" s="15" t="s">
        <v>52</v>
      </c>
      <c r="P2281" s="17" t="s">
        <v>53</v>
      </c>
      <c r="Q2281" s="15"/>
      <c r="R2281" s="18" t="s">
        <v>51</v>
      </c>
      <c r="S2281" s="19"/>
      <c r="T2281" s="17" t="str">
        <f aca="false">IF(R2281="維持",J2281,IF(R2281="排除","無關新聞事件",IFERROR(INDEX(事件規則!$B$2:$B$53,MATCH(S2281,事件規則!$A$2:$A$53,0)),"")))</f>
        <v>無關新聞事件</v>
      </c>
      <c r="U2281" s="20" t="n">
        <f aca="false">IF(R2281="維持",K2281,IF(R2281="排除",0,IFERROR(INDEX(事件規則!$C$2:$C$53,MATCH(S2281,事件規則!$A$2:$A$53,0)),"")))</f>
        <v>0</v>
      </c>
      <c r="V2281" s="21"/>
      <c r="W2281" s="22"/>
      <c r="X2281" s="10" t="str">
        <f aca="false">IF(AND(R2281="修改",S2281=""),"請選新事件代碼",IF(AND(R2281&lt;&gt;"修改",S2281&lt;&gt;""),"只有「修改」才需填代碼",""))</f>
        <v/>
      </c>
      <c r="Y2281" s="21"/>
      <c r="Z2281" s="22"/>
      <c r="AA2281" s="12" t="s">
        <v>5687</v>
      </c>
      <c r="AB2281" s="24"/>
    </row>
    <row r="2282" customFormat="false" ht="29.85" hidden="false" customHeight="false" outlineLevel="0" collapsed="false">
      <c r="A2282" s="15" t="n">
        <v>2281</v>
      </c>
      <c r="B2282" s="9" t="s">
        <v>45</v>
      </c>
      <c r="C2282" s="9" t="s">
        <v>303</v>
      </c>
      <c r="D2282" s="10" t="s">
        <v>304</v>
      </c>
      <c r="E2282" s="11" t="s">
        <v>5688</v>
      </c>
      <c r="F2282" s="17"/>
      <c r="G2282" s="12" t="s">
        <v>49</v>
      </c>
      <c r="H2282" s="13" t="n">
        <v>-0.003</v>
      </c>
      <c r="I2282" s="14"/>
      <c r="J2282" s="17"/>
      <c r="K2282" s="9"/>
      <c r="L2282" s="15" t="s">
        <v>50</v>
      </c>
      <c r="M2282" s="16" t="s">
        <v>51</v>
      </c>
      <c r="N2282" s="14"/>
      <c r="O2282" s="15" t="s">
        <v>52</v>
      </c>
      <c r="P2282" s="17" t="s">
        <v>53</v>
      </c>
      <c r="Q2282" s="15"/>
      <c r="R2282" s="18" t="s">
        <v>51</v>
      </c>
      <c r="S2282" s="19"/>
      <c r="T2282" s="17" t="str">
        <f aca="false">IF(R2282="維持",J2282,IF(R2282="排除","無關新聞事件",IFERROR(INDEX(事件規則!$B$2:$B$53,MATCH(S2282,事件規則!$A$2:$A$53,0)),"")))</f>
        <v>無關新聞事件</v>
      </c>
      <c r="U2282" s="20" t="n">
        <f aca="false">IF(R2282="維持",K2282,IF(R2282="排除",0,IFERROR(INDEX(事件規則!$C$2:$C$53,MATCH(S2282,事件規則!$A$2:$A$53,0)),"")))</f>
        <v>0</v>
      </c>
      <c r="V2282" s="21"/>
      <c r="W2282" s="22"/>
      <c r="X2282" s="10" t="str">
        <f aca="false">IF(AND(R2282="修改",S2282=""),"請選新事件代碼",IF(AND(R2282&lt;&gt;"修改",S2282&lt;&gt;""),"只有「修改」才需填代碼",""))</f>
        <v/>
      </c>
      <c r="Y2282" s="21"/>
      <c r="Z2282" s="22"/>
      <c r="AA2282" s="12" t="s">
        <v>5689</v>
      </c>
      <c r="AB2282" s="24"/>
    </row>
    <row r="2283" customFormat="false" ht="29.85" hidden="false" customHeight="false" outlineLevel="0" collapsed="false">
      <c r="A2283" s="15" t="n">
        <v>2282</v>
      </c>
      <c r="B2283" s="9" t="s">
        <v>81</v>
      </c>
      <c r="C2283" s="9" t="s">
        <v>355</v>
      </c>
      <c r="D2283" s="10" t="s">
        <v>356</v>
      </c>
      <c r="E2283" s="11" t="s">
        <v>5690</v>
      </c>
      <c r="F2283" s="17"/>
      <c r="G2283" s="12" t="s">
        <v>5691</v>
      </c>
      <c r="H2283" s="13" t="n">
        <v>-0.003</v>
      </c>
      <c r="I2283" s="14"/>
      <c r="J2283" s="17"/>
      <c r="K2283" s="9"/>
      <c r="L2283" s="15" t="s">
        <v>50</v>
      </c>
      <c r="M2283" s="16" t="s">
        <v>51</v>
      </c>
      <c r="N2283" s="14"/>
      <c r="O2283" s="15" t="s">
        <v>52</v>
      </c>
      <c r="P2283" s="17" t="s">
        <v>53</v>
      </c>
      <c r="Q2283" s="15"/>
      <c r="R2283" s="18" t="s">
        <v>51</v>
      </c>
      <c r="S2283" s="19"/>
      <c r="T2283" s="17" t="str">
        <f aca="false">IF(R2283="維持",J2283,IF(R2283="排除","無關新聞事件",IFERROR(INDEX(事件規則!$B$2:$B$53,MATCH(S2283,事件規則!$A$2:$A$53,0)),"")))</f>
        <v>無關新聞事件</v>
      </c>
      <c r="U2283" s="20" t="n">
        <f aca="false">IF(R2283="維持",K2283,IF(R2283="排除",0,IFERROR(INDEX(事件規則!$C$2:$C$53,MATCH(S2283,事件規則!$A$2:$A$53,0)),"")))</f>
        <v>0</v>
      </c>
      <c r="V2283" s="21"/>
      <c r="W2283" s="22"/>
      <c r="X2283" s="10" t="str">
        <f aca="false">IF(AND(R2283="修改",S2283=""),"請選新事件代碼",IF(AND(R2283&lt;&gt;"修改",S2283&lt;&gt;""),"只有「修改」才需填代碼",""))</f>
        <v/>
      </c>
      <c r="Y2283" s="21"/>
      <c r="Z2283" s="22"/>
      <c r="AA2283" s="12" t="s">
        <v>5692</v>
      </c>
      <c r="AB2283" s="24"/>
    </row>
    <row r="2284" customFormat="false" ht="29.85" hidden="false" customHeight="false" outlineLevel="0" collapsed="false">
      <c r="A2284" s="15" t="n">
        <v>2283</v>
      </c>
      <c r="B2284" s="9" t="s">
        <v>45</v>
      </c>
      <c r="C2284" s="9" t="s">
        <v>2697</v>
      </c>
      <c r="D2284" s="10" t="s">
        <v>2698</v>
      </c>
      <c r="E2284" s="11" t="s">
        <v>5693</v>
      </c>
      <c r="F2284" s="17"/>
      <c r="G2284" s="12" t="s">
        <v>1136</v>
      </c>
      <c r="H2284" s="13" t="n">
        <v>-0.003</v>
      </c>
      <c r="I2284" s="14"/>
      <c r="J2284" s="17"/>
      <c r="K2284" s="9"/>
      <c r="L2284" s="15" t="s">
        <v>50</v>
      </c>
      <c r="M2284" s="16" t="s">
        <v>51</v>
      </c>
      <c r="N2284" s="14"/>
      <c r="O2284" s="15" t="s">
        <v>52</v>
      </c>
      <c r="P2284" s="17" t="s">
        <v>53</v>
      </c>
      <c r="Q2284" s="15"/>
      <c r="R2284" s="18" t="s">
        <v>51</v>
      </c>
      <c r="S2284" s="19"/>
      <c r="T2284" s="17" t="str">
        <f aca="false">IF(R2284="維持",J2284,IF(R2284="排除","無關新聞事件",IFERROR(INDEX(事件規則!$B$2:$B$53,MATCH(S2284,事件規則!$A$2:$A$53,0)),"")))</f>
        <v>無關新聞事件</v>
      </c>
      <c r="U2284" s="20" t="n">
        <f aca="false">IF(R2284="維持",K2284,IF(R2284="排除",0,IFERROR(INDEX(事件規則!$C$2:$C$53,MATCH(S2284,事件規則!$A$2:$A$53,0)),"")))</f>
        <v>0</v>
      </c>
      <c r="V2284" s="21"/>
      <c r="W2284" s="22"/>
      <c r="X2284" s="10" t="str">
        <f aca="false">IF(AND(R2284="修改",S2284=""),"請選新事件代碼",IF(AND(R2284&lt;&gt;"修改",S2284&lt;&gt;""),"只有「修改」才需填代碼",""))</f>
        <v/>
      </c>
      <c r="Y2284" s="21"/>
      <c r="Z2284" s="22"/>
      <c r="AA2284" s="12" t="s">
        <v>5694</v>
      </c>
      <c r="AB2284" s="24"/>
    </row>
    <row r="2285" customFormat="false" ht="29.85" hidden="false" customHeight="false" outlineLevel="0" collapsed="false">
      <c r="A2285" s="15" t="n">
        <v>2284</v>
      </c>
      <c r="B2285" s="9" t="s">
        <v>45</v>
      </c>
      <c r="C2285" s="9" t="s">
        <v>113</v>
      </c>
      <c r="D2285" s="10" t="s">
        <v>114</v>
      </c>
      <c r="E2285" s="11" t="s">
        <v>5695</v>
      </c>
      <c r="F2285" s="17"/>
      <c r="G2285" s="12" t="s">
        <v>949</v>
      </c>
      <c r="H2285" s="13" t="n">
        <v>-0.003</v>
      </c>
      <c r="I2285" s="14"/>
      <c r="J2285" s="17"/>
      <c r="K2285" s="9"/>
      <c r="L2285" s="15" t="s">
        <v>50</v>
      </c>
      <c r="M2285" s="16" t="s">
        <v>51</v>
      </c>
      <c r="N2285" s="14"/>
      <c r="O2285" s="15" t="s">
        <v>52</v>
      </c>
      <c r="P2285" s="17" t="s">
        <v>53</v>
      </c>
      <c r="Q2285" s="15"/>
      <c r="R2285" s="18" t="s">
        <v>51</v>
      </c>
      <c r="S2285" s="19"/>
      <c r="T2285" s="17" t="str">
        <f aca="false">IF(R2285="維持",J2285,IF(R2285="排除","無關新聞事件",IFERROR(INDEX(事件規則!$B$2:$B$53,MATCH(S2285,事件規則!$A$2:$A$53,0)),"")))</f>
        <v>無關新聞事件</v>
      </c>
      <c r="U2285" s="20" t="n">
        <f aca="false">IF(R2285="維持",K2285,IF(R2285="排除",0,IFERROR(INDEX(事件規則!$C$2:$C$53,MATCH(S2285,事件規則!$A$2:$A$53,0)),"")))</f>
        <v>0</v>
      </c>
      <c r="V2285" s="21"/>
      <c r="W2285" s="22"/>
      <c r="X2285" s="10" t="str">
        <f aca="false">IF(AND(R2285="修改",S2285=""),"請選新事件代碼",IF(AND(R2285&lt;&gt;"修改",S2285&lt;&gt;""),"只有「修改」才需填代碼",""))</f>
        <v/>
      </c>
      <c r="Y2285" s="21"/>
      <c r="Z2285" s="22"/>
      <c r="AA2285" s="12" t="s">
        <v>5696</v>
      </c>
      <c r="AB2285" s="24"/>
    </row>
    <row r="2286" customFormat="false" ht="29.85" hidden="false" customHeight="false" outlineLevel="0" collapsed="false">
      <c r="A2286" s="15" t="n">
        <v>2285</v>
      </c>
      <c r="B2286" s="9" t="s">
        <v>55</v>
      </c>
      <c r="C2286" s="9" t="s">
        <v>289</v>
      </c>
      <c r="D2286" s="10" t="s">
        <v>290</v>
      </c>
      <c r="E2286" s="11" t="s">
        <v>5697</v>
      </c>
      <c r="F2286" s="17"/>
      <c r="G2286" s="12" t="s">
        <v>176</v>
      </c>
      <c r="H2286" s="13" t="n">
        <v>-0.003</v>
      </c>
      <c r="I2286" s="14"/>
      <c r="J2286" s="17"/>
      <c r="K2286" s="9"/>
      <c r="L2286" s="15" t="s">
        <v>50</v>
      </c>
      <c r="M2286" s="16" t="s">
        <v>51</v>
      </c>
      <c r="N2286" s="14"/>
      <c r="O2286" s="15" t="s">
        <v>52</v>
      </c>
      <c r="P2286" s="17" t="s">
        <v>53</v>
      </c>
      <c r="Q2286" s="15"/>
      <c r="R2286" s="18" t="s">
        <v>51</v>
      </c>
      <c r="S2286" s="19"/>
      <c r="T2286" s="17" t="str">
        <f aca="false">IF(R2286="維持",J2286,IF(R2286="排除","無關新聞事件",IFERROR(INDEX(事件規則!$B$2:$B$53,MATCH(S2286,事件規則!$A$2:$A$53,0)),"")))</f>
        <v>無關新聞事件</v>
      </c>
      <c r="U2286" s="20" t="n">
        <f aca="false">IF(R2286="維持",K2286,IF(R2286="排除",0,IFERROR(INDEX(事件規則!$C$2:$C$53,MATCH(S2286,事件規則!$A$2:$A$53,0)),"")))</f>
        <v>0</v>
      </c>
      <c r="V2286" s="21"/>
      <c r="W2286" s="22"/>
      <c r="X2286" s="10" t="str">
        <f aca="false">IF(AND(R2286="修改",S2286=""),"請選新事件代碼",IF(AND(R2286&lt;&gt;"修改",S2286&lt;&gt;""),"只有「修改」才需填代碼",""))</f>
        <v/>
      </c>
      <c r="Y2286" s="21"/>
      <c r="Z2286" s="22"/>
      <c r="AA2286" s="12" t="s">
        <v>5698</v>
      </c>
      <c r="AB2286" s="24"/>
    </row>
    <row r="2287" customFormat="false" ht="29.85" hidden="false" customHeight="false" outlineLevel="0" collapsed="false">
      <c r="A2287" s="15" t="n">
        <v>2286</v>
      </c>
      <c r="B2287" s="9" t="s">
        <v>45</v>
      </c>
      <c r="C2287" s="9" t="s">
        <v>740</v>
      </c>
      <c r="D2287" s="10" t="s">
        <v>741</v>
      </c>
      <c r="E2287" s="11" t="s">
        <v>5699</v>
      </c>
      <c r="F2287" s="17"/>
      <c r="G2287" s="12" t="s">
        <v>4702</v>
      </c>
      <c r="H2287" s="13" t="n">
        <v>-0.003</v>
      </c>
      <c r="I2287" s="14"/>
      <c r="J2287" s="17"/>
      <c r="K2287" s="9"/>
      <c r="L2287" s="15" t="s">
        <v>50</v>
      </c>
      <c r="M2287" s="16" t="s">
        <v>51</v>
      </c>
      <c r="N2287" s="14"/>
      <c r="O2287" s="15" t="s">
        <v>52</v>
      </c>
      <c r="P2287" s="17" t="s">
        <v>53</v>
      </c>
      <c r="Q2287" s="15"/>
      <c r="R2287" s="18" t="s">
        <v>51</v>
      </c>
      <c r="S2287" s="19"/>
      <c r="T2287" s="17" t="str">
        <f aca="false">IF(R2287="維持",J2287,IF(R2287="排除","無關新聞事件",IFERROR(INDEX(事件規則!$B$2:$B$53,MATCH(S2287,事件規則!$A$2:$A$53,0)),"")))</f>
        <v>無關新聞事件</v>
      </c>
      <c r="U2287" s="20" t="n">
        <f aca="false">IF(R2287="維持",K2287,IF(R2287="排除",0,IFERROR(INDEX(事件規則!$C$2:$C$53,MATCH(S2287,事件規則!$A$2:$A$53,0)),"")))</f>
        <v>0</v>
      </c>
      <c r="V2287" s="21"/>
      <c r="W2287" s="22"/>
      <c r="X2287" s="10" t="str">
        <f aca="false">IF(AND(R2287="修改",S2287=""),"請選新事件代碼",IF(AND(R2287&lt;&gt;"修改",S2287&lt;&gt;""),"只有「修改」才需填代碼",""))</f>
        <v/>
      </c>
      <c r="Y2287" s="21"/>
      <c r="Z2287" s="22"/>
      <c r="AA2287" s="12" t="s">
        <v>5700</v>
      </c>
      <c r="AB2287" s="24"/>
    </row>
    <row r="2288" customFormat="false" ht="29.85" hidden="false" customHeight="false" outlineLevel="0" collapsed="false">
      <c r="A2288" s="15" t="n">
        <v>2287</v>
      </c>
      <c r="B2288" s="9" t="s">
        <v>45</v>
      </c>
      <c r="C2288" s="9" t="s">
        <v>607</v>
      </c>
      <c r="D2288" s="10" t="s">
        <v>608</v>
      </c>
      <c r="E2288" s="11" t="s">
        <v>5701</v>
      </c>
      <c r="F2288" s="17"/>
      <c r="G2288" s="12" t="s">
        <v>5702</v>
      </c>
      <c r="H2288" s="13" t="n">
        <v>-0.002</v>
      </c>
      <c r="I2288" s="14"/>
      <c r="J2288" s="17"/>
      <c r="K2288" s="9"/>
      <c r="L2288" s="15" t="s">
        <v>50</v>
      </c>
      <c r="M2288" s="16" t="s">
        <v>51</v>
      </c>
      <c r="N2288" s="14"/>
      <c r="O2288" s="15" t="s">
        <v>52</v>
      </c>
      <c r="P2288" s="17" t="s">
        <v>53</v>
      </c>
      <c r="Q2288" s="15"/>
      <c r="R2288" s="18" t="s">
        <v>51</v>
      </c>
      <c r="S2288" s="19"/>
      <c r="T2288" s="17" t="str">
        <f aca="false">IF(R2288="維持",J2288,IF(R2288="排除","無關新聞事件",IFERROR(INDEX(事件規則!$B$2:$B$53,MATCH(S2288,事件規則!$A$2:$A$53,0)),"")))</f>
        <v>無關新聞事件</v>
      </c>
      <c r="U2288" s="20" t="n">
        <f aca="false">IF(R2288="維持",K2288,IF(R2288="排除",0,IFERROR(INDEX(事件規則!$C$2:$C$53,MATCH(S2288,事件規則!$A$2:$A$53,0)),"")))</f>
        <v>0</v>
      </c>
      <c r="V2288" s="21"/>
      <c r="W2288" s="22"/>
      <c r="X2288" s="10" t="str">
        <f aca="false">IF(AND(R2288="修改",S2288=""),"請選新事件代碼",IF(AND(R2288&lt;&gt;"修改",S2288&lt;&gt;""),"只有「修改」才需填代碼",""))</f>
        <v/>
      </c>
      <c r="Y2288" s="21"/>
      <c r="Z2288" s="22"/>
      <c r="AA2288" s="12" t="s">
        <v>5703</v>
      </c>
      <c r="AB2288" s="24"/>
    </row>
    <row r="2289" customFormat="false" ht="29.85" hidden="false" customHeight="false" outlineLevel="0" collapsed="false">
      <c r="A2289" s="15" t="n">
        <v>2288</v>
      </c>
      <c r="B2289" s="9" t="s">
        <v>45</v>
      </c>
      <c r="C2289" s="9" t="s">
        <v>92</v>
      </c>
      <c r="D2289" s="10" t="s">
        <v>93</v>
      </c>
      <c r="E2289" s="11" t="s">
        <v>5704</v>
      </c>
      <c r="F2289" s="17"/>
      <c r="G2289" s="12" t="s">
        <v>95</v>
      </c>
      <c r="H2289" s="13" t="n">
        <v>-0.002</v>
      </c>
      <c r="I2289" s="14"/>
      <c r="J2289" s="17"/>
      <c r="K2289" s="9"/>
      <c r="L2289" s="15" t="s">
        <v>50</v>
      </c>
      <c r="M2289" s="16" t="s">
        <v>51</v>
      </c>
      <c r="N2289" s="14"/>
      <c r="O2289" s="15" t="s">
        <v>52</v>
      </c>
      <c r="P2289" s="17" t="s">
        <v>53</v>
      </c>
      <c r="Q2289" s="15"/>
      <c r="R2289" s="18" t="s">
        <v>51</v>
      </c>
      <c r="S2289" s="19"/>
      <c r="T2289" s="17" t="str">
        <f aca="false">IF(R2289="維持",J2289,IF(R2289="排除","無關新聞事件",IFERROR(INDEX(事件規則!$B$2:$B$53,MATCH(S2289,事件規則!$A$2:$A$53,0)),"")))</f>
        <v>無關新聞事件</v>
      </c>
      <c r="U2289" s="20" t="n">
        <f aca="false">IF(R2289="維持",K2289,IF(R2289="排除",0,IFERROR(INDEX(事件規則!$C$2:$C$53,MATCH(S2289,事件規則!$A$2:$A$53,0)),"")))</f>
        <v>0</v>
      </c>
      <c r="V2289" s="21"/>
      <c r="W2289" s="22"/>
      <c r="X2289" s="10" t="str">
        <f aca="false">IF(AND(R2289="修改",S2289=""),"請選新事件代碼",IF(AND(R2289&lt;&gt;"修改",S2289&lt;&gt;""),"只有「修改」才需填代碼",""))</f>
        <v/>
      </c>
      <c r="Y2289" s="21"/>
      <c r="Z2289" s="22"/>
      <c r="AA2289" s="12" t="s">
        <v>5705</v>
      </c>
      <c r="AB2289" s="24"/>
    </row>
    <row r="2290" customFormat="false" ht="29.85" hidden="false" customHeight="false" outlineLevel="0" collapsed="false">
      <c r="A2290" s="15" t="n">
        <v>2289</v>
      </c>
      <c r="B2290" s="9" t="s">
        <v>45</v>
      </c>
      <c r="C2290" s="9" t="s">
        <v>4120</v>
      </c>
      <c r="D2290" s="10" t="s">
        <v>4121</v>
      </c>
      <c r="E2290" s="11" t="s">
        <v>5706</v>
      </c>
      <c r="F2290" s="17"/>
      <c r="G2290" s="12" t="s">
        <v>95</v>
      </c>
      <c r="H2290" s="13" t="n">
        <v>-0.002</v>
      </c>
      <c r="I2290" s="14"/>
      <c r="J2290" s="17"/>
      <c r="K2290" s="9"/>
      <c r="L2290" s="15" t="s">
        <v>50</v>
      </c>
      <c r="M2290" s="16" t="s">
        <v>51</v>
      </c>
      <c r="N2290" s="14"/>
      <c r="O2290" s="15" t="s">
        <v>52</v>
      </c>
      <c r="P2290" s="17" t="s">
        <v>53</v>
      </c>
      <c r="Q2290" s="15"/>
      <c r="R2290" s="18" t="s">
        <v>51</v>
      </c>
      <c r="S2290" s="19"/>
      <c r="T2290" s="17" t="str">
        <f aca="false">IF(R2290="維持",J2290,IF(R2290="排除","無關新聞事件",IFERROR(INDEX(事件規則!$B$2:$B$53,MATCH(S2290,事件規則!$A$2:$A$53,0)),"")))</f>
        <v>無關新聞事件</v>
      </c>
      <c r="U2290" s="20" t="n">
        <f aca="false">IF(R2290="維持",K2290,IF(R2290="排除",0,IFERROR(INDEX(事件規則!$C$2:$C$53,MATCH(S2290,事件規則!$A$2:$A$53,0)),"")))</f>
        <v>0</v>
      </c>
      <c r="V2290" s="21"/>
      <c r="W2290" s="22"/>
      <c r="X2290" s="10" t="str">
        <f aca="false">IF(AND(R2290="修改",S2290=""),"請選新事件代碼",IF(AND(R2290&lt;&gt;"修改",S2290&lt;&gt;""),"只有「修改」才需填代碼",""))</f>
        <v/>
      </c>
      <c r="Y2290" s="21"/>
      <c r="Z2290" s="22"/>
      <c r="AA2290" s="12" t="s">
        <v>5707</v>
      </c>
      <c r="AB2290" s="24"/>
    </row>
    <row r="2291" customFormat="false" ht="29.85" hidden="false" customHeight="false" outlineLevel="0" collapsed="false">
      <c r="A2291" s="15" t="n">
        <v>2290</v>
      </c>
      <c r="B2291" s="9" t="s">
        <v>45</v>
      </c>
      <c r="C2291" s="9" t="s">
        <v>1912</v>
      </c>
      <c r="D2291" s="10" t="s">
        <v>1913</v>
      </c>
      <c r="E2291" s="11" t="s">
        <v>5708</v>
      </c>
      <c r="F2291" s="17"/>
      <c r="G2291" s="12" t="s">
        <v>5709</v>
      </c>
      <c r="H2291" s="13" t="n">
        <v>-0.002</v>
      </c>
      <c r="I2291" s="14"/>
      <c r="J2291" s="17"/>
      <c r="K2291" s="9"/>
      <c r="L2291" s="15" t="s">
        <v>50</v>
      </c>
      <c r="M2291" s="16" t="s">
        <v>51</v>
      </c>
      <c r="N2291" s="14"/>
      <c r="O2291" s="15" t="s">
        <v>52</v>
      </c>
      <c r="P2291" s="17" t="s">
        <v>53</v>
      </c>
      <c r="Q2291" s="15"/>
      <c r="R2291" s="18" t="s">
        <v>51</v>
      </c>
      <c r="S2291" s="19"/>
      <c r="T2291" s="17" t="str">
        <f aca="false">IF(R2291="維持",J2291,IF(R2291="排除","無關新聞事件",IFERROR(INDEX(事件規則!$B$2:$B$53,MATCH(S2291,事件規則!$A$2:$A$53,0)),"")))</f>
        <v>無關新聞事件</v>
      </c>
      <c r="U2291" s="20" t="n">
        <f aca="false">IF(R2291="維持",K2291,IF(R2291="排除",0,IFERROR(INDEX(事件規則!$C$2:$C$53,MATCH(S2291,事件規則!$A$2:$A$53,0)),"")))</f>
        <v>0</v>
      </c>
      <c r="V2291" s="21"/>
      <c r="W2291" s="22"/>
      <c r="X2291" s="10" t="str">
        <f aca="false">IF(AND(R2291="修改",S2291=""),"請選新事件代碼",IF(AND(R2291&lt;&gt;"修改",S2291&lt;&gt;""),"只有「修改」才需填代碼",""))</f>
        <v/>
      </c>
      <c r="Y2291" s="21"/>
      <c r="Z2291" s="22"/>
      <c r="AA2291" s="12" t="s">
        <v>5710</v>
      </c>
      <c r="AB2291" s="24"/>
    </row>
    <row r="2292" customFormat="false" ht="29.85" hidden="false" customHeight="false" outlineLevel="0" collapsed="false">
      <c r="A2292" s="15" t="n">
        <v>2291</v>
      </c>
      <c r="B2292" s="9" t="s">
        <v>45</v>
      </c>
      <c r="C2292" s="9" t="s">
        <v>1314</v>
      </c>
      <c r="D2292" s="10" t="s">
        <v>1315</v>
      </c>
      <c r="E2292" s="11" t="s">
        <v>5711</v>
      </c>
      <c r="F2292" s="17"/>
      <c r="G2292" s="12" t="s">
        <v>95</v>
      </c>
      <c r="H2292" s="13" t="n">
        <v>-0.002</v>
      </c>
      <c r="I2292" s="14"/>
      <c r="J2292" s="17"/>
      <c r="K2292" s="9"/>
      <c r="L2292" s="15" t="s">
        <v>50</v>
      </c>
      <c r="M2292" s="16" t="s">
        <v>51</v>
      </c>
      <c r="N2292" s="14"/>
      <c r="O2292" s="15" t="s">
        <v>52</v>
      </c>
      <c r="P2292" s="17" t="s">
        <v>53</v>
      </c>
      <c r="Q2292" s="15"/>
      <c r="R2292" s="18" t="s">
        <v>51</v>
      </c>
      <c r="S2292" s="19"/>
      <c r="T2292" s="17" t="str">
        <f aca="false">IF(R2292="維持",J2292,IF(R2292="排除","無關新聞事件",IFERROR(INDEX(事件規則!$B$2:$B$53,MATCH(S2292,事件規則!$A$2:$A$53,0)),"")))</f>
        <v>無關新聞事件</v>
      </c>
      <c r="U2292" s="20" t="n">
        <f aca="false">IF(R2292="維持",K2292,IF(R2292="排除",0,IFERROR(INDEX(事件規則!$C$2:$C$53,MATCH(S2292,事件規則!$A$2:$A$53,0)),"")))</f>
        <v>0</v>
      </c>
      <c r="V2292" s="21"/>
      <c r="W2292" s="22"/>
      <c r="X2292" s="10" t="str">
        <f aca="false">IF(AND(R2292="修改",S2292=""),"請選新事件代碼",IF(AND(R2292&lt;&gt;"修改",S2292&lt;&gt;""),"只有「修改」才需填代碼",""))</f>
        <v/>
      </c>
      <c r="Y2292" s="21"/>
      <c r="Z2292" s="22"/>
      <c r="AA2292" s="12" t="s">
        <v>5712</v>
      </c>
      <c r="AB2292" s="24"/>
    </row>
    <row r="2293" customFormat="false" ht="29.85" hidden="false" customHeight="false" outlineLevel="0" collapsed="false">
      <c r="A2293" s="15" t="n">
        <v>2292</v>
      </c>
      <c r="B2293" s="9" t="s">
        <v>45</v>
      </c>
      <c r="C2293" s="9" t="s">
        <v>66</v>
      </c>
      <c r="D2293" s="10" t="s">
        <v>67</v>
      </c>
      <c r="E2293" s="11" t="s">
        <v>5713</v>
      </c>
      <c r="F2293" s="17"/>
      <c r="G2293" s="12" t="s">
        <v>4652</v>
      </c>
      <c r="H2293" s="13" t="n">
        <v>-0.002</v>
      </c>
      <c r="I2293" s="14"/>
      <c r="J2293" s="17"/>
      <c r="K2293" s="9"/>
      <c r="L2293" s="15" t="s">
        <v>50</v>
      </c>
      <c r="M2293" s="16" t="s">
        <v>51</v>
      </c>
      <c r="N2293" s="14"/>
      <c r="O2293" s="15" t="s">
        <v>52</v>
      </c>
      <c r="P2293" s="17" t="s">
        <v>53</v>
      </c>
      <c r="Q2293" s="15"/>
      <c r="R2293" s="18" t="s">
        <v>51</v>
      </c>
      <c r="S2293" s="19"/>
      <c r="T2293" s="17" t="str">
        <f aca="false">IF(R2293="維持",J2293,IF(R2293="排除","無關新聞事件",IFERROR(INDEX(事件規則!$B$2:$B$53,MATCH(S2293,事件規則!$A$2:$A$53,0)),"")))</f>
        <v>無關新聞事件</v>
      </c>
      <c r="U2293" s="20" t="n">
        <f aca="false">IF(R2293="維持",K2293,IF(R2293="排除",0,IFERROR(INDEX(事件規則!$C$2:$C$53,MATCH(S2293,事件規則!$A$2:$A$53,0)),"")))</f>
        <v>0</v>
      </c>
      <c r="V2293" s="21"/>
      <c r="W2293" s="22"/>
      <c r="X2293" s="10" t="str">
        <f aca="false">IF(AND(R2293="修改",S2293=""),"請選新事件代碼",IF(AND(R2293&lt;&gt;"修改",S2293&lt;&gt;""),"只有「修改」才需填代碼",""))</f>
        <v/>
      </c>
      <c r="Y2293" s="21"/>
      <c r="Z2293" s="22"/>
      <c r="AA2293" s="12" t="s">
        <v>5714</v>
      </c>
      <c r="AB2293" s="24"/>
    </row>
    <row r="2294" customFormat="false" ht="29.85" hidden="false" customHeight="false" outlineLevel="0" collapsed="false">
      <c r="A2294" s="15" t="n">
        <v>2293</v>
      </c>
      <c r="B2294" s="9" t="s">
        <v>45</v>
      </c>
      <c r="C2294" s="9" t="s">
        <v>4892</v>
      </c>
      <c r="D2294" s="10" t="s">
        <v>4893</v>
      </c>
      <c r="E2294" s="11" t="s">
        <v>5715</v>
      </c>
      <c r="F2294" s="17"/>
      <c r="G2294" s="12" t="s">
        <v>74</v>
      </c>
      <c r="H2294" s="13" t="n">
        <v>-0.002</v>
      </c>
      <c r="I2294" s="14"/>
      <c r="J2294" s="17"/>
      <c r="K2294" s="9"/>
      <c r="L2294" s="15" t="s">
        <v>50</v>
      </c>
      <c r="M2294" s="16" t="s">
        <v>51</v>
      </c>
      <c r="N2294" s="14"/>
      <c r="O2294" s="15" t="s">
        <v>52</v>
      </c>
      <c r="P2294" s="17" t="s">
        <v>53</v>
      </c>
      <c r="Q2294" s="15"/>
      <c r="R2294" s="18" t="s">
        <v>51</v>
      </c>
      <c r="S2294" s="19"/>
      <c r="T2294" s="17" t="str">
        <f aca="false">IF(R2294="維持",J2294,IF(R2294="排除","無關新聞事件",IFERROR(INDEX(事件規則!$B$2:$B$53,MATCH(S2294,事件規則!$A$2:$A$53,0)),"")))</f>
        <v>無關新聞事件</v>
      </c>
      <c r="U2294" s="20" t="n">
        <f aca="false">IF(R2294="維持",K2294,IF(R2294="排除",0,IFERROR(INDEX(事件規則!$C$2:$C$53,MATCH(S2294,事件規則!$A$2:$A$53,0)),"")))</f>
        <v>0</v>
      </c>
      <c r="V2294" s="21"/>
      <c r="W2294" s="22"/>
      <c r="X2294" s="10" t="str">
        <f aca="false">IF(AND(R2294="修改",S2294=""),"請選新事件代碼",IF(AND(R2294&lt;&gt;"修改",S2294&lt;&gt;""),"只有「修改」才需填代碼",""))</f>
        <v/>
      </c>
      <c r="Y2294" s="21"/>
      <c r="Z2294" s="22"/>
      <c r="AA2294" s="12" t="s">
        <v>5716</v>
      </c>
      <c r="AB2294" s="24"/>
    </row>
    <row r="2295" customFormat="false" ht="29.85" hidden="false" customHeight="false" outlineLevel="0" collapsed="false">
      <c r="A2295" s="15" t="n">
        <v>2294</v>
      </c>
      <c r="B2295" s="9" t="s">
        <v>45</v>
      </c>
      <c r="C2295" s="9" t="s">
        <v>936</v>
      </c>
      <c r="D2295" s="10" t="s">
        <v>937</v>
      </c>
      <c r="E2295" s="11" t="s">
        <v>5717</v>
      </c>
      <c r="F2295" s="17"/>
      <c r="G2295" s="12" t="s">
        <v>4957</v>
      </c>
      <c r="H2295" s="13" t="n">
        <v>-0.002</v>
      </c>
      <c r="I2295" s="14"/>
      <c r="J2295" s="17"/>
      <c r="K2295" s="9"/>
      <c r="L2295" s="15" t="s">
        <v>50</v>
      </c>
      <c r="M2295" s="16" t="s">
        <v>51</v>
      </c>
      <c r="N2295" s="14"/>
      <c r="O2295" s="15" t="s">
        <v>52</v>
      </c>
      <c r="P2295" s="17" t="s">
        <v>53</v>
      </c>
      <c r="Q2295" s="15"/>
      <c r="R2295" s="18" t="s">
        <v>51</v>
      </c>
      <c r="S2295" s="19"/>
      <c r="T2295" s="17" t="str">
        <f aca="false">IF(R2295="維持",J2295,IF(R2295="排除","無關新聞事件",IFERROR(INDEX(事件規則!$B$2:$B$53,MATCH(S2295,事件規則!$A$2:$A$53,0)),"")))</f>
        <v>無關新聞事件</v>
      </c>
      <c r="U2295" s="20" t="n">
        <f aca="false">IF(R2295="維持",K2295,IF(R2295="排除",0,IFERROR(INDEX(事件規則!$C$2:$C$53,MATCH(S2295,事件規則!$A$2:$A$53,0)),"")))</f>
        <v>0</v>
      </c>
      <c r="V2295" s="21"/>
      <c r="W2295" s="22"/>
      <c r="X2295" s="10" t="str">
        <f aca="false">IF(AND(R2295="修改",S2295=""),"請選新事件代碼",IF(AND(R2295&lt;&gt;"修改",S2295&lt;&gt;""),"只有「修改」才需填代碼",""))</f>
        <v/>
      </c>
      <c r="Y2295" s="21"/>
      <c r="Z2295" s="22"/>
      <c r="AA2295" s="12" t="s">
        <v>5718</v>
      </c>
      <c r="AB2295" s="24"/>
    </row>
    <row r="2296" customFormat="false" ht="29.85" hidden="false" customHeight="false" outlineLevel="0" collapsed="false">
      <c r="A2296" s="15" t="n">
        <v>2295</v>
      </c>
      <c r="B2296" s="9" t="s">
        <v>45</v>
      </c>
      <c r="C2296" s="9" t="s">
        <v>550</v>
      </c>
      <c r="D2296" s="10" t="s">
        <v>551</v>
      </c>
      <c r="E2296" s="11" t="s">
        <v>5719</v>
      </c>
      <c r="F2296" s="17"/>
      <c r="G2296" s="12" t="s">
        <v>949</v>
      </c>
      <c r="H2296" s="13" t="n">
        <v>-0.002</v>
      </c>
      <c r="I2296" s="14"/>
      <c r="J2296" s="17"/>
      <c r="K2296" s="9"/>
      <c r="L2296" s="15" t="s">
        <v>50</v>
      </c>
      <c r="M2296" s="16" t="s">
        <v>51</v>
      </c>
      <c r="N2296" s="14"/>
      <c r="O2296" s="15" t="s">
        <v>52</v>
      </c>
      <c r="P2296" s="17" t="s">
        <v>53</v>
      </c>
      <c r="Q2296" s="15"/>
      <c r="R2296" s="18" t="s">
        <v>51</v>
      </c>
      <c r="S2296" s="19"/>
      <c r="T2296" s="17" t="str">
        <f aca="false">IF(R2296="維持",J2296,IF(R2296="排除","無關新聞事件",IFERROR(INDEX(事件規則!$B$2:$B$53,MATCH(S2296,事件規則!$A$2:$A$53,0)),"")))</f>
        <v>無關新聞事件</v>
      </c>
      <c r="U2296" s="20" t="n">
        <f aca="false">IF(R2296="維持",K2296,IF(R2296="排除",0,IFERROR(INDEX(事件規則!$C$2:$C$53,MATCH(S2296,事件規則!$A$2:$A$53,0)),"")))</f>
        <v>0</v>
      </c>
      <c r="V2296" s="21"/>
      <c r="W2296" s="22"/>
      <c r="X2296" s="10" t="str">
        <f aca="false">IF(AND(R2296="修改",S2296=""),"請選新事件代碼",IF(AND(R2296&lt;&gt;"修改",S2296&lt;&gt;""),"只有「修改」才需填代碼",""))</f>
        <v/>
      </c>
      <c r="Y2296" s="21"/>
      <c r="Z2296" s="22"/>
      <c r="AA2296" s="12" t="s">
        <v>5720</v>
      </c>
      <c r="AB2296" s="24"/>
    </row>
    <row r="2297" customFormat="false" ht="29.85" hidden="false" customHeight="false" outlineLevel="0" collapsed="false">
      <c r="A2297" s="15" t="n">
        <v>2296</v>
      </c>
      <c r="B2297" s="9" t="s">
        <v>81</v>
      </c>
      <c r="C2297" s="9" t="s">
        <v>118</v>
      </c>
      <c r="D2297" s="10" t="s">
        <v>119</v>
      </c>
      <c r="E2297" s="11" t="s">
        <v>5721</v>
      </c>
      <c r="F2297" s="17"/>
      <c r="G2297" s="12" t="s">
        <v>949</v>
      </c>
      <c r="H2297" s="13" t="n">
        <v>-0.002</v>
      </c>
      <c r="I2297" s="14"/>
      <c r="J2297" s="17"/>
      <c r="K2297" s="9"/>
      <c r="L2297" s="15" t="s">
        <v>50</v>
      </c>
      <c r="M2297" s="16" t="s">
        <v>51</v>
      </c>
      <c r="N2297" s="14"/>
      <c r="O2297" s="15" t="s">
        <v>52</v>
      </c>
      <c r="P2297" s="17" t="s">
        <v>53</v>
      </c>
      <c r="Q2297" s="15"/>
      <c r="R2297" s="18" t="s">
        <v>51</v>
      </c>
      <c r="S2297" s="19"/>
      <c r="T2297" s="17" t="str">
        <f aca="false">IF(R2297="維持",J2297,IF(R2297="排除","無關新聞事件",IFERROR(INDEX(事件規則!$B$2:$B$53,MATCH(S2297,事件規則!$A$2:$A$53,0)),"")))</f>
        <v>無關新聞事件</v>
      </c>
      <c r="U2297" s="20" t="n">
        <f aca="false">IF(R2297="維持",K2297,IF(R2297="排除",0,IFERROR(INDEX(事件規則!$C$2:$C$53,MATCH(S2297,事件規則!$A$2:$A$53,0)),"")))</f>
        <v>0</v>
      </c>
      <c r="V2297" s="21"/>
      <c r="W2297" s="22"/>
      <c r="X2297" s="10" t="str">
        <f aca="false">IF(AND(R2297="修改",S2297=""),"請選新事件代碼",IF(AND(R2297&lt;&gt;"修改",S2297&lt;&gt;""),"只有「修改」才需填代碼",""))</f>
        <v/>
      </c>
      <c r="Y2297" s="21"/>
      <c r="Z2297" s="22"/>
      <c r="AA2297" s="12" t="s">
        <v>5722</v>
      </c>
      <c r="AB2297" s="24"/>
    </row>
    <row r="2298" customFormat="false" ht="29.85" hidden="false" customHeight="false" outlineLevel="0" collapsed="false">
      <c r="A2298" s="15" t="n">
        <v>2297</v>
      </c>
      <c r="B2298" s="9" t="s">
        <v>81</v>
      </c>
      <c r="C2298" s="9" t="s">
        <v>188</v>
      </c>
      <c r="D2298" s="10" t="s">
        <v>189</v>
      </c>
      <c r="E2298" s="11" t="s">
        <v>5723</v>
      </c>
      <c r="F2298" s="17"/>
      <c r="G2298" s="12" t="s">
        <v>235</v>
      </c>
      <c r="H2298" s="13" t="n">
        <v>-0.002</v>
      </c>
      <c r="I2298" s="14"/>
      <c r="J2298" s="17"/>
      <c r="K2298" s="9"/>
      <c r="L2298" s="15" t="s">
        <v>50</v>
      </c>
      <c r="M2298" s="16" t="s">
        <v>51</v>
      </c>
      <c r="N2298" s="14"/>
      <c r="O2298" s="15" t="s">
        <v>52</v>
      </c>
      <c r="P2298" s="17" t="s">
        <v>53</v>
      </c>
      <c r="Q2298" s="15"/>
      <c r="R2298" s="18" t="s">
        <v>51</v>
      </c>
      <c r="S2298" s="19"/>
      <c r="T2298" s="17" t="str">
        <f aca="false">IF(R2298="維持",J2298,IF(R2298="排除","無關新聞事件",IFERROR(INDEX(事件規則!$B$2:$B$53,MATCH(S2298,事件規則!$A$2:$A$53,0)),"")))</f>
        <v>無關新聞事件</v>
      </c>
      <c r="U2298" s="20" t="n">
        <f aca="false">IF(R2298="維持",K2298,IF(R2298="排除",0,IFERROR(INDEX(事件規則!$C$2:$C$53,MATCH(S2298,事件規則!$A$2:$A$53,0)),"")))</f>
        <v>0</v>
      </c>
      <c r="V2298" s="21"/>
      <c r="W2298" s="22"/>
      <c r="X2298" s="10" t="str">
        <f aca="false">IF(AND(R2298="修改",S2298=""),"請選新事件代碼",IF(AND(R2298&lt;&gt;"修改",S2298&lt;&gt;""),"只有「修改」才需填代碼",""))</f>
        <v/>
      </c>
      <c r="Y2298" s="21"/>
      <c r="Z2298" s="22"/>
      <c r="AA2298" s="12" t="s">
        <v>5724</v>
      </c>
      <c r="AB2298" s="24"/>
    </row>
    <row r="2299" customFormat="false" ht="29.85" hidden="false" customHeight="false" outlineLevel="0" collapsed="false">
      <c r="A2299" s="15" t="n">
        <v>2298</v>
      </c>
      <c r="B2299" s="9" t="s">
        <v>81</v>
      </c>
      <c r="C2299" s="9" t="s">
        <v>5186</v>
      </c>
      <c r="D2299" s="10" t="s">
        <v>5187</v>
      </c>
      <c r="E2299" s="11" t="s">
        <v>5725</v>
      </c>
      <c r="F2299" s="17"/>
      <c r="G2299" s="12" t="s">
        <v>176</v>
      </c>
      <c r="H2299" s="13" t="n">
        <v>-0.002</v>
      </c>
      <c r="I2299" s="14"/>
      <c r="J2299" s="17"/>
      <c r="K2299" s="9"/>
      <c r="L2299" s="15" t="s">
        <v>50</v>
      </c>
      <c r="M2299" s="16" t="s">
        <v>51</v>
      </c>
      <c r="N2299" s="14"/>
      <c r="O2299" s="15" t="s">
        <v>52</v>
      </c>
      <c r="P2299" s="17" t="s">
        <v>53</v>
      </c>
      <c r="Q2299" s="15"/>
      <c r="R2299" s="18" t="s">
        <v>51</v>
      </c>
      <c r="S2299" s="19"/>
      <c r="T2299" s="17" t="str">
        <f aca="false">IF(R2299="維持",J2299,IF(R2299="排除","無關新聞事件",IFERROR(INDEX(事件規則!$B$2:$B$53,MATCH(S2299,事件規則!$A$2:$A$53,0)),"")))</f>
        <v>無關新聞事件</v>
      </c>
      <c r="U2299" s="20" t="n">
        <f aca="false">IF(R2299="維持",K2299,IF(R2299="排除",0,IFERROR(INDEX(事件規則!$C$2:$C$53,MATCH(S2299,事件規則!$A$2:$A$53,0)),"")))</f>
        <v>0</v>
      </c>
      <c r="V2299" s="21"/>
      <c r="W2299" s="22"/>
      <c r="X2299" s="10" t="str">
        <f aca="false">IF(AND(R2299="修改",S2299=""),"請選新事件代碼",IF(AND(R2299&lt;&gt;"修改",S2299&lt;&gt;""),"只有「修改」才需填代碼",""))</f>
        <v/>
      </c>
      <c r="Y2299" s="21"/>
      <c r="Z2299" s="22"/>
      <c r="AA2299" s="12" t="s">
        <v>5726</v>
      </c>
      <c r="AB2299" s="24"/>
    </row>
    <row r="2300" customFormat="false" ht="29.85" hidden="false" customHeight="false" outlineLevel="0" collapsed="false">
      <c r="A2300" s="15" t="n">
        <v>2299</v>
      </c>
      <c r="B2300" s="9" t="s">
        <v>112</v>
      </c>
      <c r="C2300" s="9" t="s">
        <v>4120</v>
      </c>
      <c r="D2300" s="10" t="s">
        <v>4121</v>
      </c>
      <c r="E2300" s="11" t="s">
        <v>5727</v>
      </c>
      <c r="F2300" s="17"/>
      <c r="G2300" s="12" t="s">
        <v>176</v>
      </c>
      <c r="H2300" s="13" t="n">
        <v>-0.002</v>
      </c>
      <c r="I2300" s="14"/>
      <c r="J2300" s="17"/>
      <c r="K2300" s="9"/>
      <c r="L2300" s="15" t="s">
        <v>50</v>
      </c>
      <c r="M2300" s="16" t="s">
        <v>51</v>
      </c>
      <c r="N2300" s="14"/>
      <c r="O2300" s="15" t="s">
        <v>52</v>
      </c>
      <c r="P2300" s="17" t="s">
        <v>53</v>
      </c>
      <c r="Q2300" s="15"/>
      <c r="R2300" s="18" t="s">
        <v>51</v>
      </c>
      <c r="S2300" s="19"/>
      <c r="T2300" s="17" t="str">
        <f aca="false">IF(R2300="維持",J2300,IF(R2300="排除","無關新聞事件",IFERROR(INDEX(事件規則!$B$2:$B$53,MATCH(S2300,事件規則!$A$2:$A$53,0)),"")))</f>
        <v>無關新聞事件</v>
      </c>
      <c r="U2300" s="20" t="n">
        <f aca="false">IF(R2300="維持",K2300,IF(R2300="排除",0,IFERROR(INDEX(事件規則!$C$2:$C$53,MATCH(S2300,事件規則!$A$2:$A$53,0)),"")))</f>
        <v>0</v>
      </c>
      <c r="V2300" s="21"/>
      <c r="W2300" s="22"/>
      <c r="X2300" s="10" t="str">
        <f aca="false">IF(AND(R2300="修改",S2300=""),"請選新事件代碼",IF(AND(R2300&lt;&gt;"修改",S2300&lt;&gt;""),"只有「修改」才需填代碼",""))</f>
        <v/>
      </c>
      <c r="Y2300" s="21"/>
      <c r="Z2300" s="22"/>
      <c r="AA2300" s="12" t="s">
        <v>5728</v>
      </c>
      <c r="AB2300" s="24"/>
    </row>
    <row r="2301" customFormat="false" ht="29.85" hidden="false" customHeight="false" outlineLevel="0" collapsed="false">
      <c r="A2301" s="15" t="n">
        <v>2300</v>
      </c>
      <c r="B2301" s="9" t="s">
        <v>112</v>
      </c>
      <c r="C2301" s="9" t="s">
        <v>1899</v>
      </c>
      <c r="D2301" s="10" t="s">
        <v>1900</v>
      </c>
      <c r="E2301" s="11" t="s">
        <v>5729</v>
      </c>
      <c r="F2301" s="17"/>
      <c r="G2301" s="12" t="s">
        <v>949</v>
      </c>
      <c r="H2301" s="13" t="n">
        <v>-0.002</v>
      </c>
      <c r="I2301" s="14"/>
      <c r="J2301" s="17"/>
      <c r="K2301" s="9"/>
      <c r="L2301" s="15" t="s">
        <v>50</v>
      </c>
      <c r="M2301" s="16" t="s">
        <v>51</v>
      </c>
      <c r="N2301" s="14"/>
      <c r="O2301" s="15" t="s">
        <v>52</v>
      </c>
      <c r="P2301" s="17" t="s">
        <v>53</v>
      </c>
      <c r="Q2301" s="15"/>
      <c r="R2301" s="18" t="s">
        <v>51</v>
      </c>
      <c r="S2301" s="19"/>
      <c r="T2301" s="17" t="str">
        <f aca="false">IF(R2301="維持",J2301,IF(R2301="排除","無關新聞事件",IFERROR(INDEX(事件規則!$B$2:$B$53,MATCH(S2301,事件規則!$A$2:$A$53,0)),"")))</f>
        <v>無關新聞事件</v>
      </c>
      <c r="U2301" s="20" t="n">
        <f aca="false">IF(R2301="維持",K2301,IF(R2301="排除",0,IFERROR(INDEX(事件規則!$C$2:$C$53,MATCH(S2301,事件規則!$A$2:$A$53,0)),"")))</f>
        <v>0</v>
      </c>
      <c r="V2301" s="21"/>
      <c r="W2301" s="22"/>
      <c r="X2301" s="10" t="str">
        <f aca="false">IF(AND(R2301="修改",S2301=""),"請選新事件代碼",IF(AND(R2301&lt;&gt;"修改",S2301&lt;&gt;""),"只有「修改」才需填代碼",""))</f>
        <v/>
      </c>
      <c r="Y2301" s="21"/>
      <c r="Z2301" s="22"/>
      <c r="AA2301" s="12" t="s">
        <v>5730</v>
      </c>
      <c r="AB2301" s="24"/>
    </row>
    <row r="2302" customFormat="false" ht="29.85" hidden="false" customHeight="false" outlineLevel="0" collapsed="false">
      <c r="A2302" s="15" t="n">
        <v>2301</v>
      </c>
      <c r="B2302" s="9" t="s">
        <v>112</v>
      </c>
      <c r="C2302" s="9" t="s">
        <v>5073</v>
      </c>
      <c r="D2302" s="10" t="s">
        <v>5074</v>
      </c>
      <c r="E2302" s="11" t="s">
        <v>5731</v>
      </c>
      <c r="F2302" s="17"/>
      <c r="G2302" s="12" t="s">
        <v>95</v>
      </c>
      <c r="H2302" s="13" t="n">
        <v>-0.002</v>
      </c>
      <c r="I2302" s="14"/>
      <c r="J2302" s="17"/>
      <c r="K2302" s="9"/>
      <c r="L2302" s="15" t="s">
        <v>50</v>
      </c>
      <c r="M2302" s="16" t="s">
        <v>51</v>
      </c>
      <c r="N2302" s="14"/>
      <c r="O2302" s="15" t="s">
        <v>52</v>
      </c>
      <c r="P2302" s="17" t="s">
        <v>53</v>
      </c>
      <c r="Q2302" s="15"/>
      <c r="R2302" s="18" t="s">
        <v>51</v>
      </c>
      <c r="S2302" s="19"/>
      <c r="T2302" s="17" t="str">
        <f aca="false">IF(R2302="維持",J2302,IF(R2302="排除","無關新聞事件",IFERROR(INDEX(事件規則!$B$2:$B$53,MATCH(S2302,事件規則!$A$2:$A$53,0)),"")))</f>
        <v>無關新聞事件</v>
      </c>
      <c r="U2302" s="20" t="n">
        <f aca="false">IF(R2302="維持",K2302,IF(R2302="排除",0,IFERROR(INDEX(事件規則!$C$2:$C$53,MATCH(S2302,事件規則!$A$2:$A$53,0)),"")))</f>
        <v>0</v>
      </c>
      <c r="V2302" s="21"/>
      <c r="W2302" s="22"/>
      <c r="X2302" s="10" t="str">
        <f aca="false">IF(AND(R2302="修改",S2302=""),"請選新事件代碼",IF(AND(R2302&lt;&gt;"修改",S2302&lt;&gt;""),"只有「修改」才需填代碼",""))</f>
        <v/>
      </c>
      <c r="Y2302" s="21"/>
      <c r="Z2302" s="22"/>
      <c r="AA2302" s="12" t="s">
        <v>5732</v>
      </c>
      <c r="AB2302" s="24"/>
    </row>
    <row r="2303" customFormat="false" ht="29.85" hidden="false" customHeight="false" outlineLevel="0" collapsed="false">
      <c r="A2303" s="15" t="n">
        <v>2302</v>
      </c>
      <c r="B2303" s="9" t="s">
        <v>112</v>
      </c>
      <c r="C2303" s="9" t="s">
        <v>2703</v>
      </c>
      <c r="D2303" s="10" t="s">
        <v>2704</v>
      </c>
      <c r="E2303" s="11" t="s">
        <v>5733</v>
      </c>
      <c r="F2303" s="17"/>
      <c r="G2303" s="12" t="s">
        <v>95</v>
      </c>
      <c r="H2303" s="13" t="n">
        <v>-0.002</v>
      </c>
      <c r="I2303" s="14"/>
      <c r="J2303" s="17"/>
      <c r="K2303" s="9"/>
      <c r="L2303" s="15" t="s">
        <v>50</v>
      </c>
      <c r="M2303" s="16" t="s">
        <v>51</v>
      </c>
      <c r="N2303" s="14"/>
      <c r="O2303" s="15" t="s">
        <v>52</v>
      </c>
      <c r="P2303" s="17" t="s">
        <v>53</v>
      </c>
      <c r="Q2303" s="15"/>
      <c r="R2303" s="18" t="s">
        <v>51</v>
      </c>
      <c r="S2303" s="19"/>
      <c r="T2303" s="17" t="str">
        <f aca="false">IF(R2303="維持",J2303,IF(R2303="排除","無關新聞事件",IFERROR(INDEX(事件規則!$B$2:$B$53,MATCH(S2303,事件規則!$A$2:$A$53,0)),"")))</f>
        <v>無關新聞事件</v>
      </c>
      <c r="U2303" s="20" t="n">
        <f aca="false">IF(R2303="維持",K2303,IF(R2303="排除",0,IFERROR(INDEX(事件規則!$C$2:$C$53,MATCH(S2303,事件規則!$A$2:$A$53,0)),"")))</f>
        <v>0</v>
      </c>
      <c r="V2303" s="21"/>
      <c r="W2303" s="22"/>
      <c r="X2303" s="10" t="str">
        <f aca="false">IF(AND(R2303="修改",S2303=""),"請選新事件代碼",IF(AND(R2303&lt;&gt;"修改",S2303&lt;&gt;""),"只有「修改」才需填代碼",""))</f>
        <v/>
      </c>
      <c r="Y2303" s="21"/>
      <c r="Z2303" s="22"/>
      <c r="AA2303" s="12" t="s">
        <v>5734</v>
      </c>
      <c r="AB2303" s="24"/>
    </row>
    <row r="2304" customFormat="false" ht="29.85" hidden="false" customHeight="false" outlineLevel="0" collapsed="false">
      <c r="A2304" s="15" t="n">
        <v>2303</v>
      </c>
      <c r="B2304" s="9" t="s">
        <v>112</v>
      </c>
      <c r="C2304" s="9" t="s">
        <v>440</v>
      </c>
      <c r="D2304" s="10" t="s">
        <v>441</v>
      </c>
      <c r="E2304" s="11" t="s">
        <v>5735</v>
      </c>
      <c r="F2304" s="17"/>
      <c r="G2304" s="12" t="s">
        <v>443</v>
      </c>
      <c r="H2304" s="13" t="n">
        <v>-0.002</v>
      </c>
      <c r="I2304" s="14"/>
      <c r="J2304" s="17"/>
      <c r="K2304" s="9"/>
      <c r="L2304" s="15" t="s">
        <v>50</v>
      </c>
      <c r="M2304" s="16" t="s">
        <v>51</v>
      </c>
      <c r="N2304" s="14"/>
      <c r="O2304" s="15" t="s">
        <v>52</v>
      </c>
      <c r="P2304" s="17" t="s">
        <v>53</v>
      </c>
      <c r="Q2304" s="15"/>
      <c r="R2304" s="18" t="s">
        <v>51</v>
      </c>
      <c r="S2304" s="19"/>
      <c r="T2304" s="17" t="str">
        <f aca="false">IF(R2304="維持",J2304,IF(R2304="排除","無關新聞事件",IFERROR(INDEX(事件規則!$B$2:$B$53,MATCH(S2304,事件規則!$A$2:$A$53,0)),"")))</f>
        <v>無關新聞事件</v>
      </c>
      <c r="U2304" s="20" t="n">
        <f aca="false">IF(R2304="維持",K2304,IF(R2304="排除",0,IFERROR(INDEX(事件規則!$C$2:$C$53,MATCH(S2304,事件規則!$A$2:$A$53,0)),"")))</f>
        <v>0</v>
      </c>
      <c r="V2304" s="21"/>
      <c r="W2304" s="22"/>
      <c r="X2304" s="10" t="str">
        <f aca="false">IF(AND(R2304="修改",S2304=""),"請選新事件代碼",IF(AND(R2304&lt;&gt;"修改",S2304&lt;&gt;""),"只有「修改」才需填代碼",""))</f>
        <v/>
      </c>
      <c r="Y2304" s="21"/>
      <c r="Z2304" s="22"/>
      <c r="AA2304" s="12" t="s">
        <v>5736</v>
      </c>
      <c r="AB2304" s="24"/>
    </row>
    <row r="2305" customFormat="false" ht="29.85" hidden="false" customHeight="false" outlineLevel="0" collapsed="false">
      <c r="A2305" s="15" t="n">
        <v>2304</v>
      </c>
      <c r="B2305" s="9" t="s">
        <v>112</v>
      </c>
      <c r="C2305" s="9" t="s">
        <v>3041</v>
      </c>
      <c r="D2305" s="10" t="s">
        <v>3042</v>
      </c>
      <c r="E2305" s="11" t="s">
        <v>5737</v>
      </c>
      <c r="F2305" s="17"/>
      <c r="G2305" s="12" t="s">
        <v>949</v>
      </c>
      <c r="H2305" s="13" t="n">
        <v>-0.002</v>
      </c>
      <c r="I2305" s="14"/>
      <c r="J2305" s="17"/>
      <c r="K2305" s="9"/>
      <c r="L2305" s="15" t="s">
        <v>50</v>
      </c>
      <c r="M2305" s="16" t="s">
        <v>51</v>
      </c>
      <c r="N2305" s="14"/>
      <c r="O2305" s="15" t="s">
        <v>52</v>
      </c>
      <c r="P2305" s="17" t="s">
        <v>53</v>
      </c>
      <c r="Q2305" s="15"/>
      <c r="R2305" s="18" t="s">
        <v>51</v>
      </c>
      <c r="S2305" s="19"/>
      <c r="T2305" s="17" t="str">
        <f aca="false">IF(R2305="維持",J2305,IF(R2305="排除","無關新聞事件",IFERROR(INDEX(事件規則!$B$2:$B$53,MATCH(S2305,事件規則!$A$2:$A$53,0)),"")))</f>
        <v>無關新聞事件</v>
      </c>
      <c r="U2305" s="20" t="n">
        <f aca="false">IF(R2305="維持",K2305,IF(R2305="排除",0,IFERROR(INDEX(事件規則!$C$2:$C$53,MATCH(S2305,事件規則!$A$2:$A$53,0)),"")))</f>
        <v>0</v>
      </c>
      <c r="V2305" s="21"/>
      <c r="W2305" s="22"/>
      <c r="X2305" s="10" t="str">
        <f aca="false">IF(AND(R2305="修改",S2305=""),"請選新事件代碼",IF(AND(R2305&lt;&gt;"修改",S2305&lt;&gt;""),"只有「修改」才需填代碼",""))</f>
        <v/>
      </c>
      <c r="Y2305" s="21"/>
      <c r="Z2305" s="22"/>
      <c r="AA2305" s="12" t="s">
        <v>5738</v>
      </c>
      <c r="AB2305" s="24"/>
    </row>
    <row r="2306" customFormat="false" ht="29.85" hidden="false" customHeight="false" outlineLevel="0" collapsed="false">
      <c r="A2306" s="15" t="n">
        <v>2305</v>
      </c>
      <c r="B2306" s="9" t="s">
        <v>112</v>
      </c>
      <c r="C2306" s="9" t="s">
        <v>3741</v>
      </c>
      <c r="D2306" s="10" t="s">
        <v>3742</v>
      </c>
      <c r="E2306" s="11" t="s">
        <v>5739</v>
      </c>
      <c r="F2306" s="17"/>
      <c r="G2306" s="12" t="s">
        <v>176</v>
      </c>
      <c r="H2306" s="13" t="n">
        <v>-0.002</v>
      </c>
      <c r="I2306" s="14"/>
      <c r="J2306" s="17"/>
      <c r="K2306" s="9"/>
      <c r="L2306" s="15" t="s">
        <v>50</v>
      </c>
      <c r="M2306" s="16" t="s">
        <v>51</v>
      </c>
      <c r="N2306" s="14"/>
      <c r="O2306" s="15" t="s">
        <v>52</v>
      </c>
      <c r="P2306" s="17" t="s">
        <v>53</v>
      </c>
      <c r="Q2306" s="15"/>
      <c r="R2306" s="18" t="s">
        <v>51</v>
      </c>
      <c r="S2306" s="19"/>
      <c r="T2306" s="17" t="str">
        <f aca="false">IF(R2306="維持",J2306,IF(R2306="排除","無關新聞事件",IFERROR(INDEX(事件規則!$B$2:$B$53,MATCH(S2306,事件規則!$A$2:$A$53,0)),"")))</f>
        <v>無關新聞事件</v>
      </c>
      <c r="U2306" s="20" t="n">
        <f aca="false">IF(R2306="維持",K2306,IF(R2306="排除",0,IFERROR(INDEX(事件規則!$C$2:$C$53,MATCH(S2306,事件規則!$A$2:$A$53,0)),"")))</f>
        <v>0</v>
      </c>
      <c r="V2306" s="21"/>
      <c r="W2306" s="22"/>
      <c r="X2306" s="10" t="str">
        <f aca="false">IF(AND(R2306="修改",S2306=""),"請選新事件代碼",IF(AND(R2306&lt;&gt;"修改",S2306&lt;&gt;""),"只有「修改」才需填代碼",""))</f>
        <v/>
      </c>
      <c r="Y2306" s="21"/>
      <c r="Z2306" s="22"/>
      <c r="AA2306" s="12" t="s">
        <v>5740</v>
      </c>
      <c r="AB2306" s="24"/>
    </row>
    <row r="2307" customFormat="false" ht="29.85" hidden="false" customHeight="false" outlineLevel="0" collapsed="false">
      <c r="A2307" s="15" t="n">
        <v>2306</v>
      </c>
      <c r="B2307" s="9" t="s">
        <v>112</v>
      </c>
      <c r="C2307" s="9" t="s">
        <v>3244</v>
      </c>
      <c r="D2307" s="10" t="s">
        <v>3245</v>
      </c>
      <c r="E2307" s="11" t="s">
        <v>5741</v>
      </c>
      <c r="F2307" s="17"/>
      <c r="G2307" s="12" t="s">
        <v>3960</v>
      </c>
      <c r="H2307" s="13" t="n">
        <v>-0.002</v>
      </c>
      <c r="I2307" s="14"/>
      <c r="J2307" s="17"/>
      <c r="K2307" s="9"/>
      <c r="L2307" s="15" t="s">
        <v>50</v>
      </c>
      <c r="M2307" s="16" t="s">
        <v>51</v>
      </c>
      <c r="N2307" s="14"/>
      <c r="O2307" s="15" t="s">
        <v>52</v>
      </c>
      <c r="P2307" s="17" t="s">
        <v>53</v>
      </c>
      <c r="Q2307" s="15"/>
      <c r="R2307" s="18" t="s">
        <v>51</v>
      </c>
      <c r="S2307" s="19"/>
      <c r="T2307" s="17" t="str">
        <f aca="false">IF(R2307="維持",J2307,IF(R2307="排除","無關新聞事件",IFERROR(INDEX(事件規則!$B$2:$B$53,MATCH(S2307,事件規則!$A$2:$A$53,0)),"")))</f>
        <v>無關新聞事件</v>
      </c>
      <c r="U2307" s="20" t="n">
        <f aca="false">IF(R2307="維持",K2307,IF(R2307="排除",0,IFERROR(INDEX(事件規則!$C$2:$C$53,MATCH(S2307,事件規則!$A$2:$A$53,0)),"")))</f>
        <v>0</v>
      </c>
      <c r="V2307" s="21"/>
      <c r="W2307" s="22"/>
      <c r="X2307" s="10" t="str">
        <f aca="false">IF(AND(R2307="修改",S2307=""),"請選新事件代碼",IF(AND(R2307&lt;&gt;"修改",S2307&lt;&gt;""),"只有「修改」才需填代碼",""))</f>
        <v/>
      </c>
      <c r="Y2307" s="21"/>
      <c r="Z2307" s="22"/>
      <c r="AA2307" s="12" t="s">
        <v>5742</v>
      </c>
      <c r="AB2307" s="24"/>
    </row>
    <row r="2308" customFormat="false" ht="29.85" hidden="false" customHeight="false" outlineLevel="0" collapsed="false">
      <c r="A2308" s="15" t="n">
        <v>2307</v>
      </c>
      <c r="B2308" s="9" t="s">
        <v>112</v>
      </c>
      <c r="C2308" s="9" t="s">
        <v>524</v>
      </c>
      <c r="D2308" s="10" t="s">
        <v>525</v>
      </c>
      <c r="E2308" s="11" t="s">
        <v>5743</v>
      </c>
      <c r="F2308" s="17"/>
      <c r="G2308" s="12" t="s">
        <v>5744</v>
      </c>
      <c r="H2308" s="13" t="n">
        <v>-0.002</v>
      </c>
      <c r="I2308" s="14"/>
      <c r="J2308" s="17"/>
      <c r="K2308" s="9"/>
      <c r="L2308" s="15" t="s">
        <v>50</v>
      </c>
      <c r="M2308" s="16" t="s">
        <v>51</v>
      </c>
      <c r="N2308" s="14"/>
      <c r="O2308" s="15" t="s">
        <v>52</v>
      </c>
      <c r="P2308" s="17" t="s">
        <v>53</v>
      </c>
      <c r="Q2308" s="15"/>
      <c r="R2308" s="18" t="s">
        <v>51</v>
      </c>
      <c r="S2308" s="19"/>
      <c r="T2308" s="17" t="str">
        <f aca="false">IF(R2308="維持",J2308,IF(R2308="排除","無關新聞事件",IFERROR(INDEX(事件規則!$B$2:$B$53,MATCH(S2308,事件規則!$A$2:$A$53,0)),"")))</f>
        <v>無關新聞事件</v>
      </c>
      <c r="U2308" s="20" t="n">
        <f aca="false">IF(R2308="維持",K2308,IF(R2308="排除",0,IFERROR(INDEX(事件規則!$C$2:$C$53,MATCH(S2308,事件規則!$A$2:$A$53,0)),"")))</f>
        <v>0</v>
      </c>
      <c r="V2308" s="21"/>
      <c r="W2308" s="22"/>
      <c r="X2308" s="10" t="str">
        <f aca="false">IF(AND(R2308="修改",S2308=""),"請選新事件代碼",IF(AND(R2308&lt;&gt;"修改",S2308&lt;&gt;""),"只有「修改」才需填代碼",""))</f>
        <v/>
      </c>
      <c r="Y2308" s="21"/>
      <c r="Z2308" s="22"/>
      <c r="AA2308" s="12" t="s">
        <v>5745</v>
      </c>
      <c r="AB2308" s="24"/>
    </row>
    <row r="2309" customFormat="false" ht="29.85" hidden="false" customHeight="false" outlineLevel="0" collapsed="false">
      <c r="A2309" s="15" t="n">
        <v>2308</v>
      </c>
      <c r="B2309" s="9" t="s">
        <v>112</v>
      </c>
      <c r="C2309" s="9" t="s">
        <v>66</v>
      </c>
      <c r="D2309" s="10" t="s">
        <v>67</v>
      </c>
      <c r="E2309" s="11" t="s">
        <v>5746</v>
      </c>
      <c r="F2309" s="17"/>
      <c r="G2309" s="12" t="s">
        <v>548</v>
      </c>
      <c r="H2309" s="13" t="n">
        <v>-0.002</v>
      </c>
      <c r="I2309" s="14"/>
      <c r="J2309" s="17"/>
      <c r="K2309" s="9"/>
      <c r="L2309" s="15" t="s">
        <v>50</v>
      </c>
      <c r="M2309" s="16" t="s">
        <v>51</v>
      </c>
      <c r="N2309" s="14"/>
      <c r="O2309" s="15" t="s">
        <v>52</v>
      </c>
      <c r="P2309" s="17" t="s">
        <v>53</v>
      </c>
      <c r="Q2309" s="15"/>
      <c r="R2309" s="18" t="s">
        <v>51</v>
      </c>
      <c r="S2309" s="19"/>
      <c r="T2309" s="17" t="str">
        <f aca="false">IF(R2309="維持",J2309,IF(R2309="排除","無關新聞事件",IFERROR(INDEX(事件規則!$B$2:$B$53,MATCH(S2309,事件規則!$A$2:$A$53,0)),"")))</f>
        <v>無關新聞事件</v>
      </c>
      <c r="U2309" s="20" t="n">
        <f aca="false">IF(R2309="維持",K2309,IF(R2309="排除",0,IFERROR(INDEX(事件規則!$C$2:$C$53,MATCH(S2309,事件規則!$A$2:$A$53,0)),"")))</f>
        <v>0</v>
      </c>
      <c r="V2309" s="21"/>
      <c r="W2309" s="22"/>
      <c r="X2309" s="10" t="str">
        <f aca="false">IF(AND(R2309="修改",S2309=""),"請選新事件代碼",IF(AND(R2309&lt;&gt;"修改",S2309&lt;&gt;""),"只有「修改」才需填代碼",""))</f>
        <v/>
      </c>
      <c r="Y2309" s="21"/>
      <c r="Z2309" s="22"/>
      <c r="AA2309" s="12" t="s">
        <v>5747</v>
      </c>
      <c r="AB2309" s="24"/>
    </row>
    <row r="2310" customFormat="false" ht="29.85" hidden="false" customHeight="false" outlineLevel="0" collapsed="false">
      <c r="A2310" s="15" t="n">
        <v>2309</v>
      </c>
      <c r="B2310" s="9" t="s">
        <v>112</v>
      </c>
      <c r="C2310" s="9" t="s">
        <v>1391</v>
      </c>
      <c r="D2310" s="10" t="s">
        <v>1392</v>
      </c>
      <c r="E2310" s="11" t="s">
        <v>5748</v>
      </c>
      <c r="F2310" s="17"/>
      <c r="G2310" s="12" t="s">
        <v>105</v>
      </c>
      <c r="H2310" s="13" t="n">
        <v>-0.002</v>
      </c>
      <c r="I2310" s="14"/>
      <c r="J2310" s="17"/>
      <c r="K2310" s="9"/>
      <c r="L2310" s="15" t="s">
        <v>50</v>
      </c>
      <c r="M2310" s="16" t="s">
        <v>51</v>
      </c>
      <c r="N2310" s="14"/>
      <c r="O2310" s="15" t="s">
        <v>52</v>
      </c>
      <c r="P2310" s="17" t="s">
        <v>53</v>
      </c>
      <c r="Q2310" s="15"/>
      <c r="R2310" s="18" t="s">
        <v>51</v>
      </c>
      <c r="S2310" s="19"/>
      <c r="T2310" s="17" t="str">
        <f aca="false">IF(R2310="維持",J2310,IF(R2310="排除","無關新聞事件",IFERROR(INDEX(事件規則!$B$2:$B$53,MATCH(S2310,事件規則!$A$2:$A$53,0)),"")))</f>
        <v>無關新聞事件</v>
      </c>
      <c r="U2310" s="20" t="n">
        <f aca="false">IF(R2310="維持",K2310,IF(R2310="排除",0,IFERROR(INDEX(事件規則!$C$2:$C$53,MATCH(S2310,事件規則!$A$2:$A$53,0)),"")))</f>
        <v>0</v>
      </c>
      <c r="V2310" s="21"/>
      <c r="W2310" s="22"/>
      <c r="X2310" s="10" t="str">
        <f aca="false">IF(AND(R2310="修改",S2310=""),"請選新事件代碼",IF(AND(R2310&lt;&gt;"修改",S2310&lt;&gt;""),"只有「修改」才需填代碼",""))</f>
        <v/>
      </c>
      <c r="Y2310" s="21"/>
      <c r="Z2310" s="22"/>
      <c r="AA2310" s="12" t="s">
        <v>5749</v>
      </c>
      <c r="AB2310" s="24"/>
    </row>
    <row r="2311" customFormat="false" ht="29.85" hidden="false" customHeight="false" outlineLevel="0" collapsed="false">
      <c r="A2311" s="15" t="n">
        <v>2310</v>
      </c>
      <c r="B2311" s="9" t="s">
        <v>112</v>
      </c>
      <c r="C2311" s="9" t="s">
        <v>1672</v>
      </c>
      <c r="D2311" s="10" t="s">
        <v>1673</v>
      </c>
      <c r="E2311" s="11" t="s">
        <v>5750</v>
      </c>
      <c r="F2311" s="17"/>
      <c r="G2311" s="12" t="s">
        <v>105</v>
      </c>
      <c r="H2311" s="13" t="n">
        <v>-0.002</v>
      </c>
      <c r="I2311" s="14"/>
      <c r="J2311" s="17"/>
      <c r="K2311" s="9"/>
      <c r="L2311" s="15" t="s">
        <v>50</v>
      </c>
      <c r="M2311" s="16" t="s">
        <v>51</v>
      </c>
      <c r="N2311" s="14"/>
      <c r="O2311" s="15" t="s">
        <v>52</v>
      </c>
      <c r="P2311" s="17" t="s">
        <v>53</v>
      </c>
      <c r="Q2311" s="15"/>
      <c r="R2311" s="18" t="s">
        <v>51</v>
      </c>
      <c r="S2311" s="19"/>
      <c r="T2311" s="17" t="str">
        <f aca="false">IF(R2311="維持",J2311,IF(R2311="排除","無關新聞事件",IFERROR(INDEX(事件規則!$B$2:$B$53,MATCH(S2311,事件規則!$A$2:$A$53,0)),"")))</f>
        <v>無關新聞事件</v>
      </c>
      <c r="U2311" s="20" t="n">
        <f aca="false">IF(R2311="維持",K2311,IF(R2311="排除",0,IFERROR(INDEX(事件規則!$C$2:$C$53,MATCH(S2311,事件規則!$A$2:$A$53,0)),"")))</f>
        <v>0</v>
      </c>
      <c r="V2311" s="21"/>
      <c r="W2311" s="22"/>
      <c r="X2311" s="10" t="str">
        <f aca="false">IF(AND(R2311="修改",S2311=""),"請選新事件代碼",IF(AND(R2311&lt;&gt;"修改",S2311&lt;&gt;""),"只有「修改」才需填代碼",""))</f>
        <v/>
      </c>
      <c r="Y2311" s="21"/>
      <c r="Z2311" s="22"/>
      <c r="AA2311" s="12" t="s">
        <v>5751</v>
      </c>
      <c r="AB2311" s="24"/>
    </row>
    <row r="2312" customFormat="false" ht="29.85" hidden="false" customHeight="false" outlineLevel="0" collapsed="false">
      <c r="A2312" s="15" t="n">
        <v>2311</v>
      </c>
      <c r="B2312" s="9" t="s">
        <v>112</v>
      </c>
      <c r="C2312" s="9" t="s">
        <v>5752</v>
      </c>
      <c r="D2312" s="10" t="s">
        <v>5753</v>
      </c>
      <c r="E2312" s="11" t="s">
        <v>5754</v>
      </c>
      <c r="F2312" s="17"/>
      <c r="G2312" s="12" t="s">
        <v>59</v>
      </c>
      <c r="H2312" s="13" t="n">
        <v>-0.002</v>
      </c>
      <c r="I2312" s="14"/>
      <c r="J2312" s="17"/>
      <c r="K2312" s="9"/>
      <c r="L2312" s="15" t="s">
        <v>50</v>
      </c>
      <c r="M2312" s="16" t="s">
        <v>51</v>
      </c>
      <c r="N2312" s="14"/>
      <c r="O2312" s="15" t="s">
        <v>52</v>
      </c>
      <c r="P2312" s="17" t="s">
        <v>53</v>
      </c>
      <c r="Q2312" s="15"/>
      <c r="R2312" s="18" t="s">
        <v>51</v>
      </c>
      <c r="S2312" s="19"/>
      <c r="T2312" s="17" t="str">
        <f aca="false">IF(R2312="維持",J2312,IF(R2312="排除","無關新聞事件",IFERROR(INDEX(事件規則!$B$2:$B$53,MATCH(S2312,事件規則!$A$2:$A$53,0)),"")))</f>
        <v>無關新聞事件</v>
      </c>
      <c r="U2312" s="20" t="n">
        <f aca="false">IF(R2312="維持",K2312,IF(R2312="排除",0,IFERROR(INDEX(事件規則!$C$2:$C$53,MATCH(S2312,事件規則!$A$2:$A$53,0)),"")))</f>
        <v>0</v>
      </c>
      <c r="V2312" s="21"/>
      <c r="W2312" s="22"/>
      <c r="X2312" s="10" t="str">
        <f aca="false">IF(AND(R2312="修改",S2312=""),"請選新事件代碼",IF(AND(R2312&lt;&gt;"修改",S2312&lt;&gt;""),"只有「修改」才需填代碼",""))</f>
        <v/>
      </c>
      <c r="Y2312" s="21"/>
      <c r="Z2312" s="22"/>
      <c r="AA2312" s="12" t="s">
        <v>5755</v>
      </c>
      <c r="AB2312" s="24"/>
    </row>
    <row r="2313" customFormat="false" ht="29.85" hidden="false" customHeight="false" outlineLevel="0" collapsed="false">
      <c r="A2313" s="15" t="n">
        <v>2312</v>
      </c>
      <c r="B2313" s="9" t="s">
        <v>112</v>
      </c>
      <c r="C2313" s="9" t="s">
        <v>1001</v>
      </c>
      <c r="D2313" s="10" t="s">
        <v>1002</v>
      </c>
      <c r="E2313" s="11" t="s">
        <v>5756</v>
      </c>
      <c r="F2313" s="17"/>
      <c r="G2313" s="12" t="s">
        <v>105</v>
      </c>
      <c r="H2313" s="13" t="n">
        <v>-0.002</v>
      </c>
      <c r="I2313" s="14"/>
      <c r="J2313" s="17"/>
      <c r="K2313" s="9"/>
      <c r="L2313" s="15" t="s">
        <v>50</v>
      </c>
      <c r="M2313" s="16" t="s">
        <v>51</v>
      </c>
      <c r="N2313" s="14"/>
      <c r="O2313" s="15" t="s">
        <v>52</v>
      </c>
      <c r="P2313" s="17" t="s">
        <v>53</v>
      </c>
      <c r="Q2313" s="15"/>
      <c r="R2313" s="18" t="s">
        <v>51</v>
      </c>
      <c r="S2313" s="19"/>
      <c r="T2313" s="17" t="str">
        <f aca="false">IF(R2313="維持",J2313,IF(R2313="排除","無關新聞事件",IFERROR(INDEX(事件規則!$B$2:$B$53,MATCH(S2313,事件規則!$A$2:$A$53,0)),"")))</f>
        <v>無關新聞事件</v>
      </c>
      <c r="U2313" s="20" t="n">
        <f aca="false">IF(R2313="維持",K2313,IF(R2313="排除",0,IFERROR(INDEX(事件規則!$C$2:$C$53,MATCH(S2313,事件規則!$A$2:$A$53,0)),"")))</f>
        <v>0</v>
      </c>
      <c r="V2313" s="21"/>
      <c r="W2313" s="22"/>
      <c r="X2313" s="10" t="str">
        <f aca="false">IF(AND(R2313="修改",S2313=""),"請選新事件代碼",IF(AND(R2313&lt;&gt;"修改",S2313&lt;&gt;""),"只有「修改」才需填代碼",""))</f>
        <v/>
      </c>
      <c r="Y2313" s="21"/>
      <c r="Z2313" s="22"/>
      <c r="AA2313" s="12" t="s">
        <v>5757</v>
      </c>
      <c r="AB2313" s="24"/>
    </row>
    <row r="2314" customFormat="false" ht="29.85" hidden="false" customHeight="false" outlineLevel="0" collapsed="false">
      <c r="A2314" s="15" t="n">
        <v>2313</v>
      </c>
      <c r="B2314" s="9" t="s">
        <v>112</v>
      </c>
      <c r="C2314" s="9" t="s">
        <v>2041</v>
      </c>
      <c r="D2314" s="10" t="s">
        <v>2042</v>
      </c>
      <c r="E2314" s="11" t="s">
        <v>5758</v>
      </c>
      <c r="F2314" s="17"/>
      <c r="G2314" s="12" t="s">
        <v>105</v>
      </c>
      <c r="H2314" s="13" t="n">
        <v>-0.002</v>
      </c>
      <c r="I2314" s="14"/>
      <c r="J2314" s="17"/>
      <c r="K2314" s="9"/>
      <c r="L2314" s="15" t="s">
        <v>50</v>
      </c>
      <c r="M2314" s="16" t="s">
        <v>51</v>
      </c>
      <c r="N2314" s="14"/>
      <c r="O2314" s="15" t="s">
        <v>52</v>
      </c>
      <c r="P2314" s="17" t="s">
        <v>53</v>
      </c>
      <c r="Q2314" s="15"/>
      <c r="R2314" s="18" t="s">
        <v>51</v>
      </c>
      <c r="S2314" s="19"/>
      <c r="T2314" s="17" t="str">
        <f aca="false">IF(R2314="維持",J2314,IF(R2314="排除","無關新聞事件",IFERROR(INDEX(事件規則!$B$2:$B$53,MATCH(S2314,事件規則!$A$2:$A$53,0)),"")))</f>
        <v>無關新聞事件</v>
      </c>
      <c r="U2314" s="20" t="n">
        <f aca="false">IF(R2314="維持",K2314,IF(R2314="排除",0,IFERROR(INDEX(事件規則!$C$2:$C$53,MATCH(S2314,事件規則!$A$2:$A$53,0)),"")))</f>
        <v>0</v>
      </c>
      <c r="V2314" s="21"/>
      <c r="W2314" s="22"/>
      <c r="X2314" s="10" t="str">
        <f aca="false">IF(AND(R2314="修改",S2314=""),"請選新事件代碼",IF(AND(R2314&lt;&gt;"修改",S2314&lt;&gt;""),"只有「修改」才需填代碼",""))</f>
        <v/>
      </c>
      <c r="Y2314" s="21"/>
      <c r="Z2314" s="22"/>
      <c r="AA2314" s="12" t="s">
        <v>5759</v>
      </c>
      <c r="AB2314" s="24"/>
    </row>
    <row r="2315" customFormat="false" ht="29.85" hidden="false" customHeight="false" outlineLevel="0" collapsed="false">
      <c r="A2315" s="15" t="n">
        <v>2314</v>
      </c>
      <c r="B2315" s="9" t="s">
        <v>112</v>
      </c>
      <c r="C2315" s="9" t="s">
        <v>3741</v>
      </c>
      <c r="D2315" s="10" t="s">
        <v>3742</v>
      </c>
      <c r="E2315" s="11" t="s">
        <v>5760</v>
      </c>
      <c r="F2315" s="17"/>
      <c r="G2315" s="12" t="s">
        <v>176</v>
      </c>
      <c r="H2315" s="13" t="n">
        <v>-0.002</v>
      </c>
      <c r="I2315" s="14"/>
      <c r="J2315" s="17"/>
      <c r="K2315" s="9"/>
      <c r="L2315" s="15" t="s">
        <v>50</v>
      </c>
      <c r="M2315" s="16" t="s">
        <v>51</v>
      </c>
      <c r="N2315" s="14"/>
      <c r="O2315" s="15" t="s">
        <v>52</v>
      </c>
      <c r="P2315" s="17" t="s">
        <v>53</v>
      </c>
      <c r="Q2315" s="15"/>
      <c r="R2315" s="18" t="s">
        <v>51</v>
      </c>
      <c r="S2315" s="19"/>
      <c r="T2315" s="17" t="str">
        <f aca="false">IF(R2315="維持",J2315,IF(R2315="排除","無關新聞事件",IFERROR(INDEX(事件規則!$B$2:$B$53,MATCH(S2315,事件規則!$A$2:$A$53,0)),"")))</f>
        <v>無關新聞事件</v>
      </c>
      <c r="U2315" s="20" t="n">
        <f aca="false">IF(R2315="維持",K2315,IF(R2315="排除",0,IFERROR(INDEX(事件規則!$C$2:$C$53,MATCH(S2315,事件規則!$A$2:$A$53,0)),"")))</f>
        <v>0</v>
      </c>
      <c r="V2315" s="21"/>
      <c r="W2315" s="22"/>
      <c r="X2315" s="10" t="str">
        <f aca="false">IF(AND(R2315="修改",S2315=""),"請選新事件代碼",IF(AND(R2315&lt;&gt;"修改",S2315&lt;&gt;""),"只有「修改」才需填代碼",""))</f>
        <v/>
      </c>
      <c r="Y2315" s="21"/>
      <c r="Z2315" s="22"/>
      <c r="AA2315" s="12" t="s">
        <v>5761</v>
      </c>
      <c r="AB2315" s="24"/>
    </row>
    <row r="2316" customFormat="false" ht="29.85" hidden="false" customHeight="false" outlineLevel="0" collapsed="false">
      <c r="A2316" s="15" t="n">
        <v>2315</v>
      </c>
      <c r="B2316" s="9" t="s">
        <v>112</v>
      </c>
      <c r="C2316" s="9" t="s">
        <v>987</v>
      </c>
      <c r="D2316" s="10" t="s">
        <v>988</v>
      </c>
      <c r="E2316" s="11" t="s">
        <v>5762</v>
      </c>
      <c r="F2316" s="17"/>
      <c r="G2316" s="12" t="s">
        <v>95</v>
      </c>
      <c r="H2316" s="13" t="n">
        <v>-0.002</v>
      </c>
      <c r="I2316" s="14"/>
      <c r="J2316" s="17"/>
      <c r="K2316" s="9"/>
      <c r="L2316" s="15" t="s">
        <v>50</v>
      </c>
      <c r="M2316" s="16" t="s">
        <v>51</v>
      </c>
      <c r="N2316" s="14"/>
      <c r="O2316" s="15" t="s">
        <v>52</v>
      </c>
      <c r="P2316" s="17" t="s">
        <v>53</v>
      </c>
      <c r="Q2316" s="15"/>
      <c r="R2316" s="18" t="s">
        <v>51</v>
      </c>
      <c r="S2316" s="19"/>
      <c r="T2316" s="17" t="str">
        <f aca="false">IF(R2316="維持",J2316,IF(R2316="排除","無關新聞事件",IFERROR(INDEX(事件規則!$B$2:$B$53,MATCH(S2316,事件規則!$A$2:$A$53,0)),"")))</f>
        <v>無關新聞事件</v>
      </c>
      <c r="U2316" s="20" t="n">
        <f aca="false">IF(R2316="維持",K2316,IF(R2316="排除",0,IFERROR(INDEX(事件規則!$C$2:$C$53,MATCH(S2316,事件規則!$A$2:$A$53,0)),"")))</f>
        <v>0</v>
      </c>
      <c r="V2316" s="21"/>
      <c r="W2316" s="22"/>
      <c r="X2316" s="10" t="str">
        <f aca="false">IF(AND(R2316="修改",S2316=""),"請選新事件代碼",IF(AND(R2316&lt;&gt;"修改",S2316&lt;&gt;""),"只有「修改」才需填代碼",""))</f>
        <v/>
      </c>
      <c r="Y2316" s="21"/>
      <c r="Z2316" s="22"/>
      <c r="AA2316" s="12" t="s">
        <v>5763</v>
      </c>
      <c r="AB2316" s="24"/>
    </row>
    <row r="2317" customFormat="false" ht="29.85" hidden="false" customHeight="false" outlineLevel="0" collapsed="false">
      <c r="A2317" s="15" t="n">
        <v>2316</v>
      </c>
      <c r="B2317" s="9" t="s">
        <v>112</v>
      </c>
      <c r="C2317" s="9" t="s">
        <v>260</v>
      </c>
      <c r="D2317" s="10" t="s">
        <v>261</v>
      </c>
      <c r="E2317" s="11" t="s">
        <v>5764</v>
      </c>
      <c r="F2317" s="17"/>
      <c r="G2317" s="12" t="s">
        <v>105</v>
      </c>
      <c r="H2317" s="13" t="n">
        <v>-0.002</v>
      </c>
      <c r="I2317" s="14"/>
      <c r="J2317" s="17"/>
      <c r="K2317" s="9"/>
      <c r="L2317" s="15" t="s">
        <v>50</v>
      </c>
      <c r="M2317" s="16" t="s">
        <v>51</v>
      </c>
      <c r="N2317" s="14"/>
      <c r="O2317" s="15" t="s">
        <v>52</v>
      </c>
      <c r="P2317" s="17" t="s">
        <v>53</v>
      </c>
      <c r="Q2317" s="15"/>
      <c r="R2317" s="18" t="s">
        <v>51</v>
      </c>
      <c r="S2317" s="19"/>
      <c r="T2317" s="17" t="str">
        <f aca="false">IF(R2317="維持",J2317,IF(R2317="排除","無關新聞事件",IFERROR(INDEX(事件規則!$B$2:$B$53,MATCH(S2317,事件規則!$A$2:$A$53,0)),"")))</f>
        <v>無關新聞事件</v>
      </c>
      <c r="U2317" s="20" t="n">
        <f aca="false">IF(R2317="維持",K2317,IF(R2317="排除",0,IFERROR(INDEX(事件規則!$C$2:$C$53,MATCH(S2317,事件規則!$A$2:$A$53,0)),"")))</f>
        <v>0</v>
      </c>
      <c r="V2317" s="21"/>
      <c r="W2317" s="22"/>
      <c r="X2317" s="10" t="str">
        <f aca="false">IF(AND(R2317="修改",S2317=""),"請選新事件代碼",IF(AND(R2317&lt;&gt;"修改",S2317&lt;&gt;""),"只有「修改」才需填代碼",""))</f>
        <v/>
      </c>
      <c r="Y2317" s="21"/>
      <c r="Z2317" s="22"/>
      <c r="AA2317" s="12" t="s">
        <v>5765</v>
      </c>
      <c r="AB2317" s="24"/>
    </row>
    <row r="2318" customFormat="false" ht="29.85" hidden="false" customHeight="false" outlineLevel="0" collapsed="false">
      <c r="A2318" s="15" t="n">
        <v>2317</v>
      </c>
      <c r="B2318" s="9" t="s">
        <v>55</v>
      </c>
      <c r="C2318" s="9" t="s">
        <v>1555</v>
      </c>
      <c r="D2318" s="10" t="s">
        <v>1556</v>
      </c>
      <c r="E2318" s="11" t="s">
        <v>5766</v>
      </c>
      <c r="F2318" s="17"/>
      <c r="G2318" s="12" t="s">
        <v>95</v>
      </c>
      <c r="H2318" s="13" t="n">
        <v>-0.002</v>
      </c>
      <c r="I2318" s="14"/>
      <c r="J2318" s="17"/>
      <c r="K2318" s="9"/>
      <c r="L2318" s="15" t="s">
        <v>50</v>
      </c>
      <c r="M2318" s="16" t="s">
        <v>51</v>
      </c>
      <c r="N2318" s="14"/>
      <c r="O2318" s="15" t="s">
        <v>52</v>
      </c>
      <c r="P2318" s="17" t="s">
        <v>53</v>
      </c>
      <c r="Q2318" s="15"/>
      <c r="R2318" s="18" t="s">
        <v>51</v>
      </c>
      <c r="S2318" s="19"/>
      <c r="T2318" s="17" t="str">
        <f aca="false">IF(R2318="維持",J2318,IF(R2318="排除","無關新聞事件",IFERROR(INDEX(事件規則!$B$2:$B$53,MATCH(S2318,事件規則!$A$2:$A$53,0)),"")))</f>
        <v>無關新聞事件</v>
      </c>
      <c r="U2318" s="20" t="n">
        <f aca="false">IF(R2318="維持",K2318,IF(R2318="排除",0,IFERROR(INDEX(事件規則!$C$2:$C$53,MATCH(S2318,事件規則!$A$2:$A$53,0)),"")))</f>
        <v>0</v>
      </c>
      <c r="V2318" s="21"/>
      <c r="W2318" s="22"/>
      <c r="X2318" s="10" t="str">
        <f aca="false">IF(AND(R2318="修改",S2318=""),"請選新事件代碼",IF(AND(R2318&lt;&gt;"修改",S2318&lt;&gt;""),"只有「修改」才需填代碼",""))</f>
        <v/>
      </c>
      <c r="Y2318" s="21"/>
      <c r="Z2318" s="22"/>
      <c r="AA2318" s="12" t="s">
        <v>5767</v>
      </c>
      <c r="AB2318" s="24"/>
    </row>
    <row r="2319" customFormat="false" ht="29.85" hidden="false" customHeight="false" outlineLevel="0" collapsed="false">
      <c r="A2319" s="15" t="n">
        <v>2318</v>
      </c>
      <c r="B2319" s="9" t="s">
        <v>55</v>
      </c>
      <c r="C2319" s="9" t="s">
        <v>4394</v>
      </c>
      <c r="D2319" s="10" t="s">
        <v>4395</v>
      </c>
      <c r="E2319" s="11" t="s">
        <v>5768</v>
      </c>
      <c r="F2319" s="17"/>
      <c r="G2319" s="12" t="s">
        <v>949</v>
      </c>
      <c r="H2319" s="13" t="n">
        <v>-0.002</v>
      </c>
      <c r="I2319" s="14"/>
      <c r="J2319" s="17"/>
      <c r="K2319" s="9"/>
      <c r="L2319" s="15" t="s">
        <v>50</v>
      </c>
      <c r="M2319" s="16" t="s">
        <v>51</v>
      </c>
      <c r="N2319" s="14"/>
      <c r="O2319" s="15" t="s">
        <v>52</v>
      </c>
      <c r="P2319" s="17" t="s">
        <v>53</v>
      </c>
      <c r="Q2319" s="15"/>
      <c r="R2319" s="18" t="s">
        <v>51</v>
      </c>
      <c r="S2319" s="19"/>
      <c r="T2319" s="17" t="str">
        <f aca="false">IF(R2319="維持",J2319,IF(R2319="排除","無關新聞事件",IFERROR(INDEX(事件規則!$B$2:$B$53,MATCH(S2319,事件規則!$A$2:$A$53,0)),"")))</f>
        <v>無關新聞事件</v>
      </c>
      <c r="U2319" s="20" t="n">
        <f aca="false">IF(R2319="維持",K2319,IF(R2319="排除",0,IFERROR(INDEX(事件規則!$C$2:$C$53,MATCH(S2319,事件規則!$A$2:$A$53,0)),"")))</f>
        <v>0</v>
      </c>
      <c r="V2319" s="21"/>
      <c r="W2319" s="22"/>
      <c r="X2319" s="10" t="str">
        <f aca="false">IF(AND(R2319="修改",S2319=""),"請選新事件代碼",IF(AND(R2319&lt;&gt;"修改",S2319&lt;&gt;""),"只有「修改」才需填代碼",""))</f>
        <v/>
      </c>
      <c r="Y2319" s="21"/>
      <c r="Z2319" s="22"/>
      <c r="AA2319" s="12" t="s">
        <v>5769</v>
      </c>
      <c r="AB2319" s="24"/>
    </row>
    <row r="2320" customFormat="false" ht="29.85" hidden="false" customHeight="false" outlineLevel="0" collapsed="false">
      <c r="A2320" s="15" t="n">
        <v>2319</v>
      </c>
      <c r="B2320" s="9" t="s">
        <v>55</v>
      </c>
      <c r="C2320" s="9" t="s">
        <v>973</v>
      </c>
      <c r="D2320" s="10" t="s">
        <v>974</v>
      </c>
      <c r="E2320" s="11" t="s">
        <v>5770</v>
      </c>
      <c r="F2320" s="17"/>
      <c r="G2320" s="12" t="s">
        <v>1136</v>
      </c>
      <c r="H2320" s="13" t="n">
        <v>-0.002</v>
      </c>
      <c r="I2320" s="14"/>
      <c r="J2320" s="17"/>
      <c r="K2320" s="9"/>
      <c r="L2320" s="15" t="s">
        <v>50</v>
      </c>
      <c r="M2320" s="16" t="s">
        <v>51</v>
      </c>
      <c r="N2320" s="14"/>
      <c r="O2320" s="15" t="s">
        <v>52</v>
      </c>
      <c r="P2320" s="17" t="s">
        <v>53</v>
      </c>
      <c r="Q2320" s="15"/>
      <c r="R2320" s="18" t="s">
        <v>51</v>
      </c>
      <c r="S2320" s="19"/>
      <c r="T2320" s="17" t="str">
        <f aca="false">IF(R2320="維持",J2320,IF(R2320="排除","無關新聞事件",IFERROR(INDEX(事件規則!$B$2:$B$53,MATCH(S2320,事件規則!$A$2:$A$53,0)),"")))</f>
        <v>無關新聞事件</v>
      </c>
      <c r="U2320" s="20" t="n">
        <f aca="false">IF(R2320="維持",K2320,IF(R2320="排除",0,IFERROR(INDEX(事件規則!$C$2:$C$53,MATCH(S2320,事件規則!$A$2:$A$53,0)),"")))</f>
        <v>0</v>
      </c>
      <c r="V2320" s="21"/>
      <c r="W2320" s="22"/>
      <c r="X2320" s="10" t="str">
        <f aca="false">IF(AND(R2320="修改",S2320=""),"請選新事件代碼",IF(AND(R2320&lt;&gt;"修改",S2320&lt;&gt;""),"只有「修改」才需填代碼",""))</f>
        <v/>
      </c>
      <c r="Y2320" s="21"/>
      <c r="Z2320" s="22"/>
      <c r="AA2320" s="12" t="s">
        <v>5771</v>
      </c>
      <c r="AB2320" s="24"/>
    </row>
    <row r="2321" customFormat="false" ht="29.85" hidden="false" customHeight="false" outlineLevel="0" collapsed="false">
      <c r="A2321" s="15" t="n">
        <v>2320</v>
      </c>
      <c r="B2321" s="9" t="s">
        <v>55</v>
      </c>
      <c r="C2321" s="9" t="s">
        <v>5752</v>
      </c>
      <c r="D2321" s="10" t="s">
        <v>5753</v>
      </c>
      <c r="E2321" s="11" t="s">
        <v>5772</v>
      </c>
      <c r="F2321" s="17"/>
      <c r="G2321" s="12" t="s">
        <v>95</v>
      </c>
      <c r="H2321" s="13" t="n">
        <v>-0.002</v>
      </c>
      <c r="I2321" s="14"/>
      <c r="J2321" s="17"/>
      <c r="K2321" s="9"/>
      <c r="L2321" s="15" t="s">
        <v>50</v>
      </c>
      <c r="M2321" s="16" t="s">
        <v>51</v>
      </c>
      <c r="N2321" s="14"/>
      <c r="O2321" s="15" t="s">
        <v>52</v>
      </c>
      <c r="P2321" s="17" t="s">
        <v>53</v>
      </c>
      <c r="Q2321" s="15"/>
      <c r="R2321" s="18" t="s">
        <v>51</v>
      </c>
      <c r="S2321" s="19"/>
      <c r="T2321" s="17" t="str">
        <f aca="false">IF(R2321="維持",J2321,IF(R2321="排除","無關新聞事件",IFERROR(INDEX(事件規則!$B$2:$B$53,MATCH(S2321,事件規則!$A$2:$A$53,0)),"")))</f>
        <v>無關新聞事件</v>
      </c>
      <c r="U2321" s="20" t="n">
        <f aca="false">IF(R2321="維持",K2321,IF(R2321="排除",0,IFERROR(INDEX(事件規則!$C$2:$C$53,MATCH(S2321,事件規則!$A$2:$A$53,0)),"")))</f>
        <v>0</v>
      </c>
      <c r="V2321" s="21"/>
      <c r="W2321" s="22"/>
      <c r="X2321" s="10" t="str">
        <f aca="false">IF(AND(R2321="修改",S2321=""),"請選新事件代碼",IF(AND(R2321&lt;&gt;"修改",S2321&lt;&gt;""),"只有「修改」才需填代碼",""))</f>
        <v/>
      </c>
      <c r="Y2321" s="21"/>
      <c r="Z2321" s="22"/>
      <c r="AA2321" s="12" t="s">
        <v>5773</v>
      </c>
      <c r="AB2321" s="24"/>
    </row>
    <row r="2322" customFormat="false" ht="29.85" hidden="false" customHeight="false" outlineLevel="0" collapsed="false">
      <c r="A2322" s="15" t="n">
        <v>2321</v>
      </c>
      <c r="B2322" s="9" t="s">
        <v>55</v>
      </c>
      <c r="C2322" s="9" t="s">
        <v>1415</v>
      </c>
      <c r="D2322" s="10" t="s">
        <v>1416</v>
      </c>
      <c r="E2322" s="11" t="s">
        <v>5774</v>
      </c>
      <c r="F2322" s="17"/>
      <c r="G2322" s="12" t="s">
        <v>949</v>
      </c>
      <c r="H2322" s="13" t="n">
        <v>-0.002</v>
      </c>
      <c r="I2322" s="14"/>
      <c r="J2322" s="17"/>
      <c r="K2322" s="9"/>
      <c r="L2322" s="15" t="s">
        <v>50</v>
      </c>
      <c r="M2322" s="16" t="s">
        <v>51</v>
      </c>
      <c r="N2322" s="14"/>
      <c r="O2322" s="15" t="s">
        <v>52</v>
      </c>
      <c r="P2322" s="17" t="s">
        <v>53</v>
      </c>
      <c r="Q2322" s="15"/>
      <c r="R2322" s="18" t="s">
        <v>51</v>
      </c>
      <c r="S2322" s="19"/>
      <c r="T2322" s="17" t="str">
        <f aca="false">IF(R2322="維持",J2322,IF(R2322="排除","無關新聞事件",IFERROR(INDEX(事件規則!$B$2:$B$53,MATCH(S2322,事件規則!$A$2:$A$53,0)),"")))</f>
        <v>無關新聞事件</v>
      </c>
      <c r="U2322" s="20" t="n">
        <f aca="false">IF(R2322="維持",K2322,IF(R2322="排除",0,IFERROR(INDEX(事件規則!$C$2:$C$53,MATCH(S2322,事件規則!$A$2:$A$53,0)),"")))</f>
        <v>0</v>
      </c>
      <c r="V2322" s="21"/>
      <c r="W2322" s="22"/>
      <c r="X2322" s="10" t="str">
        <f aca="false">IF(AND(R2322="修改",S2322=""),"請選新事件代碼",IF(AND(R2322&lt;&gt;"修改",S2322&lt;&gt;""),"只有「修改」才需填代碼",""))</f>
        <v/>
      </c>
      <c r="Y2322" s="21"/>
      <c r="Z2322" s="22"/>
      <c r="AA2322" s="12" t="s">
        <v>5775</v>
      </c>
      <c r="AB2322" s="24"/>
    </row>
    <row r="2323" customFormat="false" ht="29.85" hidden="false" customHeight="false" outlineLevel="0" collapsed="false">
      <c r="A2323" s="15" t="n">
        <v>2322</v>
      </c>
      <c r="B2323" s="9" t="s">
        <v>45</v>
      </c>
      <c r="C2323" s="9" t="s">
        <v>178</v>
      </c>
      <c r="D2323" s="10" t="s">
        <v>179</v>
      </c>
      <c r="E2323" s="11" t="s">
        <v>5776</v>
      </c>
      <c r="F2323" s="17"/>
      <c r="G2323" s="12" t="s">
        <v>1420</v>
      </c>
      <c r="H2323" s="13" t="n">
        <v>-0.002</v>
      </c>
      <c r="I2323" s="14"/>
      <c r="J2323" s="17"/>
      <c r="K2323" s="9"/>
      <c r="L2323" s="15" t="s">
        <v>50</v>
      </c>
      <c r="M2323" s="16" t="s">
        <v>51</v>
      </c>
      <c r="N2323" s="14"/>
      <c r="O2323" s="15" t="s">
        <v>52</v>
      </c>
      <c r="P2323" s="17" t="s">
        <v>53</v>
      </c>
      <c r="Q2323" s="15"/>
      <c r="R2323" s="18" t="s">
        <v>51</v>
      </c>
      <c r="S2323" s="19"/>
      <c r="T2323" s="17" t="str">
        <f aca="false">IF(R2323="維持",J2323,IF(R2323="排除","無關新聞事件",IFERROR(INDEX(事件規則!$B$2:$B$53,MATCH(S2323,事件規則!$A$2:$A$53,0)),"")))</f>
        <v>無關新聞事件</v>
      </c>
      <c r="U2323" s="20" t="n">
        <f aca="false">IF(R2323="維持",K2323,IF(R2323="排除",0,IFERROR(INDEX(事件規則!$C$2:$C$53,MATCH(S2323,事件規則!$A$2:$A$53,0)),"")))</f>
        <v>0</v>
      </c>
      <c r="V2323" s="21"/>
      <c r="W2323" s="22"/>
      <c r="X2323" s="10" t="str">
        <f aca="false">IF(AND(R2323="修改",S2323=""),"請選新事件代碼",IF(AND(R2323&lt;&gt;"修改",S2323&lt;&gt;""),"只有「修改」才需填代碼",""))</f>
        <v/>
      </c>
      <c r="Y2323" s="21"/>
      <c r="Z2323" s="22"/>
      <c r="AA2323" s="12" t="s">
        <v>5777</v>
      </c>
      <c r="AB2323" s="24"/>
    </row>
    <row r="2324" customFormat="false" ht="29.85" hidden="false" customHeight="false" outlineLevel="0" collapsed="false">
      <c r="A2324" s="15" t="n">
        <v>2323</v>
      </c>
      <c r="B2324" s="9" t="s">
        <v>55</v>
      </c>
      <c r="C2324" s="9" t="s">
        <v>716</v>
      </c>
      <c r="D2324" s="10" t="s">
        <v>717</v>
      </c>
      <c r="E2324" s="11" t="s">
        <v>5778</v>
      </c>
      <c r="F2324" s="17"/>
      <c r="G2324" s="12" t="s">
        <v>1136</v>
      </c>
      <c r="H2324" s="13" t="n">
        <v>-0.002</v>
      </c>
      <c r="I2324" s="14"/>
      <c r="J2324" s="17"/>
      <c r="K2324" s="9"/>
      <c r="L2324" s="15" t="s">
        <v>50</v>
      </c>
      <c r="M2324" s="16" t="s">
        <v>51</v>
      </c>
      <c r="N2324" s="14"/>
      <c r="O2324" s="15" t="s">
        <v>52</v>
      </c>
      <c r="P2324" s="17" t="s">
        <v>53</v>
      </c>
      <c r="Q2324" s="15"/>
      <c r="R2324" s="18" t="s">
        <v>51</v>
      </c>
      <c r="S2324" s="19"/>
      <c r="T2324" s="17" t="str">
        <f aca="false">IF(R2324="維持",J2324,IF(R2324="排除","無關新聞事件",IFERROR(INDEX(事件規則!$B$2:$B$53,MATCH(S2324,事件規則!$A$2:$A$53,0)),"")))</f>
        <v>無關新聞事件</v>
      </c>
      <c r="U2324" s="20" t="n">
        <f aca="false">IF(R2324="維持",K2324,IF(R2324="排除",0,IFERROR(INDEX(事件規則!$C$2:$C$53,MATCH(S2324,事件規則!$A$2:$A$53,0)),"")))</f>
        <v>0</v>
      </c>
      <c r="V2324" s="21"/>
      <c r="W2324" s="22"/>
      <c r="X2324" s="10" t="str">
        <f aca="false">IF(AND(R2324="修改",S2324=""),"請選新事件代碼",IF(AND(R2324&lt;&gt;"修改",S2324&lt;&gt;""),"只有「修改」才需填代碼",""))</f>
        <v/>
      </c>
      <c r="Y2324" s="21"/>
      <c r="Z2324" s="22"/>
      <c r="AA2324" s="12" t="s">
        <v>5779</v>
      </c>
      <c r="AB2324" s="24"/>
    </row>
    <row r="2325" customFormat="false" ht="29.85" hidden="false" customHeight="false" outlineLevel="0" collapsed="false">
      <c r="A2325" s="15" t="n">
        <v>2324</v>
      </c>
      <c r="B2325" s="9" t="s">
        <v>55</v>
      </c>
      <c r="C2325" s="9" t="s">
        <v>289</v>
      </c>
      <c r="D2325" s="10" t="s">
        <v>290</v>
      </c>
      <c r="E2325" s="11" t="s">
        <v>5780</v>
      </c>
      <c r="F2325" s="17"/>
      <c r="G2325" s="12" t="s">
        <v>142</v>
      </c>
      <c r="H2325" s="13" t="n">
        <v>-0.002</v>
      </c>
      <c r="I2325" s="14"/>
      <c r="J2325" s="17"/>
      <c r="K2325" s="9"/>
      <c r="L2325" s="15" t="s">
        <v>50</v>
      </c>
      <c r="M2325" s="16" t="s">
        <v>51</v>
      </c>
      <c r="N2325" s="14"/>
      <c r="O2325" s="15" t="s">
        <v>52</v>
      </c>
      <c r="P2325" s="17" t="s">
        <v>53</v>
      </c>
      <c r="Q2325" s="15"/>
      <c r="R2325" s="18" t="s">
        <v>51</v>
      </c>
      <c r="S2325" s="19"/>
      <c r="T2325" s="17" t="str">
        <f aca="false">IF(R2325="維持",J2325,IF(R2325="排除","無關新聞事件",IFERROR(INDEX(事件規則!$B$2:$B$53,MATCH(S2325,事件規則!$A$2:$A$53,0)),"")))</f>
        <v>無關新聞事件</v>
      </c>
      <c r="U2325" s="20" t="n">
        <f aca="false">IF(R2325="維持",K2325,IF(R2325="排除",0,IFERROR(INDEX(事件規則!$C$2:$C$53,MATCH(S2325,事件規則!$A$2:$A$53,0)),"")))</f>
        <v>0</v>
      </c>
      <c r="V2325" s="21"/>
      <c r="W2325" s="22"/>
      <c r="X2325" s="10" t="str">
        <f aca="false">IF(AND(R2325="修改",S2325=""),"請選新事件代碼",IF(AND(R2325&lt;&gt;"修改",S2325&lt;&gt;""),"只有「修改」才需填代碼",""))</f>
        <v/>
      </c>
      <c r="Y2325" s="21"/>
      <c r="Z2325" s="22"/>
      <c r="AA2325" s="12" t="s">
        <v>5781</v>
      </c>
      <c r="AB2325" s="24"/>
    </row>
    <row r="2326" customFormat="false" ht="29.85" hidden="false" customHeight="false" outlineLevel="0" collapsed="false">
      <c r="A2326" s="15" t="n">
        <v>2325</v>
      </c>
      <c r="B2326" s="9" t="s">
        <v>55</v>
      </c>
      <c r="C2326" s="9" t="s">
        <v>355</v>
      </c>
      <c r="D2326" s="10" t="s">
        <v>356</v>
      </c>
      <c r="E2326" s="11" t="s">
        <v>5782</v>
      </c>
      <c r="F2326" s="17"/>
      <c r="G2326" s="12" t="s">
        <v>3304</v>
      </c>
      <c r="H2326" s="13" t="n">
        <v>-0.002</v>
      </c>
      <c r="I2326" s="14"/>
      <c r="J2326" s="17"/>
      <c r="K2326" s="9"/>
      <c r="L2326" s="15" t="s">
        <v>50</v>
      </c>
      <c r="M2326" s="16" t="s">
        <v>51</v>
      </c>
      <c r="N2326" s="14"/>
      <c r="O2326" s="15" t="s">
        <v>52</v>
      </c>
      <c r="P2326" s="17" t="s">
        <v>53</v>
      </c>
      <c r="Q2326" s="15"/>
      <c r="R2326" s="18" t="s">
        <v>51</v>
      </c>
      <c r="S2326" s="19"/>
      <c r="T2326" s="17" t="str">
        <f aca="false">IF(R2326="維持",J2326,IF(R2326="排除","無關新聞事件",IFERROR(INDEX(事件規則!$B$2:$B$53,MATCH(S2326,事件規則!$A$2:$A$53,0)),"")))</f>
        <v>無關新聞事件</v>
      </c>
      <c r="U2326" s="20" t="n">
        <f aca="false">IF(R2326="維持",K2326,IF(R2326="排除",0,IFERROR(INDEX(事件規則!$C$2:$C$53,MATCH(S2326,事件規則!$A$2:$A$53,0)),"")))</f>
        <v>0</v>
      </c>
      <c r="V2326" s="21"/>
      <c r="W2326" s="22"/>
      <c r="X2326" s="10" t="str">
        <f aca="false">IF(AND(R2326="修改",S2326=""),"請選新事件代碼",IF(AND(R2326&lt;&gt;"修改",S2326&lt;&gt;""),"只有「修改」才需填代碼",""))</f>
        <v/>
      </c>
      <c r="Y2326" s="21"/>
      <c r="Z2326" s="22"/>
      <c r="AA2326" s="12" t="s">
        <v>5783</v>
      </c>
      <c r="AB2326" s="24"/>
    </row>
    <row r="2327" customFormat="false" ht="29.85" hidden="false" customHeight="false" outlineLevel="0" collapsed="false">
      <c r="A2327" s="15" t="n">
        <v>2326</v>
      </c>
      <c r="B2327" s="9" t="s">
        <v>55</v>
      </c>
      <c r="C2327" s="9" t="s">
        <v>242</v>
      </c>
      <c r="D2327" s="10" t="s">
        <v>243</v>
      </c>
      <c r="E2327" s="11" t="s">
        <v>5784</v>
      </c>
      <c r="F2327" s="17"/>
      <c r="G2327" s="12" t="s">
        <v>5785</v>
      </c>
      <c r="H2327" s="13" t="n">
        <v>-0.002</v>
      </c>
      <c r="I2327" s="14"/>
      <c r="J2327" s="17"/>
      <c r="K2327" s="9"/>
      <c r="L2327" s="15" t="s">
        <v>50</v>
      </c>
      <c r="M2327" s="16" t="s">
        <v>51</v>
      </c>
      <c r="N2327" s="14"/>
      <c r="O2327" s="15" t="s">
        <v>52</v>
      </c>
      <c r="P2327" s="17" t="s">
        <v>53</v>
      </c>
      <c r="Q2327" s="15"/>
      <c r="R2327" s="18" t="s">
        <v>51</v>
      </c>
      <c r="S2327" s="19"/>
      <c r="T2327" s="17" t="str">
        <f aca="false">IF(R2327="維持",J2327,IF(R2327="排除","無關新聞事件",IFERROR(INDEX(事件規則!$B$2:$B$53,MATCH(S2327,事件規則!$A$2:$A$53,0)),"")))</f>
        <v>無關新聞事件</v>
      </c>
      <c r="U2327" s="20" t="n">
        <f aca="false">IF(R2327="維持",K2327,IF(R2327="排除",0,IFERROR(INDEX(事件規則!$C$2:$C$53,MATCH(S2327,事件規則!$A$2:$A$53,0)),"")))</f>
        <v>0</v>
      </c>
      <c r="V2327" s="21"/>
      <c r="W2327" s="22"/>
      <c r="X2327" s="10" t="str">
        <f aca="false">IF(AND(R2327="修改",S2327=""),"請選新事件代碼",IF(AND(R2327&lt;&gt;"修改",S2327&lt;&gt;""),"只有「修改」才需填代碼",""))</f>
        <v/>
      </c>
      <c r="Y2327" s="21"/>
      <c r="Z2327" s="22"/>
      <c r="AA2327" s="12" t="s">
        <v>5786</v>
      </c>
      <c r="AB2327" s="24"/>
    </row>
    <row r="2328" customFormat="false" ht="29.85" hidden="false" customHeight="false" outlineLevel="0" collapsed="false">
      <c r="A2328" s="15" t="n">
        <v>2327</v>
      </c>
      <c r="B2328" s="9" t="s">
        <v>81</v>
      </c>
      <c r="C2328" s="9" t="s">
        <v>2514</v>
      </c>
      <c r="D2328" s="10" t="s">
        <v>2515</v>
      </c>
      <c r="E2328" s="11" t="s">
        <v>5787</v>
      </c>
      <c r="F2328" s="17"/>
      <c r="G2328" s="12" t="s">
        <v>105</v>
      </c>
      <c r="H2328" s="13" t="n">
        <v>-0.002</v>
      </c>
      <c r="I2328" s="14"/>
      <c r="J2328" s="17"/>
      <c r="K2328" s="9"/>
      <c r="L2328" s="15" t="s">
        <v>50</v>
      </c>
      <c r="M2328" s="16" t="s">
        <v>51</v>
      </c>
      <c r="N2328" s="14"/>
      <c r="O2328" s="15" t="s">
        <v>52</v>
      </c>
      <c r="P2328" s="17" t="s">
        <v>53</v>
      </c>
      <c r="Q2328" s="15"/>
      <c r="R2328" s="18" t="s">
        <v>51</v>
      </c>
      <c r="S2328" s="19"/>
      <c r="T2328" s="17" t="str">
        <f aca="false">IF(R2328="維持",J2328,IF(R2328="排除","無關新聞事件",IFERROR(INDEX(事件規則!$B$2:$B$53,MATCH(S2328,事件規則!$A$2:$A$53,0)),"")))</f>
        <v>無關新聞事件</v>
      </c>
      <c r="U2328" s="20" t="n">
        <f aca="false">IF(R2328="維持",K2328,IF(R2328="排除",0,IFERROR(INDEX(事件規則!$C$2:$C$53,MATCH(S2328,事件規則!$A$2:$A$53,0)),"")))</f>
        <v>0</v>
      </c>
      <c r="V2328" s="21"/>
      <c r="W2328" s="22"/>
      <c r="X2328" s="10" t="str">
        <f aca="false">IF(AND(R2328="修改",S2328=""),"請選新事件代碼",IF(AND(R2328&lt;&gt;"修改",S2328&lt;&gt;""),"只有「修改」才需填代碼",""))</f>
        <v/>
      </c>
      <c r="Y2328" s="21"/>
      <c r="Z2328" s="22"/>
      <c r="AA2328" s="12" t="s">
        <v>5788</v>
      </c>
      <c r="AB2328" s="24"/>
    </row>
    <row r="2329" customFormat="false" ht="29.85" hidden="false" customHeight="false" outlineLevel="0" collapsed="false">
      <c r="A2329" s="15" t="n">
        <v>2328</v>
      </c>
      <c r="B2329" s="9" t="s">
        <v>81</v>
      </c>
      <c r="C2329" s="9" t="s">
        <v>3835</v>
      </c>
      <c r="D2329" s="10" t="s">
        <v>3836</v>
      </c>
      <c r="E2329" s="11" t="s">
        <v>5789</v>
      </c>
      <c r="F2329" s="17"/>
      <c r="G2329" s="12" t="s">
        <v>949</v>
      </c>
      <c r="H2329" s="13" t="n">
        <v>-0.002</v>
      </c>
      <c r="I2329" s="14"/>
      <c r="J2329" s="17"/>
      <c r="K2329" s="9"/>
      <c r="L2329" s="15" t="s">
        <v>50</v>
      </c>
      <c r="M2329" s="16" t="s">
        <v>51</v>
      </c>
      <c r="N2329" s="14"/>
      <c r="O2329" s="15" t="s">
        <v>52</v>
      </c>
      <c r="P2329" s="17" t="s">
        <v>53</v>
      </c>
      <c r="Q2329" s="15"/>
      <c r="R2329" s="18" t="s">
        <v>51</v>
      </c>
      <c r="S2329" s="19"/>
      <c r="T2329" s="17" t="str">
        <f aca="false">IF(R2329="維持",J2329,IF(R2329="排除","無關新聞事件",IFERROR(INDEX(事件規則!$B$2:$B$53,MATCH(S2329,事件規則!$A$2:$A$53,0)),"")))</f>
        <v>無關新聞事件</v>
      </c>
      <c r="U2329" s="20" t="n">
        <f aca="false">IF(R2329="維持",K2329,IF(R2329="排除",0,IFERROR(INDEX(事件規則!$C$2:$C$53,MATCH(S2329,事件規則!$A$2:$A$53,0)),"")))</f>
        <v>0</v>
      </c>
      <c r="V2329" s="21"/>
      <c r="W2329" s="22"/>
      <c r="X2329" s="10" t="str">
        <f aca="false">IF(AND(R2329="修改",S2329=""),"請選新事件代碼",IF(AND(R2329&lt;&gt;"修改",S2329&lt;&gt;""),"只有「修改」才需填代碼",""))</f>
        <v/>
      </c>
      <c r="Y2329" s="21"/>
      <c r="Z2329" s="22"/>
      <c r="AA2329" s="12" t="s">
        <v>5790</v>
      </c>
      <c r="AB2329" s="24"/>
    </row>
    <row r="2330" customFormat="false" ht="29.85" hidden="false" customHeight="false" outlineLevel="0" collapsed="false">
      <c r="A2330" s="15" t="n">
        <v>2329</v>
      </c>
      <c r="B2330" s="9" t="s">
        <v>81</v>
      </c>
      <c r="C2330" s="9" t="s">
        <v>921</v>
      </c>
      <c r="D2330" s="10" t="s">
        <v>922</v>
      </c>
      <c r="E2330" s="11" t="s">
        <v>5791</v>
      </c>
      <c r="F2330" s="17"/>
      <c r="G2330" s="12" t="s">
        <v>5792</v>
      </c>
      <c r="H2330" s="13" t="n">
        <v>-0.002</v>
      </c>
      <c r="I2330" s="14"/>
      <c r="J2330" s="17"/>
      <c r="K2330" s="9"/>
      <c r="L2330" s="15" t="s">
        <v>50</v>
      </c>
      <c r="M2330" s="16" t="s">
        <v>51</v>
      </c>
      <c r="N2330" s="14"/>
      <c r="O2330" s="15" t="s">
        <v>52</v>
      </c>
      <c r="P2330" s="17" t="s">
        <v>53</v>
      </c>
      <c r="Q2330" s="15"/>
      <c r="R2330" s="18" t="s">
        <v>51</v>
      </c>
      <c r="S2330" s="19"/>
      <c r="T2330" s="17" t="str">
        <f aca="false">IF(R2330="維持",J2330,IF(R2330="排除","無關新聞事件",IFERROR(INDEX(事件規則!$B$2:$B$53,MATCH(S2330,事件規則!$A$2:$A$53,0)),"")))</f>
        <v>無關新聞事件</v>
      </c>
      <c r="U2330" s="20" t="n">
        <f aca="false">IF(R2330="維持",K2330,IF(R2330="排除",0,IFERROR(INDEX(事件規則!$C$2:$C$53,MATCH(S2330,事件規則!$A$2:$A$53,0)),"")))</f>
        <v>0</v>
      </c>
      <c r="V2330" s="21"/>
      <c r="W2330" s="22"/>
      <c r="X2330" s="10" t="str">
        <f aca="false">IF(AND(R2330="修改",S2330=""),"請選新事件代碼",IF(AND(R2330&lt;&gt;"修改",S2330&lt;&gt;""),"只有「修改」才需填代碼",""))</f>
        <v/>
      </c>
      <c r="Y2330" s="21"/>
      <c r="Z2330" s="22"/>
      <c r="AA2330" s="12" t="s">
        <v>5793</v>
      </c>
      <c r="AB2330" s="24"/>
    </row>
    <row r="2331" customFormat="false" ht="29.85" hidden="false" customHeight="false" outlineLevel="0" collapsed="false">
      <c r="A2331" s="15" t="n">
        <v>2330</v>
      </c>
      <c r="B2331" s="9" t="s">
        <v>81</v>
      </c>
      <c r="C2331" s="9" t="s">
        <v>355</v>
      </c>
      <c r="D2331" s="10" t="s">
        <v>356</v>
      </c>
      <c r="E2331" s="11" t="s">
        <v>5794</v>
      </c>
      <c r="F2331" s="17"/>
      <c r="G2331" s="12" t="s">
        <v>3852</v>
      </c>
      <c r="H2331" s="13" t="n">
        <v>-0.002</v>
      </c>
      <c r="I2331" s="14"/>
      <c r="J2331" s="17"/>
      <c r="K2331" s="9"/>
      <c r="L2331" s="15" t="s">
        <v>50</v>
      </c>
      <c r="M2331" s="16" t="s">
        <v>51</v>
      </c>
      <c r="N2331" s="14"/>
      <c r="O2331" s="15" t="s">
        <v>52</v>
      </c>
      <c r="P2331" s="17" t="s">
        <v>53</v>
      </c>
      <c r="Q2331" s="15"/>
      <c r="R2331" s="18" t="s">
        <v>51</v>
      </c>
      <c r="S2331" s="19"/>
      <c r="T2331" s="17" t="str">
        <f aca="false">IF(R2331="維持",J2331,IF(R2331="排除","無關新聞事件",IFERROR(INDEX(事件規則!$B$2:$B$53,MATCH(S2331,事件規則!$A$2:$A$53,0)),"")))</f>
        <v>無關新聞事件</v>
      </c>
      <c r="U2331" s="20" t="n">
        <f aca="false">IF(R2331="維持",K2331,IF(R2331="排除",0,IFERROR(INDEX(事件規則!$C$2:$C$53,MATCH(S2331,事件規則!$A$2:$A$53,0)),"")))</f>
        <v>0</v>
      </c>
      <c r="V2331" s="21"/>
      <c r="W2331" s="22"/>
      <c r="X2331" s="10" t="str">
        <f aca="false">IF(AND(R2331="修改",S2331=""),"請選新事件代碼",IF(AND(R2331&lt;&gt;"修改",S2331&lt;&gt;""),"只有「修改」才需填代碼",""))</f>
        <v/>
      </c>
      <c r="Y2331" s="21"/>
      <c r="Z2331" s="22"/>
      <c r="AA2331" s="12" t="s">
        <v>5795</v>
      </c>
      <c r="AB2331" s="24"/>
    </row>
    <row r="2332" customFormat="false" ht="29.85" hidden="false" customHeight="false" outlineLevel="0" collapsed="false">
      <c r="A2332" s="15" t="n">
        <v>2331</v>
      </c>
      <c r="B2332" s="9" t="s">
        <v>55</v>
      </c>
      <c r="C2332" s="9" t="s">
        <v>889</v>
      </c>
      <c r="D2332" s="10" t="s">
        <v>890</v>
      </c>
      <c r="E2332" s="11" t="s">
        <v>5796</v>
      </c>
      <c r="F2332" s="17"/>
      <c r="G2332" s="12" t="s">
        <v>4702</v>
      </c>
      <c r="H2332" s="13" t="n">
        <v>-0.002</v>
      </c>
      <c r="I2332" s="14"/>
      <c r="J2332" s="17"/>
      <c r="K2332" s="9"/>
      <c r="L2332" s="15" t="s">
        <v>50</v>
      </c>
      <c r="M2332" s="16" t="s">
        <v>51</v>
      </c>
      <c r="N2332" s="14"/>
      <c r="O2332" s="15" t="s">
        <v>52</v>
      </c>
      <c r="P2332" s="17" t="s">
        <v>53</v>
      </c>
      <c r="Q2332" s="15"/>
      <c r="R2332" s="18" t="s">
        <v>51</v>
      </c>
      <c r="S2332" s="19"/>
      <c r="T2332" s="17" t="str">
        <f aca="false">IF(R2332="維持",J2332,IF(R2332="排除","無關新聞事件",IFERROR(INDEX(事件規則!$B$2:$B$53,MATCH(S2332,事件規則!$A$2:$A$53,0)),"")))</f>
        <v>無關新聞事件</v>
      </c>
      <c r="U2332" s="20" t="n">
        <f aca="false">IF(R2332="維持",K2332,IF(R2332="排除",0,IFERROR(INDEX(事件規則!$C$2:$C$53,MATCH(S2332,事件規則!$A$2:$A$53,0)),"")))</f>
        <v>0</v>
      </c>
      <c r="V2332" s="21"/>
      <c r="W2332" s="22"/>
      <c r="X2332" s="10" t="str">
        <f aca="false">IF(AND(R2332="修改",S2332=""),"請選新事件代碼",IF(AND(R2332&lt;&gt;"修改",S2332&lt;&gt;""),"只有「修改」才需填代碼",""))</f>
        <v/>
      </c>
      <c r="Y2332" s="21"/>
      <c r="Z2332" s="22"/>
      <c r="AA2332" s="12" t="s">
        <v>5797</v>
      </c>
      <c r="AB2332" s="24"/>
    </row>
    <row r="2333" customFormat="false" ht="29.85" hidden="false" customHeight="false" outlineLevel="0" collapsed="false">
      <c r="A2333" s="15" t="n">
        <v>2332</v>
      </c>
      <c r="B2333" s="9" t="s">
        <v>45</v>
      </c>
      <c r="C2333" s="9" t="s">
        <v>76</v>
      </c>
      <c r="D2333" s="10" t="s">
        <v>77</v>
      </c>
      <c r="E2333" s="11" t="s">
        <v>5798</v>
      </c>
      <c r="F2333" s="17"/>
      <c r="G2333" s="12" t="s">
        <v>4702</v>
      </c>
      <c r="H2333" s="13" t="n">
        <v>-0.002</v>
      </c>
      <c r="I2333" s="14"/>
      <c r="J2333" s="17"/>
      <c r="K2333" s="9"/>
      <c r="L2333" s="15" t="s">
        <v>50</v>
      </c>
      <c r="M2333" s="16" t="s">
        <v>51</v>
      </c>
      <c r="N2333" s="14"/>
      <c r="O2333" s="15" t="s">
        <v>52</v>
      </c>
      <c r="P2333" s="17" t="s">
        <v>53</v>
      </c>
      <c r="Q2333" s="15"/>
      <c r="R2333" s="18" t="s">
        <v>51</v>
      </c>
      <c r="S2333" s="19"/>
      <c r="T2333" s="17" t="str">
        <f aca="false">IF(R2333="維持",J2333,IF(R2333="排除","無關新聞事件",IFERROR(INDEX(事件規則!$B$2:$B$53,MATCH(S2333,事件規則!$A$2:$A$53,0)),"")))</f>
        <v>無關新聞事件</v>
      </c>
      <c r="U2333" s="20" t="n">
        <f aca="false">IF(R2333="維持",K2333,IF(R2333="排除",0,IFERROR(INDEX(事件規則!$C$2:$C$53,MATCH(S2333,事件規則!$A$2:$A$53,0)),"")))</f>
        <v>0</v>
      </c>
      <c r="V2333" s="21"/>
      <c r="W2333" s="22"/>
      <c r="X2333" s="10" t="str">
        <f aca="false">IF(AND(R2333="修改",S2333=""),"請選新事件代碼",IF(AND(R2333&lt;&gt;"修改",S2333&lt;&gt;""),"只有「修改」才需填代碼",""))</f>
        <v/>
      </c>
      <c r="Y2333" s="21"/>
      <c r="Z2333" s="22"/>
      <c r="AA2333" s="12" t="s">
        <v>5799</v>
      </c>
      <c r="AB2333" s="24"/>
    </row>
    <row r="2334" customFormat="false" ht="29.85" hidden="false" customHeight="false" outlineLevel="0" collapsed="false">
      <c r="A2334" s="15" t="n">
        <v>2333</v>
      </c>
      <c r="B2334" s="9" t="s">
        <v>45</v>
      </c>
      <c r="C2334" s="9" t="s">
        <v>489</v>
      </c>
      <c r="D2334" s="10" t="s">
        <v>490</v>
      </c>
      <c r="E2334" s="11" t="s">
        <v>5800</v>
      </c>
      <c r="F2334" s="17"/>
      <c r="G2334" s="12" t="s">
        <v>1136</v>
      </c>
      <c r="H2334" s="13" t="n">
        <v>-0.002</v>
      </c>
      <c r="I2334" s="14"/>
      <c r="J2334" s="17"/>
      <c r="K2334" s="9"/>
      <c r="L2334" s="15" t="s">
        <v>50</v>
      </c>
      <c r="M2334" s="16" t="s">
        <v>51</v>
      </c>
      <c r="N2334" s="14"/>
      <c r="O2334" s="15" t="s">
        <v>52</v>
      </c>
      <c r="P2334" s="17" t="s">
        <v>53</v>
      </c>
      <c r="Q2334" s="15"/>
      <c r="R2334" s="18" t="s">
        <v>51</v>
      </c>
      <c r="S2334" s="19"/>
      <c r="T2334" s="17" t="str">
        <f aca="false">IF(R2334="維持",J2334,IF(R2334="排除","無關新聞事件",IFERROR(INDEX(事件規則!$B$2:$B$53,MATCH(S2334,事件規則!$A$2:$A$53,0)),"")))</f>
        <v>無關新聞事件</v>
      </c>
      <c r="U2334" s="20" t="n">
        <f aca="false">IF(R2334="維持",K2334,IF(R2334="排除",0,IFERROR(INDEX(事件規則!$C$2:$C$53,MATCH(S2334,事件規則!$A$2:$A$53,0)),"")))</f>
        <v>0</v>
      </c>
      <c r="V2334" s="21"/>
      <c r="W2334" s="22"/>
      <c r="X2334" s="10" t="str">
        <f aca="false">IF(AND(R2334="修改",S2334=""),"請選新事件代碼",IF(AND(R2334&lt;&gt;"修改",S2334&lt;&gt;""),"只有「修改」才需填代碼",""))</f>
        <v/>
      </c>
      <c r="Y2334" s="21"/>
      <c r="Z2334" s="22"/>
      <c r="AA2334" s="12" t="s">
        <v>5801</v>
      </c>
      <c r="AB2334" s="24"/>
    </row>
    <row r="2335" customFormat="false" ht="29.85" hidden="false" customHeight="false" outlineLevel="0" collapsed="false">
      <c r="A2335" s="15" t="n">
        <v>2334</v>
      </c>
      <c r="B2335" s="9" t="s">
        <v>45</v>
      </c>
      <c r="C2335" s="9" t="s">
        <v>5802</v>
      </c>
      <c r="D2335" s="10" t="s">
        <v>5803</v>
      </c>
      <c r="E2335" s="11" t="s">
        <v>5804</v>
      </c>
      <c r="F2335" s="17"/>
      <c r="G2335" s="12" t="s">
        <v>95</v>
      </c>
      <c r="H2335" s="13" t="n">
        <v>-0.002</v>
      </c>
      <c r="I2335" s="14"/>
      <c r="J2335" s="17"/>
      <c r="K2335" s="9"/>
      <c r="L2335" s="15" t="s">
        <v>50</v>
      </c>
      <c r="M2335" s="16" t="s">
        <v>51</v>
      </c>
      <c r="N2335" s="14"/>
      <c r="O2335" s="15" t="s">
        <v>52</v>
      </c>
      <c r="P2335" s="17" t="s">
        <v>53</v>
      </c>
      <c r="Q2335" s="15"/>
      <c r="R2335" s="18" t="s">
        <v>51</v>
      </c>
      <c r="S2335" s="19"/>
      <c r="T2335" s="17" t="str">
        <f aca="false">IF(R2335="維持",J2335,IF(R2335="排除","無關新聞事件",IFERROR(INDEX(事件規則!$B$2:$B$53,MATCH(S2335,事件規則!$A$2:$A$53,0)),"")))</f>
        <v>無關新聞事件</v>
      </c>
      <c r="U2335" s="20" t="n">
        <f aca="false">IF(R2335="維持",K2335,IF(R2335="排除",0,IFERROR(INDEX(事件規則!$C$2:$C$53,MATCH(S2335,事件規則!$A$2:$A$53,0)),"")))</f>
        <v>0</v>
      </c>
      <c r="V2335" s="21"/>
      <c r="W2335" s="22"/>
      <c r="X2335" s="10" t="str">
        <f aca="false">IF(AND(R2335="修改",S2335=""),"請選新事件代碼",IF(AND(R2335&lt;&gt;"修改",S2335&lt;&gt;""),"只有「修改」才需填代碼",""))</f>
        <v/>
      </c>
      <c r="Y2335" s="21"/>
      <c r="Z2335" s="22"/>
      <c r="AA2335" s="12" t="s">
        <v>5805</v>
      </c>
      <c r="AB2335" s="24"/>
    </row>
    <row r="2336" customFormat="false" ht="29.85" hidden="false" customHeight="false" outlineLevel="0" collapsed="false">
      <c r="A2336" s="15" t="n">
        <v>2335</v>
      </c>
      <c r="B2336" s="9" t="s">
        <v>45</v>
      </c>
      <c r="C2336" s="9" t="s">
        <v>4403</v>
      </c>
      <c r="D2336" s="10" t="s">
        <v>4404</v>
      </c>
      <c r="E2336" s="11" t="s">
        <v>5806</v>
      </c>
      <c r="F2336" s="17"/>
      <c r="G2336" s="12" t="s">
        <v>5807</v>
      </c>
      <c r="H2336" s="13" t="n">
        <v>-0.002</v>
      </c>
      <c r="I2336" s="14"/>
      <c r="J2336" s="17"/>
      <c r="K2336" s="9"/>
      <c r="L2336" s="15" t="s">
        <v>50</v>
      </c>
      <c r="M2336" s="16" t="s">
        <v>51</v>
      </c>
      <c r="N2336" s="14"/>
      <c r="O2336" s="15" t="s">
        <v>52</v>
      </c>
      <c r="P2336" s="17" t="s">
        <v>53</v>
      </c>
      <c r="Q2336" s="15"/>
      <c r="R2336" s="18" t="s">
        <v>51</v>
      </c>
      <c r="S2336" s="19"/>
      <c r="T2336" s="17" t="str">
        <f aca="false">IF(R2336="維持",J2336,IF(R2336="排除","無關新聞事件",IFERROR(INDEX(事件規則!$B$2:$B$53,MATCH(S2336,事件規則!$A$2:$A$53,0)),"")))</f>
        <v>無關新聞事件</v>
      </c>
      <c r="U2336" s="20" t="n">
        <f aca="false">IF(R2336="維持",K2336,IF(R2336="排除",0,IFERROR(INDEX(事件規則!$C$2:$C$53,MATCH(S2336,事件規則!$A$2:$A$53,0)),"")))</f>
        <v>0</v>
      </c>
      <c r="V2336" s="21"/>
      <c r="W2336" s="22"/>
      <c r="X2336" s="10" t="str">
        <f aca="false">IF(AND(R2336="修改",S2336=""),"請選新事件代碼",IF(AND(R2336&lt;&gt;"修改",S2336&lt;&gt;""),"只有「修改」才需填代碼",""))</f>
        <v/>
      </c>
      <c r="Y2336" s="21"/>
      <c r="Z2336" s="22"/>
      <c r="AA2336" s="12" t="s">
        <v>5808</v>
      </c>
      <c r="AB2336" s="24"/>
    </row>
    <row r="2337" customFormat="false" ht="29.85" hidden="false" customHeight="false" outlineLevel="0" collapsed="false">
      <c r="A2337" s="15" t="n">
        <v>2336</v>
      </c>
      <c r="B2337" s="9" t="s">
        <v>55</v>
      </c>
      <c r="C2337" s="9" t="s">
        <v>1912</v>
      </c>
      <c r="D2337" s="10" t="s">
        <v>1913</v>
      </c>
      <c r="E2337" s="11" t="s">
        <v>5809</v>
      </c>
      <c r="F2337" s="17"/>
      <c r="G2337" s="12" t="s">
        <v>642</v>
      </c>
      <c r="H2337" s="13" t="n">
        <v>-0.002</v>
      </c>
      <c r="I2337" s="14"/>
      <c r="J2337" s="17"/>
      <c r="K2337" s="9"/>
      <c r="L2337" s="15" t="s">
        <v>50</v>
      </c>
      <c r="M2337" s="16" t="s">
        <v>51</v>
      </c>
      <c r="N2337" s="14"/>
      <c r="O2337" s="15" t="s">
        <v>52</v>
      </c>
      <c r="P2337" s="17" t="s">
        <v>53</v>
      </c>
      <c r="Q2337" s="15"/>
      <c r="R2337" s="18" t="s">
        <v>51</v>
      </c>
      <c r="S2337" s="19"/>
      <c r="T2337" s="17" t="str">
        <f aca="false">IF(R2337="維持",J2337,IF(R2337="排除","無關新聞事件",IFERROR(INDEX(事件規則!$B$2:$B$53,MATCH(S2337,事件規則!$A$2:$A$53,0)),"")))</f>
        <v>無關新聞事件</v>
      </c>
      <c r="U2337" s="20" t="n">
        <f aca="false">IF(R2337="維持",K2337,IF(R2337="排除",0,IFERROR(INDEX(事件規則!$C$2:$C$53,MATCH(S2337,事件規則!$A$2:$A$53,0)),"")))</f>
        <v>0</v>
      </c>
      <c r="V2337" s="21"/>
      <c r="W2337" s="22"/>
      <c r="X2337" s="10" t="str">
        <f aca="false">IF(AND(R2337="修改",S2337=""),"請選新事件代碼",IF(AND(R2337&lt;&gt;"修改",S2337&lt;&gt;""),"只有「修改」才需填代碼",""))</f>
        <v/>
      </c>
      <c r="Y2337" s="21"/>
      <c r="Z2337" s="22"/>
      <c r="AA2337" s="12" t="s">
        <v>5810</v>
      </c>
      <c r="AB2337" s="24"/>
    </row>
    <row r="2338" customFormat="false" ht="29.85" hidden="false" customHeight="false" outlineLevel="0" collapsed="false">
      <c r="A2338" s="15" t="n">
        <v>2337</v>
      </c>
      <c r="B2338" s="9" t="s">
        <v>55</v>
      </c>
      <c r="C2338" s="9" t="s">
        <v>92</v>
      </c>
      <c r="D2338" s="10" t="s">
        <v>93</v>
      </c>
      <c r="E2338" s="11" t="s">
        <v>5811</v>
      </c>
      <c r="F2338" s="17"/>
      <c r="G2338" s="12" t="s">
        <v>95</v>
      </c>
      <c r="H2338" s="13" t="n">
        <v>-0.002</v>
      </c>
      <c r="I2338" s="14"/>
      <c r="J2338" s="17"/>
      <c r="K2338" s="9"/>
      <c r="L2338" s="15" t="s">
        <v>50</v>
      </c>
      <c r="M2338" s="16" t="s">
        <v>51</v>
      </c>
      <c r="N2338" s="14"/>
      <c r="O2338" s="15" t="s">
        <v>52</v>
      </c>
      <c r="P2338" s="17" t="s">
        <v>53</v>
      </c>
      <c r="Q2338" s="15"/>
      <c r="R2338" s="18" t="s">
        <v>51</v>
      </c>
      <c r="S2338" s="19"/>
      <c r="T2338" s="17" t="str">
        <f aca="false">IF(R2338="維持",J2338,IF(R2338="排除","無關新聞事件",IFERROR(INDEX(事件規則!$B$2:$B$53,MATCH(S2338,事件規則!$A$2:$A$53,0)),"")))</f>
        <v>無關新聞事件</v>
      </c>
      <c r="U2338" s="20" t="n">
        <f aca="false">IF(R2338="維持",K2338,IF(R2338="排除",0,IFERROR(INDEX(事件規則!$C$2:$C$53,MATCH(S2338,事件規則!$A$2:$A$53,0)),"")))</f>
        <v>0</v>
      </c>
      <c r="V2338" s="21"/>
      <c r="W2338" s="22"/>
      <c r="X2338" s="10" t="str">
        <f aca="false">IF(AND(R2338="修改",S2338=""),"請選新事件代碼",IF(AND(R2338&lt;&gt;"修改",S2338&lt;&gt;""),"只有「修改」才需填代碼",""))</f>
        <v/>
      </c>
      <c r="Y2338" s="21"/>
      <c r="Z2338" s="22"/>
      <c r="AA2338" s="12" t="s">
        <v>5812</v>
      </c>
      <c r="AB2338" s="24"/>
    </row>
    <row r="2339" customFormat="false" ht="29.85" hidden="false" customHeight="false" outlineLevel="0" collapsed="false">
      <c r="A2339" s="15" t="n">
        <v>2338</v>
      </c>
      <c r="B2339" s="9" t="s">
        <v>55</v>
      </c>
      <c r="C2339" s="9" t="s">
        <v>92</v>
      </c>
      <c r="D2339" s="10" t="s">
        <v>93</v>
      </c>
      <c r="E2339" s="11" t="s">
        <v>5813</v>
      </c>
      <c r="F2339" s="17"/>
      <c r="G2339" s="12" t="s">
        <v>95</v>
      </c>
      <c r="H2339" s="13" t="n">
        <v>-0.002</v>
      </c>
      <c r="I2339" s="14"/>
      <c r="J2339" s="17"/>
      <c r="K2339" s="9"/>
      <c r="L2339" s="15" t="s">
        <v>50</v>
      </c>
      <c r="M2339" s="16" t="s">
        <v>51</v>
      </c>
      <c r="N2339" s="14"/>
      <c r="O2339" s="15" t="s">
        <v>52</v>
      </c>
      <c r="P2339" s="17" t="s">
        <v>53</v>
      </c>
      <c r="Q2339" s="15"/>
      <c r="R2339" s="18" t="s">
        <v>51</v>
      </c>
      <c r="S2339" s="19"/>
      <c r="T2339" s="17" t="str">
        <f aca="false">IF(R2339="維持",J2339,IF(R2339="排除","無關新聞事件",IFERROR(INDEX(事件規則!$B$2:$B$53,MATCH(S2339,事件規則!$A$2:$A$53,0)),"")))</f>
        <v>無關新聞事件</v>
      </c>
      <c r="U2339" s="20" t="n">
        <f aca="false">IF(R2339="維持",K2339,IF(R2339="排除",0,IFERROR(INDEX(事件規則!$C$2:$C$53,MATCH(S2339,事件規則!$A$2:$A$53,0)),"")))</f>
        <v>0</v>
      </c>
      <c r="V2339" s="21"/>
      <c r="W2339" s="22"/>
      <c r="X2339" s="10" t="str">
        <f aca="false">IF(AND(R2339="修改",S2339=""),"請選新事件代碼",IF(AND(R2339&lt;&gt;"修改",S2339&lt;&gt;""),"只有「修改」才需填代碼",""))</f>
        <v/>
      </c>
      <c r="Y2339" s="21"/>
      <c r="Z2339" s="22"/>
      <c r="AA2339" s="12" t="s">
        <v>5814</v>
      </c>
      <c r="AB2339" s="24"/>
    </row>
    <row r="2340" customFormat="false" ht="29.85" hidden="false" customHeight="false" outlineLevel="0" collapsed="false">
      <c r="A2340" s="15" t="n">
        <v>2339</v>
      </c>
      <c r="B2340" s="9" t="s">
        <v>55</v>
      </c>
      <c r="C2340" s="9" t="s">
        <v>1086</v>
      </c>
      <c r="D2340" s="10" t="s">
        <v>1087</v>
      </c>
      <c r="E2340" s="11" t="s">
        <v>5815</v>
      </c>
      <c r="F2340" s="17"/>
      <c r="G2340" s="12" t="s">
        <v>105</v>
      </c>
      <c r="H2340" s="13" t="n">
        <v>-0.002</v>
      </c>
      <c r="I2340" s="14"/>
      <c r="J2340" s="17"/>
      <c r="K2340" s="9"/>
      <c r="L2340" s="15" t="s">
        <v>50</v>
      </c>
      <c r="M2340" s="16" t="s">
        <v>51</v>
      </c>
      <c r="N2340" s="14"/>
      <c r="O2340" s="15" t="s">
        <v>52</v>
      </c>
      <c r="P2340" s="17" t="s">
        <v>53</v>
      </c>
      <c r="Q2340" s="15"/>
      <c r="R2340" s="18" t="s">
        <v>51</v>
      </c>
      <c r="S2340" s="19"/>
      <c r="T2340" s="17" t="str">
        <f aca="false">IF(R2340="維持",J2340,IF(R2340="排除","無關新聞事件",IFERROR(INDEX(事件規則!$B$2:$B$53,MATCH(S2340,事件規則!$A$2:$A$53,0)),"")))</f>
        <v>無關新聞事件</v>
      </c>
      <c r="U2340" s="20" t="n">
        <f aca="false">IF(R2340="維持",K2340,IF(R2340="排除",0,IFERROR(INDEX(事件規則!$C$2:$C$53,MATCH(S2340,事件規則!$A$2:$A$53,0)),"")))</f>
        <v>0</v>
      </c>
      <c r="V2340" s="21"/>
      <c r="W2340" s="22"/>
      <c r="X2340" s="10" t="str">
        <f aca="false">IF(AND(R2340="修改",S2340=""),"請選新事件代碼",IF(AND(R2340&lt;&gt;"修改",S2340&lt;&gt;""),"只有「修改」才需填代碼",""))</f>
        <v/>
      </c>
      <c r="Y2340" s="21"/>
      <c r="Z2340" s="22"/>
      <c r="AA2340" s="12" t="s">
        <v>5816</v>
      </c>
      <c r="AB2340" s="24"/>
    </row>
    <row r="2341" customFormat="false" ht="29.85" hidden="false" customHeight="false" outlineLevel="0" collapsed="false">
      <c r="A2341" s="15" t="n">
        <v>2340</v>
      </c>
      <c r="B2341" s="9" t="s">
        <v>55</v>
      </c>
      <c r="C2341" s="9" t="s">
        <v>1406</v>
      </c>
      <c r="D2341" s="10" t="s">
        <v>1407</v>
      </c>
      <c r="E2341" s="11" t="s">
        <v>5817</v>
      </c>
      <c r="F2341" s="17"/>
      <c r="G2341" s="12" t="s">
        <v>95</v>
      </c>
      <c r="H2341" s="13" t="n">
        <v>-0.002</v>
      </c>
      <c r="I2341" s="14"/>
      <c r="J2341" s="17"/>
      <c r="K2341" s="9"/>
      <c r="L2341" s="15" t="s">
        <v>50</v>
      </c>
      <c r="M2341" s="16" t="s">
        <v>51</v>
      </c>
      <c r="N2341" s="14"/>
      <c r="O2341" s="15" t="s">
        <v>52</v>
      </c>
      <c r="P2341" s="17" t="s">
        <v>53</v>
      </c>
      <c r="Q2341" s="15"/>
      <c r="R2341" s="18" t="s">
        <v>51</v>
      </c>
      <c r="S2341" s="19"/>
      <c r="T2341" s="17" t="str">
        <f aca="false">IF(R2341="維持",J2341,IF(R2341="排除","無關新聞事件",IFERROR(INDEX(事件規則!$B$2:$B$53,MATCH(S2341,事件規則!$A$2:$A$53,0)),"")))</f>
        <v>無關新聞事件</v>
      </c>
      <c r="U2341" s="20" t="n">
        <f aca="false">IF(R2341="維持",K2341,IF(R2341="排除",0,IFERROR(INDEX(事件規則!$C$2:$C$53,MATCH(S2341,事件規則!$A$2:$A$53,0)),"")))</f>
        <v>0</v>
      </c>
      <c r="V2341" s="21"/>
      <c r="W2341" s="22"/>
      <c r="X2341" s="10" t="str">
        <f aca="false">IF(AND(R2341="修改",S2341=""),"請選新事件代碼",IF(AND(R2341&lt;&gt;"修改",S2341&lt;&gt;""),"只有「修改」才需填代碼",""))</f>
        <v/>
      </c>
      <c r="Y2341" s="21"/>
      <c r="Z2341" s="22"/>
      <c r="AA2341" s="12" t="s">
        <v>5818</v>
      </c>
      <c r="AB2341" s="24"/>
    </row>
    <row r="2342" customFormat="false" ht="29.85" hidden="false" customHeight="false" outlineLevel="0" collapsed="false">
      <c r="A2342" s="15" t="n">
        <v>2341</v>
      </c>
      <c r="B2342" s="9" t="s">
        <v>45</v>
      </c>
      <c r="C2342" s="9" t="s">
        <v>66</v>
      </c>
      <c r="D2342" s="10" t="s">
        <v>67</v>
      </c>
      <c r="E2342" s="11" t="s">
        <v>5819</v>
      </c>
      <c r="F2342" s="17"/>
      <c r="G2342" s="12" t="s">
        <v>949</v>
      </c>
      <c r="H2342" s="13" t="n">
        <v>-0.002</v>
      </c>
      <c r="I2342" s="14"/>
      <c r="J2342" s="17"/>
      <c r="K2342" s="9"/>
      <c r="L2342" s="15" t="s">
        <v>50</v>
      </c>
      <c r="M2342" s="16" t="s">
        <v>51</v>
      </c>
      <c r="N2342" s="14"/>
      <c r="O2342" s="15" t="s">
        <v>52</v>
      </c>
      <c r="P2342" s="17" t="s">
        <v>53</v>
      </c>
      <c r="Q2342" s="15"/>
      <c r="R2342" s="18" t="s">
        <v>51</v>
      </c>
      <c r="S2342" s="19"/>
      <c r="T2342" s="17" t="str">
        <f aca="false">IF(R2342="維持",J2342,IF(R2342="排除","無關新聞事件",IFERROR(INDEX(事件規則!$B$2:$B$53,MATCH(S2342,事件規則!$A$2:$A$53,0)),"")))</f>
        <v>無關新聞事件</v>
      </c>
      <c r="U2342" s="20" t="n">
        <f aca="false">IF(R2342="維持",K2342,IF(R2342="排除",0,IFERROR(INDEX(事件規則!$C$2:$C$53,MATCH(S2342,事件規則!$A$2:$A$53,0)),"")))</f>
        <v>0</v>
      </c>
      <c r="V2342" s="21"/>
      <c r="W2342" s="22"/>
      <c r="X2342" s="10" t="str">
        <f aca="false">IF(AND(R2342="修改",S2342=""),"請選新事件代碼",IF(AND(R2342&lt;&gt;"修改",S2342&lt;&gt;""),"只有「修改」才需填代碼",""))</f>
        <v/>
      </c>
      <c r="Y2342" s="21"/>
      <c r="Z2342" s="22"/>
      <c r="AA2342" s="12" t="s">
        <v>5820</v>
      </c>
      <c r="AB2342" s="24"/>
    </row>
    <row r="2343" customFormat="false" ht="29.85" hidden="false" customHeight="false" outlineLevel="0" collapsed="false">
      <c r="A2343" s="15" t="n">
        <v>2342</v>
      </c>
      <c r="B2343" s="9" t="s">
        <v>45</v>
      </c>
      <c r="C2343" s="9" t="s">
        <v>550</v>
      </c>
      <c r="D2343" s="10" t="s">
        <v>551</v>
      </c>
      <c r="E2343" s="11" t="s">
        <v>5821</v>
      </c>
      <c r="F2343" s="17"/>
      <c r="G2343" s="12" t="s">
        <v>176</v>
      </c>
      <c r="H2343" s="13" t="n">
        <v>-0.002</v>
      </c>
      <c r="I2343" s="14"/>
      <c r="J2343" s="17"/>
      <c r="K2343" s="9"/>
      <c r="L2343" s="15" t="s">
        <v>50</v>
      </c>
      <c r="M2343" s="16" t="s">
        <v>51</v>
      </c>
      <c r="N2343" s="14"/>
      <c r="O2343" s="15" t="s">
        <v>52</v>
      </c>
      <c r="P2343" s="17" t="s">
        <v>53</v>
      </c>
      <c r="Q2343" s="15"/>
      <c r="R2343" s="18" t="s">
        <v>51</v>
      </c>
      <c r="S2343" s="19"/>
      <c r="T2343" s="17" t="str">
        <f aca="false">IF(R2343="維持",J2343,IF(R2343="排除","無關新聞事件",IFERROR(INDEX(事件規則!$B$2:$B$53,MATCH(S2343,事件規則!$A$2:$A$53,0)),"")))</f>
        <v>無關新聞事件</v>
      </c>
      <c r="U2343" s="20" t="n">
        <f aca="false">IF(R2343="維持",K2343,IF(R2343="排除",0,IFERROR(INDEX(事件規則!$C$2:$C$53,MATCH(S2343,事件規則!$A$2:$A$53,0)),"")))</f>
        <v>0</v>
      </c>
      <c r="V2343" s="21"/>
      <c r="W2343" s="22"/>
      <c r="X2343" s="10" t="str">
        <f aca="false">IF(AND(R2343="修改",S2343=""),"請選新事件代碼",IF(AND(R2343&lt;&gt;"修改",S2343&lt;&gt;""),"只有「修改」才需填代碼",""))</f>
        <v/>
      </c>
      <c r="Y2343" s="21"/>
      <c r="Z2343" s="22"/>
      <c r="AA2343" s="12" t="s">
        <v>5822</v>
      </c>
      <c r="AB2343" s="24"/>
    </row>
    <row r="2344" customFormat="false" ht="29.85" hidden="false" customHeight="false" outlineLevel="0" collapsed="false">
      <c r="A2344" s="15" t="n">
        <v>2343</v>
      </c>
      <c r="B2344" s="9" t="s">
        <v>55</v>
      </c>
      <c r="C2344" s="9" t="s">
        <v>1032</v>
      </c>
      <c r="D2344" s="10" t="s">
        <v>1033</v>
      </c>
      <c r="E2344" s="11" t="s">
        <v>5823</v>
      </c>
      <c r="F2344" s="17"/>
      <c r="G2344" s="12" t="s">
        <v>5824</v>
      </c>
      <c r="H2344" s="13" t="n">
        <v>-0.002</v>
      </c>
      <c r="I2344" s="14"/>
      <c r="J2344" s="17"/>
      <c r="K2344" s="9"/>
      <c r="L2344" s="15" t="s">
        <v>50</v>
      </c>
      <c r="M2344" s="16" t="s">
        <v>51</v>
      </c>
      <c r="N2344" s="14"/>
      <c r="O2344" s="15" t="s">
        <v>52</v>
      </c>
      <c r="P2344" s="17" t="s">
        <v>53</v>
      </c>
      <c r="Q2344" s="15"/>
      <c r="R2344" s="18" t="s">
        <v>51</v>
      </c>
      <c r="S2344" s="19"/>
      <c r="T2344" s="17" t="str">
        <f aca="false">IF(R2344="維持",J2344,IF(R2344="排除","無關新聞事件",IFERROR(INDEX(事件規則!$B$2:$B$53,MATCH(S2344,事件規則!$A$2:$A$53,0)),"")))</f>
        <v>無關新聞事件</v>
      </c>
      <c r="U2344" s="20" t="n">
        <f aca="false">IF(R2344="維持",K2344,IF(R2344="排除",0,IFERROR(INDEX(事件規則!$C$2:$C$53,MATCH(S2344,事件規則!$A$2:$A$53,0)),"")))</f>
        <v>0</v>
      </c>
      <c r="V2344" s="21"/>
      <c r="W2344" s="22"/>
      <c r="X2344" s="10" t="str">
        <f aca="false">IF(AND(R2344="修改",S2344=""),"請選新事件代碼",IF(AND(R2344&lt;&gt;"修改",S2344&lt;&gt;""),"只有「修改」才需填代碼",""))</f>
        <v/>
      </c>
      <c r="Y2344" s="21"/>
      <c r="Z2344" s="22"/>
      <c r="AA2344" s="12" t="s">
        <v>5825</v>
      </c>
      <c r="AB2344" s="24"/>
    </row>
    <row r="2345" customFormat="false" ht="29.85" hidden="false" customHeight="false" outlineLevel="0" collapsed="false">
      <c r="A2345" s="15" t="n">
        <v>2344</v>
      </c>
      <c r="B2345" s="9" t="s">
        <v>45</v>
      </c>
      <c r="C2345" s="9" t="s">
        <v>113</v>
      </c>
      <c r="D2345" s="10" t="s">
        <v>114</v>
      </c>
      <c r="E2345" s="11" t="s">
        <v>5826</v>
      </c>
      <c r="F2345" s="17"/>
      <c r="G2345" s="12" t="s">
        <v>1136</v>
      </c>
      <c r="H2345" s="13" t="n">
        <v>-0.002</v>
      </c>
      <c r="I2345" s="14"/>
      <c r="J2345" s="17"/>
      <c r="K2345" s="9"/>
      <c r="L2345" s="15" t="s">
        <v>50</v>
      </c>
      <c r="M2345" s="16" t="s">
        <v>51</v>
      </c>
      <c r="N2345" s="14"/>
      <c r="O2345" s="15" t="s">
        <v>52</v>
      </c>
      <c r="P2345" s="17" t="s">
        <v>53</v>
      </c>
      <c r="Q2345" s="15"/>
      <c r="R2345" s="18" t="s">
        <v>51</v>
      </c>
      <c r="S2345" s="19"/>
      <c r="T2345" s="17" t="str">
        <f aca="false">IF(R2345="維持",J2345,IF(R2345="排除","無關新聞事件",IFERROR(INDEX(事件規則!$B$2:$B$53,MATCH(S2345,事件規則!$A$2:$A$53,0)),"")))</f>
        <v>無關新聞事件</v>
      </c>
      <c r="U2345" s="20" t="n">
        <f aca="false">IF(R2345="維持",K2345,IF(R2345="排除",0,IFERROR(INDEX(事件規則!$C$2:$C$53,MATCH(S2345,事件規則!$A$2:$A$53,0)),"")))</f>
        <v>0</v>
      </c>
      <c r="V2345" s="21"/>
      <c r="W2345" s="22"/>
      <c r="X2345" s="10" t="str">
        <f aca="false">IF(AND(R2345="修改",S2345=""),"請選新事件代碼",IF(AND(R2345&lt;&gt;"修改",S2345&lt;&gt;""),"只有「修改」才需填代碼",""))</f>
        <v/>
      </c>
      <c r="Y2345" s="21"/>
      <c r="Z2345" s="22"/>
      <c r="AA2345" s="12" t="s">
        <v>5827</v>
      </c>
      <c r="AB2345" s="24"/>
    </row>
    <row r="2346" customFormat="false" ht="29.85" hidden="false" customHeight="false" outlineLevel="0" collapsed="false">
      <c r="A2346" s="15" t="n">
        <v>2345</v>
      </c>
      <c r="B2346" s="9" t="s">
        <v>45</v>
      </c>
      <c r="C2346" s="9" t="s">
        <v>1415</v>
      </c>
      <c r="D2346" s="10" t="s">
        <v>1416</v>
      </c>
      <c r="E2346" s="11" t="s">
        <v>5828</v>
      </c>
      <c r="F2346" s="17"/>
      <c r="G2346" s="12" t="s">
        <v>4679</v>
      </c>
      <c r="H2346" s="13" t="n">
        <v>-0.002</v>
      </c>
      <c r="I2346" s="14"/>
      <c r="J2346" s="17"/>
      <c r="K2346" s="9"/>
      <c r="L2346" s="15" t="s">
        <v>50</v>
      </c>
      <c r="M2346" s="16" t="s">
        <v>51</v>
      </c>
      <c r="N2346" s="14"/>
      <c r="O2346" s="15" t="s">
        <v>52</v>
      </c>
      <c r="P2346" s="17" t="s">
        <v>53</v>
      </c>
      <c r="Q2346" s="15"/>
      <c r="R2346" s="18" t="s">
        <v>51</v>
      </c>
      <c r="S2346" s="19"/>
      <c r="T2346" s="17" t="str">
        <f aca="false">IF(R2346="維持",J2346,IF(R2346="排除","無關新聞事件",IFERROR(INDEX(事件規則!$B$2:$B$53,MATCH(S2346,事件規則!$A$2:$A$53,0)),"")))</f>
        <v>無關新聞事件</v>
      </c>
      <c r="U2346" s="20" t="n">
        <f aca="false">IF(R2346="維持",K2346,IF(R2346="排除",0,IFERROR(INDEX(事件規則!$C$2:$C$53,MATCH(S2346,事件規則!$A$2:$A$53,0)),"")))</f>
        <v>0</v>
      </c>
      <c r="V2346" s="21"/>
      <c r="W2346" s="22"/>
      <c r="X2346" s="10" t="str">
        <f aca="false">IF(AND(R2346="修改",S2346=""),"請選新事件代碼",IF(AND(R2346&lt;&gt;"修改",S2346&lt;&gt;""),"只有「修改」才需填代碼",""))</f>
        <v/>
      </c>
      <c r="Y2346" s="21"/>
      <c r="Z2346" s="22"/>
      <c r="AA2346" s="12" t="s">
        <v>5829</v>
      </c>
      <c r="AB2346" s="24"/>
    </row>
    <row r="2347" customFormat="false" ht="29.85" hidden="false" customHeight="false" outlineLevel="0" collapsed="false">
      <c r="A2347" s="15" t="n">
        <v>2346</v>
      </c>
      <c r="B2347" s="9" t="s">
        <v>45</v>
      </c>
      <c r="C2347" s="9" t="s">
        <v>3920</v>
      </c>
      <c r="D2347" s="10" t="s">
        <v>3921</v>
      </c>
      <c r="E2347" s="11" t="s">
        <v>5830</v>
      </c>
      <c r="F2347" s="17"/>
      <c r="G2347" s="12" t="s">
        <v>95</v>
      </c>
      <c r="H2347" s="13" t="n">
        <v>-0.002</v>
      </c>
      <c r="I2347" s="14"/>
      <c r="J2347" s="17"/>
      <c r="K2347" s="9"/>
      <c r="L2347" s="15" t="s">
        <v>50</v>
      </c>
      <c r="M2347" s="16" t="s">
        <v>51</v>
      </c>
      <c r="N2347" s="14"/>
      <c r="O2347" s="15" t="s">
        <v>52</v>
      </c>
      <c r="P2347" s="17" t="s">
        <v>53</v>
      </c>
      <c r="Q2347" s="15"/>
      <c r="R2347" s="18" t="s">
        <v>51</v>
      </c>
      <c r="S2347" s="19"/>
      <c r="T2347" s="17" t="str">
        <f aca="false">IF(R2347="維持",J2347,IF(R2347="排除","無關新聞事件",IFERROR(INDEX(事件規則!$B$2:$B$53,MATCH(S2347,事件規則!$A$2:$A$53,0)),"")))</f>
        <v>無關新聞事件</v>
      </c>
      <c r="U2347" s="20" t="n">
        <f aca="false">IF(R2347="維持",K2347,IF(R2347="排除",0,IFERROR(INDEX(事件規則!$C$2:$C$53,MATCH(S2347,事件規則!$A$2:$A$53,0)),"")))</f>
        <v>0</v>
      </c>
      <c r="V2347" s="21"/>
      <c r="W2347" s="22"/>
      <c r="X2347" s="10" t="str">
        <f aca="false">IF(AND(R2347="修改",S2347=""),"請選新事件代碼",IF(AND(R2347&lt;&gt;"修改",S2347&lt;&gt;""),"只有「修改」才需填代碼",""))</f>
        <v/>
      </c>
      <c r="Y2347" s="21"/>
      <c r="Z2347" s="22"/>
      <c r="AA2347" s="12" t="s">
        <v>5831</v>
      </c>
      <c r="AB2347" s="24"/>
    </row>
    <row r="2348" customFormat="false" ht="29.85" hidden="false" customHeight="false" outlineLevel="0" collapsed="false">
      <c r="A2348" s="15" t="n">
        <v>2347</v>
      </c>
      <c r="B2348" s="9" t="s">
        <v>55</v>
      </c>
      <c r="C2348" s="9" t="s">
        <v>936</v>
      </c>
      <c r="D2348" s="10" t="s">
        <v>937</v>
      </c>
      <c r="E2348" s="11" t="s">
        <v>5832</v>
      </c>
      <c r="F2348" s="17"/>
      <c r="G2348" s="12" t="s">
        <v>2033</v>
      </c>
      <c r="H2348" s="13" t="n">
        <v>-0.002</v>
      </c>
      <c r="I2348" s="14"/>
      <c r="J2348" s="17"/>
      <c r="K2348" s="9"/>
      <c r="L2348" s="15" t="s">
        <v>50</v>
      </c>
      <c r="M2348" s="16" t="s">
        <v>51</v>
      </c>
      <c r="N2348" s="14"/>
      <c r="O2348" s="15" t="s">
        <v>52</v>
      </c>
      <c r="P2348" s="17" t="s">
        <v>53</v>
      </c>
      <c r="Q2348" s="15"/>
      <c r="R2348" s="18" t="s">
        <v>51</v>
      </c>
      <c r="S2348" s="19"/>
      <c r="T2348" s="17" t="str">
        <f aca="false">IF(R2348="維持",J2348,IF(R2348="排除","無關新聞事件",IFERROR(INDEX(事件規則!$B$2:$B$53,MATCH(S2348,事件規則!$A$2:$A$53,0)),"")))</f>
        <v>無關新聞事件</v>
      </c>
      <c r="U2348" s="20" t="n">
        <f aca="false">IF(R2348="維持",K2348,IF(R2348="排除",0,IFERROR(INDEX(事件規則!$C$2:$C$53,MATCH(S2348,事件規則!$A$2:$A$53,0)),"")))</f>
        <v>0</v>
      </c>
      <c r="V2348" s="21"/>
      <c r="W2348" s="22"/>
      <c r="X2348" s="10" t="str">
        <f aca="false">IF(AND(R2348="修改",S2348=""),"請選新事件代碼",IF(AND(R2348&lt;&gt;"修改",S2348&lt;&gt;""),"只有「修改」才需填代碼",""))</f>
        <v/>
      </c>
      <c r="Y2348" s="21"/>
      <c r="Z2348" s="22"/>
      <c r="AA2348" s="12" t="s">
        <v>5833</v>
      </c>
      <c r="AB2348" s="24"/>
    </row>
    <row r="2349" customFormat="false" ht="29.85" hidden="false" customHeight="false" outlineLevel="0" collapsed="false">
      <c r="A2349" s="15" t="n">
        <v>2348</v>
      </c>
      <c r="B2349" s="9" t="s">
        <v>55</v>
      </c>
      <c r="C2349" s="9" t="s">
        <v>1928</v>
      </c>
      <c r="D2349" s="10" t="s">
        <v>1929</v>
      </c>
      <c r="E2349" s="11" t="s">
        <v>5834</v>
      </c>
      <c r="F2349" s="17"/>
      <c r="G2349" s="12" t="s">
        <v>176</v>
      </c>
      <c r="H2349" s="13" t="n">
        <v>-0.001</v>
      </c>
      <c r="I2349" s="14"/>
      <c r="J2349" s="17"/>
      <c r="K2349" s="9"/>
      <c r="L2349" s="15" t="s">
        <v>50</v>
      </c>
      <c r="M2349" s="16" t="s">
        <v>51</v>
      </c>
      <c r="N2349" s="14"/>
      <c r="O2349" s="15" t="s">
        <v>52</v>
      </c>
      <c r="P2349" s="17" t="s">
        <v>53</v>
      </c>
      <c r="Q2349" s="15"/>
      <c r="R2349" s="18" t="s">
        <v>51</v>
      </c>
      <c r="S2349" s="19"/>
      <c r="T2349" s="17" t="str">
        <f aca="false">IF(R2349="維持",J2349,IF(R2349="排除","無關新聞事件",IFERROR(INDEX(事件規則!$B$2:$B$53,MATCH(S2349,事件規則!$A$2:$A$53,0)),"")))</f>
        <v>無關新聞事件</v>
      </c>
      <c r="U2349" s="20" t="n">
        <f aca="false">IF(R2349="維持",K2349,IF(R2349="排除",0,IFERROR(INDEX(事件規則!$C$2:$C$53,MATCH(S2349,事件規則!$A$2:$A$53,0)),"")))</f>
        <v>0</v>
      </c>
      <c r="V2349" s="21"/>
      <c r="W2349" s="22"/>
      <c r="X2349" s="10" t="str">
        <f aca="false">IF(AND(R2349="修改",S2349=""),"請選新事件代碼",IF(AND(R2349&lt;&gt;"修改",S2349&lt;&gt;""),"只有「修改」才需填代碼",""))</f>
        <v/>
      </c>
      <c r="Y2349" s="21"/>
      <c r="Z2349" s="22"/>
      <c r="AA2349" s="12" t="s">
        <v>5835</v>
      </c>
      <c r="AB2349" s="24"/>
    </row>
    <row r="2350" customFormat="false" ht="29.85" hidden="false" customHeight="false" outlineLevel="0" collapsed="false">
      <c r="A2350" s="15" t="n">
        <v>2349</v>
      </c>
      <c r="B2350" s="9" t="s">
        <v>45</v>
      </c>
      <c r="C2350" s="9" t="s">
        <v>1967</v>
      </c>
      <c r="D2350" s="10" t="s">
        <v>1968</v>
      </c>
      <c r="E2350" s="11" t="s">
        <v>5836</v>
      </c>
      <c r="F2350" s="17"/>
      <c r="G2350" s="12" t="s">
        <v>949</v>
      </c>
      <c r="H2350" s="13" t="n">
        <v>-0.001</v>
      </c>
      <c r="I2350" s="14"/>
      <c r="J2350" s="17"/>
      <c r="K2350" s="9"/>
      <c r="L2350" s="15" t="s">
        <v>50</v>
      </c>
      <c r="M2350" s="16" t="s">
        <v>51</v>
      </c>
      <c r="N2350" s="14"/>
      <c r="O2350" s="15" t="s">
        <v>52</v>
      </c>
      <c r="P2350" s="17" t="s">
        <v>53</v>
      </c>
      <c r="Q2350" s="15"/>
      <c r="R2350" s="18" t="s">
        <v>51</v>
      </c>
      <c r="S2350" s="19"/>
      <c r="T2350" s="17" t="str">
        <f aca="false">IF(R2350="維持",J2350,IF(R2350="排除","無關新聞事件",IFERROR(INDEX(事件規則!$B$2:$B$53,MATCH(S2350,事件規則!$A$2:$A$53,0)),"")))</f>
        <v>無關新聞事件</v>
      </c>
      <c r="U2350" s="20" t="n">
        <f aca="false">IF(R2350="維持",K2350,IF(R2350="排除",0,IFERROR(INDEX(事件規則!$C$2:$C$53,MATCH(S2350,事件規則!$A$2:$A$53,0)),"")))</f>
        <v>0</v>
      </c>
      <c r="V2350" s="21"/>
      <c r="W2350" s="22"/>
      <c r="X2350" s="10" t="str">
        <f aca="false">IF(AND(R2350="修改",S2350=""),"請選新事件代碼",IF(AND(R2350&lt;&gt;"修改",S2350&lt;&gt;""),"只有「修改」才需填代碼",""))</f>
        <v/>
      </c>
      <c r="Y2350" s="21"/>
      <c r="Z2350" s="22"/>
      <c r="AA2350" s="12" t="s">
        <v>5837</v>
      </c>
      <c r="AB2350" s="24"/>
    </row>
    <row r="2351" customFormat="false" ht="29.85" hidden="false" customHeight="false" outlineLevel="0" collapsed="false">
      <c r="A2351" s="15" t="n">
        <v>2350</v>
      </c>
      <c r="B2351" s="9" t="s">
        <v>45</v>
      </c>
      <c r="C2351" s="9" t="s">
        <v>563</v>
      </c>
      <c r="D2351" s="10" t="s">
        <v>564</v>
      </c>
      <c r="E2351" s="11" t="s">
        <v>5838</v>
      </c>
      <c r="F2351" s="17"/>
      <c r="G2351" s="12" t="s">
        <v>95</v>
      </c>
      <c r="H2351" s="13" t="n">
        <v>-0.001</v>
      </c>
      <c r="I2351" s="14"/>
      <c r="J2351" s="17"/>
      <c r="K2351" s="9"/>
      <c r="L2351" s="15" t="s">
        <v>50</v>
      </c>
      <c r="M2351" s="16" t="s">
        <v>51</v>
      </c>
      <c r="N2351" s="14"/>
      <c r="O2351" s="15" t="s">
        <v>52</v>
      </c>
      <c r="P2351" s="17" t="s">
        <v>53</v>
      </c>
      <c r="Q2351" s="15"/>
      <c r="R2351" s="18" t="s">
        <v>51</v>
      </c>
      <c r="S2351" s="19"/>
      <c r="T2351" s="17" t="str">
        <f aca="false">IF(R2351="維持",J2351,IF(R2351="排除","無關新聞事件",IFERROR(INDEX(事件規則!$B$2:$B$53,MATCH(S2351,事件規則!$A$2:$A$53,0)),"")))</f>
        <v>無關新聞事件</v>
      </c>
      <c r="U2351" s="20" t="n">
        <f aca="false">IF(R2351="維持",K2351,IF(R2351="排除",0,IFERROR(INDEX(事件規則!$C$2:$C$53,MATCH(S2351,事件規則!$A$2:$A$53,0)),"")))</f>
        <v>0</v>
      </c>
      <c r="V2351" s="21"/>
      <c r="W2351" s="22"/>
      <c r="X2351" s="10" t="str">
        <f aca="false">IF(AND(R2351="修改",S2351=""),"請選新事件代碼",IF(AND(R2351&lt;&gt;"修改",S2351&lt;&gt;""),"只有「修改」才需填代碼",""))</f>
        <v/>
      </c>
      <c r="Y2351" s="21"/>
      <c r="Z2351" s="22"/>
      <c r="AA2351" s="12" t="s">
        <v>5839</v>
      </c>
      <c r="AB2351" s="24"/>
    </row>
    <row r="2352" customFormat="false" ht="29.85" hidden="false" customHeight="false" outlineLevel="0" collapsed="false">
      <c r="A2352" s="15" t="n">
        <v>2351</v>
      </c>
      <c r="B2352" s="9" t="s">
        <v>55</v>
      </c>
      <c r="C2352" s="9" t="s">
        <v>2130</v>
      </c>
      <c r="D2352" s="10" t="s">
        <v>2131</v>
      </c>
      <c r="E2352" s="11" t="s">
        <v>5840</v>
      </c>
      <c r="F2352" s="17"/>
      <c r="G2352" s="12" t="s">
        <v>949</v>
      </c>
      <c r="H2352" s="13" t="n">
        <v>-0.001</v>
      </c>
      <c r="I2352" s="14"/>
      <c r="J2352" s="17"/>
      <c r="K2352" s="9"/>
      <c r="L2352" s="15" t="s">
        <v>50</v>
      </c>
      <c r="M2352" s="16" t="s">
        <v>51</v>
      </c>
      <c r="N2352" s="14"/>
      <c r="O2352" s="15" t="s">
        <v>52</v>
      </c>
      <c r="P2352" s="17" t="s">
        <v>53</v>
      </c>
      <c r="Q2352" s="15"/>
      <c r="R2352" s="18" t="s">
        <v>51</v>
      </c>
      <c r="S2352" s="19"/>
      <c r="T2352" s="17" t="str">
        <f aca="false">IF(R2352="維持",J2352,IF(R2352="排除","無關新聞事件",IFERROR(INDEX(事件規則!$B$2:$B$53,MATCH(S2352,事件規則!$A$2:$A$53,0)),"")))</f>
        <v>無關新聞事件</v>
      </c>
      <c r="U2352" s="20" t="n">
        <f aca="false">IF(R2352="維持",K2352,IF(R2352="排除",0,IFERROR(INDEX(事件規則!$C$2:$C$53,MATCH(S2352,事件規則!$A$2:$A$53,0)),"")))</f>
        <v>0</v>
      </c>
      <c r="V2352" s="21"/>
      <c r="W2352" s="22"/>
      <c r="X2352" s="10" t="str">
        <f aca="false">IF(AND(R2352="修改",S2352=""),"請選新事件代碼",IF(AND(R2352&lt;&gt;"修改",S2352&lt;&gt;""),"只有「修改」才需填代碼",""))</f>
        <v/>
      </c>
      <c r="Y2352" s="21"/>
      <c r="Z2352" s="22"/>
      <c r="AA2352" s="12" t="s">
        <v>5841</v>
      </c>
      <c r="AB2352" s="24"/>
    </row>
    <row r="2353" customFormat="false" ht="29.85" hidden="false" customHeight="false" outlineLevel="0" collapsed="false">
      <c r="A2353" s="15" t="n">
        <v>2352</v>
      </c>
      <c r="B2353" s="9" t="s">
        <v>55</v>
      </c>
      <c r="C2353" s="9" t="s">
        <v>355</v>
      </c>
      <c r="D2353" s="10" t="s">
        <v>356</v>
      </c>
      <c r="E2353" s="11" t="s">
        <v>5842</v>
      </c>
      <c r="F2353" s="17"/>
      <c r="G2353" s="12" t="s">
        <v>1165</v>
      </c>
      <c r="H2353" s="13" t="n">
        <v>-0.001</v>
      </c>
      <c r="I2353" s="14"/>
      <c r="J2353" s="17"/>
      <c r="K2353" s="9"/>
      <c r="L2353" s="15" t="s">
        <v>50</v>
      </c>
      <c r="M2353" s="16" t="s">
        <v>51</v>
      </c>
      <c r="N2353" s="14"/>
      <c r="O2353" s="15" t="s">
        <v>52</v>
      </c>
      <c r="P2353" s="17" t="s">
        <v>53</v>
      </c>
      <c r="Q2353" s="15"/>
      <c r="R2353" s="18" t="s">
        <v>51</v>
      </c>
      <c r="S2353" s="19"/>
      <c r="T2353" s="17" t="str">
        <f aca="false">IF(R2353="維持",J2353,IF(R2353="排除","無關新聞事件",IFERROR(INDEX(事件規則!$B$2:$B$53,MATCH(S2353,事件規則!$A$2:$A$53,0)),"")))</f>
        <v>無關新聞事件</v>
      </c>
      <c r="U2353" s="20" t="n">
        <f aca="false">IF(R2353="維持",K2353,IF(R2353="排除",0,IFERROR(INDEX(事件規則!$C$2:$C$53,MATCH(S2353,事件規則!$A$2:$A$53,0)),"")))</f>
        <v>0</v>
      </c>
      <c r="V2353" s="21"/>
      <c r="W2353" s="22"/>
      <c r="X2353" s="10" t="str">
        <f aca="false">IF(AND(R2353="修改",S2353=""),"請選新事件代碼",IF(AND(R2353&lt;&gt;"修改",S2353&lt;&gt;""),"只有「修改」才需填代碼",""))</f>
        <v/>
      </c>
      <c r="Y2353" s="21"/>
      <c r="Z2353" s="22"/>
      <c r="AA2353" s="12" t="s">
        <v>5843</v>
      </c>
      <c r="AB2353" s="24"/>
    </row>
    <row r="2354" customFormat="false" ht="29.85" hidden="false" customHeight="false" outlineLevel="0" collapsed="false">
      <c r="A2354" s="15" t="n">
        <v>2353</v>
      </c>
      <c r="B2354" s="9" t="s">
        <v>55</v>
      </c>
      <c r="C2354" s="9" t="s">
        <v>2049</v>
      </c>
      <c r="D2354" s="10" t="s">
        <v>2050</v>
      </c>
      <c r="E2354" s="11" t="s">
        <v>5844</v>
      </c>
      <c r="F2354" s="17"/>
      <c r="G2354" s="12" t="s">
        <v>95</v>
      </c>
      <c r="H2354" s="13" t="n">
        <v>-0.001</v>
      </c>
      <c r="I2354" s="14"/>
      <c r="J2354" s="17"/>
      <c r="K2354" s="9"/>
      <c r="L2354" s="15" t="s">
        <v>50</v>
      </c>
      <c r="M2354" s="16" t="s">
        <v>51</v>
      </c>
      <c r="N2354" s="14"/>
      <c r="O2354" s="15" t="s">
        <v>52</v>
      </c>
      <c r="P2354" s="17" t="s">
        <v>53</v>
      </c>
      <c r="Q2354" s="15"/>
      <c r="R2354" s="18" t="s">
        <v>51</v>
      </c>
      <c r="S2354" s="19"/>
      <c r="T2354" s="17" t="str">
        <f aca="false">IF(R2354="維持",J2354,IF(R2354="排除","無關新聞事件",IFERROR(INDEX(事件規則!$B$2:$B$53,MATCH(S2354,事件規則!$A$2:$A$53,0)),"")))</f>
        <v>無關新聞事件</v>
      </c>
      <c r="U2354" s="20" t="n">
        <f aca="false">IF(R2354="維持",K2354,IF(R2354="排除",0,IFERROR(INDEX(事件規則!$C$2:$C$53,MATCH(S2354,事件規則!$A$2:$A$53,0)),"")))</f>
        <v>0</v>
      </c>
      <c r="V2354" s="21"/>
      <c r="W2354" s="22"/>
      <c r="X2354" s="10" t="str">
        <f aca="false">IF(AND(R2354="修改",S2354=""),"請選新事件代碼",IF(AND(R2354&lt;&gt;"修改",S2354&lt;&gt;""),"只有「修改」才需填代碼",""))</f>
        <v/>
      </c>
      <c r="Y2354" s="21"/>
      <c r="Z2354" s="22"/>
      <c r="AA2354" s="12" t="s">
        <v>5845</v>
      </c>
      <c r="AB2354" s="24"/>
    </row>
    <row r="2355" customFormat="false" ht="29.85" hidden="false" customHeight="false" outlineLevel="0" collapsed="false">
      <c r="A2355" s="15" t="n">
        <v>2354</v>
      </c>
      <c r="B2355" s="9" t="s">
        <v>55</v>
      </c>
      <c r="C2355" s="9" t="s">
        <v>289</v>
      </c>
      <c r="D2355" s="10" t="s">
        <v>290</v>
      </c>
      <c r="E2355" s="11" t="s">
        <v>5840</v>
      </c>
      <c r="F2355" s="17"/>
      <c r="G2355" s="12" t="s">
        <v>949</v>
      </c>
      <c r="H2355" s="13" t="n">
        <v>-0.001</v>
      </c>
      <c r="I2355" s="14"/>
      <c r="J2355" s="17"/>
      <c r="K2355" s="9"/>
      <c r="L2355" s="15" t="s">
        <v>50</v>
      </c>
      <c r="M2355" s="16" t="s">
        <v>51</v>
      </c>
      <c r="N2355" s="14"/>
      <c r="O2355" s="15" t="s">
        <v>52</v>
      </c>
      <c r="P2355" s="17" t="s">
        <v>53</v>
      </c>
      <c r="Q2355" s="15"/>
      <c r="R2355" s="18" t="s">
        <v>51</v>
      </c>
      <c r="S2355" s="19"/>
      <c r="T2355" s="17" t="str">
        <f aca="false">IF(R2355="維持",J2355,IF(R2355="排除","無關新聞事件",IFERROR(INDEX(事件規則!$B$2:$B$53,MATCH(S2355,事件規則!$A$2:$A$53,0)),"")))</f>
        <v>無關新聞事件</v>
      </c>
      <c r="U2355" s="20" t="n">
        <f aca="false">IF(R2355="維持",K2355,IF(R2355="排除",0,IFERROR(INDEX(事件規則!$C$2:$C$53,MATCH(S2355,事件規則!$A$2:$A$53,0)),"")))</f>
        <v>0</v>
      </c>
      <c r="V2355" s="21"/>
      <c r="W2355" s="22"/>
      <c r="X2355" s="10" t="str">
        <f aca="false">IF(AND(R2355="修改",S2355=""),"請選新事件代碼",IF(AND(R2355&lt;&gt;"修改",S2355&lt;&gt;""),"只有「修改」才需填代碼",""))</f>
        <v/>
      </c>
      <c r="Y2355" s="21"/>
      <c r="Z2355" s="22"/>
      <c r="AA2355" s="12" t="s">
        <v>5846</v>
      </c>
      <c r="AB2355" s="24"/>
    </row>
    <row r="2356" customFormat="false" ht="29.85" hidden="false" customHeight="false" outlineLevel="0" collapsed="false">
      <c r="A2356" s="15" t="n">
        <v>2355</v>
      </c>
      <c r="B2356" s="9" t="s">
        <v>112</v>
      </c>
      <c r="C2356" s="9" t="s">
        <v>672</v>
      </c>
      <c r="D2356" s="10" t="s">
        <v>673</v>
      </c>
      <c r="E2356" s="11" t="s">
        <v>5847</v>
      </c>
      <c r="F2356" s="17"/>
      <c r="G2356" s="12" t="s">
        <v>176</v>
      </c>
      <c r="H2356" s="13" t="n">
        <v>-0.001</v>
      </c>
      <c r="I2356" s="14"/>
      <c r="J2356" s="17"/>
      <c r="K2356" s="9"/>
      <c r="L2356" s="15" t="s">
        <v>50</v>
      </c>
      <c r="M2356" s="16" t="s">
        <v>51</v>
      </c>
      <c r="N2356" s="14"/>
      <c r="O2356" s="15" t="s">
        <v>52</v>
      </c>
      <c r="P2356" s="17" t="s">
        <v>53</v>
      </c>
      <c r="Q2356" s="15"/>
      <c r="R2356" s="18" t="s">
        <v>51</v>
      </c>
      <c r="S2356" s="19"/>
      <c r="T2356" s="17" t="str">
        <f aca="false">IF(R2356="維持",J2356,IF(R2356="排除","無關新聞事件",IFERROR(INDEX(事件規則!$B$2:$B$53,MATCH(S2356,事件規則!$A$2:$A$53,0)),"")))</f>
        <v>無關新聞事件</v>
      </c>
      <c r="U2356" s="20" t="n">
        <f aca="false">IF(R2356="維持",K2356,IF(R2356="排除",0,IFERROR(INDEX(事件規則!$C$2:$C$53,MATCH(S2356,事件規則!$A$2:$A$53,0)),"")))</f>
        <v>0</v>
      </c>
      <c r="V2356" s="21"/>
      <c r="W2356" s="22"/>
      <c r="X2356" s="10" t="str">
        <f aca="false">IF(AND(R2356="修改",S2356=""),"請選新事件代碼",IF(AND(R2356&lt;&gt;"修改",S2356&lt;&gt;""),"只有「修改」才需填代碼",""))</f>
        <v/>
      </c>
      <c r="Y2356" s="21"/>
      <c r="Z2356" s="22"/>
      <c r="AA2356" s="12" t="s">
        <v>5848</v>
      </c>
      <c r="AB2356" s="24"/>
    </row>
    <row r="2357" customFormat="false" ht="29.85" hidden="false" customHeight="false" outlineLevel="0" collapsed="false">
      <c r="A2357" s="15" t="n">
        <v>2356</v>
      </c>
      <c r="B2357" s="9" t="s">
        <v>112</v>
      </c>
      <c r="C2357" s="9" t="s">
        <v>550</v>
      </c>
      <c r="D2357" s="10" t="s">
        <v>551</v>
      </c>
      <c r="E2357" s="11" t="s">
        <v>5849</v>
      </c>
      <c r="F2357" s="17"/>
      <c r="G2357" s="12" t="s">
        <v>49</v>
      </c>
      <c r="H2357" s="13" t="n">
        <v>-0.001</v>
      </c>
      <c r="I2357" s="14"/>
      <c r="J2357" s="17"/>
      <c r="K2357" s="9"/>
      <c r="L2357" s="15" t="s">
        <v>50</v>
      </c>
      <c r="M2357" s="16" t="s">
        <v>51</v>
      </c>
      <c r="N2357" s="14"/>
      <c r="O2357" s="15" t="s">
        <v>52</v>
      </c>
      <c r="P2357" s="17" t="s">
        <v>53</v>
      </c>
      <c r="Q2357" s="15"/>
      <c r="R2357" s="18" t="s">
        <v>51</v>
      </c>
      <c r="S2357" s="19"/>
      <c r="T2357" s="17" t="str">
        <f aca="false">IF(R2357="維持",J2357,IF(R2357="排除","無關新聞事件",IFERROR(INDEX(事件規則!$B$2:$B$53,MATCH(S2357,事件規則!$A$2:$A$53,0)),"")))</f>
        <v>無關新聞事件</v>
      </c>
      <c r="U2357" s="20" t="n">
        <f aca="false">IF(R2357="維持",K2357,IF(R2357="排除",0,IFERROR(INDEX(事件規則!$C$2:$C$53,MATCH(S2357,事件規則!$A$2:$A$53,0)),"")))</f>
        <v>0</v>
      </c>
      <c r="V2357" s="21"/>
      <c r="W2357" s="22"/>
      <c r="X2357" s="10" t="str">
        <f aca="false">IF(AND(R2357="修改",S2357=""),"請選新事件代碼",IF(AND(R2357&lt;&gt;"修改",S2357&lt;&gt;""),"只有「修改」才需填代碼",""))</f>
        <v/>
      </c>
      <c r="Y2357" s="21"/>
      <c r="Z2357" s="22"/>
      <c r="AA2357" s="12" t="s">
        <v>5850</v>
      </c>
      <c r="AB2357" s="24"/>
    </row>
    <row r="2358" customFormat="false" ht="29.85" hidden="false" customHeight="false" outlineLevel="0" collapsed="false">
      <c r="A2358" s="15" t="n">
        <v>2357</v>
      </c>
      <c r="B2358" s="9" t="s">
        <v>112</v>
      </c>
      <c r="C2358" s="9" t="s">
        <v>2055</v>
      </c>
      <c r="D2358" s="10" t="s">
        <v>2056</v>
      </c>
      <c r="E2358" s="11" t="s">
        <v>5851</v>
      </c>
      <c r="F2358" s="17"/>
      <c r="G2358" s="12" t="s">
        <v>105</v>
      </c>
      <c r="H2358" s="13" t="n">
        <v>-0.001</v>
      </c>
      <c r="I2358" s="14"/>
      <c r="J2358" s="17"/>
      <c r="K2358" s="9"/>
      <c r="L2358" s="15" t="s">
        <v>50</v>
      </c>
      <c r="M2358" s="16" t="s">
        <v>51</v>
      </c>
      <c r="N2358" s="14"/>
      <c r="O2358" s="15" t="s">
        <v>52</v>
      </c>
      <c r="P2358" s="17" t="s">
        <v>53</v>
      </c>
      <c r="Q2358" s="15"/>
      <c r="R2358" s="18" t="s">
        <v>51</v>
      </c>
      <c r="S2358" s="19"/>
      <c r="T2358" s="17" t="str">
        <f aca="false">IF(R2358="維持",J2358,IF(R2358="排除","無關新聞事件",IFERROR(INDEX(事件規則!$B$2:$B$53,MATCH(S2358,事件規則!$A$2:$A$53,0)),"")))</f>
        <v>無關新聞事件</v>
      </c>
      <c r="U2358" s="20" t="n">
        <f aca="false">IF(R2358="維持",K2358,IF(R2358="排除",0,IFERROR(INDEX(事件規則!$C$2:$C$53,MATCH(S2358,事件規則!$A$2:$A$53,0)),"")))</f>
        <v>0</v>
      </c>
      <c r="V2358" s="21"/>
      <c r="W2358" s="22"/>
      <c r="X2358" s="10" t="str">
        <f aca="false">IF(AND(R2358="修改",S2358=""),"請選新事件代碼",IF(AND(R2358&lt;&gt;"修改",S2358&lt;&gt;""),"只有「修改」才需填代碼",""))</f>
        <v/>
      </c>
      <c r="Y2358" s="21"/>
      <c r="Z2358" s="22"/>
      <c r="AA2358" s="12" t="s">
        <v>5852</v>
      </c>
      <c r="AB2358" s="24"/>
    </row>
    <row r="2359" customFormat="false" ht="29.85" hidden="false" customHeight="false" outlineLevel="0" collapsed="false">
      <c r="A2359" s="15" t="n">
        <v>2358</v>
      </c>
      <c r="B2359" s="9" t="s">
        <v>112</v>
      </c>
      <c r="C2359" s="9" t="s">
        <v>92</v>
      </c>
      <c r="D2359" s="10" t="s">
        <v>93</v>
      </c>
      <c r="E2359" s="11" t="s">
        <v>5853</v>
      </c>
      <c r="F2359" s="17"/>
      <c r="G2359" s="12" t="s">
        <v>105</v>
      </c>
      <c r="H2359" s="13" t="n">
        <v>-0.001</v>
      </c>
      <c r="I2359" s="14"/>
      <c r="J2359" s="17"/>
      <c r="K2359" s="9"/>
      <c r="L2359" s="15" t="s">
        <v>50</v>
      </c>
      <c r="M2359" s="16" t="s">
        <v>51</v>
      </c>
      <c r="N2359" s="14"/>
      <c r="O2359" s="15" t="s">
        <v>52</v>
      </c>
      <c r="P2359" s="17" t="s">
        <v>53</v>
      </c>
      <c r="Q2359" s="15"/>
      <c r="R2359" s="18" t="s">
        <v>51</v>
      </c>
      <c r="S2359" s="19"/>
      <c r="T2359" s="17" t="str">
        <f aca="false">IF(R2359="維持",J2359,IF(R2359="排除","無關新聞事件",IFERROR(INDEX(事件規則!$B$2:$B$53,MATCH(S2359,事件規則!$A$2:$A$53,0)),"")))</f>
        <v>無關新聞事件</v>
      </c>
      <c r="U2359" s="20" t="n">
        <f aca="false">IF(R2359="維持",K2359,IF(R2359="排除",0,IFERROR(INDEX(事件規則!$C$2:$C$53,MATCH(S2359,事件規則!$A$2:$A$53,0)),"")))</f>
        <v>0</v>
      </c>
      <c r="V2359" s="21"/>
      <c r="W2359" s="22"/>
      <c r="X2359" s="10" t="str">
        <f aca="false">IF(AND(R2359="修改",S2359=""),"請選新事件代碼",IF(AND(R2359&lt;&gt;"修改",S2359&lt;&gt;""),"只有「修改」才需填代碼",""))</f>
        <v/>
      </c>
      <c r="Y2359" s="21"/>
      <c r="Z2359" s="22"/>
      <c r="AA2359" s="12" t="s">
        <v>5854</v>
      </c>
      <c r="AB2359" s="24"/>
    </row>
    <row r="2360" customFormat="false" ht="29.85" hidden="false" customHeight="false" outlineLevel="0" collapsed="false">
      <c r="A2360" s="15" t="n">
        <v>2359</v>
      </c>
      <c r="B2360" s="9" t="s">
        <v>112</v>
      </c>
      <c r="C2360" s="9" t="s">
        <v>550</v>
      </c>
      <c r="D2360" s="10" t="s">
        <v>551</v>
      </c>
      <c r="E2360" s="11" t="s">
        <v>5855</v>
      </c>
      <c r="F2360" s="17"/>
      <c r="G2360" s="12" t="s">
        <v>949</v>
      </c>
      <c r="H2360" s="13" t="n">
        <v>-0.001</v>
      </c>
      <c r="I2360" s="14"/>
      <c r="J2360" s="17"/>
      <c r="K2360" s="9"/>
      <c r="L2360" s="15" t="s">
        <v>50</v>
      </c>
      <c r="M2360" s="16" t="s">
        <v>51</v>
      </c>
      <c r="N2360" s="14"/>
      <c r="O2360" s="15" t="s">
        <v>52</v>
      </c>
      <c r="P2360" s="17" t="s">
        <v>53</v>
      </c>
      <c r="Q2360" s="15"/>
      <c r="R2360" s="18" t="s">
        <v>51</v>
      </c>
      <c r="S2360" s="19"/>
      <c r="T2360" s="17" t="str">
        <f aca="false">IF(R2360="維持",J2360,IF(R2360="排除","無關新聞事件",IFERROR(INDEX(事件規則!$B$2:$B$53,MATCH(S2360,事件規則!$A$2:$A$53,0)),"")))</f>
        <v>無關新聞事件</v>
      </c>
      <c r="U2360" s="20" t="n">
        <f aca="false">IF(R2360="維持",K2360,IF(R2360="排除",0,IFERROR(INDEX(事件規則!$C$2:$C$53,MATCH(S2360,事件規則!$A$2:$A$53,0)),"")))</f>
        <v>0</v>
      </c>
      <c r="V2360" s="21"/>
      <c r="W2360" s="22"/>
      <c r="X2360" s="10" t="str">
        <f aca="false">IF(AND(R2360="修改",S2360=""),"請選新事件代碼",IF(AND(R2360&lt;&gt;"修改",S2360&lt;&gt;""),"只有「修改」才需填代碼",""))</f>
        <v/>
      </c>
      <c r="Y2360" s="21"/>
      <c r="Z2360" s="22"/>
      <c r="AA2360" s="12" t="s">
        <v>5856</v>
      </c>
      <c r="AB2360" s="24"/>
    </row>
    <row r="2361" customFormat="false" ht="29.85" hidden="false" customHeight="false" outlineLevel="0" collapsed="false">
      <c r="A2361" s="15" t="n">
        <v>2360</v>
      </c>
      <c r="B2361" s="9" t="s">
        <v>112</v>
      </c>
      <c r="C2361" s="9" t="s">
        <v>936</v>
      </c>
      <c r="D2361" s="10" t="s">
        <v>937</v>
      </c>
      <c r="E2361" s="11" t="s">
        <v>5857</v>
      </c>
      <c r="F2361" s="17"/>
      <c r="G2361" s="12" t="s">
        <v>949</v>
      </c>
      <c r="H2361" s="13" t="n">
        <v>-0.001</v>
      </c>
      <c r="I2361" s="14"/>
      <c r="J2361" s="17"/>
      <c r="K2361" s="9"/>
      <c r="L2361" s="15" t="s">
        <v>50</v>
      </c>
      <c r="M2361" s="16" t="s">
        <v>51</v>
      </c>
      <c r="N2361" s="14"/>
      <c r="O2361" s="15" t="s">
        <v>52</v>
      </c>
      <c r="P2361" s="17" t="s">
        <v>53</v>
      </c>
      <c r="Q2361" s="15"/>
      <c r="R2361" s="18" t="s">
        <v>51</v>
      </c>
      <c r="S2361" s="19"/>
      <c r="T2361" s="17" t="str">
        <f aca="false">IF(R2361="維持",J2361,IF(R2361="排除","無關新聞事件",IFERROR(INDEX(事件規則!$B$2:$B$53,MATCH(S2361,事件規則!$A$2:$A$53,0)),"")))</f>
        <v>無關新聞事件</v>
      </c>
      <c r="U2361" s="20" t="n">
        <f aca="false">IF(R2361="維持",K2361,IF(R2361="排除",0,IFERROR(INDEX(事件規則!$C$2:$C$53,MATCH(S2361,事件規則!$A$2:$A$53,0)),"")))</f>
        <v>0</v>
      </c>
      <c r="V2361" s="21"/>
      <c r="W2361" s="22"/>
      <c r="X2361" s="10" t="str">
        <f aca="false">IF(AND(R2361="修改",S2361=""),"請選新事件代碼",IF(AND(R2361&lt;&gt;"修改",S2361&lt;&gt;""),"只有「修改」才需填代碼",""))</f>
        <v/>
      </c>
      <c r="Y2361" s="21"/>
      <c r="Z2361" s="22"/>
      <c r="AA2361" s="12" t="s">
        <v>5858</v>
      </c>
      <c r="AB2361" s="24"/>
    </row>
    <row r="2362" customFormat="false" ht="29.85" hidden="false" customHeight="false" outlineLevel="0" collapsed="false">
      <c r="A2362" s="15" t="n">
        <v>2361</v>
      </c>
      <c r="B2362" s="9" t="s">
        <v>112</v>
      </c>
      <c r="C2362" s="9" t="s">
        <v>476</v>
      </c>
      <c r="D2362" s="10" t="s">
        <v>477</v>
      </c>
      <c r="E2362" s="11" t="s">
        <v>5859</v>
      </c>
      <c r="F2362" s="17"/>
      <c r="G2362" s="12" t="s">
        <v>452</v>
      </c>
      <c r="H2362" s="13" t="n">
        <v>-0.001</v>
      </c>
      <c r="I2362" s="14"/>
      <c r="J2362" s="17"/>
      <c r="K2362" s="9"/>
      <c r="L2362" s="15" t="s">
        <v>50</v>
      </c>
      <c r="M2362" s="16" t="s">
        <v>51</v>
      </c>
      <c r="N2362" s="14"/>
      <c r="O2362" s="15" t="s">
        <v>52</v>
      </c>
      <c r="P2362" s="17" t="s">
        <v>53</v>
      </c>
      <c r="Q2362" s="15"/>
      <c r="R2362" s="18" t="s">
        <v>51</v>
      </c>
      <c r="S2362" s="19"/>
      <c r="T2362" s="17" t="str">
        <f aca="false">IF(R2362="維持",J2362,IF(R2362="排除","無關新聞事件",IFERROR(INDEX(事件規則!$B$2:$B$53,MATCH(S2362,事件規則!$A$2:$A$53,0)),"")))</f>
        <v>無關新聞事件</v>
      </c>
      <c r="U2362" s="20" t="n">
        <f aca="false">IF(R2362="維持",K2362,IF(R2362="排除",0,IFERROR(INDEX(事件規則!$C$2:$C$53,MATCH(S2362,事件規則!$A$2:$A$53,0)),"")))</f>
        <v>0</v>
      </c>
      <c r="V2362" s="21"/>
      <c r="W2362" s="22"/>
      <c r="X2362" s="10" t="str">
        <f aca="false">IF(AND(R2362="修改",S2362=""),"請選新事件代碼",IF(AND(R2362&lt;&gt;"修改",S2362&lt;&gt;""),"只有「修改」才需填代碼",""))</f>
        <v/>
      </c>
      <c r="Y2362" s="21"/>
      <c r="Z2362" s="22"/>
      <c r="AA2362" s="12" t="s">
        <v>5860</v>
      </c>
      <c r="AB2362" s="24"/>
    </row>
    <row r="2363" customFormat="false" ht="29.85" hidden="false" customHeight="false" outlineLevel="0" collapsed="false">
      <c r="A2363" s="15" t="n">
        <v>2362</v>
      </c>
      <c r="B2363" s="9" t="s">
        <v>112</v>
      </c>
      <c r="C2363" s="9" t="s">
        <v>1086</v>
      </c>
      <c r="D2363" s="10" t="s">
        <v>1087</v>
      </c>
      <c r="E2363" s="11" t="s">
        <v>5861</v>
      </c>
      <c r="F2363" s="17"/>
      <c r="G2363" s="12" t="s">
        <v>49</v>
      </c>
      <c r="H2363" s="13" t="n">
        <v>-0.001</v>
      </c>
      <c r="I2363" s="14"/>
      <c r="J2363" s="17"/>
      <c r="K2363" s="9"/>
      <c r="L2363" s="15" t="s">
        <v>50</v>
      </c>
      <c r="M2363" s="16" t="s">
        <v>51</v>
      </c>
      <c r="N2363" s="14"/>
      <c r="O2363" s="15" t="s">
        <v>52</v>
      </c>
      <c r="P2363" s="17" t="s">
        <v>53</v>
      </c>
      <c r="Q2363" s="15"/>
      <c r="R2363" s="18" t="s">
        <v>51</v>
      </c>
      <c r="S2363" s="19"/>
      <c r="T2363" s="17" t="str">
        <f aca="false">IF(R2363="維持",J2363,IF(R2363="排除","無關新聞事件",IFERROR(INDEX(事件規則!$B$2:$B$53,MATCH(S2363,事件規則!$A$2:$A$53,0)),"")))</f>
        <v>無關新聞事件</v>
      </c>
      <c r="U2363" s="20" t="n">
        <f aca="false">IF(R2363="維持",K2363,IF(R2363="排除",0,IFERROR(INDEX(事件規則!$C$2:$C$53,MATCH(S2363,事件規則!$A$2:$A$53,0)),"")))</f>
        <v>0</v>
      </c>
      <c r="V2363" s="21"/>
      <c r="W2363" s="22"/>
      <c r="X2363" s="10" t="str">
        <f aca="false">IF(AND(R2363="修改",S2363=""),"請選新事件代碼",IF(AND(R2363&lt;&gt;"修改",S2363&lt;&gt;""),"只有「修改」才需填代碼",""))</f>
        <v/>
      </c>
      <c r="Y2363" s="21"/>
      <c r="Z2363" s="22"/>
      <c r="AA2363" s="12" t="s">
        <v>5862</v>
      </c>
      <c r="AB2363" s="24"/>
    </row>
    <row r="2364" customFormat="false" ht="29.85" hidden="false" customHeight="false" outlineLevel="0" collapsed="false">
      <c r="A2364" s="15" t="n">
        <v>2363</v>
      </c>
      <c r="B2364" s="9" t="s">
        <v>112</v>
      </c>
      <c r="C2364" s="9" t="s">
        <v>953</v>
      </c>
      <c r="D2364" s="10" t="s">
        <v>954</v>
      </c>
      <c r="E2364" s="11" t="s">
        <v>5863</v>
      </c>
      <c r="F2364" s="17"/>
      <c r="G2364" s="12" t="s">
        <v>1136</v>
      </c>
      <c r="H2364" s="13" t="n">
        <v>-0.001</v>
      </c>
      <c r="I2364" s="14"/>
      <c r="J2364" s="17"/>
      <c r="K2364" s="9"/>
      <c r="L2364" s="15" t="s">
        <v>50</v>
      </c>
      <c r="M2364" s="16" t="s">
        <v>51</v>
      </c>
      <c r="N2364" s="14"/>
      <c r="O2364" s="15" t="s">
        <v>52</v>
      </c>
      <c r="P2364" s="17" t="s">
        <v>53</v>
      </c>
      <c r="Q2364" s="15"/>
      <c r="R2364" s="18" t="s">
        <v>51</v>
      </c>
      <c r="S2364" s="19"/>
      <c r="T2364" s="17" t="str">
        <f aca="false">IF(R2364="維持",J2364,IF(R2364="排除","無關新聞事件",IFERROR(INDEX(事件規則!$B$2:$B$53,MATCH(S2364,事件規則!$A$2:$A$53,0)),"")))</f>
        <v>無關新聞事件</v>
      </c>
      <c r="U2364" s="20" t="n">
        <f aca="false">IF(R2364="維持",K2364,IF(R2364="排除",0,IFERROR(INDEX(事件規則!$C$2:$C$53,MATCH(S2364,事件規則!$A$2:$A$53,0)),"")))</f>
        <v>0</v>
      </c>
      <c r="V2364" s="21"/>
      <c r="W2364" s="22"/>
      <c r="X2364" s="10" t="str">
        <f aca="false">IF(AND(R2364="修改",S2364=""),"請選新事件代碼",IF(AND(R2364&lt;&gt;"修改",S2364&lt;&gt;""),"只有「修改」才需填代碼",""))</f>
        <v/>
      </c>
      <c r="Y2364" s="21"/>
      <c r="Z2364" s="22"/>
      <c r="AA2364" s="12" t="s">
        <v>5864</v>
      </c>
      <c r="AB2364" s="24"/>
    </row>
    <row r="2365" customFormat="false" ht="29.85" hidden="false" customHeight="false" outlineLevel="0" collapsed="false">
      <c r="A2365" s="15" t="n">
        <v>2364</v>
      </c>
      <c r="B2365" s="9" t="s">
        <v>55</v>
      </c>
      <c r="C2365" s="9" t="s">
        <v>831</v>
      </c>
      <c r="D2365" s="10" t="s">
        <v>832</v>
      </c>
      <c r="E2365" s="11" t="s">
        <v>5840</v>
      </c>
      <c r="F2365" s="17"/>
      <c r="G2365" s="12" t="s">
        <v>949</v>
      </c>
      <c r="H2365" s="13" t="n">
        <v>-0.001</v>
      </c>
      <c r="I2365" s="14"/>
      <c r="J2365" s="17"/>
      <c r="K2365" s="9"/>
      <c r="L2365" s="15" t="s">
        <v>50</v>
      </c>
      <c r="M2365" s="16" t="s">
        <v>51</v>
      </c>
      <c r="N2365" s="14"/>
      <c r="O2365" s="15" t="s">
        <v>52</v>
      </c>
      <c r="P2365" s="17" t="s">
        <v>53</v>
      </c>
      <c r="Q2365" s="15"/>
      <c r="R2365" s="18" t="s">
        <v>51</v>
      </c>
      <c r="S2365" s="19"/>
      <c r="T2365" s="17" t="str">
        <f aca="false">IF(R2365="維持",J2365,IF(R2365="排除","無關新聞事件",IFERROR(INDEX(事件規則!$B$2:$B$53,MATCH(S2365,事件規則!$A$2:$A$53,0)),"")))</f>
        <v>無關新聞事件</v>
      </c>
      <c r="U2365" s="20" t="n">
        <f aca="false">IF(R2365="維持",K2365,IF(R2365="排除",0,IFERROR(INDEX(事件規則!$C$2:$C$53,MATCH(S2365,事件規則!$A$2:$A$53,0)),"")))</f>
        <v>0</v>
      </c>
      <c r="V2365" s="21"/>
      <c r="W2365" s="22"/>
      <c r="X2365" s="10" t="str">
        <f aca="false">IF(AND(R2365="修改",S2365=""),"請選新事件代碼",IF(AND(R2365&lt;&gt;"修改",S2365&lt;&gt;""),"只有「修改」才需填代碼",""))</f>
        <v/>
      </c>
      <c r="Y2365" s="21"/>
      <c r="Z2365" s="22"/>
      <c r="AA2365" s="12" t="s">
        <v>5865</v>
      </c>
      <c r="AB2365" s="24"/>
    </row>
    <row r="2366" customFormat="false" ht="29.85" hidden="false" customHeight="false" outlineLevel="0" collapsed="false">
      <c r="A2366" s="15" t="n">
        <v>2365</v>
      </c>
      <c r="B2366" s="9" t="s">
        <v>45</v>
      </c>
      <c r="C2366" s="9" t="s">
        <v>289</v>
      </c>
      <c r="D2366" s="10" t="s">
        <v>290</v>
      </c>
      <c r="E2366" s="11" t="s">
        <v>5866</v>
      </c>
      <c r="F2366" s="17"/>
      <c r="G2366" s="12" t="s">
        <v>176</v>
      </c>
      <c r="H2366" s="13" t="n">
        <v>-0.001</v>
      </c>
      <c r="I2366" s="14"/>
      <c r="J2366" s="17"/>
      <c r="K2366" s="9"/>
      <c r="L2366" s="15" t="s">
        <v>50</v>
      </c>
      <c r="M2366" s="16" t="s">
        <v>51</v>
      </c>
      <c r="N2366" s="14"/>
      <c r="O2366" s="15" t="s">
        <v>52</v>
      </c>
      <c r="P2366" s="17" t="s">
        <v>53</v>
      </c>
      <c r="Q2366" s="15"/>
      <c r="R2366" s="18" t="s">
        <v>51</v>
      </c>
      <c r="S2366" s="19"/>
      <c r="T2366" s="17" t="str">
        <f aca="false">IF(R2366="維持",J2366,IF(R2366="排除","無關新聞事件",IFERROR(INDEX(事件規則!$B$2:$B$53,MATCH(S2366,事件規則!$A$2:$A$53,0)),"")))</f>
        <v>無關新聞事件</v>
      </c>
      <c r="U2366" s="20" t="n">
        <f aca="false">IF(R2366="維持",K2366,IF(R2366="排除",0,IFERROR(INDEX(事件規則!$C$2:$C$53,MATCH(S2366,事件規則!$A$2:$A$53,0)),"")))</f>
        <v>0</v>
      </c>
      <c r="V2366" s="21"/>
      <c r="W2366" s="22"/>
      <c r="X2366" s="10" t="str">
        <f aca="false">IF(AND(R2366="修改",S2366=""),"請選新事件代碼",IF(AND(R2366&lt;&gt;"修改",S2366&lt;&gt;""),"只有「修改」才需填代碼",""))</f>
        <v/>
      </c>
      <c r="Y2366" s="21"/>
      <c r="Z2366" s="22"/>
      <c r="AA2366" s="12" t="s">
        <v>5867</v>
      </c>
      <c r="AB2366" s="24"/>
    </row>
    <row r="2367" customFormat="false" ht="29.85" hidden="false" customHeight="false" outlineLevel="0" collapsed="false">
      <c r="A2367" s="15" t="n">
        <v>2366</v>
      </c>
      <c r="B2367" s="9" t="s">
        <v>55</v>
      </c>
      <c r="C2367" s="9" t="s">
        <v>1893</v>
      </c>
      <c r="D2367" s="10" t="s">
        <v>1894</v>
      </c>
      <c r="E2367" s="11" t="s">
        <v>5868</v>
      </c>
      <c r="F2367" s="17"/>
      <c r="G2367" s="12" t="s">
        <v>1068</v>
      </c>
      <c r="H2367" s="13" t="n">
        <v>-0.001</v>
      </c>
      <c r="I2367" s="14"/>
      <c r="J2367" s="17"/>
      <c r="K2367" s="9"/>
      <c r="L2367" s="15" t="s">
        <v>50</v>
      </c>
      <c r="M2367" s="16" t="s">
        <v>51</v>
      </c>
      <c r="N2367" s="14"/>
      <c r="O2367" s="15" t="s">
        <v>52</v>
      </c>
      <c r="P2367" s="17" t="s">
        <v>53</v>
      </c>
      <c r="Q2367" s="15"/>
      <c r="R2367" s="18" t="s">
        <v>51</v>
      </c>
      <c r="S2367" s="19"/>
      <c r="T2367" s="17" t="str">
        <f aca="false">IF(R2367="維持",J2367,IF(R2367="排除","無關新聞事件",IFERROR(INDEX(事件規則!$B$2:$B$53,MATCH(S2367,事件規則!$A$2:$A$53,0)),"")))</f>
        <v>無關新聞事件</v>
      </c>
      <c r="U2367" s="20" t="n">
        <f aca="false">IF(R2367="維持",K2367,IF(R2367="排除",0,IFERROR(INDEX(事件規則!$C$2:$C$53,MATCH(S2367,事件規則!$A$2:$A$53,0)),"")))</f>
        <v>0</v>
      </c>
      <c r="V2367" s="21"/>
      <c r="W2367" s="22"/>
      <c r="X2367" s="10" t="str">
        <f aca="false">IF(AND(R2367="修改",S2367=""),"請選新事件代碼",IF(AND(R2367&lt;&gt;"修改",S2367&lt;&gt;""),"只有「修改」才需填代碼",""))</f>
        <v/>
      </c>
      <c r="Y2367" s="21"/>
      <c r="Z2367" s="22"/>
      <c r="AA2367" s="12" t="s">
        <v>5869</v>
      </c>
      <c r="AB2367" s="24"/>
    </row>
    <row r="2368" customFormat="false" ht="29.85" hidden="false" customHeight="false" outlineLevel="0" collapsed="false">
      <c r="A2368" s="15" t="n">
        <v>2367</v>
      </c>
      <c r="B2368" s="9" t="s">
        <v>45</v>
      </c>
      <c r="C2368" s="9" t="s">
        <v>1415</v>
      </c>
      <c r="D2368" s="10" t="s">
        <v>1416</v>
      </c>
      <c r="E2368" s="11" t="s">
        <v>5870</v>
      </c>
      <c r="F2368" s="17"/>
      <c r="G2368" s="12" t="s">
        <v>5871</v>
      </c>
      <c r="H2368" s="13" t="n">
        <v>-0.001</v>
      </c>
      <c r="I2368" s="14"/>
      <c r="J2368" s="17"/>
      <c r="K2368" s="9"/>
      <c r="L2368" s="15" t="s">
        <v>50</v>
      </c>
      <c r="M2368" s="16" t="s">
        <v>51</v>
      </c>
      <c r="N2368" s="14"/>
      <c r="O2368" s="15" t="s">
        <v>52</v>
      </c>
      <c r="P2368" s="17" t="s">
        <v>53</v>
      </c>
      <c r="Q2368" s="15"/>
      <c r="R2368" s="18" t="s">
        <v>51</v>
      </c>
      <c r="S2368" s="19"/>
      <c r="T2368" s="17" t="str">
        <f aca="false">IF(R2368="維持",J2368,IF(R2368="排除","無關新聞事件",IFERROR(INDEX(事件規則!$B$2:$B$53,MATCH(S2368,事件規則!$A$2:$A$53,0)),"")))</f>
        <v>無關新聞事件</v>
      </c>
      <c r="U2368" s="20" t="n">
        <f aca="false">IF(R2368="維持",K2368,IF(R2368="排除",0,IFERROR(INDEX(事件規則!$C$2:$C$53,MATCH(S2368,事件規則!$A$2:$A$53,0)),"")))</f>
        <v>0</v>
      </c>
      <c r="V2368" s="21"/>
      <c r="W2368" s="22"/>
      <c r="X2368" s="10" t="str">
        <f aca="false">IF(AND(R2368="修改",S2368=""),"請選新事件代碼",IF(AND(R2368&lt;&gt;"修改",S2368&lt;&gt;""),"只有「修改」才需填代碼",""))</f>
        <v/>
      </c>
      <c r="Y2368" s="21"/>
      <c r="Z2368" s="22"/>
      <c r="AA2368" s="12" t="s">
        <v>5872</v>
      </c>
      <c r="AB2368" s="24"/>
    </row>
    <row r="2369" customFormat="false" ht="29.85" hidden="false" customHeight="false" outlineLevel="0" collapsed="false">
      <c r="A2369" s="15" t="n">
        <v>2368</v>
      </c>
      <c r="B2369" s="9" t="s">
        <v>45</v>
      </c>
      <c r="C2369" s="9" t="s">
        <v>113</v>
      </c>
      <c r="D2369" s="10" t="s">
        <v>114</v>
      </c>
      <c r="E2369" s="11" t="s">
        <v>5873</v>
      </c>
      <c r="F2369" s="17"/>
      <c r="G2369" s="12" t="s">
        <v>949</v>
      </c>
      <c r="H2369" s="13" t="n">
        <v>-0.001</v>
      </c>
      <c r="I2369" s="14"/>
      <c r="J2369" s="17"/>
      <c r="K2369" s="9"/>
      <c r="L2369" s="15" t="s">
        <v>50</v>
      </c>
      <c r="M2369" s="16" t="s">
        <v>51</v>
      </c>
      <c r="N2369" s="14"/>
      <c r="O2369" s="15" t="s">
        <v>52</v>
      </c>
      <c r="P2369" s="17" t="s">
        <v>53</v>
      </c>
      <c r="Q2369" s="15"/>
      <c r="R2369" s="18" t="s">
        <v>51</v>
      </c>
      <c r="S2369" s="19"/>
      <c r="T2369" s="17" t="str">
        <f aca="false">IF(R2369="維持",J2369,IF(R2369="排除","無關新聞事件",IFERROR(INDEX(事件規則!$B$2:$B$53,MATCH(S2369,事件規則!$A$2:$A$53,0)),"")))</f>
        <v>無關新聞事件</v>
      </c>
      <c r="U2369" s="20" t="n">
        <f aca="false">IF(R2369="維持",K2369,IF(R2369="排除",0,IFERROR(INDEX(事件規則!$C$2:$C$53,MATCH(S2369,事件規則!$A$2:$A$53,0)),"")))</f>
        <v>0</v>
      </c>
      <c r="V2369" s="21"/>
      <c r="W2369" s="22"/>
      <c r="X2369" s="10" t="str">
        <f aca="false">IF(AND(R2369="修改",S2369=""),"請選新事件代碼",IF(AND(R2369&lt;&gt;"修改",S2369&lt;&gt;""),"只有「修改」才需填代碼",""))</f>
        <v/>
      </c>
      <c r="Y2369" s="21"/>
      <c r="Z2369" s="22"/>
      <c r="AA2369" s="12" t="s">
        <v>5874</v>
      </c>
      <c r="AB2369" s="24"/>
    </row>
    <row r="2370" customFormat="false" ht="29.85" hidden="false" customHeight="false" outlineLevel="0" collapsed="false">
      <c r="A2370" s="15" t="n">
        <v>2369</v>
      </c>
      <c r="B2370" s="9" t="s">
        <v>45</v>
      </c>
      <c r="C2370" s="9" t="s">
        <v>2219</v>
      </c>
      <c r="D2370" s="10" t="s">
        <v>2220</v>
      </c>
      <c r="E2370" s="11" t="s">
        <v>5875</v>
      </c>
      <c r="F2370" s="17"/>
      <c r="G2370" s="12" t="s">
        <v>949</v>
      </c>
      <c r="H2370" s="13" t="n">
        <v>-0.001</v>
      </c>
      <c r="I2370" s="14"/>
      <c r="J2370" s="17"/>
      <c r="K2370" s="9"/>
      <c r="L2370" s="15" t="s">
        <v>50</v>
      </c>
      <c r="M2370" s="16" t="s">
        <v>51</v>
      </c>
      <c r="N2370" s="14"/>
      <c r="O2370" s="15" t="s">
        <v>52</v>
      </c>
      <c r="P2370" s="17" t="s">
        <v>53</v>
      </c>
      <c r="Q2370" s="15"/>
      <c r="R2370" s="18" t="s">
        <v>51</v>
      </c>
      <c r="S2370" s="19"/>
      <c r="T2370" s="17" t="str">
        <f aca="false">IF(R2370="維持",J2370,IF(R2370="排除","無關新聞事件",IFERROR(INDEX(事件規則!$B$2:$B$53,MATCH(S2370,事件規則!$A$2:$A$53,0)),"")))</f>
        <v>無關新聞事件</v>
      </c>
      <c r="U2370" s="20" t="n">
        <f aca="false">IF(R2370="維持",K2370,IF(R2370="排除",0,IFERROR(INDEX(事件規則!$C$2:$C$53,MATCH(S2370,事件規則!$A$2:$A$53,0)),"")))</f>
        <v>0</v>
      </c>
      <c r="V2370" s="21"/>
      <c r="W2370" s="22"/>
      <c r="X2370" s="10" t="str">
        <f aca="false">IF(AND(R2370="修改",S2370=""),"請選新事件代碼",IF(AND(R2370&lt;&gt;"修改",S2370&lt;&gt;""),"只有「修改」才需填代碼",""))</f>
        <v/>
      </c>
      <c r="Y2370" s="21"/>
      <c r="Z2370" s="22"/>
      <c r="AA2370" s="12" t="s">
        <v>5876</v>
      </c>
      <c r="AB2370" s="24"/>
    </row>
    <row r="2371" customFormat="false" ht="29.85" hidden="false" customHeight="false" outlineLevel="0" collapsed="false">
      <c r="A2371" s="15" t="n">
        <v>2370</v>
      </c>
      <c r="B2371" s="9" t="s">
        <v>45</v>
      </c>
      <c r="C2371" s="9" t="s">
        <v>1180</v>
      </c>
      <c r="D2371" s="10" t="s">
        <v>1181</v>
      </c>
      <c r="E2371" s="11" t="s">
        <v>5877</v>
      </c>
      <c r="F2371" s="17"/>
      <c r="G2371" s="12" t="s">
        <v>1136</v>
      </c>
      <c r="H2371" s="13" t="n">
        <v>-0.001</v>
      </c>
      <c r="I2371" s="14"/>
      <c r="J2371" s="17"/>
      <c r="K2371" s="9"/>
      <c r="L2371" s="15" t="s">
        <v>50</v>
      </c>
      <c r="M2371" s="16" t="s">
        <v>51</v>
      </c>
      <c r="N2371" s="14"/>
      <c r="O2371" s="15" t="s">
        <v>52</v>
      </c>
      <c r="P2371" s="17" t="s">
        <v>53</v>
      </c>
      <c r="Q2371" s="15"/>
      <c r="R2371" s="18" t="s">
        <v>51</v>
      </c>
      <c r="S2371" s="19"/>
      <c r="T2371" s="17" t="str">
        <f aca="false">IF(R2371="維持",J2371,IF(R2371="排除","無關新聞事件",IFERROR(INDEX(事件規則!$B$2:$B$53,MATCH(S2371,事件規則!$A$2:$A$53,0)),"")))</f>
        <v>無關新聞事件</v>
      </c>
      <c r="U2371" s="20" t="n">
        <f aca="false">IF(R2371="維持",K2371,IF(R2371="排除",0,IFERROR(INDEX(事件規則!$C$2:$C$53,MATCH(S2371,事件規則!$A$2:$A$53,0)),"")))</f>
        <v>0</v>
      </c>
      <c r="V2371" s="21"/>
      <c r="W2371" s="22"/>
      <c r="X2371" s="10" t="str">
        <f aca="false">IF(AND(R2371="修改",S2371=""),"請選新事件代碼",IF(AND(R2371&lt;&gt;"修改",S2371&lt;&gt;""),"只有「修改」才需填代碼",""))</f>
        <v/>
      </c>
      <c r="Y2371" s="21"/>
      <c r="Z2371" s="22"/>
      <c r="AA2371" s="12" t="s">
        <v>5878</v>
      </c>
      <c r="AB2371" s="24"/>
    </row>
    <row r="2372" customFormat="false" ht="29.85" hidden="false" customHeight="false" outlineLevel="0" collapsed="false">
      <c r="A2372" s="15" t="n">
        <v>2371</v>
      </c>
      <c r="B2372" s="9" t="s">
        <v>45</v>
      </c>
      <c r="C2372" s="9" t="s">
        <v>1602</v>
      </c>
      <c r="D2372" s="10" t="s">
        <v>1603</v>
      </c>
      <c r="E2372" s="11" t="s">
        <v>5879</v>
      </c>
      <c r="F2372" s="17"/>
      <c r="G2372" s="12" t="s">
        <v>4702</v>
      </c>
      <c r="H2372" s="13" t="n">
        <v>-0.001</v>
      </c>
      <c r="I2372" s="14"/>
      <c r="J2372" s="17"/>
      <c r="K2372" s="9"/>
      <c r="L2372" s="15" t="s">
        <v>50</v>
      </c>
      <c r="M2372" s="16" t="s">
        <v>51</v>
      </c>
      <c r="N2372" s="14"/>
      <c r="O2372" s="15" t="s">
        <v>52</v>
      </c>
      <c r="P2372" s="17" t="s">
        <v>53</v>
      </c>
      <c r="Q2372" s="15"/>
      <c r="R2372" s="18" t="s">
        <v>51</v>
      </c>
      <c r="S2372" s="19"/>
      <c r="T2372" s="17" t="str">
        <f aca="false">IF(R2372="維持",J2372,IF(R2372="排除","無關新聞事件",IFERROR(INDEX(事件規則!$B$2:$B$53,MATCH(S2372,事件規則!$A$2:$A$53,0)),"")))</f>
        <v>無關新聞事件</v>
      </c>
      <c r="U2372" s="20" t="n">
        <f aca="false">IF(R2372="維持",K2372,IF(R2372="排除",0,IFERROR(INDEX(事件規則!$C$2:$C$53,MATCH(S2372,事件規則!$A$2:$A$53,0)),"")))</f>
        <v>0</v>
      </c>
      <c r="V2372" s="21"/>
      <c r="W2372" s="22"/>
      <c r="X2372" s="10" t="str">
        <f aca="false">IF(AND(R2372="修改",S2372=""),"請選新事件代碼",IF(AND(R2372&lt;&gt;"修改",S2372&lt;&gt;""),"只有「修改」才需填代碼",""))</f>
        <v/>
      </c>
      <c r="Y2372" s="21"/>
      <c r="Z2372" s="22"/>
      <c r="AA2372" s="12" t="s">
        <v>5880</v>
      </c>
      <c r="AB2372" s="24"/>
    </row>
    <row r="2373" customFormat="false" ht="29.85" hidden="false" customHeight="false" outlineLevel="0" collapsed="false">
      <c r="A2373" s="15" t="n">
        <v>2372</v>
      </c>
      <c r="B2373" s="9" t="s">
        <v>45</v>
      </c>
      <c r="C2373" s="9" t="s">
        <v>1571</v>
      </c>
      <c r="D2373" s="10" t="s">
        <v>1572</v>
      </c>
      <c r="E2373" s="11" t="s">
        <v>5881</v>
      </c>
      <c r="F2373" s="17"/>
      <c r="G2373" s="12" t="s">
        <v>5882</v>
      </c>
      <c r="H2373" s="13" t="n">
        <v>-0.001</v>
      </c>
      <c r="I2373" s="14"/>
      <c r="J2373" s="17"/>
      <c r="K2373" s="9"/>
      <c r="L2373" s="15" t="s">
        <v>50</v>
      </c>
      <c r="M2373" s="16" t="s">
        <v>51</v>
      </c>
      <c r="N2373" s="14"/>
      <c r="O2373" s="15" t="s">
        <v>52</v>
      </c>
      <c r="P2373" s="17" t="s">
        <v>53</v>
      </c>
      <c r="Q2373" s="15"/>
      <c r="R2373" s="18" t="s">
        <v>51</v>
      </c>
      <c r="S2373" s="19"/>
      <c r="T2373" s="17" t="str">
        <f aca="false">IF(R2373="維持",J2373,IF(R2373="排除","無關新聞事件",IFERROR(INDEX(事件規則!$B$2:$B$53,MATCH(S2373,事件規則!$A$2:$A$53,0)),"")))</f>
        <v>無關新聞事件</v>
      </c>
      <c r="U2373" s="20" t="n">
        <f aca="false">IF(R2373="維持",K2373,IF(R2373="排除",0,IFERROR(INDEX(事件規則!$C$2:$C$53,MATCH(S2373,事件規則!$A$2:$A$53,0)),"")))</f>
        <v>0</v>
      </c>
      <c r="V2373" s="21"/>
      <c r="W2373" s="22"/>
      <c r="X2373" s="10" t="str">
        <f aca="false">IF(AND(R2373="修改",S2373=""),"請選新事件代碼",IF(AND(R2373&lt;&gt;"修改",S2373&lt;&gt;""),"只有「修改」才需填代碼",""))</f>
        <v/>
      </c>
      <c r="Y2373" s="21"/>
      <c r="Z2373" s="22"/>
      <c r="AA2373" s="12" t="s">
        <v>5883</v>
      </c>
      <c r="AB2373" s="24"/>
    </row>
    <row r="2374" customFormat="false" ht="29.85" hidden="false" customHeight="false" outlineLevel="0" collapsed="false">
      <c r="A2374" s="15" t="n">
        <v>2373</v>
      </c>
      <c r="B2374" s="9" t="s">
        <v>45</v>
      </c>
      <c r="C2374" s="9" t="s">
        <v>957</v>
      </c>
      <c r="D2374" s="10" t="s">
        <v>958</v>
      </c>
      <c r="E2374" s="11" t="s">
        <v>5884</v>
      </c>
      <c r="F2374" s="17"/>
      <c r="G2374" s="12" t="s">
        <v>95</v>
      </c>
      <c r="H2374" s="13" t="n">
        <v>-0.001</v>
      </c>
      <c r="I2374" s="14"/>
      <c r="J2374" s="17"/>
      <c r="K2374" s="9"/>
      <c r="L2374" s="15" t="s">
        <v>50</v>
      </c>
      <c r="M2374" s="16" t="s">
        <v>51</v>
      </c>
      <c r="N2374" s="14"/>
      <c r="O2374" s="15" t="s">
        <v>52</v>
      </c>
      <c r="P2374" s="17" t="s">
        <v>53</v>
      </c>
      <c r="Q2374" s="15"/>
      <c r="R2374" s="18" t="s">
        <v>51</v>
      </c>
      <c r="S2374" s="19"/>
      <c r="T2374" s="17" t="str">
        <f aca="false">IF(R2374="維持",J2374,IF(R2374="排除","無關新聞事件",IFERROR(INDEX(事件規則!$B$2:$B$53,MATCH(S2374,事件規則!$A$2:$A$53,0)),"")))</f>
        <v>無關新聞事件</v>
      </c>
      <c r="U2374" s="20" t="n">
        <f aca="false">IF(R2374="維持",K2374,IF(R2374="排除",0,IFERROR(INDEX(事件規則!$C$2:$C$53,MATCH(S2374,事件規則!$A$2:$A$53,0)),"")))</f>
        <v>0</v>
      </c>
      <c r="V2374" s="21"/>
      <c r="W2374" s="22"/>
      <c r="X2374" s="10" t="str">
        <f aca="false">IF(AND(R2374="修改",S2374=""),"請選新事件代碼",IF(AND(R2374&lt;&gt;"修改",S2374&lt;&gt;""),"只有「修改」才需填代碼",""))</f>
        <v/>
      </c>
      <c r="Y2374" s="21"/>
      <c r="Z2374" s="22"/>
      <c r="AA2374" s="12" t="s">
        <v>5885</v>
      </c>
      <c r="AB2374" s="24"/>
    </row>
    <row r="2375" customFormat="false" ht="29.85" hidden="false" customHeight="false" outlineLevel="0" collapsed="false">
      <c r="A2375" s="15" t="n">
        <v>2374</v>
      </c>
      <c r="B2375" s="9" t="s">
        <v>45</v>
      </c>
      <c r="C2375" s="9" t="s">
        <v>315</v>
      </c>
      <c r="D2375" s="10" t="s">
        <v>316</v>
      </c>
      <c r="E2375" s="11" t="s">
        <v>5886</v>
      </c>
      <c r="F2375" s="17"/>
      <c r="G2375" s="12" t="s">
        <v>949</v>
      </c>
      <c r="H2375" s="13" t="n">
        <v>-0.001</v>
      </c>
      <c r="I2375" s="14"/>
      <c r="J2375" s="17"/>
      <c r="K2375" s="9"/>
      <c r="L2375" s="15" t="s">
        <v>50</v>
      </c>
      <c r="M2375" s="16" t="s">
        <v>51</v>
      </c>
      <c r="N2375" s="14"/>
      <c r="O2375" s="15" t="s">
        <v>52</v>
      </c>
      <c r="P2375" s="17" t="s">
        <v>53</v>
      </c>
      <c r="Q2375" s="15"/>
      <c r="R2375" s="18" t="s">
        <v>51</v>
      </c>
      <c r="S2375" s="19"/>
      <c r="T2375" s="17" t="str">
        <f aca="false">IF(R2375="維持",J2375,IF(R2375="排除","無關新聞事件",IFERROR(INDEX(事件規則!$B$2:$B$53,MATCH(S2375,事件規則!$A$2:$A$53,0)),"")))</f>
        <v>無關新聞事件</v>
      </c>
      <c r="U2375" s="20" t="n">
        <f aca="false">IF(R2375="維持",K2375,IF(R2375="排除",0,IFERROR(INDEX(事件規則!$C$2:$C$53,MATCH(S2375,事件規則!$A$2:$A$53,0)),"")))</f>
        <v>0</v>
      </c>
      <c r="V2375" s="21"/>
      <c r="W2375" s="22"/>
      <c r="X2375" s="10" t="str">
        <f aca="false">IF(AND(R2375="修改",S2375=""),"請選新事件代碼",IF(AND(R2375&lt;&gt;"修改",S2375&lt;&gt;""),"只有「修改」才需填代碼",""))</f>
        <v/>
      </c>
      <c r="Y2375" s="21"/>
      <c r="Z2375" s="22"/>
      <c r="AA2375" s="12" t="s">
        <v>5887</v>
      </c>
      <c r="AB2375" s="24"/>
    </row>
    <row r="2376" customFormat="false" ht="29.85" hidden="false" customHeight="false" outlineLevel="0" collapsed="false">
      <c r="A2376" s="15" t="n">
        <v>2375</v>
      </c>
      <c r="B2376" s="9" t="s">
        <v>45</v>
      </c>
      <c r="C2376" s="9" t="s">
        <v>744</v>
      </c>
      <c r="D2376" s="10" t="s">
        <v>745</v>
      </c>
      <c r="E2376" s="11" t="s">
        <v>5888</v>
      </c>
      <c r="F2376" s="17"/>
      <c r="G2376" s="12" t="s">
        <v>5889</v>
      </c>
      <c r="H2376" s="13" t="n">
        <v>-0.001</v>
      </c>
      <c r="I2376" s="14"/>
      <c r="J2376" s="17"/>
      <c r="K2376" s="9"/>
      <c r="L2376" s="15" t="s">
        <v>50</v>
      </c>
      <c r="M2376" s="16" t="s">
        <v>51</v>
      </c>
      <c r="N2376" s="14"/>
      <c r="O2376" s="15" t="s">
        <v>52</v>
      </c>
      <c r="P2376" s="17" t="s">
        <v>53</v>
      </c>
      <c r="Q2376" s="15"/>
      <c r="R2376" s="18" t="s">
        <v>51</v>
      </c>
      <c r="S2376" s="19"/>
      <c r="T2376" s="17" t="str">
        <f aca="false">IF(R2376="維持",J2376,IF(R2376="排除","無關新聞事件",IFERROR(INDEX(事件規則!$B$2:$B$53,MATCH(S2376,事件規則!$A$2:$A$53,0)),"")))</f>
        <v>無關新聞事件</v>
      </c>
      <c r="U2376" s="20" t="n">
        <f aca="false">IF(R2376="維持",K2376,IF(R2376="排除",0,IFERROR(INDEX(事件規則!$C$2:$C$53,MATCH(S2376,事件規則!$A$2:$A$53,0)),"")))</f>
        <v>0</v>
      </c>
      <c r="V2376" s="21"/>
      <c r="W2376" s="22"/>
      <c r="X2376" s="10" t="str">
        <f aca="false">IF(AND(R2376="修改",S2376=""),"請選新事件代碼",IF(AND(R2376&lt;&gt;"修改",S2376&lt;&gt;""),"只有「修改」才需填代碼",""))</f>
        <v/>
      </c>
      <c r="Y2376" s="21"/>
      <c r="Z2376" s="22"/>
      <c r="AA2376" s="12" t="s">
        <v>5890</v>
      </c>
      <c r="AB2376" s="24"/>
    </row>
    <row r="2377" customFormat="false" ht="29.85" hidden="false" customHeight="false" outlineLevel="0" collapsed="false">
      <c r="A2377" s="15" t="n">
        <v>2376</v>
      </c>
      <c r="B2377" s="9" t="s">
        <v>45</v>
      </c>
      <c r="C2377" s="9" t="s">
        <v>419</v>
      </c>
      <c r="D2377" s="10" t="s">
        <v>420</v>
      </c>
      <c r="E2377" s="11" t="s">
        <v>5891</v>
      </c>
      <c r="F2377" s="17"/>
      <c r="G2377" s="12" t="s">
        <v>419</v>
      </c>
      <c r="H2377" s="13" t="n">
        <v>-0.001</v>
      </c>
      <c r="I2377" s="14"/>
      <c r="J2377" s="17"/>
      <c r="K2377" s="9"/>
      <c r="L2377" s="15" t="s">
        <v>50</v>
      </c>
      <c r="M2377" s="16" t="s">
        <v>51</v>
      </c>
      <c r="N2377" s="14"/>
      <c r="O2377" s="15" t="s">
        <v>52</v>
      </c>
      <c r="P2377" s="17" t="s">
        <v>53</v>
      </c>
      <c r="Q2377" s="15"/>
      <c r="R2377" s="18" t="s">
        <v>51</v>
      </c>
      <c r="S2377" s="19"/>
      <c r="T2377" s="17" t="str">
        <f aca="false">IF(R2377="維持",J2377,IF(R2377="排除","無關新聞事件",IFERROR(INDEX(事件規則!$B$2:$B$53,MATCH(S2377,事件規則!$A$2:$A$53,0)),"")))</f>
        <v>無關新聞事件</v>
      </c>
      <c r="U2377" s="20" t="n">
        <f aca="false">IF(R2377="維持",K2377,IF(R2377="排除",0,IFERROR(INDEX(事件規則!$C$2:$C$53,MATCH(S2377,事件規則!$A$2:$A$53,0)),"")))</f>
        <v>0</v>
      </c>
      <c r="V2377" s="21"/>
      <c r="W2377" s="22"/>
      <c r="X2377" s="10" t="str">
        <f aca="false">IF(AND(R2377="修改",S2377=""),"請選新事件代碼",IF(AND(R2377&lt;&gt;"修改",S2377&lt;&gt;""),"只有「修改」才需填代碼",""))</f>
        <v/>
      </c>
      <c r="Y2377" s="21"/>
      <c r="Z2377" s="22"/>
      <c r="AA2377" s="12" t="s">
        <v>5892</v>
      </c>
      <c r="AB2377" s="24"/>
    </row>
    <row r="2378" customFormat="false" ht="29.85" hidden="false" customHeight="false" outlineLevel="0" collapsed="false">
      <c r="A2378" s="15" t="n">
        <v>2377</v>
      </c>
      <c r="B2378" s="9" t="s">
        <v>45</v>
      </c>
      <c r="C2378" s="9" t="s">
        <v>672</v>
      </c>
      <c r="D2378" s="10" t="s">
        <v>673</v>
      </c>
      <c r="E2378" s="11" t="s">
        <v>5893</v>
      </c>
      <c r="F2378" s="17"/>
      <c r="G2378" s="12" t="s">
        <v>95</v>
      </c>
      <c r="H2378" s="13" t="n">
        <v>-0.001</v>
      </c>
      <c r="I2378" s="14"/>
      <c r="J2378" s="17"/>
      <c r="K2378" s="9"/>
      <c r="L2378" s="15" t="s">
        <v>50</v>
      </c>
      <c r="M2378" s="16" t="s">
        <v>51</v>
      </c>
      <c r="N2378" s="14"/>
      <c r="O2378" s="15" t="s">
        <v>52</v>
      </c>
      <c r="P2378" s="17" t="s">
        <v>53</v>
      </c>
      <c r="Q2378" s="15"/>
      <c r="R2378" s="18" t="s">
        <v>51</v>
      </c>
      <c r="S2378" s="19"/>
      <c r="T2378" s="17" t="str">
        <f aca="false">IF(R2378="維持",J2378,IF(R2378="排除","無關新聞事件",IFERROR(INDEX(事件規則!$B$2:$B$53,MATCH(S2378,事件規則!$A$2:$A$53,0)),"")))</f>
        <v>無關新聞事件</v>
      </c>
      <c r="U2378" s="20" t="n">
        <f aca="false">IF(R2378="維持",K2378,IF(R2378="排除",0,IFERROR(INDEX(事件規則!$C$2:$C$53,MATCH(S2378,事件規則!$A$2:$A$53,0)),"")))</f>
        <v>0</v>
      </c>
      <c r="V2378" s="21"/>
      <c r="W2378" s="22"/>
      <c r="X2378" s="10" t="str">
        <f aca="false">IF(AND(R2378="修改",S2378=""),"請選新事件代碼",IF(AND(R2378&lt;&gt;"修改",S2378&lt;&gt;""),"只有「修改」才需填代碼",""))</f>
        <v/>
      </c>
      <c r="Y2378" s="21"/>
      <c r="Z2378" s="22"/>
      <c r="AA2378" s="12" t="s">
        <v>5894</v>
      </c>
      <c r="AB2378" s="24"/>
    </row>
    <row r="2379" customFormat="false" ht="29.85" hidden="false" customHeight="false" outlineLevel="0" collapsed="false">
      <c r="A2379" s="15" t="n">
        <v>2378</v>
      </c>
      <c r="B2379" s="9" t="s">
        <v>55</v>
      </c>
      <c r="C2379" s="9" t="s">
        <v>171</v>
      </c>
      <c r="D2379" s="10" t="s">
        <v>172</v>
      </c>
      <c r="E2379" s="11" t="s">
        <v>5895</v>
      </c>
      <c r="F2379" s="17"/>
      <c r="G2379" s="12" t="s">
        <v>49</v>
      </c>
      <c r="H2379" s="13" t="n">
        <v>-0.001</v>
      </c>
      <c r="I2379" s="14"/>
      <c r="J2379" s="17"/>
      <c r="K2379" s="9"/>
      <c r="L2379" s="15" t="s">
        <v>50</v>
      </c>
      <c r="M2379" s="16" t="s">
        <v>51</v>
      </c>
      <c r="N2379" s="14"/>
      <c r="O2379" s="15" t="s">
        <v>52</v>
      </c>
      <c r="P2379" s="17" t="s">
        <v>53</v>
      </c>
      <c r="Q2379" s="15"/>
      <c r="R2379" s="18" t="s">
        <v>51</v>
      </c>
      <c r="S2379" s="19"/>
      <c r="T2379" s="17" t="str">
        <f aca="false">IF(R2379="維持",J2379,IF(R2379="排除","無關新聞事件",IFERROR(INDEX(事件規則!$B$2:$B$53,MATCH(S2379,事件規則!$A$2:$A$53,0)),"")))</f>
        <v>無關新聞事件</v>
      </c>
      <c r="U2379" s="20" t="n">
        <f aca="false">IF(R2379="維持",K2379,IF(R2379="排除",0,IFERROR(INDEX(事件規則!$C$2:$C$53,MATCH(S2379,事件規則!$A$2:$A$53,0)),"")))</f>
        <v>0</v>
      </c>
      <c r="V2379" s="21"/>
      <c r="W2379" s="22"/>
      <c r="X2379" s="10" t="str">
        <f aca="false">IF(AND(R2379="修改",S2379=""),"請選新事件代碼",IF(AND(R2379&lt;&gt;"修改",S2379&lt;&gt;""),"只有「修改」才需填代碼",""))</f>
        <v/>
      </c>
      <c r="Y2379" s="21"/>
      <c r="Z2379" s="22"/>
      <c r="AA2379" s="12" t="s">
        <v>5896</v>
      </c>
      <c r="AB2379" s="24"/>
    </row>
    <row r="2380" customFormat="false" ht="29.85" hidden="false" customHeight="false" outlineLevel="0" collapsed="false">
      <c r="A2380" s="15" t="n">
        <v>2379</v>
      </c>
      <c r="B2380" s="9" t="s">
        <v>55</v>
      </c>
      <c r="C2380" s="9" t="s">
        <v>484</v>
      </c>
      <c r="D2380" s="10" t="s">
        <v>485</v>
      </c>
      <c r="E2380" s="11" t="s">
        <v>5897</v>
      </c>
      <c r="F2380" s="17"/>
      <c r="G2380" s="12" t="s">
        <v>5898</v>
      </c>
      <c r="H2380" s="13" t="n">
        <v>-0.001</v>
      </c>
      <c r="I2380" s="14"/>
      <c r="J2380" s="17"/>
      <c r="K2380" s="9"/>
      <c r="L2380" s="15" t="s">
        <v>50</v>
      </c>
      <c r="M2380" s="16" t="s">
        <v>51</v>
      </c>
      <c r="N2380" s="14"/>
      <c r="O2380" s="15" t="s">
        <v>52</v>
      </c>
      <c r="P2380" s="17" t="s">
        <v>53</v>
      </c>
      <c r="Q2380" s="15"/>
      <c r="R2380" s="18" t="s">
        <v>51</v>
      </c>
      <c r="S2380" s="19"/>
      <c r="T2380" s="17" t="str">
        <f aca="false">IF(R2380="維持",J2380,IF(R2380="排除","無關新聞事件",IFERROR(INDEX(事件規則!$B$2:$B$53,MATCH(S2380,事件規則!$A$2:$A$53,0)),"")))</f>
        <v>無關新聞事件</v>
      </c>
      <c r="U2380" s="20" t="n">
        <f aca="false">IF(R2380="維持",K2380,IF(R2380="排除",0,IFERROR(INDEX(事件規則!$C$2:$C$53,MATCH(S2380,事件規則!$A$2:$A$53,0)),"")))</f>
        <v>0</v>
      </c>
      <c r="V2380" s="21"/>
      <c r="W2380" s="22"/>
      <c r="X2380" s="10" t="str">
        <f aca="false">IF(AND(R2380="修改",S2380=""),"請選新事件代碼",IF(AND(R2380&lt;&gt;"修改",S2380&lt;&gt;""),"只有「修改」才需填代碼",""))</f>
        <v/>
      </c>
      <c r="Y2380" s="21"/>
      <c r="Z2380" s="22"/>
      <c r="AA2380" s="12" t="s">
        <v>5899</v>
      </c>
      <c r="AB2380" s="24"/>
    </row>
    <row r="2381" customFormat="false" ht="29.85" hidden="false" customHeight="false" outlineLevel="0" collapsed="false">
      <c r="A2381" s="15" t="n">
        <v>2380</v>
      </c>
      <c r="B2381" s="9" t="s">
        <v>55</v>
      </c>
      <c r="C2381" s="9" t="s">
        <v>355</v>
      </c>
      <c r="D2381" s="10" t="s">
        <v>356</v>
      </c>
      <c r="E2381" s="11" t="s">
        <v>5900</v>
      </c>
      <c r="F2381" s="17"/>
      <c r="G2381" s="12" t="s">
        <v>5901</v>
      </c>
      <c r="H2381" s="13" t="n">
        <v>-0.001</v>
      </c>
      <c r="I2381" s="14"/>
      <c r="J2381" s="17"/>
      <c r="K2381" s="9"/>
      <c r="L2381" s="15" t="s">
        <v>50</v>
      </c>
      <c r="M2381" s="16" t="s">
        <v>51</v>
      </c>
      <c r="N2381" s="14"/>
      <c r="O2381" s="15" t="s">
        <v>52</v>
      </c>
      <c r="P2381" s="17" t="s">
        <v>53</v>
      </c>
      <c r="Q2381" s="15"/>
      <c r="R2381" s="18" t="s">
        <v>51</v>
      </c>
      <c r="S2381" s="19"/>
      <c r="T2381" s="17" t="str">
        <f aca="false">IF(R2381="維持",J2381,IF(R2381="排除","無關新聞事件",IFERROR(INDEX(事件規則!$B$2:$B$53,MATCH(S2381,事件規則!$A$2:$A$53,0)),"")))</f>
        <v>無關新聞事件</v>
      </c>
      <c r="U2381" s="20" t="n">
        <f aca="false">IF(R2381="維持",K2381,IF(R2381="排除",0,IFERROR(INDEX(事件規則!$C$2:$C$53,MATCH(S2381,事件規則!$A$2:$A$53,0)),"")))</f>
        <v>0</v>
      </c>
      <c r="V2381" s="21"/>
      <c r="W2381" s="22"/>
      <c r="X2381" s="10" t="str">
        <f aca="false">IF(AND(R2381="修改",S2381=""),"請選新事件代碼",IF(AND(R2381&lt;&gt;"修改",S2381&lt;&gt;""),"只有「修改」才需填代碼",""))</f>
        <v/>
      </c>
      <c r="Y2381" s="21"/>
      <c r="Z2381" s="22"/>
      <c r="AA2381" s="12" t="s">
        <v>5902</v>
      </c>
      <c r="AB2381" s="24"/>
    </row>
    <row r="2382" customFormat="false" ht="29.85" hidden="false" customHeight="false" outlineLevel="0" collapsed="false">
      <c r="A2382" s="15" t="n">
        <v>2381</v>
      </c>
      <c r="B2382" s="9" t="s">
        <v>55</v>
      </c>
      <c r="C2382" s="9" t="s">
        <v>1391</v>
      </c>
      <c r="D2382" s="10" t="s">
        <v>1392</v>
      </c>
      <c r="E2382" s="11" t="s">
        <v>5903</v>
      </c>
      <c r="F2382" s="17"/>
      <c r="G2382" s="12" t="s">
        <v>176</v>
      </c>
      <c r="H2382" s="13" t="n">
        <v>-0.001</v>
      </c>
      <c r="I2382" s="14"/>
      <c r="J2382" s="17"/>
      <c r="K2382" s="9"/>
      <c r="L2382" s="15" t="s">
        <v>50</v>
      </c>
      <c r="M2382" s="16" t="s">
        <v>51</v>
      </c>
      <c r="N2382" s="14"/>
      <c r="O2382" s="15" t="s">
        <v>52</v>
      </c>
      <c r="P2382" s="17" t="s">
        <v>53</v>
      </c>
      <c r="Q2382" s="15"/>
      <c r="R2382" s="18" t="s">
        <v>51</v>
      </c>
      <c r="S2382" s="19"/>
      <c r="T2382" s="17" t="str">
        <f aca="false">IF(R2382="維持",J2382,IF(R2382="排除","無關新聞事件",IFERROR(INDEX(事件規則!$B$2:$B$53,MATCH(S2382,事件規則!$A$2:$A$53,0)),"")))</f>
        <v>無關新聞事件</v>
      </c>
      <c r="U2382" s="20" t="n">
        <f aca="false">IF(R2382="維持",K2382,IF(R2382="排除",0,IFERROR(INDEX(事件規則!$C$2:$C$53,MATCH(S2382,事件規則!$A$2:$A$53,0)),"")))</f>
        <v>0</v>
      </c>
      <c r="V2382" s="21"/>
      <c r="W2382" s="22"/>
      <c r="X2382" s="10" t="str">
        <f aca="false">IF(AND(R2382="修改",S2382=""),"請選新事件代碼",IF(AND(R2382&lt;&gt;"修改",S2382&lt;&gt;""),"只有「修改」才需填代碼",""))</f>
        <v/>
      </c>
      <c r="Y2382" s="21"/>
      <c r="Z2382" s="22"/>
      <c r="AA2382" s="12" t="s">
        <v>5904</v>
      </c>
      <c r="AB2382" s="24"/>
    </row>
    <row r="2383" customFormat="false" ht="29.85" hidden="false" customHeight="false" outlineLevel="0" collapsed="false">
      <c r="A2383" s="15" t="n">
        <v>2382</v>
      </c>
      <c r="B2383" s="9" t="s">
        <v>55</v>
      </c>
      <c r="C2383" s="9" t="s">
        <v>2185</v>
      </c>
      <c r="D2383" s="10" t="s">
        <v>2186</v>
      </c>
      <c r="E2383" s="11" t="s">
        <v>5905</v>
      </c>
      <c r="F2383" s="17"/>
      <c r="G2383" s="12" t="s">
        <v>176</v>
      </c>
      <c r="H2383" s="13" t="n">
        <v>-0.001</v>
      </c>
      <c r="I2383" s="14"/>
      <c r="J2383" s="17"/>
      <c r="K2383" s="9"/>
      <c r="L2383" s="15" t="s">
        <v>50</v>
      </c>
      <c r="M2383" s="16" t="s">
        <v>51</v>
      </c>
      <c r="N2383" s="14"/>
      <c r="O2383" s="15" t="s">
        <v>52</v>
      </c>
      <c r="P2383" s="17" t="s">
        <v>53</v>
      </c>
      <c r="Q2383" s="15"/>
      <c r="R2383" s="18" t="s">
        <v>51</v>
      </c>
      <c r="S2383" s="19"/>
      <c r="T2383" s="17" t="str">
        <f aca="false">IF(R2383="維持",J2383,IF(R2383="排除","無關新聞事件",IFERROR(INDEX(事件規則!$B$2:$B$53,MATCH(S2383,事件規則!$A$2:$A$53,0)),"")))</f>
        <v>無關新聞事件</v>
      </c>
      <c r="U2383" s="20" t="n">
        <f aca="false">IF(R2383="維持",K2383,IF(R2383="排除",0,IFERROR(INDEX(事件規則!$C$2:$C$53,MATCH(S2383,事件規則!$A$2:$A$53,0)),"")))</f>
        <v>0</v>
      </c>
      <c r="V2383" s="21"/>
      <c r="W2383" s="22"/>
      <c r="X2383" s="10" t="str">
        <f aca="false">IF(AND(R2383="修改",S2383=""),"請選新事件代碼",IF(AND(R2383&lt;&gt;"修改",S2383&lt;&gt;""),"只有「修改」才需填代碼",""))</f>
        <v/>
      </c>
      <c r="Y2383" s="21"/>
      <c r="Z2383" s="22"/>
      <c r="AA2383" s="12" t="s">
        <v>5906</v>
      </c>
      <c r="AB2383" s="24"/>
    </row>
    <row r="2384" customFormat="false" ht="29.85" hidden="false" customHeight="false" outlineLevel="0" collapsed="false">
      <c r="A2384" s="15" t="n">
        <v>2383</v>
      </c>
      <c r="B2384" s="9" t="s">
        <v>55</v>
      </c>
      <c r="C2384" s="9" t="s">
        <v>2134</v>
      </c>
      <c r="D2384" s="10" t="s">
        <v>2135</v>
      </c>
      <c r="E2384" s="11" t="s">
        <v>5907</v>
      </c>
      <c r="F2384" s="17"/>
      <c r="G2384" s="12" t="s">
        <v>95</v>
      </c>
      <c r="H2384" s="13" t="n">
        <v>-0.001</v>
      </c>
      <c r="I2384" s="14"/>
      <c r="J2384" s="17"/>
      <c r="K2384" s="9"/>
      <c r="L2384" s="15" t="s">
        <v>50</v>
      </c>
      <c r="M2384" s="16" t="s">
        <v>51</v>
      </c>
      <c r="N2384" s="14"/>
      <c r="O2384" s="15" t="s">
        <v>52</v>
      </c>
      <c r="P2384" s="17" t="s">
        <v>53</v>
      </c>
      <c r="Q2384" s="15"/>
      <c r="R2384" s="18" t="s">
        <v>51</v>
      </c>
      <c r="S2384" s="19"/>
      <c r="T2384" s="17" t="str">
        <f aca="false">IF(R2384="維持",J2384,IF(R2384="排除","無關新聞事件",IFERROR(INDEX(事件規則!$B$2:$B$53,MATCH(S2384,事件規則!$A$2:$A$53,0)),"")))</f>
        <v>無關新聞事件</v>
      </c>
      <c r="U2384" s="20" t="n">
        <f aca="false">IF(R2384="維持",K2384,IF(R2384="排除",0,IFERROR(INDEX(事件規則!$C$2:$C$53,MATCH(S2384,事件規則!$A$2:$A$53,0)),"")))</f>
        <v>0</v>
      </c>
      <c r="V2384" s="21"/>
      <c r="W2384" s="22"/>
      <c r="X2384" s="10" t="str">
        <f aca="false">IF(AND(R2384="修改",S2384=""),"請選新事件代碼",IF(AND(R2384&lt;&gt;"修改",S2384&lt;&gt;""),"只有「修改」才需填代碼",""))</f>
        <v/>
      </c>
      <c r="Y2384" s="21"/>
      <c r="Z2384" s="22"/>
      <c r="AA2384" s="12" t="s">
        <v>5908</v>
      </c>
      <c r="AB2384" s="24"/>
    </row>
    <row r="2385" customFormat="false" ht="29.85" hidden="false" customHeight="false" outlineLevel="0" collapsed="false">
      <c r="A2385" s="15" t="n">
        <v>2384</v>
      </c>
      <c r="B2385" s="9" t="s">
        <v>112</v>
      </c>
      <c r="C2385" s="9" t="s">
        <v>260</v>
      </c>
      <c r="D2385" s="10" t="s">
        <v>261</v>
      </c>
      <c r="E2385" s="11" t="s">
        <v>5909</v>
      </c>
      <c r="F2385" s="17"/>
      <c r="G2385" s="12" t="s">
        <v>105</v>
      </c>
      <c r="H2385" s="13" t="n">
        <v>-0.001</v>
      </c>
      <c r="I2385" s="14"/>
      <c r="J2385" s="17"/>
      <c r="K2385" s="9"/>
      <c r="L2385" s="15" t="s">
        <v>50</v>
      </c>
      <c r="M2385" s="16" t="s">
        <v>51</v>
      </c>
      <c r="N2385" s="14"/>
      <c r="O2385" s="15" t="s">
        <v>52</v>
      </c>
      <c r="P2385" s="17" t="s">
        <v>53</v>
      </c>
      <c r="Q2385" s="15"/>
      <c r="R2385" s="18" t="s">
        <v>51</v>
      </c>
      <c r="S2385" s="19"/>
      <c r="T2385" s="17" t="str">
        <f aca="false">IF(R2385="維持",J2385,IF(R2385="排除","無關新聞事件",IFERROR(INDEX(事件規則!$B$2:$B$53,MATCH(S2385,事件規則!$A$2:$A$53,0)),"")))</f>
        <v>無關新聞事件</v>
      </c>
      <c r="U2385" s="20" t="n">
        <f aca="false">IF(R2385="維持",K2385,IF(R2385="排除",0,IFERROR(INDEX(事件規則!$C$2:$C$53,MATCH(S2385,事件規則!$A$2:$A$53,0)),"")))</f>
        <v>0</v>
      </c>
      <c r="V2385" s="21"/>
      <c r="W2385" s="22"/>
      <c r="X2385" s="10" t="str">
        <f aca="false">IF(AND(R2385="修改",S2385=""),"請選新事件代碼",IF(AND(R2385&lt;&gt;"修改",S2385&lt;&gt;""),"只有「修改」才需填代碼",""))</f>
        <v/>
      </c>
      <c r="Y2385" s="21"/>
      <c r="Z2385" s="22"/>
      <c r="AA2385" s="12" t="s">
        <v>5910</v>
      </c>
      <c r="AB2385" s="24"/>
    </row>
    <row r="2386" customFormat="false" ht="29.85" hidden="false" customHeight="false" outlineLevel="0" collapsed="false">
      <c r="A2386" s="15" t="n">
        <v>2385</v>
      </c>
      <c r="B2386" s="9" t="s">
        <v>55</v>
      </c>
      <c r="C2386" s="9" t="s">
        <v>1924</v>
      </c>
      <c r="D2386" s="10" t="s">
        <v>1925</v>
      </c>
      <c r="E2386" s="11" t="s">
        <v>5911</v>
      </c>
      <c r="F2386" s="17"/>
      <c r="G2386" s="12" t="s">
        <v>95</v>
      </c>
      <c r="H2386" s="13" t="n">
        <v>-0.001</v>
      </c>
      <c r="I2386" s="14"/>
      <c r="J2386" s="17"/>
      <c r="K2386" s="9"/>
      <c r="L2386" s="15" t="s">
        <v>50</v>
      </c>
      <c r="M2386" s="16" t="s">
        <v>51</v>
      </c>
      <c r="N2386" s="14"/>
      <c r="O2386" s="15" t="s">
        <v>52</v>
      </c>
      <c r="P2386" s="17" t="s">
        <v>53</v>
      </c>
      <c r="Q2386" s="15"/>
      <c r="R2386" s="18" t="s">
        <v>51</v>
      </c>
      <c r="S2386" s="19"/>
      <c r="T2386" s="17" t="str">
        <f aca="false">IF(R2386="維持",J2386,IF(R2386="排除","無關新聞事件",IFERROR(INDEX(事件規則!$B$2:$B$53,MATCH(S2386,事件規則!$A$2:$A$53,0)),"")))</f>
        <v>無關新聞事件</v>
      </c>
      <c r="U2386" s="20" t="n">
        <f aca="false">IF(R2386="維持",K2386,IF(R2386="排除",0,IFERROR(INDEX(事件規則!$C$2:$C$53,MATCH(S2386,事件規則!$A$2:$A$53,0)),"")))</f>
        <v>0</v>
      </c>
      <c r="V2386" s="21"/>
      <c r="W2386" s="22"/>
      <c r="X2386" s="10" t="str">
        <f aca="false">IF(AND(R2386="修改",S2386=""),"請選新事件代碼",IF(AND(R2386&lt;&gt;"修改",S2386&lt;&gt;""),"只有「修改」才需填代碼",""))</f>
        <v/>
      </c>
      <c r="Y2386" s="21"/>
      <c r="Z2386" s="22"/>
      <c r="AA2386" s="12" t="s">
        <v>5912</v>
      </c>
      <c r="AB2386" s="24"/>
    </row>
    <row r="2387" customFormat="false" ht="29.85" hidden="false" customHeight="false" outlineLevel="0" collapsed="false">
      <c r="A2387" s="15" t="n">
        <v>2386</v>
      </c>
      <c r="B2387" s="9" t="s">
        <v>55</v>
      </c>
      <c r="C2387" s="9" t="s">
        <v>2037</v>
      </c>
      <c r="D2387" s="10" t="s">
        <v>2038</v>
      </c>
      <c r="E2387" s="11" t="s">
        <v>5840</v>
      </c>
      <c r="F2387" s="17"/>
      <c r="G2387" s="12" t="s">
        <v>949</v>
      </c>
      <c r="H2387" s="13" t="n">
        <v>-0.001</v>
      </c>
      <c r="I2387" s="14"/>
      <c r="J2387" s="17"/>
      <c r="K2387" s="9"/>
      <c r="L2387" s="15" t="s">
        <v>50</v>
      </c>
      <c r="M2387" s="16" t="s">
        <v>51</v>
      </c>
      <c r="N2387" s="14"/>
      <c r="O2387" s="15" t="s">
        <v>52</v>
      </c>
      <c r="P2387" s="17" t="s">
        <v>53</v>
      </c>
      <c r="Q2387" s="15"/>
      <c r="R2387" s="18" t="s">
        <v>51</v>
      </c>
      <c r="S2387" s="19"/>
      <c r="T2387" s="17" t="str">
        <f aca="false">IF(R2387="維持",J2387,IF(R2387="排除","無關新聞事件",IFERROR(INDEX(事件規則!$B$2:$B$53,MATCH(S2387,事件規則!$A$2:$A$53,0)),"")))</f>
        <v>無關新聞事件</v>
      </c>
      <c r="U2387" s="20" t="n">
        <f aca="false">IF(R2387="維持",K2387,IF(R2387="排除",0,IFERROR(INDEX(事件規則!$C$2:$C$53,MATCH(S2387,事件規則!$A$2:$A$53,0)),"")))</f>
        <v>0</v>
      </c>
      <c r="V2387" s="21"/>
      <c r="W2387" s="22"/>
      <c r="X2387" s="10" t="str">
        <f aca="false">IF(AND(R2387="修改",S2387=""),"請選新事件代碼",IF(AND(R2387&lt;&gt;"修改",S2387&lt;&gt;""),"只有「修改」才需填代碼",""))</f>
        <v/>
      </c>
      <c r="Y2387" s="21"/>
      <c r="Z2387" s="22"/>
      <c r="AA2387" s="12" t="s">
        <v>5913</v>
      </c>
      <c r="AB2387" s="24"/>
    </row>
    <row r="2388" customFormat="false" ht="29.85" hidden="false" customHeight="false" outlineLevel="0" collapsed="false">
      <c r="A2388" s="15" t="n">
        <v>2387</v>
      </c>
      <c r="B2388" s="9" t="s">
        <v>55</v>
      </c>
      <c r="C2388" s="9" t="s">
        <v>612</v>
      </c>
      <c r="D2388" s="10" t="s">
        <v>613</v>
      </c>
      <c r="E2388" s="11" t="s">
        <v>5914</v>
      </c>
      <c r="F2388" s="17"/>
      <c r="G2388" s="12" t="s">
        <v>105</v>
      </c>
      <c r="H2388" s="13" t="n">
        <v>-0.001</v>
      </c>
      <c r="I2388" s="14"/>
      <c r="J2388" s="17"/>
      <c r="K2388" s="9"/>
      <c r="L2388" s="15" t="s">
        <v>50</v>
      </c>
      <c r="M2388" s="16" t="s">
        <v>51</v>
      </c>
      <c r="N2388" s="14"/>
      <c r="O2388" s="15" t="s">
        <v>52</v>
      </c>
      <c r="P2388" s="17" t="s">
        <v>53</v>
      </c>
      <c r="Q2388" s="15"/>
      <c r="R2388" s="18" t="s">
        <v>51</v>
      </c>
      <c r="S2388" s="19"/>
      <c r="T2388" s="17" t="str">
        <f aca="false">IF(R2388="維持",J2388,IF(R2388="排除","無關新聞事件",IFERROR(INDEX(事件規則!$B$2:$B$53,MATCH(S2388,事件規則!$A$2:$A$53,0)),"")))</f>
        <v>無關新聞事件</v>
      </c>
      <c r="U2388" s="20" t="n">
        <f aca="false">IF(R2388="維持",K2388,IF(R2388="排除",0,IFERROR(INDEX(事件規則!$C$2:$C$53,MATCH(S2388,事件規則!$A$2:$A$53,0)),"")))</f>
        <v>0</v>
      </c>
      <c r="V2388" s="21"/>
      <c r="W2388" s="22"/>
      <c r="X2388" s="10" t="str">
        <f aca="false">IF(AND(R2388="修改",S2388=""),"請選新事件代碼",IF(AND(R2388&lt;&gt;"修改",S2388&lt;&gt;""),"只有「修改」才需填代碼",""))</f>
        <v/>
      </c>
      <c r="Y2388" s="21"/>
      <c r="Z2388" s="22"/>
      <c r="AA2388" s="12" t="s">
        <v>5915</v>
      </c>
      <c r="AB2388" s="24"/>
    </row>
    <row r="2389" customFormat="false" ht="29.85" hidden="false" customHeight="false" outlineLevel="0" collapsed="false">
      <c r="A2389" s="15" t="n">
        <v>2388</v>
      </c>
      <c r="B2389" s="9" t="s">
        <v>55</v>
      </c>
      <c r="C2389" s="9" t="s">
        <v>1602</v>
      </c>
      <c r="D2389" s="10" t="s">
        <v>1603</v>
      </c>
      <c r="E2389" s="11" t="s">
        <v>5916</v>
      </c>
      <c r="F2389" s="17"/>
      <c r="G2389" s="12" t="s">
        <v>5917</v>
      </c>
      <c r="H2389" s="13" t="n">
        <v>-0.001</v>
      </c>
      <c r="I2389" s="14"/>
      <c r="J2389" s="17"/>
      <c r="K2389" s="9"/>
      <c r="L2389" s="15" t="s">
        <v>50</v>
      </c>
      <c r="M2389" s="16" t="s">
        <v>51</v>
      </c>
      <c r="N2389" s="14"/>
      <c r="O2389" s="15" t="s">
        <v>52</v>
      </c>
      <c r="P2389" s="17" t="s">
        <v>53</v>
      </c>
      <c r="Q2389" s="15"/>
      <c r="R2389" s="18" t="s">
        <v>51</v>
      </c>
      <c r="S2389" s="19"/>
      <c r="T2389" s="17" t="str">
        <f aca="false">IF(R2389="維持",J2389,IF(R2389="排除","無關新聞事件",IFERROR(INDEX(事件規則!$B$2:$B$53,MATCH(S2389,事件規則!$A$2:$A$53,0)),"")))</f>
        <v>無關新聞事件</v>
      </c>
      <c r="U2389" s="20" t="n">
        <f aca="false">IF(R2389="維持",K2389,IF(R2389="排除",0,IFERROR(INDEX(事件規則!$C$2:$C$53,MATCH(S2389,事件規則!$A$2:$A$53,0)),"")))</f>
        <v>0</v>
      </c>
      <c r="V2389" s="21"/>
      <c r="W2389" s="22"/>
      <c r="X2389" s="10" t="str">
        <f aca="false">IF(AND(R2389="修改",S2389=""),"請選新事件代碼",IF(AND(R2389&lt;&gt;"修改",S2389&lt;&gt;""),"只有「修改」才需填代碼",""))</f>
        <v/>
      </c>
      <c r="Y2389" s="21"/>
      <c r="Z2389" s="22"/>
      <c r="AA2389" s="12" t="s">
        <v>5918</v>
      </c>
      <c r="AB2389" s="24"/>
    </row>
    <row r="2390" customFormat="false" ht="29.85" hidden="false" customHeight="false" outlineLevel="0" collapsed="false">
      <c r="A2390" s="15" t="n">
        <v>2389</v>
      </c>
      <c r="B2390" s="9" t="s">
        <v>55</v>
      </c>
      <c r="C2390" s="9" t="s">
        <v>156</v>
      </c>
      <c r="D2390" s="10" t="s">
        <v>157</v>
      </c>
      <c r="E2390" s="11" t="s">
        <v>5907</v>
      </c>
      <c r="F2390" s="17"/>
      <c r="G2390" s="12" t="s">
        <v>95</v>
      </c>
      <c r="H2390" s="13" t="n">
        <v>-0.001</v>
      </c>
      <c r="I2390" s="14"/>
      <c r="J2390" s="17"/>
      <c r="K2390" s="9"/>
      <c r="L2390" s="15" t="s">
        <v>50</v>
      </c>
      <c r="M2390" s="16" t="s">
        <v>51</v>
      </c>
      <c r="N2390" s="14"/>
      <c r="O2390" s="15" t="s">
        <v>52</v>
      </c>
      <c r="P2390" s="17" t="s">
        <v>53</v>
      </c>
      <c r="Q2390" s="15"/>
      <c r="R2390" s="18" t="s">
        <v>51</v>
      </c>
      <c r="S2390" s="19"/>
      <c r="T2390" s="17" t="str">
        <f aca="false">IF(R2390="維持",J2390,IF(R2390="排除","無關新聞事件",IFERROR(INDEX(事件規則!$B$2:$B$53,MATCH(S2390,事件規則!$A$2:$A$53,0)),"")))</f>
        <v>無關新聞事件</v>
      </c>
      <c r="U2390" s="20" t="n">
        <f aca="false">IF(R2390="維持",K2390,IF(R2390="排除",0,IFERROR(INDEX(事件規則!$C$2:$C$53,MATCH(S2390,事件規則!$A$2:$A$53,0)),"")))</f>
        <v>0</v>
      </c>
      <c r="V2390" s="21"/>
      <c r="W2390" s="22"/>
      <c r="X2390" s="10" t="str">
        <f aca="false">IF(AND(R2390="修改",S2390=""),"請選新事件代碼",IF(AND(R2390&lt;&gt;"修改",S2390&lt;&gt;""),"只有「修改」才需填代碼",""))</f>
        <v/>
      </c>
      <c r="Y2390" s="21"/>
      <c r="Z2390" s="22"/>
      <c r="AA2390" s="12" t="s">
        <v>5919</v>
      </c>
      <c r="AB2390" s="24"/>
    </row>
    <row r="2391" customFormat="false" ht="29.85" hidden="false" customHeight="false" outlineLevel="0" collapsed="false">
      <c r="A2391" s="15" t="n">
        <v>2390</v>
      </c>
      <c r="B2391" s="9" t="s">
        <v>55</v>
      </c>
      <c r="C2391" s="9" t="s">
        <v>635</v>
      </c>
      <c r="D2391" s="10" t="s">
        <v>636</v>
      </c>
      <c r="E2391" s="11" t="s">
        <v>5920</v>
      </c>
      <c r="F2391" s="17"/>
      <c r="G2391" s="12" t="s">
        <v>95</v>
      </c>
      <c r="H2391" s="13" t="n">
        <v>-0.001</v>
      </c>
      <c r="I2391" s="14"/>
      <c r="J2391" s="17"/>
      <c r="K2391" s="9"/>
      <c r="L2391" s="15" t="s">
        <v>50</v>
      </c>
      <c r="M2391" s="16" t="s">
        <v>51</v>
      </c>
      <c r="N2391" s="14"/>
      <c r="O2391" s="15" t="s">
        <v>52</v>
      </c>
      <c r="P2391" s="17" t="s">
        <v>53</v>
      </c>
      <c r="Q2391" s="15"/>
      <c r="R2391" s="18" t="s">
        <v>51</v>
      </c>
      <c r="S2391" s="19"/>
      <c r="T2391" s="17" t="str">
        <f aca="false">IF(R2391="維持",J2391,IF(R2391="排除","無關新聞事件",IFERROR(INDEX(事件規則!$B$2:$B$53,MATCH(S2391,事件規則!$A$2:$A$53,0)),"")))</f>
        <v>無關新聞事件</v>
      </c>
      <c r="U2391" s="20" t="n">
        <f aca="false">IF(R2391="維持",K2391,IF(R2391="排除",0,IFERROR(INDEX(事件規則!$C$2:$C$53,MATCH(S2391,事件規則!$A$2:$A$53,0)),"")))</f>
        <v>0</v>
      </c>
      <c r="V2391" s="21"/>
      <c r="W2391" s="22"/>
      <c r="X2391" s="10" t="str">
        <f aca="false">IF(AND(R2391="修改",S2391=""),"請選新事件代碼",IF(AND(R2391&lt;&gt;"修改",S2391&lt;&gt;""),"只有「修改」才需填代碼",""))</f>
        <v/>
      </c>
      <c r="Y2391" s="21"/>
      <c r="Z2391" s="22"/>
      <c r="AA2391" s="12" t="s">
        <v>5921</v>
      </c>
      <c r="AB2391" s="24"/>
    </row>
    <row r="2392" customFormat="false" ht="29.85" hidden="false" customHeight="false" outlineLevel="0" collapsed="false">
      <c r="A2392" s="15" t="n">
        <v>2391</v>
      </c>
      <c r="B2392" s="9" t="s">
        <v>112</v>
      </c>
      <c r="C2392" s="9" t="s">
        <v>4769</v>
      </c>
      <c r="D2392" s="10" t="s">
        <v>4770</v>
      </c>
      <c r="E2392" s="11" t="s">
        <v>5922</v>
      </c>
      <c r="F2392" s="17"/>
      <c r="G2392" s="12" t="s">
        <v>1136</v>
      </c>
      <c r="H2392" s="13" t="n">
        <v>-0.001</v>
      </c>
      <c r="I2392" s="14"/>
      <c r="J2392" s="17"/>
      <c r="K2392" s="9"/>
      <c r="L2392" s="15" t="s">
        <v>50</v>
      </c>
      <c r="M2392" s="16" t="s">
        <v>51</v>
      </c>
      <c r="N2392" s="14"/>
      <c r="O2392" s="15" t="s">
        <v>52</v>
      </c>
      <c r="P2392" s="17" t="s">
        <v>53</v>
      </c>
      <c r="Q2392" s="15"/>
      <c r="R2392" s="18" t="s">
        <v>51</v>
      </c>
      <c r="S2392" s="19"/>
      <c r="T2392" s="17" t="str">
        <f aca="false">IF(R2392="維持",J2392,IF(R2392="排除","無關新聞事件",IFERROR(INDEX(事件規則!$B$2:$B$53,MATCH(S2392,事件規則!$A$2:$A$53,0)),"")))</f>
        <v>無關新聞事件</v>
      </c>
      <c r="U2392" s="20" t="n">
        <f aca="false">IF(R2392="維持",K2392,IF(R2392="排除",0,IFERROR(INDEX(事件規則!$C$2:$C$53,MATCH(S2392,事件規則!$A$2:$A$53,0)),"")))</f>
        <v>0</v>
      </c>
      <c r="V2392" s="21"/>
      <c r="W2392" s="22"/>
      <c r="X2392" s="10" t="str">
        <f aca="false">IF(AND(R2392="修改",S2392=""),"請選新事件代碼",IF(AND(R2392&lt;&gt;"修改",S2392&lt;&gt;""),"只有「修改」才需填代碼",""))</f>
        <v/>
      </c>
      <c r="Y2392" s="21"/>
      <c r="Z2392" s="22"/>
      <c r="AA2392" s="12" t="s">
        <v>5923</v>
      </c>
      <c r="AB2392" s="24"/>
    </row>
    <row r="2393" customFormat="false" ht="29.85" hidden="false" customHeight="false" outlineLevel="0" collapsed="false">
      <c r="A2393" s="15" t="n">
        <v>2392</v>
      </c>
      <c r="B2393" s="9" t="s">
        <v>55</v>
      </c>
      <c r="C2393" s="9" t="s">
        <v>929</v>
      </c>
      <c r="D2393" s="10" t="s">
        <v>930</v>
      </c>
      <c r="E2393" s="11" t="s">
        <v>5840</v>
      </c>
      <c r="F2393" s="17"/>
      <c r="G2393" s="12" t="s">
        <v>949</v>
      </c>
      <c r="H2393" s="13" t="n">
        <v>-0.001</v>
      </c>
      <c r="I2393" s="14"/>
      <c r="J2393" s="17"/>
      <c r="K2393" s="9"/>
      <c r="L2393" s="15" t="s">
        <v>50</v>
      </c>
      <c r="M2393" s="16" t="s">
        <v>51</v>
      </c>
      <c r="N2393" s="14"/>
      <c r="O2393" s="15" t="s">
        <v>52</v>
      </c>
      <c r="P2393" s="17" t="s">
        <v>53</v>
      </c>
      <c r="Q2393" s="15"/>
      <c r="R2393" s="18" t="s">
        <v>51</v>
      </c>
      <c r="S2393" s="19"/>
      <c r="T2393" s="17" t="str">
        <f aca="false">IF(R2393="維持",J2393,IF(R2393="排除","無關新聞事件",IFERROR(INDEX(事件規則!$B$2:$B$53,MATCH(S2393,事件規則!$A$2:$A$53,0)),"")))</f>
        <v>無關新聞事件</v>
      </c>
      <c r="U2393" s="20" t="n">
        <f aca="false">IF(R2393="維持",K2393,IF(R2393="排除",0,IFERROR(INDEX(事件規則!$C$2:$C$53,MATCH(S2393,事件規則!$A$2:$A$53,0)),"")))</f>
        <v>0</v>
      </c>
      <c r="V2393" s="21"/>
      <c r="W2393" s="22"/>
      <c r="X2393" s="10" t="str">
        <f aca="false">IF(AND(R2393="修改",S2393=""),"請選新事件代碼",IF(AND(R2393&lt;&gt;"修改",S2393&lt;&gt;""),"只有「修改」才需填代碼",""))</f>
        <v/>
      </c>
      <c r="Y2393" s="21"/>
      <c r="Z2393" s="22"/>
      <c r="AA2393" s="12" t="s">
        <v>5924</v>
      </c>
      <c r="AB2393" s="24"/>
    </row>
    <row r="2394" customFormat="false" ht="29.85" hidden="false" customHeight="false" outlineLevel="0" collapsed="false">
      <c r="A2394" s="15" t="n">
        <v>2393</v>
      </c>
      <c r="B2394" s="9" t="s">
        <v>55</v>
      </c>
      <c r="C2394" s="9" t="s">
        <v>2028</v>
      </c>
      <c r="D2394" s="10" t="s">
        <v>2029</v>
      </c>
      <c r="E2394" s="11" t="s">
        <v>5840</v>
      </c>
      <c r="F2394" s="17"/>
      <c r="G2394" s="12" t="s">
        <v>949</v>
      </c>
      <c r="H2394" s="13" t="n">
        <v>-0.001</v>
      </c>
      <c r="I2394" s="14"/>
      <c r="J2394" s="17"/>
      <c r="K2394" s="9"/>
      <c r="L2394" s="15" t="s">
        <v>50</v>
      </c>
      <c r="M2394" s="16" t="s">
        <v>51</v>
      </c>
      <c r="N2394" s="14"/>
      <c r="O2394" s="15" t="s">
        <v>52</v>
      </c>
      <c r="P2394" s="17" t="s">
        <v>53</v>
      </c>
      <c r="Q2394" s="15"/>
      <c r="R2394" s="18" t="s">
        <v>51</v>
      </c>
      <c r="S2394" s="19"/>
      <c r="T2394" s="17" t="str">
        <f aca="false">IF(R2394="維持",J2394,IF(R2394="排除","無關新聞事件",IFERROR(INDEX(事件規則!$B$2:$B$53,MATCH(S2394,事件規則!$A$2:$A$53,0)),"")))</f>
        <v>無關新聞事件</v>
      </c>
      <c r="U2394" s="20" t="n">
        <f aca="false">IF(R2394="維持",K2394,IF(R2394="排除",0,IFERROR(INDEX(事件規則!$C$2:$C$53,MATCH(S2394,事件規則!$A$2:$A$53,0)),"")))</f>
        <v>0</v>
      </c>
      <c r="V2394" s="21"/>
      <c r="W2394" s="22"/>
      <c r="X2394" s="10" t="str">
        <f aca="false">IF(AND(R2394="修改",S2394=""),"請選新事件代碼",IF(AND(R2394&lt;&gt;"修改",S2394&lt;&gt;""),"只有「修改」才需填代碼",""))</f>
        <v/>
      </c>
      <c r="Y2394" s="21"/>
      <c r="Z2394" s="22"/>
      <c r="AA2394" s="12" t="s">
        <v>5925</v>
      </c>
      <c r="AB2394" s="24"/>
    </row>
    <row r="2395" customFormat="false" ht="29.85" hidden="false" customHeight="false" outlineLevel="0" collapsed="false">
      <c r="A2395" s="15" t="n">
        <v>2394</v>
      </c>
      <c r="B2395" s="9" t="s">
        <v>55</v>
      </c>
      <c r="C2395" s="9" t="s">
        <v>788</v>
      </c>
      <c r="D2395" s="10" t="s">
        <v>789</v>
      </c>
      <c r="E2395" s="11" t="s">
        <v>5926</v>
      </c>
      <c r="F2395" s="17"/>
      <c r="G2395" s="12" t="s">
        <v>176</v>
      </c>
      <c r="H2395" s="13" t="n">
        <v>-0.001</v>
      </c>
      <c r="I2395" s="14"/>
      <c r="J2395" s="17"/>
      <c r="K2395" s="9"/>
      <c r="L2395" s="15" t="s">
        <v>50</v>
      </c>
      <c r="M2395" s="16" t="s">
        <v>51</v>
      </c>
      <c r="N2395" s="14"/>
      <c r="O2395" s="15" t="s">
        <v>52</v>
      </c>
      <c r="P2395" s="17" t="s">
        <v>53</v>
      </c>
      <c r="Q2395" s="15"/>
      <c r="R2395" s="18" t="s">
        <v>51</v>
      </c>
      <c r="S2395" s="19"/>
      <c r="T2395" s="17" t="str">
        <f aca="false">IF(R2395="維持",J2395,IF(R2395="排除","無關新聞事件",IFERROR(INDEX(事件規則!$B$2:$B$53,MATCH(S2395,事件規則!$A$2:$A$53,0)),"")))</f>
        <v>無關新聞事件</v>
      </c>
      <c r="U2395" s="20" t="n">
        <f aca="false">IF(R2395="維持",K2395,IF(R2395="排除",0,IFERROR(INDEX(事件規則!$C$2:$C$53,MATCH(S2395,事件規則!$A$2:$A$53,0)),"")))</f>
        <v>0</v>
      </c>
      <c r="V2395" s="21"/>
      <c r="W2395" s="22"/>
      <c r="X2395" s="10" t="str">
        <f aca="false">IF(AND(R2395="修改",S2395=""),"請選新事件代碼",IF(AND(R2395&lt;&gt;"修改",S2395&lt;&gt;""),"只有「修改」才需填代碼",""))</f>
        <v/>
      </c>
      <c r="Y2395" s="21"/>
      <c r="Z2395" s="22"/>
      <c r="AA2395" s="12" t="s">
        <v>5927</v>
      </c>
      <c r="AB2395" s="24"/>
    </row>
    <row r="2396" customFormat="false" ht="29.85" hidden="false" customHeight="false" outlineLevel="0" collapsed="false">
      <c r="A2396" s="15" t="n">
        <v>2395</v>
      </c>
      <c r="B2396" s="9" t="s">
        <v>45</v>
      </c>
      <c r="C2396" s="9" t="s">
        <v>260</v>
      </c>
      <c r="D2396" s="10" t="s">
        <v>261</v>
      </c>
      <c r="E2396" s="11" t="s">
        <v>5928</v>
      </c>
      <c r="F2396" s="17"/>
      <c r="G2396" s="12" t="s">
        <v>949</v>
      </c>
      <c r="H2396" s="13" t="n">
        <v>-0.001</v>
      </c>
      <c r="I2396" s="14"/>
      <c r="J2396" s="17"/>
      <c r="K2396" s="9"/>
      <c r="L2396" s="15" t="s">
        <v>50</v>
      </c>
      <c r="M2396" s="16" t="s">
        <v>51</v>
      </c>
      <c r="N2396" s="14"/>
      <c r="O2396" s="15" t="s">
        <v>52</v>
      </c>
      <c r="P2396" s="17" t="s">
        <v>53</v>
      </c>
      <c r="Q2396" s="15"/>
      <c r="R2396" s="18" t="s">
        <v>51</v>
      </c>
      <c r="S2396" s="19"/>
      <c r="T2396" s="17" t="str">
        <f aca="false">IF(R2396="維持",J2396,IF(R2396="排除","無關新聞事件",IFERROR(INDEX(事件規則!$B$2:$B$53,MATCH(S2396,事件規則!$A$2:$A$53,0)),"")))</f>
        <v>無關新聞事件</v>
      </c>
      <c r="U2396" s="20" t="n">
        <f aca="false">IF(R2396="維持",K2396,IF(R2396="排除",0,IFERROR(INDEX(事件規則!$C$2:$C$53,MATCH(S2396,事件規則!$A$2:$A$53,0)),"")))</f>
        <v>0</v>
      </c>
      <c r="V2396" s="21"/>
      <c r="W2396" s="22"/>
      <c r="X2396" s="10" t="str">
        <f aca="false">IF(AND(R2396="修改",S2396=""),"請選新事件代碼",IF(AND(R2396&lt;&gt;"修改",S2396&lt;&gt;""),"只有「修改」才需填代碼",""))</f>
        <v/>
      </c>
      <c r="Y2396" s="21"/>
      <c r="Z2396" s="22"/>
      <c r="AA2396" s="12" t="s">
        <v>5929</v>
      </c>
      <c r="AB2396" s="24"/>
    </row>
    <row r="2397" customFormat="false" ht="29.85" hidden="false" customHeight="false" outlineLevel="0" collapsed="false">
      <c r="A2397" s="15" t="n">
        <v>2396</v>
      </c>
      <c r="B2397" s="9" t="s">
        <v>45</v>
      </c>
      <c r="C2397" s="9" t="s">
        <v>289</v>
      </c>
      <c r="D2397" s="10" t="s">
        <v>290</v>
      </c>
      <c r="E2397" s="11" t="s">
        <v>5930</v>
      </c>
      <c r="F2397" s="17"/>
      <c r="G2397" s="12" t="s">
        <v>1136</v>
      </c>
      <c r="H2397" s="13" t="n">
        <v>-0.001</v>
      </c>
      <c r="I2397" s="14"/>
      <c r="J2397" s="17"/>
      <c r="K2397" s="9"/>
      <c r="L2397" s="15" t="s">
        <v>50</v>
      </c>
      <c r="M2397" s="16" t="s">
        <v>51</v>
      </c>
      <c r="N2397" s="14"/>
      <c r="O2397" s="15" t="s">
        <v>52</v>
      </c>
      <c r="P2397" s="17" t="s">
        <v>53</v>
      </c>
      <c r="Q2397" s="15"/>
      <c r="R2397" s="18" t="s">
        <v>51</v>
      </c>
      <c r="S2397" s="19"/>
      <c r="T2397" s="17" t="str">
        <f aca="false">IF(R2397="維持",J2397,IF(R2397="排除","無關新聞事件",IFERROR(INDEX(事件規則!$B$2:$B$53,MATCH(S2397,事件規則!$A$2:$A$53,0)),"")))</f>
        <v>無關新聞事件</v>
      </c>
      <c r="U2397" s="20" t="n">
        <f aca="false">IF(R2397="維持",K2397,IF(R2397="排除",0,IFERROR(INDEX(事件規則!$C$2:$C$53,MATCH(S2397,事件規則!$A$2:$A$53,0)),"")))</f>
        <v>0</v>
      </c>
      <c r="V2397" s="21"/>
      <c r="W2397" s="22"/>
      <c r="X2397" s="10" t="str">
        <f aca="false">IF(AND(R2397="修改",S2397=""),"請選新事件代碼",IF(AND(R2397&lt;&gt;"修改",S2397&lt;&gt;""),"只有「修改」才需填代碼",""))</f>
        <v/>
      </c>
      <c r="Y2397" s="21"/>
      <c r="Z2397" s="22"/>
      <c r="AA2397" s="12" t="s">
        <v>5931</v>
      </c>
      <c r="AB2397" s="24"/>
    </row>
    <row r="2398" customFormat="false" ht="29.85" hidden="false" customHeight="false" outlineLevel="0" collapsed="false">
      <c r="A2398" s="15" t="n">
        <v>2397</v>
      </c>
      <c r="B2398" s="9" t="s">
        <v>45</v>
      </c>
      <c r="C2398" s="9" t="s">
        <v>595</v>
      </c>
      <c r="D2398" s="10" t="s">
        <v>596</v>
      </c>
      <c r="E2398" s="11" t="s">
        <v>5932</v>
      </c>
      <c r="F2398" s="17"/>
      <c r="G2398" s="12" t="s">
        <v>5933</v>
      </c>
      <c r="H2398" s="13" t="n">
        <v>-0.001</v>
      </c>
      <c r="I2398" s="14"/>
      <c r="J2398" s="17"/>
      <c r="K2398" s="9"/>
      <c r="L2398" s="15" t="s">
        <v>50</v>
      </c>
      <c r="M2398" s="16" t="s">
        <v>51</v>
      </c>
      <c r="N2398" s="14"/>
      <c r="O2398" s="15" t="s">
        <v>52</v>
      </c>
      <c r="P2398" s="17" t="s">
        <v>53</v>
      </c>
      <c r="Q2398" s="15"/>
      <c r="R2398" s="18" t="s">
        <v>51</v>
      </c>
      <c r="S2398" s="19"/>
      <c r="T2398" s="17" t="str">
        <f aca="false">IF(R2398="維持",J2398,IF(R2398="排除","無關新聞事件",IFERROR(INDEX(事件規則!$B$2:$B$53,MATCH(S2398,事件規則!$A$2:$A$53,0)),"")))</f>
        <v>無關新聞事件</v>
      </c>
      <c r="U2398" s="20" t="n">
        <f aca="false">IF(R2398="維持",K2398,IF(R2398="排除",0,IFERROR(INDEX(事件規則!$C$2:$C$53,MATCH(S2398,事件規則!$A$2:$A$53,0)),"")))</f>
        <v>0</v>
      </c>
      <c r="V2398" s="21"/>
      <c r="W2398" s="22"/>
      <c r="X2398" s="10" t="str">
        <f aca="false">IF(AND(R2398="修改",S2398=""),"請選新事件代碼",IF(AND(R2398&lt;&gt;"修改",S2398&lt;&gt;""),"只有「修改」才需填代碼",""))</f>
        <v/>
      </c>
      <c r="Y2398" s="21"/>
      <c r="Z2398" s="22"/>
      <c r="AA2398" s="12" t="s">
        <v>5934</v>
      </c>
      <c r="AB2398" s="24"/>
    </row>
    <row r="2399" customFormat="false" ht="29.85" hidden="false" customHeight="false" outlineLevel="0" collapsed="false">
      <c r="A2399" s="15" t="n">
        <v>2398</v>
      </c>
      <c r="B2399" s="9" t="s">
        <v>45</v>
      </c>
      <c r="C2399" s="9" t="s">
        <v>607</v>
      </c>
      <c r="D2399" s="10" t="s">
        <v>608</v>
      </c>
      <c r="E2399" s="11" t="s">
        <v>5935</v>
      </c>
      <c r="F2399" s="17"/>
      <c r="G2399" s="12" t="s">
        <v>452</v>
      </c>
      <c r="H2399" s="13" t="n">
        <v>-0.001</v>
      </c>
      <c r="I2399" s="14"/>
      <c r="J2399" s="17"/>
      <c r="K2399" s="9"/>
      <c r="L2399" s="15" t="s">
        <v>50</v>
      </c>
      <c r="M2399" s="16" t="s">
        <v>51</v>
      </c>
      <c r="N2399" s="14"/>
      <c r="O2399" s="15" t="s">
        <v>52</v>
      </c>
      <c r="P2399" s="17" t="s">
        <v>53</v>
      </c>
      <c r="Q2399" s="15"/>
      <c r="R2399" s="18" t="s">
        <v>51</v>
      </c>
      <c r="S2399" s="19"/>
      <c r="T2399" s="17" t="str">
        <f aca="false">IF(R2399="維持",J2399,IF(R2399="排除","無關新聞事件",IFERROR(INDEX(事件規則!$B$2:$B$53,MATCH(S2399,事件規則!$A$2:$A$53,0)),"")))</f>
        <v>無關新聞事件</v>
      </c>
      <c r="U2399" s="20" t="n">
        <f aca="false">IF(R2399="維持",K2399,IF(R2399="排除",0,IFERROR(INDEX(事件規則!$C$2:$C$53,MATCH(S2399,事件規則!$A$2:$A$53,0)),"")))</f>
        <v>0</v>
      </c>
      <c r="V2399" s="21"/>
      <c r="W2399" s="22"/>
      <c r="X2399" s="10" t="str">
        <f aca="false">IF(AND(R2399="修改",S2399=""),"請選新事件代碼",IF(AND(R2399&lt;&gt;"修改",S2399&lt;&gt;""),"只有「修改」才需填代碼",""))</f>
        <v/>
      </c>
      <c r="Y2399" s="21"/>
      <c r="Z2399" s="22"/>
      <c r="AA2399" s="12" t="s">
        <v>5936</v>
      </c>
      <c r="AB2399" s="24"/>
    </row>
    <row r="2400" customFormat="false" ht="29.85" hidden="false" customHeight="false" outlineLevel="0" collapsed="false">
      <c r="A2400" s="15" t="n">
        <v>2399</v>
      </c>
      <c r="B2400" s="9" t="s">
        <v>81</v>
      </c>
      <c r="C2400" s="9" t="s">
        <v>66</v>
      </c>
      <c r="D2400" s="10" t="s">
        <v>67</v>
      </c>
      <c r="E2400" s="11" t="s">
        <v>5937</v>
      </c>
      <c r="F2400" s="17"/>
      <c r="G2400" s="12" t="s">
        <v>1190</v>
      </c>
      <c r="H2400" s="13" t="n">
        <v>-0.001</v>
      </c>
      <c r="I2400" s="14"/>
      <c r="J2400" s="17"/>
      <c r="K2400" s="9"/>
      <c r="L2400" s="15" t="s">
        <v>50</v>
      </c>
      <c r="M2400" s="16" t="s">
        <v>51</v>
      </c>
      <c r="N2400" s="14"/>
      <c r="O2400" s="15" t="s">
        <v>52</v>
      </c>
      <c r="P2400" s="17" t="s">
        <v>53</v>
      </c>
      <c r="Q2400" s="15"/>
      <c r="R2400" s="18" t="s">
        <v>51</v>
      </c>
      <c r="S2400" s="19"/>
      <c r="T2400" s="17" t="str">
        <f aca="false">IF(R2400="維持",J2400,IF(R2400="排除","無關新聞事件",IFERROR(INDEX(事件規則!$B$2:$B$53,MATCH(S2400,事件規則!$A$2:$A$53,0)),"")))</f>
        <v>無關新聞事件</v>
      </c>
      <c r="U2400" s="20" t="n">
        <f aca="false">IF(R2400="維持",K2400,IF(R2400="排除",0,IFERROR(INDEX(事件規則!$C$2:$C$53,MATCH(S2400,事件規則!$A$2:$A$53,0)),"")))</f>
        <v>0</v>
      </c>
      <c r="V2400" s="21"/>
      <c r="W2400" s="22"/>
      <c r="X2400" s="10" t="str">
        <f aca="false">IF(AND(R2400="修改",S2400=""),"請選新事件代碼",IF(AND(R2400&lt;&gt;"修改",S2400&lt;&gt;""),"只有「修改」才需填代碼",""))</f>
        <v/>
      </c>
      <c r="Y2400" s="21"/>
      <c r="Z2400" s="22"/>
      <c r="AA2400" s="12" t="s">
        <v>5938</v>
      </c>
      <c r="AB2400" s="24"/>
    </row>
    <row r="2401" customFormat="false" ht="29.85" hidden="false" customHeight="false" outlineLevel="0" collapsed="false">
      <c r="A2401" s="15" t="n">
        <v>2400</v>
      </c>
      <c r="B2401" s="9" t="s">
        <v>45</v>
      </c>
      <c r="C2401" s="9" t="s">
        <v>289</v>
      </c>
      <c r="D2401" s="10" t="s">
        <v>290</v>
      </c>
      <c r="E2401" s="11" t="s">
        <v>5939</v>
      </c>
      <c r="F2401" s="17"/>
      <c r="G2401" s="12" t="s">
        <v>176</v>
      </c>
      <c r="H2401" s="13" t="n">
        <v>-0.001</v>
      </c>
      <c r="I2401" s="14"/>
      <c r="J2401" s="17"/>
      <c r="K2401" s="9"/>
      <c r="L2401" s="15" t="s">
        <v>50</v>
      </c>
      <c r="M2401" s="16" t="s">
        <v>51</v>
      </c>
      <c r="N2401" s="14"/>
      <c r="O2401" s="15" t="s">
        <v>52</v>
      </c>
      <c r="P2401" s="17" t="s">
        <v>53</v>
      </c>
      <c r="Q2401" s="15"/>
      <c r="R2401" s="18" t="s">
        <v>51</v>
      </c>
      <c r="S2401" s="19"/>
      <c r="T2401" s="17" t="str">
        <f aca="false">IF(R2401="維持",J2401,IF(R2401="排除","無關新聞事件",IFERROR(INDEX(事件規則!$B$2:$B$53,MATCH(S2401,事件規則!$A$2:$A$53,0)),"")))</f>
        <v>無關新聞事件</v>
      </c>
      <c r="U2401" s="20" t="n">
        <f aca="false">IF(R2401="維持",K2401,IF(R2401="排除",0,IFERROR(INDEX(事件規則!$C$2:$C$53,MATCH(S2401,事件規則!$A$2:$A$53,0)),"")))</f>
        <v>0</v>
      </c>
      <c r="V2401" s="21"/>
      <c r="W2401" s="22"/>
      <c r="X2401" s="10" t="str">
        <f aca="false">IF(AND(R2401="修改",S2401=""),"請選新事件代碼",IF(AND(R2401&lt;&gt;"修改",S2401&lt;&gt;""),"只有「修改」才需填代碼",""))</f>
        <v/>
      </c>
      <c r="Y2401" s="21"/>
      <c r="Z2401" s="22"/>
      <c r="AA2401" s="12" t="s">
        <v>5940</v>
      </c>
      <c r="AB2401" s="24"/>
    </row>
    <row r="2402" customFormat="false" ht="29.85" hidden="false" customHeight="false" outlineLevel="0" collapsed="false">
      <c r="A2402" s="15" t="n">
        <v>2401</v>
      </c>
      <c r="B2402" s="9" t="s">
        <v>45</v>
      </c>
      <c r="C2402" s="9" t="s">
        <v>2219</v>
      </c>
      <c r="D2402" s="10" t="s">
        <v>2220</v>
      </c>
      <c r="E2402" s="11" t="s">
        <v>5941</v>
      </c>
      <c r="F2402" s="17"/>
      <c r="G2402" s="12" t="s">
        <v>949</v>
      </c>
      <c r="H2402" s="13" t="n">
        <v>-0.001</v>
      </c>
      <c r="I2402" s="14"/>
      <c r="J2402" s="17"/>
      <c r="K2402" s="9"/>
      <c r="L2402" s="15" t="s">
        <v>50</v>
      </c>
      <c r="M2402" s="16" t="s">
        <v>51</v>
      </c>
      <c r="N2402" s="14"/>
      <c r="O2402" s="15" t="s">
        <v>52</v>
      </c>
      <c r="P2402" s="17" t="s">
        <v>53</v>
      </c>
      <c r="Q2402" s="15"/>
      <c r="R2402" s="18" t="s">
        <v>51</v>
      </c>
      <c r="S2402" s="19"/>
      <c r="T2402" s="17" t="str">
        <f aca="false">IF(R2402="維持",J2402,IF(R2402="排除","無關新聞事件",IFERROR(INDEX(事件規則!$B$2:$B$53,MATCH(S2402,事件規則!$A$2:$A$53,0)),"")))</f>
        <v>無關新聞事件</v>
      </c>
      <c r="U2402" s="20" t="n">
        <f aca="false">IF(R2402="維持",K2402,IF(R2402="排除",0,IFERROR(INDEX(事件規則!$C$2:$C$53,MATCH(S2402,事件規則!$A$2:$A$53,0)),"")))</f>
        <v>0</v>
      </c>
      <c r="V2402" s="21"/>
      <c r="W2402" s="22"/>
      <c r="X2402" s="10" t="str">
        <f aca="false">IF(AND(R2402="修改",S2402=""),"請選新事件代碼",IF(AND(R2402&lt;&gt;"修改",S2402&lt;&gt;""),"只有「修改」才需填代碼",""))</f>
        <v/>
      </c>
      <c r="Y2402" s="21"/>
      <c r="Z2402" s="22"/>
      <c r="AA2402" s="12" t="s">
        <v>5942</v>
      </c>
      <c r="AB2402" s="24"/>
    </row>
    <row r="2403" customFormat="false" ht="29.85" hidden="false" customHeight="false" outlineLevel="0" collapsed="false">
      <c r="A2403" s="15" t="n">
        <v>2402</v>
      </c>
      <c r="B2403" s="9" t="s">
        <v>45</v>
      </c>
      <c r="C2403" s="9" t="s">
        <v>2484</v>
      </c>
      <c r="D2403" s="10" t="s">
        <v>2485</v>
      </c>
      <c r="E2403" s="11" t="s">
        <v>5943</v>
      </c>
      <c r="F2403" s="17"/>
      <c r="G2403" s="12" t="s">
        <v>949</v>
      </c>
      <c r="H2403" s="13" t="n">
        <v>-0.001</v>
      </c>
      <c r="I2403" s="14"/>
      <c r="J2403" s="17"/>
      <c r="K2403" s="9"/>
      <c r="L2403" s="15" t="s">
        <v>50</v>
      </c>
      <c r="M2403" s="16" t="s">
        <v>51</v>
      </c>
      <c r="N2403" s="14"/>
      <c r="O2403" s="15" t="s">
        <v>52</v>
      </c>
      <c r="P2403" s="17" t="s">
        <v>53</v>
      </c>
      <c r="Q2403" s="15"/>
      <c r="R2403" s="18" t="s">
        <v>51</v>
      </c>
      <c r="S2403" s="19"/>
      <c r="T2403" s="17" t="str">
        <f aca="false">IF(R2403="維持",J2403,IF(R2403="排除","無關新聞事件",IFERROR(INDEX(事件規則!$B$2:$B$53,MATCH(S2403,事件規則!$A$2:$A$53,0)),"")))</f>
        <v>無關新聞事件</v>
      </c>
      <c r="U2403" s="20" t="n">
        <f aca="false">IF(R2403="維持",K2403,IF(R2403="排除",0,IFERROR(INDEX(事件規則!$C$2:$C$53,MATCH(S2403,事件規則!$A$2:$A$53,0)),"")))</f>
        <v>0</v>
      </c>
      <c r="V2403" s="21"/>
      <c r="W2403" s="22"/>
      <c r="X2403" s="10" t="str">
        <f aca="false">IF(AND(R2403="修改",S2403=""),"請選新事件代碼",IF(AND(R2403&lt;&gt;"修改",S2403&lt;&gt;""),"只有「修改」才需填代碼",""))</f>
        <v/>
      </c>
      <c r="Y2403" s="21"/>
      <c r="Z2403" s="22"/>
      <c r="AA2403" s="12" t="s">
        <v>5944</v>
      </c>
      <c r="AB2403" s="24"/>
    </row>
    <row r="2404" customFormat="false" ht="29.85" hidden="false" customHeight="false" outlineLevel="0" collapsed="false">
      <c r="A2404" s="15" t="n">
        <v>2403</v>
      </c>
      <c r="B2404" s="9" t="s">
        <v>81</v>
      </c>
      <c r="C2404" s="9" t="s">
        <v>4532</v>
      </c>
      <c r="D2404" s="10" t="s">
        <v>4533</v>
      </c>
      <c r="E2404" s="11" t="s">
        <v>5945</v>
      </c>
      <c r="F2404" s="17"/>
      <c r="G2404" s="12" t="s">
        <v>949</v>
      </c>
      <c r="H2404" s="13" t="n">
        <v>-0.001</v>
      </c>
      <c r="I2404" s="14"/>
      <c r="J2404" s="17"/>
      <c r="K2404" s="9"/>
      <c r="L2404" s="15" t="s">
        <v>50</v>
      </c>
      <c r="M2404" s="16" t="s">
        <v>51</v>
      </c>
      <c r="N2404" s="14"/>
      <c r="O2404" s="15" t="s">
        <v>52</v>
      </c>
      <c r="P2404" s="17" t="s">
        <v>53</v>
      </c>
      <c r="Q2404" s="15"/>
      <c r="R2404" s="18" t="s">
        <v>51</v>
      </c>
      <c r="S2404" s="19"/>
      <c r="T2404" s="17" t="str">
        <f aca="false">IF(R2404="維持",J2404,IF(R2404="排除","無關新聞事件",IFERROR(INDEX(事件規則!$B$2:$B$53,MATCH(S2404,事件規則!$A$2:$A$53,0)),"")))</f>
        <v>無關新聞事件</v>
      </c>
      <c r="U2404" s="20" t="n">
        <f aca="false">IF(R2404="維持",K2404,IF(R2404="排除",0,IFERROR(INDEX(事件規則!$C$2:$C$53,MATCH(S2404,事件規則!$A$2:$A$53,0)),"")))</f>
        <v>0</v>
      </c>
      <c r="V2404" s="21"/>
      <c r="W2404" s="22"/>
      <c r="X2404" s="10" t="str">
        <f aca="false">IF(AND(R2404="修改",S2404=""),"請選新事件代碼",IF(AND(R2404&lt;&gt;"修改",S2404&lt;&gt;""),"只有「修改」才需填代碼",""))</f>
        <v/>
      </c>
      <c r="Y2404" s="21"/>
      <c r="Z2404" s="22"/>
      <c r="AA2404" s="12" t="s">
        <v>5946</v>
      </c>
      <c r="AB2404" s="24"/>
    </row>
    <row r="2405" customFormat="false" ht="29.85" hidden="false" customHeight="false" outlineLevel="0" collapsed="false">
      <c r="A2405" s="15" t="n">
        <v>2404</v>
      </c>
      <c r="B2405" s="9" t="s">
        <v>81</v>
      </c>
      <c r="C2405" s="9" t="s">
        <v>505</v>
      </c>
      <c r="D2405" s="10" t="s">
        <v>506</v>
      </c>
      <c r="E2405" s="11" t="s">
        <v>5947</v>
      </c>
      <c r="F2405" s="17"/>
      <c r="G2405" s="12" t="s">
        <v>5948</v>
      </c>
      <c r="H2405" s="13" t="n">
        <v>-0.001</v>
      </c>
      <c r="I2405" s="14"/>
      <c r="J2405" s="17"/>
      <c r="K2405" s="9"/>
      <c r="L2405" s="15" t="s">
        <v>50</v>
      </c>
      <c r="M2405" s="16" t="s">
        <v>51</v>
      </c>
      <c r="N2405" s="14"/>
      <c r="O2405" s="15" t="s">
        <v>52</v>
      </c>
      <c r="P2405" s="17" t="s">
        <v>53</v>
      </c>
      <c r="Q2405" s="15"/>
      <c r="R2405" s="18" t="s">
        <v>51</v>
      </c>
      <c r="S2405" s="19"/>
      <c r="T2405" s="17" t="str">
        <f aca="false">IF(R2405="維持",J2405,IF(R2405="排除","無關新聞事件",IFERROR(INDEX(事件規則!$B$2:$B$53,MATCH(S2405,事件規則!$A$2:$A$53,0)),"")))</f>
        <v>無關新聞事件</v>
      </c>
      <c r="U2405" s="20" t="n">
        <f aca="false">IF(R2405="維持",K2405,IF(R2405="排除",0,IFERROR(INDEX(事件規則!$C$2:$C$53,MATCH(S2405,事件規則!$A$2:$A$53,0)),"")))</f>
        <v>0</v>
      </c>
      <c r="V2405" s="21"/>
      <c r="W2405" s="22"/>
      <c r="X2405" s="10" t="str">
        <f aca="false">IF(AND(R2405="修改",S2405=""),"請選新事件代碼",IF(AND(R2405&lt;&gt;"修改",S2405&lt;&gt;""),"只有「修改」才需填代碼",""))</f>
        <v/>
      </c>
      <c r="Y2405" s="21"/>
      <c r="Z2405" s="22"/>
      <c r="AA2405" s="12" t="s">
        <v>5949</v>
      </c>
      <c r="AB2405" s="24"/>
    </row>
    <row r="2406" customFormat="false" ht="29.85" hidden="false" customHeight="false" outlineLevel="0" collapsed="false">
      <c r="A2406" s="15" t="n">
        <v>2405</v>
      </c>
      <c r="B2406" s="9" t="s">
        <v>81</v>
      </c>
      <c r="C2406" s="9" t="s">
        <v>1602</v>
      </c>
      <c r="D2406" s="10" t="s">
        <v>1603</v>
      </c>
      <c r="E2406" s="11" t="s">
        <v>5950</v>
      </c>
      <c r="F2406" s="17"/>
      <c r="G2406" s="12" t="s">
        <v>4679</v>
      </c>
      <c r="H2406" s="13" t="n">
        <v>-0.001</v>
      </c>
      <c r="I2406" s="14"/>
      <c r="J2406" s="17"/>
      <c r="K2406" s="9"/>
      <c r="L2406" s="15" t="s">
        <v>50</v>
      </c>
      <c r="M2406" s="16" t="s">
        <v>51</v>
      </c>
      <c r="N2406" s="14"/>
      <c r="O2406" s="15" t="s">
        <v>52</v>
      </c>
      <c r="P2406" s="17" t="s">
        <v>53</v>
      </c>
      <c r="Q2406" s="15"/>
      <c r="R2406" s="18" t="s">
        <v>51</v>
      </c>
      <c r="S2406" s="19"/>
      <c r="T2406" s="17" t="str">
        <f aca="false">IF(R2406="維持",J2406,IF(R2406="排除","無關新聞事件",IFERROR(INDEX(事件規則!$B$2:$B$53,MATCH(S2406,事件規則!$A$2:$A$53,0)),"")))</f>
        <v>無關新聞事件</v>
      </c>
      <c r="U2406" s="20" t="n">
        <f aca="false">IF(R2406="維持",K2406,IF(R2406="排除",0,IFERROR(INDEX(事件規則!$C$2:$C$53,MATCH(S2406,事件規則!$A$2:$A$53,0)),"")))</f>
        <v>0</v>
      </c>
      <c r="V2406" s="21"/>
      <c r="W2406" s="22"/>
      <c r="X2406" s="10" t="str">
        <f aca="false">IF(AND(R2406="修改",S2406=""),"請選新事件代碼",IF(AND(R2406&lt;&gt;"修改",S2406&lt;&gt;""),"只有「修改」才需填代碼",""))</f>
        <v/>
      </c>
      <c r="Y2406" s="21"/>
      <c r="Z2406" s="22"/>
      <c r="AA2406" s="12" t="s">
        <v>5951</v>
      </c>
      <c r="AB2406" s="24"/>
    </row>
    <row r="2407" customFormat="false" ht="29.85" hidden="false" customHeight="false" outlineLevel="0" collapsed="false">
      <c r="A2407" s="15" t="n">
        <v>2406</v>
      </c>
      <c r="B2407" s="9" t="s">
        <v>55</v>
      </c>
      <c r="C2407" s="9" t="s">
        <v>2055</v>
      </c>
      <c r="D2407" s="10" t="s">
        <v>2056</v>
      </c>
      <c r="E2407" s="11" t="s">
        <v>5952</v>
      </c>
      <c r="F2407" s="17"/>
      <c r="G2407" s="12" t="s">
        <v>949</v>
      </c>
      <c r="H2407" s="13" t="n">
        <v>-0.001</v>
      </c>
      <c r="I2407" s="14"/>
      <c r="J2407" s="17"/>
      <c r="K2407" s="9"/>
      <c r="L2407" s="15" t="s">
        <v>50</v>
      </c>
      <c r="M2407" s="16" t="s">
        <v>51</v>
      </c>
      <c r="N2407" s="14"/>
      <c r="O2407" s="15" t="s">
        <v>52</v>
      </c>
      <c r="P2407" s="17" t="s">
        <v>53</v>
      </c>
      <c r="Q2407" s="15"/>
      <c r="R2407" s="18" t="s">
        <v>51</v>
      </c>
      <c r="S2407" s="19"/>
      <c r="T2407" s="17" t="str">
        <f aca="false">IF(R2407="維持",J2407,IF(R2407="排除","無關新聞事件",IFERROR(INDEX(事件規則!$B$2:$B$53,MATCH(S2407,事件規則!$A$2:$A$53,0)),"")))</f>
        <v>無關新聞事件</v>
      </c>
      <c r="U2407" s="20" t="n">
        <f aca="false">IF(R2407="維持",K2407,IF(R2407="排除",0,IFERROR(INDEX(事件規則!$C$2:$C$53,MATCH(S2407,事件規則!$A$2:$A$53,0)),"")))</f>
        <v>0</v>
      </c>
      <c r="V2407" s="21"/>
      <c r="W2407" s="22"/>
      <c r="X2407" s="10" t="str">
        <f aca="false">IF(AND(R2407="修改",S2407=""),"請選新事件代碼",IF(AND(R2407&lt;&gt;"修改",S2407&lt;&gt;""),"只有「修改」才需填代碼",""))</f>
        <v/>
      </c>
      <c r="Y2407" s="21"/>
      <c r="Z2407" s="22"/>
      <c r="AA2407" s="12" t="s">
        <v>5953</v>
      </c>
      <c r="AB2407" s="24"/>
    </row>
  </sheetData>
  <autoFilter ref="A1:AB2407"/>
  <conditionalFormatting sqref="K2:K2407">
    <cfRule type="expression" priority="2" aboveAverage="0" equalAverage="0" bottom="0" percent="0" rank="0" text="" dxfId="12">
      <formula>AND(ISNUMBER(K2),K2=5)</formula>
    </cfRule>
    <cfRule type="expression" priority="3" aboveAverage="0" equalAverage="0" bottom="0" percent="0" rank="0" text="" dxfId="13">
      <formula>AND(ISNUMBER(K2),K2=4)</formula>
    </cfRule>
    <cfRule type="expression" priority="4" aboveAverage="0" equalAverage="0" bottom="0" percent="0" rank="0" text="" dxfId="14">
      <formula>AND(ISNUMBER(K2),K2=3)</formula>
    </cfRule>
    <cfRule type="expression" priority="5" aboveAverage="0" equalAverage="0" bottom="0" percent="0" rank="0" text="" dxfId="15">
      <formula>AND(ISNUMBER(K2),K2=2)</formula>
    </cfRule>
    <cfRule type="expression" priority="6" aboveAverage="0" equalAverage="0" bottom="0" percent="0" rank="0" text="" dxfId="16">
      <formula>AND(ISNUMBER(K2),K2=1)</formula>
    </cfRule>
    <cfRule type="expression" priority="7" aboveAverage="0" equalAverage="0" bottom="0" percent="0" rank="0" text="" dxfId="17">
      <formula>AND(ISNUMBER(K2),K2=0)</formula>
    </cfRule>
  </conditionalFormatting>
  <conditionalFormatting sqref="U2:U2407">
    <cfRule type="expression" priority="8" aboveAverage="0" equalAverage="0" bottom="0" percent="0" rank="0" text="" dxfId="12">
      <formula>AND(ISNUMBER(U2),U2=5)</formula>
    </cfRule>
    <cfRule type="expression" priority="9" aboveAverage="0" equalAverage="0" bottom="0" percent="0" rank="0" text="" dxfId="13">
      <formula>AND(ISNUMBER(U2),U2=4)</formula>
    </cfRule>
    <cfRule type="expression" priority="10" aboveAverage="0" equalAverage="0" bottom="0" percent="0" rank="0" text="" dxfId="14">
      <formula>AND(ISNUMBER(U2),U2=3)</formula>
    </cfRule>
    <cfRule type="expression" priority="11" aboveAverage="0" equalAverage="0" bottom="0" percent="0" rank="0" text="" dxfId="15">
      <formula>AND(ISNUMBER(U2),U2=2)</formula>
    </cfRule>
    <cfRule type="expression" priority="12" aboveAverage="0" equalAverage="0" bottom="0" percent="0" rank="0" text="" dxfId="16">
      <formula>AND(ISNUMBER(U2),U2=1)</formula>
    </cfRule>
    <cfRule type="expression" priority="13" aboveAverage="0" equalAverage="0" bottom="0" percent="0" rank="0" text="" dxfId="17">
      <formula>AND(ISNUMBER(U2),U2=0)</formula>
    </cfRule>
  </conditionalFormatting>
  <conditionalFormatting sqref="X2:X2407">
    <cfRule type="expression" priority="14" aboveAverage="0" equalAverage="0" bottom="0" percent="0" rank="0" text="" dxfId="18">
      <formula>X2&lt;&gt;""</formula>
    </cfRule>
  </conditionalFormatting>
  <conditionalFormatting sqref="O2:O2407">
    <cfRule type="expression" priority="15" aboveAverage="0" equalAverage="0" bottom="0" percent="0" rank="0" text="" dxfId="18">
      <formula>O2="低"</formula>
    </cfRule>
  </conditionalFormatting>
  <conditionalFormatting sqref="Q2:Q2407">
    <cfRule type="expression" priority="16" aboveAverage="0" equalAverage="0" bottom="0" percent="0" rank="0" text="" dxfId="18">
      <formula>Q2="是"</formula>
    </cfRule>
  </conditionalFormatting>
  <dataValidations count="2">
    <dataValidation allowBlank="false" error="只能選：維持、修改、排除" errorStyle="stop" errorTitle="請選擇" operator="between" showDropDown="false" showErrorMessage="true" showInputMessage="false" sqref="R2:R2407" type="list">
      <formula1>"維持,修改,排除"</formula1>
      <formula2>0</formula2>
    </dataValidation>
    <dataValidation allowBlank="true" error="只能選規則表內的事件代碼" errorStyle="stop" errorTitle="事件代碼" operator="between" showDropDown="false" showErrorMessage="true" showInputMessage="false" sqref="S2:S2407" type="list">
      <formula1>事件規則!$A$2:$A$53</formula1>
      <formula2>0</formula2>
    </dataValidation>
  </dataValidations>
  <hyperlinks>
    <hyperlink ref="E2" r:id="rId1" display="Wells Fargo (WFC) Stock Could Be 34% Undervalued After AI Leadership Moves"/>
    <hyperlink ref="E3" r:id="rId2" display="Will Weaker Earnings Expectations Change Builders FirstSource (BLDR) Stock Narrative"/>
    <hyperlink ref="E4" r:id="rId3" display="Mark Cuban’s Cost Plus Drugs teams up with Humana on employer drug costs; resident physician burnout hits three-year low; symptom-based dosing gets opioid-exposed newborns home sooner – Morning Medical Update"/>
    <hyperlink ref="E5" r:id="rId4" display="Mark Cuban’s Cost Plus Drugs teams up with Humana on employer drug costs; resident physician burnout hits three-year low; symptom-based dosing gets opioid-exposed newborns home sooner – Morning Medical Update"/>
    <hyperlink ref="E6" r:id="rId5" display="WDC Maintained by UBS -- Price Target Lowered to $435"/>
    <hyperlink ref="E7" r:id="rId6" display="Hyperliquid’s Yan and CME’s Duffy Split Over Who Must Bear US Compliance"/>
    <hyperlink ref="E8" r:id="rId7" display="Xbox COO and ex-Minecraft boss leaves Microsoft after just 3 months in the role"/>
    <hyperlink ref="E9" r:id="rId8" display="Xbox’s first COO leaves after three months: report"/>
    <hyperlink ref="E10" r:id="rId9" display="PHM Maintained by UBS -- Price Target Lowered to $162"/>
    <hyperlink ref="E11" r:id="rId10" display="Xbox’s First COO Helen Chiang Departs Just Three Months After Taking the Job"/>
    <hyperlink ref="E12" r:id="rId11" display="Apple Inc. $AAPL Stock Position Lowered by GEM Asset Management LLC"/>
    <hyperlink ref="E13" r:id="rId12" display="DRI seizes 1.136 kg of suspected methamphetamine from Bhopal-Hyderabad bus"/>
    <hyperlink ref="E14" r:id="rId13" display="VICI Properties Inc. (VICI) Declines More Than Market: Some Information for Investors"/>
    <hyperlink ref="E15" r:id="rId14" display="‘Lynch syndrome behind half of cancer tumours with MSI’"/>
    <hyperlink ref="E16" r:id="rId15" display="Micron, Sandisk gain as SK Hynix scraps Solidigm IPO, LYNX says"/>
    <hyperlink ref="E17" r:id="rId16" display="SpaceX’s $40 Billion Nvidia Financing Faces Higher Borrowing Costs"/>
    <hyperlink ref="E18" r:id="rId17" display="United Rentals (URI) Could Be 13% Undervalued Following Its Strong Q3 And Higher 2026 Outlook"/>
    <hyperlink ref="E19" r:id="rId18" display="SHAREHOLDER ALERT: Bronstein Gewirtz &amp; Grossman, LLC Announces Class Action Against Honeywell Aerospace, Inc. (NASDAQ: HONA) — Investors Who Suffered Losses Are Encouraged to Contact the Firm."/>
    <hyperlink ref="E20" r:id="rId19" display="Why T. Rowe Price Group (TROW) Could Be 2% Undervalued Following Wealth Platform Expansion"/>
    <hyperlink ref="E21" r:id="rId20" display="CVS Health stock trades 0.19 percent below Xetra close"/>
    <hyperlink ref="E22" r:id="rId21" display="American Express touts AI, plans 5% downsizing"/>
    <hyperlink ref="E23" r:id="rId22" display="AppLovin (APP) - Portfolio Killers: 10 US stocks that wiped out up to 66% of investors’ wealth in 2026"/>
    <hyperlink ref="E24" r:id="rId23" display="Tornado Warning for Parts of Otero County, New Mexico, Until 5 PM MDT"/>
    <hyperlink ref="E25" r:id="rId24" display="What Is Weighing on Amphenol (NYSE:APH)?"/>
    <hyperlink ref="E26" r:id="rId25" display="Comcast Q3: This Could Be The Bottom (NASDAQ:CMCSA)"/>
    <hyperlink ref="E27" r:id="rId26" display="SLB (SLB) Stock Rallies While Q3 Results Expose Margin Squeeze"/>
    <hyperlink ref="E28" r:id="rId27" display="RBC Capital maintains Outperform rating on United Rentals, $1392 price target"/>
    <hyperlink ref="E29" r:id="rId28" display="Netflix Stock Tanks 5% as Revenue Growth Slows in Q3. How to Play NFLX Here."/>
    <hyperlink ref="E30" r:id="rId29" display="American Water Works Company (AWK) Updates Desalination Plans, Is The Stock Now Too Pricey?"/>
    <hyperlink ref="E31" r:id="rId30" display="CoinDCX belatedly admits latest heist; Ireland fines Coinbase anew"/>
    <hyperlink ref="E32" r:id="rId31" display="Stryker Corporation $SYK Position Lowered by Investment House LLC"/>
    <hyperlink ref="E33" r:id="rId32" display="Jefferies reiterates Hold on American Express stock after earnings beat"/>
    <hyperlink ref="E34" r:id="rId33" display="Caught On Camera: Jet2 Boeing 737-800 Veers Off Runway At Birmingham Airport"/>
    <hyperlink ref="E35" r:id="rId34" display="DEBATE: Who’s to Blame for the PSA Card Heist? | PTN 009"/>
    <hyperlink ref="E36" r:id="rId35" display="Is Earnings Optimism Altering The Investment Case For Hershey Stock (HSY)?"/>
    <hyperlink ref="E37" r:id="rId36" display="‘Hulu or Netflix series’ coming: Joe Concha torches Omar over fraud inquiries, citizenship questions, and vanished millions"/>
    <hyperlink ref="E38" r:id="rId37" display="Digital Realty Trust, Inc. $DLR Stock Position Lessened by Integrated Advisors Network LLC"/>
    <hyperlink ref="E39" r:id="rId38" display="J.B. Hunt (JBHT) Q3 Results Flag A Margin Repair Challenge"/>
    <hyperlink ref="E40" r:id="rId39" display="Boyd Gaming price target lowered to $85 from $100 at CBRE"/>
    <hyperlink ref="E41" r:id="rId40" display="What's Going On with Bristol Myers Squibb Stock on Friday?"/>
    <hyperlink ref="E42" r:id="rId41" display="Wells Fargo’s Ohsung Kwon: We turn cautious on semis heading into September"/>
    <hyperlink ref="E43" r:id="rId42" display="CME-Backed Group Pushes Back on Kalshi as Phantom Rolls Out Prediction Markets"/>
    <hyperlink ref="E44" r:id="rId43" display="What Should You Do if an Uber Driver Wants to Make a Suspicious Stop?"/>
    <hyperlink ref="E45" r:id="rId44" display="Wells Fargo Also Says No as 22 U.S. Companies Oppose Stock Tokenization"/>
    <hyperlink ref="E46" r:id="rId45" display="Morgan Stanley (MS) Dropped, So What Is Behind The Latest Attention?"/>
    <hyperlink ref="E47" r:id="rId46" display="A Look at Global Payments Inc (GPN) After 3.6% Decline -- GF Val"/>
    <hyperlink ref="E48" r:id="rId47" display="CBRE Maintains Outperform Rating -- Price Target Lowered to $166"/>
    <hyperlink ref="E49" r:id="rId48" display="Why Did Super Micro Computer (NASDAQ:SMCI) Face Pressure?"/>
    <hyperlink ref="E50" r:id="rId49" display="Elevance Health (ELV) Stock Rallies As Q3 Results Tighten Margin Focus"/>
    <hyperlink ref="E51" r:id="rId50" display="Goldman Sachs CEO David Solomon is optimistic about AI. Most of America disagrees."/>
    <hyperlink ref="E52" r:id="rId51" display="What Is Going On With Marvell Technology Stock on Friday?"/>
    <hyperlink ref="E53" r:id="rId52" display="Incyte Gears Up to Report Q3 Earnings: Will Results Disappoint?"/>
    <hyperlink ref="E54" r:id="rId53" display="KBW：將黑石集團目標價下調至119美元"/>
    <hyperlink ref="E55" r:id="rId54" display="TXT Members Seemingly Address Soobin’s “Gay Deepfakes”"/>
    <hyperlink ref="E56" r:id="rId55" display="Corporate credit income eclipses rate-cut hopes: BlackRock"/>
    <hyperlink ref="E57" r:id="rId56" display="UP TGT Cut Off Marks 2026, Previous Year Cut-Off Marks (Subject Wise)"/>
    <hyperlink ref="E58" r:id="rId57" display="Does Q3 Earnings Outlook Change The Bull Case For Iron Mountain Stock (IRM)?"/>
    <hyperlink ref="E59" r:id="rId58" display="ISMG Editors: Stolen Vendor API Secret Exposes Microsoft 365"/>
    <hyperlink ref="E60" r:id="rId59" display="FAA Mandates Inspections on Nearly 2,000 Boeing 737 NGs Over Horizontal Stabilizer Oscillations"/>
    <hyperlink ref="E61" r:id="rId60" display="Lumentum Holdings Inc. $LITE Stock: Robeco Schweiz AG Reduces Position"/>
    <hyperlink ref="E62" r:id="rId61" display="TD Cowen cuts Western Digital stock price target on capex concerns"/>
    <hyperlink ref="E63" r:id="rId62" display="Has Buying Cigna Stock At A High Paid Off?"/>
    <hyperlink ref="E64" r:id="rId63" display="IBM Stocks Weigh Cash Allocation After Software Earnings Improve"/>
    <hyperlink ref="E65" r:id="rId64" display="Critical HPE Aruba AOS-8 Flaw Allows Hackers to Bypass SSH Authentication and Take Over Systems"/>
    <hyperlink ref="E66" r:id="rId65" display="Wells Fargo (WFC) Could Be 19% Undervalued As AI And Consumer Banking Shift Starts"/>
    <hyperlink ref="E67" r:id="rId66" display="Is SM Entertainment involved in TXT Soobin's 'gay' controversy? Chinese livestreamer's alleged Kakao connection has fans talking"/>
    <hyperlink ref="E68" r:id="rId67" display="Critical HPE Aruba AOS-8 Flaw Allows Hackers to Bypass SSH Authentication and Take Over Systems"/>
    <hyperlink ref="E69" r:id="rId68" display="Most Read – xMCUs, NVHBM base dies, Qualcomm layoffs"/>
    <hyperlink ref="E70" r:id="rId69" display="Prediction: Intel Stock Will Take Off After Oct. 29"/>
    <hyperlink ref="E71" r:id="rId70" display="UP TGT Vacancy 2026 Notification Out- 17735 Assistant Teacher Vacancies, Apply Online Starts"/>
    <hyperlink ref="E72" r:id="rId71" display="LaMelo Ball says changing his baby son’s diapers is ‘not my job’"/>
    <hyperlink ref="E73" r:id="rId72" display="CrowdStrike CEO's alarming prediction — plus, the sell-off spreads beyond tech"/>
    <hyperlink ref="E74" r:id="rId73" display="More change at Munster as COO steps down after 20 years"/>
    <hyperlink ref="E75" r:id="rId74" display="Wells Fargo, Intuit others object to their shares being tokenized- regulatory document"/>
    <hyperlink ref="E76" r:id="rId75" display="Ray Dalio Warns AI Bubble Could Burst As Apple (NASDAQ: AAPL) Pushes Into Smart Home"/>
    <hyperlink ref="E77" r:id="rId76" display="Health Information Alliance Names Michelle Puhlick Interim Executive Director and COO"/>
    <hyperlink ref="E78" r:id="rId77" display="Goldman Sachs CEO Says Individuals Must Be Held Accountable for AI Failures"/>
    <hyperlink ref="E79" r:id="rId78" display="Thieves Stripped a Jeep’s Tires in 3 Minutes While It Was Parked at a Busy Kroger"/>
    <hyperlink ref="E80" r:id="rId79" display="Patient dies in Bristol Myers Squibb autoimmune CAR-T trial"/>
    <hyperlink ref="E81" r:id="rId80" display="Qualcomm May Be Preparing Another Round of Job Cuts Next Month. Here’s What to Know."/>
    <hyperlink ref="E82" r:id="rId81" display="Uber CEO Travis Kalanick tells driver 'bullsh*t' in response to query about price dropping"/>
    <hyperlink ref="E83" r:id="rId82" display="The 15 Scariest Horror Movies on Netflix"/>
    <hyperlink ref="E84" r:id="rId83" display="BlackRock® Canada Announces The Termination Of Ishares Convertible Bond Index ETF"/>
    <hyperlink ref="E85" r:id="rId84" display="Decision fatigue, complexity stop people from investing despite growing retirement needs: BlackRock"/>
    <hyperlink ref="E86" r:id="rId85" display="Claude Code jailbreaks a Kindle over USB, Amazon bloatware vanishes"/>
    <hyperlink ref="E87" r:id="rId86" display="News Orgs Fight OpenAI, Microsoft's Fair Use Arguments"/>
    <hyperlink ref="E88" r:id="rId87" display="Nvidia Growth Could Slow to 20% But Its Stock Can Still Double, Expert Says"/>
    <hyperlink ref="E89" r:id="rId88" display="L3Harris Announces Quarterly Dividend"/>
    <hyperlink ref="E90" r:id="rId89" display="TSN | Dreger on Jets blockbuster trade that sends Hellebuyck to Devils"/>
    <hyperlink ref="E91" r:id="rId90" display="CME-Backed Trade Group Asks CFTC to Reject Kalshi's Perpetual Oil Futures Contract"/>
    <hyperlink ref="E92" r:id="rId91" display="Norfolk Southern Declares Quarterly Dividend"/>
    <hyperlink ref="E93" r:id="rId92" display="Xbox's First-Ever COO Is Already Leaving After A Few Months"/>
    <hyperlink ref="E94" r:id="rId93" display="Nasdaq, Dow, S&amp;P 500 Futures Drop Premarket: NVDA, AMD, META, CRWV, MRNA, WDC, BE In Focus"/>
    <hyperlink ref="E95" r:id="rId94" display="Third-party websites charging big mark-up, WDC warns"/>
    <hyperlink ref="E96" r:id="rId95" display="Abbott tightens adjusted earnings range for Abbott Laboratories stock"/>
    <hyperlink ref="E97" r:id="rId96" display="A Look at Old Dominion Freight Line Inc (ODFL) After 3.8% Decline -- GF Value $200.84 vs Price $182.70"/>
    <hyperlink ref="E98" r:id="rId97" display="Moderna’s Stock Just Stumbled. Is It a Buy on the Dip?"/>
    <hyperlink ref="E99" r:id="rId98" display="Microsoft's Cloud Storage Changes Frustrate Users - Here's Why"/>
    <hyperlink ref="E100" r:id="rId99" display="PUC REJECTS FIRSTENERGY PLAN, ORDERS REVIEW OF AUTO-RENEWALS"/>
    <hyperlink ref="E101" r:id="rId100" display="英特爾CTO：芯片設備遠遠跟不上芯片需求"/>
    <hyperlink ref="E102" r:id="rId101" display="DRI seizes Pakistan-origin watermelon seeds worth Rs 2 crore at Nhava Sheva port"/>
    <hyperlink ref="E103" r:id="rId102" display="A Look at Wynn Resorts Ltd (WYNN) After 3.2% Decline -- GF Value $112.15 vs Price $72.73"/>
    <hyperlink ref="E104" r:id="rId103" display="Column | This landmark experiment was horrifying. Why is Netflix performing it again?"/>
    <hyperlink ref="E105" r:id="rId104" display="‘This place is already being used’: 100 gather in McKinleyville to protest Amazon facility"/>
    <hyperlink ref="E106" r:id="rId105" display="Coinbase Now Lets AI Agents Trade in Your Crypto Account. What Could Go Wrong?"/>
    <hyperlink ref="E107" r:id="rId106" display="UFC 333 Highlights! Volkanovski Decimates Evloev With Violent TKO"/>
    <hyperlink ref="E108" r:id="rId107" display="AIG executive accused of posting anti-Semitic comments no longer working for company"/>
    <hyperlink ref="E109" r:id="rId108" display="Helen Chiang Leaves Xbox COO Role After Three Months"/>
    <hyperlink ref="E110" r:id="rId109" display="How much is at stake for TKO if WWE Crown Jewel in Saudi Arabia is cancelled?"/>
    <hyperlink ref="E111" r:id="rId110" display="Backstage News On How Much TKO Could Lose If WWE And UFC Saudi Arabia Shows Are Called Off"/>
    <hyperlink ref="E112" r:id="rId111" display="Person Stole Package From UPS"/>
    <hyperlink ref="E113" r:id="rId112" display="“So Far, So Good”: TKO, Ari Emanuel Give Disappointing Update Ahead of WWE Crown Jewel"/>
    <hyperlink ref="E114" r:id="rId113" display="SHAREHOLDER ALERT: Bronstein Gewirtz &amp; Grossman, LLC Announces Class Action Against Bank of America Corporation (NYSE: BAC) — Investors Who Suffered Losses Are Encouraged to Contact the Firm"/>
    <hyperlink ref="E115" r:id="rId114" display="Avery Dennison Declares Quarterly Dividend"/>
    <hyperlink ref="E116" r:id="rId115" display="Sweden Blocks ChatGPT and Claude on Government Staff Computers, Clears Only Microsoft Copilot"/>
    <hyperlink ref="E117" r:id="rId116" display="Chiropractor accused of posing as doctor in $2 billion L.A. fraud bust; Amazon, Google and Meta push prior auth fixes; CMS can now exclude physicians on its own — Morning Medical Update Weekly Recap"/>
    <hyperlink ref="E118" r:id="rId117" display="CVS: Cold and Flu Season"/>
    <hyperlink ref="E119" r:id="rId118" display="Huntington Ingalls Industries (HII) Stock Could Be 43% Undervalued Despite AUKUS Contract News"/>
    <hyperlink ref="E120" r:id="rId119" display="WWE HOFer JBL Dismisses Long-Standing Rumor Of HBK/Vader Beef"/>
    <hyperlink ref="E121" r:id="rId120" display="Illinois Tool Works (ITW), What Is Behind The Mixed Signals Now?"/>
    <hyperlink ref="E122" r:id="rId121" display="Netflix Layoffs, 'You Can See Everything's Oscar Prospects &amp; More"/>
    <hyperlink ref="E123" r:id="rId122" display="Xbox COO Helen Chiang Exits After 21 Years, 3 Months [2026]"/>
    <hyperlink ref="E124" r:id="rId123" display="TSLA Price Prediction: Analysts Lift Targets But Contract Stalls Beneath Key Resistance"/>
    <hyperlink ref="E125" r:id="rId124" display="Rockwell Automation, Inc. $ROK Stock: Sterling Capital Management LLC Trims Stake"/>
    <hyperlink ref="E126" r:id="rId125" display="BTIG reiterates NVR stock buy rating despite earnings miss"/>
    <hyperlink ref="E127" r:id="rId126" display="Analysts Conflicted on These Technology Names: Lam Research (LRCX), SentinelOne (S) and International Business Machines (IBM)"/>
    <hyperlink ref="E128" r:id="rId127" display="Analysts Conflicted on These Technology Names: Lam Research (LRCX), SentinelOne (S) and International Business Machines (IBM)"/>
    <hyperlink ref="E129" r:id="rId128" display="Honeywell International (HON) PT Lowered to $269 at RBC Capital"/>
    <hyperlink ref="E130" r:id="rId129" display="Why Analysts Say Boeing's 787 Target Of 10 A Month Still Won't Make Real Money"/>
    <hyperlink ref="E131" r:id="rId130" display="Why Utility Stocks Like Entergy And Con Edison Look Defensive Right Now"/>
    <hyperlink ref="E132" r:id="rId131" display="T-Mobile US (NASDAQ:TMUS) Sets New 1-Year Low - Time to Sell?"/>
    <hyperlink ref="E133" r:id="rId132" display="What Is The Biggest Threat To Accenture Stock?"/>
    <hyperlink ref="E134" r:id="rId133" display="Amazon just slashed Borderlands 4 to under $20 in a massive gaming deal"/>
    <hyperlink ref="E135" r:id="rId134" display="大和：將霍尼韋爾目標價下調至250美元"/>
    <hyperlink ref="E136" r:id="rId135" display="RTX 5060 Ti 16GB vs RTX 5070: $789 Tie, 8% Gap [2026]"/>
    <hyperlink ref="E137" r:id="rId136" display="Samsung's new 2TB 990 SSD is 38% off at Amazon today — get $200 off this PCIe 4.0 all-rounder drive for a limited time"/>
    <hyperlink ref="E138" r:id="rId137" display="Brian Quinones Sentenced for Shooting Into Occupied FedEx Truck – Assistant State Attorneys, Jessica Giardina and Rachel Gainer – OSA1.org"/>
    <hyperlink ref="E139" r:id="rId138" display="AT&amp;T, T-Mobile and Verizon Push Back on FCC Satellite-to-Phone Rule Changes"/>
    <hyperlink ref="E140" r:id="rId139" display="American Tower (AMT) Heads Into Earnings As Its Undervalued Narrative Faces A Big Test"/>
    <hyperlink ref="E141" r:id="rId140" display="海納國際下調西部數據目標價至405美元"/>
    <hyperlink ref="E142" r:id="rId141" display="PSA confirms FBI investigating $1 million Pokemon &amp; trading card heist as full stolen list revealed"/>
    <hyperlink ref="E143" r:id="rId142" display="Microsoft earnings history before its October 28 report"/>
    <hyperlink ref="E144" r:id="rId143" display="Paccar (PCAR) Declines More Than Market: Some Information for Investors"/>
    <hyperlink ref="E145" r:id="rId144" display="American Express: Q3 Earnings Snapshot"/>
    <hyperlink ref="E146" r:id="rId145" display="Apple Is Just $42 Billion Away From Passing Nvidia as the World’s Most Valuable Company"/>
    <hyperlink ref="E147" r:id="rId146" display="A Look at CBRE Group Inc (CBRE) After 6.0% Decline -- GF Value $162.98 vs Price $123.30"/>
    <hyperlink ref="E148" r:id="rId147" display="RBC Capital maintains Outperform rating on Procter &amp; Gamble, $169 price target"/>
    <hyperlink ref="E149" r:id="rId148" display="Walmart’s Best-Selling NCAA Fleece Hoodies Are ‘Warm and Comfortable,’ and Selling for as Low as $12"/>
    <hyperlink ref="E150" r:id="rId149" display="花旗下調美國雅保目標價至125美元"/>
    <hyperlink ref="E151" r:id="rId150" display="Starz Is Back On Verizon Fios As Carriage Dispute Settled"/>
    <hyperlink ref="E152" r:id="rId151" display="Copper pricing fragments as markets regionalise, CME says"/>
    <hyperlink ref="E153" r:id="rId152" display="Analysts Are Neutral on Top Technology Stocks: Nextdc Limited (NXDCF), Texas Instruments (TXN)"/>
    <hyperlink ref="E154" r:id="rId153" display="Medtronic (MDT) Posts Strong Ablation Data, Is The Stock Still Undervalued?"/>
    <hyperlink ref="E155" r:id="rId154" display="T-Mobile TMUS and AT&amp;T Stock Sink as SpaceX Targets U.S. Cell Tower Infrastructure"/>
    <hyperlink ref="E156" r:id="rId155" display="AMP eyes bank shake-up as takeover talk builds"/>
    <hyperlink ref="E157" r:id="rId156" display="HBAN Maintains by Baird -- Price Target Lowered to $19.00"/>
    <hyperlink ref="E158" r:id="rId157" display="Why Is McDonald's (MCD) Challenging Tokenized Trading Of Its Shares?"/>
    <hyperlink ref="E159" r:id="rId158" display="UBS lowers Western Digital stock price target on capex concerns"/>
    <hyperlink ref="E160" r:id="rId159" display="NUE to Report Q3 Earnings: What's in the Offing for the Stock?"/>
    <hyperlink ref="E161" r:id="rId160" display="NRG drop out of NSTLGA Texas; enter LAST CHANCE after Voca drop out"/>
    <hyperlink ref="E162" r:id="rId161" display="Dallas Cowboys Cheerleaders Score Major Victory After Netflix Pay Controversy"/>
    <hyperlink ref="E163" r:id="rId162" display="Western Digital's 55% Revenue Surge Signals AI Storage Boom"/>
    <hyperlink ref="E164" r:id="rId163" display="Movsar Evloev Issues Statement After UFC 333 TKO Loss"/>
    <hyperlink ref="E165" r:id="rId164" display="Season 3 Of Netflix's Vikings Replacement Gets The Heartbreaking Update Fans Dreaded"/>
    <hyperlink ref="E166" r:id="rId165" display="Illinois Tool Works schedules October 27 results for Illinois Tool Works stock"/>
    <hyperlink ref="E167" r:id="rId166" display="What Is the Margin Squeeze Behind Tractor Supply's (NASDAQ:TSCO) Earnings Beat and Reaffirmed Outlook?"/>
    <hyperlink ref="E168" r:id="rId167" display="International Insider: Turmoil At Netflix"/>
    <hyperlink ref="E169" r:id="rId168" display="A strong start to the year for Western Digital, but shunned on the stock market"/>
    <hyperlink ref="E170" r:id="rId169" display="Amazon earnings history before its October 29 report"/>
    <hyperlink ref="E171" r:id="rId170" display="TD Cowen cuts Paychex stock target to USD 105.00"/>
    <hyperlink ref="E172" r:id="rId171" display="CME live cattle futures unchanged, feeder cattle futures firm"/>
    <hyperlink ref="E173" r:id="rId172" display="Is UnitedHealth Group (UNH) Still A Bargain After Raised Guidance?"/>
    <hyperlink ref="E174" r:id="rId173" display="Royal Caribbean Cruises Ltd. $RCL Stock: Diversify Advisory Services LLC Trims Stake"/>
    <hyperlink ref="E175" r:id="rId174" display="Helen Chiang exits Microsoft three months after becoming Xbox’s first COO"/>
    <hyperlink ref="E176" r:id="rId175" display="AMD vs Nvidia GPU Chart: 32 GB vs 16 GB Flagships [2026]"/>
    <hyperlink ref="E177" r:id="rId176" display="Randy Morris, Opening Day Casey's Corner Pianist at Magic Kingdom, Passes Away"/>
    <hyperlink ref="E178" r:id="rId177" display="JBL: Vince McMahon Never Turned John Cena Heel In WWE Due To Previous Lesson Learned"/>
    <hyperlink ref="E179" r:id="rId178" display="This limited-edition Marc Jacobs perfume is 56% off at Amazon right now"/>
    <hyperlink ref="E180" r:id="rId179" display="ROP 8-K &amp; SEC Filings"/>
    <hyperlink ref="E181" r:id="rId180" display="What Could Lift Starbucks Stock?"/>
    <hyperlink ref="E182" r:id="rId181" display="Cockpit voice recorder indicates pilot tried to abort landing before Amazon cargo plane crash: NTSB - ABC News"/>
    <hyperlink ref="E183" r:id="rId182" display="HOOD Price Prediction: Futures Sit 21% Below JPMorgan's Floor as Stochastic Hits Single Digits"/>
    <hyperlink ref="E184" r:id="rId183" display="CocaCola Company (The) $KO Stock: Sterling Capital Management LLC Trims Stake"/>
    <hyperlink ref="E185" r:id="rId184" display="Huntington Bancshares Declares $0.3438 Quarterly HBANZ Dividend"/>
    <hyperlink ref="E186" r:id="rId185" display="Cummins stock: Barclays cuts target to USD 675.00 after review"/>
    <hyperlink ref="E187" r:id="rId186" display="RBC Just Downgraded Mobileye, Citing the Threat From Nvidia. What This Means for MBLY Stock."/>
    <hyperlink ref="E188" r:id="rId187" display="Is Royal Caribbean Group (RCL) a Bargain After 3.4% Drop? GF Val"/>
    <hyperlink ref="E189" r:id="rId188" display="Darden Restaurants (DRI) Could Be 7% Undervalued As Expansion Plans Stay In Focus"/>
    <hyperlink ref="E190" r:id="rId189" display="I stopped accepting my TV's default software after discovering what USB sideloading could do"/>
    <hyperlink ref="E191" r:id="rId190" display="Kinder Morgan Expands Backlog Driven By Major Natural Gas Projects"/>
    <hyperlink ref="E192" r:id="rId191" display="McDonald's Corporation $MCD Stock Holdings Lessened by Axxcess Wealth Management LLC"/>
    <hyperlink ref="E193" r:id="rId192" display="算力賣到2028年！亞馬遜CEO：投入2200億美元仍不夠"/>
    <hyperlink ref="E194" r:id="rId193" display="Polen Focus Growth Strategy Trims Starbucks Corporation (SBUX) as Turnaround Progress Enters Valuation"/>
    <hyperlink ref="E195" r:id="rId194" display="Microsoft, Google and Goldman Sachs Join 22 Firms Opposing Tokenized Stock Trading"/>
    <hyperlink ref="E196" r:id="rId195" display="Why Higher Rates Could Lift BNY Mellon Stock And Cash Management Fees"/>
    <hyperlink ref="E197" r:id="rId196" display="Walmart (NASDAQ:WMT) Lets AI Shop for You: Is the Rally Overheated?"/>
    <hyperlink ref="E198" r:id="rId197" display="What Could Surprise Comcast Stock Investors On The Upside?"/>
    <hyperlink ref="E199" r:id="rId198" display="PNR Set to Report Q3 Earnings: What's in the Offing for the Stock?"/>
    <hyperlink ref="E200" r:id="rId199" display="Helen Chiang Exits as Xbox’s First COO Just Three Months After Appointment"/>
    <hyperlink ref="E201" r:id="rId200" display="Woman Needs Oil Change. Then She Goes To Walmart Instead Of The Dealership: 'That $32 Might Cost You Someday'"/>
    <hyperlink ref="E202" r:id="rId201" display="New York Woman’s Hilarious Uber Eats Mistake Is Caught On Camera"/>
    <hyperlink ref="E203" r:id="rId202" display="Kroger Stock Has The Bull Case Changed After Its $5 Billion Value Plan"/>
    <hyperlink ref="E204" r:id="rId203" display="Comcast sets out restructuring as broadband losses deepen"/>
    <hyperlink ref="E205" r:id="rId204" display="American Express Makes Major Cost Move Despite Strong Earnings"/>
    <hyperlink ref="E206" r:id="rId205" display="Rockwell Automation stock: Mizuho cuts target to USD 430.00 for Rockwell Automation stock"/>
    <hyperlink ref="E207" r:id="rId206" display="Huntington Ingalls Industries, Inc. $HII Stake Lowered by Carnegie Investment Counsel"/>
    <hyperlink ref="E208" r:id="rId207" display="Aaron Pico Issues Statement After UFC 333 TKO Win"/>
    <hyperlink ref="E209" r:id="rId208" display="Ex-Chief Pilot Wants Out Of Norwegian, Boeing 737 Max Spat"/>
    <hyperlink ref="E210" r:id="rId209" display="Devon Energy (NYSE:DVN) Surges Before Earnings: Is There Room Left?"/>
    <hyperlink ref="E211" r:id="rId210" display="英偉達停產傳聞攪動華強北，顯卡一日一價"/>
    <hyperlink ref="E212" r:id="rId211" display="Did Union Pacific (NYSE:UNP) Just Show That Fuel Costs Are Masking a Stronger Railroad Underneath?"/>
    <hyperlink ref="E213" r:id="rId212" display="Traffic Hazard at 3561 Boeing Ave"/>
    <hyperlink ref="E214" r:id="rId213" display="Boeing’s 777 Freighter Line Has Been Idle for Two Months. Here’s What It Costs."/>
    <hyperlink ref="E215" r:id="rId214" display="From zeitgeist to zeitghost: How Netflix kept a hold on viewers—but lost its spot in pop culture"/>
    <hyperlink ref="E216" r:id="rId215" display="Nvidia eyes converting old nuclear plants into massive AI data centers — reusing shut-down German energy sites could reduce the cost and timeline of building from scratch"/>
    <hyperlink ref="E217" r:id="rId216" display="Netflix Officially Loses Its Crown to a Free Streaming Rival"/>
    <hyperlink ref="E218" r:id="rId217" display="Comcast Corporation $CMCSA Stock: Harbor Island Capital LLC Cuts Stake"/>
    <hyperlink ref="E219" r:id="rId218" display="Newmont Q3 Earnings: Investors Are Walking On Thin Ice (NYSE:NEM)"/>
    <hyperlink ref="E220" r:id="rId219" display="亞馬遜利用人工智能工具監測加拿大倉庫中組建工會的風險——《環球郵報》"/>
    <hyperlink ref="E221" r:id="rId220" display="ConocoPhillips (COP) Draws Value Interest As Fair Value Suggests Little Room Left"/>
    <hyperlink ref="E222" r:id="rId221" display="Wabtec: A Minor Q3 Miss Looks Like An Opportunity (NYSE:WAB)"/>
    <hyperlink ref="E223" r:id="rId222" display="Ralph Lauren (RL) Declines More Than Market: Some Information for Investors"/>
    <hyperlink ref="E224" r:id="rId223" display="Is Nike (NYSE:NKE) the Story to Follow as Yields Retreat?"/>
    <hyperlink ref="E225" r:id="rId224" display="Dealership denies woman car because of her credit. Then she tries Carvana: ‘I have bought 2 cars from Carvana, never had a problem'"/>
    <hyperlink ref="E226" r:id="rId225" display="What Is Behind the Recent Pressure on Corning (NYSE:GLW)?"/>
    <hyperlink ref="E227" r:id="rId226" display="Review: The ASUS ProArt P16 RTX Spark is exceptional in the right hands and excessive in the wrong ones"/>
    <hyperlink ref="E228" r:id="rId227" display="Merck &amp; Co., Inc. $MRK Position Trimmed by Middleton &amp; Co. Inc. MA"/>
    <hyperlink ref="E229" r:id="rId228" display="Caught Out By First Solar's Fall? What Bears Saw"/>
    <hyperlink ref="E230" r:id="rId229" display="Host community agreement dispute between MGM Springfield and city to enter arbitration"/>
    <hyperlink ref="E231" r:id="rId230" display="How Low Can Charter Communications Stock Go?"/>
    <hyperlink ref="E232" r:id="rId231" display="Comcast (CMCSA) Stock Faces Q3 Earnings Margin Crunch"/>
    <hyperlink ref="E233" r:id="rId232" display="Is the AI Storage Boom Over? Why SanDisk’s Oct. 29 Earnings Could Prove the Doubters Wrong"/>
    <hyperlink ref="E234" r:id="rId233" display="JBL Says Bad Timing Hurt The Rock’s Final Boss Run, Would Love To See Him Return"/>
    <hyperlink ref="E235" r:id="rId234" display="Why is CrowdStrike stock surging today?"/>
    <hyperlink ref="E236" r:id="rId235" display="Coinbase Q3 Earnings Preview: Can Crypto’s Rebound Save COIN From A Fourth Consecutive Miss Oct. 29?"/>
    <hyperlink ref="E237" r:id="rId236" display="Why is ASX 200-listed APA Group (ASX:APA) in focus?"/>
    <hyperlink ref="E238" r:id="rId237" display="What Is Behind the Recent Pressure on Synopsys (NASDAQ:SNPS)?"/>
    <hyperlink ref="E239" r:id="rId238" display="Missed Delta Air Lines' Run? What Holders Had To Believe"/>
    <hyperlink ref="E240" r:id="rId239" display="Xbox’s First COO Was Leaving Microsoft 109 Days After Appointment"/>
    <hyperlink ref="E241" r:id="rId240" display="Missed FedEx's Run? What Holders Had To Believe"/>
    <hyperlink ref="E242" r:id="rId241" display="Distil PLC Estimates – LSE:DIS"/>
    <hyperlink ref="E243" r:id="rId242" display="Amazon cut 30,000 corporate jobs to focus on AI. Now it’s promising 30,000 entry-level roles in the UK by 2030"/>
    <hyperlink ref="E244" r:id="rId243" display="MSCI warning triggered ‘manageable’ outflow from bond market, BI reveals"/>
    <hyperlink ref="E245" r:id="rId244" display="TKO’s Ari Emanuel Addresses Possible WWE Crown Jewel Relocation Amid Saudi Arabia Security Concerns"/>
    <hyperlink ref="E246" r:id="rId245" display="International Business Machines Corporation $IBM Stake Reduced by Investment House LLC"/>
    <hyperlink ref="E247" r:id="rId246" display="PHM Maintained by RBC Capital -- Price Target Lowered to $110"/>
    <hyperlink ref="E248" r:id="rId247" display="Futures data is currently not available for 06EF27.CME."/>
    <hyperlink ref="E249" r:id="rId248" display="SanDisk Stock Rises After Brutal Sell-Off Ahead of Earnings"/>
    <hyperlink ref="E250" r:id="rId249" display="Morgan Stanley keeps Hold on Occidental Petroleum stock at USD 71 target"/>
    <hyperlink ref="E251" r:id="rId250" display="Half Your CRM Data Is Wrong: AI Prospecting in a World of 49% Exec Turnover"/>
    <hyperlink ref="E252" r:id="rId251" display="CORTIS’s Name On TXT’s Album Stirs Up Massive Backlash"/>
    <hyperlink ref="E253" r:id="rId252" display="大摩下調AT&amp;T目標價至25美元"/>
    <hyperlink ref="E254" r:id="rId253" display="AI Risks Roil Gaming Stocks; Take-Two Interactive (TTWO) Stands Out Amid Industry Uncertainty"/>
    <hyperlink ref="E255" r:id="rId254" display="Meta’s Q3 Was A Great Quarter, And The Market Is Getting It Wrong Again (NASDAQ:META)"/>
    <hyperlink ref="E256" r:id="rId255" display="PepsiCo Stock And Other Defensive Dividend Plays For Uncertain Markets"/>
    <hyperlink ref="E257" r:id="rId256" display="What's in the Offing for Ventas Stock This Earnings Season?"/>
    <hyperlink ref="E258" r:id="rId257" display="Jabil (JBL) Could Be 36% Undervalued As Earnings Expectations Improve"/>
    <hyperlink ref="E259" r:id="rId258" display="Autodesk (ADSK) Falls More Steeply Than Broader Market: What Investors Need to Know"/>
    <hyperlink ref="E260" r:id="rId259" display="CME cash dairy prices mixed"/>
    <hyperlink ref="E261" r:id="rId260" display="Walmart drones are now flying over Charlotte. More are coming"/>
    <hyperlink ref="E262" r:id="rId261" display="Deutsche Bank Adjusts Prudential Financial Price Target to $102 From $105, Maintains Hold Rating"/>
    <hyperlink ref="E263" r:id="rId262" display="NDAQ 8-K &amp; SEC Filings"/>
    <hyperlink ref="E264" r:id="rId263" display="Bank of America resets Tesla forecast as Robotaxi miles double"/>
    <hyperlink ref="E265" r:id="rId264" display="Altria (MO) Declines More Than Market: Some Information for Investors"/>
    <hyperlink ref="E266" r:id="rId265" display="StoneX reiterates Hold on Norfolk Southern stock after earnings beat"/>
    <hyperlink ref="E267" r:id="rId266" display="'The Lincoln Lawyer' Star's 149-Minute Legal Thriller Officially Leaves Netflix"/>
    <hyperlink ref="E268" r:id="rId267" display="How Strong Q3 Results Will Impact United Airlines Stock (UAL)"/>
    <hyperlink ref="E269" r:id="rId268" display="ECHO's adults-only Halloween event turns death into discovery"/>
    <hyperlink ref="E270" r:id="rId269" display="Wells Fargo and five others object to OKX-ICE tokenized stock listings: Report"/>
    <hyperlink ref="E271" r:id="rId270" display="Synchrony Financial $SYF Stock: Crossmark Global Holdings Inc. Lowers Stake"/>
    <hyperlink ref="E272" r:id="rId271" display="Truist Financial stock costs EUR 43.26 in weekend trading"/>
    <hyperlink ref="E273" r:id="rId272" display="What Is Behind the Recent Pressure on Rollins (NYSE:ROL)?"/>
    <hyperlink ref="E274" r:id="rId273" display="S&amp;P 500 Premarket Movers: CCI and SBAC Lead Gainers, TYL and DECK Top Decliners"/>
    <hyperlink ref="E275" r:id="rId274" display="Toyota Driver’s Taillight Burns Out. So She Heads To Walmart To Get A Push Light Instead"/>
    <hyperlink ref="E276" r:id="rId275" display="亞馬遜CEO：公司雲服務容量已售罄至2027年"/>
    <hyperlink ref="E277" r:id="rId276" display="Cummins Inc. $CMI Stock: Anderson Hoagland &amp; Co. Cuts Stake"/>
    <hyperlink ref="E278" r:id="rId277" display="Why Goldman Sachs views Grid and Utilities as the key AI growth bottlenecks"/>
    <hyperlink ref="E279" r:id="rId278" display="Bradley Cooper Was Cast First: Liam Neeson’s ‘The Grey’ Is Leaving Netflix"/>
    <hyperlink ref="E280" r:id="rId279" display="Nose To Tail: American Airlines To Reportedly Replace Windows On Older Boeing 787 Dreamliners"/>
    <hyperlink ref="E281" r:id="rId280" display="NDSN 8-K &amp; SEC Filings"/>
    <hyperlink ref="E282" r:id="rId281" display="Nvidia wraps OpenShell around full-stack silicon to stop AI agents going rogue"/>
    <hyperlink ref="E283" r:id="rId282" display="$SanDisk (SNDK.US)$ I checked the latest calendar and found that the week of October 26–30 could be one of the most event-heavy weeks for US stocks recently, carrying the highest risk of volatility."/>
    <hyperlink ref="E284" r:id="rId283" display="Did Earnings Estimates Shift Just Change C.H. Robinson's (CHRW) Investment Narrative?"/>
    <hyperlink ref="E285" r:id="rId284" display="Why Did Eaton (NYSE:ETN) Face Pressure?"/>
    <hyperlink ref="E286" r:id="rId285" display="Hormel Foods board member Smith to retire at 2027 annual meeting"/>
    <hyperlink ref="E287" r:id="rId286" display="Norwegian Cruise Line Holdings (NCLH) Could Be 20% Undervalued As JPMorgan Flags Yield Risk"/>
    <hyperlink ref="E288" r:id="rId287" display="Vertiv's Q3 report on Oct 28 will prove if dela..."/>
    <hyperlink ref="E289" r:id="rId288" display="Alphabet, Microsoft And Amazon Lead The Busiest Week Of Earnings Season"/>
    <hyperlink ref="E290" r:id="rId289" display="Francis Duru’s death devastating loss to Nollywood – AMP-FCT"/>
    <hyperlink ref="E291" r:id="rId290" display="Retail investors pull back, but household stock demand remains strong: Goldman Sachs"/>
    <hyperlink ref="E292" r:id="rId291" display="Alphabet, Microsoft And Amazon Lead The Busiest Week Of Earnings Season"/>
    <hyperlink ref="E293" r:id="rId292" display="Coca-Cola (KO) Registers a Bigger Fall Than the Market: Important Facts to Note"/>
    <hyperlink ref="E294" r:id="rId293" display="FactSet (FDS) Stock May Be 25% Undervalued After Private Markets Data Deal"/>
    <hyperlink ref="E295" r:id="rId294" display="Microsoft's Windows Insider wallpapers were apparently made on a Mac"/>
    <hyperlink ref="E296" r:id="rId295" display="Moderna’s Cancer-Vaccine Leak Spurs Panic Selling. Wall Street Wanted a Cure."/>
    <hyperlink ref="E297" r:id="rId296" display="DaVita HealthCare (DVA) Falls More Steeply Than Broader Market: What Investors Need to Know"/>
    <hyperlink ref="E298" r:id="rId297" display="8 Kirkland Signature Products Costco Discontinued In 2026"/>
    <hyperlink ref="E299" r:id="rId298" display="PLEASE FIX: Foliage on stoplight near WaterView Casino"/>
    <hyperlink ref="E300" r:id="rId299" display="Scarlett Johansson’s 108-Minute Sci-Fi Body Horror Movie Officially Leaves Netflix This Week"/>
    <hyperlink ref="E301" r:id="rId300" display="Verizon Communications (VZ) Seeks FCC Signoff To End Copper Landlines As Review Widens"/>
    <hyperlink ref="E302" r:id="rId301" display="What's Going On With Procter &amp; Gamble Stock Friday? - Procter &amp; Gamble (NYSE:PG)"/>
    <hyperlink ref="E303" r:id="rId302" display="Lone’er Kavanagh stuns Ramazonbek Temirov with first-round TKO at UFC 333"/>
    <hyperlink ref="E304" r:id="rId303" display="Builders FirstSource (BLDR) Registers a Bigger Fall Than the Market: Important Facts to Note"/>
    <hyperlink ref="E305" r:id="rId304" display="A Look at CoStar Group Inc (CSGP) After 4.3% Decline -- GF Value $106.64 vs Price $33.92"/>
    <hyperlink ref="E306" r:id="rId305" display="ECHO OF DISMAY | THE WEEK India - news"/>
    <hyperlink ref="E307" r:id="rId306" display="How Upcoming Earnings At FirstEnergy (FE) Has Changed Its Investment Story"/>
    <hyperlink ref="E308" r:id="rId307" display="Ross Stores, Inc. $ROST Stock: Sterling Capital Management LLC Lowers Stake"/>
    <hyperlink ref="E309" r:id="rId308" display="Weiss Ratings downgrades Lennar: 19 analysts rate Lennar Corporation stock"/>
    <hyperlink ref="E310" r:id="rId309" display="CBRE Group (NYSE:CBRE) Announces FY 2026 Earnings Guidance"/>
    <hyperlink ref="E311" r:id="rId310" display="Goldman Sachs resets Eli Lilly 12-month stock price target before earnings"/>
    <hyperlink ref="E312" r:id="rId311" display="[[[TSN^Sports]] Toronto Argonauts vS Montreal Alouettes ＬＩＶＥ"/>
    <hyperlink ref="E313" r:id="rId312" display="St. Joseph County resident, officials react to proposed Amazon, AEP nuclear plant"/>
    <hyperlink ref="E314" r:id="rId313" display="The Outrageously Cheesy McDonald's Burger You Might Have Forgotten About"/>
    <hyperlink ref="E315" r:id="rId314" display="St. Joseph County resident, officials react to proposed Amazon, AEP nuclear plant"/>
    <hyperlink ref="E316" r:id="rId315" display="American Express Company Q3 2026 Earnings Call Summary"/>
    <hyperlink ref="E317" r:id="rId316" display="Did You Miss These $10B-$20B Earnings Results? Snap-on (NYSE:SNA), Tractor Supply (NASDAQ:TSCO), NVR (NYSE:NVR) and 5 More"/>
    <hyperlink ref="E318" r:id="rId317" display="HONA UPCOMING DEADLINE: Levi &amp; Korsinsky Alerts Honeywell Aerospace Inc. Stockholders of Securities Class Action - Contact the Firm"/>
    <hyperlink ref="E319" r:id="rId318" display="Alexander Volkanovski TKO’s Movsar Evloev In 2nd Round At UFC 333"/>
    <hyperlink ref="E320" r:id="rId319" display="Guentzel buries blocked puck for PPG"/>
    <hyperlink ref="E321" r:id="rId320" display="J.P. Morgan Maintains Honeywell(HON.US) With Buy Rating, Cuts Target Price to $241"/>
    <hyperlink ref="E322" r:id="rId321" display="Boeing Q3 2026 Earnings Date and Estimates"/>
    <hyperlink ref="E323" r:id="rId322" display="Apple Stock Price Forecast: AAPL Continues Pullback After Record High, Will It Test $300 Again This Year?"/>
    <hyperlink ref="E324" r:id="rId323" display="Does Lennar (LEN) Stock Look Undervalued After Mixed Signals?"/>
    <hyperlink ref="E325" r:id="rId324" display="Newmont And 2 Other Great Undervalued Stocks"/>
    <hyperlink ref="E326" r:id="rId325" display="Man Gets AutoZone Car Code. Then He Tries To Skip The Mechanic And Use ChatGPT: &quot;Are You Guys Lying To Me?&quot;"/>
    <hyperlink ref="E327" r:id="rId326" display="MGM Springfield president discusses move to sell casino, ongoing litigation"/>
    <hyperlink ref="E328" r:id="rId327" display="Airbnb limits checkout chores hosts can require guests to complete"/>
    <hyperlink ref="E329" r:id="rId328" display="'Cameron Green, Josh Inglis': Pat Cummins hints at major changes in Australia XI after 2nd Test loss, issues warning to Marnus Labuschagne"/>
    <hyperlink ref="E330" r:id="rId329" display="Death Notice of Ann (Dolly) Cummins (née Penston) (Hollymount, Mayo)"/>
    <hyperlink ref="E331" r:id="rId330" display="AT&amp;T Froze Its Dividend After a 2022 Cut. Is Verizon the Better Income Stock?"/>
    <hyperlink ref="E332" r:id="rId331" display="Is Huntington Bancshares (HBAN) Expensive Following Its Third Quarter Results And Buyback Backing?"/>
    <hyperlink ref="E333" r:id="rId332" display="Kraft Heinz (KHC) Declines More Than Market: Some Information for Investors"/>
    <hyperlink ref="E334" r:id="rId333" display="Instacart Sale Talks With DoorDash and Uber Raise Concerns"/>
    <hyperlink ref="E335" r:id="rId334" display="AIG Ewah inspects police formations in Ile-Ife, Edunabon"/>
    <hyperlink ref="E336" r:id="rId335" display="British Airways Boeing 777 Encounters Mystery Object Near Heathrow: Category A Risk"/>
    <hyperlink ref="E337" r:id="rId336" display="GROUND-AND-POUND | 📺 FOX"/>
    <hyperlink ref="E338" r:id="rId337" display="Entergy says industrial customers must help finance new nuclear plants"/>
    <hyperlink ref="E339" r:id="rId338" display="MSCI presses Jakarta to tackle market manipulation"/>
    <hyperlink ref="E340" r:id="rId339" display="Quest Diagnostics discloses cyber breach"/>
    <hyperlink ref="E341" r:id="rId340" display="花旗：將西部數據目標價下調至660美元"/>
    <hyperlink ref="E342" r:id="rId341" display="Starbucks' Comeback: The Store-closure Math Behind The Myth"/>
    <hyperlink ref="E343" r:id="rId342" display="Unusual Options Volume Report: PepsiCo Stock"/>
    <hyperlink ref="E344" r:id="rId343" display="Yakhyaev Stops Nikita Krylov With First-Round TKO at UFC 333"/>
    <hyperlink ref="E345" r:id="rId344" display="Slower Procedure Growth Change The Bull Case For Intuitive Surgical Stock?"/>
    <hyperlink ref="E346" r:id="rId345" display="Exit interview: Microsoft’s comms chief on CEOs, reporters, what he got wrong, and stories that stuck"/>
    <hyperlink ref="E347" r:id="rId346" display="A Walmart shopper bought an Intel Core i9 14900K for just $50 instead of $361."/>
    <hyperlink ref="E348" r:id="rId347" display="NDAQ 10-Q &amp; SEC Filings"/>
    <hyperlink ref="E349" r:id="rId348" display="$Tesla (TSLA.US)$ i believe you will go below! dont let me get assigned!"/>
    <hyperlink ref="E350" r:id="rId349" display="Quest Diagnostics pauses lab portal after breach"/>
    <hyperlink ref="E351" r:id="rId350" display="Texas Instruments CEO Sees No Slowdown in Data Center Demand: 'Actually Growing Demand'"/>
    <hyperlink ref="E352" r:id="rId351" display="What’s Driving Attention on Union Pacific (NYSE:UNP) Now?"/>
    <hyperlink ref="E353" r:id="rId352" display="American Express profit jumps as customers stick with the $895 Platinum Card"/>
    <hyperlink ref="E354" r:id="rId353" display="Opinion: Marissa’s Mirror Ball Memo: Obsessing over Dancing With The Stars"/>
    <hyperlink ref="E355" r:id="rId354" display="What Wynn Resorts Holders Got Wrong Before The Slide"/>
    <hyperlink ref="E356" r:id="rId355" display="Nvidia CEO AI promotional push lands in Kazakhstan"/>
    <hyperlink ref="E357" r:id="rId356" display="How Upcoming Earnings Will Impact Autodesk (ADSK) Stock"/>
    <hyperlink ref="E358" r:id="rId357" display="Nvidia’s open-source Flora labels an hour of robot video for 72 cents, against about $88.50 on GPT-6 Astra"/>
    <hyperlink ref="E359" r:id="rId358" display="American Express Reports Third-Quarter 2026 Financial Results"/>
    <hyperlink ref="E360" r:id="rId359" display="Cigna Group (CI) Evernorth Growth Draws Focus, Is The Stock Still Undervalued?"/>
    <hyperlink ref="E361" r:id="rId360" display="Blackrock World Mining Trust PLC Estimates – FWB:14F"/>
    <hyperlink ref="E362" r:id="rId361" display="eBay (NASDAQ:EBAY) Issues Q3 2026 Earnings Guidance"/>
    <hyperlink ref="E363" r:id="rId362" display="5-star Uber rider was making small talk when the driver asked about having kids — one honest answer left the passenger with a 1-star rating"/>
    <hyperlink ref="E364" r:id="rId363" display="AMETEK schedules quarterly results as AMETEK stock trades at EUR 214.25"/>
    <hyperlink ref="E365" r:id="rId364" display="Aon plc $AON Stock Holdings Decreased by AMF Tjanstepension AB"/>
    <hyperlink ref="E366" r:id="rId365" display="Broadcom announces AI networking as Broadcom stock costs EUR 288.00"/>
    <hyperlink ref="E367" r:id="rId366" display="American Express Q3 Earnings Call Highlights"/>
    <hyperlink ref="E368" r:id="rId367" display="Maxim Naumov unpacks ‘brutal’ ‘Special Forces’ moments that nearly made him cry with VRT"/>
    <hyperlink ref="E369" r:id="rId368" display="Comcast Offers 'Limited' Upside Potential, Oppenheimer Says"/>
    <hyperlink ref="E370" r:id="rId369" display="DRI Seizes ₹7.32 Crore Meth From Delhi-Bhopal Bus Passenger"/>
    <hyperlink ref="E371" r:id="rId370" display="Not Nvidia. Not Micron. This Little-Known Chip Stock Is the AI Boom's Best-Kept Secret."/>
    <hyperlink ref="E372" r:id="rId371" display="Why Is ASX 200-Listed ResMed in Focus (ASX:RMD)?"/>
    <hyperlink ref="E373" r:id="rId372" display="Netflix Steals Chris Rock's A24 Movie From Under HBO Max's Nose"/>
    <hyperlink ref="E374" r:id="rId373" display="eBay (EBAY) Stock Could Trade At A Discount As Its 236% Run Continues"/>
    <hyperlink ref="E375" r:id="rId374" display="Will Verisign’s $171.4 million bet on .web pay off?"/>
    <hyperlink ref="E376" r:id="rId375" display="Man uses 'tub of ice cream' from Walmart to teach his roommate a violent lesson about taking up too much space in an Uber: Police"/>
    <hyperlink ref="E377" r:id="rId376" display="Man uses 'tub of ice cream' from Walmart to teach his roommate a violent lesson about taking up too much space in an Uber: Police"/>
    <hyperlink ref="E378" r:id="rId377" display="What Is Driving The Move In Centene Stock?"/>
    <hyperlink ref="E379" r:id="rId378" display="Take-Two schedules November 9 results for Take-Two Interactive stock"/>
    <hyperlink ref="E380" r:id="rId379" display="Netflix Is Shaking Up Its Content Leadership. Here's What Needs to Happen Next."/>
    <hyperlink ref="E381" r:id="rId380" display="Learn Why The Bull Case For Illinois Tool Works Stock Could Change Following Quarterly Earnings Preview"/>
    <hyperlink ref="E382" r:id="rId381" display="Health Data Privacy Lawsuit Against Humana Brought on Behalf of Plaintiffs Represented by Schlichter Bogard Will Proceed"/>
    <hyperlink ref="E383" r:id="rId382" display="WST | Breaking down the Connor Hellebuyck trade and whether the Winnipeg Jets got enough"/>
    <hyperlink ref="E384" r:id="rId383" display="Abdul-Rakhman Yakhyaev Stops Nikita Krylov With Brutal First-Round TKO"/>
    <hyperlink ref="E385" r:id="rId384" display="Is Yum Brands Inc (YUM) a Bargain After 3.1% Drop? GF Value Says Undervalued"/>
    <hyperlink ref="E386" r:id="rId385" display="Apollo finds no broad AI payoff: NVDA stock forecast before earnings"/>
    <hyperlink ref="E387" r:id="rId386" display="Goldman Sachs Ola Electric Downgrade: Why stock rating changed to sell; 23% downside seen - New target price, rationale"/>
    <hyperlink ref="E388" r:id="rId387" display="Ex-PepsiCo CEO Indra Nooyi worked as an overnight receptionist to pay for her Yale degree"/>
    <hyperlink ref="E389" r:id="rId388" display="J.B. Hunt Investor News: If You Have Suffered Losses in"/>
    <hyperlink ref="E390" r:id="rId389" display="Target (TGT) Revamps Its Manhattan Flagship, Is The Stock Still A Bargain?"/>
    <hyperlink ref="E391" r:id="rId390" display="Lions aim to spoil Blue Bombers’ playoff bid on TSN"/>
    <hyperlink ref="E392" r:id="rId391" display="Alexander Volkanovski Earns R2 TKO In Title Defense | UFC 333"/>
    <hyperlink ref="E393" r:id="rId392" display="CDW (CDW) Stock May Be 25% Undervalued Despite Boardroom AI News"/>
    <hyperlink ref="E394" r:id="rId393" display="Letter to the editor: Kroger can’t be trusted"/>
    <hyperlink ref="E395" r:id="rId394" display="Uber ChatGPT Rollout: 3 Hidden Work Costs of AI [2026]"/>
    <hyperlink ref="E396" r:id="rId395" display="DuCoin records hat trick; Ohio field hockey falls to Ball State in OT"/>
    <hyperlink ref="E397" r:id="rId396" display="'Lupin' Season 4 Netflix Review: Stream It Or Skip It?"/>
    <hyperlink ref="E398" r:id="rId397" display="Cattle Await USDA Packer News, Cash, COF: Corn Falls, Soybeans Bounce"/>
    <hyperlink ref="E399" r:id="rId398" display="Tractor Supply Q3: Caution Is Warranted (Rating Downgrade) (NASDAQ:TSCO)"/>
    <hyperlink ref="E400" r:id="rId399" display="Apple Inc. $AAPL Stock Holdings Reduced by Mitchell &amp; Pahl Private Wealth LLC"/>
    <hyperlink ref="E401" r:id="rId400" display="Wells Fargo, Intuit others object to their shares being tokenized- regulatory document By Reuters"/>
    <hyperlink ref="E402" r:id="rId401" display="How a Fake Amazon Phone Call Cost a Retired Nurse $400K, and What You Can Do to Protect Your Parents"/>
    <hyperlink ref="E403" r:id="rId402" display="What Could Micron Technology (MU) Strike Risk And Supply Moves Mean For Investors?"/>
    <hyperlink ref="E404" r:id="rId403" display="William Blair Lowers Builders FirstSource Rating, Sees 2027 Housing Starts Falling"/>
    <hyperlink ref="E405" r:id="rId404" display="Illinois Tool Works stock: October 27 results are set for Illinois Tool Works stock"/>
    <hyperlink ref="E406" r:id="rId405" display="In the UK, Which? says online marketplaces like Amazon won't stop dangerous products until the law steps in"/>
    <hyperlink ref="E407" r:id="rId406" display="Sherwin-Williams declares dividend as Sherwin-Williams stock costs EUR 300.90"/>
    <hyperlink ref="E408" r:id="rId407" display="United Rentals, Inc. Estimates – HAN:UR3"/>
    <hyperlink ref="E409" r:id="rId408" display="October 23, 2026 – Should government have eliminated the HST on all forms of home heat?"/>
    <hyperlink ref="E410" r:id="rId409" display="Smurfit Westrock PLC Estimates – DUS:N4U"/>
    <hyperlink ref="E411" r:id="rId410" display="West Bengal: DRI busts major gold smuggling ring; Over 7.8 kg foreign gold worth Rs11.5 CroresSeized, 6 arrested"/>
    <hyperlink ref="E412" r:id="rId411" display="Apple Inc. $AAPL Stock: Cresta Advisors Ltd. Trims Position"/>
    <hyperlink ref="E413" r:id="rId412" display="11 Best New Walmart Christmas Toys Flying Off Shelves"/>
    <hyperlink ref="E414" r:id="rId413" display="Did Earnings Miss Just Shift Autoliv Stock Investment Narrative?"/>
    <hyperlink ref="E415" r:id="rId414" display="Illinois Tool Works schedules October 27 results. Illinois Tool Works stock trades at EUR 246.10."/>
    <hyperlink ref="E416" r:id="rId415" display="Illinois Tool Works schedules October 27 results. Illinois Tool Works stock trades at EUR 246.10."/>
    <hyperlink ref="E417" r:id="rId416" display="Capital One Financial (NYSE:COF) Stock Eases 1.56%: P/E, EPS and Technicals"/>
    <hyperlink ref="E418" r:id="rId417" display="AMETEK Sets November 3 Earnings Report for Investors"/>
    <hyperlink ref="E419" r:id="rId418" display="How Higher Rates At Charles Schwab (SCHW) Has Changed Its Investment Story"/>
    <hyperlink ref="E420" r:id="rId419" display="Edged and gone! Cummins strikes"/>
    <hyperlink ref="E421" r:id="rId420" display="Boston Scientific stock costs EUR 40.77 in weekend trading"/>
    <hyperlink ref="E422" r:id="rId421" display="Verizon iPhone Duo Delay: $100 Gift Card for Late Pre-Orders"/>
    <hyperlink ref="E423" r:id="rId422" display="Netflix Turned A Controversial Experiment From The '70s Into A Reality Show. Experts Say It Shouldn't Have."/>
    <hyperlink ref="E424" r:id="rId423" display="Abilene High linebacker Levon Koonce chases the ball after Amarillo High wide receiver Jeb Grammer was tackled during Friday’s game at Abilene’s Shotwell Stadium Oct. 16, 2026. Final score was 24-14, Amarillo High."/>
    <hyperlink ref="E425" r:id="rId424" display="Who is Sunny Balwani, Elizabeth Holmes' ex-boyfriend and Theranos COO?"/>
    <hyperlink ref="E426" r:id="rId425" display="Moderna Investors Should Brace for More Whiplash"/>
    <hyperlink ref="E427" r:id="rId426" display="Apple could be about to dethrone Nvidia as world's most valuable company"/>
    <hyperlink ref="E428" r:id="rId427" display="IBM - Do Nothing - Q3 FY12/26 Earnings Review (NYSE:IBM)"/>
    <hyperlink ref="E429" r:id="rId428" display="DuCoin Records Hat Trick; Ohio Field Hockey Falls to Ball State in OT - Ohio University"/>
    <hyperlink ref="E430" r:id="rId429" display="Uber, texting fines, self-driving cars: Everything Regev didn't do"/>
    <hyperlink ref="E431" r:id="rId430" display="RBC Capital reiterates Verisk Analytics stock rating at Outperform"/>
    <hyperlink ref="E432" r:id="rId431" display="25 Years Since Its Reveal, and People Still Search for iPods “Every Two Seconds” on eBay"/>
    <hyperlink ref="E433" r:id="rId432" display="Why Is Honeywell International (NASDAQ:HON) in Focus Today?"/>
    <hyperlink ref="E434" r:id="rId433" display="W.R. Berkley Corporation Estimates – NYSE:WRB"/>
    <hyperlink ref="E435" r:id="rId434" display="Accenture (ACN) Sees a More Significant Dip Than Broader Market: Some Facts to Know"/>
    <hyperlink ref="E436" r:id="rId435" display="IBM Q3 Earnings Review: No Change To Our 'Do Nothing' Opinion (NYSE:IBM)"/>
    <hyperlink ref="E437" r:id="rId436" display="GeForce RTX 5090 power cable burns out in Fractal Ridge compact case"/>
    <hyperlink ref="E438" r:id="rId437" display="Exclusive: MGM Springfield President talks casino sale, ongoing litigation"/>
    <hyperlink ref="E439" r:id="rId438" display="International Business Machines Corporation $IBM Holdings Reduced by Radnor Capital Management LLC"/>
    <hyperlink ref="E440" r:id="rId439" display="Ocarina of Time Switch 2: $59.88 Walmart Price [2026]"/>
    <hyperlink ref="E441" r:id="rId440" display="Rockwell Automation schedules November 5 results for Rockwell Automation stock"/>
    <hyperlink ref="E442" r:id="rId441" display="Family Offices Split by Generation as $124T Changes Hands: BlackRock"/>
    <hyperlink ref="E443" r:id="rId442" display="Frightful Flicks T🙂 Click 🙁R Skip on Max, Netflix, Etc."/>
    <hyperlink ref="E444" r:id="rId443" display="The 'agents of chaos' from Netflix’s 'New Stanford Prison Experiment' speak out"/>
    <hyperlink ref="E445" r:id="rId444" display="Last Four Women’s UFC Title Fights to End Via KO/TKO"/>
    <hyperlink ref="E446" r:id="rId445" display="General Motors denies Supercars manipulation claims"/>
    <hyperlink ref="E447" r:id="rId446" display="Should Greenville Plant Closure Require Action From PPG Industries Stock Investors?"/>
    <hyperlink ref="E448" r:id="rId447" display="Palo Alto Networks Lobbies On AI bills"/>
    <hyperlink ref="E449" r:id="rId448" display="A Prisoner Had McDonald's and Booze Delivered by Drone to a Maximum-Security Prison. Seriously."/>
    <hyperlink ref="E450" r:id="rId449" display="These Analysts Revise Their Forecasts On Western Digital After Q1 Results"/>
    <hyperlink ref="E451" r:id="rId450" display="Marks Electrical Group Plc Estimates – LSE:MRK"/>
    <hyperlink ref="E452" r:id="rId451" display="CME Group Inc. Class A Estimates – LSE:0HR2"/>
    <hyperlink ref="E453" r:id="rId452" display="Coinbase Sets Oct. 29 Release for Third-Quarter 2026 Results"/>
    <hyperlink ref="E454" r:id="rId453" display="FIS: Fuel Oil Report 23 Oct"/>
    <hyperlink ref="E455" r:id="rId454" display="AMP Mulls Change in Funding Structure for Bank Amid Buyout Speculation"/>
    <hyperlink ref="E456" r:id="rId455" display="Bristol Myers Squibb reports interim MS data from CAR T study"/>
    <hyperlink ref="E457" r:id="rId456" display="Amphenol changes division leadership as stock trades at EUR 66.14"/>
    <hyperlink ref="E458" r:id="rId457" display="A $1 Trillion Depreciation Bomb Is Ticking Beneath the AI Market - Meta Platforms (NASDAQ:META), Amazon.c"/>
    <hyperlink ref="E459" r:id="rId458" display="AT&amp;T, T-Mobile, and Verizon fight FCC rules favoring new rival"/>
    <hyperlink ref="E460" r:id="rId459" display="'Fading Grandeur' Netflix Review: Stream It Or Skip It?"/>
    <hyperlink ref="E461" r:id="rId460" display="AT&amp;T, T-Mobile, and Verizon fight FCC rules favoring new rival"/>
    <hyperlink ref="E462" r:id="rId461" display="CRH (CRH) Falls More Steeply Than Broader Market: What Investors Need to Know"/>
    <hyperlink ref="E463" r:id="rId462" display="Is New GDIT President Altering The Investment Case For General Dynamics Stock?"/>
    <hyperlink ref="E464" r:id="rId463" display="Should You Buy Bristol Myers Squibb While It Trades Below 10 Times Forward Earnings?"/>
    <hyperlink ref="E465" r:id="rId464" display="Invesco Advantage Municipal Income Trust II (NYSEAMERICAN:VKI) Share Price Breaks Below 50 Day Moving Average - Should You Sell?"/>
    <hyperlink ref="E466" r:id="rId465" display="Echostar Q3 2026 Earnings Date and Estimates"/>
    <hyperlink ref="E467" r:id="rId466" display="Johnson Controls International plc Estimates – NYSE:JCI"/>
    <hyperlink ref="E468" r:id="rId467" display="TSN | How will Jets fans react to Hellebuyck when he returns to Winnipeg?"/>
    <hyperlink ref="E469" r:id="rId468" display="Former Kroger facility in Groveland listed for sale months after closure"/>
    <hyperlink ref="E470" r:id="rId469" display="Aon, Marsh, WTW: are they really brokerages any more?"/>
    <hyperlink ref="E471" r:id="rId470" display="How would you be as a prisoner or guard? New Netflix show asks that question."/>
    <hyperlink ref="E472" r:id="rId471" display="SanDisk Q1 FY2027 earnings conference call"/>
    <hyperlink ref="E473" r:id="rId472" display="Nike (NKE) Falls More Steeply Than Broader Market: What Investors Need to Know"/>
    <hyperlink ref="E474" r:id="rId473" display="Las Vegas Sands | 10-Q: Quarterly report"/>
    <hyperlink ref="E475" r:id="rId474" display="Equities Analysts Offer Predictions for IBM FY2027 Earnings"/>
    <hyperlink ref="E476" r:id="rId475" display="1,948 Broadcom Inc. $AVGO Shares Sold by AMG Asset Management Group Inc."/>
    <hyperlink ref="E477" r:id="rId476" display="General Dynamics names Amy Johnson GDIT president. General Dynamics stock costs EUR 312.20."/>
    <hyperlink ref="E478" r:id="rId477" display="Why Is Exxon Mobil (NYSE:XOM) in Focus as Oil Prices Climb Today?"/>
    <hyperlink ref="E479" r:id="rId478" display="Costco Is Kicking Off Its Holiday Savings Before Halloween. Here's the Exact Date They Begin"/>
    <hyperlink ref="E480" r:id="rId479" display="Dow Jones futures: Microsoft, Google, Amazon lead earnings wave; what to do in mixed market"/>
    <hyperlink ref="E481" r:id="rId480" display="UFC 333 Highlights! Pico Delivers Blistering 74-Second TKO Over Keita"/>
    <hyperlink ref="E482" r:id="rId481" display="AEP and Xcel Energy Face Surging Power Demand. Which Dividend Is Safer?"/>
    <hyperlink ref="E483" r:id="rId482" display="M&amp;T Bank Stadium Weather: Bengals-Ravens Forecast (Oct. 25)"/>
    <hyperlink ref="E484" r:id="rId483" display="Microsoft Weekly: OneDrive + Copilot event, BioWare shutdown, and more"/>
    <hyperlink ref="E485" r:id="rId484" display="AEP and Xcel Energy Face Surging Power Demand. Which Dividend Is Safer?"/>
    <hyperlink ref="E486" r:id="rId485" display="There’s a Reason That Netflix’s Ad Business Has Underwhelmed"/>
    <hyperlink ref="E487" r:id="rId486" display="DRI Seizes 1.136 Kg of Methamphetamine from Hyderabad-Bound Bus"/>
    <hyperlink ref="E488" r:id="rId487" display="Wells Fargo, Intuit, and Arm Holdings oppose tr..."/>
    <hyperlink ref="E489" r:id="rId488" display="Avalo Therapeutics downgraded to Neutral at Guggenheim after AbbVie data"/>
    <hyperlink ref="E490" r:id="rId489" display="Amazon MGM Studios May Have Found Daniel Craig’s Successor"/>
    <hyperlink ref="E491" r:id="rId490" display="No. 6 Indiana Hoosiers vs Michigan Wolverines Highlights | FOX College Football"/>
    <hyperlink ref="E492" r:id="rId491" display="Medtronic Plc Estimates – MUN:2M6"/>
    <hyperlink ref="E493" r:id="rId492" display="Ameren Illinois Company Estimates – OTC:AILLP"/>
    <hyperlink ref="E494" r:id="rId493" display="Microsoft, McDonald's, Verizon, and Others Tell Crypto Platform Not to Tokenize Their Stocks"/>
    <hyperlink ref="E495" r:id="rId494" display="Microsoft, McDonald's, Verizon, and Others Tell Crypto Platform Not to Tokenize Their Stocks"/>
    <hyperlink ref="E496" r:id="rId495" display="Microsoft, McDonald's, Verizon, and Others Tell Crypto Platform Not to Tokenize Their Stocks"/>
    <hyperlink ref="E497" r:id="rId496" display="Hewlett Packard Enterprise Company Estimates – NYSE:HPE"/>
    <hyperlink ref="E498" r:id="rId497" display="NOC Week in Review #16: 10/17-23/2026"/>
    <hyperlink ref="E499" r:id="rId498" display="WWE Crown Jewel’s Future Addressed By TKO CEO Ari Emanuel"/>
    <hyperlink ref="E500" r:id="rId499" display="Open Thread: Colorado Avalanche @ Nashville Predators (6:00 P.M. MDT)"/>
    <hyperlink ref="E501" r:id="rId500" display="Does AI Platform Launch Change The Bull Case For Rockwell Automation (ROK)?"/>
    <hyperlink ref="E502" r:id="rId501" display="CMS parents and staff getting survey to weigh in on proposed schedule changes"/>
    <hyperlink ref="E503" r:id="rId502" display="Erste Group Bank Estimates Targa Resources FY2026 Earnings"/>
    <hyperlink ref="E504" r:id="rId503" display="BlackRock Multi-Sector Income Trust Estimates – BOATS:BIT"/>
    <hyperlink ref="E505" r:id="rId504" display="Weyerhaeuser Company Estimates – NYSE:WY"/>
    <hyperlink ref="E506" r:id="rId505" display="The One Thing Your McDonald's Egg McMuffin Has Been Missing"/>
    <hyperlink ref="E507" r:id="rId506" display="Should You Forget the Vanguard S&amp;P 500 ETF (VOO) and Buy the Invesco S&amp;P 500 Equal Weight ETF (RSP) Instead?"/>
    <hyperlink ref="E508" r:id="rId507" display="Invesco Quality Municipal Income Trust (NYSE:IQI) Share Price Breaks Below 50-Day Moving Average - Should You Sell?"/>
    <hyperlink ref="E509" r:id="rId508" display="Analog Devices, Inc. Estimates – LS:862485"/>
    <hyperlink ref="E510" r:id="rId509" display="In the US, AME Church retirees to receive tens of millions more in funds lost amid scandal"/>
    <hyperlink ref="E511" r:id="rId510" display="PayPal cofounder Peter Thiel says Apple has done 'nothing new' since Steve Jobs' death | Trending"/>
    <hyperlink ref="E512" r:id="rId511" display="How Valve Device Approvals Will Impact Edwards Lifesciences Stock (EW)"/>
    <hyperlink ref="E513" r:id="rId512" display="Why Broadcom (NASDAQ:AVGO) Remains In Focus As AI Evolves?"/>
    <hyperlink ref="E514" r:id="rId513" display="CVS Health sets November 4 results and declares a USD 0.665 dividend per CVS Health stock"/>
    <hyperlink ref="E515" r:id="rId514" display="UDR, Inc. Estimates – SWB:UF0"/>
    <hyperlink ref="E516" r:id="rId515" display="Will These Nuances Undo Merck And Moderna's Cancer Vaccine?"/>
    <hyperlink ref="E517" r:id="rId516" display="Chubb Limited Estimates – LSE:0VQD"/>
    <hyperlink ref="E518" r:id="rId517" display="Lam Research reports record September quarter. Lam Research stock costs EUR 205.40"/>
    <hyperlink ref="E519" r:id="rId518" display="American Water Works Company, Inc. Estimates – NYSE:AWK"/>
    <hyperlink ref="E520" r:id="rId519" display="Hilton Worldwide Holdings Inc. Estimates – NYSE:HLT"/>
    <hyperlink ref="E521" r:id="rId520" display="Richmond Minerals Inc. Estimates – TSXV:RMD"/>
    <hyperlink ref="E522" r:id="rId521" display="What Darden Restaurants (DRI)'s California Labor Lawsuit Means For Shareholders"/>
    <hyperlink ref="E523" r:id="rId522" display="Does AI Data Center Demand Change The Bull Case For Fastenal (FAST)?"/>
    <hyperlink ref="E524" r:id="rId523" display="Universal Health Services, Inc. (UHS) Stock forecasts"/>
    <hyperlink ref="E525" r:id="rId524" display="Avery Dennison Corporation Estimates – NYSE:AVY"/>
    <hyperlink ref="E526" r:id="rId525" display="ATI Chief Kimberly Fields Joins L3Harris Technologies Board"/>
    <hyperlink ref="E527" r:id="rId526" display="Amazon Spent More on Data Centers Last Quarter Than AWS Earned in Revenue. Should Investors Worry?"/>
    <hyperlink ref="E528" r:id="rId527" display="Charles River Laboratories International (CRL) Has Fresh Attention, But What Is Behind It?"/>
    <hyperlink ref="E529" r:id="rId528" display="‘Mayor of Kingstown’ Season 5 Update Hints at When It Could Hit Netflix"/>
    <hyperlink ref="E530" r:id="rId529" display="I've always recommended naming Excel tables, and Microsoft just removed the annoying part"/>
    <hyperlink ref="E531" r:id="rId530" display="Turn 74 With $600,000 in an IRA and Decide to Convert $50,000 to a Roth, and the IRS Requires the $23,500 RMD to Come Out First, Taxed, With Not a Dollar of It Allowed Into the Roth"/>
    <hyperlink ref="E532" r:id="rId531" display="WSM290119C00145000 Interactive Stock Chart | WSM Jan 2029 145.000 call Stock"/>
    <hyperlink ref="E533" r:id="rId532" display="TSLA261026P00255000 Interactive Stock Chart | TSLA Oct 2026 255.000 put Stock"/>
    <hyperlink ref="E534" r:id="rId533" display="No. 15 Iowa Hawkeyes vs Minnesota Golden Gophers Highlights | FOX College Football"/>
    <hyperlink ref="E535" r:id="rId534" display="Diamondback Energy schedules results call as Diamondback Energy stock trades at EUR 183.10"/>
    <hyperlink ref="E536" r:id="rId535" display="Is Texas Instruments Stock Really Expensive?"/>
    <hyperlink ref="E537" r:id="rId536" display="小摩下調AT&amp;T目標價至31美元"/>
    <hyperlink ref="E538" r:id="rId537" display="Monster Beverage Corporation Estimates – BX:MOB"/>
    <hyperlink ref="E539" r:id="rId538" display="Learn Why The Bull Case For ITW Stock Could Change Following Quarterly Earnings Report"/>
    <hyperlink ref="E540" r:id="rId539" display="Diamondback Energy stock costs EUR 183.10 in weekend trading"/>
    <hyperlink ref="E541" r:id="rId540" display="Netflix’s ‘Empress of Flames’ First Look Reveals a Thai Throne War Where Revenge Burns Hotter Than Any Crown"/>
    <hyperlink ref="E542" r:id="rId541" display="Why is Palo Alto Networks stock surging today?"/>
    <hyperlink ref="E543" r:id="rId542" display="American Express Stock Shocks Despite Positive Revenue and Earnings"/>
    <hyperlink ref="E544" r:id="rId543" display="TDG Holding Co., Ltd. Class A Estimates – SSE:600330"/>
    <hyperlink ref="E545" r:id="rId544" display="WEC Energy Group (WEC) Shares Moved, So What Is Driving Attention Now?"/>
    <hyperlink ref="E546" r:id="rId545" display="Atlanta City Council backs Starbucks boycott"/>
    <hyperlink ref="E547" r:id="rId546" display="Norfolk Southern Corporation Estimates – NYSE:NSC"/>
    <hyperlink ref="E548" r:id="rId547" display="Windows remembers every USB device you've plugged in, and checking your history takes five minutes"/>
    <hyperlink ref="E549" r:id="rId548" display="All Hallows Eve Victorian Ball happening this weekend"/>
    <hyperlink ref="E550" r:id="rId549" display="SpaceX Cell Site Report Hits Verizon, AT&amp;T, Lifts These Tower Plays"/>
    <hyperlink ref="E551" r:id="rId550" display="SpaceX Cell Site Report Hits Verizon, AT&amp;T, Lifts These Tower Plays"/>
    <hyperlink ref="E552" r:id="rId551" display="Oklahoma basketball scrimmage notes: Intel as the opener nears"/>
    <hyperlink ref="E553" r:id="rId552" display="Alphabet, Microsoft, Amazon Report Oct. 28-29 [2026]"/>
    <hyperlink ref="E554" r:id="rId553" display="ResMed Inc. (RMD) Stock forecasts"/>
    <hyperlink ref="E555" r:id="rId554" display="ResMed Inc. (RMD) Stock Forecasts"/>
    <hyperlink ref="E556" r:id="rId555" display="Blackstone Inc. Estimates – NYSE:BX"/>
    <hyperlink ref="E557" r:id="rId556" display="What to Expect From CVS Health's Next Quarterly Earnings Report"/>
    <hyperlink ref="E558" r:id="rId557" display="Netflix announces 3-part documentary on disappearance of Natalee Holloway"/>
    <hyperlink ref="E559" r:id="rId558" display="Tesla, Inc. (TSLA) Stock Forecasts"/>
    <hyperlink ref="E560" r:id="rId559" display="The Hershey Company Estimates – NYSE:HSY"/>
    <hyperlink ref="E561" r:id="rId560" display="Costar Group Co., Ltd. Reports Earnings Results for the Nine Months Ended September 30, 2026"/>
    <hyperlink ref="E562" r:id="rId561" display="FFIV261120P00420000 Interactive Stock Chart | FFIV Nov 2026 420.000 put Stock"/>
    <hyperlink ref="E563" r:id="rId562" display="West Pharmaceutical Services, Inc. Estimates – BX:WPS"/>
    <hyperlink ref="E564" r:id="rId563" display="Does Sales Reset Change The Bull Case For Nike Stock (NKE)?"/>
    <hyperlink ref="E565" r:id="rId564" display="TKO CEO Ari Emanuel Reveals Whether WWE Crown Jewel In Saudi Arabia Has Been Cancelled"/>
    <hyperlink ref="E566" r:id="rId565" display="No. 8 Texas Tech Red Raiders vs Cincinnati Bearcats Highlights | FOX College Football"/>
    <hyperlink ref="E567" r:id="rId566" display="What Did GE Aerospace’s Quarter Change For Its Stock?"/>
    <hyperlink ref="E568" r:id="rId567" display="Old Dominion Freight Line, Inc. Estimates – BMV:ODFL"/>
    <hyperlink ref="E569" r:id="rId568" display="citigroup global markets australia holdings pty limited Warrant 2022-17.06.27 on iShs S&amp;P 500 Estimates – ASX:IVVSOI"/>
    <hyperlink ref="E570" r:id="rId569" display="Broadcom Inc. $AVGO Shares Newly Acquired by Sawyer &amp; Company Inc"/>
    <hyperlink ref="E571" r:id="rId570" display="How Earnings Beat Will Impact Valero Energy (VLO) Stock"/>
    <hyperlink ref="E572" r:id="rId571" display="ISRG Oct 2026 457.500 call (ISRG261030C00457500) stock price, news, quote and history"/>
    <hyperlink ref="E573" r:id="rId572" display="Report - How Much TKO Would Lose If WWE Crown Jewel 2026 &amp; UFC Events In Saudi Arabia Are Canceled"/>
    <hyperlink ref="E574" r:id="rId573" display="Stanley Black &amp; Decker, Inc. (SWK) Stock Price, News, Quote &amp; History"/>
    <hyperlink ref="E575" r:id="rId574" display="Week 7 Fantasy Football FLEX Rankings"/>
    <hyperlink ref="E576" r:id="rId575" display="State Street (STT), What Is Behind Its Latest Attention?"/>
    <hyperlink ref="E577" r:id="rId576" display="CEG261113P00305000 Interactive Stock Chart | CEG Nov 2026 305.000 put Stock"/>
    <hyperlink ref="E578" r:id="rId577" display="HPQ261030C00028500 interactive stock chart | HPQ Oct 2026 28.500 call stock"/>
    <hyperlink ref="E579" r:id="rId578" display="Public Service Enterprise Group (PEG) Shares Moved, So What Is Driving Attention Now?"/>
    <hyperlink ref="E580" r:id="rId579" display="Motorola Solutions, Inc. (MSI) Stock Price, News, Quote &amp; History"/>
    <hyperlink ref="E581" r:id="rId580" display="Week 7 Fantasy Football FLEX Rankings"/>
    <hyperlink ref="E582" r:id="rId581" display="Howmet Aerospace Inc. Estimates – NYSE:HWM"/>
    <hyperlink ref="E583" r:id="rId582" display="Wells Fargo, Intuit Join Growing Corporate Revolt Against Tokenized Stock Plan: Reuters"/>
    <hyperlink ref="E584" r:id="rId583" display="DHI Group, Inc. Estimates – NYSE:DHX"/>
    <hyperlink ref="E585" r:id="rId584" display="SNDK270521C01340000 Interactive Stock Chart | SNDK May 2027 1340.000 call Stock"/>
    <hyperlink ref="E586" r:id="rId585" display="Your USB hub can sabotage your wireless mouse: here’s the cheap fix"/>
    <hyperlink ref="E587" r:id="rId586" display="VLO Nov 2026 465.000 call (VLO261113C00465000) stock price, news, quote and history"/>
    <hyperlink ref="E588" r:id="rId587" display="PayPal Holdings, Inc. Estimates – BMV:PYPL"/>
    <hyperlink ref="E589" r:id="rId588" display="AAPL261030C00225000 Interactive Stock Chart | AAPL Oct 2026 225.000 call Stock"/>
    <hyperlink ref="E590" r:id="rId589" display="MSCI JP IMI/CONSUMER ST STRD JP (AT0000A35R50.VI) recent insider transactions"/>
    <hyperlink ref="E591" r:id="rId590" display="Longtime Customer Goes To AutoZone. Then A Worker Makes Him Walk Out And Go To O'Reilly: 'Please Wait For Cashier'"/>
    <hyperlink ref="E592" r:id="rId591" display="TGT281215C00115000 interactive stock chart | TGT Dec 2028 115.000 call stock"/>
    <hyperlink ref="E593" r:id="rId592" display="Invesco QQQ $QQQ Shares Sold by Wedbush Securities Inc."/>
    <hyperlink ref="E594" r:id="rId593" display="Devon Energy Corporation Estimates – SWB:DY6"/>
    <hyperlink ref="E595" r:id="rId594" display="TSLA Oct 2026 362.500 call (TSLA261023C00362500) stock price, news, quote and history"/>
    <hyperlink ref="E596" r:id="rId595" display="Teledyne Technologies Incorporated : Quarterly Report for Quarter Ending September 27, 2026 (Form 10-Q)"/>
    <hyperlink ref="E597" r:id="rId596" display="54,144 CBRE Group, Inc. $CBRE Shares Sold by Crossmark Global Holdings Inc."/>
    <hyperlink ref="E598" r:id="rId597" display="AAPL Dec 2026 590.000 call (AAPL261218C00590000) stock price, news, quote and history"/>
    <hyperlink ref="E599" r:id="rId598" display="Invesco Advantage Muni Income Trust II Estimates – NASDAQ:XVKIX"/>
    <hyperlink ref="E600" r:id="rId599" display="Here is What to Know Beyond Why Citigroup Inc. (C) is a Trending Stock"/>
    <hyperlink ref="E601" r:id="rId600" display="Tapestry, Inc. (TPR) Stock Price, News, Quote &amp; History"/>
    <hyperlink ref="E602" r:id="rId601" display="TSLA Oct 2026 387.500 call (TSLA261023C00387500) stock price, news, quote and history"/>
    <hyperlink ref="E603" r:id="rId602" display="TSLA261023C00382500 Interactive Stock Chart | TSLA Oct 2026 382.500 call Stock"/>
    <hyperlink ref="E604" r:id="rId603" display="MOS Oct 2026 28.000 call (MOS261023C00028000) stock price, news, quote and history"/>
    <hyperlink ref="E605" r:id="rId604" display="HPQ Oct 2026 38.500 call (HPQ261023C00038500) stock price, news, quote and history"/>
    <hyperlink ref="E606" r:id="rId605" display="Verisk Analytics comments on Delaware Supreme Court order regarding AccuLynx"/>
    <hyperlink ref="E607" r:id="rId606" display="Microsoft Earnings Report To Focus On AI Momentum, Capex"/>
    <hyperlink ref="E608" r:id="rId607" display="Microsoft will decide Arkane Lyon’s fate in November"/>
    <hyperlink ref="E609" r:id="rId608" display="TSLA Oct 2026 387.500 put (TSLA261023P00387500) stock price, news, quote and history"/>
    <hyperlink ref="E610" r:id="rId609" display="iShares MSCI Emerging Markets ETF Shs Cert Deposito Arg Repr 0.2 Sh Estimates – BCBA:EEMC"/>
    <hyperlink ref="E611" r:id="rId610" display="為何人工智能數據中心正推動燃料電池需求激增"/>
    <hyperlink ref="E612" r:id="rId611" display="TDG Nov 2026 1180.000 call (TDG261120C01180000) stock price, news, quote and history"/>
    <hyperlink ref="E613" r:id="rId612" display="Trimble Inc. (TRMB) Stock Forecasts"/>
    <hyperlink ref="E614" r:id="rId613" display="Not Nvidia. Not Microsoft. This &quot;Magnificent Seven&quot; Stock Is the Cheapest Right Now."/>
    <hyperlink ref="E615" r:id="rId614" display="JBL Claims Curt Hennig Drugged Jim Ross, Gerald Brisco"/>
    <hyperlink ref="E616" r:id="rId615" display="Not Nvidia. Not Microsoft. This &quot;Magnificent Seven&quot; Stock Is the Cheapest Right Now."/>
    <hyperlink ref="E617" r:id="rId616" display="Why is Amazon spending half a billion dollars in Kapolei?"/>
    <hyperlink ref="E618" r:id="rId617" display="TSLA Oct 2026 432.500 call (TSLA261023C00432500) stock price, news, quote and history"/>
    <hyperlink ref="E619" r:id="rId618" display="TPR Co., Ltd. Estimates – TSE:6463"/>
    <hyperlink ref="E620" r:id="rId619" display="Texas Instruments (TXN) Stock Rating: HOLD After Q3 FY12/26 Earnings (NASDAQ:TXN)"/>
    <hyperlink ref="E621" r:id="rId620" display="MTB Mar 2027 165.000 put (MTB270319P00165000) Stock Price, News, Quote &amp; History"/>
    <hyperlink ref="E622" r:id="rId621" display="CMG Oct 2026 36.500 put (CMG261030P00036500) stock price, news, quote and history"/>
    <hyperlink ref="E623" r:id="rId622" display="AVGO Oct 2026 445.000 call (AVGO261026C00445000) stock price, news, quote and history"/>
    <hyperlink ref="E624" r:id="rId623" display="AVGO Oct 2026 367.500 put (AVGO261026P00367500) stock price, news, quote and history"/>
    <hyperlink ref="E625" r:id="rId624" display="Viatris Inc. Estimates – NASDAQ:VTRS"/>
    <hyperlink ref="E626" r:id="rId625" display="LLY|Eli Lilly and Co|Price:1265.235|Chg%:-41.455"/>
    <hyperlink ref="E627" r:id="rId626" display="為何人工智能數據中心正推動燃料電池需求激增"/>
    <hyperlink ref="E628" r:id="rId627" display="New York Jets vs Miami Dolphins Pre-Game Ball"/>
    <hyperlink ref="E629" r:id="rId628" display="Apollo appoints Micky Malka to board. Apollo Global Management stock costs EUR 100.80"/>
    <hyperlink ref="E630" r:id="rId629" display="Computer Modelling Group Ltd. Estimates – TSX:CMG"/>
    <hyperlink ref="E631" r:id="rId630" display="Revenue Warning Could Be A Game Changer For Trade Desk Stock (TTD)"/>
    <hyperlink ref="E632" r:id="rId631" display="Lennox International, Inc. Estimates – BOATS:LII"/>
    <hyperlink ref="E633" r:id="rId632" display="ISRG Nov 2026 505.000 call (ISRG261106C00505000) stock price, news, quote and history"/>
    <hyperlink ref="E634" r:id="rId633" display="META Oct 2026 592.500 call (META261026C00592500) stock price, news, quote and history"/>
    <hyperlink ref="E635" r:id="rId634" display="NKE Oct 2026 32.500 call (NKE261023C00032500) stock price, news, quote and history"/>
    <hyperlink ref="E636" r:id="rId635" display="MSFT Oct 2026 590.000 call (MSFT261026C00590000) stock price, news, quote and history"/>
    <hyperlink ref="E637" r:id="rId636" display="ACN Dec 2026 410.000 call (ACN261218C00410000) stock price, news, quote and history"/>
    <hyperlink ref="E638" r:id="rId637" display="Citigroup Global Markets Australia Pty Ltd Warrant 2025-06.02.35 on BHP Billiton Estimates – ASX:BHPJOC"/>
    <hyperlink ref="E639" r:id="rId638" display="DVN Nov 2026 58.000 call (DVN261113C00058000) Stock Price, News, Quote &amp; History"/>
    <hyperlink ref="E640" r:id="rId639" display="WDC Oct 2026 392.500 call (WDC261023C00392500) stock price, news, quote and history"/>
    <hyperlink ref="E641" r:id="rId640" display="Invesco QQQ $QQQ Stock Acquired by Reyes Financial Architecture Inc."/>
    <hyperlink ref="E642" r:id="rId641" display="MOS Sep 2027 20.000 put (MOS270917P00020000) stock price, news, quote and history"/>
    <hyperlink ref="E643" r:id="rId642" display="Block, Inc. $XYZ Stock Sold by SBI Securities Co. Ltd."/>
    <hyperlink ref="E644" r:id="rId643" display="TSLA Oct 2026 347.500 call (TSLA261023C00347500) stock price, news, quote and history"/>
    <hyperlink ref="E645" r:id="rId644" display="TSLA261026C00447500 Interactive Stock Chart | TSLA Oct 2026 447.500 call Stock"/>
    <hyperlink ref="E646" r:id="rId645" display="LLY Nov 2026 1380.000 put (LLY261127P01380000) stock price, news, quote and history"/>
    <hyperlink ref="E647" r:id="rId646" display="ROP Stock Quote Price and Forecast"/>
    <hyperlink ref="E648" r:id="rId647" display="UNP Mar 2027 125.000 put (UNP270319P00125000) stock price, news, quote and history"/>
    <hyperlink ref="E649" r:id="rId648" display="MSFT Oct 2026 455.000 call (MSFT261026C00455000) Stock Price, News, Quote &amp; History"/>
    <hyperlink ref="E650" r:id="rId649" display="Blackrock Greater Europe Investment Trust PLC Estimates – LSE:BRGE"/>
    <hyperlink ref="E651" r:id="rId650" display="AVGO Oct 2026 302.500 call (AVGO261026C00302500) stock price, news, quote and history"/>
    <hyperlink ref="E652" r:id="rId651" display="LITE Sep 2027 590.000 put (LITE270917P00590000) stock price, news, quote and history"/>
    <hyperlink ref="E653" r:id="rId652" display="CEG270219P00310000 Interactive Stock Chart | CEG Feb 2027 310.000 put Stock"/>
    <hyperlink ref="E654" r:id="rId653" display="AVGO Oct 2026 327.500 call (AVGO261026C00327500) stock price, news, quote and history"/>
    <hyperlink ref="E655" r:id="rId654" display="MSFT Oct 2026 490.000 call (MSFT261026C00490000) stock price, news, quote and history"/>
    <hyperlink ref="E656" r:id="rId655" display="NVIDIA Shader Cache Size: 13 Steps, 40 Min [2026]"/>
    <hyperlink ref="E657" r:id="rId656" display="LRCX261023P00267500 Interactive Stock Chart | LRCX Oct 2026 267.500 put Stock"/>
    <hyperlink ref="E658" r:id="rId657" display="TSLA Oct 2026 342.500 call (TSLA261023C00342500) stock price, news, quote and history"/>
    <hyperlink ref="E659" r:id="rId658" display="Motorola Solutions, Inc. Estimates – NYSE:MSI"/>
    <hyperlink ref="E660" r:id="rId659" display="TXN Jan 2029 240.000 put (TXN290119P00240000) Stock Price, News, Quote &amp; History"/>
    <hyperlink ref="E661" r:id="rId660" display="F5, Inc. (FFIV) stock price, news, quote and history"/>
    <hyperlink ref="E662" r:id="rId661" display="AMGN Mar 2027 560.000 call (AMGN270319C00560000) Stock Price, News, Quote &amp; History"/>
    <hyperlink ref="E663" r:id="rId662" display="RMD Nov 2026 240.000 call (RMD261120C00240000) stock price, news, quote and history"/>
    <hyperlink ref="E664" r:id="rId663" display="CVX Sep 2027 190.000 put (CVX270917P00190000) stock price, news, quote and history"/>
    <hyperlink ref="E665" r:id="rId664" display="Citizens Financial Group, Inc. Estimates – NYSE:CFG"/>
    <hyperlink ref="E666" r:id="rId665" display="LVS Oct 2026 41.000 put (LVS261030P00041000) Stock Price, News, Quote &amp; History"/>
    <hyperlink ref="E667" r:id="rId666" display="'Paralyzed By Hope: The Maria Bamford Story' Netflix Review, Stream It or Skip It?"/>
    <hyperlink ref="E668" r:id="rId667" display="APO Oct 2026 112.000 put (APO261023P00112000) stock price, news, quote and history"/>
    <hyperlink ref="E669" r:id="rId668" display="TXN Sep 2027 390.000 call (TXN270917C00390000) Stock Price, News, Quote &amp; History"/>
    <hyperlink ref="E670" r:id="rId669" display="HUBB Nov 2026 360.000 put (HUBB261120P00360000) stock price, news, quote and history"/>
    <hyperlink ref="E671" r:id="rId670" display="QCOM Oct 2026 182.500 call (QCOM261023C00182500) stock price, news, quote and history"/>
    <hyperlink ref="E672" r:id="rId671" display="HOOD Jan 2029 195.000 put (HOOD290119P00195000) Stock Price, News, Quote &amp; History"/>
    <hyperlink ref="E673" r:id="rId672" display="HPQ Oct 2026 37.500 call (HPQ261023C00037500) stock price, news, quote and history"/>
    <hyperlink ref="E674" r:id="rId673" display="TSLA Oct 2026 470.000 put (TSLA261023P00470000) stock price, news, quote and history"/>
    <hyperlink ref="E675" r:id="rId674" display="Amazon TOM Team Drivers at OIL9 Facility Join Teamsters"/>
    <hyperlink ref="E676" r:id="rId675" display="The Trade Desk, Inc. Estimates – NASDAQ:TTD"/>
    <hyperlink ref="E677" r:id="rId676" display="CME Nov 2026 265.000 put (CME261106P00265000) Stock Price, News, Quote &amp; History"/>
    <hyperlink ref="E678" r:id="rId677" display="QCOM Oct 2026 145.000 call (QCOM261023C00145000) stock price, news, quote and history"/>
    <hyperlink ref="E679" r:id="rId678" display="LLY Nov 2026 1210.000 call (LLY261127C01210000) stock price, news, quote and history"/>
    <hyperlink ref="E680" r:id="rId679" display="Generac Holdings Earnings Preview: What to Expect"/>
    <hyperlink ref="E681" r:id="rId680" display="CVX Nov 2026 165.000 put (CVX261113P00165000) stock price, news, quote and history"/>
    <hyperlink ref="E682" r:id="rId681" display="SWKS Jan 2027 77.500 put (SWKS270115P00077500) stock price, news, quote and history"/>
    <hyperlink ref="E683" r:id="rId682" display="SMCI261030C00033500 interactive stock chart | SMCI Oct 2026 33.500 call stock"/>
    <hyperlink ref="E684" r:id="rId683" display="Principal Financial Group, Inc. (PFG) Stock Price, News, Quote &amp; History"/>
    <hyperlink ref="E685" r:id="rId684" display="6,057 Simon Property Group, Inc. $SPG Shares Sold by Crossmark Global Holdings Inc."/>
    <hyperlink ref="E686" r:id="rId685" display="VRT Oct 2026 145.000 call (VRT261023C00145000) stock price, news, quote and history"/>
    <hyperlink ref="E687" r:id="rId686" display="META Oct 2026 585.000 call (META261026C00585000) Stock Price, News, Quote &amp; History"/>
    <hyperlink ref="E688" r:id="rId687" display="Fleece-lined Crocs for $30? Walmart has the Baya Lined Clog at 50% off right now."/>
    <hyperlink ref="E689" r:id="rId688" display="CMS Info Systems Ltd. Estimates – NSE:CMSINFO"/>
    <hyperlink ref="E690" r:id="rId689" display="HONA Jan 2028 95.000 call (HONA280121C00095000) stock price, news, quote and history"/>
    <hyperlink ref="E691" r:id="rId690" display="SMCI Oct 2026 33.500 call (SMCI261030C00033500) stock price, news, quote and history"/>
    <hyperlink ref="E692" r:id="rId691" display="CMG Oct 2026 36.500 call (CMG261030C00036500) Stock Price, News, Quote &amp; History"/>
    <hyperlink ref="E693" r:id="rId692" display="IRM Oct 2026 112.000 call (IRM261030C00112000) stock price, news, quote and history"/>
    <hyperlink ref="E694" r:id="rId693" display="HPE Feb 2027 40.000 call (HPE270219C00040000) stock price, news, quote and history"/>
    <hyperlink ref="E695" r:id="rId694" display="MRNA Jan 2029 330.000 call (MRNA290119C00330000) stock price, news, quote and history"/>
    <hyperlink ref="E696" r:id="rId695" display="AVGO Oct 2026 402.500 call (AVGO261026C00402500) stock price, news, quote and history"/>
    <hyperlink ref="E697" r:id="rId696" display="MSFT Oct 2026 485.000 put (MSFT261026P00485000) stock price, news, quote and history"/>
    <hyperlink ref="E698" r:id="rId697" display="MSFT Oct 2026 535.000 put (MSFT261026P00535000) stock price, news, quote and history"/>
    <hyperlink ref="E699" r:id="rId698" display="ACN Sep 2027 155.000 put (ACN270917P00155000) Stock Price, News, Quote &amp; History"/>
    <hyperlink ref="E700" r:id="rId699" display="TSLA Nov 2026 370.000 put (TSLA261104P00370000) stock price, news, quote and history"/>
    <hyperlink ref="E701" r:id="rId700" display="REGN Nov 2026 730.000 put (REGN261113P00730000) stock price, news, quote and history"/>
    <hyperlink ref="E702" r:id="rId701" display="MRK Nov 2026 215.000 call (MRK261106C00215000) Stock Price, News, Quote &amp; History"/>
    <hyperlink ref="E703" r:id="rId702" display="UNH Nov 2026 470.000 call (UNH261113C00470000) stock price, news, quote and history"/>
    <hyperlink ref="E704" r:id="rId703" display="JBL Oct 2026 307.500 call (JBL261023C00307500) Stock Price, News, Quote &amp; History"/>
    <hyperlink ref="E705" r:id="rId704" display="AZO Nov 2026 3350.000 call (AZO261120C03350000) stock price, news, quote and history"/>
    <hyperlink ref="E706" r:id="rId705" display="AVGO Oct 2026 435.000 call (AVGO261026C00435000) stock price, news, quote and history"/>
    <hyperlink ref="E707" r:id="rId706" display="EXPE Nov 2026 360.000 call (EXPE261120C00360000) stock price, news, quote and history"/>
    <hyperlink ref="E708" r:id="rId707" display="JBL Oct 2026 302.500 put (JBL261030P00302500) stock price, news, quote and history"/>
    <hyperlink ref="E709" r:id="rId708" display="ADSK Oct 2026 257.500 call (ADSK261030C00257500) stock price, news, quote and history"/>
    <hyperlink ref="E710" r:id="rId709" display="CVS Nov 2026 93.000 put (CVS261113P00093000) stock price, news, quote and history"/>
    <hyperlink ref="E711" r:id="rId710" display="WDC Oct 2026 412.500 call (WDC261030C00412500) stock price, news, quote and history"/>
    <hyperlink ref="E712" r:id="rId711" display="MSI Nov 2026 330.000 call (MSI261120C00330000) stock price, news, quote and history"/>
    <hyperlink ref="E713" r:id="rId712" display="IBM Oct 2026 252.500 call (IBM261030C00252500) stock price, news, quote and history"/>
    <hyperlink ref="E714" r:id="rId713" display="MSFT Oct 2026 490.000 put (MSFT261026P00490000) stock price, news, quote and history"/>
    <hyperlink ref="E715" r:id="rId714" display="NTRS Nov 2026 180.000 put (NTRS261120P00180000) Stock Price, News, Quote &amp; History"/>
    <hyperlink ref="E716" r:id="rId715" display="QCOM Oct 2026 182.500 put (QCOM261023P00182500) stock price, news, quote and history"/>
    <hyperlink ref="E717" r:id="rId716" display="SNPS Oct 2026 465.000 put (SNPS261030P00465000) stock price, news, quote and history"/>
    <hyperlink ref="E718" r:id="rId717" display="TSLA Nov 2026 310.000 call (TSLA261127C00310000) stock price, news, quote and history"/>
    <hyperlink ref="E719" r:id="rId718" display="QCOM Oct 2026 148.000 put (QCOM261023P00148000) stock price, news, quote and history"/>
    <hyperlink ref="E720" r:id="rId719" display="Why Is Prologis (NYSE:PLD) in Focus Among Real Estate Stocks Today?"/>
    <hyperlink ref="E721" r:id="rId720" display="VRT Oct 2026 287.500 put (VRT261023P00287500) stock price, news, quote and history"/>
    <hyperlink ref="E722" r:id="rId721" display="MSFT Oct 2026 555.000 call (MSFT261026C00555000) stock price, news, quote and history"/>
    <hyperlink ref="E723" r:id="rId722" display="QCOM Oct 2026 155.000 call (QCOM261023C00155000) stock price, news, quote and history"/>
    <hyperlink ref="E724" r:id="rId723" display="MSFT Oct 2026 375.000 call (MSFT261023C00375000) stock price, news, quote and history"/>
    <hyperlink ref="E725" r:id="rId724" display="ACN Dec 2026 410.000 call (ACN261218C00410000) Stock Price, News, Quote &amp; History"/>
    <hyperlink ref="E726" r:id="rId725" display="MRNA Oct 2026 242.500 call (MRNA261030C00242500) Stock Price, News, Quote &amp; History"/>
    <hyperlink ref="E727" r:id="rId726" display="Lone’er Kavanagh Makes A Statement With R1 TKO | UFC 333"/>
    <hyperlink ref="E728" r:id="rId727" display="TSLA Oct 2026 250.000 call (TSLA261026C00250000) stock price, news, quote and history"/>
    <hyperlink ref="E729" r:id="rId728" display="PPL Corporation Estimates – LS:895250"/>
    <hyperlink ref="E730" r:id="rId729" display="JBL Oct 2026 312.500 call (JBL261023C00312500) stock price, news, quote and history"/>
    <hyperlink ref="E731" r:id="rId730" display="Corteva, Inc. (CTVA) Declares $0.05 Dividend Payable Dec. 15"/>
    <hyperlink ref="E732" r:id="rId731" display="TRV Nov 2026 390.000 put (TRV261120P00390000) Stock Price, News, Quote &amp; History"/>
    <hyperlink ref="E733" r:id="rId732" display="CVX Nov 2026 235.000 put (CVX261106P00235000) stock price, news, quote and history"/>
    <hyperlink ref="E734" r:id="rId733" display="MSI Dec 2027 310.000 put (MSI271217P00310000) stock price, news, quote and history"/>
    <hyperlink ref="E735" r:id="rId734" display="AAPL Oct 2026 390.000 put (AAPL261023P00390000) stock price, news, quote and history"/>
    <hyperlink ref="E736" r:id="rId735" display="ADM Endeavors Inc. Estimates – OTC:ADMQ"/>
    <hyperlink ref="E737" r:id="rId736" display="VRT Oct 2026 277.500 call (VRT261030C00277500) stock price, news, quote and history"/>
    <hyperlink ref="E738" r:id="rId737" display="STZ Oct 2026 138.000 call (STZ261030C00138000) Stock Price, News, Quote &amp; History"/>
    <hyperlink ref="E739" r:id="rId738" display="TSLA Jan 2029 155.000 put (TSLA290119P00155000) Stock Price, News, Quote &amp; History"/>
    <hyperlink ref="E740" r:id="rId739" display="Evergy, Inc. (EVRG) Stock Price, News, Quote &amp; History"/>
    <hyperlink ref="E741" r:id="rId740" display="ULTA Oct 2026 570.000 put (ULTA261023P00570000) stock price, news, quote and history"/>
    <hyperlink ref="E742" r:id="rId741" display="VTRS Jan 2029 15.000 put (VTRS290119P00015000) stock price, news, quote and history"/>
    <hyperlink ref="E743" r:id="rId742" display="MSFT Oct 2026 527.500 put (MSFT261026P00527500) stock price, news, quote and history"/>
    <hyperlink ref="E744" r:id="rId743" display="MSFT Oct 2026 537.500 put (MSFT261026P00537500) stock price, news, quote and history"/>
    <hyperlink ref="E745" r:id="rId744" display="AVGO Oct 2026 302.500 put (AVGO261026P00302500) stock price, news, quote and history"/>
    <hyperlink ref="E746" r:id="rId745" display="META Jan 2028 1420.000 put (META280121P01420000) stock price, news, quote and history"/>
    <hyperlink ref="E747" r:id="rId746" display="HOOD Dec 2026 10.000 call (HOOD261218C00010000) stock price, news, quote and history"/>
    <hyperlink ref="E748" r:id="rId747" display="MSFT Oct 2026 480.000 put (MSFT261026P00480000) stock price, news, quote and history"/>
    <hyperlink ref="E749" r:id="rId748" display="TDG May 2027 740.000 put (TDG270521P00740000) stock price, news, quote and history"/>
    <hyperlink ref="E750" r:id="rId749" display="LLY Nov 2026 1230.000 call (LLY261127C01230000) stock price, news, quote and history"/>
    <hyperlink ref="E751" r:id="rId750" display="LLY Nov 2026 1320.000 put (LLY261127P01320000) stock price, news, quote and history"/>
    <hyperlink ref="E752" r:id="rId751" display="VTRS Nov 2026 10.000 call (VTRS261120C00010000) stock price, news, quote and history"/>
    <hyperlink ref="E753" r:id="rId752" display="FDX Oct 2026 285.000 call (FDX261030C00285000) stock price, news, quote and history"/>
    <hyperlink ref="E754" r:id="rId753" display="BLDR Jan 2028 45.000 put (BLDR280121P00045000) stock price, news, quote and history"/>
    <hyperlink ref="E755" r:id="rId754" display="NRG Oct 2026 127.000 call (NRG261030C00127000) stock price, news, quote and history"/>
    <hyperlink ref="E756" r:id="rId755" display="UNH261113P00435000 Interactive Stock Chart | UNH Nov 2026 435.000 put Stock"/>
    <hyperlink ref="E757" r:id="rId756" display="TGT Apr 2027 115.000 put (TGT270416P00115000) stock price, news, quote and history"/>
    <hyperlink ref="E758" r:id="rId757" display="AVGO Oct 2026 352.500 call (AVGO261026C00352500) Stock Price, News, Quote &amp; History"/>
    <hyperlink ref="E759" r:id="rId758" display="SPG Apr 2027 190.000 put (SPG270416P00190000) Stock Price, News, Quote &amp; History"/>
    <hyperlink ref="E760" r:id="rId759" display="VICI Properties schedules results date for VICI Properties stock"/>
    <hyperlink ref="E761" r:id="rId760" display="DLR Apr 2027 130.000 put (DLR270416P00130000) stock price, news, quote and history"/>
    <hyperlink ref="E762" r:id="rId761" display="Las Vegas Sands Corp. (LVS) Stock Price, News, Quote &amp; History"/>
    <hyperlink ref="E763" r:id="rId762" display="LLY Nov 2026 1620.000 call (LLY261127C01620000) stock price, news, quote and history"/>
    <hyperlink ref="E764" r:id="rId763" display="LLY Nov 2026 1255.000 call (LLY261127C01255000) stock price, news, quote and history"/>
    <hyperlink ref="E765" r:id="rId764" display="LEN May 2027 65.000 put (LEN270521P00065000) stock price, news, quote and history"/>
    <hyperlink ref="E766" r:id="rId765" display="TER Jan 2029 480.000 put (TER290119P00480000) stock price, news, quote and history"/>
    <hyperlink ref="E767" r:id="rId766" display="TSLA Oct 2026 330.000 put (TSLA261026P00330000) stock price, news, quote and history"/>
    <hyperlink ref="E768" r:id="rId767" display="LLY Nov 2026 980.000 put (LLY261127P00980000) stock price, news, quote and history"/>
    <hyperlink ref="E769" r:id="rId768" display="VRT Oct 2026 197.500 put (VRT261023P00197500) stock price, news, quote and history"/>
    <hyperlink ref="E770" r:id="rId769" display="MLM Nov 2026 520.000 put (MLM261120P00520000) Stock Price, News, Quote &amp; History"/>
    <hyperlink ref="E771" r:id="rId770" display="MSI Nov 2026 410.000 put (MSI261120P00410000) Stock Price, News, Quote &amp; History"/>
    <hyperlink ref="E772" r:id="rId771" display="WDC Sep 2027 300.000 call (WDC270917C00300000) stock price, news, quote and history"/>
    <hyperlink ref="E773" r:id="rId772" display="AVGO Nov 2026 510.000 call (AVGO261113C00510000) Stock Price, News, Quote &amp; History"/>
    <hyperlink ref="E774" r:id="rId773" display="EBAY Nov 2026 90.000 put (EBAY261113P00090000) stock price, news, quote and history"/>
    <hyperlink ref="E775" r:id="rId774" display="TRV Nov 2026 410.000 put (TRV261120P00410000) Stock Price, News, Quote &amp; History"/>
    <hyperlink ref="E776" r:id="rId775" display="SMCI Oct 2026 43.000 put (SMCI261023P00043000) stock price, news, quote and history"/>
    <hyperlink ref="E777" r:id="rId776" display="Revvity, Inc. Estimates – NYSE:RVTY"/>
    <hyperlink ref="E778" r:id="rId777" display="AAPL Oct 2026 400.000 call (AAPL261026C00400000) stock price, news, quote and history"/>
    <hyperlink ref="E779" r:id="rId778" display="EXC Nov 2026 40.000 call (EXC261120C00040000) stock price, news, quote and history"/>
    <hyperlink ref="E780" r:id="rId779" display="VLO Oct 2026 470.000 call (VLO261030C00470000) stock price, news, quote and history"/>
    <hyperlink ref="E781" r:id="rId780" display="NVDA May 2027 60.000 call (NVDA270521C00060000) stock price, news, quote and history"/>
    <hyperlink ref="E782" r:id="rId781" display="EXPE Nov 2026 155.000 call (EXPE261120C00155000) stock price, news, quote and history"/>
    <hyperlink ref="E783" r:id="rId782" display="FSLR Jan 2029 145.000 call (FSLR290119C00145000) stock price, news, quote and history"/>
    <hyperlink ref="E784" r:id="rId783" display="UNP Oct 2026 292.500 put (UNP261030P00292500) stock price, news, quote and history"/>
    <hyperlink ref="E785" r:id="rId784" display="UNH Oct 2026 452.500 call (UNH261030C00452500) Stock Price, News, Quote &amp; History"/>
    <hyperlink ref="E786" r:id="rId785" display="Why McDonalds, Microsoft and Google saying no to tokenized stocks isn't a dealbreaker"/>
    <hyperlink ref="E787" r:id="rId786" display="SanDisk’s October 29 Verdict: Contracts, Margins and the Flash-Price Question"/>
    <hyperlink ref="E788" r:id="rId787" display="LIN Jan 2029 390.000 put (LIN290119P00390000) stock price, news, quote and history"/>
    <hyperlink ref="E789" r:id="rId788" display="CRM Oct 2026 232.500 put (CRM261030P00232500) stock price, news, quote and history"/>
    <hyperlink ref="E790" r:id="rId789" display="MSFT Oct 2026 450.000 call (MSFT261026C00450000) stock price, news, quote and history"/>
    <hyperlink ref="E791" r:id="rId790" display="S&amp;P Global Reports Pro Forma Results Following Mobility Spin-Off"/>
    <hyperlink ref="E792" r:id="rId791" display="QCOM Oct 2026 162.500 call (QCOM261023C00162500) stock price, news, quote and history"/>
    <hyperlink ref="E793" r:id="rId792" display="IBM Oct 2026 262.500 call (IBM261023C00262500) stock price, news, quote and history"/>
    <hyperlink ref="E794" r:id="rId793" display="VLO Nov 2026 570.000 call (VLO261106C00570000) stock price, news, quote and history"/>
    <hyperlink ref="E795" r:id="rId794" display="IBM Nov 2026 220.000 put (IBM261127P00220000) stock price, news, quote and history"/>
    <hyperlink ref="E796" r:id="rId795" display="PTC Apr 2027 200.000 call (PTC270416C00200000) stock price, news, quote and history"/>
    <hyperlink ref="E797" r:id="rId796" display="ACN Oct 2026 250.000 call (ACN261030C00250000) stock price, news, quote and history"/>
    <hyperlink ref="E798" r:id="rId797" display="CNC Oct 2026 62.000 call (CNC261023C00062000) Stock Price, News, Quote &amp; History"/>
    <hyperlink ref="E799" r:id="rId798" display="The top 5 analyst questions from United Rentals’s Q3 earnings call"/>
    <hyperlink ref="E800" r:id="rId799" display="TSLA Nov 2026 310.000 call (TSLA261127C00310000) Stock Price, News, Quote &amp; History"/>
    <hyperlink ref="E801" r:id="rId800" display="ULTA Oct 2026 510.000 put (ULTA261023P00510000) stock price, news, quote and history"/>
    <hyperlink ref="E802" r:id="rId801" display="SNDK Sep 2028 720.000 put (SNDK280915P00720000) stock price, news, quote and history"/>
    <hyperlink ref="E803" r:id="rId802" display="MCD Oct 2026 227.500 call (MCD261030C00227500) stock price, news, quote and history"/>
    <hyperlink ref="E804" r:id="rId803" display="TSLA Oct 2026 515.000 call (TSLA261030C00515000) Stock Price, News, Quote &amp; History"/>
    <hyperlink ref="E805" r:id="rId804" display="TGT Oct 2026 144.000 call (TGT261030C00144000) stock price, news, quote and history"/>
    <hyperlink ref="E806" r:id="rId805" display="DLR Nov 2026 130.000 put (DLR261120P00130000) stock price, news, quote and history"/>
    <hyperlink ref="E807" r:id="rId806" display="USB Oct 2026 66.000 call (USB261030C00066000) stock price, news, quote and history"/>
    <hyperlink ref="E808" r:id="rId807" display="Analysts Have Made A Financial Statement On Vossloh AG's (ETR:VOS) Second-Quarter Report"/>
    <hyperlink ref="E809" r:id="rId808" display="Uber driver was stunned by ‘leave at door’ instructions for $10K tennis bracelet — he instead had a very different plan for the five-figure package"/>
    <hyperlink ref="E810" r:id="rId809" display="LEN Nov 2026 74.000 call (LEN261113C00074000) Stock Price, News, Quote &amp; History"/>
    <hyperlink ref="E811" r:id="rId810" display="Raymond James Financial, Inc. Estimates – NYSE:RJF"/>
    <hyperlink ref="E812" r:id="rId811" display="SNDK Oct 2026 1285.000 put (SNDK261023P01285000) stock price, news, quote and history"/>
    <hyperlink ref="E813" r:id="rId812" display="CRWD Nov 2026 335.000 call (CRWD261113C00335000) stock price, news, quote and history"/>
    <hyperlink ref="E814" r:id="rId813" display="EOG Resources, Inc. Estimates – NYSE:EOG"/>
    <hyperlink ref="E815" r:id="rId814" display="VRT Oct 2026 215.000 put (VRT261023P00215000) stock price, news, quote and history"/>
    <hyperlink ref="E816" r:id="rId815" display="UAL Oct 2026 96.000 call (UAL261023C00096000) stock price, news, quote and history"/>
    <hyperlink ref="E817" r:id="rId816" display="UAL Nov 2026 117.000 call (UAL261127C00117000) stock price, news, quote and history"/>
    <hyperlink ref="E818" r:id="rId817" display="ABBV Jan 2029 155.000 call (ABBV290119C00155000) stock price, news, quote and history"/>
    <hyperlink ref="E819" r:id="rId818" display="VLO Oct 2026 447.500 call (VLO261023C00447500) Stock Price, News, Quote &amp; History"/>
    <hyperlink ref="E820" r:id="rId819" display="Church &amp; Dwight Co., Inc. (CHD) stock price, news, quote and history"/>
    <hyperlink ref="E821" r:id="rId820" display="TDG Nov 2026 1290.000 call (TDG261120C01290000) Stock Price, News, Quote &amp; History"/>
    <hyperlink ref="E822" r:id="rId821" display="Church &amp; Dwight Co., Inc. Estimates – SWB:CXU"/>
    <hyperlink ref="E823" r:id="rId822" display="SPG Nov 2026 220.000 put (SPG261120P00220000) stock price, news, quote and history"/>
    <hyperlink ref="E824" r:id="rId823" display="Upcoming Earnings Report Might Change The Case For Investing In Cardinal Health Stock (CAH)"/>
    <hyperlink ref="E825" r:id="rId824" display="What’s Driving Attention Toward Eli Lilly (NYSE:LLY) Now?"/>
    <hyperlink ref="E826" r:id="rId825" display="COHR Sep 2027 420.000 call (COHR270917C00420000) stock price, news, quote and history"/>
    <hyperlink ref="E827" r:id="rId826" display="VLO Oct 2026 447.500 put (VLO261030P00447500) stock price, news, quote and history"/>
    <hyperlink ref="E828" r:id="rId827" display="WDC Oct 2026 385.000 call (WDC261030C00385000) Stock Price, News, Quote &amp; History"/>
    <hyperlink ref="E829" r:id="rId828" display="EXPE Jan 2029 180.000 call (EXPE290119C00180000) Stock Price, News, Quote &amp; History"/>
    <hyperlink ref="E830" r:id="rId829" display="EXPE Oct 2026 255.000 put (EXPE261030P00255000) stock price, news, quote and history"/>
    <hyperlink ref="E831" r:id="rId830" display="ITW Mar 2027 370.000 call (ITW270319C00370000) Stock Price, News, Quote &amp; History"/>
    <hyperlink ref="E832" r:id="rId831" display="QCOM Oct 2026 265.000 call (QCOM261023C00265000) stock price, news, quote and history"/>
    <hyperlink ref="E833" r:id="rId832" display="REGN Oct 2026 805.000 put (REGN261030P00805000) Stock Price, News, Quote &amp; History"/>
    <hyperlink ref="E834" r:id="rId833" display="AVGO Oct 2026 440.000 call (AVGO261026C00440000) stock price, news, quote and history"/>
    <hyperlink ref="E835" r:id="rId834" display="AMGN Nov 2026 395.000 put (AMGN261113P00395000) Stock Price, News, Quote &amp; History"/>
    <hyperlink ref="E836" r:id="rId835" display="VLO Nov 2026 360.000 put (VLO261113P00360000) stock price, news, quote and history"/>
    <hyperlink ref="E837" r:id="rId836" display="QCOM Oct 2026 115.000 put (QCOM261023P00115000) stock price, news, quote and history"/>
    <hyperlink ref="E838" r:id="rId837" display="CDW Nov 2026 140.000 put (CDW261120P00140000) stock price, news, quote and history"/>
    <hyperlink ref="E839" r:id="rId838" display="VLO Nov 2026 435.000 call (VLO261113C00435000) stock price, news, quote and history"/>
    <hyperlink ref="E840" r:id="rId839" display="TSLA Oct 2026 327.500 call (TSLA261023C00327500) Stock Price, News, Quote &amp; History"/>
    <hyperlink ref="E841" r:id="rId840" display="VRT Oct 2026 185.000 put (VRT261023P00185000) stock price, news, quote and history"/>
    <hyperlink ref="E842" r:id="rId841" display="VRT Oct 2026 310.000 call (VRT261023C00310000) stock price, news, quote and history"/>
    <hyperlink ref="E843" r:id="rId842" display="VRT Oct 2026 210.000 put (VRT261023P00210000) stock price, news, quote and history"/>
    <hyperlink ref="E844" r:id="rId843" display="Ross Stores, Inc. Estimates – NASDAQ:ROST"/>
    <hyperlink ref="E845" r:id="rId844" display="VRT Oct 2026 272.500 call (VRT261023C00272500) stock price, news, quote and history"/>
    <hyperlink ref="E846" r:id="rId845" display="Southwest Airlines Company (LUV) Stock Forecasts"/>
    <hyperlink ref="E847" r:id="rId846" display="Boeing Co, The Stock Futures,De (SBA00Z26.CME) stock historical prices and data"/>
    <hyperlink ref="E848" r:id="rId847" display="UNH Nov 2026 415.000 call (UNH261127C00415000) Stock Price, News, Quote &amp; History"/>
    <hyperlink ref="E849" r:id="rId848" display="DELL Oct 2026 360.000 put (DELL261030P00360000) Stock Price, News, Quote &amp; History"/>
    <hyperlink ref="E850" r:id="rId849" display="APA Oct 2026 54.000 call (APA261030C00054000) stock price, news, quote and history"/>
    <hyperlink ref="E851" r:id="rId850" display="MRNA Oct 2026 252.500 put (MRNA261030P00252500) stock price, news, quote and history"/>
    <hyperlink ref="E852" r:id="rId851" display="Salesforce stock trades at EUR 221.88 in weekend trading"/>
    <hyperlink ref="E853" r:id="rId852" display="CRM Jan 2029 185.000 put (CRM290119P00185000) Stock Price, News, Quote &amp; History"/>
    <hyperlink ref="E854" r:id="rId853" display="TTD Oct 2026 23.000 put (TTD261030P00023000) stock price, news, quote and history"/>
    <hyperlink ref="E855" r:id="rId854" display="Goldman Sachs stock heads into the next Xetra session at EUR 782.60"/>
    <hyperlink ref="E856" r:id="rId855" display="LEN Nov 2026 65.000 call (LEN261106C00065000) Stock Price, News, Quote &amp; History"/>
    <hyperlink ref="E857" r:id="rId856" display="ABBV Nov 2026 285.000 call (ABBV261127C00285000) stock price, news, quote and history"/>
    <hyperlink ref="E858" r:id="rId857" display="QCOM Oct 2026 250.000 call (QCOM261023C00250000) stock price, news, quote and history"/>
    <hyperlink ref="E859" r:id="rId858" display="LEN Nov 2026 93.000 call (LEN261106C00093000) stock price, news, quote and history"/>
    <hyperlink ref="E860" r:id="rId859" display="AbbVie Inc. Estimates – NYSE:ABBV"/>
    <hyperlink ref="E861" r:id="rId860" display="IBM Sep 2027 135.000 put (IBM270917P00135000) stock price, news, quote and history"/>
    <hyperlink ref="E862" r:id="rId861" display="Synopsys, Inc. (SNPS) stock price, news, quote and history"/>
    <hyperlink ref="E863" r:id="rId862" display="NKE Oct 2026 26.000 put (NKE261023P00026000) Stock Price, News, Quote &amp; History"/>
    <hyperlink ref="E864" r:id="rId863" display="QCOM Oct 2026 170.000 call (QCOM261023C00170000) stock price, news, quote and history"/>
    <hyperlink ref="E865" r:id="rId864" display="AMAT Nov 2026 650.000 call (AMAT261127C00650000) stock price, news, quote and history"/>
    <hyperlink ref="E866" r:id="rId865" display="ULTA Oct 2026 645.000 call (ULTA261023C00645000) Stock Price, News, Quote &amp; History"/>
    <hyperlink ref="E867" r:id="rId866" display="TGT Nov 2026 165.000 call (TGT261127C00165000) Stock Price, News, Quote &amp; History"/>
    <hyperlink ref="E868" r:id="rId867" display="LLY Nov 2026 820.000 put (LLY261127P00820000) stock price, news, quote and history"/>
    <hyperlink ref="E869" r:id="rId868" display="ORLY Nov 2026 87.500 put (ORLY261120P00087500) stock price, news, quote and history"/>
    <hyperlink ref="E870" r:id="rId869" display="United Rentals, Inc. (URI) Stock forecasts"/>
    <hyperlink ref="E871" r:id="rId870" display="REGN270219C00760000 interactive stock chart | REGN Feb 2027 760.000 call stock"/>
    <hyperlink ref="E872" r:id="rId871" display="EVRG Nov 2026 77.500 put (EVRG261120P00077500) stock price, news, quote and history"/>
    <hyperlink ref="E873" r:id="rId872" display="QCOM Oct 2026 205.000 call (QCOM261023C00205000) stock price, news, quote and history"/>
    <hyperlink ref="E874" r:id="rId873" display="LLY Nov 2026 800.000 put (LLY261127P00800000) stock price, news, quote and history"/>
    <hyperlink ref="E875" r:id="rId874" display="USB Oct 2026 49.000 put (USB261030P00049000) stock price, news, quote and history"/>
    <hyperlink ref="E876" r:id="rId875" display="WDC Oct 2026 492.500 call (WDC261030C00492500) Stock Price, News, Quote &amp; History"/>
    <hyperlink ref="E877" r:id="rId876" display="CVNA Oct 2026 43.500 call (CVNA261030C00043500) Stock Price, News, Quote &amp; History"/>
    <hyperlink ref="E878" r:id="rId877" display="MRNA Dec 2026 235.000 put (MRNA261204P00235000) stock price, news, quote and history"/>
    <hyperlink ref="E879" r:id="rId878" display="META261026P00675000 Interactive Stock Chart | META Oct 2026 675.000 put Stock"/>
    <hyperlink ref="E880" r:id="rId879" display="LIN Jun 2027 405.000 call (LIN270617C00405000) stock price, news, quote and history"/>
    <hyperlink ref="E881" r:id="rId880" display="Nucor Corporation Estimates – NYSE:NUE"/>
    <hyperlink ref="E882" r:id="rId881" display="Winnipeg Jets trade Connor Hellebuyck to Devils: TSN"/>
    <hyperlink ref="E883" r:id="rId882" display="AAPL Jun 2028 135.000 call (AAPL280616C00135000) stock price, news, quote and history"/>
    <hyperlink ref="E884" r:id="rId883" display="7,710 Broadcom Inc. $AVGO Shares Sold by Crossmark Global Holdings Inc."/>
    <hyperlink ref="E885" r:id="rId884" display="CVNA Oct 2026 42.000 put (CVNA261030P00042000) Stock Price, News, Quote &amp; History"/>
    <hyperlink ref="E886" r:id="rId885" display="SNDK Oct 2026 2230.000 put (SNDK261030P02230000) stock price, news, quote and history"/>
    <hyperlink ref="E887" r:id="rId886" display="TGT Oct 2026 130.000 call (TGT261030C00130000) stock price, news, quote and history"/>
    <hyperlink ref="E888" r:id="rId887" display="GNRC Nov 2026 225.000 call (GNRC261120C00225000) stock price, news, quote and history"/>
    <hyperlink ref="E889" r:id="rId888" display="COHR270521P00160000 interactive stock chart | COHR May 2027 160.000 put stock"/>
    <hyperlink ref="E890" r:id="rId889" display="XYZ Jan 2029 70.000 call (XYZ290119C00070000) stock price, news, quote and history"/>
    <hyperlink ref="E891" r:id="rId890" display="TER Oct 2026 255.000 call (TER261030C00255000) Stock Price, News, Quote &amp; History"/>
    <hyperlink ref="E892" r:id="rId891" display="LITE Oct 2026 1330.000 call (LITE261030C01330000) stock price, news, quote and history"/>
    <hyperlink ref="E893" r:id="rId892" display="FICO Dec 2026 770.000 call (FICO261218C00770000) stock price, news, quote and history"/>
    <hyperlink ref="E894" r:id="rId893" display="MSFT Oct 2026 492.500 put (MSFT261026P00492500) stock price, news, quote and history"/>
    <hyperlink ref="E895" r:id="rId894" display="VRT Oct 2026 340.000 call (VRT261023C00340000) stock price, news, quote and history"/>
    <hyperlink ref="E896" r:id="rId895" display="Labcorp Holdings Inc. Estimates – NYSE:LH"/>
    <hyperlink ref="E897" r:id="rId896" display="VRT Oct 2026 280.000 put (VRT261023P00280000) stock price, news, quote and history"/>
    <hyperlink ref="E898" r:id="rId897" display="SNDK Nov 2026 1390.000 call (SNDK261106C01390000) Stock Price, News, Quote &amp; History"/>
    <hyperlink ref="E899" r:id="rId898" display="META Oct 2026 540.000 put (META261026P00540000) Stock Price, News, Quote &amp; History"/>
    <hyperlink ref="E900" r:id="rId899" display="LMT Oct 2026 472.500 put (LMT261023P00472500) stock price, news, quote and history"/>
    <hyperlink ref="E901" r:id="rId900" display="KVUE News at 5:30pm Saturday"/>
    <hyperlink ref="E902" r:id="rId901" display="LIN Sep 2027 560.000 call (LIN270917C00560000) Stock Price, News, Quote &amp; History"/>
    <hyperlink ref="E903" r:id="rId902" display="VLO Oct 2026 540.000 put (VLO261030P00540000) stock price, news, quote and history"/>
    <hyperlink ref="E904" r:id="rId903" display="BXP, Inc. (BXP) Stock forecasts"/>
    <hyperlink ref="E905" r:id="rId904" display="LEN Oct 2026 81.000 call (LEN261023C00081000) Stock Price, News, Quote &amp; History"/>
    <hyperlink ref="E906" r:id="rId905" display="META Oct 2026 545.000 put (META261026P00545000) Stock Price, News, Quote &amp; History"/>
    <hyperlink ref="E907" r:id="rId906" display="Vistra Corp. Estimates – NYSE:VST"/>
    <hyperlink ref="E908" r:id="rId907" display="SNPS Oct 2026 482.500 put (SNPS261030P00482500) stock price, news, quote and history"/>
    <hyperlink ref="E909" r:id="rId908" display="VEEV Nov 2026 290.000 call (VEEV261120C00290000) stock price, news, quote and history"/>
    <hyperlink ref="E910" r:id="rId909" display="WDC Nov 2026 310.000 put (WDC261127P00310000) stock price, news, quote and history"/>
    <hyperlink ref="E911" r:id="rId910" display="LITE Oct 2026 660.000 call (LITE261030C00660000) Stock Price, News, Quote &amp; History"/>
    <hyperlink ref="E912" r:id="rId911" display="MSFT Feb 2027 540.000 call (MSFT270219C00540000) Stock Price, News, Quote &amp; History"/>
    <hyperlink ref="E913" r:id="rId912" display="APA Nov 2026 55.000 call (APA261113C00055000) stock price, news, quote and history"/>
    <hyperlink ref="E914" r:id="rId913" display="The 'Walmart of Ghost Tours' is amassing an empire of the undead — and a host of enemies among the living."/>
    <hyperlink ref="E915" r:id="rId914" display="USB Oct 2026 53.000 put (USB261030P00053000) stock price, news, quote and history"/>
    <hyperlink ref="E916" r:id="rId915" display="CVNA Oct 2026 43.500 put (CVNA261030P00043500) Stock Price, News, Quote &amp; History"/>
    <hyperlink ref="E917" r:id="rId916" display="CCL Oct 2026 28.500 put (CCL261030P00028500) stock price, news, quote and history"/>
    <hyperlink ref="E918" r:id="rId917" display="MRNA Oct 2026 132.000 call (MRNA261030C00132000) stock price, news, quote and history"/>
    <hyperlink ref="E919" r:id="rId918" display="CVNA Oct 2026 48.500 put (CVNA261030P00048500) Stock Price, News, Quote &amp; History"/>
    <hyperlink ref="E920" r:id="rId919" display="MCHP Jan 2029 85.000 call (MCHP290119C00085000) Stock Price, News, Quote &amp; History"/>
    <hyperlink ref="E921" r:id="rId920" display="MRNA Oct 2026 105.000 call (MRNA261030C00105000) stock price, news, quote and history"/>
    <hyperlink ref="E922" r:id="rId921" display="CEG Oct 2026 350.000 put (CEG261030P00350000) stock price, news, quote and history"/>
    <hyperlink ref="E923" r:id="rId922" display="UNH Nov 2026 480.000 call (UNH261127C00480000) Stock Price, News, Quote &amp; History"/>
    <hyperlink ref="E924" r:id="rId923" display="INTU Oct 2026 282.500 call (INTU261023C00282500) Stock Price, News, Quote &amp; History"/>
    <hyperlink ref="E925" r:id="rId924" display="L3Harris declares $1.25 quarterly dividend per share"/>
    <hyperlink ref="E926" r:id="rId925" display="Why Is Amgen (NASDAQ:AMGN) Drawing Market Focus?"/>
    <hyperlink ref="E927" r:id="rId926" display="IBM Sep 2027 150.000 call (IBM270917C00150000) Stock Price, News, Quote &amp; History"/>
    <hyperlink ref="E928" r:id="rId927" display="Royal Caribbean schedules results call. Royal Caribbean stock trades EUR 247.00 in weekend trading."/>
    <hyperlink ref="E929" r:id="rId928" display="TRV Nov 2026 320.000 call (TRV261120C00320000) Stock Price, News, Quote &amp; History"/>
    <hyperlink ref="E930" r:id="rId929" display="NTAP Jan 2028 230.000 call (NTAP280121C00230000) Stock Price, News, Quote &amp; History"/>
    <hyperlink ref="E931" r:id="rId930" display="UNP Oct 2026 255.000 put (UNP261030P00255000) Stock Price, News, Quote &amp; History"/>
    <hyperlink ref="E932" r:id="rId931" display="MCD Oct 2026 195.000 call (MCD261023C00195000) Stock Price, News, Quote &amp; History"/>
    <hyperlink ref="E933" r:id="rId932" display="AZO Jun 2027 4300.000 call (AZO270617C04300000) stock price, news, quote and history"/>
    <hyperlink ref="E934" r:id="rId933" display="ADI Oct 2026 387.500 put (ADI261023P00387500) stock price, news, quote and history"/>
    <hyperlink ref="E935" r:id="rId934" display="FANG Nov 2026 175.000 put (FANG261120P00175000) stock price, news, quote and history"/>
    <hyperlink ref="E936" r:id="rId935" display="UNH Nov 2026 305.000 put (UNH261127P00305000) Stock Price, News, Quote &amp; History"/>
    <hyperlink ref="E937" r:id="rId936" display="UBER Oct 2026 63.000 call (UBER261023C00063000) stock price, news, quote and history"/>
    <hyperlink ref="E938" r:id="rId937" display="SNPS Oct 2026 515.000 put (SNPS261030P00515000) stock price, news, quote and history"/>
    <hyperlink ref="E939" r:id="rId938" display="LEN Nov 2026 76.000 call (LEN261106C00076000) stock price, news, quote and history"/>
    <hyperlink ref="E940" r:id="rId939" display="LEN Nov 2026 76.000 call (LEN261113C00076000) Stock Price, News, Quote &amp; History"/>
    <hyperlink ref="E941" r:id="rId940" display="State Street Corporation Estimates – NYSE:STT"/>
    <hyperlink ref="E942" r:id="rId941" display="QCOM Oct 2026 160.000 put (QCOM261023P00160000) stock price, news, quote and history"/>
    <hyperlink ref="E943" r:id="rId942" display="AMAT Nov 2026 605.000 call (AMAT261113C00605000) Stock Price, News, Quote &amp; History"/>
    <hyperlink ref="E944" r:id="rId943" display="SNDK Oct 2026 1830.000 call (SNDK261023C01830000) stock price, news, quote and history"/>
    <hyperlink ref="E945" r:id="rId944" display="TGT Apr 2027 115.000 put (TGT270416P00115000) Stock Price, News, Quote &amp; History"/>
    <hyperlink ref="E946" r:id="rId945" display="Incyte (INCY) Heads To ESMO With New Oncology Data, Is The Stock Still Undervalued?"/>
    <hyperlink ref="E947" r:id="rId946" display="AAPL Oct 2026 342.500 call (AAPL261026C00342500) Stock Price, News, Quote &amp; History"/>
    <hyperlink ref="E948" r:id="rId947" display="Capital One reports third-quarter results. Capital One stock trades at EUR 179.93"/>
    <hyperlink ref="E949" r:id="rId948" display="LLY Nov 2026 1235.000 put (LLY261127P01235000) stock price, news, quote and history"/>
    <hyperlink ref="E950" r:id="rId949" display="LLY Nov 2026 1000.000 put (LLY261127P01000000) stock price, news, quote and history"/>
    <hyperlink ref="E951" r:id="rId950" display="ADSK Oct 2026 252.500 call (ADSK261030C00252500) Stock Price, News, Quote &amp; History"/>
    <hyperlink ref="E952" r:id="rId951" display="VRT Oct 2026 295.000 put (VRT261023P00295000) stock price, news, quote and history"/>
    <hyperlink ref="E953" r:id="rId952" display="Ventas, Inc. (VTR) Stock Price, News, Quote &amp; History"/>
    <hyperlink ref="E954" r:id="rId953" display="LEN Nov 2026 81.000 call (LEN261113C00081000) Stock Price, News, Quote &amp; History"/>
    <hyperlink ref="E955" r:id="rId954" display="VRT Oct 2026 212.500 put (VRT261023P00212500) stock price, news, quote and history"/>
    <hyperlink ref="E956" r:id="rId955" display="TOL,LAZ,CFG,JBHT,NYT,HST,FLEX,WTRG,CLS,LH,DKS,IEX | stock prices | quote comparison"/>
    <hyperlink ref="E957" r:id="rId956" display="RCL Oct 2026 307.500 call (RCL261023C00307500) Stock Price, News, Quote &amp; History"/>
    <hyperlink ref="E958" r:id="rId957" display="Digital Realty Trust, Inc. (DLR) Stock Price, News, Quote &amp; History"/>
    <hyperlink ref="E959" r:id="rId958" display="VRT Oct 2026 207.500 call (VRT261023C00207500) stock price, news, quote and history"/>
    <hyperlink ref="E960" r:id="rId959" display="LEN Oct 2026 83.000 put (LEN261023P00083000) stock price, news, quote and history"/>
    <hyperlink ref="E961" r:id="rId960" display="AVGO Jan 2029 400.000 put (AVGO290119P00400000) Stock Price, News, Quote &amp; History"/>
    <hyperlink ref="E962" r:id="rId961" display="UBER Dec 2026 140.000 call (UBER261218C00140000) stock price, news, quote and history"/>
    <hyperlink ref="E963" r:id="rId962" display="MS International PLC Estimates – LSE:MSI"/>
    <hyperlink ref="E964" r:id="rId963" display="Blackrock Limited Duration Income Trust Estimates – BOATS:BLW"/>
    <hyperlink ref="E965" r:id="rId964" display="EBAY Nov 2026 90.000 put (EBAY261113P00090000) Stock Price, News, Quote &amp; History"/>
    <hyperlink ref="E966" r:id="rId965" display="TOL,LAZ,CFG,JBHT,NYT,HST,FLEX,WTRG,CLS,LH,DKS,IEX | stock prices | quote comparison"/>
    <hyperlink ref="E967" r:id="rId966" display="TOL,LAZ,CFG,JBHT,NYT,HST,FLEX,WTRG,CLS,LH,DKS,IEX | stock prices | quote comparison"/>
    <hyperlink ref="E968" r:id="rId967" display="TOL,LAZ,CFG,JBHT,NYT,HST,FLEX,WTRG,CLS,LH,DKS,IEX | stock prices | quote comparison"/>
    <hyperlink ref="E969" r:id="rId968" display="TTWO Oct 2026 180.000 call (TTWO261030C00180000) Stock Price, News, Quote &amp; History"/>
    <hyperlink ref="E970" r:id="rId969" display="MRSH Nov 2026 210.000 call (MRSH261120C00210000) stock price, news, quote and history"/>
    <hyperlink ref="E971" r:id="rId970" display="MCD Oct 2026 160.000 call (MCD261030C00160000) stock price, news, quote and history"/>
    <hyperlink ref="E972" r:id="rId971" display="Humans are turning the Amazon rainforest into a carbon source"/>
    <hyperlink ref="E973" r:id="rId972" display="WDC Nov 2026 340.000 call (WDC261127C00340000) stock price, news, quote and history"/>
    <hyperlink ref="E974" r:id="rId973" display="COHR Jun 2027 170.000 call (COHR270617C00170000) stock price, news, quote and history"/>
    <hyperlink ref="E975" r:id="rId974" display="Goldman Sachs stock trades at EUR 782.60 as firm reports results"/>
    <hyperlink ref="E976" r:id="rId975" display="ADSK Oct 2026 257.500 call (ADSK261030C00257500) Stock Price, News, Quote &amp; History"/>
    <hyperlink ref="E977" r:id="rId976" display="DLR Nov 2026 130.000 put (DLR261120P00130000) Stock Price, News, Quote &amp; History"/>
    <hyperlink ref="E978" r:id="rId977" display="Uber Technologies, Inc. (UT81.F) stock price, news, quote and history"/>
    <hyperlink ref="E979" r:id="rId978" display="SMCI Nov 2026 37.000 call (SMCI261113C00037000) Stock Price, News, Quote &amp; History"/>
    <hyperlink ref="E980" r:id="rId979" display="LEN Nov 2026 92.000 call (LEN261106C00092000) stock price, news, quote and history"/>
    <hyperlink ref="E981" r:id="rId980" display="COF Sep 2027 105.000 put (COF270917P00105000) stock price, news, quote and history"/>
    <hyperlink ref="E982" r:id="rId981" display="DVN Nov 2026 25.000 call (DVN261120C00025000) stock price, news, quote and history"/>
    <hyperlink ref="E983" r:id="rId982" display="TPR outlines ‘hidden’ AI risks in pension portfolios"/>
    <hyperlink ref="E984" r:id="rId983" display="SNDK Oct 2026 1465.000 put (SNDK261030P01465000) stock price, news, quote and history"/>
    <hyperlink ref="E985" r:id="rId984" display="SMCI Oct 2026 53.000 put (SMCI261030P00053000) Stock Price, News, Quote &amp; History"/>
    <hyperlink ref="E986" r:id="rId985" display="PPG Industries, Inc. (PPG) stock price, news, quote and history"/>
    <hyperlink ref="E987" r:id="rId986" display="Merck &amp; Co., Inc. $MRK Holdings Decreased by Sterling Capital Management LLC"/>
    <hyperlink ref="E988" r:id="rId987" display="LIN Nov 2026 545.000 put (LIN261120P00545000) Stock Price, News, Quote &amp; History"/>
    <hyperlink ref="E989" r:id="rId988" display="IRM Oct 2026 108.000 put (IRM261030P00108000) Stock Price, News, Quote &amp; History"/>
    <hyperlink ref="E990" r:id="rId989" display="UAL Oct 2026 97.000 call (UAL261023C00097000) stock price, news, quote and history"/>
    <hyperlink ref="E991" r:id="rId990" display="SNDK Nov 2026 1290.000 put (SNDK261106P01290000) Stock Price, News, Quote &amp; History"/>
    <hyperlink ref="E992" r:id="rId991" display="FSLR Oct 2026 175.000 call (FSLR261023C00175000) stock price, news, quote and history"/>
    <hyperlink ref="E993" r:id="rId992" display="META Oct 2026 715.000 put (META261026P00715000) stock price, news, quote and history"/>
    <hyperlink ref="E994" r:id="rId993" display="LITE Apr 2027 620.000 call (LITE270416C00620000) Stock Price, News, Quote &amp; History"/>
    <hyperlink ref="E995" r:id="rId994" display="USB Oct 2026 54.000 call (USB261030C00054000) stock price, news, quote and history"/>
    <hyperlink ref="E996" r:id="rId995" display="Generac Holdings Inc. Estimates – NYSE:GNRC"/>
    <hyperlink ref="E997" r:id="rId996" display="Bristol Myers Squibb (BMY) Sees a More Significant Dip Than Broader Market: Some Facts to Know"/>
    <hyperlink ref="E998" r:id="rId997" display="GILD Nov 2026 145.000 put (GILD261127P00145000) stock price, news, quote and history"/>
    <hyperlink ref="E999" r:id="rId998" display="CRM Jan 2029 270.000 put (CRM290119P00270000) Stock Price, News, Quote &amp; History"/>
    <hyperlink ref="E1000" r:id="rId999" display="LIN Jun 2027 405.000 call (LIN270617C00405000) Stock Price, News, Quote &amp; History"/>
    <hyperlink ref="E1001" r:id="rId1000" display="Sacramento State Hornets at Ball State Cardinals - NCAAF Game Summary - Oct 24, 2026"/>
    <hyperlink ref="E1002" r:id="rId1001" display="MRNA Oct 2026 300.000 call (MRNA261030C00300000) stock price, news, quote and history"/>
    <hyperlink ref="E1003" r:id="rId1002" display="AZO Jun 2027 4100.000 call (AZO270617C04100000) stock price, news, quote and history"/>
    <hyperlink ref="E1004" r:id="rId1003" display="BLK Jan 2029 1100.000 call (BLK290119C01100000) stock price, news, quote and history"/>
    <hyperlink ref="E1005" r:id="rId1004" display="Trimble Inc. (TRMB) stock price, news, quote and history"/>
    <hyperlink ref="E1006" r:id="rId1005" display="XYZ Jan 2029 37.500 call (XYZ290119C00037500) stock price, news, quote and history"/>
    <hyperlink ref="E1007" r:id="rId1006" display="QCOM Dec 2026 150.000 call (QCOM261204C00150000) Stock Price, News, Quote &amp; History"/>
    <hyperlink ref="E1008" r:id="rId1007" display="FICO Jan 2028 650.000 put (FICO280121P00650000) stock price, news, quote and history"/>
    <hyperlink ref="E1009" r:id="rId1008" display="GILD Nov 2026 147.000 call (GILD261106C00147000) stock price, news, quote and history"/>
    <hyperlink ref="E1010" r:id="rId1009" display="WMT Oct 2026 96.000 call (WMT261030C00096000) Stock Price, News, Quote &amp; History"/>
    <hyperlink ref="E1011" r:id="rId1010" display="SMCI Oct 2026 30.500 call (SMCI261030C00030500) Stock Price, News, Quote &amp; History"/>
    <hyperlink ref="E1012" r:id="rId1011" display="LEN Nov 2026 74.000 put (LEN261106P00074000) stock price, news, quote and history"/>
    <hyperlink ref="E1013" r:id="rId1012" display="AMAT Nov 2026 495.000 call (AMAT261127C00495000) Stock Price, News, Quote &amp; History"/>
    <hyperlink ref="E1014" r:id="rId1013" display="SNDK Sep 2028 900.000 call (SNDK280915C00900000) stock price, news, quote and history"/>
    <hyperlink ref="E1015" r:id="rId1014" display="IBM Oct 2026 160.000 put (IBM261030P00160000) stock price, news, quote and history"/>
    <hyperlink ref="E1016" r:id="rId1015" display="HST Global, Inc. Estimates – OTC:HSTC"/>
    <hyperlink ref="E1017" r:id="rId1016" display="SYK Jan 2029 340.000 call (SYK290119C00340000) stock price, news, quote and history"/>
    <hyperlink ref="E1018" r:id="rId1017" display="Trimble Inc. (TRMB) stock price, news, quote and history"/>
    <hyperlink ref="E1019" r:id="rId1018" display="GILD Oct 2026 138.000 put (GILD261023P00138000) stock price, news, quote and history"/>
    <hyperlink ref="E1020" r:id="rId1019" display="TSLA Apr 2027 135.000 put (TSLA270416P00135000) Stock Price, News, Quote &amp; History"/>
    <hyperlink ref="E1021" r:id="rId1020" display="Steel Dynamics, Inc. Estimates – NASDAQ:STLD"/>
    <hyperlink ref="E1022" r:id="rId1021" display="APO Oct 2026 122.000 put (APO261023P00122000) stock price, news, quote and history"/>
    <hyperlink ref="E1023" r:id="rId1022" display="FANG Jan 2028 170.000 put (FANG280121P00170000) Stock Price, News, Quote &amp; History"/>
    <hyperlink ref="E1024" r:id="rId1023" display="American Express Q3 earnings beat as network volume disappoints"/>
    <hyperlink ref="E1025" r:id="rId1024" display="COHR Oct 2026 272.500 call (COHR261030C00272500) stock price, news, quote and history"/>
    <hyperlink ref="E1026" r:id="rId1025" display="VLO Oct 2026 372.500 put (VLO261030P00372500) stock price, news, quote and history"/>
    <hyperlink ref="E1027" r:id="rId1026" display="MCD Oct 2026 252.500 put (MCD261030P00252500) stock price, news, quote and history"/>
    <hyperlink ref="E1028" r:id="rId1027" display="PLD Nov 2026 130.000 call (PLD261120C00130000) Stock Price, News, Quote &amp; History"/>
    <hyperlink ref="E1029" r:id="rId1028" display="AAPL Oct 2026 332.500 put (AAPL261023P00332500) Stock Price, News, Quote &amp; History"/>
    <hyperlink ref="E1030" r:id="rId1029" display="Enerflex (TSX:EFX): What Does the Backlog Update Reveal?"/>
    <hyperlink ref="E1031" r:id="rId1030" display="MCO May 2027 440.000 call (MCO270521C00440000) Stock Price, News, Quote &amp; History"/>
    <hyperlink ref="E1032" r:id="rId1031" display="VRT Oct 2026 262.500 put (VRT261023P00262500) stock price, news, quote and history"/>
    <hyperlink ref="E1033" r:id="rId1032" display="CVNA Oct 2026 51.000 call (CVNA261030C00051000) Stock Price, News, Quote &amp; History"/>
    <hyperlink ref="E1034" r:id="rId1033" display="He Kept Working at 74 and Skipped the RMD on His 401(k), Which the Law Allows. He Also Owned 6% of the Company, Which the Law Doesn’t"/>
    <hyperlink ref="E1035" r:id="rId1034" display="Greenlight Capital Q3 2026 Commentary: Buys ADI Global Distribution &amp; Mocks SEC Over Musk's Bold Claims"/>
    <hyperlink ref="E1036" r:id="rId1035" display="UDR, Inc. (UDR) Stock Price, News, Quote &amp; History"/>
    <hyperlink ref="E1037" r:id="rId1036" display="Entergy Corporation (ETR) Stock Price, News, Quote &amp; History"/>
    <hyperlink ref="E1038" r:id="rId1037" display="ABT Oct 2026 97.000 call (ABT261030C00097000) Stock Price, News, Quote &amp; History"/>
    <hyperlink ref="E1039" r:id="rId1038" display="ADSK 261023 330.00P (ADSK261023P330000) Stock Options Chain | Quotes &amp; News"/>
    <hyperlink ref="E1040" r:id="rId1039" display="ULTA Oct 2026 525.000 call (ULTA261023C00525000) Stock Price, News, Quote &amp; History"/>
    <hyperlink ref="E1041" r:id="rId1040" display="ADI Nov 2026 400.000 call (ADI261120C00400000) Stock Price, News, Quote &amp; History"/>
    <hyperlink ref="E1042" r:id="rId1041" display="MDT Oct 2026 80.000 put (MDT261023P00080000) stock price, news, quote and history"/>
    <hyperlink ref="E1043" r:id="rId1042" display="USB Oct 2026 63.000 call (USB261023C00063000) stock price, news, quote and history"/>
    <hyperlink ref="E1044" r:id="rId1043" display="News 2 Day: Early voting starts today, Costco nearing opening, Ponzi scheme ringleader pleads guilty"/>
    <hyperlink ref="E1045" r:id="rId1044" display="You Own Crypto on Coinbase — Here’s What Happens to the Account When You Die"/>
    <hyperlink ref="E1046" r:id="rId1045" display="A classified Broadcom presentation with AMD and NVIDIA roadmaps through 2034 has leaked online."/>
    <hyperlink ref="E1047" r:id="rId1046" display="RTX Oct 2026 230.000 call (RTX261023C00230000) Stock Price, News, Quote &amp; History"/>
    <hyperlink ref="E1048" r:id="rId1047" display="Oregon Ducks vs Illinois Fighting Illini Highlights | FOX College Football"/>
    <hyperlink ref="E1049" r:id="rId1048" display="USB Oct 2026 54.000 put (USB261030P00054000) stock price, news, quote and history"/>
    <hyperlink ref="E1050" r:id="rId1049" display="LIN270115P00250000 interactive stock chart | LIN Jan 2027 250.000 put stock"/>
    <hyperlink ref="E1051" r:id="rId1050" display="MPWR Nov 2026 1150.000 put (MPWR261120P01150000) Stock Price, News, Quote &amp; History"/>
    <hyperlink ref="E1052" r:id="rId1051" display="META261026P01090000 Interactive Stock Chart | META Oct 2026 1090.000 put Stock"/>
    <hyperlink ref="E1053" r:id="rId1052" display="COHR261030C00282500 Interactive Stock Chart | COHR Oct 2026 282.500 call Stock"/>
    <hyperlink ref="E1054" r:id="rId1053" display="Nasdaq, Inc. Estimates – NASDAQ:NDAQ"/>
    <hyperlink ref="E1055" r:id="rId1054" display="Viatris Inc. (VTRS) Stock Price, News, Quote &amp; History"/>
    <hyperlink ref="E1056" r:id="rId1055" display="LEN May 2027 50.000 put (LEN270521P00050000) stock price, news, quote and history"/>
    <hyperlink ref="E1057" r:id="rId1056" display="Is Rail Leasing Expansion Altering The Investment Case For Ares Management (ARES)?"/>
    <hyperlink ref="E1058" r:id="rId1057" display="CRM Oct 2026 207.500 call (CRM261030C00207500) Stock Price, News, Quote &amp; History"/>
    <hyperlink ref="E1059" r:id="rId1058" display="META Oct 2026 925.000 call (META261026C00925000) Stock Price, News, Quote &amp; History"/>
    <hyperlink ref="E1060" r:id="rId1059" display="AAPL Oct 2026 245.000 put (AAPL261026P00245000) Stock Price, News, Quote &amp; History"/>
    <hyperlink ref="E1061" r:id="rId1060" display="ZBH Nov 2026 105.000 put (ZBH261120P00105000) stock price, news, quote and history"/>
    <hyperlink ref="E1062" r:id="rId1061" display="HRL Nov 2026 17.000 put (HRL261113P00017000) stock price, news, quote and history"/>
    <hyperlink ref="E1063" r:id="rId1062" display="CIEN Nov 2026 475.000 call (CIEN261127C00475000) Stock Price, News, Quote &amp; History"/>
    <hyperlink ref="E1064" r:id="rId1063" display="VRT Nov 2026 270.000 call (VRT261106C00270000) Stock Price, News, Quote &amp; History"/>
    <hyperlink ref="E1065" r:id="rId1064" display="AMAT Stock Technicals: What to Know"/>
    <hyperlink ref="E1066" r:id="rId1065" display="ODFL Apr 2027 140.000 call (ODFL270416C00140000) stock price, news, quote and history"/>
    <hyperlink ref="E1067" r:id="rId1066" display="What Is Driving Attention Toward McDonald's (NYSE:MCD)?"/>
    <hyperlink ref="E1068" r:id="rId1067" display="APO Oct 2026 132.000 call (APO261023C00132000) Stock Price, News, Quote &amp; History"/>
    <hyperlink ref="E1069" r:id="rId1068" display="EXPE Oct 2026 230.000 put (EXPE261030P00230000) Stock Price, News, Quote &amp; History"/>
    <hyperlink ref="E1070" r:id="rId1069" display="Why Is AbbVie (NYSE:ABBV) in Focus as Healthcare Themes Shift?"/>
    <hyperlink ref="E1071" r:id="rId1070" display="COR Nov 2026 330.000 put (COR261120P00330000) stock price, news, quote and history"/>
    <hyperlink ref="E1072" r:id="rId1071" display="LEN Nov 2026 76.000 call (LEN261106C00076000) Stock Price, News, Quote &amp; History"/>
    <hyperlink ref="E1073" r:id="rId1072" display="CVNA Nov 2026 62.000 call (CVNA261113C00062000) Stock Price, News, Quote &amp; History"/>
    <hyperlink ref="E1074" r:id="rId1073" display="A classified Broadcom presentation with AMD and NVIDIA roadmaps through 2034 has leaked online."/>
    <hyperlink ref="E1075" r:id="rId1074" display="Morgan Stanley Emerging Markets Domestic Debt Fund, Inc. Estimates – BOATS:EDD"/>
    <hyperlink ref="E1076" r:id="rId1075" display="Citizens Financial Group, Inc. $CFG Stock Acquired by Citizens Financial Group Inc. RI"/>
    <hyperlink ref="E1077" r:id="rId1076" display="VEEV Jun 2027 440.000 call (VEEV270617C00440000) stock price, news, quote and history"/>
    <hyperlink ref="E1078" r:id="rId1077" display="LyondellBasell Industries N.V. (LYB) Stock Price, News, Quote &amp; History"/>
    <hyperlink ref="E1079" r:id="rId1078" display="AIG Oct 2026 88.000 call (AIG261030C00088000) Stock Price, News, Quote &amp; History"/>
    <hyperlink ref="E1080" r:id="rId1079" display="FSLR Oct 2026 202.500 call (FSLR261030C00202500) stock price, news, quote and history"/>
    <hyperlink ref="E1081" r:id="rId1080" display="Sandisk Corporation (SNDK) stock price, news, quote and history"/>
    <hyperlink ref="E1082" r:id="rId1081" display="CIEN Oct 2026 342.500 call (CIEN261030C00342500) Stock Price, News, Quote &amp; History"/>
    <hyperlink ref="E1083" r:id="rId1082" display="HUBB Nov 2026 350.000 put (HUBB261120P00350000) Stock Price, News, Quote &amp; History"/>
    <hyperlink ref="E1084" r:id="rId1083" display="DRI Healthcare Trust Estimates – LSX:A2QPTQ"/>
    <hyperlink ref="E1085" r:id="rId1084" display="NVDA Oct 2026 255.000 put (NVDA261026P00255000) stock price, news, quote and history"/>
    <hyperlink ref="E1086" r:id="rId1085" display="BKNG Oct 2026 175.000 put (BKNG261030P00175000) Stock Price, News, Quote &amp; History"/>
    <hyperlink ref="E1087" r:id="rId1086" display="EXPE Oct 2026 330.000 put (EXPE261030P00330000) Stock Price, News, Quote &amp; History"/>
    <hyperlink ref="E1088" r:id="rId1087" display="TER Oct 2026 250.000 put (TER261030P00250000) stock price, news, quote and history"/>
    <hyperlink ref="E1089" r:id="rId1088" display="DXCM Nov 2026 105.000 call (DXCM261106C00105000) stock price, news, quote and history"/>
    <hyperlink ref="E1090" r:id="rId1089" display="FANG Nov 2026 230.000 put (FANG261120P00230000) Stock Price, News, Quote &amp; History"/>
    <hyperlink ref="E1091" r:id="rId1090" display="LEN Nov 2026 92.000 call (LEN261106C00092000) Stock Price, News, Quote &amp; History"/>
    <hyperlink ref="E1092" r:id="rId1091" display="ECHO Oct 2026 82.000 put (ECHO261023P00082000) Stock Price, News, Quote &amp; History"/>
    <hyperlink ref="E1093" r:id="rId1092" display="QCOM Oct 2026 152.500 put (QCOM261023P00152500) stock price, news, quote and history"/>
    <hyperlink ref="E1094" r:id="rId1093" display="Cadence Design Systems stock costs EUR 277.88 before October 26 results"/>
    <hyperlink ref="E1095" r:id="rId1094" display="CBOE Oct 2026 312.500 put (CBOE261023P00312500) stock price, news, quote and history"/>
    <hyperlink ref="E1096" r:id="rId1095" display="UNH Nov 2026 440.000 call (UNH261127C00440000) Stock Price, News, Quote &amp; History"/>
    <hyperlink ref="E1097" r:id="rId1096" display="SYK Nov 2026 300.000 put (SYK261120P00300000) stock price, news, quote and history"/>
    <hyperlink ref="E1098" r:id="rId1097" display="VLO Oct 2026 475.000 call (VLO261030C00475000) Stock Price, News, Quote &amp; History"/>
    <hyperlink ref="E1099" r:id="rId1098" display="CBOE Oct 2026 282.500 put (CBOE261023P00282500) stock price, news, quote and history"/>
    <hyperlink ref="E1100" r:id="rId1099" display="AZO Mar 2027 2360.000 call (AZO270319C02360000) Stock Price, News, Quote &amp; History"/>
    <hyperlink ref="E1101" r:id="rId1100" display="VRT Oct 2026 272.500 put (VRT261023P00272500) Stock Price, News, Quote &amp; History"/>
    <hyperlink ref="E1102" r:id="rId1101" display="McDonald's Holdings Company (Japan), Ltd. Estimates – HAM:MJ8"/>
    <hyperlink ref="E1103" r:id="rId1102" display="Learn Why The Bull Case For Emerson Electric Stock Could Change Following Earnings Report"/>
    <hyperlink ref="E1104" r:id="rId1103" display="Goldman Sachs BDC, Inc. Estimates – BOATS:GSBD"/>
    <hyperlink ref="E1105" r:id="rId1104" display="EXE Nov 2026 92.000 call (EXE261106C00092000) stock price, news, quote and history"/>
    <hyperlink ref="E1106" r:id="rId1105" display="GNRC Oct 2026 280.000 call (GNRC261030C00280000) stock price, news, quote and history"/>
    <hyperlink ref="E1107" r:id="rId1106" display="This New York based airline has painted giant curled mustaches on three of its Boeing 747s for men’s health, and the makeover required technicians to carefully remove the nose cover, align the whiskers, and protect the weather radar’s ability to see ahead"/>
    <hyperlink ref="E1108" r:id="rId1107" display="ECHO Oct 2026 82.000 call (ECHO261023C00082000) Stock Price, News, Quote &amp; History"/>
    <hyperlink ref="E1109" r:id="rId1108" display="SNDK Oct 2026 1415.000 call (SNDK261030C01415000) Stock Price, News, Quote &amp; History"/>
    <hyperlink ref="E1110" r:id="rId1109" display="PANW Oct 2026 427.500 call (PANW261030C00427500) Stock Price, News, Quote &amp; History"/>
    <hyperlink ref="E1111" r:id="rId1110" display="PANW Oct 2026 580.000 call (PANW261030C00580000) Stock Price, News, Quote &amp; History"/>
    <hyperlink ref="E1112" r:id="rId1111" display="PANW Oct 2026 305.000 put (PANW261030P00305000) Stock Price, News, Quote &amp; History"/>
    <hyperlink ref="E1113" r:id="rId1112" display="AMAT Nov 2026 300.000 put (AMAT261113P00300000) stock price, news, quote and history"/>
    <hyperlink ref="E1114" r:id="rId1113" display="PANW Oct 2026 180.000 put (PANW261030P00180000) Stock Price, News, Quote &amp; History"/>
    <hyperlink ref="E1115" r:id="rId1114" display="SNPS 261023 562.50C (SNPS261023C562500) Stock Options Chain | Quotes &amp; News"/>
    <hyperlink ref="E1116" r:id="rId1115" display="Amphenol changes division leadership. Amphenol stock trades at EUR 66.14"/>
    <hyperlink ref="E1117" r:id="rId1116" display="SYK Jan 2029 160.000 put (SYK290119P00160000) Stock Price, News, Quote &amp; History"/>
    <hyperlink ref="E1118" r:id="rId1117" display="CBOE Oct 2026 365.000 put (CBOE261030P00365000) Stock Price, News, Quote &amp; History"/>
    <hyperlink ref="E1119" r:id="rId1118" display="AEP May 2027 135.000 call (AEP270521C00135000) Stock Price, News, Quote &amp; History"/>
    <hyperlink ref="E1120" r:id="rId1119" display="NDAQ Nov 2026 88.000 call (NDAQ261106C00088000) stock price, news, quote and history"/>
    <hyperlink ref="E1121" r:id="rId1120" display="Old Dominion Monarchs at Louisiana Tech Bulldogs - NCAAF Game Summary - Oct 24, 2026"/>
    <hyperlink ref="E1122" r:id="rId1121" display="XOM Oct 2026 130.000 put (XOM261023P00130000) stock price, news, quote and history"/>
    <hyperlink ref="E1123" r:id="rId1122" display="CTAS Sep 2027 200.000 call (CTAS270917C00200000) Stock Price, News, Quote &amp; History"/>
    <hyperlink ref="E1124" r:id="rId1123" display="UAL Nov 2026 123.000 call (UAL261113C00123000) stock price, news, quote and history"/>
    <hyperlink ref="E1125" r:id="rId1124" display="ADP May 2027 320.000 call (ADP270521C00320000) Stock Price, News, Quote &amp; History"/>
    <hyperlink ref="E1126" r:id="rId1125" display="Morgan Stanley Emerging Markets Debt Fund, Inc. Estimates – NYSE:MSD"/>
    <hyperlink ref="E1127" r:id="rId1126" display="CHRW Jan 2029 140.000 call (CHRW290119C00140000) stock price, news, quote and history"/>
    <hyperlink ref="E1128" r:id="rId1127" display="UPS Apr 2027 135.000 call (UPS270416C00135000) stock price, news, quote and history"/>
    <hyperlink ref="E1129" r:id="rId1128" display="DBS Bank Adjusts Salesforce Price Target to $300 From $240"/>
    <hyperlink ref="E1130" r:id="rId1129" display="SNPS Oct 2026 285.000 put (SNPS261030P00285000) stock price, news, quote and history"/>
    <hyperlink ref="E1131" r:id="rId1130" display="CBOE Nov 2026 355.000 call (CBOE261127C00355000) Stock Price, News, Quote &amp; History"/>
    <hyperlink ref="E1132" r:id="rId1131" display="NRG Energy, Inc. Estimates – TRADEGATE:NRA"/>
    <hyperlink ref="E1133" r:id="rId1132" display="QCOM Oct 2026 202.500 put (QCOM261023P00202500) stock price, news, quote and history"/>
    <hyperlink ref="E1134" r:id="rId1133" display="PANW Oct 2026 432.500 call (PANW261030C00432500) Stock Price, News, Quote &amp; History"/>
    <hyperlink ref="E1135" r:id="rId1134" display="Europa Oil &amp; Gas (Holdings) plc Estimates – LSE:EOG"/>
    <hyperlink ref="E1136" r:id="rId1135" display="NFLX Nov 2026 71.000 call (NFLX261120C00071000) stock price, news, quote and history"/>
    <hyperlink ref="E1137" r:id="rId1136" display="CBOE Oct 2026 247.500 put (CBOE261023P00247500) Stock Price, News, Quote &amp; History"/>
    <hyperlink ref="E1138" r:id="rId1137" display="REGN Jun 2027 1220.000 call (REGN270617C01220000) stock price, news, quote and history"/>
    <hyperlink ref="E1139" r:id="rId1138" display="PANW Oct 2026 357.500 call (PANW261030C00357500) Stock Price, News, Quote &amp; History"/>
    <hyperlink ref="E1140" r:id="rId1139" display="CMCSA Oct 2026 22.500 put (CMCSA261030P00022500) Stock Price, News, Quote &amp; History"/>
    <hyperlink ref="E1141" r:id="rId1140" display="Union Pacific (NYSE:UNP) Share Price, Forecast &amp; Analysis"/>
    <hyperlink ref="E1142" r:id="rId1141" display="SNDK Oct 2026 1330.000 call (SNDK261030C01330000) Stock Price, News, Quote &amp; History"/>
    <hyperlink ref="E1143" r:id="rId1142" display="PANW Oct 2026 417.500 call (PANW261030C00417500) Stock Price, News, Quote &amp; History"/>
    <hyperlink ref="E1144" r:id="rId1143" display="SNPS 261023 577.50P (SNPS261023P577500) Stock Options Chain | Quotes &amp; News"/>
    <hyperlink ref="E1145" r:id="rId1144" display="Baxter International Inc. (BAX) Stock Price, News, Quote &amp; History"/>
    <hyperlink ref="E1146" r:id="rId1145" display="Broadridge Financial Solutions, Inc. (BR) stock price, news, quote and history"/>
    <hyperlink ref="E1147" r:id="rId1146" display="Did Cole Palmer really eat McDonald's before Chelsea game?"/>
    <hyperlink ref="E1148" r:id="rId1147" display="CVX Oct 2026 232.500 put (CVX261023P00232500) Stock Price, News, Quote &amp; History"/>
    <hyperlink ref="E1149" r:id="rId1148" display="LITE Nov 2026 815.000 put (LITE261106P00815000) stock price, news, quote and history"/>
    <hyperlink ref="E1150" r:id="rId1149" display="VLTO Jan 2027 55.000 put (VLTO270115P00055000) Stock Price, News, Quote &amp; History"/>
    <hyperlink ref="E1151" r:id="rId1150" display="Roper Technologies, Inc. (ROP) Stock Price, News, Quote &amp; History"/>
    <hyperlink ref="E1152" r:id="rId1151" display="NVDA261023P00250000 Interactive Stock Chart | NVDA Oct 2026 250.000 put Stock"/>
    <hyperlink ref="E1153" r:id="rId1152" display="REGN Nov 2026 690.000 put (REGN261106P00690000) stock price, news, quote and history"/>
    <hyperlink ref="E1154" r:id="rId1153" display="FSLR Oct 2026 195.000 call (FSLR261023C00195000) Stock Price, News, Quote &amp; History"/>
    <hyperlink ref="E1155" r:id="rId1154" display="LLY Nov 2026 1090.000 put (LLY261127P01090000) stock price, news, quote and history"/>
    <hyperlink ref="E1156" r:id="rId1155" display="VEEV Nov 2026 400.000 put (VEEV261120P00400000) Stock Price, News, Quote &amp; History"/>
    <hyperlink ref="E1157" r:id="rId1156" display="LITE Oct 2026 820.000 call (LITE261030C00820000) Stock Price, News, Quote &amp; History"/>
    <hyperlink ref="E1158" r:id="rId1157" display="PANW Oct 2026 412.500 call (PANW261030C00412500) Stock Price, News, Quote &amp; History"/>
    <hyperlink ref="E1159" r:id="rId1158" display="PPG Oct 2026 107.000 put (PPG261023P00107000) Stock Price, News, Quote &amp; History"/>
    <hyperlink ref="E1160" r:id="rId1159" display="LLY Nov 2026 985.000 put (LLY261106P00985000) stock price, news, quote and history"/>
    <hyperlink ref="E1161" r:id="rId1160" display="ADSK 261023 350.00C (ADSK261023C350000) Stock Options Chain | Quotes &amp; News"/>
    <hyperlink ref="E1162" r:id="rId1161" display="LRCX Oct 2026 450.000 call (LRCX261023C00450000) stock price, news, quote and history"/>
    <hyperlink ref="E1163" r:id="rId1162" display="TER Oct 2026 295.000 put (TER261023P00295000) Stock Price, News, Quote &amp; History"/>
    <hyperlink ref="E1164" r:id="rId1163" display="HWM Jun 2027 170.000 call (HWM270617C00170000) Stock Price, News, Quote &amp; History"/>
    <hyperlink ref="E1165" r:id="rId1164" display="NVDA Oct 2026 140.000 call (NVDA261026C00140000) stock price, news, quote and history"/>
    <hyperlink ref="E1166" r:id="rId1165" display="NVDA Oct 2026 285.000 put (NVDA261026P00285000) stock price, news, quote and history"/>
    <hyperlink ref="E1167" r:id="rId1166" display="ROL Jan 2027 50.000 call (ROL270115C00050000) Stock Price, News, Quote &amp; History"/>
    <hyperlink ref="E1168" r:id="rId1167" display="XYZ Jan 2029 80.000 put (XYZ290119P00080000) stock price, news, quote and history"/>
    <hyperlink ref="E1169" r:id="rId1168" display="KVUE News at 5:30"/>
    <hyperlink ref="E1170" r:id="rId1169" display="TGT Oct 2026 141.000 put (TGT261030P00141000) stock price, news, quote and history"/>
    <hyperlink ref="E1171" r:id="rId1170" display="CBOE Oct 2026 300.000 put (CBOE261023P00300000) stock price, news, quote and history"/>
    <hyperlink ref="E1172" r:id="rId1171" display="UNH Forces Overtime but Edged in Shootout by UAlbany"/>
    <hyperlink ref="E1173" r:id="rId1172" display="Union Pacific (NYSE:UNP) Share Price, Forecast &amp; Analysis"/>
    <hyperlink ref="E1174" r:id="rId1173" display="FANG Nov 2026 210.000 call (FANG261120C00210000) Stock Price, News, Quote &amp; History"/>
    <hyperlink ref="E1175" r:id="rId1174" display="Why Is Intuit (NASDAQ:INTU) Drawing Market Focus?"/>
    <hyperlink ref="E1176" r:id="rId1175" display="CRH plc (CRH) Stock Price, News, Quote &amp; History"/>
    <hyperlink ref="E1177" r:id="rId1176" display="Howmet Aerospace Inc. Estimates – BCS:HWM0"/>
    <hyperlink ref="E1178" r:id="rId1177" display="PANW Oct 2026 392.500 call (PANW261030C00392500) Stock Price, News, Quote &amp; History"/>
    <hyperlink ref="E1179" r:id="rId1178" display="‍‍‍Old Dominion Monarchs football game"/>
    <hyperlink ref="E1180" r:id="rId1179" display="NVDA Oct 2026 320.000 call (NVDA261023C00320000) stock price, news, quote and history"/>
    <hyperlink ref="E1181" r:id="rId1180" display="SNDK Oct 2026 1340.000 call (SNDK261030C01340000) Stock Price, News, Quote &amp; History"/>
    <hyperlink ref="E1182" r:id="rId1181" display="Why McDonald’s (NYSE:MCD) Remains Part of the Market Conversation?"/>
    <hyperlink ref="E1183" r:id="rId1182" display="D.R. Horton, Inc. Estimates – NYSE:DHI"/>
    <hyperlink ref="E1184" r:id="rId1183" display="Broadridge Financial Solutions, Inc. Estimates – NYSE:BR"/>
    <hyperlink ref="E1185" r:id="rId1184" display="BLK Oct 2026 970.000 put (BLK261023P00970000) stock price, news, quote and history"/>
    <hyperlink ref="E1186" r:id="rId1185" display="Archer-Daniels-Midland Company Estimates – NYSE:ADM"/>
    <hyperlink ref="E1187" r:id="rId1186" display="NVDA Oct 2026 197.500 call (NVDA261026C00197500) stock price, news, quote and history"/>
    <hyperlink ref="E1188" r:id="rId1187" display="PANW Oct 2026 190.000 call (PANW261030C00190000) Stock Price, News, Quote &amp; History"/>
    <hyperlink ref="E1189" r:id="rId1188" display="International Business Machines Corporation $IBM Stock Acquired by Fifth Third Wealth Advisors LLC"/>
    <hyperlink ref="E1190" r:id="rId1189" display="Equinix Earnings Preview: What to Expect"/>
    <hyperlink ref="E1191" r:id="rId1190" display="10,820 Nasdaq, Inc. $NDAQ Shares Sold by Prime Capital Investment Advisors LLC"/>
    <hyperlink ref="E1192" r:id="rId1191" display="Valero Energy Corporation $VLO Stock Holdings Lowered by Sterling Capital Management LLC"/>
    <hyperlink ref="E1193" r:id="rId1192" display="PANW Oct 2026 290.000 put (PANW261030P00290000) Stock Price, News, Quote &amp; History"/>
    <hyperlink ref="E1194" r:id="rId1193" display="Blackrock MuniYield Quality Fund, Inc. Estimates – BOATS:MQY"/>
    <hyperlink ref="E1195" r:id="rId1194" display="Shin Foong Specialty &amp; Applied Materials Co., Ltd. Estimates – TWSE:6582"/>
    <hyperlink ref="E1196" r:id="rId1195" display="PANW Oct 2026 145.000 put (PANW261030P00145000) Stock Price, News, Quote &amp; History"/>
    <hyperlink ref="E1197" r:id="rId1196" display="DTE Energy Company (DTE) Stock Price, News, Quote &amp; History"/>
    <hyperlink ref="E1198" r:id="rId1197" display="PANW Oct 2026 165.000 put (PANW261030P00165000) Stock Price, News, Quote &amp; History"/>
    <hyperlink ref="E1199" r:id="rId1198" display="PANW Oct 2026 390.000 put (PANW261030P00390000) Stock Price, News, Quote &amp; History"/>
    <hyperlink ref="E1200" r:id="rId1199" display="PANW Oct 2026 620.000 call (PANW261030C00620000) Stock Price, News, Quote &amp; History"/>
    <hyperlink ref="E1201" r:id="rId1200" display="PANW Oct 2026 357.500 put (PANW261030P00357500) Stock Price, News, Quote &amp; History"/>
    <hyperlink ref="E1202" r:id="rId1201" display="PANW Oct 2026 245.000 call (PANW261030C00245000) Stock Price, News, Quote &amp; History"/>
    <hyperlink ref="E1203" r:id="rId1202" display="PANW Oct 2026 292.500 call (PANW261030C00292500) Stock Price, News, Quote &amp; History"/>
    <hyperlink ref="E1204" r:id="rId1203" display="PANW Oct 2026 277.500 put (PANW261030P00277500) Stock Price, News, Quote &amp; History"/>
    <hyperlink ref="E1205" r:id="rId1204" display="QCOM261120C00270000 Interactive Stock Chart | QCOM Nov 2026 270.000 call Stock - Yahoo Finance"/>
    <hyperlink ref="E1206" r:id="rId1205" display="PANW Oct 2026 90.000 put (PANW261030P00090000) Stock Price, News, Quote &amp; History"/>
    <hyperlink ref="E1207" r:id="rId1206" display="Bristol Myers Squibb Company $BMY Shares Acquired by Brookstone Capital Management"/>
    <hyperlink ref="E1208" r:id="rId1207" display="PANW Oct 2026 337.500 call (PANW261030C00337500) Stock Price, News, Quote &amp; History"/>
    <hyperlink ref="E1209" r:id="rId1208" display="AAPL Oct 2026 275.000 put (AAPL261026P00275000) Stock Price, News, Quote &amp; History"/>
    <hyperlink ref="E1210" r:id="rId1209" display="Palantir Sets Nov. 2 Earnings Date as Microsoft, Alphabet Report Wednesday"/>
    <hyperlink ref="E1211" r:id="rId1210" display="Autodesk sets November 24 results date for Autodesk stock"/>
    <hyperlink ref="E1212" r:id="rId1211" display="Minh Phu Seafood Group Corp. Estimates – UPCOM:MPC"/>
    <hyperlink ref="E1213" r:id="rId1212" display="PANW Oct 2026 640.000 call (PANW261030C00640000) Stock Price, News, Quote &amp; History"/>
    <hyperlink ref="E1214" r:id="rId1213" display="UNH Oct 2026 422.500 put (UNH261030P00422500) Stock Price, News, Quote &amp; History"/>
    <hyperlink ref="E1215" r:id="rId1214" display="Morgan Stanley Private Markets and Alternatives Fund Class A Shares Estimates – NASDAQ:PMXAX"/>
    <hyperlink ref="E1216" r:id="rId1215" display="IRM Oct 2026 100.000 put (IRM261030P00100000) stock price, news, quote and history"/>
    <hyperlink ref="E1217" r:id="rId1216" display="COIN Oct 2026 141.000 put (COIN261030P00141000) stock price, news, quote and history"/>
    <hyperlink ref="E1218" r:id="rId1217" display="CAH Nov 2026 230.000 put (CAH261106P00230000) Stock Price, News, Quote &amp; History"/>
    <hyperlink ref="E1219" r:id="rId1218" display="LRCX Feb 2027 300.000 put (LRCX270219P00300000) stock price, news, quote and history"/>
    <hyperlink ref="E1220" r:id="rId1219" display="PANW Oct 2026 367.500 put (PANW261030P00367500) Stock Price, News, Quote &amp; History"/>
    <hyperlink ref="E1221" r:id="rId1220" display="CMS Nov 2026 50.000 put (CMS261120P00050000) Stock Price, News, Quote &amp; History"/>
    <hyperlink ref="E1222" r:id="rId1221" display="CBOE Oct 2026 310.000 put (CBOE261023P00310000) Stock Price, News, Quote &amp; History"/>
    <hyperlink ref="E1223" r:id="rId1222" display="TMUS Oct 2026 136.000 call (TMUS261030C00136000) Stock Price, News, Quote &amp; History"/>
    <hyperlink ref="E1224" r:id="rId1223" display="MDT Oct 2026 91.000 put (MDT261023P00091000) Stock Price, News, Quote &amp; History"/>
    <hyperlink ref="E1225" r:id="rId1224" display="AMAT Nov 2026 475.000 put (AMAT261127P00475000) Stock Price, News, Quote &amp; History"/>
    <hyperlink ref="E1226" r:id="rId1225" display="NTAP Nov 2026 250.000 put (NTAP261120P00250000) Stock Price, News, Quote &amp; History"/>
    <hyperlink ref="E1227" r:id="rId1226" display="TPR Nov 2026 122.000 put (TPR261106P00122000) Stock Price, News, Quote &amp; History"/>
    <hyperlink ref="E1228" r:id="rId1227" display="SNPS Oct 2026 520.000 put (SNPS261030P00520000) stock price, news, quote and history"/>
    <hyperlink ref="E1229" r:id="rId1228" display="Royal Caribbean Cruises Ltd. Estimates – NYSE:RCL"/>
    <hyperlink ref="E1230" r:id="rId1229" display="UBER Oct 2026 81.000 put (UBER261023P00081000) stock price, news, quote and history"/>
    <hyperlink ref="E1231" r:id="rId1230" display="ZBRA Nov 2026 320.000 put (ZBRA261120P00320000) Stock Price, News, Quote &amp; History"/>
    <hyperlink ref="E1232" r:id="rId1231" display="ADI Global Distribution Inc (ADIG) Stock Price, News, Quote &amp; History"/>
    <hyperlink ref="E1233" r:id="rId1232" display="SPECTER Attack Uses USB Power Signals to Leak Data From Air-Gapped PCs"/>
    <hyperlink ref="E1234" r:id="rId1233" display="PANW Oct 2026 307.500 put (PANW261030P00307500) Stock Price, News, Quote &amp; History"/>
    <hyperlink ref="E1235" r:id="rId1234" display="Exxon Mobil Corp Stock Futures, (SXOM0Z26.CME)"/>
    <hyperlink ref="E1236" r:id="rId1235" display="PWR HOLDINGS LTD. Estimates – OTC:PWRHF"/>
    <hyperlink ref="E1237" r:id="rId1236" display="NVDA May 2027 370.000 call (NVDA270521C00370000) Stock Price, News, Quote &amp; History"/>
    <hyperlink ref="E1238" r:id="rId1237" display="BlackRock Technology and Private Equity Term Trust Estimates – FWB:8W4"/>
    <hyperlink ref="E1239" r:id="rId1238" display="WYNN Nov 2026 88.000 call (WYNN261113C00088000) Stock Price, News, Quote &amp; History"/>
    <hyperlink ref="E1240" r:id="rId1239" display="RCL FOODS LTD. Estimates – OTC:RCLFF"/>
    <hyperlink ref="E1241" r:id="rId1240" display="PANW Oct 2026 680.000 call (PANW261030C00680000) Stock Price, News, Quote &amp; History"/>
    <hyperlink ref="E1242" r:id="rId1241" display="PANW Oct 2026 355.000 put (PANW261030P00355000) Stock Price, News, Quote &amp; History"/>
    <hyperlink ref="E1243" r:id="rId1242" display="PANW Oct 2026 422.500 call (PANW261030C00422500) Stock Price, News, Quote &amp; History"/>
    <hyperlink ref="E1244" r:id="rId1243" display="Qualcomm sets November 4 results date as Qualcomm stock sits at EUR 157.19"/>
    <hyperlink ref="E1245" r:id="rId1244" display="Paychex, Inc. Estimates – NASDAQ:PAYX"/>
    <hyperlink ref="E1246" r:id="rId1245" display="PANW Oct 2026 362.500 put (PANW261030P00362500) Stock Price, News, Quote &amp; History"/>
    <hyperlink ref="E1247" r:id="rId1246" display="PANW Oct 2026 650.000 call (PANW261030C00650000) Stock Price, News, Quote &amp; History"/>
    <hyperlink ref="E1248" r:id="rId1247" display="How to Fix the Connect a USB Storage Device Message on PS4"/>
    <hyperlink ref="E1249" r:id="rId1248" display="PANW Oct 2026 500.000 call (PANW261030C00500000) Stock Price, News, Quote &amp; History"/>
    <hyperlink ref="E1250" r:id="rId1249" display="DVN 261023 46.00P (DVN261023P46000) Stock Options Chain | Quotes &amp; News"/>
    <hyperlink ref="E1251" r:id="rId1250" display="Sandisk schedules results as Sandisk stock costs EUR 1,105.00"/>
    <hyperlink ref="E1252" r:id="rId1251" display="The Meter Arrives in November: Salesforce Will Charge for Every Call Your Agents Make – and the Price Is TBA"/>
    <hyperlink ref="E1253" r:id="rId1252" display="PANW Oct 2026 365.000 put (PANW261030P00365000) Stock Price, News, Quote &amp; History"/>
    <hyperlink ref="E1254" r:id="rId1253" display="Meta Platforms: Sunk Cost Fallacy Vs. Nascent AI/Reality Labs Monetization (NASDAQ:META)"/>
    <hyperlink ref="E1255" r:id="rId1254" display="FSLR Jan 2029 260.000 put (FSLR290119P00260000) Stock Price, News, Quote &amp; History"/>
    <hyperlink ref="E1256" r:id="rId1255" display="PANW Oct 2026 407.500 put (PANW261030P00407500) Stock Price, News, Quote &amp; History"/>
    <hyperlink ref="E1257" r:id="rId1256" display="PANW Oct 2026 445.000 put (PANW261030P00445000) Stock Price, News, Quote &amp; History"/>
    <hyperlink ref="E1258" r:id="rId1257" display="SNPS Oct 2026 280.000 call (SNPS261030C00280000) stock price, news, quote and history"/>
    <hyperlink ref="E1259" r:id="rId1258" display="S&amp;P Global Inc. Estimates – NYSE:SPGI"/>
    <hyperlink ref="E1260" r:id="rId1259" display="Lumentum Holdings Inc. (LITE) Stock Price, News, Quote &amp; History"/>
    <hyperlink ref="E1261" r:id="rId1260" display="MassDOT Tells Amazon, Drone Flights Must Follow State Law"/>
    <hyperlink ref="E1262" r:id="rId1261" display="META261023C00545000 Interactive Stock Chart | META Oct 2026 545.000 call Stock"/>
    <hyperlink ref="E1263" r:id="rId1262" display="HOOD Oct 2026 133.000 put (HOOD261030P00133000) Stock Price, News, Quote &amp; History"/>
    <hyperlink ref="E1264" r:id="rId1263" display="SNPS 261023 425.00C (SNPS261023C425000) Stock Options Chain | Quotes &amp; News"/>
    <hyperlink ref="E1265" r:id="rId1264" display="MDT Sep 2027 85.000 call (MDT270917C00085000) stock price, news, quote and history"/>
    <hyperlink ref="E1266" r:id="rId1265" display="LRCX Oct 2026 185.000 put (LRCX261023P00185000) stock price, news, quote and history"/>
    <hyperlink ref="E1267" r:id="rId1266" display="Emerson Electric Earnings Preview: What to Expect"/>
    <hyperlink ref="E1268" r:id="rId1267" display="MDT May 2027 100.000 call (MDT270521C00100000) stock price, news, quote and history"/>
    <hyperlink ref="E1269" r:id="rId1268" display="ADC,VIAV,GLW,AMR,RSG,SRTS,EAT,TRV,BLNE | Stock Prices | Quote Comparison - Yahoo Finance"/>
    <hyperlink ref="E1270" r:id="rId1269" display="Synopsys, Inc. Estimates – NASDAQ:SNPS"/>
    <hyperlink ref="E1271" r:id="rId1270" display="HUM Oct 2026 432.500 put (HUM261030P00432500) Stock Price, News, Quote &amp; History"/>
    <hyperlink ref="E1272" r:id="rId1271" display="TROW Nov 2026 110.000 call (TROW261120C00110000) stock price, news, quote and history"/>
    <hyperlink ref="E1273" r:id="rId1272" display="UP TGT Notification 2026 Out, Exam Date, Vacancy, Eligibility, Application Form &amp; Exam Pattern"/>
    <hyperlink ref="E1274" r:id="rId1273" display="Nvidia's RTX Spark has an NPU it barely mentions, and I spent a week figuring out what it actually is"/>
    <hyperlink ref="E1275" r:id="rId1274" display="The Garage never should have existed: Why Microsoft’s grassroots innovation lab worked for so long"/>
    <hyperlink ref="E1276" r:id="rId1275" display="SNPS Oct 2026 415.000 call (SNPS261023C00415000) Stock Price, News, Quote &amp; History"/>
    <hyperlink ref="E1277" r:id="rId1276" display="PANW Oct 2026 405.000 put (PANW261030P00405000) Stock Price, News, Quote &amp; History"/>
    <hyperlink ref="E1278" r:id="rId1277" display="STERIS plc (STE) Stock Price, News, Quote &amp; History"/>
    <hyperlink ref="E1279" r:id="rId1278" display="TJX Oct 2026 145.000 call (TJX261030C00145000) Stock Price, News, Quote &amp; History"/>
    <hyperlink ref="E1280" r:id="rId1279" display="The Mosaic Company (MOS) stock price, news, quote and history"/>
    <hyperlink ref="E1281" r:id="rId1280" display="Haunted House Extreme, at Crystal Palace NSC, Oct 30 and 31"/>
    <hyperlink ref="E1282" r:id="rId1281" display="Citigroup Global Markets Australia Pty Ltd Warrant 2025-25.10.35 on IShs S&amp;P/ASX Di Estimates – ASX:IHDSO1"/>
    <hyperlink ref="E1283" r:id="rId1282" display="How Investors Are Reacting To Leidos Stock After Pentagon AI Contract"/>
    <hyperlink ref="E1284" r:id="rId1283" display="20 Years! NSC recommends higher minimum sentence for gun possession; new crime for adults grooming kids to carry firearms&quot;"/>
    <hyperlink ref="E1285" r:id="rId1284" display="CRWD Nov 2026 135.000 put (CRWD261106P00135000) Stock Price, News, Quote &amp; History"/>
    <hyperlink ref="E1286" r:id="rId1285" display="NVDA Oct 2026 250.000 put (NVDA261026P00250000) stock price, news, quote and history"/>
    <hyperlink ref="E1287" r:id="rId1286" display="DLR Oct 2026 202.500 put (DLR261023P00202500) Stock Price, News, Quote &amp; History"/>
    <hyperlink ref="E1288" r:id="rId1287" display="SBUX Nov 2026 99.000 call (SBUX261127C00099000) Stock Price, News, Quote &amp; History"/>
    <hyperlink ref="E1289" r:id="rId1288" display="Weyerhaeuser Company (WY) Stock Price, News, Quote &amp; History"/>
    <hyperlink ref="E1290" r:id="rId1289" display="TJX Oct 2026 146.000 put (TJX261023P00146000) stock price, news, quote and history"/>
    <hyperlink ref="E1291" r:id="rId1290" display="United Airlines Holdings, Inc. Estimates – NASDAQ:UAL"/>
    <hyperlink ref="E1292" r:id="rId1291" display="PYPL Sep 2027 80.000 call (PYPL270917C00080000) Stock Price, News, Quote &amp; History"/>
    <hyperlink ref="E1293" r:id="rId1292" display="NVDA Nov 2026 70.000 put (NVDA261113P00070000) Stock Price, News, Quote &amp; History"/>
    <hyperlink ref="E1294" r:id="rId1293" display="Gallery | Jets Arrive at MetLife Stadium for Week 7 Game vs Miami Dolphins"/>
    <hyperlink ref="E1295" r:id="rId1294" display="HUM Nov 2026 320.000 put (HUM261106P00320000) stock price, news, quote and history"/>
    <hyperlink ref="E1296" r:id="rId1295" display="Linde plc (LIN) Stock Price, News, Quote &amp; History"/>
    <hyperlink ref="E1297" r:id="rId1296" display="Xcel Energy Inc. (XEL) Stock Price, News, Quote &amp; History"/>
    <hyperlink ref="E1298" r:id="rId1297" display="L3Harris Technologies Keeps Quarterly Dividend at $1.25 a Share, Payable Dec. 18 to Shareholders of Record as of Dec. 4"/>
    <hyperlink ref="E1299" r:id="rId1298" display="COF 261023 182.50C (COF261023C182500) Stock Options Chain | Quotes &amp; News"/>
    <hyperlink ref="E1300" r:id="rId1299" display="PANW Oct 2026 425.000 call (PANW261030C00425000) Stock Price, News, Quote &amp; History"/>
    <hyperlink ref="E1301" r:id="rId1300" display="PANW Oct 2026 402.500 call (PANW261030C00402500) Stock Price, News, Quote &amp; History"/>
    <hyperlink ref="E1302" r:id="rId1301" display="ACN261218C00220000 Interactive Stock Chart | ACN Dec 2026 220.000 call Stock - Yahoo Finance"/>
    <hyperlink ref="E1303" r:id="rId1302" display="PANW Oct 2026 375.000 call (PANW261030C00375000) Stock Price, News, Quote &amp; History"/>
    <hyperlink ref="E1304" r:id="rId1303" display="PANW Oct 2026 530.000 call (PANW261030C00530000) Stock Price, News, Quote &amp; History"/>
    <hyperlink ref="E1305" r:id="rId1304" display="PANW Oct 2026 120.000 call (PANW261030C00120000) Stock Price, News, Quote &amp; History"/>
    <hyperlink ref="E1306" r:id="rId1305" display="Old Dominion Freight Line, Inc. Estimates – NASDAQ:ODFL"/>
    <hyperlink ref="E1307" r:id="rId1306" display="Waters Corporation Estimates – LS:898123"/>
    <hyperlink ref="E1308" r:id="rId1307" display="What If Netflix Doesn’t Change All That Much?"/>
    <hyperlink ref="E1309" r:id="rId1308" display="PEG Nov 2026 75.000 put (PEG261120P00075000) stock price, news, quote and history"/>
    <hyperlink ref="E1310" r:id="rId1309" display="Teradyne, Inc. (TER) Stock forecasts"/>
    <hyperlink ref="E1311" r:id="rId1310" display="LITE Feb 2027 1320.000 put (LITE270219P01320000) stock price, news, quote and history"/>
    <hyperlink ref="E1312" r:id="rId1311" display="General Motors (NYSE:GM) Share Price, Forecast &amp; Analysis"/>
    <hyperlink ref="E1313" r:id="rId1312" display="CIEN Oct 2026 275.000 put (CIEN261030P00275000) Stock Price, News, Quote &amp; History"/>
    <hyperlink ref="E1314" r:id="rId1313" display="Nasdaq (NASDAQ:NDAQ) Share Price, Forecast &amp; Analysis"/>
    <hyperlink ref="E1315" r:id="rId1314" display="MAA Group Bhd. Estimates – MYX:MAA"/>
    <hyperlink ref="E1316" r:id="rId1315" display="PANW Oct 2026 265.000 call (PANW261030C00265000) Stock Price, News, Quote &amp; History"/>
    <hyperlink ref="E1317" r:id="rId1316" display="PANW Oct 2026 450.000 call (PANW261030C00450000) Stock Price, News, Quote &amp; History"/>
    <hyperlink ref="E1318" r:id="rId1317" display="Quest Diagnostics Reports Hack on IT System Used by Clients"/>
    <hyperlink ref="E1319" r:id="rId1318" display="ADC,VIAV,GLW,AMR,RSG,SRTS,TRV,EAT,BLNE | Stock Prices | Quote Comparison - Yahoo Finance"/>
    <hyperlink ref="E1320" r:id="rId1319" display="FANG Nov 2026 150.000 call (FANG261120C00150000) Stock Price, News, Quote &amp; History"/>
    <hyperlink ref="E1321" r:id="rId1320" display="The Mosaic Company (MOS) stock price, news, quote and history"/>
    <hyperlink ref="E1322" r:id="rId1321" display="Enerflex Ltd. (EFX.TO) Stock Price, News, Quote &amp; History"/>
    <hyperlink ref="E1323" r:id="rId1322" display="Jack Henry &amp; Associates, Inc. Estimates – NASDAQ:JKHY"/>
    <hyperlink ref="E1324" r:id="rId1323" display="PPL Corporation (PPL) Stock forecasts"/>
    <hyperlink ref="E1325" r:id="rId1324" display="UAL Nov 2026 88.000 put (UAL261127P00088000) Stock Price, News, Quote &amp; History"/>
    <hyperlink ref="E1326" r:id="rId1325" display="Houston TV anchor reveals FOX 26 chose not to keep him"/>
    <hyperlink ref="E1327" r:id="rId1326" display="Kinder Morgan, Inc. Estimates – NYSE:KMI"/>
    <hyperlink ref="E1328" r:id="rId1327" display="PYPL Oct 2026 74.000 call (PYPL261023C00074000) Stock Price, News, Quote &amp; History"/>
    <hyperlink ref="E1329" r:id="rId1328" display="Family sees exhausted UPS driver working hard and invites him to 'make a plate' at family cookout"/>
    <hyperlink ref="E1330" r:id="rId1329" display="MCD Sets Minimum Rs 18,000 Monthly Pay For 4,000 Health Workers"/>
    <hyperlink ref="E1331" r:id="rId1330" display="PNC International Inc Estimates – TPEX:3067"/>
    <hyperlink ref="E1332" r:id="rId1331" display="CMCSA Nov 2026 17.000 put (CMCSA261113P00017000) Stock Price, News, Quote &amp; History"/>
    <hyperlink ref="E1333" r:id="rId1332" display="5,701 The PNC Financial Services Group, Inc $PNC Shares Bought by Crossmark Global Holdings Inc."/>
    <hyperlink ref="E1334" r:id="rId1333" display="AVGO 261023 372.50C (AVGO261023C372500) Stock Options Chain | Quotes &amp; News"/>
    <hyperlink ref="E1335" r:id="rId1334" display="The Cooper Companies, Inc. (COO) stock price, news, quote and history"/>
    <hyperlink ref="E1336" r:id="rId1335" display="PANW Oct 2026 200.000 put (PANW261030P00200000) Stock Price, News, Quote &amp; History"/>
    <hyperlink ref="E1337" r:id="rId1336" display="DTE Energy Company (DTE) stock price, news, quote and history"/>
    <hyperlink ref="E1338" r:id="rId1337" display="PANW Oct 2026 120.000 put (PANW261030P00120000) Stock Price, News, Quote &amp; History"/>
    <hyperlink ref="E1339" r:id="rId1338" display="PANW Oct 2026 312.500 put (PANW261030P00312500) Stock Price, News, Quote &amp; History"/>
    <hyperlink ref="E1340" r:id="rId1339" display="What To Expect In Markets This Week: GOOGL, MSFT, AMZN, INTC, HOOD, LLY Earnings, Fed Meeting And More"/>
    <hyperlink ref="E1341" r:id="rId1340" display="TJX Oct 2026 142.000 put (TJX261030P00142000) stock price, news, quote and history"/>
    <hyperlink ref="E1342" r:id="rId1341" display="What To Expect In Markets This Week: GOOGL, MSFT, AMZN, INTC, HOOD, LLY Earnings, Fed Meeting And More"/>
    <hyperlink ref="E1343" r:id="rId1342" display="What To Expect In Markets This Week: GOOGL, MSFT, AMZN, INTC, HOOD, LLY Earnings, Fed Meeting And More"/>
    <hyperlink ref="E1344" r:id="rId1343" display="Cummins (NYSE:CMI) Share Price, Forecast &amp; Analysis"/>
    <hyperlink ref="E1345" r:id="rId1344" display="PANW Oct 2026 327.500 put (PANW261030P00327500) Stock Price, News, Quote &amp; History"/>
    <hyperlink ref="E1346" r:id="rId1345" display="Host Hotels &amp; Resorts, Inc. (HST) Stock Price, News, Quote &amp; History"/>
    <hyperlink ref="E1347" r:id="rId1346" display="PANW Oct 2026 342.500 put (PANW261030P00342500) Stock Price, News, Quote &amp; History"/>
    <hyperlink ref="E1348" r:id="rId1347" display="PANW Oct 2026 332.500 put (PANW261030P00332500) Stock Price, News, Quote &amp; History"/>
    <hyperlink ref="E1349" r:id="rId1348" display="What To Expect In Markets This Week: GOOGL, MSFT, AMZN, INTC, HOOD, LLY Earnings, Fed Meeting And More"/>
    <hyperlink ref="E1350" r:id="rId1349" display="What To Expect In Markets This Week: GOOGL, MSFT, AMZN, INTC, HOOD, LLY Earnings, Fed Meeting And More"/>
    <hyperlink ref="E1351" r:id="rId1350" display="What To Expect In Markets This Week: GOOGL, MSFT, AMZN, INTC, HOOD, LLY Earnings, Fed Meeting And More"/>
    <hyperlink ref="E1352" r:id="rId1351" display="12,258 Old Dominion Freight Line, Inc. $ODFL Shares Bought by Valley National Advisers Inc."/>
    <hyperlink ref="E1353" r:id="rId1352" display="TGT Oct 2026 100.000 put (TGT261030P00100000) stock price, news, quote and history"/>
    <hyperlink ref="E1354" r:id="rId1353" display="Williams Companies (NYSE:WMB) Share Price, Forecast &amp; Analysis"/>
    <hyperlink ref="E1355" r:id="rId1354" display="The Williams Companies, Inc. (WMB) Stock Price, News, Quote &amp; History"/>
    <hyperlink ref="E1356" r:id="rId1355" display="IBM261023P00252500 Interactive Stock Chart | IBM Oct 2026 252.500 put Stock"/>
    <hyperlink ref="E1357" r:id="rId1356" display="Cardinal Health stock: First-quarter results are set for November 5, 2026"/>
    <hyperlink ref="E1358" r:id="rId1357" display="LRCX261023P00332500 Interactive Stock Chart | LRCX Oct 2026 332.500 put Stock"/>
    <hyperlink ref="E1359" r:id="rId1358" display="AZO Sep 2027 1460.000 put (AZO270917P01460000) stock price, news, quote and history"/>
    <hyperlink ref="E1360" r:id="rId1359" display="CMS Proposes Additional Restrictions for Obamacare Applicants"/>
    <hyperlink ref="E1361" r:id="rId1360" display="BlackRock Municipal 2030 Target Term Trust Estimates – NYSE:BTT"/>
    <hyperlink ref="E1362" r:id="rId1361" display="SMCI Nov 2026 37.000 put (SMCI261106P00037000) stock price, news, quote and history"/>
    <hyperlink ref="E1363" r:id="rId1362" display="SMCI261023C00025000 Interactive Stock Chart | SMCI Oct 2026 25.000 call Stock"/>
    <hyperlink ref="E1364" r:id="rId1363" display="BlackRock Municipal 2030 Target Term Trust Estimates – BOATS:BTT"/>
    <hyperlink ref="E1365" r:id="rId1364" display="General Dynamics (NYSE:GD) Share Price, Forecast &amp; Analysis"/>
    <hyperlink ref="E1366" r:id="rId1365" display="Public Storage Stock Before Q3 Earnings: Smart Buy or Risky Move?"/>
    <hyperlink ref="E1367" r:id="rId1366" display="Host Hotels &amp; Resorts, Inc. (HST) Stock Price, News, Quote &amp; History"/>
    <hyperlink ref="E1368" r:id="rId1367" display="SMCI Stock Forecast 2026: Analyst Price Targets, AI Demand, and Key Risks"/>
    <hyperlink ref="E1369" r:id="rId1368" display="SYF Sep 2027 80.000 call (SYF270917C00080000) stock price, news, quote and history"/>
    <hyperlink ref="E1370" r:id="rId1369" display="MOS Utility Ltd. Estimates – NSE:MOS"/>
    <hyperlink ref="E1371" r:id="rId1370" display="The 7 Best Psychological Horror Movies on Netflix in October"/>
    <hyperlink ref="E1372" r:id="rId1371" display="PANW Oct 2026 325.000 call (PANW261030C00325000) Stock Price, News, Quote &amp; History"/>
    <hyperlink ref="E1373" r:id="rId1372" display="PANW Oct 2026 402.500 put (PANW261030P00402500) Stock Price, News, Quote &amp; History"/>
    <hyperlink ref="E1374" r:id="rId1373" display="Fantasy football flex and superflex rankings for Week 7"/>
    <hyperlink ref="E1375" r:id="rId1374" display="Honeywell Aerospace Earnings Preview: What to Expect"/>
    <hyperlink ref="E1376" r:id="rId1375" display="AMETEK, Inc. Estimates – NYSE:AME"/>
    <hyperlink ref="E1377" r:id="rId1376" display="Lindian Resources Limited (LIN.AX) stock price, news, quote and history"/>
    <hyperlink ref="E1378" r:id="rId1377" display="Republic Glass Holdings Corp. Estimates – PSE:REG"/>
    <hyperlink ref="E1379" r:id="rId1378" display="Fantasy football flex and superflex rankings for Week 7"/>
    <hyperlink ref="E1380" r:id="rId1379" display="PANW Oct 2026 400.000 put (PANW261030P00400000) Stock Price, News, Quote &amp; History"/>
    <hyperlink ref="E1381" r:id="rId1380" display="Invesco QQQ Trust (QQQ) stock price, news, quote and history"/>
    <hyperlink ref="E1382" r:id="rId1381" display="CME Group Logs $469.5 Billion in Q3 Crypto Derivatives Notional Volume"/>
    <hyperlink ref="E1383" r:id="rId1382" display="REGN Jun 2027 1220.000 call (REGN270617C01220000) Stock Price, News, Quote &amp; History"/>
    <hyperlink ref="E1384" r:id="rId1383" display="MMM261023C00187500 Interactive Stock Chart | MMM Oct 2026 187.500 call Stock - Yahoo Finance"/>
    <hyperlink ref="E1385" r:id="rId1384" display="International Business Machines Corporation $IBM Stock Acquired by Citizens Financial Group Inc. RI"/>
    <hyperlink ref="E1386" r:id="rId1385" display="International Business Machines Corporation $IBM Stock Acquired by Citizens Financial Group Inc. RI"/>
    <hyperlink ref="E1387" r:id="rId1386" display="The Williams Companies, Inc. (WMB) stock price, news, quote and history"/>
    <hyperlink ref="E1388" r:id="rId1387" display="44,521 NIKE, Inc. $NKE Shares Sold by Wedbush Securities Inc."/>
    <hyperlink ref="E1389" r:id="rId1388" display="citigroup global markets australia holdings pty limited Warrant 2023-10.02.33 on QBE Insur.Group"/>
    <hyperlink ref="E1390" r:id="rId1389" display="PANW Oct 2026 375.000 put (PANW261030P00375000) Stock Price, News, Quote &amp; History"/>
    <hyperlink ref="E1391" r:id="rId1390" display="LITE Jan 2029 990.000 call (LITE290119C00990000) Stock Price, News, Quote &amp; History"/>
    <hyperlink ref="E1392" r:id="rId1391" display="Hormel Foods Corporation (HRL) Stock Price, News, Quote &amp; History"/>
    <hyperlink ref="E1393" r:id="rId1392" display="LLY Nov 2026 1045.000 put (LLY261127P01045000) stock price, news, quote and history"/>
    <hyperlink ref="E1394" r:id="rId1393" display="PANW Oct 2026 297.500 put (PANW261030P00297500) Stock Price, News, Quote &amp; History"/>
    <hyperlink ref="E1395" r:id="rId1394" display="LRCX Oct 2026 255.000 put (LRCX261030P00255000) Stock Price, News, Quote &amp; History"/>
    <hyperlink ref="E1396" r:id="rId1395" display="Fantasy football flex and superflex rankings for Week 7"/>
    <hyperlink ref="E1397" r:id="rId1396" display="LRCX Oct 2026 302.500 call (LRCX261023C00302500) Stock Price, News, Quote &amp; History"/>
    <hyperlink ref="E1398" r:id="rId1397" display="Verizon Communications Inc. Estimates – NYSE:VZ"/>
    <hyperlink ref="E1399" r:id="rId1398" display="HRL Oct 2026 18.000 put (HRL261030P00018000) interactive stock chart – Yahoo Finance"/>
    <hyperlink ref="E1400" r:id="rId1399" display="HPQ Nov 2026 34.000 call (HPQ261106C00034000) Stock Price, News, Quote &amp; History"/>
    <hyperlink ref="E1401" r:id="rId1400" display="PEG Nov 2026 75.000 call (PEG261120C00075000) Stock Price, News, Quote &amp; History"/>
    <hyperlink ref="E1402" r:id="rId1401" display="First Solar, Inc. Estimates – BVL:FSLRUS"/>
    <hyperlink ref="E1403" r:id="rId1402" display="Starr Peak Mining Ltd Estimates – TSXV:STE"/>
    <hyperlink ref="E1404" r:id="rId1403" display="Union Pacific Corp (UNP) Q3 2026 Earnings Call Highlights: Recor"/>
    <hyperlink ref="E1405" r:id="rId1404" display="PPG Industries, Inc. Estimates – BOATS:PPG"/>
    <hyperlink ref="E1406" r:id="rId1405" display="ULTA Oct 2026 635.000 call (ULTA261023C00635000) Stock Price, News, Quote &amp; History"/>
    <hyperlink ref="E1407" r:id="rId1406" display="Applied Materials, Inc. Estimates – NASDAQ:AMAT"/>
    <hyperlink ref="E1408" r:id="rId1407" display="Where Did UPS Fall Behind FedEx?"/>
    <hyperlink ref="E1409" r:id="rId1408" display="PEG Nov 2026 75.000 put (PEG261120P00075000) Stock Price, News, Quote &amp; History"/>
    <hyperlink ref="E1410" r:id="rId1409" display="Capital One (NYSE:COF) Share Price, Forecast &amp; Analysis"/>
    <hyperlink ref="E1411" r:id="rId1410" display="General Dynamics IT gets new president after predecessor's abrupt departure"/>
    <hyperlink ref="E1412" r:id="rId1411" display="Norfolk Southern (NYSE:NSC) Share Price, Forecast &amp; Analysis"/>
    <hyperlink ref="E1413" r:id="rId1412" display="NCLH Oct 2026 13.500 put (NCLH261030P00013500) interactive stock chart"/>
    <hyperlink ref="E1414" r:id="rId1413" display="Sacramento State Hornets vs. Ball State Cardinals: Full Highlights"/>
    <hyperlink ref="E1415" r:id="rId1414" display="MRK Stock Analysis: What to Know"/>
    <hyperlink ref="E1416" r:id="rId1415" display="Gilead Sciences, Inc. Estimates – NASDAQ:GILD"/>
    <hyperlink ref="E1417" r:id="rId1416" display="Prologis stock: January 27, 2027 is its next earnings date"/>
    <hyperlink ref="E1418" r:id="rId1417" display="Masco Corporation Estimates – NYSE:MAS"/>
    <hyperlink ref="E1419" r:id="rId1418" display="16,626 Analog Devices, Inc. $ADI Shares Acquired by Vest Financial LLC"/>
    <hyperlink ref="E1420" r:id="rId1419" display="Corpay, Inc $CPAY Stock Acquired by Valley National Advisers Inc."/>
    <hyperlink ref="E1421" r:id="rId1420" display="Beijing WBD New Materials Group Co.,Ltd. Class A Estimates – SZSE:300055"/>
    <hyperlink ref="E1422" r:id="rId1421" display="TPL Properties Ltd. Estimates – PSX:TPLP"/>
    <hyperlink ref="E1423" r:id="rId1422" display="Ulta Beauty, Inc. (ULTA) Stock Forecasts"/>
    <hyperlink ref="E1424" r:id="rId1423" display="Dividend Reset Might Change The Case For Investing In LyondellBasell Stock (LYB)"/>
    <hyperlink ref="E1425" r:id="rId1424" display="History Says Nvidia Rarely Trades This Cheaply. Here's What Happened the Last Time."/>
    <hyperlink ref="E1426" r:id="rId1425" display="Vulcan Materials Company (VMC) stock price, news, quote and history"/>
    <hyperlink ref="E1427" r:id="rId1426" display="PANW Oct 2026 325.000 put (PANW261030P00325000) Stock Price, News, Quote &amp; History"/>
    <hyperlink ref="E1428" r:id="rId1427" display="SAS 122, DAL 106: Mavericks coach Dusty May Postgame Media Availability"/>
    <hyperlink ref="E1429" r:id="rId1428" display="Where Did UPS Fall Behind FedEx?"/>
    <hyperlink ref="E1430" r:id="rId1429" display="Intel Stock Has Moved an Average of 16% the Day After Its Last 3 Reports. Should You Buy Before the Next One?"/>
    <hyperlink ref="E1431" r:id="rId1430" display="Capital One (NYSE:COF) Share Price, Forecast &amp; Analysis"/>
    <hyperlink ref="E1432" r:id="rId1431" display="Dcu’s Peter Safran Rumored To Replace Dan Lin as Netflix’s Film Chief"/>
    <hyperlink ref="E1433" r:id="rId1432" display="Norfolk Southern (NYSE:NSC) Share Price, Forecast &amp; Analysis"/>
    <hyperlink ref="E1434" r:id="rId1433" display="Jane Austen Ball at Dumbarton House"/>
    <hyperlink ref="E1435" r:id="rId1434" display="LHX Oct 2026 247.500 call (LHX261023C00247500) Stock Price, News, Quote &amp; History"/>
    <hyperlink ref="E1436" r:id="rId1435" display="Exelon Corporation Estimates – NASDAQ:EXC"/>
    <hyperlink ref="E1437" r:id="rId1436" display="FactSet Research Systems Inc. (FDS) latest stock news and headlines"/>
    <hyperlink ref="E1438" r:id="rId1437" display="格隆匯快訊"/>
    <hyperlink ref="E1439" r:id="rId1438" display="格隆匯快訊"/>
    <hyperlink ref="E1440" r:id="rId1439" display="格隆匯快訊"/>
    <hyperlink ref="E1441" r:id="rId1440" display="FIS Alpine Skiing World Cup: Women's Giant Slalom Run 2 - Sölden"/>
    <hyperlink ref="E1442" r:id="rId1441" display="2,143 Tesla, Inc. $TSLA Shares Sold by New Harbor Financial Group LLC"/>
    <hyperlink ref="E1443" r:id="rId1442" display="Tesla, Inc. Estimates – FWB:TL0"/>
    <hyperlink ref="E1444" r:id="rId1443" display="MDT May 2027 92.500 put (MDT270521P00092500) stock price, news, quote and history"/>
    <hyperlink ref="E1445" r:id="rId1444" display="Kimco Realty Corporation (KIM) Stock Price, News, Quote &amp; History"/>
    <hyperlink ref="E1446" r:id="rId1445" display="Honeywell International Inc. (HON) Stock Forecasts"/>
    <hyperlink ref="E1447" r:id="rId1446" display="CSX Data Breach"/>
    <hyperlink ref="E1448" r:id="rId1447" display="From Lupin Part 4 to The One About Matthew Perry : What to Watch on Netflix"/>
    <hyperlink ref="E1449" r:id="rId1448" display="Morgan Stanley China A Share Fund Inc. Estimates – NYSE:CAF"/>
    <hyperlink ref="E1450" r:id="rId1449" display="American Express Company (AXP) Stock Forecasts"/>
    <hyperlink ref="E1451" r:id="rId1450" display="Honeywell International Inc. (HON) Stock forecasts"/>
    <hyperlink ref="E1452" r:id="rId1451" display="UAL261113C00120000 interactive stock chart | UAL Nov 2026 120.000 call stock - Yahoo Finance"/>
    <hyperlink ref="E1453" r:id="rId1452" display="UnitedHealth Group (NYSE:UNH) Share Price, Forecast &amp; Analysis"/>
    <hyperlink ref="E1454" r:id="rId1453" display="格隆匯快訊"/>
    <hyperlink ref="E1455" r:id="rId1454" display="格隆匯快訊"/>
    <hyperlink ref="E1456" r:id="rId1455" display="格隆匯快訊"/>
    <hyperlink ref="E1457" r:id="rId1456" display="格隆匯快訊"/>
    <hyperlink ref="E1458" r:id="rId1457" display="2,224 Invesco QQQ $QQQ Shares Acquired by Foster Victor Wealth Advisors LLC"/>
    <hyperlink ref="E1459" r:id="rId1458" display="Veralto Corporation (VLTO) Stock Price, News, Quote &amp; History"/>
    <hyperlink ref="E1460" r:id="rId1459" display="格隆匯快訊"/>
    <hyperlink ref="E1461" r:id="rId1460" display="格隆匯快訊"/>
    <hyperlink ref="E1462" r:id="rId1461" display="EQT Corporation Estimates – NYSE:EQT"/>
    <hyperlink ref="E1463" r:id="rId1462" display="The Clorox Company (CLX) Stock Price, News, Quote &amp; History"/>
    <hyperlink ref="E1464" r:id="rId1463" display="格隆匯快訊"/>
    <hyperlink ref="E1465" r:id="rId1464" display="格隆匯快訊"/>
    <hyperlink ref="E1466" r:id="rId1465" display="Fifth Third Bancorp (FITB) Stock Price, News, Quote &amp; History"/>
    <hyperlink ref="E1467" r:id="rId1466" display="M&amp;T Bank Corporation (MTB) Stock forecasts"/>
    <hyperlink ref="E1468" r:id="rId1467" display="Bristol-Myers Squibb (NYSE:BMY) Share Price, Forecast &amp; Analysis"/>
    <hyperlink ref="E1469" r:id="rId1468" display="TJX Companies (NYSE:TJX) Share Price, Forecast &amp; Analysis"/>
    <hyperlink ref="E1470" r:id="rId1469" display="PNC Financial Services (NYSE:PNC) Share Price, Forecast &amp; Analysis"/>
    <hyperlink ref="E1471" r:id="rId1470" display="What Blackstone Investors Missed Before The Fall"/>
    <hyperlink ref="E1472" r:id="rId1471" display="LRCX Oct 2026 260.000 call (LRCX261030C00260000) Stock Price, News, Quote &amp; History"/>
    <hyperlink ref="E1473" r:id="rId1472" display="2,406 International Business Machines Corporation $IBM Shares Sold by Culbertson A N &amp; Co. Inc."/>
    <hyperlink ref="E1474" r:id="rId1473" display="EOG Mar 2027 75.000 put (EOG270319P00075000) stock price, news, quote and history"/>
    <hyperlink ref="E1475" r:id="rId1474" display="McKesson (NYSE:MCK) Share Price, Forecast &amp; Analysis"/>
    <hyperlink ref="E1476" r:id="rId1475" display="United Parcel Service, Inc. Estimates – NYSE:UPS"/>
    <hyperlink ref="E1477" r:id="rId1476" display="LRCX Oct 2026 297.500 call (LRCX261023C00297500) Stock Price, News, Quote &amp; History"/>
    <hyperlink ref="E1478" r:id="rId1477" display="TSLA 261023 400.00C (TSLA261023C400000) Stock Options Chain | Quotes &amp; News"/>
    <hyperlink ref="E1479" r:id="rId1478" display="格隆匯快訊"/>
    <hyperlink ref="E1480" r:id="rId1479" display="Avery Dennison declares $1.00 quarterly dividend per share By Investing.com"/>
    <hyperlink ref="E1481" r:id="rId1480" display="格隆匯快訊"/>
    <hyperlink ref="E1482" r:id="rId1481" display="XYZ Nov 2026 84.000 put (XYZ261113P00084000) Stock Price, News, Quote &amp; History"/>
    <hyperlink ref="E1483" r:id="rId1482" display="TXN Mar 2027 340.000 put (TXN270319P00340000) interactive stock chart – Yahoo Finance"/>
    <hyperlink ref="E1484" r:id="rId1483" display="Louisiana Tech 26-0 Old Dominion (25 Oct, 2026) Game Recap"/>
    <hyperlink ref="E1485" r:id="rId1484" display="PANW Oct 2026 110.000 put (PANW261030P00110000) Stock Price, News, Quote &amp; History"/>
    <hyperlink ref="E1486" r:id="rId1485" display="Vulcan Materials Company (VMC) Stock Price, News, Quote &amp; History"/>
    <hyperlink ref="E1487" r:id="rId1486" display="FedEx (NYSE:FDX) Share Price, Forecast &amp; Analysis"/>
    <hyperlink ref="E1488" r:id="rId1487" display="格隆匯快訊"/>
    <hyperlink ref="E1489" r:id="rId1488" display="格隆匯快訊"/>
    <hyperlink ref="E1490" r:id="rId1489" display="Quanta Services, Inc. Estimates – NYSE:PWR"/>
    <hyperlink ref="E1491" r:id="rId1490" display="Progressive (NYSE:PGR) Share Price, Forecast &amp; Analysis"/>
    <hyperlink ref="E1492" r:id="rId1491" display="LITE Nov 2026 1230.000 call (LITE261106C01230000) Stock Price, News, Quote &amp; History"/>
    <hyperlink ref="E1493" r:id="rId1492" display="Total current liabilities of DTE Energy Company – MUN:DGY"/>
    <hyperlink ref="E1494" r:id="rId1493" display="BlackRock 2037 Municipal Target Term Trust Estimates – BOATS:BMN"/>
    <hyperlink ref="E1495" r:id="rId1494" display="Robinhood Markets Insider Sold Shares Worth $5,162,452, According to a Recent SEC Filing"/>
    <hyperlink ref="E1496" r:id="rId1495" display="LITE 261023 770.00P (LITE261023P770000) Stock Options Chain | Quotes &amp; News"/>
    <hyperlink ref="E1497" r:id="rId1496" display="109,370 Citizens Financial Group, Inc. $CFG Shares Acquired by Signaturefd LLC"/>
    <hyperlink ref="E1498" r:id="rId1497" display="Progressive (NYSE:PGR) Share Price, Forecast &amp; Analysis"/>
    <hyperlink ref="E1499" r:id="rId1498" display="Procter &amp; Gamble Hygiene &amp; Health Care Ltd. Estimates – NSE:PGHH"/>
    <hyperlink ref="E1500" r:id="rId1499" display="CCL Jun 2027 26.000 put (CCL270617P00026000) Stock Price, News, Quote &amp; History"/>
    <hyperlink ref="E1501" r:id="rId1500" display="JBL Oct 2026 435.000 put (JBL261023P00435000) interactive stock chart – Yahoo Finance"/>
    <hyperlink ref="E1502" r:id="rId1501" display="AbbVie (NYSE:ABBV) Share Price, Forecast &amp; Analysis"/>
    <hyperlink ref="E1503" r:id="rId1502" display="3M (NYSE:MMM) Share Price, Forecast &amp; Analysis"/>
    <hyperlink ref="E1504" r:id="rId1503" display="Robert Cummins Obituary (2026)"/>
    <hyperlink ref="E1505" r:id="rId1504" display="NDAQ Oct 2026 100.000 put (NDAQ261023P00100000) stock price, news, quote and history"/>
    <hyperlink ref="E1506" r:id="rId1505" display="LLY Nov 2026 1045.000 put (LLY261127P01045000) Stock Price, News, Quote &amp; History"/>
    <hyperlink ref="E1507" r:id="rId1506" display="ROK Resources, Inc. Class B Estimates – FWB:8P2N"/>
    <hyperlink ref="E1508" r:id="rId1507" display="Blackrock MuniAssets Fund, Inc Estimates – BOATS:MUA"/>
    <hyperlink ref="E1509" r:id="rId1508" display="LRCX Oct 2026 220.000 call (LRCX261030C00220000) Stock Price, News, Quote &amp; History"/>
    <hyperlink ref="E1510" r:id="rId1509" display="OXY Nov 2026 55.000 put (OXY261106P00055000) Stock Price, News, Quote &amp; History"/>
    <hyperlink ref="E1511" r:id="rId1510" display="SP Group A/S Estimates – OMXCOP:SPG"/>
    <hyperlink ref="E1512" r:id="rId1511" display="PSG vs Lyon: Ligue 1 McDonald's preview, predictions, team news and TV info"/>
    <hyperlink ref="E1513" r:id="rId1512" display="Steel Dynamics | 10-Q: Quarterly report"/>
    <hyperlink ref="E1514" r:id="rId1513" display="Don't Ignore The Insider Selling In Accenture"/>
    <hyperlink ref="E1515" r:id="rId1514" display="Is Earnings Growth Outlook Altering The Investment Case For Jabil (JBL)?"/>
    <hyperlink ref="E1516" r:id="rId1515" display="AbbVie (NYSE:ABBV) Share Price, Forecast &amp; Analysis"/>
    <hyperlink ref="E1517" r:id="rId1516" display="AMGN Nov 2026 410.000 call (AMGN261113C00410000) interactive stock chart – Yahoo Finance"/>
    <hyperlink ref="E1518" r:id="rId1517" display="Sac State looks to crash Ball State’s Homecoming party"/>
    <hyperlink ref="E1519" r:id="rId1518" display="CME Stock Price Prediction 2026-2027 | CME Group Forecast"/>
    <hyperlink ref="E1520" r:id="rId1519" display="Chubb (NYSE:CB) Share Price, Forecast &amp; Analysis"/>
    <hyperlink ref="E1521" r:id="rId1520" display="Aon (NYSE:AON) Share Price, Forecast &amp; Analysis"/>
    <hyperlink ref="E1522" r:id="rId1521" display="RJF Aug 2027 100.000 call (RJF270820C00100000) Stock Price, News, Quote &amp; History"/>
    <hyperlink ref="E1523" r:id="rId1522" display="Canada 31-22 England: No panic for England but Mitchell issues PWR warning"/>
    <hyperlink ref="E1524" r:id="rId1523" display="Corteva declares $0.05 per share quarterly dividend"/>
    <hyperlink ref="E1525" r:id="rId1524" display="SPGI 261023 445.00P (SPGI261023P445000) Stock Options Chain | Quotes &amp; News"/>
    <hyperlink ref="E1526" r:id="rId1525" display="CMS releases medical frailty work-requirement guidance for Medicaid"/>
    <hyperlink ref="E1527" r:id="rId1526" display="SNPS Jan 2029 390.000 put (SNPS290119P00390000) interactive stock chart – Yahoo Finance"/>
    <hyperlink ref="E1528" r:id="rId1527" display="Invesco QQQ $QQQ Stock Sold by Axxcess Wealth Management LLC"/>
    <hyperlink ref="E1529" r:id="rId1528" display="TRV Nov 2026 360.000 put (TRV261120P00360000) interactive stock chart – Yahoo Finance"/>
    <hyperlink ref="E1530" r:id="rId1529" display="Apollo Global Management (NYSE:APO) Share Price, Forecast &amp; Analysis"/>
    <hyperlink ref="E1531" r:id="rId1530" display="T.R.V. Rubber Products Public Co.,Ltd. Estimates – SET:TRV"/>
    <hyperlink ref="E1532" r:id="rId1531" display="Verizon Galaxy Z Flip 7 512GB Is $819.99 at Best Buy, $400 Off"/>
    <hyperlink ref="E1533" r:id="rId1532" display="Devon Energy Corporation (DVN) Stock Price, News, Quote &amp; History"/>
    <hyperlink ref="E1534" r:id="rId1533" display="CVS Health (CVS), What Is Behind The Fresh Attention?"/>
    <hyperlink ref="E1535" r:id="rId1534" display="Invesco NASDAQ 100 ETF (QQQM) Stock Price, News, Quote &amp; History"/>
    <hyperlink ref="E1536" r:id="rId1535" display="Avery Dennison Maintains Quarterly Dividend at $1 a Share, Payable Dec. 16 to Shareholders of Record as of Dec. 2"/>
    <hyperlink ref="E1537" r:id="rId1536" display="AVGO 261023 415.00P (AVGO261023P415000) Stock Options Chain | Quotes &amp; News"/>
    <hyperlink ref="E1538" r:id="rId1537" display="What Is Keeping IBM (NYSE:IBM) in Market Focus?"/>
    <hyperlink ref="E1539" r:id="rId1538" display="ACN Oct 2026 217.500 put (ACN261023P00217500) interactive stock chart – Yahoo Finance"/>
    <hyperlink ref="E1540" r:id="rId1539" display="Airbnb Sets New Rules That Limit Checkout Chores: What VA Travelers Need To Know"/>
    <hyperlink ref="E1541" r:id="rId1540" display="Waterco Limited Estimates – ASX:WAT"/>
    <hyperlink ref="E1542" r:id="rId1541" display="QUALCOMM’s Quarterly Earnings Preview: What You Need to Know"/>
    <hyperlink ref="E1543" r:id="rId1542" display="Cadence sets October 26 results date. Cadence Design Systems stock costs EUR 283.60"/>
    <hyperlink ref="E1544" r:id="rId1543" display="2,500 Invesco QQQ $QQQ Shares Sold by Wealth Management Partners LLC"/>
    <hyperlink ref="E1545" r:id="rId1544" display="Bristol Myers Squibb Company $BMY Stock Sold by Axxcess Wealth Management LLC"/>
    <hyperlink ref="E1546" r:id="rId1545" display="The GeForce RTX 5090 is back in stock at Walmart for $3999."/>
    <hyperlink ref="E1547" r:id="rId1546" display="Verizon (NYSE:VZ) Share Price, Forecast &amp; Analysis"/>
    <hyperlink ref="E1548" r:id="rId1547" display="YUM Jan 2028 145.000 put (YUM280121P00145000) interactive stock chart – Yahoo Finance"/>
    <hyperlink ref="E1549" r:id="rId1548" display="1,448 Invesco QQQ $QQQ Shares Sold by Oxler Private Wealth LLC"/>
    <hyperlink ref="E1550" r:id="rId1549" display="TTD Nov 2026 19.000 put (TTD261106P00019000) interactive stock chart – Yahoo Finance"/>
    <hyperlink ref="E1551" r:id="rId1550" display="Lam Research Corporation Estimates – MUN:LAR0"/>
    <hyperlink ref="E1552" r:id="rId1551" display="AMGN Oct 2026 350.000 put (AMGN261023P00350000) interactive stock chart – Yahoo Finance"/>
    <hyperlink ref="E1553" r:id="rId1552" display="JBHT261120C00120000 interactive stock chart | JBHT Nov 2026 120.000 call stock - Yahoo Finance"/>
    <hyperlink ref="E1554" r:id="rId1553" display="Xylem Inc. Estimates – TRADEGATE:XY6"/>
    <hyperlink ref="E1555" r:id="rId1554" display="Behavioral Patterns of TDG and Institutional Flows"/>
    <hyperlink ref="E1556" r:id="rId1555" display="Broadcom Inc. $AVGO Stock Bought by Guardian Partners Inc."/>
    <hyperlink ref="E1557" r:id="rId1556" display="26,500 Brown &amp; Brown, Inc. $BRO Shares Purchased by Wedbush Securities Inc."/>
    <hyperlink ref="E1558" r:id="rId1557" display="BNY, formerly Bank of New York Mellon (NYSE:BNY) Share Price, Forecast &amp; Analysis"/>
    <hyperlink ref="E1559" r:id="rId1558" display="CME Group (NYSE:CME) Share Price, Forecast &amp; Analysis"/>
    <hyperlink ref="E1560" r:id="rId1559" display="Yum! Brands, Inc. Estimates – NYSE:YUM"/>
    <hyperlink ref="E1561" r:id="rId1560" display="Top Stock Reports for Apple, Berkshire Hathaway &amp; Goldman Sachs"/>
    <hyperlink ref="E1562" r:id="rId1561" display="Clorox Company (The) Estimates – NYSE:CLX"/>
    <hyperlink ref="E1563" r:id="rId1562" display="TE Connectivity (NYSE:TEL) Share Price, Forecast &amp; Analysis"/>
    <hyperlink ref="E1564" r:id="rId1563" display="Zoetis (ZTS) Registers a Bigger Fall Than the Market: Important Facts to Note"/>
    <hyperlink ref="E1565" r:id="rId1564" display="Top Stock Reports for Apple, Berkshire Hathaway &amp; Goldman Sachs"/>
    <hyperlink ref="E1566" r:id="rId1565" display="Incyte Corporation Estimates – NASDAQ:INCY"/>
    <hyperlink ref="E1567" r:id="rId1566" display="Bristol-Myers Squibb Company Estimates – NYSE:BMY"/>
    <hyperlink ref="E1568" r:id="rId1567" display="Did You Miss These Tech Earnings Beats and Misses? Spotify (NYSE:SPOT), Western Digital (NASDAQ:WDC), Roper Technologies (NASDAQ:ROP) and More"/>
    <hyperlink ref="E1569" r:id="rId1568" display="TSLA Oct 2026 315.000 call (TSLA261028C00315000) interactive stock chart – Yahoo Finance"/>
    <hyperlink ref="E1570" r:id="rId1569" display="ROL Jan 2027 30.000 call (ROL270115C00030000) interactive stock chart – Yahoo Finance"/>
    <hyperlink ref="E1571" r:id="rId1570" display="EchoStar Corporation Shs Thailand Depositary Receipts Repr 1 Sh Estimates – SET:ECHO03"/>
    <hyperlink ref="E1572" r:id="rId1571" display="10,600 Synopsys, Inc. $SNPS Shares Acquired by Robeco Schweiz AG"/>
    <hyperlink ref="E1573" r:id="rId1572" display="Governing Microsoft 365 Copilot at Work | Kovrr"/>
    <hyperlink ref="E1574" r:id="rId1573" display="How Much Could Amgen Stock Give Back?"/>
    <hyperlink ref="E1575" r:id="rId1574" display="PANW Oct 2026 100.000 put (PANW261030P00100000) Stock Price, News, Quote &amp; History"/>
    <hyperlink ref="E1576" r:id="rId1575" display="American Express (NYSE:AXP) Share Price, Forecast &amp; Analysis"/>
    <hyperlink ref="E1577" r:id="rId1576" display="ACN Oct 2026 180.000 put (ACN261023P00180000) interactive stock chart"/>
    <hyperlink ref="E1578" r:id="rId1577" display="Can unarmed ICE agents show up at the polls? Dane County, WEC have different answers"/>
    <hyperlink ref="E1579" r:id="rId1578" display="Public Storage (NYSE:PSA) Share Price, Forecast &amp; Analysis"/>
    <hyperlink ref="E1580" r:id="rId1579" display="CVS Health (NYSE:CVS) Share Price, Forecast &amp; Analysis"/>
    <hyperlink ref="E1581" r:id="rId1580" display="SanDisk's Oct 29 earnings will reveal if AI sto..."/>
    <hyperlink ref="E1582" r:id="rId1581" display="Stryker (NYSE:SYK) Share Price, Forecast &amp; Analysis"/>
    <hyperlink ref="E1583" r:id="rId1582" display="Obituary: Morgan Stanley Hole"/>
    <hyperlink ref="E1584" r:id="rId1583" display="Masco Corporation (MAS) Stock Forecasts"/>
    <hyperlink ref="E1585" r:id="rId1584" display="7,508 International Business Machines Corporation $IBM Shares Acquired by Tectonic Advisors LLC"/>
    <hyperlink ref="E1586" r:id="rId1585" display="Brown &amp; Brown launches COMPASS before Brown &amp; Brown stock results"/>
    <hyperlink ref="E1587" r:id="rId1586" display="American Tower Stock Before Q3 Earnings: Smart Buy or Risky Move?"/>
    <hyperlink ref="E1588" r:id="rId1587" display="CVS 261023 77.00C (CVS261023C77000) Stock Options Chain | Quotes &amp; News"/>
    <hyperlink ref="E1589" r:id="rId1588" display="iShares MSCI China ETF Unsponsored Brazilian Depositary Receipt Repr 0.125 Sh Estimates – BMFBOVESPA:BCHI39"/>
    <hyperlink ref="E1590" r:id="rId1589" display="Solventum Corporation Estimates – NYSE:SOLV"/>
    <hyperlink ref="E1591" r:id="rId1590" display="Dover Corporation Estimates – XETR:DOV"/>
    <hyperlink ref="E1592" r:id="rId1591" display="BMO MSCI USA VALUE INDEX ETF (ZVU.NE) stock price, news, quote and history"/>
    <hyperlink ref="E1593" r:id="rId1592" display="AMETEK schedules November 3 results for AMETEK stock"/>
    <hyperlink ref="E1594" r:id="rId1593" display="HONA INVESTOR DEADLINE: Honeywell Aerospace Inc. Investors"/>
    <hyperlink ref="E1595" r:id="rId1594" display="OXY Nov 2026 60.000 call (OXY261127C00060000) interactive stock chart – Yahoo Finance"/>
    <hyperlink ref="E1596" r:id="rId1595" display="Automatic Data Processing stock costs EUR 273.63 before October 28 results"/>
    <hyperlink ref="E1597" r:id="rId1596" display="HPQ Nov 2026 39.000 call (HPQ261106C00039000) interactive stock chart – Yahoo Finance"/>
    <hyperlink ref="E1598" r:id="rId1597" display="Cost of goods sold of KLA Corporation Shs Thailand Depositary Receipts Repr 1 Sh – SET:KLAC03"/>
    <hyperlink ref="E1599" r:id="rId1598" display="Procter &amp; Gamble (NYSE:PG) Share Price, Forecast &amp; Analysis"/>
    <hyperlink ref="E1600" r:id="rId1599" display="Jets-Dolphins Game Recap | Green &amp; White Fall, 28-25, to Miami at MetLife Stadium"/>
    <hyperlink ref="E1601" r:id="rId1600" display="AAPL Oct 2026 170.000 put (AAPL261023P00170000) interactive stock chart – Yahoo Finance"/>
    <hyperlink ref="E1602" r:id="rId1601" display="GLOBAL X FDS (^DTCR) Stock Price, News, Quote &amp; History"/>
    <hyperlink ref="E1603" r:id="rId1602" display="FIS Alpine Skiing World Cup: Women's Giant Slalom Run 1 - Sölden"/>
    <hyperlink ref="E1604" r:id="rId1603" display="Procter &amp; Gamble Company (The) $PG Stock Sold by James Investment Research Inc."/>
    <hyperlink ref="E1605" r:id="rId1604" display="HON261023P00217500 interactive stock chart | HON Oct 2026 217.500 put stock"/>
    <hyperlink ref="E1606" r:id="rId1605" display="28,412 Analog Devices, Inc. $ADI Shares Sold by Robeco Schweiz AG"/>
    <hyperlink ref="E1607" r:id="rId1606" display="QCOM261204C00215000 Interactive Stock Chart | QCOM Dec 2026 215.000 call Stock - Yahoo Finance"/>
    <hyperlink ref="E1608" r:id="rId1607" display="Tesla, Inc. $TSLA Stock Acquired by Gibbs Wealth Management"/>
    <hyperlink ref="E1609" r:id="rId1608" display="NDAQ261106C00097000 interactive stock chart | NDAQ Nov 2026 97.000 call stock - Yahoo Finance"/>
    <hyperlink ref="E1610" r:id="rId1609" display="Laxapana PLC Estimates – CSELK:LITE.N0000"/>
    <hyperlink ref="E1611" r:id="rId1610" display="Iranian plots to kill U.S. officials in Middle East have reached ‘advanced stages,’ intel memo warns"/>
    <hyperlink ref="E1612" r:id="rId1611" display="Preferred Stocks &amp; More: October 25th (NYSE:COF)"/>
    <hyperlink ref="E1613" r:id="rId1612" display="Robinhood Markets stock trades at EUR 84.92 before October 27 results"/>
    <hyperlink ref="E1614" r:id="rId1613" display="TSLA Jan 2029 170.000 call (TSLA290119C00170000) interactive stock chart – Yahoo Finance"/>
    <hyperlink ref="E1615" r:id="rId1614" display="Republic Services announces change to Plymouth big item collection schedule"/>
    <hyperlink ref="E1616" r:id="rId1615" display="Pentair plc. Estimates – NYSE:PNR"/>
    <hyperlink ref="E1617" r:id="rId1616" display="HON261023P00207500 interactive stock chart | HON Oct 2026 207.500 put stock"/>
    <hyperlink ref="E1618" r:id="rId1617" display="ABT270219C00160000 interactive stock chart | ABT Feb 2027 160.000 call stock - Yahoo Finance"/>
    <hyperlink ref="E1619" r:id="rId1618" display="17,497 Merck &amp; Co., Inc. $MRK Shares Acquired by Bernardo Wealth Planning LLC"/>
    <hyperlink ref="E1620" r:id="rId1619" display="DG or ROST: Which Is the Better Value Stock Right Now?"/>
    <hyperlink ref="E1621" r:id="rId1620" display="JBL Nov 2026 250.000 put (JBL261106P00250000) interactive stock chart – Yahoo Finance"/>
    <hyperlink ref="E1622" r:id="rId1621" display="JBL Oct 2026 315.000 call (JBL261023C00315000) interactive stock chart"/>
    <hyperlink ref="E1623" r:id="rId1622" display="What Will Decide UnitedHealth Group Stock Over The Next Six Months?"/>
    <hyperlink ref="E1624" r:id="rId1623" display="Broadcom Inc. $AVGO Shares Acquired by Vest Financial LLC"/>
    <hyperlink ref="E1625" r:id="rId1624" display="Public Service Enterprise Group Incorporated (PEG) Stock Price, News, Quote &amp; History"/>
    <hyperlink ref="E1626" r:id="rId1625" display="12,083 T-Mobile US, Inc. $TMUS Shares Acquired by Vest Financial LLC"/>
    <hyperlink ref="E1627" r:id="rId1626" display="MSI Dec 2026 470.000 put (MSI261218P00470000) interactive stock chart"/>
    <hyperlink ref="E1628" r:id="rId1627" display="Union Pacific Corporation Estimates – BCS:UNP1"/>
    <hyperlink ref="E1629" r:id="rId1628" display="JBL Oct 2026 375.000 call (JBL261023C00375000) interactive stock chart – Yahoo Finance"/>
    <hyperlink ref="E1630" r:id="rId1629" display="Chevron (NYSE:CVX) Share Price, Forecast &amp; Analysis"/>
    <hyperlink ref="E1631" r:id="rId1630" display="Chevron (NYSE:CVX) Share Price, Forecast &amp; Analysis"/>
    <hyperlink ref="E1632" r:id="rId1631" display="TransDigm (NYSE:TDG) Share Price, Forecast &amp; Analysis"/>
    <hyperlink ref="E1633" r:id="rId1632" display="Truist Financial (NYSE:TFC) Share Price, Forecast &amp; Analysis"/>
    <hyperlink ref="E1634" r:id="rId1633" display="TransDigm (NYSE:TDG) Share Price, Forecast &amp; Analysis"/>
    <hyperlink ref="E1635" r:id="rId1634" display="KIM Italy Logistics Real Estate Trust 1-A Units 2022-29.11.2027 Estimates – KRX:76201BC5"/>
    <hyperlink ref="E1636" r:id="rId1635" display="Corteva (NYSE:CTVA) Share Price, Forecast &amp; Analysis"/>
    <hyperlink ref="E1637" r:id="rId1636" display="Invesco Asia Dragon Trust PLC GBP Estimates – TURQUOISE:IADL"/>
    <hyperlink ref="E1638" r:id="rId1637" display="Power Probe Plc Estimates – LSE:PWR"/>
    <hyperlink ref="E1639" r:id="rId1638" display="Cooking with Jenny: Pumpkin-Shaped Cheese Ball recipe for Halloween"/>
    <hyperlink ref="E1640" r:id="rId1639" display="Goldman Sachs Group Inc 4.5 % Notes 2025-30.09.40"/>
    <hyperlink ref="E1641" r:id="rId1640" display="Players cash in at Pickle Money Ball event in Florida"/>
    <hyperlink ref="E1642" r:id="rId1641" display="United Rentals (NYSE:URI) Share Price, Forecast &amp; Analysis"/>
    <hyperlink ref="E1643" r:id="rId1642" display="How Investors May Respond To Genuine Parts (GPC) Lowered EPS Guidance"/>
    <hyperlink ref="E1644" r:id="rId1643" display="3,074 Linde PLC $LIN Shares Sold by Brookstone Capital Management"/>
    <hyperlink ref="E1645" r:id="rId1644" display="BLK,BABA,META,CVX,MU,NYT,ORCL,AAL,DIS,CRWV,T,UNP,VTRS,CVNA,CNC,HPE,CMG,AMZN | stock prices | quote comparison"/>
    <hyperlink ref="E1646" r:id="rId1645" display="HLT Global Bhd. Estimates – MYX:HLT"/>
    <hyperlink ref="E1647" r:id="rId1646" display="Regional Container Lines Public Co. Ltd. NVDR Estimates – SET:RCL.R"/>
    <hyperlink ref="E1648" r:id="rId1647" display="BLK,BABA,META,CVX,MU,NYT,ORCL,AAL,DIS,CRWV,T,UNP,VTRS,CVNA,CNC,HPE,CMG,AMZN | stock prices | quote comparison"/>
    <hyperlink ref="E1649" r:id="rId1648" display="BLK,BABA,META,CVX,MU,NYT,ORCL,AAL,DIS,CRWV,T,UNP,VTRS,CVNA,CNC,HPE,CMG,AMZN | stock prices | quote comparison"/>
    <hyperlink ref="E1650" r:id="rId1649" display="PTC Therapeutics, Inc. Estimates – NASDAQ:PTCT"/>
    <hyperlink ref="E1651" r:id="rId1650" display="SNPS Oct 2026 265.000 put (SNPS261030P00265000) interactive stock chart – Yahoo Finance"/>
    <hyperlink ref="E1652" r:id="rId1651" display="Why Is Honeywell International (NASDAQ:HON) Drawing Market Focus?"/>
    <hyperlink ref="E1653" r:id="rId1652" display="Northern Trust ESG &amp; Climate In (^IBDW-TC) latest stock news and headlines"/>
    <hyperlink ref="E1654" r:id="rId1653" display="General Dynamics (GD) Appoints Amy Johnson as GDIT President"/>
    <hyperlink ref="E1655" r:id="rId1654" display="DXYZ,AMR,RSG,WBD,AMAL,ESTC,UBER,TSN,QVCG | Stock Prices | Quote Comparison - Yahoo Finance"/>
    <hyperlink ref="E1656" r:id="rId1655" display="Trimble Inc. Estimates – NASDAQ:TRMB"/>
    <hyperlink ref="E1657" r:id="rId1656" display="REG - Leverage Shares PLC Leverage -4Xshrtsem$ Leverage -4Xshrtsem£ - Notice of Adjourned Meeting - -4x Semiconductors"/>
    <hyperlink ref="E1658" r:id="rId1657" display="Fantasy Football Week 7 Flex Rankings: Which RB/WR/TE Should You Start?"/>
    <hyperlink ref="E1659" r:id="rId1658" display="Form 144 Paychex For: 25 October By Investing.com"/>
    <hyperlink ref="E1660" r:id="rId1659" display="Cummins (CMI), What Is Behind The Fresh Attention?"/>
    <hyperlink ref="E1661" r:id="rId1660" display="Union Pacific Corporation $UNP Stock Sold by Community Bank of Raymore"/>
    <hyperlink ref="E1662" r:id="rId1661" display="LLY Nov 2026 1160.000 call (LLY261127C01160000) interactive stock chart – Yahoo Finance"/>
    <hyperlink ref="E1663" r:id="rId1662" display="CBOE290119P00185000 interactive stock chart | CBOE Jan 2029 185.000 put stock - Yahoo Finance"/>
    <hyperlink ref="E1664" r:id="rId1663" display="TTD Oct 2026 6.000 put (TTD261030P00006000) interactive stock chart – Yahoo Finance"/>
    <hyperlink ref="E1665" r:id="rId1664" display="UAL Oct 2026 70.000 put (UAL261023P00070000) interactive stock chart – Yahoo Finance"/>
    <hyperlink ref="E1666" r:id="rId1665" display="Willis Towers Watson Public Limited Company Estimates – MUN:WTY"/>
    <hyperlink ref="E1667" r:id="rId1666" display="TGT Jan 2029 155.000 call (TGT290119C00155000) interactive stock chart"/>
    <hyperlink ref="E1668" r:id="rId1667" display="DXYZ,AMR,RSG,WBD,AMAL,ESTC,UBER,TSN,QVCG | Stock Prices | Quote Comparison - Yahoo Finance"/>
    <hyperlink ref="E1669" r:id="rId1668" display="6,358 Shares in AMETEK, Inc. $AME Acquired by JSF Financial LLC"/>
    <hyperlink ref="E1670" r:id="rId1669" display="KVUE News at Four"/>
    <hyperlink ref="E1671" r:id="rId1670" display="Paychex, Inc. (PAYX) stock price, news, quote and history - Yahoo Finance"/>
    <hyperlink ref="E1672" r:id="rId1671" display="SNDK Oct 2026 1980.000 put (SNDK261030P01980000) interactive stock chart"/>
    <hyperlink ref="E1673" r:id="rId1672" display="SYF Jan 2028 57.500 call (SYF280121C00057500) interactive stock chart"/>
    <hyperlink ref="E1674" r:id="rId1673" display="Old Dominion Monarchs vs. Louisiana Tech Bulldogs Odds, Betting Lines, Expert picks, Game Projections, DFS Projections and Player Prop Projections - Saturday 10/24 5:00 PM ET"/>
    <hyperlink ref="E1675" r:id="rId1674" display="Travelers (NYSE:TRV) Share Price, Forecast &amp; Analysis"/>
    <hyperlink ref="E1676" r:id="rId1675" display="Exelon Corporation (EXC) Stock Forecasts"/>
    <hyperlink ref="E1677" r:id="rId1676" display="Vertiv Holdings, LLC (VRT) Stock Forecasts"/>
    <hyperlink ref="E1678" r:id="rId1677" display="Merck &amp; Company, Inc. Estimates – NYSE:MRK"/>
    <hyperlink ref="E1679" r:id="rId1678" display="MCK Nov 2026 860.000 put (MCK261120P00860000) interactive stock chart"/>
    <hyperlink ref="E1680" r:id="rId1679" display="DXYZ,AMR,RSG,WBD,AMAL,ESTC,UBER,TSN,QVCG | Stock Prices | Quote Comparison - Yahoo Finance"/>
    <hyperlink ref="E1681" r:id="rId1680" display="AZO Jun 2027 3900.000 call (AZO270617C03900000) interactive stock chart – Yahoo Finance"/>
    <hyperlink ref="E1682" r:id="rId1681" display="2,147 Invesco QQQ $QQQ Shares Sold by Clarity Wealth Advisors LLC"/>
    <hyperlink ref="E1683" r:id="rId1682" display="TSLA Oct 2026 420.000 call (TSLA261030C00420000) interactive stock chart – Yahoo Finance"/>
    <hyperlink ref="E1684" r:id="rId1683" display="LLY Nov 2026 1520.000 call (LLY261127C01520000) interactive stock chart – Yahoo Finance"/>
    <hyperlink ref="E1685" r:id="rId1684" display="22,657 Sysco Corporation $SYY Shares Sold by Nisa Investment Advisors LLC"/>
    <hyperlink ref="E1686" r:id="rId1685" display="These Disney Finds Are Only $10 on Amazon Today"/>
    <hyperlink ref="E1687" r:id="rId1686" display="QCOM Oct 2026 157.500 put (QCOM261023P00157500) interactive stock chart"/>
    <hyperlink ref="E1688" r:id="rId1687" display="Waste Management, Inc. (WM) Stock Price Today: $239.38"/>
    <hyperlink ref="E1689" r:id="rId1688" display="OXY261127P00061000 interactive stock chart | OXY Nov 2026 61.000 put stock - Yahoo Finance"/>
    <hyperlink ref="E1690" r:id="rId1689" display="QCOM261113P00185000 interactive stock chart | QCOM Nov 2026 185.000 put stock - Yahoo Finance"/>
    <hyperlink ref="E1691" r:id="rId1690" display="COHR261030P00400000 interactive stock chart | COHR Oct 2026 400.000 put stock - Yahoo Finance"/>
    <hyperlink ref="E1692" r:id="rId1691" display="WMT Oct 2026 118.000 put (WMT261023P00118000) interactive stock chart"/>
    <hyperlink ref="E1693" r:id="rId1692" display="Linde (NASDAQ:LIN) Share Price, Forecast &amp; Analysis"/>
    <hyperlink ref="E1694" r:id="rId1693" display="Invesco CurrencyShares Japanese Yen Trust (FXY) Stock Price, News, Quote &amp; History"/>
    <hyperlink ref="E1695" r:id="rId1694" display="Invesco California Value Municipal Income Trust Estimates – NASDAQ:XVCVX"/>
    <hyperlink ref="E1696" r:id="rId1695" display="ExxonMobil (NYSE:XOM) Share Price, Forecast &amp; Analysis"/>
    <hyperlink ref="E1697" r:id="rId1696" display="5,822 Autodesk, Inc. $ADSK Shares Sold by One Wealth Capital Management LLC"/>
    <hyperlink ref="E1698" r:id="rId1697" display="Tesla, Inc. $TSLA Stock Sold by One Wealth Capital Management LLC"/>
    <hyperlink ref="E1699" r:id="rId1698" display="ExxonMobil (NYSE:XOM) Share Price, Forecast &amp; Analysis"/>
    <hyperlink ref="E1700" r:id="rId1699" display="What Is CrowdStrike (CRWD) Asking With A Reported $500 Million Security Deal?"/>
    <hyperlink ref="E1701" r:id="rId1700" display="TPR Nov 2026 117.000 call (TPR261113C00117000) interactive stock chart – Yahoo Finance"/>
    <hyperlink ref="E1702" r:id="rId1701" display="HP Inc. $HPQ Shares Sold by Sumitomo Mitsui DS Asset Management Company Ltd"/>
    <hyperlink ref="E1703" r:id="rId1702" display="Occidental Petroleum stock: Results due November 9, 2026 for Occidental Petroleum stock"/>
    <hyperlink ref="E1704" r:id="rId1703" display="Ciena Corporation Estimates – NYSE:CIEN"/>
    <hyperlink ref="E1705" r:id="rId1704" display="Erste Group Bank Comments on TJX Companies FY2027 Earnings"/>
    <hyperlink ref="E1706" r:id="rId1705" display="E-nano Russell 2000 Futures,Mar (N2KH27.CME) Interactive Stock Chart - Yahoo Finance"/>
    <hyperlink ref="E1707" r:id="rId1706" display="LIN Jan 2029 620.000 call (LIN290119C00620000) interactive stock chart"/>
    <hyperlink ref="E1708" r:id="rId1707" display="SNPS261106C00495000 interactive stock chart | SNPS Nov 2026 495.000 call stock - Yahoo Finance"/>
    <hyperlink ref="E1709" r:id="rId1708" display="ACN Oct 2026 210.000 call (ACN261030C00210000) interactive stock chart – Yahoo Finance"/>
    <hyperlink ref="E1710" r:id="rId1709" display="HPQ May 2027 28.000 call (HPQ270521C00028000) interactive stock chart"/>
    <hyperlink ref="E1711" r:id="rId1710" display="Learn Why The Bull Case For Nasdaq (NDAQ) Could Change Following Earnings Beat"/>
    <hyperlink ref="E1712" r:id="rId1711" display="How (ZTS) Movements Inform Risk Allocation Models"/>
    <hyperlink ref="E1713" r:id="rId1712" display="Urban Enviro Waste Management Limited Estimates – NSE:URBAN"/>
    <hyperlink ref="E1714" r:id="rId1713" display="What Does Sherwin-Williams Offer That IFF Does Not?"/>
    <hyperlink ref="E1715" r:id="rId1714" display="Old Dominion vs Louisiana Tech Prediction, Picks &amp; Odds | 24 Oct 2026"/>
    <hyperlink ref="E1716" r:id="rId1715" display="TTWO Mar 2027 165.000 call (TTWO270319C00165000) interactive stock chart – Yahoo Finance"/>
    <hyperlink ref="E1717" r:id="rId1716" display="HUM280121C00440000 interactive stock chart | HUM Jan 2028 440.000 call stock - Yahoo Finance"/>
    <hyperlink ref="E1718" r:id="rId1717" display="TMUS Oct 2026 148.000 put (TMUS261030P00148000) interactive stock chart – Yahoo Finance"/>
    <hyperlink ref="E1719" r:id="rId1718" display="Principal Financial Group, Inc. Estimates – XETR:PG4"/>
    <hyperlink ref="E1720" r:id="rId1719" display="REGN Oct 2026 960.000 put (REGN261023P00960000) interactive stock chart"/>
    <hyperlink ref="E1721" r:id="rId1720" display="BlackRock MuniYield Fund, Inc. Estimates – NASDAQ:XMYDX"/>
    <hyperlink ref="E1722" r:id="rId1721" display="Motorola Solutions (NYSE:MSI) Share Price, Forecast &amp; Analysis"/>
    <hyperlink ref="E1723" r:id="rId1722" display="ACN Oct 2026 205.000 put (ACN261030P00205000) interactive stock chart – Yahoo Finance"/>
    <hyperlink ref="E1724" r:id="rId1723" display="Parker-Hannifin Corporation $PH Stock Sold by Robeco Institutional Asset Management B.V."/>
    <hyperlink ref="E1725" r:id="rId1724" display="37,729 Las Vegas Sands Corp. $LVS Shares Sold by Robeco Institutional Asset Management B.V."/>
    <hyperlink ref="E1726" r:id="rId1725" display="Duke Energy (NYSE:DUK) Share Price, Forecast &amp; Analysis"/>
    <hyperlink ref="E1727" r:id="rId1726" display="16,782 Apollo Global Management Inc. $APO Shares Bought by DHJJ Financial Advisors Ltd."/>
    <hyperlink ref="E1728" r:id="rId1727" display="MSCI PACIFIC LARGE/CONSUMER DIS (^650628-USD-STRD) interactive stock chart"/>
    <hyperlink ref="E1729" r:id="rId1728" display="TROW270319P00055000 interactive stock chart | TROW Mar 2027 55.000 put stock - Yahoo Finance"/>
    <hyperlink ref="E1730" r:id="rId1729" display="Form 4 Apple Inc: Jennifer Newstead (SVP, GC and Government Affairs) For: 20 October By Investing.com"/>
    <hyperlink ref="E1731" r:id="rId1730" display="S&amp;P 500 Movers | Winners: CCI, CRWD, PANW | Losers: BE, FIX, GL"/>
    <hyperlink ref="E1732" r:id="rId1731" display="AMGN Oct 2026 325.000 put (AMGN261030P00325000) interactive stock chart – Yahoo Finance"/>
    <hyperlink ref="E1733" r:id="rId1732" display="BKNG Oct 2026 172.500 call (BKNG261023C00172500) interactive stock chart"/>
    <hyperlink ref="E1734" r:id="rId1733" display="S&amp;P 500 Movers | Winners: CCI, CRWD, PANW | Losers: BE, FIX, GL"/>
    <hyperlink ref="E1735" r:id="rId1734" display="HP Inc. $HPQ Stock Sold by RWC Asset Management LLP"/>
    <hyperlink ref="E1736" r:id="rId1735" display="Intuit Inc. $INTU Stock Sold by Crossmark Global Holdings Inc."/>
    <hyperlink ref="E1737" r:id="rId1736" display="BlackRock Technology and Private Equity Term Trust Estimates – BOATS:BTX"/>
    <hyperlink ref="E1738" r:id="rId1737" display="S&amp;P 500 Movers | Winners: CCI, CRWD, PANW | Losers: BE, FIX, GL"/>
    <hyperlink ref="E1739" r:id="rId1738" display="S&amp;P 500 Movers | Winners: CCI, CRWD, PANW | Losers: BE, FIX, GL"/>
    <hyperlink ref="E1740" r:id="rId1739" display="Ravens vs. Bengals: Ball security, pass rush headline five keys"/>
    <hyperlink ref="E1741" r:id="rId1740" display="MRNA Oct 2026 136.000 call (MRNA261030C00136000) interactive stock chart"/>
    <hyperlink ref="E1742" r:id="rId1741" display="Chevron (CVX) Ascends While Market Falls: Some Facts to Note"/>
    <hyperlink ref="E1743" r:id="rId1742" display="LHX Oct 2026 240.000 call (LHX261030C00240000) interactive stock chart"/>
    <hyperlink ref="E1744" r:id="rId1743" display="What Does Sherwin-Williams Offer That IFF Does Not?"/>
    <hyperlink ref="E1745" r:id="rId1744" display="Uber Technologies, Inc. Estimates – NYSE:UBER"/>
    <hyperlink ref="E1746" r:id="rId1745" display="Top MarTech News From the Week of October 23rd: Updates from Salesforce, monday.com, Insightly, and More"/>
    <hyperlink ref="E1747" r:id="rId1746" display="LRCX Nov 2026 370.000 call (LRCX261127C00370000) interactive stock chart – Yahoo Finance"/>
    <hyperlink ref="E1748" r:id="rId1747" display="ADI261113P00370000 interactive stock chart | ADI Nov 2026 370.000 put stock - Yahoo Finance"/>
    <hyperlink ref="E1749" r:id="rId1748" display="25,963 Cognizant Technology Solutions Corporation $CTSH Shares Sold by TD Waterhouse Canada Inc."/>
    <hyperlink ref="E1750" r:id="rId1749" display="ADSK261030P00237500 interactive stock chart | ADSK Oct 2026 237.500 put stock - Yahoo Finance"/>
    <hyperlink ref="E1751" r:id="rId1750" display="Owens Corning Inc $OC Shares Sold by RWC Asset Management LLP"/>
    <hyperlink ref="E1752" r:id="rId1751" display="Coinbase Tokenized bStocks Price (COINB/USD) Today | Live Price, Market Cap &amp; Chart"/>
    <hyperlink ref="E1753" r:id="rId1752" display="Boeing 737 MAX Cockpit: What Pilots See &amp; Do On Every Flight"/>
    <hyperlink ref="E1754" r:id="rId1753" display="Pat Freiermuth Stats, News, Video, Bio, Highlights on TSN"/>
    <hyperlink ref="E1755" r:id="rId1754" display="CVS Health Corporation $CVS Shares Acquired by Sterling Capital Management LLC"/>
    <hyperlink ref="E1756" r:id="rId1755" display="The Hidden $496 Billion Catalyst Waiting to Ignite Amazon Stock on Oct. 29"/>
    <hyperlink ref="E1757" r:id="rId1756" display="Dow Inc. Estimates – NYSE:DOW"/>
    <hyperlink ref="E1758" r:id="rId1757" display="但斌美股持倉曝光"/>
    <hyperlink ref="E1759" r:id="rId1758" display="TSLA Oct 2026 387.500 put (TSLA261023P00387500) interactive stock chart"/>
    <hyperlink ref="E1760" r:id="rId1759" display="AI-fueled tech selloff in focus; Western Digital reports - what’s moving markets"/>
    <hyperlink ref="E1761" r:id="rId1760" display="AAPL 261021 290.00C (AAPL261021C290000) Stock Options Chain | Quotes &amp; News"/>
    <hyperlink ref="E1762" r:id="rId1761" display="Day 5: LRCX"/>
    <hyperlink ref="E1763" r:id="rId1762" display="The Friday Checkout: Did Kroger really want to merge with Albertsons?"/>
    <hyperlink ref="E1764" r:id="rId1763" display="ADSK Nov 2026 245.000 call (ADSK261127C00245000) interactive stock chart – Yahoo Finance"/>
    <hyperlink ref="E1765" r:id="rId1764" display="KVUE News at Five"/>
    <hyperlink ref="E1766" r:id="rId1765" display="ETN Oct 2026 430.000 call (ETN261023C00430000) interactive stock chart"/>
    <hyperlink ref="E1767" r:id="rId1766" display="Arm Comments on Jury Decision in Qualcomm Trial"/>
    <hyperlink ref="E1768" r:id="rId1767" display="10,178 Procter &amp; Gamble Company (The) $PG Shares Acquired by Signaturefd LLC"/>
    <hyperlink ref="E1769" r:id="rId1768" display="但斌美股持倉曝光"/>
    <hyperlink ref="E1770" r:id="rId1769" display="IBM Stock Week Ahead: $253.56, Bull $269 or Bear $240"/>
    <hyperlink ref="E1771" r:id="rId1770" display="Broadcom Inc. $AVGO Shares Sold by Eagle Rock Investment Company LLC"/>
    <hyperlink ref="E1772" r:id="rId1771" display="8,257 American Water Works Company, Inc. $AWK Shares Sold by Robeco Schweiz AG"/>
    <hyperlink ref="E1773" r:id="rId1772" display="2,918 Cummins Inc. $CMI Shares Sold by Sterling Capital Management LLC"/>
    <hyperlink ref="E1774" r:id="rId1773" display="Welltower Inc. Estimates – NYSE:WELL"/>
    <hyperlink ref="E1775" r:id="rId1774" display="Floor Talk with Northrop Grumman VP &amp; GM Kenneth Todorov"/>
    <hyperlink ref="E1776" r:id="rId1775" display="GILD261127C00175000 Interactive Stock Chart | GILD Nov 2026 175.000 call Stock - Yahoo Finance"/>
    <hyperlink ref="E1777" r:id="rId1776" display="EOG Resources (NYSE:EOG) Share Price, Forecast &amp; Analysis"/>
    <hyperlink ref="E1778" r:id="rId1777" display="VLO Jun 2027 390.000 put (VLO270617P00390000) interactive stock chart"/>
    <hyperlink ref="E1779" r:id="rId1778" display="LLY Nov 2026 1295.000 put (LLY261127P01295000) interactive stock chart – Yahoo Finance"/>
    <hyperlink ref="E1780" r:id="rId1779" display="Why Is Builders FirstSource (NYSE:BLDR) Drawing Market Focus?"/>
    <hyperlink ref="E1781" r:id="rId1780" display="‘KPop Demon Hunters,’ ‘Squid Game’ Stars Fete Netflix’s Korea Decade as Ted Sarandos Teases ‘Tantara,’ ‘All of Us Are Dead’ Season 2"/>
    <hyperlink ref="E1782" r:id="rId1781" display="‘Heartland’ Season 20 Sets US Release, But Won’t Stream on Netflix For A While"/>
    <hyperlink ref="E1783" r:id="rId1782" display="C.H. Robinson’s Q3 2026 Earnings: What to Expect"/>
    <hyperlink ref="E1784" r:id="rId1783" display="Merck &amp; Co., Inc. $MRK Stock Sold by Carolina Wealth Advisors LLC"/>
    <hyperlink ref="E1785" r:id="rId1784" display="Why AbbVie (NYSE:ABBV) Is Back on The Market Radar?"/>
    <hyperlink ref="E1786" r:id="rId1785" display="AMZN Nov 2026 267.500 put (AMZN261102P00267500) interactive stock chart"/>
    <hyperlink ref="E1787" r:id="rId1786" display="TDY Jan 2027 480.000 put (TDY270115P00480000) interactive stock chart"/>
    <hyperlink ref="E1788" r:id="rId1787" display="DISTRICT 5-2A DI WEEK 9 REPORT: De Leon, Hawley and Cisco all chart Week 9 wins"/>
    <hyperlink ref="E1789" r:id="rId1788" display="Forex Signals Oct 26: Google, MSFT, Amazon, Intel and SNDK Earnings Preview in Focus This Week"/>
    <hyperlink ref="E1790" r:id="rId1789" display="Does New COO Appointment Change The Bull Case For PC Connection Stock (CNXN)?"/>
    <hyperlink ref="E1791" r:id="rId1790" display="Total current liabilities of Lumentum Holdings, Inc. – SWB:LU2"/>
    <hyperlink ref="E1792" r:id="rId1791" display="Cushman &amp; Wakefield (CWK) Hires CBRE Team Following Chicago Push But Is The Stock Cheap"/>
    <hyperlink ref="E1793" r:id="rId1792" display="Comfort Systems USA, Inc. Estimates – NYSE:FIX"/>
    <hyperlink ref="E1794" r:id="rId1793" display="157,206 Corteva, Inc. $CTVA Shares Sold by Assenagon Asset Management S.A."/>
    <hyperlink ref="E1795" r:id="rId1794" display="Form 4 Erie Indemnity Company: Sarah Shine (Executive Vice President) For: 30 September"/>
    <hyperlink ref="E1796" r:id="rId1795" display="Is Gold Miner Perseus (ASX:PRU) Handing Surplus Cash Back to Shareholders?"/>
    <hyperlink ref="E1797" r:id="rId1796" display="American Express earnings analysis: questions answered and next catalysts"/>
    <hyperlink ref="E1798" r:id="rId1797" display="AMAT Jan 2029 610.000 call (AMAT290119C00610000) interactive stock chart – Yahoo Finance"/>
    <hyperlink ref="E1799" r:id="rId1798" display="Sysco Corporation $SYY Stock Sold by Investment House LLC"/>
    <hyperlink ref="E1800" r:id="rId1799" display="Indian Energy Exchange (NSE:IEX) Q2FY27 Analyst Call Details"/>
    <hyperlink ref="E1801" r:id="rId1800" display="How Are Dow, S&amp;P 500, Nasdaq Futures Trading After META, TSLA Earnings?"/>
    <hyperlink ref="E1802" r:id="rId1801" display="Leaked memo reveals Skydance's new advertising leadership after the Paramount-WBD merger"/>
    <hyperlink ref="E1803" r:id="rId1802" display="Portfolio manager prefers Microsoft, Amazon, Google in AI trade"/>
    <hyperlink ref="E1804" r:id="rId1803" display="DAL starts Irving, Christie, Flagg, P.J., Gafford"/>
    <hyperlink ref="E1805" r:id="rId1804" display="Accenture (NYSE:ACN) Share Price, Forecast &amp; Analysis"/>
    <hyperlink ref="E1806" r:id="rId1805" display="PepsiCo, Inc. Estimates – BX:PEP"/>
    <hyperlink ref="E1807" r:id="rId1806" display="What to Expect From Fair Isaac’s Next Quarterly Earnings Report"/>
    <hyperlink ref="E1808" r:id="rId1807" display="ABBV Oct 2026 267.500 put (ABBV261030P00267500) interactive stock chart – Yahoo Finance"/>
    <hyperlink ref="E1809" r:id="rId1808" display="How Are Dow, S&amp;P 500, Nasdaq Futures Trading After META, TSLA Earnings?"/>
    <hyperlink ref="E1810" r:id="rId1809" display="Can a non-gamer CEO save Microsoft’s Xbox?"/>
    <hyperlink ref="E1811" r:id="rId1810" display="Columbia PFG College Fishing – Cherokee Lake weigh-in (10/23/2026)"/>
    <hyperlink ref="E1812" r:id="rId1811" display="51,812 The Progressive Corporation $PGR Shares Sold by Vest Financial LLC"/>
    <hyperlink ref="E1813" r:id="rId1812" display="Form 144 ANALOG DEVICES INC For: 24 October By Investing.com"/>
    <hyperlink ref="E1814" r:id="rId1813" display="Accenture files Investor Day presentation. Accenture stock trades at EUR 222.50"/>
    <hyperlink ref="E1815" r:id="rId1814" display="Intuit stock trades at EUR 306.53 in weekend trading"/>
    <hyperlink ref="E1816" r:id="rId1815" display="EOG Resources updates tax guidance. EOG Resources stock trades at EUR 146.48"/>
    <hyperlink ref="E1817" r:id="rId1816" display="Apollo Global Management Inc. $APO Stock Acquired by Yousif Capital Management LLC"/>
    <hyperlink ref="E1818" r:id="rId1817" display="Nordson (NDSN), What Is Behind The Fresh Attention?"/>
    <hyperlink ref="E1819" r:id="rId1818" display="NKE Oct 2026 36.000 call (NKE261023C00036000) interactive stock chart"/>
    <hyperlink ref="E1820" r:id="rId1819" display="LITE Nov 2026 420.000 put (LITE261113P00420000) interactive stock chart"/>
    <hyperlink ref="E1821" r:id="rId1820" display="11,058 Analog Devices, Inc. $ADI Shares Sold by Axxcess Wealth Management LLC"/>
    <hyperlink ref="E1822" r:id="rId1821" display="General Mills, Inc. $GIS Stock Sold by Quadrant Capital Group LLC"/>
    <hyperlink ref="E1823" r:id="rId1822" display="Form 144 Intuitive Surgical For: 24 October By Investing.com"/>
    <hyperlink ref="E1824" r:id="rId1823" display="Nvidia’s Jensen Huang asks these tiny robot ducks to sit, fall asleep and somersault and the adorable little Microducks do it all on command: What are the viral robots, how much do they cost, key features and more details"/>
    <hyperlink ref="E1825" r:id="rId1824" display="3,127 Intuit Inc. $INTU Shares Sold by Quadrant Capital Group LLC"/>
    <hyperlink ref="E1826" r:id="rId1825" display="Form 4 Boeing Co For: 24 October By Investing.com"/>
    <hyperlink ref="E1827" r:id="rId1826" display="Salesforce Inc. $CRM Stock Sold by Boomfish Wealth Group LLC"/>
    <hyperlink ref="E1828" r:id="rId1827" display="doValue S.p.A. Estimates – MIL:DOV"/>
    <hyperlink ref="E1829" r:id="rId1828" display="Apple Inc. $AAPL Shares Acquired by ABLE Financial Group LLC"/>
    <hyperlink ref="E1830" r:id="rId1829" display="3,555 Apple Inc. $AAPL Shares Sold by Three Magnolias Financial Advisors LLC"/>
    <hyperlink ref="E1831" r:id="rId1830" display="NKE Oct 2026 37.500 put (NKE261023P00037500) interactive stock chart"/>
    <hyperlink ref="E1832" r:id="rId1831" display="YUM CHINA (09987) Stock Forum and Discussion"/>
    <hyperlink ref="E1833" r:id="rId1832" display="CMG Oct 2026 36.500 put (CMG261030P00036500) Interactive Stock Chart - Yahoo Finance"/>
    <hyperlink ref="E1834" r:id="rId1833" display="ABBV Nov 2026 310.000 call (ABBV261106C00310000) interactive stock chart – Yahoo Finance"/>
    <hyperlink ref="E1835" r:id="rId1834" display="Here is What to Know Beyond Why AutoZone, Inc. (AZO) is a Trending Stock"/>
    <hyperlink ref="E1836" r:id="rId1835" display="WYNN261113C00100000 Interactive Stock Chart | WYNN Nov 2026 100.000 call Stock"/>
    <hyperlink ref="E1837" r:id="rId1836" display="SNPS Oct 2026 280.000 call (SNPS261030C00280000) interactive stock chart – Yahoo Finance"/>
    <hyperlink ref="E1838" r:id="rId1837" display="What’s up with… SpaceX, Nokia &amp; Iceye, Comcast"/>
    <hyperlink ref="E1839" r:id="rId1838" display="Public Storage’s Q3 2026 Earnings: What to Expect"/>
    <hyperlink ref="E1840" r:id="rId1839" display="FICO Jun 2027 1550.000 put (FICO270617P01550000) interactive stock chart"/>
    <hyperlink ref="E1841" r:id="rId1840" display="Blackrock Core Bond Trust Estimates – NYSE:BHK"/>
    <hyperlink ref="E1842" r:id="rId1841" display="TER Oct 2026 530.000 call (TER261023C00530000) interactive stock chart"/>
    <hyperlink ref="E1843" r:id="rId1842" display="PNC reports third-quarter earnings. PNC stock trades at EUR 201.00"/>
    <hyperlink ref="E1844" r:id="rId1843" display="iPhoneDuo內屏維修要7998元"/>
    <hyperlink ref="E1845" r:id="rId1844" display="TTWO Nov 2026 185.000 put (TTWO261113P00185000) interactive stock chart – Yahoo Finance"/>
    <hyperlink ref="E1846" r:id="rId1845" display="Stryker Corporation $SYK Shares Sold by Robeco Institutional Asset Management B.V."/>
    <hyperlink ref="E1847" r:id="rId1846" display="Lone’er Kavanagh Defeats Ramazan Temirov in First-Round TKO at UFC 333"/>
    <hyperlink ref="E1848" r:id="rId1847" display="Capital One reports $3.5 billion net income and Capital One stock trades at EUR 179.93"/>
    <hyperlink ref="E1849" r:id="rId1848" display="APA Stock Price Prediction 2026-2027 | APA Forecast"/>
    <hyperlink ref="E1850" r:id="rId1849" display="Two-euro coins selling for 3,000 on Ebay: which ones are they and how to identify them"/>
    <hyperlink ref="E1851" r:id="rId1850" display="MedTech Solutions S.A. Estimates – GPW:MDT"/>
    <hyperlink ref="E1852" r:id="rId1851" display="TSLA.O"/>
    <hyperlink ref="E1853" r:id="rId1852" display="Enerflex (TSX:EFX): What Does the Data-Centre Contract Involve?"/>
    <hyperlink ref="E1854" r:id="rId1853" display="Form 8K Darden Restaurants For: 23 October By Investing.com"/>
    <hyperlink ref="E1855" r:id="rId1854" display="GoDaddy Inc. Estimates – NYSE:GDDY"/>
    <hyperlink ref="E1856" r:id="rId1855" display="TROW Jan 2028 170.000 call (TROW280121C00170000) interactive stock chart"/>
    <hyperlink ref="E1857" r:id="rId1856" display="The Best Movies to Watch on Netflix Right Now (Oct. 23-30, 2026)"/>
    <hyperlink ref="E1858" r:id="rId1857" display="Super Micro Computer: The Valuation Is A Joke (Earnings Preview) (NASDAQ:SMCI)"/>
    <hyperlink ref="E1859" r:id="rId1858" display="Trane Technologies (NYSE:TT) Share Price, Forecast &amp; Analysis"/>
    <hyperlink ref="E1860" r:id="rId1859" display=")ω#[WATCHLIvE]HQ!] Louisiana Tech V Old Dominion Game-Day Updates"/>
    <hyperlink ref="E1861" r:id="rId1860" display="EXE Jun 2027 110.000 put (EXE270617P00110000) interactive stock chart – Yahoo Finance"/>
    <hyperlink ref="E1862" r:id="rId1861" display="Form 10-Q DOW CHEMICAL CO /DE/ For: Sep 30 Filed by: DOW INC."/>
    <hyperlink ref="E1863" r:id="rId1862" display="LEN Jan 2029 105.000 put (LEN290119P00105000) interactive stock chart – Yahoo Finance"/>
    <hyperlink ref="E1864" r:id="rId1863" display="HON261106P00230000 interactive stock chart | HON Nov 2026 230.000 put stock - Yahoo Finance"/>
    <hyperlink ref="E1865" r:id="rId1864" display="10,404 3M Company $MMM Shares Acquired by Crossmark Global Holdings Inc."/>
    <hyperlink ref="E1866" r:id="rId1865" display="Form 4 Broadcom Inc For: 24 October By Investing.com"/>
    <hyperlink ref="E1867" r:id="rId1866" display="MPC Container Ships ASA Estimates – TURQUOISE:MPCCO"/>
    <hyperlink ref="E1868" r:id="rId1867" display="Will India Gas Supply Expansion Change Linde (LIN) Stock Narrative"/>
    <hyperlink ref="E1869" r:id="rId1868" display="Western Digital Corporation $WDC Shares Sold by SBI Securities Co. Ltd."/>
    <hyperlink ref="E1870" r:id="rId1869" display="Sterling Capital Management LLC Sells 20,469 Shares of Nasdaq, Inc. $NDAQ"/>
    <hyperlink ref="E1871" r:id="rId1870" display="EOG Resources stock trades at EUR 146.48 in weekend trading"/>
    <hyperlink ref="E1872" r:id="rId1871" display="Boeing (NYSE:BA) Share Price, Forecast &amp; Analysis"/>
    <hyperlink ref="E1873" r:id="rId1872" display="Stock-Split Watch: Is Sandisk Next?"/>
    <hyperlink ref="E1874" r:id="rId1873" display="Northern Trust Quality Dividend (^SPLB-IV) latest stock news and headlines"/>
    <hyperlink ref="E1875" r:id="rId1874" display="Form 144 Accenture PLC For: 22 October By Investing.com"/>
    <hyperlink ref="E1876" r:id="rId1875" display="PHM Oct 2026 120.000 put (PHM261023P00120000) interactive stock chart"/>
    <hyperlink ref="E1877" r:id="rId1876" display="Form 4 Invesco Unit Trusts For: 23 October By Investing.com"/>
    <hyperlink ref="E1878" r:id="rId1877" display="BlackRock Credit Strategies Fund Class W Shares Estimates – NASDAQ:CRDWX"/>
    <hyperlink ref="E1879" r:id="rId1878" display="Occidental Petroleum (NYSE:OXY) Share Price, Forecast &amp; Analysis"/>
    <hyperlink ref="E1880" r:id="rId1879" display="Synopsys stock trades at EUR 385.25 in weekend trading"/>
    <hyperlink ref="E1881" r:id="rId1880" display="Quanta Services (NYSE:PWR) Share Price, Forecast &amp; Analysis"/>
    <hyperlink ref="E1882" r:id="rId1881" display="Form 4 QUEST DIAGNOSTICS INC For: Oct 21 Filed by: Plewman Patrick"/>
    <hyperlink ref="E1883" r:id="rId1882" display="Devon Energy (NYSE:DVN) Share Price, Forecast &amp; Analysis"/>
    <hyperlink ref="E1884" r:id="rId1883" display="BlackRock TCP Capital Corp. Estimates – NASDAQ:TCPC"/>
    <hyperlink ref="E1885" r:id="rId1884" display="Blackrock MuniYield New York Quality Fund, Inc. Estimates – NYSE:MYN"/>
    <hyperlink ref="E1886" r:id="rId1885" display="MMM Jan 2027 180.000 put (MMM270115P00180000) Stock Forum &amp; Discussion - Yahoo Finance"/>
    <hyperlink ref="E1887" r:id="rId1886" display="Form 144 RESMED INC For: 23 October By Investing.com"/>
    <hyperlink ref="E1888" r:id="rId1887" display="ROL Jan 2029 50.000 call (ROL290119C00050000) interactive stock chart – Yahoo Finance"/>
    <hyperlink ref="E1889" r:id="rId1888" display="Wells Fargo, Intuit latest companies to object to their shares being tokenized, document shows"/>
    <hyperlink ref="E1890" r:id="rId1889" display="2,830 Apple Inc. $AAPL Shares Sold by WealthSpring Partners LLC"/>
    <hyperlink ref="E1891" r:id="rId1890" display="Occidental Petroleum (NYSE:OXY) Share Price, Forecast &amp; Analysis"/>
    <hyperlink ref="E1892" r:id="rId1891" display="VLO Oct 2026 442.500 call (VLO261030C00442500) interactive stock chart"/>
    <hyperlink ref="E1893" r:id="rId1892" display="FIS Alpine Skiing World Cup: Men's Giant Slalom Run 2 - Sölden"/>
    <hyperlink ref="E1894" r:id="rId1893" display="Devon Energy (NYSE:DVN) Share Price, Forecast &amp; Analysis"/>
    <hyperlink ref="E1895" r:id="rId1894" display="25,485 First Solar, Inc. $FSLR Shares Sold by Robeco Schweiz AG"/>
    <hyperlink ref="E1896" r:id="rId1895" display="The Goldman Sachs Group, Inc. $GS Shares Bought by Citizens Financial Group Inc. RI"/>
    <hyperlink ref="E1897" r:id="rId1896" display="Lam Research Corporation $LRCX Stock Sold by Valley National Advisers Inc."/>
    <hyperlink ref="E1898" r:id="rId1897" display="M&amp;T Bank Corporation $MTB Holdings Decreased by Evergreen Capital Management LLC"/>
    <hyperlink ref="E1899" r:id="rId1898" display="KEYS | Pre-Game vs TOR"/>
    <hyperlink ref="E1900" r:id="rId1899" display="Calnex Solutions Plc Estimates – LSE:CLX"/>
    <hyperlink ref="E1901" r:id="rId1900" display="Did AI Tax Launch Just Shift Intuit Stock Investment Narrative?"/>
    <hyperlink ref="E1902" r:id="rId1901" display="How Data Center Financing Risks At Nvidia Shares Has Changed Its Investment Story"/>
    <hyperlink ref="E1903" r:id="rId1902" display="‘Mayor of Kingstown’ Season 5 release date: ‘Mayor of Kingstown’ Season 5 on Paramount+/Netflix Info"/>
    <hyperlink ref="E1904" r:id="rId1903" display="The Goldman Sachs Group, Inc. $GS Shares Bought by Citizens Financial Group Inc. RI"/>
    <hyperlink ref="E1905" r:id="rId1904" display="Salesforce stake traded for premium price as grim buildings rot"/>
    <hyperlink ref="E1906" r:id="rId1905" display="18,543 Xylem Inc. $XYL Shares Acquired by Vest Financial LLC"/>
    <hyperlink ref="E1907" r:id="rId1906" display="Netflix’s ‘New Stanford Prison Experiment’ Is Rigged For Drama"/>
    <hyperlink ref="E1908" r:id="rId1907" display="Ciena appoints Monika Fahlbusch. Ciena stock trades at EUR 286.35"/>
    <hyperlink ref="E1909" r:id="rId1908" display="Amgen reports Tezspire trial results. Amgen stock trades EUR 392.10"/>
    <hyperlink ref="E1910" r:id="rId1909" display="3M Company $MMM Shares Acquired by Axxcess Wealth Management LLC"/>
    <hyperlink ref="E1911" r:id="rId1910" display="Wells Fargo, Intuit latest companies to object to their shares being tokenized, document shows"/>
    <hyperlink ref="E1912" r:id="rId1911" display="FIS Alpine Skiing World Cup: Men's Giant Slalom Run 2 - Sölden"/>
    <hyperlink ref="E1913" r:id="rId1912" display="CocaCola Company (The) $KO Stock Holdings Reduced by Capital Investment Advisors LLC"/>
    <hyperlink ref="E1914" r:id="rId1913" display="AVGO Oct 2026 350.000 put (AVGO261019P00350000) interactive stock chart"/>
    <hyperlink ref="E1915" r:id="rId1914" display="ROP Nov 2026 210.000 put (ROP261120P00210000) interactive stock chart"/>
    <hyperlink ref="E1916" r:id="rId1915" display="Form 4 NVIDIA Corporation For: 25 October By Investing.com"/>
    <hyperlink ref="E1917" r:id="rId1916" display="Nuveen Multi-Market Income Fund (MA) Estimates – BOATS:JMM"/>
    <hyperlink ref="E1918" r:id="rId1917" display="Northrop Grumman (NOC), What Is Behind The Fresh Attention?"/>
    <hyperlink ref="E1919" r:id="rId1918" display="FSLR Sep 2027 185.000 put (FSLR270917P00185000) interactive stock chart"/>
    <hyperlink ref="E1920" r:id="rId1919" display="Comcast Teases Epic Universe Inclusion in Future Universal Orlando Annual Passes"/>
    <hyperlink ref="E1921" r:id="rId1920" display="HPQ Oct 2026 31.000 call (HPQ261030C00031000) interactive stock chart"/>
    <hyperlink ref="E1922" r:id="rId1921" display="TSLA Oct 2026 422.500 put (TSLA261026P00422500) interactive stock chart"/>
    <hyperlink ref="E1923" r:id="rId1922" display="SNPS Nov 2026 490.000 put (SNPS261106P00490000) interactive stock chart"/>
    <hyperlink ref="E1924" r:id="rId1923" display="TJX Companies declares dividend as TJX Companies stock yields 1.30 percent"/>
    <hyperlink ref="E1925" r:id="rId1924" display="BNY Mellon Strategic Municipals, Inc. Estimates – BOATS:LEO"/>
    <hyperlink ref="E1926" r:id="rId1925" display="EXE Sep 2027 110.000 call (EXE270917C00110000) interactive stock chart – Yahoo Finance"/>
    <hyperlink ref="E1927" r:id="rId1926" display="SNPS Oct 2026 555.000 call (SNPS261023C00555000) interactive stock chart"/>
    <hyperlink ref="E1928" r:id="rId1927" display="MCD Oct 2026 200.000 call (MCD261023C00200000) interactive stock chart – Yahoo Finance"/>
    <hyperlink ref="E1929" r:id="rId1928" display="4,029 Shares of Invesco QQQ $QQQ Acquired by Wavvest Wealth LLC"/>
    <hyperlink ref="E1930" r:id="rId1929" display="CIT: Great Gray Trust T. Rowe Price Retirement Date 2060 Trust Fee Class I1 (WWTAGX)"/>
    <hyperlink ref="E1931" r:id="rId1930" display="Honeywell International (NASDAQ:HON) Issues Q4 2026 Earnings Guidance"/>
    <hyperlink ref="E1932" r:id="rId1931" display="Honeywell International (NASDAQ:HON) Issues FY 2026 Earnings Guidance"/>
    <hyperlink ref="E1933" r:id="rId1932" display="WDAY Oct 2026 202.500 call (WDAY261030C00202500) interactive stock chart – Yahoo Finance"/>
    <hyperlink ref="E1934" r:id="rId1933" display="661735-AUD-NETR interactive stock chart | MSCI AUSTRALIA SMID VAL NETR AU stock"/>
    <hyperlink ref="E1935" r:id="rId1934" display="Broadcom (AVGO) Stock Forum and Discussion"/>
    <hyperlink ref="E1936" r:id="rId1935" display="Marathon Petroleum (NYSE:MPC) Share Price, Forecast &amp; Analysis"/>
    <hyperlink ref="E1937" r:id="rId1936" display="VISN,STAA,WEST,RXO,SLND,PLSE,CODI,VANI,GRNT,TPL,ABR,CAUD,HAPN,GUG,RMCF,QRHC,CRGY | Stock Prices | Quote Comparison - Yahoo Finance"/>
    <hyperlink ref="E1938" r:id="rId1937" display="ADSK Oct 2026 230.000 call (ADSK261030C00230000) interactive stock chart"/>
    <hyperlink ref="E1939" r:id="rId1938" display="AMAT Nov 2026 375.000 put (AMAT261113P00375000) interactive stock chart – Yahoo Finance"/>
    <hyperlink ref="E1940" r:id="rId1939" display="VST Nov 2026 149.000 put (VST261106P00149000) interactive stock chart"/>
    <hyperlink ref="E1941" r:id="rId1940" display="PT Victoria Care Indonesia Tbk Estimates – IDX:VICI"/>
    <hyperlink ref="E1942" r:id="rId1941" display="VICI Properties Inc. $VICI Shares Acquired by Tectonic Advisors LLC"/>
    <hyperlink ref="E1943" r:id="rId1942" display="IDEXX Laboratories, Inc. Estimates – NASDAQ:IDXX"/>
    <hyperlink ref="E1944" r:id="rId1943" display="PFG: Principal Financial Group Inc - Registered Shares Latest Stock Price, Analysis, News and Trading Ideas"/>
    <hyperlink ref="E1945" r:id="rId1944" display="American Water (AWK) Updates CPUC: Monterey Desal Cost Now $825M"/>
    <hyperlink ref="E1946" r:id="rId1945" display="Form 8K PNC Financial Services For: 23 October By Investing.com"/>
    <hyperlink ref="E1947" r:id="rId1946" display="Form 4 General Mills: Jo Ann Jenkins (Director) For: 29 September"/>
    <hyperlink ref="E1948" r:id="rId1947" display="Bristow appoints new COO for Government Services business"/>
    <hyperlink ref="E1949" r:id="rId1948" display="ALH or WSM: Which Is the Better Value Stock Right Now?"/>
    <hyperlink ref="E1950" r:id="rId1949" display="Iron Mountain Incorporated (Del (IRM) Stock Forecasts"/>
    <hyperlink ref="E1951" r:id="rId1950" display="1,431 Tesla, Inc. $TSLA Shares Sold by Private Wealth Partners LLC"/>
    <hyperlink ref="E1952" r:id="rId1951" display="Ex-Walmart Tech Goes To Dealership For Warranty Service. Then They Quote Him For A New Battery: ‘Crazy’"/>
    <hyperlink ref="E1953" r:id="rId1952" display="10,922 Genuine Parts Company $GPC Shares Sold by Sterling Capital Management LLC"/>
    <hyperlink ref="E1954" r:id="rId1953" display="Amgen Inc. $AMGN Shares Sold by Axxcess Wealth Management LLC"/>
    <hyperlink ref="E1955" r:id="rId1954" display="Sandisk SNDK Stock: $1,238 Four Days to Results, Bear $1,090"/>
    <hyperlink ref="E1956" r:id="rId1955" display="BLDR Jan 2027 52.500 put (BLDR270115P00052500) interactive stock chart"/>
    <hyperlink ref="E1957" r:id="rId1956" display="42,274 Procter &amp; Gamble Company (The) $PG Shares Sold by Citizens Financial Group Inc. RI"/>
    <hyperlink ref="E1958" r:id="rId1957" display="Colgate-Palmolive (NYSE:CL) Share Price, Forecast &amp; Analysis"/>
    <hyperlink ref="E1959" r:id="rId1958" display="8,123 Aon plc $AON Shares Bought by Valley National Advisers Inc."/>
    <hyperlink ref="E1960" r:id="rId1959" display="42,274 Procter &amp; Gamble Company (The) $PG Shares Sold by Citizens Financial Group Inc. RI"/>
    <hyperlink ref="E1961" r:id="rId1960" display="SAS 122, DAL 106: Daniel Gafford Postgame Media Availability"/>
    <hyperlink ref="E1962" r:id="rId1961" display="Form 4 Monolithic Power Systems Inc For: 25 October By Investing.com"/>
    <hyperlink ref="E1963" r:id="rId1962" display="Which draft lottery contenders need Landon DuPont the most?"/>
    <hyperlink ref="E1964" r:id="rId1963" display="NKE Oct 2026 46.000 put (NKE261030P00046000) Interactive Stock Chart - Yahoo Finance"/>
    <hyperlink ref="E1965" r:id="rId1964" display="Humana, UnitedHealthcare ending Medicare Advantage plans for 1 million seniors, insurers say"/>
    <hyperlink ref="E1966" r:id="rId1965" display="CCL football roundup: Here are results, stats and highlights from 2026 IHSA opening round playoff games"/>
    <hyperlink ref="E1967" r:id="rId1966" display="The Cigna Group (NYSE:CI) Share Price, Forecast &amp; Analysis"/>
    <hyperlink ref="E1968" r:id="rId1967" display="DVN Oct 2026 49.500 call (DVN261023C00049500) interactive stock chart"/>
    <hyperlink ref="E1969" r:id="rId1968" display="91,450 Simon Property Group, Inc. $SPG Shares Sold by Robeco Institutional Asset Management B.V."/>
    <hyperlink ref="E1970" r:id="rId1969" display="72,860 Builders FirstSource, Inc. $BLDR Shares Acquired by Investment House LLC"/>
    <hyperlink ref="E1971" r:id="rId1970" display="AMAT Nov 2026 680.000 call (AMAT261127C00680000) interactive stock chart – Yahoo Finance"/>
    <hyperlink ref="E1972" r:id="rId1971" display="YUM Nov 2026 120.000 call (YUM261120C00120000) interactive stock chart"/>
    <hyperlink ref="E1973" r:id="rId1972" display="BlackRock Investment Trusts - Net Asset Value(s)"/>
    <hyperlink ref="E1974" r:id="rId1973" display="WYNN Nov 2026 84.000 call (WYNN261127C00084000) interactive stock chart – Yahoo Finance"/>
    <hyperlink ref="E1975" r:id="rId1974" display="15,772 Sysco Corporation $SYY Shares Acquired by Axxcess Wealth Management LLC"/>
    <hyperlink ref="E1976" r:id="rId1975" display="What Is Behind the Upward Move in Equifax (NYSE:EFX)?"/>
    <hyperlink ref="E1977" r:id="rId1976" display="Edwards Lifesciences Corporation $EW Shares Sold by Investment House LLC"/>
    <hyperlink ref="E1978" r:id="rId1977" display="News @ 7 on HUM News: full details and when it's on"/>
    <hyperlink ref="E1979" r:id="rId1978" display="PLD Jan 2029 160.000 call (PLD290119C00160000) interactive stock chart"/>
    <hyperlink ref="E1980" r:id="rId1979" display="LEN May 2027 95.000 call (LEN270521C00095000) interactive stock chart – Yahoo Finance"/>
    <hyperlink ref="E1981" r:id="rId1980" display="Could You Have Held Motorola Solutions Stock Through Its Falls?"/>
    <hyperlink ref="E1982" r:id="rId1981" display="NVDA261019P00237500 interactive stock chart | NVDA Oct 2026 237.500 put stock - Yahoo Finance"/>
    <hyperlink ref="E1983" r:id="rId1982" display="Invesco QQQ Trust (QQQ) Price, Quote &amp; Chart, NASDAQ"/>
    <hyperlink ref="E1984" r:id="rId1983" display="343,162 DuPont de Nemours, Inc. $DD Shares Sold by Mondrian Investment Partners LTD"/>
    <hyperlink ref="E1985" r:id="rId1984" display="Broadcom Inc. $AVGO Stock Acquired by Hosking Partners LLP"/>
    <hyperlink ref="E1986" r:id="rId1985" display="Everest Group, Ltd. (NYSE:EG) Stock Rated &quot;Hold&quot; by Wall Street Analysts"/>
    <hyperlink ref="E1987" r:id="rId1986" display="2,838 Tesla, Inc. $TSLA Shares Bought by Fifth Third Wealth Advisors LLC"/>
    <hyperlink ref="E1988" r:id="rId1987" display="LVS Oct 2026 35.500 put (LVS261023P00035500) interactive stock chart"/>
    <hyperlink ref="E1989" r:id="rId1988" display="VEEV Dec 2026 220.000 put (VEEV261218P00220000) interactive stock chart"/>
    <hyperlink ref="E1990" r:id="rId1989" display="TGT Nov 2026 150.000 put (TGT261120P00150000) interactive stock chart"/>
    <hyperlink ref="E1991" r:id="rId1990" display="ADI261113P00400000 interactive stock chart | ADI Nov 2026 400.000 put stock - Yahoo Finance"/>
    <hyperlink ref="E1992" r:id="rId1991" display="SNPS Oct 2026 425.000 put (SNPS261030P00425000) interactive stock chart"/>
    <hyperlink ref="E1993" r:id="rId1992" display="Western Digital Corporation Estimates – NASDAQ:WDC"/>
    <hyperlink ref="E1994" r:id="rId1993" display="PNC Financial Services Group, Inc. (The) Estimates – NYSE:PNC"/>
    <hyperlink ref="E1995" r:id="rId1994" display="NSC Nov 2026 350.000 call (NSC261120C00350000) interactive stock chart"/>
    <hyperlink ref="E1996" r:id="rId1995" display="Mapped: How Many Starbucks Stores Are in Each Country?"/>
    <hyperlink ref="E1997" r:id="rId1996" display="JBL Oct 2026 305.000 call (JBL261023C00305000) Interactive Stock Chart - Yahoo Finance"/>
    <hyperlink ref="E1998" r:id="rId1997" display="Trading the Move, Not the Narrative: (NXPI) Edition"/>
    <hyperlink ref="E1999" r:id="rId1998" display="Quest Diagnostics reports patient data breach"/>
    <hyperlink ref="E2000" r:id="rId1999" display="I tried using a pumpkin as my cup at Starbucks. Here's what happened"/>
    <hyperlink ref="E2001" r:id="rId2000" display="Veralto stock: CEO sells 7,098 shares before Veralto stock results on October 29"/>
    <hyperlink ref="E2002" r:id="rId2001" display="UNH Nov 2026 500.000 put (UNH261120P00500000) interactive stock chart"/>
    <hyperlink ref="E2003" r:id="rId2002" display="Roper Technologies, Inc. 2026 Q3 - Results - Earnings Call Presentation (NASDAQ:ROP) 2026-10-23"/>
    <hyperlink ref="E2004" r:id="rId2003" display="Netflix top 10 movies — here’s the 3 worth watching right now (October 24-25)"/>
    <hyperlink ref="E2005" r:id="rId2004" display="Form 4 NVIDIA Corporation For: 24 October By Investing.com"/>
    <hyperlink ref="E2006" r:id="rId2005" display="Jabil, Inc. $JBL Shares Sold by Crossmark Global Holdings Inc."/>
    <hyperlink ref="E2007" r:id="rId2006" display="Earnings Week Ahead: MSFT, GOOGL, AMZN, XOM, BA, VZ, and more"/>
    <hyperlink ref="E2008" r:id="rId2007" display="THERE IS BUD SELIG — BUD LITE — AND IF HE RUINED BASEBALL 32 YEARS AGO, HE’LL TRY AGAIN IN DECEMBER"/>
    <hyperlink ref="E2009" r:id="rId2008" display="2,533 International Business Machines Corporation $IBM Shares Sold by Dudley Capital Management LLC"/>
    <hyperlink ref="E2010" r:id="rId2009" display="EXPE Oct 2026 240.000 call (EXPE261030C00240000) interactive stock chart"/>
    <hyperlink ref="E2011" r:id="rId2010" display="Comcast Corporation $CMCSA Stake Lessened by RWC Asset Management LLP"/>
    <hyperlink ref="E2012" r:id="rId2011" display="Apple Inc. $AAPL Stock Sold by Salem Investment Counselors Inc."/>
    <hyperlink ref="E2013" r:id="rId2012" display="Invesco Global Equity Income Trust plc Global Equity IncomeGBP Estimates – TURQUOISE:IGETL"/>
    <hyperlink ref="E2014" r:id="rId2013" display="20,697 Lam Research Corporation $LRCX Shares Sold by Harbor Island Capital LLC"/>
    <hyperlink ref="E2015" r:id="rId2014" display="Form 4 BLACKROCK FUNDS III For: 25 October By Investing.com"/>
    <hyperlink ref="E2016" r:id="rId2015" display="Henry Schein, Inc. Estimates – NASDAQ:HSIC"/>
    <hyperlink ref="E2017" r:id="rId2016" display="TXN Mar 2027 340.000 put (TXN270319P00340000) interactive stock chart"/>
    <hyperlink ref="E2018" r:id="rId2017" display="MRK Apr 2027 95.000 put (MRK270416P00095000) interactive stock chart"/>
    <hyperlink ref="E2019" r:id="rId2018" display="WYNN Sep 2027 92.500 put (WYNN270917P00092500) interactive stock chart – Yahoo Finance"/>
    <hyperlink ref="E2020" r:id="rId2019" display="Form 8K Old Dominion Freight Line Inc For: 22 October By Investing.com"/>
    <hyperlink ref="E2021" r:id="rId2020" display="170,251 Diamondback Energy, Inc. $FANG Shares Purchased by Robeco Institutional Asset Management B.V."/>
    <hyperlink ref="E2022" r:id="rId2021" display="MCD Oct 2026 267.500 call (MCD261030C00267500) interactive stock chart"/>
    <hyperlink ref="E2023" r:id="rId2022" display="23,870 Citigroup Inc. $C Shares Acquired by Citizens Financial Group Inc. RI"/>
    <hyperlink ref="E2024" r:id="rId2023" display="BKNG Nov 2026 165.000 put (BKNG261106P00165000) interactive stock chart"/>
    <hyperlink ref="E2025" r:id="rId2024" display="Carmen Electra officially kicks off Halloween season at a gas station, postgame police chase &amp; Ball-Sac"/>
    <hyperlink ref="E2026" r:id="rId2025" display="What could ResMed (ASX:RMD) reveal in its next update?"/>
    <hyperlink ref="E2027" r:id="rId2026" display="NVDA Sep 2027 5.000 call (NVDA270917C00005000) interactive stock chart"/>
    <hyperlink ref="E2028" r:id="rId2027" display="Prologis Inc (POJN.HM) stock price, news, quote and history - Yahoo Finance"/>
    <hyperlink ref="E2029" r:id="rId2028" display="AME Nov 2026 260.000 put (AME261120P00260000) Interactive Stock Chart - Yahoo Finance"/>
    <hyperlink ref="E2030" r:id="rId2029" display="IBM Nov 2026 260.000 call (IBM261127C00260000) interactive stock chart"/>
    <hyperlink ref="E2031" r:id="rId2030" display="McLane Company Names Chris Smith EVP And COO"/>
    <hyperlink ref="E2032" r:id="rId2031" display="CAH Jan 2029 160.000 call (CAH290119C00160000) interactive stock chart"/>
    <hyperlink ref="E2033" r:id="rId2032" display="Expedia Group, Inc. $EXPE Shares Sold by Investment House LLC"/>
    <hyperlink ref="E2034" r:id="rId2033" display="URI Oct 2026 1035.000 put (URI261023P01035000) interactive stock chart"/>
    <hyperlink ref="E2035" r:id="rId2034" display="LLY Nov 2026 1520.000 call (LLY261127C01520000) interactive stock chart"/>
    <hyperlink ref="E2036" r:id="rId2035" display="Broadcom Inc. $AVGO Shares Sold by Nisa Investment Advisors LLC"/>
    <hyperlink ref="E2037" r:id="rId2036" display="NVDA Oct 2026 280.000 put (NVDA261019P00280000) interactive stock chart"/>
    <hyperlink ref="E2038" r:id="rId2037" display="How much MSFT stock does former CEO Steve Ballmer actually own?"/>
    <hyperlink ref="E2039" r:id="rId2038" display="Learn Why The Bull Case For Charter Communications Stock Could Change Following Cox Deal Completion"/>
    <hyperlink ref="E2040" r:id="rId2039" display="Coinbase Derivatives Pauses Futures and Perpetual Trading for Maintenance"/>
    <hyperlink ref="E2041" r:id="rId2040" display="!+[Here's Way To Watch] Old Dominion v Louisiana Tech LIVE NCAA Match 25 October 2026 Right Now"/>
    <hyperlink ref="E2042" r:id="rId2041" display="LyondellBasell Industries NV (LYB) Stock Forecasts"/>
    <hyperlink ref="E2043" r:id="rId2042" display="Form 144 GENERAC HOLDINGS INC. For: 24 October By Investing.com"/>
    <hyperlink ref="E2044" r:id="rId2043" display="3,552 BlackRock $BLK Shares Bought by Robeco Institutional Asset Management B.V."/>
    <hyperlink ref="E2045" r:id="rId2044" display="Form 144 PROCTER &amp; GAMBLE Co For: 24 October By Investing.com"/>
    <hyperlink ref="E2046" r:id="rId2045" display="Devon Energy Corporation $DVN Shares Acquired by RWC Asset Management LLP"/>
    <hyperlink ref="E2047" r:id="rId2046" display="BLK Oct 2026 1145.000 call (BLK261030C01145000) interactive stock chart"/>
    <hyperlink ref="E2048" r:id="rId2047" display="Merck &amp; Co., Inc. $MRK Stock Sold by Capital Investment Advisors LLC"/>
    <hyperlink ref="E2049" r:id="rId2048" display="NextEra Energy, Inc. 7.234% Corporate Estimates – BOATS:NEE/PT"/>
    <hyperlink ref="E2050" r:id="rId2049" display="PYPL Nov 2026 53.000 put (PYPL261127P00053000) interactive stock chart"/>
    <hyperlink ref="E2051" r:id="rId2050" display="Form 144 EQUIFAX INC For: 24 October By Investing.com"/>
    <hyperlink ref="E2052" r:id="rId2051" display="UNH Oct 2026 382.500 call (UNH261030C00382500) interactive stock chart"/>
    <hyperlink ref="E2053" r:id="rId2052" display="Apple Inc. $AAPL Stock Acquired by Stone Summit Wealth LLC"/>
    <hyperlink ref="E2054" r:id="rId2053" display="96,621 Occidental Petroleum Corporation $OXY Shares Sold by Robeco Institutional Asset Management B.V."/>
    <hyperlink ref="E2055" r:id="rId2054" display="Form 4 Palantir Technologies Inc For: 25 October By Investing.com"/>
    <hyperlink ref="E2056" r:id="rId2055" display="FIS Alpine Skiing World Cup: Men's Giant Slalom Run 1 - Sölden"/>
    <hyperlink ref="E2057" r:id="rId2056" display="FFIV Feb 2027 490.000 put (FFIV270219P00490000) interactive stock chart"/>
    <hyperlink ref="E2058" r:id="rId2057" display="STZ Oct 2026 112.000 put (STZ261030P00112000) interactive stock chart"/>
    <hyperlink ref="E2059" r:id="rId2058" display="LIN Sep 2027 400.000 put (LIN270917P00400000) interactive stock chart"/>
    <hyperlink ref="E2060" r:id="rId2059" display="49,580 The Progressive Corporation $PGR Shares Bought by Robeco Institutional Asset Management B.V."/>
    <hyperlink ref="E2061" r:id="rId2060" display="NIKE, Inc. Announces 2026 Investor Day Webcast"/>
    <hyperlink ref="E2062" r:id="rId2061" display="Goldman Sachs CEO David Solomon on the economy and small businesses in the age of AI"/>
    <hyperlink ref="E2063" r:id="rId2062" display="DXCM Nov 2026 91.000 call (DXCM261113C00091000) interactive stock chart – Yahoo Finance"/>
    <hyperlink ref="E2064" r:id="rId2063" display="NSC Sep 2027 280.000 put (NSC270917P00280000) interactive stock chart"/>
    <hyperlink ref="E2065" r:id="rId2064" display="LRCX Oct 2026 385.000 call (LRCX261030C00385000) interactive stock chart"/>
    <hyperlink ref="E2066" r:id="rId2065" display="Capital One Financial Corporation $COF Shares Acquired by MBL Wealth LLC"/>
    <hyperlink ref="E2067" r:id="rId2066" display="USDA AMS Report: CME Grade A Nonfat Dry Milk Weekly Average Cash Price (Oct 23, 2026) - News and Statistics"/>
    <hyperlink ref="E2068" r:id="rId2067" display="FIS Alpine Skiing World Cup: Men's Giant Slalom Run 1 - Sölden"/>
    <hyperlink ref="E2069" r:id="rId2068" display="Form 144 EQUIFAX INC For: 23 October By Investing.com"/>
    <hyperlink ref="E2070" r:id="rId2069" display="Altria Pays Out 89.3% of Its Earnings as Dividends. Here’s Why That Number Matters."/>
    <hyperlink ref="E2071" r:id="rId2070" display="RF - Regions Financial Corp. | News"/>
    <hyperlink ref="E2072" r:id="rId2071" display="Boston Scientific names COO as Boston Scientific stock trades at EUR 40.77"/>
    <hyperlink ref="E2073" r:id="rId2072" display="TMO Oct 2026 677.500 put (TMO261030P00677500) interactive stock chart"/>
    <hyperlink ref="E2074" r:id="rId2073" display="JBL Nov 2026 260.000 put (JBL261127P00260000) Interactive Stock Chart - Yahoo Finance"/>
    <hyperlink ref="E2075" r:id="rId2074" display="Ulta Beauty, Inc. Estimates – NASDAQ:ULTA"/>
    <hyperlink ref="E2076" r:id="rId2075" display="PPL Nov 2026 31.000 put (PPL261120P00031000) interactive stock chart"/>
    <hyperlink ref="E2077" r:id="rId2076" display="Alexa Chung in LII Spring 2027 at Tiffany &amp; Co. Event"/>
    <hyperlink ref="E2078" r:id="rId2077" display="WDC Dec 2028 810.000 call (WDC281215C00810000) interactive stock chart"/>
    <hyperlink ref="E2079" r:id="rId2078" display="Complete List Of Old Dominion Songs From A to Z"/>
    <hyperlink ref="E2080" r:id="rId2079" display="24,273 Medtronic PLC $MDT Shares Sold by Robeco Institutional Asset Management B.V."/>
    <hyperlink ref="E2081" r:id="rId2080" display="Boston Scientific names COO as Boston Scientific stock trades at EUR 40.77"/>
    <hyperlink ref="E2082" r:id="rId2081" display="12,302 Xylem Inc. $XYL Shares Sold by Robeco Institutional Asset Management B.V."/>
    <hyperlink ref="E2083" r:id="rId2082" display="Form 8K Wynn Resorts Limited For: 23 October By Investing.com"/>
    <hyperlink ref="E2084" r:id="rId2083" display="Entergy Texas Inc 5.375% Series A Preferred Stock, Cumulative, No Par Value Estimates – NYSE:ETI/P"/>
    <hyperlink ref="E2085" r:id="rId2084" display="RTX 5090 Predecessor Unlock: BF16 Hits 129.6 TFLOPS [2026]"/>
    <hyperlink ref="E2086" r:id="rId2085" display="LVS Oct 2026 37.500 call (LVS261030C00037500) interactive stock chart"/>
    <hyperlink ref="E2087" r:id="rId2086" display="Form 4 Palantir Technologies Inc For: 24 October By Investing.com"/>
    <hyperlink ref="E2088" r:id="rId2087" display="TSLA Oct 2026 362.500 call (TSLA261023C00362500) Interactive Stock Chart - Yahoo Finance"/>
    <hyperlink ref="E2089" r:id="rId2088" display="Form 4 Blackstone Inc For: 24 October By Investing.com"/>
    <hyperlink ref="E2090" r:id="rId2089" display="Coca-Cola Company (The) Estimates – NYSE:KO"/>
    <hyperlink ref="E2091" r:id="rId2090" display="[Football Live] Sacramento State vs. Ball State Live Stream"/>
    <hyperlink ref="E2092" r:id="rId2091" display="CRM Jan 2029 270.000 put (CRM290119P00270000) Interactive Stock Chart - Yahoo Finance"/>
    <hyperlink ref="E2093" r:id="rId2092" display="Form 4 Microchip Technology Inc For: 25 October By Investing.com"/>
    <hyperlink ref="E2094" r:id="rId2093" display="EXE Oct 2026 89.000 call (EXE261030C00089000) interactive stock chart"/>
    <hyperlink ref="E2095" r:id="rId2094" display="PHI Group Inc. (WY) Estimates – OTC:PHIL"/>
    <hyperlink ref="E2096" r:id="rId2095" display="MRVL Nov 2026 225.000 call (MRVL261106C00225000) interactive stock chart"/>
    <hyperlink ref="E2097" r:id="rId2096" display="Marine Corps Birthday Ball set for Nov. 7 in Lake Charles"/>
    <hyperlink ref="E2098" r:id="rId2097" display="Form 424B3 GOLDMAN SACHS GROUP INC"/>
    <hyperlink ref="E2099" r:id="rId2098" display="Global Payments Is Maintained at Hold by Truist Securities"/>
    <hyperlink ref="E2100" r:id="rId2099" display="Nine Larger Banks Reported on October 22 and None Missed: Huntington Bancshares (NASDAQ:HBAN) and Peers"/>
    <hyperlink ref="E2101" r:id="rId2100" display="CIEN Nov 2026 330.000 put (CIEN261120P00330000) interactive stock chart"/>
    <hyperlink ref="E2102" r:id="rId2101" display="150,149 Comcast Corporation $CMCSA Shares Sold by Axxcess Wealth Management LLC"/>
    <hyperlink ref="E2103" r:id="rId2102" display="CDW Corporation $CDW Shares Bought by Sterling Capital Management LLC"/>
    <hyperlink ref="E2104" r:id="rId2103" display="Form 4 Unitedhealth Group For: 25 October By Investing.com"/>
    <hyperlink ref="E2105" r:id="rId2104" display="Prime Minister meets MSCI Chairman and CEO Doha"/>
    <hyperlink ref="E2106" r:id="rId2105" display="83,385 Owens Corning Inc $OC Shares Sold by Robeco Institutional Asset Management B.V."/>
    <hyperlink ref="E2107" r:id="rId2106" display="Salesforce Inc. $CRM Stock Sold by Mountain Hill Investment Partners Corp."/>
    <hyperlink ref="E2108" r:id="rId2107" display="Atlatl Advisers LLC Sells 2,898 Shares of Invesco QQQ $QQQ"/>
    <hyperlink ref="E2109" r:id="rId2108" display="6,128 Shares of Salesforce Inc. $CRM Acquired by Murphy Pohlad Asset Management LLC"/>
    <hyperlink ref="E2110" r:id="rId2109" display="Norfolk Southern reports USD 3.5 billion revenue. Norfolk Southern stock trades at EUR 294.55"/>
    <hyperlink ref="E2111" r:id="rId2110" display="MMM Nov 2026 170.000 put (MMM261106P00170000) interactive stock chart"/>
    <hyperlink ref="E2112" r:id="rId2111" display="6,659 Apple Inc. $AAPL Shares Bought by Define Financial LLC"/>
    <hyperlink ref="E2113" r:id="rId2112" display="GoDaddy’s CEO on when small businesses should — and shouldn't — use AI"/>
    <hyperlink ref="E2114" r:id="rId2113" display="TTD Nov 2026 9.500 put (TTD261106P00009500) interactive stock chart"/>
    <hyperlink ref="E2115" r:id="rId2114" display="TSLA Oct 2026 432.500 call (TSLA261023C00432500) Interactive Stock Chart - Yahoo Finance"/>
    <hyperlink ref="E2116" r:id="rId2115" display="INCY Nov 2026 145.000 call (INCY261120C00145000) Interactive Stock Chart - Yahoo Finance"/>
    <hyperlink ref="E2117" r:id="rId2116" display="citigroup global markets australia holdings pty limited Warrant 2022-25.11.32 on Transurban Estimates – ASX:TCLJOD"/>
    <hyperlink ref="E2118" r:id="rId2117" display="Israir Group Ltd Estimates – TASE:ISRG"/>
    <hyperlink ref="E2119" r:id="rId2118" display="ROL Jan 2028 30.000 put (ROL280121P00030000) Interactive Stock Chart - Yahoo Finance"/>
    <hyperlink ref="E2120" r:id="rId2119" display="Here's How IDEXX Laboratories Is Placed Ahead of Q3 Earnings"/>
    <hyperlink ref="E2121" r:id="rId2120" display="PNC Mar 2027 180.000 put (PNC270319P00180000) Interactive Stock Chart - Yahoo Finance"/>
    <hyperlink ref="E2122" r:id="rId2121" display="USB Nov 2026 56.000 call (USB261106C00056000) interactive stock chart – Yahoo Finance"/>
    <hyperlink ref="E2123" r:id="rId2122" display="PEP Oct 2026 123.000 put (PEP261030P00123000) interactive stock chart"/>
    <hyperlink ref="E2124" r:id="rId2123" display="CPT Sep 2027 130.000 put (CPT270917P00130000) interactive stock chart"/>
    <hyperlink ref="E2125" r:id="rId2124" display="FSLR Sep 2027 145.000 put (FSLR270917P00145000) Interactive Stock Chart - Yahoo Finance"/>
    <hyperlink ref="E2126" r:id="rId2125" display="DGX May 2027 160.000 put (DGX270521P00160000) interactive stock chart"/>
    <hyperlink ref="E2127" r:id="rId2126" display="4,025 Jabil, Inc. $JBL Shares Sold by Titan Investment Management LLC"/>
    <hyperlink ref="E2128" r:id="rId2127" display="Lumentum Holdings Inc. Estimates – NASDAQ:LITE"/>
    <hyperlink ref="E2129" r:id="rId2128" display="TRGP Mar 2027 250.000 call (TRGP270319C00250000) interactive stock chart"/>
    <hyperlink ref="E2130" r:id="rId2129" display="UAL Nov 2026 104.000 call (UAL261127C00104000) interactive stock chart – Yahoo Finance"/>
    <hyperlink ref="E2131" r:id="rId2130" display="92,090 Fifth Third Bancorp $FITB Shares Sold by Isthmus Partners LLC"/>
    <hyperlink ref="E2132" r:id="rId2131" display="PGR Nov 2026 220.000 put (PGR261127P00220000) interactive stock chart"/>
    <hyperlink ref="E2133" r:id="rId2132" display="LRCX Nov 2026 175.000 call (LRCX261127C00175000) interactive stock chart"/>
    <hyperlink ref="E2134" r:id="rId2133" display="Event Replay: 2026 Hard MTB League Finals"/>
    <hyperlink ref="E2135" r:id="rId2134" display="AZO Sep 2027 2260.000 put (AZO270917P02260000) Interactive Stock Chart - Yahoo Finance"/>
    <hyperlink ref="E2136" r:id="rId2135" display="SPGI Oct 2026 387.500 put (SPGI261030P00387500) interactive stock chart"/>
    <hyperlink ref="E2137" r:id="rId2136" display="Form 8K Nordson Corporation For: 23 October By Investing.com"/>
    <hyperlink ref="E2138" r:id="rId2137" display="SNDK Jan 2027 2450.000 call (SNDK270115C02450000) Interactive Stock Chart - Yahoo Finance"/>
    <hyperlink ref="E2139" r:id="rId2138" display="HUM Oct 2026 295.000 call (HUM261023C00295000) interactive stock chart – Yahoo Finance"/>
    <hyperlink ref="E2140" r:id="rId2139" display="Cummins Inc. $CMI Shares Sold by Investment House LLC"/>
    <hyperlink ref="E2141" r:id="rId2140" display="Arch Capital Group Ltd. Estimates – NASDAQ:ACGL"/>
    <hyperlink ref="E2142" r:id="rId2141" display="LVS Nov 2026 42.000 put (LVS261113P00042000) interactive stock chart"/>
    <hyperlink ref="E2143" r:id="rId2142" display="UNP Dec 2026 295.000 call (UNP261218C00295000) interactive stock chart"/>
    <hyperlink ref="E2144" r:id="rId2143" display="Wake County names Heather Cashwell as new Solid Waste Management director"/>
    <hyperlink ref="E2145" r:id="rId2144" display="Cencora, Inc. Estimates – NYSE:COR"/>
    <hyperlink ref="E2146" r:id="rId2145" display="SMCI Oct 2026 44.500 put (SMCI261023P00044500) interactive stock chart"/>
    <hyperlink ref="E2147" r:id="rId2146" display="Quanta Services sets October 29 results date as Quanta Services stock trades EUR 487.75"/>
    <hyperlink ref="E2148" r:id="rId2147" display="Ross Stores, Inc. $ROST Shares Bought by Brookstone Capital Management"/>
    <hyperlink ref="E2149" r:id="rId2148" display="STLD Nov 2026 400.000 call (STLD261120C00400000) interactive stock chart"/>
    <hyperlink ref="E2150" r:id="rId2149" display="International Business Machines Corporation $IBM Stock Sold by James Investment Research Inc."/>
    <hyperlink ref="E2151" r:id="rId2150" display="17,105 Labcorp Holdings Inc. $LH Shares Acquired by Robeco Institutional Asset Management B.V."/>
    <hyperlink ref="E2152" r:id="rId2151" display="TXT DAILY NEWS (@TXT_DailyNews) on X"/>
    <hyperlink ref="E2153" r:id="rId2152" display="The Goldman Sachs Group, Inc. $GS Shares Bought by Sterling Capital Management LLC"/>
    <hyperlink ref="E2154" r:id="rId2153" display="SNPS Oct 2026 520.000 call (SNPS261030C00520000) interactive stock chart"/>
    <hyperlink ref="E2155" r:id="rId2154" display="SMCI Oct 2026 39.000 call (SMCI261023C00039000) interactive stock chart"/>
    <hyperlink ref="E2156" r:id="rId2155" display="TSLA Oct 2026 362.500 put (TSLA261023P00362500) Interactive Stock Chart - Yahoo Finance"/>
    <hyperlink ref="E2157" r:id="rId2156" display="FFIV Jan 2027 250.000 put (FFIV270115P00250000) interactive stock chart"/>
    <hyperlink ref="E2158" r:id="rId2157" display="66,288 ExxonMobil Corporation $XOM Shares Sold by Axxcess Wealth Management LLC"/>
    <hyperlink ref="E2159" r:id="rId2158" display="What to Expect From Ventas’ Q3 2026 Earnings Report"/>
    <hyperlink ref="E2160" r:id="rId2159" display="PulteGroup, Inc. Estimates – BOATS:PHM"/>
    <hyperlink ref="E2161" r:id="rId2160" display="Form 4 Starbucks Corporation For: 25 October By Investing.com"/>
    <hyperlink ref="E2162" r:id="rId2161" display="JPM Coin and USDC Follow Different Rules for Dollar Access"/>
    <hyperlink ref="E2163" r:id="rId2162" display="EXE Nov 2026 89.000 call (EXE261113C00089000) interactive stock chart"/>
    <hyperlink ref="E2164" r:id="rId2163" display="Oracle Corporation $ORCL Shares Sold by Citizens Financial Group Inc. RI"/>
    <hyperlink ref="E2165" r:id="rId2164" display="29,949 Builders FirstSource, Inc. $BLDR Shares Purchased by SBI Securities Co. Ltd."/>
    <hyperlink ref="E2166" r:id="rId2165" display="Robert De Niro’s 170-Minute Crime Epic Is Officially on Netflix"/>
    <hyperlink ref="E2167" r:id="rId2166" display="META Oct 2026 635.000 put (META261026P00635000) interactive stock chart"/>
    <hyperlink ref="E2168" r:id="rId2167" display="Anglo Philippine Holdings Corp. Estimates – PSE:APO"/>
    <hyperlink ref="E2169" r:id="rId2168" display="[MATCH LIVE] Sacramento State vs. Ball State Live NCAA Football October 24, 2026"/>
    <hyperlink ref="E2170" r:id="rId2169" display="Protecting AI at Runtime with IBM and Intel"/>
    <hyperlink ref="E2171" r:id="rId2170" display="Protecting AI at Runtime with IBM and Intel"/>
    <hyperlink ref="E2172" r:id="rId2171" display="Seasonal Coffee-Free Beverages: Starbucks' Halloween Frappuccino Features A Cat-Ear…"/>
    <hyperlink ref="E2173" r:id="rId2172" display="Form 144 TERADYNE For: 24 October By Investing.com"/>
    <hyperlink ref="E2174" r:id="rId2173" display="Mondelez International, Inc. $MDLZ Stock Acquired by Robeco Institutional Asset Management B.V."/>
    <hyperlink ref="E2175" r:id="rId2174" display="[[[CBS^Sports]] Sacramento State Hornets vS Ball State Cardinals ＬＩＶＥ"/>
    <hyperlink ref="E2176" r:id="rId2175" display="CRM Nov 2026 195.000 put (CRM261127P00195000) Interactive Stock Chart - Yahoo Finance"/>
    <hyperlink ref="E2177" r:id="rId2176" display="L3Harris Technologies Inc $LHX Stock Holdings Decreased by Mondrian Investment Partners LTD"/>
    <hyperlink ref="E2178" r:id="rId2177" display="WDC Nov 2026 295.000 put (WDC261127P00295000) interactive stock chart"/>
    <hyperlink ref="E2179" r:id="rId2178" display="Vertiv Holdings Co. $VRT Stock Sold by NTV Asset Management LLC"/>
    <hyperlink ref="E2180" r:id="rId2179" display="BleedTechBlue Staff Predictions: Louisiana Tech vs. Old Dominion"/>
    <hyperlink ref="E2181" r:id="rId2180" display="TER Nov 2026 350.000 put (TER261106P00350000) interactive stock chart"/>
    <hyperlink ref="E2182" r:id="rId2181" display="URI Nov 2026 1390.000 call (URI261106C01390000) Interactive Stock Chart - Yahoo Finance"/>
    <hyperlink ref="E2183" r:id="rId2182" display="TXN Oct 2026 320.000 call (TXN261030C00320000) interactive stock chart"/>
    <hyperlink ref="E2184" r:id="rId2183" display="EQT Holdings, trading as Equity Trustees (ASX:EQT) Share Price, Forecast &amp; Analysis"/>
    <hyperlink ref="E2185" r:id="rId2184" display="275,506 Aon plc $AON Shares Bought by Washington Trust Advisors Inc."/>
    <hyperlink ref="E2186" r:id="rId2185" display="Form 4 Lam Research Corp For: 24 October By Investing.com"/>
    <hyperlink ref="E2187" r:id="rId2186" display="CVX Nov 2026 165.000 put (CVX261113P00165000) interactive stock chart"/>
    <hyperlink ref="E2188" r:id="rId2187" display="Uber driver was happy with a $32 tip on a $65 ride — then came the wealthy passenger's bizarre request for $1,500 and a flight back"/>
    <hyperlink ref="E2189" r:id="rId2188" display="Boeing Facility in Renton, Washington"/>
    <hyperlink ref="E2190" r:id="rId2189" display="PYPL Nov 2026 47.000 call (PYPL261113C00047000) interactive stock chart"/>
    <hyperlink ref="E2191" r:id="rId2190" display="Should You Buy, Sell, or Hold TER Stock Before Q3 Earnings Release?"/>
    <hyperlink ref="E2192" r:id="rId2191" display="LITE Dec 2026 770.000 put (LITE261218P00770000) interactive stock chart"/>
    <hyperlink ref="E2193" r:id="rId2192" display="Thermo Fisher Scientific (TMO), What Is Behind Its Latest Move?"/>
    <hyperlink ref="E2194" r:id="rId2193" display="AMAT Nov 2026 710.000 put (AMAT261120P00710000) interactive stock chart"/>
    <hyperlink ref="E2195" r:id="rId2194" display="T-Mobile US, Inc. $TMUS Stock Sold by Lmcg Investments LLC"/>
    <hyperlink ref="E2196" r:id="rId2195" display="AMETEK sets November 3 results date as AMETEK stock trades at EUR 214.25"/>
    <hyperlink ref="E2197" r:id="rId2196" display="UNP Feb 2027 215.000 put (UNP270219P00215000) interactive stock chart"/>
    <hyperlink ref="E2198" r:id="rId2197" display="Form 4 Robinhood Markets Inc For: 25 October By Investing.com"/>
    <hyperlink ref="E2199" r:id="rId2198" display="iShares MSCI Japan ETF Cert Deposito Arg Repr 0.07142857 Sh Estimates – BCBA:EWJC"/>
    <hyperlink ref="E2200" r:id="rId2199" display="Sandisk: Buy Into 10/29 Earnings - This Is Not A DRAM Stock (NASDAQ:SNDK)"/>
    <hyperlink ref="E2201" r:id="rId2200" display="NFL RedZone on TSN Premium Week 7 Spotlight"/>
    <hyperlink ref="E2202" r:id="rId2201" display="WYNN Nov 2026 65.000 call (WYNN261113C00065000) interactive stock chart"/>
    <hyperlink ref="E2203" r:id="rId2202" display="Realty Income Yields 5.7%. Here's What $2,500 in Yearly Dividend Income Would Cost You."/>
    <hyperlink ref="E2204" r:id="rId2203" display="Here’s what really happened in 1971 that inspired Netflix’s Stanford Prison Experiment"/>
    <hyperlink ref="E2205" r:id="rId2204" display="Men's Tennis Heads to Ball State for MAC Indoor Qualifying Event"/>
    <hyperlink ref="E2206" r:id="rId2205" display="Goldman Sachs Group, Inc. (The) Estimates – NYSE:GS"/>
    <hyperlink ref="E2207" r:id="rId2206" display="AZO Mar 2027 4550.000 put (AZO270319P04550000) Interactive Stock Chart - Yahoo Finance"/>
    <hyperlink ref="E2208" r:id="rId2207" display="EXE290119P00050000 interactive stock chart | EXE Jan 2029 50.000 put stock - Yahoo Finance"/>
    <hyperlink ref="E2209" r:id="rId2208" display="UBER Oct 2026 77.000 put (UBER261030P00077000) interactive stock chart – Yahoo Finance"/>
    <hyperlink ref="E2210" r:id="rId2209" display="BlackRock Municipal Credit Alpha Portfolio, Inc. - Institutional Estimates – NASDAQ:MUNEX"/>
    <hyperlink ref="E2211" r:id="rId2210" display="The Progressive Corporation $PGR Stock Acquired by AMF Tjanstepension AB"/>
    <hyperlink ref="E2212" r:id="rId2211" display="Old Dominion vs Louisiana Tech Prediction, Pick, College Football Odds for Saturday, Oct. 24"/>
    <hyperlink ref="E2213" r:id="rId2212" display="Citizens Financial Group, Inc. $CFG Shares Bought by Fifth Third Wealth Advisors LLC"/>
    <hyperlink ref="E2214" r:id="rId2213" display="Verisk Analytics (VRSK) Jumped, What Is Driving Attention Now?"/>
    <hyperlink ref="E2215" r:id="rId2214" display="American Express Co Shs Cert Deposito Arg Repr 0.066666666 Shs Estimates – BCBA:AXP.CI"/>
    <hyperlink ref="E2216" r:id="rId2215" display="Boeing Facility in Renton, Washington"/>
    <hyperlink ref="E2217" r:id="rId2216" display="TDG Gold Corp Estimates – TSXV:TDG"/>
    <hyperlink ref="E2218" r:id="rId2217" display="GALLERY: Bed Races | Ball State University Homecoming 2026"/>
    <hyperlink ref="E2219" r:id="rId2218" display="Skechers Manhattan Beach HQ Listed for Sale by CBRE"/>
    <hyperlink ref="E2220" r:id="rId2219" display="New Releases on Netflix This Week and Top 10 Movies &amp; Series: October 24, 2026"/>
    <hyperlink ref="E2221" r:id="rId2220" display="TSN OverDrive | What kind of reception awaits Connor Hellebuyck when he returns to Winnipeg?"/>
    <hyperlink ref="E2222" r:id="rId2221" display="Dover Corporation $DOV Shares Acquired by Robeco Institutional Asset Management B.V."/>
    <hyperlink ref="E2223" r:id="rId2222" display="McDonald's Corporation $MCD Shares Sold by Precedent Wealth Partners LLC"/>
    <hyperlink ref="E2224" r:id="rId2223" display="MRK Apr 2027 95.000 put (MRK270416P00095000) Interactive Stock Chart - Yahoo Finance"/>
    <hyperlink ref="E2225" r:id="rId2224" display="Banana Ball: The Party Animals vs Texas Tailgaters"/>
    <hyperlink ref="E2226" r:id="rId2225" display="Tokenized Deposits vs. Stablecoins: What JPM Coin and USDC Holders Own"/>
    <hyperlink ref="E2227" r:id="rId2226" display="SNDK Dec 2027 1360.000 put (SNDK271217P01360000) Interactive Stock Chart - Yahoo Finance"/>
    <hyperlink ref="E2228" r:id="rId2227" display="UAL Jan 2028 97.500 call (UAL280121C00097500) interactive stock chart"/>
    <hyperlink ref="E2229" r:id="rId2228" display="FOX News personalities Ainsley Earhardt, Sean Hannity get married"/>
    <hyperlink ref="E2230" r:id="rId2229" display="Rangers face Cisco in regular season finale"/>
    <hyperlink ref="E2231" r:id="rId2230" display="PHM Sep 2027 85.000 put (PHM270917P00085000) interactive stock chart"/>
    <hyperlink ref="E2232" r:id="rId2231" display="‍‍‍[WATCHLIVE]NCAAF!] Ball State Cardinals football 𝐋𝐈𝐕𝐄 Ｆｒｅｅ Ｓｔｒｅａｍｓ ＯＮ Ｔｖ Ｃｈａｎｎｅｌ 24 October 2026"/>
    <hyperlink ref="E2233" r:id="rId2232" display="Form 144 IRON MOUNTAIN INC For: 24 October By Investing.com"/>
    <hyperlink ref="E2234" r:id="rId2233" display="Comcast Corporation $CMCSA Shares Sold by WASHINGTON TRUST Co"/>
    <hyperlink ref="E2235" r:id="rId2234" display=")ω#[WATCHLIvE]HQ!] Ball State V Sacramento State Game-Day Updates"/>
    <hyperlink ref="E2236" r:id="rId2235" display="Amplifon SpA Estimates – MIL:AMP"/>
    <hyperlink ref="E2237" r:id="rId2236" display="Earnings Preview: What to Expect From PPL’s Report"/>
    <hyperlink ref="E2238" r:id="rId2237" display="Medtronic stock trades at EUR 85.33 in weekend trading"/>
    <hyperlink ref="E2239" r:id="rId2238" display="CME Group director Martin Gepsman sells $121,000 in shares By Investing.com"/>
    <hyperlink ref="E2240" r:id="rId2239" display="FIS Alpine Ski World Cup Sölden: Women's giant slalom run 2"/>
    <hyperlink ref="E2241" r:id="rId2240" display="Joe Fitzgerald Appointed Executive Vice President and Chief Operating Officer at Boston Scientific"/>
    <hyperlink ref="E2242" r:id="rId2241" display="BNY Mellon Strategic Municipals, Inc. - Common Stock Estimates – NASDAQ:XLEOX"/>
    <hyperlink ref="E2243" r:id="rId2242" display="LVS Nov 2026 36.000 call (LVS261106C00036000) Interactive Stock Chart - Yahoo Finance"/>
    <hyperlink ref="E2244" r:id="rId2243" display="LITE Jan 2029 1020.000 put (LITE290119P01020000) Interactive Stock Chart - Yahoo Finance"/>
    <hyperlink ref="E2245" r:id="rId2244" display="MRNA Oct 2026 140.000 call (MRNA261023C00140000) Interactive Stock Chart - Yahoo Finance"/>
    <hyperlink ref="E2246" r:id="rId2245" display="AbbVie Inc (Derivatives) Price History and Historical Data"/>
    <hyperlink ref="E2247" r:id="rId2246" display="MSI Jan 2027 600.000 call (MSI270115C00600000) Interactive Stock Chart - Yahoo Finance"/>
    <hyperlink ref="E2248" r:id="rId2247" display="FIS Alpine Ski World Cup Sölden: Women's giant slalom run 2"/>
    <hyperlink ref="E2249" r:id="rId2248" display="QCOM Jan 2027 290.000 put (QCOM270115P00290000) Interactive Stock Chart - Yahoo Finance"/>
    <hyperlink ref="E2250" r:id="rId2249" display="UAL261106P00080000 interactive stock chart | UAL Nov 2026 80.000 put stock - Yahoo Finance"/>
    <hyperlink ref="E2251" r:id="rId2250" display="Virginia Sharma Appointed Chief Marketing Officer, Missionforce at Salesforce"/>
    <hyperlink ref="E2252" r:id="rId2251" display="Abdul Rakhman Yakhyaev Stops Nikita Krylov By First-Round TKO At UFC 333 — Highlights"/>
    <hyperlink ref="E2253" r:id="rId2252" display="Oppenheimer reiterates Amgen stock rating on cancer drug data By Investing.com"/>
    <hyperlink ref="E2254" r:id="rId2253" display="Bottles Creator Mirko Brombin Wants Microsoft Office on Linux, Not Its Clones"/>
    <hyperlink ref="E2255" r:id="rId2254" display="TE Connectivity Ltd. $TEL Shares Sold by Axxcess Wealth Management LLC"/>
    <hyperlink ref="E2256" r:id="rId2255" display="EXE Oct 2026 103.000 call (EXE261030C00103000) interactive stock chart"/>
    <hyperlink ref="E2257" r:id="rId2256" display="CMCSA Oct 2026 22.000 call (CMCSA261030C00022000) Interactive Stock Chart - Yahoo Finance"/>
    <hyperlink ref="E2258" r:id="rId2257" display="Robeco Schweiz AG Sells 18,827 Shares of Generac Holdings Inc. $GNRC"/>
    <hyperlink ref="E2259" r:id="rId2258" display="UPESSC Opens 17,735 TGT Posts: Registration Starts October 24, 2026"/>
    <hyperlink ref="E2260" r:id="rId2259" display="Eastwood’s Jordan Nava runs the ball during a football game against Canutillo on Friday, Sept.4, 2026, at Eastwood High School in El Paso, Texas."/>
    <hyperlink ref="E2261" r:id="rId2260" display="EXE Oct 2026 86.000 call (EXE261030C00086000) interactive stock chart"/>
    <hyperlink ref="E2262" r:id="rId2261" display="Form 4 Uber Technologies Inc For: 25 October By Investing.com"/>
    <hyperlink ref="E2263" r:id="rId2262" display="Booking Holdings Inc. Common Stock Estimates – NASDAQ:BKNG"/>
    <hyperlink ref="E2264" r:id="rId2263" display="UBER Oct 2026 59.000 call (UBER261023C00059000) Interactive Stock Chart - Yahoo Finance"/>
    <hyperlink ref="E2265" r:id="rId2264" display="String metaverse limited Estimates – BSE:META"/>
    <hyperlink ref="E2266" r:id="rId2265" display="LEN May 2027 105.000 put (LEN270521P00105000) interactive stock chart – Yahoo Finance"/>
    <hyperlink ref="E2267" r:id="rId2266" display="12,791 Apollo Global Management Inc. $APO Shares Bought by Titan Investment Management LLC"/>
    <hyperlink ref="E2268" r:id="rId2267" display="Form 144 LAM RESEARCH CORP For: 23 October By Investing.com"/>
    <hyperlink ref="E2269" r:id="rId2268" display="ADSK Nov 2026 245.000 call (ADSK261106C00245000) interactive stock chart"/>
    <hyperlink ref="E2270" r:id="rId2269" display="AMAT Nov 2026 455.000 call (AMAT261113C00455000) Interactive Stock Chart - Yahoo Finance"/>
    <hyperlink ref="E2271" r:id="rId2270" display="Sandisk stock trades at EUR 1,105.00 in weekend trading"/>
    <hyperlink ref="E2272" r:id="rId2271" display="NIKE (NYSE:NKE) Now Covered by Wolfe Research"/>
    <hyperlink ref="E2273" r:id="rId2272" display="Amgen Inc. $AMGN Shares Sold by E. Ohman J or Asset Management AB"/>
    <hyperlink ref="E2274" r:id="rId2273" display="14,670 Amgen Inc. $AMGN Shares Sold by Investment House LLC"/>
    <hyperlink ref="E2275" r:id="rId2274" display="TSLA Jan 2028 600.000 put (TSLA280121P00600000) Interactive Stock Chart - Yahoo Finance"/>
    <hyperlink ref="E2276" r:id="rId2275" display="Inflexion sells majority stake in Celnor to Goldman Sachs Alternatives"/>
    <hyperlink ref="E2277" r:id="rId2276" display="ABBV Q3'26 Earnings: revenue estimate is 17.35B USD"/>
    <hyperlink ref="E2278" r:id="rId2277" display="Form 4 EQT Private Equity Co LLC: Martha Willis (Director) For: 21 October By Investing.com"/>
    <hyperlink ref="E2279" r:id="rId2278" display="20,152 Medtronic PLC $MDT Shares Sold by Royal Fund Management LLC"/>
    <hyperlink ref="E2280" r:id="rId2279" display="Regeneron Pharmaceuticals, Inc. $REGN Shares Sold by Washington Trust Advisors Inc."/>
    <hyperlink ref="E2281" r:id="rId2280" display="AXP Oct 2026 287.500 put (AXP261023P00287500) Interactive Stock Chart - Yahoo Finance"/>
    <hyperlink ref="E2282" r:id="rId2281" display="Microsoft Raised Xbox Prices. Now It’s Emailing Owners to Trade Their Consoles In"/>
    <hyperlink ref="E2283" r:id="rId2282" display="Safe Shelter Annual Twilight Ball"/>
    <hyperlink ref="E2284" r:id="rId2283" display="VST Nov 2026 125.000 call (VST261113C00125000) interactive stock chart"/>
    <hyperlink ref="E2285" r:id="rId2284" display="SNDK Aug 2027 2370.000 call (SNDK270820C02370000) Interactive Stock Chart - Yahoo Finance"/>
    <hyperlink ref="E2286" r:id="rId2285" display="BlackRock MuniHoldings Quality Fund II, Inc. Estimates – NASDAQ:XMUEX"/>
    <hyperlink ref="E2287" r:id="rId2286" display="Form 144 ROPER TECHNOLOGIES INC For: 24 October By Investing.com"/>
    <hyperlink ref="E2288" r:id="rId2287" display="What to watch, powered by Verizon, as Orlando City host New York City FC"/>
    <hyperlink ref="E2289" r:id="rId2288" display="5,071 Apple Inc. $AAPL Shares Purchased by Copeland Capital Management LLC"/>
    <hyperlink ref="E2290" r:id="rId2289" display="Brown &amp; Brown, Inc. $BRO Shares Acquired by Capital Investment Advisors LLC"/>
    <hyperlink ref="E2291" r:id="rId2290" display="Week 7 FLEX Rankings for Fantasy Football: Weekend Updates (2026)"/>
    <hyperlink ref="E2292" r:id="rId2291" display="201,811 Aon plc $AON Shares Purchased by Yousif Capital Management LLC"/>
    <hyperlink ref="E2293" r:id="rId2292" display="WDC's Pricing-Driven Earnings Beat Divides Wall Street — Analysts Flag Rising Supply, Valuation Risks"/>
    <hyperlink ref="E2294" r:id="rId2293" display="AI-Agent Payments Explained: Mastercard Agent Pay, AP2 and x402"/>
    <hyperlink ref="E2295" r:id="rId2294" display="Form 4 iShares MSCI EAFE ETF For: 23 October By Investing.com"/>
    <hyperlink ref="E2296" r:id="rId2295" display="TSLA Nov 2026 190.000 put (TSLA261113P00190000) Interactive Stock Chart - Yahoo Finance"/>
    <hyperlink ref="E2297" r:id="rId2296" display="NVDA May 2027 450.000 call (NVDA270521C00450000) Interactive Stock Chart"/>
    <hyperlink ref="E2298" r:id="rId2297" display="Top Crypto Stocks to Watch This Week: SoFi, Strategy, Coinbase"/>
    <hyperlink ref="E2299" r:id="rId2298" display="NextEra Energy, Inc. 7.299% Corporate Estimates – NYSE:NEE/PS"/>
    <hyperlink ref="E2300" r:id="rId2299" display="BRO Q3'26 Earnings: EPS estimate is 1.09 USD"/>
    <hyperlink ref="E2301" r:id="rId2300" display="VLO Nov 2026 570.000 put (VLO261113P00570000) Interactive Stock Chart - Yahoo Finance"/>
    <hyperlink ref="E2302" r:id="rId2301" display="NXP Semiconductors N.V. $NXPI Shares Newly Acquired by Vest Financial LLC"/>
    <hyperlink ref="E2303" r:id="rId2302" display="Veeva Systems Inc. $VEEV Stock: AMF Tjanstepension AB Lowers Position"/>
    <hyperlink ref="E2304" r:id="rId2303" display="Abbott Laboratories stock: BTIG cuts target to USD 125.00"/>
    <hyperlink ref="E2305" r:id="rId2304" display="CIEN Oct 2026 337.500 call (CIEN261023C00337500) Interactive Stock Chart - Yahoo Finance"/>
    <hyperlink ref="E2306" r:id="rId2305" display="REG - Invinity Energy Sys - Posting of Circular and Notice of General Meeting"/>
    <hyperlink ref="E2307" r:id="rId2306" display="Form 144 Veralto Corp For: 23 October By Investing.com"/>
    <hyperlink ref="E2308" r:id="rId2307" display="What Are the Changes in CMS Readmission and Mortality Risk Adjustment Methodologies?"/>
    <hyperlink ref="E2309" r:id="rId2308" display="WDC Q3 Earnings: $3.34B Revenue, 222 EB, AI Demand [2026]"/>
    <hyperlink ref="E2310" r:id="rId2309" display="CDW Mar 2027 75.000 call (CDW270319C00075000) interactive stock chart"/>
    <hyperlink ref="E2311" r:id="rId2310" display="ABBV Nov 2026 245.000 put (ABBV261127P00245000) interactive stock chart"/>
    <hyperlink ref="E2312" r:id="rId2311" display="Edison International (EIX) Stock May Trade At A Premium Following Fire Liability Ruling"/>
    <hyperlink ref="E2313" r:id="rId2312" display="NDAQ Oct 2026 92.000 call (NDAQ261023C00092000) interactive stock chart"/>
    <hyperlink ref="E2314" r:id="rId2313" display="LLY Nov 2026 1080.000 put (LLY261127P01080000) interactive stock chart"/>
    <hyperlink ref="E2315" r:id="rId2314" display="REG - VinaCapital Vietnam - Monthly Report"/>
    <hyperlink ref="E2316" r:id="rId2315" display="Autodesk, Inc. $ADSK Shares Acquired by E. Ohman J or Asset Management AB"/>
    <hyperlink ref="E2317" r:id="rId2316" display="SMCI Oct 2026 53.000 call (SMCI261023C00053000) interactive stock chart"/>
    <hyperlink ref="E2318" r:id="rId2317" display="Palo Alto Networks, Inc. $PANW Shares Sold by Middleton &amp; Co. Inc. MA"/>
    <hyperlink ref="E2319" r:id="rId2318" display="SYY Jan 2029 70.000 put (SYY290119P00070000) Interactive Stock Chart - Yahoo Finance"/>
    <hyperlink ref="E2320" r:id="rId2319" display="META Oct 2026 705.000 put (META261026P00705000) interactive stock chart"/>
    <hyperlink ref="E2321" r:id="rId2320" display="20,192 Edison International $EIX Shares Bought by Sterling Capital Management LLC"/>
    <hyperlink ref="E2322" r:id="rId2321" display="INTU Dec 2026 320.000 put (INTU261218P00320000) Stock Forum &amp; Discussion - Yahoo Finance"/>
    <hyperlink ref="E2323" r:id="rId2322" display="Lupin, Balaraw, Maria Bamford: What's New to Watch on Netflix the Week of Oct. 23, 2026"/>
    <hyperlink ref="E2324" r:id="rId2323" display="UNH Oct 2026 235.000 call (UNH261030C00235000) interactive stock chart"/>
    <hyperlink ref="E2325" r:id="rId2324" display="BlackRock takes 5.07 percent of ABC Brasil stock"/>
    <hyperlink ref="E2326" r:id="rId2325" display="‍‍‍Sacramento State vs Ball State Football Game"/>
    <hyperlink ref="E2327" r:id="rId2326" display="Chauffeurs For The Uber Wealthy Are Sharing The Wildest Things They’ve Overheard"/>
    <hyperlink ref="E2328" r:id="rId2327" display="COHR Nov 2026 350.000 call (COHR261106C00350000) interactive stock chart"/>
    <hyperlink ref="E2329" r:id="rId2328" display="TPL Nov 2026 280.000 call (TPL261120C00280000) Interactive Stock Chart"/>
    <hyperlink ref="E2330" r:id="rId2329" display="DAL Mavericks vs. UTA Jazz 26 October 2026 | H2H, Betting Tips &amp; Odds"/>
    <hyperlink ref="E2331" r:id="rId2330" display="3‑pointer by LaMelo Ball"/>
    <hyperlink ref="E2332" r:id="rId2331" display="Form 144 FIRST SOLAR For: 24 October By Investing.com"/>
    <hyperlink ref="E2333" r:id="rId2332" display="Winmark COO Renae Gaudette sells $531,519 in stock By Investing.com"/>
    <hyperlink ref="E2334" r:id="rId2333" display="AIG Oct 2026 82.000 call (AIG261030C00082000) interactive stock chart"/>
    <hyperlink ref="E2335" r:id="rId2334" display="McCormick &amp; Company, Incorporated $MKC Stock: Sumitomo Mitsui DS Asset Management Company Ltd Lowers Holdings"/>
    <hyperlink ref="E2336" r:id="rId2335" display="ROADSHOW- Waste Management"/>
    <hyperlink ref="E2337" r:id="rId2336" display="The new travel flex isn't a photo. It's what you bring home"/>
    <hyperlink ref="E2338" r:id="rId2337" display="Apple Inc. $AAPL Stock Sold by Fairfield Financial Advisors LTD"/>
    <hyperlink ref="E2339" r:id="rId2338" display="14,816 Apple Inc. $AAPL Shares Bought by N10 Wealth LLC"/>
    <hyperlink ref="E2340" r:id="rId2339" display="VRT Oct 2026 200.000 call (VRT261030C00200000) interactive stock chart"/>
    <hyperlink ref="E2341" r:id="rId2340" display="Capital One Financial Corporation $COF Shares Sold by Evergreen Capital Management LLC"/>
    <hyperlink ref="E2342" r:id="rId2341" display="WDC Oct 2026 337.500 call (WDC261023C00337500) Interactive Stock Chart - Yahoo Finance"/>
    <hyperlink ref="E2343" r:id="rId2342" display="Tesla, SpaceX, Micron and More: 5 Stocks Investors Couldn't Stop Buzzing About This Week"/>
    <hyperlink ref="E2344" r:id="rId2343" display="Rákosszentmihályi SC vs Puebla FS TFC live score, H2H and lineups"/>
    <hyperlink ref="E2345" r:id="rId2344" display="SNDK Nov 2026 1345.000 put (SNDK261106P01345000) interactive stock chart"/>
    <hyperlink ref="E2346" r:id="rId2345" display="Form 4 Intuit Inc: Richard L. Dalzell (Director) For: 22 October"/>
    <hyperlink ref="E2347" r:id="rId2346" display="45,118 The Clorox Company $CLX Shares Bought by Nisa Investment Advisors LLC"/>
    <hyperlink ref="E2348" r:id="rId2347" display="^139245-EUR-NETR interactive stock chart | MSCI EUROPE SMALL CAP V NETR EU stock - Yahoo Finance"/>
    <hyperlink ref="E2349" r:id="rId2348" display="Pharma Equity Group A/S Class A Estimates – OMXCOP:PEG"/>
    <hyperlink ref="E2350" r:id="rId2349" display="Teledyne Technologies Incorpora (TDY) Stock Forecasts"/>
    <hyperlink ref="E2351" r:id="rId2350" display="Lam Research Corporation $LRCX Shares Sold by Sterling Capital Management LLC"/>
    <hyperlink ref="E2352" r:id="rId2351" display="BLK,BABA,META,CVX,NYT,MU,ORCL,AAL,DIS,CRWV,T,UNP,VTRS,CVNA,CNC,HPE,CMG,AMZN | Stock Prices | Quote Comparison - Yahoo Finance"/>
    <hyperlink ref="E2353" r:id="rId2352" display="Retired teacher keeps it real with vintage base ball, music"/>
    <hyperlink ref="E2354" r:id="rId2353" display="Apollo Global Management Inc. $APO Shares Bought by Farmers &amp; Merchants Investments Inc."/>
    <hyperlink ref="E2355" r:id="rId2354" display="BLK,BABA,META,CVX,NYT,MU,ORCL,AAL,DIS,CRWV,T,UNP,VTRS,CVNA,CNC,HPE,CMG,AMZN | Stock Prices | Quote Comparison - Yahoo Finance"/>
    <hyperlink ref="E2356" r:id="rId2355" display="McDonald's Corp Shs Cert Deposito Arg Repr 0.041666666 Shs Estimates – BCBA:MCDD"/>
    <hyperlink ref="E2357" r:id="rId2356" display="ETFs Are Net Sellers of Tesla (TSLA) on Wednesday"/>
    <hyperlink ref="E2358" r:id="rId2357" display="TTD Nov 2026 2.500 call (TTD261120C00002500) interactive stock chart"/>
    <hyperlink ref="E2359" r:id="rId2358" display="AAPL Jun 2028 210.000 call (AAPL280616C00210000) interactive stock chart"/>
    <hyperlink ref="E2360" r:id="rId2359" display="TSLA Dec 2028 155.000 call (TSLA281215C00155000) Interactive Stock Chart - Yahoo Finance"/>
    <hyperlink ref="E2361" r:id="rId2360" display="Xtrackers MSCI Japan Climate Tr (IE0006FDYJF8.SG)"/>
    <hyperlink ref="E2362" r:id="rId2361" display="Should You Buy Amazon Stock Before Oct. 29?"/>
    <hyperlink ref="E2363" r:id="rId2362" display="Investors Heavily Search Vertiv Holdings Co. (VRT): Here is What You Need to Know"/>
    <hyperlink ref="E2364" r:id="rId2363" display="OXY Oct 2026 62.000 put (OXY261030P00062000) interactive stock chart"/>
    <hyperlink ref="E2365" r:id="rId2364" display="BLK,BABA,META,CVX,NYT,MU,ORCL,AAL,DIS,CRWV,T,UNP,VTRS,CVNA,CNC,HPE,CMG,AMZN | Stock Prices | Quote Comparison - Yahoo Finance"/>
    <hyperlink ref="E2366" r:id="rId2365" display="BlackRock Science and Technology Term Trust Estimates – NYSE:BSTZ"/>
    <hyperlink ref="E2367" r:id="rId2366" display="Winnebago Is Maintained at Neutral by Citigroup"/>
    <hyperlink ref="E2368" r:id="rId2367" display="Intuit Connect Sets Oct. 27 Product Updates and Roadmap Discussion"/>
    <hyperlink ref="E2369" r:id="rId2368" display="SNDK Nov 2026 1090.000 put (SNDK261127P01090000) Interactive Stock Chart - Yahoo Finance"/>
    <hyperlink ref="E2370" r:id="rId2369" display="REGN Nov 2026 770.000 put (REGN261106P00770000) Interactive Stock Chart - Yahoo Finance"/>
    <hyperlink ref="E2371" r:id="rId2370" display="PPG Oct 2026 102.000 call (PPG261023C00102000) interactive stock chart"/>
    <hyperlink ref="E2372" r:id="rId2371" display="Form 4 Invesco QQQ Trust For: 24 October By Investing.com"/>
    <hyperlink ref="E2373" r:id="rId2372" display="2026-27 FIS Alpine Ski World Cup: All overall and discipline rankings from the Alpine skiing season"/>
    <hyperlink ref="E2374" r:id="rId2373" display="78,231 Salesforce Inc. $CRM Shares Bought by Capital Investment Advisors LLC"/>
    <hyperlink ref="E2375" r:id="rId2374" display="LITE Jan 2029 1360.000 call (LITE290119C01360000) Interactive Stock Chart - Yahoo Finance"/>
    <hyperlink ref="E2376" r:id="rId2375" display="Here’s What People Really Think of Starbucks’ Black Cat Frappuccino"/>
    <hyperlink ref="E2377" r:id="rId2376" display="CFL on TSN: Blue Bombers vs. Lions"/>
    <hyperlink ref="E2378" r:id="rId2377" display="McDonald's Corporation $MCD Stock Sold by Investment House LLC"/>
    <hyperlink ref="E2379" r:id="rId2378" display="SLB (SLB) Opens Canada Facility After Data Center Win Changed The Story"/>
    <hyperlink ref="E2380" r:id="rId2379" display="UFC 333 Results: Alexander Volkanovski TKO’s Movsar Evloev (Video)"/>
    <hyperlink ref="E2381" r:id="rId2380" display="GALLERY: Ball State Centennial Homecoming Parade 2026"/>
    <hyperlink ref="E2382" r:id="rId2381" display="CDW Holding Limited Estimates – SGX:BXE"/>
    <hyperlink ref="E2383" r:id="rId2382" display="Total non-current assets of Siam Pan Group Public Co. Ltd. – SET:SPG"/>
    <hyperlink ref="E2384" r:id="rId2383" display="Medtronic PLC $MDT Stock: Citizens Financial Group Inc. RI Increases Stake"/>
    <hyperlink ref="E2385" r:id="rId2384" display="SMCI Jun 2027 70.000 put (SMCI270617P00070000) interactive stock chart"/>
    <hyperlink ref="E2386" r:id="rId2385" display="HP Inc. $HPQ Stock: Harbor Island Capital LLC Lowers Holdings"/>
    <hyperlink ref="E2387" r:id="rId2386" display="BLK,BABA,META,CVX,NYT,MU,ORCL,AAL,DIS,CRWV,T,UNP,VTRS,CVNA,CNC,HPE,CMG,AMZN | Stock Prices | Quote Comparison - Yahoo Finance"/>
    <hyperlink ref="E2388" r:id="rId2387" display="AMT Apr 2027 200.000 call (AMT270416C00200000) interactive stock chart"/>
    <hyperlink ref="E2389" r:id="rId2388" display="Invesco Mutual Fund revises daily SIP rule: Instalments can now be debited on weekends, holidays"/>
    <hyperlink ref="E2390" r:id="rId2389" display="Medtronic PLC $MDT Stock: Citizens Financial Group Inc. RI Increases Stake"/>
    <hyperlink ref="E2391" r:id="rId2390" display="Procter &amp; Gamble Company (The) $PG Stock: Sterling Capital Management LLC Lowers Position"/>
    <hyperlink ref="E2392" r:id="rId2391" display="GDDY Nov 2026 109.000 put (GDDY261106P00109000) interactive stock chart"/>
    <hyperlink ref="E2393" r:id="rId2392" display="BLK,BABA,META,CVX,NYT,MU,ORCL,AAL,DIS,CRWV,T,UNP,VTRS,CVNA,CNC,HPE,CMG,AMZN | Stock Prices | Quote Comparison - Yahoo Finance"/>
    <hyperlink ref="E2394" r:id="rId2393" display="BLK,BABA,META,CVX,NYT,MU,ORCL,AAL,DIS,CRWV,T,UNP,VTRS,CVNA,CNC,HPE,CMG,AMZN | Stock Prices | Quote Comparison - Yahoo Finance"/>
    <hyperlink ref="E2395" r:id="rId2394" display="BNY Mellon Strategic Municipal Bond Fund, Inc. Estimates – NYSE:DSM"/>
    <hyperlink ref="E2396" r:id="rId2395" display="SMCI Oct 2026 35.500 call (SMCI261023C00035500) Interactive Stock Chart - Yahoo Finance"/>
    <hyperlink ref="E2397" r:id="rId2396" display="BlackRock Greater Europe Investment Trust Plc - Transaction in Own Shares"/>
    <hyperlink ref="E2398" r:id="rId2397" display="Windows 11, RTX Spark, and Local AI: It’s Not Me, It’s Windows ⭐"/>
    <hyperlink ref="E2399" r:id="rId2398" display="Is Elon Musk Coming for Verizon?"/>
    <hyperlink ref="E2400" r:id="rId2399" display="Western Digital Corp (WDC) Stock News Today"/>
    <hyperlink ref="E2401" r:id="rId2400" display="QIAGEN N.V. (QIA) Discloses AFM Notice on BlackRock Voting Rights"/>
    <hyperlink ref="E2402" r:id="rId2401" display="REGN Nov 2026 680.000 put (REGN261113P00680000) Interactive Stock Chart - Yahoo Finance"/>
    <hyperlink ref="E2403" r:id="rId2402" display="EOG Nov 2026 144.000 put (EOG261113P00144000) Interactive Stock Chart - Yahoo Finance"/>
    <hyperlink ref="E2404" r:id="rId2403" display="CTSH Jan 2029 62.500 call (CTSH290119C00062500) Interactive Stock Chart - Yahoo Finance"/>
    <hyperlink ref="E2405" r:id="rId2404" display="UDINESE vs. AC MILAN: THE OFFICIAL LINE-UPS"/>
    <hyperlink ref="E2406" r:id="rId2405" display="Form 4 Invesco QQQ Trust For: 25 October By Investing.com"/>
    <hyperlink ref="E2407" r:id="rId2406" display="TTD Apr 2027 22.500 put (TTD270416P00022500) Interactive Stock Chart - Yahoo Finan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4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4"/>
    <col collapsed="false" customWidth="true" hidden="false" outlineLevel="0" max="3" min="3" style="0" width="8"/>
  </cols>
  <sheetData>
    <row r="1" customFormat="false" ht="15" hidden="false" customHeight="false" outlineLevel="0" collapsed="false">
      <c r="A1" s="25" t="s">
        <v>5954</v>
      </c>
      <c r="B1" s="26" t="s">
        <v>5955</v>
      </c>
      <c r="C1" s="25" t="s">
        <v>5956</v>
      </c>
    </row>
    <row r="2" customFormat="false" ht="15" hidden="false" customHeight="false" outlineLevel="0" collapsed="false">
      <c r="A2" s="27" t="s">
        <v>5957</v>
      </c>
      <c r="B2" s="5" t="s">
        <v>5958</v>
      </c>
      <c r="C2" s="5" t="n">
        <v>5</v>
      </c>
    </row>
    <row r="3" customFormat="false" ht="15" hidden="false" customHeight="false" outlineLevel="0" collapsed="false">
      <c r="A3" s="27" t="s">
        <v>5959</v>
      </c>
      <c r="B3" s="5" t="s">
        <v>5960</v>
      </c>
      <c r="C3" s="5" t="n">
        <v>5</v>
      </c>
    </row>
    <row r="4" customFormat="false" ht="15" hidden="false" customHeight="false" outlineLevel="0" collapsed="false">
      <c r="A4" s="27" t="s">
        <v>5961</v>
      </c>
      <c r="B4" s="5" t="s">
        <v>5962</v>
      </c>
      <c r="C4" s="5" t="n">
        <v>5</v>
      </c>
    </row>
    <row r="5" customFormat="false" ht="15" hidden="false" customHeight="false" outlineLevel="0" collapsed="false">
      <c r="A5" s="27" t="s">
        <v>5963</v>
      </c>
      <c r="B5" s="5" t="s">
        <v>5964</v>
      </c>
      <c r="C5" s="5" t="n">
        <v>5</v>
      </c>
    </row>
    <row r="6" customFormat="false" ht="15" hidden="false" customHeight="false" outlineLevel="0" collapsed="false">
      <c r="A6" s="27" t="s">
        <v>5965</v>
      </c>
      <c r="B6" s="5" t="s">
        <v>5966</v>
      </c>
      <c r="C6" s="5" t="n">
        <v>5</v>
      </c>
    </row>
    <row r="7" customFormat="false" ht="15" hidden="false" customHeight="false" outlineLevel="0" collapsed="false">
      <c r="A7" s="27" t="s">
        <v>5967</v>
      </c>
      <c r="B7" s="5" t="s">
        <v>5968</v>
      </c>
      <c r="C7" s="5" t="n">
        <v>5</v>
      </c>
    </row>
    <row r="8" customFormat="false" ht="15" hidden="false" customHeight="false" outlineLevel="0" collapsed="false">
      <c r="A8" s="27" t="s">
        <v>5969</v>
      </c>
      <c r="B8" s="5" t="s">
        <v>5970</v>
      </c>
      <c r="C8" s="5" t="n">
        <v>5</v>
      </c>
    </row>
    <row r="9" customFormat="false" ht="15" hidden="false" customHeight="false" outlineLevel="0" collapsed="false">
      <c r="A9" s="27" t="s">
        <v>5971</v>
      </c>
      <c r="B9" s="5" t="s">
        <v>5972</v>
      </c>
      <c r="C9" s="5" t="n">
        <v>4</v>
      </c>
    </row>
    <row r="10" customFormat="false" ht="15" hidden="false" customHeight="false" outlineLevel="0" collapsed="false">
      <c r="A10" s="27" t="s">
        <v>5973</v>
      </c>
      <c r="B10" s="5" t="s">
        <v>5974</v>
      </c>
      <c r="C10" s="5" t="n">
        <v>4</v>
      </c>
    </row>
    <row r="11" customFormat="false" ht="15" hidden="false" customHeight="false" outlineLevel="0" collapsed="false">
      <c r="A11" s="27" t="s">
        <v>5975</v>
      </c>
      <c r="B11" s="5" t="s">
        <v>5976</v>
      </c>
      <c r="C11" s="5" t="n">
        <v>4</v>
      </c>
    </row>
    <row r="12" customFormat="false" ht="15" hidden="false" customHeight="false" outlineLevel="0" collapsed="false">
      <c r="A12" s="27" t="s">
        <v>5977</v>
      </c>
      <c r="B12" s="5" t="s">
        <v>5978</v>
      </c>
      <c r="C12" s="5" t="n">
        <v>4</v>
      </c>
    </row>
    <row r="13" customFormat="false" ht="15" hidden="false" customHeight="false" outlineLevel="0" collapsed="false">
      <c r="A13" s="27" t="s">
        <v>493</v>
      </c>
      <c r="B13" s="5" t="s">
        <v>5979</v>
      </c>
      <c r="C13" s="5" t="n">
        <v>4</v>
      </c>
    </row>
    <row r="14" customFormat="false" ht="15" hidden="false" customHeight="false" outlineLevel="0" collapsed="false">
      <c r="A14" s="27" t="s">
        <v>5980</v>
      </c>
      <c r="B14" s="27" t="s">
        <v>5981</v>
      </c>
      <c r="C14" s="5" t="n">
        <v>4</v>
      </c>
    </row>
    <row r="15" customFormat="false" ht="15" hidden="false" customHeight="false" outlineLevel="0" collapsed="false">
      <c r="A15" s="27" t="s">
        <v>5982</v>
      </c>
      <c r="B15" s="5" t="s">
        <v>5983</v>
      </c>
      <c r="C15" s="5" t="n">
        <v>4</v>
      </c>
    </row>
    <row r="16" customFormat="false" ht="15" hidden="false" customHeight="false" outlineLevel="0" collapsed="false">
      <c r="A16" s="27" t="s">
        <v>5984</v>
      </c>
      <c r="B16" s="5" t="s">
        <v>5985</v>
      </c>
      <c r="C16" s="5" t="n">
        <v>4</v>
      </c>
    </row>
    <row r="17" customFormat="false" ht="15" hidden="false" customHeight="false" outlineLevel="0" collapsed="false">
      <c r="A17" s="27" t="s">
        <v>132</v>
      </c>
      <c r="B17" s="5" t="s">
        <v>5986</v>
      </c>
      <c r="C17" s="5" t="n">
        <v>4</v>
      </c>
    </row>
    <row r="18" customFormat="false" ht="15" hidden="false" customHeight="false" outlineLevel="0" collapsed="false">
      <c r="A18" s="27" t="s">
        <v>5987</v>
      </c>
      <c r="B18" s="5" t="s">
        <v>5988</v>
      </c>
      <c r="C18" s="5" t="n">
        <v>4</v>
      </c>
    </row>
    <row r="19" customFormat="false" ht="15" hidden="false" customHeight="false" outlineLevel="0" collapsed="false">
      <c r="A19" s="27" t="s">
        <v>192</v>
      </c>
      <c r="B19" s="5" t="s">
        <v>5989</v>
      </c>
      <c r="C19" s="5" t="n">
        <v>4</v>
      </c>
    </row>
    <row r="20" customFormat="false" ht="15" hidden="false" customHeight="false" outlineLevel="0" collapsed="false">
      <c r="A20" s="27" t="s">
        <v>5990</v>
      </c>
      <c r="B20" s="5" t="s">
        <v>5991</v>
      </c>
      <c r="C20" s="5" t="n">
        <v>4</v>
      </c>
    </row>
    <row r="21" customFormat="false" ht="15" hidden="false" customHeight="false" outlineLevel="0" collapsed="false">
      <c r="A21" s="27" t="s">
        <v>5992</v>
      </c>
      <c r="B21" s="5" t="s">
        <v>5993</v>
      </c>
      <c r="C21" s="5" t="n">
        <v>4</v>
      </c>
    </row>
    <row r="22" customFormat="false" ht="15" hidden="false" customHeight="false" outlineLevel="0" collapsed="false">
      <c r="A22" s="27" t="s">
        <v>5994</v>
      </c>
      <c r="B22" s="27" t="s">
        <v>5995</v>
      </c>
      <c r="C22" s="5" t="n">
        <v>3</v>
      </c>
    </row>
    <row r="23" customFormat="false" ht="15" hidden="false" customHeight="false" outlineLevel="0" collapsed="false">
      <c r="A23" s="27" t="s">
        <v>5996</v>
      </c>
      <c r="B23" s="27" t="s">
        <v>5997</v>
      </c>
      <c r="C23" s="5" t="n">
        <v>3</v>
      </c>
    </row>
    <row r="24" customFormat="false" ht="15" hidden="false" customHeight="false" outlineLevel="0" collapsed="false">
      <c r="A24" s="27" t="s">
        <v>5998</v>
      </c>
      <c r="B24" s="27" t="s">
        <v>5999</v>
      </c>
      <c r="C24" s="5" t="n">
        <v>3</v>
      </c>
    </row>
    <row r="25" customFormat="false" ht="15" hidden="false" customHeight="false" outlineLevel="0" collapsed="false">
      <c r="A25" s="27" t="s">
        <v>307</v>
      </c>
      <c r="B25" s="5" t="s">
        <v>6000</v>
      </c>
      <c r="C25" s="5" t="n">
        <v>3</v>
      </c>
    </row>
    <row r="26" customFormat="false" ht="15" hidden="false" customHeight="false" outlineLevel="0" collapsed="false">
      <c r="A26" s="27" t="s">
        <v>1246</v>
      </c>
      <c r="B26" s="5" t="s">
        <v>6001</v>
      </c>
      <c r="C26" s="5" t="n">
        <v>3</v>
      </c>
    </row>
    <row r="27" customFormat="false" ht="15" hidden="false" customHeight="false" outlineLevel="0" collapsed="false">
      <c r="A27" s="27" t="s">
        <v>1459</v>
      </c>
      <c r="B27" s="5" t="s">
        <v>6002</v>
      </c>
      <c r="C27" s="5" t="n">
        <v>3</v>
      </c>
    </row>
    <row r="28" customFormat="false" ht="15" hidden="false" customHeight="false" outlineLevel="0" collapsed="false">
      <c r="A28" s="27" t="s">
        <v>4310</v>
      </c>
      <c r="B28" s="5" t="s">
        <v>6003</v>
      </c>
      <c r="C28" s="5" t="n">
        <v>3</v>
      </c>
    </row>
    <row r="29" customFormat="false" ht="15" hidden="false" customHeight="false" outlineLevel="0" collapsed="false">
      <c r="A29" s="27" t="s">
        <v>6004</v>
      </c>
      <c r="B29" s="5" t="s">
        <v>6005</v>
      </c>
      <c r="C29" s="5" t="n">
        <v>3</v>
      </c>
    </row>
    <row r="30" customFormat="false" ht="15" hidden="false" customHeight="false" outlineLevel="0" collapsed="false">
      <c r="A30" s="27" t="s">
        <v>1552</v>
      </c>
      <c r="B30" s="5" t="s">
        <v>6006</v>
      </c>
      <c r="C30" s="5" t="n">
        <v>3</v>
      </c>
    </row>
    <row r="31" customFormat="false" ht="15" hidden="false" customHeight="false" outlineLevel="0" collapsed="false">
      <c r="A31" s="27" t="s">
        <v>6007</v>
      </c>
      <c r="B31" s="5" t="s">
        <v>6008</v>
      </c>
      <c r="C31" s="5" t="n">
        <v>3</v>
      </c>
    </row>
    <row r="32" customFormat="false" ht="15" hidden="false" customHeight="false" outlineLevel="0" collapsed="false">
      <c r="A32" s="27" t="s">
        <v>811</v>
      </c>
      <c r="B32" s="5" t="s">
        <v>6009</v>
      </c>
      <c r="C32" s="5" t="n">
        <v>3</v>
      </c>
    </row>
    <row r="33" customFormat="false" ht="15" hidden="false" customHeight="false" outlineLevel="0" collapsed="false">
      <c r="A33" s="27" t="s">
        <v>6010</v>
      </c>
      <c r="B33" s="5" t="s">
        <v>6011</v>
      </c>
      <c r="C33" s="5" t="n">
        <v>3</v>
      </c>
    </row>
    <row r="34" customFormat="false" ht="15" hidden="false" customHeight="false" outlineLevel="0" collapsed="false">
      <c r="A34" s="27" t="s">
        <v>312</v>
      </c>
      <c r="B34" s="5" t="s">
        <v>6012</v>
      </c>
      <c r="C34" s="5" t="n">
        <v>3</v>
      </c>
    </row>
    <row r="35" customFormat="false" ht="15" hidden="false" customHeight="false" outlineLevel="0" collapsed="false">
      <c r="A35" s="27" t="s">
        <v>6013</v>
      </c>
      <c r="B35" s="5" t="s">
        <v>6014</v>
      </c>
      <c r="C35" s="5" t="n">
        <v>3</v>
      </c>
    </row>
    <row r="36" customFormat="false" ht="15" hidden="false" customHeight="false" outlineLevel="0" collapsed="false">
      <c r="A36" s="27" t="s">
        <v>6015</v>
      </c>
      <c r="B36" s="5" t="s">
        <v>6016</v>
      </c>
      <c r="C36" s="5" t="n">
        <v>3</v>
      </c>
    </row>
    <row r="37" customFormat="false" ht="15" hidden="false" customHeight="false" outlineLevel="0" collapsed="false">
      <c r="A37" s="27" t="s">
        <v>6017</v>
      </c>
      <c r="B37" s="5" t="s">
        <v>6018</v>
      </c>
      <c r="C37" s="5" t="n">
        <v>3</v>
      </c>
    </row>
    <row r="38" customFormat="false" ht="15" hidden="false" customHeight="false" outlineLevel="0" collapsed="false">
      <c r="A38" s="27" t="s">
        <v>6019</v>
      </c>
      <c r="B38" s="5" t="s">
        <v>6020</v>
      </c>
      <c r="C38" s="5" t="n">
        <v>3</v>
      </c>
    </row>
    <row r="39" customFormat="false" ht="15" hidden="false" customHeight="false" outlineLevel="0" collapsed="false">
      <c r="A39" s="27" t="s">
        <v>148</v>
      </c>
      <c r="B39" s="5" t="s">
        <v>6021</v>
      </c>
      <c r="C39" s="5" t="n">
        <v>3</v>
      </c>
    </row>
    <row r="40" customFormat="false" ht="15" hidden="false" customHeight="false" outlineLevel="0" collapsed="false">
      <c r="A40" s="27" t="s">
        <v>1427</v>
      </c>
      <c r="B40" s="5" t="s">
        <v>6022</v>
      </c>
      <c r="C40" s="5" t="n">
        <v>2</v>
      </c>
    </row>
    <row r="41" customFormat="false" ht="15" hidden="false" customHeight="false" outlineLevel="0" collapsed="false">
      <c r="A41" s="27" t="s">
        <v>6023</v>
      </c>
      <c r="B41" s="5" t="s">
        <v>6024</v>
      </c>
      <c r="C41" s="5" t="n">
        <v>2</v>
      </c>
    </row>
    <row r="42" customFormat="false" ht="15" hidden="false" customHeight="false" outlineLevel="0" collapsed="false">
      <c r="A42" s="27" t="s">
        <v>6025</v>
      </c>
      <c r="B42" s="5" t="s">
        <v>6026</v>
      </c>
      <c r="C42" s="5" t="n">
        <v>2</v>
      </c>
    </row>
    <row r="43" customFormat="false" ht="15" hidden="false" customHeight="false" outlineLevel="0" collapsed="false">
      <c r="A43" s="27" t="s">
        <v>839</v>
      </c>
      <c r="B43" s="5" t="s">
        <v>6027</v>
      </c>
      <c r="C43" s="5" t="n">
        <v>2</v>
      </c>
    </row>
    <row r="44" customFormat="false" ht="15" hidden="false" customHeight="false" outlineLevel="0" collapsed="false">
      <c r="A44" s="27" t="s">
        <v>6028</v>
      </c>
      <c r="B44" s="5" t="s">
        <v>6029</v>
      </c>
      <c r="C44" s="5" t="n">
        <v>2</v>
      </c>
    </row>
    <row r="45" customFormat="false" ht="15" hidden="false" customHeight="false" outlineLevel="0" collapsed="false">
      <c r="A45" s="27" t="s">
        <v>6030</v>
      </c>
      <c r="B45" s="5" t="s">
        <v>6031</v>
      </c>
      <c r="C45" s="5" t="n">
        <v>2</v>
      </c>
    </row>
    <row r="46" customFormat="false" ht="15" hidden="false" customHeight="false" outlineLevel="0" collapsed="false">
      <c r="A46" s="27" t="s">
        <v>6032</v>
      </c>
      <c r="B46" s="5" t="s">
        <v>6033</v>
      </c>
      <c r="C46" s="5" t="n">
        <v>1</v>
      </c>
    </row>
    <row r="47" customFormat="false" ht="15" hidden="false" customHeight="false" outlineLevel="0" collapsed="false">
      <c r="A47" s="27" t="s">
        <v>181</v>
      </c>
      <c r="B47" s="5" t="s">
        <v>6034</v>
      </c>
      <c r="C47" s="5" t="n">
        <v>1</v>
      </c>
    </row>
    <row r="48" customFormat="false" ht="15" hidden="false" customHeight="false" outlineLevel="0" collapsed="false">
      <c r="A48" s="27" t="s">
        <v>6035</v>
      </c>
      <c r="B48" s="5" t="s">
        <v>6036</v>
      </c>
      <c r="C48" s="5" t="n">
        <v>1</v>
      </c>
    </row>
    <row r="49" customFormat="false" ht="15" hidden="false" customHeight="false" outlineLevel="0" collapsed="false">
      <c r="A49" s="27" t="s">
        <v>6037</v>
      </c>
      <c r="B49" s="5" t="s">
        <v>6038</v>
      </c>
      <c r="C49" s="5" t="n">
        <v>1</v>
      </c>
    </row>
    <row r="50" customFormat="false" ht="15" hidden="false" customHeight="false" outlineLevel="0" collapsed="false">
      <c r="A50" s="27" t="s">
        <v>6039</v>
      </c>
      <c r="B50" s="5" t="s">
        <v>6040</v>
      </c>
      <c r="C50" s="5" t="n">
        <v>0</v>
      </c>
    </row>
    <row r="51" customFormat="false" ht="15" hidden="false" customHeight="false" outlineLevel="0" collapsed="false">
      <c r="A51" s="27" t="s">
        <v>6041</v>
      </c>
      <c r="B51" s="5" t="s">
        <v>6042</v>
      </c>
      <c r="C51" s="5" t="n">
        <v>0</v>
      </c>
    </row>
    <row r="52" customFormat="false" ht="15" hidden="false" customHeight="false" outlineLevel="0" collapsed="false">
      <c r="A52" s="27" t="s">
        <v>6043</v>
      </c>
      <c r="B52" s="5" t="s">
        <v>6044</v>
      </c>
      <c r="C52" s="5" t="n">
        <v>0</v>
      </c>
    </row>
    <row r="53" customFormat="false" ht="15" hidden="false" customHeight="false" outlineLevel="0" collapsed="false">
      <c r="A53" s="27" t="s">
        <v>6045</v>
      </c>
      <c r="B53" s="5" t="s">
        <v>6046</v>
      </c>
      <c r="C53" s="5" t="n">
        <v>0</v>
      </c>
    </row>
    <row r="55" customFormat="false" ht="15" hidden="false" customHeight="false" outlineLevel="0" collapsed="false">
      <c r="A55" s="28" t="s">
        <v>6047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2026-10-26T08:08:20Z</dcterms:created>
  <dc:creator>openpyxl</dc:creator>
  <dc:description/>
  <dc:language>en-US</dc:language>
  <cp:lastModifiedBy/>
  <dcterms:modified xsi:type="dcterms:W3CDTF">2026-10-26T08:08:32Z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