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覆核" sheetId="2" state="visible" r:id="rId4"/>
    <sheet name="事件規則" sheetId="3" state="visible" r:id="rId5"/>
  </sheets>
  <definedNames>
    <definedName function="false" hidden="true" localSheetId="1" name="_xlnm._FilterDatabase" vbProcedure="false">覆核!$A$1:$Y$31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<sst xmlns="http://schemas.openxmlformats.org/spreadsheetml/2006/main" count="522" uniqueCount="342">
  <si>
    <r>
      <rPr>
        <b val="true"/>
        <sz val="12"/>
        <rFont val="Noto Sans CJK SC"/>
        <family val="2"/>
      </rPr>
      <t xml:space="preserve">負面新聞離線覆核（</t>
    </r>
    <r>
      <rPr>
        <b val="true"/>
        <sz val="12"/>
        <rFont val="Arial"/>
        <family val="0"/>
        <charset val="1"/>
      </rPr>
      <t xml:space="preserve">30 </t>
    </r>
    <r>
      <rPr>
        <b val="true"/>
        <sz val="12"/>
        <rFont val="Noto Sans CJK SC"/>
        <family val="2"/>
      </rPr>
      <t xml:space="preserve">筆小樣本）</t>
    </r>
  </si>
  <si>
    <r>
      <rPr>
        <sz val="10"/>
        <rFont val="Noto Sans CJK SC"/>
        <family val="2"/>
      </rPr>
      <t xml:space="preserve">產生日期：</t>
    </r>
    <r>
      <rPr>
        <sz val="10"/>
        <rFont val="Arial"/>
        <family val="0"/>
        <charset val="1"/>
      </rPr>
      <t xml:space="preserve">2026-10-26</t>
    </r>
    <r>
      <rPr>
        <sz val="10"/>
        <rFont val="Noto Sans CJK SC"/>
        <family val="2"/>
      </rPr>
      <t xml:space="preserve">　範圍：</t>
    </r>
    <r>
      <rPr>
        <sz val="10"/>
        <rFont val="Arial"/>
        <family val="0"/>
        <charset val="1"/>
      </rPr>
      <t xml:space="preserve">L5 </t>
    </r>
    <r>
      <rPr>
        <sz val="10"/>
        <rFont val="Noto Sans CJK SC"/>
        <family val="2"/>
      </rPr>
      <t xml:space="preserve">待人工覆核 </t>
    </r>
    <r>
      <rPr>
        <sz val="10"/>
        <rFont val="Arial"/>
        <family val="0"/>
        <charset val="1"/>
      </rPr>
      <t xml:space="preserve">15 </t>
    </r>
    <r>
      <rPr>
        <sz val="10"/>
        <rFont val="Noto Sans CJK SC"/>
        <family val="2"/>
      </rPr>
      <t xml:space="preserve">筆＋</t>
    </r>
    <r>
      <rPr>
        <sz val="10"/>
        <rFont val="Arial"/>
        <family val="0"/>
        <charset val="1"/>
      </rPr>
      <t xml:space="preserve">L4 15 </t>
    </r>
    <r>
      <rPr>
        <sz val="10"/>
        <rFont val="Noto Sans CJK SC"/>
        <family val="2"/>
      </rPr>
      <t xml:space="preserve">筆</t>
    </r>
  </si>
  <si>
    <t xml:space="preserve">怎麼填（只動黃色欄位）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</si>
  <si>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最終決定（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欄）：已預填我的建議。維持＝沿用目前分類；修改＝改成「新事件代碼」；排除＝記為 </t>
    </r>
    <r>
      <rPr>
        <sz val="10"/>
        <rFont val="Arial"/>
        <family val="0"/>
        <charset val="1"/>
      </rPr>
      <t xml:space="preserve">NOT_RELEVANT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Level 0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</si>
  <si>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新事件代碼（</t>
    </r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欄）：只有「修改」才需要，從下拉選單選；新事件中文與新 </t>
    </r>
    <r>
      <rPr>
        <sz val="10"/>
        <rFont val="Arial"/>
        <family val="0"/>
        <charset val="1"/>
      </rPr>
      <t xml:space="preserve">Level </t>
    </r>
    <r>
      <rPr>
        <sz val="10"/>
        <rFont val="Noto Sans CJK SC"/>
        <family val="2"/>
      </rPr>
      <t xml:space="preserve">會自動帶出。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</si>
  <si>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覆核註記（</t>
    </r>
    <r>
      <rPr>
        <sz val="10"/>
        <rFont val="Arial"/>
        <family val="0"/>
        <charset val="1"/>
      </rPr>
      <t xml:space="preserve">V </t>
    </r>
    <r>
      <rPr>
        <sz val="10"/>
        <rFont val="Noto Sans CJK SC"/>
        <family val="2"/>
      </rPr>
      <t xml:space="preserve">欄）、覆核人（</t>
    </r>
    <r>
      <rPr>
        <sz val="10"/>
        <rFont val="Arial"/>
        <family val="0"/>
        <charset val="1"/>
      </rPr>
      <t xml:space="preserve">W </t>
    </r>
    <r>
      <rPr>
        <sz val="10"/>
        <rFont val="Noto Sans CJK SC"/>
        <family val="2"/>
      </rPr>
      <t xml:space="preserve">欄）：請填你的姓名；註記可空白。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</si>
  <si>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把握程度為「低」或「建議看原文」為「是」的列（紅字），建議點標題開原文確認。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</si>
  <si>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檢查欄（</t>
    </r>
    <r>
      <rPr>
        <sz val="10"/>
        <rFont val="Arial"/>
        <family val="0"/>
        <charset val="1"/>
      </rPr>
      <t xml:space="preserve">U</t>
    </r>
    <r>
      <rPr>
        <sz val="10"/>
        <rFont val="Noto Sans CJK SC"/>
        <family val="2"/>
      </rPr>
      <t xml:space="preserve">）若出現紅字，表示該列填寫不完整。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</si>
  <si>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不要修改 </t>
    </r>
    <r>
      <rPr>
        <sz val="10"/>
        <rFont val="Arial"/>
        <family val="0"/>
        <charset val="1"/>
      </rPr>
      <t xml:space="preserve">news_id</t>
    </r>
    <r>
      <rPr>
        <sz val="10"/>
        <rFont val="Noto Sans CJK SC"/>
        <family val="2"/>
      </rPr>
      <t xml:space="preserve">、人工版本欄；上傳時靠這兩欄對應與防衝突。</t>
    </r>
  </si>
  <si>
    <t xml:space="preserve">限制</t>
  </si>
  <si>
    <t xml:space="preserve">我只看資料中的標題與摘要，沒有逐篇開原文；建議不保證全對，最終由你確認。</t>
  </si>
  <si>
    <r>
      <rPr>
        <sz val="10"/>
        <rFont val="Arial"/>
        <family val="0"/>
        <charset val="1"/>
      </rPr>
      <t xml:space="preserve">Level </t>
    </r>
    <r>
      <rPr>
        <sz val="10"/>
        <rFont val="Noto Sans CJK SC"/>
        <family val="2"/>
      </rPr>
      <t xml:space="preserve">顏色：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紅、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橘、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黃、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淡藍、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淺灰、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深灰。</t>
    </r>
  </si>
  <si>
    <t xml:space="preserve">序號</t>
  </si>
  <si>
    <t xml:space="preserve">日期</t>
  </si>
  <si>
    <t xml:space="preserve">Ticker</t>
  </si>
  <si>
    <t xml:space="preserve">公司</t>
  </si>
  <si>
    <t xml:space="preserve">標題（點擊開原文）</t>
  </si>
  <si>
    <t xml:space="preserve">中文標題／摘要</t>
  </si>
  <si>
    <t xml:space="preserve">來源</t>
  </si>
  <si>
    <t xml:space="preserve">FinBERT</t>
  </si>
  <si>
    <t xml:space="preserve">目前事件代碼</t>
  </si>
  <si>
    <t xml:space="preserve">目前事件中文</t>
  </si>
  <si>
    <r>
      <rPr>
        <b val="true"/>
        <sz val="10"/>
        <color rgb="FFFFFFFF"/>
        <rFont val="Noto Sans CJK SC"/>
        <family val="2"/>
      </rPr>
      <t xml:space="preserve">目前</t>
    </r>
    <r>
      <rPr>
        <b val="true"/>
        <sz val="10"/>
        <color rgb="FFFFFFFF"/>
        <rFont val="Arial"/>
        <family val="0"/>
        <charset val="1"/>
      </rPr>
      <t xml:space="preserve">Level</t>
    </r>
  </si>
  <si>
    <t xml:space="preserve">建議</t>
  </si>
  <si>
    <t xml:space="preserve">建議事件代碼</t>
  </si>
  <si>
    <t xml:space="preserve">把握程度</t>
  </si>
  <si>
    <t xml:space="preserve">理由</t>
  </si>
  <si>
    <t xml:space="preserve">建議看原文</t>
  </si>
  <si>
    <t xml:space="preserve">最終決定</t>
  </si>
  <si>
    <t xml:space="preserve">新事件代碼</t>
  </si>
  <si>
    <t xml:space="preserve">新事件中文</t>
  </si>
  <si>
    <r>
      <rPr>
        <b val="true"/>
        <sz val="10"/>
        <color rgb="FFFFFFFF"/>
        <rFont val="Noto Sans CJK SC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Level</t>
    </r>
  </si>
  <si>
    <t xml:space="preserve">檢查</t>
  </si>
  <si>
    <t xml:space="preserve">覆核註記</t>
  </si>
  <si>
    <t xml:space="preserve">覆核人</t>
  </si>
  <si>
    <t xml:space="preserve">news_id</t>
  </si>
  <si>
    <t xml:space="preserve">人工版本</t>
  </si>
  <si>
    <t xml:space="preserve">2026-10-23</t>
  </si>
  <si>
    <t xml:space="preserve">GETY</t>
  </si>
  <si>
    <t xml:space="preserve">Getty Images Holdings, Inc.</t>
  </si>
  <si>
    <t xml:space="preserve">Getty Images Files Prepackaged Chapter 11 in Delaware</t>
  </si>
  <si>
    <r>
      <rPr>
        <sz val="10"/>
        <rFont val="Arial"/>
        <family val="0"/>
        <charset val="1"/>
      </rPr>
      <t xml:space="preserve">Getty Images </t>
    </r>
    <r>
      <rPr>
        <sz val="10"/>
        <rFont val="Noto Sans CJK SC"/>
        <family val="2"/>
      </rPr>
      <t xml:space="preserve">申請預先包裝的第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章破產程序，表明公司正進入破產程序。</t>
    </r>
  </si>
  <si>
    <t xml:space="preserve">ABF Journal</t>
  </si>
  <si>
    <t xml:space="preserve">BANKRUPTCY</t>
  </si>
  <si>
    <t xml:space="preserve">破產</t>
  </si>
  <si>
    <t xml:space="preserve">維持</t>
  </si>
  <si>
    <t xml:space="preserve">高</t>
  </si>
  <si>
    <r>
      <rPr>
        <sz val="10"/>
        <rFont val="Arial"/>
        <family val="0"/>
        <charset val="1"/>
      </rPr>
      <t xml:space="preserve">Getty Images </t>
    </r>
    <r>
      <rPr>
        <sz val="10"/>
        <rFont val="Noto Sans CJK SC"/>
        <family val="2"/>
      </rPr>
      <t xml:space="preserve">申請預先包裝式 </t>
    </r>
    <r>
      <rPr>
        <sz val="10"/>
        <rFont val="Arial"/>
        <family val="0"/>
        <charset val="1"/>
      </rPr>
      <t xml:space="preserve">Chapter 11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Delaware</t>
    </r>
    <r>
      <rPr>
        <sz val="10"/>
        <rFont val="Noto Sans CJK SC"/>
        <family val="2"/>
      </rPr>
      <t xml:space="preserve">）。</t>
    </r>
  </si>
  <si>
    <t xml:space="preserve">26a1ad393c1cc9e9c11186e2</t>
  </si>
  <si>
    <t xml:space="preserve">Getty Images’ Reported Chapter 11 Filing Would Cancel Shares</t>
  </si>
  <si>
    <r>
      <rPr>
        <sz val="10"/>
        <rFont val="Arial"/>
        <family val="0"/>
        <charset val="1"/>
      </rPr>
      <t xml:space="preserve">Getty Images </t>
    </r>
    <r>
      <rPr>
        <sz val="10"/>
        <rFont val="Noto Sans CJK SC"/>
        <family val="2"/>
      </rPr>
      <t xml:space="preserve">已報告將進行第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章破產申請，將取消其股份。</t>
    </r>
  </si>
  <si>
    <t xml:space="preserve">FindArticles</t>
  </si>
  <si>
    <r>
      <rPr>
        <sz val="10"/>
        <rFont val="Arial"/>
        <family val="0"/>
        <charset val="1"/>
      </rPr>
      <t xml:space="preserve">Getty Images Chapter 11</t>
    </r>
    <r>
      <rPr>
        <sz val="10"/>
        <rFont val="Noto Sans CJK SC"/>
        <family val="2"/>
      </rPr>
      <t xml:space="preserve">（與前一則同一事件，重複報導）。</t>
    </r>
  </si>
  <si>
    <t xml:space="preserve">2dcb018737c84e3d434366ac</t>
  </si>
  <si>
    <t xml:space="preserve">Case Summary: Getty Images Chapter 11</t>
  </si>
  <si>
    <r>
      <rPr>
        <sz val="10"/>
        <rFont val="Arial"/>
        <family val="0"/>
        <charset val="1"/>
      </rPr>
      <t xml:space="preserve">Getty Images </t>
    </r>
    <r>
      <rPr>
        <sz val="10"/>
        <rFont val="Noto Sans CJK SC"/>
        <family val="2"/>
      </rPr>
      <t xml:space="preserve">已經提交第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章破產申請，正式進入破產程序。</t>
    </r>
  </si>
  <si>
    <t xml:space="preserve">Bondoro</t>
  </si>
  <si>
    <r>
      <rPr>
        <sz val="10"/>
        <rFont val="Arial"/>
        <family val="0"/>
        <charset val="1"/>
      </rPr>
      <t xml:space="preserve">Getty Images Chapter 11 </t>
    </r>
    <r>
      <rPr>
        <sz val="10"/>
        <rFont val="Noto Sans CJK SC"/>
        <family val="2"/>
      </rPr>
      <t xml:space="preserve">案件摘要（同一事件，重複報導）。</t>
    </r>
  </si>
  <si>
    <t xml:space="preserve">f097dfc93880c10c18a4ffdc</t>
  </si>
  <si>
    <t xml:space="preserve">2026-10-22</t>
  </si>
  <si>
    <t xml:space="preserve">EONR</t>
  </si>
  <si>
    <t xml:space="preserve">EON Resources Inc. Class A Common Stock</t>
  </si>
  <si>
    <t xml:space="preserve">Eon Resources CEO Defends Liquidity Despite Recurring Going-Concern Warnings</t>
  </si>
  <si>
    <r>
      <rPr>
        <sz val="10"/>
        <rFont val="Arial"/>
        <family val="0"/>
        <charset val="1"/>
      </rPr>
      <t xml:space="preserve">Eon Resources </t>
    </r>
    <r>
      <rPr>
        <sz val="10"/>
        <rFont val="Noto Sans CJK SC"/>
        <family val="2"/>
      </rPr>
      <t xml:space="preserve">公司的 </t>
    </r>
    <r>
      <rPr>
        <sz val="10"/>
        <rFont val="Arial"/>
        <family val="0"/>
        <charset val="1"/>
      </rPr>
      <t xml:space="preserve">CEO </t>
    </r>
    <r>
      <rPr>
        <sz val="10"/>
        <rFont val="Noto Sans CJK SC"/>
        <family val="2"/>
      </rPr>
      <t xml:space="preserve">在面臨持續的營運疑慮警告時，表示公司仍具足夠流動性以維持營運。</t>
    </r>
  </si>
  <si>
    <t xml:space="preserve">Hart Energy</t>
  </si>
  <si>
    <t xml:space="preserve">GOING_CONCERN</t>
  </si>
  <si>
    <t xml:space="preserve">繼續經營疑慮</t>
  </si>
  <si>
    <r>
      <rPr>
        <sz val="10"/>
        <rFont val="Noto Sans CJK SC"/>
        <family val="2"/>
      </rPr>
      <t xml:space="preserve">標題明指持續的繼續經營疑慮（</t>
    </r>
    <r>
      <rPr>
        <sz val="10"/>
        <rFont val="Arial"/>
        <family val="0"/>
        <charset val="1"/>
      </rPr>
      <t xml:space="preserve">going-concern</t>
    </r>
    <r>
      <rPr>
        <sz val="10"/>
        <rFont val="Noto Sans CJK SC"/>
        <family val="2"/>
      </rPr>
      <t xml:space="preserve">）警告。</t>
    </r>
  </si>
  <si>
    <t xml:space="preserve">a18bd00bf42db9315918f062</t>
  </si>
  <si>
    <t xml:space="preserve">CRWV</t>
  </si>
  <si>
    <t xml:space="preserve">CoreWeave, Inc.</t>
  </si>
  <si>
    <t xml:space="preserve">CoreWeave債務壓力升溫 市值蒸發440億美元</t>
  </si>
  <si>
    <r>
      <rPr>
        <sz val="10"/>
        <rFont val="Arial"/>
        <family val="0"/>
        <charset val="1"/>
      </rPr>
      <t xml:space="preserve">CoreWeave </t>
    </r>
    <r>
      <rPr>
        <sz val="10"/>
        <rFont val="Noto Sans CJK SC"/>
        <family val="2"/>
      </rPr>
      <t xml:space="preserve">的債務壓力升溫，市值蒸發 </t>
    </r>
    <r>
      <rPr>
        <sz val="10"/>
        <rFont val="Arial"/>
        <family val="0"/>
        <charset val="1"/>
      </rPr>
      <t xml:space="preserve">440 </t>
    </r>
    <r>
      <rPr>
        <sz val="10"/>
        <rFont val="Noto Sans CJK SC"/>
        <family val="2"/>
      </rPr>
      <t xml:space="preserve">億美元，顯示公司可能面臨流動性危機，但尚未確認違約或其他重大事件。</t>
    </r>
  </si>
  <si>
    <t xml:space="preserve">鉅亨網</t>
  </si>
  <si>
    <t xml:space="preserve">LIQUIDITY_CRISIS</t>
  </si>
  <si>
    <t xml:space="preserve">流動性危機</t>
  </si>
  <si>
    <t xml:space="preserve">低</t>
  </si>
  <si>
    <r>
      <rPr>
        <sz val="10"/>
        <rFont val="Noto Sans CJK SC"/>
        <family val="2"/>
      </rPr>
      <t xml:space="preserve">標題只說債務壓力升溫、市值蒸發 </t>
    </r>
    <r>
      <rPr>
        <sz val="10"/>
        <rFont val="Arial"/>
        <family val="0"/>
        <charset val="1"/>
      </rPr>
      <t xml:space="preserve">440 </t>
    </r>
    <r>
      <rPr>
        <sz val="10"/>
        <rFont val="Noto Sans CJK SC"/>
        <family val="2"/>
      </rPr>
      <t xml:space="preserve">億美元，未見無法償付或融資中斷；若原文無流動性斷裂證據，建議降為 </t>
    </r>
    <r>
      <rPr>
        <sz val="10"/>
        <rFont val="Arial"/>
        <family val="0"/>
        <charset val="1"/>
      </rPr>
      <t xml:space="preserve">OPERATING_DETERIORATION</t>
    </r>
    <r>
      <rPr>
        <sz val="10"/>
        <rFont val="Noto Sans CJK SC"/>
        <family val="2"/>
      </rPr>
      <t xml:space="preserve">。</t>
    </r>
  </si>
  <si>
    <t xml:space="preserve">是</t>
  </si>
  <si>
    <t xml:space="preserve">9f5e4c8fa92063aecb307529</t>
  </si>
  <si>
    <t xml:space="preserve">RNDC</t>
  </si>
  <si>
    <t xml:space="preserve">RNDC Files for Chapter 11, Pursues Sales and Wind-Down</t>
  </si>
  <si>
    <r>
      <rPr>
        <sz val="10"/>
        <rFont val="Arial"/>
        <family val="0"/>
        <charset val="1"/>
      </rPr>
      <t xml:space="preserve">RNDC </t>
    </r>
    <r>
      <rPr>
        <sz val="10"/>
        <rFont val="Noto Sans CJK SC"/>
        <family val="2"/>
      </rPr>
      <t xml:space="preserve">申請第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章破產，並計畫出售資產及逐步關閉營運。</t>
    </r>
  </si>
  <si>
    <t xml:space="preserve">National Association of Wholesaler-Distributors</t>
  </si>
  <si>
    <t xml:space="preserve">中</t>
  </si>
  <si>
    <r>
      <rPr>
        <sz val="10"/>
        <rFont val="Arial"/>
        <family val="0"/>
        <charset val="1"/>
      </rPr>
      <t xml:space="preserve">RNDC </t>
    </r>
    <r>
      <rPr>
        <sz val="10"/>
        <rFont val="Noto Sans CJK SC"/>
        <family val="2"/>
      </rPr>
      <t xml:space="preserve">申請 </t>
    </r>
    <r>
      <rPr>
        <sz val="10"/>
        <rFont val="Arial"/>
        <family val="0"/>
        <charset val="1"/>
      </rPr>
      <t xml:space="preserve">Chapter 11 </t>
    </r>
    <r>
      <rPr>
        <sz val="10"/>
        <rFont val="Noto Sans CJK SC"/>
        <family val="2"/>
      </rPr>
      <t xml:space="preserve">並出售資產、逐步關閉，事件屬實；但 </t>
    </r>
    <r>
      <rPr>
        <sz val="10"/>
        <rFont val="Arial"/>
        <family val="0"/>
        <charset val="1"/>
      </rPr>
      <t xml:space="preserve">RNDC </t>
    </r>
    <r>
      <rPr>
        <sz val="10"/>
        <rFont val="Noto Sans CJK SC"/>
        <family val="2"/>
      </rPr>
      <t xml:space="preserve">為未上市酒類經銷商，</t>
    </r>
    <r>
      <rPr>
        <sz val="10"/>
        <rFont val="Arial"/>
        <family val="0"/>
        <charset val="1"/>
      </rPr>
      <t xml:space="preserve">Ticker </t>
    </r>
    <r>
      <rPr>
        <sz val="10"/>
        <rFont val="Noto Sans CJK SC"/>
        <family val="2"/>
      </rPr>
      <t xml:space="preserve">空白，請確認是否屬監控對象。</t>
    </r>
  </si>
  <si>
    <t xml:space="preserve">5a0e0d95455677066de7d303</t>
  </si>
  <si>
    <t xml:space="preserve">2026-08-30</t>
  </si>
  <si>
    <t xml:space="preserve">Apple Inc.</t>
  </si>
  <si>
    <t xml:space="preserve">蘋果Siri功能跳票賠17億</t>
  </si>
  <si>
    <t xml:space="preserve">TradingView</t>
  </si>
  <si>
    <t xml:space="preserve">DEFAULT</t>
  </si>
  <si>
    <t xml:space="preserve">違約</t>
  </si>
  <si>
    <t xml:space="preserve">修改</t>
  </si>
  <si>
    <t xml:space="preserve">MAJOR_LITIGATION</t>
  </si>
  <si>
    <r>
      <rPr>
        <sz val="10"/>
        <rFont val="Noto Sans CJK SC"/>
        <family val="2"/>
      </rPr>
      <t xml:space="preserve">標題為蘋果 </t>
    </r>
    <r>
      <rPr>
        <sz val="10"/>
        <rFont val="Arial"/>
        <family val="0"/>
        <charset val="1"/>
      </rPr>
      <t xml:space="preserve">Siri </t>
    </r>
    <r>
      <rPr>
        <sz val="10"/>
        <rFont val="Noto Sans CJK SC"/>
        <family val="2"/>
      </rPr>
      <t xml:space="preserve">功能跳票賠償 </t>
    </r>
    <r>
      <rPr>
        <sz val="10"/>
        <rFont val="Arial"/>
        <family val="0"/>
        <charset val="1"/>
      </rPr>
      <t xml:space="preserve">17 </t>
    </r>
    <r>
      <rPr>
        <sz val="10"/>
        <rFont val="Noto Sans CJK SC"/>
        <family val="2"/>
      </rPr>
      <t xml:space="preserve">億，屬訴訟和解，不是債務違約；金額與幣別未確認。</t>
    </r>
  </si>
  <si>
    <t xml:space="preserve">e38e29eaf5c6faa3f5dcc44f</t>
  </si>
  <si>
    <t xml:space="preserve">2026-10-13</t>
  </si>
  <si>
    <t xml:space="preserve">Walt Disney Company (The)</t>
  </si>
  <si>
    <t xml:space="preserve">Character.AI files for bankruptcy reorganization and agrees to sell some assets to Disney</t>
  </si>
  <si>
    <r>
      <rPr>
        <sz val="10"/>
        <rFont val="Arial"/>
        <family val="0"/>
        <charset val="1"/>
      </rPr>
      <t xml:space="preserve">Character.AI </t>
    </r>
    <r>
      <rPr>
        <sz val="10"/>
        <rFont val="Noto Sans CJK SC"/>
        <family val="2"/>
      </rPr>
      <t xml:space="preserve">申請破產重組並同意將部分資產出售給迪士尼</t>
    </r>
  </si>
  <si>
    <t xml:space="preserve">排除</t>
  </si>
  <si>
    <r>
      <rPr>
        <sz val="10"/>
        <rFont val="Noto Sans CJK SC"/>
        <family val="2"/>
      </rPr>
      <t xml:space="preserve">申請破產的是 </t>
    </r>
    <r>
      <rPr>
        <sz val="10"/>
        <rFont val="Arial"/>
        <family val="0"/>
        <charset val="1"/>
      </rPr>
      <t xml:space="preserve">Character.AI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Disney </t>
    </r>
    <r>
      <rPr>
        <sz val="10"/>
        <rFont val="Noto Sans CJK SC"/>
        <family val="2"/>
      </rPr>
      <t xml:space="preserve">只是資產買方，不是 </t>
    </r>
    <r>
      <rPr>
        <sz val="10"/>
        <rFont val="Arial"/>
        <family val="0"/>
        <charset val="1"/>
      </rPr>
      <t xml:space="preserve">Disney </t>
    </r>
    <r>
      <rPr>
        <sz val="10"/>
        <rFont val="Noto Sans CJK SC"/>
        <family val="2"/>
      </rPr>
      <t xml:space="preserve">本身的信用事件。</t>
    </r>
  </si>
  <si>
    <t xml:space="preserve">d4871428d73a5f522ce6f6e8</t>
  </si>
  <si>
    <t xml:space="preserve">2026-08-11</t>
  </si>
  <si>
    <t xml:space="preserve">Visa Inc.</t>
  </si>
  <si>
    <t xml:space="preserve">Client Alert: Subchapter V Surge: What Florida Trade Creditors and Lenders Need to Know About the New Small Business Bankruptcy Landscape</t>
  </si>
  <si>
    <t xml:space="preserve">客戶警報：第五章激增：佛羅裡達州貿易債權人和貸款人需要了解新的小型企業破產情況</t>
  </si>
  <si>
    <t xml:space="preserve">JD Supra</t>
  </si>
  <si>
    <r>
      <rPr>
        <sz val="10"/>
        <rFont val="Arial"/>
        <family val="0"/>
        <charset val="1"/>
      </rPr>
      <t xml:space="preserve">JD Supra </t>
    </r>
    <r>
      <rPr>
        <sz val="10"/>
        <rFont val="Noto Sans CJK SC"/>
        <family val="2"/>
      </rPr>
      <t xml:space="preserve">律師事務所客戶通知，談佛州小型企業 </t>
    </r>
    <r>
      <rPr>
        <sz val="10"/>
        <rFont val="Arial"/>
        <family val="0"/>
        <charset val="1"/>
      </rPr>
      <t xml:space="preserve">Subchapter V </t>
    </r>
    <r>
      <rPr>
        <sz val="10"/>
        <rFont val="Noto Sans CJK SC"/>
        <family val="2"/>
      </rPr>
      <t xml:space="preserve">破產制度，與 </t>
    </r>
    <r>
      <rPr>
        <sz val="10"/>
        <rFont val="Arial"/>
        <family val="0"/>
        <charset val="1"/>
      </rPr>
      <t xml:space="preserve">Visa </t>
    </r>
    <r>
      <rPr>
        <sz val="10"/>
        <rFont val="Noto Sans CJK SC"/>
        <family val="2"/>
      </rPr>
      <t xml:space="preserve">無關。</t>
    </r>
  </si>
  <si>
    <t xml:space="preserve">12ad0d8ae11f6d17e1b235e4</t>
  </si>
  <si>
    <t xml:space="preserve">2026-08-14</t>
  </si>
  <si>
    <t xml:space="preserve">Ameriprise Financial</t>
  </si>
  <si>
    <t xml:space="preserve">The TL072: A JFET Op Amp That Became the Default for Audio</t>
  </si>
  <si>
    <r>
      <rPr>
        <sz val="10"/>
        <rFont val="Arial"/>
        <family val="0"/>
        <charset val="1"/>
      </rPr>
      <t xml:space="preserve">TL072</t>
    </r>
    <r>
      <rPr>
        <sz val="10"/>
        <rFont val="Noto Sans CJK SC"/>
        <family val="2"/>
      </rPr>
      <t xml:space="preserve">：成為音訊預設的 </t>
    </r>
    <r>
      <rPr>
        <sz val="10"/>
        <rFont val="Arial"/>
        <family val="0"/>
        <charset val="1"/>
      </rPr>
      <t xml:space="preserve">JFET </t>
    </r>
    <r>
      <rPr>
        <sz val="10"/>
        <rFont val="Noto Sans CJK SC"/>
        <family val="2"/>
      </rPr>
      <t xml:space="preserve">運算放大器</t>
    </r>
  </si>
  <si>
    <t xml:space="preserve">All About Circuits</t>
  </si>
  <si>
    <r>
      <rPr>
        <sz val="10"/>
        <rFont val="Noto Sans CJK SC"/>
        <family val="2"/>
      </rPr>
      <t xml:space="preserve">文章談 </t>
    </r>
    <r>
      <rPr>
        <sz val="10"/>
        <rFont val="Arial"/>
        <family val="0"/>
        <charset val="1"/>
      </rPr>
      <t xml:space="preserve">TL072 </t>
    </r>
    <r>
      <rPr>
        <sz val="10"/>
        <rFont val="Noto Sans CJK SC"/>
        <family val="2"/>
      </rPr>
      <t xml:space="preserve">運算放大器，「</t>
    </r>
    <r>
      <rPr>
        <sz val="10"/>
        <rFont val="Arial"/>
        <family val="0"/>
        <charset val="1"/>
      </rPr>
      <t xml:space="preserve">Default</t>
    </r>
    <r>
      <rPr>
        <sz val="10"/>
        <rFont val="Noto Sans CJK SC"/>
        <family val="2"/>
      </rPr>
      <t xml:space="preserve">」是「預設」，不是違約。</t>
    </r>
  </si>
  <si>
    <t xml:space="preserve">7fb4ffc75dba5008caff4ea0</t>
  </si>
  <si>
    <t xml:space="preserve">2026-08-16</t>
  </si>
  <si>
    <t xml:space="preserve">Intercontinental Exchange</t>
  </si>
  <si>
    <t xml:space="preserve">Major ice cream brand seeks Chapter 11 bankruptcy after lawsuit</t>
  </si>
  <si>
    <r>
      <rPr>
        <sz val="10"/>
        <rFont val="Noto Sans CJK SC"/>
        <family val="2"/>
      </rPr>
      <t xml:space="preserve">大型冰淇淋品牌在訴訟後尋求美國破產法第</t>
    </r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章破產保護</t>
    </r>
  </si>
  <si>
    <t xml:space="preserve">thestreet.com</t>
  </si>
  <si>
    <r>
      <rPr>
        <sz val="10"/>
        <rFont val="Noto Sans CJK SC"/>
        <family val="2"/>
      </rPr>
      <t xml:space="preserve">破產的是未上市冰淇淋品牌（</t>
    </r>
    <r>
      <rPr>
        <sz val="10"/>
        <rFont val="Arial"/>
        <family val="0"/>
        <charset val="1"/>
      </rPr>
      <t xml:space="preserve">Rebel Creamery</t>
    </r>
    <r>
      <rPr>
        <sz val="10"/>
        <rFont val="Noto Sans CJK SC"/>
        <family val="2"/>
      </rPr>
      <t xml:space="preserve">），與 </t>
    </r>
    <r>
      <rPr>
        <sz val="10"/>
        <rFont val="Arial"/>
        <family val="0"/>
        <charset val="1"/>
      </rPr>
      <t xml:space="preserve">Intercontinental Exchange </t>
    </r>
    <r>
      <rPr>
        <sz val="10"/>
        <rFont val="Noto Sans CJK SC"/>
        <family val="2"/>
      </rPr>
      <t xml:space="preserve">無關，公司比對錯誤。</t>
    </r>
  </si>
  <si>
    <t xml:space="preserve">bc906869ade2807298deba23</t>
  </si>
  <si>
    <t xml:space="preserve">Ice cream brand sold in Houston files for bankruptcy after Van Leeuwen lawsuit</t>
  </si>
  <si>
    <r>
      <rPr>
        <sz val="10"/>
        <rFont val="Arial"/>
        <family val="0"/>
        <charset val="1"/>
      </rPr>
      <t xml:space="preserve">Van Leeuwen </t>
    </r>
    <r>
      <rPr>
        <sz val="10"/>
        <rFont val="Noto Sans CJK SC"/>
        <family val="2"/>
      </rPr>
      <t xml:space="preserve">提起訴訟後，休士頓銷售的冰淇淋品牌申請破產</t>
    </r>
  </si>
  <si>
    <t xml:space="preserve">Houston Chronicle</t>
  </si>
  <si>
    <r>
      <rPr>
        <sz val="10"/>
        <rFont val="Noto Sans CJK SC"/>
        <family val="2"/>
      </rPr>
      <t xml:space="preserve">同上（</t>
    </r>
    <r>
      <rPr>
        <sz val="10"/>
        <rFont val="Arial"/>
        <family val="0"/>
        <charset val="1"/>
      </rPr>
      <t xml:space="preserve">Rebel Creamery </t>
    </r>
    <r>
      <rPr>
        <sz val="10"/>
        <rFont val="Noto Sans CJK SC"/>
        <family val="2"/>
      </rPr>
      <t xml:space="preserve">破產，與 </t>
    </r>
    <r>
      <rPr>
        <sz val="10"/>
        <rFont val="Arial"/>
        <family val="0"/>
        <charset val="1"/>
      </rPr>
      <t xml:space="preserve">ICE </t>
    </r>
    <r>
      <rPr>
        <sz val="10"/>
        <rFont val="Noto Sans CJK SC"/>
        <family val="2"/>
      </rPr>
      <t xml:space="preserve">無關）。</t>
    </r>
  </si>
  <si>
    <t xml:space="preserve">a85ae63eb43f73633d49b45f</t>
  </si>
  <si>
    <t xml:space="preserve">Maker of ice cream sold at grocery stores nationwide files for bankruptcy as it appeals $23.8M judgment</t>
  </si>
  <si>
    <r>
      <rPr>
        <sz val="10"/>
        <rFont val="Noto Sans CJK SC"/>
        <family val="2"/>
      </rPr>
      <t xml:space="preserve">在全國雜貨店銷售的冰淇淋製造商申請破產，對 </t>
    </r>
    <r>
      <rPr>
        <sz val="10"/>
        <rFont val="Arial"/>
        <family val="0"/>
        <charset val="1"/>
      </rPr>
      <t xml:space="preserve">2,380 </t>
    </r>
    <r>
      <rPr>
        <sz val="10"/>
        <rFont val="Noto Sans CJK SC"/>
        <family val="2"/>
      </rPr>
      <t xml:space="preserve">萬美元的判決提出上訴</t>
    </r>
  </si>
  <si>
    <t xml:space="preserve">Fox Business</t>
  </si>
  <si>
    <t xml:space="preserve">c102ff8d98a6d71791c190c6</t>
  </si>
  <si>
    <t xml:space="preserve">2026-08-17</t>
  </si>
  <si>
    <t xml:space="preserve">Popular ice cream brand sold at Walmart and Target files for bankruptcy</t>
  </si>
  <si>
    <t xml:space="preserve">沃爾瑪和塔吉特銷售的熱門冰淇淋品牌申請破產</t>
  </si>
  <si>
    <t xml:space="preserve">Yahoo Finance</t>
  </si>
  <si>
    <t xml:space="preserve">11dfdd497cf6d878e41e446f</t>
  </si>
  <si>
    <t xml:space="preserve">Costco</t>
  </si>
  <si>
    <t xml:space="preserve">The mistake that helped cost Rebel Creamery $23.8 million and pushed it into bankruptcy</t>
  </si>
  <si>
    <r>
      <rPr>
        <sz val="10"/>
        <rFont val="Noto Sans CJK SC"/>
        <family val="2"/>
      </rPr>
      <t xml:space="preserve">這一錯誤導致 </t>
    </r>
    <r>
      <rPr>
        <sz val="10"/>
        <rFont val="Arial"/>
        <family val="0"/>
        <charset val="1"/>
      </rPr>
      <t xml:space="preserve">Rebel Creamery </t>
    </r>
    <r>
      <rPr>
        <sz val="10"/>
        <rFont val="Noto Sans CJK SC"/>
        <family val="2"/>
      </rPr>
      <t xml:space="preserve">損失 </t>
    </r>
    <r>
      <rPr>
        <sz val="10"/>
        <rFont val="Arial"/>
        <family val="0"/>
        <charset val="1"/>
      </rPr>
      <t xml:space="preserve">2,380 </t>
    </r>
    <r>
      <rPr>
        <sz val="10"/>
        <rFont val="Noto Sans CJK SC"/>
        <family val="2"/>
      </rPr>
      <t xml:space="preserve">萬美元，並導致其破產</t>
    </r>
  </si>
  <si>
    <t xml:space="preserve">Yahoo</t>
  </si>
  <si>
    <r>
      <rPr>
        <sz val="10"/>
        <rFont val="Noto Sans CJK SC"/>
        <family val="2"/>
      </rPr>
      <t xml:space="preserve">破產的是 </t>
    </r>
    <r>
      <rPr>
        <sz val="10"/>
        <rFont val="Arial"/>
        <family val="0"/>
        <charset val="1"/>
      </rPr>
      <t xml:space="preserve">Rebel Creamery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Costco </t>
    </r>
    <r>
      <rPr>
        <sz val="10"/>
        <rFont val="Noto Sans CJK SC"/>
        <family val="2"/>
      </rPr>
      <t xml:space="preserve">只是賣場關聯，非 </t>
    </r>
    <r>
      <rPr>
        <sz val="10"/>
        <rFont val="Arial"/>
        <family val="0"/>
        <charset val="1"/>
      </rPr>
      <t xml:space="preserve">Costco </t>
    </r>
    <r>
      <rPr>
        <sz val="10"/>
        <rFont val="Noto Sans CJK SC"/>
        <family val="2"/>
      </rPr>
      <t xml:space="preserve">的信用事件。</t>
    </r>
  </si>
  <si>
    <t xml:space="preserve">4b684ac9d5af90e4b5ffdda5</t>
  </si>
  <si>
    <t xml:space="preserve">2026-08-15</t>
  </si>
  <si>
    <t xml:space="preserve">WBD</t>
  </si>
  <si>
    <t xml:space="preserve">Warner Bros. Discovery</t>
  </si>
  <si>
    <t xml:space="preserve">Paramount-WBD Merger: David Ellison Complains About Cost Of States' Antitrust Suit</t>
  </si>
  <si>
    <r>
      <rPr>
        <sz val="10"/>
        <rFont val="Noto Sans CJK SC"/>
        <family val="2"/>
      </rPr>
      <t xml:space="preserve">派拉蒙與 </t>
    </r>
    <r>
      <rPr>
        <sz val="10"/>
        <rFont val="Arial"/>
        <family val="0"/>
        <charset val="1"/>
      </rPr>
      <t xml:space="preserve">WBD </t>
    </r>
    <r>
      <rPr>
        <sz val="10"/>
        <rFont val="Noto Sans CJK SC"/>
        <family val="2"/>
      </rPr>
      <t xml:space="preserve">合併：大衛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埃里森抱怨各州反壟斷訴訟的成本</t>
    </r>
  </si>
  <si>
    <t xml:space="preserve">Deadline</t>
  </si>
  <si>
    <t xml:space="preserve">ANTITRUST_INVESTIGATION</t>
  </si>
  <si>
    <t xml:space="preserve">反壟斷調查</t>
  </si>
  <si>
    <r>
      <rPr>
        <sz val="10"/>
        <rFont val="Noto Sans CJK SC"/>
        <family val="2"/>
      </rPr>
      <t xml:space="preserve">派拉蒙併購 </t>
    </r>
    <r>
      <rPr>
        <sz val="10"/>
        <rFont val="Arial"/>
        <family val="0"/>
        <charset val="1"/>
      </rPr>
      <t xml:space="preserve">WBD </t>
    </r>
    <r>
      <rPr>
        <sz val="10"/>
        <rFont val="Noto Sans CJK SC"/>
        <family val="2"/>
      </rPr>
      <t xml:space="preserve">遭多州提出反壟斷訴訟。</t>
    </r>
  </si>
  <si>
    <t xml:space="preserve">7c7dddbb36f73ba60dc653c0</t>
  </si>
  <si>
    <t xml:space="preserve">2026-08-26</t>
  </si>
  <si>
    <t xml:space="preserve">META</t>
  </si>
  <si>
    <t xml:space="preserve">Meta Platforms, Inc.</t>
  </si>
  <si>
    <t xml:space="preserve">Meta就多個州的致兒童成癮訴訟達成167億美元和解</t>
  </si>
  <si>
    <t xml:space="preserve">重大訴訟</t>
  </si>
  <si>
    <r>
      <rPr>
        <sz val="10"/>
        <rFont val="Arial"/>
        <family val="0"/>
        <charset val="1"/>
      </rPr>
      <t xml:space="preserve">Meta </t>
    </r>
    <r>
      <rPr>
        <sz val="10"/>
        <rFont val="Noto Sans CJK SC"/>
        <family val="2"/>
      </rPr>
      <t xml:space="preserve">就多州兒童成癮訴訟達成 </t>
    </r>
    <r>
      <rPr>
        <sz val="10"/>
        <rFont val="Arial"/>
        <family val="0"/>
        <charset val="1"/>
      </rPr>
      <t xml:space="preserve">167 </t>
    </r>
    <r>
      <rPr>
        <sz val="10"/>
        <rFont val="Noto Sans CJK SC"/>
        <family val="2"/>
      </rPr>
      <t xml:space="preserve">億美元和解。</t>
    </r>
  </si>
  <si>
    <t xml:space="preserve">9c0b1c683bbf8fe47bb8f5e6</t>
  </si>
  <si>
    <t xml:space="preserve">2026-10-09</t>
  </si>
  <si>
    <t xml:space="preserve">American Express</t>
  </si>
  <si>
    <t xml:space="preserve">美國運通因反洗錢計劃不完善被罰款3.5億美元</t>
  </si>
  <si>
    <t xml:space="preserve">REGULATORY_PENALTY</t>
  </si>
  <si>
    <t xml:space="preserve">監管裁罰</t>
  </si>
  <si>
    <r>
      <rPr>
        <sz val="10"/>
        <rFont val="Noto Sans CJK SC"/>
        <family val="2"/>
      </rPr>
      <t xml:space="preserve">美國運通因反洗錢計畫缺失被罰 </t>
    </r>
    <r>
      <rPr>
        <sz val="10"/>
        <rFont val="Arial"/>
        <family val="0"/>
        <charset val="1"/>
      </rPr>
      <t xml:space="preserve">3.5 </t>
    </r>
    <r>
      <rPr>
        <sz val="10"/>
        <rFont val="Noto Sans CJK SC"/>
        <family val="2"/>
      </rPr>
      <t xml:space="preserve">億美元；</t>
    </r>
    <r>
      <rPr>
        <sz val="10"/>
        <rFont val="Arial"/>
        <family val="0"/>
        <charset val="1"/>
      </rPr>
      <t xml:space="preserve">Ticker </t>
    </r>
    <r>
      <rPr>
        <sz val="10"/>
        <rFont val="Noto Sans CJK SC"/>
        <family val="2"/>
      </rPr>
      <t xml:space="preserve">空白，建議補 </t>
    </r>
    <r>
      <rPr>
        <sz val="10"/>
        <rFont val="Arial"/>
        <family val="0"/>
        <charset val="1"/>
      </rPr>
      <t xml:space="preserve">AXP</t>
    </r>
    <r>
      <rPr>
        <sz val="10"/>
        <rFont val="Noto Sans CJK SC"/>
        <family val="2"/>
      </rPr>
      <t xml:space="preserve">。</t>
    </r>
  </si>
  <si>
    <t xml:space="preserve">ba7c5621b413520ed3012946</t>
  </si>
  <si>
    <t xml:space="preserve">2026-09-03</t>
  </si>
  <si>
    <t xml:space="preserve">Boeing</t>
  </si>
  <si>
    <t xml:space="preserve">波音因普遍存在的安全違規行為向美國聯邦航空管理局（FAA）支付了310萬美元罰款</t>
  </si>
  <si>
    <r>
      <rPr>
        <sz val="10"/>
        <rFont val="Noto Sans CJK SC"/>
        <family val="2"/>
      </rPr>
      <t xml:space="preserve">波音因安全違規向 </t>
    </r>
    <r>
      <rPr>
        <sz val="10"/>
        <rFont val="Arial"/>
        <family val="0"/>
        <charset val="1"/>
      </rPr>
      <t xml:space="preserve">FAA </t>
    </r>
    <r>
      <rPr>
        <sz val="10"/>
        <rFont val="Noto Sans CJK SC"/>
        <family val="2"/>
      </rPr>
      <t xml:space="preserve">支付 </t>
    </r>
    <r>
      <rPr>
        <sz val="10"/>
        <rFont val="Arial"/>
        <family val="0"/>
        <charset val="1"/>
      </rPr>
      <t xml:space="preserve">310 </t>
    </r>
    <r>
      <rPr>
        <sz val="10"/>
        <rFont val="Noto Sans CJK SC"/>
        <family val="2"/>
      </rPr>
      <t xml:space="preserve">萬美元罰款；</t>
    </r>
    <r>
      <rPr>
        <sz val="10"/>
        <rFont val="Arial"/>
        <family val="0"/>
        <charset val="1"/>
      </rPr>
      <t xml:space="preserve">Ticker </t>
    </r>
    <r>
      <rPr>
        <sz val="10"/>
        <rFont val="Noto Sans CJK SC"/>
        <family val="2"/>
      </rPr>
      <t xml:space="preserve">空白，建議補 </t>
    </r>
    <r>
      <rPr>
        <sz val="10"/>
        <rFont val="Arial"/>
        <family val="0"/>
        <charset val="1"/>
      </rPr>
      <t xml:space="preserve">BA</t>
    </r>
    <r>
      <rPr>
        <sz val="10"/>
        <rFont val="Noto Sans CJK SC"/>
        <family val="2"/>
      </rPr>
      <t xml:space="preserve">。</t>
    </r>
  </si>
  <si>
    <t xml:space="preserve">8a311f19c6ae51248071cbc4</t>
  </si>
  <si>
    <t xml:space="preserve">2026-09-18</t>
  </si>
  <si>
    <t xml:space="preserve">Corpay</t>
  </si>
  <si>
    <t xml:space="preserve">Corpay to Pay $100 Million to Resolve FTC Allegations</t>
  </si>
  <si>
    <t xml:space="preserve">REGULATORY_INVESTIGATION</t>
  </si>
  <si>
    <t xml:space="preserve">監管調查</t>
  </si>
  <si>
    <r>
      <rPr>
        <sz val="10"/>
        <rFont val="Arial"/>
        <family val="0"/>
        <charset val="1"/>
      </rPr>
      <t xml:space="preserve">Corpay </t>
    </r>
    <r>
      <rPr>
        <sz val="10"/>
        <rFont val="Noto Sans CJK SC"/>
        <family val="2"/>
      </rPr>
      <t xml:space="preserve">支付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億美元和解 </t>
    </r>
    <r>
      <rPr>
        <sz val="10"/>
        <rFont val="Arial"/>
        <family val="0"/>
        <charset val="1"/>
      </rPr>
      <t xml:space="preserve">FTC </t>
    </r>
    <r>
      <rPr>
        <sz val="10"/>
        <rFont val="Noto Sans CJK SC"/>
        <family val="2"/>
      </rPr>
      <t xml:space="preserve">指控，已是裁罰結果，不只是調查。</t>
    </r>
  </si>
  <si>
    <t xml:space="preserve">769df537c0dad0a13fcbec07</t>
  </si>
  <si>
    <t xml:space="preserve">2026-10-24</t>
  </si>
  <si>
    <t xml:space="preserve">GL</t>
  </si>
  <si>
    <t xml:space="preserve">Globe Life</t>
  </si>
  <si>
    <t xml:space="preserve">Globe Life shares fall 8% after outlook cut and downgrade</t>
  </si>
  <si>
    <r>
      <rPr>
        <sz val="10"/>
        <rFont val="Arial"/>
        <family val="0"/>
        <charset val="1"/>
      </rPr>
      <t xml:space="preserve">Globe Life </t>
    </r>
    <r>
      <rPr>
        <sz val="10"/>
        <rFont val="Noto Sans CJK SC"/>
        <family val="2"/>
      </rPr>
      <t xml:space="preserve">股價因展望下調及信用評級下調而下跌 </t>
    </r>
    <r>
      <rPr>
        <sz val="10"/>
        <rFont val="Arial"/>
        <family val="0"/>
        <charset val="1"/>
      </rPr>
      <t xml:space="preserve">8%</t>
    </r>
    <r>
      <rPr>
        <sz val="10"/>
        <rFont val="Noto Sans CJK SC"/>
        <family val="2"/>
      </rPr>
      <t xml:space="preserve">。</t>
    </r>
  </si>
  <si>
    <t xml:space="preserve">finchannel</t>
  </si>
  <si>
    <t xml:space="preserve">CREDIT_DOWNGRADE</t>
  </si>
  <si>
    <t xml:space="preserve">信用調降</t>
  </si>
  <si>
    <t xml:space="preserve">EARNINGS_WARNING</t>
  </si>
  <si>
    <r>
      <rPr>
        <sz val="10"/>
        <rFont val="Arial"/>
        <family val="0"/>
        <charset val="1"/>
      </rPr>
      <t xml:space="preserve">Globe Life </t>
    </r>
    <r>
      <rPr>
        <sz val="10"/>
        <rFont val="Noto Sans CJK SC"/>
        <family val="2"/>
      </rPr>
      <t xml:space="preserve">因下修展望與遭分析師降評，股價跌 </t>
    </r>
    <r>
      <rPr>
        <sz val="10"/>
        <rFont val="Arial"/>
        <family val="0"/>
        <charset val="1"/>
      </rPr>
      <t xml:space="preserve">8%</t>
    </r>
    <r>
      <rPr>
        <sz val="10"/>
        <rFont val="Noto Sans CJK SC"/>
        <family val="2"/>
      </rPr>
      <t xml:space="preserve">；不是信用評等調降。</t>
    </r>
  </si>
  <si>
    <t xml:space="preserve">9041019a7c22ab6139fb54f9</t>
  </si>
  <si>
    <t xml:space="preserve">2026-10-21</t>
  </si>
  <si>
    <t xml:space="preserve">YRD</t>
  </si>
  <si>
    <t xml:space="preserve">Yiren Digital Ltd. American Depositary S</t>
  </si>
  <si>
    <t xml:space="preserve">Securities Fraud Investigation Into Yiren Digital Ltd. (YRD) Cont</t>
  </si>
  <si>
    <r>
      <rPr>
        <sz val="10"/>
        <rFont val="Noto Sans CJK SC"/>
        <family val="2"/>
      </rPr>
      <t xml:space="preserve">依據報導，</t>
    </r>
    <r>
      <rPr>
        <sz val="10"/>
        <rFont val="Arial"/>
        <family val="0"/>
        <charset val="1"/>
      </rPr>
      <t xml:space="preserve">Yiren Digital Ltd. (YRD) </t>
    </r>
    <r>
      <rPr>
        <sz val="10"/>
        <rFont val="Noto Sans CJK SC"/>
        <family val="2"/>
      </rPr>
      <t xml:space="preserve">正在接受證券詐欺調查，屬於監管調查事件。</t>
    </r>
  </si>
  <si>
    <t xml:space="preserve">The National Law Review</t>
  </si>
  <si>
    <r>
      <rPr>
        <sz val="10"/>
        <rFont val="Noto Sans CJK SC"/>
        <family val="2"/>
      </rPr>
      <t xml:space="preserve">疑似律師事務所代股東發出的「證券詐欺調查」公告，不是監管機關調查；若是，建議改 </t>
    </r>
    <r>
      <rPr>
        <sz val="10"/>
        <rFont val="Arial"/>
        <family val="0"/>
        <charset val="1"/>
      </rPr>
      <t xml:space="preserve">MAJOR_LITIGATION </t>
    </r>
    <r>
      <rPr>
        <sz val="10"/>
        <rFont val="Noto Sans CJK SC"/>
        <family val="2"/>
      </rPr>
      <t xml:space="preserve">或排除。</t>
    </r>
  </si>
  <si>
    <t xml:space="preserve">53452bb45fbda9cdb9797775</t>
  </si>
  <si>
    <t xml:space="preserve">2026-08-19</t>
  </si>
  <si>
    <t xml:space="preserve">AppLovin</t>
  </si>
  <si>
    <t xml:space="preserve">Apple Changes App Store Terms to Resolve E.U. Antitrust Dispute</t>
  </si>
  <si>
    <t xml:space="preserve">Barron's</t>
  </si>
  <si>
    <r>
      <rPr>
        <sz val="10"/>
        <rFont val="Noto Sans CJK SC"/>
        <family val="2"/>
      </rPr>
      <t xml:space="preserve">事件是 </t>
    </r>
    <r>
      <rPr>
        <sz val="10"/>
        <rFont val="Arial"/>
        <family val="0"/>
        <charset val="1"/>
      </rPr>
      <t xml:space="preserve">Apple </t>
    </r>
    <r>
      <rPr>
        <sz val="10"/>
        <rFont val="Noto Sans CJK SC"/>
        <family val="2"/>
      </rPr>
      <t xml:space="preserve">為化解歐盟反壟斷爭議調整 </t>
    </r>
    <r>
      <rPr>
        <sz val="10"/>
        <rFont val="Arial"/>
        <family val="0"/>
        <charset val="1"/>
      </rPr>
      <t xml:space="preserve">App Store </t>
    </r>
    <r>
      <rPr>
        <sz val="10"/>
        <rFont val="Noto Sans CJK SC"/>
        <family val="2"/>
      </rPr>
      <t xml:space="preserve">條款，但公司欄位為 </t>
    </r>
    <r>
      <rPr>
        <sz val="10"/>
        <rFont val="Arial"/>
        <family val="0"/>
        <charset val="1"/>
      </rPr>
      <t xml:space="preserve">AppLovin</t>
    </r>
    <r>
      <rPr>
        <sz val="10"/>
        <rFont val="Noto Sans CJK SC"/>
        <family val="2"/>
      </rPr>
      <t xml:space="preserve">，疑似歸錯公司。</t>
    </r>
  </si>
  <si>
    <t xml:space="preserve">ee5754561338bdfca7341bae</t>
  </si>
  <si>
    <t xml:space="preserve">美國資料中心</t>
  </si>
  <si>
    <t xml:space="preserve">標普為AI債務危機「火上澆油」？示警美國資料中心信用降評風險</t>
  </si>
  <si>
    <r>
      <rPr>
        <sz val="10"/>
        <rFont val="Noto Sans CJK SC"/>
        <family val="2"/>
      </rPr>
      <t xml:space="preserve">標普為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債務危機「火上澆油」？示警美國資料中心信用降評風險</t>
    </r>
  </si>
  <si>
    <t xml:space="preserve">標普示警的是資料中心產業的信用降評風險，公司欄為「美國資料中心」，不是特定公司。</t>
  </si>
  <si>
    <t xml:space="preserve">2f9132328e1a6e29bfc911ef</t>
  </si>
  <si>
    <t xml:space="preserve">2026-08-20</t>
  </si>
  <si>
    <t xml:space="preserve">CME</t>
  </si>
  <si>
    <t xml:space="preserve">CME Group Inc.</t>
  </si>
  <si>
    <t xml:space="preserve">CME CEO Spars With CFTC Chair About Prediction Market Oversight</t>
  </si>
  <si>
    <t xml:space="preserve">Bloomberg.com</t>
  </si>
  <si>
    <r>
      <rPr>
        <sz val="10"/>
        <rFont val="Arial"/>
        <family val="0"/>
        <charset val="1"/>
      </rPr>
      <t xml:space="preserve">CME </t>
    </r>
    <r>
      <rPr>
        <sz val="10"/>
        <rFont val="Noto Sans CJK SC"/>
        <family val="2"/>
      </rPr>
      <t xml:space="preserve">執行長與 </t>
    </r>
    <r>
      <rPr>
        <sz val="10"/>
        <rFont val="Arial"/>
        <family val="0"/>
        <charset val="1"/>
      </rPr>
      <t xml:space="preserve">CFTC </t>
    </r>
    <r>
      <rPr>
        <sz val="10"/>
        <rFont val="Noto Sans CJK SC"/>
        <family val="2"/>
      </rPr>
      <t xml:space="preserve">主席公開交鋒（預測市場監管），沒有調查或裁罰。</t>
    </r>
  </si>
  <si>
    <t xml:space="preserve">4ce2f2951b07ed8eb8da64ae</t>
  </si>
  <si>
    <t xml:space="preserve">2026-08-13</t>
  </si>
  <si>
    <t xml:space="preserve">DUK</t>
  </si>
  <si>
    <t xml:space="preserve">Duke Energy</t>
  </si>
  <si>
    <t xml:space="preserve">Duke Energy cuts proposed rate hike nearly in half as NC regulators weigh settlement</t>
  </si>
  <si>
    <t xml:space="preserve">北卡羅來納州監管機構考慮和解，杜克能源公司將升息提議削減近一半</t>
  </si>
  <si>
    <t xml:space="preserve">WSPA 7News</t>
  </si>
  <si>
    <r>
      <rPr>
        <sz val="10"/>
        <rFont val="Noto Sans CJK SC"/>
        <family val="2"/>
      </rPr>
      <t xml:space="preserve">北卡州電價調漲案，</t>
    </r>
    <r>
      <rPr>
        <sz val="10"/>
        <rFont val="Arial"/>
        <family val="0"/>
        <charset val="1"/>
      </rPr>
      <t xml:space="preserve">Duke Energy </t>
    </r>
    <r>
      <rPr>
        <sz val="10"/>
        <rFont val="Noto Sans CJK SC"/>
        <family val="2"/>
      </rPr>
      <t xml:space="preserve">調降申請幅度，不是裁罰。</t>
    </r>
  </si>
  <si>
    <t xml:space="preserve">fe69b51d84a7081e8d214db9</t>
  </si>
  <si>
    <t xml:space="preserve">2026-10-25</t>
  </si>
  <si>
    <t xml:space="preserve">MCD</t>
  </si>
  <si>
    <t xml:space="preserve">McDonald's</t>
  </si>
  <si>
    <t xml:space="preserve">Latham McDonald's Grease Dump Draws DEC Investigation</t>
  </si>
  <si>
    <t xml:space="preserve">麥當勞因油脂排放問題被美國環保署調查。</t>
  </si>
  <si>
    <t xml:space="preserve">Hoodline</t>
  </si>
  <si>
    <t xml:space="preserve">單一門市油脂排放遭州環保局調查，規模與集團信用無關。</t>
  </si>
  <si>
    <t xml:space="preserve">13f18784179d9c781c259e85</t>
  </si>
  <si>
    <t xml:space="preserve">KeyCorp</t>
  </si>
  <si>
    <t xml:space="preserve">Attorney General Jay Jones Announces Key Personnel Appointments</t>
  </si>
  <si>
    <t xml:space="preserve">司法部長傑伊瓊斯宣布關鍵人員任命</t>
  </si>
  <si>
    <t xml:space="preserve">Office of the Attorney General of Virginia</t>
  </si>
  <si>
    <r>
      <rPr>
        <sz val="10"/>
        <rFont val="Noto Sans CJK SC"/>
        <family val="2"/>
      </rPr>
      <t xml:space="preserve">維吉尼亞州檢察長人事任命公告，與 </t>
    </r>
    <r>
      <rPr>
        <sz val="10"/>
        <rFont val="Arial"/>
        <family val="0"/>
        <charset val="1"/>
      </rPr>
      <t xml:space="preserve">KeyCorp </t>
    </r>
    <r>
      <rPr>
        <sz val="10"/>
        <rFont val="Noto Sans CJK SC"/>
        <family val="2"/>
      </rPr>
      <t xml:space="preserve">無關。</t>
    </r>
  </si>
  <si>
    <t xml:space="preserve">03c1409f652a8600d1cad61e</t>
  </si>
  <si>
    <t xml:space="preserve">2026-08-28</t>
  </si>
  <si>
    <t xml:space="preserve">Ford Motor Company</t>
  </si>
  <si>
    <t xml:space="preserve">Last minute penalty lifts Arkansas State women’s soccer past Stephen F. Austin</t>
  </si>
  <si>
    <t xml:space="preserve">K8 News | Jonesboro, Arkansas</t>
  </si>
  <si>
    <r>
      <rPr>
        <sz val="10"/>
        <rFont val="Noto Sans CJK SC"/>
        <family val="2"/>
      </rPr>
      <t xml:space="preserve">大學女子足球比賽罰球（</t>
    </r>
    <r>
      <rPr>
        <sz val="10"/>
        <rFont val="Arial"/>
        <family val="0"/>
        <charset val="1"/>
      </rPr>
      <t xml:space="preserve">penalty</t>
    </r>
    <r>
      <rPr>
        <sz val="10"/>
        <rFont val="Noto Sans CJK SC"/>
        <family val="2"/>
      </rPr>
      <t xml:space="preserve">），與 </t>
    </r>
    <r>
      <rPr>
        <sz val="10"/>
        <rFont val="Arial"/>
        <family val="0"/>
        <charset val="1"/>
      </rPr>
      <t xml:space="preserve">Ford </t>
    </r>
    <r>
      <rPr>
        <sz val="10"/>
        <rFont val="Noto Sans CJK SC"/>
        <family val="2"/>
      </rPr>
      <t xml:space="preserve">無關。</t>
    </r>
  </si>
  <si>
    <t xml:space="preserve">44d610cecd4564b7ccd32929</t>
  </si>
  <si>
    <t xml:space="preserve">PSA</t>
  </si>
  <si>
    <t xml:space="preserve">Public Storage</t>
  </si>
  <si>
    <t xml:space="preserve">FBI Officially Launch Investigation Into Massive Theft Of 6,451 PSA-Rated TCG Cards</t>
  </si>
  <si>
    <r>
      <rPr>
        <sz val="10"/>
        <rFont val="Noto Sans CJK SC"/>
        <family val="2"/>
      </rPr>
      <t xml:space="preserve">美國聯邦調查局正式展開調查，針對大量盜取的 </t>
    </r>
    <r>
      <rPr>
        <sz val="10"/>
        <rFont val="Arial"/>
        <family val="0"/>
        <charset val="1"/>
      </rPr>
      <t xml:space="preserve">6,451 </t>
    </r>
    <r>
      <rPr>
        <sz val="10"/>
        <rFont val="Noto Sans CJK SC"/>
        <family val="2"/>
      </rPr>
      <t xml:space="preserve">張 </t>
    </r>
    <r>
      <rPr>
        <sz val="10"/>
        <rFont val="Arial"/>
        <family val="0"/>
        <charset val="1"/>
      </rPr>
      <t xml:space="preserve">PSA </t>
    </r>
    <r>
      <rPr>
        <sz val="10"/>
        <rFont val="Noto Sans CJK SC"/>
        <family val="2"/>
      </rPr>
      <t xml:space="preserve">評級 </t>
    </r>
    <r>
      <rPr>
        <sz val="10"/>
        <rFont val="Arial"/>
        <family val="0"/>
        <charset val="1"/>
      </rPr>
      <t xml:space="preserve">TCG </t>
    </r>
    <r>
      <rPr>
        <sz val="10"/>
        <rFont val="Noto Sans CJK SC"/>
        <family val="2"/>
      </rPr>
      <t xml:space="preserve">卡片。</t>
    </r>
  </si>
  <si>
    <t xml:space="preserve">TheGamer</t>
  </si>
  <si>
    <r>
      <rPr>
        <sz val="10"/>
        <rFont val="Arial"/>
        <family val="0"/>
        <charset val="1"/>
      </rPr>
      <t xml:space="preserve">FBI </t>
    </r>
    <r>
      <rPr>
        <sz val="10"/>
        <rFont val="Noto Sans CJK SC"/>
        <family val="2"/>
      </rPr>
      <t xml:space="preserve">調查的是 </t>
    </r>
    <r>
      <rPr>
        <sz val="10"/>
        <rFont val="Arial"/>
        <family val="0"/>
        <charset val="1"/>
      </rPr>
      <t xml:space="preserve">PSA </t>
    </r>
    <r>
      <rPr>
        <sz val="10"/>
        <rFont val="Noto Sans CJK SC"/>
        <family val="2"/>
      </rPr>
      <t xml:space="preserve">鑑定卡失竊案；</t>
    </r>
    <r>
      <rPr>
        <sz val="10"/>
        <rFont val="Arial"/>
        <family val="0"/>
        <charset val="1"/>
      </rPr>
      <t xml:space="preserve">PSA </t>
    </r>
    <r>
      <rPr>
        <sz val="10"/>
        <rFont val="Noto Sans CJK SC"/>
        <family val="2"/>
      </rPr>
      <t xml:space="preserve">指卡片鑑定公司，不是 </t>
    </r>
    <r>
      <rPr>
        <sz val="10"/>
        <rFont val="Arial"/>
        <family val="0"/>
        <charset val="1"/>
      </rPr>
      <t xml:space="preserve">Public Storage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Ticker </t>
    </r>
    <r>
      <rPr>
        <sz val="10"/>
        <rFont val="Noto Sans CJK SC"/>
        <family val="2"/>
      </rPr>
      <t xml:space="preserve">誤配。</t>
    </r>
  </si>
  <si>
    <t xml:space="preserve">630eed693f3793c4957828db</t>
  </si>
  <si>
    <t xml:space="preserve">Event_Code</t>
  </si>
  <si>
    <t xml:space="preserve">事件中文</t>
  </si>
  <si>
    <t xml:space="preserve">Level</t>
  </si>
  <si>
    <t xml:space="preserve">ACCOUNTING_FRAUD</t>
  </si>
  <si>
    <t xml:space="preserve">會計舞弊</t>
  </si>
  <si>
    <t xml:space="preserve">DELISTING</t>
  </si>
  <si>
    <t xml:space="preserve">下市</t>
  </si>
  <si>
    <t xml:space="preserve">TRADING_SUSPENSION</t>
  </si>
  <si>
    <t xml:space="preserve">停牌</t>
  </si>
  <si>
    <t xml:space="preserve">AUDITOR_RESIGNATION</t>
  </si>
  <si>
    <t xml:space="preserve">會計師辭任</t>
  </si>
  <si>
    <t xml:space="preserve">ENVIRONMENTAL_INCIDENT</t>
  </si>
  <si>
    <t xml:space="preserve">重大環境事故</t>
  </si>
  <si>
    <t xml:space="preserve">EXECUTIVE_MISCONDUCT</t>
  </si>
  <si>
    <t xml:space="preserve">高管不當行為</t>
  </si>
  <si>
    <t xml:space="preserve">FDA_WARNING</t>
  </si>
  <si>
    <r>
      <rPr>
        <sz val="10"/>
        <rFont val="Arial"/>
        <family val="0"/>
        <charset val="1"/>
      </rPr>
      <t xml:space="preserve">FDA</t>
    </r>
    <r>
      <rPr>
        <sz val="10"/>
        <rFont val="Noto Sans CJK SC"/>
        <family val="2"/>
      </rPr>
      <t xml:space="preserve">警告</t>
    </r>
  </si>
  <si>
    <t xml:space="preserve">GUIDANCE_WITHDRAWN</t>
  </si>
  <si>
    <t xml:space="preserve">撤回財測</t>
  </si>
  <si>
    <t xml:space="preserve">INSIDER_TRADING</t>
  </si>
  <si>
    <t xml:space="preserve">內線交易</t>
  </si>
  <si>
    <t xml:space="preserve">RESTATEMENT</t>
  </si>
  <si>
    <t xml:space="preserve">重編財報</t>
  </si>
  <si>
    <t xml:space="preserve">SANCTION</t>
  </si>
  <si>
    <t xml:space="preserve">制裁</t>
  </si>
  <si>
    <t xml:space="preserve">CDS_SPREAD_WIDENING</t>
  </si>
  <si>
    <r>
      <rPr>
        <sz val="10"/>
        <rFont val="Arial"/>
        <family val="0"/>
        <charset val="1"/>
      </rPr>
      <t xml:space="preserve">CDS</t>
    </r>
    <r>
      <rPr>
        <sz val="10"/>
        <rFont val="Noto Sans CJK SC"/>
        <family val="2"/>
      </rPr>
      <t xml:space="preserve">利差擴大／信用風險升高</t>
    </r>
  </si>
  <si>
    <t xml:space="preserve">CEO_DEPARTURE</t>
  </si>
  <si>
    <r>
      <rPr>
        <sz val="10"/>
        <rFont val="Arial"/>
        <family val="0"/>
        <charset val="1"/>
      </rPr>
      <t xml:space="preserve">CEO</t>
    </r>
    <r>
      <rPr>
        <sz val="10"/>
        <rFont val="Noto Sans CJK SC"/>
        <family val="2"/>
      </rPr>
      <t xml:space="preserve">異動</t>
    </r>
  </si>
  <si>
    <t xml:space="preserve">CFO_DEPARTURE</t>
  </si>
  <si>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異動</t>
    </r>
  </si>
  <si>
    <t xml:space="preserve">CYBER_ATTACK</t>
  </si>
  <si>
    <t xml:space="preserve">資安攻擊</t>
  </si>
  <si>
    <t xml:space="preserve">DATA_BREACH</t>
  </si>
  <si>
    <t xml:space="preserve">資料外洩</t>
  </si>
  <si>
    <t xml:space="preserve">EARNINGS_MISS</t>
  </si>
  <si>
    <t xml:space="preserve">財報不如預期</t>
  </si>
  <si>
    <t xml:space="preserve">財測下修</t>
  </si>
  <si>
    <t xml:space="preserve">EXPORT_RESTRICTION</t>
  </si>
  <si>
    <t xml:space="preserve">出口管制</t>
  </si>
  <si>
    <t xml:space="preserve">FACTORY_SHUTDOWN</t>
  </si>
  <si>
    <t xml:space="preserve">工廠停工</t>
  </si>
  <si>
    <t xml:space="preserve">MAJOR_CUSTOMER_LOSS</t>
  </si>
  <si>
    <t xml:space="preserve">重大客戶流失</t>
  </si>
  <si>
    <t xml:space="preserve">OPERATING_DETERIORATION</t>
  </si>
  <si>
    <t xml:space="preserve">營運惡化</t>
  </si>
  <si>
    <t xml:space="preserve">PATENT_LITIGATION</t>
  </si>
  <si>
    <t xml:space="preserve">專利訴訟</t>
  </si>
  <si>
    <t xml:space="preserve">PRODUCT_DEFECT</t>
  </si>
  <si>
    <t xml:space="preserve">重大產品瑕疵</t>
  </si>
  <si>
    <t xml:space="preserve">PRODUCT_RECALL</t>
  </si>
  <si>
    <t xml:space="preserve">產品召回</t>
  </si>
  <si>
    <t xml:space="preserve">SHORT_SELLER_REPORT</t>
  </si>
  <si>
    <t xml:space="preserve">放空機構報告</t>
  </si>
  <si>
    <t xml:space="preserve">SUPPLY_CHAIN_DISRUPTION</t>
  </si>
  <si>
    <t xml:space="preserve">供應鏈中斷</t>
  </si>
  <si>
    <t xml:space="preserve">TRADE_RESTRICTION</t>
  </si>
  <si>
    <t xml:space="preserve">貿易限制</t>
  </si>
  <si>
    <t xml:space="preserve">WORKFORCE_REDUCTION</t>
  </si>
  <si>
    <t xml:space="preserve">裁員或人力縮減</t>
  </si>
  <si>
    <t xml:space="preserve">ANALYST_DOWNGRADE</t>
  </si>
  <si>
    <t xml:space="preserve">分析師降評</t>
  </si>
  <si>
    <t xml:space="preserve">BOARD_RESTRUCTURE</t>
  </si>
  <si>
    <t xml:space="preserve">董事會重大改組</t>
  </si>
  <si>
    <t xml:space="preserve">PRIVACY_INCIDENT</t>
  </si>
  <si>
    <t xml:space="preserve">隱私事件</t>
  </si>
  <si>
    <t xml:space="preserve">PRODUCTION_DELAY</t>
  </si>
  <si>
    <t xml:space="preserve">生產延遲</t>
  </si>
  <si>
    <t xml:space="preserve">PRODUCT_OR_SERVICE_DISCONTINUATION</t>
  </si>
  <si>
    <t xml:space="preserve">產品或服務終止</t>
  </si>
  <si>
    <t xml:space="preserve">TARIFF</t>
  </si>
  <si>
    <t xml:space="preserve">關稅</t>
  </si>
  <si>
    <t xml:space="preserve">NATURAL_DISASTER</t>
  </si>
  <si>
    <t xml:space="preserve">天災</t>
  </si>
  <si>
    <t xml:space="preserve">PRICE_MOVEMENT</t>
  </si>
  <si>
    <t xml:space="preserve">股價下跌</t>
  </si>
  <si>
    <t xml:space="preserve">SECTOR_MOVE</t>
  </si>
  <si>
    <t xml:space="preserve">產業下跌</t>
  </si>
  <si>
    <t xml:space="preserve">VALUATION_CONCERN</t>
  </si>
  <si>
    <t xml:space="preserve">估值疑慮</t>
  </si>
  <si>
    <t xml:space="preserve">GENERAL_INFORMATION</t>
  </si>
  <si>
    <t xml:space="preserve">一般公司更新</t>
  </si>
  <si>
    <t xml:space="preserve">NON_CORE_SOURCE</t>
  </si>
  <si>
    <t xml:space="preserve">非主要公司網站</t>
  </si>
  <si>
    <t xml:space="preserve">NOT_RELEVANT</t>
  </si>
  <si>
    <t xml:space="preserve">無關新聞事件</t>
  </si>
  <si>
    <t xml:space="preserve">UNKNOWN</t>
  </si>
  <si>
    <t xml:space="preserve">待人工覆核</t>
  </si>
  <si>
    <r>
      <rPr>
        <i val="true"/>
        <sz val="9"/>
        <rFont val="Noto Sans CJK SC"/>
        <family val="2"/>
      </rPr>
      <t xml:space="preserve">來源：</t>
    </r>
    <r>
      <rPr>
        <i val="true"/>
        <sz val="9"/>
        <rFont val="Arial"/>
        <family val="0"/>
        <charset val="1"/>
      </rPr>
      <t xml:space="preserve">negative-news </t>
    </r>
    <r>
      <rPr>
        <i val="true"/>
        <sz val="9"/>
        <rFont val="Noto Sans CJK SC"/>
        <family val="2"/>
      </rPr>
      <t xml:space="preserve">的 </t>
    </r>
    <r>
      <rPr>
        <i val="true"/>
        <sz val="9"/>
        <rFont val="Arial"/>
        <family val="0"/>
        <charset val="1"/>
      </rPr>
      <t xml:space="preserve">Parameter_Event.xlsx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Event </t>
    </r>
    <r>
      <rPr>
        <i val="true"/>
        <sz val="9"/>
        <rFont val="Noto Sans CJK SC"/>
        <family val="2"/>
      </rPr>
      <t xml:space="preserve">工作表），</t>
    </r>
    <r>
      <rPr>
        <i val="true"/>
        <sz val="9"/>
        <rFont val="Arial"/>
        <family val="0"/>
        <charset val="1"/>
      </rPr>
      <t xml:space="preserve">2026-10-26 </t>
    </r>
    <r>
      <rPr>
        <i val="true"/>
        <sz val="9"/>
        <rFont val="Noto Sans CJK SC"/>
        <family val="2"/>
      </rPr>
      <t xml:space="preserve">讀取。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</si>
</sst>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u val="single"/>
      <sz val="10"/>
      <color rgb="FF0563C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F8F00"/>
        <bgColor rgb="FF8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ill>
        <patternFill>
          <bgColor rgb="FFA6A6A6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563C1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ews.google.com/rss/articles/CBMiiAFBVV95cUxNLXQxZHB4UjYySm00cnkwamVMbU43Smhrd2M3Y0ZRUGJHTWVwWHctaHNXSVJyVlVjNGY1SXM2cUdtRGlkQmVBTF9hY3dYQTF0LTVMb1JNUU5SOEctcFZ5dkJhV0VONFBSNjE2RVphMTJCR1AtRGpUWXhkSTNXZlVXTU5PdUgzQmtf?oc=5" TargetMode="External"/><Relationship Id="rId2" Type="http://schemas.openxmlformats.org/officeDocument/2006/relationships/hyperlink" Target="https://news.google.com/rss/articles/CBMiiwFBVV95cUxOVUt4aldEYTVESGctMzBUTTBTckt4MDVQVUhSaUVfY256dVpMQXFBZ25pWXd1VDVuT1JVamlRNlhvNFZ3bWZXcDVuc2wtYlYxUUU2N0poeU1sbGt1eWtrZ3FMTWZ2czd2c2pOaU5ZcGp5RGk2U3Y0UENPU01uWC1SZ0tvOUNvZHVQQ3Qw0gGTAUFVX3lxTE5qNFBLYkI1UU" TargetMode="External"/><Relationship Id="rId3" Type="http://schemas.openxmlformats.org/officeDocument/2006/relationships/hyperlink" Target="https://news.google.com/rss/articles/CBMiSEFVX3lxTE9BcUNGTzNmalRRZTM0Qk9xQ0RkRm9qclMxMmRWeHB1eUFjSGlNdzNxYm5tYlhqaktzcmxoVGxPN0V3S1ZOTTZmdQ?oc=5" TargetMode="External"/><Relationship Id="rId4" Type="http://schemas.openxmlformats.org/officeDocument/2006/relationships/hyperlink" Target="https://news.google.com/rss/articles/CBMimgFBVV95cUxNX0hvNGdTa0Vzakk2Sndrb0xlaFJzQWtVNzM5SHpTeWpjYUY2Y0FDdFljNkk5UllGakdhaWFSbXJfTTJTMmQzQl9Mc3ZhcGFyemphUmx0NFMyekcxVXlkX3Z2MXJXQldaRFpnT3JSNHhqc2Y5NThTM2NBTGdNMmVTNVRqREgyQVpxUEVON0FjdjNFS3k5UVhYdnN3?oc=5" TargetMode="External"/><Relationship Id="rId5" Type="http://schemas.openxmlformats.org/officeDocument/2006/relationships/hyperlink" Target="https://news.google.com/rss/articles/CBMiT0FVX3lxTE4yUUM2WlJmdmJOaUVUNHRjZk9tUUxZR1pDLXk0MGd3bHppRVZaQ2RaV0ZvV1BXRFlKZEp1ejZhN0phc3c3YWNnbjJkc1RDdEE?oc=5" TargetMode="External"/><Relationship Id="rId6" Type="http://schemas.openxmlformats.org/officeDocument/2006/relationships/hyperlink" Target="https://news.google.com/rss/articles/CBMiiwFBVV95cUxPaXkxbTd3WFRlMnNJQ1F0akZGS1BnYkR4bHBtODR6Ynhqb2hUWXVxNkdMVzNUUFJxNzJZMHdOR3MyQU5BMmptb3VDQ005ME40cHRRR3FkQXVtcTJkcl8yY3owRV9ZeWdCazBOVEh6SzVXX2lrOVRBMXQ5T09Qc3ljWldyUkVEZ1V5YkNZ?oc=5" TargetMode="External"/><Relationship Id="rId7" Type="http://schemas.openxmlformats.org/officeDocument/2006/relationships/hyperlink" Target="https://www.gelonghui.com/live/2640938" TargetMode="External"/><Relationship Id="rId8" Type="http://schemas.openxmlformats.org/officeDocument/2006/relationships/hyperlink" Target="https://www.gelonghui.com/live/2708239" TargetMode="External"/><Relationship Id="rId9" Type="http://schemas.openxmlformats.org/officeDocument/2006/relationships/hyperlink" Target="https://news.google.com/rss/articles/CBMihgFBVV95cUxNSXpqVVA2QkpXZXJXeWJ4YlNfTElrR3ZfU3BEYV9kay1HVS1QcXpucVRKYzEyNFFnOVZSQkRDRHNwSVVFS2FqWHplRk9nTjA2cWNCdFJTSEFIX1JsN1JoZUtYMTB1aUFRaHVPc2drbkIyQ0ExNkViRUp5MzJIR25QR0FfSi1Ldw?oc=5" TargetMode="External"/><Relationship Id="rId10" Type="http://schemas.openxmlformats.org/officeDocument/2006/relationships/hyperlink" Target="https://news.google.com/rss/articles/CBMinAFBVV95cUxORThCejNJRnVQaHdoNnJsdlY4dHh3eFNDM3VFTHVRT1gyaEVvcjZQN3ZzckZNRUtiQWZzM1NZT0tGaHZDMzhvaXVhYUNxRnhxaEp2Mm5WaGRPZkVoN0k3QlBZdkZKZV85WHEwbkZ0TTZJVVl6aFZzd1lnc2U5ZHF3OXVJektPUkoyQnNuZDdCbFBxX2gzQ2xmdHVrN3U?oc" TargetMode="External"/><Relationship Id="rId11" Type="http://schemas.openxmlformats.org/officeDocument/2006/relationships/hyperlink" Target="https://news.google.com/rss/articles/CBMikwFBVV95cUxOVWh6WDFGdnB5X1RTcW92LWx2V3RKdGhCcHRqT3Y5cmNkbzZOX0dNd2xZeldxLVFYZUIzOHJSMWo0QU1QQlh2RGFhMEtRTDFmVjZoY05qRWpBV1RtTmZveDdJSURoT3dISVViekdPVjJpbVNzcTZpOXd2Ql9pcVozclpCTzdCMjUyQXNaNW1MVzZxR3M?oc=5" TargetMode="External"/><Relationship Id="rId12" Type="http://schemas.openxmlformats.org/officeDocument/2006/relationships/hyperlink" Target="https://news.google.com/rss/articles/CBMisAFBVV95cUxQYlk1dHhMcldpMmN3aTQxOUxKaVV5Q18tQ1VuMjBTNHRNNWR0RzNndV81SXNFYjEzcXpRZWFmMkJzdk9rcXhVTDIxN29PV1lDUExfakFRbTNRcWlRQVd2LXdaclJMajAtQVhFQ2NHT3RiRXZtY0hfQmppWTducGZyRHpuUm8tRG5VZlRQbU9UTWkyVjhRZU1CS25DM2pCN0" TargetMode="External"/><Relationship Id="rId13" Type="http://schemas.openxmlformats.org/officeDocument/2006/relationships/hyperlink" Target="https://news.google.com/rss/articles/CBMitwFBVV95cUxNTVl3VmJaLXY1OERkNDBiRjZ0MlFtblRhMnhnc01oQ2lOM25mZVlzd2RVU0Vlc2VaalZESjBFT214QWFyZUVHUEhMUDBqbWZVQngtRXpKMWpVd0NkT1J3d3R5eGQ3Zk9WWFdXNl9uVmtaVHZYbFk1bTl1Um1wMUhqbWFWTVhoX2hIbi11SHdRZlpQUU5TVXpRc2xua1pqWl" TargetMode="External"/><Relationship Id="rId14" Type="http://schemas.openxmlformats.org/officeDocument/2006/relationships/hyperlink" Target="https://news.google.com/rss/articles/CBMimAFBVV95cUxQZ2NOcHBBeFgwamJCQ0hNWmJkLXJHOTZjUU5aT1hVOEpfSzY1aW8wZ2NLMFVYNE5QZG5zLUxMTGYzWUQzLTV1SDJXbkRuZnJoWW92R250WmpMaXZEZFFHajBqU2Q2NG44aU1qX2hUOVdyZnhsQlYxeTVrakhOYTZyT3kzaWpNUGRWLWZ4andORUJrMm9nVzk0bQ?oc=5" TargetMode="External"/><Relationship Id="rId15" Type="http://schemas.openxmlformats.org/officeDocument/2006/relationships/hyperlink" Target="https://news.google.com/rss/articles/CBMi1AFBVV95cUxPWHJRcURURXlZbXZUVGUwczZYWnBoSGs1SGZEdFRHVEw5NTU0alRoTElPQkd6bnMwMkUzUzQ5emVFMlhYMlNTaWhzUVBfM3pFV1lWV1otV0lLQ2E1ZnZMWG1yYVZSVlJzTGRHdmpIQ3ZiSWF2dDRTYVRhZHdCRXVQcWdrNGt2UnlLbDBTWjY5dWtyMXBLaU95YVp0RUdUQz" TargetMode="External"/><Relationship Id="rId16" Type="http://schemas.openxmlformats.org/officeDocument/2006/relationships/hyperlink" Target="https://news.google.com/rss/articles/CBMilwFBVV95cUxON3Vua0xBT0RuclpJSjR1b2pvd2xqX003REkzdFB2TXU2WnlPRDNEQlQxN1RhWjJMelhiZ0J0SkVaM2ZYMWZWd1dqTDdudndkeTJ2YkUyT3pGcEZjOERwUDB4QklHUXpEbk5HSEZQUXJjMEhtLUY5amxQWk5vWjhWaW5MWHh0UFR1QktiY0dGSzZxWGllWDc0?oc=5" TargetMode="External"/><Relationship Id="rId17" Type="http://schemas.openxmlformats.org/officeDocument/2006/relationships/hyperlink" Target="https://www.gelonghui.com/live/2634491" TargetMode="External"/><Relationship Id="rId18" Type="http://schemas.openxmlformats.org/officeDocument/2006/relationships/hyperlink" Target="https://tw.tradingview.com/symbols/NYSE-AXP/news/" TargetMode="External"/><Relationship Id="rId19" Type="http://schemas.openxmlformats.org/officeDocument/2006/relationships/hyperlink" Target="https://tw.tradingview.com/symbols/NYSE-BA/news/" TargetMode="External"/><Relationship Id="rId20" Type="http://schemas.openxmlformats.org/officeDocument/2006/relationships/hyperlink" Target="https://news.google.com/rss/articles/CBMimwFBVV95cUxON2N5NGNVUEhwWWJ6NGZtWEtOOXJvNkZoQ3NjNVFCSHRkOVpfeGRKZFE0VlVrU0N5XzlyWDU3cnNDZ0xNYWktUDBmRzVjUGtiaV9Kc1lvQmsyX1c3VVo0S3hrNFZZQTl1SHdNMTdYOTZsN3BFOU5ONHBWa0xiVUwzdm5GZU5jenlFdnhsZnNIam85Yi1jdTdWUjQ5UQ?oc=" TargetMode="External"/><Relationship Id="rId21" Type="http://schemas.openxmlformats.org/officeDocument/2006/relationships/hyperlink" Target="https://news.google.com/rss/articles/CBMizgFBVV95cUxQVkVCNGZVYXp0Z2hYYVFLM0F3WnBPdTVRYmZfc1Fmbl94enpkWjAzLXNWVEdzOEV5Q3Z4V2RYcDNkOTh1ZHhjUi1XeXhRdllvMUhWZG56TzVrbm9jWHpXQTFWcU01a2FMTmhTdm1lS3EzcnRDdU9pdTlMd2IwdVVTaXNGSTI2YWU5MmFIM0N3SG5HM3dhWHl1N3JJYUdkdU" TargetMode="External"/><Relationship Id="rId22" Type="http://schemas.openxmlformats.org/officeDocument/2006/relationships/hyperlink" Target="https://news.google.com/rss/articles/CBMipwFBVV95cUxOMDk5ODlSLXptRHRSRW1xYW9rOGNZcERhWUQ1Zy1HdTJZbUNUaEljdldWbjI4RkhCMmdtSTBJRkx1OVBmdWNoclZEbXYzRnppa2plalVqNE13ZFIzSVVIQkpYZ3pWSzVBRWZsVGltVm55M09WWFJTNmpKSm5TbF9LSl9DWHp4NFZkRUprWHRjRDJFOHdnSldaQ0V0b3RYN2" TargetMode="External"/><Relationship Id="rId23" Type="http://schemas.openxmlformats.org/officeDocument/2006/relationships/hyperlink" Target="https://news.google.com/rss/articles/CBMihgFBVV95cUxNUDdna2V3bXFlOERIUnFkejQ5WkVBc2I3cVRoZXNGdWZDQnRMeUVEZ2x6VnVVbTJQenY4aDIwU0RLQ1JOMWVLazZmZ3N1MjVmLXFyc08xOWhBT0pLU1JDUzctczNpQmdkd1BuUHo0M1N3M3ZoNFktQmg4V2NOWjFwM2dxWngzUQ?oc=5" TargetMode="External"/><Relationship Id="rId24" Type="http://schemas.openxmlformats.org/officeDocument/2006/relationships/hyperlink" Target="https://news.google.com/rss/articles/CBMiT0FVX3lxTE5oUVZCaVRuWXpWMnJhMG05QVJxdTZRTVU2UHRuUFZfQVRqZXFlZUZsUW9rcmZOcVJRLXRNUjZnbVhXclN6bGNZRzV5WFhjLVE?oc=5" TargetMode="External"/><Relationship Id="rId25" Type="http://schemas.openxmlformats.org/officeDocument/2006/relationships/hyperlink" Target="https://news.google.com/rss/articles/CBMitAFBVV95cUxPQl9ER0JjUC1UZ0lQUDhHTFl1dVZGUm9zZzEzd0lUVGRPcUxQSUhaU2h0ODhEd0xsX3ZoRjI3SUFqSWZlajNvdlB6QW9qckg3dnJaNHlqNU1TUTBjWndSSHVaLUlIbW1kRndjOXZ3Tnd3bkZBWlkzb3ZZdTFQbWpYWlRkbWNTdTVDZEJyVTRjMUdfbXJkNDRfRjRnZXJfNE" TargetMode="External"/><Relationship Id="rId26" Type="http://schemas.openxmlformats.org/officeDocument/2006/relationships/hyperlink" Target="https://news.google.com/rss/articles/CBMivwFBVV95cUxPZTFGa2xRTXNyNVpHcG90ZmpqMkhiS282ejJUUVVoZU9QQW5JZU9SdnBqbmxxS1o0Nk9nVlhPR252WXd5YVllUm9KM3REdE83dERNV1JPdTlnZHBQXzFjQ2pxUEVVTzlYUEo2cEJTTWp2MzlQdkgwT2d2X0F2dGFjQlVfZEN3Tm44ak1yVUt5SGxKN19QeW45R0xtQnlkc0" TargetMode="External"/><Relationship Id="rId27" Type="http://schemas.openxmlformats.org/officeDocument/2006/relationships/hyperlink" Target="https://news.google.com/rss/articles/CBMipwFBVV95cUxPM1VWQWNYcG4wN2dkUHRwTUVIQnN5WUxqOG13bXpTRjB4MHdwaXlreTYzUk5udmItV2pydlM3TGgwaTUtbC1sdWNWTllpZ1pTQjBUWnhVZktTLU0xMUNzSG9GaXBIV1RnUWo0cXBZZy1ndVVDQ0pWdXFWTDJCYmhnYlBXQVdLcGlXYWJwdEdfazZCb3BZTzR3V2syMk42cT" TargetMode="External"/><Relationship Id="rId28" Type="http://schemas.openxmlformats.org/officeDocument/2006/relationships/hyperlink" Target="https://news.google.com/rss/articles/CBMiwAFBVV95cUxPS0NzQ2w2Rjc1NGVrVXRDODFiRHdXSzZsVEdjbWV6empCZm5YdjVIaGlnajFKT21yaXNNd1BOX3pPWDBWVnVKR043NWhldHdjdTZBMlB1SXFxRWd4ODd3N3NtRW4zZ2RUTGwwcm5KUW1GTW1CdDQyZXd6MkJUNTNzeHBkVVQ3VGVGZHpwaTdrd2J3Z3dueWJPbUxfUVNlTU" TargetMode="External"/><Relationship Id="rId29" Type="http://schemas.openxmlformats.org/officeDocument/2006/relationships/hyperlink" Target="https://news.google.com/rss/articles/CBMirwFBVV95cUxPRjk0ZUY1N1hGdU9XekZZNFVNLUtkZkNEdVpNZmZ4NF9tOFRWa29XeUw3TVNHdXpNTlc3dnJ2dk0wNGVkNi1FV3JTSzNLRzROLWFETjdhS2hQZTQzOEdxazVDd002Q01TWWczckFKdnpSaWZpRDJ4RjZlbFZDYVZMQ055ZmxGYkNpQ0hJTWpzdHZFSWJMTXpYR18zTXdzOE" TargetMode="External"/><Relationship Id="rId30" Type="http://schemas.openxmlformats.org/officeDocument/2006/relationships/hyperlink" Target="https://news.google.com/rss/articles/CBMicEFVX3lxTE5GZ0JQUGtCQ0dvdHd4Mk5idUlTQjN2XzdUNS00dlBMTkFIRmZENFlCU1ZYZ2FqalgyNzZlSjQ0UHY0cnJpcW5LY0pqcXpvOFdtSE1nUnVwYWNlYTlJQ0l6aEF0R2ZIRURLcmRIc2MzaC0?oc=5" TargetMode="External"/><Relationship Id="rId3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2" min="11" style="0" width="8"/>
    <col collapsed="false" customWidth="true" hidden="false" outlineLevel="0" max="13" min="13" style="0" width="22"/>
    <col collapsed="false" customWidth="true" hidden="false" outlineLevel="0" max="14" min="14" style="0" width="8"/>
    <col collapsed="false" customWidth="true" hidden="false" outlineLevel="0" max="15" min="15" style="0" width="48"/>
    <col collapsed="false" customWidth="true" hidden="false" outlineLevel="0" max="16" min="16" style="0" width="8"/>
    <col collapsed="false" customWidth="true" hidden="false" outlineLevel="0" max="17" min="17" style="0" width="10"/>
    <col collapsed="false" customWidth="true" hidden="false" outlineLevel="0" max="18" min="18" style="0" width="22"/>
    <col collapsed="false" customWidth="true" hidden="false" outlineLevel="0" max="19" min="19" style="0" width="16"/>
    <col collapsed="false" customWidth="true" hidden="false" outlineLevel="0" max="20" min="20" style="0" width="8"/>
    <col collapsed="false" customWidth="true" hidden="false" outlineLevel="0" max="21" min="21" style="0" width="16"/>
    <col collapsed="false" customWidth="true" hidden="false" outlineLevel="0" max="22" min="22" style="0" width="22"/>
    <col collapsed="false" customWidth="true" hidden="false" outlineLevel="0" max="23" min="23" style="0" width="10"/>
    <col collapsed="false" customWidth="true" hidden="false" outlineLevel="0" max="24" min="24" style="0" width="26"/>
    <col collapsed="false" customWidth="true" hidden="false" outlineLevel="0" max="25" min="25" style="0" width="10"/>
  </cols>
  <sheetData>
    <row r="1" customFormat="false" ht="31.5" hidden="false" customHeight="true" outlineLevel="0" collapsed="false">
      <c r="A1" s="5" t="s">
        <v>12</v>
      </c>
      <c r="B1" s="5" t="s">
        <v>13</v>
      </c>
      <c r="C1" s="6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6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7" t="s">
        <v>28</v>
      </c>
      <c r="R1" s="7" t="s">
        <v>29</v>
      </c>
      <c r="S1" s="5" t="s">
        <v>30</v>
      </c>
      <c r="T1" s="5" t="s">
        <v>31</v>
      </c>
      <c r="U1" s="5" t="s">
        <v>32</v>
      </c>
      <c r="V1" s="7" t="s">
        <v>33</v>
      </c>
      <c r="W1" s="7" t="s">
        <v>34</v>
      </c>
      <c r="X1" s="6" t="s">
        <v>35</v>
      </c>
      <c r="Y1" s="5" t="s">
        <v>36</v>
      </c>
    </row>
    <row r="2" customFormat="false" ht="29.85" hidden="false" customHeight="false" outlineLevel="0" collapsed="false">
      <c r="A2" s="8" t="n">
        <v>1</v>
      </c>
      <c r="B2" s="8" t="s">
        <v>37</v>
      </c>
      <c r="C2" s="8" t="s">
        <v>38</v>
      </c>
      <c r="D2" s="9" t="s">
        <v>39</v>
      </c>
      <c r="E2" s="10" t="s">
        <v>40</v>
      </c>
      <c r="F2" s="9" t="s">
        <v>41</v>
      </c>
      <c r="G2" s="11" t="s">
        <v>42</v>
      </c>
      <c r="H2" s="12"/>
      <c r="I2" s="13" t="s">
        <v>43</v>
      </c>
      <c r="J2" s="14" t="s">
        <v>44</v>
      </c>
      <c r="K2" s="8" t="n">
        <v>5</v>
      </c>
      <c r="L2" s="15" t="s">
        <v>45</v>
      </c>
      <c r="M2" s="13"/>
      <c r="N2" s="16" t="s">
        <v>46</v>
      </c>
      <c r="O2" s="9" t="s">
        <v>47</v>
      </c>
      <c r="P2" s="8"/>
      <c r="Q2" s="17" t="s">
        <v>45</v>
      </c>
      <c r="R2" s="18"/>
      <c r="S2" s="14" t="str">
        <f aca="false">IF(Q2="維持",J2,IF(Q2="排除","無關新聞事件",IFERROR(INDEX(事件規則!$B$2:$B$53,MATCH(R2,事件規則!$A$2:$A$53,0)),"")))</f>
        <v>破產</v>
      </c>
      <c r="T2" s="19" t="n">
        <f aca="false">IF(Q2="維持",K2,IF(Q2="排除",0,IFERROR(INDEX(事件規則!$C$2:$C$53,MATCH(R2,事件規則!$A$2:$A$53,0)),"")))</f>
        <v>5</v>
      </c>
      <c r="U2" s="9" t="str">
        <f aca="false">IF(AND(Q2="修改",R2=""),"請選新事件代碼",IF(AND(Q2&lt;&gt;"修改",R2&lt;&gt;""),"只有「修改」才需填代碼",""))</f>
        <v/>
      </c>
      <c r="V2" s="20"/>
      <c r="W2" s="21"/>
      <c r="X2" s="11" t="s">
        <v>48</v>
      </c>
      <c r="Y2" s="11"/>
    </row>
    <row r="3" customFormat="false" ht="29.85" hidden="false" customHeight="false" outlineLevel="0" collapsed="false">
      <c r="A3" s="8" t="n">
        <v>2</v>
      </c>
      <c r="B3" s="8" t="s">
        <v>37</v>
      </c>
      <c r="C3" s="8" t="s">
        <v>38</v>
      </c>
      <c r="D3" s="9" t="s">
        <v>39</v>
      </c>
      <c r="E3" s="10" t="s">
        <v>49</v>
      </c>
      <c r="F3" s="9" t="s">
        <v>50</v>
      </c>
      <c r="G3" s="11" t="s">
        <v>51</v>
      </c>
      <c r="H3" s="12"/>
      <c r="I3" s="13" t="s">
        <v>43</v>
      </c>
      <c r="J3" s="14" t="s">
        <v>44</v>
      </c>
      <c r="K3" s="8" t="n">
        <v>5</v>
      </c>
      <c r="L3" s="15" t="s">
        <v>45</v>
      </c>
      <c r="M3" s="13"/>
      <c r="N3" s="16" t="s">
        <v>46</v>
      </c>
      <c r="O3" s="9" t="s">
        <v>52</v>
      </c>
      <c r="P3" s="8"/>
      <c r="Q3" s="17" t="s">
        <v>45</v>
      </c>
      <c r="R3" s="18"/>
      <c r="S3" s="14" t="str">
        <f aca="false">IF(Q3="維持",J3,IF(Q3="排除","無關新聞事件",IFERROR(INDEX(事件規則!$B$2:$B$53,MATCH(R3,事件規則!$A$2:$A$53,0)),"")))</f>
        <v>破產</v>
      </c>
      <c r="T3" s="19" t="n">
        <f aca="false">IF(Q3="維持",K3,IF(Q3="排除",0,IFERROR(INDEX(事件規則!$C$2:$C$53,MATCH(R3,事件規則!$A$2:$A$53,0)),"")))</f>
        <v>5</v>
      </c>
      <c r="U3" s="9" t="str">
        <f aca="false">IF(AND(Q3="修改",R3=""),"請選新事件代碼",IF(AND(Q3&lt;&gt;"修改",R3&lt;&gt;""),"只有「修改」才需填代碼",""))</f>
        <v/>
      </c>
      <c r="V3" s="20"/>
      <c r="W3" s="21"/>
      <c r="X3" s="11" t="s">
        <v>53</v>
      </c>
      <c r="Y3" s="11"/>
    </row>
    <row r="4" customFormat="false" ht="29.85" hidden="false" customHeight="false" outlineLevel="0" collapsed="false">
      <c r="A4" s="8" t="n">
        <v>3</v>
      </c>
      <c r="B4" s="8" t="s">
        <v>37</v>
      </c>
      <c r="C4" s="8" t="s">
        <v>38</v>
      </c>
      <c r="D4" s="9" t="s">
        <v>39</v>
      </c>
      <c r="E4" s="10" t="s">
        <v>54</v>
      </c>
      <c r="F4" s="9" t="s">
        <v>55</v>
      </c>
      <c r="G4" s="11" t="s">
        <v>56</v>
      </c>
      <c r="H4" s="12"/>
      <c r="I4" s="13" t="s">
        <v>43</v>
      </c>
      <c r="J4" s="14" t="s">
        <v>44</v>
      </c>
      <c r="K4" s="8" t="n">
        <v>5</v>
      </c>
      <c r="L4" s="15" t="s">
        <v>45</v>
      </c>
      <c r="M4" s="13"/>
      <c r="N4" s="16" t="s">
        <v>46</v>
      </c>
      <c r="O4" s="9" t="s">
        <v>57</v>
      </c>
      <c r="P4" s="8"/>
      <c r="Q4" s="17" t="s">
        <v>45</v>
      </c>
      <c r="R4" s="18"/>
      <c r="S4" s="14" t="str">
        <f aca="false">IF(Q4="維持",J4,IF(Q4="排除","無關新聞事件",IFERROR(INDEX(事件規則!$B$2:$B$53,MATCH(R4,事件規則!$A$2:$A$53,0)),"")))</f>
        <v>破產</v>
      </c>
      <c r="T4" s="19" t="n">
        <f aca="false">IF(Q4="維持",K4,IF(Q4="排除",0,IFERROR(INDEX(事件規則!$C$2:$C$53,MATCH(R4,事件規則!$A$2:$A$53,0)),"")))</f>
        <v>5</v>
      </c>
      <c r="U4" s="9" t="str">
        <f aca="false">IF(AND(Q4="修改",R4=""),"請選新事件代碼",IF(AND(Q4&lt;&gt;"修改",R4&lt;&gt;""),"只有「修改」才需填代碼",""))</f>
        <v/>
      </c>
      <c r="V4" s="20"/>
      <c r="W4" s="21"/>
      <c r="X4" s="11" t="s">
        <v>58</v>
      </c>
      <c r="Y4" s="11"/>
    </row>
    <row r="5" customFormat="false" ht="44" hidden="false" customHeight="false" outlineLevel="0" collapsed="false">
      <c r="A5" s="8" t="n">
        <v>4</v>
      </c>
      <c r="B5" s="8" t="s">
        <v>59</v>
      </c>
      <c r="C5" s="8" t="s">
        <v>60</v>
      </c>
      <c r="D5" s="9" t="s">
        <v>61</v>
      </c>
      <c r="E5" s="10" t="s">
        <v>62</v>
      </c>
      <c r="F5" s="9" t="s">
        <v>63</v>
      </c>
      <c r="G5" s="11" t="s">
        <v>64</v>
      </c>
      <c r="H5" s="12"/>
      <c r="I5" s="13" t="s">
        <v>65</v>
      </c>
      <c r="J5" s="14" t="s">
        <v>66</v>
      </c>
      <c r="K5" s="8" t="n">
        <v>5</v>
      </c>
      <c r="L5" s="15" t="s">
        <v>45</v>
      </c>
      <c r="M5" s="13"/>
      <c r="N5" s="16" t="s">
        <v>46</v>
      </c>
      <c r="O5" s="14" t="s">
        <v>67</v>
      </c>
      <c r="P5" s="8"/>
      <c r="Q5" s="17" t="s">
        <v>45</v>
      </c>
      <c r="R5" s="18"/>
      <c r="S5" s="14" t="str">
        <f aca="false">IF(Q5="維持",J5,IF(Q5="排除","無關新聞事件",IFERROR(INDEX(事件規則!$B$2:$B$53,MATCH(R5,事件規則!$A$2:$A$53,0)),"")))</f>
        <v>繼續經營疑慮</v>
      </c>
      <c r="T5" s="19" t="n">
        <f aca="false">IF(Q5="維持",K5,IF(Q5="排除",0,IFERROR(INDEX(事件規則!$C$2:$C$53,MATCH(R5,事件規則!$A$2:$A$53,0)),"")))</f>
        <v>5</v>
      </c>
      <c r="U5" s="9" t="str">
        <f aca="false">IF(AND(Q5="修改",R5=""),"請選新事件代碼",IF(AND(Q5&lt;&gt;"修改",R5&lt;&gt;""),"只有「修改」才需填代碼",""))</f>
        <v/>
      </c>
      <c r="V5" s="20"/>
      <c r="W5" s="21"/>
      <c r="X5" s="11" t="s">
        <v>68</v>
      </c>
      <c r="Y5" s="11"/>
    </row>
    <row r="6" customFormat="false" ht="44" hidden="false" customHeight="false" outlineLevel="0" collapsed="false">
      <c r="A6" s="8" t="n">
        <v>5</v>
      </c>
      <c r="B6" s="8" t="s">
        <v>37</v>
      </c>
      <c r="C6" s="8" t="s">
        <v>69</v>
      </c>
      <c r="D6" s="9" t="s">
        <v>70</v>
      </c>
      <c r="E6" s="10" t="s">
        <v>71</v>
      </c>
      <c r="F6" s="9" t="s">
        <v>72</v>
      </c>
      <c r="G6" s="22" t="s">
        <v>73</v>
      </c>
      <c r="H6" s="12"/>
      <c r="I6" s="13" t="s">
        <v>74</v>
      </c>
      <c r="J6" s="14" t="s">
        <v>75</v>
      </c>
      <c r="K6" s="8" t="n">
        <v>5</v>
      </c>
      <c r="L6" s="15" t="s">
        <v>45</v>
      </c>
      <c r="M6" s="13"/>
      <c r="N6" s="16" t="s">
        <v>76</v>
      </c>
      <c r="O6" s="14" t="s">
        <v>77</v>
      </c>
      <c r="P6" s="16" t="s">
        <v>78</v>
      </c>
      <c r="Q6" s="17" t="s">
        <v>45</v>
      </c>
      <c r="R6" s="18"/>
      <c r="S6" s="14" t="str">
        <f aca="false">IF(Q6="維持",J6,IF(Q6="排除","無關新聞事件",IFERROR(INDEX(事件規則!$B$2:$B$53,MATCH(R6,事件規則!$A$2:$A$53,0)),"")))</f>
        <v>流動性危機</v>
      </c>
      <c r="T6" s="19" t="n">
        <f aca="false">IF(Q6="維持",K6,IF(Q6="排除",0,IFERROR(INDEX(事件規則!$C$2:$C$53,MATCH(R6,事件規則!$A$2:$A$53,0)),"")))</f>
        <v>5</v>
      </c>
      <c r="U6" s="9" t="str">
        <f aca="false">IF(AND(Q6="修改",R6=""),"請選新事件代碼",IF(AND(Q6&lt;&gt;"修改",R6&lt;&gt;""),"只有「修改」才需填代碼",""))</f>
        <v/>
      </c>
      <c r="V6" s="20"/>
      <c r="W6" s="21"/>
      <c r="X6" s="11" t="s">
        <v>79</v>
      </c>
      <c r="Y6" s="22"/>
    </row>
    <row r="7" customFormat="false" ht="44" hidden="false" customHeight="false" outlineLevel="0" collapsed="false">
      <c r="A7" s="8" t="n">
        <v>6</v>
      </c>
      <c r="B7" s="8" t="s">
        <v>59</v>
      </c>
      <c r="C7" s="8"/>
      <c r="D7" s="9" t="s">
        <v>80</v>
      </c>
      <c r="E7" s="10" t="s">
        <v>81</v>
      </c>
      <c r="F7" s="9" t="s">
        <v>82</v>
      </c>
      <c r="G7" s="11" t="s">
        <v>83</v>
      </c>
      <c r="H7" s="12"/>
      <c r="I7" s="13" t="s">
        <v>43</v>
      </c>
      <c r="J7" s="14" t="s">
        <v>44</v>
      </c>
      <c r="K7" s="8" t="n">
        <v>5</v>
      </c>
      <c r="L7" s="15" t="s">
        <v>45</v>
      </c>
      <c r="M7" s="13"/>
      <c r="N7" s="16" t="s">
        <v>84</v>
      </c>
      <c r="O7" s="9" t="s">
        <v>85</v>
      </c>
      <c r="P7" s="16" t="s">
        <v>78</v>
      </c>
      <c r="Q7" s="17" t="s">
        <v>45</v>
      </c>
      <c r="R7" s="18"/>
      <c r="S7" s="14" t="str">
        <f aca="false">IF(Q7="維持",J7,IF(Q7="排除","無關新聞事件",IFERROR(INDEX(事件規則!$B$2:$B$53,MATCH(R7,事件規則!$A$2:$A$53,0)),"")))</f>
        <v>破產</v>
      </c>
      <c r="T7" s="19" t="n">
        <f aca="false">IF(Q7="維持",K7,IF(Q7="排除",0,IFERROR(INDEX(事件規則!$C$2:$C$53,MATCH(R7,事件規則!$A$2:$A$53,0)),"")))</f>
        <v>5</v>
      </c>
      <c r="U7" s="9" t="str">
        <f aca="false">IF(AND(Q7="修改",R7=""),"請選新事件代碼",IF(AND(Q7&lt;&gt;"修改",R7&lt;&gt;""),"只有「修改」才需填代碼",""))</f>
        <v/>
      </c>
      <c r="V7" s="20"/>
      <c r="W7" s="21"/>
      <c r="X7" s="11" t="s">
        <v>86</v>
      </c>
      <c r="Y7" s="22"/>
    </row>
    <row r="8" customFormat="false" ht="29.85" hidden="false" customHeight="false" outlineLevel="0" collapsed="false">
      <c r="A8" s="8" t="n">
        <v>7</v>
      </c>
      <c r="B8" s="8" t="s">
        <v>87</v>
      </c>
      <c r="C8" s="8"/>
      <c r="D8" s="9" t="s">
        <v>88</v>
      </c>
      <c r="E8" s="23" t="s">
        <v>89</v>
      </c>
      <c r="F8" s="14"/>
      <c r="G8" s="11" t="s">
        <v>90</v>
      </c>
      <c r="H8" s="12"/>
      <c r="I8" s="13" t="s">
        <v>91</v>
      </c>
      <c r="J8" s="14" t="s">
        <v>92</v>
      </c>
      <c r="K8" s="8" t="n">
        <v>5</v>
      </c>
      <c r="L8" s="15" t="s">
        <v>93</v>
      </c>
      <c r="M8" s="13" t="s">
        <v>94</v>
      </c>
      <c r="N8" s="16" t="s">
        <v>84</v>
      </c>
      <c r="O8" s="14" t="s">
        <v>95</v>
      </c>
      <c r="P8" s="16" t="s">
        <v>78</v>
      </c>
      <c r="Q8" s="17" t="s">
        <v>93</v>
      </c>
      <c r="R8" s="18" t="s">
        <v>94</v>
      </c>
      <c r="S8" s="14" t="str">
        <f aca="false">IF(Q8="維持",J8,IF(Q8="排除","無關新聞事件",IFERROR(INDEX(事件規則!$B$2:$B$53,MATCH(R8,事件規則!$A$2:$A$53,0)),"")))</f>
        <v>重大訴訟</v>
      </c>
      <c r="T8" s="19" t="n">
        <f aca="false">IF(Q8="維持",K8,IF(Q8="排除",0,IFERROR(INDEX(事件規則!$C$2:$C$53,MATCH(R8,事件規則!$A$2:$A$53,0)),"")))</f>
        <v>4</v>
      </c>
      <c r="U8" s="9" t="str">
        <f aca="false">IF(AND(Q8="修改",R8=""),"請選新事件代碼",IF(AND(Q8&lt;&gt;"修改",R8&lt;&gt;""),"只有「修改」才需填代碼",""))</f>
        <v/>
      </c>
      <c r="V8" s="20"/>
      <c r="W8" s="21"/>
      <c r="X8" s="11" t="s">
        <v>96</v>
      </c>
      <c r="Y8" s="22"/>
    </row>
    <row r="9" customFormat="false" ht="29.85" hidden="false" customHeight="false" outlineLevel="0" collapsed="false">
      <c r="A9" s="8" t="n">
        <v>8</v>
      </c>
      <c r="B9" s="8" t="s">
        <v>97</v>
      </c>
      <c r="C9" s="8"/>
      <c r="D9" s="9" t="s">
        <v>98</v>
      </c>
      <c r="E9" s="10" t="s">
        <v>99</v>
      </c>
      <c r="F9" s="9" t="s">
        <v>100</v>
      </c>
      <c r="G9" s="11" t="s">
        <v>90</v>
      </c>
      <c r="H9" s="12" t="n">
        <v>-0.027</v>
      </c>
      <c r="I9" s="13" t="s">
        <v>43</v>
      </c>
      <c r="J9" s="14" t="s">
        <v>44</v>
      </c>
      <c r="K9" s="8" t="n">
        <v>5</v>
      </c>
      <c r="L9" s="15" t="s">
        <v>101</v>
      </c>
      <c r="M9" s="13"/>
      <c r="N9" s="16" t="s">
        <v>84</v>
      </c>
      <c r="O9" s="14" t="s">
        <v>102</v>
      </c>
      <c r="P9" s="16"/>
      <c r="Q9" s="17" t="s">
        <v>101</v>
      </c>
      <c r="R9" s="18"/>
      <c r="S9" s="14" t="str">
        <f aca="false">IF(Q9="維持",J9,IF(Q9="排除","無關新聞事件",IFERROR(INDEX(事件規則!$B$2:$B$53,MATCH(R9,事件規則!$A$2:$A$53,0)),"")))</f>
        <v>無關新聞事件</v>
      </c>
      <c r="T9" s="19" t="n">
        <f aca="false">IF(Q9="維持",K9,IF(Q9="排除",0,IFERROR(INDEX(事件規則!$C$2:$C$53,MATCH(R9,事件規則!$A$2:$A$53,0)),"")))</f>
        <v>0</v>
      </c>
      <c r="U9" s="9" t="str">
        <f aca="false">IF(AND(Q9="修改",R9=""),"請選新事件代碼",IF(AND(Q9&lt;&gt;"修改",R9&lt;&gt;""),"只有「修改」才需填代碼",""))</f>
        <v/>
      </c>
      <c r="V9" s="20"/>
      <c r="W9" s="21"/>
      <c r="X9" s="11" t="s">
        <v>103</v>
      </c>
      <c r="Y9" s="22"/>
    </row>
    <row r="10" customFormat="false" ht="44" hidden="false" customHeight="false" outlineLevel="0" collapsed="false">
      <c r="A10" s="8" t="n">
        <v>9</v>
      </c>
      <c r="B10" s="8" t="s">
        <v>104</v>
      </c>
      <c r="C10" s="8"/>
      <c r="D10" s="9" t="s">
        <v>105</v>
      </c>
      <c r="E10" s="10" t="s">
        <v>106</v>
      </c>
      <c r="F10" s="14" t="s">
        <v>107</v>
      </c>
      <c r="G10" s="11" t="s">
        <v>108</v>
      </c>
      <c r="H10" s="12" t="n">
        <v>-0.046</v>
      </c>
      <c r="I10" s="13" t="s">
        <v>43</v>
      </c>
      <c r="J10" s="14" t="s">
        <v>44</v>
      </c>
      <c r="K10" s="8" t="n">
        <v>5</v>
      </c>
      <c r="L10" s="15" t="s">
        <v>101</v>
      </c>
      <c r="M10" s="13"/>
      <c r="N10" s="16" t="s">
        <v>46</v>
      </c>
      <c r="O10" s="9" t="s">
        <v>109</v>
      </c>
      <c r="P10" s="16"/>
      <c r="Q10" s="17" t="s">
        <v>101</v>
      </c>
      <c r="R10" s="18"/>
      <c r="S10" s="14" t="str">
        <f aca="false">IF(Q10="維持",J10,IF(Q10="排除","無關新聞事件",IFERROR(INDEX(事件規則!$B$2:$B$53,MATCH(R10,事件規則!$A$2:$A$53,0)),"")))</f>
        <v>無關新聞事件</v>
      </c>
      <c r="T10" s="19" t="n">
        <f aca="false">IF(Q10="維持",K10,IF(Q10="排除",0,IFERROR(INDEX(事件規則!$C$2:$C$53,MATCH(R10,事件規則!$A$2:$A$53,0)),"")))</f>
        <v>0</v>
      </c>
      <c r="U10" s="9" t="str">
        <f aca="false">IF(AND(Q10="修改",R10=""),"請選新事件代碼",IF(AND(Q10&lt;&gt;"修改",R10&lt;&gt;""),"只有「修改」才需填代碼",""))</f>
        <v/>
      </c>
      <c r="V10" s="20"/>
      <c r="W10" s="21"/>
      <c r="X10" s="11" t="s">
        <v>110</v>
      </c>
      <c r="Y10" s="22"/>
    </row>
    <row r="11" customFormat="false" ht="29.85" hidden="false" customHeight="false" outlineLevel="0" collapsed="false">
      <c r="A11" s="8" t="n">
        <v>10</v>
      </c>
      <c r="B11" s="8" t="s">
        <v>111</v>
      </c>
      <c r="C11" s="8"/>
      <c r="D11" s="9" t="s">
        <v>112</v>
      </c>
      <c r="E11" s="10" t="s">
        <v>113</v>
      </c>
      <c r="F11" s="9" t="s">
        <v>114</v>
      </c>
      <c r="G11" s="11" t="s">
        <v>115</v>
      </c>
      <c r="H11" s="12" t="n">
        <v>0.017</v>
      </c>
      <c r="I11" s="13" t="s">
        <v>91</v>
      </c>
      <c r="J11" s="14" t="s">
        <v>92</v>
      </c>
      <c r="K11" s="8" t="n">
        <v>5</v>
      </c>
      <c r="L11" s="15" t="s">
        <v>101</v>
      </c>
      <c r="M11" s="13"/>
      <c r="N11" s="16" t="s">
        <v>46</v>
      </c>
      <c r="O11" s="14" t="s">
        <v>116</v>
      </c>
      <c r="P11" s="16"/>
      <c r="Q11" s="17" t="s">
        <v>101</v>
      </c>
      <c r="R11" s="18"/>
      <c r="S11" s="14" t="str">
        <f aca="false">IF(Q11="維持",J11,IF(Q11="排除","無關新聞事件",IFERROR(INDEX(事件規則!$B$2:$B$53,MATCH(R11,事件規則!$A$2:$A$53,0)),"")))</f>
        <v>無關新聞事件</v>
      </c>
      <c r="T11" s="19" t="n">
        <f aca="false">IF(Q11="維持",K11,IF(Q11="排除",0,IFERROR(INDEX(事件規則!$C$2:$C$53,MATCH(R11,事件規則!$A$2:$A$53,0)),"")))</f>
        <v>0</v>
      </c>
      <c r="U11" s="9" t="str">
        <f aca="false">IF(AND(Q11="修改",R11=""),"請選新事件代碼",IF(AND(Q11&lt;&gt;"修改",R11&lt;&gt;""),"只有「修改」才需填代碼",""))</f>
        <v/>
      </c>
      <c r="V11" s="20"/>
      <c r="W11" s="21"/>
      <c r="X11" s="11" t="s">
        <v>117</v>
      </c>
      <c r="Y11" s="22"/>
    </row>
    <row r="12" customFormat="false" ht="29.85" hidden="false" customHeight="false" outlineLevel="0" collapsed="false">
      <c r="A12" s="8" t="n">
        <v>11</v>
      </c>
      <c r="B12" s="8" t="s">
        <v>118</v>
      </c>
      <c r="C12" s="8"/>
      <c r="D12" s="9" t="s">
        <v>119</v>
      </c>
      <c r="E12" s="10" t="s">
        <v>120</v>
      </c>
      <c r="F12" s="14" t="s">
        <v>121</v>
      </c>
      <c r="G12" s="11" t="s">
        <v>122</v>
      </c>
      <c r="H12" s="12" t="n">
        <v>-0.876</v>
      </c>
      <c r="I12" s="13" t="s">
        <v>43</v>
      </c>
      <c r="J12" s="14" t="s">
        <v>44</v>
      </c>
      <c r="K12" s="8" t="n">
        <v>5</v>
      </c>
      <c r="L12" s="15" t="s">
        <v>101</v>
      </c>
      <c r="M12" s="13"/>
      <c r="N12" s="16" t="s">
        <v>46</v>
      </c>
      <c r="O12" s="14" t="s">
        <v>123</v>
      </c>
      <c r="P12" s="16"/>
      <c r="Q12" s="17" t="s">
        <v>101</v>
      </c>
      <c r="R12" s="18"/>
      <c r="S12" s="14" t="str">
        <f aca="false">IF(Q12="維持",J12,IF(Q12="排除","無關新聞事件",IFERROR(INDEX(事件規則!$B$2:$B$53,MATCH(R12,事件規則!$A$2:$A$53,0)),"")))</f>
        <v>無關新聞事件</v>
      </c>
      <c r="T12" s="19" t="n">
        <f aca="false">IF(Q12="維持",K12,IF(Q12="排除",0,IFERROR(INDEX(事件規則!$C$2:$C$53,MATCH(R12,事件規則!$A$2:$A$53,0)),"")))</f>
        <v>0</v>
      </c>
      <c r="U12" s="9" t="str">
        <f aca="false">IF(AND(Q12="修改",R12=""),"請選新事件代碼",IF(AND(Q12&lt;&gt;"修改",R12&lt;&gt;""),"只有「修改」才需填代碼",""))</f>
        <v/>
      </c>
      <c r="V12" s="20"/>
      <c r="W12" s="21"/>
      <c r="X12" s="11" t="s">
        <v>124</v>
      </c>
      <c r="Y12" s="22"/>
    </row>
    <row r="13" customFormat="false" ht="29.85" hidden="false" customHeight="false" outlineLevel="0" collapsed="false">
      <c r="A13" s="8" t="n">
        <v>12</v>
      </c>
      <c r="B13" s="8" t="s">
        <v>118</v>
      </c>
      <c r="C13" s="8"/>
      <c r="D13" s="9" t="s">
        <v>119</v>
      </c>
      <c r="E13" s="10" t="s">
        <v>125</v>
      </c>
      <c r="F13" s="9" t="s">
        <v>126</v>
      </c>
      <c r="G13" s="11" t="s">
        <v>127</v>
      </c>
      <c r="H13" s="12" t="n">
        <v>-0.875</v>
      </c>
      <c r="I13" s="13" t="s">
        <v>43</v>
      </c>
      <c r="J13" s="14" t="s">
        <v>44</v>
      </c>
      <c r="K13" s="8" t="n">
        <v>5</v>
      </c>
      <c r="L13" s="15" t="s">
        <v>101</v>
      </c>
      <c r="M13" s="13"/>
      <c r="N13" s="16" t="s">
        <v>46</v>
      </c>
      <c r="O13" s="14" t="s">
        <v>128</v>
      </c>
      <c r="P13" s="16"/>
      <c r="Q13" s="17" t="s">
        <v>101</v>
      </c>
      <c r="R13" s="18"/>
      <c r="S13" s="14" t="str">
        <f aca="false">IF(Q13="維持",J13,IF(Q13="排除","無關新聞事件",IFERROR(INDEX(事件規則!$B$2:$B$53,MATCH(R13,事件規則!$A$2:$A$53,0)),"")))</f>
        <v>無關新聞事件</v>
      </c>
      <c r="T13" s="19" t="n">
        <f aca="false">IF(Q13="維持",K13,IF(Q13="排除",0,IFERROR(INDEX(事件規則!$C$2:$C$53,MATCH(R13,事件規則!$A$2:$A$53,0)),"")))</f>
        <v>0</v>
      </c>
      <c r="U13" s="9" t="str">
        <f aca="false">IF(AND(Q13="修改",R13=""),"請選新事件代碼",IF(AND(Q13&lt;&gt;"修改",R13&lt;&gt;""),"只有「修改」才需填代碼",""))</f>
        <v/>
      </c>
      <c r="V13" s="20"/>
      <c r="W13" s="21"/>
      <c r="X13" s="11" t="s">
        <v>129</v>
      </c>
      <c r="Y13" s="22"/>
    </row>
    <row r="14" customFormat="false" ht="29.85" hidden="false" customHeight="false" outlineLevel="0" collapsed="false">
      <c r="A14" s="8" t="n">
        <v>13</v>
      </c>
      <c r="B14" s="8" t="s">
        <v>118</v>
      </c>
      <c r="C14" s="8"/>
      <c r="D14" s="9" t="s">
        <v>119</v>
      </c>
      <c r="E14" s="10" t="s">
        <v>130</v>
      </c>
      <c r="F14" s="14" t="s">
        <v>131</v>
      </c>
      <c r="G14" s="11" t="s">
        <v>132</v>
      </c>
      <c r="H14" s="12" t="n">
        <v>-0.923</v>
      </c>
      <c r="I14" s="13" t="s">
        <v>43</v>
      </c>
      <c r="J14" s="14" t="s">
        <v>44</v>
      </c>
      <c r="K14" s="8" t="n">
        <v>5</v>
      </c>
      <c r="L14" s="15" t="s">
        <v>101</v>
      </c>
      <c r="M14" s="13"/>
      <c r="N14" s="16" t="s">
        <v>46</v>
      </c>
      <c r="O14" s="14" t="s">
        <v>128</v>
      </c>
      <c r="P14" s="16"/>
      <c r="Q14" s="17" t="s">
        <v>101</v>
      </c>
      <c r="R14" s="18"/>
      <c r="S14" s="14" t="str">
        <f aca="false">IF(Q14="維持",J14,IF(Q14="排除","無關新聞事件",IFERROR(INDEX(事件規則!$B$2:$B$53,MATCH(R14,事件規則!$A$2:$A$53,0)),"")))</f>
        <v>無關新聞事件</v>
      </c>
      <c r="T14" s="19" t="n">
        <f aca="false">IF(Q14="維持",K14,IF(Q14="排除",0,IFERROR(INDEX(事件規則!$C$2:$C$53,MATCH(R14,事件規則!$A$2:$A$53,0)),"")))</f>
        <v>0</v>
      </c>
      <c r="U14" s="9" t="str">
        <f aca="false">IF(AND(Q14="修改",R14=""),"請選新事件代碼",IF(AND(Q14&lt;&gt;"修改",R14&lt;&gt;""),"只有「修改」才需填代碼",""))</f>
        <v/>
      </c>
      <c r="V14" s="20"/>
      <c r="W14" s="21"/>
      <c r="X14" s="11" t="s">
        <v>133</v>
      </c>
      <c r="Y14" s="22"/>
    </row>
    <row r="15" customFormat="false" ht="29.85" hidden="false" customHeight="false" outlineLevel="0" collapsed="false">
      <c r="A15" s="8" t="n">
        <v>14</v>
      </c>
      <c r="B15" s="8" t="s">
        <v>134</v>
      </c>
      <c r="C15" s="8"/>
      <c r="D15" s="9" t="s">
        <v>119</v>
      </c>
      <c r="E15" s="10" t="s">
        <v>135</v>
      </c>
      <c r="F15" s="14" t="s">
        <v>136</v>
      </c>
      <c r="G15" s="11" t="s">
        <v>137</v>
      </c>
      <c r="H15" s="12" t="n">
        <v>-0.757</v>
      </c>
      <c r="I15" s="13" t="s">
        <v>43</v>
      </c>
      <c r="J15" s="14" t="s">
        <v>44</v>
      </c>
      <c r="K15" s="8" t="n">
        <v>5</v>
      </c>
      <c r="L15" s="15" t="s">
        <v>101</v>
      </c>
      <c r="M15" s="13"/>
      <c r="N15" s="16" t="s">
        <v>46</v>
      </c>
      <c r="O15" s="14" t="s">
        <v>128</v>
      </c>
      <c r="P15" s="16"/>
      <c r="Q15" s="17" t="s">
        <v>101</v>
      </c>
      <c r="R15" s="18"/>
      <c r="S15" s="14" t="str">
        <f aca="false">IF(Q15="維持",J15,IF(Q15="排除","無關新聞事件",IFERROR(INDEX(事件規則!$B$2:$B$53,MATCH(R15,事件規則!$A$2:$A$53,0)),"")))</f>
        <v>無關新聞事件</v>
      </c>
      <c r="T15" s="19" t="n">
        <f aca="false">IF(Q15="維持",K15,IF(Q15="排除",0,IFERROR(INDEX(事件規則!$C$2:$C$53,MATCH(R15,事件規則!$A$2:$A$53,0)),"")))</f>
        <v>0</v>
      </c>
      <c r="U15" s="9" t="str">
        <f aca="false">IF(AND(Q15="修改",R15=""),"請選新事件代碼",IF(AND(Q15&lt;&gt;"修改",R15&lt;&gt;""),"只有「修改」才需填代碼",""))</f>
        <v/>
      </c>
      <c r="V15" s="20"/>
      <c r="W15" s="21"/>
      <c r="X15" s="11" t="s">
        <v>138</v>
      </c>
      <c r="Y15" s="22"/>
    </row>
    <row r="16" customFormat="false" ht="29.85" hidden="false" customHeight="false" outlineLevel="0" collapsed="false">
      <c r="A16" s="8" t="n">
        <v>15</v>
      </c>
      <c r="B16" s="8" t="s">
        <v>134</v>
      </c>
      <c r="C16" s="8"/>
      <c r="D16" s="9" t="s">
        <v>139</v>
      </c>
      <c r="E16" s="10" t="s">
        <v>140</v>
      </c>
      <c r="F16" s="14" t="s">
        <v>141</v>
      </c>
      <c r="G16" s="11" t="s">
        <v>142</v>
      </c>
      <c r="H16" s="12" t="n">
        <v>-0.919</v>
      </c>
      <c r="I16" s="13" t="s">
        <v>43</v>
      </c>
      <c r="J16" s="14" t="s">
        <v>44</v>
      </c>
      <c r="K16" s="8" t="n">
        <v>5</v>
      </c>
      <c r="L16" s="15" t="s">
        <v>101</v>
      </c>
      <c r="M16" s="13"/>
      <c r="N16" s="16" t="s">
        <v>46</v>
      </c>
      <c r="O16" s="14" t="s">
        <v>143</v>
      </c>
      <c r="P16" s="16"/>
      <c r="Q16" s="17" t="s">
        <v>101</v>
      </c>
      <c r="R16" s="18"/>
      <c r="S16" s="14" t="str">
        <f aca="false">IF(Q16="維持",J16,IF(Q16="排除","無關新聞事件",IFERROR(INDEX(事件規則!$B$2:$B$53,MATCH(R16,事件規則!$A$2:$A$53,0)),"")))</f>
        <v>無關新聞事件</v>
      </c>
      <c r="T16" s="19" t="n">
        <f aca="false">IF(Q16="維持",K16,IF(Q16="排除",0,IFERROR(INDEX(事件規則!$C$2:$C$53,MATCH(R16,事件規則!$A$2:$A$53,0)),"")))</f>
        <v>0</v>
      </c>
      <c r="U16" s="9" t="str">
        <f aca="false">IF(AND(Q16="修改",R16=""),"請選新事件代碼",IF(AND(Q16&lt;&gt;"修改",R16&lt;&gt;""),"只有「修改」才需填代碼",""))</f>
        <v/>
      </c>
      <c r="V16" s="20"/>
      <c r="W16" s="21"/>
      <c r="X16" s="11" t="s">
        <v>144</v>
      </c>
      <c r="Y16" s="22"/>
    </row>
    <row r="17" customFormat="false" ht="29.85" hidden="false" customHeight="false" outlineLevel="0" collapsed="false">
      <c r="A17" s="8" t="n">
        <v>16</v>
      </c>
      <c r="B17" s="8" t="s">
        <v>145</v>
      </c>
      <c r="C17" s="8" t="s">
        <v>146</v>
      </c>
      <c r="D17" s="9" t="s">
        <v>147</v>
      </c>
      <c r="E17" s="10" t="s">
        <v>148</v>
      </c>
      <c r="F17" s="14" t="s">
        <v>149</v>
      </c>
      <c r="G17" s="11" t="s">
        <v>150</v>
      </c>
      <c r="H17" s="12" t="n">
        <v>-0.929</v>
      </c>
      <c r="I17" s="13" t="s">
        <v>151</v>
      </c>
      <c r="J17" s="14" t="s">
        <v>152</v>
      </c>
      <c r="K17" s="8" t="n">
        <v>4</v>
      </c>
      <c r="L17" s="15" t="s">
        <v>45</v>
      </c>
      <c r="M17" s="13"/>
      <c r="N17" s="16" t="s">
        <v>46</v>
      </c>
      <c r="O17" s="14" t="s">
        <v>153</v>
      </c>
      <c r="P17" s="16"/>
      <c r="Q17" s="17" t="s">
        <v>45</v>
      </c>
      <c r="R17" s="18"/>
      <c r="S17" s="14" t="str">
        <f aca="false">IF(Q17="維持",J17,IF(Q17="排除","無關新聞事件",IFERROR(INDEX(事件規則!$B$2:$B$53,MATCH(R17,事件規則!$A$2:$A$53,0)),"")))</f>
        <v>反壟斷調查</v>
      </c>
      <c r="T17" s="19" t="n">
        <f aca="false">IF(Q17="維持",K17,IF(Q17="排除",0,IFERROR(INDEX(事件規則!$C$2:$C$53,MATCH(R17,事件規則!$A$2:$A$53,0)),"")))</f>
        <v>4</v>
      </c>
      <c r="U17" s="9" t="str">
        <f aca="false">IF(AND(Q17="修改",R17=""),"請選新事件代碼",IF(AND(Q17&lt;&gt;"修改",R17&lt;&gt;""),"只有「修改」才需填代碼",""))</f>
        <v/>
      </c>
      <c r="V17" s="20"/>
      <c r="W17" s="21"/>
      <c r="X17" s="11" t="s">
        <v>154</v>
      </c>
      <c r="Y17" s="22"/>
    </row>
    <row r="18" customFormat="false" ht="15" hidden="false" customHeight="false" outlineLevel="0" collapsed="false">
      <c r="A18" s="8" t="n">
        <v>17</v>
      </c>
      <c r="B18" s="8" t="s">
        <v>155</v>
      </c>
      <c r="C18" s="8" t="s">
        <v>156</v>
      </c>
      <c r="D18" s="9" t="s">
        <v>157</v>
      </c>
      <c r="E18" s="10" t="s">
        <v>158</v>
      </c>
      <c r="F18" s="14"/>
      <c r="G18" s="11" t="s">
        <v>90</v>
      </c>
      <c r="H18" s="12"/>
      <c r="I18" s="13" t="s">
        <v>94</v>
      </c>
      <c r="J18" s="14" t="s">
        <v>159</v>
      </c>
      <c r="K18" s="8" t="n">
        <v>4</v>
      </c>
      <c r="L18" s="15" t="s">
        <v>45</v>
      </c>
      <c r="M18" s="13"/>
      <c r="N18" s="16" t="s">
        <v>46</v>
      </c>
      <c r="O18" s="9" t="s">
        <v>160</v>
      </c>
      <c r="P18" s="16"/>
      <c r="Q18" s="17" t="s">
        <v>45</v>
      </c>
      <c r="R18" s="18"/>
      <c r="S18" s="14" t="str">
        <f aca="false">IF(Q18="維持",J18,IF(Q18="排除","無關新聞事件",IFERROR(INDEX(事件規則!$B$2:$B$53,MATCH(R18,事件規則!$A$2:$A$53,0)),"")))</f>
        <v>重大訴訟</v>
      </c>
      <c r="T18" s="19" t="n">
        <f aca="false">IF(Q18="維持",K18,IF(Q18="排除",0,IFERROR(INDEX(事件規則!$C$2:$C$53,MATCH(R18,事件規則!$A$2:$A$53,0)),"")))</f>
        <v>4</v>
      </c>
      <c r="U18" s="9" t="str">
        <f aca="false">IF(AND(Q18="修改",R18=""),"請選新事件代碼",IF(AND(Q18&lt;&gt;"修改",R18&lt;&gt;""),"只有「修改」才需填代碼",""))</f>
        <v/>
      </c>
      <c r="V18" s="20"/>
      <c r="W18" s="21"/>
      <c r="X18" s="11" t="s">
        <v>161</v>
      </c>
      <c r="Y18" s="22"/>
    </row>
    <row r="19" customFormat="false" ht="29.85" hidden="false" customHeight="false" outlineLevel="0" collapsed="false">
      <c r="A19" s="8" t="n">
        <v>18</v>
      </c>
      <c r="B19" s="8" t="s">
        <v>162</v>
      </c>
      <c r="C19" s="8"/>
      <c r="D19" s="9" t="s">
        <v>163</v>
      </c>
      <c r="E19" s="23" t="s">
        <v>164</v>
      </c>
      <c r="F19" s="14"/>
      <c r="G19" s="11" t="s">
        <v>90</v>
      </c>
      <c r="H19" s="12" t="n">
        <v>0.028</v>
      </c>
      <c r="I19" s="13" t="s">
        <v>165</v>
      </c>
      <c r="J19" s="14" t="s">
        <v>166</v>
      </c>
      <c r="K19" s="8" t="n">
        <v>4</v>
      </c>
      <c r="L19" s="15" t="s">
        <v>45</v>
      </c>
      <c r="M19" s="13"/>
      <c r="N19" s="16" t="s">
        <v>46</v>
      </c>
      <c r="O19" s="14" t="s">
        <v>167</v>
      </c>
      <c r="P19" s="16"/>
      <c r="Q19" s="17" t="s">
        <v>45</v>
      </c>
      <c r="R19" s="18"/>
      <c r="S19" s="14" t="str">
        <f aca="false">IF(Q19="維持",J19,IF(Q19="排除","無關新聞事件",IFERROR(INDEX(事件規則!$B$2:$B$53,MATCH(R19,事件規則!$A$2:$A$53,0)),"")))</f>
        <v>監管裁罰</v>
      </c>
      <c r="T19" s="19" t="n">
        <f aca="false">IF(Q19="維持",K19,IF(Q19="排除",0,IFERROR(INDEX(事件規則!$C$2:$C$53,MATCH(R19,事件規則!$A$2:$A$53,0)),"")))</f>
        <v>4</v>
      </c>
      <c r="U19" s="9" t="str">
        <f aca="false">IF(AND(Q19="修改",R19=""),"請選新事件代碼",IF(AND(Q19&lt;&gt;"修改",R19&lt;&gt;""),"只有「修改」才需填代碼",""))</f>
        <v/>
      </c>
      <c r="V19" s="20"/>
      <c r="W19" s="21"/>
      <c r="X19" s="11" t="s">
        <v>168</v>
      </c>
      <c r="Y19" s="22"/>
    </row>
    <row r="20" customFormat="false" ht="29.85" hidden="false" customHeight="false" outlineLevel="0" collapsed="false">
      <c r="A20" s="8" t="n">
        <v>19</v>
      </c>
      <c r="B20" s="8" t="s">
        <v>169</v>
      </c>
      <c r="C20" s="8"/>
      <c r="D20" s="9" t="s">
        <v>170</v>
      </c>
      <c r="E20" s="23" t="s">
        <v>171</v>
      </c>
      <c r="F20" s="14"/>
      <c r="G20" s="11" t="s">
        <v>90</v>
      </c>
      <c r="H20" s="12"/>
      <c r="I20" s="13" t="s">
        <v>165</v>
      </c>
      <c r="J20" s="14" t="s">
        <v>166</v>
      </c>
      <c r="K20" s="8" t="n">
        <v>4</v>
      </c>
      <c r="L20" s="15" t="s">
        <v>45</v>
      </c>
      <c r="M20" s="13"/>
      <c r="N20" s="16" t="s">
        <v>46</v>
      </c>
      <c r="O20" s="14" t="s">
        <v>172</v>
      </c>
      <c r="P20" s="16"/>
      <c r="Q20" s="17" t="s">
        <v>45</v>
      </c>
      <c r="R20" s="18"/>
      <c r="S20" s="14" t="str">
        <f aca="false">IF(Q20="維持",J20,IF(Q20="排除","無關新聞事件",IFERROR(INDEX(事件規則!$B$2:$B$53,MATCH(R20,事件規則!$A$2:$A$53,0)),"")))</f>
        <v>監管裁罰</v>
      </c>
      <c r="T20" s="19" t="n">
        <f aca="false">IF(Q20="維持",K20,IF(Q20="排除",0,IFERROR(INDEX(事件規則!$C$2:$C$53,MATCH(R20,事件規則!$A$2:$A$53,0)),"")))</f>
        <v>4</v>
      </c>
      <c r="U20" s="9" t="str">
        <f aca="false">IF(AND(Q20="修改",R20=""),"請選新事件代碼",IF(AND(Q20&lt;&gt;"修改",R20&lt;&gt;""),"只有「修改」才需填代碼",""))</f>
        <v/>
      </c>
      <c r="V20" s="20"/>
      <c r="W20" s="21"/>
      <c r="X20" s="11" t="s">
        <v>173</v>
      </c>
      <c r="Y20" s="22"/>
    </row>
    <row r="21" customFormat="false" ht="29.85" hidden="false" customHeight="false" outlineLevel="0" collapsed="false">
      <c r="A21" s="8" t="n">
        <v>20</v>
      </c>
      <c r="B21" s="8" t="s">
        <v>174</v>
      </c>
      <c r="C21" s="8"/>
      <c r="D21" s="9" t="s">
        <v>175</v>
      </c>
      <c r="E21" s="10" t="s">
        <v>176</v>
      </c>
      <c r="F21" s="14"/>
      <c r="G21" s="11" t="s">
        <v>137</v>
      </c>
      <c r="H21" s="12" t="n">
        <v>0.131</v>
      </c>
      <c r="I21" s="13" t="s">
        <v>177</v>
      </c>
      <c r="J21" s="14" t="s">
        <v>178</v>
      </c>
      <c r="K21" s="8" t="n">
        <v>4</v>
      </c>
      <c r="L21" s="15" t="s">
        <v>93</v>
      </c>
      <c r="M21" s="13" t="s">
        <v>165</v>
      </c>
      <c r="N21" s="16" t="s">
        <v>84</v>
      </c>
      <c r="O21" s="9" t="s">
        <v>179</v>
      </c>
      <c r="P21" s="16"/>
      <c r="Q21" s="17" t="s">
        <v>93</v>
      </c>
      <c r="R21" s="18" t="s">
        <v>165</v>
      </c>
      <c r="S21" s="14" t="str">
        <f aca="false">IF(Q21="維持",J21,IF(Q21="排除","無關新聞事件",IFERROR(INDEX(事件規則!$B$2:$B$53,MATCH(R21,事件規則!$A$2:$A$53,0)),"")))</f>
        <v>監管裁罰</v>
      </c>
      <c r="T21" s="19" t="n">
        <f aca="false">IF(Q21="維持",K21,IF(Q21="排除",0,IFERROR(INDEX(事件規則!$C$2:$C$53,MATCH(R21,事件規則!$A$2:$A$53,0)),"")))</f>
        <v>4</v>
      </c>
      <c r="U21" s="9" t="str">
        <f aca="false">IF(AND(Q21="修改",R21=""),"請選新事件代碼",IF(AND(Q21&lt;&gt;"修改",R21&lt;&gt;""),"只有「修改」才需填代碼",""))</f>
        <v/>
      </c>
      <c r="V21" s="20"/>
      <c r="W21" s="21"/>
      <c r="X21" s="11" t="s">
        <v>180</v>
      </c>
      <c r="Y21" s="22"/>
    </row>
    <row r="22" customFormat="false" ht="29.85" hidden="false" customHeight="false" outlineLevel="0" collapsed="false">
      <c r="A22" s="8" t="n">
        <v>21</v>
      </c>
      <c r="B22" s="8" t="s">
        <v>181</v>
      </c>
      <c r="C22" s="8" t="s">
        <v>182</v>
      </c>
      <c r="D22" s="9" t="s">
        <v>183</v>
      </c>
      <c r="E22" s="10" t="s">
        <v>184</v>
      </c>
      <c r="F22" s="9" t="s">
        <v>185</v>
      </c>
      <c r="G22" s="11" t="s">
        <v>186</v>
      </c>
      <c r="H22" s="12" t="n">
        <v>-0.964</v>
      </c>
      <c r="I22" s="13" t="s">
        <v>187</v>
      </c>
      <c r="J22" s="14" t="s">
        <v>188</v>
      </c>
      <c r="K22" s="8" t="n">
        <v>4</v>
      </c>
      <c r="L22" s="15" t="s">
        <v>93</v>
      </c>
      <c r="M22" s="13" t="s">
        <v>189</v>
      </c>
      <c r="N22" s="16" t="s">
        <v>84</v>
      </c>
      <c r="O22" s="9" t="s">
        <v>190</v>
      </c>
      <c r="P22" s="16"/>
      <c r="Q22" s="17" t="s">
        <v>93</v>
      </c>
      <c r="R22" s="18" t="s">
        <v>189</v>
      </c>
      <c r="S22" s="14" t="str">
        <f aca="false">IF(Q22="維持",J22,IF(Q22="排除","無關新聞事件",IFERROR(INDEX(事件規則!$B$2:$B$53,MATCH(R22,事件規則!$A$2:$A$53,0)),"")))</f>
        <v>財測下修</v>
      </c>
      <c r="T22" s="19" t="n">
        <f aca="false">IF(Q22="維持",K22,IF(Q22="排除",0,IFERROR(INDEX(事件規則!$C$2:$C$53,MATCH(R22,事件規則!$A$2:$A$53,0)),"")))</f>
        <v>3</v>
      </c>
      <c r="U22" s="9" t="str">
        <f aca="false">IF(AND(Q22="修改",R22=""),"請選新事件代碼",IF(AND(Q22&lt;&gt;"修改",R22&lt;&gt;""),"只有「修改」才需填代碼",""))</f>
        <v/>
      </c>
      <c r="V22" s="20"/>
      <c r="W22" s="21"/>
      <c r="X22" s="11" t="s">
        <v>191</v>
      </c>
      <c r="Y22" s="22"/>
    </row>
    <row r="23" customFormat="false" ht="44" hidden="false" customHeight="false" outlineLevel="0" collapsed="false">
      <c r="A23" s="8" t="n">
        <v>22</v>
      </c>
      <c r="B23" s="8" t="s">
        <v>192</v>
      </c>
      <c r="C23" s="8" t="s">
        <v>193</v>
      </c>
      <c r="D23" s="9" t="s">
        <v>194</v>
      </c>
      <c r="E23" s="10" t="s">
        <v>195</v>
      </c>
      <c r="F23" s="14" t="s">
        <v>196</v>
      </c>
      <c r="G23" s="11" t="s">
        <v>197</v>
      </c>
      <c r="H23" s="12"/>
      <c r="I23" s="13" t="s">
        <v>177</v>
      </c>
      <c r="J23" s="14" t="s">
        <v>178</v>
      </c>
      <c r="K23" s="8" t="n">
        <v>4</v>
      </c>
      <c r="L23" s="15" t="s">
        <v>45</v>
      </c>
      <c r="M23" s="13"/>
      <c r="N23" s="16" t="s">
        <v>76</v>
      </c>
      <c r="O23" s="14" t="s">
        <v>198</v>
      </c>
      <c r="P23" s="16" t="s">
        <v>78</v>
      </c>
      <c r="Q23" s="17" t="s">
        <v>45</v>
      </c>
      <c r="R23" s="18"/>
      <c r="S23" s="14" t="str">
        <f aca="false">IF(Q23="維持",J23,IF(Q23="排除","無關新聞事件",IFERROR(INDEX(事件規則!$B$2:$B$53,MATCH(R23,事件規則!$A$2:$A$53,0)),"")))</f>
        <v>監管調查</v>
      </c>
      <c r="T23" s="19" t="n">
        <f aca="false">IF(Q23="維持",K23,IF(Q23="排除",0,IFERROR(INDEX(事件規則!$C$2:$C$53,MATCH(R23,事件規則!$A$2:$A$53,0)),"")))</f>
        <v>4</v>
      </c>
      <c r="U23" s="9" t="str">
        <f aca="false">IF(AND(Q23="修改",R23=""),"請選新事件代碼",IF(AND(Q23&lt;&gt;"修改",R23&lt;&gt;""),"只有「修改」才需填代碼",""))</f>
        <v/>
      </c>
      <c r="V23" s="20"/>
      <c r="W23" s="21"/>
      <c r="X23" s="11" t="s">
        <v>199</v>
      </c>
      <c r="Y23" s="22"/>
    </row>
    <row r="24" customFormat="false" ht="29.85" hidden="false" customHeight="false" outlineLevel="0" collapsed="false">
      <c r="A24" s="8" t="n">
        <v>23</v>
      </c>
      <c r="B24" s="8" t="s">
        <v>200</v>
      </c>
      <c r="C24" s="8"/>
      <c r="D24" s="9" t="s">
        <v>201</v>
      </c>
      <c r="E24" s="10" t="s">
        <v>202</v>
      </c>
      <c r="F24" s="14"/>
      <c r="G24" s="11" t="s">
        <v>203</v>
      </c>
      <c r="H24" s="12" t="n">
        <v>-0.39</v>
      </c>
      <c r="I24" s="13" t="s">
        <v>151</v>
      </c>
      <c r="J24" s="14" t="s">
        <v>152</v>
      </c>
      <c r="K24" s="8" t="n">
        <v>4</v>
      </c>
      <c r="L24" s="15" t="s">
        <v>45</v>
      </c>
      <c r="M24" s="13"/>
      <c r="N24" s="16" t="s">
        <v>76</v>
      </c>
      <c r="O24" s="14" t="s">
        <v>204</v>
      </c>
      <c r="P24" s="16" t="s">
        <v>78</v>
      </c>
      <c r="Q24" s="17" t="s">
        <v>45</v>
      </c>
      <c r="R24" s="18"/>
      <c r="S24" s="14" t="str">
        <f aca="false">IF(Q24="維持",J24,IF(Q24="排除","無關新聞事件",IFERROR(INDEX(事件規則!$B$2:$B$53,MATCH(R24,事件規則!$A$2:$A$53,0)),"")))</f>
        <v>反壟斷調查</v>
      </c>
      <c r="T24" s="19" t="n">
        <f aca="false">IF(Q24="維持",K24,IF(Q24="排除",0,IFERROR(INDEX(事件規則!$C$2:$C$53,MATCH(R24,事件規則!$A$2:$A$53,0)),"")))</f>
        <v>4</v>
      </c>
      <c r="U24" s="9" t="str">
        <f aca="false">IF(AND(Q24="修改",R24=""),"請選新事件代碼",IF(AND(Q24&lt;&gt;"修改",R24&lt;&gt;""),"只有「修改」才需填代碼",""))</f>
        <v/>
      </c>
      <c r="V24" s="20"/>
      <c r="W24" s="21"/>
      <c r="X24" s="11" t="s">
        <v>205</v>
      </c>
      <c r="Y24" s="22"/>
    </row>
    <row r="25" customFormat="false" ht="29.85" hidden="false" customHeight="false" outlineLevel="0" collapsed="false">
      <c r="A25" s="8" t="n">
        <v>24</v>
      </c>
      <c r="B25" s="8" t="s">
        <v>181</v>
      </c>
      <c r="C25" s="8"/>
      <c r="D25" s="14" t="s">
        <v>206</v>
      </c>
      <c r="E25" s="23" t="s">
        <v>207</v>
      </c>
      <c r="F25" s="14" t="s">
        <v>208</v>
      </c>
      <c r="G25" s="22" t="s">
        <v>73</v>
      </c>
      <c r="H25" s="12" t="n">
        <v>-0.739</v>
      </c>
      <c r="I25" s="13" t="s">
        <v>187</v>
      </c>
      <c r="J25" s="14" t="s">
        <v>188</v>
      </c>
      <c r="K25" s="8" t="n">
        <v>4</v>
      </c>
      <c r="L25" s="15" t="s">
        <v>101</v>
      </c>
      <c r="M25" s="13"/>
      <c r="N25" s="16" t="s">
        <v>76</v>
      </c>
      <c r="O25" s="14" t="s">
        <v>209</v>
      </c>
      <c r="P25" s="16" t="s">
        <v>78</v>
      </c>
      <c r="Q25" s="17" t="s">
        <v>101</v>
      </c>
      <c r="R25" s="18"/>
      <c r="S25" s="14" t="str">
        <f aca="false">IF(Q25="維持",J25,IF(Q25="排除","無關新聞事件",IFERROR(INDEX(事件規則!$B$2:$B$53,MATCH(R25,事件規則!$A$2:$A$53,0)),"")))</f>
        <v>無關新聞事件</v>
      </c>
      <c r="T25" s="19" t="n">
        <f aca="false">IF(Q25="維持",K25,IF(Q25="排除",0,IFERROR(INDEX(事件規則!$C$2:$C$53,MATCH(R25,事件規則!$A$2:$A$53,0)),"")))</f>
        <v>0</v>
      </c>
      <c r="U25" s="9" t="str">
        <f aca="false">IF(AND(Q25="修改",R25=""),"請選新事件代碼",IF(AND(Q25&lt;&gt;"修改",R25&lt;&gt;""),"只有「修改」才需填代碼",""))</f>
        <v/>
      </c>
      <c r="V25" s="20"/>
      <c r="W25" s="21"/>
      <c r="X25" s="11" t="s">
        <v>210</v>
      </c>
      <c r="Y25" s="22"/>
    </row>
    <row r="26" customFormat="false" ht="29.85" hidden="false" customHeight="false" outlineLevel="0" collapsed="false">
      <c r="A26" s="8" t="n">
        <v>25</v>
      </c>
      <c r="B26" s="8" t="s">
        <v>211</v>
      </c>
      <c r="C26" s="8" t="s">
        <v>212</v>
      </c>
      <c r="D26" s="9" t="s">
        <v>213</v>
      </c>
      <c r="E26" s="10" t="s">
        <v>214</v>
      </c>
      <c r="F26" s="14"/>
      <c r="G26" s="11" t="s">
        <v>215</v>
      </c>
      <c r="H26" s="12" t="n">
        <v>-0.03</v>
      </c>
      <c r="I26" s="13" t="s">
        <v>177</v>
      </c>
      <c r="J26" s="14" t="s">
        <v>178</v>
      </c>
      <c r="K26" s="8" t="n">
        <v>4</v>
      </c>
      <c r="L26" s="15" t="s">
        <v>101</v>
      </c>
      <c r="M26" s="13"/>
      <c r="N26" s="16" t="s">
        <v>84</v>
      </c>
      <c r="O26" s="9" t="s">
        <v>216</v>
      </c>
      <c r="P26" s="16"/>
      <c r="Q26" s="17" t="s">
        <v>101</v>
      </c>
      <c r="R26" s="18"/>
      <c r="S26" s="14" t="str">
        <f aca="false">IF(Q26="維持",J26,IF(Q26="排除","無關新聞事件",IFERROR(INDEX(事件規則!$B$2:$B$53,MATCH(R26,事件規則!$A$2:$A$53,0)),"")))</f>
        <v>無關新聞事件</v>
      </c>
      <c r="T26" s="19" t="n">
        <f aca="false">IF(Q26="維持",K26,IF(Q26="排除",0,IFERROR(INDEX(事件規則!$C$2:$C$53,MATCH(R26,事件規則!$A$2:$A$53,0)),"")))</f>
        <v>0</v>
      </c>
      <c r="U26" s="9" t="str">
        <f aca="false">IF(AND(Q26="修改",R26=""),"請選新事件代碼",IF(AND(Q26&lt;&gt;"修改",R26&lt;&gt;""),"只有「修改」才需填代碼",""))</f>
        <v/>
      </c>
      <c r="V26" s="20"/>
      <c r="W26" s="21"/>
      <c r="X26" s="11" t="s">
        <v>217</v>
      </c>
      <c r="Y26" s="22"/>
    </row>
    <row r="27" customFormat="false" ht="29.85" hidden="false" customHeight="false" outlineLevel="0" collapsed="false">
      <c r="A27" s="8" t="n">
        <v>26</v>
      </c>
      <c r="B27" s="8" t="s">
        <v>218</v>
      </c>
      <c r="C27" s="8" t="s">
        <v>219</v>
      </c>
      <c r="D27" s="9" t="s">
        <v>220</v>
      </c>
      <c r="E27" s="10" t="s">
        <v>221</v>
      </c>
      <c r="F27" s="14" t="s">
        <v>222</v>
      </c>
      <c r="G27" s="11" t="s">
        <v>223</v>
      </c>
      <c r="H27" s="12" t="n">
        <v>-0.888</v>
      </c>
      <c r="I27" s="13" t="s">
        <v>165</v>
      </c>
      <c r="J27" s="14" t="s">
        <v>166</v>
      </c>
      <c r="K27" s="8" t="n">
        <v>4</v>
      </c>
      <c r="L27" s="15" t="s">
        <v>101</v>
      </c>
      <c r="M27" s="13"/>
      <c r="N27" s="16" t="s">
        <v>46</v>
      </c>
      <c r="O27" s="14" t="s">
        <v>224</v>
      </c>
      <c r="P27" s="16"/>
      <c r="Q27" s="17" t="s">
        <v>101</v>
      </c>
      <c r="R27" s="18"/>
      <c r="S27" s="14" t="str">
        <f aca="false">IF(Q27="維持",J27,IF(Q27="排除","無關新聞事件",IFERROR(INDEX(事件規則!$B$2:$B$53,MATCH(R27,事件規則!$A$2:$A$53,0)),"")))</f>
        <v>無關新聞事件</v>
      </c>
      <c r="T27" s="19" t="n">
        <f aca="false">IF(Q27="維持",K27,IF(Q27="排除",0,IFERROR(INDEX(事件規則!$C$2:$C$53,MATCH(R27,事件規則!$A$2:$A$53,0)),"")))</f>
        <v>0</v>
      </c>
      <c r="U27" s="9" t="str">
        <f aca="false">IF(AND(Q27="修改",R27=""),"請選新事件代碼",IF(AND(Q27&lt;&gt;"修改",R27&lt;&gt;""),"只有「修改」才需填代碼",""))</f>
        <v/>
      </c>
      <c r="V27" s="20"/>
      <c r="W27" s="21"/>
      <c r="X27" s="11" t="s">
        <v>225</v>
      </c>
      <c r="Y27" s="22"/>
    </row>
    <row r="28" customFormat="false" ht="29.85" hidden="false" customHeight="false" outlineLevel="0" collapsed="false">
      <c r="A28" s="8" t="n">
        <v>27</v>
      </c>
      <c r="B28" s="8" t="s">
        <v>226</v>
      </c>
      <c r="C28" s="8" t="s">
        <v>227</v>
      </c>
      <c r="D28" s="9" t="s">
        <v>228</v>
      </c>
      <c r="E28" s="10" t="s">
        <v>229</v>
      </c>
      <c r="F28" s="14" t="s">
        <v>230</v>
      </c>
      <c r="G28" s="11" t="s">
        <v>231</v>
      </c>
      <c r="H28" s="12" t="n">
        <v>-0.26</v>
      </c>
      <c r="I28" s="13" t="s">
        <v>177</v>
      </c>
      <c r="J28" s="14" t="s">
        <v>178</v>
      </c>
      <c r="K28" s="8" t="n">
        <v>4</v>
      </c>
      <c r="L28" s="15" t="s">
        <v>101</v>
      </c>
      <c r="M28" s="13"/>
      <c r="N28" s="16" t="s">
        <v>84</v>
      </c>
      <c r="O28" s="14" t="s">
        <v>232</v>
      </c>
      <c r="P28" s="16"/>
      <c r="Q28" s="17" t="s">
        <v>101</v>
      </c>
      <c r="R28" s="18"/>
      <c r="S28" s="14" t="str">
        <f aca="false">IF(Q28="維持",J28,IF(Q28="排除","無關新聞事件",IFERROR(INDEX(事件規則!$B$2:$B$53,MATCH(R28,事件規則!$A$2:$A$53,0)),"")))</f>
        <v>無關新聞事件</v>
      </c>
      <c r="T28" s="19" t="n">
        <f aca="false">IF(Q28="維持",K28,IF(Q28="排除",0,IFERROR(INDEX(事件規則!$C$2:$C$53,MATCH(R28,事件規則!$A$2:$A$53,0)),"")))</f>
        <v>0</v>
      </c>
      <c r="U28" s="9" t="str">
        <f aca="false">IF(AND(Q28="修改",R28=""),"請選新事件代碼",IF(AND(Q28&lt;&gt;"修改",R28&lt;&gt;""),"只有「修改」才需填代碼",""))</f>
        <v/>
      </c>
      <c r="V28" s="20"/>
      <c r="W28" s="21"/>
      <c r="X28" s="11" t="s">
        <v>233</v>
      </c>
      <c r="Y28" s="22"/>
    </row>
    <row r="29" customFormat="false" ht="15" hidden="false" customHeight="false" outlineLevel="0" collapsed="false">
      <c r="A29" s="8" t="n">
        <v>28</v>
      </c>
      <c r="B29" s="8" t="s">
        <v>145</v>
      </c>
      <c r="C29" s="8"/>
      <c r="D29" s="9" t="s">
        <v>234</v>
      </c>
      <c r="E29" s="10" t="s">
        <v>235</v>
      </c>
      <c r="F29" s="14" t="s">
        <v>236</v>
      </c>
      <c r="G29" s="11" t="s">
        <v>237</v>
      </c>
      <c r="H29" s="12" t="n">
        <v>-0.07</v>
      </c>
      <c r="I29" s="13" t="s">
        <v>94</v>
      </c>
      <c r="J29" s="14" t="s">
        <v>159</v>
      </c>
      <c r="K29" s="8" t="n">
        <v>4</v>
      </c>
      <c r="L29" s="15" t="s">
        <v>101</v>
      </c>
      <c r="M29" s="13"/>
      <c r="N29" s="16" t="s">
        <v>46</v>
      </c>
      <c r="O29" s="14" t="s">
        <v>238</v>
      </c>
      <c r="P29" s="16"/>
      <c r="Q29" s="17" t="s">
        <v>101</v>
      </c>
      <c r="R29" s="18"/>
      <c r="S29" s="14" t="str">
        <f aca="false">IF(Q29="維持",J29,IF(Q29="排除","無關新聞事件",IFERROR(INDEX(事件規則!$B$2:$B$53,MATCH(R29,事件規則!$A$2:$A$53,0)),"")))</f>
        <v>無關新聞事件</v>
      </c>
      <c r="T29" s="19" t="n">
        <f aca="false">IF(Q29="維持",K29,IF(Q29="排除",0,IFERROR(INDEX(事件規則!$C$2:$C$53,MATCH(R29,事件規則!$A$2:$A$53,0)),"")))</f>
        <v>0</v>
      </c>
      <c r="U29" s="9" t="str">
        <f aca="false">IF(AND(Q29="修改",R29=""),"請選新事件代碼",IF(AND(Q29&lt;&gt;"修改",R29&lt;&gt;""),"只有「修改」才需填代碼",""))</f>
        <v/>
      </c>
      <c r="V29" s="20"/>
      <c r="W29" s="21"/>
      <c r="X29" s="11" t="s">
        <v>239</v>
      </c>
      <c r="Y29" s="22"/>
    </row>
    <row r="30" customFormat="false" ht="23.85" hidden="false" customHeight="false" outlineLevel="0" collapsed="false">
      <c r="A30" s="8" t="n">
        <v>29</v>
      </c>
      <c r="B30" s="8" t="s">
        <v>240</v>
      </c>
      <c r="C30" s="8"/>
      <c r="D30" s="9" t="s">
        <v>241</v>
      </c>
      <c r="E30" s="10" t="s">
        <v>242</v>
      </c>
      <c r="F30" s="14"/>
      <c r="G30" s="11" t="s">
        <v>243</v>
      </c>
      <c r="H30" s="12" t="n">
        <v>-0.059</v>
      </c>
      <c r="I30" s="13" t="s">
        <v>165</v>
      </c>
      <c r="J30" s="14" t="s">
        <v>166</v>
      </c>
      <c r="K30" s="8" t="n">
        <v>4</v>
      </c>
      <c r="L30" s="15" t="s">
        <v>101</v>
      </c>
      <c r="M30" s="13"/>
      <c r="N30" s="16" t="s">
        <v>46</v>
      </c>
      <c r="O30" s="14" t="s">
        <v>244</v>
      </c>
      <c r="P30" s="16"/>
      <c r="Q30" s="17" t="s">
        <v>101</v>
      </c>
      <c r="R30" s="18"/>
      <c r="S30" s="14" t="str">
        <f aca="false">IF(Q30="維持",J30,IF(Q30="排除","無關新聞事件",IFERROR(INDEX(事件規則!$B$2:$B$53,MATCH(R30,事件規則!$A$2:$A$53,0)),"")))</f>
        <v>無關新聞事件</v>
      </c>
      <c r="T30" s="19" t="n">
        <f aca="false">IF(Q30="維持",K30,IF(Q30="排除",0,IFERROR(INDEX(事件規則!$C$2:$C$53,MATCH(R30,事件規則!$A$2:$A$53,0)),"")))</f>
        <v>0</v>
      </c>
      <c r="U30" s="9" t="str">
        <f aca="false">IF(AND(Q30="修改",R30=""),"請選新事件代碼",IF(AND(Q30&lt;&gt;"修改",R30&lt;&gt;""),"只有「修改」才需填代碼",""))</f>
        <v/>
      </c>
      <c r="V30" s="20"/>
      <c r="W30" s="21"/>
      <c r="X30" s="11" t="s">
        <v>245</v>
      </c>
      <c r="Y30" s="22"/>
    </row>
    <row r="31" customFormat="false" ht="29.85" hidden="false" customHeight="false" outlineLevel="0" collapsed="false">
      <c r="A31" s="8" t="n">
        <v>30</v>
      </c>
      <c r="B31" s="8" t="s">
        <v>181</v>
      </c>
      <c r="C31" s="8" t="s">
        <v>246</v>
      </c>
      <c r="D31" s="9" t="s">
        <v>247</v>
      </c>
      <c r="E31" s="10" t="s">
        <v>248</v>
      </c>
      <c r="F31" s="14" t="s">
        <v>249</v>
      </c>
      <c r="G31" s="11" t="s">
        <v>250</v>
      </c>
      <c r="H31" s="12" t="n">
        <v>-0.757</v>
      </c>
      <c r="I31" s="13" t="s">
        <v>177</v>
      </c>
      <c r="J31" s="14" t="s">
        <v>178</v>
      </c>
      <c r="K31" s="8" t="n">
        <v>4</v>
      </c>
      <c r="L31" s="15" t="s">
        <v>101</v>
      </c>
      <c r="M31" s="13"/>
      <c r="N31" s="16" t="s">
        <v>46</v>
      </c>
      <c r="O31" s="9" t="s">
        <v>251</v>
      </c>
      <c r="P31" s="16"/>
      <c r="Q31" s="17" t="s">
        <v>101</v>
      </c>
      <c r="R31" s="18"/>
      <c r="S31" s="14" t="str">
        <f aca="false">IF(Q31="維持",J31,IF(Q31="排除","無關新聞事件",IFERROR(INDEX(事件規則!$B$2:$B$53,MATCH(R31,事件規則!$A$2:$A$53,0)),"")))</f>
        <v>無關新聞事件</v>
      </c>
      <c r="T31" s="19" t="n">
        <f aca="false">IF(Q31="維持",K31,IF(Q31="排除",0,IFERROR(INDEX(事件規則!$C$2:$C$53,MATCH(R31,事件規則!$A$2:$A$53,0)),"")))</f>
        <v>0</v>
      </c>
      <c r="U31" s="9" t="str">
        <f aca="false">IF(AND(Q31="修改",R31=""),"請選新事件代碼",IF(AND(Q31&lt;&gt;"修改",R31&lt;&gt;""),"只有「修改」才需填代碼",""))</f>
        <v/>
      </c>
      <c r="V31" s="20"/>
      <c r="W31" s="21"/>
      <c r="X31" s="11" t="s">
        <v>252</v>
      </c>
      <c r="Y31" s="22"/>
    </row>
  </sheetData>
  <autoFilter ref="A1:Y31"/>
  <conditionalFormatting sqref="K2:K31">
    <cfRule type="expression" priority="2" aboveAverage="0" equalAverage="0" bottom="0" percent="0" rank="0" text="" dxfId="11">
      <formula>AND(ISNUMBER(K2),K2=5)</formula>
    </cfRule>
    <cfRule type="expression" priority="3" aboveAverage="0" equalAverage="0" bottom="0" percent="0" rank="0" text="" dxfId="12">
      <formula>AND(ISNUMBER(K2),K2=4)</formula>
    </cfRule>
    <cfRule type="expression" priority="4" aboveAverage="0" equalAverage="0" bottom="0" percent="0" rank="0" text="" dxfId="13">
      <formula>AND(ISNUMBER(K2),K2=3)</formula>
    </cfRule>
    <cfRule type="expression" priority="5" aboveAverage="0" equalAverage="0" bottom="0" percent="0" rank="0" text="" dxfId="14">
      <formula>AND(ISNUMBER(K2),K2=2)</formula>
    </cfRule>
    <cfRule type="expression" priority="6" aboveAverage="0" equalAverage="0" bottom="0" percent="0" rank="0" text="" dxfId="15">
      <formula>AND(ISNUMBER(K2),K2=1)</formula>
    </cfRule>
    <cfRule type="expression" priority="7" aboveAverage="0" equalAverage="0" bottom="0" percent="0" rank="0" text="" dxfId="16">
      <formula>AND(ISNUMBER(K2),K2=0)</formula>
    </cfRule>
  </conditionalFormatting>
  <conditionalFormatting sqref="T2:T31">
    <cfRule type="expression" priority="8" aboveAverage="0" equalAverage="0" bottom="0" percent="0" rank="0" text="" dxfId="11">
      <formula>AND(ISNUMBER(T2),T2=5)</formula>
    </cfRule>
    <cfRule type="expression" priority="9" aboveAverage="0" equalAverage="0" bottom="0" percent="0" rank="0" text="" dxfId="12">
      <formula>AND(ISNUMBER(T2),T2=4)</formula>
    </cfRule>
    <cfRule type="expression" priority="10" aboveAverage="0" equalAverage="0" bottom="0" percent="0" rank="0" text="" dxfId="13">
      <formula>AND(ISNUMBER(T2),T2=3)</formula>
    </cfRule>
    <cfRule type="expression" priority="11" aboveAverage="0" equalAverage="0" bottom="0" percent="0" rank="0" text="" dxfId="14">
      <formula>AND(ISNUMBER(T2),T2=2)</formula>
    </cfRule>
    <cfRule type="expression" priority="12" aboveAverage="0" equalAverage="0" bottom="0" percent="0" rank="0" text="" dxfId="15">
      <formula>AND(ISNUMBER(T2),T2=1)</formula>
    </cfRule>
    <cfRule type="expression" priority="13" aboveAverage="0" equalAverage="0" bottom="0" percent="0" rank="0" text="" dxfId="16">
      <formula>AND(ISNUMBER(T2),T2=0)</formula>
    </cfRule>
  </conditionalFormatting>
  <conditionalFormatting sqref="U2:U31">
    <cfRule type="expression" priority="14" aboveAverage="0" equalAverage="0" bottom="0" percent="0" rank="0" text="" dxfId="17">
      <formula>U2&lt;&gt;""</formula>
    </cfRule>
  </conditionalFormatting>
  <conditionalFormatting sqref="N2:N31">
    <cfRule type="expression" priority="15" aboveAverage="0" equalAverage="0" bottom="0" percent="0" rank="0" text="" dxfId="17">
      <formula>N2="低"</formula>
    </cfRule>
  </conditionalFormatting>
  <conditionalFormatting sqref="P2:P31">
    <cfRule type="expression" priority="16" aboveAverage="0" equalAverage="0" bottom="0" percent="0" rank="0" text="" dxfId="17">
      <formula>P2="是"</formula>
    </cfRule>
  </conditionalFormatting>
  <dataValidations count="2">
    <dataValidation allowBlank="false" error="只能選：維持、修改、排除" errorStyle="stop" errorTitle="請選擇" operator="between" showDropDown="false" showErrorMessage="true" showInputMessage="false" sqref="Q2:Q31" type="list">
      <formula1>"維持,修改,排除"</formula1>
      <formula2>0</formula2>
    </dataValidation>
    <dataValidation allowBlank="true" error="只能選規則表內的事件代碼" errorStyle="stop" errorTitle="事件代碼" operator="between" showDropDown="false" showErrorMessage="true" showInputMessage="false" sqref="R2:R31" type="list">
      <formula1>事件規則!$A$2:$A$53</formula1>
      <formula2>0</formula2>
    </dataValidation>
  </dataValidations>
  <hyperlinks>
    <hyperlink ref="E2" r:id="rId1" display="Getty Images Files Prepackaged Chapter 11 in Delaware"/>
    <hyperlink ref="E3" r:id="rId2" display="Getty Images’ Reported Chapter 11 Filing Would Cancel Shares"/>
    <hyperlink ref="E4" r:id="rId3" display="Case Summary: Getty Images Chapter 11"/>
    <hyperlink ref="E5" r:id="rId4" display="Eon Resources CEO Defends Liquidity Despite Recurring Going-Concern Warnings"/>
    <hyperlink ref="E6" r:id="rId5" display="CoreWeave債務壓力升溫 市值蒸發440億美元"/>
    <hyperlink ref="E7" r:id="rId6" display="RNDC Files for Chapter 11, Pursues Sales and Wind-Down"/>
    <hyperlink ref="E8" r:id="rId7" display="蘋果Siri功能跳票賠17億"/>
    <hyperlink ref="E9" r:id="rId8" display="Character.AI files for bankruptcy reorganization and agrees to sell some assets to Disney"/>
    <hyperlink ref="E10" r:id="rId9" display="Client Alert: Subchapter V Surge: What Florida Trade Creditors and Lenders Need to Know About the New Small Business Bankruptcy Landscape"/>
    <hyperlink ref="E11" r:id="rId10" display="The TL072: A JFET Op Amp That Became the Default for Audio"/>
    <hyperlink ref="E12" r:id="rId11" display="Major ice cream brand seeks Chapter 11 bankruptcy after lawsuit"/>
    <hyperlink ref="E13" r:id="rId12" display="Ice cream brand sold in Houston files for bankruptcy after Van Leeuwen lawsuit"/>
    <hyperlink ref="E14" r:id="rId13" display="Maker of ice cream sold at grocery stores nationwide files for bankruptcy as it appeals $23.8M judgment"/>
    <hyperlink ref="E15" r:id="rId14" display="Popular ice cream brand sold at Walmart and Target files for bankruptcy"/>
    <hyperlink ref="E16" r:id="rId15" display="The mistake that helped cost Rebel Creamery $23.8 million and pushed it into bankruptcy"/>
    <hyperlink ref="E17" r:id="rId16" display="Paramount-WBD Merger: David Ellison Complains About Cost Of States' Antitrust Suit"/>
    <hyperlink ref="E18" r:id="rId17" display="Meta就多個州的致兒童成癮訴訟達成167億美元和解"/>
    <hyperlink ref="E19" r:id="rId18" display="美國運通因反洗錢計劃不完善被罰款3.5億美元"/>
    <hyperlink ref="E20" r:id="rId19" display="波音因普遍存在的安全違規行為向美國聯邦航空管理局（FAA）支付了310萬美元罰款"/>
    <hyperlink ref="E21" r:id="rId20" display="Corpay to Pay $100 Million to Resolve FTC Allegations"/>
    <hyperlink ref="E22" r:id="rId21" display="Globe Life shares fall 8% after outlook cut and downgrade"/>
    <hyperlink ref="E23" r:id="rId22" display="Securities Fraud Investigation Into Yiren Digital Ltd. (YRD) Cont"/>
    <hyperlink ref="E24" r:id="rId23" display="Apple Changes App Store Terms to Resolve E.U. Antitrust Dispute"/>
    <hyperlink ref="E25" r:id="rId24" display="標普為AI債務危機「火上澆油」？示警美國資料中心信用降評風險"/>
    <hyperlink ref="E26" r:id="rId25" display="CME CEO Spars With CFTC Chair About Prediction Market Oversight"/>
    <hyperlink ref="E27" r:id="rId26" display="Duke Energy cuts proposed rate hike nearly in half as NC regulators weigh settlement"/>
    <hyperlink ref="E28" r:id="rId27" display="Latham McDonald's Grease Dump Draws DEC Investigation"/>
    <hyperlink ref="E29" r:id="rId28" display="Attorney General Jay Jones Announces Key Personnel Appointments"/>
    <hyperlink ref="E30" r:id="rId29" display="Last minute penalty lifts Arkansas State women’s soccer past Stephen F. Austin"/>
    <hyperlink ref="E31" r:id="rId30" display="FBI Officially Launch Investigation Into Massive Theft Of 6,451 PSA-Rated TCG Card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8"/>
  </cols>
  <sheetData>
    <row r="1" customFormat="false" ht="15" hidden="false" customHeight="false" outlineLevel="0" collapsed="false">
      <c r="A1" s="24" t="s">
        <v>253</v>
      </c>
      <c r="B1" s="25" t="s">
        <v>254</v>
      </c>
      <c r="C1" s="24" t="s">
        <v>255</v>
      </c>
    </row>
    <row r="2" customFormat="false" ht="15" hidden="false" customHeight="false" outlineLevel="0" collapsed="false">
      <c r="A2" s="26" t="s">
        <v>256</v>
      </c>
      <c r="B2" s="27" t="s">
        <v>257</v>
      </c>
      <c r="C2" s="27" t="n">
        <v>5</v>
      </c>
    </row>
    <row r="3" customFormat="false" ht="15" hidden="false" customHeight="false" outlineLevel="0" collapsed="false">
      <c r="A3" s="26" t="s">
        <v>43</v>
      </c>
      <c r="B3" s="27" t="s">
        <v>44</v>
      </c>
      <c r="C3" s="27" t="n">
        <v>5</v>
      </c>
    </row>
    <row r="4" customFormat="false" ht="15" hidden="false" customHeight="false" outlineLevel="0" collapsed="false">
      <c r="A4" s="26" t="s">
        <v>91</v>
      </c>
      <c r="B4" s="27" t="s">
        <v>92</v>
      </c>
      <c r="C4" s="27" t="n">
        <v>5</v>
      </c>
    </row>
    <row r="5" customFormat="false" ht="15" hidden="false" customHeight="false" outlineLevel="0" collapsed="false">
      <c r="A5" s="26" t="s">
        <v>258</v>
      </c>
      <c r="B5" s="27" t="s">
        <v>259</v>
      </c>
      <c r="C5" s="27" t="n">
        <v>5</v>
      </c>
    </row>
    <row r="6" customFormat="false" ht="15" hidden="false" customHeight="false" outlineLevel="0" collapsed="false">
      <c r="A6" s="26" t="s">
        <v>65</v>
      </c>
      <c r="B6" s="27" t="s">
        <v>66</v>
      </c>
      <c r="C6" s="27" t="n">
        <v>5</v>
      </c>
    </row>
    <row r="7" customFormat="false" ht="15" hidden="false" customHeight="false" outlineLevel="0" collapsed="false">
      <c r="A7" s="26" t="s">
        <v>74</v>
      </c>
      <c r="B7" s="27" t="s">
        <v>75</v>
      </c>
      <c r="C7" s="27" t="n">
        <v>5</v>
      </c>
    </row>
    <row r="8" customFormat="false" ht="15" hidden="false" customHeight="false" outlineLevel="0" collapsed="false">
      <c r="A8" s="26" t="s">
        <v>260</v>
      </c>
      <c r="B8" s="27" t="s">
        <v>261</v>
      </c>
      <c r="C8" s="27" t="n">
        <v>5</v>
      </c>
    </row>
    <row r="9" customFormat="false" ht="15" hidden="false" customHeight="false" outlineLevel="0" collapsed="false">
      <c r="A9" s="26" t="s">
        <v>151</v>
      </c>
      <c r="B9" s="27" t="s">
        <v>152</v>
      </c>
      <c r="C9" s="27" t="n">
        <v>4</v>
      </c>
    </row>
    <row r="10" customFormat="false" ht="15" hidden="false" customHeight="false" outlineLevel="0" collapsed="false">
      <c r="A10" s="26" t="s">
        <v>262</v>
      </c>
      <c r="B10" s="27" t="s">
        <v>263</v>
      </c>
      <c r="C10" s="27" t="n">
        <v>4</v>
      </c>
    </row>
    <row r="11" customFormat="false" ht="15" hidden="false" customHeight="false" outlineLevel="0" collapsed="false">
      <c r="A11" s="26" t="s">
        <v>187</v>
      </c>
      <c r="B11" s="27" t="s">
        <v>188</v>
      </c>
      <c r="C11" s="27" t="n">
        <v>4</v>
      </c>
    </row>
    <row r="12" customFormat="false" ht="15" hidden="false" customHeight="false" outlineLevel="0" collapsed="false">
      <c r="A12" s="26" t="s">
        <v>264</v>
      </c>
      <c r="B12" s="27" t="s">
        <v>265</v>
      </c>
      <c r="C12" s="27" t="n">
        <v>4</v>
      </c>
    </row>
    <row r="13" customFormat="false" ht="15" hidden="false" customHeight="false" outlineLevel="0" collapsed="false">
      <c r="A13" s="26" t="s">
        <v>266</v>
      </c>
      <c r="B13" s="27" t="s">
        <v>267</v>
      </c>
      <c r="C13" s="27" t="n">
        <v>4</v>
      </c>
    </row>
    <row r="14" customFormat="false" ht="15" hidden="false" customHeight="false" outlineLevel="0" collapsed="false">
      <c r="A14" s="26" t="s">
        <v>268</v>
      </c>
      <c r="B14" s="26" t="s">
        <v>269</v>
      </c>
      <c r="C14" s="27" t="n">
        <v>4</v>
      </c>
    </row>
    <row r="15" customFormat="false" ht="15" hidden="false" customHeight="false" outlineLevel="0" collapsed="false">
      <c r="A15" s="26" t="s">
        <v>270</v>
      </c>
      <c r="B15" s="27" t="s">
        <v>271</v>
      </c>
      <c r="C15" s="27" t="n">
        <v>4</v>
      </c>
    </row>
    <row r="16" customFormat="false" ht="15" hidden="false" customHeight="false" outlineLevel="0" collapsed="false">
      <c r="A16" s="26" t="s">
        <v>272</v>
      </c>
      <c r="B16" s="27" t="s">
        <v>273</v>
      </c>
      <c r="C16" s="27" t="n">
        <v>4</v>
      </c>
    </row>
    <row r="17" customFormat="false" ht="15" hidden="false" customHeight="false" outlineLevel="0" collapsed="false">
      <c r="A17" s="26" t="s">
        <v>94</v>
      </c>
      <c r="B17" s="27" t="s">
        <v>159</v>
      </c>
      <c r="C17" s="27" t="n">
        <v>4</v>
      </c>
    </row>
    <row r="18" customFormat="false" ht="15" hidden="false" customHeight="false" outlineLevel="0" collapsed="false">
      <c r="A18" s="26" t="s">
        <v>177</v>
      </c>
      <c r="B18" s="27" t="s">
        <v>178</v>
      </c>
      <c r="C18" s="27" t="n">
        <v>4</v>
      </c>
    </row>
    <row r="19" customFormat="false" ht="15" hidden="false" customHeight="false" outlineLevel="0" collapsed="false">
      <c r="A19" s="26" t="s">
        <v>165</v>
      </c>
      <c r="B19" s="27" t="s">
        <v>166</v>
      </c>
      <c r="C19" s="27" t="n">
        <v>4</v>
      </c>
    </row>
    <row r="20" customFormat="false" ht="15" hidden="false" customHeight="false" outlineLevel="0" collapsed="false">
      <c r="A20" s="26" t="s">
        <v>274</v>
      </c>
      <c r="B20" s="27" t="s">
        <v>275</v>
      </c>
      <c r="C20" s="27" t="n">
        <v>4</v>
      </c>
    </row>
    <row r="21" customFormat="false" ht="15" hidden="false" customHeight="false" outlineLevel="0" collapsed="false">
      <c r="A21" s="26" t="s">
        <v>276</v>
      </c>
      <c r="B21" s="27" t="s">
        <v>277</v>
      </c>
      <c r="C21" s="27" t="n">
        <v>4</v>
      </c>
    </row>
    <row r="22" customFormat="false" ht="15" hidden="false" customHeight="false" outlineLevel="0" collapsed="false">
      <c r="A22" s="26" t="s">
        <v>278</v>
      </c>
      <c r="B22" s="26" t="s">
        <v>279</v>
      </c>
      <c r="C22" s="27" t="n">
        <v>3</v>
      </c>
    </row>
    <row r="23" customFormat="false" ht="15" hidden="false" customHeight="false" outlineLevel="0" collapsed="false">
      <c r="A23" s="26" t="s">
        <v>280</v>
      </c>
      <c r="B23" s="26" t="s">
        <v>281</v>
      </c>
      <c r="C23" s="27" t="n">
        <v>3</v>
      </c>
    </row>
    <row r="24" customFormat="false" ht="15" hidden="false" customHeight="false" outlineLevel="0" collapsed="false">
      <c r="A24" s="26" t="s">
        <v>282</v>
      </c>
      <c r="B24" s="26" t="s">
        <v>283</v>
      </c>
      <c r="C24" s="27" t="n">
        <v>3</v>
      </c>
    </row>
    <row r="25" customFormat="false" ht="15" hidden="false" customHeight="false" outlineLevel="0" collapsed="false">
      <c r="A25" s="26" t="s">
        <v>284</v>
      </c>
      <c r="B25" s="27" t="s">
        <v>285</v>
      </c>
      <c r="C25" s="27" t="n">
        <v>3</v>
      </c>
    </row>
    <row r="26" customFormat="false" ht="15" hidden="false" customHeight="false" outlineLevel="0" collapsed="false">
      <c r="A26" s="26" t="s">
        <v>286</v>
      </c>
      <c r="B26" s="27" t="s">
        <v>287</v>
      </c>
      <c r="C26" s="27" t="n">
        <v>3</v>
      </c>
    </row>
    <row r="27" customFormat="false" ht="15" hidden="false" customHeight="false" outlineLevel="0" collapsed="false">
      <c r="A27" s="26" t="s">
        <v>288</v>
      </c>
      <c r="B27" s="27" t="s">
        <v>289</v>
      </c>
      <c r="C27" s="27" t="n">
        <v>3</v>
      </c>
    </row>
    <row r="28" customFormat="false" ht="15" hidden="false" customHeight="false" outlineLevel="0" collapsed="false">
      <c r="A28" s="26" t="s">
        <v>189</v>
      </c>
      <c r="B28" s="27" t="s">
        <v>290</v>
      </c>
      <c r="C28" s="27" t="n">
        <v>3</v>
      </c>
    </row>
    <row r="29" customFormat="false" ht="15" hidden="false" customHeight="false" outlineLevel="0" collapsed="false">
      <c r="A29" s="26" t="s">
        <v>291</v>
      </c>
      <c r="B29" s="27" t="s">
        <v>292</v>
      </c>
      <c r="C29" s="27" t="n">
        <v>3</v>
      </c>
    </row>
    <row r="30" customFormat="false" ht="15" hidden="false" customHeight="false" outlineLevel="0" collapsed="false">
      <c r="A30" s="26" t="s">
        <v>293</v>
      </c>
      <c r="B30" s="27" t="s">
        <v>294</v>
      </c>
      <c r="C30" s="27" t="n">
        <v>3</v>
      </c>
    </row>
    <row r="31" customFormat="false" ht="15" hidden="false" customHeight="false" outlineLevel="0" collapsed="false">
      <c r="A31" s="26" t="s">
        <v>295</v>
      </c>
      <c r="B31" s="27" t="s">
        <v>296</v>
      </c>
      <c r="C31" s="27" t="n">
        <v>3</v>
      </c>
    </row>
    <row r="32" customFormat="false" ht="15" hidden="false" customHeight="false" outlineLevel="0" collapsed="false">
      <c r="A32" s="26" t="s">
        <v>297</v>
      </c>
      <c r="B32" s="27" t="s">
        <v>298</v>
      </c>
      <c r="C32" s="27" t="n">
        <v>3</v>
      </c>
    </row>
    <row r="33" customFormat="false" ht="15" hidden="false" customHeight="false" outlineLevel="0" collapsed="false">
      <c r="A33" s="26" t="s">
        <v>299</v>
      </c>
      <c r="B33" s="27" t="s">
        <v>300</v>
      </c>
      <c r="C33" s="27" t="n">
        <v>3</v>
      </c>
    </row>
    <row r="34" customFormat="false" ht="15" hidden="false" customHeight="false" outlineLevel="0" collapsed="false">
      <c r="A34" s="26" t="s">
        <v>301</v>
      </c>
      <c r="B34" s="27" t="s">
        <v>302</v>
      </c>
      <c r="C34" s="27" t="n">
        <v>3</v>
      </c>
    </row>
    <row r="35" customFormat="false" ht="15" hidden="false" customHeight="false" outlineLevel="0" collapsed="false">
      <c r="A35" s="26" t="s">
        <v>303</v>
      </c>
      <c r="B35" s="27" t="s">
        <v>304</v>
      </c>
      <c r="C35" s="27" t="n">
        <v>3</v>
      </c>
    </row>
    <row r="36" customFormat="false" ht="15" hidden="false" customHeight="false" outlineLevel="0" collapsed="false">
      <c r="A36" s="26" t="s">
        <v>305</v>
      </c>
      <c r="B36" s="27" t="s">
        <v>306</v>
      </c>
      <c r="C36" s="27" t="n">
        <v>3</v>
      </c>
    </row>
    <row r="37" customFormat="false" ht="15" hidden="false" customHeight="false" outlineLevel="0" collapsed="false">
      <c r="A37" s="26" t="s">
        <v>307</v>
      </c>
      <c r="B37" s="27" t="s">
        <v>308</v>
      </c>
      <c r="C37" s="27" t="n">
        <v>3</v>
      </c>
    </row>
    <row r="38" customFormat="false" ht="15" hidden="false" customHeight="false" outlineLevel="0" collapsed="false">
      <c r="A38" s="26" t="s">
        <v>309</v>
      </c>
      <c r="B38" s="27" t="s">
        <v>310</v>
      </c>
      <c r="C38" s="27" t="n">
        <v>3</v>
      </c>
    </row>
    <row r="39" customFormat="false" ht="15" hidden="false" customHeight="false" outlineLevel="0" collapsed="false">
      <c r="A39" s="26" t="s">
        <v>311</v>
      </c>
      <c r="B39" s="27" t="s">
        <v>312</v>
      </c>
      <c r="C39" s="27" t="n">
        <v>3</v>
      </c>
    </row>
    <row r="40" customFormat="false" ht="15" hidden="false" customHeight="false" outlineLevel="0" collapsed="false">
      <c r="A40" s="26" t="s">
        <v>313</v>
      </c>
      <c r="B40" s="27" t="s">
        <v>314</v>
      </c>
      <c r="C40" s="27" t="n">
        <v>2</v>
      </c>
    </row>
    <row r="41" customFormat="false" ht="15" hidden="false" customHeight="false" outlineLevel="0" collapsed="false">
      <c r="A41" s="26" t="s">
        <v>315</v>
      </c>
      <c r="B41" s="27" t="s">
        <v>316</v>
      </c>
      <c r="C41" s="27" t="n">
        <v>2</v>
      </c>
    </row>
    <row r="42" customFormat="false" ht="15" hidden="false" customHeight="false" outlineLevel="0" collapsed="false">
      <c r="A42" s="26" t="s">
        <v>317</v>
      </c>
      <c r="B42" s="27" t="s">
        <v>318</v>
      </c>
      <c r="C42" s="27" t="n">
        <v>2</v>
      </c>
    </row>
    <row r="43" customFormat="false" ht="15" hidden="false" customHeight="false" outlineLevel="0" collapsed="false">
      <c r="A43" s="26" t="s">
        <v>319</v>
      </c>
      <c r="B43" s="27" t="s">
        <v>320</v>
      </c>
      <c r="C43" s="27" t="n">
        <v>2</v>
      </c>
    </row>
    <row r="44" customFormat="false" ht="15" hidden="false" customHeight="false" outlineLevel="0" collapsed="false">
      <c r="A44" s="26" t="s">
        <v>321</v>
      </c>
      <c r="B44" s="27" t="s">
        <v>322</v>
      </c>
      <c r="C44" s="27" t="n">
        <v>2</v>
      </c>
    </row>
    <row r="45" customFormat="false" ht="15" hidden="false" customHeight="false" outlineLevel="0" collapsed="false">
      <c r="A45" s="26" t="s">
        <v>323</v>
      </c>
      <c r="B45" s="27" t="s">
        <v>324</v>
      </c>
      <c r="C45" s="27" t="n">
        <v>2</v>
      </c>
    </row>
    <row r="46" customFormat="false" ht="15" hidden="false" customHeight="false" outlineLevel="0" collapsed="false">
      <c r="A46" s="26" t="s">
        <v>325</v>
      </c>
      <c r="B46" s="27" t="s">
        <v>326</v>
      </c>
      <c r="C46" s="27" t="n">
        <v>1</v>
      </c>
    </row>
    <row r="47" customFormat="false" ht="15" hidden="false" customHeight="false" outlineLevel="0" collapsed="false">
      <c r="A47" s="26" t="s">
        <v>327</v>
      </c>
      <c r="B47" s="27" t="s">
        <v>328</v>
      </c>
      <c r="C47" s="27" t="n">
        <v>1</v>
      </c>
    </row>
    <row r="48" customFormat="false" ht="15" hidden="false" customHeight="false" outlineLevel="0" collapsed="false">
      <c r="A48" s="26" t="s">
        <v>329</v>
      </c>
      <c r="B48" s="27" t="s">
        <v>330</v>
      </c>
      <c r="C48" s="27" t="n">
        <v>1</v>
      </c>
    </row>
    <row r="49" customFormat="false" ht="15" hidden="false" customHeight="false" outlineLevel="0" collapsed="false">
      <c r="A49" s="26" t="s">
        <v>331</v>
      </c>
      <c r="B49" s="27" t="s">
        <v>332</v>
      </c>
      <c r="C49" s="27" t="n">
        <v>1</v>
      </c>
    </row>
    <row r="50" customFormat="false" ht="15" hidden="false" customHeight="false" outlineLevel="0" collapsed="false">
      <c r="A50" s="26" t="s">
        <v>333</v>
      </c>
      <c r="B50" s="27" t="s">
        <v>334</v>
      </c>
      <c r="C50" s="27" t="n">
        <v>0</v>
      </c>
    </row>
    <row r="51" customFormat="false" ht="15" hidden="false" customHeight="false" outlineLevel="0" collapsed="false">
      <c r="A51" s="26" t="s">
        <v>335</v>
      </c>
      <c r="B51" s="27" t="s">
        <v>336</v>
      </c>
      <c r="C51" s="27" t="n">
        <v>0</v>
      </c>
    </row>
    <row r="52" customFormat="false" ht="15" hidden="false" customHeight="false" outlineLevel="0" collapsed="false">
      <c r="A52" s="26" t="s">
        <v>337</v>
      </c>
      <c r="B52" s="27" t="s">
        <v>338</v>
      </c>
      <c r="C52" s="27" t="n">
        <v>0</v>
      </c>
    </row>
    <row r="53" customFormat="false" ht="15" hidden="false" customHeight="false" outlineLevel="0" collapsed="false">
      <c r="A53" s="26" t="s">
        <v>339</v>
      </c>
      <c r="B53" s="27" t="s">
        <v>340</v>
      </c>
      <c r="C53" s="27" t="n">
        <v>0</v>
      </c>
    </row>
    <row r="55" customFormat="false" ht="15" hidden="false" customHeight="false" outlineLevel="0" collapsed="false">
      <c r="A55" s="28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2026-10-26T06:27:14Z</dcterms:created>
  <dc:creator>openpyxl</dc:creator>
  <dc:description/>
  <dc:language>en-US</dc:language>
  <cp:lastModifiedBy/>
  <dcterms:modified xsi:type="dcterms:W3CDTF">2026-10-26T06:27:14Z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