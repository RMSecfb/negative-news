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說明" sheetId="1" state="visible" r:id="rId3"/>
    <sheet name="覆核" sheetId="2" state="visible" r:id="rId4"/>
    <sheet name="事件規則" sheetId="3" state="visible" r:id="rId5"/>
  </sheets>
  <definedNames>
    <definedName function="false" hidden="true" localSheetId="1" name="_xlnm._FilterDatabase" vbProcedure="false">覆核!$A$1:$AB$928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<sst xmlns="http://schemas.openxmlformats.org/spreadsheetml/2006/main" count="10774" uniqueCount="2947">
  <si>
    <r>
      <rPr>
        <b val="true"/>
        <sz val="12"/>
        <rFont val="Noto Sans CJK SC"/>
        <family val="2"/>
      </rPr>
      <t xml:space="preserve">負面新聞離線覆核：第三批（待補分析・</t>
    </r>
    <r>
      <rPr>
        <b val="true"/>
        <sz val="12"/>
        <rFont val="Arial"/>
        <family val="0"/>
        <charset val="1"/>
      </rPr>
      <t xml:space="preserve">FinBERT ≤ −0.5</t>
    </r>
    <r>
      <rPr>
        <b val="true"/>
        <sz val="12"/>
        <rFont val="Noto Sans CJK SC"/>
        <family val="2"/>
      </rPr>
      <t xml:space="preserve">）</t>
    </r>
  </si>
  <si>
    <r>
      <rPr>
        <sz val="10"/>
        <rFont val="Noto Sans CJK SC"/>
        <family val="2"/>
      </rPr>
      <t xml:space="preserve">產生日期：</t>
    </r>
    <r>
      <rPr>
        <sz val="10"/>
        <rFont val="Arial"/>
        <family val="0"/>
        <charset val="1"/>
      </rPr>
      <t xml:space="preserve">2026-10-26</t>
    </r>
    <r>
      <rPr>
        <sz val="10"/>
        <rFont val="Noto Sans CJK SC"/>
        <family val="2"/>
      </rPr>
      <t xml:space="preserve">　筆數：</t>
    </r>
    <r>
      <rPr>
        <sz val="10"/>
        <rFont val="Arial"/>
        <family val="0"/>
        <charset val="1"/>
      </rPr>
      <t xml:space="preserve">927</t>
    </r>
    <r>
      <rPr>
        <sz val="10"/>
        <rFont val="Noto Sans CJK SC"/>
        <family val="2"/>
      </rPr>
      <t xml:space="preserve">（全部為「待補分析」且 </t>
    </r>
    <r>
      <rPr>
        <sz val="10"/>
        <rFont val="Arial"/>
        <family val="0"/>
        <charset val="1"/>
      </rPr>
      <t xml:space="preserve">FinBERT ≤ −0.5</t>
    </r>
    <r>
      <rPr>
        <sz val="10"/>
        <rFont val="Noto Sans CJK SC"/>
        <family val="2"/>
      </rPr>
      <t xml:space="preserve">，尚無事件代碼；排序由最負面起）</t>
    </r>
  </si>
  <si>
    <t xml:space="preserve">怎麼填（只動黃色欄位）</t>
  </si>
  <si>
    <r>
      <rPr>
        <sz val="10"/>
        <rFont val="Arial"/>
        <family val="0"/>
        <charset val="1"/>
      </rPr>
      <t xml:space="preserve">1. </t>
    </r>
    <r>
      <rPr>
        <sz val="10"/>
        <rFont val="Noto Sans CJK SC"/>
        <family val="2"/>
      </rPr>
      <t xml:space="preserve">最終決定（</t>
    </r>
    <r>
      <rPr>
        <sz val="10"/>
        <rFont val="Arial"/>
        <family val="0"/>
        <charset val="1"/>
      </rPr>
      <t xml:space="preserve">R </t>
    </r>
    <r>
      <rPr>
        <sz val="10"/>
        <rFont val="Noto Sans CJK SC"/>
        <family val="2"/>
      </rPr>
      <t xml:space="preserve">欄）：已預填我的建議。維持＝沿用目前分類；修改＝改成「新事件代碼」；排除＝記為 </t>
    </r>
    <r>
      <rPr>
        <sz val="10"/>
        <rFont val="Arial"/>
        <family val="0"/>
        <charset val="1"/>
      </rPr>
      <t xml:space="preserve">NOT_RELEVANT</t>
    </r>
    <r>
      <rPr>
        <sz val="10"/>
        <rFont val="Noto Sans CJK SC"/>
        <family val="2"/>
      </rPr>
      <t xml:space="preserve">、</t>
    </r>
    <r>
      <rPr>
        <sz val="10"/>
        <rFont val="Arial"/>
        <family val="0"/>
        <charset val="1"/>
      </rPr>
      <t xml:space="preserve">Level 0</t>
    </r>
    <r>
      <rPr>
        <sz val="10"/>
        <rFont val="Noto Sans CJK SC"/>
        <family val="2"/>
      </rPr>
      <t xml:space="preserve">、</t>
    </r>
    <r>
      <rPr>
        <sz val="10"/>
        <rFont val="Arial"/>
        <family val="0"/>
        <charset val="1"/>
      </rPr>
      <t xml:space="preserve">Action</t>
    </r>
    <r>
      <rPr>
        <sz val="10"/>
        <rFont val="Noto Sans CJK SC"/>
        <family val="2"/>
      </rPr>
      <t xml:space="preserve">「排除、不納入風險事件」。</t>
    </r>
  </si>
  <si>
    <r>
      <rPr>
        <sz val="10"/>
        <rFont val="Arial"/>
        <family val="0"/>
        <charset val="1"/>
      </rPr>
      <t xml:space="preserve">2. </t>
    </r>
    <r>
      <rPr>
        <sz val="10"/>
        <rFont val="Noto Sans CJK SC"/>
        <family val="2"/>
      </rPr>
      <t xml:space="preserve">新事件代碼（</t>
    </r>
    <r>
      <rPr>
        <sz val="10"/>
        <rFont val="Arial"/>
        <family val="0"/>
        <charset val="1"/>
      </rPr>
      <t xml:space="preserve">S </t>
    </r>
    <r>
      <rPr>
        <sz val="10"/>
        <rFont val="Noto Sans CJK SC"/>
        <family val="2"/>
      </rPr>
      <t xml:space="preserve">欄）：只有「修改」才需要，從下拉選單選；新事件中文與新 </t>
    </r>
    <r>
      <rPr>
        <sz val="10"/>
        <rFont val="Arial"/>
        <family val="0"/>
        <charset val="1"/>
      </rPr>
      <t xml:space="preserve">Level </t>
    </r>
    <r>
      <rPr>
        <sz val="10"/>
        <rFont val="Noto Sans CJK SC"/>
        <family val="2"/>
      </rPr>
      <t xml:space="preserve">會自動帶出。</t>
    </r>
  </si>
  <si>
    <r>
      <rPr>
        <sz val="10"/>
        <rFont val="Arial"/>
        <family val="0"/>
        <charset val="1"/>
      </rPr>
      <t xml:space="preserve">3. </t>
    </r>
    <r>
      <rPr>
        <sz val="10"/>
        <rFont val="Noto Sans CJK SC"/>
        <family val="2"/>
      </rPr>
      <t xml:space="preserve">更正公司（</t>
    </r>
    <r>
      <rPr>
        <sz val="10"/>
        <rFont val="Arial"/>
        <family val="0"/>
        <charset val="1"/>
      </rPr>
      <t xml:space="preserve">V </t>
    </r>
    <r>
      <rPr>
        <sz val="10"/>
        <rFont val="Noto Sans CJK SC"/>
        <family val="2"/>
      </rPr>
      <t xml:space="preserve">欄）、更正</t>
    </r>
    <r>
      <rPr>
        <sz val="10"/>
        <rFont val="Arial"/>
        <family val="0"/>
        <charset val="1"/>
      </rPr>
      <t xml:space="preserve">Ticker</t>
    </r>
    <r>
      <rPr>
        <sz val="10"/>
        <rFont val="Noto Sans CJK SC"/>
        <family val="2"/>
      </rPr>
      <t xml:space="preserve">（</t>
    </r>
    <r>
      <rPr>
        <sz val="10"/>
        <rFont val="Arial"/>
        <family val="0"/>
        <charset val="1"/>
      </rPr>
      <t xml:space="preserve">W </t>
    </r>
    <r>
      <rPr>
        <sz val="10"/>
        <rFont val="Noto Sans CJK SC"/>
        <family val="2"/>
      </rPr>
      <t xml:space="preserve">欄）：只在公司歸屬錯誤或 </t>
    </r>
    <r>
      <rPr>
        <sz val="10"/>
        <rFont val="Arial"/>
        <family val="0"/>
        <charset val="1"/>
      </rPr>
      <t xml:space="preserve">Ticker </t>
    </r>
    <r>
      <rPr>
        <sz val="10"/>
        <rFont val="Noto Sans CJK SC"/>
        <family val="2"/>
      </rPr>
      <t xml:space="preserve">空白時填寫，空白代表不更正。已依 </t>
    </r>
    <r>
      <rPr>
        <sz val="10"/>
        <rFont val="Arial"/>
        <family val="0"/>
        <charset val="1"/>
      </rPr>
      <t xml:space="preserve">S&amp;P 500 </t>
    </r>
    <r>
      <rPr>
        <sz val="10"/>
        <rFont val="Noto Sans CJK SC"/>
        <family val="2"/>
      </rPr>
      <t xml:space="preserve">清單預填 </t>
    </r>
    <r>
      <rPr>
        <sz val="10"/>
        <rFont val="Arial"/>
        <family val="0"/>
        <charset val="1"/>
      </rPr>
      <t xml:space="preserve">Ticker </t>
    </r>
    <r>
      <rPr>
        <sz val="10"/>
        <rFont val="Noto Sans CJK SC"/>
        <family val="2"/>
      </rPr>
      <t xml:space="preserve">空白的列。</t>
    </r>
  </si>
  <si>
    <r>
      <rPr>
        <sz val="10"/>
        <rFont val="Arial"/>
        <family val="0"/>
        <charset val="1"/>
      </rPr>
      <t xml:space="preserve">4. </t>
    </r>
    <r>
      <rPr>
        <sz val="10"/>
        <rFont val="Noto Sans CJK SC"/>
        <family val="2"/>
      </rPr>
      <t xml:space="preserve">覆核註記（</t>
    </r>
    <r>
      <rPr>
        <sz val="10"/>
        <rFont val="Arial"/>
        <family val="0"/>
        <charset val="1"/>
      </rPr>
      <t xml:space="preserve">Y </t>
    </r>
    <r>
      <rPr>
        <sz val="10"/>
        <rFont val="Noto Sans CJK SC"/>
        <family val="2"/>
      </rPr>
      <t xml:space="preserve">欄）、覆核人（</t>
    </r>
    <r>
      <rPr>
        <sz val="10"/>
        <rFont val="Arial"/>
        <family val="0"/>
        <charset val="1"/>
      </rPr>
      <t xml:space="preserve">Z </t>
    </r>
    <r>
      <rPr>
        <sz val="10"/>
        <rFont val="Noto Sans CJK SC"/>
        <family val="2"/>
      </rPr>
      <t xml:space="preserve">欄）：請填你的姓名；註記可空白。</t>
    </r>
  </si>
  <si>
    <r>
      <rPr>
        <sz val="10"/>
        <rFont val="Arial"/>
        <family val="0"/>
        <charset val="1"/>
      </rPr>
      <t xml:space="preserve">5. </t>
    </r>
    <r>
      <rPr>
        <sz val="10"/>
        <rFont val="Noto Sans CJK SC"/>
        <family val="2"/>
      </rPr>
      <t xml:space="preserve">把握程度為「低」或「建議看原文」為「是」的列（紅字），建議點標題開原文確認。</t>
    </r>
  </si>
  <si>
    <r>
      <rPr>
        <sz val="10"/>
        <rFont val="Arial"/>
        <family val="0"/>
        <charset val="1"/>
      </rPr>
      <t xml:space="preserve">6. </t>
    </r>
    <r>
      <rPr>
        <sz val="10"/>
        <rFont val="Noto Sans CJK SC"/>
        <family val="2"/>
      </rPr>
      <t xml:space="preserve">檢查欄（</t>
    </r>
    <r>
      <rPr>
        <sz val="10"/>
        <rFont val="Arial"/>
        <family val="0"/>
        <charset val="1"/>
      </rPr>
      <t xml:space="preserve">X</t>
    </r>
    <r>
      <rPr>
        <sz val="10"/>
        <rFont val="Noto Sans CJK SC"/>
        <family val="2"/>
      </rPr>
      <t xml:space="preserve">）若出現紅字，表示該列填寫不完整。</t>
    </r>
  </si>
  <si>
    <r>
      <rPr>
        <sz val="10"/>
        <rFont val="Arial"/>
        <family val="0"/>
        <charset val="1"/>
      </rPr>
      <t xml:space="preserve">7. </t>
    </r>
    <r>
      <rPr>
        <sz val="10"/>
        <rFont val="Noto Sans CJK SC"/>
        <family val="2"/>
      </rPr>
      <t xml:space="preserve">不要修改 </t>
    </r>
    <r>
      <rPr>
        <sz val="10"/>
        <rFont val="Arial"/>
        <family val="0"/>
        <charset val="1"/>
      </rPr>
      <t xml:space="preserve">news_id</t>
    </r>
    <r>
      <rPr>
        <sz val="10"/>
        <rFont val="Noto Sans CJK SC"/>
        <family val="2"/>
      </rPr>
      <t xml:space="preserve">、人工版本欄；上傳時靠這兩欄對應與防衝突。</t>
    </r>
  </si>
  <si>
    <r>
      <rPr>
        <sz val="10"/>
        <rFont val="Arial"/>
        <family val="0"/>
        <charset val="1"/>
      </rPr>
      <t xml:space="preserve">8. </t>
    </r>
    <r>
      <rPr>
        <sz val="10"/>
        <rFont val="Noto Sans CJK SC"/>
        <family val="2"/>
      </rPr>
      <t xml:space="preserve">確認後請另存為「檔名</t>
    </r>
    <r>
      <rPr>
        <sz val="10"/>
        <rFont val="Arial"/>
        <family val="0"/>
        <charset val="1"/>
      </rPr>
      <t xml:space="preserve">_</t>
    </r>
    <r>
      <rPr>
        <sz val="10"/>
        <rFont val="Noto Sans CJK SC"/>
        <family val="2"/>
      </rPr>
      <t xml:space="preserve">已確認</t>
    </r>
    <r>
      <rPr>
        <sz val="10"/>
        <rFont val="Arial"/>
        <family val="0"/>
        <charset val="1"/>
      </rPr>
      <t xml:space="preserve">.xlsx</t>
    </r>
    <r>
      <rPr>
        <sz val="10"/>
        <rFont val="Noto Sans CJK SC"/>
        <family val="2"/>
      </rPr>
      <t xml:space="preserve">」。</t>
    </r>
  </si>
  <si>
    <t xml:space="preserve">我的建議統計（即時計算）</t>
  </si>
  <si>
    <t xml:space="preserve">建議維持：</t>
  </si>
  <si>
    <t xml:space="preserve">建議修改：</t>
  </si>
  <si>
    <t xml:space="preserve">建議排除：</t>
  </si>
  <si>
    <t xml:space="preserve">最終決定尚未填寫的列數：</t>
  </si>
  <si>
    <r>
      <rPr>
        <sz val="10"/>
        <rFont val="Noto Sans CJK SC"/>
        <family val="2"/>
      </rPr>
      <t xml:space="preserve">限制：我只看資料中的標題與摘要，沒有逐篇開原文；建議不保證全對，最終由你確認。</t>
    </r>
    <r>
      <rPr>
        <sz val="10"/>
        <rFont val="Arial"/>
        <family val="0"/>
        <charset val="1"/>
      </rPr>
      <t xml:space="preserve">Level </t>
    </r>
    <r>
      <rPr>
        <sz val="10"/>
        <rFont val="Noto Sans CJK SC"/>
        <family val="2"/>
      </rPr>
      <t xml:space="preserve">顏色：</t>
    </r>
    <r>
      <rPr>
        <sz val="10"/>
        <rFont val="Arial"/>
        <family val="0"/>
        <charset val="1"/>
      </rPr>
      <t xml:space="preserve">5 </t>
    </r>
    <r>
      <rPr>
        <sz val="10"/>
        <rFont val="Noto Sans CJK SC"/>
        <family val="2"/>
      </rPr>
      <t xml:space="preserve">紅、</t>
    </r>
    <r>
      <rPr>
        <sz val="10"/>
        <rFont val="Arial"/>
        <family val="0"/>
        <charset val="1"/>
      </rPr>
      <t xml:space="preserve">4 </t>
    </r>
    <r>
      <rPr>
        <sz val="10"/>
        <rFont val="Noto Sans CJK SC"/>
        <family val="2"/>
      </rPr>
      <t xml:space="preserve">橘、</t>
    </r>
    <r>
      <rPr>
        <sz val="10"/>
        <rFont val="Arial"/>
        <family val="0"/>
        <charset val="1"/>
      </rPr>
      <t xml:space="preserve">3 </t>
    </r>
    <r>
      <rPr>
        <sz val="10"/>
        <rFont val="Noto Sans CJK SC"/>
        <family val="2"/>
      </rPr>
      <t xml:space="preserve">黃、</t>
    </r>
    <r>
      <rPr>
        <sz val="10"/>
        <rFont val="Arial"/>
        <family val="0"/>
        <charset val="1"/>
      </rPr>
      <t xml:space="preserve">2 </t>
    </r>
    <r>
      <rPr>
        <sz val="10"/>
        <rFont val="Noto Sans CJK SC"/>
        <family val="2"/>
      </rPr>
      <t xml:space="preserve">淡藍、</t>
    </r>
    <r>
      <rPr>
        <sz val="10"/>
        <rFont val="Arial"/>
        <family val="0"/>
        <charset val="1"/>
      </rPr>
      <t xml:space="preserve">1 </t>
    </r>
    <r>
      <rPr>
        <sz val="10"/>
        <rFont val="Noto Sans CJK SC"/>
        <family val="2"/>
      </rPr>
      <t xml:space="preserve">淺灰、</t>
    </r>
    <r>
      <rPr>
        <sz val="10"/>
        <rFont val="Arial"/>
        <family val="0"/>
        <charset val="1"/>
      </rPr>
      <t xml:space="preserve">0 </t>
    </r>
    <r>
      <rPr>
        <sz val="10"/>
        <rFont val="Noto Sans CJK SC"/>
        <family val="2"/>
      </rPr>
      <t xml:space="preserve">深灰。</t>
    </r>
  </si>
  <si>
    <t xml:space="preserve">序號</t>
  </si>
  <si>
    <t xml:space="preserve">日期</t>
  </si>
  <si>
    <t xml:space="preserve">Ticker</t>
  </si>
  <si>
    <t xml:space="preserve">公司</t>
  </si>
  <si>
    <t xml:space="preserve">標題（點擊開原文）</t>
  </si>
  <si>
    <t xml:space="preserve">中文標題／摘要</t>
  </si>
  <si>
    <t xml:space="preserve">來源</t>
  </si>
  <si>
    <t xml:space="preserve">FinBERT</t>
  </si>
  <si>
    <t xml:space="preserve">目前事件代碼</t>
  </si>
  <si>
    <t xml:space="preserve">目前事件中文</t>
  </si>
  <si>
    <r>
      <rPr>
        <b val="true"/>
        <sz val="10"/>
        <color rgb="FFFFFFFF"/>
        <rFont val="Noto Sans CJK SC"/>
        <family val="2"/>
      </rPr>
      <t xml:space="preserve">目前</t>
    </r>
    <r>
      <rPr>
        <b val="true"/>
        <sz val="10"/>
        <color rgb="FFFFFFFF"/>
        <rFont val="Arial"/>
        <family val="0"/>
        <charset val="1"/>
      </rPr>
      <t xml:space="preserve">Level</t>
    </r>
  </si>
  <si>
    <t xml:space="preserve">目前分類狀態</t>
  </si>
  <si>
    <t xml:space="preserve">建議</t>
  </si>
  <si>
    <t xml:space="preserve">建議事件代碼</t>
  </si>
  <si>
    <t xml:space="preserve">把握程度</t>
  </si>
  <si>
    <t xml:space="preserve">理由</t>
  </si>
  <si>
    <t xml:space="preserve">建議看原文</t>
  </si>
  <si>
    <t xml:space="preserve">最終決定</t>
  </si>
  <si>
    <t xml:space="preserve">新事件代碼</t>
  </si>
  <si>
    <t xml:space="preserve">新事件中文</t>
  </si>
  <si>
    <r>
      <rPr>
        <b val="true"/>
        <sz val="10"/>
        <color rgb="FFFFFFFF"/>
        <rFont val="Noto Sans CJK SC"/>
        <family val="2"/>
      </rPr>
      <t xml:space="preserve">新</t>
    </r>
    <r>
      <rPr>
        <b val="true"/>
        <sz val="10"/>
        <color rgb="FFFFFFFF"/>
        <rFont val="Arial"/>
        <family val="0"/>
        <charset val="1"/>
      </rPr>
      <t xml:space="preserve">Level</t>
    </r>
  </si>
  <si>
    <t xml:space="preserve">更正公司</t>
  </si>
  <si>
    <r>
      <rPr>
        <b val="true"/>
        <sz val="10"/>
        <color rgb="FFFFFFFF"/>
        <rFont val="Noto Sans CJK SC"/>
        <family val="2"/>
      </rPr>
      <t xml:space="preserve">更正</t>
    </r>
    <r>
      <rPr>
        <b val="true"/>
        <sz val="10"/>
        <color rgb="FFFFFFFF"/>
        <rFont val="Arial"/>
        <family val="0"/>
        <charset val="1"/>
      </rPr>
      <t xml:space="preserve">Ticker</t>
    </r>
  </si>
  <si>
    <t xml:space="preserve">檢查</t>
  </si>
  <si>
    <t xml:space="preserve">覆核註記</t>
  </si>
  <si>
    <t xml:space="preserve">覆核人</t>
  </si>
  <si>
    <t xml:space="preserve">news_id</t>
  </si>
  <si>
    <t xml:space="preserve">人工版本</t>
  </si>
  <si>
    <t xml:space="preserve">2026-10-23</t>
  </si>
  <si>
    <t xml:space="preserve">T</t>
  </si>
  <si>
    <t xml:space="preserve">AT&amp;T</t>
  </si>
  <si>
    <t xml:space="preserve">盤中速報 - AT&amp;T(T-US)大跌5.08%，報21.59美元</t>
  </si>
  <si>
    <r>
      <rPr>
        <sz val="10"/>
        <rFont val="Noto Sans CJK SC"/>
        <family val="2"/>
      </rPr>
      <t xml:space="preserve">盤中速報 </t>
    </r>
    <r>
      <rPr>
        <sz val="10"/>
        <rFont val="Arial"/>
        <family val="0"/>
        <charset val="1"/>
      </rPr>
      <t xml:space="preserve">- AT&amp;T(T-US)</t>
    </r>
    <r>
      <rPr>
        <sz val="10"/>
        <rFont val="Noto Sans CJK SC"/>
        <family val="2"/>
      </rPr>
      <t xml:space="preserve">大跌</t>
    </r>
    <r>
      <rPr>
        <sz val="10"/>
        <rFont val="Arial"/>
        <family val="0"/>
        <charset val="1"/>
      </rPr>
      <t xml:space="preserve">5.08%</t>
    </r>
    <r>
      <rPr>
        <sz val="10"/>
        <rFont val="Noto Sans CJK SC"/>
        <family val="2"/>
      </rPr>
      <t xml:space="preserve">，報</t>
    </r>
    <r>
      <rPr>
        <sz val="10"/>
        <rFont val="Arial"/>
        <family val="0"/>
        <charset val="1"/>
      </rPr>
      <t xml:space="preserve">21.59</t>
    </r>
    <r>
      <rPr>
        <sz val="10"/>
        <rFont val="Noto Sans CJK SC"/>
        <family val="2"/>
      </rPr>
      <t xml:space="preserve">美元</t>
    </r>
  </si>
  <si>
    <t xml:space="preserve">鉅亨網</t>
  </si>
  <si>
    <t xml:space="preserve">待補分析</t>
  </si>
  <si>
    <t xml:space="preserve">修改</t>
  </si>
  <si>
    <t xml:space="preserve">PRICE_MOVEMENT</t>
  </si>
  <si>
    <t xml:space="preserve">中</t>
  </si>
  <si>
    <r>
      <rPr>
        <sz val="10"/>
        <rFont val="Arial"/>
        <family val="0"/>
        <charset val="1"/>
      </rPr>
      <t xml:space="preserve">SpaceX </t>
    </r>
    <r>
      <rPr>
        <sz val="10"/>
        <rFont val="Noto Sans CJK SC"/>
        <family val="2"/>
      </rPr>
      <t xml:space="preserve">傳洽談 </t>
    </r>
    <r>
      <rPr>
        <sz val="10"/>
        <rFont val="Arial"/>
        <family val="0"/>
        <charset val="1"/>
      </rPr>
      <t xml:space="preserve">8 </t>
    </r>
    <r>
      <rPr>
        <sz val="10"/>
        <rFont val="Noto Sans CJK SC"/>
        <family val="2"/>
      </rPr>
      <t xml:space="preserve">萬座基地台，三大電信股同步下跌。</t>
    </r>
  </si>
  <si>
    <t xml:space="preserve">386b1903c3752406ca71a371</t>
  </si>
  <si>
    <t xml:space="preserve">AXP</t>
  </si>
  <si>
    <t xml:space="preserve">American Express</t>
  </si>
  <si>
    <t xml:space="preserve">American Express is cutting about 3,500 jobs to make room for AI</t>
  </si>
  <si>
    <t xml:space="preserve">Quartz</t>
  </si>
  <si>
    <t xml:space="preserve">WORKFORCE_REDUCTION</t>
  </si>
  <si>
    <t xml:space="preserve">高</t>
  </si>
  <si>
    <r>
      <rPr>
        <sz val="10"/>
        <rFont val="Noto Sans CJK SC"/>
        <family val="2"/>
      </rPr>
      <t xml:space="preserve">美國運通宣布裁員 </t>
    </r>
    <r>
      <rPr>
        <sz val="10"/>
        <rFont val="Arial"/>
        <family val="0"/>
        <charset val="1"/>
      </rPr>
      <t xml:space="preserve">5%</t>
    </r>
    <r>
      <rPr>
        <sz val="10"/>
        <rFont val="Noto Sans CJK SC"/>
        <family val="2"/>
      </rPr>
      <t xml:space="preserve">（約 </t>
    </r>
    <r>
      <rPr>
        <sz val="10"/>
        <rFont val="Arial"/>
        <family val="0"/>
        <charset val="1"/>
      </rPr>
      <t xml:space="preserve">3,500 </t>
    </r>
    <r>
      <rPr>
        <sz val="10"/>
        <rFont val="Noto Sans CJK SC"/>
        <family val="2"/>
      </rPr>
      <t xml:space="preserve">人）。</t>
    </r>
  </si>
  <si>
    <t xml:space="preserve">65afd2bd036ef15d6bfecf40</t>
  </si>
  <si>
    <t xml:space="preserve">2026-10-24</t>
  </si>
  <si>
    <t xml:space="preserve">American Express Plans to Cut 5% of Global Jobs. The Stock Is Falling on Earnings.</t>
  </si>
  <si>
    <t xml:space="preserve">Barron's</t>
  </si>
  <si>
    <t xml:space="preserve">f712a81a2464577d422dafda</t>
  </si>
  <si>
    <t xml:space="preserve">DAL</t>
  </si>
  <si>
    <t xml:space="preserve">Delta Air Lines</t>
  </si>
  <si>
    <t xml:space="preserve">Delta Air Lines Shares Drop Nearly 4% Amid Rising Fuel Costs : 기업주식정보 : JKN</t>
  </si>
  <si>
    <t xml:space="preserve">재경일보</t>
  </si>
  <si>
    <r>
      <rPr>
        <sz val="10"/>
        <rFont val="Arial"/>
        <family val="0"/>
        <charset val="1"/>
      </rPr>
      <t xml:space="preserve">Delta </t>
    </r>
    <r>
      <rPr>
        <sz val="10"/>
        <rFont val="Noto Sans CJK SC"/>
        <family val="2"/>
      </rPr>
      <t xml:space="preserve">因燃料成本上升股價跌近 </t>
    </r>
    <r>
      <rPr>
        <sz val="10"/>
        <rFont val="Arial"/>
        <family val="0"/>
        <charset val="1"/>
      </rPr>
      <t xml:space="preserve">4%</t>
    </r>
    <r>
      <rPr>
        <sz val="10"/>
        <rFont val="Noto Sans CJK SC"/>
        <family val="2"/>
      </rPr>
      <t xml:space="preserve">。</t>
    </r>
  </si>
  <si>
    <t xml:space="preserve">f6738065c18e923038176649</t>
  </si>
  <si>
    <t xml:space="preserve">BKNG</t>
  </si>
  <si>
    <t xml:space="preserve">Booking Holdings</t>
  </si>
  <si>
    <t xml:space="preserve">Booking Holdings Inc Stock (BKNG) Moved Down by 3.03% on Oct 23: A Full Analysis</t>
  </si>
  <si>
    <t xml:space="preserve">TradingKey</t>
  </si>
  <si>
    <t xml:space="preserve">排除</t>
  </si>
  <si>
    <r>
      <rPr>
        <sz val="10"/>
        <rFont val="Noto Sans CJK SC"/>
        <family val="2"/>
      </rPr>
      <t xml:space="preserve">非公司風險事件：例行股價漲跌報導、折扣／產品價格、同名誤配（</t>
    </r>
    <r>
      <rPr>
        <sz val="10"/>
        <rFont val="Arial"/>
        <family val="0"/>
        <charset val="1"/>
      </rPr>
      <t xml:space="preserve">MSI</t>
    </r>
    <r>
      <rPr>
        <sz val="10"/>
        <rFont val="Noto Sans CJK SC"/>
        <family val="2"/>
      </rPr>
      <t xml:space="preserve">、</t>
    </r>
    <r>
      <rPr>
        <sz val="10"/>
        <rFont val="Arial"/>
        <family val="0"/>
        <charset val="1"/>
      </rPr>
      <t xml:space="preserve">COO</t>
    </r>
    <r>
      <rPr>
        <sz val="10"/>
        <rFont val="Noto Sans CJK SC"/>
        <family val="2"/>
      </rPr>
      <t xml:space="preserve">、</t>
    </r>
    <r>
      <rPr>
        <sz val="10"/>
        <rFont val="Arial"/>
        <family val="0"/>
        <charset val="1"/>
      </rPr>
      <t xml:space="preserve">PSA</t>
    </r>
    <r>
      <rPr>
        <sz val="10"/>
        <rFont val="Noto Sans CJK SC"/>
        <family val="2"/>
      </rPr>
      <t xml:space="preserve">、</t>
    </r>
    <r>
      <rPr>
        <sz val="10"/>
        <rFont val="Arial"/>
        <family val="0"/>
        <charset val="1"/>
      </rPr>
      <t xml:space="preserve">Westlife </t>
    </r>
    <r>
      <rPr>
        <sz val="10"/>
        <rFont val="Noto Sans CJK SC"/>
        <family val="2"/>
      </rPr>
      <t xml:space="preserve">等）、評論或一般新聞。</t>
    </r>
  </si>
  <si>
    <t xml:space="preserve">10e729e9a41afcb3ee53addf</t>
  </si>
  <si>
    <t xml:space="preserve">American Express to slash 5% of workforce in latest AI-driven layoffs</t>
  </si>
  <si>
    <t xml:space="preserve">New York Post</t>
  </si>
  <si>
    <t xml:space="preserve">9bf7677cd2bac1cb5f32ac52</t>
  </si>
  <si>
    <t xml:space="preserve">American Express layoffs: Thousands of roles slashed in AI push as job losses in financial services pile up</t>
  </si>
  <si>
    <t xml:space="preserve">Fast Company</t>
  </si>
  <si>
    <t xml:space="preserve">0a8ae9e4a9fb827ad28a1151</t>
  </si>
  <si>
    <t xml:space="preserve">TMUS</t>
  </si>
  <si>
    <t xml:space="preserve">T-Mobile US</t>
  </si>
  <si>
    <t xml:space="preserve">盤中速報 - T-Mobile US Inc(TMUS-US)大跌5.16%，報150.6美元</t>
  </si>
  <si>
    <r>
      <rPr>
        <sz val="10"/>
        <rFont val="Noto Sans CJK SC"/>
        <family val="2"/>
      </rPr>
      <t xml:space="preserve">盤中速報 </t>
    </r>
    <r>
      <rPr>
        <sz val="10"/>
        <rFont val="Arial"/>
        <family val="0"/>
        <charset val="1"/>
      </rPr>
      <t xml:space="preserve">- T-Mobile US Inc(TMUS-US)</t>
    </r>
    <r>
      <rPr>
        <sz val="10"/>
        <rFont val="Noto Sans CJK SC"/>
        <family val="2"/>
      </rPr>
      <t xml:space="preserve">大跌</t>
    </r>
    <r>
      <rPr>
        <sz val="10"/>
        <rFont val="Arial"/>
        <family val="0"/>
        <charset val="1"/>
      </rPr>
      <t xml:space="preserve">5.16%</t>
    </r>
    <r>
      <rPr>
        <sz val="10"/>
        <rFont val="Noto Sans CJK SC"/>
        <family val="2"/>
      </rPr>
      <t xml:space="preserve">，報</t>
    </r>
    <r>
      <rPr>
        <sz val="10"/>
        <rFont val="Arial"/>
        <family val="0"/>
        <charset val="1"/>
      </rPr>
      <t xml:space="preserve">150.6</t>
    </r>
    <r>
      <rPr>
        <sz val="10"/>
        <rFont val="Noto Sans CJK SC"/>
        <family val="2"/>
      </rPr>
      <t xml:space="preserve">美元</t>
    </r>
  </si>
  <si>
    <t xml:space="preserve">c80e9d6ef03d2dd821403894</t>
  </si>
  <si>
    <t xml:space="preserve">EBAY</t>
  </si>
  <si>
    <t xml:space="preserve">eBay Inc.</t>
  </si>
  <si>
    <t xml:space="preserve">Day Around the Bay: Netflix, Ebay Cut More Than 450 Bay Area Workers in Latest Layoffs</t>
  </si>
  <si>
    <t xml:space="preserve">SFist</t>
  </si>
  <si>
    <r>
      <rPr>
        <sz val="10"/>
        <rFont val="Arial"/>
        <family val="0"/>
        <charset val="1"/>
      </rPr>
      <t xml:space="preserve">Netflix</t>
    </r>
    <r>
      <rPr>
        <sz val="10"/>
        <rFont val="Noto Sans CJK SC"/>
        <family val="2"/>
      </rPr>
      <t xml:space="preserve">、</t>
    </r>
    <r>
      <rPr>
        <sz val="10"/>
        <rFont val="Arial"/>
        <family val="0"/>
        <charset val="1"/>
      </rPr>
      <t xml:space="preserve">eBay </t>
    </r>
    <r>
      <rPr>
        <sz val="10"/>
        <rFont val="Noto Sans CJK SC"/>
        <family val="2"/>
      </rPr>
      <t xml:space="preserve">裁員，灣區逾 </t>
    </r>
    <r>
      <rPr>
        <sz val="10"/>
        <rFont val="Arial"/>
        <family val="0"/>
        <charset val="1"/>
      </rPr>
      <t xml:space="preserve">450 </t>
    </r>
    <r>
      <rPr>
        <sz val="10"/>
        <rFont val="Noto Sans CJK SC"/>
        <family val="2"/>
      </rPr>
      <t xml:space="preserve">人受影響。</t>
    </r>
  </si>
  <si>
    <t xml:space="preserve">166048ea2cb9b46d2c7f3daa</t>
  </si>
  <si>
    <t xml:space="preserve">NFLX</t>
  </si>
  <si>
    <t xml:space="preserve">Netflix</t>
  </si>
  <si>
    <t xml:space="preserve">a889dd5bc409a7781d438692</t>
  </si>
  <si>
    <t xml:space="preserve">GL</t>
  </si>
  <si>
    <t xml:space="preserve">Globe Life</t>
  </si>
  <si>
    <t xml:space="preserve">Globe Life Inc Stock (GL) Moved Down by 7.74% on Oct 23: Drivers Behind the Movement</t>
  </si>
  <si>
    <t xml:space="preserve">低</t>
  </si>
  <si>
    <r>
      <rPr>
        <sz val="10"/>
        <rFont val="Arial"/>
        <family val="0"/>
        <charset val="1"/>
      </rPr>
      <t xml:space="preserve">Globe Life </t>
    </r>
    <r>
      <rPr>
        <sz val="10"/>
        <rFont val="Noto Sans CJK SC"/>
        <family val="2"/>
      </rPr>
      <t xml:space="preserve">股價大跌約 </t>
    </r>
    <r>
      <rPr>
        <sz val="10"/>
        <rFont val="Arial"/>
        <family val="0"/>
        <charset val="1"/>
      </rPr>
      <t xml:space="preserve">8%</t>
    </r>
    <r>
      <rPr>
        <sz val="10"/>
        <rFont val="Noto Sans CJK SC"/>
        <family val="2"/>
      </rPr>
      <t xml:space="preserve">。</t>
    </r>
  </si>
  <si>
    <t xml:space="preserve">b4897daf8f3294ab3e927afb</t>
  </si>
  <si>
    <t xml:space="preserve">WDC</t>
  </si>
  <si>
    <t xml:space="preserve">Western Digital</t>
  </si>
  <si>
    <t xml:space="preserve">Western Digital Corp Stock (WDC) Moved Down by 3.80% on Oct 23: A Full Analysis</t>
  </si>
  <si>
    <t xml:space="preserve">84fbb1f0d6c153f5df943a58</t>
  </si>
  <si>
    <t xml:space="preserve">VRSK</t>
  </si>
  <si>
    <t xml:space="preserve">Verisk Analytics</t>
  </si>
  <si>
    <t xml:space="preserve">盤中速報 - Verisk Analytics Inc(VRSK-US)大跌5.04%，報193.09美元</t>
  </si>
  <si>
    <r>
      <rPr>
        <sz val="10"/>
        <rFont val="Noto Sans CJK SC"/>
        <family val="2"/>
      </rPr>
      <t xml:space="preserve">盤中速報 </t>
    </r>
    <r>
      <rPr>
        <sz val="10"/>
        <rFont val="Arial"/>
        <family val="0"/>
        <charset val="1"/>
      </rPr>
      <t xml:space="preserve">- Verisk Analytics Inc(VRSK-US)</t>
    </r>
    <r>
      <rPr>
        <sz val="10"/>
        <rFont val="Noto Sans CJK SC"/>
        <family val="2"/>
      </rPr>
      <t xml:space="preserve">大跌</t>
    </r>
    <r>
      <rPr>
        <sz val="10"/>
        <rFont val="Arial"/>
        <family val="0"/>
        <charset val="1"/>
      </rPr>
      <t xml:space="preserve">5.04%</t>
    </r>
    <r>
      <rPr>
        <sz val="10"/>
        <rFont val="Noto Sans CJK SC"/>
        <family val="2"/>
      </rPr>
      <t xml:space="preserve">，報</t>
    </r>
    <r>
      <rPr>
        <sz val="10"/>
        <rFont val="Arial"/>
        <family val="0"/>
        <charset val="1"/>
      </rPr>
      <t xml:space="preserve">193.09</t>
    </r>
    <r>
      <rPr>
        <sz val="10"/>
        <rFont val="Noto Sans CJK SC"/>
        <family val="2"/>
      </rPr>
      <t xml:space="preserve">美元</t>
    </r>
  </si>
  <si>
    <t xml:space="preserve">9970b3a27460bdbb5f520d93</t>
  </si>
  <si>
    <t xml:space="preserve">DLTR</t>
  </si>
  <si>
    <t xml:space="preserve">Dollar Tree</t>
  </si>
  <si>
    <t xml:space="preserve">Dollar Store Stocks Slide as Selling Hits Discount Retail: Dollar Tree and Dollar General Drop 6%</t>
  </si>
  <si>
    <t xml:space="preserve">Yahoo Finance</t>
  </si>
  <si>
    <r>
      <rPr>
        <sz val="10"/>
        <rFont val="Noto Sans CJK SC"/>
        <family val="2"/>
      </rPr>
      <t xml:space="preserve">折扣零售股下滑（</t>
    </r>
    <r>
      <rPr>
        <sz val="10"/>
        <rFont val="Arial"/>
        <family val="0"/>
        <charset val="1"/>
      </rPr>
      <t xml:space="preserve">Dollar Tree</t>
    </r>
    <r>
      <rPr>
        <sz val="10"/>
        <rFont val="Noto Sans CJK SC"/>
        <family val="2"/>
      </rPr>
      <t xml:space="preserve">／</t>
    </r>
    <r>
      <rPr>
        <sz val="10"/>
        <rFont val="Arial"/>
        <family val="0"/>
        <charset val="1"/>
      </rPr>
      <t xml:space="preserve">Dollar General </t>
    </r>
    <r>
      <rPr>
        <sz val="10"/>
        <rFont val="Noto Sans CJK SC"/>
        <family val="2"/>
      </rPr>
      <t xml:space="preserve">跌約 </t>
    </r>
    <r>
      <rPr>
        <sz val="10"/>
        <rFont val="Arial"/>
        <family val="0"/>
        <charset val="1"/>
      </rPr>
      <t xml:space="preserve">6%</t>
    </r>
    <r>
      <rPr>
        <sz val="10"/>
        <rFont val="Noto Sans CJK SC"/>
        <family val="2"/>
      </rPr>
      <t xml:space="preserve">）。</t>
    </r>
  </si>
  <si>
    <t xml:space="preserve">5b94fd07676510172c118424</t>
  </si>
  <si>
    <t xml:space="preserve">LLY</t>
  </si>
  <si>
    <t xml:space="preserve">Lilly (Eli)</t>
  </si>
  <si>
    <t xml:space="preserve">Eli Lilly and Co Stock (LLY) Moved Down by 3.33% on Oct 23: Drivers Behind the Movement</t>
  </si>
  <si>
    <t xml:space="preserve">3f05174646045289037ab680</t>
  </si>
  <si>
    <t xml:space="preserve">DG</t>
  </si>
  <si>
    <t xml:space="preserve">Dollar General</t>
  </si>
  <si>
    <t xml:space="preserve">7eea59cc2e25d43897d172be</t>
  </si>
  <si>
    <t xml:space="preserve">Dollar Tree, Dollar General Stocks Slide as Their Core Shoppers Get Squeezed</t>
  </si>
  <si>
    <t xml:space="preserve">e8cee1dd92e85fbc3591041f</t>
  </si>
  <si>
    <t xml:space="preserve">GS</t>
  </si>
  <si>
    <t xml:space="preserve">Goldman Sachs</t>
  </si>
  <si>
    <t xml:space="preserve">Goldman Sachs sees AI-fueled layoffs displacing nearly 10% of workers in the coming years</t>
  </si>
  <si>
    <t xml:space="preserve">Business Insider</t>
  </si>
  <si>
    <t xml:space="preserve">ab388773bcdaf85ace64f010</t>
  </si>
  <si>
    <t xml:space="preserve">RTX</t>
  </si>
  <si>
    <t xml:space="preserve">RTX Corporation</t>
  </si>
  <si>
    <t xml:space="preserve">MSI RTX 5070 gaming laptop with 32GB RAM drops to its lowest-ever price</t>
  </si>
  <si>
    <t xml:space="preserve">PC Guide</t>
  </si>
  <si>
    <t xml:space="preserve">43b747da0e13ec8ee180a424</t>
  </si>
  <si>
    <t xml:space="preserve">UBER</t>
  </si>
  <si>
    <t xml:space="preserve">Uber</t>
  </si>
  <si>
    <t xml:space="preserve">Uber Technologies Inc Stock (UBER) Closed Down by 3.43% on Oct 23: Drivers Behind the Movement</t>
  </si>
  <si>
    <t xml:space="preserve">59fb026224a78beab5863913</t>
  </si>
  <si>
    <t xml:space="preserve">American Express Co (AXP) Stock Down 3.7% -- Now Undervalued? GF Score: 87/100</t>
  </si>
  <si>
    <t xml:space="preserve">GuruFocus</t>
  </si>
  <si>
    <t xml:space="preserve">2867de451c1f3ace8f549234</t>
  </si>
  <si>
    <t xml:space="preserve">VZ</t>
  </si>
  <si>
    <t xml:space="preserve">Verizon</t>
  </si>
  <si>
    <t xml:space="preserve">Houston, Verizon Has a Problem: Verizon Stock Falls as SpaceX Reportedly Seeks 80,000 Cell Sites</t>
  </si>
  <si>
    <t xml:space="preserve">TradingView</t>
  </si>
  <si>
    <t xml:space="preserve">c128c798eddd14486985a96c</t>
  </si>
  <si>
    <t xml:space="preserve">Verizon Communications Inc Stock (VZ) Moved Down by 3.21% on Oct 23: Key Drivers Unveiled</t>
  </si>
  <si>
    <t xml:space="preserve">e83dab264f6cd23cdaf9cfae</t>
  </si>
  <si>
    <t xml:space="preserve">LRCX</t>
  </si>
  <si>
    <t xml:space="preserve">Lam Research</t>
  </si>
  <si>
    <t xml:space="preserve">Lam Research Stocks Edge Lower as $8.6 Billion Guidance Tests Shipment Capacity</t>
  </si>
  <si>
    <t xml:space="preserve">66894c918e2f0c28b4b7b5ca</t>
  </si>
  <si>
    <t xml:space="preserve">American Express to Cut 3,500 Jobs as Corporate Layoffs Spread</t>
  </si>
  <si>
    <t xml:space="preserve">Eurasia Business News</t>
  </si>
  <si>
    <t xml:space="preserve">471c06aa6643391773d20a88</t>
  </si>
  <si>
    <t xml:space="preserve">WSM</t>
  </si>
  <si>
    <t xml:space="preserve">Williams-Sonoma, Inc.</t>
  </si>
  <si>
    <t xml:space="preserve">Williams-Sonoma Inc (WSM) Shares Fall 3.2% -- What GF Score of 8</t>
  </si>
  <si>
    <t xml:space="preserve">4120b37b39cd71bd4ff2c8de</t>
  </si>
  <si>
    <t xml:space="preserve">aee7ff89c785c1b9fb1339fc</t>
  </si>
  <si>
    <t xml:space="preserve">MSI</t>
  </si>
  <si>
    <t xml:space="preserve">Motorola Solutions</t>
  </si>
  <si>
    <t xml:space="preserve">771746b27c9708b3b8627968</t>
  </si>
  <si>
    <t xml:space="preserve">TDG</t>
  </si>
  <si>
    <t xml:space="preserve">TransDigm Group</t>
  </si>
  <si>
    <t xml:space="preserve">TransDigm Group Inc (TDG) Shares Fall 3.2% -- What GF Score of 8</t>
  </si>
  <si>
    <t xml:space="preserve">a854b829d73a350de18a6b56</t>
  </si>
  <si>
    <t xml:space="preserve">ROST</t>
  </si>
  <si>
    <t xml:space="preserve">Ross Stores</t>
  </si>
  <si>
    <t xml:space="preserve">Ross Stores Inc (ROST) Stock Down 3.1% but Still Overvalued -- G</t>
  </si>
  <si>
    <t xml:space="preserve">f85c8ce06e4ff018ae489cc7</t>
  </si>
  <si>
    <t xml:space="preserve">CMCSA</t>
  </si>
  <si>
    <t xml:space="preserve">Comcast</t>
  </si>
  <si>
    <t xml:space="preserve">Universal Theme Park Revenue Drops as Comcast Cites Disney Competition &amp; Epic Universe Capacity Challenges</t>
  </si>
  <si>
    <t xml:space="preserve">WDW News Today</t>
  </si>
  <si>
    <t xml:space="preserve">OPERATING_DETERIORATION</t>
  </si>
  <si>
    <r>
      <rPr>
        <sz val="10"/>
        <rFont val="Arial"/>
        <family val="0"/>
        <charset val="1"/>
      </rPr>
      <t xml:space="preserve">Comcast </t>
    </r>
    <r>
      <rPr>
        <sz val="10"/>
        <rFont val="Noto Sans CJK SC"/>
        <family val="2"/>
      </rPr>
      <t xml:space="preserve">環球主題樂園營收下滑。</t>
    </r>
  </si>
  <si>
    <t xml:space="preserve">af4cef99235474b93c347d18</t>
  </si>
  <si>
    <t xml:space="preserve">CSX</t>
  </si>
  <si>
    <t xml:space="preserve">CSX Corporation</t>
  </si>
  <si>
    <t xml:space="preserve">CSX (CSX) Stock Slips As Q3 Results Show Margin Strength</t>
  </si>
  <si>
    <t xml:space="preserve">86deb1102d991127194f70b2</t>
  </si>
  <si>
    <t xml:space="preserve">Uber Technologies Inc (UBER) Stock Down 3.4% -- Now Undervalued? GF Score: 83/100</t>
  </si>
  <si>
    <t xml:space="preserve">e34b18f239e6b9648de3af3f</t>
  </si>
  <si>
    <t xml:space="preserve">ROL</t>
  </si>
  <si>
    <t xml:space="preserve">Rollins, Inc.</t>
  </si>
  <si>
    <t xml:space="preserve">Polen Focus Growth Strategy Sells Rollins, Inc. (ROL) Amid Business Execution Concerns</t>
  </si>
  <si>
    <t xml:space="preserve">f51611c472348a1fcac4be0b</t>
  </si>
  <si>
    <t xml:space="preserve">ISRG</t>
  </si>
  <si>
    <t xml:space="preserve">Intuitive Surgical</t>
  </si>
  <si>
    <t xml:space="preserve">Intuitive Surgical Sinks 6% as U.S. da Vinci Growth Slows to “Lowest We’ve Seen Since COVID”</t>
  </si>
  <si>
    <t xml:space="preserve">TIKR.com</t>
  </si>
  <si>
    <r>
      <rPr>
        <sz val="10"/>
        <rFont val="Arial"/>
        <family val="0"/>
        <charset val="1"/>
      </rPr>
      <t xml:space="preserve">Intuitive Surgical </t>
    </r>
    <r>
      <rPr>
        <sz val="10"/>
        <rFont val="Noto Sans CJK SC"/>
        <family val="2"/>
      </rPr>
      <t xml:space="preserve">達文西美國成長放緩，股價跌 </t>
    </r>
    <r>
      <rPr>
        <sz val="10"/>
        <rFont val="Arial"/>
        <family val="0"/>
        <charset val="1"/>
      </rPr>
      <t xml:space="preserve">6%</t>
    </r>
    <r>
      <rPr>
        <sz val="10"/>
        <rFont val="Noto Sans CJK SC"/>
        <family val="2"/>
      </rPr>
      <t xml:space="preserve">。</t>
    </r>
  </si>
  <si>
    <t xml:space="preserve">4dd9f75f6e0058424f362e1b</t>
  </si>
  <si>
    <t xml:space="preserve">CTVA</t>
  </si>
  <si>
    <t xml:space="preserve">Corteva</t>
  </si>
  <si>
    <t xml:space="preserve">Corteva Inc (CTVA) Stock Down 3.2% but Still Overvalued -- GF Sc</t>
  </si>
  <si>
    <t xml:space="preserve">1be4aa595c771627f7456c4f</t>
  </si>
  <si>
    <t xml:space="preserve">SYY</t>
  </si>
  <si>
    <t xml:space="preserve">Sysco</t>
  </si>
  <si>
    <t xml:space="preserve">Sysco Corp (SYY) Stock Down 3.1% -- Now Undervalued? GF Score: 8</t>
  </si>
  <si>
    <t xml:space="preserve">0135f2d6ce3e6bb2db9773ad</t>
  </si>
  <si>
    <t xml:space="preserve">Tech Layoffs Mount as Netflix and eBay Cut Around 2,000 Jobs</t>
  </si>
  <si>
    <t xml:space="preserve">Newsweek</t>
  </si>
  <si>
    <t xml:space="preserve">8243888ae8a1a9e016b196e7</t>
  </si>
  <si>
    <t xml:space="preserve">ACN</t>
  </si>
  <si>
    <t xml:space="preserve">Accenture</t>
  </si>
  <si>
    <t xml:space="preserve">Accenture Lobbying Spend Falls to $490K as Roster Shrinks</t>
  </si>
  <si>
    <t xml:space="preserve">Legis1</t>
  </si>
  <si>
    <t xml:space="preserve">676c1247fc741ba135afc12a</t>
  </si>
  <si>
    <t xml:space="preserve">American Express is cutting 5% of its workforce to 'prepare for AI'</t>
  </si>
  <si>
    <t xml:space="preserve">CNBC</t>
  </si>
  <si>
    <t xml:space="preserve">f3e9805e3644a7ff10dd8c09</t>
  </si>
  <si>
    <t xml:space="preserve">HOOD</t>
  </si>
  <si>
    <t xml:space="preserve">Robinhood Markets</t>
  </si>
  <si>
    <t xml:space="preserve">Robinhood Markets (NASDAQ:HOOD) Shares Down 1.6% After Insider Selling</t>
  </si>
  <si>
    <t xml:space="preserve">MarketBeat</t>
  </si>
  <si>
    <t xml:space="preserve">5c02fcc39e1844c24a1f5c4f</t>
  </si>
  <si>
    <t xml:space="preserve">PG</t>
  </si>
  <si>
    <t xml:space="preserve">Procter &amp; Gamble</t>
  </si>
  <si>
    <t xml:space="preserve">Procter &amp; Gamble Stocks Decrease 2.62% as $1.4 Billion Cost Burden Grows</t>
  </si>
  <si>
    <r>
      <rPr>
        <sz val="10"/>
        <rFont val="Arial"/>
        <family val="0"/>
        <charset val="1"/>
      </rPr>
      <t xml:space="preserve">P&amp;G 14 </t>
    </r>
    <r>
      <rPr>
        <sz val="10"/>
        <rFont val="Noto Sans CJK SC"/>
        <family val="2"/>
      </rPr>
      <t xml:space="preserve">億美元成本負擔擴大。</t>
    </r>
  </si>
  <si>
    <t xml:space="preserve">14e09a948b96df9fc5dcbd9a</t>
  </si>
  <si>
    <t xml:space="preserve">Top Midday Stories: American Express to Cut 5% of Workforce; Bloom Energy Shares Fall Despite Q3 Beat</t>
  </si>
  <si>
    <t xml:space="preserve">67185207ac6bffd55c00f3fc</t>
  </si>
  <si>
    <t xml:space="preserve">Accenture PLC Stock (ACN) Opened Down by 4.04% on Oct 23: What Signal Does It Send?</t>
  </si>
  <si>
    <t xml:space="preserve">6d7c838dc42c12d7655fb4bd</t>
  </si>
  <si>
    <t xml:space="preserve">d33ef1422357e6967a935462</t>
  </si>
  <si>
    <t xml:space="preserve">DOV</t>
  </si>
  <si>
    <t xml:space="preserve">Dover Corporation</t>
  </si>
  <si>
    <t xml:space="preserve">Dover (DOV) Stock Slips As Q3 Earnings Meet Execution Doubts</t>
  </si>
  <si>
    <t xml:space="preserve">0ab6354714cce444df100191</t>
  </si>
  <si>
    <t xml:space="preserve">SBUX</t>
  </si>
  <si>
    <t xml:space="preserve">Starbucks</t>
  </si>
  <si>
    <t xml:space="preserve">2 Starbucks stores closing in Sea-Tac Airport; layoffs planned</t>
  </si>
  <si>
    <t xml:space="preserve">The Seattle Times</t>
  </si>
  <si>
    <t xml:space="preserve">星巴克機場店關閉並裁員。</t>
  </si>
  <si>
    <t xml:space="preserve">b99d1fce4a26fb8551f8b37a</t>
  </si>
  <si>
    <t xml:space="preserve">COIN</t>
  </si>
  <si>
    <t xml:space="preserve">Coinbase</t>
  </si>
  <si>
    <t xml:space="preserve">Ethereum ETFs approach fourth week of outflows as Coinbase Premium drops to lowest since June</t>
  </si>
  <si>
    <t xml:space="preserve">www.tmgm.com</t>
  </si>
  <si>
    <t xml:space="preserve">c74010aefdc7dc6f22eccf9a</t>
  </si>
  <si>
    <t xml:space="preserve">TPR</t>
  </si>
  <si>
    <t xml:space="preserve">Tapestry, Inc.</t>
  </si>
  <si>
    <t xml:space="preserve">Tapestry Inc (TPR) Shares Fall 3.1% -- What GF Score of 82 Tells Investors</t>
  </si>
  <si>
    <t xml:space="preserve">2170978e6c47663eb0ef8102</t>
  </si>
  <si>
    <t xml:space="preserve">CBRE</t>
  </si>
  <si>
    <t xml:space="preserve">CBRE Group</t>
  </si>
  <si>
    <t xml:space="preserve">CBRE Falls After Revenue Miss and Cautious Segment Commentary Overshadow Profit Beat</t>
  </si>
  <si>
    <t xml:space="preserve">Quiver Quantitative</t>
  </si>
  <si>
    <t xml:space="preserve">EARNINGS_MISS</t>
  </si>
  <si>
    <r>
      <rPr>
        <sz val="10"/>
        <rFont val="Arial"/>
        <family val="0"/>
        <charset val="1"/>
      </rPr>
      <t xml:space="preserve">CBRE </t>
    </r>
    <r>
      <rPr>
        <sz val="10"/>
        <rFont val="Noto Sans CJK SC"/>
        <family val="2"/>
      </rPr>
      <t xml:space="preserve">營收不如預期。</t>
    </r>
  </si>
  <si>
    <t xml:space="preserve">ddb9d305d60a2b6c6e634707</t>
  </si>
  <si>
    <t xml:space="preserve">Accenture shares fall on insider sales and analyst downgrade</t>
  </si>
  <si>
    <t xml:space="preserve">StreetInsider</t>
  </si>
  <si>
    <t xml:space="preserve">ANALYST_DOWNGRADE</t>
  </si>
  <si>
    <r>
      <rPr>
        <sz val="10"/>
        <rFont val="Arial"/>
        <family val="0"/>
        <charset val="1"/>
      </rPr>
      <t xml:space="preserve">Accenture </t>
    </r>
    <r>
      <rPr>
        <sz val="10"/>
        <rFont val="Noto Sans CJK SC"/>
        <family val="2"/>
      </rPr>
      <t xml:space="preserve">遭降評並有內部人賣股。</t>
    </r>
  </si>
  <si>
    <t xml:space="preserve">d64745453d355f01e0452783</t>
  </si>
  <si>
    <t xml:space="preserve">TSCO</t>
  </si>
  <si>
    <t xml:space="preserve">Tractor Supply</t>
  </si>
  <si>
    <t xml:space="preserve">Tractor Supply (TSCO) Stock Slides As Q3 Results Expose Margin Strain</t>
  </si>
  <si>
    <r>
      <rPr>
        <sz val="10"/>
        <rFont val="Arial"/>
        <family val="0"/>
        <charset val="1"/>
      </rPr>
      <t xml:space="preserve">Tractor Supply </t>
    </r>
    <r>
      <rPr>
        <sz val="10"/>
        <rFont val="Noto Sans CJK SC"/>
        <family val="2"/>
      </rPr>
      <t xml:space="preserve">毛利壓力。</t>
    </r>
  </si>
  <si>
    <t xml:space="preserve">986b998dcce8567bf2722e48</t>
  </si>
  <si>
    <t xml:space="preserve">Netflix reports slowing revenue growth following headcount reduction</t>
  </si>
  <si>
    <t xml:space="preserve">CFO Brew</t>
  </si>
  <si>
    <r>
      <rPr>
        <sz val="10"/>
        <rFont val="Arial"/>
        <family val="0"/>
        <charset val="1"/>
      </rPr>
      <t xml:space="preserve">Netflix </t>
    </r>
    <r>
      <rPr>
        <sz val="10"/>
        <rFont val="Noto Sans CJK SC"/>
        <family val="2"/>
      </rPr>
      <t xml:space="preserve">裁員後營收成長放緩／裁員彙整。</t>
    </r>
  </si>
  <si>
    <t xml:space="preserve">2b4e798fe2ef5760de7c2860</t>
  </si>
  <si>
    <t xml:space="preserve">美國運通首席執行官表示，公司將裁減5%的員工</t>
  </si>
  <si>
    <r>
      <rPr>
        <sz val="10"/>
        <rFont val="Noto Sans CJK SC"/>
        <family val="2"/>
      </rPr>
      <t xml:space="preserve">美國運通首席執行官表示，公司將裁減</t>
    </r>
    <r>
      <rPr>
        <sz val="10"/>
        <rFont val="Arial"/>
        <family val="0"/>
        <charset val="1"/>
      </rPr>
      <t xml:space="preserve">5%</t>
    </r>
    <r>
      <rPr>
        <sz val="10"/>
        <rFont val="Noto Sans CJK SC"/>
        <family val="2"/>
      </rPr>
      <t xml:space="preserve">的員工</t>
    </r>
  </si>
  <si>
    <t xml:space="preserve">ba7c5621b413520ed3012946</t>
  </si>
  <si>
    <t xml:space="preserve">Southwest Airlines</t>
  </si>
  <si>
    <t xml:space="preserve">美國航空股集體下跌</t>
  </si>
  <si>
    <t xml:space="preserve">6554fc02f78fa69b7f705c93</t>
  </si>
  <si>
    <t xml:space="preserve">NVR</t>
  </si>
  <si>
    <t xml:space="preserve">NVR, Inc.</t>
  </si>
  <si>
    <t xml:space="preserve">NVR Q3 net income falls 27% as homebuilding margin narrows</t>
  </si>
  <si>
    <t xml:space="preserve">Lesprom Network</t>
  </si>
  <si>
    <r>
      <rPr>
        <sz val="10"/>
        <rFont val="Arial"/>
        <family val="0"/>
        <charset val="1"/>
      </rPr>
      <t xml:space="preserve">NVR </t>
    </r>
    <r>
      <rPr>
        <sz val="10"/>
        <rFont val="Noto Sans CJK SC"/>
        <family val="2"/>
      </rPr>
      <t xml:space="preserve">第三季獲利下滑 </t>
    </r>
    <r>
      <rPr>
        <sz val="10"/>
        <rFont val="Arial"/>
        <family val="0"/>
        <charset val="1"/>
      </rPr>
      <t xml:space="preserve">27%</t>
    </r>
    <r>
      <rPr>
        <sz val="10"/>
        <rFont val="Noto Sans CJK SC"/>
        <family val="2"/>
      </rPr>
      <t xml:space="preserve">、財報不如預期。</t>
    </r>
  </si>
  <si>
    <t xml:space="preserve">419072fc54b3ea3ea228eda8</t>
  </si>
  <si>
    <t xml:space="preserve">Starbucks to close SEA Terminal A store, cutting 13 jobs and leaving 4 airport cafes</t>
  </si>
  <si>
    <t xml:space="preserve">KOMO</t>
  </si>
  <si>
    <t xml:space="preserve">33448a2a7b4a6640747b0829</t>
  </si>
  <si>
    <t xml:space="preserve">T-Mobile US falls 8% amid SpaceX competition concerns (TMUS:NASDAQ)</t>
  </si>
  <si>
    <t xml:space="preserve">Seeking Alpha</t>
  </si>
  <si>
    <t xml:space="preserve">9307eefc5049ed8f61037d70</t>
  </si>
  <si>
    <t xml:space="preserve">CBRE Global Real Estate Income Fund drops 28%, raising concerns over its sustainability despite high yield.</t>
  </si>
  <si>
    <t xml:space="preserve">Pluang</t>
  </si>
  <si>
    <t xml:space="preserve">d7e18bff82a2412c94a3cd2e</t>
  </si>
  <si>
    <t xml:space="preserve">NVR Faces Margin Risk Amid Weak Housing Demand, BofA Says</t>
  </si>
  <si>
    <t xml:space="preserve">marketscreener.com</t>
  </si>
  <si>
    <t xml:space="preserve">f7c1bf889b138304cbee20bb</t>
  </si>
  <si>
    <t xml:space="preserve">First Hawaiian stock dips 2% on third-quarter earnings miss</t>
  </si>
  <si>
    <t xml:space="preserve">Investing.com</t>
  </si>
  <si>
    <r>
      <rPr>
        <sz val="10"/>
        <rFont val="Arial"/>
        <family val="0"/>
        <charset val="1"/>
      </rPr>
      <t xml:space="preserve">First Hawaiian </t>
    </r>
    <r>
      <rPr>
        <sz val="10"/>
        <rFont val="Noto Sans CJK SC"/>
        <family val="2"/>
      </rPr>
      <t xml:space="preserve">第三季財報不如預期。</t>
    </r>
  </si>
  <si>
    <t xml:space="preserve">First Hawaiian, Inc.</t>
  </si>
  <si>
    <t xml:space="preserve">FHB</t>
  </si>
  <si>
    <t xml:space="preserve">95d8db3cd98177ab119b4902</t>
  </si>
  <si>
    <t xml:space="preserve">American Express Reportedly Plans to Cut 5% of its Global Workforce</t>
  </si>
  <si>
    <t xml:space="preserve">14d2d2eba094d471dfebda82</t>
  </si>
  <si>
    <t xml:space="preserve">BofA downgrades NVR stock rating on weak orders and absorption</t>
  </si>
  <si>
    <r>
      <rPr>
        <sz val="10"/>
        <rFont val="Arial"/>
        <family val="0"/>
        <charset val="1"/>
      </rPr>
      <t xml:space="preserve">BofA </t>
    </r>
    <r>
      <rPr>
        <sz val="10"/>
        <rFont val="Noto Sans CJK SC"/>
        <family val="2"/>
      </rPr>
      <t xml:space="preserve">調降 </t>
    </r>
    <r>
      <rPr>
        <sz val="10"/>
        <rFont val="Arial"/>
        <family val="0"/>
        <charset val="1"/>
      </rPr>
      <t xml:space="preserve">NVR </t>
    </r>
    <r>
      <rPr>
        <sz val="10"/>
        <rFont val="Noto Sans CJK SC"/>
        <family val="2"/>
      </rPr>
      <t xml:space="preserve">評等（訂單疲弱）。</t>
    </r>
  </si>
  <si>
    <t xml:space="preserve">d2c96f7c75ffdc80beba9238</t>
  </si>
  <si>
    <t xml:space="preserve">Goldman Sachs warns Turkey’s $30 billion reserve loss could deepen</t>
  </si>
  <si>
    <t xml:space="preserve">Turkish Minute</t>
  </si>
  <si>
    <t xml:space="preserve">50c94de30e82cf2492e53402</t>
  </si>
  <si>
    <t xml:space="preserve">CMI</t>
  </si>
  <si>
    <t xml:space="preserve">Cummins</t>
  </si>
  <si>
    <t xml:space="preserve">Cummins stock trades 21.11 percent below its 52-week high</t>
  </si>
  <si>
    <t xml:space="preserve">AD HOC NEWS</t>
  </si>
  <si>
    <t xml:space="preserve">7c45d7856f5090ec5f78597e</t>
  </si>
  <si>
    <t xml:space="preserve">American Express (AXP) Stock Price Drops After Strong Q3 Earnings</t>
  </si>
  <si>
    <t xml:space="preserve">9b9595acaab70465d5adeab5</t>
  </si>
  <si>
    <t xml:space="preserve">Procter &amp; Gamble Stocks Decrease 2.62% as $1.4 Billion Cost Burd</t>
  </si>
  <si>
    <t xml:space="preserve">f4c75a1b13f6178af96179cb</t>
  </si>
  <si>
    <t xml:space="preserve">Dow Jones Today: DJIA Falls to 52,215.16 as American Express Slides and Oil Prices Jump</t>
  </si>
  <si>
    <t xml:space="preserve">BBN Times</t>
  </si>
  <si>
    <t xml:space="preserve">eecad381179fb698a878f82c</t>
  </si>
  <si>
    <t xml:space="preserve">Globe Life Inc (GL) Shares Fall 8.1% -- GF Value Says Still Overvalued</t>
  </si>
  <si>
    <t xml:space="preserve">29a180946cc13838451faa87</t>
  </si>
  <si>
    <t xml:space="preserve">Why T-Mobile US Stock Dropped Today</t>
  </si>
  <si>
    <t xml:space="preserve">The Motley Fool</t>
  </si>
  <si>
    <t xml:space="preserve">392110b3611bf776386d1808</t>
  </si>
  <si>
    <t xml:space="preserve">2026-10-25</t>
  </si>
  <si>
    <t xml:space="preserve">GPC</t>
  </si>
  <si>
    <t xml:space="preserve">Genuine Parts Company</t>
  </si>
  <si>
    <t xml:space="preserve">Why Did Genuine Parts (GPC) Shares Drop After Its Latest Update?</t>
  </si>
  <si>
    <t xml:space="preserve">Simply Wall Street</t>
  </si>
  <si>
    <t xml:space="preserve">EARNINGS_WARNING</t>
  </si>
  <si>
    <r>
      <rPr>
        <sz val="10"/>
        <rFont val="Arial"/>
        <family val="0"/>
        <charset val="1"/>
      </rPr>
      <t xml:space="preserve">Genuine Parts </t>
    </r>
    <r>
      <rPr>
        <sz val="10"/>
        <rFont val="Noto Sans CJK SC"/>
        <family val="2"/>
      </rPr>
      <t xml:space="preserve">更新後股價下跌（下調財測）。</t>
    </r>
  </si>
  <si>
    <t xml:space="preserve">1cd5c0c8bb8a3541533be806</t>
  </si>
  <si>
    <t xml:space="preserve">Day Around the Bay: Netflix, Ebay Axe More Than 450 Bay Area Workers in Latest Layoffs</t>
  </si>
  <si>
    <t xml:space="preserve">e72e76e6cce6f5c033a318a5</t>
  </si>
  <si>
    <t xml:space="preserve">MCD</t>
  </si>
  <si>
    <t xml:space="preserve">McDonald's</t>
  </si>
  <si>
    <t xml:space="preserve">McDonald's India operator Westlife Foodworld swings to Q2 loss of Rs 2.7 crore</t>
  </si>
  <si>
    <t xml:space="preserve">Investment Guru India</t>
  </si>
  <si>
    <t xml:space="preserve">ca4c35b2688c88908dbc4993</t>
  </si>
  <si>
    <t xml:space="preserve">BA</t>
  </si>
  <si>
    <t xml:space="preserve">Boeing</t>
  </si>
  <si>
    <t xml:space="preserve">Exclusive-Boeing supplier dispute has halted 777 freighter production for two months, sources say</t>
  </si>
  <si>
    <t xml:space="preserve">Merced Sun-Star</t>
  </si>
  <si>
    <t xml:space="preserve">PRODUCTION_DELAY</t>
  </si>
  <si>
    <r>
      <rPr>
        <sz val="10"/>
        <rFont val="Noto Sans CJK SC"/>
        <family val="2"/>
      </rPr>
      <t xml:space="preserve">供應商糾紛使波音 </t>
    </r>
    <r>
      <rPr>
        <sz val="10"/>
        <rFont val="Arial"/>
        <family val="0"/>
        <charset val="1"/>
      </rPr>
      <t xml:space="preserve">777 </t>
    </r>
    <r>
      <rPr>
        <sz val="10"/>
        <rFont val="Noto Sans CJK SC"/>
        <family val="2"/>
      </rPr>
      <t xml:space="preserve">貨機停產近兩個月。</t>
    </r>
  </si>
  <si>
    <t xml:space="preserve">09056df580fa853a6953090f</t>
  </si>
  <si>
    <t xml:space="preserve">DGX</t>
  </si>
  <si>
    <t xml:space="preserve">Quest Diagnostics</t>
  </si>
  <si>
    <t xml:space="preserve">Quest Diagnostics Reports Patient-Record Intrusion As Labs Face Scrutiny Over Data Security</t>
  </si>
  <si>
    <t xml:space="preserve">Dallas Express</t>
  </si>
  <si>
    <t xml:space="preserve">DATA_BREACH</t>
  </si>
  <si>
    <r>
      <rPr>
        <sz val="10"/>
        <rFont val="Arial"/>
        <family val="0"/>
        <charset val="1"/>
      </rPr>
      <t xml:space="preserve">Quest Diagnostics </t>
    </r>
    <r>
      <rPr>
        <sz val="10"/>
        <rFont val="Noto Sans CJK SC"/>
        <family val="2"/>
      </rPr>
      <t xml:space="preserve">通報病患紀錄入侵。</t>
    </r>
  </si>
  <si>
    <t xml:space="preserve">30fe4e69161890fa1149f89b</t>
  </si>
  <si>
    <t xml:space="preserve">American Express To Cut 5% Of Jobs As AI Reshapes Business</t>
  </si>
  <si>
    <t xml:space="preserve">ROCK 95.5 CHICAGO’S ROCK STATION</t>
  </si>
  <si>
    <t xml:space="preserve">ae0ca7af39d430e9e0a4e072</t>
  </si>
  <si>
    <t xml:space="preserve">XYZ</t>
  </si>
  <si>
    <t xml:space="preserve">Block, Inc.</t>
  </si>
  <si>
    <t xml:space="preserve">Block Inc (XYZ) Shares Fall 3.2% -- GF Value Says Still Overvalued</t>
  </si>
  <si>
    <t xml:space="preserve">24bed59e1b4046bf1edbbf84</t>
  </si>
  <si>
    <t xml:space="preserve">20d1ce1ef7c3471b2167358d</t>
  </si>
  <si>
    <t xml:space="preserve">CCL</t>
  </si>
  <si>
    <t xml:space="preserve">Carnival Corporation</t>
  </si>
  <si>
    <t xml:space="preserve">Carnival Corporation Ltd (CCL) Stock Down 3.6% but Still Overval</t>
  </si>
  <si>
    <t xml:space="preserve">9be143edcaf9b591db000521</t>
  </si>
  <si>
    <t xml:space="preserve">CL</t>
  </si>
  <si>
    <t xml:space="preserve">Colgate-Palmolive</t>
  </si>
  <si>
    <t xml:space="preserve">Colgate-Palmolive (CL) Faces A Leadership Exit On A Pricey Earnings Narrative</t>
  </si>
  <si>
    <t xml:space="preserve">28b538d73bc92dc8abae9310</t>
  </si>
  <si>
    <t xml:space="preserve">ODFL</t>
  </si>
  <si>
    <t xml:space="preserve">Old Dominion</t>
  </si>
  <si>
    <t xml:space="preserve">ODFL slides over 4% as shares remain below key moving averages despite dividend increase</t>
  </si>
  <si>
    <t xml:space="preserve">Traders Union</t>
  </si>
  <si>
    <t xml:space="preserve">7ec35e51ff280616840f0503</t>
  </si>
  <si>
    <t xml:space="preserve">MRNA</t>
  </si>
  <si>
    <t xml:space="preserve">Moderna</t>
  </si>
  <si>
    <t xml:space="preserve">Moderna Stock Plummets 18% After Cancer-Vaccine Data Leak</t>
  </si>
  <si>
    <r>
      <rPr>
        <sz val="10"/>
        <rFont val="Arial"/>
        <family val="0"/>
        <charset val="1"/>
      </rPr>
      <t xml:space="preserve">Moderna </t>
    </r>
    <r>
      <rPr>
        <sz val="10"/>
        <rFont val="Noto Sans CJK SC"/>
        <family val="2"/>
      </rPr>
      <t xml:space="preserve">癌症疫苗資料外洩，股價暴跌。</t>
    </r>
  </si>
  <si>
    <t xml:space="preserve">ad5bec3ee0d07e4b8533d26d</t>
  </si>
  <si>
    <t xml:space="preserve">2026-10-26</t>
  </si>
  <si>
    <t xml:space="preserve">Goldman Sachs Notes Sharp Drop in Retail Trading Volumes, GS Sto</t>
  </si>
  <si>
    <t xml:space="preserve">78e4ebfc9bad362cf8af9cfc</t>
  </si>
  <si>
    <t xml:space="preserve">PHM</t>
  </si>
  <si>
    <t xml:space="preserve">PulteGroup</t>
  </si>
  <si>
    <t xml:space="preserve">PulteGroup Net Down as Mortgage Rates Weigh on Home Sales</t>
  </si>
  <si>
    <t xml:space="preserve">WSJ</t>
  </si>
  <si>
    <r>
      <rPr>
        <sz val="10"/>
        <rFont val="Arial"/>
        <family val="0"/>
        <charset val="1"/>
      </rPr>
      <t xml:space="preserve">PulteGroup </t>
    </r>
    <r>
      <rPr>
        <sz val="10"/>
        <rFont val="Noto Sans CJK SC"/>
        <family val="2"/>
      </rPr>
      <t xml:space="preserve">獲利下滑（房貸利率影響）。</t>
    </r>
  </si>
  <si>
    <t xml:space="preserve">a4f2bc94e50e80f2e705ca34</t>
  </si>
  <si>
    <t xml:space="preserve">American Express CEO announces plans to cut 5% of workforce amid restructuring | Trending</t>
  </si>
  <si>
    <t xml:space="preserve">Hindustan Times</t>
  </si>
  <si>
    <t xml:space="preserve">faf43041efe4c31bc3dea144</t>
  </si>
  <si>
    <t xml:space="preserve">EA</t>
  </si>
  <si>
    <t xml:space="preserve">Electronic Arts</t>
  </si>
  <si>
    <t xml:space="preserve">Tech layoffs tracker 2026: All the job losses across Netflix, Electronic Arts, eBay, Apple, TikTok, Meta and others</t>
  </si>
  <si>
    <t xml:space="preserve">Yahoo Tech</t>
  </si>
  <si>
    <t xml:space="preserve">科技裁員追蹤彙整。</t>
  </si>
  <si>
    <t xml:space="preserve">4d0cea2987458570760af098</t>
  </si>
  <si>
    <t xml:space="preserve">GM</t>
  </si>
  <si>
    <t xml:space="preserve">General Motors</t>
  </si>
  <si>
    <t xml:space="preserve">Stellantis Sinks 8% as Q3 Report Nears; Ford Drops 4%, General Motors Slides 3%</t>
  </si>
  <si>
    <t xml:space="preserve">0642ea42144bc3f0e9f4ac5b</t>
  </si>
  <si>
    <t xml:space="preserve">T-Mobile US Inc Stock (TMUS) Opened Down by 3.56% on Oct 23: What Investors Need To Know</t>
  </si>
  <si>
    <t xml:space="preserve">cd4501fc09384d81946c5d94</t>
  </si>
  <si>
    <t xml:space="preserve">EQT</t>
  </si>
  <si>
    <t xml:space="preserve">EQT Corporation</t>
  </si>
  <si>
    <t xml:space="preserve">DEP: Equitrans LP [EQT] Conventional Well Plugging Results In Multiple Spills, Inadvertent Returns, Failure To Comply With Permits In Greene County</t>
  </si>
  <si>
    <t xml:space="preserve">PA Environment Digest Blog</t>
  </si>
  <si>
    <t xml:space="preserve">ENVIRONMENTAL_INCIDENT</t>
  </si>
  <si>
    <r>
      <rPr>
        <sz val="10"/>
        <rFont val="Arial"/>
        <family val="0"/>
        <charset val="1"/>
      </rPr>
      <t xml:space="preserve">Equitrans </t>
    </r>
    <r>
      <rPr>
        <sz val="10"/>
        <rFont val="Noto Sans CJK SC"/>
        <family val="2"/>
      </rPr>
      <t xml:space="preserve">油井封井導致多處洩漏。</t>
    </r>
  </si>
  <si>
    <t xml:space="preserve">是</t>
  </si>
  <si>
    <t xml:space="preserve">984a947ba8062482d6516855</t>
  </si>
  <si>
    <t xml:space="preserve">Delta Air Lines Inc (DAL) Shares Fall 3.1% -- GF Value Says Stil</t>
  </si>
  <si>
    <t xml:space="preserve">9bc992e982d206f27596b926</t>
  </si>
  <si>
    <t xml:space="preserve">Western Digital CFO Rebuts AI Cooling Rumors: Customers Unwavering, but Capex Surge Sends Shares Down 3%</t>
  </si>
  <si>
    <t xml:space="preserve">BigGo Finance</t>
  </si>
  <si>
    <t xml:space="preserve">f78dcad4d0e6313dd97c9370</t>
  </si>
  <si>
    <t xml:space="preserve">eBay and Netflix layoffs to impact over 450 Bay Area workers</t>
  </si>
  <si>
    <t xml:space="preserve">KRON4</t>
  </si>
  <si>
    <t xml:space="preserve">1b734678e5870a1450d8ac1a</t>
  </si>
  <si>
    <t xml:space="preserve">01e78d3161b4576bcf1fb32b</t>
  </si>
  <si>
    <t xml:space="preserve">美股三大電信股齊跌4%</t>
  </si>
  <si>
    <r>
      <rPr>
        <sz val="10"/>
        <rFont val="Noto Sans CJK SC"/>
        <family val="2"/>
      </rPr>
      <t xml:space="preserve">美股三大電信股齊跌</t>
    </r>
    <r>
      <rPr>
        <sz val="10"/>
        <rFont val="Arial"/>
        <family val="0"/>
        <charset val="1"/>
      </rPr>
      <t xml:space="preserve">4%</t>
    </r>
  </si>
  <si>
    <t xml:space="preserve">b5599f4663a207168a9c23d5</t>
  </si>
  <si>
    <t xml:space="preserve">AT&amp;T, Verizon, T-Mobile Shares Slip As SpaceX Reportedly Holds Cell Tower Talks For Starlink Mobile</t>
  </si>
  <si>
    <t xml:space="preserve">Forbes</t>
  </si>
  <si>
    <t xml:space="preserve">3efcbe6bdf3bf2a731124e35</t>
  </si>
  <si>
    <t xml:space="preserve">46f87825c4e5ce91563ede91</t>
  </si>
  <si>
    <t xml:space="preserve">HWM</t>
  </si>
  <si>
    <t xml:space="preserve">Howmet Aerospace</t>
  </si>
  <si>
    <t xml:space="preserve">Howmet Aerospace Stock: 5 Straight Red Days, Down 16%</t>
  </si>
  <si>
    <t xml:space="preserve">Trefis</t>
  </si>
  <si>
    <r>
      <rPr>
        <sz val="10"/>
        <rFont val="Arial"/>
        <family val="0"/>
        <charset val="1"/>
      </rPr>
      <t xml:space="preserve">Howmet </t>
    </r>
    <r>
      <rPr>
        <sz val="10"/>
        <rFont val="Noto Sans CJK SC"/>
        <family val="2"/>
      </rPr>
      <t xml:space="preserve">連跌五日、創 </t>
    </r>
    <r>
      <rPr>
        <sz val="10"/>
        <rFont val="Arial"/>
        <family val="0"/>
        <charset val="1"/>
      </rPr>
      <t xml:space="preserve">52 </t>
    </r>
    <r>
      <rPr>
        <sz val="10"/>
        <rFont val="Noto Sans CJK SC"/>
        <family val="2"/>
      </rPr>
      <t xml:space="preserve">週低點。</t>
    </r>
  </si>
  <si>
    <t xml:space="preserve">db3d18303b42c02e91a0e3da</t>
  </si>
  <si>
    <t xml:space="preserve">710330f407e2cc7730247869</t>
  </si>
  <si>
    <t xml:space="preserve">ADP</t>
  </si>
  <si>
    <t xml:space="preserve">Automatic Data Processing</t>
  </si>
  <si>
    <t xml:space="preserve">ADP spending hits Tk 12,018cr in Q1, lowest since FY18</t>
  </si>
  <si>
    <t xml:space="preserve">New Age BD</t>
  </si>
  <si>
    <t xml:space="preserve">1b915f1dfada6a4b4ca017a8</t>
  </si>
  <si>
    <t xml:space="preserve">bfd2c5922c14e227355ee44d</t>
  </si>
  <si>
    <t xml:space="preserve">Netflix Is Down 51% From Its High. History Suggests This Is What Happens Next.</t>
  </si>
  <si>
    <t xml:space="preserve">debd384996884cc28bd82b03</t>
  </si>
  <si>
    <t xml:space="preserve">FIX</t>
  </si>
  <si>
    <t xml:space="preserve">Comfort Systems USA</t>
  </si>
  <si>
    <t xml:space="preserve">Comfort Systems USA (FIX) Stock Price Slides After Q3 Earnings Strength</t>
  </si>
  <si>
    <t xml:space="preserve">ada1925e9740e42428e26f03</t>
  </si>
  <si>
    <t xml:space="preserve">Western Digital downgraded to Hold amid AI cycle risks and fading pricing momentum</t>
  </si>
  <si>
    <r>
      <rPr>
        <sz val="10"/>
        <rFont val="Arial"/>
        <family val="0"/>
        <charset val="1"/>
      </rPr>
      <t xml:space="preserve">Western Digital </t>
    </r>
    <r>
      <rPr>
        <sz val="10"/>
        <rFont val="Noto Sans CJK SC"/>
        <family val="2"/>
      </rPr>
      <t xml:space="preserve">降評至持有。</t>
    </r>
  </si>
  <si>
    <t xml:space="preserve">565b41ac2804b3ea77f2b6d4</t>
  </si>
  <si>
    <t xml:space="preserve">AMZN</t>
  </si>
  <si>
    <t xml:space="preserve">Amazon</t>
  </si>
  <si>
    <t xml:space="preserve">Amazon.com (AMZN) Cancels $427 Million Loudoun County Data Center Project</t>
  </si>
  <si>
    <t xml:space="preserve">4f8c5fb1d11a932f4a1e569d</t>
  </si>
  <si>
    <t xml:space="preserve">American Express Stocks Fall 1.94% as Company Plans 5% Workforce Cut</t>
  </si>
  <si>
    <t xml:space="preserve">b1c1daabc47c34f8c2f83349</t>
  </si>
  <si>
    <t xml:space="preserve">Western Digital (WDC) Stock Price Defies Q1 Earnings Strength</t>
  </si>
  <si>
    <t xml:space="preserve">57d9724d1d3e94137e1d3ee7</t>
  </si>
  <si>
    <t xml:space="preserve">Howmet Aerospace stock: A 3.15 percent fall leaves Howmet Aerospace stock at EUR 166.73</t>
  </si>
  <si>
    <t xml:space="preserve">cdbdcd391d1982b7ca65b2f0</t>
  </si>
  <si>
    <t xml:space="preserve">Delta cut 2026 guidance as fuel costs pressure Delta Air Lines stock</t>
  </si>
  <si>
    <r>
      <rPr>
        <sz val="10"/>
        <rFont val="Arial"/>
        <family val="0"/>
        <charset val="1"/>
      </rPr>
      <t xml:space="preserve">Delta </t>
    </r>
    <r>
      <rPr>
        <sz val="10"/>
        <rFont val="Noto Sans CJK SC"/>
        <family val="2"/>
      </rPr>
      <t xml:space="preserve">下調 </t>
    </r>
    <r>
      <rPr>
        <sz val="10"/>
        <rFont val="Arial"/>
        <family val="0"/>
        <charset val="1"/>
      </rPr>
      <t xml:space="preserve">2026 </t>
    </r>
    <r>
      <rPr>
        <sz val="10"/>
        <rFont val="Noto Sans CJK SC"/>
        <family val="2"/>
      </rPr>
      <t xml:space="preserve">財測（燃料成本）。</t>
    </r>
  </si>
  <si>
    <t xml:space="preserve">7b78c2051d2dd155d45c805d</t>
  </si>
  <si>
    <t xml:space="preserve">Update: American Express Plans to Cut 5% of Global Workforce</t>
  </si>
  <si>
    <t xml:space="preserve">d165f6adfd2d4774cec770d2</t>
  </si>
  <si>
    <t xml:space="preserve">URI</t>
  </si>
  <si>
    <t xml:space="preserve">United Rentals</t>
  </si>
  <si>
    <t xml:space="preserve">United Rentals Falls 4.6% as Analyst Downgrade Appears to Pressure Shares</t>
  </si>
  <si>
    <r>
      <rPr>
        <sz val="10"/>
        <rFont val="Arial"/>
        <family val="0"/>
        <charset val="1"/>
      </rPr>
      <t xml:space="preserve">United Rentals </t>
    </r>
    <r>
      <rPr>
        <sz val="10"/>
        <rFont val="Noto Sans CJK SC"/>
        <family val="2"/>
      </rPr>
      <t xml:space="preserve">遭降評，股價跌 </t>
    </r>
    <r>
      <rPr>
        <sz val="10"/>
        <rFont val="Arial"/>
        <family val="0"/>
        <charset val="1"/>
      </rPr>
      <t xml:space="preserve">4.6%</t>
    </r>
    <r>
      <rPr>
        <sz val="10"/>
        <rFont val="Noto Sans CJK SC"/>
        <family val="2"/>
      </rPr>
      <t xml:space="preserve">。</t>
    </r>
  </si>
  <si>
    <t xml:space="preserve">356c2c2e8908d38546096ae9</t>
  </si>
  <si>
    <t xml:space="preserve">Amazon's Fire HD 10 tablet has been marked down to a throwaway $72 for a limited time</t>
  </si>
  <si>
    <t xml:space="preserve">TweakTown</t>
  </si>
  <si>
    <t xml:space="preserve">72e6fd6ba42d6be938b58d73</t>
  </si>
  <si>
    <t xml:space="preserve">Boeing supplier dispute has halted 777 freighter production for two months, sources say</t>
  </si>
  <si>
    <t xml:space="preserve">f532973a844725c2fb3657ba</t>
  </si>
  <si>
    <t xml:space="preserve">Telecom Stocks Fall as SpaceX Eyes 80,000 Cell Sites: T-Mobile Sinks 5%, AT&amp;T Drops 4%, Verizon Slides 3%</t>
  </si>
  <si>
    <t xml:space="preserve">827c599e05a835015805c460</t>
  </si>
  <si>
    <t xml:space="preserve">American Express Workforce Cuts Amid Rising AI Revolution</t>
  </si>
  <si>
    <t xml:space="preserve">RS Web Solutions</t>
  </si>
  <si>
    <t xml:space="preserve">1e5d99a91abbca5cc35764de</t>
  </si>
  <si>
    <t xml:space="preserve">American Express to Lay Off 5% of Workforce to ‘Prepare for AI’</t>
  </si>
  <si>
    <t xml:space="preserve">Investopedia</t>
  </si>
  <si>
    <t xml:space="preserve">f4f5f0d06defb4ba739c269f</t>
  </si>
  <si>
    <t xml:space="preserve">YouTube Is Running Away From Netflix as Nielsen’s Latest Gauge Shows the Streaming Gap Nearly Doubling</t>
  </si>
  <si>
    <t xml:space="preserve">IMDb</t>
  </si>
  <si>
    <t xml:space="preserve">057c3139d2b957b3c2ffccac</t>
  </si>
  <si>
    <t xml:space="preserve">Comfort Systems USA drops 9% after earnings, CFO retirement (FIX:NYSE)</t>
  </si>
  <si>
    <t xml:space="preserve">CFO_DEPARTURE</t>
  </si>
  <si>
    <r>
      <rPr>
        <sz val="10"/>
        <rFont val="Arial"/>
        <family val="0"/>
        <charset val="1"/>
      </rPr>
      <t xml:space="preserve">Comfort Systems </t>
    </r>
    <r>
      <rPr>
        <sz val="10"/>
        <rFont val="Noto Sans CJK SC"/>
        <family val="2"/>
      </rPr>
      <t xml:space="preserve">財報後股價跌 </t>
    </r>
    <r>
      <rPr>
        <sz val="10"/>
        <rFont val="Arial"/>
        <family val="0"/>
        <charset val="1"/>
      </rPr>
      <t xml:space="preserve">9%</t>
    </r>
    <r>
      <rPr>
        <sz val="10"/>
        <rFont val="Noto Sans CJK SC"/>
        <family val="2"/>
      </rPr>
      <t xml:space="preserve">，</t>
    </r>
    <r>
      <rPr>
        <sz val="10"/>
        <rFont val="Arial"/>
        <family val="0"/>
        <charset val="1"/>
      </rPr>
      <t xml:space="preserve">CFO </t>
    </r>
    <r>
      <rPr>
        <sz val="10"/>
        <rFont val="Noto Sans CJK SC"/>
        <family val="2"/>
      </rPr>
      <t xml:space="preserve">退休。</t>
    </r>
  </si>
  <si>
    <t xml:space="preserve">f815a349cb95cb8f88e020bf</t>
  </si>
  <si>
    <t xml:space="preserve">Howmet Aerospace stock hits 52-week low at 188.01 USD</t>
  </si>
  <si>
    <t xml:space="preserve">101ca18ce7a8595fa4ff836b</t>
  </si>
  <si>
    <t xml:space="preserve">CRM</t>
  </si>
  <si>
    <t xml:space="preserve">Salesforce</t>
  </si>
  <si>
    <t xml:space="preserve">Salesforce, American Express Share Losses Lead Dow's 575-Point Drop</t>
  </si>
  <si>
    <t xml:space="preserve">Moomoo</t>
  </si>
  <si>
    <t xml:space="preserve">290a2f2ac247d5285eeaf01d</t>
  </si>
  <si>
    <t xml:space="preserve">American Express plans thousands of layoffs after two years of hiring</t>
  </si>
  <si>
    <t xml:space="preserve">TheStreet</t>
  </si>
  <si>
    <t xml:space="preserve">465e2623b6717143dd75ebdd</t>
  </si>
  <si>
    <t xml:space="preserve">FLEX</t>
  </si>
  <si>
    <t xml:space="preserve">Flex Ltd.</t>
  </si>
  <si>
    <t xml:space="preserve">Flex Stock Slides 36% Over 10 Straight Down Days</t>
  </si>
  <si>
    <r>
      <rPr>
        <sz val="10"/>
        <rFont val="Arial"/>
        <family val="0"/>
        <charset val="1"/>
      </rPr>
      <t xml:space="preserve">Flex</t>
    </r>
    <r>
      <rPr>
        <sz val="10"/>
        <rFont val="Noto Sans CJK SC"/>
        <family val="2"/>
      </rPr>
      <t xml:space="preserve">／</t>
    </r>
    <r>
      <rPr>
        <sz val="10"/>
        <rFont val="Arial"/>
        <family val="0"/>
        <charset val="1"/>
      </rPr>
      <t xml:space="preserve">EMCOR </t>
    </r>
    <r>
      <rPr>
        <sz val="10"/>
        <rFont val="Noto Sans CJK SC"/>
        <family val="2"/>
      </rPr>
      <t xml:space="preserve">連跌 </t>
    </r>
    <r>
      <rPr>
        <sz val="10"/>
        <rFont val="Arial"/>
        <family val="0"/>
        <charset val="1"/>
      </rPr>
      <t xml:space="preserve">10 </t>
    </r>
    <r>
      <rPr>
        <sz val="10"/>
        <rFont val="Noto Sans CJK SC"/>
        <family val="2"/>
      </rPr>
      <t xml:space="preserve">日，分別重挫 </t>
    </r>
    <r>
      <rPr>
        <sz val="10"/>
        <rFont val="Arial"/>
        <family val="0"/>
        <charset val="1"/>
      </rPr>
      <t xml:space="preserve">36%</t>
    </r>
    <r>
      <rPr>
        <sz val="10"/>
        <rFont val="Noto Sans CJK SC"/>
        <family val="2"/>
      </rPr>
      <t xml:space="preserve">／</t>
    </r>
    <r>
      <rPr>
        <sz val="10"/>
        <rFont val="Arial"/>
        <family val="0"/>
        <charset val="1"/>
      </rPr>
      <t xml:space="preserve">18%</t>
    </r>
    <r>
      <rPr>
        <sz val="10"/>
        <rFont val="Noto Sans CJK SC"/>
        <family val="2"/>
      </rPr>
      <t xml:space="preserve">。</t>
    </r>
  </si>
  <si>
    <t xml:space="preserve">dc878633b452150dabe11e95</t>
  </si>
  <si>
    <t xml:space="preserve">EME</t>
  </si>
  <si>
    <t xml:space="preserve">Emcor</t>
  </si>
  <si>
    <t xml:space="preserve">EMCOR Stock Slides 18% Over 10 Straight Down Days</t>
  </si>
  <si>
    <t xml:space="preserve">3e09c345ffc575ca50b50971</t>
  </si>
  <si>
    <t xml:space="preserve">Incident at Findel airport: Cargolux Boeing 747-8F landing gear collapses while parked</t>
  </si>
  <si>
    <t xml:space="preserve">RTL Today</t>
  </si>
  <si>
    <t xml:space="preserve">376d6e6d2c4e7c82a4c1a6b7</t>
  </si>
  <si>
    <t xml:space="preserve">CBRE shares fall as higher earnings meet property-market caution</t>
  </si>
  <si>
    <t xml:space="preserve">finchannel</t>
  </si>
  <si>
    <t xml:space="preserve">0417b291b186b454e679571a</t>
  </si>
  <si>
    <t xml:space="preserve">Global investment bank Goldman Sachs lowered its 12-month KOSPI target index by 25% from 12,000 to 9..</t>
  </si>
  <si>
    <t xml:space="preserve">매일경제</t>
  </si>
  <si>
    <t xml:space="preserve">79d3f6619f5c6bf6cbc30ffd</t>
  </si>
  <si>
    <t xml:space="preserve">MSFT</t>
  </si>
  <si>
    <t xml:space="preserve">Microsoft</t>
  </si>
  <si>
    <t xml:space="preserve">Nasdaq Index: AI Spending Fears Put Alphabet, Microsoft and Amazon in Focus</t>
  </si>
  <si>
    <t xml:space="preserve">FXEmpire</t>
  </si>
  <si>
    <t xml:space="preserve">ef9e76e68afb13df1fa61576</t>
  </si>
  <si>
    <t xml:space="preserve">Netflix viewing is said to fall as engagement weakens, raising growth concerns (NFLX:NASDAQ)</t>
  </si>
  <si>
    <t xml:space="preserve">a6493d9c377321a08a7dd2bb</t>
  </si>
  <si>
    <t xml:space="preserve">aa230d9ee9d3114fdecc86e5</t>
  </si>
  <si>
    <t xml:space="preserve">American Express Posts Mixed Financial Results</t>
  </si>
  <si>
    <t xml:space="preserve">e3f535661955e773e66b541e</t>
  </si>
  <si>
    <t xml:space="preserve">JBL</t>
  </si>
  <si>
    <t xml:space="preserve">Jabil</t>
  </si>
  <si>
    <t xml:space="preserve">JBL 305P MkII Studio Monitors Drop to $99 Each</t>
  </si>
  <si>
    <t xml:space="preserve">Fstoppers</t>
  </si>
  <si>
    <t xml:space="preserve">e0f38d79056b81b75a219067</t>
  </si>
  <si>
    <t xml:space="preserve">Globe Life (GL) Shares Dip After Piper Sandler Downgrade Amid Q3 Earnings Miss</t>
  </si>
  <si>
    <r>
      <rPr>
        <sz val="10"/>
        <rFont val="Arial"/>
        <family val="0"/>
        <charset val="1"/>
      </rPr>
      <t xml:space="preserve">Globe Life </t>
    </r>
    <r>
      <rPr>
        <sz val="10"/>
        <rFont val="Noto Sans CJK SC"/>
        <family val="2"/>
      </rPr>
      <t xml:space="preserve">財報不如預期並遭 </t>
    </r>
    <r>
      <rPr>
        <sz val="10"/>
        <rFont val="Arial"/>
        <family val="0"/>
        <charset val="1"/>
      </rPr>
      <t xml:space="preserve">Piper Sandler </t>
    </r>
    <r>
      <rPr>
        <sz val="10"/>
        <rFont val="Noto Sans CJK SC"/>
        <family val="2"/>
      </rPr>
      <t xml:space="preserve">降評。</t>
    </r>
  </si>
  <si>
    <t xml:space="preserve">5161b0e8b8f2a1248d422750</t>
  </si>
  <si>
    <t xml:space="preserve">AMAT</t>
  </si>
  <si>
    <t xml:space="preserve">Applied Materials</t>
  </si>
  <si>
    <t xml:space="preserve">Applied Materials (AMAT) Could Be 41% Below Fair Value Following Supply Bottleneck Fears</t>
  </si>
  <si>
    <t xml:space="preserve">b01fa996cf451769d58322fc</t>
  </si>
  <si>
    <t xml:space="preserve">Western Digital Stock Pullback Despite Fiscal Q1 Beat Reflects AI Capex Concerns, Wedbush Says</t>
  </si>
  <si>
    <t xml:space="preserve">f5c3b50b9b4c5825806a7f5e</t>
  </si>
  <si>
    <t xml:space="preserve">SLM Stock Slides As Earnings Miss And Legal Probes Rattle Traders</t>
  </si>
  <si>
    <t xml:space="preserve">Timothy Sykes</t>
  </si>
  <si>
    <r>
      <rPr>
        <sz val="10"/>
        <rFont val="Arial"/>
        <family val="0"/>
        <charset val="1"/>
      </rPr>
      <t xml:space="preserve">SLM </t>
    </r>
    <r>
      <rPr>
        <sz val="10"/>
        <rFont val="Noto Sans CJK SC"/>
        <family val="2"/>
      </rPr>
      <t xml:space="preserve">財報不如預期並有法律調查。</t>
    </r>
  </si>
  <si>
    <t xml:space="preserve">SLM Corp</t>
  </si>
  <si>
    <t xml:space="preserve">SLM</t>
  </si>
  <si>
    <t xml:space="preserve">31c7fbc19c6cfa908d03d0b1</t>
  </si>
  <si>
    <t xml:space="preserve">NKE</t>
  </si>
  <si>
    <t xml:space="preserve">Nike, Inc.</t>
  </si>
  <si>
    <t xml:space="preserve">NIKE (NYSE:NKE) Shares Down 2.6% - Should You Sell?</t>
  </si>
  <si>
    <t xml:space="preserve">bf52a5031f57a7b60ec6673d</t>
  </si>
  <si>
    <t xml:space="preserve">Boeing 777F production reportedly halted for nearly two months by supplier dispute</t>
  </si>
  <si>
    <t xml:space="preserve">Air Data News</t>
  </si>
  <si>
    <t xml:space="preserve">118cc87eba1cf51c854f39f4</t>
  </si>
  <si>
    <t xml:space="preserve">American Express Outage Today: Is American Express Down? Users Report Problems with App, Mobile Banking, and Login – Check American Express Downdetector Status</t>
  </si>
  <si>
    <t xml:space="preserve">The Sunday Guardian</t>
  </si>
  <si>
    <t xml:space="preserve">0d654b56ff94e5d61e72b160</t>
  </si>
  <si>
    <t xml:space="preserve">WMT</t>
  </si>
  <si>
    <t xml:space="preserve">Walmart</t>
  </si>
  <si>
    <t xml:space="preserve">Walmart on Six Mile Cypress Pkwy closed following electrical injury, authorities say</t>
  </si>
  <si>
    <t xml:space="preserve">WINK News</t>
  </si>
  <si>
    <t xml:space="preserve">95f11d41a7383cee34e15fd7</t>
  </si>
  <si>
    <t xml:space="preserve">NVDA</t>
  </si>
  <si>
    <t xml:space="preserve">Nvidia</t>
  </si>
  <si>
    <t xml:space="preserve">NVIDIA's latest 621.01 driver is causing a black screen and other issues</t>
  </si>
  <si>
    <t xml:space="preserve">Sportskeeda Tech</t>
  </si>
  <si>
    <t xml:space="preserve">8fabd59284dd1ff2489cb03d</t>
  </si>
  <si>
    <t xml:space="preserve">eBay Layoffs 2026: 1,000 Jobs Cut Despite Stock Surge</t>
  </si>
  <si>
    <t xml:space="preserve">Hoodline</t>
  </si>
  <si>
    <t xml:space="preserve">91735746461a5d761a0c6c9b</t>
  </si>
  <si>
    <t xml:space="preserve">EOG</t>
  </si>
  <si>
    <t xml:space="preserve">EOG Resources</t>
  </si>
  <si>
    <t xml:space="preserve">Zacks Research Lowers Earnings Estimates for EOG Resources</t>
  </si>
  <si>
    <t xml:space="preserve">a6f7fc1dd24202bf3a26c78a</t>
  </si>
  <si>
    <t xml:space="preserve">Delta Air Lines Apologizes After Gate Agent Enforces Incorrect Bag Rule On Passenger's Carry-On</t>
  </si>
  <si>
    <t xml:space="preserve">TheTravel</t>
  </si>
  <si>
    <t xml:space="preserve">a7e74c18b64d24b8f398f887</t>
  </si>
  <si>
    <t xml:space="preserve">General Motors Stock Forecast: GM Coils Below $85.23 as Q3 Earnings Test a Third Guidance Raise</t>
  </si>
  <si>
    <t xml:space="preserve">15faecc93ba5c5510022a7c4</t>
  </si>
  <si>
    <t xml:space="preserve">Boeing supplier dispute has halted 777 freighter production for two months</t>
  </si>
  <si>
    <t xml:space="preserve">ET Manufacturing</t>
  </si>
  <si>
    <t xml:space="preserve">a4043a026e4cb161c2520201</t>
  </si>
  <si>
    <t xml:space="preserve">Nvidia Funding Pressure Is Reshaping AI Data Center Finance Stocks</t>
  </si>
  <si>
    <t xml:space="preserve">3190421d8e18218b600b4b32</t>
  </si>
  <si>
    <t xml:space="preserve">Websites Go Offline, Protests in France, Netflix Downsizes</t>
  </si>
  <si>
    <t xml:space="preserve">NPR</t>
  </si>
  <si>
    <t xml:space="preserve">e21e872c25f1386cc3b66c47</t>
  </si>
  <si>
    <t xml:space="preserve">PSA</t>
  </si>
  <si>
    <t xml:space="preserve">Public Storage</t>
  </si>
  <si>
    <t xml:space="preserve">$1B in Budget — PSA part arrears; Divali Nagar nixed</t>
  </si>
  <si>
    <t xml:space="preserve">Trinidad Guardian</t>
  </si>
  <si>
    <t xml:space="preserve">adc040337ed4813974c2600c</t>
  </si>
  <si>
    <t xml:space="preserve">BBY</t>
  </si>
  <si>
    <t xml:space="preserve">Best Buy</t>
  </si>
  <si>
    <t xml:space="preserve">Samsung 43-Inch M70F 4K Smart Monitor Drops to $399.99 at Best Buy</t>
  </si>
  <si>
    <t xml:space="preserve">SammyGuru</t>
  </si>
  <si>
    <t xml:space="preserve">0d7866166b1b1cd2808bdf96</t>
  </si>
  <si>
    <t xml:space="preserve">Why is American Express cutting 3,500 global jobs despite a profit surge to $3.71 billion?</t>
  </si>
  <si>
    <t xml:space="preserve">The Financial Express</t>
  </si>
  <si>
    <t xml:space="preserve">4058d5bdfcffa4b3ee23833f</t>
  </si>
  <si>
    <t xml:space="preserve">STT</t>
  </si>
  <si>
    <t xml:space="preserve">State Street Corporation</t>
  </si>
  <si>
    <t xml:space="preserve">Bryan Orders STT-STJ Public Schools, Executive Branch Offices Closed Friday as WAPA Outages Continue</t>
  </si>
  <si>
    <t xml:space="preserve">St. Thomas Source</t>
  </si>
  <si>
    <t xml:space="preserve">cc439c73e9b18a221fb7be7c</t>
  </si>
  <si>
    <t xml:space="preserve">Moderna stock extends decline after leaked data on melanoma vaccine trial</t>
  </si>
  <si>
    <t xml:space="preserve">6f57211ef71075afee30a9fe</t>
  </si>
  <si>
    <t xml:space="preserve">NVR Q3 Earnings Miss Estimates on Lower Settlements &amp; Margin Pressure</t>
  </si>
  <si>
    <t xml:space="preserve">a1272252a2bb9eac49b727c5</t>
  </si>
  <si>
    <t xml:space="preserve">American Express to Cut 3,500 Jobs</t>
  </si>
  <si>
    <t xml:space="preserve">8d307b0d1c6455a6c5e131a9</t>
  </si>
  <si>
    <t xml:space="preserve">VRT</t>
  </si>
  <si>
    <t xml:space="preserve">Vertiv</t>
  </si>
  <si>
    <t xml:space="preserve">Vertiv (VRT) Stock Looks Below Fair Value After A Huge Run</t>
  </si>
  <si>
    <t xml:space="preserve">446eb6d863ef262f019f2e0f</t>
  </si>
  <si>
    <t xml:space="preserve">EXCLUSIVE-PRODUCTION OF BOEING'S 777 FREIGHTER STOPPED SINCE AUGUST DUE TO DISPUTE WITH PARTS SUPPLIER, SOURCES SAY</t>
  </si>
  <si>
    <t xml:space="preserve">CGTN</t>
  </si>
  <si>
    <t xml:space="preserve">e82429eae7f59b06c556645d</t>
  </si>
  <si>
    <t xml:space="preserve">Boeing stock falls 26% from high as analysts cut targets</t>
  </si>
  <si>
    <t xml:space="preserve">scanx.trade</t>
  </si>
  <si>
    <t xml:space="preserve">b53623abad99d9cd6e443133</t>
  </si>
  <si>
    <t xml:space="preserve">Stocktwits Defense Watch: Lockheed Martin, RTX, L3Harris, HII Add To Their Defense Contract Backlogs Amid Pentagon Spending Ramp-Up</t>
  </si>
  <si>
    <t xml:space="preserve">c7efdd049492edb7e38cbc20</t>
  </si>
  <si>
    <t xml:space="preserve">Netflix, eBay reveal plans to cut hundreds of Bay Area jobs</t>
  </si>
  <si>
    <t xml:space="preserve">The Press Democrat</t>
  </si>
  <si>
    <t xml:space="preserve">400e71ea9a5ca08dfe407a0b</t>
  </si>
  <si>
    <t xml:space="preserve">ab128279406ba4d37d6a1eaa</t>
  </si>
  <si>
    <t xml:space="preserve">TSCO Q3 deep dive: margin pressures persist despite sales momentum and operational actions</t>
  </si>
  <si>
    <t xml:space="preserve">503faf62861f14ad57f3e99d</t>
  </si>
  <si>
    <t xml:space="preserve">HII</t>
  </si>
  <si>
    <t xml:space="preserve">Huntington Ingalls Industries</t>
  </si>
  <si>
    <t xml:space="preserve">d339c56c1c0cfdc9682b181b</t>
  </si>
  <si>
    <t xml:space="preserve">UNP</t>
  </si>
  <si>
    <t xml:space="preserve">Union Pacific Corporation</t>
  </si>
  <si>
    <t xml:space="preserve">Union Pacific (UNP) Stock Slips Even As Q3 Earnings Power Impresses</t>
  </si>
  <si>
    <t xml:space="preserve">5d3d5d6152fb1f2f2eb49a5f</t>
  </si>
  <si>
    <t xml:space="preserve">Nvidia Stocks Put AI-Factory Downtime in Minerva's Crosshairs</t>
  </si>
  <si>
    <t xml:space="preserve">1f0e60949273a4ea2e5f8909</t>
  </si>
  <si>
    <t xml:space="preserve">COO</t>
  </si>
  <si>
    <t xml:space="preserve">Cooper Companies (The)</t>
  </si>
  <si>
    <t xml:space="preserve">Xbox's first COO, Helen Chiang, reportedly terminated over "policy violations"</t>
  </si>
  <si>
    <t xml:space="preserve">Windows Report</t>
  </si>
  <si>
    <t xml:space="preserve">caf8d7f524e22229ab6b38dd</t>
  </si>
  <si>
    <t xml:space="preserve">Comcast planning layoffs amid $1-billion charge</t>
  </si>
  <si>
    <t xml:space="preserve">PressReader</t>
  </si>
  <si>
    <r>
      <rPr>
        <sz val="10"/>
        <rFont val="Arial"/>
        <family val="0"/>
        <charset val="1"/>
      </rPr>
      <t xml:space="preserve">Comcast </t>
    </r>
    <r>
      <rPr>
        <sz val="10"/>
        <rFont val="Noto Sans CJK SC"/>
        <family val="2"/>
      </rPr>
      <t xml:space="preserve">預告 </t>
    </r>
    <r>
      <rPr>
        <sz val="10"/>
        <rFont val="Arial"/>
        <family val="0"/>
        <charset val="1"/>
      </rPr>
      <t xml:space="preserve">10 </t>
    </r>
    <r>
      <rPr>
        <sz val="10"/>
        <rFont val="Noto Sans CJK SC"/>
        <family val="2"/>
      </rPr>
      <t xml:space="preserve">億美元重整費用與裁員。</t>
    </r>
  </si>
  <si>
    <t xml:space="preserve">6db347db9cfd6e4ca6972bcc</t>
  </si>
  <si>
    <t xml:space="preserve">SLM Stock Slides As Earnings Miss And Charge-Off Surge Rattle Traders</t>
  </si>
  <si>
    <t xml:space="preserve">621ded0e63c8f1d5c67b2918</t>
  </si>
  <si>
    <t xml:space="preserve">American Express announces 3,500 layoffs despite profit jump and success of $895 Platinum Card</t>
  </si>
  <si>
    <t xml:space="preserve">Yahoo News New Zealand</t>
  </si>
  <si>
    <t xml:space="preserve">8f2bfcb1bff177b3062e0fa1</t>
  </si>
  <si>
    <t xml:space="preserve">AI基建風暴升溫！新雲端業者全線重挫、信用風險攀升、Solidigm撤回IPO</t>
  </si>
  <si>
    <r>
      <rPr>
        <sz val="10"/>
        <rFont val="Arial"/>
        <family val="0"/>
        <charset val="1"/>
      </rPr>
      <t xml:space="preserve">AI</t>
    </r>
    <r>
      <rPr>
        <sz val="10"/>
        <rFont val="Noto Sans CJK SC"/>
        <family val="2"/>
      </rPr>
      <t xml:space="preserve">基建風暴升溫！新雲端業者全線重挫、信用風險攀升、</t>
    </r>
    <r>
      <rPr>
        <sz val="10"/>
        <rFont val="Arial"/>
        <family val="0"/>
        <charset val="1"/>
      </rPr>
      <t xml:space="preserve">Solidigm</t>
    </r>
    <r>
      <rPr>
        <sz val="10"/>
        <rFont val="Noto Sans CJK SC"/>
        <family val="2"/>
      </rPr>
      <t xml:space="preserve">撤回</t>
    </r>
    <r>
      <rPr>
        <sz val="10"/>
        <rFont val="Arial"/>
        <family val="0"/>
        <charset val="1"/>
      </rPr>
      <t xml:space="preserve">IPO</t>
    </r>
  </si>
  <si>
    <t xml:space="preserve">0eee90764995d4eb760fa603</t>
  </si>
  <si>
    <t xml:space="preserve">LMT</t>
  </si>
  <si>
    <t xml:space="preserve">Lockheed Martin</t>
  </si>
  <si>
    <t xml:space="preserve">2112e751a79a2af749b1f9f6</t>
  </si>
  <si>
    <t xml:space="preserve">FAA Orders Boeing 737 Checks: Nearly 2,000 Jets Face Stabilizer Inspections</t>
  </si>
  <si>
    <t xml:space="preserve">The Aviation Hub</t>
  </si>
  <si>
    <t xml:space="preserve">PRODUCT_DEFECT</t>
  </si>
  <si>
    <r>
      <rPr>
        <sz val="10"/>
        <rFont val="Arial"/>
        <family val="0"/>
        <charset val="1"/>
      </rPr>
      <t xml:space="preserve">FAA </t>
    </r>
    <r>
      <rPr>
        <sz val="10"/>
        <rFont val="Noto Sans CJK SC"/>
        <family val="2"/>
      </rPr>
      <t xml:space="preserve">命令檢查近 </t>
    </r>
    <r>
      <rPr>
        <sz val="10"/>
        <rFont val="Arial"/>
        <family val="0"/>
        <charset val="1"/>
      </rPr>
      <t xml:space="preserve">2,000 </t>
    </r>
    <r>
      <rPr>
        <sz val="10"/>
        <rFont val="Noto Sans CJK SC"/>
        <family val="2"/>
      </rPr>
      <t xml:space="preserve">架波音 </t>
    </r>
    <r>
      <rPr>
        <sz val="10"/>
        <rFont val="Arial"/>
        <family val="0"/>
        <charset val="1"/>
      </rPr>
      <t xml:space="preserve">737</t>
    </r>
    <r>
      <rPr>
        <sz val="10"/>
        <rFont val="Noto Sans CJK SC"/>
        <family val="2"/>
      </rPr>
      <t xml:space="preserve">（俯仰震盪）。</t>
    </r>
  </si>
  <si>
    <t xml:space="preserve">ab0caf5ae4d1f6bf53508328</t>
  </si>
  <si>
    <t xml:space="preserve">American Express to cut 3,500 jobs, around 5% of total workforce | CEO Stephen cited rising costs behind job cuts | Inshorts</t>
  </si>
  <si>
    <t xml:space="preserve">Inshorts</t>
  </si>
  <si>
    <t xml:space="preserve">a7bb05154eca0ecf537b31cc</t>
  </si>
  <si>
    <t xml:space="preserve">American Express Is Cutting 3,500 Jobs Globally--Here's Why</t>
  </si>
  <si>
    <t xml:space="preserve">NDTV Profit</t>
  </si>
  <si>
    <t xml:space="preserve">d152e85587f3df996099b7fa</t>
  </si>
  <si>
    <t xml:space="preserve">Verizon has a bad news for iPhone Duo buyers</t>
  </si>
  <si>
    <t xml:space="preserve">PhoneArena</t>
  </si>
  <si>
    <t xml:space="preserve">4933705f74921af8c8547cf3</t>
  </si>
  <si>
    <t xml:space="preserve">HD</t>
  </si>
  <si>
    <t xml:space="preserve">Home Depot (The)</t>
  </si>
  <si>
    <t xml:space="preserve">Home Depot Inc Stock (HD) Moved Down by 3.01% on Oct 23: What Investors Need To Know</t>
  </si>
  <si>
    <t xml:space="preserve">86ba280d4158767bf483b747</t>
  </si>
  <si>
    <t xml:space="preserve">Western Digital’s CFO refuted claims that AI demand has peaked, stating there are no signs of weakening</t>
  </si>
  <si>
    <t xml:space="preserve">富途牛牛</t>
  </si>
  <si>
    <t xml:space="preserve">e2961b67a97d6e26b1941d45</t>
  </si>
  <si>
    <t xml:space="preserve">American Express profits rise; company plans to cut workforce by 5%, or about 3,500 employees</t>
  </si>
  <si>
    <t xml:space="preserve">The New Indian Express</t>
  </si>
  <si>
    <t xml:space="preserve">8d1ff50d7124e7d1bf623161</t>
  </si>
  <si>
    <t xml:space="preserve">American Express Becomes the Latest Company To Announce Massive Layoffs Over the AI Boom</t>
  </si>
  <si>
    <t xml:space="preserve">45c5a525f5da00f05fc5907d</t>
  </si>
  <si>
    <t xml:space="preserve">JNJ</t>
  </si>
  <si>
    <t xml:space="preserve">Johnson &amp; Johnson</t>
  </si>
  <si>
    <t xml:space="preserve">Update: Market Chatter: Johnson &amp; Johnson Orthopedics, Smith &amp; Nephew Merger Collapsed Over Leadership Dispute</t>
  </si>
  <si>
    <t xml:space="preserve">cff7e981e41776de5feb8baa</t>
  </si>
  <si>
    <t xml:space="preserve">HUM</t>
  </si>
  <si>
    <t xml:space="preserve">Humana</t>
  </si>
  <si>
    <t xml:space="preserve">Major U.S. Insurers Humana and UnitedHealthcare Cancel Medicare Advantage Plans for 1 Million Seniors</t>
  </si>
  <si>
    <t xml:space="preserve">SSBCrack</t>
  </si>
  <si>
    <t xml:space="preserve">PRODUCT_OR_SERVICE_DISCONTINUATION</t>
  </si>
  <si>
    <r>
      <rPr>
        <sz val="10"/>
        <rFont val="Arial"/>
        <family val="0"/>
        <charset val="1"/>
      </rPr>
      <t xml:space="preserve">Humana</t>
    </r>
    <r>
      <rPr>
        <sz val="10"/>
        <rFont val="Noto Sans CJK SC"/>
        <family val="2"/>
      </rPr>
      <t xml:space="preserve">、</t>
    </r>
    <r>
      <rPr>
        <sz val="10"/>
        <rFont val="Arial"/>
        <family val="0"/>
        <charset val="1"/>
      </rPr>
      <t xml:space="preserve">UnitedHealthcare </t>
    </r>
    <r>
      <rPr>
        <sz val="10"/>
        <rFont val="Noto Sans CJK SC"/>
        <family val="2"/>
      </rPr>
      <t xml:space="preserve">取消醫療保險優勢計畫，影響百萬人。</t>
    </r>
  </si>
  <si>
    <t xml:space="preserve">bbaa399e2dd95cc6f5e0d6a9</t>
  </si>
  <si>
    <t xml:space="preserve">Nvidia Credit Stress Could Lift Hannover Re Stock And Other AI Insurance Names</t>
  </si>
  <si>
    <t xml:space="preserve">4f053170422a5fb7ebf7ae80</t>
  </si>
  <si>
    <t xml:space="preserve">CMS</t>
  </si>
  <si>
    <t xml:space="preserve">CMS Energy</t>
  </si>
  <si>
    <t xml:space="preserve">Healthfirst Sues CMS Over 3.5-Star Medicare Advantage Rating, Saying the Drop Will Cost It Over $380 Million</t>
  </si>
  <si>
    <t xml:space="preserve">Medical Daily</t>
  </si>
  <si>
    <t xml:space="preserve">b2f044d39f0251d6d12885a0</t>
  </si>
  <si>
    <t xml:space="preserve">Old Dominion Freight Line slides 4.3% as investors look ahead to earnings amid mixed freight signals</t>
  </si>
  <si>
    <t xml:space="preserve">637e174c085a23a39d251a2e</t>
  </si>
  <si>
    <t xml:space="preserve">Booking Holdings Inc. $BKNG Position Decreased by Pinnacle Associates Ltd.</t>
  </si>
  <si>
    <t xml:space="preserve">05a63d5a83a6532e208ac7b3</t>
  </si>
  <si>
    <t xml:space="preserve">UPS</t>
  </si>
  <si>
    <t xml:space="preserve">United Parcel Service</t>
  </si>
  <si>
    <t xml:space="preserve">UPS Stock Is Down 57% From Its Record. Is It a Buy Before Its Oct. 27 Report?</t>
  </si>
  <si>
    <t xml:space="preserve">05054d0cb4617b63a08ceb36</t>
  </si>
  <si>
    <t xml:space="preserve">Starbucks crackdown leaves China’s young jobless with nowhere to hide</t>
  </si>
  <si>
    <t xml:space="preserve">AFR</t>
  </si>
  <si>
    <t xml:space="preserve">fbea5c30332d5f255e72e170</t>
  </si>
  <si>
    <t xml:space="preserve">MSI MAG 321CQF E18 Gaming Office Monitor price drops to $209.99</t>
  </si>
  <si>
    <t xml:space="preserve">Technobezz</t>
  </si>
  <si>
    <t xml:space="preserve">6889097c90ba357b946d4dd8</t>
  </si>
  <si>
    <t xml:space="preserve">Xbox COO May Have Been Terminated After 3 Months On The Job, Potentially Due To Policy Violations</t>
  </si>
  <si>
    <t xml:space="preserve">wolfsgamingblog.com</t>
  </si>
  <si>
    <t xml:space="preserve">c7dc85649e5cabb80a7cd476</t>
  </si>
  <si>
    <t xml:space="preserve">NVIDIA confirms GeForce 621.01 driver bug causing video freezes and black screens</t>
  </si>
  <si>
    <t xml:space="preserve">VideoCardz.com</t>
  </si>
  <si>
    <t xml:space="preserve">f8b7bbcb1f4f887790f861ad</t>
  </si>
  <si>
    <t xml:space="preserve">Amazon Drops Ego Tools Up to 35% Off—Save on Leaf Blowers, Lawn Mowers, Snow Blowers, and More</t>
  </si>
  <si>
    <t xml:space="preserve">BobVila.com</t>
  </si>
  <si>
    <t xml:space="preserve">338a0e6b03473069c32c64df</t>
  </si>
  <si>
    <t xml:space="preserve">IBM</t>
  </si>
  <si>
    <t xml:space="preserve">IBM’s CEO Just Issued a Warning Message on AI Spending. He Ended Up Hurting His Own Stock.</t>
  </si>
  <si>
    <t xml:space="preserve">72997fe4ea1b4cfdc5ea9bda</t>
  </si>
  <si>
    <t xml:space="preserve">Corteva (CTVA) Separation Lawsuit Puts Dividend And Asset Moves Under Court Scrutiny</t>
  </si>
  <si>
    <t xml:space="preserve">MAJOR_LITIGATION</t>
  </si>
  <si>
    <r>
      <rPr>
        <sz val="10"/>
        <rFont val="Arial"/>
        <family val="0"/>
        <charset val="1"/>
      </rPr>
      <t xml:space="preserve">Corteva </t>
    </r>
    <r>
      <rPr>
        <sz val="10"/>
        <rFont val="Noto Sans CJK SC"/>
        <family val="2"/>
      </rPr>
      <t xml:space="preserve">分拆訴訟受法院審視。</t>
    </r>
  </si>
  <si>
    <t xml:space="preserve">ecfd26f50650c26f9b8053fc</t>
  </si>
  <si>
    <t xml:space="preserve">CVS</t>
  </si>
  <si>
    <t xml:space="preserve">CVS Health</t>
  </si>
  <si>
    <t xml:space="preserve">“We’re SICK of CVS Executives!” As flu season hits, Rhode Island pharmacy professionals protest unsafe working conditions at CVS</t>
  </si>
  <si>
    <t xml:space="preserve">SteveAhlquist.news</t>
  </si>
  <si>
    <t xml:space="preserve">71c346c009ebf8cddb70d3f3</t>
  </si>
  <si>
    <t xml:space="preserve">Coinbase Unit Fined €3.2M By Central Bank Of Ireland</t>
  </si>
  <si>
    <t xml:space="preserve">Law360</t>
  </si>
  <si>
    <t xml:space="preserve">REGULATORY_PENALTY</t>
  </si>
  <si>
    <r>
      <rPr>
        <sz val="10"/>
        <rFont val="Noto Sans CJK SC"/>
        <family val="2"/>
      </rPr>
      <t xml:space="preserve">愛爾蘭央行對 </t>
    </r>
    <r>
      <rPr>
        <sz val="10"/>
        <rFont val="Arial"/>
        <family val="0"/>
        <charset val="1"/>
      </rPr>
      <t xml:space="preserve">Coinbase </t>
    </r>
    <r>
      <rPr>
        <sz val="10"/>
        <rFont val="Noto Sans CJK SC"/>
        <family val="2"/>
      </rPr>
      <t xml:space="preserve">子公司罰款 </t>
    </r>
    <r>
      <rPr>
        <sz val="10"/>
        <rFont val="Arial"/>
        <family val="0"/>
        <charset val="1"/>
      </rPr>
      <t xml:space="preserve">320 </t>
    </r>
    <r>
      <rPr>
        <sz val="10"/>
        <rFont val="Noto Sans CJK SC"/>
        <family val="2"/>
      </rPr>
      <t xml:space="preserve">萬歐元。</t>
    </r>
  </si>
  <si>
    <t xml:space="preserve">dfa49b65bffdca290759a32a</t>
  </si>
  <si>
    <t xml:space="preserve">Verizon Shares Retreat as Sector &amp; Peer Pressures Mount</t>
  </si>
  <si>
    <t xml:space="preserve">TradingPedia</t>
  </si>
  <si>
    <t xml:space="preserve">e3d9f2dea0093922e0262323</t>
  </si>
  <si>
    <t xml:space="preserve">Walmart Hit With Proposed Class Action Over Unpaid Overtime (1)</t>
  </si>
  <si>
    <t xml:space="preserve">Bloomberg Law News</t>
  </si>
  <si>
    <t xml:space="preserve">cdd249e88d9f19567d4381c6</t>
  </si>
  <si>
    <t xml:space="preserve">Erste Group Bank Reduces Earnings Estimates for McDonald's</t>
  </si>
  <si>
    <t xml:space="preserve">c5fd7238a7b623eb6db5c563</t>
  </si>
  <si>
    <t xml:space="preserve">Correction: Update: Market Chatter: Johnson &amp; Johnson Orthopedics, Smith &amp; Nephew Merger Collapsed Over Leadership Dispute</t>
  </si>
  <si>
    <t xml:space="preserve">57aa1eee6a541f88ce05ae20</t>
  </si>
  <si>
    <t xml:space="preserve">Verizon Communications (NYSE:VZ) Shares Down 1.4% - Time to Sell?</t>
  </si>
  <si>
    <t xml:space="preserve">74410d66c08ff0e2b21df104</t>
  </si>
  <si>
    <t xml:space="preserve">Nvidia has been suspected of causing a GeForce shortage amid the AI chip boom</t>
  </si>
  <si>
    <t xml:space="preserve">UkrMedia News</t>
  </si>
  <si>
    <t xml:space="preserve">b5ab6ac74bd2eb2e784b1452</t>
  </si>
  <si>
    <t xml:space="preserve">PYPL</t>
  </si>
  <si>
    <t xml:space="preserve">PayPal</t>
  </si>
  <si>
    <t xml:space="preserve">PayPal Is Down More Than 80% From Its Peak. Here's Why I Still Own It</t>
  </si>
  <si>
    <t xml:space="preserve">b9f7302756970a81863f11cc</t>
  </si>
  <si>
    <t xml:space="preserve">ABNB</t>
  </si>
  <si>
    <t xml:space="preserve">Airbnb</t>
  </si>
  <si>
    <t xml:space="preserve">Airbnb host says new rules may lead to increased costs for guests: "An unintended consequence"</t>
  </si>
  <si>
    <t xml:space="preserve">CBS News</t>
  </si>
  <si>
    <t xml:space="preserve">e9034e6c1431872584172629</t>
  </si>
  <si>
    <t xml:space="preserve">Ohio farmers work from Walmart Wi-Fi as a 6-week outage leaves neighbors unable to call 911</t>
  </si>
  <si>
    <t xml:space="preserve">Yahoo</t>
  </si>
  <si>
    <t xml:space="preserve">e2f03a0e4e02eaabe3030ec6</t>
  </si>
  <si>
    <t xml:space="preserve">CHD</t>
  </si>
  <si>
    <t xml:space="preserve">Church &amp; Dwight</t>
  </si>
  <si>
    <t xml:space="preserve">Church &amp; Dwight stock edges lower as investors digest Q2 earnings and option activity</t>
  </si>
  <si>
    <t xml:space="preserve">ad-hoc-news.de</t>
  </si>
  <si>
    <t xml:space="preserve">1189fb5a363c6708508b71a4</t>
  </si>
  <si>
    <t xml:space="preserve">QCOM</t>
  </si>
  <si>
    <t xml:space="preserve">Qualcomm</t>
  </si>
  <si>
    <t xml:space="preserve">Qualcomm (NASDAQ: QCOM) Plans Global "Performance-Focused" Layoffs Beginning In November As Smartphone Revenue Slides</t>
  </si>
  <si>
    <t xml:space="preserve">Foreign Policy Journal</t>
  </si>
  <si>
    <r>
      <rPr>
        <sz val="10"/>
        <rFont val="Arial"/>
        <family val="0"/>
        <charset val="1"/>
      </rPr>
      <t xml:space="preserve">Qualcomm </t>
    </r>
    <r>
      <rPr>
        <sz val="10"/>
        <rFont val="Noto Sans CJK SC"/>
        <family val="2"/>
      </rPr>
      <t xml:space="preserve">自 </t>
    </r>
    <r>
      <rPr>
        <sz val="10"/>
        <rFont val="Arial"/>
        <family val="0"/>
        <charset val="1"/>
      </rPr>
      <t xml:space="preserve">11 </t>
    </r>
    <r>
      <rPr>
        <sz val="10"/>
        <rFont val="Noto Sans CJK SC"/>
        <family val="2"/>
      </rPr>
      <t xml:space="preserve">月起全球裁員。</t>
    </r>
  </si>
  <si>
    <t xml:space="preserve">a3fba94bb512bd3c9956c5b4</t>
  </si>
  <si>
    <t xml:space="preserve">Microsoft Stock Forecast: MSFT Pulls Back From $546.35 as Azure's 45% Guide Faces the AI Spending Test</t>
  </si>
  <si>
    <t xml:space="preserve">b4d54c9b8b88b3a691aa91bc</t>
  </si>
  <si>
    <t xml:space="preserve">Old Dominion Freight Line (ODFL) Stock Looks Stretched Following Its 41% Run</t>
  </si>
  <si>
    <t xml:space="preserve">0b56ead5f1ff76275a4b00e8</t>
  </si>
  <si>
    <t xml:space="preserve">APP</t>
  </si>
  <si>
    <t xml:space="preserve">AppLovin</t>
  </si>
  <si>
    <t xml:space="preserve">Applovin stock hits 52-week low at 260.5 USD</t>
  </si>
  <si>
    <r>
      <rPr>
        <sz val="10"/>
        <rFont val="Arial"/>
        <family val="0"/>
        <charset val="1"/>
      </rPr>
      <t xml:space="preserve">AppLovin</t>
    </r>
    <r>
      <rPr>
        <sz val="10"/>
        <rFont val="Noto Sans CJK SC"/>
        <family val="2"/>
      </rPr>
      <t xml:space="preserve">／</t>
    </r>
    <r>
      <rPr>
        <sz val="10"/>
        <rFont val="Arial"/>
        <family val="0"/>
        <charset val="1"/>
      </rPr>
      <t xml:space="preserve">MGM </t>
    </r>
    <r>
      <rPr>
        <sz val="10"/>
        <rFont val="Noto Sans CJK SC"/>
        <family val="2"/>
      </rPr>
      <t xml:space="preserve">股價創 </t>
    </r>
    <r>
      <rPr>
        <sz val="10"/>
        <rFont val="Arial"/>
        <family val="0"/>
        <charset val="1"/>
      </rPr>
      <t xml:space="preserve">52 </t>
    </r>
    <r>
      <rPr>
        <sz val="10"/>
        <rFont val="Noto Sans CJK SC"/>
        <family val="2"/>
      </rPr>
      <t xml:space="preserve">週低點。</t>
    </r>
  </si>
  <si>
    <t xml:space="preserve">267148ddbc34ffc411daabb0</t>
  </si>
  <si>
    <t xml:space="preserve">McDonald's India operator Westlife posts narrower quarterly loss</t>
  </si>
  <si>
    <t xml:space="preserve">a3642d9fd30c7ef519c353f4</t>
  </si>
  <si>
    <t xml:space="preserve">WYNN</t>
  </si>
  <si>
    <t xml:space="preserve">Wynn Resorts</t>
  </si>
  <si>
    <t xml:space="preserve">Wynn Resorts stock slides while seller pressure dominates short-term trading</t>
  </si>
  <si>
    <t xml:space="preserve">5dd826767bd5a744b60e8ce3</t>
  </si>
  <si>
    <t xml:space="preserve">Bitcoin – Why Coinbase warns BTC could fall to $75K amid macro risks</t>
  </si>
  <si>
    <t xml:space="preserve">AMBCrypto</t>
  </si>
  <si>
    <t xml:space="preserve">a94697a46f11aacd2bf1fe12</t>
  </si>
  <si>
    <t xml:space="preserve">Goldman Sachs sees US stocks dip on tech earnings and macro shifts</t>
  </si>
  <si>
    <t xml:space="preserve">dfb9541e4c808f654fff0e77</t>
  </si>
  <si>
    <t xml:space="preserve">CTVA Stock Crashes As Corteva Finalizes Vylor Spin-Off</t>
  </si>
  <si>
    <t xml:space="preserve">25745d32ec830d383bf66777</t>
  </si>
  <si>
    <t xml:space="preserve">Uber passenger spots alleged fare scam after driver demands Rs 1,780 for an Rs 885 ride</t>
  </si>
  <si>
    <t xml:space="preserve">Moneycontrol.com</t>
  </si>
  <si>
    <t xml:space="preserve">6ec5aa5714ef6ea5f3014c9c</t>
  </si>
  <si>
    <t xml:space="preserve">Netflix Is Now Down 29% This Year: Is NFLX Stock Hopeless or Ready for a Rebound?</t>
  </si>
  <si>
    <t xml:space="preserve">2bc0ee9590892feb1351e607</t>
  </si>
  <si>
    <t xml:space="preserve">Starbucks in SEA Airport’s Terminal A to close, affecting 13 employees</t>
  </si>
  <si>
    <t xml:space="preserve">KIRO 7 News Seattle</t>
  </si>
  <si>
    <t xml:space="preserve">8b34f5189aadd44a3142da6b</t>
  </si>
  <si>
    <t xml:space="preserve">MyNorthwest.com</t>
  </si>
  <si>
    <t xml:space="preserve">bf0ef2e62076c7e6d035d62d</t>
  </si>
  <si>
    <t xml:space="preserve">REGULATION | Ireland fines Coinbase Subsidiary Over $3 Million Over Customer Fund Safeguards Breach</t>
  </si>
  <si>
    <t xml:space="preserve">BitKE</t>
  </si>
  <si>
    <t xml:space="preserve">f323edb5d31c7b4256375d96</t>
  </si>
  <si>
    <t xml:space="preserve">AVGO</t>
  </si>
  <si>
    <t xml:space="preserve">Broadcom</t>
  </si>
  <si>
    <t xml:space="preserve">Broadcom Stock Is Down 7% in a Year. Cheap for a Reason or Too Cheap to Ignore?</t>
  </si>
  <si>
    <t xml:space="preserve">2241c845c8c19bb3fee9b484</t>
  </si>
  <si>
    <t xml:space="preserve">D</t>
  </si>
  <si>
    <t xml:space="preserve">Dominion Energy</t>
  </si>
  <si>
    <t xml:space="preserve">Citing ‘urgent need,’ Dominion Energy sues Prince William Co. over rejected substation plan</t>
  </si>
  <si>
    <t xml:space="preserve">WTOP News</t>
  </si>
  <si>
    <t xml:space="preserve">b2af19bec20f07a6b6af18ba</t>
  </si>
  <si>
    <t xml:space="preserve">Amazon backs off Northern VA data center plan months after purchase</t>
  </si>
  <si>
    <t xml:space="preserve">The Real Deal</t>
  </si>
  <si>
    <t xml:space="preserve">85e84511d9265bba1a059308</t>
  </si>
  <si>
    <t xml:space="preserve">American Express to Cut 5% of Global Workforce</t>
  </si>
  <si>
    <t xml:space="preserve">d16e8d0a4ee14601a4614dd1</t>
  </si>
  <si>
    <t xml:space="preserve">SYK</t>
  </si>
  <si>
    <t xml:space="preserve">Stryker Corporation</t>
  </si>
  <si>
    <t xml:space="preserve">Stryker Corporation $SYK Position Reduced by Citizens Financial Group Inc. RI</t>
  </si>
  <si>
    <t xml:space="preserve">169ee342bab6fb3974b3edd2</t>
  </si>
  <si>
    <t xml:space="preserve">CFG</t>
  </si>
  <si>
    <t xml:space="preserve">Citizens Financial Group</t>
  </si>
  <si>
    <t xml:space="preserve">1c5b87933f25453aee591f65</t>
  </si>
  <si>
    <t xml:space="preserve">Comcast Flags $1 Billion Q4 Charge For Layoffs, Restructuring Amid Overhaul Of Core Connectivity Business</t>
  </si>
  <si>
    <t xml:space="preserve">af5b0cd189b011ae4b46ddaa</t>
  </si>
  <si>
    <t xml:space="preserve">Coinbase Stock Is Down 31% This Year. Should You Buy the Drop?</t>
  </si>
  <si>
    <t xml:space="preserve">c00b73e38f63f27196c0fb5f</t>
  </si>
  <si>
    <t xml:space="preserve">Delta Air Lines rival slashes five huge US routes starting in 2027</t>
  </si>
  <si>
    <t xml:space="preserve">The Sun</t>
  </si>
  <si>
    <t xml:space="preserve">b61123437a73887590390144</t>
  </si>
  <si>
    <t xml:space="preserve">Western Digital Stock Forecast: Guidance Beat Can't Stop WDC's Slide Toward $331.30 Support</t>
  </si>
  <si>
    <t xml:space="preserve">02623d1cb029760590e52595</t>
  </si>
  <si>
    <t xml:space="preserve">ADP Outage Today: Is ADP Down Today in the US? Users Report Payroll, App, Website, Login &amp; HR Management Issues | ADP Downdetector Status</t>
  </si>
  <si>
    <t xml:space="preserve">0fb4df2a8d892f8b548948e0</t>
  </si>
  <si>
    <t xml:space="preserve">FDX</t>
  </si>
  <si>
    <t xml:space="preserve">FedEx</t>
  </si>
  <si>
    <t xml:space="preserve">20-year courier sues FedEx over firing for boss-approved shortcut</t>
  </si>
  <si>
    <t xml:space="preserve">Human Resources Director</t>
  </si>
  <si>
    <t xml:space="preserve">f613921b9b8750345d1d7aba</t>
  </si>
  <si>
    <t xml:space="preserve">Boeing Supplier Dispute Halts 777 Freighter Output For Two Months</t>
  </si>
  <si>
    <t xml:space="preserve">BW Businessworld</t>
  </si>
  <si>
    <t xml:space="preserve">8012765040eee6147842dbcb</t>
  </si>
  <si>
    <t xml:space="preserve">DRI</t>
  </si>
  <si>
    <t xml:space="preserve">Darden Restaurants</t>
  </si>
  <si>
    <t xml:space="preserve">Employment Law Attorneys, at Blumenthal Nordrehaug Bhowmik De Blouw LLP, Filed a Lawsuit Against Darden Restaurants, Inc. for Alleged Failure to Reimburse Employees' Business Expenses</t>
  </si>
  <si>
    <t xml:space="preserve">PR Newswire</t>
  </si>
  <si>
    <t xml:space="preserve">ad8e357b13f604c7c4f6cc97</t>
  </si>
  <si>
    <t xml:space="preserve">Former Minecraft lead, Xbox veteran and COO Helen Chiang "fired" for "policy violations"</t>
  </si>
  <si>
    <t xml:space="preserve">Windows Central</t>
  </si>
  <si>
    <t xml:space="preserve">799c52c724539a7715a75654</t>
  </si>
  <si>
    <t xml:space="preserve">Western Digital: Cracks In Its AI Supercycle Are Worsening (Rating Downgrade)</t>
  </si>
  <si>
    <t xml:space="preserve">69d03f3e65065b7ec8352ec1</t>
  </si>
  <si>
    <t xml:space="preserve">Verizon (VZ) Stock Dips Amid Rising Put Options and Elevated Vol</t>
  </si>
  <si>
    <t xml:space="preserve">c394b2a4f568d56016c2bede</t>
  </si>
  <si>
    <t xml:space="preserve">FAA orders checks on nearly 2,000 Boeing 737s after pitch oscillation events</t>
  </si>
  <si>
    <t xml:space="preserve">AeroTime</t>
  </si>
  <si>
    <t xml:space="preserve">2f44b124252fa7d985e4dd3c</t>
  </si>
  <si>
    <t xml:space="preserve">Uber doubles down on ChatGPT for workers after last month's layoffs</t>
  </si>
  <si>
    <t xml:space="preserve">95233227abf9b8f4348d54f6</t>
  </si>
  <si>
    <t xml:space="preserve">MGM</t>
  </si>
  <si>
    <t xml:space="preserve">MGM Resorts</t>
  </si>
  <si>
    <t xml:space="preserve">MGM stock hits 52-week low at 27.93 USD</t>
  </si>
  <si>
    <t xml:space="preserve">5e2f92e2bb915131fd6bed69</t>
  </si>
  <si>
    <t xml:space="preserve">Electronic Arts to cut 400 employees, gaming studio BioWare to close down</t>
  </si>
  <si>
    <t xml:space="preserve">Redwood City Pulse</t>
  </si>
  <si>
    <r>
      <rPr>
        <sz val="10"/>
        <rFont val="Arial"/>
        <family val="0"/>
        <charset val="1"/>
      </rPr>
      <t xml:space="preserve">EA </t>
    </r>
    <r>
      <rPr>
        <sz val="10"/>
        <rFont val="Noto Sans CJK SC"/>
        <family val="2"/>
      </rPr>
      <t xml:space="preserve">裁員 </t>
    </r>
    <r>
      <rPr>
        <sz val="10"/>
        <rFont val="Arial"/>
        <family val="0"/>
        <charset val="1"/>
      </rPr>
      <t xml:space="preserve">400 </t>
    </r>
    <r>
      <rPr>
        <sz val="10"/>
        <rFont val="Noto Sans CJK SC"/>
        <family val="2"/>
      </rPr>
      <t xml:space="preserve">人並關閉 </t>
    </r>
    <r>
      <rPr>
        <sz val="10"/>
        <rFont val="Arial"/>
        <family val="0"/>
        <charset val="1"/>
      </rPr>
      <t xml:space="preserve">BioWare</t>
    </r>
    <r>
      <rPr>
        <sz val="10"/>
        <rFont val="Noto Sans CJK SC"/>
        <family val="2"/>
      </rPr>
      <t xml:space="preserve">。</t>
    </r>
  </si>
  <si>
    <t xml:space="preserve">b2a81ceca678a669afce37e4</t>
  </si>
  <si>
    <t xml:space="preserve">Walmart on Six Mile Cypress shut down following possible electrical injury and structure fire</t>
  </si>
  <si>
    <t xml:space="preserve">28f717751ae7b91af9ed1c15</t>
  </si>
  <si>
    <t xml:space="preserve">Nvidia (NVDA) Has Lost Its China AI Accelerator Market</t>
  </si>
  <si>
    <t xml:space="preserve">非公司風險事件：例行股價報導、折扣／產品價格、犯罪或意外新聞、同名誤配、評論或估值文章。</t>
  </si>
  <si>
    <t xml:space="preserve">82b98952e82ba0e19b1348cb</t>
  </si>
  <si>
    <t xml:space="preserve">Goldman Sachs: Record Sell-Off of Tech Stocks as AI Trading Shifts from Storytelling to Revenue Delivery</t>
  </si>
  <si>
    <t xml:space="preserve">KuCoin</t>
  </si>
  <si>
    <t xml:space="preserve">e10d4a1f28b5439e2dd9ed0f</t>
  </si>
  <si>
    <t xml:space="preserve">Wealthy Traveler Lands Private Boeing on I-25 Just So He Can Say He's Been to Wyoming WHEATLAND, Wyo. - Traffic on Interstate 25 was temporarily halted Thursday after a wealthy traveler landed a privately owned Boeing aircraft on the highway for the so</t>
  </si>
  <si>
    <t xml:space="preserve">Facebook</t>
  </si>
  <si>
    <t xml:space="preserve">de720ea4591fb7d634105c9f</t>
  </si>
  <si>
    <t xml:space="preserve">Western Digital Shares Fall 6.54% After Hours - Western Digital (NASDAQ:WDC)</t>
  </si>
  <si>
    <t xml:space="preserve">Benzinga</t>
  </si>
  <si>
    <t xml:space="preserve">00624cf74bdf6d84075ee10c</t>
  </si>
  <si>
    <t xml:space="preserve">Kukakuka with Naka: Hawaii business filings delayed six weeks into DCCA Salesforce backlog</t>
  </si>
  <si>
    <t xml:space="preserve">Hawaii News Now</t>
  </si>
  <si>
    <t xml:space="preserve">66c67460f9d498c742ebe1fc</t>
  </si>
  <si>
    <t xml:space="preserve">Crypto News: Coinbase Ireland Fined €3.25M Over Client Funds as Pepeto Presale Tops $11.2M</t>
  </si>
  <si>
    <t xml:space="preserve">TechBullion</t>
  </si>
  <si>
    <r>
      <rPr>
        <sz val="10"/>
        <rFont val="Noto Sans CJK SC"/>
        <family val="2"/>
      </rPr>
      <t xml:space="preserve">愛爾蘭央行對 </t>
    </r>
    <r>
      <rPr>
        <sz val="10"/>
        <rFont val="Arial"/>
        <family val="0"/>
        <charset val="1"/>
      </rPr>
      <t xml:space="preserve">Coinbase </t>
    </r>
    <r>
      <rPr>
        <sz val="10"/>
        <rFont val="Noto Sans CJK SC"/>
        <family val="2"/>
      </rPr>
      <t xml:space="preserve">子公司罰款約 </t>
    </r>
    <r>
      <rPr>
        <sz val="10"/>
        <rFont val="Arial"/>
        <family val="0"/>
        <charset val="1"/>
      </rPr>
      <t xml:space="preserve">325 </t>
    </r>
    <r>
      <rPr>
        <sz val="10"/>
        <rFont val="Noto Sans CJK SC"/>
        <family val="2"/>
      </rPr>
      <t xml:space="preserve">萬歐元。</t>
    </r>
  </si>
  <si>
    <t xml:space="preserve">340533a6f0dc1758d558a3f9</t>
  </si>
  <si>
    <t xml:space="preserve">American Express profits rise; company plans to cut workforce by 5%</t>
  </si>
  <si>
    <t xml:space="preserve">Japan Today</t>
  </si>
  <si>
    <r>
      <rPr>
        <sz val="10"/>
        <rFont val="Noto Sans CJK SC"/>
        <family val="2"/>
      </rPr>
      <t xml:space="preserve">美國運通裁員 </t>
    </r>
    <r>
      <rPr>
        <sz val="10"/>
        <rFont val="Arial"/>
        <family val="0"/>
        <charset val="1"/>
      </rPr>
      <t xml:space="preserve">5%</t>
    </r>
    <r>
      <rPr>
        <sz val="10"/>
        <rFont val="Noto Sans CJK SC"/>
        <family val="2"/>
      </rPr>
      <t xml:space="preserve">（約 </t>
    </r>
    <r>
      <rPr>
        <sz val="10"/>
        <rFont val="Arial"/>
        <family val="0"/>
        <charset val="1"/>
      </rPr>
      <t xml:space="preserve">3,500 </t>
    </r>
    <r>
      <rPr>
        <sz val="10"/>
        <rFont val="Noto Sans CJK SC"/>
        <family val="2"/>
      </rPr>
      <t xml:space="preserve">人）。</t>
    </r>
  </si>
  <si>
    <t xml:space="preserve">060f21d0cab04cebc10af27c</t>
  </si>
  <si>
    <t xml:space="preserve">Irish Regulator Fines Coinbase Unit €3.25M Over US Parent Reliance</t>
  </si>
  <si>
    <t xml:space="preserve">FintechNews CH</t>
  </si>
  <si>
    <t xml:space="preserve">b7188ed999e92bb3113db96a</t>
  </si>
  <si>
    <t xml:space="preserve">KKR</t>
  </si>
  <si>
    <t xml:space="preserve">KKR &amp; Co.</t>
  </si>
  <si>
    <t xml:space="preserve">EU Charges KKR with Providing Misleading Information in €22B Telecom Italia NetCo Deal</t>
  </si>
  <si>
    <t xml:space="preserve">Submarine Networks</t>
  </si>
  <si>
    <t xml:space="preserve">REGULATORY_INVESTIGATION</t>
  </si>
  <si>
    <r>
      <rPr>
        <sz val="10"/>
        <rFont val="Noto Sans CJK SC"/>
        <family val="2"/>
      </rPr>
      <t xml:space="preserve">歐盟指控 </t>
    </r>
    <r>
      <rPr>
        <sz val="10"/>
        <rFont val="Arial"/>
        <family val="0"/>
        <charset val="1"/>
      </rPr>
      <t xml:space="preserve">KKR </t>
    </r>
    <r>
      <rPr>
        <sz val="10"/>
        <rFont val="Noto Sans CJK SC"/>
        <family val="2"/>
      </rPr>
      <t xml:space="preserve">在 </t>
    </r>
    <r>
      <rPr>
        <sz val="10"/>
        <rFont val="Arial"/>
        <family val="0"/>
        <charset val="1"/>
      </rPr>
      <t xml:space="preserve">Telecom Italia NetCo </t>
    </r>
    <r>
      <rPr>
        <sz val="10"/>
        <rFont val="Noto Sans CJK SC"/>
        <family val="2"/>
      </rPr>
      <t xml:space="preserve">交易提供誤導資訊。</t>
    </r>
  </si>
  <si>
    <t xml:space="preserve">8a49ffeca5a97cd354164851</t>
  </si>
  <si>
    <t xml:space="preserve">MS</t>
  </si>
  <si>
    <t xml:space="preserve">Morgan Stanley</t>
  </si>
  <si>
    <t xml:space="preserve">Why AT&amp;T Is Dropping 5.1%: Morgan Stanley Maintains Overweight</t>
  </si>
  <si>
    <t xml:space="preserve">AlphaStreet</t>
  </si>
  <si>
    <r>
      <rPr>
        <sz val="10"/>
        <rFont val="Arial"/>
        <family val="0"/>
        <charset val="1"/>
      </rPr>
      <t xml:space="preserve">SpaceX </t>
    </r>
    <r>
      <rPr>
        <sz val="10"/>
        <rFont val="Noto Sans CJK SC"/>
        <family val="2"/>
      </rPr>
      <t xml:space="preserve">傳洽談 </t>
    </r>
    <r>
      <rPr>
        <sz val="10"/>
        <rFont val="Arial"/>
        <family val="0"/>
        <charset val="1"/>
      </rPr>
      <t xml:space="preserve">8 </t>
    </r>
    <r>
      <rPr>
        <sz val="10"/>
        <rFont val="Noto Sans CJK SC"/>
        <family val="2"/>
      </rPr>
      <t xml:space="preserve">萬座基地台，電信股下跌。</t>
    </r>
  </si>
  <si>
    <t xml:space="preserve">AT&amp;T Inc.</t>
  </si>
  <si>
    <t xml:space="preserve">e5883d34d59fbc7f6462a46e</t>
  </si>
  <si>
    <t xml:space="preserve">AMAT stock drops 48%, seen as rare buy with 66% upside amid strong AI chip demand.</t>
  </si>
  <si>
    <t xml:space="preserve">fdd0421373d1d0dffbbe6e17</t>
  </si>
  <si>
    <t xml:space="preserve">Moderna stock crashes as leaked melanoma data threatens its record August rally</t>
  </si>
  <si>
    <r>
      <rPr>
        <sz val="10"/>
        <rFont val="Arial"/>
        <family val="0"/>
        <charset val="1"/>
      </rPr>
      <t xml:space="preserve">Moderna </t>
    </r>
    <r>
      <rPr>
        <sz val="10"/>
        <rFont val="Noto Sans CJK SC"/>
        <family val="2"/>
      </rPr>
      <t xml:space="preserve">黑色素瘤疫苗資料外洩，股價下跌。</t>
    </r>
  </si>
  <si>
    <t xml:space="preserve">b93a224ca9f4fd27735fc956</t>
  </si>
  <si>
    <t xml:space="preserve">Nearly 2,000 Boeing 737s Must Get Tail Inspections After Jets Pitched Up And Down Mid-Flight</t>
  </si>
  <si>
    <t xml:space="preserve">Simple Flying</t>
  </si>
  <si>
    <r>
      <rPr>
        <sz val="10"/>
        <rFont val="Arial"/>
        <family val="0"/>
        <charset val="1"/>
      </rPr>
      <t xml:space="preserve">FAA </t>
    </r>
    <r>
      <rPr>
        <sz val="10"/>
        <rFont val="Noto Sans CJK SC"/>
        <family val="2"/>
      </rPr>
      <t xml:space="preserve">命令檢查約 </t>
    </r>
    <r>
      <rPr>
        <sz val="10"/>
        <rFont val="Arial"/>
        <family val="0"/>
        <charset val="1"/>
      </rPr>
      <t xml:space="preserve">2,000 </t>
    </r>
    <r>
      <rPr>
        <sz val="10"/>
        <rFont val="Noto Sans CJK SC"/>
        <family val="2"/>
      </rPr>
      <t xml:space="preserve">架波音 </t>
    </r>
    <r>
      <rPr>
        <sz val="10"/>
        <rFont val="Arial"/>
        <family val="0"/>
        <charset val="1"/>
      </rPr>
      <t xml:space="preserve">737NG </t>
    </r>
    <r>
      <rPr>
        <sz val="10"/>
        <rFont val="Noto Sans CJK SC"/>
        <family val="2"/>
      </rPr>
      <t xml:space="preserve">尾翼。</t>
    </r>
  </si>
  <si>
    <t xml:space="preserve">bebf7c914200495ce8b09de1</t>
  </si>
  <si>
    <t xml:space="preserve">NKE Stock Slips As Nike’s China E-Commerce Reset Draws Wall Street Skepticism</t>
  </si>
  <si>
    <t xml:space="preserve">Stocktwits</t>
  </si>
  <si>
    <t xml:space="preserve">7123fba0fecad95d6d4d3836</t>
  </si>
  <si>
    <t xml:space="preserve">[NY Stock Market Highlights] American Express down 3%; “Tower Companies” rise (23rd)</t>
  </si>
  <si>
    <t xml:space="preserve">b6860431a8b5969baad84c57</t>
  </si>
  <si>
    <t xml:space="preserve">TTD</t>
  </si>
  <si>
    <t xml:space="preserve">Trade Desk (The)</t>
  </si>
  <si>
    <t xml:space="preserve">Here's Why The Trade Desk (TTD) Fell More Than Broader Market</t>
  </si>
  <si>
    <t xml:space="preserve">1e38cd34a57cb9f5406e090a</t>
  </si>
  <si>
    <t xml:space="preserve">Why Is Delta Air Lines Stock Falling on Friday?</t>
  </si>
  <si>
    <t xml:space="preserve">3366208b44b411b69d0048af</t>
  </si>
  <si>
    <t xml:space="preserve">Moderna stock extends losses as investors digest melanoma vaccine trial data</t>
  </si>
  <si>
    <t xml:space="preserve">fe2feaf0bf4d0a27ce7f595d</t>
  </si>
  <si>
    <t xml:space="preserve">US AI Stocks Fall Early; Accenture Drops 3.03%</t>
  </si>
  <si>
    <t xml:space="preserve">bloomingbit</t>
  </si>
  <si>
    <t xml:space="preserve">8773e2c851af6029fd7e5b15</t>
  </si>
  <si>
    <t xml:space="preserve">Why Is Western Digital Stock Falling Friday?</t>
  </si>
  <si>
    <t xml:space="preserve">8b237414f0ac9f128061a37e</t>
  </si>
  <si>
    <t xml:space="preserve">PAYX</t>
  </si>
  <si>
    <t xml:space="preserve">Paychex</t>
  </si>
  <si>
    <t xml:space="preserve">Paychex (PAYX) Could Be 36% Below Fair Value As Q1 Beats Lift Momentum</t>
  </si>
  <si>
    <t xml:space="preserve">e3e2ae914f42c028df8f9d99</t>
  </si>
  <si>
    <t xml:space="preserve">MAS</t>
  </si>
  <si>
    <t xml:space="preserve">Masco</t>
  </si>
  <si>
    <t xml:space="preserve">Uncut Pitch, Foul-Smelling Dressing Room: MAS Fez Face Unacceptable Treatment in Abidjan</t>
  </si>
  <si>
    <t xml:space="preserve">Morocco World News</t>
  </si>
  <si>
    <t xml:space="preserve">3c7f0e9d92e0f152dbbad873</t>
  </si>
  <si>
    <t xml:space="preserve">Verizon Communications (VZ) Faces Market Pressure Ahead of Earni</t>
  </si>
  <si>
    <t xml:space="preserve">473de49dd8e6193e153b9807</t>
  </si>
  <si>
    <t xml:space="preserve">Vertiv stock trades at EUR 174.43 as Vertiv introduces an AI factory approach</t>
  </si>
  <si>
    <t xml:space="preserve">e068a90751d3ab7fa8830e97</t>
  </si>
  <si>
    <t xml:space="preserve">ARES</t>
  </si>
  <si>
    <t xml:space="preserve">Ares Management</t>
  </si>
  <si>
    <t xml:space="preserve">Ares Management's Q3 report on Oct 29 may hinge on $114B assets turning into fee revenue.</t>
  </si>
  <si>
    <t xml:space="preserve">e9be0ea74225dcd7b3df5530</t>
  </si>
  <si>
    <t xml:space="preserve">California's In-Home Care Program, Mostly Staffed by Relatives, Faces Third Federal Medicaid Hold as CMS Defers $1.2 Billion</t>
  </si>
  <si>
    <t xml:space="preserve">a3d8b5858a941d5b46ce1231</t>
  </si>
  <si>
    <t xml:space="preserve">NSC</t>
  </si>
  <si>
    <t xml:space="preserve">Norfolk Southern</t>
  </si>
  <si>
    <t xml:space="preserve">11 train cars derail in Altoona near Mill Run, Norfolk Southern says</t>
  </si>
  <si>
    <t xml:space="preserve">WTAJ</t>
  </si>
  <si>
    <t xml:space="preserve">144ea1e00ceb66b7f92da88f</t>
  </si>
  <si>
    <t xml:space="preserve">Western Digital Stock Falls Despite Visibility to 2031</t>
  </si>
  <si>
    <t xml:space="preserve">c357872c1b999d8d8324b737</t>
  </si>
  <si>
    <t xml:space="preserve">Boeing’s Ridley Township Plant and 3,000 Delco Jobs Face Uncertain Future</t>
  </si>
  <si>
    <t xml:space="preserve">DELCO.Today</t>
  </si>
  <si>
    <t xml:space="preserve">b01c19355f84b89d399c3190</t>
  </si>
  <si>
    <t xml:space="preserve">Uber Technologies stock closes 3.43% lower; 15-minute RSI sits at 27.11</t>
  </si>
  <si>
    <t xml:space="preserve">The Cryptonomist</t>
  </si>
  <si>
    <t xml:space="preserve">7421c3c7a667ba2028215422</t>
  </si>
  <si>
    <t xml:space="preserve">TKO</t>
  </si>
  <si>
    <t xml:space="preserve">TKO Group Holdings</t>
  </si>
  <si>
    <t xml:space="preserve">$90 Million Loss: TKO Faces Massive Repercussions Should WWE + UFC Events In Saudi Arabia Get Cancelled [REPORT]</t>
  </si>
  <si>
    <t xml:space="preserve">Sportskeeda</t>
  </si>
  <si>
    <t xml:space="preserve">d308727293fee2faafbe350a</t>
  </si>
  <si>
    <t xml:space="preserve">Xbox Movie and TV Exclusivity Deal With Netflix Reportedly Off the Table After Microsoft Asked for $800 Million</t>
  </si>
  <si>
    <t xml:space="preserve">IGN</t>
  </si>
  <si>
    <t xml:space="preserve">5b9645b3a81f4fad7a537378</t>
  </si>
  <si>
    <t xml:space="preserve">LVS</t>
  </si>
  <si>
    <t xml:space="preserve">Las Vegas Sands</t>
  </si>
  <si>
    <t xml:space="preserve">Las Vegas Sands Corp. stock falls Friday, still outperforms market</t>
  </si>
  <si>
    <t xml:space="preserve">MarketWatch</t>
  </si>
  <si>
    <t xml:space="preserve">813a567dabcc8c3728501519</t>
  </si>
  <si>
    <t xml:space="preserve">SNDK</t>
  </si>
  <si>
    <t xml:space="preserve">Sandisk</t>
  </si>
  <si>
    <t xml:space="preserve">Sandisk (SNDK) Flags Industry Supply Chain Constraints As Memory Production Timelines Tighten</t>
  </si>
  <si>
    <t xml:space="preserve">4ba0f3611733eab7033c7c1a</t>
  </si>
  <si>
    <t xml:space="preserve">Bernstein keeps Neutral rating: T-Mobile US stock falls 4.46 percent</t>
  </si>
  <si>
    <t xml:space="preserve">ae9f5dbb843adcfaeadd1fd6</t>
  </si>
  <si>
    <t xml:space="preserve">HONA</t>
  </si>
  <si>
    <t xml:space="preserve">Honeywell Aerospace</t>
  </si>
  <si>
    <t xml:space="preserve">Is Honeywell Aerospace (HONA) Undervalued Following Its Securities Lawsuit And Share Price Drop?</t>
  </si>
  <si>
    <r>
      <rPr>
        <sz val="10"/>
        <rFont val="Arial"/>
        <family val="0"/>
        <charset val="1"/>
      </rPr>
      <t xml:space="preserve">Honeywell Aerospace </t>
    </r>
    <r>
      <rPr>
        <sz val="10"/>
        <rFont val="Noto Sans CJK SC"/>
        <family val="2"/>
      </rPr>
      <t xml:space="preserve">證券訴訟與股價下跌。</t>
    </r>
  </si>
  <si>
    <t xml:space="preserve">2277b1295a3283e7d974329d</t>
  </si>
  <si>
    <t xml:space="preserve">AirTag 2 Drops to New Low Price of $23 on Amazon</t>
  </si>
  <si>
    <t xml:space="preserve">MacRumors</t>
  </si>
  <si>
    <t xml:space="preserve">03dc8b9311e3bf82c3b74ee4</t>
  </si>
  <si>
    <t xml:space="preserve">Netflix is losing ground to YouTube</t>
  </si>
  <si>
    <t xml:space="preserve">c548da51ee5d1fe7f7b17177</t>
  </si>
  <si>
    <t xml:space="preserve">McDonald's (NYSE:MCD) Stock Falls 1.6% - Time to Sell?</t>
  </si>
  <si>
    <t xml:space="preserve">ba4158a4b29f1fd5e69d3bf6</t>
  </si>
  <si>
    <t xml:space="preserve">Wynn Resorts stock hits 52-week low at 73.03 USD</t>
  </si>
  <si>
    <r>
      <rPr>
        <sz val="10"/>
        <rFont val="Arial"/>
        <family val="0"/>
        <charset val="1"/>
      </rPr>
      <t xml:space="preserve">Wynn </t>
    </r>
    <r>
      <rPr>
        <sz val="10"/>
        <rFont val="Noto Sans CJK SC"/>
        <family val="2"/>
      </rPr>
      <t xml:space="preserve">股價創 </t>
    </r>
    <r>
      <rPr>
        <sz val="10"/>
        <rFont val="Arial"/>
        <family val="0"/>
        <charset val="1"/>
      </rPr>
      <t xml:space="preserve">52 </t>
    </r>
    <r>
      <rPr>
        <sz val="10"/>
        <rFont val="Noto Sans CJK SC"/>
        <family val="2"/>
      </rPr>
      <t xml:space="preserve">週低點。</t>
    </r>
  </si>
  <si>
    <t xml:space="preserve">eba8732da71fb9093c3114f8</t>
  </si>
  <si>
    <t xml:space="preserve">American Express will cut about 3,500 jobs while raising its 2026 forecast</t>
  </si>
  <si>
    <t xml:space="preserve">MarketScale</t>
  </si>
  <si>
    <t xml:space="preserve">f22e92c1f3455287a6ba1602</t>
  </si>
  <si>
    <t xml:space="preserve">BALL</t>
  </si>
  <si>
    <t xml:space="preserve">Ball Corporation</t>
  </si>
  <si>
    <t xml:space="preserve">Vikings’ inability to get Justin Jefferson the ball has become a yearlong problem</t>
  </si>
  <si>
    <t xml:space="preserve">Bring Me the Sports</t>
  </si>
  <si>
    <t xml:space="preserve">afeb0fedd7bcd6f9721e9455</t>
  </si>
  <si>
    <t xml:space="preserve">American Express to cut 5% of its total workforce: What to know</t>
  </si>
  <si>
    <t xml:space="preserve">f8c29ab96861836f6ca0197d</t>
  </si>
  <si>
    <t xml:space="preserve">CBRE warns rates are holding back real estate deals</t>
  </si>
  <si>
    <t xml:space="preserve">Estates Gazette</t>
  </si>
  <si>
    <t xml:space="preserve">9829cf06a7112ce815ae3818</t>
  </si>
  <si>
    <t xml:space="preserve">Boeing Stock Forms Rare Bearish Flag as Earnings Loom: Will It Drop Further?</t>
  </si>
  <si>
    <t xml:space="preserve">b565478d787a6d8aef0d7ab2</t>
  </si>
  <si>
    <t xml:space="preserve">PEP</t>
  </si>
  <si>
    <t xml:space="preserve">PepsiCo</t>
  </si>
  <si>
    <t xml:space="preserve">PepsiCo Shuttered a Bottling Plant and Cut 112 Jobs. 3 Fast-Growing Drinks Help Explain Why</t>
  </si>
  <si>
    <t xml:space="preserve">Inc.com</t>
  </si>
  <si>
    <t xml:space="preserve">FACTORY_SHUTDOWN</t>
  </si>
  <si>
    <r>
      <rPr>
        <sz val="10"/>
        <rFont val="Arial"/>
        <family val="0"/>
        <charset val="1"/>
      </rPr>
      <t xml:space="preserve">PepsiCo </t>
    </r>
    <r>
      <rPr>
        <sz val="10"/>
        <rFont val="Noto Sans CJK SC"/>
        <family val="2"/>
      </rPr>
      <t xml:space="preserve">關閉裝瓶廠並裁員 </t>
    </r>
    <r>
      <rPr>
        <sz val="10"/>
        <rFont val="Arial"/>
        <family val="0"/>
        <charset val="1"/>
      </rPr>
      <t xml:space="preserve">112 </t>
    </r>
    <r>
      <rPr>
        <sz val="10"/>
        <rFont val="Noto Sans CJK SC"/>
        <family val="2"/>
      </rPr>
      <t xml:space="preserve">人。</t>
    </r>
  </si>
  <si>
    <t xml:space="preserve">65e51530abfe947621f6f0d0</t>
  </si>
  <si>
    <t xml:space="preserve">FAA orders Boeing 737NG inspections after reports of pitch oscillations</t>
  </si>
  <si>
    <t xml:space="preserve">69c4156f4c67540f4816d77b</t>
  </si>
  <si>
    <t xml:space="preserve">EMR</t>
  </si>
  <si>
    <t xml:space="preserve">Emerson Electric</t>
  </si>
  <si>
    <t xml:space="preserve">EMR delays after person hit by train between Leicester and East Midlands Parkway</t>
  </si>
  <si>
    <t xml:space="preserve">West Bridgford Wire</t>
  </si>
  <si>
    <t xml:space="preserve">01b3ee0387a0dbc9883cf931</t>
  </si>
  <si>
    <t xml:space="preserve">Honeywell Aerospace (HONA) Stock Looks Below Fair Value on Cash Flow</t>
  </si>
  <si>
    <t xml:space="preserve">5b8a1e228ff1f54ab7491393</t>
  </si>
  <si>
    <t xml:space="preserve">Walmart driver's tip cracks $1.2M AZ fraud ring shipping stolen goods to Vietnam</t>
  </si>
  <si>
    <t xml:space="preserve">KSWO 7News</t>
  </si>
  <si>
    <t xml:space="preserve">2ac3a68c01ea812baaf933f4</t>
  </si>
  <si>
    <t xml:space="preserve">Earnings Miss Could Be A Game Changer For PulteGroup Stock (PHM)</t>
  </si>
  <si>
    <r>
      <rPr>
        <sz val="10"/>
        <rFont val="Arial"/>
        <family val="0"/>
        <charset val="1"/>
      </rPr>
      <t xml:space="preserve">PulteGroup </t>
    </r>
    <r>
      <rPr>
        <sz val="10"/>
        <rFont val="Noto Sans CJK SC"/>
        <family val="2"/>
      </rPr>
      <t xml:space="preserve">第三季獲利下滑。</t>
    </r>
  </si>
  <si>
    <t xml:space="preserve">538715ef1297c654a4968e01</t>
  </si>
  <si>
    <t xml:space="preserve">WYMT</t>
  </si>
  <si>
    <t xml:space="preserve">bef8e978f9f087173d0c02e3</t>
  </si>
  <si>
    <t xml:space="preserve">MCD seals 3 industrial units for pollution violations in Delhi's west zone</t>
  </si>
  <si>
    <t xml:space="preserve">India's News.Net</t>
  </si>
  <si>
    <t xml:space="preserve">b352880f6e84c545c48dccdd</t>
  </si>
  <si>
    <t xml:space="preserve">USB</t>
  </si>
  <si>
    <t xml:space="preserve">U.S. Bancorp</t>
  </si>
  <si>
    <t xml:space="preserve">Anker USB-C to HDMI Adapter Drops Into the $10 Range on Amazon, Making Connectivity Cheaper Than Ever</t>
  </si>
  <si>
    <t xml:space="preserve">Gizmodo</t>
  </si>
  <si>
    <t xml:space="preserve">73ac26d79379ba7ffc24a75c</t>
  </si>
  <si>
    <t xml:space="preserve">Humana (OM:HUM) Q3 Results Confront A Persistent Margin Squeeze</t>
  </si>
  <si>
    <r>
      <rPr>
        <sz val="10"/>
        <rFont val="Arial"/>
        <family val="0"/>
        <charset val="1"/>
      </rPr>
      <t xml:space="preserve">Humana </t>
    </r>
    <r>
      <rPr>
        <sz val="10"/>
        <rFont val="Noto Sans CJK SC"/>
        <family val="2"/>
      </rPr>
      <t xml:space="preserve">第三季毛利持續受擠壓。</t>
    </r>
  </si>
  <si>
    <t xml:space="preserve">379a28c4655a9d889c72711f</t>
  </si>
  <si>
    <t xml:space="preserve">BG</t>
  </si>
  <si>
    <t xml:space="preserve">Bunge Global</t>
  </si>
  <si>
    <t xml:space="preserve">Bunge Global (BG) Faces An Earnings Test As Viterra Deal Fuels Undervalued View</t>
  </si>
  <si>
    <t xml:space="preserve">1f7d287bed0c5d7ba7eebd0c</t>
  </si>
  <si>
    <t xml:space="preserve">Marvel’s Blade Game In Trouble As Microsoft Hunts For New Studio Buyer</t>
  </si>
  <si>
    <t xml:space="preserve">Cosmic Book News</t>
  </si>
  <si>
    <t xml:space="preserve">30d29d8b41f9c5472cd1dc4e</t>
  </si>
  <si>
    <t xml:space="preserve">Cloud Computing Sector Downturn Puts Nvidia’s AI-Boom Financing Bets to the Test</t>
  </si>
  <si>
    <t xml:space="preserve">صحيفة مال</t>
  </si>
  <si>
    <t xml:space="preserve">b8da4b9e580965adf82a0478</t>
  </si>
  <si>
    <t xml:space="preserve">Jets’ inability to get the ball to Garrett Wilson has become downright baffling</t>
  </si>
  <si>
    <t xml:space="preserve">94fcdfd09dd0c80d49adbd06</t>
  </si>
  <si>
    <t xml:space="preserve">American Express to cut about 5% of global workforce</t>
  </si>
  <si>
    <t xml:space="preserve">Anadolu Ajansı</t>
  </si>
  <si>
    <t xml:space="preserve">c2455d9de5c5075694ea4c3f</t>
  </si>
  <si>
    <t xml:space="preserve">PepsiCo Faces Suit Over Siete Avocado Oil Chip Claims</t>
  </si>
  <si>
    <t xml:space="preserve">e68481a01bfbd2d0bd567163</t>
  </si>
  <si>
    <t xml:space="preserve">PRU</t>
  </si>
  <si>
    <t xml:space="preserve">Prudential Financial</t>
  </si>
  <si>
    <t xml:space="preserve">Fitch moves Prudential Financial to negative outlook on Japan remediation uncertainty</t>
  </si>
  <si>
    <t xml:space="preserve">(Re)in Asia</t>
  </si>
  <si>
    <t xml:space="preserve">CREDIT_DOWNGRADE</t>
  </si>
  <si>
    <r>
      <rPr>
        <sz val="10"/>
        <rFont val="Arial"/>
        <family val="0"/>
        <charset val="1"/>
      </rPr>
      <t xml:space="preserve">Fitch </t>
    </r>
    <r>
      <rPr>
        <sz val="10"/>
        <rFont val="Noto Sans CJK SC"/>
        <family val="2"/>
      </rPr>
      <t xml:space="preserve">將 </t>
    </r>
    <r>
      <rPr>
        <sz val="10"/>
        <rFont val="Arial"/>
        <family val="0"/>
        <charset val="1"/>
      </rPr>
      <t xml:space="preserve">Prudential Financial </t>
    </r>
    <r>
      <rPr>
        <sz val="10"/>
        <rFont val="Noto Sans CJK SC"/>
        <family val="2"/>
      </rPr>
      <t xml:space="preserve">展望調為負向。</t>
    </r>
  </si>
  <si>
    <t xml:space="preserve">ad6e3969df620460f90e98d3</t>
  </si>
  <si>
    <t xml:space="preserve">AVY</t>
  </si>
  <si>
    <t xml:space="preserve">Avery Dennison</t>
  </si>
  <si>
    <t xml:space="preserve">What Avery Dennison Stock's Lowered Earnings Outlook Means For Shareholders</t>
  </si>
  <si>
    <r>
      <rPr>
        <sz val="10"/>
        <rFont val="Arial"/>
        <family val="0"/>
        <charset val="1"/>
      </rPr>
      <t xml:space="preserve">Avery Dennison </t>
    </r>
    <r>
      <rPr>
        <sz val="10"/>
        <rFont val="Noto Sans CJK SC"/>
        <family val="2"/>
      </rPr>
      <t xml:space="preserve">下調獲利展望。</t>
    </r>
  </si>
  <si>
    <t xml:space="preserve">577343b82ce18f16d142aee6</t>
  </si>
  <si>
    <t xml:space="preserve">Netflix Hits a 52-Week Low as Valuation Gets Cheaper</t>
  </si>
  <si>
    <t xml:space="preserve">374e858608c5c95bb9aacc7c</t>
  </si>
  <si>
    <t xml:space="preserve">Quest Diagnostics warns of potential data theft after attack on lab service system</t>
  </si>
  <si>
    <t xml:space="preserve">The Record from Recorded Future News</t>
  </si>
  <si>
    <r>
      <rPr>
        <sz val="10"/>
        <rFont val="Arial"/>
        <family val="0"/>
        <charset val="1"/>
      </rPr>
      <t xml:space="preserve">Quest Diagnostics </t>
    </r>
    <r>
      <rPr>
        <sz val="10"/>
        <rFont val="Noto Sans CJK SC"/>
        <family val="2"/>
      </rPr>
      <t xml:space="preserve">病患資料遭入侵。</t>
    </r>
  </si>
  <si>
    <t xml:space="preserve">47cb1a8f7c6a6bc72fb47897</t>
  </si>
  <si>
    <t xml:space="preserve">FAA Orders Tail Inspections on 1,987 US-Registered Boeing 737NG Jets After Pitch Oscillation Reports</t>
  </si>
  <si>
    <t xml:space="preserve">Avi-Go</t>
  </si>
  <si>
    <t xml:space="preserve">cd7d81324c69de54d4260765</t>
  </si>
  <si>
    <t xml:space="preserve">KHC</t>
  </si>
  <si>
    <t xml:space="preserve">Kraft Heinz</t>
  </si>
  <si>
    <t xml:space="preserve">Conagra Has Already Cut Its Dividend. Can Kraft Heinz Avoid the Same Fate?</t>
  </si>
  <si>
    <t xml:space="preserve">654899c0b693ed832d9dd688</t>
  </si>
  <si>
    <t xml:space="preserve">Reports Surface of Boeing 777F Production Halt Amid Supplier Dispute</t>
  </si>
  <si>
    <t xml:space="preserve">Airways Magazine</t>
  </si>
  <si>
    <r>
      <rPr>
        <sz val="10"/>
        <rFont val="Noto Sans CJK SC"/>
        <family val="2"/>
      </rPr>
      <t xml:space="preserve">波音 </t>
    </r>
    <r>
      <rPr>
        <sz val="10"/>
        <rFont val="Arial"/>
        <family val="0"/>
        <charset val="1"/>
      </rPr>
      <t xml:space="preserve">777 </t>
    </r>
    <r>
      <rPr>
        <sz val="10"/>
        <rFont val="Noto Sans CJK SC"/>
        <family val="2"/>
      </rPr>
      <t xml:space="preserve">貨機因供應商糾紛停產。</t>
    </r>
  </si>
  <si>
    <t xml:space="preserve">01dca083a490229263b5a898</t>
  </si>
  <si>
    <t xml:space="preserve">AAPL</t>
  </si>
  <si>
    <t xml:space="preserve">Apple Inc.</t>
  </si>
  <si>
    <t xml:space="preserve">Apple’s iPhone Duo Hits Stores in Face of Short Supply and High Demand</t>
  </si>
  <si>
    <t xml:space="preserve">Bloomberg.com</t>
  </si>
  <si>
    <t xml:space="preserve">ec04f4d0330c112799ee7de7</t>
  </si>
  <si>
    <t xml:space="preserve">UnitedHealthcare, Humana Medicare Advantage cancellations to affect 1 million</t>
  </si>
  <si>
    <t xml:space="preserve">FOX 8 News</t>
  </si>
  <si>
    <r>
      <rPr>
        <sz val="10"/>
        <rFont val="Arial"/>
        <family val="0"/>
        <charset val="1"/>
      </rPr>
      <t xml:space="preserve">UnitedHealthcare</t>
    </r>
    <r>
      <rPr>
        <sz val="10"/>
        <rFont val="Noto Sans CJK SC"/>
        <family val="2"/>
      </rPr>
      <t xml:space="preserve">、</t>
    </r>
    <r>
      <rPr>
        <sz val="10"/>
        <rFont val="Arial"/>
        <family val="0"/>
        <charset val="1"/>
      </rPr>
      <t xml:space="preserve">Humana </t>
    </r>
    <r>
      <rPr>
        <sz val="10"/>
        <rFont val="Noto Sans CJK SC"/>
        <family val="2"/>
      </rPr>
      <t xml:space="preserve">取消醫療保險優勢計畫，影響百萬人。</t>
    </r>
  </si>
  <si>
    <t xml:space="preserve">5ab3da252b97c41eea556895</t>
  </si>
  <si>
    <t xml:space="preserve">PPL</t>
  </si>
  <si>
    <t xml:space="preserve">PPL Corporation</t>
  </si>
  <si>
    <t xml:space="preserve">PPL Corporation stock edges lower as dividend and Q2 2026 figures set the tone</t>
  </si>
  <si>
    <t xml:space="preserve">323f5616d3338bbc8f5ff657</t>
  </si>
  <si>
    <t xml:space="preserve">Netflix removes Sandra Bullock’s Indiana Jones-style movie from its streaming library</t>
  </si>
  <si>
    <t xml:space="preserve">759018868277f0040c15805c</t>
  </si>
  <si>
    <t xml:space="preserve">LKQ Stock Faces Earnings Miss And CEO Change After Europe Problems</t>
  </si>
  <si>
    <r>
      <rPr>
        <sz val="10"/>
        <rFont val="Arial"/>
        <family val="0"/>
        <charset val="1"/>
      </rPr>
      <t xml:space="preserve">LKQ </t>
    </r>
    <r>
      <rPr>
        <sz val="10"/>
        <rFont val="Noto Sans CJK SC"/>
        <family val="2"/>
      </rPr>
      <t xml:space="preserve">財報不如預期並更換 </t>
    </r>
    <r>
      <rPr>
        <sz val="10"/>
        <rFont val="Arial"/>
        <family val="0"/>
        <charset val="1"/>
      </rPr>
      <t xml:space="preserve">CEO</t>
    </r>
    <r>
      <rPr>
        <sz val="10"/>
        <rFont val="Noto Sans CJK SC"/>
        <family val="2"/>
      </rPr>
      <t xml:space="preserve">。</t>
    </r>
  </si>
  <si>
    <t xml:space="preserve">LKQ Corporation</t>
  </si>
  <si>
    <t xml:space="preserve">LKQ</t>
  </si>
  <si>
    <t xml:space="preserve">15eb268b985a9d6a0ee165e3</t>
  </si>
  <si>
    <t xml:space="preserve">Goldman Sachs warns on the Hormuz crisis and rising fuel costs</t>
  </si>
  <si>
    <t xml:space="preserve">0b72a6a04b1e861038498ce7</t>
  </si>
  <si>
    <t xml:space="preserve">NVR (NYSE:NVR) Stock Gets Downgrade from Bank of America</t>
  </si>
  <si>
    <r>
      <rPr>
        <sz val="10"/>
        <rFont val="Arial"/>
        <family val="0"/>
        <charset val="1"/>
      </rPr>
      <t xml:space="preserve">BofA </t>
    </r>
    <r>
      <rPr>
        <sz val="10"/>
        <rFont val="Noto Sans CJK SC"/>
        <family val="2"/>
      </rPr>
      <t xml:space="preserve">調降 </t>
    </r>
    <r>
      <rPr>
        <sz val="10"/>
        <rFont val="Arial"/>
        <family val="0"/>
        <charset val="1"/>
      </rPr>
      <t xml:space="preserve">NVR </t>
    </r>
    <r>
      <rPr>
        <sz val="10"/>
        <rFont val="Noto Sans CJK SC"/>
        <family val="2"/>
      </rPr>
      <t xml:space="preserve">評等。</t>
    </r>
  </si>
  <si>
    <t xml:space="preserve">431aefe0d4516223edeab900</t>
  </si>
  <si>
    <t xml:space="preserve">MOS</t>
  </si>
  <si>
    <t xml:space="preserve">Mosaic Company (The)</t>
  </si>
  <si>
    <t xml:space="preserve">Mosaic (MOS) Stock Still Looks Reasonable As Shares Fell 53%</t>
  </si>
  <si>
    <t xml:space="preserve">ad51869b656101806b11b55d</t>
  </si>
  <si>
    <t xml:space="preserve">MTB</t>
  </si>
  <si>
    <t xml:space="preserve">M&amp;T Bank</t>
  </si>
  <si>
    <t xml:space="preserve">Major lane closures near M&amp;T Bank Stadium for Ravens game, breast cancer walk</t>
  </si>
  <si>
    <t xml:space="preserve">WBFF</t>
  </si>
  <si>
    <t xml:space="preserve">ed99c1c4a1a0b413d4377117</t>
  </si>
  <si>
    <t xml:space="preserve">美國電信運營商股票盤前跌幅擴大</t>
  </si>
  <si>
    <t xml:space="preserve">e18ae4eae03ed367463a7258</t>
  </si>
  <si>
    <t xml:space="preserve">Comcast prepares major cable division job cuts ahead of 2027 NBCUniversal spin-off</t>
  </si>
  <si>
    <t xml:space="preserve">Adgully</t>
  </si>
  <si>
    <r>
      <rPr>
        <sz val="10"/>
        <rFont val="Arial"/>
        <family val="0"/>
        <charset val="1"/>
      </rPr>
      <t xml:space="preserve">Comcast </t>
    </r>
    <r>
      <rPr>
        <sz val="10"/>
        <rFont val="Noto Sans CJK SC"/>
        <family val="2"/>
      </rPr>
      <t xml:space="preserve">有線事業部門裁員（</t>
    </r>
    <r>
      <rPr>
        <sz val="10"/>
        <rFont val="Arial"/>
        <family val="0"/>
        <charset val="1"/>
      </rPr>
      <t xml:space="preserve">2027 NBCU </t>
    </r>
    <r>
      <rPr>
        <sz val="10"/>
        <rFont val="Noto Sans CJK SC"/>
        <family val="2"/>
      </rPr>
      <t xml:space="preserve">分拆前）。</t>
    </r>
  </si>
  <si>
    <t xml:space="preserve">2563bf5592700f4c0ea9a510</t>
  </si>
  <si>
    <t xml:space="preserve">TTWO</t>
  </si>
  <si>
    <t xml:space="preserve">Take-Two Interactive</t>
  </si>
  <si>
    <t xml:space="preserve">TTWO Slips 1.98% as Opus 5.5 Tests GTA 6 Moat [2026]</t>
  </si>
  <si>
    <t xml:space="preserve">https://tech-insider.org/</t>
  </si>
  <si>
    <t xml:space="preserve">2f8512666dd4872b6aa9521e</t>
  </si>
  <si>
    <t xml:space="preserve">15ad14ad212c27f538116acd</t>
  </si>
  <si>
    <t xml:space="preserve">Church &amp; Dwight Co. stock underperforms Friday when compared to competitors</t>
  </si>
  <si>
    <t xml:space="preserve">1d0385a18af60835a216412c</t>
  </si>
  <si>
    <t xml:space="preserve">ADI</t>
  </si>
  <si>
    <t xml:space="preserve">Analog Devices</t>
  </si>
  <si>
    <t xml:space="preserve">Analog Devices (ADI) Gains On Earnings Optimism, Is It Still 18% Below Fair Value?</t>
  </si>
  <si>
    <t xml:space="preserve">838096323046ca2cd17a5506</t>
  </si>
  <si>
    <t xml:space="preserve">CoreWeave's Rising Financing Uncertainty Reduces Visibility, Morgan Stanley Says</t>
  </si>
  <si>
    <t xml:space="preserve">a32dfebdb7fd16078d27450b</t>
  </si>
  <si>
    <t xml:space="preserve">American Express to cut 5% of workforce</t>
  </si>
  <si>
    <t xml:space="preserve">Breakingthenews.net</t>
  </si>
  <si>
    <t xml:space="preserve">75392ff1cb0dc7346f6ba9ba</t>
  </si>
  <si>
    <t xml:space="preserve">JBL Live 680NC Wireless on-ear Noise Cancelling headphones slips to $79.95</t>
  </si>
  <si>
    <t xml:space="preserve">510fbdea82ce6f6983a9b89c</t>
  </si>
  <si>
    <t xml:space="preserve">Netflix Is Down Nearly 30% in 2026. Time to Sell or Load Up?</t>
  </si>
  <si>
    <t xml:space="preserve">4fb305f270abbf6fffa3d0b4</t>
  </si>
  <si>
    <t xml:space="preserve">Meta vs. Lam Research: Why stocks fell 7% and 12% after earnings</t>
  </si>
  <si>
    <t xml:space="preserve">Techi</t>
  </si>
  <si>
    <t xml:space="preserve">f5c9167a2bba1aed2c45365c</t>
  </si>
  <si>
    <t xml:space="preserve">NVIDIA has officially acknowledged the presence of a critical error in the GeForce 621.01 driver.</t>
  </si>
  <si>
    <t xml:space="preserve">GameGPU</t>
  </si>
  <si>
    <t xml:space="preserve">7c805fedaa54f68ac668fb08</t>
  </si>
  <si>
    <t xml:space="preserve">AMD Stock Fell 8% in a Day as Lam Research’s Supply Warning Sank Chip Stocks. Here’s Where the Stock Could Go by 2030</t>
  </si>
  <si>
    <t xml:space="preserve">69a79a525cb569b8a0bcca6c</t>
  </si>
  <si>
    <t xml:space="preserve">Analysts Have Conflicting Sentiments on These Technology Companies: International Business Machines (IBM) and Lam Research (LRCX)</t>
  </si>
  <si>
    <t xml:space="preserve">The Globe and Mail</t>
  </si>
  <si>
    <t xml:space="preserve">bd1c83f729b427d6d7931b5c</t>
  </si>
  <si>
    <t xml:space="preserve">MKC</t>
  </si>
  <si>
    <t xml:space="preserve">McCormick &amp; Company</t>
  </si>
  <si>
    <t xml:space="preserve">McCormick &amp; Company, Incorporated (NYSE:MKC) Stock Price Down 1.3% - Time to Sell?</t>
  </si>
  <si>
    <t xml:space="preserve">17807a00bb8244f3ddae2a83</t>
  </si>
  <si>
    <t xml:space="preserve">62d07e516c6105f4615bc077</t>
  </si>
  <si>
    <t xml:space="preserve">PulteGroup Q3FY26 net income falls 19% YoY; RBC cuts PT to $110</t>
  </si>
  <si>
    <t xml:space="preserve">a9dbb260953f7f33c2db4993</t>
  </si>
  <si>
    <t xml:space="preserve">CMG</t>
  </si>
  <si>
    <t xml:space="preserve">Chipotle Mexican Grill</t>
  </si>
  <si>
    <t xml:space="preserve">Chipotle Mexican Grill Inc. stock underperforms Friday when compared to competitors</t>
  </si>
  <si>
    <t xml:space="preserve">a5d8827e62649e045b20dcff</t>
  </si>
  <si>
    <t xml:space="preserve">United Airlines Holdings</t>
  </si>
  <si>
    <t xml:space="preserve">Why Is United Airlines Stock Falling on Friday?</t>
  </si>
  <si>
    <t xml:space="preserve">b3f822c4c46cd99653971097</t>
  </si>
  <si>
    <t xml:space="preserve">Western Digital Earnings: Pricing Drives Record Earnings, Volume Growth Slows</t>
  </si>
  <si>
    <t xml:space="preserve">Morningstar</t>
  </si>
  <si>
    <t xml:space="preserve">935dc49548166913b43b32a0</t>
  </si>
  <si>
    <t xml:space="preserve">HBAN</t>
  </si>
  <si>
    <t xml:space="preserve">Huntington Bancshares</t>
  </si>
  <si>
    <t xml:space="preserve">Huntington Bancshares stock hits 52-week low at 14.9 USD By Investing.com</t>
  </si>
  <si>
    <t xml:space="preserve">Investing.com Australia</t>
  </si>
  <si>
    <t xml:space="preserve">aa8d7aa5bd06c3988ffee1b9</t>
  </si>
  <si>
    <t xml:space="preserve">Howmet Aerospace Inc. stock underperforms Friday when compared to competitors</t>
  </si>
  <si>
    <t xml:space="preserve">0562d45b1898ab6a7ef4eb74</t>
  </si>
  <si>
    <t xml:space="preserve">Western Digital Gets Target Cut Despite Strong Earnings(EDIT1)</t>
  </si>
  <si>
    <t xml:space="preserve">2c012635f149da9179f1bf89</t>
  </si>
  <si>
    <t xml:space="preserve">Higher rates are causing compression in P/E multiples, says Morgan Stanley's Andrew Slimmon</t>
  </si>
  <si>
    <t xml:space="preserve">f9029c808d370c4c3f2f44ff</t>
  </si>
  <si>
    <t xml:space="preserve">HST</t>
  </si>
  <si>
    <t xml:space="preserve">Host Hotels &amp; Resorts</t>
  </si>
  <si>
    <t xml:space="preserve">2% Below Fair Value As Host Hotels &amp; Resorts (HST) Draws Fresh Analyst Interest</t>
  </si>
  <si>
    <t xml:space="preserve">54a8142097e8e52fc05471b9</t>
  </si>
  <si>
    <t xml:space="preserve">Seaport Research Issues Stark Nvidia Warning on Nvidia Stock</t>
  </si>
  <si>
    <t xml:space="preserve">82df68017543c2574dfa0867</t>
  </si>
  <si>
    <t xml:space="preserve">Why is Verizon stock sliding today?</t>
  </si>
  <si>
    <t xml:space="preserve">e127a73babd2d09101069189</t>
  </si>
  <si>
    <t xml:space="preserve">Punchy MSI RTX 5060 Ti, Intel 7 265 prebuilt PC spotted at its lowest price in 30 days at Newegg</t>
  </si>
  <si>
    <t xml:space="preserve">5114063fea26c9c7048a9f57</t>
  </si>
  <si>
    <t xml:space="preserve">f07c60eeec6a759953c1cc2a</t>
  </si>
  <si>
    <t xml:space="preserve">INTC</t>
  </si>
  <si>
    <t xml:space="preserve">Intel</t>
  </si>
  <si>
    <t xml:space="preserve">c3824c06781981e5cf2f6006</t>
  </si>
  <si>
    <t xml:space="preserve">Netflix Quietly Confirms Removal of Its 2-Season Cult Classic in Just 2 Weeks</t>
  </si>
  <si>
    <t xml:space="preserve">Comic Book Resources</t>
  </si>
  <si>
    <t xml:space="preserve">c8507d06f083b6d53b0c8b15</t>
  </si>
  <si>
    <t xml:space="preserve">Salesforce Stocks Decrease Over 2% as Braze Deal Sets a $5.66 Bi</t>
  </si>
  <si>
    <t xml:space="preserve">930fca2f7d3e56dd44ec4cfc</t>
  </si>
  <si>
    <t xml:space="preserve">TDY</t>
  </si>
  <si>
    <t xml:space="preserve">Teledyne Technologies</t>
  </si>
  <si>
    <t xml:space="preserve">Analysts Have Conflicting Sentiments on These Technology Companies: Teledyne Technologies (TDY), Karooooo (KARO) and International Business Machines (IBM)</t>
  </si>
  <si>
    <t xml:space="preserve">59dab4c31fa1db3c54a1b9be</t>
  </si>
  <si>
    <t xml:space="preserve">Delayed production ramp-up on Boeing T-7A jet trainer sees costs mount at Saab</t>
  </si>
  <si>
    <t xml:space="preserve">FlightGlobal</t>
  </si>
  <si>
    <r>
      <rPr>
        <sz val="10"/>
        <rFont val="Arial"/>
        <family val="0"/>
        <charset val="1"/>
      </rPr>
      <t xml:space="preserve">Boeing T-7A </t>
    </r>
    <r>
      <rPr>
        <sz val="10"/>
        <rFont val="Noto Sans CJK SC"/>
        <family val="2"/>
      </rPr>
      <t xml:space="preserve">教練機量產延遲，</t>
    </r>
    <r>
      <rPr>
        <sz val="10"/>
        <rFont val="Arial"/>
        <family val="0"/>
        <charset val="1"/>
      </rPr>
      <t xml:space="preserve">Saab </t>
    </r>
    <r>
      <rPr>
        <sz val="10"/>
        <rFont val="Noto Sans CJK SC"/>
        <family val="2"/>
      </rPr>
      <t xml:space="preserve">成本增加。</t>
    </r>
  </si>
  <si>
    <t xml:space="preserve">8413262108b1cdb3447b89b3</t>
  </si>
  <si>
    <t xml:space="preserve">6af8e85f0aaeaa7ee85ffecc</t>
  </si>
  <si>
    <t xml:space="preserve">Economy: Lobby sues over broker ban | Bill to end NSA arbitration | CMS vs ‘ghost networks’ | FTC sends warning to hospitals</t>
  </si>
  <si>
    <t xml:space="preserve">HealthExec</t>
  </si>
  <si>
    <t xml:space="preserve">cfec2c3ede5da427926b4034</t>
  </si>
  <si>
    <t xml:space="preserve">Comcast lost 144,000 broadband customers last quarter, is planning layoffs so AI agents can take over customer service</t>
  </si>
  <si>
    <t xml:space="preserve">TechSpot</t>
  </si>
  <si>
    <t xml:space="preserve">cd49e69e173185f5f5ac69b0</t>
  </si>
  <si>
    <t xml:space="preserve">6 arrested in $1.2 million Walmart fraud scheme after dozens of packages found piling up</t>
  </si>
  <si>
    <t xml:space="preserve">WSAW</t>
  </si>
  <si>
    <t xml:space="preserve">3c7e0060365c46bda4f644bb</t>
  </si>
  <si>
    <t xml:space="preserve">Boeing's Demolition of a California Nuclear Testing Facility Has Nearby Families Worried About Cancer</t>
  </si>
  <si>
    <t xml:space="preserve">Inside Climate News</t>
  </si>
  <si>
    <t xml:space="preserve">95fae9789f4d3aca338bb147</t>
  </si>
  <si>
    <t xml:space="preserve">ALL</t>
  </si>
  <si>
    <t xml:space="preserve">Allstate</t>
  </si>
  <si>
    <t xml:space="preserve">Allstate keeps $9,000 as premature subrogation cost falls on liability carrier</t>
  </si>
  <si>
    <t xml:space="preserve">Insurance Business</t>
  </si>
  <si>
    <t xml:space="preserve">be0e524b52ba04034e5d4851</t>
  </si>
  <si>
    <t xml:space="preserve">M5 MacBook Air Returns to Prime Day Low With $200 Amazon Discount</t>
  </si>
  <si>
    <t xml:space="preserve">ed8de70e7f183ae0c60b15fe</t>
  </si>
  <si>
    <t xml:space="preserve">BLK</t>
  </si>
  <si>
    <t xml:space="preserve">BlackRock</t>
  </si>
  <si>
    <t xml:space="preserve">BlackRock warns traditional bond hedge is breaking down</t>
  </si>
  <si>
    <t xml:space="preserve">Money Marketing</t>
  </si>
  <si>
    <t xml:space="preserve">c642f187aec8ff691a948fc2</t>
  </si>
  <si>
    <t xml:space="preserve">Medical Testing Giant Quest Diagnostics Confirms Massive Security Breach Exposing Sensitive Patient Records Amid a Coordinated Global Hacking Surge</t>
  </si>
  <si>
    <t xml:space="preserve">Istituto Impariamo</t>
  </si>
  <si>
    <t xml:space="preserve">d4ec6dc161680c6c962bc229</t>
  </si>
  <si>
    <t xml:space="preserve">Why is American Express stock sliding today?</t>
  </si>
  <si>
    <t xml:space="preserve">e60626100a376c61c174df93</t>
  </si>
  <si>
    <t xml:space="preserve">Booking Holdings Inc. stock underperforms Friday when compared to competitors</t>
  </si>
  <si>
    <t xml:space="preserve">7fa77aacaedafae90805d02b</t>
  </si>
  <si>
    <t xml:space="preserve">WWE and TKO Face Major Financial Hit if Crown Jewel Canceled</t>
  </si>
  <si>
    <t xml:space="preserve">Sports Illustrated</t>
  </si>
  <si>
    <t xml:space="preserve">fcd7b4ca45bd3c4eb72004cd</t>
  </si>
  <si>
    <t xml:space="preserve">AT&amp;T extends recent slump with another 8% retreat (T:NYSE)</t>
  </si>
  <si>
    <t xml:space="preserve">50eb8cb4a19d9770a0c826f9</t>
  </si>
  <si>
    <t xml:space="preserve">JBL Quantum 910X Wireless over-ear Performance Gaming Headset sees price cut to $199.95</t>
  </si>
  <si>
    <t xml:space="preserve">7016cc95bf4e9efb9cd31a31</t>
  </si>
  <si>
    <t xml:space="preserve">Lab testing giant Quest Diagnostics confirms patients' personal and health data was compromised during breach</t>
  </si>
  <si>
    <t xml:space="preserve">TechCrunch</t>
  </si>
  <si>
    <t xml:space="preserve">797b7f866df3fcee6f44f447</t>
  </si>
  <si>
    <t xml:space="preserve">Old Dominion Freight Line (ODFL) Stock Dropped, So What Is Driving Attention Now?</t>
  </si>
  <si>
    <t xml:space="preserve">0c907b419ad095583a7b0782</t>
  </si>
  <si>
    <t xml:space="preserve">Leaked footage shows Chinese factories stripping hundreds of RTX 5090s for AI use</t>
  </si>
  <si>
    <t xml:space="preserve">1770a58cf014b8b3729c1dd1</t>
  </si>
  <si>
    <t xml:space="preserve">HPE</t>
  </si>
  <si>
    <t xml:space="preserve">Hewlett Packard Enterprise</t>
  </si>
  <si>
    <t xml:space="preserve">HPE Warns Critical Aruba Networking Flaws Could Let Hackers Take Complete Control of Devices</t>
  </si>
  <si>
    <t xml:space="preserve">CyberSecurityNews</t>
  </si>
  <si>
    <r>
      <rPr>
        <sz val="10"/>
        <rFont val="Arial"/>
        <family val="0"/>
        <charset val="1"/>
      </rPr>
      <t xml:space="preserve">HPE Aruba</t>
    </r>
    <r>
      <rPr>
        <sz val="10"/>
        <rFont val="Noto Sans CJK SC"/>
        <family val="2"/>
      </rPr>
      <t xml:space="preserve">／</t>
    </r>
    <r>
      <rPr>
        <sz val="10"/>
        <rFont val="Arial"/>
        <family val="0"/>
        <charset val="1"/>
      </rPr>
      <t xml:space="preserve">Fortinet </t>
    </r>
    <r>
      <rPr>
        <sz val="10"/>
        <rFont val="Noto Sans CJK SC"/>
        <family val="2"/>
      </rPr>
      <t xml:space="preserve">產品出現嚴重漏洞警告。</t>
    </r>
  </si>
  <si>
    <t xml:space="preserve">f2303093fd104846349f15e8</t>
  </si>
  <si>
    <t xml:space="preserve">10 Most Disappointing Netflix Adaptations (So Far)</t>
  </si>
  <si>
    <t xml:space="preserve">TVLine</t>
  </si>
  <si>
    <t xml:space="preserve">55c51088518eb0da72fac9cb</t>
  </si>
  <si>
    <t xml:space="preserve">Why TransDigm Group (TDG) Stock Is Down Today</t>
  </si>
  <si>
    <t xml:space="preserve">da829b3e89a655d8f7353704</t>
  </si>
  <si>
    <t xml:space="preserve">MSCI</t>
  </si>
  <si>
    <t xml:space="preserve">MSCI Inc.</t>
  </si>
  <si>
    <t xml:space="preserve">Prabowo accuses MSCI of trying to intimidate Indonesia after market downgrade warning</t>
  </si>
  <si>
    <t xml:space="preserve">CNA</t>
  </si>
  <si>
    <t xml:space="preserve">a3b156545f559a8f6095084b</t>
  </si>
  <si>
    <t xml:space="preserve">REACTION: Syracuse Basketball STUMBLES in Exhibition vs. Niagara | Gerry McNamara Must FIX THIS</t>
  </si>
  <si>
    <t xml:space="preserve">WQAD</t>
  </si>
  <si>
    <t xml:space="preserve">e0b521006e60cb42bd841980</t>
  </si>
  <si>
    <t xml:space="preserve">CLX</t>
  </si>
  <si>
    <t xml:space="preserve">Clorox</t>
  </si>
  <si>
    <t xml:space="preserve">Clorox Co. stock underperforms Friday when compared to competitors</t>
  </si>
  <si>
    <t xml:space="preserve">03ee744306b7be164e40a396</t>
  </si>
  <si>
    <t xml:space="preserve">Why Is American Express Stock Falling Friday? - American Express (NYSE:AXP)</t>
  </si>
  <si>
    <t xml:space="preserve">82b616d320ed6669797179a3</t>
  </si>
  <si>
    <t xml:space="preserve">SpaceX Reportedly Eyes 80,000 Cell Sites In Push To Become Fourth US Wireless Carrier: T, TMUS, VZ Stocks Slip After-Hours</t>
  </si>
  <si>
    <t xml:space="preserve">48a9a89d3249cce4341e573c</t>
  </si>
  <si>
    <t xml:space="preserve">Goldman Sachs Group Inc. stock underperforms Friday when compared to competitors</t>
  </si>
  <si>
    <t xml:space="preserve">651c8bedd8c1509064197d57</t>
  </si>
  <si>
    <t xml:space="preserve">Applied Materials Stock Is Down 48% From Its Peak. Here’s What Its 50%-Growth Inspection Business Means for Shares</t>
  </si>
  <si>
    <t xml:space="preserve">d61be9c63244d6013eb8c52f</t>
  </si>
  <si>
    <t xml:space="preserve">Latham McDonald's unlawfully dumped grease down storm drain</t>
  </si>
  <si>
    <t xml:space="preserve">WRGB</t>
  </si>
  <si>
    <t xml:space="preserve">54a0813cd022c66c278d9ee2</t>
  </si>
  <si>
    <t xml:space="preserve">COST</t>
  </si>
  <si>
    <t xml:space="preserve">Costco</t>
  </si>
  <si>
    <t xml:space="preserve">This Is The Worst Coffee Blend In Costco's Kirkland Signature Lineup</t>
  </si>
  <si>
    <t xml:space="preserve">Mashed</t>
  </si>
  <si>
    <t xml:space="preserve">e5d11b9a2ff68861e7ca3fb8</t>
  </si>
  <si>
    <t xml:space="preserve">eBay (EBAY) Cuts 9% Of Staff, Is The Upside Already Priced In?</t>
  </si>
  <si>
    <r>
      <rPr>
        <sz val="10"/>
        <rFont val="Arial"/>
        <family val="0"/>
        <charset val="1"/>
      </rPr>
      <t xml:space="preserve">eBay </t>
    </r>
    <r>
      <rPr>
        <sz val="10"/>
        <rFont val="Noto Sans CJK SC"/>
        <family val="2"/>
      </rPr>
      <t xml:space="preserve">裁員 </t>
    </r>
    <r>
      <rPr>
        <sz val="10"/>
        <rFont val="Arial"/>
        <family val="0"/>
        <charset val="1"/>
      </rPr>
      <t xml:space="preserve">9%</t>
    </r>
    <r>
      <rPr>
        <sz val="10"/>
        <rFont val="Noto Sans CJK SC"/>
        <family val="2"/>
      </rPr>
      <t xml:space="preserve">。</t>
    </r>
  </si>
  <si>
    <t xml:space="preserve">cc5793cad3d7c3ebfac55273</t>
  </si>
  <si>
    <t xml:space="preserve">Verizon Apologizes for iPhone Duo Pre-Order Delays, Giving Customers $100 Gift Card</t>
  </si>
  <si>
    <t xml:space="preserve">5e0d1627d56191774cbe16fc</t>
  </si>
  <si>
    <t xml:space="preserve">Microsoft Project Professional 2024 drops to $50 for a lifetime license</t>
  </si>
  <si>
    <t xml:space="preserve">PCWorld</t>
  </si>
  <si>
    <t xml:space="preserve">f0f0bb3487c9b1b3f1549fd9</t>
  </si>
  <si>
    <t xml:space="preserve">Allegiant doubles down on Boeing 737 MAX with six more aircraft</t>
  </si>
  <si>
    <t xml:space="preserve">f2eb2498e8c1eca497400254</t>
  </si>
  <si>
    <t xml:space="preserve">Why did a Texas McDonald's worker quit over alleged sewage?</t>
  </si>
  <si>
    <t xml:space="preserve">The Mary Sue</t>
  </si>
  <si>
    <t xml:space="preserve">dcacf1fc5ce2a420ac0ad038</t>
  </si>
  <si>
    <t xml:space="preserve">Bunge (BG) Stock May Be Below Fair Value On Earnings Power</t>
  </si>
  <si>
    <t xml:space="preserve">a6d0f3beb6390e6075cc12e1</t>
  </si>
  <si>
    <t xml:space="preserve">Netflix Reportedly Walked Away After Xbox Asked $800 Million for Its Game IP</t>
  </si>
  <si>
    <t xml:space="preserve">TechPowerUp</t>
  </si>
  <si>
    <t xml:space="preserve">030733a3d824c2745476a36e</t>
  </si>
  <si>
    <t xml:space="preserve">Ford Motor Company</t>
  </si>
  <si>
    <t xml:space="preserve">Ford Motor (F) Faces Fresh Fuel Pump Legal Risk As Undervalued Narrative Holds</t>
  </si>
  <si>
    <r>
      <rPr>
        <sz val="10"/>
        <rFont val="Arial"/>
        <family val="0"/>
        <charset val="1"/>
      </rPr>
      <t xml:space="preserve">Ford </t>
    </r>
    <r>
      <rPr>
        <sz val="10"/>
        <rFont val="Noto Sans CJK SC"/>
        <family val="2"/>
      </rPr>
      <t xml:space="preserve">燃油泵訴訟風險。</t>
    </r>
  </si>
  <si>
    <t xml:space="preserve">F</t>
  </si>
  <si>
    <t xml:space="preserve">cf3f45a32f5e7390940679d1</t>
  </si>
  <si>
    <t xml:space="preserve">Lam Research: Down 29% Since My Sell Call, But The Math Has Changed (Upgrade) (LRCX)</t>
  </si>
  <si>
    <t xml:space="preserve">9f97347947be7b57dd612567</t>
  </si>
  <si>
    <t xml:space="preserve">T-Mobile US (NASDAQ:TMUS) Stock Falls 6.9% - Time to Sell?</t>
  </si>
  <si>
    <t xml:space="preserve">e569ead200fc8389e8af28c6</t>
  </si>
  <si>
    <t xml:space="preserve">KC law firm files hundreds of lawsuits against FedEx challenging overtime pay</t>
  </si>
  <si>
    <t xml:space="preserve">The Business Journals</t>
  </si>
  <si>
    <t xml:space="preserve">63b5407240a2ccc28e025812</t>
  </si>
  <si>
    <t xml:space="preserve">Uber’s new Fife private hire booking office licence faces court challenge after hundreds of objections rejected</t>
  </si>
  <si>
    <t xml:space="preserve">TaxiPoint Taxi News</t>
  </si>
  <si>
    <t xml:space="preserve">443b05513cd5106358dee15b</t>
  </si>
  <si>
    <t xml:space="preserve">FAST</t>
  </si>
  <si>
    <t xml:space="preserve">Fastenal</t>
  </si>
  <si>
    <t xml:space="preserve">Fastenal Co. stock underperforms Friday when compared to competitors</t>
  </si>
  <si>
    <t xml:space="preserve">cc174588a98c6224cee3368b</t>
  </si>
  <si>
    <t xml:space="preserve">TXT</t>
  </si>
  <si>
    <t xml:space="preserve">Textron</t>
  </si>
  <si>
    <t xml:space="preserve">Textron Inc. stock underperforms Friday when compared to competitors</t>
  </si>
  <si>
    <t xml:space="preserve">f6c3abe4f966b82f83efcefe</t>
  </si>
  <si>
    <t xml:space="preserve">1 killed, 1 injured in shooting at Airbnb being used for a party near east of downtown Houston, HPD says</t>
  </si>
  <si>
    <t xml:space="preserve">ABC13 Houston</t>
  </si>
  <si>
    <t xml:space="preserve">5ad01629284f1ef47a1b36f4</t>
  </si>
  <si>
    <t xml:space="preserve">Broadcom (AVGO) Stock May Be 31% Undervalued As AI Spending Fears Grow</t>
  </si>
  <si>
    <t xml:space="preserve">572748283e453b76c81f07b8</t>
  </si>
  <si>
    <t xml:space="preserve">FDS</t>
  </si>
  <si>
    <t xml:space="preserve">FactSet</t>
  </si>
  <si>
    <t xml:space="preserve">鉅亨速報 - Factset 最新調查：國際航空集團(IAG-US)EPS預估下修至1.95元，預估目標價為24.00元</t>
  </si>
  <si>
    <r>
      <rPr>
        <sz val="10"/>
        <rFont val="Noto Sans CJK SC"/>
        <family val="2"/>
      </rPr>
      <t xml:space="preserve">鉅亨速報 </t>
    </r>
    <r>
      <rPr>
        <sz val="10"/>
        <rFont val="Arial"/>
        <family val="0"/>
        <charset val="1"/>
      </rPr>
      <t xml:space="preserve">- Factset </t>
    </r>
    <r>
      <rPr>
        <sz val="10"/>
        <rFont val="Noto Sans CJK SC"/>
        <family val="2"/>
      </rPr>
      <t xml:space="preserve">最新調查：國際航空集團</t>
    </r>
    <r>
      <rPr>
        <sz val="10"/>
        <rFont val="Arial"/>
        <family val="0"/>
        <charset val="1"/>
      </rPr>
      <t xml:space="preserve">(IAG-US)EPS</t>
    </r>
    <r>
      <rPr>
        <sz val="10"/>
        <rFont val="Noto Sans CJK SC"/>
        <family val="2"/>
      </rPr>
      <t xml:space="preserve">預估下修至</t>
    </r>
    <r>
      <rPr>
        <sz val="10"/>
        <rFont val="Arial"/>
        <family val="0"/>
        <charset val="1"/>
      </rPr>
      <t xml:space="preserve">1.95</t>
    </r>
    <r>
      <rPr>
        <sz val="10"/>
        <rFont val="Noto Sans CJK SC"/>
        <family val="2"/>
      </rPr>
      <t xml:space="preserve">元，預估目標價為</t>
    </r>
    <r>
      <rPr>
        <sz val="10"/>
        <rFont val="Arial"/>
        <family val="0"/>
        <charset val="1"/>
      </rPr>
      <t xml:space="preserve">24.00</t>
    </r>
    <r>
      <rPr>
        <sz val="10"/>
        <rFont val="Noto Sans CJK SC"/>
        <family val="2"/>
      </rPr>
      <t xml:space="preserve">元</t>
    </r>
  </si>
  <si>
    <t xml:space="preserve">fae6732b61c0ed85d0f11254</t>
  </si>
  <si>
    <t xml:space="preserve">Cyber Breach Hits Quest Diagnostics, Patient Records May Be Affected</t>
  </si>
  <si>
    <t xml:space="preserve">Security Magazine</t>
  </si>
  <si>
    <t xml:space="preserve">bb91864305ea5232ce89ba83</t>
  </si>
  <si>
    <t xml:space="preserve">Procter &amp; Gamble (NYSE:PG) Stock Price Down 2.6% - Here's What Happened</t>
  </si>
  <si>
    <t xml:space="preserve">8916cbadf5a6bc24eebbf75a</t>
  </si>
  <si>
    <t xml:space="preserve">Why is Accenture stock sliding today?</t>
  </si>
  <si>
    <t xml:space="preserve">5871b51246744bf7d75a12da</t>
  </si>
  <si>
    <t xml:space="preserve">CVS Health stock: Wall Street Zen downgrades CVS Health stock to Buy</t>
  </si>
  <si>
    <t xml:space="preserve">d81c10851ef1b885075541da</t>
  </si>
  <si>
    <t xml:space="preserve">Starbucks Ditches Chipotle Deal, But Headwinds Still Linger (NASDAQ:SBUX)</t>
  </si>
  <si>
    <t xml:space="preserve">c3f30f025733b659101f27cc</t>
  </si>
  <si>
    <t xml:space="preserve">5G FWA Profitability in 2026: Verizon, AT&amp;T, T-Mobile, Jio and Airtel Face Cost and Payback Challenges</t>
  </si>
  <si>
    <t xml:space="preserve">TelecomLead</t>
  </si>
  <si>
    <t xml:space="preserve">16de524397c35199becfedbc</t>
  </si>
  <si>
    <t xml:space="preserve">6 arrested after alleged $1.4M Walmart fraud ring busted in Peoria</t>
  </si>
  <si>
    <t xml:space="preserve">KTAR News 92.3 FM</t>
  </si>
  <si>
    <t xml:space="preserve">145bbcaafb3c343c75faf0a8</t>
  </si>
  <si>
    <t xml:space="preserve">Verizon faces earnings test as SpaceX threat looms</t>
  </si>
  <si>
    <t xml:space="preserve">ce45db3f01177d786f76bce1</t>
  </si>
  <si>
    <t xml:space="preserve">Microsoft confirms Windows 11 Universal Print broken for months, requires manual fix</t>
  </si>
  <si>
    <t xml:space="preserve">Neowin</t>
  </si>
  <si>
    <t xml:space="preserve">8e33c548fffd14198b41e0c2</t>
  </si>
  <si>
    <t xml:space="preserve">Intel CEO bought $10 million in stock. Now he’s down nearly $1 million</t>
  </si>
  <si>
    <t xml:space="preserve">CTech</t>
  </si>
  <si>
    <t xml:space="preserve">dd08d1aea3215b5702c63a80</t>
  </si>
  <si>
    <t xml:space="preserve">Huntington Ingalls Industries Inc. stock underperforms Friday when compared to competitors</t>
  </si>
  <si>
    <t xml:space="preserve">dc45df94f3bbedbfbd18837e</t>
  </si>
  <si>
    <t xml:space="preserve">Accenture PLC Cl A stock underperforms Friday when compared to competitors</t>
  </si>
  <si>
    <t xml:space="preserve">be6cf0fe4728c63b6fd2f6ea</t>
  </si>
  <si>
    <t xml:space="preserve">MSCI (MSCI) Could Be 19% Below Fair Value After Earnings Buyback And Dividend Update</t>
  </si>
  <si>
    <t xml:space="preserve">f7ee02c3959fad70ce7f8f1b</t>
  </si>
  <si>
    <t xml:space="preserve">PWR</t>
  </si>
  <si>
    <t xml:space="preserve">Quanta Services</t>
  </si>
  <si>
    <t xml:space="preserve">Quanta Services Inc. stock underperforms Friday when compared to competitors</t>
  </si>
  <si>
    <t xml:space="preserve">dca426c0265909932972aed0</t>
  </si>
  <si>
    <t xml:space="preserve">AAPL Price Prediction: Zero MACD Histogram and a $30 Analyst Gap Signal a Critical Juncture at $348</t>
  </si>
  <si>
    <t xml:space="preserve">Blockchain News</t>
  </si>
  <si>
    <t xml:space="preserve">c76e511bd76d7a43cf75f797</t>
  </si>
  <si>
    <t xml:space="preserve">Quest Diagnostics reports unauthorized access to lab system, says patient information may have been compromised</t>
  </si>
  <si>
    <t xml:space="preserve">WRNJ Radio</t>
  </si>
  <si>
    <t xml:space="preserve">766fe4a40475368e249d3212</t>
  </si>
  <si>
    <t xml:space="preserve">JBHT</t>
  </si>
  <si>
    <t xml:space="preserve">J.B. Hunt</t>
  </si>
  <si>
    <t xml:space="preserve">J.B. Hunt shareholders may claim losses after s...</t>
  </si>
  <si>
    <r>
      <rPr>
        <sz val="10"/>
        <rFont val="Arial"/>
        <family val="0"/>
        <charset val="1"/>
      </rPr>
      <t xml:space="preserve">J.B. Hunt </t>
    </r>
    <r>
      <rPr>
        <sz val="10"/>
        <rFont val="Noto Sans CJK SC"/>
        <family val="2"/>
      </rPr>
      <t xml:space="preserve">股東損失索賠徵求（律所公告）。</t>
    </r>
  </si>
  <si>
    <t xml:space="preserve">79aa69f0c225895f9a104abb</t>
  </si>
  <si>
    <t xml:space="preserve">MET</t>
  </si>
  <si>
    <t xml:space="preserve">MetLife</t>
  </si>
  <si>
    <t xml:space="preserve">MetLife Inc. stock underperforms Friday when compared to competitors</t>
  </si>
  <si>
    <t xml:space="preserve">86d861e32eb57b98200c7183</t>
  </si>
  <si>
    <t xml:space="preserve">鉅亨速報 - Factset 最新調查：Graco Inc.(GGG-US)EPS預估下修至3.25元，預估目標價為84.50元</t>
  </si>
  <si>
    <r>
      <rPr>
        <sz val="10"/>
        <rFont val="Noto Sans CJK SC"/>
        <family val="2"/>
      </rPr>
      <t xml:space="preserve">鉅亨速報 </t>
    </r>
    <r>
      <rPr>
        <sz val="10"/>
        <rFont val="Arial"/>
        <family val="0"/>
        <charset val="1"/>
      </rPr>
      <t xml:space="preserve">- Factset </t>
    </r>
    <r>
      <rPr>
        <sz val="10"/>
        <rFont val="Noto Sans CJK SC"/>
        <family val="2"/>
      </rPr>
      <t xml:space="preserve">最新調查：</t>
    </r>
    <r>
      <rPr>
        <sz val="10"/>
        <rFont val="Arial"/>
        <family val="0"/>
        <charset val="1"/>
      </rPr>
      <t xml:space="preserve">Graco Inc.(GGG-US)EPS</t>
    </r>
    <r>
      <rPr>
        <sz val="10"/>
        <rFont val="Noto Sans CJK SC"/>
        <family val="2"/>
      </rPr>
      <t xml:space="preserve">預估下修至</t>
    </r>
    <r>
      <rPr>
        <sz val="10"/>
        <rFont val="Arial"/>
        <family val="0"/>
        <charset val="1"/>
      </rPr>
      <t xml:space="preserve">3.25</t>
    </r>
    <r>
      <rPr>
        <sz val="10"/>
        <rFont val="Noto Sans CJK SC"/>
        <family val="2"/>
      </rPr>
      <t xml:space="preserve">元，預估目標價為</t>
    </r>
    <r>
      <rPr>
        <sz val="10"/>
        <rFont val="Arial"/>
        <family val="0"/>
        <charset val="1"/>
      </rPr>
      <t xml:space="preserve">84.50</t>
    </r>
    <r>
      <rPr>
        <sz val="10"/>
        <rFont val="Noto Sans CJK SC"/>
        <family val="2"/>
      </rPr>
      <t xml:space="preserve">元</t>
    </r>
  </si>
  <si>
    <t xml:space="preserve">245145effe976c195ef439ca</t>
  </si>
  <si>
    <t xml:space="preserve">All-new Amazon Fire TV Stick 4K now back at $30 all-time low (50% off)</t>
  </si>
  <si>
    <t xml:space="preserve">9to5Toys</t>
  </si>
  <si>
    <t xml:space="preserve">ae35e435442c2a7b52c431a8</t>
  </si>
  <si>
    <t xml:space="preserve">INTU</t>
  </si>
  <si>
    <t xml:space="preserve">Intuit</t>
  </si>
  <si>
    <t xml:space="preserve">Intuit (INTU) Suffers a Larger Drop Than the General Market: Key Insights</t>
  </si>
  <si>
    <t xml:space="preserve">82a37de9de19a6b816f0a885</t>
  </si>
  <si>
    <t xml:space="preserve">Red Roses boss John Mitchell issues PWR warning after back-to-back defeats for England</t>
  </si>
  <si>
    <t xml:space="preserve">The Rugby Paper</t>
  </si>
  <si>
    <t xml:space="preserve">bc8e400393b7daa19b88ed04</t>
  </si>
  <si>
    <t xml:space="preserve">KR</t>
  </si>
  <si>
    <t xml:space="preserve">Kroger</t>
  </si>
  <si>
    <t xml:space="preserve">VSP: 75-year-old woman fatally struck by vehicle in Smithfield Kroger parking lot</t>
  </si>
  <si>
    <t xml:space="preserve">WAVY.com</t>
  </si>
  <si>
    <t xml:space="preserve">2b94e18d1f53a36ff32e48f5</t>
  </si>
  <si>
    <t xml:space="preserve">Amazon’s $5 billion Nvidia AI servers sit idle in warehouses amid data center power shortages</t>
  </si>
  <si>
    <t xml:space="preserve">The American Bazaar</t>
  </si>
  <si>
    <t xml:space="preserve">795dba14ec26c8aa721dfca9</t>
  </si>
  <si>
    <t xml:space="preserve">Two Tamaqua Women Charged After Allegedly Hiding Merchandise in Garbage Cans at Walmart</t>
  </si>
  <si>
    <t xml:space="preserve">Skook News</t>
  </si>
  <si>
    <t xml:space="preserve">cfcdaac3612d09ef9c07dd3b</t>
  </si>
  <si>
    <t xml:space="preserve">How Labor Strike At Wynn Resorts (WYNN) Has Changed Its Investment Story</t>
  </si>
  <si>
    <r>
      <rPr>
        <sz val="10"/>
        <rFont val="Arial"/>
        <family val="0"/>
        <charset val="1"/>
      </rPr>
      <t xml:space="preserve">Wynn </t>
    </r>
    <r>
      <rPr>
        <sz val="10"/>
        <rFont val="Noto Sans CJK SC"/>
        <family val="2"/>
      </rPr>
      <t xml:space="preserve">勞工罷工影響營運。</t>
    </r>
  </si>
  <si>
    <t xml:space="preserve">4246368142338c198b320b9a</t>
  </si>
  <si>
    <t xml:space="preserve">Oncologists Cheer Melanoma Data That Tanked Moderna’s Shares</t>
  </si>
  <si>
    <t xml:space="preserve">cdf85eb2fc9d5732e3933a46</t>
  </si>
  <si>
    <t xml:space="preserve">HSIC</t>
  </si>
  <si>
    <t xml:space="preserve">Henry Schein</t>
  </si>
  <si>
    <t xml:space="preserve">Henry Schein Inc. stock underperforms Friday when compared to competitors</t>
  </si>
  <si>
    <t xml:space="preserve">6a5ce476c537506a05dca131</t>
  </si>
  <si>
    <t xml:space="preserve">Amazon bows to local backlash over AI data centers, scraps plans to build four new facilities in Northern Virginia — site to be repurposed for mixed-use and residential development.</t>
  </si>
  <si>
    <t xml:space="preserve">Tom's Hardware</t>
  </si>
  <si>
    <t xml:space="preserve">461be780b1c97b9dc5426eea</t>
  </si>
  <si>
    <t xml:space="preserve">Goldman Sachs Sees CoreWeave Debt Need Fall With Longer GPU Life</t>
  </si>
  <si>
    <t xml:space="preserve">TOKENPOST</t>
  </si>
  <si>
    <t xml:space="preserve">d5d66f8f9b1caf66bdea8320</t>
  </si>
  <si>
    <t xml:space="preserve">V</t>
  </si>
  <si>
    <t xml:space="preserve">Visa Inc.</t>
  </si>
  <si>
    <t xml:space="preserve">Visa Inc. Cl A stock underperforms Friday when compared to competitors</t>
  </si>
  <si>
    <t xml:space="preserve">d36cd0fc3df8a7b7e7953549</t>
  </si>
  <si>
    <t xml:space="preserve">Piper Sandler cuts Globe Life stock rating on medical claims concerns</t>
  </si>
  <si>
    <r>
      <rPr>
        <sz val="10"/>
        <rFont val="Arial"/>
        <family val="0"/>
        <charset val="1"/>
      </rPr>
      <t xml:space="preserve">Piper Sandler </t>
    </r>
    <r>
      <rPr>
        <sz val="10"/>
        <rFont val="Noto Sans CJK SC"/>
        <family val="2"/>
      </rPr>
      <t xml:space="preserve">因醫療理賠疑慮調降 </t>
    </r>
    <r>
      <rPr>
        <sz val="10"/>
        <rFont val="Arial"/>
        <family val="0"/>
        <charset val="1"/>
      </rPr>
      <t xml:space="preserve">Globe Life</t>
    </r>
    <r>
      <rPr>
        <sz val="10"/>
        <rFont val="Noto Sans CJK SC"/>
        <family val="2"/>
      </rPr>
      <t xml:space="preserve">。</t>
    </r>
  </si>
  <si>
    <t xml:space="preserve">f848382d6ffa02fca4215aef</t>
  </si>
  <si>
    <t xml:space="preserve">American Airlines Boeing 787 Makes Emergency Landing at O'Hare After Brake Issue, One Hospitalized</t>
  </si>
  <si>
    <t xml:space="preserve">AeroXplorer</t>
  </si>
  <si>
    <t xml:space="preserve">ba12de9105657d547e675475</t>
  </si>
  <si>
    <t xml:space="preserve">XEL</t>
  </si>
  <si>
    <t xml:space="preserve">Xcel Energy</t>
  </si>
  <si>
    <t xml:space="preserve">Xcel Energy Inc. stock underperforms Friday when compared to competitors</t>
  </si>
  <si>
    <t xml:space="preserve">8f906b43bb8960b02a9118c3</t>
  </si>
  <si>
    <t xml:space="preserve">Globe Life Inc. stock underperforms Friday when compared to competitors</t>
  </si>
  <si>
    <t xml:space="preserve">927536843a8cee5f9ce7ec22</t>
  </si>
  <si>
    <t xml:space="preserve">CASY</t>
  </si>
  <si>
    <t xml:space="preserve">Casey's</t>
  </si>
  <si>
    <t xml:space="preserve">Are Retail-Wholesale Stocks Lagging Casey's General Stores (CASY) This Year?</t>
  </si>
  <si>
    <t xml:space="preserve">e9dbc642cb480279a99d98a4</t>
  </si>
  <si>
    <t xml:space="preserve">FTNT</t>
  </si>
  <si>
    <t xml:space="preserve">Fortinet</t>
  </si>
  <si>
    <t xml:space="preserve">ACSC warns of critical vulnerabilities in Fortinet products</t>
  </si>
  <si>
    <t xml:space="preserve">Australian Cyber Security Magazine</t>
  </si>
  <si>
    <t xml:space="preserve">2e86c3e9e7a052a784219455</t>
  </si>
  <si>
    <t xml:space="preserve">CVS Health Corp. stock underperforms Friday when compared to competitors</t>
  </si>
  <si>
    <t xml:space="preserve">09d0817ba4f4f4b4943a1279</t>
  </si>
  <si>
    <t xml:space="preserve">Telco Stocks VZ, T, and TMUS Fall on Another SpaceX Wireless Push — Should Investors Worry?</t>
  </si>
  <si>
    <t xml:space="preserve">TipRanks</t>
  </si>
  <si>
    <t xml:space="preserve">3f9279d4fa91b3cb9d86b060</t>
  </si>
  <si>
    <t xml:space="preserve">Down Roughly 50% From Its Highs, Is Netflix Stock Finally a Buy?</t>
  </si>
  <si>
    <t xml:space="preserve">c109a3b1054f6d5cbed83c64</t>
  </si>
  <si>
    <t xml:space="preserve">WY</t>
  </si>
  <si>
    <t xml:space="preserve">Weyerhaeuser</t>
  </si>
  <si>
    <t xml:space="preserve">Weyerhaeuser Stock: Profound Mispricing (NYSE:WY)</t>
  </si>
  <si>
    <t xml:space="preserve">8d9093354b6786d57ea87761</t>
  </si>
  <si>
    <t xml:space="preserve">WFC</t>
  </si>
  <si>
    <t xml:space="preserve">Wells Fargo</t>
  </si>
  <si>
    <t xml:space="preserve">QUICK SPARK: ACVF ETF Dumps Wells Fargo, US Bancorp Over Debanking Concerns</t>
  </si>
  <si>
    <t xml:space="preserve">52b53684722f1206ed8f31b9</t>
  </si>
  <si>
    <t xml:space="preserve">Peoria police inquiry leads to arrest of 6 in Walmart.com fraud scheme</t>
  </si>
  <si>
    <t xml:space="preserve">3fe9fd37c6b919c5ba8e77e5</t>
  </si>
  <si>
    <t xml:space="preserve">Is Apple (AAPL) Pricing In Too Much Future Cash Flow?</t>
  </si>
  <si>
    <t xml:space="preserve">e3b06dbe0fdba7fd12a12d9a</t>
  </si>
  <si>
    <t xml:space="preserve">CMS Energy Corp. stock underperforms Friday when compared to competitors</t>
  </si>
  <si>
    <t xml:space="preserve">dc0a2de5c32ae4283fbc499f</t>
  </si>
  <si>
    <t xml:space="preserve">Wells Fargo, Arm and Intuit Join Revolt Against OKX-ICE Tokenized Stock Plan as Objectors Reach 22</t>
  </si>
  <si>
    <t xml:space="preserve">42f95842dcf1b20a29e13b6e</t>
  </si>
  <si>
    <t xml:space="preserve">GPN</t>
  </si>
  <si>
    <t xml:space="preserve">Global Payments</t>
  </si>
  <si>
    <t xml:space="preserve">Global Payments Inc. stock underperforms Friday when compared to competitors</t>
  </si>
  <si>
    <t xml:space="preserve">1c35dc670ffe86476f19ccbe</t>
  </si>
  <si>
    <t xml:space="preserve">Xbox Misses Microsoft's Executive Pay Target for the Fifth Time in Six Years</t>
  </si>
  <si>
    <t xml:space="preserve">7baef33447f1e6c49d3840b6</t>
  </si>
  <si>
    <t xml:space="preserve">Griffin MSI Defends Giant Glass Welcome Hall After Critics Call It Too Big</t>
  </si>
  <si>
    <t xml:space="preserve">60cee733811e6d7596244376</t>
  </si>
  <si>
    <t xml:space="preserve">6a44c44c251f7d92f951fd13</t>
  </si>
  <si>
    <t xml:space="preserve">Xcel Energy (XEL) Faces Wildfire And Credit Pressure, Is It Still 13% Undervalued?</t>
  </si>
  <si>
    <t xml:space="preserve">dae8ed70edfdf4b099c101cf</t>
  </si>
  <si>
    <t xml:space="preserve">Visalia Police Arrest Man Accused of Stealing TV, Pulling Knife at Walmart</t>
  </si>
  <si>
    <t xml:space="preserve">GV Wire</t>
  </si>
  <si>
    <t xml:space="preserve">7400169784f22f1d5b3a2429</t>
  </si>
  <si>
    <t xml:space="preserve">Boeing Holds Near Lows as MAX 10 Approval Meets a 777 Freighter Shutdown</t>
  </si>
  <si>
    <t xml:space="preserve">ab706893bd2efaba42421ec1</t>
  </si>
  <si>
    <t xml:space="preserve">MA</t>
  </si>
  <si>
    <t xml:space="preserve">Mastercard</t>
  </si>
  <si>
    <t xml:space="preserve">American Express Falls 3% Despite Q3 Beat and Higher Profit Floor; Visa and Mastercard Slip</t>
  </si>
  <si>
    <t xml:space="preserve">24/7 Wall St.</t>
  </si>
  <si>
    <t xml:space="preserve">a6eeea2ba789fd2e3b06ef4c</t>
  </si>
  <si>
    <t xml:space="preserve">d3d4f4300e3d34cc808af42f</t>
  </si>
  <si>
    <t xml:space="preserve">One hurt in shooting at Pampa Walmart parking lot; suspect identified</t>
  </si>
  <si>
    <t xml:space="preserve">NewsChannel 10</t>
  </si>
  <si>
    <t xml:space="preserve">b55f4a88568205c936eaa604</t>
  </si>
  <si>
    <t xml:space="preserve">American Express cutting 5% of global workforce</t>
  </si>
  <si>
    <t xml:space="preserve">thenational.co.za</t>
  </si>
  <si>
    <t xml:space="preserve">114221b15c0e09866019c3bc</t>
  </si>
  <si>
    <t xml:space="preserve">Pfizer</t>
  </si>
  <si>
    <t xml:space="preserve">輝瑞肺癌藥臨牀試驗未達預期，仍尋求後續研發路徑</t>
  </si>
  <si>
    <t xml:space="preserve">9b413bfe282310fbe6e566a8</t>
  </si>
  <si>
    <t xml:space="preserve">AZO</t>
  </si>
  <si>
    <t xml:space="preserve">AutoZone</t>
  </si>
  <si>
    <t xml:space="preserve">AutoZone (AZO) Suffers a Larger Drop Than the General Market: Key Insights</t>
  </si>
  <si>
    <t xml:space="preserve">12e95df573f383f4b10685cb</t>
  </si>
  <si>
    <t xml:space="preserve">NZ Herald</t>
  </si>
  <si>
    <t xml:space="preserve">dc1b27138752f129488dc38a</t>
  </si>
  <si>
    <t xml:space="preserve">TT</t>
  </si>
  <si>
    <t xml:space="preserve">Trane Technologies</t>
  </si>
  <si>
    <t xml:space="preserve">Trane Technologies (TT) Stock Dropped, What Is Driving Attention Now?</t>
  </si>
  <si>
    <t xml:space="preserve">29ec32243f2d84dba149d4c5</t>
  </si>
  <si>
    <t xml:space="preserve">CBRE Group Inc. Cl A stock underperforms Friday when compared to competitors</t>
  </si>
  <si>
    <t xml:space="preserve">9ff21de6ad1a4117b9694194</t>
  </si>
  <si>
    <t xml:space="preserve">International Business Machines Corporation $IBM Stake Cut by Robeco Institutional Asset Management B.V.</t>
  </si>
  <si>
    <t xml:space="preserve">c91105fcb91b014d8a033969</t>
  </si>
  <si>
    <t xml:space="preserve">$SanDisk (SNDK.US)$ Not An expert there is W trend from the last high of high and lows all happened between 22nd to 25th of ever 3 month , still the stock is in downtrend might be there is chance for 2500 next year strating</t>
  </si>
  <si>
    <t xml:space="preserve">65514b5741714aa5600291d1</t>
  </si>
  <si>
    <t xml:space="preserve">NEM</t>
  </si>
  <si>
    <t xml:space="preserve">Newmont</t>
  </si>
  <si>
    <t xml:space="preserve">Newmont Corp. stock underperforms Friday when compared to competitors</t>
  </si>
  <si>
    <t xml:space="preserve">07752f0d3bdb2e566fac6c26</t>
  </si>
  <si>
    <t xml:space="preserve">Kraft Heinz, Aramark sue UnitedHealth over ‘bogus’ health claims</t>
  </si>
  <si>
    <t xml:space="preserve">InsuranceNewsNet</t>
  </si>
  <si>
    <t xml:space="preserve">0fb49b437e0a4dc128a492aa</t>
  </si>
  <si>
    <t xml:space="preserve">AT&amp;T, T-Mobile tighten AI guardrails as autonomous networks remain years away</t>
  </si>
  <si>
    <t xml:space="preserve">Reuters</t>
  </si>
  <si>
    <t xml:space="preserve">65242908a3350aa699b7463b</t>
  </si>
  <si>
    <t xml:space="preserve">BMY</t>
  </si>
  <si>
    <t xml:space="preserve">Bristol Myers Squibb</t>
  </si>
  <si>
    <t xml:space="preserve">Bristol Myers Squibb Co. stock underperforms Friday when compared to competitors</t>
  </si>
  <si>
    <t xml:space="preserve">3be6de32f9c401b455afcb14</t>
  </si>
  <si>
    <t xml:space="preserve">WTW</t>
  </si>
  <si>
    <t xml:space="preserve">Willis Towers Watson</t>
  </si>
  <si>
    <t xml:space="preserve">Rs 3.78 Crore For Whistleblowing? Bengaluru Court Finds WTW’s Termination Of Former Health Business Head Retaliatory</t>
  </si>
  <si>
    <t xml:space="preserve">NewsX</t>
  </si>
  <si>
    <t xml:space="preserve">6c9f704277327af8fe965aa7</t>
  </si>
  <si>
    <t xml:space="preserve">Amazon allegedly cut deaf worker's interpreter to 10 minutes a shift</t>
  </si>
  <si>
    <t xml:space="preserve">3e6db906a5cea826163f3fcb</t>
  </si>
  <si>
    <t xml:space="preserve">BlackRock Inc. stock underperforms Friday when compared to competitors</t>
  </si>
  <si>
    <t xml:space="preserve">305c7a5423c06985bc5a822f</t>
  </si>
  <si>
    <t xml:space="preserve">Sea-Tac airport Starbucks to close after contract ends and concessions shift</t>
  </si>
  <si>
    <t xml:space="preserve">690c6a08efe411751472981f</t>
  </si>
  <si>
    <t xml:space="preserve">UPDATE: Wenatchee Ball Boy Dispute Sparks Retaliation Complaint</t>
  </si>
  <si>
    <t xml:space="preserve">Source ONE News</t>
  </si>
  <si>
    <t xml:space="preserve">42c69ea14055b181d7c8823f</t>
  </si>
  <si>
    <t xml:space="preserve">Rollins (ROL) Could Be 21% Below Fair Value Following AI Search Pressures</t>
  </si>
  <si>
    <t xml:space="preserve">dfe970c66828e9a064c949b8</t>
  </si>
  <si>
    <t xml:space="preserve">PH</t>
  </si>
  <si>
    <t xml:space="preserve">Parker Hannifin</t>
  </si>
  <si>
    <t xml:space="preserve">Parker Hannifin Corp. stock underperforms Friday when compared to competitors</t>
  </si>
  <si>
    <t xml:space="preserve">fdf646ab95d877df95cb7f93</t>
  </si>
  <si>
    <t xml:space="preserve">Western Digital Earnings Fail to Get Stock Back on Track</t>
  </si>
  <si>
    <t xml:space="preserve">6ec06e01650a1b29a9da10cf</t>
  </si>
  <si>
    <t xml:space="preserve">Worker flown to burn center after electric shock at South Fort Myers Walmart; store evacuated</t>
  </si>
  <si>
    <t xml:space="preserve">Gulf Coast News and Weather</t>
  </si>
  <si>
    <t xml:space="preserve">b5001d1765879d8fd4a1f30e</t>
  </si>
  <si>
    <t xml:space="preserve">Coinbase Ireland fined over safeguarding</t>
  </si>
  <si>
    <t xml:space="preserve">The Paypers</t>
  </si>
  <si>
    <t xml:space="preserve">c92c4c2d4a6b3cc52459e13a</t>
  </si>
  <si>
    <t xml:space="preserve">MCD hikes salaries of 4k multi-tasking staff</t>
  </si>
  <si>
    <t xml:space="preserve">The Times of India</t>
  </si>
  <si>
    <t xml:space="preserve">374251fbbc6f84c2c074be1f</t>
  </si>
  <si>
    <t xml:space="preserve">NTRS</t>
  </si>
  <si>
    <t xml:space="preserve">Northern Trust</t>
  </si>
  <si>
    <t xml:space="preserve">Northern Trust prepares for two days of doctors’ strikes disruption as pay dispute deepens</t>
  </si>
  <si>
    <t xml:space="preserve">loveballymena.online</t>
  </si>
  <si>
    <t xml:space="preserve">60e98e70be99317e0d632b75</t>
  </si>
  <si>
    <t xml:space="preserve">Here's Why Quanta Services (PWR) Fell More Than Broader Market</t>
  </si>
  <si>
    <t xml:space="preserve">Yahoo! Finance Canada</t>
  </si>
  <si>
    <t xml:space="preserve">e66fb3e21927173a7b3d9f67</t>
  </si>
  <si>
    <t xml:space="preserve">微信迴應耐克等賬號髮色情鏈接：系第三方外掛服務被攻破</t>
  </si>
  <si>
    <t xml:space="preserve">CYBER_ATTACK</t>
  </si>
  <si>
    <r>
      <rPr>
        <sz val="10"/>
        <rFont val="Arial"/>
        <family val="0"/>
        <charset val="1"/>
      </rPr>
      <t xml:space="preserve">Nike </t>
    </r>
    <r>
      <rPr>
        <sz val="10"/>
        <rFont val="Noto Sans CJK SC"/>
        <family val="2"/>
      </rPr>
      <t xml:space="preserve">客服帳號被用於發送色情引流連結（微信稱為第三方外掛被攻破）。</t>
    </r>
  </si>
  <si>
    <t xml:space="preserve">5b278d0420807d8fb59a1c8f</t>
  </si>
  <si>
    <t xml:space="preserve">IBM (IBM) Stock Shrugs Off Q3 Earnings As Margins Quietly Improve</t>
  </si>
  <si>
    <t xml:space="preserve">4a3796c136c3434bfe46e8b9</t>
  </si>
  <si>
    <t xml:space="preserve">Amazon Just Walked Away From a $427 Million Data Center Plan After Neighbors Fought Back</t>
  </si>
  <si>
    <r>
      <rPr>
        <sz val="10"/>
        <rFont val="Noto Sans CJK SC"/>
        <family val="2"/>
      </rPr>
      <t xml:space="preserve">非公司風險事件：例行股價報導、犯罪或意外新聞（</t>
    </r>
    <r>
      <rPr>
        <sz val="10"/>
        <rFont val="Arial"/>
        <family val="0"/>
        <charset val="1"/>
      </rPr>
      <t xml:space="preserve">Walmart</t>
    </r>
    <r>
      <rPr>
        <sz val="10"/>
        <rFont val="Noto Sans CJK SC"/>
        <family val="2"/>
      </rPr>
      <t xml:space="preserve">／</t>
    </r>
    <r>
      <rPr>
        <sz val="10"/>
        <rFont val="Arial"/>
        <family val="0"/>
        <charset val="1"/>
      </rPr>
      <t xml:space="preserve">Costco </t>
    </r>
    <r>
      <rPr>
        <sz val="10"/>
        <rFont val="Noto Sans CJK SC"/>
        <family val="2"/>
      </rPr>
      <t xml:space="preserve">停車場等）、同名誤配、產品折扣、評論或估值文章。</t>
    </r>
  </si>
  <si>
    <t xml:space="preserve">d62b2fbb9e625bca32a2d32e</t>
  </si>
  <si>
    <t xml:space="preserve">RCL</t>
  </si>
  <si>
    <t xml:space="preserve">Royal Caribbean Group</t>
  </si>
  <si>
    <t xml:space="preserve">Royal Caribbean (RCL) Suffers a Larger Drop Than the General Market: Key Insights</t>
  </si>
  <si>
    <t xml:space="preserve">310ee44c26b38b686cef6c7d</t>
  </si>
  <si>
    <t xml:space="preserve">C</t>
  </si>
  <si>
    <t xml:space="preserve">Citigroup</t>
  </si>
  <si>
    <t xml:space="preserve">Citigroup Inc. stock underperforms Friday when compared to competitors</t>
  </si>
  <si>
    <t xml:space="preserve">cf2754f263b5dfbbe4c836cc</t>
  </si>
  <si>
    <t xml:space="preserve">Why Is NVR Stock Falling Friday? - NVR (NYSE:NVR)</t>
  </si>
  <si>
    <t xml:space="preserve">fda211d975160dc278049fed</t>
  </si>
  <si>
    <t xml:space="preserve">Severe storm drops ping-pong ball-sized hail across South Florida</t>
  </si>
  <si>
    <t xml:space="preserve">WPTV</t>
  </si>
  <si>
    <t xml:space="preserve">c75b669d4428d046ad7f5eec</t>
  </si>
  <si>
    <t xml:space="preserve">Uber Stock Fell as Instacart’s Sale Talks With Uber and DoorDash Surfaced. Here’s Where the Stock Could Go by 2030</t>
  </si>
  <si>
    <t xml:space="preserve">447f291f142872642c91db50</t>
  </si>
  <si>
    <t xml:space="preserve">DASH</t>
  </si>
  <si>
    <t xml:space="preserve">DoorDash</t>
  </si>
  <si>
    <t xml:space="preserve">7ea22979f6e201eaa26cacb8</t>
  </si>
  <si>
    <t xml:space="preserve">Qualcomm schedules November 4 results as Qualcomm stock costs EUR 157.19</t>
  </si>
  <si>
    <t xml:space="preserve">ac63c93919469b78efdf38a6</t>
  </si>
  <si>
    <t xml:space="preserve">North Carolina couple accused of Walmart thefts in multiple states captured</t>
  </si>
  <si>
    <t xml:space="preserve">SuperTalk 92.9</t>
  </si>
  <si>
    <t xml:space="preserve">dfacc9360db381afa2474e37</t>
  </si>
  <si>
    <t xml:space="preserve">HON</t>
  </si>
  <si>
    <t xml:space="preserve">Honeywell Technologies</t>
  </si>
  <si>
    <t xml:space="preserve">Royal Bank Of Canada Has Lowered Expectations for Honeywell International (NASDAQ:HON) Stock Price</t>
  </si>
  <si>
    <t xml:space="preserve">bf63396dc35679a5fe41838a</t>
  </si>
  <si>
    <t xml:space="preserve">IVZ</t>
  </si>
  <si>
    <t xml:space="preserve">Invesco</t>
  </si>
  <si>
    <t xml:space="preserve">Invesco QQQ $QQQ Stake Cut by Seros Financial LLC</t>
  </si>
  <si>
    <t xml:space="preserve">cfd70bb7fd61107cf61c7d90</t>
  </si>
  <si>
    <t xml:space="preserve">Walmart Is Being Sued for Allegedly Deceiving Shoppers</t>
  </si>
  <si>
    <t xml:space="preserve">Allrecipes</t>
  </si>
  <si>
    <t xml:space="preserve">d862c7eaa35bccd0a00cf45a</t>
  </si>
  <si>
    <t xml:space="preserve">Nvidia Stock’s 2 Critical Flaws and More Reasons an Analyst Says Sell</t>
  </si>
  <si>
    <t xml:space="preserve">0a01d57cc8e49ac6ee09b5ac</t>
  </si>
  <si>
    <t xml:space="preserve">Nicki Minaj’s Lawyers Seek to Withdraw From $275K Jingle Ball Production Lawsuit</t>
  </si>
  <si>
    <t xml:space="preserve">DancehallMag</t>
  </si>
  <si>
    <t xml:space="preserve">bbafd8d008f05cae0338e0d9</t>
  </si>
  <si>
    <t xml:space="preserve">Take-Two Interactive Software Inc. stock underperforms Friday when compared to competitors</t>
  </si>
  <si>
    <t xml:space="preserve">5f53c3f31f29d4531cf1d4a9</t>
  </si>
  <si>
    <t xml:space="preserve">Are Computer and Technology Stocks Lagging Analog Devices (ADI) This Year?</t>
  </si>
  <si>
    <t xml:space="preserve">add29e3bb4196083e1110d6c</t>
  </si>
  <si>
    <t xml:space="preserve">iPhoneDuo開售首日被越獄</t>
  </si>
  <si>
    <r>
      <rPr>
        <sz val="10"/>
        <rFont val="Arial"/>
        <family val="0"/>
        <charset val="1"/>
      </rPr>
      <t xml:space="preserve">iPhoneDuo</t>
    </r>
    <r>
      <rPr>
        <sz val="10"/>
        <rFont val="Noto Sans CJK SC"/>
        <family val="2"/>
      </rPr>
      <t xml:space="preserve">開售首日被越獄</t>
    </r>
  </si>
  <si>
    <t xml:space="preserve">a63531345b120aeb35f5602e</t>
  </si>
  <si>
    <t xml:space="preserve">J.B. Hunt Transport Services (JBHT) Reports Margin Pressure, Is The 18% Undervaluation Case Enough?</t>
  </si>
  <si>
    <r>
      <rPr>
        <sz val="10"/>
        <rFont val="Arial"/>
        <family val="0"/>
        <charset val="1"/>
      </rPr>
      <t xml:space="preserve">J.B. Hunt </t>
    </r>
    <r>
      <rPr>
        <sz val="10"/>
        <rFont val="Noto Sans CJK SC"/>
        <family val="2"/>
      </rPr>
      <t xml:space="preserve">毛利壓力。</t>
    </r>
  </si>
  <si>
    <t xml:space="preserve">adda000a32f97a63d7263cdd</t>
  </si>
  <si>
    <t xml:space="preserve">Three vehicles collide near San Angelo Walmart</t>
  </si>
  <si>
    <t xml:space="preserve">ConchoValleyHomepage.com</t>
  </si>
  <si>
    <t xml:space="preserve">96aacbfae7749824470d73f0</t>
  </si>
  <si>
    <t xml:space="preserve">APTV</t>
  </si>
  <si>
    <t xml:space="preserve">Aptiv</t>
  </si>
  <si>
    <t xml:space="preserve">Audi Reshoring Could Lift Aptiv Stock And Other US Auto Supply Chain Names</t>
  </si>
  <si>
    <t xml:space="preserve">808f99423e747af3d80290c5</t>
  </si>
  <si>
    <t xml:space="preserve">Starbucks Is Disappearing From Downtown Boston. Local Coffee Shops Are Cashing In</t>
  </si>
  <si>
    <t xml:space="preserve">18c509e6eed1bd34ec1a3c5a</t>
  </si>
  <si>
    <t xml:space="preserve">Netflix Is Officially Removing Jake Gyllenhaal’s Disturbing Cult Classic Thriller</t>
  </si>
  <si>
    <t xml:space="preserve">Collider</t>
  </si>
  <si>
    <t xml:space="preserve">1076c30d8882b50ddc646bef</t>
  </si>
  <si>
    <t xml:space="preserve">MGM Resorts International stock underperforms Friday when compared to competitors</t>
  </si>
  <si>
    <t xml:space="preserve">d08852b02e565cc0dbdb7247</t>
  </si>
  <si>
    <t xml:space="preserve">WM</t>
  </si>
  <si>
    <t xml:space="preserve">Waste Management</t>
  </si>
  <si>
    <t xml:space="preserve">R. Ashok seeks probe into alleged irregularities in waste management tenders</t>
  </si>
  <si>
    <t xml:space="preserve">The Hindu</t>
  </si>
  <si>
    <t xml:space="preserve">afba05d96f1afdde5fdd55cf</t>
  </si>
  <si>
    <t xml:space="preserve">Automatic Data Processing Inc. stock underperforms Friday when compared to competitors</t>
  </si>
  <si>
    <t xml:space="preserve">6fd672368199c6b7a9352548</t>
  </si>
  <si>
    <t xml:space="preserve">Pampa police arrest 18-year-old suspect in Walmart parking lot shooting</t>
  </si>
  <si>
    <t xml:space="preserve">FOX Carolina News</t>
  </si>
  <si>
    <t xml:space="preserve">59b3690e57066291bdd7426e</t>
  </si>
  <si>
    <t xml:space="preserve">Coinbase Stock And Crypto Exchange Shares Under Fresh Political Pressure</t>
  </si>
  <si>
    <t xml:space="preserve">d43868cc00cff7aa601d5f91</t>
  </si>
  <si>
    <t xml:space="preserve">DRI Seizes 25,000 Kg Pakistan-Origin Watermelon Seeds Worth ₹2.02 Crore At Nhava Sheva Port, Arrests Two</t>
  </si>
  <si>
    <t xml:space="preserve">Free Press Journal</t>
  </si>
  <si>
    <t xml:space="preserve">7db0c09b67ecc00616cbbb39</t>
  </si>
  <si>
    <t xml:space="preserve">Old Dominion Freight Line Inc. stock underperforms Friday when compared to competitors</t>
  </si>
  <si>
    <t xml:space="preserve">cfd5f32a4dc7e2faaf49b0e3</t>
  </si>
  <si>
    <t xml:space="preserve">Lower ADP's Fair Value Estimate by 10% to Reflect Short-Term Margin Pressure and Higher Cost of Debt</t>
  </si>
  <si>
    <t xml:space="preserve">dcc0f78bbbbb56c1348974ce</t>
  </si>
  <si>
    <t xml:space="preserve">Mastercard Inc. stock underperforms Friday when compared to competitors</t>
  </si>
  <si>
    <t xml:space="preserve">f750bf9fd94b2c72edd84102</t>
  </si>
  <si>
    <t xml:space="preserve">NVR Inc. stock underperforms Friday when compared to competitors</t>
  </si>
  <si>
    <t xml:space="preserve">93b9a9e722a711b7aab911fe</t>
  </si>
  <si>
    <t xml:space="preserve">UNH</t>
  </si>
  <si>
    <t xml:space="preserve">UnitedHealth Group</t>
  </si>
  <si>
    <t xml:space="preserve">Binghamton Volleyball unable to hold early lead, falls to UNH in five sets</t>
  </si>
  <si>
    <t xml:space="preserve">wicz.com</t>
  </si>
  <si>
    <t xml:space="preserve">73acfffc07453d38ba1f248f</t>
  </si>
  <si>
    <t xml:space="preserve">CRWD</t>
  </si>
  <si>
    <t xml:space="preserve">CrowdStrike</t>
  </si>
  <si>
    <t xml:space="preserve">CrowdStrike’s CEO Says a Wave of Cyber Attacks Are Coming</t>
  </si>
  <si>
    <t xml:space="preserve">4fab4af107e6ba04936bb045</t>
  </si>
  <si>
    <t xml:space="preserve">NOW</t>
  </si>
  <si>
    <t xml:space="preserve">ServiceNow</t>
  </si>
  <si>
    <t xml:space="preserve">ServiceNow Stock Rebounds as SaaSpocalypse Fears Fade: What to Expect from Earnings</t>
  </si>
  <si>
    <t xml:space="preserve">f4b7b1603946513d09ce4c71</t>
  </si>
  <si>
    <t xml:space="preserve">Amazon formally withdraws data center application at GWU campus</t>
  </si>
  <si>
    <t xml:space="preserve">Loudoun Times-Mirror</t>
  </si>
  <si>
    <t xml:space="preserve">3bc670736a51ca30c4a850a9</t>
  </si>
  <si>
    <t xml:space="preserve">Hogville’s Kevin McPherson drops NEW INTEL including start to 2025 5-star prospect Evan Willis’ weekend visit, plus PREVIEW of No. 12 Arkansas vs. No. 15 Gonzaga</t>
  </si>
  <si>
    <t xml:space="preserve">KNWA FOX24</t>
  </si>
  <si>
    <t xml:space="preserve">b0c6cfdd70a86a4b734ed27f</t>
  </si>
  <si>
    <t xml:space="preserve">Amazon cuts $85 off the Razer USB 4 Dock</t>
  </si>
  <si>
    <t xml:space="preserve">Android Authority</t>
  </si>
  <si>
    <t xml:space="preserve">92c2a46dc96f327a627ee83e</t>
  </si>
  <si>
    <t xml:space="preserve">Lenovo’s latest Tab Plus Gen 2 with JBL Pro speakers just hit a new $256 all-time low (Reg. $400)</t>
  </si>
  <si>
    <t xml:space="preserve">605f56380f952e04d691b115</t>
  </si>
  <si>
    <t xml:space="preserve">VRSN</t>
  </si>
  <si>
    <t xml:space="preserve">Verisign</t>
  </si>
  <si>
    <t xml:space="preserve">VeriSign Inc. stock underperforms Friday when compared to competitors</t>
  </si>
  <si>
    <t xml:space="preserve">0e16787aa2d5772c4d6ea036</t>
  </si>
  <si>
    <t xml:space="preserve">DRI seizes 25,000 kg Pakistan- origin watermelon seeds, arrest two persons for evading import prohibition</t>
  </si>
  <si>
    <t xml:space="preserve">Jharkhand State News</t>
  </si>
  <si>
    <t xml:space="preserve">ca7380d9bfcbca0bae5a18d2</t>
  </si>
  <si>
    <t xml:space="preserve">Tractor Supply Co. stock underperforms Friday when compared to competitors</t>
  </si>
  <si>
    <t xml:space="preserve">0bbde9dc38a87a72f0ffab17</t>
  </si>
  <si>
    <t xml:space="preserve">McCormick (MKC) Could Be 12% Undervalued As Synergy Hopes Clash With Share Price Weakness</t>
  </si>
  <si>
    <t xml:space="preserve">348ad538215196555f0504af</t>
  </si>
  <si>
    <t xml:space="preserve">EQT Expects $1 Billion Windfall on Storm-Driven Gas Price Rally</t>
  </si>
  <si>
    <t xml:space="preserve">EnergyNow.com</t>
  </si>
  <si>
    <t xml:space="preserve">7e316a3dd02c53f5ca6dc23b</t>
  </si>
  <si>
    <t xml:space="preserve">2 charged following numerous Walmart thefts, Washington County, Virginia, authorities say</t>
  </si>
  <si>
    <t xml:space="preserve">WCYB</t>
  </si>
  <si>
    <t xml:space="preserve">6fa6f961145fded6f572dece</t>
  </si>
  <si>
    <t xml:space="preserve">Fresno police investigate shots fired at Airbnb rental in Tower District</t>
  </si>
  <si>
    <t xml:space="preserve">ABC30 Fresno</t>
  </si>
  <si>
    <t xml:space="preserve">e5c2a365f53460eb063958d0</t>
  </si>
  <si>
    <t xml:space="preserve">Police: Nearly $1 Million in Pokémon, Other Cards Stolen From FedEx Truck</t>
  </si>
  <si>
    <t xml:space="preserve">65cf0d66fb3b53207b681576</t>
  </si>
  <si>
    <t xml:space="preserve">Walmart Employee Killed in Store Parking Lot Just Days After Celebrating Her Birthday</t>
  </si>
  <si>
    <t xml:space="preserve">People.com</t>
  </si>
  <si>
    <t xml:space="preserve">75da0ac00bd66ece01293a94</t>
  </si>
  <si>
    <t xml:space="preserve">Medical lab Quest Diagnostics cyber breach may impact patient records</t>
  </si>
  <si>
    <t xml:space="preserve">Houston Chronicle</t>
  </si>
  <si>
    <r>
      <rPr>
        <sz val="10"/>
        <rFont val="Arial"/>
        <family val="0"/>
        <charset val="1"/>
      </rPr>
      <t xml:space="preserve">Quest Diagnostics </t>
    </r>
    <r>
      <rPr>
        <sz val="10"/>
        <rFont val="Noto Sans CJK SC"/>
        <family val="2"/>
      </rPr>
      <t xml:space="preserve">資料外洩／遭網路攻擊。</t>
    </r>
  </si>
  <si>
    <t xml:space="preserve">d1c75b39916ee91709f52680</t>
  </si>
  <si>
    <t xml:space="preserve">Indigenous voters in Brazil’s Amazon fear missing runoff after court denies transportation</t>
  </si>
  <si>
    <t xml:space="preserve">ICT News</t>
  </si>
  <si>
    <t xml:space="preserve">e0b375e78a750afd14236021</t>
  </si>
  <si>
    <t xml:space="preserve">Stock Market Today, Oct. 23: AT&amp;T Slides on SpaceX Cell-Site Talks</t>
  </si>
  <si>
    <t xml:space="preserve">4509e723981e05c1d117a200</t>
  </si>
  <si>
    <t xml:space="preserve">Runover death outside Costco in Southern California is investigated as murder</t>
  </si>
  <si>
    <t xml:space="preserve">9ce49c75c6bd5a9bb4cea576</t>
  </si>
  <si>
    <t xml:space="preserve">Plan Commission denies proposed Verizon cell tower amid flooding concerns</t>
  </si>
  <si>
    <t xml:space="preserve">The Berne Witness</t>
  </si>
  <si>
    <t xml:space="preserve">9193f29d2882b2b8833b6ffe</t>
  </si>
  <si>
    <t xml:space="preserve">11-year-old girl in custody over alleged armed robbery of Uber Eats driver</t>
  </si>
  <si>
    <t xml:space="preserve">NT News</t>
  </si>
  <si>
    <t xml:space="preserve">cbbc5fdde57dc56c171b9ca6</t>
  </si>
  <si>
    <t xml:space="preserve">COF</t>
  </si>
  <si>
    <t xml:space="preserve">Capital One</t>
  </si>
  <si>
    <t xml:space="preserve">Court approves Capital One data breach deal</t>
  </si>
  <si>
    <t xml:space="preserve">Investment Executive</t>
  </si>
  <si>
    <r>
      <rPr>
        <sz val="10"/>
        <rFont val="Arial"/>
        <family val="0"/>
        <charset val="1"/>
      </rPr>
      <t xml:space="preserve">Capital One </t>
    </r>
    <r>
      <rPr>
        <sz val="10"/>
        <rFont val="Noto Sans CJK SC"/>
        <family val="2"/>
      </rPr>
      <t xml:space="preserve">資料外洩和解獲法院核准。</t>
    </r>
  </si>
  <si>
    <t xml:space="preserve">d101be225ab4714be9937b65</t>
  </si>
  <si>
    <t xml:space="preserve">Amazon communities lose water as mining and deforestation reshape rivers - news</t>
  </si>
  <si>
    <t xml:space="preserve">news - Mongabay</t>
  </si>
  <si>
    <t xml:space="preserve">41e20838c493f332dca14861</t>
  </si>
  <si>
    <t xml:space="preserve">Former Goldman Sachs chief Sherwood leaves Britain amid tax hike fears</t>
  </si>
  <si>
    <t xml:space="preserve">Sky News</t>
  </si>
  <si>
    <t xml:space="preserve">b3675448b8dfb09c95b35c30</t>
  </si>
  <si>
    <t xml:space="preserve">Aranda unable to catch Contreras foul ball | 10/24/2026</t>
  </si>
  <si>
    <t xml:space="preserve">MLB.com</t>
  </si>
  <si>
    <t xml:space="preserve">94885e458b8fcab705bd0209</t>
  </si>
  <si>
    <t xml:space="preserve">美國因法國航空和荷蘭皇家航空在伊拉克禁飛區飛行而對其處以罰款</t>
  </si>
  <si>
    <t xml:space="preserve">22a56251dfb3f01a27778045</t>
  </si>
  <si>
    <t xml:space="preserve">AMGN</t>
  </si>
  <si>
    <t xml:space="preserve">Amgen</t>
  </si>
  <si>
    <t xml:space="preserve">Amgen Inc. stock underperforms Friday when compared to competitors</t>
  </si>
  <si>
    <t xml:space="preserve">aac8cc578db9299cf955d3e7</t>
  </si>
  <si>
    <t xml:space="preserve">Pan African Resources BlackRock Holding Falls Below 5% Threshold on 22 October 2026</t>
  </si>
  <si>
    <t xml:space="preserve">Kalkine</t>
  </si>
  <si>
    <t xml:space="preserve">e2187bf99c12839598aeedf4</t>
  </si>
  <si>
    <t xml:space="preserve">Scarlett Johansson's (Very) R-Rated 108-Minute Sci-Fi Thriller Is Being Cut From Netflix</t>
  </si>
  <si>
    <t xml:space="preserve">MovieWeb</t>
  </si>
  <si>
    <t xml:space="preserve">6a25de29125a7d030409c2c7</t>
  </si>
  <si>
    <t xml:space="preserve">A Jet2 Boeing 737 veered off the runway during landing at Birmingham</t>
  </si>
  <si>
    <t xml:space="preserve">airlive</t>
  </si>
  <si>
    <t xml:space="preserve">6e03119fe6bee992b5551d45</t>
  </si>
  <si>
    <t xml:space="preserve">CrowdStrike CEO George Kurtz: Will see a lot of breaches in coming months from PHP vulnerability</t>
  </si>
  <si>
    <t xml:space="preserve">cbb406f889b89e11c496c618</t>
  </si>
  <si>
    <t xml:space="preserve">LITE</t>
  </si>
  <si>
    <t xml:space="preserve">Lumentum</t>
  </si>
  <si>
    <t xml:space="preserve">Lumentum Holdings (LITE) Fell In The AI Optics Selloff, Is It Still Undervalued?</t>
  </si>
  <si>
    <t xml:space="preserve">f9bfc60a2d34fc6c77c87818</t>
  </si>
  <si>
    <t xml:space="preserve">ROL Q3 deep dive: AI-driven search disrupts residential leads, management adapts strategy</t>
  </si>
  <si>
    <t xml:space="preserve">785c162593f4b4f003e01e13</t>
  </si>
  <si>
    <t xml:space="preserve">NSC directs TAJ to stop issuing blue demo license plates, cites misuse that facilitates crime and tax evasion</t>
  </si>
  <si>
    <t xml:space="preserve">Jamaica Gleaner</t>
  </si>
  <si>
    <t xml:space="preserve">706e64442595f2ea23298d8e</t>
  </si>
  <si>
    <t xml:space="preserve">Boos for Jets as they fall to winless Dolphins at MetLife Stadium</t>
  </si>
  <si>
    <t xml:space="preserve">Newsday</t>
  </si>
  <si>
    <t xml:space="preserve">a23e9402d82f34aa59ad3ae6</t>
  </si>
  <si>
    <t xml:space="preserve">Globe Life downgraded at Piper Sandler after Q3 earnings announcement</t>
  </si>
  <si>
    <r>
      <rPr>
        <sz val="10"/>
        <rFont val="Arial"/>
        <family val="0"/>
        <charset val="1"/>
      </rPr>
      <t xml:space="preserve">Piper Sandler</t>
    </r>
    <r>
      <rPr>
        <sz val="10"/>
        <rFont val="Noto Sans CJK SC"/>
        <family val="2"/>
      </rPr>
      <t xml:space="preserve">／</t>
    </r>
    <r>
      <rPr>
        <sz val="10"/>
        <rFont val="Arial"/>
        <family val="0"/>
        <charset val="1"/>
      </rPr>
      <t xml:space="preserve">BofA </t>
    </r>
    <r>
      <rPr>
        <sz val="10"/>
        <rFont val="Noto Sans CJK SC"/>
        <family val="2"/>
      </rPr>
      <t xml:space="preserve">於財報後調降評等（</t>
    </r>
    <r>
      <rPr>
        <sz val="10"/>
        <rFont val="Arial"/>
        <family val="0"/>
        <charset val="1"/>
      </rPr>
      <t xml:space="preserve">Globe Life</t>
    </r>
    <r>
      <rPr>
        <sz val="10"/>
        <rFont val="Noto Sans CJK SC"/>
        <family val="2"/>
      </rPr>
      <t xml:space="preserve">／</t>
    </r>
    <r>
      <rPr>
        <sz val="10"/>
        <rFont val="Arial"/>
        <family val="0"/>
        <charset val="1"/>
      </rPr>
      <t xml:space="preserve">NVR</t>
    </r>
    <r>
      <rPr>
        <sz val="10"/>
        <rFont val="Noto Sans CJK SC"/>
        <family val="2"/>
      </rPr>
      <t xml:space="preserve">）。</t>
    </r>
  </si>
  <si>
    <t xml:space="preserve">cdf68e3af143225022e1413e</t>
  </si>
  <si>
    <t xml:space="preserve">Karnataka BJP leader R Ashoka alleges irregularities in Rs 133-crore Bengaluru waste management tender</t>
  </si>
  <si>
    <t xml:space="preserve">Deccan Herald</t>
  </si>
  <si>
    <t xml:space="preserve">a14adc5684fcf8e9259d0c23</t>
  </si>
  <si>
    <t xml:space="preserve">ROP</t>
  </si>
  <si>
    <t xml:space="preserve">Roper Technologies</t>
  </si>
  <si>
    <t xml:space="preserve">ROP Air Wing rescues injured hiker in Saham</t>
  </si>
  <si>
    <t xml:space="preserve">Times of Oman</t>
  </si>
  <si>
    <t xml:space="preserve">6759be54fa63be3bfdea6576</t>
  </si>
  <si>
    <t xml:space="preserve">AXP Stock Layoffs: What to Know About the Latest American Express Job Cuts</t>
  </si>
  <si>
    <r>
      <rPr>
        <sz val="10"/>
        <rFont val="Noto Sans CJK SC"/>
        <family val="2"/>
      </rPr>
      <t xml:space="preserve">美國運通裁員 </t>
    </r>
    <r>
      <rPr>
        <sz val="10"/>
        <rFont val="Arial"/>
        <family val="0"/>
        <charset val="1"/>
      </rPr>
      <t xml:space="preserve">5%</t>
    </r>
    <r>
      <rPr>
        <sz val="10"/>
        <rFont val="Noto Sans CJK SC"/>
        <family val="2"/>
      </rPr>
      <t xml:space="preserve">。</t>
    </r>
  </si>
  <si>
    <t xml:space="preserve">9768bfa870fd5b3322147198</t>
  </si>
  <si>
    <t xml:space="preserve">ACVF Divests from Wells Fargo and U.S. Bancorp as OCC Report Confirms De-Banking Concerns Both Boards Dismissed</t>
  </si>
  <si>
    <t xml:space="preserve">Floridian Press</t>
  </si>
  <si>
    <t xml:space="preserve">6399caaf139163e77c7c64bf</t>
  </si>
  <si>
    <t xml:space="preserve">a6e05c254ef6942f284aac0b</t>
  </si>
  <si>
    <t xml:space="preserve">“We never stopped investing in our talent”: Salesforce doubles down on junior hiring</t>
  </si>
  <si>
    <t xml:space="preserve">31ff6476a4d1d67764e7e79d</t>
  </si>
  <si>
    <t xml:space="preserve">Road near American Express Stadium in Brighton closed after report of crash</t>
  </si>
  <si>
    <t xml:space="preserve">SussexWorld</t>
  </si>
  <si>
    <t xml:space="preserve">5c5e9909e775f050a63ad637</t>
  </si>
  <si>
    <t xml:space="preserve">College Football: UNH falls to Merrimack, now 2-7 on season</t>
  </si>
  <si>
    <t xml:space="preserve">Foster's Daily Democrat</t>
  </si>
  <si>
    <t xml:space="preserve">b025e8f74f7078f7bc65fe5e</t>
  </si>
  <si>
    <t xml:space="preserve">Amazon settles with ex-AWS managers in kickback lawsuit, GeekWire reports</t>
  </si>
  <si>
    <t xml:space="preserve">The Next Web</t>
  </si>
  <si>
    <r>
      <rPr>
        <sz val="10"/>
        <rFont val="Arial"/>
        <family val="0"/>
        <charset val="1"/>
      </rPr>
      <t xml:space="preserve">Amazon </t>
    </r>
    <r>
      <rPr>
        <sz val="10"/>
        <rFont val="Noto Sans CJK SC"/>
        <family val="2"/>
      </rPr>
      <t xml:space="preserve">與前 </t>
    </r>
    <r>
      <rPr>
        <sz val="10"/>
        <rFont val="Arial"/>
        <family val="0"/>
        <charset val="1"/>
      </rPr>
      <t xml:space="preserve">AWS </t>
    </r>
    <r>
      <rPr>
        <sz val="10"/>
        <rFont val="Noto Sans CJK SC"/>
        <family val="2"/>
      </rPr>
      <t xml:space="preserve">主管就回扣訴訟和解。</t>
    </r>
  </si>
  <si>
    <t xml:space="preserve">8421f426be4471c319b46eab</t>
  </si>
  <si>
    <t xml:space="preserve">Intuit launched Credit Karma Tax. Intuit stock slips 1.76 percent</t>
  </si>
  <si>
    <t xml:space="preserve">2f5799dce2c1a3ddeaae5d30</t>
  </si>
  <si>
    <t xml:space="preserve">Uber Technologies (UBER) Stock Dropped, What Is Driving Attention Now?</t>
  </si>
  <si>
    <t xml:space="preserve">30d59f06b298186504550998</t>
  </si>
  <si>
    <t xml:space="preserve">Uber cut 3,300 jobs in September. Now it is giving 30,000 employees ChatGPT</t>
  </si>
  <si>
    <r>
      <rPr>
        <sz val="10"/>
        <rFont val="Arial"/>
        <family val="0"/>
        <charset val="1"/>
      </rPr>
      <t xml:space="preserve">Uber </t>
    </r>
    <r>
      <rPr>
        <sz val="10"/>
        <rFont val="Noto Sans CJK SC"/>
        <family val="2"/>
      </rPr>
      <t xml:space="preserve">九月裁員 </t>
    </r>
    <r>
      <rPr>
        <sz val="10"/>
        <rFont val="Arial"/>
        <family val="0"/>
        <charset val="1"/>
      </rPr>
      <t xml:space="preserve">3,300 </t>
    </r>
    <r>
      <rPr>
        <sz val="10"/>
        <rFont val="Noto Sans CJK SC"/>
        <family val="2"/>
      </rPr>
      <t xml:space="preserve">人後的後續報導。</t>
    </r>
  </si>
  <si>
    <t xml:space="preserve">fb7af39dbde3779460560101</t>
  </si>
  <si>
    <t xml:space="preserve">Starbucks in Hong Kong writes 'Kimchi' on Korean customer's cup, sparking racism row</t>
  </si>
  <si>
    <t xml:space="preserve">헤럴드경제</t>
  </si>
  <si>
    <t xml:space="preserve">d761c526403fde2a7d7f4b01</t>
  </si>
  <si>
    <t xml:space="preserve">‘I felt threatened’: Massachusetts McDonald’s worker calls police on DoorDash driver. Then she gets suspended</t>
  </si>
  <si>
    <t xml:space="preserve">e651ade2afc2069b2b967d9d</t>
  </si>
  <si>
    <t xml:space="preserve">Defense attorneys allege CVS attacker suffered from untreated mental illness as murder trial continues</t>
  </si>
  <si>
    <t xml:space="preserve">Fauquier Times</t>
  </si>
  <si>
    <t xml:space="preserve">b87d7b9212723404141180bf</t>
  </si>
  <si>
    <t xml:space="preserve">IBM’s ‘true ROI’ comment hits shares, exposing ETF risks</t>
  </si>
  <si>
    <t xml:space="preserve">163b37f414cb65124efbab20</t>
  </si>
  <si>
    <t xml:space="preserve">Top intel Democrats say they've "war-gamed" how to react if Trump alleges foreign interference in midterms</t>
  </si>
  <si>
    <t xml:space="preserve">f970c95e9b58fdfbff345484</t>
  </si>
  <si>
    <t xml:space="preserve">AT&amp;T Stock Sinks on Subscriber and SpaceX Worries. Is the Stock a Buy on the Dip?</t>
  </si>
  <si>
    <t xml:space="preserve">9bc7ae106c2bad111ee422bb</t>
  </si>
  <si>
    <t xml:space="preserve">人工智能建設的高昂成本令Meta及其他熱門科技股承壓</t>
  </si>
  <si>
    <r>
      <rPr>
        <sz val="10"/>
        <rFont val="Noto Sans CJK SC"/>
        <family val="2"/>
      </rPr>
      <t xml:space="preserve">人工智能建設的高昂成本令</t>
    </r>
    <r>
      <rPr>
        <sz val="10"/>
        <rFont val="Arial"/>
        <family val="0"/>
        <charset val="1"/>
      </rPr>
      <t xml:space="preserve">Meta</t>
    </r>
    <r>
      <rPr>
        <sz val="10"/>
        <rFont val="Noto Sans CJK SC"/>
        <family val="2"/>
      </rPr>
      <t xml:space="preserve">及其他熱門科技股承壓</t>
    </r>
  </si>
  <si>
    <t xml:space="preserve">34c068b370562cc422770e47</t>
  </si>
  <si>
    <t xml:space="preserve">0aebf85310b3c9c9938c7927</t>
  </si>
  <si>
    <t xml:space="preserve">GILD</t>
  </si>
  <si>
    <t xml:space="preserve">Gilead Sciences</t>
  </si>
  <si>
    <t xml:space="preserve">Gilead Sciences stock trades 0.53 percent below EUR 140.02</t>
  </si>
  <si>
    <t xml:space="preserve">d55f49efed1c1e72e0e254b5</t>
  </si>
  <si>
    <t xml:space="preserve">YUM</t>
  </si>
  <si>
    <t xml:space="preserve">Yum! Brands</t>
  </si>
  <si>
    <t xml:space="preserve">Yum! Brands Slides as Sector Weakness Appears to Outweigh Recent Positive Brand News</t>
  </si>
  <si>
    <t xml:space="preserve">ed0dd8c636a2a819c2955b1a</t>
  </si>
  <si>
    <t xml:space="preserve">Gilead Sciences stock trades 0.53 percent below its Xetra close</t>
  </si>
  <si>
    <t xml:space="preserve">f1a56da797721e63ca627847</t>
  </si>
  <si>
    <t xml:space="preserve">American Express To Cut 5% Of Global Workforce; Raises 2026 EPS Outlook</t>
  </si>
  <si>
    <t xml:space="preserve">6a65bedc60ac64bd53230c8d</t>
  </si>
  <si>
    <t xml:space="preserve">Earnings call transcript: Groupe ADP Q3 2026 revenue miss, stock slips</t>
  </si>
  <si>
    <t xml:space="preserve">Investing.com Nigeria</t>
  </si>
  <si>
    <t xml:space="preserve">46e9e9987bb566505796afa9</t>
  </si>
  <si>
    <t xml:space="preserve">Arm Stock Is Down 8% Last Week. What Does Lam Research Have to Do With It?</t>
  </si>
  <si>
    <t xml:space="preserve">20ad209800c27b68d9b43bf5</t>
  </si>
  <si>
    <t xml:space="preserve">Former Goldman Sachs boss leaves Britain over rising tax fears just days before Budget</t>
  </si>
  <si>
    <t xml:space="preserve">LBC</t>
  </si>
  <si>
    <t xml:space="preserve">28f80edb3bcf6f7996d2f4db</t>
  </si>
  <si>
    <t xml:space="preserve">SNPS</t>
  </si>
  <si>
    <t xml:space="preserve">Synopsys</t>
  </si>
  <si>
    <t xml:space="preserve">Synopsys stock trades 0.19 percent below its Xetra close</t>
  </si>
  <si>
    <t xml:space="preserve">d2c4443726cdbe7440830e41</t>
  </si>
  <si>
    <t xml:space="preserve">Former Goldman Sachs chief Sherwood leaves Britain as tax hike fears mount</t>
  </si>
  <si>
    <t xml:space="preserve">The News International</t>
  </si>
  <si>
    <t xml:space="preserve">d74dfd1265b687b12040ff49</t>
  </si>
  <si>
    <t xml:space="preserve">BAC</t>
  </si>
  <si>
    <t xml:space="preserve">Bank of America</t>
  </si>
  <si>
    <t xml:space="preserve">Bank of America warns of 2027 stock market risk few expect</t>
  </si>
  <si>
    <t xml:space="preserve">48e6a72fcceec592c39f0fc3</t>
  </si>
  <si>
    <t xml:space="preserve">Watch: Teen accused of carrying loaded gun at Mass. Walmart flees from officers</t>
  </si>
  <si>
    <t xml:space="preserve">WCVB</t>
  </si>
  <si>
    <t xml:space="preserve">7cbbce9e41c8508e01cda0b4</t>
  </si>
  <si>
    <t xml:space="preserve">Broadcom Stocks Rise as Decade-Long VMware Deal Targets AI Workloads</t>
  </si>
  <si>
    <t xml:space="preserve">6c9ebd713be8ed2bed7211ec</t>
  </si>
  <si>
    <t xml:space="preserve">Detours for Columbus drivers as Norfolk Southern closes railroad crossings</t>
  </si>
  <si>
    <t xml:space="preserve">Columbus Ledger-Enquirer</t>
  </si>
  <si>
    <t xml:space="preserve">533f65a581928cfd13228e05</t>
  </si>
  <si>
    <t xml:space="preserve">Bloomsbury Publishing (LSE:BMY) Stock Faces H1 Results Profit Reset</t>
  </si>
  <si>
    <t xml:space="preserve">fad39a4d3dd56e25fe8f9351</t>
  </si>
  <si>
    <t xml:space="preserve">METC Maintained by Goldman Sachs -- Price Target Lowered to $8.0</t>
  </si>
  <si>
    <t xml:space="preserve">029107ebdb4a938297acf861</t>
  </si>
  <si>
    <t xml:space="preserve">News | Amazon switches gears on project after backlash in country's largest data center market</t>
  </si>
  <si>
    <t xml:space="preserve">CoStar</t>
  </si>
  <si>
    <t xml:space="preserve">8a4f62b1023004604c62c834</t>
  </si>
  <si>
    <t xml:space="preserve">Here's Why Amgen (AMGN) Fell More Than Broader Market</t>
  </si>
  <si>
    <t xml:space="preserve">19a800b80f2688a1af8c99d0</t>
  </si>
  <si>
    <t xml:space="preserve">MRK</t>
  </si>
  <si>
    <t xml:space="preserve">Merck &amp; Co.</t>
  </si>
  <si>
    <t xml:space="preserve">Merck (MRK) Stock May Be 38% Undervalued Following Melanoma Vaccine Results</t>
  </si>
  <si>
    <t xml:space="preserve">3f6505686fc50beabe0f132d</t>
  </si>
  <si>
    <t xml:space="preserve">AOS</t>
  </si>
  <si>
    <t xml:space="preserve">A. O. Smith</t>
  </si>
  <si>
    <t xml:space="preserve">Critical HPE Aruba AOS-8 Vulnerability Allows Unauthenticated Network Attacks</t>
  </si>
  <si>
    <t xml:space="preserve">Cyber Press</t>
  </si>
  <si>
    <r>
      <rPr>
        <sz val="10"/>
        <rFont val="Arial"/>
        <family val="0"/>
        <charset val="1"/>
      </rPr>
      <t xml:space="preserve">HPE Aruba AOS-8 </t>
    </r>
    <r>
      <rPr>
        <sz val="10"/>
        <rFont val="Noto Sans CJK SC"/>
        <family val="2"/>
      </rPr>
      <t xml:space="preserve">嚴重漏洞，可被未經驗證攻擊。</t>
    </r>
  </si>
  <si>
    <t xml:space="preserve">Hewlett Packard Enterprise Co.</t>
  </si>
  <si>
    <t xml:space="preserve">354a33a681fe8181a9ecd52d</t>
  </si>
  <si>
    <t xml:space="preserve">Electronic Arts Shuts Down BioWare and Cancels Mass Effect: Inside the Four-Decade Graveyard Where the Gaming Giant's Grim Reaper Kept Knocking</t>
  </si>
  <si>
    <r>
      <rPr>
        <sz val="10"/>
        <rFont val="Arial"/>
        <family val="0"/>
        <charset val="1"/>
      </rPr>
      <t xml:space="preserve">EA </t>
    </r>
    <r>
      <rPr>
        <sz val="10"/>
        <rFont val="Noto Sans CJK SC"/>
        <family val="2"/>
      </rPr>
      <t xml:space="preserve">關閉 </t>
    </r>
    <r>
      <rPr>
        <sz val="10"/>
        <rFont val="Arial"/>
        <family val="0"/>
        <charset val="1"/>
      </rPr>
      <t xml:space="preserve">BioWare </t>
    </r>
    <r>
      <rPr>
        <sz val="10"/>
        <rFont val="Noto Sans CJK SC"/>
        <family val="2"/>
      </rPr>
      <t xml:space="preserve">並取消 </t>
    </r>
    <r>
      <rPr>
        <sz val="10"/>
        <rFont val="Arial"/>
        <family val="0"/>
        <charset val="1"/>
      </rPr>
      <t xml:space="preserve">Mass Effect</t>
    </r>
    <r>
      <rPr>
        <sz val="10"/>
        <rFont val="Noto Sans CJK SC"/>
        <family val="2"/>
      </rPr>
      <t xml:space="preserve">。</t>
    </r>
  </si>
  <si>
    <t xml:space="preserve">4e6e1d4f0d7846d0207f4f7d</t>
  </si>
  <si>
    <t xml:space="preserve">'My Uber crashed as I tried to avoid chaotic NFL Paris Game transport'</t>
  </si>
  <si>
    <t xml:space="preserve">The Mirror US</t>
  </si>
  <si>
    <t xml:space="preserve">87cdc70030df3fa94471c2d9</t>
  </si>
  <si>
    <t xml:space="preserve">FIX Q3 deep dive: backlog surge and margin mix drive investor debate</t>
  </si>
  <si>
    <t xml:space="preserve">e49f135ab80db6de85937ecd</t>
  </si>
  <si>
    <t xml:space="preserve">DVN</t>
  </si>
  <si>
    <t xml:space="preserve">Devon Energy</t>
  </si>
  <si>
    <t xml:space="preserve">Devon Energy: Hitting An Oil Wall (Rating Downgrade)</t>
  </si>
  <si>
    <t xml:space="preserve">5a0e8da4302677fa52a56de5</t>
  </si>
  <si>
    <t xml:space="preserve">Salesforce Inc. $CRM Stock: Beaumont Financial Advisors LLC Cuts Position</t>
  </si>
  <si>
    <t xml:space="preserve">8c15a30f7ecbd31f4d52a81b</t>
  </si>
  <si>
    <t xml:space="preserve">Bristol Myers Squibb Reports Patient Death in Early CAR-T Therapy Trial for Autoimmune Disease</t>
  </si>
  <si>
    <r>
      <rPr>
        <sz val="10"/>
        <rFont val="Arial"/>
        <family val="0"/>
        <charset val="1"/>
      </rPr>
      <t xml:space="preserve">BMS </t>
    </r>
    <r>
      <rPr>
        <sz val="10"/>
        <rFont val="Noto Sans CJK SC"/>
        <family val="2"/>
      </rPr>
      <t xml:space="preserve">早期 </t>
    </r>
    <r>
      <rPr>
        <sz val="10"/>
        <rFont val="Arial"/>
        <family val="0"/>
        <charset val="1"/>
      </rPr>
      <t xml:space="preserve">CAR-T </t>
    </r>
    <r>
      <rPr>
        <sz val="10"/>
        <rFont val="Noto Sans CJK SC"/>
        <family val="2"/>
      </rPr>
      <t xml:space="preserve">試驗出現病患死亡。</t>
    </r>
  </si>
  <si>
    <t xml:space="preserve">26e35df7e9e13ac52c8ad4fe</t>
  </si>
  <si>
    <t xml:space="preserve">SpaceX (NASDAQ:SPCX) Eyes 80,000 Cell Sites. Why Are AT&amp;T, Verizon and T-Mobile Falling?</t>
  </si>
  <si>
    <t xml:space="preserve">Stocks Down Under</t>
  </si>
  <si>
    <t xml:space="preserve">4111ae9e8a196f2fad23f30d</t>
  </si>
  <si>
    <t xml:space="preserve">Amazon drops 1TB M5 MacBook Air to $1,399, save $200</t>
  </si>
  <si>
    <t xml:space="preserve">AppleInsider</t>
  </si>
  <si>
    <t xml:space="preserve">4de117ef6a27d06d85f718bc</t>
  </si>
  <si>
    <t xml:space="preserve">American Express to make job cuts as AI revolution ramps up</t>
  </si>
  <si>
    <t xml:space="preserve">InvestmentNews</t>
  </si>
  <si>
    <t xml:space="preserve">2b479ef394a1f490b101f9e4</t>
  </si>
  <si>
    <t xml:space="preserve">BlackRock TCP Capital remains a sell amid struc...</t>
  </si>
  <si>
    <t xml:space="preserve">522dbd8bab8c538318768a40</t>
  </si>
  <si>
    <t xml:space="preserve">AI adoption among US small businesses reaches 86 pc, but full integration remains low: Goldman Sachs</t>
  </si>
  <si>
    <t xml:space="preserve">The Tribune</t>
  </si>
  <si>
    <t xml:space="preserve">d36b9692fe6b8f2dbd169a84</t>
  </si>
  <si>
    <t xml:space="preserve">Babushahi.com</t>
  </si>
  <si>
    <t xml:space="preserve">bf82ab52d4cf074d762ed3c7</t>
  </si>
  <si>
    <t xml:space="preserve">KLAC</t>
  </si>
  <si>
    <t xml:space="preserve">KLA Corporation</t>
  </si>
  <si>
    <t xml:space="preserve">Down 21.0% in 4 Weeks, Here's Why KLA (KLAC) Looks Ripe for a Turnaround</t>
  </si>
  <si>
    <r>
      <rPr>
        <sz val="10"/>
        <rFont val="Arial"/>
        <family val="0"/>
        <charset val="1"/>
      </rPr>
      <t xml:space="preserve">KLA </t>
    </r>
    <r>
      <rPr>
        <sz val="10"/>
        <rFont val="Noto Sans CJK SC"/>
        <family val="2"/>
      </rPr>
      <t xml:space="preserve">四週下跌 </t>
    </r>
    <r>
      <rPr>
        <sz val="10"/>
        <rFont val="Arial"/>
        <family val="0"/>
        <charset val="1"/>
      </rPr>
      <t xml:space="preserve">21%</t>
    </r>
    <r>
      <rPr>
        <sz val="10"/>
        <rFont val="Noto Sans CJK SC"/>
        <family val="2"/>
      </rPr>
      <t xml:space="preserve">。</t>
    </r>
  </si>
  <si>
    <t xml:space="preserve">906ea4354dba4093c265f00e</t>
  </si>
  <si>
    <t xml:space="preserve">DoorDash (DASH) Faces Olo Threat As Fair Value Debate Gets Harder</t>
  </si>
  <si>
    <t xml:space="preserve">c1d077457a4df2c1d897fd11</t>
  </si>
  <si>
    <t xml:space="preserve">McDonald's Has Lost a Fifth of Its Value in 2026. Is It Time to Buy?</t>
  </si>
  <si>
    <t xml:space="preserve">11bb82a230813451188ce9de</t>
  </si>
  <si>
    <t xml:space="preserve">CBRE (CBRE) stock trades down, here is why</t>
  </si>
  <si>
    <t xml:space="preserve">StockStory</t>
  </si>
  <si>
    <t xml:space="preserve">8bf299f2abe123fce2830ecc</t>
  </si>
  <si>
    <t xml:space="preserve">Walmart Workers In Colo. Say 'Off-The-Clock' Work Is Routine</t>
  </si>
  <si>
    <t xml:space="preserve">368de70208aa63beda886336</t>
  </si>
  <si>
    <t xml:space="preserve">Bengaluru court awards ₹3.78 crore to whistleblower terminated by Willis Towers Watson</t>
  </si>
  <si>
    <t xml:space="preserve">Bar and Bench</t>
  </si>
  <si>
    <r>
      <rPr>
        <sz val="10"/>
        <rFont val="Noto Sans CJK SC"/>
        <family val="2"/>
      </rPr>
      <t xml:space="preserve">印度法院判 </t>
    </r>
    <r>
      <rPr>
        <sz val="10"/>
        <rFont val="Arial"/>
        <family val="0"/>
        <charset val="1"/>
      </rPr>
      <t xml:space="preserve">Willis Towers Watson </t>
    </r>
    <r>
      <rPr>
        <sz val="10"/>
        <rFont val="Noto Sans CJK SC"/>
        <family val="2"/>
      </rPr>
      <t xml:space="preserve">須賠償被解僱的吹哨者。</t>
    </r>
  </si>
  <si>
    <t xml:space="preserve">e8b3d812d31a36d173d5858f</t>
  </si>
  <si>
    <t xml:space="preserve">American Airlines Boeing 787 Pilot Quits $300,000 Job: Nobody Replied</t>
  </si>
  <si>
    <t xml:space="preserve">b813b363a5d332a04da7e4fe</t>
  </si>
  <si>
    <t xml:space="preserve">Scoop: U.S. intel memo warns of "advanced" Iranian plots to kill officials abroad</t>
  </si>
  <si>
    <t xml:space="preserve">Axios</t>
  </si>
  <si>
    <t xml:space="preserve">45db7f28a25a99b4b10a51a3</t>
  </si>
  <si>
    <t xml:space="preserve">Florida Man Fights Fellow Uber Passenger On the Way to Walmart, Claiming They Took Up Too Much Space</t>
  </si>
  <si>
    <t xml:space="preserve">81c7786c300efe2ab3a28bdf</t>
  </si>
  <si>
    <t xml:space="preserve">Cummins declares USD 2.20 dividend as Cummins stock costs EUR 463.25</t>
  </si>
  <si>
    <t xml:space="preserve">5cdae840533f60508f89a51b</t>
  </si>
  <si>
    <t xml:space="preserve">Chabad rabbi arrested on suspicion of murder after fatal Costco collision in California</t>
  </si>
  <si>
    <t xml:space="preserve">Ynetnews</t>
  </si>
  <si>
    <t xml:space="preserve">5cba69d63bd9e5b70bdf72de</t>
  </si>
  <si>
    <t xml:space="preserve">e654801ddf0ae6d15a4435ab</t>
  </si>
  <si>
    <t xml:space="preserve">SpaceX’s $80 Billion Wireless Ambition Threatens AT&amp;T, Verizon and T-Mobile</t>
  </si>
  <si>
    <t xml:space="preserve">cb6dbbc53cc09c603494d546</t>
  </si>
  <si>
    <t xml:space="preserve">Airbnb CEO Brian Chesky warns two types of people won’t survive the AI era</t>
  </si>
  <si>
    <t xml:space="preserve">Fortune</t>
  </si>
  <si>
    <t xml:space="preserve">3220c7b0d7bfbb65e75dd6ac</t>
  </si>
  <si>
    <t xml:space="preserve">Officer who fatally shot 1-year-old in Walmart parking lot resigns</t>
  </si>
  <si>
    <t xml:space="preserve">4e7c469370abf837a98744c4</t>
  </si>
  <si>
    <t xml:space="preserve">2nd suspect arrested for murder of 81-year-old man during fight outside Gainesville Walmart, police say</t>
  </si>
  <si>
    <t xml:space="preserve">d77f24209fb688c21b7cd048</t>
  </si>
  <si>
    <t xml:space="preserve">Wrongful death suit filed against waste management company for death of Seattle cyclist</t>
  </si>
  <si>
    <t xml:space="preserve">d27daa1cabda828452781387</t>
  </si>
  <si>
    <t xml:space="preserve">Uber Deploys ChatGPT Work to 30,000 Staff Weeks After Cutting 3,300 Corporate Jobs</t>
  </si>
  <si>
    <t xml:space="preserve">f514a4b0e0c376f5b69fb9b5</t>
  </si>
  <si>
    <t xml:space="preserve">American Express Q3 earnings beat as network volume disappoints (AXP:NYSE)</t>
  </si>
  <si>
    <t xml:space="preserve">d35e78f427ea5d866b773da3</t>
  </si>
  <si>
    <t xml:space="preserve">Wells Fargo, Arm, Intuit Keep Their Stock Off OKX-ICE Token Venue as Objections Reach 22</t>
  </si>
  <si>
    <t xml:space="preserve">unchainedcrypto.com</t>
  </si>
  <si>
    <t xml:space="preserve">676ebb751d503515cef5e001</t>
  </si>
  <si>
    <t xml:space="preserve">Qualcomm To Reportedly Conduct Global Layoffs In Performance-Driven Overhaul</t>
  </si>
  <si>
    <r>
      <rPr>
        <sz val="10"/>
        <rFont val="Arial"/>
        <family val="0"/>
        <charset val="1"/>
      </rPr>
      <t xml:space="preserve">Qualcomm </t>
    </r>
    <r>
      <rPr>
        <sz val="10"/>
        <rFont val="Noto Sans CJK SC"/>
        <family val="2"/>
      </rPr>
      <t xml:space="preserve">全球績效導向裁員。</t>
    </r>
  </si>
  <si>
    <t xml:space="preserve">4836a0cc244e13949e80abff</t>
  </si>
  <si>
    <t xml:space="preserve">0a0eff75124f75d9b20660b8</t>
  </si>
  <si>
    <t xml:space="preserve">ADP: TAV growth offset Paris weakness; 2026 EBITDA outlook moved to the range’s lower end</t>
  </si>
  <si>
    <t xml:space="preserve">2a647b560800798d7b11e794</t>
  </si>
  <si>
    <t xml:space="preserve">VIDEO: Airbnb drops mandatory checkout chores starting Nov. 20</t>
  </si>
  <si>
    <t xml:space="preserve">Live 5 News</t>
  </si>
  <si>
    <t xml:space="preserve">7473a560ee5848b485f510be</t>
  </si>
  <si>
    <t xml:space="preserve">American Express Stock Forecast: Q3 Beat and Higher Guidance Leave AXP Just Below $327 Resistance</t>
  </si>
  <si>
    <t xml:space="preserve">4fd66c69eb5b337a14dd03c9</t>
  </si>
  <si>
    <t xml:space="preserve">NEM Q3 Earnings Call Highlights 2027 Growth and Cost Pressures</t>
  </si>
  <si>
    <t xml:space="preserve">cac357236e870c2cd742bba8</t>
  </si>
  <si>
    <t xml:space="preserve">Apple (NASDAQ: AAPL) Hardware Offensive Arrives As AI Spending Fears Rattle Rivals</t>
  </si>
  <si>
    <t xml:space="preserve">653ba6bf375b587a98419800</t>
  </si>
  <si>
    <t xml:space="preserve">Polar LNG Shakeup Puts Former Goldman Sachs Banker in Charge</t>
  </si>
  <si>
    <t xml:space="preserve">The Alaska Landmine</t>
  </si>
  <si>
    <t xml:space="preserve">8c448418dabf1e13462ace9e</t>
  </si>
  <si>
    <t xml:space="preserve">Analysts’ Opinions Are Mixed on These Consumer Cyclical Stocks: Nike (NKE), Winnebago Industries (WGO) and Tesla (TSLA)</t>
  </si>
  <si>
    <t xml:space="preserve">da3daaad6a27754184ab07da</t>
  </si>
  <si>
    <t xml:space="preserve">NVR, Inc. Stock 12‑Month Price Target Cut to $6262, Implies 2% Upside</t>
  </si>
  <si>
    <t xml:space="preserve">a80d2016c05b3282ec0cf304</t>
  </si>
  <si>
    <t xml:space="preserve">Rapper Pooh Shiesty, jailed for Gucci Mane stickup, whines about 'inhumane' conditions despite access to Netflix</t>
  </si>
  <si>
    <t xml:space="preserve">02da6f70ff16e692c872eecf</t>
  </si>
  <si>
    <t xml:space="preserve">Uber Passenger Alleges 'Scam' After Driver Shows 'Fake Screenshot' Of Fare; Takes To Reddit</t>
  </si>
  <si>
    <t xml:space="preserve">eff507a69ce4a59d18f2a637</t>
  </si>
  <si>
    <t xml:space="preserve">Northern Trust (NTRS) Could Be 10% Undervalued After Third Quarter Earnings Beat</t>
  </si>
  <si>
    <t xml:space="preserve">ce8e5f9fe7b53c0842a836b9</t>
  </si>
  <si>
    <t xml:space="preserve">WAB</t>
  </si>
  <si>
    <t xml:space="preserve">Wabtec</t>
  </si>
  <si>
    <t xml:space="preserve">Wabtec stock underperforms Friday when compared to competitors</t>
  </si>
  <si>
    <t xml:space="preserve">7628749483136f3a4879380c</t>
  </si>
  <si>
    <t xml:space="preserve">Explosion, fire occur at PepsiCo subsidiary's building in US</t>
  </si>
  <si>
    <t xml:space="preserve">Report.az</t>
  </si>
  <si>
    <r>
      <rPr>
        <sz val="10"/>
        <rFont val="Arial"/>
        <family val="0"/>
        <charset val="1"/>
      </rPr>
      <t xml:space="preserve">PepsiCo </t>
    </r>
    <r>
      <rPr>
        <sz val="10"/>
        <rFont val="Noto Sans CJK SC"/>
        <family val="2"/>
      </rPr>
      <t xml:space="preserve">子公司大樓發生爆炸與火災。</t>
    </r>
  </si>
  <si>
    <t xml:space="preserve">566a311089c18c883804eff8</t>
  </si>
  <si>
    <t xml:space="preserve">Corteva Declares $0.05 Quarterly Dividend After Vylor Spin-Off</t>
  </si>
  <si>
    <t xml:space="preserve">Securities.io</t>
  </si>
  <si>
    <t xml:space="preserve">008f845f79f3c35e3c5a0048</t>
  </si>
  <si>
    <t xml:space="preserve">PNC</t>
  </si>
  <si>
    <t xml:space="preserve">PNC Financial Services</t>
  </si>
  <si>
    <t xml:space="preserve">Suspect gets away with cash after threatening teller at Cypress PNC Bank</t>
  </si>
  <si>
    <t xml:space="preserve">Click2Houston</t>
  </si>
  <si>
    <t xml:space="preserve">5d5baa54d89d35274a308cae</t>
  </si>
  <si>
    <t xml:space="preserve">SPG</t>
  </si>
  <si>
    <t xml:space="preserve">Simon Property Group</t>
  </si>
  <si>
    <t xml:space="preserve">Simon Property Group, Inc. $SPG Holdings Cut by Sterling Capital Management LLC</t>
  </si>
  <si>
    <t xml:space="preserve">b057c69a4ea86a1052c3919b</t>
  </si>
  <si>
    <t xml:space="preserve">Xbox COO Helen Chiang Leaves Microsoft After Just Three Months in the Role</t>
  </si>
  <si>
    <t xml:space="preserve">eTeknix</t>
  </si>
  <si>
    <t xml:space="preserve">317f7d487d152836788ef47e</t>
  </si>
  <si>
    <t xml:space="preserve">08ab6d978d885ee97a48bfbf</t>
  </si>
  <si>
    <t xml:space="preserve">No evidence driver's age contributed to deadly Walmart crash, police say</t>
  </si>
  <si>
    <t xml:space="preserve">wfmynews2.com</t>
  </si>
  <si>
    <t xml:space="preserve">a2c4c7d33a69868763b3e6fa</t>
  </si>
  <si>
    <t xml:space="preserve">Apple is set to take back the market-cap crown from Nvidia. Upcoming earnings may push it over the top</t>
  </si>
  <si>
    <t xml:space="preserve">7284e2de15489d4ae5780672</t>
  </si>
  <si>
    <t xml:space="preserve">😺 Walmart announces AI shopping controls</t>
  </si>
  <si>
    <t xml:space="preserve">The Neuron</t>
  </si>
  <si>
    <t xml:space="preserve">edbe48923731a8131300ff65</t>
  </si>
  <si>
    <t xml:space="preserve">$325K Starbucks COBRA notice class action settlement</t>
  </si>
  <si>
    <t xml:space="preserve">Top Class Actions</t>
  </si>
  <si>
    <t xml:space="preserve">9b8855874a05d02c2cc2e187</t>
  </si>
  <si>
    <t xml:space="preserve">Applied Materials stays a buy as AI demand boos...</t>
  </si>
  <si>
    <t xml:space="preserve">fff3b0cb598e4af8318a0457</t>
  </si>
  <si>
    <t xml:space="preserve">Walmart Worker Killed, Carjacking Shooting Plea: Eastern Montco News</t>
  </si>
  <si>
    <t xml:space="preserve">Patch</t>
  </si>
  <si>
    <t xml:space="preserve">2b1bb0dee46247c41356f9b4</t>
  </si>
  <si>
    <t xml:space="preserve">Longtime Walmart worker leaving shift gunned down in the parking lot by masked shooter as she was about to enter Nissan: Police</t>
  </si>
  <si>
    <t xml:space="preserve">AOL.com</t>
  </si>
  <si>
    <t xml:space="preserve">f1900d0d9c626af4bfac150e</t>
  </si>
  <si>
    <t xml:space="preserve">Ignore Near-Term Friction: Nvidia’s Unmatched Scale and CUDA Ecosystem Lock-In Make Every Pullback a Buying Opportunity for Years to Come</t>
  </si>
  <si>
    <t xml:space="preserve">a0419bc0a9d20b1ae86ec80f</t>
  </si>
  <si>
    <t xml:space="preserve">Anker’s Nano 10-in-1 USB-C hub hits a new low price on Amazon</t>
  </si>
  <si>
    <t xml:space="preserve">Tech Advisor</t>
  </si>
  <si>
    <t xml:space="preserve">edc866931d2284f587ead5cb</t>
  </si>
  <si>
    <t xml:space="preserve">AI Fatigue Hits Korea: Why Goldman Sachs Slashed Kospi's 12-Month Target?</t>
  </si>
  <si>
    <t xml:space="preserve">33116ad1fa2923dc92886b8a</t>
  </si>
  <si>
    <t xml:space="preserve">Second suspect surrenders in Gainesville Walmart parking loot shooting that killed innocent bystander</t>
  </si>
  <si>
    <t xml:space="preserve">11Alive.com</t>
  </si>
  <si>
    <t xml:space="preserve">0b5023c54d7f6c06b7a2aedf</t>
  </si>
  <si>
    <t xml:space="preserve">SW</t>
  </si>
  <si>
    <t xml:space="preserve">Smurfit Westrock</t>
  </si>
  <si>
    <t xml:space="preserve">Smurfit Westrock PLC stock underperforms Friday when compared to competitors</t>
  </si>
  <si>
    <t xml:space="preserve">0c47ebaad4ba937b04bc0a0a</t>
  </si>
  <si>
    <t xml:space="preserve">Western Digital Stock Falls 3% After Beat: Sandisk Oct 29</t>
  </si>
  <si>
    <t xml:space="preserve">FinanceFeeds</t>
  </si>
  <si>
    <t xml:space="preserve">dbfeeda9115065455beb7612</t>
  </si>
  <si>
    <t xml:space="preserve">Senatobia interim police chief steps down following AG ruling in fatal Walmart shooting</t>
  </si>
  <si>
    <t xml:space="preserve">Darkhorse Press</t>
  </si>
  <si>
    <t xml:space="preserve">e19ea48df590094b3ce6dcf9</t>
  </si>
  <si>
    <t xml:space="preserve">bb5f7a9d31ed07372f6d7220</t>
  </si>
  <si>
    <t xml:space="preserve">LULU</t>
  </si>
  <si>
    <t xml:space="preserve">Lululemon Athletica</t>
  </si>
  <si>
    <t xml:space="preserve">Lululemon (LULU) Suffers a Larger Drop Than the General Market: Key Insights</t>
  </si>
  <si>
    <t xml:space="preserve">3b97f10929e370fd9406520f</t>
  </si>
  <si>
    <t xml:space="preserve">South Korea's SK Hynix Shelves Solidigm's US IPO; Fading NAND Expansion Risk a Boon for Micron, SanDisk</t>
  </si>
  <si>
    <t xml:space="preserve">8f00e1ee33fd046da47beb24</t>
  </si>
  <si>
    <t xml:space="preserve">SpaceX's $40 Billion Debt Raise to Buy Nvidia Chips Hits Snag, Sounding AI Bond-Market Warning</t>
  </si>
  <si>
    <t xml:space="preserve">7b626f5ffb5415e0cd053e08</t>
  </si>
  <si>
    <t xml:space="preserve">CME</t>
  </si>
  <si>
    <t xml:space="preserve">CME Group</t>
  </si>
  <si>
    <t xml:space="preserve">Cattle futures flat as traders await Cattle on Feed report - CME</t>
  </si>
  <si>
    <t xml:space="preserve">The Cattle Site</t>
  </si>
  <si>
    <t xml:space="preserve">76cbfac0afcd89ae94b851ec</t>
  </si>
  <si>
    <t xml:space="preserve">CINF</t>
  </si>
  <si>
    <t xml:space="preserve">Cincinnati Financial</t>
  </si>
  <si>
    <t xml:space="preserve">Cincinnati Financial (CINF) Stock Could Be 27% Overvalued On Modest Excess Returns</t>
  </si>
  <si>
    <t xml:space="preserve">35f871dbf09b6103ca2cee07</t>
  </si>
  <si>
    <t xml:space="preserve">NVR downgraded at BofA Securities after Q3 earnings announcement (NVR:NYSE)</t>
  </si>
  <si>
    <t xml:space="preserve">d97c67201819aa7f4ddb1c22</t>
  </si>
  <si>
    <t xml:space="preserve">Tractor Supply Just Dropped A Big Discount On The Massimo Mini Truck</t>
  </si>
  <si>
    <t xml:space="preserve">SlashGear</t>
  </si>
  <si>
    <t xml:space="preserve">d1670a33088ef7130f5731cc</t>
  </si>
  <si>
    <t xml:space="preserve">Cleveland Browns cornerback Tyson Campbell rips out the ball from Carnell Tate for a Browns recovery</t>
  </si>
  <si>
    <t xml:space="preserve">NFL.com</t>
  </si>
  <si>
    <t xml:space="preserve">d65c2684a4034a0cdbfb75bd</t>
  </si>
  <si>
    <t xml:space="preserve">GDDY</t>
  </si>
  <si>
    <t xml:space="preserve">GoDaddy</t>
  </si>
  <si>
    <t xml:space="preserve">Not admitting failure in job interviews is a major red flag, says GoDaddy CEO Aman Bhutani | Trending</t>
  </si>
  <si>
    <t xml:space="preserve">56920c4c5b579114e18a988c</t>
  </si>
  <si>
    <t xml:space="preserve">Brad Pitt's 126-Minute 'Jack Ryan' Substitute Action Thriller Is Officially Being Cut From Netflix</t>
  </si>
  <si>
    <t xml:space="preserve">7e4f243b97aa270b46fed39e</t>
  </si>
  <si>
    <t xml:space="preserve">BX</t>
  </si>
  <si>
    <t xml:space="preserve">Blackstone Inc.</t>
  </si>
  <si>
    <t xml:space="preserve">Blackstone (BX) Stock Could Be 24% Undervalued Following AI Data Center Expansion</t>
  </si>
  <si>
    <t xml:space="preserve">6db4068a90796fab988bcc2e</t>
  </si>
  <si>
    <t xml:space="preserve">Is Carnival (CCL) Undervalued As Its Dividend Returns?</t>
  </si>
  <si>
    <t xml:space="preserve">46ad19f1c136baf0f40ba1d1</t>
  </si>
  <si>
    <t xml:space="preserve">Tesla, Inc.</t>
  </si>
  <si>
    <t xml:space="preserve">美媒：SpaceX與特斯拉的合併或面臨反壟斷審查</t>
  </si>
  <si>
    <r>
      <rPr>
        <sz val="10"/>
        <rFont val="Noto Sans CJK SC"/>
        <family val="2"/>
      </rPr>
      <t xml:space="preserve">美媒：</t>
    </r>
    <r>
      <rPr>
        <sz val="10"/>
        <rFont val="Arial"/>
        <family val="0"/>
        <charset val="1"/>
      </rPr>
      <t xml:space="preserve">SpaceX</t>
    </r>
    <r>
      <rPr>
        <sz val="10"/>
        <rFont val="Noto Sans CJK SC"/>
        <family val="2"/>
      </rPr>
      <t xml:space="preserve">與特斯拉的合併或面臨反壟斷審查</t>
    </r>
  </si>
  <si>
    <t xml:space="preserve">cb3a3172aaadc5b9540accbf</t>
  </si>
  <si>
    <t xml:space="preserve">Chiropractor accused of posing as doctor in $2B fraud bust; Big Tech backs prior auth fixes; CMS can now exclude physicians</t>
  </si>
  <si>
    <t xml:space="preserve">Medical Economics</t>
  </si>
  <si>
    <t xml:space="preserve">10ab3a3ddb1d011d2da5f5a4</t>
  </si>
  <si>
    <t xml:space="preserve">Xbox COO to leave company, Verge reports</t>
  </si>
  <si>
    <t xml:space="preserve">d17d441b503e364ea592923f</t>
  </si>
  <si>
    <t xml:space="preserve">Is Genuine Parts Co (GPC) a Bargain After 3.9% Drop? GF Value Sa</t>
  </si>
  <si>
    <t xml:space="preserve">d2dd1824f643e997b5ca98aa</t>
  </si>
  <si>
    <t xml:space="preserve">SPGI</t>
  </si>
  <si>
    <t xml:space="preserve">S&amp;P Global</t>
  </si>
  <si>
    <t xml:space="preserve">S&amp;P Global Ratings Identifies 146 Delayed or Canceled U.S. Data Center Projects</t>
  </si>
  <si>
    <t xml:space="preserve">8301cc2a9495f1f91167b841</t>
  </si>
  <si>
    <t xml:space="preserve">FANG</t>
  </si>
  <si>
    <t xml:space="preserve">Diamondback Energy</t>
  </si>
  <si>
    <t xml:space="preserve">Oil Prices Above $100 Put Diamondback Energy Stock And Permian Peers In Focus</t>
  </si>
  <si>
    <t xml:space="preserve">3ac858216dae9ad6a962ae81</t>
  </si>
  <si>
    <t xml:space="preserve">Hewlett Packard Enterprise Lobbying Rises Amid Antitrust Scrutiny</t>
  </si>
  <si>
    <t xml:space="preserve">643199b14e632357bdd4c791</t>
  </si>
  <si>
    <t xml:space="preserve">Goldman Sachs Flags Two‑Way Risks to Their 2026 Oil Price Outlook</t>
  </si>
  <si>
    <t xml:space="preserve">5349d63454311fe0cfd59ab4</t>
  </si>
  <si>
    <t xml:space="preserve">Honeywell Technologies price target lowered to $269 from $270 at RBC Capital</t>
  </si>
  <si>
    <t xml:space="preserve">474d8ce0297c930aae611b70</t>
  </si>
  <si>
    <t xml:space="preserve">Britt McHenry Removed From Wizards Game at Capital One Arena</t>
  </si>
  <si>
    <t xml:space="preserve">fbeba36e3c7f65e6097ad5ce</t>
  </si>
  <si>
    <t xml:space="preserve">Amazon’s Trainium Takes a Strike at the Training King</t>
  </si>
  <si>
    <t xml:space="preserve">SemiAnalysis</t>
  </si>
  <si>
    <t xml:space="preserve">66e8d74c084fd7bb45926eab</t>
  </si>
  <si>
    <t xml:space="preserve">Netflix Bump Fails to Land Syfy Series ‘Revival’ a Season 2</t>
  </si>
  <si>
    <t xml:space="preserve">fbcb970de7804b6fb370f25f</t>
  </si>
  <si>
    <t xml:space="preserve">Second suspect in custody in Gainesville Walmart shooting that police say killed innocent bystander</t>
  </si>
  <si>
    <t xml:space="preserve">2d4c5bfc7989f04b2a917c37</t>
  </si>
  <si>
    <t xml:space="preserve">Earnings Reset Could Be A Big Test For ADP Stock</t>
  </si>
  <si>
    <t xml:space="preserve">0389c3163613dceeaaa3ff1d</t>
  </si>
  <si>
    <t xml:space="preserve">Microsoft CEO on rogue AI agents, super laptops and Clippy</t>
  </si>
  <si>
    <t xml:space="preserve">The New Things</t>
  </si>
  <si>
    <t xml:space="preserve">a18423fb7bf7c12b838dff30</t>
  </si>
  <si>
    <t xml:space="preserve">The Pokémon TCG 30th Celebration Sylveon ex Box is (almost) down to market price at Walmart — save $20</t>
  </si>
  <si>
    <t xml:space="preserve">Mashable</t>
  </si>
  <si>
    <t xml:space="preserve">f3202d3e73cd9fe7ee857ce4</t>
  </si>
  <si>
    <t xml:space="preserve">Your car's USB port is probably killing your phone’s charging speed</t>
  </si>
  <si>
    <t xml:space="preserve">MakeUseOf</t>
  </si>
  <si>
    <t xml:space="preserve">ea05dbc2a4003fd85b3d843d</t>
  </si>
  <si>
    <t xml:space="preserve">Dassault Systèmes (ENXTPA:DSY) Could Be 9% Below Fair Value On Vertiv AI Deal</t>
  </si>
  <si>
    <t xml:space="preserve">1fcf31b8b951c4f8743cf42c</t>
  </si>
  <si>
    <t xml:space="preserve">Merck: A 71% Rally Leaves Little Margin Of Safety Ahead Of Keytruda's Patent Cliff (MRK)</t>
  </si>
  <si>
    <t xml:space="preserve">f3dbdd5de5ddf0e60e64578c</t>
  </si>
  <si>
    <t xml:space="preserve">Police: Suspect arrested after pulling knife in Walmart TV robbery in Visalia</t>
  </si>
  <si>
    <t xml:space="preserve">KMPH Fox 26</t>
  </si>
  <si>
    <t xml:space="preserve">271df41fa29d5d353b4cc56f</t>
  </si>
  <si>
    <t xml:space="preserve">Netflix Is Officially Removing the Action-Thriller That Asks “What If Guy Ritchie Directed John Wick?”</t>
  </si>
  <si>
    <t xml:space="preserve">85697538734e1554fd307ef1</t>
  </si>
  <si>
    <t xml:space="preserve">RMD</t>
  </si>
  <si>
    <t xml:space="preserve">ResMed</t>
  </si>
  <si>
    <t xml:space="preserve">A 68-Year-Old Who Puts $300,000 of a $500,000 IRA Into an Annuity Locks In a $2,000 Monthly Check for Life and Shrinks the RMD on What's Left to About $9,600 at 73. Every Dollar of Both Is Still Taxable</t>
  </si>
  <si>
    <t xml:space="preserve">383815bbc0405c87c37ddfe0</t>
  </si>
  <si>
    <t xml:space="preserve">FedEx driver sentenced up to 12 years in prison for triple fatality crash on PA Turnpike</t>
  </si>
  <si>
    <t xml:space="preserve">fox43.com</t>
  </si>
  <si>
    <t xml:space="preserve">1cd027a03ad824b34d812c7d</t>
  </si>
  <si>
    <t xml:space="preserve">Quest Diagnostics investigating data breach involving patient records</t>
  </si>
  <si>
    <t xml:space="preserve">Tri-State Alert</t>
  </si>
  <si>
    <t xml:space="preserve">bbfb7a6107dba332362d1754</t>
  </si>
  <si>
    <t xml:space="preserve">Quest Diagnostics hit by cyber attack</t>
  </si>
  <si>
    <t xml:space="preserve">b18fe8fdec20ed8f5ce46975</t>
  </si>
  <si>
    <t xml:space="preserve">SanDisk Falters for 3 Months But One Top-Tier Institutional Desk Is Sure It's Going to Nearly Triple</t>
  </si>
  <si>
    <t xml:space="preserve">d4cd1a37b15f5d2c05c79a76</t>
  </si>
  <si>
    <t xml:space="preserve">FSLR</t>
  </si>
  <si>
    <t xml:space="preserve">First Solar</t>
  </si>
  <si>
    <t xml:space="preserve">First Solar (FSLR) Stock Could Be Undervalued On Future Cash Flow</t>
  </si>
  <si>
    <t xml:space="preserve">c5a3a7696bffae0303f8d08c</t>
  </si>
  <si>
    <t xml:space="preserve">Investors launch probe into American Express after $350M compliance fine</t>
  </si>
  <si>
    <r>
      <rPr>
        <sz val="10"/>
        <rFont val="Noto Sans CJK SC"/>
        <family val="2"/>
      </rPr>
      <t xml:space="preserve">美國運通遭 </t>
    </r>
    <r>
      <rPr>
        <sz val="10"/>
        <rFont val="Arial"/>
        <family val="0"/>
        <charset val="1"/>
      </rPr>
      <t xml:space="preserve">3.5 </t>
    </r>
    <r>
      <rPr>
        <sz val="10"/>
        <rFont val="Noto Sans CJK SC"/>
        <family val="2"/>
      </rPr>
      <t xml:space="preserve">億美元合規罰款，投資人發起調查。</t>
    </r>
  </si>
  <si>
    <t xml:space="preserve">d430036fdfe3861e38b4bd0e</t>
  </si>
  <si>
    <t xml:space="preserve">US S&amp;P Global flash October services PMI 57.9 vs 58.0 expected</t>
  </si>
  <si>
    <t xml:space="preserve">investingLive</t>
  </si>
  <si>
    <t xml:space="preserve">0d8c71486104d2fedd9953e2</t>
  </si>
  <si>
    <t xml:space="preserve">Stock Market Today: S&amp;P 500, Nasdaq 100, Dow Jones Futures Fall Ahead of Global PMI Data—Western Digital, Newmont, Crown Castle in Focus (UPDATED)</t>
  </si>
  <si>
    <t xml:space="preserve">a612708c546ecb1afd73a8c1</t>
  </si>
  <si>
    <t xml:space="preserve">Homicide suspected in deadly parking lot encounter at Costco</t>
  </si>
  <si>
    <t xml:space="preserve">The Acorn</t>
  </si>
  <si>
    <t xml:space="preserve">d0d9f5ddcef4de27e1e55496</t>
  </si>
  <si>
    <t xml:space="preserve">黃仁勛：到2029年存儲供應過剩的可能性不大</t>
  </si>
  <si>
    <r>
      <rPr>
        <sz val="10"/>
        <rFont val="Noto Sans CJK SC"/>
        <family val="2"/>
      </rPr>
      <t xml:space="preserve">黃仁勛：到</t>
    </r>
    <r>
      <rPr>
        <sz val="10"/>
        <rFont val="Arial"/>
        <family val="0"/>
        <charset val="1"/>
      </rPr>
      <t xml:space="preserve">2029</t>
    </r>
    <r>
      <rPr>
        <sz val="10"/>
        <rFont val="Noto Sans CJK SC"/>
        <family val="2"/>
      </rPr>
      <t xml:space="preserve">年存儲供應過剩的可能性不大</t>
    </r>
  </si>
  <si>
    <t xml:space="preserve">55359291279c49d72081de53</t>
  </si>
  <si>
    <t xml:space="preserve">Netflix Stock Slips as Q3 Earnings Hand Investors a Win Wrapped in Caution</t>
  </si>
  <si>
    <t xml:space="preserve">FinanceBuzz</t>
  </si>
  <si>
    <t xml:space="preserve">e895d785ebe8c1e1ee32e358</t>
  </si>
  <si>
    <t xml:space="preserve">Morgan Stanley raises Synopsys target to USD 574: Synopsys stock falls 2.71 percent</t>
  </si>
  <si>
    <t xml:space="preserve">9befa0bf4edf660ccc4a9b69</t>
  </si>
  <si>
    <t xml:space="preserve">Killeen police chase ends outside Walmart after reported gun threat</t>
  </si>
  <si>
    <t xml:space="preserve">KCENTV.com</t>
  </si>
  <si>
    <t xml:space="preserve">baf1c7dddd9dce4fbe053e41</t>
  </si>
  <si>
    <t xml:space="preserve">AFL</t>
  </si>
  <si>
    <t xml:space="preserve">Aflac</t>
  </si>
  <si>
    <t xml:space="preserve">Ex-AFL star Daniel Stewart dead at 37 following ‘unexpected medical episode’</t>
  </si>
  <si>
    <t xml:space="preserve">4fce26cba40071772ae8f230</t>
  </si>
  <si>
    <t xml:space="preserve">Xbox COO Helen Chiang Leaves Microsoft After Three Months</t>
  </si>
  <si>
    <t xml:space="preserve">www.explosion.com</t>
  </si>
  <si>
    <t xml:space="preserve">632674f9dc6455a1bc9c311c</t>
  </si>
  <si>
    <t xml:space="preserve">Social Rundown: AI cake request controversy, Starbucks Halloween treats &amp; Is LOL dead?</t>
  </si>
  <si>
    <t xml:space="preserve">Texomashomepage.com</t>
  </si>
  <si>
    <t xml:space="preserve">6021e9657601619482390bce</t>
  </si>
  <si>
    <t xml:space="preserve">FY2026 EPS Estimate for Merck &amp; Co., Inc. Lowered by Analyst</t>
  </si>
  <si>
    <t xml:space="preserve">793dcfb10b0fbc2942a41b3a</t>
  </si>
  <si>
    <t xml:space="preserve">Western Digital Corporation Stock 12‑Month Price Target Cut to $623.74, Implies 76% Upside</t>
  </si>
  <si>
    <t xml:space="preserve">778371129c6cc61666cd5894</t>
  </si>
  <si>
    <t xml:space="preserve">TSLA</t>
  </si>
  <si>
    <t xml:space="preserve">Musk Warns SpaceX-Tesla (NASDAQ: TSLA) Merger Faces Major Vote Hurdle As JPMorgan Prices Deal Near $500</t>
  </si>
  <si>
    <t xml:space="preserve">2beccb453806011ccb5e4f31</t>
  </si>
  <si>
    <t xml:space="preserve">CamSur disputes ‘poorest province’ tag; PSA says label not official</t>
  </si>
  <si>
    <t xml:space="preserve">Inquirer.net</t>
  </si>
  <si>
    <t xml:space="preserve">10ce3b765dc40951f0c24379</t>
  </si>
  <si>
    <t xml:space="preserve">CPAY</t>
  </si>
  <si>
    <t xml:space="preserve">Corpay</t>
  </si>
  <si>
    <t xml:space="preserve">Corpay (CPAY) Could Be 11% Below Fair Value After Newcastle United Deal</t>
  </si>
  <si>
    <t xml:space="preserve">d244ec3e1807cd7f45e346bb</t>
  </si>
  <si>
    <t xml:space="preserve">eBay Inc. $EBAY Stock: Investment House LLC Decreases Stake</t>
  </si>
  <si>
    <r>
      <rPr>
        <sz val="10"/>
        <rFont val="Noto Sans CJK SC"/>
        <family val="2"/>
      </rPr>
      <t xml:space="preserve">非公司風險事件：持股異動、目標價調整、犯罪或意外新聞、同名誤配（</t>
    </r>
    <r>
      <rPr>
        <sz val="10"/>
        <rFont val="Arial"/>
        <family val="0"/>
        <charset val="1"/>
      </rPr>
      <t xml:space="preserve">COO</t>
    </r>
    <r>
      <rPr>
        <sz val="10"/>
        <rFont val="Noto Sans CJK SC"/>
        <family val="2"/>
      </rPr>
      <t xml:space="preserve">／</t>
    </r>
    <r>
      <rPr>
        <sz val="10"/>
        <rFont val="Arial"/>
        <family val="0"/>
        <charset val="1"/>
      </rPr>
      <t xml:space="preserve">PSA</t>
    </r>
    <r>
      <rPr>
        <sz val="10"/>
        <rFont val="Noto Sans CJK SC"/>
        <family val="2"/>
      </rPr>
      <t xml:space="preserve">／</t>
    </r>
    <r>
      <rPr>
        <sz val="10"/>
        <rFont val="Arial"/>
        <family val="0"/>
        <charset val="1"/>
      </rPr>
      <t xml:space="preserve">DRI</t>
    </r>
    <r>
      <rPr>
        <sz val="10"/>
        <rFont val="Noto Sans CJK SC"/>
        <family val="2"/>
      </rPr>
      <t xml:space="preserve">／</t>
    </r>
    <r>
      <rPr>
        <sz val="10"/>
        <rFont val="Arial"/>
        <family val="0"/>
        <charset val="1"/>
      </rPr>
      <t xml:space="preserve">ROK</t>
    </r>
    <r>
      <rPr>
        <sz val="10"/>
        <rFont val="Noto Sans CJK SC"/>
        <family val="2"/>
      </rPr>
      <t xml:space="preserve">）、評論或估值文章。</t>
    </r>
  </si>
  <si>
    <t xml:space="preserve">15186db12bb532d3d2575e24</t>
  </si>
  <si>
    <t xml:space="preserve">When Genuine Goods Infringe: Patrick Ta’s Trademark Case Against CVS</t>
  </si>
  <si>
    <t xml:space="preserve">The Fashion Law</t>
  </si>
  <si>
    <t xml:space="preserve">8ffd6f78d65cb29c906e5008</t>
  </si>
  <si>
    <t xml:space="preserve">Driver crashes into Dominion Energy pole in Hampton</t>
  </si>
  <si>
    <t xml:space="preserve">13newsnow.com</t>
  </si>
  <si>
    <t xml:space="preserve">58b181f4a2c80f1eac868e58</t>
  </si>
  <si>
    <t xml:space="preserve">Ventura County man charged with murder after deadly crash at Costco gas pumps</t>
  </si>
  <si>
    <t xml:space="preserve">1e834206d148019a5c465bf9</t>
  </si>
  <si>
    <t xml:space="preserve">Jammu Police Detain Bovine Smuggling Accused Under PSA</t>
  </si>
  <si>
    <t xml:space="preserve">Jammu Links News</t>
  </si>
  <si>
    <t xml:space="preserve">11ddf9f743cccbe665670779</t>
  </si>
  <si>
    <t xml:space="preserve">Under the Skin Netflix Departure: Scarlett Johansson’s Unsettling Sci-Fi Masterpiece Leaves Streaming This Halloween</t>
  </si>
  <si>
    <t xml:space="preserve">86436fedc9444313cfb50364</t>
  </si>
  <si>
    <t xml:space="preserve">Mumbai DRI Busts International Gold Smuggling Syndicate; 4 Arrested, 2.29 Kg Gold Seized</t>
  </si>
  <si>
    <t xml:space="preserve">8c55ccbdbbfc96d9af81d92a</t>
  </si>
  <si>
    <t xml:space="preserve">Man found dead inside vehicle at Morehead Walmart parking lot identified</t>
  </si>
  <si>
    <t xml:space="preserve">FOX 56 News</t>
  </si>
  <si>
    <t xml:space="preserve">d9471dbfd8c6afef348adf80</t>
  </si>
  <si>
    <t xml:space="preserve">Wells Fargo, Cisco, Intuit Among 6 More Companies Objecting to Tokenized Stocks</t>
  </si>
  <si>
    <t xml:space="preserve">7ea5a7091e81886fb793c9b9</t>
  </si>
  <si>
    <t xml:space="preserve">CSCO</t>
  </si>
  <si>
    <t xml:space="preserve">Cisco</t>
  </si>
  <si>
    <t xml:space="preserve">7eabe1aae02555c0ed7cbbe0</t>
  </si>
  <si>
    <t xml:space="preserve">f32ffa03ccd81128a47a43d1</t>
  </si>
  <si>
    <t xml:space="preserve">Xbox's first COO leaves after three months</t>
  </si>
  <si>
    <t xml:space="preserve">Gagadget.com</t>
  </si>
  <si>
    <t xml:space="preserve">53ee572259ca0d22ac14a780</t>
  </si>
  <si>
    <t xml:space="preserve">Is Netflix Stock a Buy Near Its 52-Week Low?</t>
  </si>
  <si>
    <t xml:space="preserve">ea18059ba9c021d919af8940</t>
  </si>
  <si>
    <t xml:space="preserve">ETR</t>
  </si>
  <si>
    <t xml:space="preserve">Entergy</t>
  </si>
  <si>
    <t xml:space="preserve">Google's solar plant deal with Entergy will shift $308 million in costs to Arkansas ratepayers, regulators say</t>
  </si>
  <si>
    <t xml:space="preserve">El Dorado News-Times</t>
  </si>
  <si>
    <t xml:space="preserve">91a5a8ae1bbfee0a8fc2adfd</t>
  </si>
  <si>
    <t xml:space="preserve">Wells Fargo (WF), Cisco (CSCO), Marvell (MRVL) join objections to OKX-ICE tokenized stock plans</t>
  </si>
  <si>
    <t xml:space="preserve">CoinDesk</t>
  </si>
  <si>
    <t xml:space="preserve">bd5570af551f6cce6ae0b598</t>
  </si>
  <si>
    <t xml:space="preserve">f67f486d561448b15635e334</t>
  </si>
  <si>
    <t xml:space="preserve">ARRESTED: Suspect accused of shooting man outside Walmart in Pampa taken into custody</t>
  </si>
  <si>
    <t xml:space="preserve">KVII</t>
  </si>
  <si>
    <t xml:space="preserve">e1d47cc21ea83792c25aa905</t>
  </si>
  <si>
    <t xml:space="preserve">ADP implementation crawls to 3.89% in first quarter, with health spending lowest</t>
  </si>
  <si>
    <t xml:space="preserve">bdnews24.com</t>
  </si>
  <si>
    <t xml:space="preserve">077a5da8463f6ed4f43d2ed8</t>
  </si>
  <si>
    <t xml:space="preserve">Vehicle Strikes Knoxville Wells Fargo Building - KNIA</t>
  </si>
  <si>
    <t xml:space="preserve">KNIA - KRLS</t>
  </si>
  <si>
    <t xml:space="preserve">078b0314d22b66b1f47fa144</t>
  </si>
  <si>
    <t xml:space="preserve">Ronald Rust: 65-year-old man found dead inside vehicle in Morehead Walmart parking lot, coroner says</t>
  </si>
  <si>
    <t xml:space="preserve">LEX 18 News</t>
  </si>
  <si>
    <t xml:space="preserve">68f0a123d1c15e8c853b8fa6</t>
  </si>
  <si>
    <t xml:space="preserve">The Lam Research Corporation (NASDAQ:LRCX) First-Quarter Results Are Out And Analysts Have Published New Forecasts</t>
  </si>
  <si>
    <t xml:space="preserve">40f6603d469bc2d0b8d2d3f2</t>
  </si>
  <si>
    <t xml:space="preserve">5 things USB-C gets so wrong it's frustrating</t>
  </si>
  <si>
    <t xml:space="preserve">Pocket-lint</t>
  </si>
  <si>
    <t xml:space="preserve">79c1a4cc863fab27ac2068c5</t>
  </si>
  <si>
    <t xml:space="preserve">UNH Men’s Hockey Loses to #2 Michigan State, Splits Series with Spartans</t>
  </si>
  <si>
    <t xml:space="preserve">WMUR</t>
  </si>
  <si>
    <t xml:space="preserve">fe118f7acbb978af5c32d2a9</t>
  </si>
  <si>
    <t xml:space="preserve">Airbnb drops mandatory checkout chores starting Nov. 20</t>
  </si>
  <si>
    <t xml:space="preserve">b3e32058a301eea44dd7e27d</t>
  </si>
  <si>
    <t xml:space="preserve">PSX</t>
  </si>
  <si>
    <t xml:space="preserve">Phillips 66</t>
  </si>
  <si>
    <t xml:space="preserve">Oil Supply Risks Put Phillips 66 Stock And Global Energy Majors In Focus</t>
  </si>
  <si>
    <t xml:space="preserve">afb83f5a9c452e3fe79be038</t>
  </si>
  <si>
    <t xml:space="preserve">CoreWeave Price Target Cut to $70.00/Share From $99.00 by Morgan Stanley</t>
  </si>
  <si>
    <t xml:space="preserve">78cf705ff5777a749b5d4462</t>
  </si>
  <si>
    <t xml:space="preserve">NTAP</t>
  </si>
  <si>
    <t xml:space="preserve">NetApp</t>
  </si>
  <si>
    <t xml:space="preserve">NetApp Inc. stock underperforms Friday when compared to competitors despite daily gains</t>
  </si>
  <si>
    <t xml:space="preserve">340ca1887daa9914ec2ef52f</t>
  </si>
  <si>
    <t xml:space="preserve">Booking Holdings Inc. $BKNG Stock: Sterling Capital Management LLC Lowers Position</t>
  </si>
  <si>
    <t xml:space="preserve">61b27f0cc737e6d58c6e4819</t>
  </si>
  <si>
    <t xml:space="preserve">Jabil, Inc. $JBL Stock: Nisa Investment Advisors LLC Lowers Position</t>
  </si>
  <si>
    <t xml:space="preserve">0ffedf38cfe256308b5b8270</t>
  </si>
  <si>
    <t xml:space="preserve">CAT</t>
  </si>
  <si>
    <t xml:space="preserve">Caterpillar Inc.</t>
  </si>
  <si>
    <t xml:space="preserve">Can Caterpillar’s $72B Backlog Save Its Stock From a 10% Slump?</t>
  </si>
  <si>
    <t xml:space="preserve">94ba18c4d6ce9ce6ac95338f</t>
  </si>
  <si>
    <t xml:space="preserve">Hyderabad: DRI seizes methamphetamine worth ₹1.1 crore hidden under bus sleeper berths</t>
  </si>
  <si>
    <t xml:space="preserve">NewsMeter</t>
  </si>
  <si>
    <t xml:space="preserve">b88e7d05aade72e83fa225ce</t>
  </si>
  <si>
    <t xml:space="preserve">Western Digital Beat Earnings, But AI Capex Talk Spooked Investors</t>
  </si>
  <si>
    <t xml:space="preserve">Finimize</t>
  </si>
  <si>
    <t xml:space="preserve">5e2d26c905a2890940784c2b</t>
  </si>
  <si>
    <t xml:space="preserve">Habitual bovine smuggler detained under PSA in Jammu</t>
  </si>
  <si>
    <t xml:space="preserve">Kashmir Independent Media Service</t>
  </si>
  <si>
    <t xml:space="preserve">ee9a6695087276ffebba1de7</t>
  </si>
  <si>
    <t xml:space="preserve">Newmont Corporation Stock 12‑Month Price Target Cut to $137.93, Implies 21% Upside</t>
  </si>
  <si>
    <t xml:space="preserve">983a7fa653ca50ebadc92089</t>
  </si>
  <si>
    <t xml:space="preserve">Western Digital Corporation Stock 12‑Month Price Target Cut to $648.74, Implies 83% Upside</t>
  </si>
  <si>
    <t xml:space="preserve">bca7c6a46061fc04c9ab0d7d</t>
  </si>
  <si>
    <t xml:space="preserve">Comcast Posts Q3 EBITDA Beat On Media Upside, Faces Threat From AI Tools Like Muse</t>
  </si>
  <si>
    <t xml:space="preserve">ae62f6b2928daae77a0f8213</t>
  </si>
  <si>
    <t xml:space="preserve">Coinbase Will Temporarily Stop Certain Services This Weekend: Details Inside</t>
  </si>
  <si>
    <t xml:space="preserve">CryptoPotato</t>
  </si>
  <si>
    <t xml:space="preserve">bc36f40c466d7cfca21795d5</t>
  </si>
  <si>
    <t xml:space="preserve">Huntington Bancshares (NASDAQ:HBAN) Stock Price Target Cut by Robert W. Baird</t>
  </si>
  <si>
    <t xml:space="preserve">6bafb0b9f31f1eb2f42c5605</t>
  </si>
  <si>
    <t xml:space="preserve">Airbnb’s new policy sends ripples through short-term rentals in Ocean City</t>
  </si>
  <si>
    <t xml:space="preserve">WBOC TV</t>
  </si>
  <si>
    <t xml:space="preserve">2ed4ab30fe5fc6d4abce743b</t>
  </si>
  <si>
    <t xml:space="preserve">ROK</t>
  </si>
  <si>
    <t xml:space="preserve">Rockwell Automation</t>
  </si>
  <si>
    <t xml:space="preserve">Police investigating if North Korean IT worker infiltrated ROK organization</t>
  </si>
  <si>
    <t xml:space="preserve">NK News</t>
  </si>
  <si>
    <t xml:space="preserve">aaaab9111ecaafb900cbd20c</t>
  </si>
  <si>
    <t xml:space="preserve">FBI Now Investigating Theft of 6,451 PSA-Graded Cards from FedEx Truck</t>
  </si>
  <si>
    <t xml:space="preserve">Sports Collectors Daily</t>
  </si>
  <si>
    <t xml:space="preserve">fc3d90e082a027067b13e1c1</t>
  </si>
  <si>
    <t xml:space="preserve">b3c451c36157d4b50e4df7bd</t>
  </si>
  <si>
    <t xml:space="preserve">MSCI data reveals the hidden cost of delayed IPO index inclusion for institutional investors</t>
  </si>
  <si>
    <t xml:space="preserve">Pensions &amp; Investments</t>
  </si>
  <si>
    <t xml:space="preserve">2cdbb848bb1066ecc6fdf8be</t>
  </si>
  <si>
    <t xml:space="preserve">PNC Championship Organizers Reserve a Spot for Tiger Woods &amp; Charlie Amid Reports of Golf Comeback</t>
  </si>
  <si>
    <t xml:space="preserve">شبكة تواصل الإخبارية</t>
  </si>
  <si>
    <t xml:space="preserve">2e2ab89c1ce291706f4c4e4d</t>
  </si>
  <si>
    <t xml:space="preserve">Goldman Sachs Says Gulf Oil Flow Recovery Uncertain Amid Renewed Attacks</t>
  </si>
  <si>
    <t xml:space="preserve">5d00ebe08ab20746910668d8</t>
  </si>
  <si>
    <t xml:space="preserve">Using a three-pin adapter caused the GeForce RTX 5080's pins to burn out.</t>
  </si>
  <si>
    <t xml:space="preserve">1021ea14272613e872658e4e</t>
  </si>
  <si>
    <t xml:space="preserve">Apple Inc. $AAPL Stock: Generate Investment Management Ltd Trims Position</t>
  </si>
  <si>
    <t xml:space="preserve">927d6e3c1cebfc1170795dd1</t>
  </si>
  <si>
    <t xml:space="preserve">Globe Life downgraded at Piper Sandler after Q3 earnings announcement (GL:NYSE)</t>
  </si>
  <si>
    <r>
      <rPr>
        <sz val="10"/>
        <rFont val="Arial"/>
        <family val="0"/>
        <charset val="1"/>
      </rPr>
      <t xml:space="preserve">Piper Sandler </t>
    </r>
    <r>
      <rPr>
        <sz val="10"/>
        <rFont val="Noto Sans CJK SC"/>
        <family val="2"/>
      </rPr>
      <t xml:space="preserve">於財報後調降 </t>
    </r>
    <r>
      <rPr>
        <sz val="10"/>
        <rFont val="Arial"/>
        <family val="0"/>
        <charset val="1"/>
      </rPr>
      <t xml:space="preserve">Globe Life</t>
    </r>
    <r>
      <rPr>
        <sz val="10"/>
        <rFont val="Noto Sans CJK SC"/>
        <family val="2"/>
      </rPr>
      <t xml:space="preserve">。</t>
    </r>
  </si>
  <si>
    <t xml:space="preserve">d3f9a71ca82430c39b5b5123</t>
  </si>
  <si>
    <t xml:space="preserve">Microsoft explains why deleting Prefetch can slow down Windows 11, as it’s “designed to speed up” app launches</t>
  </si>
  <si>
    <t xml:space="preserve">Windows Latest</t>
  </si>
  <si>
    <t xml:space="preserve">aede529f296a935d695e8ea2</t>
  </si>
  <si>
    <t xml:space="preserve">Pomerantz investigates Vertiv Holdings Co for securities fraud after stock crash</t>
  </si>
  <si>
    <r>
      <rPr>
        <sz val="10"/>
        <rFont val="Noto Sans CJK SC"/>
        <family val="2"/>
      </rPr>
      <t xml:space="preserve">律師事務所調查證券詐欺（</t>
    </r>
    <r>
      <rPr>
        <sz val="10"/>
        <rFont val="Arial"/>
        <family val="0"/>
        <charset val="1"/>
      </rPr>
      <t xml:space="preserve">Vertiv</t>
    </r>
    <r>
      <rPr>
        <sz val="10"/>
        <rFont val="Noto Sans CJK SC"/>
        <family val="2"/>
      </rPr>
      <t xml:space="preserve">／</t>
    </r>
    <r>
      <rPr>
        <sz val="10"/>
        <rFont val="Arial"/>
        <family val="0"/>
        <charset val="1"/>
      </rPr>
      <t xml:space="preserve">Merck</t>
    </r>
    <r>
      <rPr>
        <sz val="10"/>
        <rFont val="Noto Sans CJK SC"/>
        <family val="2"/>
      </rPr>
      <t xml:space="preserve">）。</t>
    </r>
  </si>
  <si>
    <t xml:space="preserve">3bf499b79f779411263b2d81</t>
  </si>
  <si>
    <t xml:space="preserve">JBL Soundgear Clips -Open Ear Headphones sees price cut to $99.95</t>
  </si>
  <si>
    <t xml:space="preserve">c2a0f30bdef1338db84c7e63</t>
  </si>
  <si>
    <t xml:space="preserve">Take-Two Interactive (TTWO) Dips More Than Broader Market: What You Should Know</t>
  </si>
  <si>
    <t xml:space="preserve">ca29614cc4b38c0413271629</t>
  </si>
  <si>
    <t xml:space="preserve">Xbox's 1st-ever COO, Helen Chiang, quits after just 3 months</t>
  </si>
  <si>
    <t xml:space="preserve">NewsBytes</t>
  </si>
  <si>
    <t xml:space="preserve">68b99fec89a3de87f620d4ed</t>
  </si>
  <si>
    <t xml:space="preserve">Quest Diagnostics confirms patient data breach in the US — TechCrunch</t>
  </si>
  <si>
    <t xml:space="preserve">UA.NEWS</t>
  </si>
  <si>
    <r>
      <rPr>
        <sz val="10"/>
        <rFont val="Arial"/>
        <family val="0"/>
        <charset val="1"/>
      </rPr>
      <t xml:space="preserve">Quest Diagnostics </t>
    </r>
    <r>
      <rPr>
        <sz val="10"/>
        <rFont val="Noto Sans CJK SC"/>
        <family val="2"/>
      </rPr>
      <t xml:space="preserve">病患資料外洩（含律所調查公告）。</t>
    </r>
  </si>
  <si>
    <t xml:space="preserve">e1eb812849bb0e5ce7aa1a42</t>
  </si>
  <si>
    <t xml:space="preserve">TXN</t>
  </si>
  <si>
    <t xml:space="preserve">Texas Instruments</t>
  </si>
  <si>
    <t xml:space="preserve">Is Texas Instruments Incorporated (NASDAQ:TXN) Potentially Undervalued?</t>
  </si>
  <si>
    <t xml:space="preserve">b88975b5de17736e5af065c5</t>
  </si>
  <si>
    <t xml:space="preserve">Western Digital Price Target Cut to $650.00/Share From $800.00 by Rosenblatt</t>
  </si>
  <si>
    <t xml:space="preserve">938d61101d0481ea274956a5</t>
  </si>
  <si>
    <t xml:space="preserve">Marion County Man Arrested in Shared Uber Battery Dispute</t>
  </si>
  <si>
    <t xml:space="preserve">3f49e68c71f116930cd198da</t>
  </si>
  <si>
    <t xml:space="preserve">Jessica Sharp - Fall Savings at Kroger</t>
  </si>
  <si>
    <t xml:space="preserve">WKYT</t>
  </si>
  <si>
    <t xml:space="preserve">d0d7de6bd5beb8d59209f9bf</t>
  </si>
  <si>
    <t xml:space="preserve">Huntington Bancshares price target lowered to $19 from $21 at Wells Fargo</t>
  </si>
  <si>
    <t xml:space="preserve">fe159c4d0eb2f00c6bebf7ec</t>
  </si>
  <si>
    <t xml:space="preserve">Comcast (CMCSA) Stock May Be A Bargain Following Its Planned Split</t>
  </si>
  <si>
    <t xml:space="preserve">48524c55230769b6ea4a8e27</t>
  </si>
  <si>
    <t xml:space="preserve">The Trade Desk (TTD) - Portfolio Killers: 10 US stocks that wiped out up to 66% of investors’ wealth in 2026</t>
  </si>
  <si>
    <t xml:space="preserve">The Economic Times</t>
  </si>
  <si>
    <t xml:space="preserve">19b4adee0bd7f31d1bd91e93</t>
  </si>
  <si>
    <t xml:space="preserve">Intuit stock: Intuit schedules Connect October 26. Stock is 8.91 percent below USD 385 target</t>
  </si>
  <si>
    <t xml:space="preserve">7016baa34f936400e5da75de</t>
  </si>
  <si>
    <t xml:space="preserve">Xbox' first COO has left after just three months on the job</t>
  </si>
  <si>
    <t xml:space="preserve">ccfd7c14daca6d13f0534c89</t>
  </si>
  <si>
    <t xml:space="preserve">Tesla, Inc. $TSLA Position Lowered by Sterling Capital Management LLC</t>
  </si>
  <si>
    <t xml:space="preserve">c1d1e3032ba30b2e5c8eac18</t>
  </si>
  <si>
    <t xml:space="preserve">Visalia Walmart TV Theft Suspect Arrested After Knife Threat</t>
  </si>
  <si>
    <t xml:space="preserve">060e04a2baca04631c0a2c6b</t>
  </si>
  <si>
    <t xml:space="preserve">El Paso County woman refuses mental exam in Uber driver murder case</t>
  </si>
  <si>
    <t xml:space="preserve">Colorado Springs Gazette</t>
  </si>
  <si>
    <t xml:space="preserve">f382fe3fc1aae961c6981028</t>
  </si>
  <si>
    <t xml:space="preserve">AI雲端狂飆變債務炸彈？Neocloud泡沫疑雲蔓延到美股巨頭 NVDA、MSFT</t>
  </si>
  <si>
    <r>
      <rPr>
        <sz val="10"/>
        <rFont val="Arial"/>
        <family val="0"/>
        <charset val="1"/>
      </rPr>
      <t xml:space="preserve">AI</t>
    </r>
    <r>
      <rPr>
        <sz val="10"/>
        <rFont val="Noto Sans CJK SC"/>
        <family val="2"/>
      </rPr>
      <t xml:space="preserve">雲端狂飆變債務炸彈？</t>
    </r>
    <r>
      <rPr>
        <sz val="10"/>
        <rFont val="Arial"/>
        <family val="0"/>
        <charset val="1"/>
      </rPr>
      <t xml:space="preserve">Neocloud</t>
    </r>
    <r>
      <rPr>
        <sz val="10"/>
        <rFont val="Noto Sans CJK SC"/>
        <family val="2"/>
      </rPr>
      <t xml:space="preserve">泡沫疑雲蔓延到美股巨頭 </t>
    </r>
    <r>
      <rPr>
        <sz val="10"/>
        <rFont val="Arial"/>
        <family val="0"/>
        <charset val="1"/>
      </rPr>
      <t xml:space="preserve">NVDA</t>
    </r>
    <r>
      <rPr>
        <sz val="10"/>
        <rFont val="Noto Sans CJK SC"/>
        <family val="2"/>
      </rPr>
      <t xml:space="preserve">、</t>
    </r>
    <r>
      <rPr>
        <sz val="10"/>
        <rFont val="Arial"/>
        <family val="0"/>
        <charset val="1"/>
      </rPr>
      <t xml:space="preserve">MSFT</t>
    </r>
  </si>
  <si>
    <r>
      <rPr>
        <sz val="10"/>
        <rFont val="Arial"/>
        <family val="0"/>
        <charset val="1"/>
      </rPr>
      <t xml:space="preserve">CMoney</t>
    </r>
    <r>
      <rPr>
        <sz val="10"/>
        <rFont val="Noto Sans CJK SC"/>
        <family val="2"/>
      </rPr>
      <t xml:space="preserve">投資網誌</t>
    </r>
  </si>
  <si>
    <t xml:space="preserve">3d0325e48ee1507388a06ac5</t>
  </si>
  <si>
    <t xml:space="preserve">Xbox COO Helen Chiang leaves Microsoft three months after taking the job</t>
  </si>
  <si>
    <t xml:space="preserve">Notebookcheck</t>
  </si>
  <si>
    <t xml:space="preserve">7ffec63033487e15d7382bc7</t>
  </si>
  <si>
    <t xml:space="preserve">Xbox COO Helen Chiang leaves Microsoft after three months, with no successor named</t>
  </si>
  <si>
    <t xml:space="preserve">GamesReviews.com</t>
  </si>
  <si>
    <t xml:space="preserve">c9c8e37fdc229b6a3518e703</t>
  </si>
  <si>
    <t xml:space="preserve">WMB</t>
  </si>
  <si>
    <t xml:space="preserve">Williams Companies</t>
  </si>
  <si>
    <t xml:space="preserve">Williams Companies (WMB) Outpaced The Market, Is The Stock Now Too Expensive?</t>
  </si>
  <si>
    <t xml:space="preserve">fb68876bc41fff17cd661bb9</t>
  </si>
  <si>
    <t xml:space="preserve">Teen Flees Abington Walmart With Loaded Gun, Police Say</t>
  </si>
  <si>
    <t xml:space="preserve">d49fd9c1cd3f3b052712d1b8</t>
  </si>
  <si>
    <t xml:space="preserve">McDonald's worker accidentally gives customer 4 Monopoly stickers on cup. Then she peels them off</t>
  </si>
  <si>
    <t xml:space="preserve">af138c8e35db7a73c037acfe</t>
  </si>
  <si>
    <t xml:space="preserve">URI vs Albany fall to UAlbany in a shootout on Saturday.</t>
  </si>
  <si>
    <t xml:space="preserve">The Providence Journal</t>
  </si>
  <si>
    <t xml:space="preserve">704a392ad871d14a179ae9ef</t>
  </si>
  <si>
    <t xml:space="preserve">Broadcom Inc. $AVGO Stock: Axecap Investments LLC Decreases Position</t>
  </si>
  <si>
    <t xml:space="preserve">e49a3dea6ca38346f67cebcc</t>
  </si>
  <si>
    <t xml:space="preserve">S&amp;P 500, Dow Drop As Elevated Oil Prices Stoke Inflation Fears Ahead Of Fed Meeting Next Week — AAPL, AXP, CART, UBER In Focus</t>
  </si>
  <si>
    <t xml:space="preserve">88ff2e2dbf754b5aa6d32657</t>
  </si>
  <si>
    <t xml:space="preserve">Judge sends Springfield-MGM dispute over host community agreement to arbitration</t>
  </si>
  <si>
    <t xml:space="preserve">WWLP</t>
  </si>
  <si>
    <t xml:space="preserve">cb92fbe928f3b8e59ae1cb8e</t>
  </si>
  <si>
    <t xml:space="preserve">Is MGM Resorts International (MGM) a Bargain After 4.9% Drop? GF Value Says Undervalued</t>
  </si>
  <si>
    <t xml:space="preserve">3a164e8aa469a1a451d0fd53</t>
  </si>
  <si>
    <t xml:space="preserve">623156041df2bc3e8711ba5b</t>
  </si>
  <si>
    <t xml:space="preserve">TEL</t>
  </si>
  <si>
    <t xml:space="preserve">TE Connectivity</t>
  </si>
  <si>
    <t xml:space="preserve">TE Connectivity (TEL) Could Be 16% Undervalued As Earnings Views Improve</t>
  </si>
  <si>
    <t xml:space="preserve">cb428030e151b410bb75790e</t>
  </si>
  <si>
    <t xml:space="preserve">Possible Bearish Signals With Broadcom Insiders Disposing Stock</t>
  </si>
  <si>
    <t xml:space="preserve">786c0f6fb44eb0161059b65d</t>
  </si>
  <si>
    <t xml:space="preserve">NFL star ruthlessly booed every time he touches the ball despite groveling apology</t>
  </si>
  <si>
    <t xml:space="preserve">b594e4afacee43c607bca6c2</t>
  </si>
  <si>
    <t xml:space="preserve">‘Real consequences’: AT&amp;T, Verizon and T-Mobile warn FCC as Elon Musk plots a SpaceX phone network for the US by 2028</t>
  </si>
  <si>
    <t xml:space="preserve">70b53170f6eea226d3cba016</t>
  </si>
  <si>
    <t xml:space="preserve">4e9065e0345ed65ec367e191</t>
  </si>
  <si>
    <t xml:space="preserve">CMS has barred new brokers, agents from registering to sell plans on the ACA marketplace</t>
  </si>
  <si>
    <t xml:space="preserve">Healthcare Brew</t>
  </si>
  <si>
    <t xml:space="preserve">daa54d974cdce986a9d00976</t>
  </si>
  <si>
    <t xml:space="preserve">IQV</t>
  </si>
  <si>
    <t xml:space="preserve">IQVIA</t>
  </si>
  <si>
    <t xml:space="preserve">Locking in Gains: Portfolio Discipline Triggers IQVIA Holding (IQV) Trim After Q2 Beat</t>
  </si>
  <si>
    <t xml:space="preserve">0c85fc967b7e1ea511841fb3</t>
  </si>
  <si>
    <t xml:space="preserve">SA Asks: Netflix hit a 52-week low this week. Is now the time to buy?</t>
  </si>
  <si>
    <t xml:space="preserve">bc3c8a8c1beb1e19cae1ea1b</t>
  </si>
  <si>
    <t xml:space="preserve">Tesla and Nvidia just found another AI bottleneck</t>
  </si>
  <si>
    <t xml:space="preserve">55dbf456f29af4f0d7a34b2e</t>
  </si>
  <si>
    <t xml:space="preserve">Both suspects now in custody after innocent man killed outside Walmart</t>
  </si>
  <si>
    <t xml:space="preserve">WSB-TV</t>
  </si>
  <si>
    <t xml:space="preserve">cee344803eddca1c17f5e905</t>
  </si>
  <si>
    <t xml:space="preserve">Lam Research (NASDAQ:LRCX) Downgraded by Zacks Research to Hold</t>
  </si>
  <si>
    <t xml:space="preserve">18ee3a4bedbbad95a1a5573d</t>
  </si>
  <si>
    <t xml:space="preserve">ADSK</t>
  </si>
  <si>
    <t xml:space="preserve">Autodesk</t>
  </si>
  <si>
    <t xml:space="preserve">Autodesk, Inc. $ADSK Stock Position Cut by Investment House LLC</t>
  </si>
  <si>
    <t xml:space="preserve">b04c5608813e2f8f8948846e</t>
  </si>
  <si>
    <t xml:space="preserve">CRH</t>
  </si>
  <si>
    <t xml:space="preserve">CRH plc</t>
  </si>
  <si>
    <t xml:space="preserve">CRH (CRH) Stock May Be 27% Undervalued On Its $8.5B Deal</t>
  </si>
  <si>
    <t xml:space="preserve">f4d9e098b8cc278d73027ccf</t>
  </si>
  <si>
    <t xml:space="preserve">LEN</t>
  </si>
  <si>
    <t xml:space="preserve">Lennar</t>
  </si>
  <si>
    <t xml:space="preserve">Did Falling Treasury Yields Just Shift Lennar's (LEN) Stock Narrative?</t>
  </si>
  <si>
    <t xml:space="preserve">ad45d828f439e042df51881e</t>
  </si>
  <si>
    <t xml:space="preserve">Six More Firms, Including Wells Fargo and Intuit, Oppose OKX-ICE Tokenized Trading</t>
  </si>
  <si>
    <t xml:space="preserve">The Crypto Times</t>
  </si>
  <si>
    <t xml:space="preserve">91a0bf881fd7fba31f3cade0</t>
  </si>
  <si>
    <t xml:space="preserve">Western Digital Corporation Stock 12‑Month Price Target Cut to $652.87, Implies 84% Upside</t>
  </si>
  <si>
    <t xml:space="preserve">39213e84a63a53d1d528fd8c</t>
  </si>
  <si>
    <t xml:space="preserve">Pacers Sports &amp; Entertainment announces departure of Amber Cox, Indiana Fever COO and GM</t>
  </si>
  <si>
    <t xml:space="preserve">Indiana Fever</t>
  </si>
  <si>
    <t xml:space="preserve">1ac3f0d067442138d5fb296c</t>
  </si>
  <si>
    <t xml:space="preserve">Boynton Beach Mall to close as Lennar plans redevelopment</t>
  </si>
  <si>
    <t xml:space="preserve">WPBF</t>
  </si>
  <si>
    <t xml:space="preserve">fd2c329f00f1504eea9fd9f1</t>
  </si>
  <si>
    <t xml:space="preserve">CMG Maintained by Mizuho -- Price Target Lowered to $37.00</t>
  </si>
  <si>
    <t xml:space="preserve">0e7905c9d428828baf35beba</t>
  </si>
  <si>
    <t xml:space="preserve">Atlanta filmmaker’s CVS coupon for Zenpep suddenly stops working</t>
  </si>
  <si>
    <t xml:space="preserve">Attack of the Fanboy</t>
  </si>
  <si>
    <t xml:space="preserve">cd9c1be34e9a4ba53a4d5907</t>
  </si>
  <si>
    <t xml:space="preserve">Women Take Hourlong Uber To Nashville. Then The Driver Does Something Dangerous: 'I Would Have Lost My Mind'</t>
  </si>
  <si>
    <t xml:space="preserve">Motor1.com</t>
  </si>
  <si>
    <t xml:space="preserve">6ffb9bcc15335f14010adc3f</t>
  </si>
  <si>
    <t xml:space="preserve">MR. TITO: What If TKO's WWE Crown Jewel 2026 Gets Attacked in Saudi Arabia on November 7th?</t>
  </si>
  <si>
    <t xml:space="preserve">NoDQ.com</t>
  </si>
  <si>
    <t xml:space="preserve">0790833d8ca358c79ae5b03a</t>
  </si>
  <si>
    <t xml:space="preserve">Tesla, Inc. $TSLA Stock: Howland Capital Management LLC Cuts Stake</t>
  </si>
  <si>
    <t xml:space="preserve">4554749a3c3bcf7b9fcff0ec</t>
  </si>
  <si>
    <t xml:space="preserve">CME boss urges MPs to spare WA from punishing gas laws</t>
  </si>
  <si>
    <t xml:space="preserve">The West Australian</t>
  </si>
  <si>
    <t xml:space="preserve">98414fc9a3109717b87218ed</t>
  </si>
  <si>
    <t xml:space="preserve">Pokémon and sports card collectors outraged as PSA-graded cards stolen in delivery truck heist</t>
  </si>
  <si>
    <t xml:space="preserve">375918d91543fb6ff1458785</t>
  </si>
  <si>
    <t xml:space="preserve">San Jose rejects appeal of NVIDIA data center permit as environmental concerns persist</t>
  </si>
  <si>
    <t xml:space="preserve">Local News Matters</t>
  </si>
  <si>
    <t xml:space="preserve">2d516de6d00548a803064451</t>
  </si>
  <si>
    <t xml:space="preserve">OXY</t>
  </si>
  <si>
    <t xml:space="preserve">Occidental Petroleum</t>
  </si>
  <si>
    <t xml:space="preserve">Occidental Petroleum Corp. stock underperforms Friday when compared to competitors despite daily gains</t>
  </si>
  <si>
    <t xml:space="preserve">9f5d9f9c0be09e04fb4deaa4</t>
  </si>
  <si>
    <t xml:space="preserve">Quote of the day by Microsoft CEO Satya Nadella: 'We have to do something useful with AI, or we'll quickly lose social permission' — challenging AI pioneers to step up their game</t>
  </si>
  <si>
    <t xml:space="preserve">TechRadar</t>
  </si>
  <si>
    <t xml:space="preserve">f59203aac660f66ed1e8693b</t>
  </si>
  <si>
    <t xml:space="preserve">Lam Research (LRCX) Stock Faces Q1 Earnings Quality Questions After Records</t>
  </si>
  <si>
    <t xml:space="preserve">edf504407d8a119afd1b5552</t>
  </si>
  <si>
    <t xml:space="preserve">Willis Towers Watson Whistleblower Case: Bengaluru Court Awards ₹3.67 Crore in Damages | SCC Times</t>
  </si>
  <si>
    <t xml:space="preserve">SCC Online</t>
  </si>
  <si>
    <r>
      <rPr>
        <sz val="10"/>
        <rFont val="Noto Sans CJK SC"/>
        <family val="2"/>
      </rPr>
      <t xml:space="preserve">印度法院判 </t>
    </r>
    <r>
      <rPr>
        <sz val="10"/>
        <rFont val="Arial"/>
        <family val="0"/>
        <charset val="1"/>
      </rPr>
      <t xml:space="preserve">Willis Towers Watson </t>
    </r>
    <r>
      <rPr>
        <sz val="10"/>
        <rFont val="Noto Sans CJK SC"/>
        <family val="2"/>
      </rPr>
      <t xml:space="preserve">賠償吹哨者。</t>
    </r>
  </si>
  <si>
    <t xml:space="preserve">d119ae065d8328bb71ccfc13</t>
  </si>
  <si>
    <t xml:space="preserve">GEV</t>
  </si>
  <si>
    <t xml:space="preserve">GE Vernova</t>
  </si>
  <si>
    <t xml:space="preserve">GE Vernova Stock Fell 11% in a Day. Here's What I Think It Could Be Worth by 2030.</t>
  </si>
  <si>
    <r>
      <rPr>
        <sz val="10"/>
        <rFont val="Arial"/>
        <family val="0"/>
        <charset val="1"/>
      </rPr>
      <t xml:space="preserve">GE Vernova </t>
    </r>
    <r>
      <rPr>
        <sz val="10"/>
        <rFont val="Noto Sans CJK SC"/>
        <family val="2"/>
      </rPr>
      <t xml:space="preserve">單日下跌 </t>
    </r>
    <r>
      <rPr>
        <sz val="10"/>
        <rFont val="Arial"/>
        <family val="0"/>
        <charset val="1"/>
      </rPr>
      <t xml:space="preserve">11%</t>
    </r>
    <r>
      <rPr>
        <sz val="10"/>
        <rFont val="Noto Sans CJK SC"/>
        <family val="2"/>
      </rPr>
      <t xml:space="preserve">。</t>
    </r>
  </si>
  <si>
    <t xml:space="preserve">bdb7515e8ab0ceafb3ac76fb</t>
  </si>
  <si>
    <t xml:space="preserve">Exynos 2700 Internal Tests Show Qualcomm’s 2nm And New Snapdragon 8 Elite Extreme Gen 6 Packaging Bet Failed; Samsung’s Flagship SoC 20% Faster In CPU, GPU Workloads</t>
  </si>
  <si>
    <t xml:space="preserve">Wccftech</t>
  </si>
  <si>
    <t xml:space="preserve">53ddddb6a82258f039575f3e</t>
  </si>
  <si>
    <t xml:space="preserve">ORLY</t>
  </si>
  <si>
    <t xml:space="preserve">O’Reilly Automotive</t>
  </si>
  <si>
    <t xml:space="preserve">O'Reilly Automotive, Inc. $ORLY Stock: Axxcess Wealth Management LLC Cuts Stake</t>
  </si>
  <si>
    <t xml:space="preserve">b60c4cb63c62e835f78163ce</t>
  </si>
  <si>
    <t xml:space="preserve">Analog Devices schedules November results while stock trades at EUR 347.10</t>
  </si>
  <si>
    <t xml:space="preserve">6d0fd4ac1d182ee5b49f62cf</t>
  </si>
  <si>
    <t xml:space="preserve">Asheboro Walmart Crash Kills Woman, No Charges Filed</t>
  </si>
  <si>
    <t xml:space="preserve">791fb660db599f866ea8bae1</t>
  </si>
  <si>
    <t xml:space="preserve">Corteva Declares Quarterly Dividend</t>
  </si>
  <si>
    <t xml:space="preserve">4a223faf619453c50bbfe2d5</t>
  </si>
  <si>
    <t xml:space="preserve">Train or Cut? From HSBC to Kroger, AI Layoffs Keep Rising. Here Is What They Really Cost Compared With Reskilling</t>
  </si>
  <si>
    <t xml:space="preserve">AICERTs</t>
  </si>
  <si>
    <t xml:space="preserve">5cd8a794fc06c472c02960bf</t>
  </si>
  <si>
    <t xml:space="preserve">Analysts’ Opinions Are Mixed on These Industrial Goods Stocks: Union Pacific (UNP), Waste Connections (WCN) and Bloom Energy (BE)</t>
  </si>
  <si>
    <t xml:space="preserve">a993dab2881ca2a1efed94cf</t>
  </si>
  <si>
    <t xml:space="preserve">Bristol Myers Squibb reports patient death in early-stage cell therapy trial</t>
  </si>
  <si>
    <t xml:space="preserve">Mezha.net</t>
  </si>
  <si>
    <r>
      <rPr>
        <sz val="10"/>
        <rFont val="Arial"/>
        <family val="0"/>
        <charset val="1"/>
      </rPr>
      <t xml:space="preserve">BMS </t>
    </r>
    <r>
      <rPr>
        <sz val="10"/>
        <rFont val="Noto Sans CJK SC"/>
        <family val="2"/>
      </rPr>
      <t xml:space="preserve">早期細胞治療試驗出現病患死亡。</t>
    </r>
  </si>
  <si>
    <t xml:space="preserve">8be6831f8a92379ca771507b</t>
  </si>
  <si>
    <t xml:space="preserve">GIS</t>
  </si>
  <si>
    <t xml:space="preserve">General Mills</t>
  </si>
  <si>
    <t xml:space="preserve">BofA cuts General Mills stock target to USD 40.00</t>
  </si>
  <si>
    <t xml:space="preserve">013e4e314d9775049d1f7427</t>
  </si>
  <si>
    <t xml:space="preserve">2nd suspect arrested in deadly shooting of 81-year-old at Gainesville Walmart</t>
  </si>
  <si>
    <t xml:space="preserve">Atlanta News First</t>
  </si>
  <si>
    <t xml:space="preserve">0cfa1f44101ce267faea2df3</t>
  </si>
  <si>
    <t xml:space="preserve">Rabbi charged with murder after man fatally struck at SoCal Costco</t>
  </si>
  <si>
    <t xml:space="preserve">d4e3d7d9854f5671d46175c1</t>
  </si>
  <si>
    <t xml:space="preserve">Analysts Conflicted on These Financial Names: SLR Investment Corp. (SLRC) and CME Group (CME)</t>
  </si>
  <si>
    <t xml:space="preserve">94145ce51e456b945cff4efe</t>
  </si>
  <si>
    <t xml:space="preserve">MDT</t>
  </si>
  <si>
    <t xml:space="preserve">Medtronic</t>
  </si>
  <si>
    <t xml:space="preserve">Severe Thunderstorm Watch Issued for Parts of New Mexico and Texas Until 10 PM MDT</t>
  </si>
  <si>
    <t xml:space="preserve">cedarnews.net</t>
  </si>
  <si>
    <t xml:space="preserve">2a351ed08df748705c709f07</t>
  </si>
  <si>
    <t xml:space="preserve">Capital One (COF) Stock May Be 38% Undervalued Despite Strong Q3 Earnings</t>
  </si>
  <si>
    <t xml:space="preserve">36770949817752d614a6aa79</t>
  </si>
  <si>
    <t xml:space="preserve">BRZE Stock Gets Multiple Downgrades After $5.66B Salesforce Deal — Analysts See Shareholder Win, Potential Boost For Software Valuations</t>
  </si>
  <si>
    <t xml:space="preserve">da5dae405e69b9d917c47f74</t>
  </si>
  <si>
    <t xml:space="preserve">DUK</t>
  </si>
  <si>
    <t xml:space="preserve">Duke Energy</t>
  </si>
  <si>
    <t xml:space="preserve">Duke Energy (NYSE:DUK): Why This Utility Looks Steady In A Shaky Market?</t>
  </si>
  <si>
    <t xml:space="preserve">Kalkine Media</t>
  </si>
  <si>
    <t xml:space="preserve">55458b685fecc2d76ff4ac8b</t>
  </si>
  <si>
    <t xml:space="preserve">The Trade Desk: Great Tech, Bad Timing; Hold (NASDAQ:TTD)</t>
  </si>
  <si>
    <t xml:space="preserve">ee6acaa6168be5184a8741a2</t>
  </si>
  <si>
    <t xml:space="preserve">Xbox COO Helen Chiang leaves Microsoft after 21 years</t>
  </si>
  <si>
    <t xml:space="preserve">se7en.ws</t>
  </si>
  <si>
    <t xml:space="preserve">ebae5b074456e9f5f4e127af</t>
  </si>
  <si>
    <t xml:space="preserve">Bronstein, Gewirtz &amp; Grossman, LLC Is Investigating Merck &amp; Co., Inc. (MRK) And Encourages Stockholders to Connect</t>
  </si>
  <si>
    <t xml:space="preserve">The National Law Review</t>
  </si>
  <si>
    <t xml:space="preserve">83629096378a92e68de00081</t>
  </si>
  <si>
    <t xml:space="preserve">Labor Deal Could Change The Bull Case For Sysco (SYY)</t>
  </si>
  <si>
    <t xml:space="preserve">3c4152e80b481fd7e74fbb1b</t>
  </si>
  <si>
    <t xml:space="preserve">MRVL</t>
  </si>
  <si>
    <t xml:space="preserve">Marvell Technology</t>
  </si>
  <si>
    <t xml:space="preserve">Marvell Technology Faces a Multi-Front War Against Taiwan’s Custom Silicon Ecosystem</t>
  </si>
  <si>
    <t xml:space="preserve">d15b53545a96c73679f4c0cc</t>
  </si>
  <si>
    <t xml:space="preserve">Apple Inc. $AAPL Stock: 4WEALTH Advisors Inc. Decreases Position</t>
  </si>
  <si>
    <t xml:space="preserve">1c9eeebc368a8985c8ce1d6c</t>
  </si>
  <si>
    <t xml:space="preserve">Wells Fargo, Intuit and 20 other companies oppose tokenized stock trading on OKX</t>
  </si>
  <si>
    <t xml:space="preserve">Business Upturn</t>
  </si>
  <si>
    <t xml:space="preserve">b6ec7bae5cd217e1eb1c303d</t>
  </si>
  <si>
    <t xml:space="preserve">HBAN Maintained by Wells Fargo -- Price Target Lowered to $19.00</t>
  </si>
  <si>
    <t xml:space="preserve">1ac75a1ae2f16bf04d68495b</t>
  </si>
  <si>
    <t xml:space="preserve">Xbox COO Helen Chiang Leaves Microsoft Just Over Three Months After Taking the Job</t>
  </si>
  <si>
    <t xml:space="preserve">Shane the Gamer</t>
  </si>
  <si>
    <t xml:space="preserve">b071bd60de9604adcbdbc421</t>
  </si>
  <si>
    <t xml:space="preserve">GLW</t>
  </si>
  <si>
    <t xml:space="preserve">Corning Inc.</t>
  </si>
  <si>
    <t xml:space="preserve">Corning declares quarterly dividend as stock trades at EUR 110.51</t>
  </si>
  <si>
    <t xml:space="preserve">c741e099e1b26aee690bab9d</t>
  </si>
  <si>
    <t xml:space="preserve">AT&amp;T和T-Mobile收緊人工智能監管措施，而自主網絡的實現仍需數年時間</t>
  </si>
  <si>
    <r>
      <rPr>
        <sz val="10"/>
        <rFont val="Arial"/>
        <family val="0"/>
        <charset val="1"/>
      </rPr>
      <t xml:space="preserve">AT&amp;T</t>
    </r>
    <r>
      <rPr>
        <sz val="10"/>
        <rFont val="Noto Sans CJK SC"/>
        <family val="2"/>
      </rPr>
      <t xml:space="preserve">和</t>
    </r>
    <r>
      <rPr>
        <sz val="10"/>
        <rFont val="Arial"/>
        <family val="0"/>
        <charset val="1"/>
      </rPr>
      <t xml:space="preserve">T-Mobile</t>
    </r>
    <r>
      <rPr>
        <sz val="10"/>
        <rFont val="Noto Sans CJK SC"/>
        <family val="2"/>
      </rPr>
      <t xml:space="preserve">收緊人工智能監管措施，而自主網絡的實現仍需數年時間</t>
    </r>
  </si>
  <si>
    <t xml:space="preserve">8fb3fa5ca0cfbcd34292a9c8</t>
  </si>
  <si>
    <t xml:space="preserve">b70b4bc073f013a127005269</t>
  </si>
  <si>
    <t xml:space="preserve">Xbox’s brand-new COO already leaves Microsoft after three months</t>
  </si>
  <si>
    <t xml:space="preserve">JournalArta</t>
  </si>
  <si>
    <t xml:space="preserve">9b222bc0f6f6504adc75f468</t>
  </si>
  <si>
    <t xml:space="preserve">Boeing 777F production idle for two months: Reuters</t>
  </si>
  <si>
    <t xml:space="preserve">The STAT Trade Times</t>
  </si>
  <si>
    <r>
      <rPr>
        <sz val="10"/>
        <rFont val="Noto Sans CJK SC"/>
        <family val="2"/>
      </rPr>
      <t xml:space="preserve">波音 </t>
    </r>
    <r>
      <rPr>
        <sz val="10"/>
        <rFont val="Arial"/>
        <family val="0"/>
        <charset val="1"/>
      </rPr>
      <t xml:space="preserve">777 </t>
    </r>
    <r>
      <rPr>
        <sz val="10"/>
        <rFont val="Noto Sans CJK SC"/>
        <family val="2"/>
      </rPr>
      <t xml:space="preserve">貨機停產兩個月（路透）。</t>
    </r>
  </si>
  <si>
    <t xml:space="preserve">39e1ef6551ea71026df91727</t>
  </si>
  <si>
    <t xml:space="preserve">2 teenage suspect arrested in Gainesville Walmart shooting</t>
  </si>
  <si>
    <t xml:space="preserve">ebd1218036a82e81bcb694a4</t>
  </si>
  <si>
    <t xml:space="preserve">Microsoft Gaming Executive Helen Chiang Steps Down as Xbox COO</t>
  </si>
  <si>
    <t xml:space="preserve">Analytics Insight</t>
  </si>
  <si>
    <t xml:space="preserve">9aa3c418f8baa50ad17f9d04</t>
  </si>
  <si>
    <t xml:space="preserve">GoDaddy Revokes 404,607 SSL Certificates After Policy Errors</t>
  </si>
  <si>
    <t xml:space="preserve">Hackread</t>
  </si>
  <si>
    <r>
      <rPr>
        <sz val="10"/>
        <rFont val="Arial"/>
        <family val="0"/>
        <charset val="1"/>
      </rPr>
      <t xml:space="preserve">GoDaddy </t>
    </r>
    <r>
      <rPr>
        <sz val="10"/>
        <rFont val="Noto Sans CJK SC"/>
        <family val="2"/>
      </rPr>
      <t xml:space="preserve">因政策錯誤撤銷 </t>
    </r>
    <r>
      <rPr>
        <sz val="10"/>
        <rFont val="Arial"/>
        <family val="0"/>
        <charset val="1"/>
      </rPr>
      <t xml:space="preserve">404,607 </t>
    </r>
    <r>
      <rPr>
        <sz val="10"/>
        <rFont val="Noto Sans CJK SC"/>
        <family val="2"/>
      </rPr>
      <t xml:space="preserve">張 </t>
    </r>
    <r>
      <rPr>
        <sz val="10"/>
        <rFont val="Arial"/>
        <family val="0"/>
        <charset val="1"/>
      </rPr>
      <t xml:space="preserve">SSL </t>
    </r>
    <r>
      <rPr>
        <sz val="10"/>
        <rFont val="Noto Sans CJK SC"/>
        <family val="2"/>
      </rPr>
      <t xml:space="preserve">憑證。</t>
    </r>
  </si>
  <si>
    <t xml:space="preserve">7cfae7f23e0a96cd512f654f</t>
  </si>
  <si>
    <t xml:space="preserve">“They Need to Be Banned”: Aaron Pico Demands Punishment for Ranked UFC Fighters After TKO Win</t>
  </si>
  <si>
    <t xml:space="preserve">EssentiallySports</t>
  </si>
  <si>
    <t xml:space="preserve">d5772a3c8b236cecc9ecc941</t>
  </si>
  <si>
    <t xml:space="preserve">What's Going on With Boeing Shares on Friday?</t>
  </si>
  <si>
    <t xml:space="preserve">17aa51501dc2f50d288a8e07</t>
  </si>
  <si>
    <t xml:space="preserve">A Look at Tractor Supply Co (TSCO) After 3.8% Decline -- GF Value $57.59 vs Price $33.42</t>
  </si>
  <si>
    <t xml:space="preserve">378580b0a454f0b897afb2df</t>
  </si>
  <si>
    <t xml:space="preserve">PRIVACY ALERT: AWKO Law LLP Investigates Quest Diagnostics for Data Breach of Patient Records</t>
  </si>
  <si>
    <t xml:space="preserve">3b91540297291fb5fb7ababc</t>
  </si>
  <si>
    <t xml:space="preserve">Emcor Group (EME) Dips More Than Broader Market: What You Should Know</t>
  </si>
  <si>
    <t xml:space="preserve">Yahoo Finance Singapore</t>
  </si>
  <si>
    <t xml:space="preserve">bd252bd3543cdd85709e3092</t>
  </si>
  <si>
    <t xml:space="preserve">VTR</t>
  </si>
  <si>
    <t xml:space="preserve">Ventas</t>
  </si>
  <si>
    <t xml:space="preserve">Ventas, Inc. $VTR Stake Decreased by Robeco Institutional Asset Management B.V.</t>
  </si>
  <si>
    <t xml:space="preserve">20562dff7ce6ff971fd1002f</t>
  </si>
  <si>
    <t xml:space="preserve">Genuine Parts (GPC) Stock Looks Undervalued On Future Cash Flow</t>
  </si>
  <si>
    <t xml:space="preserve">50d807379885b1cd522be243</t>
  </si>
  <si>
    <t xml:space="preserve">Quest Diagnostics Data Breach Exposed ‘Certain Patient Records’</t>
  </si>
  <si>
    <t xml:space="preserve">SecurityWeek</t>
  </si>
  <si>
    <t xml:space="preserve">277902c6804245c548383a64</t>
  </si>
  <si>
    <t xml:space="preserve">Salesforce (NYSE:CRM): A Quality Investing Candidate With Mixed Fundamentals</t>
  </si>
  <si>
    <t xml:space="preserve">ChartMill</t>
  </si>
  <si>
    <t xml:space="preserve">54a7cb459d5ca90e18939576</t>
  </si>
  <si>
    <t xml:space="preserve">富國銀行、Intuit等公司反對將其股份進行通證化——監管文件顯示</t>
  </si>
  <si>
    <r>
      <rPr>
        <sz val="10"/>
        <rFont val="Noto Sans CJK SC"/>
        <family val="2"/>
      </rPr>
      <t xml:space="preserve">富國銀行、</t>
    </r>
    <r>
      <rPr>
        <sz val="10"/>
        <rFont val="Arial"/>
        <family val="0"/>
        <charset val="1"/>
      </rPr>
      <t xml:space="preserve">Intuit</t>
    </r>
    <r>
      <rPr>
        <sz val="10"/>
        <rFont val="Noto Sans CJK SC"/>
        <family val="2"/>
      </rPr>
      <t xml:space="preserve">等公司反對將其股份進行通證化——監管文件顯示</t>
    </r>
  </si>
  <si>
    <t xml:space="preserve">ef711b8f13dcbd8963b9a957</t>
  </si>
  <si>
    <t xml:space="preserve">The Bank of America case makes data governance a financial crime control</t>
  </si>
  <si>
    <t xml:space="preserve">ACAMS</t>
  </si>
  <si>
    <t xml:space="preserve">a08beb290f1c25a2ad8fa3da</t>
  </si>
  <si>
    <t xml:space="preserve">Uber Airport Fare Scam: Delhi Man Spots Driver’s Trick To Demand Rs 1,780 Instead Of Actual Fare Of Rs 885</t>
  </si>
  <si>
    <t xml:space="preserve">Oneindia</t>
  </si>
  <si>
    <t xml:space="preserve">d73193da20faae5e6dfe334c</t>
  </si>
  <si>
    <t xml:space="preserve">Revenue Jump Could Change The Case For EOG Resources Stock (EOG)</t>
  </si>
  <si>
    <t xml:space="preserve">b69bb8abe107c90f20969bc0</t>
  </si>
  <si>
    <t xml:space="preserve">SpaceX Can't Find Spare Nvidia, Google or Amazon Chips Despite Billions to Spend, Strategist Terms It 'Pretty Insane'</t>
  </si>
  <si>
    <t xml:space="preserve">e883bf01b332ff9e20f207ec</t>
  </si>
  <si>
    <t xml:space="preserve">CVX</t>
  </si>
  <si>
    <t xml:space="preserve">Chevron Corporation</t>
  </si>
  <si>
    <t xml:space="preserve">Chevron Stock Moves Higher: What's Going On?</t>
  </si>
  <si>
    <t xml:space="preserve">7a77ece134e5f1966feafb49</t>
  </si>
  <si>
    <t xml:space="preserve">Old Dominion Freight Line, Inc. $ODFL Position Lowered by Nisa Investment Advisors LLC</t>
  </si>
  <si>
    <t xml:space="preserve">f3a50a44a7ce1d91291ab807</t>
  </si>
  <si>
    <t xml:space="preserve">Man sentenced to 40 years for shooting occupied FedEx truck in 2024 in Okaloosa County</t>
  </si>
  <si>
    <t xml:space="preserve">WEAR-TV</t>
  </si>
  <si>
    <t xml:space="preserve">91dae001eaaaae956dce4d05</t>
  </si>
  <si>
    <t xml:space="preserve">Bla man detained under PSA, lodged in Anantnag Jail</t>
  </si>
  <si>
    <t xml:space="preserve">Brighter Kashmir</t>
  </si>
  <si>
    <t xml:space="preserve">171000e91c8f1e61f49a12a0</t>
  </si>
  <si>
    <t xml:space="preserve">“They said they’d supply Market Kurly and Starbucks” ... CEO swindles acquaintances out of 300 million won [Scammers]</t>
  </si>
  <si>
    <t xml:space="preserve">파이낸셜뉴스</t>
  </si>
  <si>
    <t xml:space="preserve">f9ce803bf081a0bb21f2e5a2</t>
  </si>
  <si>
    <t xml:space="preserve">BREAKING: CMS opens applications for nursing home staffing campaign</t>
  </si>
  <si>
    <t xml:space="preserve">McKnight's Long-Term Care News</t>
  </si>
  <si>
    <t xml:space="preserve">6d1fa8210825a450323cd1c2</t>
  </si>
  <si>
    <t xml:space="preserve">Microsoft 365 accounts compromised at 79 organizations, no passwords needed</t>
  </si>
  <si>
    <t xml:space="preserve">Help Net Security</t>
  </si>
  <si>
    <r>
      <rPr>
        <sz val="10"/>
        <rFont val="Arial"/>
        <family val="0"/>
        <charset val="1"/>
      </rPr>
      <t xml:space="preserve">Microsoft 365 </t>
    </r>
    <r>
      <rPr>
        <sz val="10"/>
        <rFont val="Noto Sans CJK SC"/>
        <family val="2"/>
      </rPr>
      <t xml:space="preserve">帳戶在 </t>
    </r>
    <r>
      <rPr>
        <sz val="10"/>
        <rFont val="Arial"/>
        <family val="0"/>
        <charset val="1"/>
      </rPr>
      <t xml:space="preserve">79 </t>
    </r>
    <r>
      <rPr>
        <sz val="10"/>
        <rFont val="Noto Sans CJK SC"/>
        <family val="2"/>
      </rPr>
      <t xml:space="preserve">個組織被入侵（無需密碼）。</t>
    </r>
  </si>
  <si>
    <t xml:space="preserve">6303da9cce847992f746967d</t>
  </si>
  <si>
    <t xml:space="preserve">Second suspect in deadly Gainesville Walmart shooting surrenders</t>
  </si>
  <si>
    <t xml:space="preserve">Now Georgia</t>
  </si>
  <si>
    <t xml:space="preserve">1399917968a8a116b126f715</t>
  </si>
  <si>
    <t xml:space="preserve">The man facing murder charge in death of man near Costco gas pumps is a rabbi, records show</t>
  </si>
  <si>
    <t xml:space="preserve">Los Angeles Times</t>
  </si>
  <si>
    <t xml:space="preserve">70f668101464b298c5d54ead</t>
  </si>
  <si>
    <t xml:space="preserve">UDR</t>
  </si>
  <si>
    <t xml:space="preserve">UDR, Inc.</t>
  </si>
  <si>
    <t xml:space="preserve">UDR (UDR) Could Be 11% Undervalued Following Its Guidance Reset</t>
  </si>
  <si>
    <t xml:space="preserve">a059a2a50ac24773a8bc51e5</t>
  </si>
  <si>
    <t xml:space="preserve">Consumer news: Childcare costs and Amazon holiday hiring</t>
  </si>
  <si>
    <t xml:space="preserve">WKMG</t>
  </si>
  <si>
    <t xml:space="preserve">c8f9d95fff5d171219353c6a</t>
  </si>
  <si>
    <t xml:space="preserve">DRI Seizes Foreign Currency Worth ₹1.56 Crore at Hyderabad Airport, Two Arrested</t>
  </si>
  <si>
    <t xml:space="preserve">Munsif News 24x7</t>
  </si>
  <si>
    <t xml:space="preserve">9164c61d1e1253b94b7114a1</t>
  </si>
  <si>
    <t xml:space="preserve">Western Digital Corporation $WDC Stock: Atlatl Advisers LLC Trims Position</t>
  </si>
  <si>
    <t xml:space="preserve">f6983fe05e1024594ce2667d</t>
  </si>
  <si>
    <t xml:space="preserve">Amgen (AMGN) Draws Fresh Valuation Debate After Phase 3 TEZSPIRE Trial Results</t>
  </si>
  <si>
    <t xml:space="preserve">6641740e0846d9f012851a9a</t>
  </si>
  <si>
    <t xml:space="preserve">Xbox's first-ever chief operating officer leaves as Microsoft gears up for next-gen Project Helix</t>
  </si>
  <si>
    <t xml:space="preserve">2ea28ed19f67157d5d6e1c32</t>
  </si>
  <si>
    <t xml:space="preserve">Xbox COO Helen Chiang leaves Microsoft months after taking the role</t>
  </si>
  <si>
    <t xml:space="preserve">Inven Global</t>
  </si>
  <si>
    <t xml:space="preserve">10a518b83c13cda2256d20b7</t>
  </si>
  <si>
    <t xml:space="preserve">David Tennant’s Chilling 3-Part Crime Thriller Is Officially Leaving Netflix</t>
  </si>
  <si>
    <t xml:space="preserve">807b7f9211416bd7f7ec83cf</t>
  </si>
  <si>
    <t xml:space="preserve">AI agents pose a threat to the business models of Amazon and Uber</t>
  </si>
  <si>
    <t xml:space="preserve">logos-pres.md</t>
  </si>
  <si>
    <t xml:space="preserve">226c3af9bf5123a75395bf11</t>
  </si>
  <si>
    <t xml:space="preserve">Walmart, Best Buy and other stores now use digital price tags. Critics say they could lead to different prices for different shoppers.</t>
  </si>
  <si>
    <t xml:space="preserve">58c6114baa5760c53d23af79</t>
  </si>
  <si>
    <t xml:space="preserve">AMP</t>
  </si>
  <si>
    <t xml:space="preserve">Ameriprise Financial</t>
  </si>
  <si>
    <t xml:space="preserve">Judge Queries Class Share Of $29M AMP Class Action Deal</t>
  </si>
  <si>
    <r>
      <rPr>
        <sz val="10"/>
        <rFont val="Arial"/>
        <family val="0"/>
        <charset val="1"/>
      </rPr>
      <t xml:space="preserve">Ameriprise 2,900 </t>
    </r>
    <r>
      <rPr>
        <sz val="10"/>
        <rFont val="Noto Sans CJK SC"/>
        <family val="2"/>
      </rPr>
      <t xml:space="preserve">萬美元集體訴訟和解，法官提出疑問。</t>
    </r>
  </si>
  <si>
    <t xml:space="preserve">09beb64b53edc0c56ffe460f</t>
  </si>
  <si>
    <t xml:space="preserve">Pros react after Alexander Volkanovski TKO’s Movsar Evloev at UFC 333</t>
  </si>
  <si>
    <t xml:space="preserve">BJPenn.com</t>
  </si>
  <si>
    <t xml:space="preserve">1d8ee6f921fa2c45fcad7301</t>
  </si>
  <si>
    <t xml:space="preserve">Police Activity at McDonald's</t>
  </si>
  <si>
    <t xml:space="preserve">Citizen app</t>
  </si>
  <si>
    <t xml:space="preserve">3cbfc616881eaf47fc99c6a1</t>
  </si>
  <si>
    <t xml:space="preserve">Uber, Multinationals’ Exit Shows Nigeria’s Business Environment Needs Emergency Fixes – ASBON</t>
  </si>
  <si>
    <t xml:space="preserve">LEADERSHIP Newspapers</t>
  </si>
  <si>
    <t xml:space="preserve">cbb3fb01d03127a0caade92f</t>
  </si>
  <si>
    <t xml:space="preserve">PANW</t>
  </si>
  <si>
    <t xml:space="preserve">Palo Alto Networks</t>
  </si>
  <si>
    <t xml:space="preserve">Palo Alto Networks CEO Warns AI Exposes Legacy Software Flaws - Palo Alto Networks (NASDAQ:PANW)</t>
  </si>
  <si>
    <t xml:space="preserve">94bf134c522ce388ad89e6c5</t>
  </si>
  <si>
    <t xml:space="preserve">Invesco QQQ $QQQ Stock Holdings Cut by Client First Capital LLC</t>
  </si>
  <si>
    <t xml:space="preserve">c5f02cf7b5d97f63d79e60fe</t>
  </si>
  <si>
    <t xml:space="preserve">Textron (TXT) Stock May Be 48% Undervalued On Fresh Cessna Order</t>
  </si>
  <si>
    <t xml:space="preserve">93508d59f364f4b67b68f275</t>
  </si>
  <si>
    <t xml:space="preserve">TKO Could Lose Up To $90 Million If WWE Crown Jewel Is Canceled</t>
  </si>
  <si>
    <t xml:space="preserve">PWMania</t>
  </si>
  <si>
    <t xml:space="preserve">3023c80e0ea98c94d54c3dbc</t>
  </si>
  <si>
    <t xml:space="preserve">PulteGroup Price Target Cut to $109.00/Share From $110.00 by Barclays</t>
  </si>
  <si>
    <t xml:space="preserve">eba0bb43c5f69237ed04149c</t>
  </si>
  <si>
    <t xml:space="preserve">Netflix Leads U.S. Market, But Viewer Share is Shinking</t>
  </si>
  <si>
    <t xml:space="preserve">Statista</t>
  </si>
  <si>
    <t xml:space="preserve">3e3e790f9e5429c763f1a234</t>
  </si>
  <si>
    <t xml:space="preserve">Smithfield Woman, 75, Dies After Kroger Lot Crash</t>
  </si>
  <si>
    <t xml:space="preserve">6c62cd4c7636f46a4b965209</t>
  </si>
  <si>
    <t xml:space="preserve">Bristol Myers Squibb (NYSE:BMY) Cut to "Hold" at Zacks Research</t>
  </si>
  <si>
    <t xml:space="preserve">6a0e82c72828d7f481e9d9a0</t>
  </si>
  <si>
    <t xml:space="preserve">Tornado Warning Issued for Forrest and McAlister, New Mexico, Until 4 PM MDT</t>
  </si>
  <si>
    <t xml:space="preserve">f8c2c9a05b8d9391c68436da</t>
  </si>
  <si>
    <t xml:space="preserve">BlackRock (BLK) Stock Could Be 11% Undervalued Following Bitcoin ETF Filing</t>
  </si>
  <si>
    <t xml:space="preserve">937a9bcfddac2312c5ee6141</t>
  </si>
  <si>
    <t xml:space="preserve">Body cam video released in deadly shooting at MS Walmart</t>
  </si>
  <si>
    <t xml:space="preserve">WHIO TV</t>
  </si>
  <si>
    <t xml:space="preserve">fb02758ae8ad0f931d2dc785</t>
  </si>
  <si>
    <t xml:space="preserve">大摩下調泛林集團目標價至339美元</t>
  </si>
  <si>
    <r>
      <rPr>
        <sz val="10"/>
        <rFont val="Noto Sans CJK SC"/>
        <family val="2"/>
      </rPr>
      <t xml:space="preserve">大摩下調泛林集團目標價至</t>
    </r>
    <r>
      <rPr>
        <sz val="10"/>
        <rFont val="Arial"/>
        <family val="0"/>
        <charset val="1"/>
      </rPr>
      <t xml:space="preserve">339</t>
    </r>
    <r>
      <rPr>
        <sz val="10"/>
        <rFont val="Noto Sans CJK SC"/>
        <family val="2"/>
      </rPr>
      <t xml:space="preserve">美元</t>
    </r>
  </si>
  <si>
    <t xml:space="preserve">40078e1cb39e12faa8d679fc</t>
  </si>
  <si>
    <t xml:space="preserve">Why Chipotle Mexican Grill (CMG) Dipped More Than Broader Market Today</t>
  </si>
  <si>
    <t xml:space="preserve">ec714bbc44d653efcbf27fae</t>
  </si>
  <si>
    <t xml:space="preserve">Western Digital Earnings Easily Beat Estimates. Why The Stock Is Falling Anyway.</t>
  </si>
  <si>
    <t xml:space="preserve">Investor's Business Daily</t>
  </si>
  <si>
    <t xml:space="preserve">b9ff4bcb8b452d741199b0c0</t>
  </si>
  <si>
    <t xml:space="preserve">PLD</t>
  </si>
  <si>
    <t xml:space="preserve">Prologis</t>
  </si>
  <si>
    <t xml:space="preserve">Prologis price target lowered to $141 from $162 at Truist</t>
  </si>
  <si>
    <t xml:space="preserve">4a79983a4d698ae35252d048</t>
  </si>
  <si>
    <t xml:space="preserve">BSX</t>
  </si>
  <si>
    <t xml:space="preserve">Boston Scientific</t>
  </si>
  <si>
    <t xml:space="preserve">Boston Scientific (BSX) - Portfolio Killers: 10 US stocks that wiped out up to 66% of investors’ wealth in 2026</t>
  </si>
  <si>
    <t xml:space="preserve">d618718a592980cd1cfa7d86</t>
  </si>
  <si>
    <t xml:space="preserve">Realty Income</t>
  </si>
  <si>
    <t xml:space="preserve">Realty Income Stock Climbs Back as Treasury Yields Retreat, Yet Challenges Persist</t>
  </si>
  <si>
    <t xml:space="preserve">92db4164e5b2e03af9a7a0de</t>
  </si>
  <si>
    <t xml:space="preserve">Visa (V) Rumored Fireblocks Deal Denied As Digital Asset Push Keeps Building</t>
  </si>
  <si>
    <t xml:space="preserve">edf377506822536e4ddd6301</t>
  </si>
  <si>
    <t xml:space="preserve">Quest Diagnostics confirms data breach exposed patient records</t>
  </si>
  <si>
    <t xml:space="preserve">BleepingComputer</t>
  </si>
  <si>
    <t xml:space="preserve">b7a3cc1eb18f3bbb1a0b3bc3</t>
  </si>
  <si>
    <t xml:space="preserve">Huntington Bancshares Incorporated Stock 12‑Month Price Target Cut to $18.8, Implies 20% Upside</t>
  </si>
  <si>
    <t xml:space="preserve">0ae2d431eeb133036650d2a3</t>
  </si>
  <si>
    <t xml:space="preserve">Wynn Resorts commits MOP 1.37 billion. JPMorgan cuts target for Wynn Resorts stock</t>
  </si>
  <si>
    <t xml:space="preserve">3332800d48fc4f23c0568457</t>
  </si>
  <si>
    <t xml:space="preserve">R-Calf Weekly Address–Walmart’s Beef Empire Threatens Rancher Independence</t>
  </si>
  <si>
    <t xml:space="preserve">Oklahoma Farm Report</t>
  </si>
  <si>
    <t xml:space="preserve">7bd9c8a89808e537220ce728</t>
  </si>
  <si>
    <t xml:space="preserve">Is Nvidia Stock Cheaper Now That Its Multiple Has Fallen?</t>
  </si>
  <si>
    <t xml:space="preserve">6e4aeeb99c58984188ad1519</t>
  </si>
  <si>
    <t xml:space="preserve">Beck family says cemetery concerns addressed two months after Walmart construction complaints</t>
  </si>
  <si>
    <t xml:space="preserve">WECT</t>
  </si>
  <si>
    <t xml:space="preserve">32fde7b31c940c200ce20f2c</t>
  </si>
  <si>
    <t xml:space="preserve">Comcast Co-CEO Teases Epic Universe Annual Passes</t>
  </si>
  <si>
    <t xml:space="preserve">BlogMickey.com</t>
  </si>
  <si>
    <t xml:space="preserve">74ec15d2aeec5c152d38c329</t>
  </si>
  <si>
    <t xml:space="preserve">Huntington Bancshares price target lowered to $19 from $21 at Baird</t>
  </si>
  <si>
    <t xml:space="preserve">e55669378fbce09af88e9d7b</t>
  </si>
  <si>
    <t xml:space="preserve">Purdy To Greet At Costco | Haunted House Props Vanish | Car Slams Into Oncoming Traffic : Patch PM</t>
  </si>
  <si>
    <t xml:space="preserve">a308c1f534953814ca0586f7</t>
  </si>
  <si>
    <t xml:space="preserve">EIX</t>
  </si>
  <si>
    <t xml:space="preserve">Edison International</t>
  </si>
  <si>
    <t xml:space="preserve">Could Earnings Optimism Alter The Investment Case For Edison International (EIX)?</t>
  </si>
  <si>
    <t xml:space="preserve">216f3bfaa8863f8efa1d6947</t>
  </si>
  <si>
    <t xml:space="preserve">XBOX COO Helen Chiang Departs Microsoft After 21 Years</t>
  </si>
  <si>
    <t xml:space="preserve">Insider Gaming</t>
  </si>
  <si>
    <t xml:space="preserve">6292b2488266f500cac68f79</t>
  </si>
  <si>
    <t xml:space="preserve">Wynn Resorts (NASDAQ:WYNN) Sets New 12-Month Low - Here's What Happened</t>
  </si>
  <si>
    <r>
      <rPr>
        <sz val="10"/>
        <rFont val="Arial"/>
        <family val="0"/>
        <charset val="1"/>
      </rPr>
      <t xml:space="preserve">Wynn </t>
    </r>
    <r>
      <rPr>
        <sz val="10"/>
        <rFont val="Noto Sans CJK SC"/>
        <family val="2"/>
      </rPr>
      <t xml:space="preserve">股價創 </t>
    </r>
    <r>
      <rPr>
        <sz val="10"/>
        <rFont val="Arial"/>
        <family val="0"/>
        <charset val="1"/>
      </rPr>
      <t xml:space="preserve">12 </t>
    </r>
    <r>
      <rPr>
        <sz val="10"/>
        <rFont val="Noto Sans CJK SC"/>
        <family val="2"/>
      </rPr>
      <t xml:space="preserve">個月新低。</t>
    </r>
  </si>
  <si>
    <t xml:space="preserve">cdb035b415faedd2e75c0a18</t>
  </si>
  <si>
    <t xml:space="preserve">WDC Maintained by Cantor Fitzgerald -- Price Target Lowered to $625</t>
  </si>
  <si>
    <t xml:space="preserve">d40e4be24cc1e4a7e8fa73c6</t>
  </si>
  <si>
    <t xml:space="preserve">What Just Happened To AT&amp;T Stock?</t>
  </si>
  <si>
    <t xml:space="preserve">7a32710cb547dc892be5370f</t>
  </si>
  <si>
    <t xml:space="preserve">What happens when a country gets kicked out of MSCI?</t>
  </si>
  <si>
    <t xml:space="preserve">Newswav</t>
  </si>
  <si>
    <t xml:space="preserve">ebbd943e68290fc35d6a982d</t>
  </si>
  <si>
    <t xml:space="preserve">Merck &amp; Co., Inc. $MRK Stock: Investment House LLC Reduces Position</t>
  </si>
  <si>
    <t xml:space="preserve">53cb81b1d3ad9085cc885527</t>
  </si>
  <si>
    <t xml:space="preserve">Crime Stoppers seeks information of four accused in Dollar General beer burglary</t>
  </si>
  <si>
    <t xml:space="preserve">KFOX</t>
  </si>
  <si>
    <t xml:space="preserve">6496741e36f41eeaaf449a3f</t>
  </si>
  <si>
    <t xml:space="preserve">西部數據爆賺，股價卻崩了！</t>
  </si>
  <si>
    <t xml:space="preserve">bafe6cb628622a9f048bc9fb</t>
  </si>
  <si>
    <t xml:space="preserve">Sweden's Government Offices Block ChatGPT and Claude, Keep Microsoft Copilot</t>
  </si>
  <si>
    <t xml:space="preserve">Decrypt</t>
  </si>
  <si>
    <t xml:space="preserve">063afdbdf1f5404a5202df95</t>
  </si>
  <si>
    <t xml:space="preserve">Event_Code</t>
  </si>
  <si>
    <t xml:space="preserve">事件中文</t>
  </si>
  <si>
    <t xml:space="preserve">Level</t>
  </si>
  <si>
    <t xml:space="preserve">ACCOUNTING_FRAUD</t>
  </si>
  <si>
    <t xml:space="preserve">會計舞弊</t>
  </si>
  <si>
    <t xml:space="preserve">BANKRUPTCY</t>
  </si>
  <si>
    <t xml:space="preserve">破產</t>
  </si>
  <si>
    <t xml:space="preserve">DEFAULT</t>
  </si>
  <si>
    <t xml:space="preserve">違約</t>
  </si>
  <si>
    <t xml:space="preserve">DELISTING</t>
  </si>
  <si>
    <t xml:space="preserve">下市</t>
  </si>
  <si>
    <t xml:space="preserve">GOING_CONCERN</t>
  </si>
  <si>
    <t xml:space="preserve">繼續經營疑慮</t>
  </si>
  <si>
    <t xml:space="preserve">LIQUIDITY_CRISIS</t>
  </si>
  <si>
    <t xml:space="preserve">流動性危機</t>
  </si>
  <si>
    <t xml:space="preserve">TRADING_SUSPENSION</t>
  </si>
  <si>
    <t xml:space="preserve">停牌</t>
  </si>
  <si>
    <t xml:space="preserve">ANTITRUST_INVESTIGATION</t>
  </si>
  <si>
    <t xml:space="preserve">反壟斷調查</t>
  </si>
  <si>
    <t xml:space="preserve">AUDITOR_RESIGNATION</t>
  </si>
  <si>
    <t xml:space="preserve">會計師辭任</t>
  </si>
  <si>
    <t xml:space="preserve">信用調降</t>
  </si>
  <si>
    <t xml:space="preserve">重大環境事故</t>
  </si>
  <si>
    <t xml:space="preserve">EXECUTIVE_MISCONDUCT</t>
  </si>
  <si>
    <t xml:space="preserve">高管不當行為</t>
  </si>
  <si>
    <t xml:space="preserve">FDA_WARNING</t>
  </si>
  <si>
    <r>
      <rPr>
        <sz val="10"/>
        <rFont val="Arial"/>
        <family val="0"/>
        <charset val="1"/>
      </rPr>
      <t xml:space="preserve">FDA</t>
    </r>
    <r>
      <rPr>
        <sz val="10"/>
        <rFont val="Noto Sans CJK SC"/>
        <family val="2"/>
      </rPr>
      <t xml:space="preserve">警告</t>
    </r>
  </si>
  <si>
    <t xml:space="preserve">GUIDANCE_WITHDRAWN</t>
  </si>
  <si>
    <t xml:space="preserve">撤回財測</t>
  </si>
  <si>
    <t xml:space="preserve">INSIDER_TRADING</t>
  </si>
  <si>
    <t xml:space="preserve">內線交易</t>
  </si>
  <si>
    <t xml:space="preserve">重大訴訟</t>
  </si>
  <si>
    <t xml:space="preserve">監管調查</t>
  </si>
  <si>
    <t xml:space="preserve">監管裁罰</t>
  </si>
  <si>
    <t xml:space="preserve">RESTATEMENT</t>
  </si>
  <si>
    <t xml:space="preserve">重編財報</t>
  </si>
  <si>
    <t xml:space="preserve">SANCTION</t>
  </si>
  <si>
    <t xml:space="preserve">制裁</t>
  </si>
  <si>
    <t xml:space="preserve">CDS_SPREAD_WIDENING</t>
  </si>
  <si>
    <r>
      <rPr>
        <sz val="10"/>
        <rFont val="Arial"/>
        <family val="0"/>
        <charset val="1"/>
      </rPr>
      <t xml:space="preserve">CDS</t>
    </r>
    <r>
      <rPr>
        <sz val="10"/>
        <rFont val="Noto Sans CJK SC"/>
        <family val="2"/>
      </rPr>
      <t xml:space="preserve">利差擴大／信用風險升高</t>
    </r>
  </si>
  <si>
    <t xml:space="preserve">CEO_DEPARTURE</t>
  </si>
  <si>
    <r>
      <rPr>
        <sz val="10"/>
        <rFont val="Arial"/>
        <family val="0"/>
        <charset val="1"/>
      </rPr>
      <t xml:space="preserve">CEO</t>
    </r>
    <r>
      <rPr>
        <sz val="10"/>
        <rFont val="Noto Sans CJK SC"/>
        <family val="2"/>
      </rPr>
      <t xml:space="preserve">異動</t>
    </r>
  </si>
  <si>
    <r>
      <rPr>
        <sz val="10"/>
        <rFont val="Arial"/>
        <family val="0"/>
        <charset val="1"/>
      </rPr>
      <t xml:space="preserve">CFO</t>
    </r>
    <r>
      <rPr>
        <sz val="10"/>
        <rFont val="Noto Sans CJK SC"/>
        <family val="2"/>
      </rPr>
      <t xml:space="preserve">異動</t>
    </r>
  </si>
  <si>
    <t xml:space="preserve">資安攻擊</t>
  </si>
  <si>
    <t xml:space="preserve">資料外洩</t>
  </si>
  <si>
    <t xml:space="preserve">財報不如預期</t>
  </si>
  <si>
    <t xml:space="preserve">財測下修</t>
  </si>
  <si>
    <t xml:space="preserve">EXPORT_RESTRICTION</t>
  </si>
  <si>
    <t xml:space="preserve">出口管制</t>
  </si>
  <si>
    <t xml:space="preserve">工廠停工</t>
  </si>
  <si>
    <t xml:space="preserve">MAJOR_CUSTOMER_LOSS</t>
  </si>
  <si>
    <t xml:space="preserve">重大客戶流失</t>
  </si>
  <si>
    <t xml:space="preserve">營運惡化</t>
  </si>
  <si>
    <t xml:space="preserve">PATENT_LITIGATION</t>
  </si>
  <si>
    <t xml:space="preserve">專利訴訟</t>
  </si>
  <si>
    <t xml:space="preserve">重大產品瑕疵</t>
  </si>
  <si>
    <t xml:space="preserve">PRODUCT_RECALL</t>
  </si>
  <si>
    <t xml:space="preserve">產品召回</t>
  </si>
  <si>
    <t xml:space="preserve">SHORT_SELLER_REPORT</t>
  </si>
  <si>
    <t xml:space="preserve">放空機構報告</t>
  </si>
  <si>
    <t xml:space="preserve">SUPPLY_CHAIN_DISRUPTION</t>
  </si>
  <si>
    <t xml:space="preserve">供應鏈中斷</t>
  </si>
  <si>
    <t xml:space="preserve">TRADE_RESTRICTION</t>
  </si>
  <si>
    <t xml:space="preserve">貿易限制</t>
  </si>
  <si>
    <t xml:space="preserve">裁員或人力縮減</t>
  </si>
  <si>
    <t xml:space="preserve">分析師降評</t>
  </si>
  <si>
    <t xml:space="preserve">BOARD_RESTRUCTURE</t>
  </si>
  <si>
    <t xml:space="preserve">董事會重大改組</t>
  </si>
  <si>
    <t xml:space="preserve">PRIVACY_INCIDENT</t>
  </si>
  <si>
    <t xml:space="preserve">隱私事件</t>
  </si>
  <si>
    <t xml:space="preserve">生產延遲</t>
  </si>
  <si>
    <t xml:space="preserve">產品或服務終止</t>
  </si>
  <si>
    <t xml:space="preserve">TARIFF</t>
  </si>
  <si>
    <t xml:space="preserve">關稅</t>
  </si>
  <si>
    <t xml:space="preserve">NATURAL_DISASTER</t>
  </si>
  <si>
    <t xml:space="preserve">天災</t>
  </si>
  <si>
    <t xml:space="preserve">股價下跌</t>
  </si>
  <si>
    <t xml:space="preserve">SECTOR_MOVE</t>
  </si>
  <si>
    <t xml:space="preserve">產業下跌</t>
  </si>
  <si>
    <t xml:space="preserve">VALUATION_CONCERN</t>
  </si>
  <si>
    <t xml:space="preserve">估值疑慮</t>
  </si>
  <si>
    <t xml:space="preserve">GENERAL_INFORMATION</t>
  </si>
  <si>
    <t xml:space="preserve">一般公司更新</t>
  </si>
  <si>
    <t xml:space="preserve">NON_CORE_SOURCE</t>
  </si>
  <si>
    <t xml:space="preserve">非主要公司網站</t>
  </si>
  <si>
    <t xml:space="preserve">NOT_RELEVANT</t>
  </si>
  <si>
    <t xml:space="preserve">無關新聞事件</t>
  </si>
  <si>
    <t xml:space="preserve">UNKNOWN</t>
  </si>
  <si>
    <t xml:space="preserve">待人工覆核</t>
  </si>
  <si>
    <r>
      <rPr>
        <i val="true"/>
        <sz val="9"/>
        <rFont val="Noto Sans CJK SC"/>
        <family val="2"/>
      </rPr>
      <t xml:space="preserve">來源：</t>
    </r>
    <r>
      <rPr>
        <i val="true"/>
        <sz val="9"/>
        <rFont val="Arial"/>
        <family val="0"/>
        <charset val="1"/>
      </rPr>
      <t xml:space="preserve">negative-news </t>
    </r>
    <r>
      <rPr>
        <i val="true"/>
        <sz val="9"/>
        <rFont val="Noto Sans CJK SC"/>
        <family val="2"/>
      </rPr>
      <t xml:space="preserve">的 </t>
    </r>
    <r>
      <rPr>
        <i val="true"/>
        <sz val="9"/>
        <rFont val="Arial"/>
        <family val="0"/>
        <charset val="1"/>
      </rPr>
      <t xml:space="preserve">Parameter_Event.xlsx</t>
    </r>
    <r>
      <rPr>
        <i val="true"/>
        <sz val="9"/>
        <rFont val="Noto Sans CJK SC"/>
        <family val="2"/>
      </rPr>
      <t xml:space="preserve">（</t>
    </r>
    <r>
      <rPr>
        <i val="true"/>
        <sz val="9"/>
        <rFont val="Arial"/>
        <family val="0"/>
        <charset val="1"/>
      </rPr>
      <t xml:space="preserve">Event </t>
    </r>
    <r>
      <rPr>
        <i val="true"/>
        <sz val="9"/>
        <rFont val="Noto Sans CJK SC"/>
        <family val="2"/>
      </rPr>
      <t xml:space="preserve">工作表），</t>
    </r>
    <r>
      <rPr>
        <i val="true"/>
        <sz val="9"/>
        <rFont val="Arial"/>
        <family val="0"/>
        <charset val="1"/>
      </rPr>
      <t xml:space="preserve">2026-10-26 </t>
    </r>
    <r>
      <rPr>
        <i val="true"/>
        <sz val="9"/>
        <rFont val="Noto Sans CJK SC"/>
        <family val="2"/>
      </rPr>
      <t xml:space="preserve">讀取。</t>
    </r>
  </si>
</sst>
</file>

<file path=xl/styles.xml><?xml version="1.0" encoding="utf-8"?>
<styleSheet xmlns="http://schemas.openxmlformats.org/spreadsheetml/2006/main">
  <numFmts count="3">
    <numFmt numFmtId="164" formatCode="General"/>
    <numFmt numFmtId="165" formatCode="0.000"/>
    <numFmt numFmtId="166" formatCode="General"/>
  </numFmts>
  <fonts count="17">
    <font>
      <sz val="11"/>
      <color theme="1"/>
      <name val="Calibri"/>
      <family val="2"/>
      <charset val="1"/>
    </font>
    <font>
      <sz val="10"/>
      <name val="Arial"/>
      <family val="0"/>
    </font>
    <font>
      <sz val="10"/>
      <name val="Arial"/>
      <family val="0"/>
    </font>
    <font>
      <sz val="10"/>
      <name val="Arial"/>
      <family val="0"/>
    </font>
    <font>
      <b val="true"/>
      <sz val="12"/>
      <name val="Noto Sans CJK SC"/>
      <family val="2"/>
    </font>
    <font>
      <b val="true"/>
      <sz val="12"/>
      <name val="Arial"/>
      <family val="0"/>
      <charset val="1"/>
    </font>
    <font>
      <sz val="10"/>
      <name val="Noto Sans CJK SC"/>
      <family val="2"/>
    </font>
    <font>
      <sz val="10"/>
      <name val="Arial"/>
      <family val="0"/>
      <charset val="1"/>
    </font>
    <font>
      <b val="true"/>
      <sz val="10"/>
      <name val="Noto Sans CJK SC"/>
      <family val="2"/>
    </font>
    <font>
      <b val="true"/>
      <sz val="10"/>
      <color rgb="FFFFFFFF"/>
      <name val="Noto Sans CJK SC"/>
      <family val="2"/>
    </font>
    <font>
      <b val="true"/>
      <sz val="10"/>
      <color rgb="FFFFFFFF"/>
      <name val="Arial"/>
      <family val="0"/>
      <charset val="1"/>
    </font>
    <font>
      <u val="single"/>
      <sz val="10"/>
      <color rgb="FF0563C1"/>
      <name val="Noto Sans CJK SC"/>
      <family val="2"/>
    </font>
    <font>
      <u val="single"/>
      <sz val="10"/>
      <color rgb="FF0563C1"/>
      <name val="Arial"/>
      <family val="0"/>
      <charset val="1"/>
    </font>
    <font>
      <b val="true"/>
      <sz val="11"/>
      <color rgb="FFFFFFFF"/>
      <name val="Arial"/>
      <family val="0"/>
      <charset val="1"/>
    </font>
    <font>
      <b val="true"/>
      <sz val="11"/>
      <color rgb="FFFFFFFF"/>
      <name val="Noto Sans CJK SC"/>
      <family val="2"/>
    </font>
    <font>
      <i val="true"/>
      <sz val="9"/>
      <name val="Noto Sans CJK SC"/>
      <family val="2"/>
    </font>
    <font>
      <i val="true"/>
      <sz val="9"/>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BF8F00"/>
        <bgColor rgb="FF808000"/>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8" fillId="4" borderId="1" xfId="0" applyFont="true" applyBorder="true" applyAlignment="true" applyProtection="false">
      <alignment horizontal="center" vertical="top" textRotation="0" wrapText="fals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6" fontId="7" fillId="0" borderId="1" xfId="0" applyFont="true" applyBorder="true" applyAlignment="true" applyProtection="false">
      <alignment horizontal="center"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C00000"/>
          <bgColor rgb="FF000000"/>
        </patternFill>
      </fill>
    </dxf>
    <dxf>
      <fill>
        <patternFill patternType="solid">
          <fgColor rgb="FFBF8F00"/>
          <bgColor rgb="FF000000"/>
        </patternFill>
      </fill>
    </dxf>
    <dxf>
      <fill>
        <patternFill patternType="solid">
          <fgColor rgb="FFFFFF00"/>
          <bgColor rgb="FF000000"/>
        </patternFill>
      </fill>
    </dxf>
    <dxf>
      <fill>
        <patternFill patternType="solid">
          <fgColor rgb="FFA6A6A6"/>
          <bgColor rgb="FF000000"/>
        </patternFill>
      </fill>
    </dxf>
    <dxf>
      <fill>
        <patternFill patternType="solid">
          <fgColor rgb="FFDDEBF7"/>
          <bgColor rgb="FF000000"/>
        </patternFill>
      </fill>
    </dxf>
    <dxf>
      <fill>
        <patternFill patternType="solid">
          <fgColor rgb="FFEDEDED"/>
          <bgColor rgb="FF000000"/>
        </patternFill>
      </fill>
    </dxf>
    <dxf>
      <fill>
        <patternFill patternType="solid">
          <fgColor rgb="FFF8CBAD"/>
          <bgColor rgb="FF000000"/>
        </patternFill>
      </fill>
    </dxf>
    <dxf>
      <fill>
        <patternFill patternType="solid">
          <fgColor rgb="FFFFEB9C"/>
          <bgColor rgb="FF000000"/>
        </patternFill>
      </fill>
    </dxf>
    <dxf>
      <fill>
        <patternFill>
          <bgColor rgb="FFFFC7CE"/>
        </patternFill>
      </fill>
    </dxf>
    <dxf>
      <fill>
        <patternFill>
          <bgColor rgb="FFF8CBAD"/>
        </patternFill>
      </fill>
    </dxf>
    <dxf>
      <fill>
        <patternFill>
          <bgColor rgb="FFFFEB9C"/>
        </patternFill>
      </fill>
    </dxf>
    <dxf>
      <fill>
        <patternFill>
          <bgColor rgb="FFDDEBF7"/>
        </patternFill>
      </fill>
    </dxf>
    <dxf>
      <fill>
        <patternFill>
          <bgColor rgb="FFEDEDED"/>
        </patternFill>
      </fill>
    </dxf>
    <dxf>
      <fill>
        <patternFill>
          <bgColor rgb="FFA6A6A6"/>
        </patternFill>
      </fill>
    </dxf>
    <dxf>
      <font>
        <name val="Arial"/>
        <charset val="1"/>
        <family val="0"/>
        <b val="1"/>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DDEBF7"/>
      <rgbColor rgb="FF660066"/>
      <rgbColor rgb="FFFF8080"/>
      <rgbColor rgb="FF0563C1"/>
      <rgbColor rgb="FFFFC7CE"/>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8CBAD"/>
      <rgbColor rgb="FF3366FF"/>
      <rgbColor rgb="FF33CCCC"/>
      <rgbColor rgb="FF99CC00"/>
      <rgbColor rgb="FFFFCC00"/>
      <rgbColor rgb="FFBF8F00"/>
      <rgbColor rgb="FFFF6600"/>
      <rgbColor rgb="FF666699"/>
      <rgbColor rgb="FFA6A6A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news.cnyes.com/news/id/6636846" TargetMode="External"/><Relationship Id="rId2" Type="http://schemas.openxmlformats.org/officeDocument/2006/relationships/hyperlink" Target="https://news.google.com/rss/articles/CBMif0FVX3lxTE9YSEQ5N2JuSXV1b2hpdG16MmRQVF9GSlplaDlzWEoxTFIxMUcySk9NbnJFWjN5RjZfWlJIUGh6Q2wtdy1Tdm5sRjdiZkh3Sk93MTNKRHNGeXZKSENEYXRQUHVNREFYeFlENm9HT0tVd2FKU0dleDJvOC1BZDEyWG8?oc=5" TargetMode="External"/><Relationship Id="rId3" Type="http://schemas.openxmlformats.org/officeDocument/2006/relationships/hyperlink" Target="https://news.google.com/rss/articles/CBMijAFBVV95cUxOdVppTUl1QlQyejZmMWdpelhSYTRtSHBUX1M1Y0pVN0FsSFpUS1lDbWMxb21LRlAtYzE3blhLVDgxTHROcjVKY2s2TlNHOV8wenROV0hQZVNXSzlPWWlKcGh3NnhGbmRGcFc0bi1ITFUyZDU1dnFTeTBLWngwSExmVE1WUmktRE1wZTdQSw?oc=5" TargetMode="External"/><Relationship Id="rId4" Type="http://schemas.openxmlformats.org/officeDocument/2006/relationships/hyperlink" Target="https://news.google.com/rss/articles/CBMiYkFVX3lxTE5pUkN4MEp1V3Z5aU90N3lMQmEwOS1XRGlSaGhHM19nUmxsdVRFZnA3ajdHTHB0dnZSZ2NOSi1hQUE1V1duMi1aa2pfYjA0Q1lFWE1ucloteUhkOXQyRVVKbzJn?oc=5" TargetMode="External"/><Relationship Id="rId5" Type="http://schemas.openxmlformats.org/officeDocument/2006/relationships/hyperlink" Target="https://news.google.com/rss/articles/CBMiiwFBVV95cUxQNW03RHJINlRDSzgwa1pyV0V0V2U5MVNPZkJsY2U2MTZLYjZhR1U1bXZTNEFjRGpnbWhyRUhVT0g1Z05fSzVGZGNCOEdBTVBfU3lTdERKVnl0Qm9RdHEta3J2S1VHYWNIWmZPTE9Cd25hZEswcERDRW5LanptTllCRUE4czNMVXc1QVVr?oc=5" TargetMode="External"/><Relationship Id="rId6" Type="http://schemas.openxmlformats.org/officeDocument/2006/relationships/hyperlink" Target="https://news.google.com/rss/articles/CBMirAFBVV95cUxQekhwYTVhR0VUeUlTSjRpbDRhcmhERnIyamIzQ09pSGVkSEtPcXR3X08zLWJSMEswSXJiczFIb0J3TERISF82T0Z6dFh1SnBpU2U1OHVlZFhOdklDTzhRWWwxZThjbkNrakl4X1FfbjdiZkNTbWt0UE9FX0pCMGNLNUVUQzBrWHNNMGhXNU9XQldrRDc5OXBPRGZqSGt3VE" TargetMode="External"/><Relationship Id="rId7" Type="http://schemas.openxmlformats.org/officeDocument/2006/relationships/hyperlink" Target="https://news.google.com/rss/articles/CBMimAFBVV95cUxOaTlfOUpFQ1Vnc19DdEd5UVBBOS1ZT3FjMktoMHN2MTdpaWlneWJ2Y1FCZGdEc1hKRU42cjBuZGpvV3lzWUVfQ2VqVUtSVWpVR3pLdzZ0d2FjMkNwYlR5VlRkT0pfMEd4dWNydFNiMWozUGpqVFdCbzVVNVk4TlkxRjdSUDE1TktsaTVmcWIxVmhhNjNfVGtIXw?oc=5" TargetMode="External"/><Relationship Id="rId8" Type="http://schemas.openxmlformats.org/officeDocument/2006/relationships/hyperlink" Target="https://news.cnyes.com/news/id/6636841" TargetMode="External"/><Relationship Id="rId9" Type="http://schemas.openxmlformats.org/officeDocument/2006/relationships/hyperlink" Target="https://news.google.com/rss/articles/CBMitAFBVV95cUxNekJFYzJYODN4LVExSDBjdDlxNUZrZTA3OE9qVXNmYWpjRkFYcUU3TGgtd3E2aXlaZzJISEQwSGpMbFlsTWd3ekZ0U015YlpPSXNnRXdJYjk5MndzMmxSQ1pCOE1HOU10NVR5ZURfaFJDU1hwRkJ2Tm00b1M3b3RnQ2NXbGthb1RXbzhYRnhjOWQ3dy1IT2VmN0QzNlJ4cX" TargetMode="External"/><Relationship Id="rId10" Type="http://schemas.openxmlformats.org/officeDocument/2006/relationships/hyperlink" Target="https://news.google.com/rss/articles/CBMitAFBVV95cUxNekJFYzJYODN4LVExSDBjdDlxNUZrZTA3OE9qVXNmYWpjRkFYcUU3TGgtd3E2aXlaZzJISEQwSGpMbFlsTWd3ekZ0U015YlpPSXNnRXdJYjk5MndzMmxSQ1pCOE1HOU10NVR5ZURfaFJDU1hwRkJ2Tm00b1M3b3RnQ2NXbGthb1RXbzhYRnhjOWQ3dy1IT2VmN0QzNlJ4cX" TargetMode="External"/><Relationship Id="rId11" Type="http://schemas.openxmlformats.org/officeDocument/2006/relationships/hyperlink" Target="https://news.google.com/rss/articles/CBMiiAFBVV95cUxQa1RqcjV5UDFTTm5sZEtDM3RNN2lkMG5XQWd2RnhRTk1sS2lwVmdWNkE4RDNtTzBnUHUwUzBRX3lwNUl4QjM2N0poenU1SW10YjVadzNMQlM2eGRwMUZkUzJENWxkVkl6ZHlodXVTeWRvbW91N3E0N0ZYYXF5RzBUeXJSSndvWHBn?oc=5" TargetMode="External"/><Relationship Id="rId12" Type="http://schemas.openxmlformats.org/officeDocument/2006/relationships/hyperlink" Target="https://news.google.com/rss/articles/CBMiigFBVV95cUxQZzZVcTlPYS1CQVI3U3B0Z09pTEFhd1h6RWdYdm5VMndaNVAzSU9pc1Q2YnZDOERtblVLWDg3emdmRVpxWTZ6RkEyVjg0NXpzM3BYWGJVREk5a2M0LXdBOUktdndqN2RaVXdJXzJBTExLekVEZ3B3di1pWXNONEtlU1IyZGpwNzhRM3c?oc=5" TargetMode="External"/><Relationship Id="rId13" Type="http://schemas.openxmlformats.org/officeDocument/2006/relationships/hyperlink" Target="https://news.cnyes.com/news/id/6636904" TargetMode="External"/><Relationship Id="rId14" Type="http://schemas.openxmlformats.org/officeDocument/2006/relationships/hyperlink" Target="https://news.google.com/rss/articles/CBMinwFBVV95cUxQaVBsb3NqM3VaYzVmQl85N3VxaTFnZGVGQTlES19neU4yM00wS0xCV3R0NTFfT04tSkxZS2ptVVJKbUhYSDJUdldNWnhaSWJaMVZ1UGh5SzhackJUN08zbWpNTmE4VEhNV1ZETmRDZDdfMHJaV1NEY0l4eTljZEw0dkVpX25uYkpadkRQWkFvdkJoZXc2V2VKSmkyUV9rdW" TargetMode="External"/><Relationship Id="rId15" Type="http://schemas.openxmlformats.org/officeDocument/2006/relationships/hyperlink" Target="https://news.google.com/rss/articles/CBMiigFBVV95cUxOUkxiMlVySDA3UGpTclRsUzlqOElYN0ZXdWlXQzdkQV9zdm1MMEFEbDdZeFFlbE03dE1RNnRQM2hHejJTejktZC1HazNLMzJfS1FDb0ZrVEZROWxnZUdTSHptZ3lqQUtObXNQMHJYRUs0blRfdGJwMXJQWENBVUJHdGg5YkZYRHdtU2c?oc=5" TargetMode="External"/><Relationship Id="rId16" Type="http://schemas.openxmlformats.org/officeDocument/2006/relationships/hyperlink" Target="https://news.google.com/rss/articles/CBMinwFBVV95cUxQaVBsb3NqM3VaYzVmQl85N3VxaTFnZGVGQTlES19neU4yM00wS0xCV3R0NTFfT04tSkxZS2ptVVJKbUhYSDJUdldNWnhaSWJaMVZ1UGh5SzhackJUN08zbWpNTmE4VEhNV1ZETmRDZDdfMHJaV1NEY0l4eTljZEw0dkVpX25uYkpadkRQWkFvdkJoZXc2V2VKSmkyUV9rdW" TargetMode="External"/><Relationship Id="rId17" Type="http://schemas.openxmlformats.org/officeDocument/2006/relationships/hyperlink" Target="https://news.google.com/rss/articles/CBMimAFBVV95cUxPVzlVUWhpQ2Nqc2dlV2VYQzdDQThTX0hySGtKdWk5ZVc0NEVrMUlnNFJRVVhTVkRtblVENXk0NExRSjV5aHJwR1ZRc0hLNXpkOE05d2NiNXVCWWNfU296dm5EVlc0a1lWaGdwWjRZM09BREFwTURhT2E1anJtajJucVdFcFY2ZkZUOVZ1UzBjSXNVSGNoNjFaWg?oc=5" TargetMode="External"/><Relationship Id="rId18" Type="http://schemas.openxmlformats.org/officeDocument/2006/relationships/hyperlink" Target="https://news.google.com/rss/articles/CBMijwFBVV95cUxPYmZPZzNfYk1aMWVqcWFQTHdYX1p5c2ZxSXRhckRHVzlzZTJEc2JBUExWeGc3NldscGhvRkZfWTZBSnVNM0pFUTZIaWNRSXFyaVRtVHRZRE9SUGpaUlM1Ri1ObENYSGl5WWF3V0RYaG5TN01lNkRDRUppOFlBYlR1VjdORHU5RzNuc2NrWXhFaw?oc=5" TargetMode="External"/><Relationship Id="rId19" Type="http://schemas.openxmlformats.org/officeDocument/2006/relationships/hyperlink" Target="https://news.google.com/rss/articles/CBMipAFBVV95cUxQUmhPenVKSE9rOTJLMzlKRUZRQ2N2NlZWVEhSWmZieExUVWIzcGhsVUV5ZzBySV9tVkJScmVwMU95RG81NmduQWdTenJhaTJKSXN6MXpCdHNGMl8yVEtPVkF1UXczRTFHM05xb3Z0eGo0OXJ6WEltVkp4TERVb3Jjdjg2QUZVVUJHeVdCcmNSRHVTTzh3WS04dExndVMtTV" TargetMode="External"/><Relationship Id="rId20" Type="http://schemas.openxmlformats.org/officeDocument/2006/relationships/hyperlink" Target="https://news.google.com/rss/articles/CBMiiwFBVV95cUxOVURESkluYXBmNHNOb2tZdk5GcWpHRVR3N1lQUno0a3RoeXVSXzF3dTNQZVpSa201c1E2cHBoeGpfbXN2bnRzTGczSGpLaEtkSXktdVU1b1NiMm05OVdYaXA5V2hZZC1RaWxZY090TkxCS29ZcVlfaG1YNGdfWDBQcEMyZVdXVFlVZWxZ?oc=5" TargetMode="External"/><Relationship Id="rId21" Type="http://schemas.openxmlformats.org/officeDocument/2006/relationships/hyperlink" Target="https://news.google.com/rss/articles/CBMiqwFBVV95cUxQYWNxOXZCTGNzQUJ4NGV3WTFGNU1EV1R3b2xqSzJIcWNDaFNTMmRKTVRlcmRMemwwRzBDMm45cFRYSmJtYWZhUEFDRlBMeGJEQWtudFRqc3hmUGI0dnVsUHZ5UDg3RVgxdE1yRVM5eU9RS0dwN1d1dmJtdElwbjJOazBCVHVyNmpaSjljblNYNXFqdUdnS28wek5UcjJHdn" TargetMode="External"/><Relationship Id="rId22" Type="http://schemas.openxmlformats.org/officeDocument/2006/relationships/hyperlink" Target="https://news.google.com/rss/articles/CBMi6AFBVV95cUxOaXMtRjBSVmhrQXJvV0FEY1BRNEdsbUUtbEdXNEVrd1RBTGttcnUwUjlRa1ZmaWJBVVR5eUtuY3ZrdHdmbld6bWxva0U4UjJyakk2c2xPM1NoTDJITzFrNEJvdmZsMGFwRUdRb2p4cHNRN29GbElma1VLcDh3d2lYVkR5anZjWHFzeGN5VVkxRXBFcHdjZ3BrUG5jU2xXRj" TargetMode="External"/><Relationship Id="rId23" Type="http://schemas.openxmlformats.org/officeDocument/2006/relationships/hyperlink" Target="https://news.google.com/rss/articles/CBMiiAFBVV95cUxQdW5mVENuWXpsd2tTSG1NWmJGdVF0ZGhBMl9jUjJJSjlCMlM5R09LSGI3NzBWakVnREFDNGlUVk5vMmp2ZlYxNDNINkR3cFd0MkFLMGVpXzNVNHBEUE5xdVNtVWhzbjJzTlBnZmd4eGhuNG4wY29ZODZJZVoyOHV6bkgwSS02YVhW?oc=5" TargetMode="External"/><Relationship Id="rId24" Type="http://schemas.openxmlformats.org/officeDocument/2006/relationships/hyperlink" Target="https://news.google.com/rss/articles/CBMi1AFBVV95cUxQbVExbjdTVkpGaVlFSUgxVjNMd2dzS2t0ellfLWRLT1BJSGc5aWQ0cVNGbWYtLUN5dkp5VVZ0SFltUy10VjJ1R09LUE53Sk1YcGpwa0phYzl4ZWNJdm9ycEE3NXdFeWhheXg4bnVSWS1jQ3BMRGFZMXBjYnVUZGVIVUNZTHFaYUdreDB5aEp5eDZ3Z0djdWVhc1JnWW1jWG" TargetMode="External"/><Relationship Id="rId25" Type="http://schemas.openxmlformats.org/officeDocument/2006/relationships/hyperlink" Target="https://news.google.com/rss/articles/CBMiqAFBVV95cUxNLWtPY3ZrUzRqdGUwbjR1eWxhUlB5RUdibkY5WDNwYmpWa0g0aWgtR09ELVhsNnJKOUE5eEs1SGprY01RdVViQUVvVkZjdXB4eGk0NElLbGRraFp1emNTejQ0TEYzaVFDR3Q0QVpMSUQ3OGVlS1dNVmZlQzBzUkxfTlBnVzRPV2MwQVlocERfaFoyWTRfMF9jZGFkU0tJUk" TargetMode="External"/><Relationship Id="rId26" Type="http://schemas.openxmlformats.org/officeDocument/2006/relationships/hyperlink" Target="https://news.google.com/rss/articles/CBMisgFBVV95cUxQWFBFZkFvZmR5NXZHNzE5bFRUdkNZdVFKYXRqTmFSMVhwcnhLUGgzMlJUN2k0V2hOQkEzWDdXcTlFWGtrVGhOUVFXazMwOUxYalJ4Wm92NWJBbDdfX2UtWWVMWnFRSDBXTXUzRE9ZY2pKVVdLT2tHUGhGMlFqeG8zRnRMQmI0aWVoMm9WZkE1N01KTVU5X0E0NHhqeDRnWF" TargetMode="External"/><Relationship Id="rId27" Type="http://schemas.openxmlformats.org/officeDocument/2006/relationships/hyperlink" Target="https://news.google.com/rss/articles/CBMimAFBVV95cUxPVzlVUWhpQ2Nqc2dlV2VYQzdDQThTX0hySGtKdWk5ZVc0NEVrMUlnNFJRVVhTVkRtblVENXk0NExRSjV5aHJwR1ZRc0hLNXpkOE05d2NiNXVCWWNfU296dm5EVlc0a1lWaGdwWjRZM09BREFwTURhT2E1anJtajJucVdFcFY2ZkZUOVZ1UzBjSXNVSGNoNjFaWg?oc=5" TargetMode="External"/><Relationship Id="rId28" Type="http://schemas.openxmlformats.org/officeDocument/2006/relationships/hyperlink" Target="https://news.google.com/rss/articles/CBMipAFBVV95cUxQUmhPenVKSE9rOTJLMzlKRUZRQ2N2NlZWVEhSWmZieExUVWIzcGhsVUV5ZzBySV9tVkJScmVwMU95RG81NmduQWdTenJhaTJKSXN6MXpCdHNGMl8yVEtPVkF1UXczRTFHM05xb3Z0eGo0OXJ6WEltVkp4TERVb3Jjdjg2QUZVVUJHeVdCcmNSRHVTTzh3WS04dExndVMtTV" TargetMode="External"/><Relationship Id="rId29" Type="http://schemas.openxmlformats.org/officeDocument/2006/relationships/hyperlink" Target="https://news.google.com/rss/articles/CBMiswFBVV95cUxNbFBhbUYxREx6bWhhY0xrVlNQeHo0TGRPRDh3VUhIS1NIUjI2ZkhOeTVCamhrWGRZWU8yOFpBRHRhWU9HUHBvb3pfdWZKcGJTQWotV2hrbi1qbHREQ2dSdTFWRXBFb2RBZnNtZ0RsSTh2UXh5OVNYN0Q2S1NyQ2ltczc4TlVSdGlXOGZiSGpzVE5qXzRaZ3NZNXB3emVSX0" TargetMode="External"/><Relationship Id="rId30" Type="http://schemas.openxmlformats.org/officeDocument/2006/relationships/hyperlink" Target="https://news.google.com/rss/articles/CBMirgFBVV95cUxNMWc0S3BPRHl6aGlBZWd2TjBIQXdDa2Q2aXdOaEcxSnptRzdCZ1JVYmlaNTVheHNoclB3aU9TX2ZKZHMzcHZtRnZMSXlGMGNpdXNlX1ZRaUNucGM1cU9uQjg5eU1zdjNHM1BYYlBZcGRuVUtYU3BiU1g3VjItVHdKTkNOQnJtVlpVVlpIU3EybDJLeFNtQ3ZKZlJaNWhBVG" TargetMode="External"/><Relationship Id="rId31" Type="http://schemas.openxmlformats.org/officeDocument/2006/relationships/hyperlink" Target="https://news.google.com/rss/articles/CBMiywFBVV95cUxNakxGQl9TOExLVlpoZEtZQkNKNkRjcUR6QVVEaF93REpyT0NlWHZzcnFiUkxLNE1CNVVTTjVzVzBYdnRYMWVlSEd5ejRlVFcwVWwxOVRvT2tmRUpFUEhjTnZ3cnpIY0RIVzlUMDFRV1llMC1ld0ZUUzZiWFNHcnFjMDVIZGpEVjU3aGc0T3RkYjByV0VUSnliZHpnYWR4RU" TargetMode="External"/><Relationship Id="rId32" Type="http://schemas.openxmlformats.org/officeDocument/2006/relationships/hyperlink" Target="https://news.google.com/rss/articles/CBMikAFBVV95cUxNUEZ6QzFIYzBqV3JLeW5YY0Y5YkRrNE5FeVYwcXhTUGdkYlZscXZWQVMwbkIzYlZnUER4WGVsSnd1a2hQSFlyUFlobndfcHFKN3RLZW1RdWl3NTVrOHJqMEcwOW5xUk43OWtGc2JvVXViaWZjaE1MVmgxV3I4TXpNdlJ4V0lsZS1McU1adW5ialk?oc=5" TargetMode="External"/><Relationship Id="rId33" Type="http://schemas.openxmlformats.org/officeDocument/2006/relationships/hyperlink" Target="https://news.google.com/rss/articles/CBMirwFBVV95cUxNUDV1ZTVzRzNuNmFvWmFDdlJSaGYzeGVHYTZLT0JUdDN3bjN5eHRBckhqa0dZT3JoZ1U1b0dkYVhVNS1FTlhNdWtIWkc4UmtNb1N3MnR0eVlFRTBEdDlTcmUxeDM0cTBKQVJuaGFVeXc1b1phZTVYNGJRZ3pSanAxM2JYYXZzVWxUdUxNamhtOXVNWk93c3dnV29KbHlBU2" TargetMode="External"/><Relationship Id="rId34" Type="http://schemas.openxmlformats.org/officeDocument/2006/relationships/hyperlink" Target="https://news.google.com/rss/articles/CBMinwFBVV95cUxOdHpHbHlaeHZlS1lhRFQwNkpMQnFFVUI2SEtLWWo2SUxZNjNSTFM3emxxa1ZpTWh3b01USW44b3lncjlGZUFTbnhEYi16bTZOLXZVejE0X1FSRVBUanVVTnJJU1d1Y2tGeG1rWTVfYXV1dXZiLU11WUFSbklwYVJ3NzFxMHRXdXNmOVNBVUVKRDRRUnRKekVaZmcxd2k4dm" TargetMode="External"/><Relationship Id="rId35" Type="http://schemas.openxmlformats.org/officeDocument/2006/relationships/hyperlink" Target="https://news.google.com/rss/articles/CBMiswFBVV95cUxNYzBUZGVocDJWYzJIUWM5aVNsYnNnTS1xelR2cllyR0M3QmgzM254eDNJTEktaFgwX3I2T2NqemRCOHpXa3A0aXNHb1ZoOTFkUXJTVDZzSzNyckhMZnhmS3ZmaW5NeGxDQ1Bfb1FPSXVBZVVUTG0zSHl0MU5id1FCUFZlMm4zcGw4dkZGanRfT0hwd3c4Z0ZZWWl2VjU3UH" TargetMode="External"/><Relationship Id="rId36" Type="http://schemas.openxmlformats.org/officeDocument/2006/relationships/hyperlink" Target="https://news.google.com/rss/articles/CBMiqAFBVV95cUxPT1FpMXVZUWhrd25uTTRMR1Jmd1o5STllS3d4RDk0M3IzQllDQ1ZzQ2wtdnBDdmkzZXEwWUN1ZW5ORl9fTk9zX0pIbmptR2k0QlNEdUJCeDVGaC1jMjJWajF5M2Y2RFpPTEFtOWItNmpiWW9ncjZhMGFGbklOaGlidXZva3N3VXpqZkwxZkk2T2U1elNXU1Jjd3ZIRlpUZV" TargetMode="External"/><Relationship Id="rId37" Type="http://schemas.openxmlformats.org/officeDocument/2006/relationships/hyperlink" Target="https://news.google.com/rss/articles/CBMinwFBVV95cUxPajJiUGFnczdqMUZtT0dpV1gxWnhrVm54YTc5amZDbWtfYWZ6YmI2UDJkVElVc2MxbTc2bkFPRmtnb1k3Uy1hNDV4eW5HRWpEbWN3UHdKdDJSaHZ2czgzWGFMdXJfUlp0RWVMQmZ1alBYTEhEZWc0NzhNNlhwS1RUSFlOMk9Ldk5abV9kREdOY2FuQU5heUlSUHpBalJsb1" TargetMode="External"/><Relationship Id="rId38" Type="http://schemas.openxmlformats.org/officeDocument/2006/relationships/hyperlink" Target="https://news.google.com/rss/articles/CBMiiAFBVV95cUxOUW5XSnVQalZxRXIwOVpIMHktM05nX3llWHpqTEstSURZMDYyQlhNeWE0eUhlQ2NTZnFQdDJsUGVqSnNVMWRyTzIxM0lkTmpYdGNhTXZrVnhzUFR3WVpQb19wYUx1ajg2UWFoVHdoREFVc0lZLVFwb2ZsTXdFOTZuZXh0OTlOZlZl?oc=5" TargetMode="External"/><Relationship Id="rId39" Type="http://schemas.openxmlformats.org/officeDocument/2006/relationships/hyperlink" Target="https://news.google.com/rss/articles/CBMifEFVX3lxTFBpdDU4dXdXY0xhUnNObFBiVWlnTS1UZ2NTUlRFRWRiWHZGcWM0ajQweldkaTQ2TklnOWxKOV9FdEplVVR5YWdFWlNkc25XcWVlTmhtVkRuVlVzSmp5aHpST0x0eXpWSjBTbFRNRlVaSmZZQkp6TEVRcmo0bXI?oc=5" TargetMode="External"/><Relationship Id="rId40" Type="http://schemas.openxmlformats.org/officeDocument/2006/relationships/hyperlink" Target="https://www.cnbc.com/2026/10/23/american-express-job-cuts.html" TargetMode="External"/><Relationship Id="rId41" Type="http://schemas.openxmlformats.org/officeDocument/2006/relationships/hyperlink" Target="https://news.google.com/rss/articles/CBMixAFBVV95cUxOWkI5V041NjZUNG4wQTdDWm5RMWRCaURLTkg3MmczV293a3lDeVNvR0NoaFhON3F6b1Nvc2JUQmZvZXJQRHdYQlNwM2FnWmdyV1ZHTDNXX3ZQNURDY1NUU1hYZ2xJdnE3RlhjcVJwd1ZkVE9GQ3hFRHl6anVmS1BPUXl5M1h3MnZ2dC1kQkF1RXp3RmZNa18zVm1BcTVxdj" TargetMode="External"/><Relationship Id="rId42" Type="http://schemas.openxmlformats.org/officeDocument/2006/relationships/hyperlink" Target="https://news.google.com/rss/articles/CBMingFBVV95cUxOTWFmVkIyUDM0UzBxS19BbDJvYkRWSG1Db1VRSDZmS1hseG9SUHhDa2EzRE1HazdTbHZGT2t2cmlHU2lLZk5jdEZSYWo1TEtjVnJRQjRDWE04SlJrOUVSNTJnNDdIa1hSU1ByNkNZWEFkcWtXa0UyeWRobG1za0dEZGdUN0tJclVfQ2l2VktOZmJTMGp3azB5SE5fb05QQQ" TargetMode="External"/><Relationship Id="rId43" Type="http://schemas.openxmlformats.org/officeDocument/2006/relationships/hyperlink" Target="https://news.google.com/rss/articles/CBMiogFBVV95cUxOVkxEeVRsRnZTczlIZ0o0NDFMX2syUnJjR0xXeWJXVXBqdUx3QzUwbm82TFFldDhiN1E3dGFBZklCeEhybE9tNmttZFNxaG1hZXFFbnpobWg0YlZLcnYtWk5XYWRPNTZBSDIwX0ViaUZHNmUyUlJGT0xDVFVNdjZvMHdFeGdONDB1YUlhdC1PVmpfZlpQSGFYVUxXM0dzWW" TargetMode="External"/><Relationship Id="rId44" Type="http://schemas.openxmlformats.org/officeDocument/2006/relationships/hyperlink" Target="https://news.google.com/rss/articles/CBMiigFBVV95cUxPS2VsM01FdzJrTVZmc2RZNDVMVG9xa0pKa2dqNXN0Vm05YVRlN0cxTEE5WmR3a1JJZU9odjljTV9FX2FtaF9CMm5RemZNSnBCbUtYemhZQ0R1XzkxZG90RFZjdl82SXU4aEpnOG1lcEJRNG9FN0pENy1zTHVGMDkyclV4a1FHTVlFTEE?oc=5" TargetMode="External"/><Relationship Id="rId45" Type="http://schemas.openxmlformats.org/officeDocument/2006/relationships/hyperlink" Target="https://news.google.com/rss/articles/CBMib0FVX3lxTFBhblpwLUhvM1dNN2FhWWlUSzZLclJUX2t6RzBLYjFqTDMyV3lSalRvRjlEWWdfb0V6LVFXdTVYZWdsY2YxdHE1R1Y0Tm15aDhNdk90SVlLOUF2M2U0eGhTV3dhQlFaT1JVVU1BN1F1MNIBdEFVX3lxTE55bU1Ia1lKeVUtR0s1VnBCelhlREV2TDdXNDNKU2ZWT2dXZVJPUk" TargetMode="External"/><Relationship Id="rId46" Type="http://schemas.openxmlformats.org/officeDocument/2006/relationships/hyperlink" Target="https://news.google.com/rss/articles/CBMikwFBVV95cUxOU1ZQNmxqb2VkTHdkcFJkaUVzc1dSZTVVWEtWUnM1VU0wM1JscS1ONkJNZTlmeGJXYTNINTRSWHNPSUFQTU5mQ2NXRlFVdjdGSUZPMEdCMEhneWZMcWZsSWxVMGZ5T0hyTUNaOWNTZjByMFZ0aFNmMzVqR2JxMGRGektDSHhwMGVMUDBGdHR3YnBtX28?oc=5" TargetMode="External"/><Relationship Id="rId47" Type="http://schemas.openxmlformats.org/officeDocument/2006/relationships/hyperlink" Target="https://news.google.com/rss/articles/CBMirwFBVV95cUxOQ0NSaGkxY2k1NHJoMTRPeG0yekpoaEVKdlZRb2ZBellUVGNEMHlWd3lNcjYzZEVTRmY4eVR0djJTSmtKWDVyZjNoM0Y3c0wwLURLSG1tT0RDN1hhX0lLZlRhSkpNUXFObm5lRlBFOFFlcmdBYU9MNHVqVVJkdnBfMlFjSUw0MFZjeW5KeUdGaG80WmhYMGpZVEZYVlhJOV" TargetMode="External"/><Relationship Id="rId48" Type="http://schemas.openxmlformats.org/officeDocument/2006/relationships/hyperlink" Target="https://news.google.com/rss/articles/CBMi4wFBVV95cUxPWm1kSFVNUDA0d1B2UEVOYVJmaEU3bkJPQ29STk1RdG8yUkFsN0VqdlhQRFcwZzZiY1RtOExaTVdsa0VvMUJkaGdBejVYRHRtUzVEQWczSVRoUHhqb2x3LU1hRVNheEZNNlNDZnB5M2ItLTI5bm5adnU3UTBKRTZHQ0J4dWN6YXR1aTdaQmR6N2ZNUGlpemJISUVyVW9QVm" TargetMode="External"/><Relationship Id="rId49" Type="http://schemas.openxmlformats.org/officeDocument/2006/relationships/hyperlink" Target="https://news.google.com/rss/articles/CBMiqgFBVV95cUxOZ1E4Q2R4QTI2QkNmejF1eHYtb3hjU2hJT3BPbjVCOTVoN1NFODlBVGdRT05kSE9KWE5HMVVFWDFNMXcyWU5nWndRMmE2cmU5dU9Ib2YzZ3QyckcxbXB4dWJqWDBCaDNCNW5MVXpYOWltczBjX0pNelB1S0lMS1hUNXpuUzhIdi1aZFJ1QVRMOHFyTjJRMGQtMmpJSDNZbE" TargetMode="External"/><Relationship Id="rId50" Type="http://schemas.openxmlformats.org/officeDocument/2006/relationships/hyperlink" Target="https://news.google.com/rss/articles/CBMiuAFBVV95cUxOcGJ1YmE5UEpGRVk5ekYwbHJEdXdrRTNOQ0phUkpjRTB3TEx5OXNkek1lelpadGIxM3FzaEVlaHhoMTJLLWNENnNQSmFzdFBUaDVhN0dWWGxVWVBNeTNrSjN3TzBhaEZtZnpYWVl5S2Q3R0taR2FGTjRiWGc1Y3BUZ0MtMjkwSWlsMkJZWkVMRmh4YTlHaGZpSGEySThZeC" TargetMode="External"/><Relationship Id="rId51" Type="http://schemas.openxmlformats.org/officeDocument/2006/relationships/hyperlink" Target="https://news.google.com/rss/articles/CBMitAFBVV95cUxQbWFwX1Q0OTVya19QVkZ0MHRwRU5mXzVDN1ZFZkdTTGY0a0Z5SXk3c1ZYLWpmRjVRTWRVV2pYaWlCNkVvbFJwNXhZUFRaZUpmLTVJcVc0akdjX3FMSjl2MUJQWFY0cmtUMURKVTB1MTVpVmdTUFE0cVFaUExsaDVqRS00Nl90OUtPdnVmcFRJdjluRWxsUGFoZ1R6UGo2cG" TargetMode="External"/><Relationship Id="rId52" Type="http://schemas.openxmlformats.org/officeDocument/2006/relationships/hyperlink" Target="https://news.google.com/rss/articles/CBMingFBVV95cUxOSncxZ1pmeEF1Z0ctVVNqM0d2QXMyTlNUMndubGFkR1hQUkZNNjZMbGludGNfNi1EdFdSbzVOTE0ybm9JVTlzMTlQUkdKc2R3RU8yc1A3amNBcVhDU19NSVZfdE80WklzVWFLTjM5ek1IZWsxRXc1TWsxczNfTVNfakJqZ2kwNkxCNXJaM0c4bm5kNFZkVkRpQUpqZ3F1dw" TargetMode="External"/><Relationship Id="rId53" Type="http://schemas.openxmlformats.org/officeDocument/2006/relationships/hyperlink" Target="https://news.google.com/rss/articles/CBMiogFBVV95cUxPbjRfYk1nRG1rdTFQVWRjdmlwOUZKaExNT0VvcUwyeVFYeGFZa3dEaERSMGNqdFVGTUp5alk5b3NRYzJQeW9yUTRKVC1iV1pEak9qZ0FVeTdrTU5nUlRtWTMwd3N5SFBGZl9qbEhUUUZuMXZTTTAxNlVnVUd2NVdOOGdZVlkxZXR5a1pORTdmYzVweVNHNVg1cjBCN2RhdH" TargetMode="External"/><Relationship Id="rId54" Type="http://schemas.openxmlformats.org/officeDocument/2006/relationships/hyperlink" Target="https://tw.tradingview.com/symbols/NYSE-AXP/news/" TargetMode="External"/><Relationship Id="rId55" Type="http://schemas.openxmlformats.org/officeDocument/2006/relationships/hyperlink" Target="https://www.gelonghui.com/live/2727024" TargetMode="External"/><Relationship Id="rId56" Type="http://schemas.openxmlformats.org/officeDocument/2006/relationships/hyperlink" Target="https://news.google.com/rss/articles/CBMingFBVV95cUxQMkR4YVRLTGdaMVQ5bDk1amNRR2ZfcVZDWFBqZDhqRE5OREcwOFVBalY3N1JjS3VGQzFBZnhmeGhoWlRKMVphZkhxUzdwbkZpcURERzVCMVRSMHBYbC1Ba25Fc2k0UFlibnNoXzM5enNIa05NUy1ieUFqYjVXV1JDbFd0VUtwYWZTZmlYSGg3SUVIWk9LbVc4bjRXVEI0dw" TargetMode="External"/><Relationship Id="rId57" Type="http://schemas.openxmlformats.org/officeDocument/2006/relationships/hyperlink" Target="https://news.google.com/rss/articles/CBMioAJBVV95cUxNUVozejdFUUZtMmZSOWRVTVRDWXk3S3Qyd2ZZc0hGTGR5QjFHM0JHb1NvNE0yV1JkTHVqVE1qRkZFRV8xbVpONXdOX3RDTE1ZX2xCTlp2N2pKMWJlRk0xN3hza21PTW5yS2ljQ0pXcEYxcWRnX3FJR3RCNW50c1RJNS13blpoRmhBRmV3VzBUSE5kYXFDTkQ3WjE0WGVPRG" TargetMode="External"/><Relationship Id="rId58" Type="http://schemas.openxmlformats.org/officeDocument/2006/relationships/hyperlink" Target="https://news.google.com/rss/articles/CBMinwFBVV95cUxPRlk3TVB5QTJOWFVsajM0RGlPanBxQVBUMURpQ2FBc2NrUFU4aldPYzNTdXNac0hhUDdLdDBkdnYtY3RydGtqQ2FNb2dadUQxb25DcC1NdlBnNWJac3lBcUI0Vi1vYmZMaG1vbWZ2dUotdTFGS3JmRHM3Rl9DdXIxUV9xWXR3WHN6dVNTWTVrVDZINGZkb3R1U1JxRWRrdD" TargetMode="External"/><Relationship Id="rId59" Type="http://schemas.openxmlformats.org/officeDocument/2006/relationships/hyperlink" Target="https://news.google.com/rss/articles/CBMipwFBVV95cUxOa1BtT0FlUEVILXlTLWpCWXZRalhzNUJfWVd5bnd0YkdMWWJrVmw2eFhGVmxUYy15elBJZ2lETXdjdmoxVDg5SmcxdFoyekI5emFmREZ2cXpsMXZhZDF5SlpDemswTXVvRXZqV2NyWFdaTkJ1NlE5VFAweC01dnNhVjR6UUd6eDEwalFBdzM1aGxNRzd2ZVhlSlctRk5GOT" TargetMode="External"/><Relationship Id="rId60" Type="http://schemas.openxmlformats.org/officeDocument/2006/relationships/hyperlink" Target="https://news.google.com/rss/articles/CBMirgFBVV95cUxPTUpNRmhfTTRIY2hEcjl4MTQxa1NmQnBzeFFTV3lLUXM1SGN0enNEWkw2aVkwU00yV1V6eXRZRFpSLXhCeURwUEdYUGd3czdjVVNZdDlPcnVnT1FSQ1U2VmdBNVVuR21kZzRZRnR4UUdQb1ViTXZYNkNiZllENFIyOWxOdEJ1cmdlYkFTdFVYY0I2QUk2TTVZdGdqdmUwMX" TargetMode="External"/><Relationship Id="rId61" Type="http://schemas.openxmlformats.org/officeDocument/2006/relationships/hyperlink" Target="https://news.google.com/rss/articles/CBMirwFBVV95cUxQUVgteFdHZU82UzBrYUNHaTlVbHIwTzRER3RoU0pzaGw3cHpveXRYc2ZIUEFkczVKVmhKRVZtdkRmSGhXUVNuRlBnZGRpbzJha3l0NU51TFpvbFAtanFrM1FEN05zaWZCVTVPRmdFM1FVU2ZuODNuSm9CSHJEUFBWd29tRFYxZ3RQMVJRMEVNYUlWMURuOTJUVFlYVHV2cm" TargetMode="External"/><Relationship Id="rId62" Type="http://schemas.openxmlformats.org/officeDocument/2006/relationships/hyperlink" Target="https://news.google.com/rss/articles/CBMipAFBVV95cUxOVFB5UEE0NThpZ0RkNzNNQ2xVakxXb21uc3NZMlVCZWhYSGhIaU8wLUNtbGQ3cktYRnR6UDlqRGZnZGZ1SXNHZkNXdjZ5R25vR3VadXJ5MmEyMGNveE9QTXJmZXhkalJKSXVORE0xMGZrMkYzLXpObmhBNGJVUk5PV2xiTHZZY2ZrUWVoVk04ODlMcFdSb1oyUllLd0FYZ2" TargetMode="External"/><Relationship Id="rId63" Type="http://schemas.openxmlformats.org/officeDocument/2006/relationships/hyperlink" Target="https://news.google.com/rss/articles/CBMivwFBVV95cUxNN0diN1V1MTJXVEY2OFNpTVNDcWJ4MGJHYzJSNXA1Mm5oZVU3c09wOGZfbGd4d2RVSnAwZG5pY3FzMl9uYl94REFyaGd3RDkwYktKbGYyU0lmbHZZLXhtbjZzMUE1a0dfcEpOVGdHTXBpSmYzSm9Vdm1FV2NPclN3T2x3emhFdEJaVHJBNm5nRkd3dGE5d0ZWaDF6WWJtUU" TargetMode="External"/><Relationship Id="rId64" Type="http://schemas.openxmlformats.org/officeDocument/2006/relationships/hyperlink" Target="https://news.google.com/rss/articles/CBMiqgFBVV95cUxPalpjd2R2c05tR1Z3YUNuX0UyLS1KakNRekhhRGNFb1MtOTdORkRKZzRaTzFuT0N0Nmliakd6VUdvNGIzY2Nvc0RnRk0wVGZxVlVkSTFRSndXc0VQWFp6RXRWS1B5eXc0a1BjQWhxTTVJb3dQV29Qazd2YzV4U2tHTi1WWHVjVEVwTFRrSWhrYnppbXZSczZ6RXYyaHJKdF" TargetMode="External"/><Relationship Id="rId65" Type="http://schemas.openxmlformats.org/officeDocument/2006/relationships/hyperlink" Target="https://news.google.com/rss/articles/CBMivAFBVV95cUxNTnQ2V01XWXlTMnpqUGpXR0ZaZHVXZXlEd0JNQnlDMnhMRk9KbG1KZVdRcHJCVTVQdWtCMHp2RVMwTGZPQkJIRzZOUWc1WWtHTzFCbF9hd1BZeDVpd3RvMzI5a3M0cWxQOF9NOFZzZXZjSkJVQ0hkNGFpR2dkMWx4RkNzVDlvSnVTYU54VzBvYTZQTXVXbExwSVpTcDREMX" TargetMode="External"/><Relationship Id="rId66" Type="http://schemas.openxmlformats.org/officeDocument/2006/relationships/hyperlink" Target="https://news.google.com/rss/articles/CBMingFBVV95cUxNV0hQZUlEaVh5ZGRzM2xGNllnbUhBMXQ4ZW5BX3AzMXNuLVlOM3JnUEJRSzV3WnYtaXVJMm1HTTZ2TWtTRE1vdUV5TFpaUXJ4ZTBlNGtlRkZ5d3g4dy1kRURGejlPenk5Y1B4czR0RHd4Vlp1b3J6eEQzVDkwbWRGeFBHSUI4N0VUQmtYSlI4elBOb20tMC1vc01hUWszQQ" TargetMode="External"/><Relationship Id="rId67" Type="http://schemas.openxmlformats.org/officeDocument/2006/relationships/hyperlink" Target="https://news.google.com/rss/articles/CBMiqAFBVV95cUxNV3JBdGNFWm1PbjBHMDZHc3FJQnRqZVVBd0paOElLSjc5N1VGSnliSVBxbkRSWldWcDhyTWUtRURQVldQUFFVeFliVnJ6b3o3bEJSS0cxRWFNVmU5S3NBWGd5ak1WZGpaT19MZTl3WUhHQjNRMjFXVDhKekw2YzZSNElWR0hJc2dacnRMbzl4YWJTS2pNcTlqSk9FTjAwVF" TargetMode="External"/><Relationship Id="rId68" Type="http://schemas.openxmlformats.org/officeDocument/2006/relationships/hyperlink" Target="https://news.google.com/rss/articles/CBMixAFBVV95cUxOUzhaelBHZW1yUkx0YTJTN1R4UU0xSjFlM21iUXF5VmxpcExxdUJoSnhGZHN1WE1XbHlMbkRYeF95bVkwTHN0eUQ5VEJjTnZwZ3YyQzB0WEhhY3F3REFKNjNKbmN3Z3MxTmx0b09XazRhMG11bVlSd081VEE0Y2ZrTDRzUk9jUXNiSXdXOFlFd3pIMXBRdFhqMVc5bF9LZj" TargetMode="External"/><Relationship Id="rId69" Type="http://schemas.openxmlformats.org/officeDocument/2006/relationships/hyperlink" Target="https://news.google.com/rss/articles/CBMipAFBVV95cUxObkM2eTNFWkVOQ0lUYWRWOEdUaG5DaTY2RkdTRHozeS1zZU5HUUFLZ1pLQVgwaDdQNVZXV19kc3ZiRVY2OU5fTDI4NXZUb1VhWXpQamVTZFVQaS1ib1oyWVdpTEp1dzdKaURiVGQ2a2lDY3JVb1p1ZjJWUXEyUXJyN3pBOU9FbFdLWml1RTBnTHFhRU95c2lSdFhIOUdQc2" TargetMode="External"/><Relationship Id="rId70" Type="http://schemas.openxmlformats.org/officeDocument/2006/relationships/hyperlink" Target="https://news.google.com/rss/articles/CBMihAFBVV95cUxNcUoybV9iZDcta3FUMDhVeUY1MlMwQ3ZqSmUwWE9JWURMZlV6RTFSQnFDcDhLRFdsdGhUZzBSdFN1X3dabkJsckNDR3JNMkE4QWtDVnVleE5oQTEwcWV3ak5QYTRJbGVCQTAyOFJIMUVlellBQkJRSnhDWHFLSTloTGthdjE?oc=5" TargetMode="External"/><Relationship Id="rId71" Type="http://schemas.openxmlformats.org/officeDocument/2006/relationships/hyperlink" Target="https://news.google.com/rss/articles/CBMixgFBVV95cUxQRVJ6TmN4dEdrTXFvaTFKQkpmRTZ2NDNzNkR6d2dqelk2TVdtVFozS3BqRE13YWM3VzI0eVFVUEpmWDlfVXg4SGNOclFfVkplOXJXbEtadGYzODdvRnhqRGlIaWV4WXJSVm8xcDlkRWFhQWllZG9NMFI1ZHJLMXlCN3hsNndDOG1BczJ4Y201WFlfSUo3ejVpUGVUVU8yMG" TargetMode="External"/><Relationship Id="rId72" Type="http://schemas.openxmlformats.org/officeDocument/2006/relationships/hyperlink" Target="https://news.google.com/rss/articles/CBMitAFBVV95cUxOS1VLcGVZNFhqdzdsYkRycmllSHpGVmRtclVVS0FtZVc3SW5DOHA5R0Y1aG9OMWZUc3pkVElOREcxVHFnMHdoT1ZTYTRIc1VFR3ZPeF9MQ2l0SHpkcnJ0YU5KVjV1Y0tCNy1TbjVYRHpDNDk0MlZ0N3JWWXRRb1NpYktYNllRNDZkdDc4RDFsNWlVTWJhLTNtbl91ZC1QVW" TargetMode="External"/><Relationship Id="rId73" Type="http://schemas.openxmlformats.org/officeDocument/2006/relationships/hyperlink" Target="https://news.google.com/rss/articles/CBMixgFBVV95cUxPMzA2cXV4S2Mzd3RXRFBHOWtac09BRHNtb1lpaWZGd3FiUko3TEsyZTdsckpHWWhibUpjODRWNEtfeENXa3dra0pSdmVJbnRROGt1dXdYWUtmS0tOc2hVaDZrUFdGb1FXV0VnVHlialdTb3VkZHpOY0NLYWZ3VWlqYVV3eVItejh5MVVOdUFlOVRtdEVoWVBKYWlVUENZeH" TargetMode="External"/><Relationship Id="rId74" Type="http://schemas.openxmlformats.org/officeDocument/2006/relationships/hyperlink" Target="https://news.google.com/rss/articles/CBMic0FVX3lxTE5jWlNqQTQ3eTBFNWJUOU5qUWtueEhUcmxnRGNDQkZ0clZTSjVRV3JWT0JOcThrcGVUVGFUUm16blZPdm80eVhzamM2OGJ4ZmU4ZjhxQVRUbEtoZU91Zi15MjlDUEJmVlF2N0tYU29ZdEFYZE0?oc=5" TargetMode="External"/><Relationship Id="rId75" Type="http://schemas.openxmlformats.org/officeDocument/2006/relationships/hyperlink" Target="https://news.google.com/rss/articles/CBMi2AFBVV95cUxPcy01ejMxWTRYdW4wWFdNWG5oUm5PTDYtbVd4M2hhLVN0cXhLeUV2Zlg0QVVCUEdYb3hZZ2daSFdTY2ZtbEM3T3ZjZldGX2lKcmhLTXBKZUpNUVk3SU8wZ2lMemkyeDlkaF9nZzZUTkJ4dTZCUnpjX0FTY0VheDh3eEt1cDREb1VXRGNqVEpjLVJUN0VXeFEwUzctUVdjR3" TargetMode="External"/><Relationship Id="rId76" Type="http://schemas.openxmlformats.org/officeDocument/2006/relationships/hyperlink" Target="https://news.google.com/rss/articles/CBMipwFBVV95cUxOQlAtbTNsM0JxSVdFYnJ2SjdQR0xDZWtNTWJzWG00VE5rNy1VNGhzZTN2WjdCNHROOVVlMEJjMk4tdXYwVlZJTnQ1ZnRBRHFzSlU0Q0dORmJHS282SVZjamt5ZjVMTmtYY3Z0UWJ1eDNHRVh3dzV2UTZXUFlNTlM1dDRaUGd1R09oSnpmaE1Bc29FWENaeDFrajhubE5fdl" TargetMode="External"/><Relationship Id="rId77" Type="http://schemas.openxmlformats.org/officeDocument/2006/relationships/hyperlink" Target="https://news.google.com/rss/articles/CBMinwFBVV95cUxObTFaZWVuM3lQWDZKa3FQeVVEM2JkbG1yN0hwdldhS1NEeWhfNDJUVW1reFR6QThWekxSVEdDOVN6VFRXNHFFM0QyTkJSekF3R04td2pYUmFOVWFLb1JPNzgtVGdLMkRGS0Nic1E1UTlQbURPSWtISEFKeUpYd3BtLXMyT2VoUHdtbHFuWkJKVHhGYnZJaWdCemZBRk43cD" TargetMode="External"/><Relationship Id="rId78" Type="http://schemas.openxmlformats.org/officeDocument/2006/relationships/hyperlink" Target="https://news.google.com/rss/articles/CBMitAFBVV95cUxOS1VLcGVZNFhqdzdsYkRycmllSHpGVmRtclVVS0FtZVc3SW5DOHA5R0Y1aG9OMWZUc3pkVElOREcxVHFnMHdoT1ZTYTRIc1VFR3ZPeF9MQ2l0SHpkcnJ0YU5KVjV1Y0tCNy1TbjVYRHpDNDk0MlZ0N3JWWXRRb1NpYktYNllRNDZkdDc4RDFsNWlVTWJhLTNtbl91ZC1QVW" TargetMode="External"/><Relationship Id="rId79" Type="http://schemas.openxmlformats.org/officeDocument/2006/relationships/hyperlink" Target="https://news.google.com/rss/articles/CBMiuAFBVV95cUxOTEwwemxlMFRQVGE3M0VRRWFkVi1ONklTSzlaZXdsYU1fQlVWUlFKbU5HZEh2NDd6WmM4bHJITmFXaGhZRzFXdDc0MzVzbk9oYTQ4aWlMYXVXaXlOdnpPOUJkd2g1TTZJcnJJOEFhYzh5T3AxU3N1TVVtWnlVUmpFZDFKVThtam9tNmIyWUdickZoV0lrQXBweG1saTh1UG" TargetMode="External"/><Relationship Id="rId80" Type="http://schemas.openxmlformats.org/officeDocument/2006/relationships/hyperlink" Target="https://news.google.com/rss/articles/CBMipAFBVV95cUxPdVJWbXZpS193WnNlYWtJTFpkeDdreDRzYkVqcDMxd3dlSDY2b3NWcVFsb2M5QlFkWUdtaXdqRDBtSkg4MjdrX1lYdGVBQWp1elAzZ1lfNUFHLW9XdmZkb1M3QU5qQmFZbWl6SWxEaDZ4bkh2Q2pvQ0E2YlhqX0hsZGt2ZTdCdnRvNnczaVB5dFVEZk9DcmoyS1hjMHBoNz" TargetMode="External"/><Relationship Id="rId81" Type="http://schemas.openxmlformats.org/officeDocument/2006/relationships/hyperlink" Target="https://news.google.com/rss/articles/CBMikgFBVV95cUxOQkJ5bml3eWNkUjhUXzRtRjc1aTlCZzY3N3VFVFFzXzg3bkNGaEQwUElxSkxDeDFzWTRxZWhkOFdLUkl5d3V6VC1FVWE3ZnA1MWx3R1RKY3Fkb20tRy1mT1pCQzdEVmVZeFNCNXRPRUZWUTRGVW12U2xCWmVyMHJKN29iWHRrYm9DSzNtYmp2SmFZZw?oc=5" TargetMode="External"/><Relationship Id="rId82" Type="http://schemas.openxmlformats.org/officeDocument/2006/relationships/hyperlink" Target="https://news.google.com/rss/articles/CBMijwFBVV95cUxQcFN0RmpreFYwNUliblpSMTdwd2JfMG5Ja1BXMnRPajZwbzM5ZDZfaExDN1ZFdGNhRDg2dkFNMks5NU5qelZQekdLWHB3NkZ1TlBKWTdYaGxyVzFPOWRaLVBZZ2J1emJNbkpaYTA0NmZuR09oTzdKdFhNdzNxNEV4R3FzVUJGdlBLMXdsUUNvYw?oc=5" TargetMode="External"/><Relationship Id="rId83" Type="http://schemas.openxmlformats.org/officeDocument/2006/relationships/hyperlink" Target="https://news.google.com/rss/articles/CBMiuAFBVV95cUxPNU9LNDI4Y3pZbGRmdHRURU9qeWVmV1ZOTkc2NjNtdm1LSE1GbTB6dXdWT1VKWjgxTXZPNTVqMmNSdGJJM1ZQRkdsTFJHeFNRWmJ1ckg1OUVlVlhMT3gxaVlJN1ZxUURBcDRsX2FtOGlrZUhiZTQzNklsbklKNUlpdkpOaUVoTEswTVpfdkFJanRHMFMxdTE1NlJ2RVgyZU" TargetMode="External"/><Relationship Id="rId84" Type="http://schemas.openxmlformats.org/officeDocument/2006/relationships/hyperlink" Target="https://news.google.com/rss/articles/CBMipwFBVV95cUxNU3NWb1MwczladzlTQ25fa2hCR3dTSUkzNmlxS09XUVdjNUhBMnRETVhDeW1PSkVtMHl0eHc1ZTVGckpvNWVmb05NVE9lRGVPOG1hUEVOREozTDlNeHluSDB4b1laLUNhVGtJU2NMV3FXbGk1c0FadWNEMGd5c1ZZdE5kaEU4ZVJudzBhMUcxSG55Xzh2MW9OOS1kRzFCal" TargetMode="External"/><Relationship Id="rId85" Type="http://schemas.openxmlformats.org/officeDocument/2006/relationships/hyperlink" Target="https://news.google.com/rss/articles/CBMi1AFBVV95cUxPdUhwRTBNcFIzRTU3Y0Q3Y2pIWGZ1ckFMemJRUHd5Mk5CNXRiMUdIbWl5MnZlRHJSTldSajFoTkFlLXV6cm9YdGtUX0lhdm9tZndpSVlkeHh6YUdyMjJLaVRQUGJPYXQ1OVJTeXhHOTI3Umg5ckp5eUJrcUdKRGRNRjI5YWQ1b3ZIZjFfMEhKUmVraTZQanNkMDlzRUN0V0" TargetMode="External"/><Relationship Id="rId86" Type="http://schemas.openxmlformats.org/officeDocument/2006/relationships/hyperlink" Target="https://news.google.com/rss/articles/CBMiiAJBVV95cUxPTTZHTHdyZ19adGQ3NjhiQ09UeFNJVHBEMnBYV3R4cVQzeGt2SFRfVzhURTNmV2NDUzhtRWotUlZVV250MWd2Y0F6bHNvMWxUSmtFNlJ4WGIwbUVPaHdJQi1lZWVGT3lsQ0s3NDNuaWZtVTVCOUJ4VGI1d0lfbGthSUV5eXlncE9HUUJfUmRIMG5OOUZ0X0N2NnFDMmRtR2" TargetMode="External"/><Relationship Id="rId87" Type="http://schemas.openxmlformats.org/officeDocument/2006/relationships/hyperlink" Target="https://news.google.com/rss/articles/CBMimAFBVV95cUxNeHFmUnVxUkxYTGhVOVZuTDJRR1NBQzAydDJPN0w5Z21aUHBLcmlRUzVMU1ZjejcyUWhrblNWZnlHNnNGemtNaFhBWXRLLUVTajFlRmxCT01mTF9yRmdtdjZvaFE2LVFNYkppV09xVnIxeXpBZDgxTWpSeE1qUV9ZcjVLR2VLWjRmb196aTFRR296aHFWVzJKVg?oc=5" TargetMode="External"/><Relationship Id="rId88" Type="http://schemas.openxmlformats.org/officeDocument/2006/relationships/hyperlink" Target="https://news.google.com/rss/articles/CBMiiwFBVV95cUxPVWpDQ2JyeWtObG80UF9NNGU2RE1DQkdIcnN3dk9sWC10UXozd0U4b05EamlxajMyeG1WeTBlZnF2MFVQWHlTbUdFakJyWnJqNW44d3N4Vlg5SjE3eXM1ZUtBcjR1WmdaczdOd3d2bzZLejVEcHVTSXFXdnh2a25QNTZOMzRsN3BrRFFR?oc=5" TargetMode="External"/><Relationship Id="rId89" Type="http://schemas.openxmlformats.org/officeDocument/2006/relationships/hyperlink" Target="https://news.google.com/rss/articles/CBMilAFBVV95cUxNLXJ6cFNmbTMybUptM1NtQnBNMjkxcHdoSnEyZEI1ZWpBcnZxZ1dVQ1hoRkJvOE1sZ2gxZ3FmNHpTTDJhLS1DRFB6c3FHNGljUnZvTzZTWWI4Z3Z6WmlqTEd0M0R5VE45RHZnMzQ3clZYYUJsZW1DV0JaR2E5MldkRmx2LTBYcUM3T1ZacXZYTTMwaTFL?oc=5" TargetMode="External"/><Relationship Id="rId90" Type="http://schemas.openxmlformats.org/officeDocument/2006/relationships/hyperlink" Target="https://news.google.com/rss/articles/CBMirAFBVV95cUxNTjZjaFdxSFF4NnN2ZVVwbDBXeDczMDFYS2FVNWs1NFhhX2MwOEoxQndaNkMzMHBHNVpmOGM4WG5nbFE3cHZKUk9qYXBodURocngtRHFpLWZacWlHRGVMdGR6SHU1aWlpMWVPU1lBTHVSYVYtNzBHNUZhakJwNzl0YnFfX2RXQ212LXRSUUprcUNvZXBrMlJ4cUlyQ1M4N0" TargetMode="External"/><Relationship Id="rId91" Type="http://schemas.openxmlformats.org/officeDocument/2006/relationships/hyperlink" Target="https://news.google.com/rss/articles/CBMidkFVX3lxTE9KZ3QwUExTSmIzOUhKWW9aQ25lOU14dGRjNllfNUVCd1JZc3pFSWRmUTlxbUdHeGZKYnN5WnpidENheVJ3Y3VyWldwSXRrQWw0SHBSUl8xeEVBWXBzYWdTWF9xbjA4cS1LalFRMW5nbXhZajlEOVE?oc=5" TargetMode="External"/><Relationship Id="rId92" Type="http://schemas.openxmlformats.org/officeDocument/2006/relationships/hyperlink" Target="https://news.google.com/rss/articles/CBMipAFBVV95cUxPaWJ3OG5sbkZBQmJvUjhFRGg0RXJTU05VUzNlbzVIWHZwOGVnSFJqTE9NOFY5N1B0VlV6LXIzSGVzdVpEOEVZc1pZakVzOVZtMllpX2U1dU01SnVaZWllSDBESWFJcXgteDZUUXZHTVpCdmRNTzNXRE1XUTNQaXFjVnpsMWd0LUtNX3hIN09pOUlxQWl2dW5EblVoZUdhLV" TargetMode="External"/><Relationship Id="rId93" Type="http://schemas.openxmlformats.org/officeDocument/2006/relationships/hyperlink" Target="https://news.google.com/rss/articles/CBMipAFBVV95cUxPaWJ3OG5sbkZBQmJvUjhFRGg0RXJTU05VUzNlbzVIWHZwOGVnSFJqTE9NOFY5N1B0VlV6LXIzSGVzdVpEOEVZc1pZakVzOVZtMllpX2U1dU01SnVaZWllSDBESWFJcXgteDZUUXZHTVpCdmRNTzNXRE1XUTNQaXFjVnpsMWd0LUtNX3hIN09pOUlxQWl2dW5EblVoZUdhLV" TargetMode="External"/><Relationship Id="rId94" Type="http://schemas.openxmlformats.org/officeDocument/2006/relationships/hyperlink" Target="https://www.gelonghui.com/live/2726936" TargetMode="External"/><Relationship Id="rId95" Type="http://schemas.openxmlformats.org/officeDocument/2006/relationships/hyperlink" Target="https://news.google.com/rss/articles/CBMi5AFBVV95cUxORzZ2YUxFVlR5V2dHMHVudTZwZ2w1QS1aS1YxR3ZXZUtjZnZXYzd1VTJCYWFfU05JNlNkemVjZ2hGRjBGQ1NtT2ZWYmhsNzRVbVVicU81LUlOYS04cFBzWHVXUXpmUzJSbmEwUDRrUjA3QUdVQVE3dThIdnBrZEd6dzg3N2YxTFZCWko1WGtzLTJoU292LVZBVnczblkxaG" TargetMode="External"/><Relationship Id="rId96" Type="http://schemas.openxmlformats.org/officeDocument/2006/relationships/hyperlink" Target="https://www.gelonghui.com/live/2726936" TargetMode="External"/><Relationship Id="rId97" Type="http://schemas.openxmlformats.org/officeDocument/2006/relationships/hyperlink" Target="https://news.google.com/rss/articles/CBMirwFBVV95cUxPdzdYNHpHM2ZBY3M5dG5CNVpkbEhTSW4teFpqaUpXcExhN1YtSGVpeDY2Tl9PQUVyRWJyRzQwVDdHZ19XQ2VDSndia0tUbWxWcnFFeGFhUS1aSVhuVGJoR2sxMlZUeDB4dWQzUFNqbmQyWTJacjU3OVFDb0JqZEdPUVIwR29oVUw4NDJNdWpjdXlDMzdiSWVocTZwcl9zZH" TargetMode="External"/><Relationship Id="rId98" Type="http://schemas.openxmlformats.org/officeDocument/2006/relationships/hyperlink" Target="https://news.google.com/rss/articles/CBMi5AFBVV95cUxORzZ2YUxFVlR5V2dHMHVudTZwZ2w1QS1aS1YxR3ZXZUtjZnZXYzd1VTJCYWFfU05JNlNkemVjZ2hGRjBGQ1NtT2ZWYmhsNzRVbVVicU81LUlOYS04cFBzWHVXUXpmUzJSbmEwUDRrUjA3QUdVQVE3dThIdnBrZEd6dzg3N2YxTFZCWko1WGtzLTJoU292LVZBVnczblkxaG" TargetMode="External"/><Relationship Id="rId99" Type="http://schemas.openxmlformats.org/officeDocument/2006/relationships/hyperlink" Target="https://news.google.com/rss/articles/CBMingFBVV95cUxQTTZGYXdMVWtjXzBMYXliSzAxTUJaVTZ0ck81dEtPSGFoZFZEUHhpTnJZdkpjSkU3ZXhMR3lsOVhfM2xaMno3S1luRW9udHJyZ05RaUNTZ0p4ZlVRWTFFNXZFbEl1eGN5UlRzeDhXNldEYVRjM0F2QUZlSWY2Rk1NeW9TTlBVMFhrbW1nUktvbXlnVzBGRW04akhURFJhQQ" TargetMode="External"/><Relationship Id="rId100" Type="http://schemas.openxmlformats.org/officeDocument/2006/relationships/hyperlink" Target="https://www.gelonghui.com/live/2726936" TargetMode="External"/><Relationship Id="rId101" Type="http://schemas.openxmlformats.org/officeDocument/2006/relationships/hyperlink" Target="https://news.google.com/rss/articles/CBMijwFBVV95cUxPZTg4c2VtT2d1SV9meTFhZFpzN2ItRk85YXlQWnAwQUxDRm5VMmhBU0RrVXAyRWROcWk4RUpFdk4yWlhkc3dlUjFyU3hkVDVkaklFNC0zTmRPRmJZNHQxN2xvYmQtMVlDVm9Bd2VJdkZIOEI1Mnh0blZMNEJ4d0FGOXBvY25ic1UwV2NYa2ZPcw?oc=5" TargetMode="External"/><Relationship Id="rId102" Type="http://schemas.openxmlformats.org/officeDocument/2006/relationships/hyperlink" Target="https://news.google.com/rss/articles/CBMimgFBVV95cUxPNDlpYTNQVXBKWENBYkpVdEF6SF81U0hDYzFpMnZ0cTlfVWNyNFNtaVhTaTY2RDdPdEE2ZmhVdXlCRHRQQUpaajRZMllZejZ4QUJhMGF0VTdncmlUUmJDc013cDZXS1d4TFctSDdhSHZMODVrcU4ydDFvTGZ4X1cxREhoT2ZKTGFRa041bkprclJBMFItbVdvcUhB?oc=5" TargetMode="External"/><Relationship Id="rId103" Type="http://schemas.openxmlformats.org/officeDocument/2006/relationships/hyperlink" Target="https://news.google.com/rss/articles/CBMijgFBVV95cUxPRThEdzA0dEJ0eGpDVmM1Qkl5Vzl2MVdIUFNIU3hmWkw3Q1FWM25BdThWVUNVcGlxR01hZ1RHX1JNRXUtaXlIQjZITFExS2N6N1RxQUtzdTVKRU9EaXRtNW5EbEExX2pqSDhGcXV6bTR4NXp5QTBDczQ2RUFuSWFHNEpPN1NUaXdhdkxnenpB?oc=5" TargetMode="External"/><Relationship Id="rId104" Type="http://schemas.openxmlformats.org/officeDocument/2006/relationships/hyperlink" Target="https://news.google.com/rss/articles/CBMikgFBVV95cUxQMDJSLTM4VEdLUUZYcEdyLVhEVHVPYW15ZFpqcG5yYnE2SWNCNWhjOUVLbmVvYWhFeGM4X3Uwb2R3Vm10ZDJXdlBLTG04VFo1dTdfaWpaMjBxdkdvU185MlVyYk5vMFE5dFN5Tkkzc1pxd3FFakxpSXBGcS0ydmlGcDhlVUxsakdjVVF0V0J6NWdadw?oc=5" TargetMode="External"/><Relationship Id="rId105" Type="http://schemas.openxmlformats.org/officeDocument/2006/relationships/hyperlink" Target="https://news.google.com/rss/articles/CBMimwFBVV95cUxOaGRGNHNVSDZvSDlCS0RFOHFYVVhmcUpjLXowT2cteEFCbmFIYnVHbVJRUUlocE1CWHpiVEQtSXZVWW5vNDRsX1BOTWcyTGlMNUthNm0zUjN4LTdDd3VFZmVBNVo0bEhUVVI2bFdwNk9CTDNQUm5mS0RUM0tod0l0V0tWeDFSN3owZU01cXo5R2preEp5ZndQLTJzcw?oc=" TargetMode="External"/><Relationship Id="rId106" Type="http://schemas.openxmlformats.org/officeDocument/2006/relationships/hyperlink" Target="https://news.google.com/rss/articles/CBMixwFBVV95cUxQOF9Rci1hekxqNW4wZ3Nnc0F0WTBBQ3VtNmhLOXJfcC1SOGVuRk0tM0htb0pNRTZsTGR0bkd6bGE5Z0RhS3ZiQ3JtaWVUQU94cnZYUDlWRkg2ZHV1TUlhV1IzZ0c5cWpfaklWdXNkeFZVandCS0JVQURQanJZbmpQT3pRakVRX2FqQ1JRbDc2MjBLOWRNUG5tejhqXzg1ZV" TargetMode="External"/><Relationship Id="rId107" Type="http://schemas.openxmlformats.org/officeDocument/2006/relationships/hyperlink" Target="https://news.google.com/rss/articles/CBMi4wFBVV95cUxPdzVNRDBGS0R6X2tkMklhaVEwTVRtVlFINXhvMlo3cU1UdGgwT0otWHJWd2NudnJmblVkVnJ1eTFuX292UHZyb0hBRm5EOFYtUUctWVF1bWVyV3pyMGJEMWktYk9YemttX3FqeGxSdWdwNnFybnd6THNLTkRSOXJ0R3ZBR1hFSU9hMUNOZGFMR0pJN1dhOWpoYjhTeC1MTm" TargetMode="External"/><Relationship Id="rId108" Type="http://schemas.openxmlformats.org/officeDocument/2006/relationships/hyperlink" Target="https://news.google.com/rss/articles/CBMiywFBVV95cUxNWFFSS0tEX3AyTWpIU09lTWVDOW5VZmhqV3h3enlHelJqNk96OHB6aFUxWEczU2lPdDVzY1JtbTRNYUhmX3JDdnpLZlhHdWFaRlk5U010UDVRQkdNbGRPQ1hSVzJUN2Z0cTNfZXJ0bnROMVpKSFVZQk1OQTZWYUZaTFZCZG9nVWJ3YTJyRGVqV0FVN3pIZFBBSE1uT29wLW" TargetMode="External"/><Relationship Id="rId109" Type="http://schemas.openxmlformats.org/officeDocument/2006/relationships/hyperlink" Target="https://news.google.com/rss/articles/CBMimAFBVV95cUxNWFlOaU81QkJ2enpRZV9iLVFTVXZmbmJnazZTZGpoemh2cVRCRUpwNTVoWUNDU19RalJfVnFkUmJnenJQY3dySXE3eERYcFVjNDQtTkVGMGRSRjUwc1VVMm9IWlhQWFY4eExNb0pBU09veTFaM21ZSUo0bmZIQ2x1Sk5LWlVTS3oyWjh1aUFWeHNaWE0yUC1lXw?oc=5" TargetMode="External"/><Relationship Id="rId110" Type="http://schemas.openxmlformats.org/officeDocument/2006/relationships/hyperlink" Target="https://news.google.com/rss/articles/CBMirAFBVV95cUxOZ1hHZC1IZnVYVVRfZklkNkkzOWVuYTZfU1UxWE8wV0R1NWR6bUdJLWU1S0h6SV9Rc2NjTlktVzRTTXdneW1WYktybXNfa1BFYnpkU2F4NWR1ckpCbWJ5aWZ1aWlMNDhRQ0l4NWJQM0JibE9idUcyc3NBRG5oUUllWHJMZlpDZThmV3g4Q2tMR3FnUDUwdC13TmI2TkRlUn" TargetMode="External"/><Relationship Id="rId111" Type="http://schemas.openxmlformats.org/officeDocument/2006/relationships/hyperlink" Target="https://news.google.com/rss/articles/CBMi1gFBVV95cUxPLVkxazlsajkxVkZYSk0yRFlQYnlFZG1EUWJCSmlOREFOWGcwdWhUd3RZRjVKWDF0cXcxY0tSUlp2TWU5OHU5U1dza1EtbGpRdUdQdllleTdzblFNUkg4WWlsV0dod2NRSVk5Zy1OZjF0d0tydFJod2p0UWd0TG5FTlp0OWNPd3VxRjdfLW1wYUYwNkpKbXRqVnFpYnJ2eG" TargetMode="External"/><Relationship Id="rId112" Type="http://schemas.openxmlformats.org/officeDocument/2006/relationships/hyperlink" Target="https://news.google.com/rss/articles/CBMi7AFBVV95cUxPRFY5T0haTE9VSDBFRTB6MjdPa21velFZUEhKZnUtUGwzaUhMR3ZhMTdvWGx5OUFKcXVJNl9uMWZJdEs4MXphV256Z194TlRFREtJeHZqMkViSjdESklrQXFONF9lT0JNdXdRSEo0X0hMcW5kQjJIN2VvQUp0TzhyNEtXSVk2dmRmNnBocjduWXl5YzBKVUxHRWNLZXBIaV" TargetMode="External"/><Relationship Id="rId113" Type="http://schemas.openxmlformats.org/officeDocument/2006/relationships/hyperlink" Target="https://news.google.com/rss/articles/CBMinAFBVV95cUxQeW9YX2JfMVZfN2FVVGZXWmdNS181YzFZaWU5elRHeFlpMmNWZGJ3eWUtcmtPWnl1cFEzZE1aa3lZYkMxM1lYWW93WWw4dzgyQUVuRUd3ZTZiSjdhRVh0Wk0xVndjU2hLdmJHR1FrMExCdFVubWM3QXJubnpXX2NJcUpJQnB0VDFYVlo2STBjYlJ3YUtDdU1vM1Ezb1Y?oc" TargetMode="External"/><Relationship Id="rId114" Type="http://schemas.openxmlformats.org/officeDocument/2006/relationships/hyperlink" Target="https://news.google.com/rss/articles/CBMipAFBVV95cUxPWHRieTFXaU55WW0zOXVuUk9aS2RFSUV2bmZvdHlwV0wyWjBaajBwZ2lZTXNoSTRpbG1aRVpva2F2blZEa1ljRDlxc2R1cU92NUN2OHJpQl9uNEQyQTU4ZnZLMHRoNHJCTzBydUZ5VE1ib1lfOW1WSzNmQlNJXzNRd1VGT0g2NmRKT0tndWlNNjlqWnJPRmJhUFlmSnFvaG" TargetMode="External"/><Relationship Id="rId115" Type="http://schemas.openxmlformats.org/officeDocument/2006/relationships/hyperlink" Target="https://news.google.com/rss/articles/CBMirgFBVV95cUxPUFlJSTNpOFRNdTVEbURCbTFoaFlKLXFoWURrcnB1aWI2TEkwTHhkVms2ZldNUjhEVDZiaHNEOEc4bnNENkVXay1CazRBRkdKcHlzNXA1UGJHV1dlaXNfamFoMEo5cVpUZ3FHNWpJQV9lYktpMkZ1ZHhwNU1RdmFIMnBobGIwMW9CNW9tNzBGM0hrY0RkWGhoaW01N0EtOX" TargetMode="External"/><Relationship Id="rId116" Type="http://schemas.openxmlformats.org/officeDocument/2006/relationships/hyperlink" Target="https://news.google.com/rss/articles/CBMiZ0FVX3lxTE44T3VweG56SEJ5aUw4bEtqRW9Zc3J3ajBQZEdnVk1FN3NOMkVfOThaOVg1dlBnVlA2Um9XQkZMZ2pBZ0k5Y3N6UnZ2VDZfbHFTeXA0UEF2V3luRm9ubUJLM2FvRUZLSjg?oc=5" TargetMode="External"/><Relationship Id="rId117" Type="http://schemas.openxmlformats.org/officeDocument/2006/relationships/hyperlink" Target="https://news.google.com/rss/articles/CBMimwFBVV95cUxOY2s5aDZBb2N0REJyTmtiMlRyMDY5SUU1MFJQOHBQamFDRVZoSFFjWDJfWVVZbVJvbjhSZnNJN2hQYmJOdFRmU0RyRUU3WDc0NWZZcUR3QUhoaHptUDB0c1lnWW0xanh4Ylh4Rnp2bWF5VW95SUxFZkRyRWozN19SNTQ4Qmd5WVQ1bG1lNi04WFozbkIzY05US2g5UQ?oc=" TargetMode="External"/><Relationship Id="rId118" Type="http://schemas.openxmlformats.org/officeDocument/2006/relationships/hyperlink" Target="https://news.google.com/rss/articles/CBMirAFBVV95cUxNWmRCVS1JeW9SU3lES0tXd3h6NFc0LV9kWExJVlpNYUNpVldVRDhFSUZXX2NoUzBodkg2RVZGSldwZnYxQXhtTW9BMU5xdFJURlYzdEFzTGtMYUc5dXBMUTNXNG1LNWtKaklYTDRRM2xZcWFHRnF1S3dDT09wRDhkN1NpTFo4Z0ZDemhVaTNaVmdoV244S3BSWGJJV1BONm" TargetMode="External"/><Relationship Id="rId119" Type="http://schemas.openxmlformats.org/officeDocument/2006/relationships/hyperlink" Target="https://news.google.com/rss/articles/CBMiqAFBVV95cUxQdllCTFZBS3VFR1NFTEpjanRDN1N4V2pFUFF2V0x5eFZjcWFzb0R0R2xheUVOTTRUTnQ2R09RWGN4bHBJZm5TOWhNeUxXRFpOTjNaSmRIRXd0VUkwTFo5VG5HMFB2SVFveGh2NkxEVXRfRkZmb2sxSGlnZmhjc2NKaEhPVEFNRktLWFVvdHJ2cC15WGNnYVRWV2JpZmh3eW" TargetMode="External"/><Relationship Id="rId120" Type="http://schemas.openxmlformats.org/officeDocument/2006/relationships/hyperlink" Target="https://news.google.com/rss/articles/CBMiqgFBVV95cUxQMEpRRW9WaGFCUW5lRU84NC03c2hNeEE5VGVISmZsWmpHM1RZTVBoYkFNRnBvYzUxVnZ2Mzl3SGxTdVBrNHhPVEJydEk5VkVVVl9MSkJEUjFubjBzQ0NXbS1VQnNVanJ0NzFHbVljQmNjbHFvcFJXczhXOXo1SjdGNE9uT0Y5MFUxYVA4bkh5WVZyaU85VDZjeHJBbkVfM0" TargetMode="External"/><Relationship Id="rId121" Type="http://schemas.openxmlformats.org/officeDocument/2006/relationships/hyperlink" Target="https://news.google.com/rss/articles/CBMirAFBVV95cUxNUkhfekw4Q1RzUFJiZ2t5OUozdXFzc2RGeHBMOVd0RXE1cE9xTFE0bjVCWVpmcVZVUXEzU3g4YjBvWDBmcFNSellRZG5qTjlGRW5CVnZYckFBS3FOLW4xSmlOOGZoMXZoUXMwcWg2X21FYmRpM3VKUVlwVDR0SWxPc0wtaXIzMW9iNlFrSlc1M3JZcGlaQU5zSXNRVFlHN0" TargetMode="External"/><Relationship Id="rId122" Type="http://schemas.openxmlformats.org/officeDocument/2006/relationships/hyperlink" Target="https://news.google.com/rss/articles/CBMirAFBVV95cUxOLS1SN01TdG5paHZyVzdENnhSVzRhYTVZYkNWb0dOTDFjaHBxeUhUTmhBaG9PQ0dCWVdlVW50SmdIYTViNmJkd0hiSlNCVlRnaTlZTHlZNGRoZUZ4V2J5OW54Qk40TVpDTjhVMTJDX1IwMFdkSHU2TldsUm85dnAtVXZnYzJ3Y1l6MnhmRS1LRURXN0Q3RXBpOEtKcm1rUW" TargetMode="External"/><Relationship Id="rId123" Type="http://schemas.openxmlformats.org/officeDocument/2006/relationships/hyperlink" Target="https://news.google.com/rss/articles/CBMiqAFBVV95cUxQaWNVNTRNMzhxYnczd0FSY0NhZTFsV3RvVmVoOGdpZWtNek54eFRqa2NsbGxnUlJ2bHl2WE9hVkEzR1VhelZiekpzQUFULUxSWF9qUVBBNk5takpUaS1ZcUpWYV9zTkVqTEp4bWVMVUV6Q0tBYWtVdHl0VWhiT2w1d3YzMkMzd2ZBb2pDblcyR29reWd4aFdES29Nbkdocn" TargetMode="External"/><Relationship Id="rId124" Type="http://schemas.openxmlformats.org/officeDocument/2006/relationships/hyperlink" Target="https://news.google.com/rss/articles/CBMi2AFBVV95cUxOVDVvMzVxcTROeGJZTVk1dmZMNUNhZVEtSmNBQTBhNVBZLUU2MVBlQ2VVVVVPTzRobEhhTTBTdGQwaGZNNmQ1VHVyb21oTUlodlBZa2ZVNFQwakN3eTdQNno0S1hOaWhrd3ZwNDhralM0UFBDekhPUzZmLUN2c3owM0IxbnA5UGZ4cmFXbDZIMzBxbkpONFZ0OWl1MWRjQV" TargetMode="External"/><Relationship Id="rId125" Type="http://schemas.openxmlformats.org/officeDocument/2006/relationships/hyperlink" Target="https://news.google.com/rss/articles/CBMiT0FVX3lxTE5BbVkxZVllSXFuUFZOQlhhMHk1T1JDNjhYVi1MenE2QjlwZHo3aDU4VUtqRWRXNjhTVW4yVUQ3S2VoZGJ0T2s5V1lIVEExOWc?oc=5" TargetMode="External"/><Relationship Id="rId126" Type="http://schemas.openxmlformats.org/officeDocument/2006/relationships/hyperlink" Target="https://news.google.com/rss/articles/CBMiwgFBVV95cUxNT1RMRE5CcnMtdnRsNzc2TnBhV01WaUl6YThELVpYQTZpZm1VSlZ3X09vR3lpUlFIMXY5MEtWTk5NZ1VwTmtlOV9ZQ19BZEg1Z2R1eGZ0ajBpZ3JrSG5vQlNLc25jSFdiOTA1LUlLVlhZcUlPSTVnSkxRcmVKbzFaaFBQMEFTckRqU1JhOTFXMXR5M3pxbVVTc1M0M0M2Y0" TargetMode="External"/><Relationship Id="rId127" Type="http://schemas.openxmlformats.org/officeDocument/2006/relationships/hyperlink" Target="https://news.google.com/rss/articles/CBMitgFBVV95cUxOZm5nSFRWLXNwTWdwX2NyZ09KdW40UkNWY0g2TUMtZmF2cC1lazBxOWNJbmJOcEVmTkZlQ1V1X1dMOGhoZ2htSl9naE5pRTc5bTV4V18xbjZYVmF3NzhNR0JaZ0xxRWU5UUJ5REFfVFVsT2J0elJKNmpka1FaNEFaOFVzSEFiMTVCOEZYZ3NfMUd4dktpNEVKUGRHUVY2VU" TargetMode="External"/><Relationship Id="rId128" Type="http://schemas.openxmlformats.org/officeDocument/2006/relationships/hyperlink" Target="https://news.google.com/rss/articles/CBMiwgFBVV95cUxNT1RMRE5CcnMtdnRsNzc2TnBhV01WaUl6YThELVpYQTZpZm1VSlZ3X09vR3lpUlFIMXY5MEtWTk5NZ1VwTmtlOV9ZQ19BZEg1Z2R1eGZ0ajBpZ3JrSG5vQlNLc25jSFdiOTA1LUlLVlhZcUlPSTVnSkxRcmVKbzFaaFBQMEFTckRqU1JhOTFXMXR5M3pxbVVTc1M0M0M2Y0" TargetMode="External"/><Relationship Id="rId129" Type="http://schemas.openxmlformats.org/officeDocument/2006/relationships/hyperlink" Target="https://news.google.com/rss/articles/CBMiqgFBVV95cUxQNDYzZlhUblZnWmJfY3ZiZFpnREdJMmFvVGlxVmJ1WW1fVUMxbWZKUGdNZXc3dXdqMHJCVTRFTDFoaVp4ZnYtQlNQWUJScFQzVllfUXlKOXRvdVI5N0tYTWNfb1NkbG9DUl9MNjhkWFBpVHM2SkpWTEFLUks5dFZ2cEd3SnZRSlpnaEV1SUZTWFQ3LTJ3c1FiRm45VVlzWl" TargetMode="External"/><Relationship Id="rId130" Type="http://schemas.openxmlformats.org/officeDocument/2006/relationships/hyperlink" Target="https://news.google.com/rss/articles/CBMiggFBVV95cUxNVTZjUFJwR1Y3SjdjeXVEVUhSb0stZEx4QVZNVGMtYzk0V2dNalVjUFBBWXZZUks3MUc4Rm42YmVicHhiUk8zN2tZVUV2bXRZWlNTUmstR3BIQ3FLa2NTZTNtaElYOU9OQ3hxQlZ2R0N5UC1jdkJPQlQ5UFBOLTFEM3pR?oc=5" TargetMode="External"/><Relationship Id="rId131" Type="http://schemas.openxmlformats.org/officeDocument/2006/relationships/hyperlink" Target="https://news.google.com/rss/articles/CBMitgFBVV95cUxObXprUmlORFZLY1BCcW5SbEtXSnFHOEN3M0VYa1dXc1NDZWVFTHhkS21sTTh5NVlBc0xjLTBnTWhXUTNTQ3JjU1Bfcm9CNV9kUl9zdG1BR3R1Q3VSNnp3Mzd5TDV2Q2JPTVZnODhmbmZfZFIwREFsM2g0WXFLRFV2STQ4S0tzdXdlUHFxSnVCMjRyTnZMczk5V1NnZUFsSm" TargetMode="External"/><Relationship Id="rId132" Type="http://schemas.openxmlformats.org/officeDocument/2006/relationships/hyperlink" Target="https://news.google.com/rss/articles/CBMi2gFBVV95cUxOaHNjWGxac2pGSzEtZ1BKUklPVUVLSVRlUmVWSThITzlRZWNiWmROUFYwejNFVUhNYVYwUWR1NU85WldxaU1DdTBBS1Exd2NEcXR0S2MwdThFaUVUWXFkOTM3MnlKTzVSNWhXXzVkVl95VHVDTTRKeFlNSGdlY2hvQTRXem5uaE55a1VESEx0QWhpRmJWbDNJT1V0QmNFMX" TargetMode="External"/><Relationship Id="rId133" Type="http://schemas.openxmlformats.org/officeDocument/2006/relationships/hyperlink" Target="https://news.google.com/rss/articles/CBMipgFBVV95cUxQdHg2VjlveWtFUW1EX2N6enBVMkF3ck1oV2E1YkxDWjJBOUl0c2kzZjJNYjR1Yl9ianpmQk9HR3pyeXlkRjkyUnFYQjNVbWdwczEwSGNodFJ3ZjRBc21qUkVHRms3T1F2N1dXMmQ5UTZuVEd0Y19NUEtsR1U1ak0zSXJCb2syaEpyRkp0UWlYV1JZeHdRMlYzWEpPWFpCSm" TargetMode="External"/><Relationship Id="rId134" Type="http://schemas.openxmlformats.org/officeDocument/2006/relationships/hyperlink" Target="https://news.google.com/rss/articles/CBMieEFVX3lxTFAzMGVPcjVZMnljS3FDd2JSOTE1SnVQS2pMMDV5Nml3Y2t5M2FFd3lENmtlcndGdzRTYllBMzJZZkdQM1JQZTVEV2xJNmo2cEtUdmFPZHYzVzhuOGIzb2htV2Y5c294VGE1MHFNNU5ycUlJUF83a2N3Ug?oc=5" TargetMode="External"/><Relationship Id="rId135" Type="http://schemas.openxmlformats.org/officeDocument/2006/relationships/hyperlink" Target="https://news.google.com/rss/articles/CBMipwFBVV95cUxObkRrNkI0U2IwTDFqMDNHSmNLLVQzNmtrZUJKLW54c3FHN2xoYXlXdVA4VS1jdVhoZ3QwOWVfSUhNQzB0Y3BlTHUyLTRBemJyVmlkSlpVNkpZUFV2VnJvbHQ2QnBITGk4ZzdqZXZtM01qSFdySXd6UlJUWTFXZUFKOXdPcDFXUVduQ2lpRUpaWlc1RnhrS1hQaGJUTER3Zl" TargetMode="External"/><Relationship Id="rId136" Type="http://schemas.openxmlformats.org/officeDocument/2006/relationships/hyperlink" Target="https://news.google.com/rss/articles/CBMisgFBVV95cUxPNV9SZVhlY3V1N29aQVJUSzlVMXB3RS1vV0lPZ0dyVVNRQ3dqdUJlNDJPQUJzTm95bHdwZ3hUa2U5S1lydzRtbEJWVERPQTlBdEk0SVF6UExFWHhjcy00cjRhREkyVTgwZ3FPVnNZNFN2WXdleHBrc05EYUJncXoyUEcwSk8ya3JBSWZ6bm1XZ29rWnlLM00taS1nS2xIV1" TargetMode="External"/><Relationship Id="rId137" Type="http://schemas.openxmlformats.org/officeDocument/2006/relationships/hyperlink" Target="https://news.google.com/rss/articles/CBMiqAJBVV95cUxONU9MNUtqR2NxTE0tUDdFYmtmcjhLNXpQRldMbjRQb0FCMDBFTnM4TzFJUWtRajFOcUszU1BmYXZJYUxtQ19BZWx0bWpYSnYwMzA5NlFfR2RBYWNZSmhMcWx5aXVNbzhVUk9xV3VOcnNCVVJ4LXphUGs2THpic2psQ2lGTms4TVZqc2ttNHEwaF9na3pPSDQ1SlhhOTdFd0" TargetMode="External"/><Relationship Id="rId138" Type="http://schemas.openxmlformats.org/officeDocument/2006/relationships/hyperlink" Target="https://news.google.com/rss/articles/CBMi-wFBVV95cUxPck5QMUNnV0RmcEhtZFFxMEpHX2hIVVpVa2x5REktNTBnZU50VkU2Nm04NUpFN1RyRkdlanJJYWZuOEE3aU9sV1p4OU5iSk1sZ3VHc3d0YlA3d3JTQW1wdzQzbVh2bmtyajgxT0MwN29xcXJpRjRROU5vbW9ka0ltbGJ3elJFY1czbWttNFNmTW5FeHJVQ0JzZDFpQ2xpM2" TargetMode="External"/><Relationship Id="rId139" Type="http://schemas.openxmlformats.org/officeDocument/2006/relationships/hyperlink" Target="https://news.google.com/rss/articles/CBMipgFBVV95cUxQc2VNSE9tc1RHc3pDT1hPdUEwX056Z1dJUVV3SC1CSVFUZW8tRmtQa0d5WWkyREZuTjBmNW5LUUZTTnVWWkxkS0lqQjhnbVB3U0tTeDNuT0Jyb09pZzNVU01oWnFueXBnbzlpRlVPV1JWbzZxWUppUXdGTExUNS1rNjlVeVdCa0Z5MnNva21DN0ZsOWluN0JSMlZFaGRzRk" TargetMode="External"/><Relationship Id="rId140" Type="http://schemas.openxmlformats.org/officeDocument/2006/relationships/hyperlink" Target="https://news.google.com/rss/articles/CBMid0FVX3lxTFBNN0puQS01N2dvbW4wY1FKbHB0Vk52NXlkZTdPTGdRNkhrZUxvNVNiTUs5ZlRvd25aRVhxUWtWSHlsc05WMEszdkZqYWZJVzgwX1haa0FVSms0ZDBvQ2tFeWRvZDFLZ1paQWt2cnl3TjlzZ1gzQlNR?oc=5" TargetMode="External"/><Relationship Id="rId141" Type="http://schemas.openxmlformats.org/officeDocument/2006/relationships/hyperlink" Target="https://news.google.com/rss/articles/CBMivwFBVV95cUxNRmhuVW9PbnQzY2gtRS1oTkVyRUtOa084UFQtTHBSRHMyTzJGY1dYNmZkMVhmQ3VmYkVPcGhMeTZydjgxdVY1TlVTamhPc0Zxem1EQzEtbEIzTnRhR0dOdWlwYWtRRGdqdmZSVVZXZkVwY1ZBYm93YzEtVHhJN045ZmIwQjNETUJnVEVnTWJyOEJucEVpUmZpZnNxTEhEXz" TargetMode="External"/><Relationship Id="rId142" Type="http://schemas.openxmlformats.org/officeDocument/2006/relationships/hyperlink" Target="https://news.google.com/rss/articles/CBMivgFBVV95cUxNNWYxdEhXbVYtY3JtX2pkZU9laDhqWE1NZk1DdHJnVnp4MUtrdUw2RnVvUkM0UEk5S3RidWEtWE16T2VXOFkzV2VQSE1FSUZDT1ZjMVZtU09CNURPQUhuY21qaXcwRGoyWGRTLVdEQ1hzUW1QeWVaTjV6Q3kyOHM4RW54Tnl0UG02T3RaT2dYSjF4SDh6WC1TR1cwZ0lRak" TargetMode="External"/><Relationship Id="rId143" Type="http://schemas.openxmlformats.org/officeDocument/2006/relationships/hyperlink" Target="https://news.google.com/rss/articles/CBMi5wFBVV95cUxPNVFfZDBFWVJNX1N6cHdWQkVSYk9VS1VHOVFJT1ZkWDhfSHN6MjBZTHRvMGhMaWdDRm5odFQ4NEM1eTI0VDJGQ3VRMFZJRDNPVzJCNzJHWDNKRndsTF83VUtyVFhOa0IxOTV0MnZ1eVRzV1ptUnNyQU9jV2EzRk10c3BpY2x3N2N1ZUdHdUZ5QXN1ZzdTWGNqVFlpMnRWQX" TargetMode="External"/><Relationship Id="rId144" Type="http://schemas.openxmlformats.org/officeDocument/2006/relationships/hyperlink" Target="https://news.google.com/rss/articles/CBMi7wFBVV95cUxQdTFGM2F6UjVWMC1PX3VGRUl1WjhVMmN2RkVrUVhlZ1FKa1NTVDRiRXYyOWJXX1dYOEcwZkZEY3NXOXZMNmI5Q2o5am1UTFhVdmVpY09WeDBlM0xyTFlHc3d2VHJoTFlCY1VFTkl3RjR0b1JrRy13R1pIT0FDelBCbjNNNk55MjM2SHpCZTI4eFIyMUQ1VnlGQ1oxNmY4U2" TargetMode="External"/><Relationship Id="rId145" Type="http://schemas.openxmlformats.org/officeDocument/2006/relationships/hyperlink" Target="https://news.google.com/rss/articles/CBMi3gFBVV95cUxQWE5FLXUxTzFiVnlFaGpuV1RfOVdPdFhlVzAxSXZOdlk4MnVKVzdaNkduWkc0OUhNVDBKMFBDODVvTEtVVVF2alRBOWp6RGl3NEZPYzVTRC1hQ2Z4WW5uN2hyYnhKUUJSVDNiOVZ6bjNhaWo5U0xXVHF2VkZxa1djSjZkemh5VThQT2JraFd3TEU4bDlqd1lTZUhtNndDdU" TargetMode="External"/><Relationship Id="rId146" Type="http://schemas.openxmlformats.org/officeDocument/2006/relationships/hyperlink" Target="https://news.google.com/rss/articles/CBMiowFBVV95cUxNYzJ4UTc3cEF5aDgtY0RnUU5XUHFPTmx6eUdiM3gySnd1SGVFTkRsUURQZmpRS21HSXZxVUZ4TGVTbV80U1ZQTVllcFNMUmRqOTF6ZHdtYVJuUS1xZElPeWJudGJYX29IR3I2RTBFdHlQNWdCT2FQcnNzWC0wc1VrZE9KSjY4M1dPeHFUNG4zLTlyOFF5LW1ZN0Q3QkFubz" TargetMode="External"/><Relationship Id="rId147" Type="http://schemas.openxmlformats.org/officeDocument/2006/relationships/hyperlink" Target="https://news.google.com/rss/articles/CBMiqgFBVV95cUxNSFBqSVdlZkxTcW5EWWZsa0p5QzJ4R05qbXdrdGN2YW9ZMXFGTDFTZHFiXzlJNmIzTHNqeFZWWUI4ZUtzdW85bWtHZ0xFRDFTSjhPWnlvb21wVFUxck1hWVBPWVk5NXhmemZSVVZSanZfNkJ3YlhFZDIyU1ZhZlNBNThDbkFuaGJNeThNQlZ3WXptUURvRllrWkJONVg3aW" TargetMode="External"/><Relationship Id="rId148" Type="http://schemas.openxmlformats.org/officeDocument/2006/relationships/hyperlink" Target="https://news.google.com/rss/articles/CBMifEFVX3lxTE80ZEI5am5TbzNUYU9UM0ZwaUwtaldXSHF2WjJLa200NXp6MTk1Y3M3aGExTzRsZWF0a3JPTnc2blFhQkdCaVRGUjI3WVRod1lhVkh6OTdWZ0o1RTgzU1RRU1VLLUN0eDVGNlM0alB6d2U4MGQ5amE2dTd2WnA?oc=5" TargetMode="External"/><Relationship Id="rId149" Type="http://schemas.openxmlformats.org/officeDocument/2006/relationships/hyperlink" Target="https://news.google.com/rss/articles/CBMi4gFBVV95cUxOQ1RubFRvenJkVEJhSHY5UXBaejRfYjU4ZXEyM0h6UUstVUNTSWluUVFOeTUzSS0wN1NTNWVEMzliN1JRcHFKNnRJQjZaVTRpUWlsV00ySkRsbEFwelhQOEFpbjltdmVlZDVxOXpGNklsbUszVVFEaC1rZ25lb0M1Y003dWs2VGQyR182MVlpN05kQ3E3MmJfYXZCQkdtan" TargetMode="External"/><Relationship Id="rId150" Type="http://schemas.openxmlformats.org/officeDocument/2006/relationships/hyperlink" Target="https://news.google.com/rss/articles/CBMi3wFBVV95cUxNVVZzS04yeW5wdE43V3R3Z3B0cTgxbUUzdmx5Z1psczF1b0plQm1mSjhsS1hacW8xWDNLYld1ZjVuNjZtMS1wQ3BHTVBZaXJtYy1LTTY4eGlxZmd5cUE2S2VkOFlWSXRsTmRLRERYa0M2VVI1bDJEaDNjV1FoaDc2aEhrUlZjRGdBaFVfdmhtaWJqdC1Pa2Nvc09kZndhMz" TargetMode="External"/><Relationship Id="rId151" Type="http://schemas.openxmlformats.org/officeDocument/2006/relationships/hyperlink" Target="https://news.google.com/rss/articles/CBMiygFBVV95cUxNc2pyRnBIUkh0TGw0cDBfM3RxcFdINnBFOVNqVHhWZTh3THY0ai1TdVZYTmhhMHliSThmNWRYcXpEaW1mWE5NdmN1VGhleE1JaFZrQW9DNFN1T3hRSHlTNzdxQ3RNcnZ1LTBCSHIzbnVEY3FFLVpJRHlyb0pwMzFhN3Rpd0xXRW1ya3JRMnpTWnM1aUtTN0d5VDRSS2RSaW" TargetMode="External"/><Relationship Id="rId152" Type="http://schemas.openxmlformats.org/officeDocument/2006/relationships/hyperlink" Target="https://news.google.com/rss/articles/CBMiwAFBVV95cUxQVHh1VHZnN0ZObGtENGNyQW5rSy1pdjJXdGtlUG1iSkVCZnFvRDRjemZXS3B0NmhVdTdUSDRDT2pkT2o5NzJuR0R3RUFCTS1VRGVQazF3SlI4eUVQb1ViYWcteThhcU50UXFvbGFrQm9UNngyX2d2d1VxRWVxVVN0b0Z6TjY3MHpsdXI4WkdRMmh0TEt6VG83RHFPMjZjM0" TargetMode="External"/><Relationship Id="rId153" Type="http://schemas.openxmlformats.org/officeDocument/2006/relationships/hyperlink" Target="https://news.google.com/rss/articles/CBMiggFBVV95cUxQaHhhUWIxY3M0WFNFdzNpbjZWMEh0THVqWEJZT0VubmhBX1JfRWpQVWkyWVEzbmxHRGNBTWN1TUN1OC1ENkZIZFlsaWpKS0Z5WWZkN09lTEhNNkVwOGowckNxN19abVoyS3lwWnpvdGpnaTE4YnhVakQ1dXpwQW1RRUNn?oc=5" TargetMode="External"/><Relationship Id="rId154" Type="http://schemas.openxmlformats.org/officeDocument/2006/relationships/hyperlink" Target="https://news.google.com/rss/articles/CBMimAFBVV95cUxOd19GMWlwUFZLVEVWUzBreUpDd1VSWmhybUU2akx3TWs3bDhsaDJBbW9lek1aWTBEU28yWmxRRVlxOVY5d01Ia2ZtOXRrZm5DcGxuM3dBbEZHTVNRT0pOQktCZ2hodFY1REtnekVPRmxHZVhRd3dMeEtlR3RsTFdJZ2ZzLVQyOGc4YzZkSnhwWldFWmtfeE5Ccg?oc=5" TargetMode="External"/><Relationship Id="rId155" Type="http://schemas.openxmlformats.org/officeDocument/2006/relationships/hyperlink" Target="https://news.google.com/rss/articles/CBMibkFVX3lxTE1qbWV1MWpzbl9KcFV6bU1BUnppVGJoR1lmbHhCeGI0cXFBNDRVRDlIeVFlLTFOX1N3SjI2cVNvc3cyYlM2YjROV2FzR0FBdkJhTjFGc0I5ZzVGd1lnay00NG5rVWVRY29qbmFuVnpB?oc=5" TargetMode="External"/><Relationship Id="rId156" Type="http://schemas.openxmlformats.org/officeDocument/2006/relationships/hyperlink" Target="https://news.google.com/rss/articles/CBMipwFBVV95cUxQOEljTWhYQzFMX2VBdWZOaVl1XzNRSjZGUmFPLUJFZUp0YUR2TmM3X2dVU1NoNF96VHZ1TWxlaDRMMkZEZ2U0TUVhaUcxNUlQUzRWSTJ6UzUyWjRsbDdQSDZ5cmRvTnE5Nk1YaFQteDEybG5RUnNmelN0MmMtSVUtWkhhbkF6eHIxbnFUT3RBak41VzlJVVQyd090azFjV1" TargetMode="External"/><Relationship Id="rId157" Type="http://schemas.openxmlformats.org/officeDocument/2006/relationships/hyperlink" Target="https://news.google.com/rss/articles/CBMilwJBVV95cUxNenJ1Q3VwTTEzTWd1OWFvYlZINDRvdDgyeEdsSm1VLVg3RzQtcWNVb1JlMGYwWXhxcW5vVkw1M2xNN3RZSUphc1V3MTN3MWJFYk9NenFaS3dsWVMxd2JEX2UyeTVsY0llSTB2UUVLaUhqcmpYVzRrVzZDTHJWcFRtOXBLQ1VQd2dpYmQwWkwxYjN2MlpSb1lfMWs1ZXdoNm" TargetMode="External"/><Relationship Id="rId158" Type="http://schemas.openxmlformats.org/officeDocument/2006/relationships/hyperlink" Target="https://news.google.com/rss/articles/CBMirwFBVV95cUxOU0lXelcxVUpJNm10akdxbl92d0ZDVUptTUFvRjdDdTlXTjBBamtLbzJyT0NJTVBIaExSV0h1YmUxYmo0T05sMUU1cFpqQ1lTNW9Rb0JBVTZYX0ZTMnQ1cDE1TWJ6cWNRNVNKVTlVOVVDcjdfN0RfYnZRQk5YQVNFMFh0MVAwM0pFcHpuZDhDa1VTV3FBV25pMU1Lbk52eW" TargetMode="External"/><Relationship Id="rId159" Type="http://schemas.openxmlformats.org/officeDocument/2006/relationships/hyperlink" Target="https://news.google.com/rss/articles/CBMirwFBVV95cUxOU0lXelcxVUpJNm10akdxbl92d0ZDVUptTUFvRjdDdTlXTjBBamtLbzJyT0NJTVBIaExSV0h1YmUxYmo0T05sMUU1cFpqQ1lTNW9Rb0JBVTZYX0ZTMnQ1cDE1TWJ6cWNRNVNKVTlVOVVDcjdfN0RfYnZRQk5YQVNFMFh0MVAwM0pFcHpuZDhDa1VTV3FBV25pMU1Lbk52eW" TargetMode="External"/><Relationship Id="rId160" Type="http://schemas.openxmlformats.org/officeDocument/2006/relationships/hyperlink" Target="https://news.google.com/rss/articles/CBMikwFBVV95cUxNWC1GVlBLOG5EM3BDc25QR09xWDlLMkRNVWFHaDJBX25lcGVuUWtjaGo1NnVDdEd3RUZuU0liLVFGZ0hCeVlvRmJQUDhkVFNVUGJPMjg1bU1zVzJZSG9nbjdnT0ZMQW5rNzNUWGhQSzBPalNxZks0WmdjbldjNkY4UDM3NkItOFpJOU9QbExvU1lHVFk?oc=5" TargetMode="External"/><Relationship Id="rId161" Type="http://schemas.openxmlformats.org/officeDocument/2006/relationships/hyperlink" Target="https://news.google.com/rss/articles/CBMilwJBVV95cUxNenJ1Q3VwTTEzTWd1OWFvYlZINDRvdDgyeEdsSm1VLVg3RzQtcWNVb1JlMGYwWXhxcW5vVkw1M2xNN3RZSUphc1V3MTN3MWJFYk9NenFaS3dsWVMxd2JEX2UyeTVsY0llSTB2UUVLaUhqcmpYVzRrVzZDTHJWcFRtOXBLQ1VQd2dpYmQwWkwxYjN2MlpSb1lfMWs1ZXdoNm" TargetMode="External"/><Relationship Id="rId162" Type="http://schemas.openxmlformats.org/officeDocument/2006/relationships/hyperlink" Target="https://news.google.com/rss/articles/CBMimgFBVV95cUxQQWNQdmlWTGRiOV92WERmUHFjdEJqakRSeHN6eXZfczU2TjJGVFE3WGF3dk5aYWNEODdfWTZ6NFFpWVNmVWlSTUZZQUdsWk5YczROclgtbkRDZWxIOGtyZVNWQkFkZjlienJXOTlnRWpnd3MwMUJiV1FvT2dYSlU0YXNBbWJBa3BjUmEwbXhvVFFMRnpuOEV1SWh3?oc=5" TargetMode="External"/><Relationship Id="rId163" Type="http://schemas.openxmlformats.org/officeDocument/2006/relationships/hyperlink" Target="https://news.google.com/rss/articles/CBMilwFBVV95cUxPTmpqeEJBNm5lR0dmak80bHZuTzlaSk9XaDhpWnpjaVhJX1RfNzkzVnRZMzl0S0hTYjhaSUFpejNyaUkweE81WGd4MmVRQVVidFJHZGxTeEM5X2VpX0xjUkJCck9MMDh4eDctU21Kd3Q2b29qR2FLYl96WU42dTJzWFdZdWJCVTZvRnhwcWdGOHNDQVhyZ0k0?oc=5" TargetMode="External"/><Relationship Id="rId164" Type="http://schemas.openxmlformats.org/officeDocument/2006/relationships/hyperlink" Target="https://news.google.com/rss/articles/CBMioAFBVV95cUxNUkREcFgyMlNNTzNuVXN4M290bkRXZzZFS1dFVzFjcTRRdEgxOThmQjktd016TV9OYnVVeFp0dFA2R2xlZmRDNW1tUVpqc0FocTlSTDRrd25fUGpiaHdxLVE2eFFScXJoaFFCWGZESERvaDdlSld5TXAtbzdlSjVqcjhNWmp6MF9WaVpycFNKa3hpZjlhSkdsZFZKOVNaN2" TargetMode="External"/><Relationship Id="rId165" Type="http://schemas.openxmlformats.org/officeDocument/2006/relationships/hyperlink" Target="https://news.google.com/rss/articles/CBMif0FVX3lxTE51R3dKOW1XMG9XeEVSa0hfQTNsbTdPbFhGUVBnNmF5b251X19yZDg2RDZsRGI1UFgtWHQyOTJIOExIYTJ1dG5vbHNQcnkwMUR6VGQwdmlONlNkdWJpbzlxUUlySkp3MTl1SkpXT3R5bW5IWXRua0c5TWVDaFVkZ0k?oc=5" TargetMode="External"/><Relationship Id="rId166" Type="http://schemas.openxmlformats.org/officeDocument/2006/relationships/hyperlink" Target="https://news.google.com/rss/articles/CBMieEFVX3lxTE5yZmU1ckN2czZXVGMwYzdqLVBaQ1FSa01vYmsxWE1WN1hfTkg4T0Fqem5pSnA4MTZxaFAzY0VhQ1hjVEszYXJndFFZUk1DMmswS0toeTgycHpFM1hSVXI1T2JkdkdmU0pBRG4zWmJTdkpPS1Z2T0FsUQ?oc=5" TargetMode="External"/><Relationship Id="rId167" Type="http://schemas.openxmlformats.org/officeDocument/2006/relationships/hyperlink" Target="https://news.google.com/rss/articles/CBMifkFVX3lxTFBYbF9fUGJ1enJfZFlmOVE1NlloTHRhOHZKUncxbGdJQm04N013VGNSTmQ2a3I2UTZLYzhLc0dDb1Fla3BicFZHa2VBMlVJQm1TcjF0X2F0TS1PNEtmRi1JVllaZkIxYTlJd25wd2VCN3VlaGdmM2R6VnhNOXdtdw?oc=5" TargetMode="External"/><Relationship Id="rId168" Type="http://schemas.openxmlformats.org/officeDocument/2006/relationships/hyperlink" Target="https://news.google.com/rss/articles/CBMiT0FVX3lxTFBEM3FVaG9WQXZ0RWRPMWFXVWVOVE5PbFZTM0N1TXdmWkFEQVpDVlF6UnJlVVc1dUtTXzhTTGdCRHRuVGk4aHVleTNuRUZ0S2s?oc=5" TargetMode="External"/><Relationship Id="rId169" Type="http://schemas.openxmlformats.org/officeDocument/2006/relationships/hyperlink" Target="https://news.google.com/rss/articles/CBMilwJBVV95cUxNenJ1Q3VwTTEzTWd1OWFvYlZINDRvdDgyeEdsSm1VLVg3RzQtcWNVb1JlMGYwWXhxcW5vVkw1M2xNN3RZSUphc1V3MTN3MWJFYk9NenFaS3dsWVMxd2JEX2UyeTVsY0llSTB2UUVLaUhqcmpYVzRrVzZDTHJWcFRtOXBLQ1VQd2dpYmQwWkwxYjN2MlpSb1lfMWs1ZXdoNm" TargetMode="External"/><Relationship Id="rId170" Type="http://schemas.openxmlformats.org/officeDocument/2006/relationships/hyperlink" Target="https://news.google.com/rss/articles/CBMijgFBVV95cUxPRHJCc2RUOGttRXlVUW1DMFdNYzlnelVVbllvT1R6ekNhUEJjb0lkOFpvaGJWNWdYU21EYzVGZ09CQ1FmX1NoM255RWhCUzVvVklzWkRoNF9LbTVUM3VKM1pkTzB3NTJuQ2J0TjlKQlNBNXJSSWtrajRIYkQ4VHNZQTFxVGR6TDU2NEVuUy1n?oc=5" TargetMode="External"/><Relationship Id="rId171" Type="http://schemas.openxmlformats.org/officeDocument/2006/relationships/hyperlink" Target="https://news.google.com/rss/articles/CBMisAFBVV95cUxPblRjV01DVUh3TDB2VzViOGZkZTkyMzFEbkpSZWJiQUhBRjFwbk8tMi0xdXdyT0RnZk5POVoyRGQ4UkEydW5JbzBiQzM5a1pFWnl1VGxvM0lTM0pabXZmVmNSTXBYX1dDVFU5azQtWDlfRjktRFhUU2JTQmM0YmJfajIwdkdscF8zMEdBYkdzbjYzbUlHZ01ZbFBNZUk3U0" TargetMode="External"/><Relationship Id="rId172" Type="http://schemas.openxmlformats.org/officeDocument/2006/relationships/hyperlink" Target="https://news.google.com/rss/articles/CBMioAFBVV95cUxOdTl6Zm5KaVU3di1neXcwTUhIRm05VXpjdWp6NkNmYk5wd2tLM3RfTnBPb3AydVhjdjFaYTk3cEtnQ21Od3NDNUVXaEpudmhDOEhNYjJWR21fOW5qODlnS0ttajU0YUo3RFNXTXhHZW91QmJhaEJQNGpTX0FRbUVtOENlYW9RWTdRd0MzcU0xSjdQN1RnQTViVTVXNm0tTU" TargetMode="External"/><Relationship Id="rId173" Type="http://schemas.openxmlformats.org/officeDocument/2006/relationships/hyperlink" Target="https://news.google.com/rss/articles/CBMif0FVX3lxTE5pR1pHQ2o3SW5CejFFcl9SazBpc05NTkhWdlNVYVcwbWNKMXZLTG9yeUx5ZHQxSW9pQnd3ajNaeVBQTmNlUXYtbEczTnloZ1p4OUZxN2NaNmhPOW5aalA1SlRzb3loRUFIcHlqYU1iM1R2RHp3bzFtbnNUTWpRODg?oc=5" TargetMode="External"/><Relationship Id="rId174" Type="http://schemas.openxmlformats.org/officeDocument/2006/relationships/hyperlink" Target="https://news.google.com/rss/articles/CBMiiAFBVV95cUxNbzhsem1kZlRvZlA4VEN3dFpreEIzS2JPVU1obXRLeUtJU2xPZDJQVVNVdEg1QTNDc0c2T0dELXo0UmswdTE1TWN5Y0JjaHhPLWpoQWlwYUkwM3o0Y3pJcWlFSmN3N0Z5TkZTN1JWMThQUmo0WUZVcC1ILUdCLUxQYkVTaHJLRUtO?oc=5" TargetMode="External"/><Relationship Id="rId175" Type="http://schemas.openxmlformats.org/officeDocument/2006/relationships/hyperlink" Target="https://news.google.com/rss/articles/CBMinwFBVV95cUxOWTE5M1V4ajBpdldrSERqdzN1cVhWNGh1MDM2VVljZGltSGY4a0lYSXdpU1NZOWRIcWhSYXlVMVJ4cjFZSXRncHlUaTZ2dUxqV3lYdU5VVWlRV085YUllbC1uY2hNbjM5VkdKZndFQ01DeVNVUm9ZUmJvVWkxdTlFNXUyaE5BaTgyWTVJRVkyMmFMVjdTQnhvaEd6Y2F1c1" TargetMode="External"/><Relationship Id="rId176" Type="http://schemas.openxmlformats.org/officeDocument/2006/relationships/hyperlink" Target="https://news.google.com/rss/articles/CBMi0wFBVV95cUxQR3RlQ2V0R1R6R2FZbEJIZVhZVVF1UFB1RzFtU2dzUXNqdUNvODROT1dxZEJPWmhNUE9CNTBvdUxac2VINHo5UEZTT0NZSGctTlBhZnVRX1hCSl82OVNadmVqUGVNT2dTSEp6M0JON0tYMFFvekduWFRqVXRhZjdBOHFuM0NNeF93VGI2VW9XNXYtRExQampZZ3VuRDRsMn" TargetMode="External"/><Relationship Id="rId177" Type="http://schemas.openxmlformats.org/officeDocument/2006/relationships/hyperlink" Target="https://news.google.com/rss/articles/CBMipgFBVV95cUxPYjF2NFhMN2FpTDZPM0dqN0lJT2xtNDhFWWkzWXpaa3k1SDNqMDh1dGMtNUtkNW1QOHJXa0xadGR6MVVOUkpsVlFRaXp1VkR0YXJsVUJoalVpb3oxSlZmMndzVHc4YVAwRWVrQzB4Z1V4TkRXSERRb1hfT0pjRkgxb0otOWNGdHFxQUxRZG4waF9uTjNPUmJ2YzdqLUNvcX" TargetMode="External"/><Relationship Id="rId178" Type="http://schemas.openxmlformats.org/officeDocument/2006/relationships/hyperlink" Target="https://news.google.com/rss/articles/CBMiqwFBVV95cUxPWmk5LTAtem9aZDhPOHBmYjNpZmIwc255MHdOX0kxQzd5WmctVEphU0tCMS03VC13UENYQnZpV0ZCWFh0X1RJektIei1mSnhkenBHTmhyd1BTMlNmX2piaVhWYjhTdlgyakVBTEFkMU45a1lBaGVhX0ZkUS0xYW1ORkNhOHpPbTdDVEh0UzBaT0d6ODhFRm1kc21CX0V6WH" TargetMode="External"/><Relationship Id="rId179" Type="http://schemas.openxmlformats.org/officeDocument/2006/relationships/hyperlink" Target="https://news.google.com/rss/articles/CBMixgFBVV95cUxQcHpXcVBoempNTlRta3BTc2luY1dyeDVCbENpbDJlWWwtVlFWbW1CMWpxdk14RkpqUVE4UEJqUF8tdGVIa1pUQ0d3UGlPdDBZaGg4MmFLRHBWZ0taM01aOGF6Q1puOTlxdjZZY21YbTBVSUdOTGhjZ3RDSU9tSndYOEtSNmpmY1RfZ0kwblFVekJlTk0wUTlGeEZOMEQwZD" TargetMode="External"/><Relationship Id="rId180" Type="http://schemas.openxmlformats.org/officeDocument/2006/relationships/hyperlink" Target="https://news.google.com/rss/articles/CBMinAFBVV95cUxNMndMTWQ2WkRmcXlmMG93d3NhZEh2eG1lbDFBYkIya2ZVTUc1VmF3bkdfT1dnWXJneGpHM2tCNURadldZM3JZc1JZbHNqb28xaF9nVEFjQW1XVHdRMUt1U1BmWW1rWjFWVEdicEo0OTE1WU83T05DMG9hT1JCMS10N0F1TlhDYVZ5OHp0c2dHMm1qemp4WlREZ3BjNWU?oc" TargetMode="External"/><Relationship Id="rId181" Type="http://schemas.openxmlformats.org/officeDocument/2006/relationships/hyperlink" Target="https://news.google.com/rss/articles/CBMilAFBVV95cUxNZEFYTFMxcF9ZOGFBckg0SFVBRE5oRzUzY2tNcDVYUDRUc2FVRXZUNVh2US15Wms2SFR3OFBTamhHZ2lCcEdCeURiMndaYnNKZEJ4S2lMcm4xN0M2TVh2VTZlbUtmbXF6bFBVeFVvRE9ZQWlORFlPYnBpX2RCY0N2elBEVkc5T0FGMzBxS3pPckd4aFYy?oc=5" TargetMode="External"/><Relationship Id="rId182" Type="http://schemas.openxmlformats.org/officeDocument/2006/relationships/hyperlink" Target="https://news.google.com/rss/articles/CBMi0AFBVV95cUxOSjctcVFXVnFHTVhnSzBKWE84SEkzRWNQVzZZaFZvZ25hRTBLY1BXaFk2cGJINF9ubVRTVG9kdTNQeW9aZTdMdVNBblZPTEZuV2ZtOWZsb1E0Qlo2MDcxcXRQT2c2Nmp5RWVzR1ZhalM1NmlwYWVJNS14b1Q3d1cweFp3MGljQXNzUGdIMFZUVWl2akV6SEZEYU4zVmdJMj" TargetMode="External"/><Relationship Id="rId183" Type="http://schemas.openxmlformats.org/officeDocument/2006/relationships/hyperlink" Target="https://news.google.com/rss/articles/CBMizAFBVV95cUxPUWFPaUlfU0ZickRHbWZHVGt3Z2RGSUV2RXlIdmtvOEtHVkxtNFExaWNkU1lJd0NjWC1DXzdzNm5zZmRlbHAzVll5RkM5cWRSZHlEZmQ1R1FLMmlNUDV5YldFYTBEMkRGQU1qYlRUU2t6X19WdC1hVFE2em5kVDh6SFBIckhES3pXRnY5TUhSZW0tRlBHUk1iYllfZjJyZn" TargetMode="External"/><Relationship Id="rId184" Type="http://schemas.openxmlformats.org/officeDocument/2006/relationships/hyperlink" Target="https://news.google.com/rss/articles/CBMitwFBVV95cUxNdzltN3ZlZkJud2w5Mk0zNFBBbFdlRjlTSktYQklCS01xd3dlS182RmszUjB4d3F0NF96cjM3aDQ3c2RHanhDMkRXRGFiMUZheE8wX2VZYWVzRWZkdEF5cmhwSEF1ejMwVXA1ZkNEQ0ROUkZNd0FsNkp2NnhnVHZIdTJPODd2endYV3VXVTlIYVpQWGY2NGpuSlkzTG8wNm" TargetMode="External"/><Relationship Id="rId185" Type="http://schemas.openxmlformats.org/officeDocument/2006/relationships/hyperlink" Target="https://news.google.com/rss/articles/CBMitwFBVV95cUxPZWNURmd3NGFLRFB1Rk9nZUxTTkRPUXQwMDlUb0Y1TkRYY2hncEFBOG9TeDR2aTZSNXZ4Q3RwWk5yTzdaT3ZzcTF6Sks0Nm9BV3k1aXJ5NE8wUFREUS11Mklyd19rN2NSZzN0OEJaNUp3VFZjaGtlRGtnSk5DLXBsNWpPMmxIX1RXb2U0ZXB6VTBWUWY4cEliYzVrcVhSWn" TargetMode="External"/><Relationship Id="rId186" Type="http://schemas.openxmlformats.org/officeDocument/2006/relationships/hyperlink" Target="https://news.google.com/rss/articles/CBMimgFBVV95cUxOV3RUWVBJMXlWUVA5NTM3NUluTWNDTVNtSFRBeUc1S2VUZGx6Ync2Nm5kRFNmeUlDNElTWk8xTlQ2dFFQVzFyOTNmeURsYzJrOU1kSDFvQ28wMzJXd2NqaV9Wa1RBR25EYnRuS0hwNWMzUWhEeGJBNFNkMXJiRFM3Q3NqTUZMTUV3YzdMTmtHa1NoNllaa2hiWjZ3?oc=5" TargetMode="External"/><Relationship Id="rId187" Type="http://schemas.openxmlformats.org/officeDocument/2006/relationships/hyperlink" Target="https://news.google.com/rss/articles/CBMi0gFBVV95cUxPdUlsQkM3RXZXaGsya2ZxNWhCWGhxdzNkalJRSjdJUGR1UjJfY0k5d3UzcGJSa1dPQmV0UGM0WlRWQWsyVGctN3RsdTN0UTd1N0tTbHhoelFiNUhyeGp3dUo4WlM5TWdSUEx2bDVhLXB6UmJnTVN2LWs5ZU5GSDdUZzJSYTFLZmk2RXJxZElwR2J1QnFqMHlobThzV3htVm" TargetMode="External"/><Relationship Id="rId188" Type="http://schemas.openxmlformats.org/officeDocument/2006/relationships/hyperlink" Target="https://news.google.com/rss/articles/CBMirgFBVV95cUxPNFNqNlhTV2JfSm5mWWQzc25TeVgwS0I3ck5JZkg3Nk1VYUhyQV9zNWRMc3RuRmlHcVpock44U0RQSC1iekpJY2ZOUUt5bnFDY2gwS0h2Zk5RRUR2bWR1M2pWRjF4TGNsMHJKZEJQdzMyZ09CTTYtQUxEaEo5cWhVMkRYTTVreTAzN3VTTjVHTlFUTTRfdkVwUlI3TVJFcU" TargetMode="External"/><Relationship Id="rId189" Type="http://schemas.openxmlformats.org/officeDocument/2006/relationships/hyperlink" Target="https://news.google.com/rss/articles/CBMiakFVX3lxTE1LRmpOaHdWOXE0eEN1VjNGZC1wWlk3OU5HLXc3YkEwRlM0X0dCOHNUVXZLS0k4U1kxaFl3NnZsZWx0YzVUbDVrV0sxTV95MlZDRkZVOU5KbDZFNmtNMHlZcDA3c040dUo0TlE?oc=5" TargetMode="External"/><Relationship Id="rId190" Type="http://schemas.openxmlformats.org/officeDocument/2006/relationships/hyperlink" Target="https://news.google.com/rss/articles/CBMilgFBVV95cUxPWnNyWkNQeWlHNjdmemd4eFE1MW5TZ1M4YjQyVUdyR2xnakxLNV9MNXdGcF9qLUNqVFZFanZGeTdVOXEwR20xZEltU2Nlc2R5Z1dmV0ZmZXhLSFBIZXpXeTEtVTRXSS1mYXEzeERBa0VIUzlsN1N2SUgtRjI2WlVpMTlrOElKVnBHaFBnM3QwZVZZZDdPM1E?oc=5" TargetMode="External"/><Relationship Id="rId191" Type="http://schemas.openxmlformats.org/officeDocument/2006/relationships/hyperlink" Target="https://news.google.com/rss/articles/CBMiwwFBVV95cUxOSFA3MGRGc0RfdjduSDRfT2Q2bkdfaUVQbXBXYzRCdjdMT1JpanpRRFAwNHRfX1BCUEIzcFFTY2ZjSXhXOWhRX3VKcjFvLXNCMm1SR1RCWTk5OVdyaXdkb3JRRjYtdUF2bW8zRWVnZkZsU2dpNWR5My13WXg4Q1E4WHJsZ3dQYnRfbVlSMlFoMXF1SUx1RkhoWHBWeUF0LT" TargetMode="External"/><Relationship Id="rId192" Type="http://schemas.openxmlformats.org/officeDocument/2006/relationships/hyperlink" Target="https://news.google.com/rss/articles/CBMie0FVX3lxTE1yV2J0X1dWVmhwZlVzODRyX2ZrRFotRTdmQVRTNkxHb1E2b3ZqNllRa2FUSE14RFZ0YkRJaDRUNGdJSmpINllOSzAzZ2dIY0FLMDMzbkItNGF1RXY5WS1wMHdJb3lNSkwxWVFJLWU4SF9ZdlJyLTYtdF90OA?oc=5" TargetMode="External"/><Relationship Id="rId193" Type="http://schemas.openxmlformats.org/officeDocument/2006/relationships/hyperlink" Target="https://news.google.com/rss/articles/CBMilgFBVV95cUxOeXRkQlVQa1VwS0ZCNVBPUlo2RUFqcVdSTzlOOWNKSVNOSDRCazd6eWdoZFdmOU1SczhNemEtbThLY2RJOXA0ZEZsR0N2YUx5b0NtRUZwS2RrblNTTmVwUldIUEg2aFFfVmtWdzJiZ3Vnb1hNMTlSdkdDMi0tb0Y3TnNjNnVlZlJlTm5IZ1pSdC16b1hYOHfSAVZBVV95cU" TargetMode="External"/><Relationship Id="rId194" Type="http://schemas.openxmlformats.org/officeDocument/2006/relationships/hyperlink" Target="https://news.google.com/rss/articles/CBMimgFBVV95cUxPT2MzelZ0M255WTVQZDgyUC1vZk9ZTnRWLWlGQU8xekc1OHRVN3B1U1NlZlIwRHdLR2UzRGtVR2tOaW1rN1FOWl82N01HRmhOQkVQbFo1bUNJZ1pxR2JDbmlKOV94U2g4WlRGaGF0RDNLYUhsYjBEd0QwRnJtVVlkWno2Q0xlbW1XRmNMRzdVemFwdUN6WVBJai13?oc=5" TargetMode="External"/><Relationship Id="rId195" Type="http://schemas.openxmlformats.org/officeDocument/2006/relationships/hyperlink" Target="https://news.google.com/rss/articles/CBMiqAFBVV95cUxPYjNGa3NUdFV3bmlUZ1ZHZnpVa2Q3ZktsRkhrT1FyWU5CWnRkZWlHRjZ6ZDBYbzBMMkF5OUd5S1pNM1ozNEpuYzJQeDIxZnZFbXhNQWlUdjJCcWJTakNQNjNLRzNHWU5MR3RsRXB2OVNicWM2a1ROVk5yTXpxcER0NHd3azBXZ2tlWlVUSTE2VFdOQ1NoWDU3QUJnZldkVX" TargetMode="External"/><Relationship Id="rId196" Type="http://schemas.openxmlformats.org/officeDocument/2006/relationships/hyperlink" Target="https://news.google.com/rss/articles/CBMivgFBVV95cUxOWWVwV1ZCV2NGdGRpa2c0RXFiU2NCaHBkMFdIME00REN2U1ljTlpPSVdSS1VXTTNBOXJCVmVhaEhLVGtDUlNlSnk3Z0lMSHZGV0o5eC1uQXkzdTZwUWx5OUkxM0s0cUZ2cklJendqbk0wZGdacDQ5NDY1UVhDMmgtZno3MHhNOEx2d2VlNUFSVjRpQm5nT0F5YWR0MkpwUH" TargetMode="External"/><Relationship Id="rId197" Type="http://schemas.openxmlformats.org/officeDocument/2006/relationships/hyperlink" Target="https://news.google.com/rss/articles/CBMiqgFBVV95cUxNNU1vSkpDS3NOWFVrcGNyQ3VtQ1djYTdtSVRRdS0weVlyU0pEMGE0QkxuVGZBTXo2WkdIbktaQVpDYXRtTEFmZzJTWHlTeWFxd1ZKaWFSN0pCSnlXUV8tNEZQMnMwc21la0RkYm16X0VKdVctQXo0bU1nemZiQVQyOTZSTTBTRE9PajduNE51MDdGWndESmNIVmY5Ym5pVD" TargetMode="External"/><Relationship Id="rId198" Type="http://schemas.openxmlformats.org/officeDocument/2006/relationships/hyperlink" Target="https://news.google.com/rss/articles/CBMiugFBVV95cUxPNnVUWEtRTUlaSFVnSjgxa3pmYmtvWHBVZ1pTdlVrcTJhZzdVamJFb0FGVHUxeF9meWNUMEY0YUU0dTRWVE9UT2FiNDllMjR3NXdGeGpXX09VRkF3Q1ZQd2RKTzdEQThaMWNVMlRtcDFzSkxnUjNUNFJ0Sk5NaWR1dzktdXdJTmxjVHg2Q2c5SVlrSTBPTFVob3ZINDZnNk" TargetMode="External"/><Relationship Id="rId199" Type="http://schemas.openxmlformats.org/officeDocument/2006/relationships/hyperlink" Target="https://news.google.com/rss/articles/CBMifEFVX3lxTE9wb3R5c2NwMm1oZm9LZ3RtanNKQ09UOVh1WTlodHh5czNBaWcwWGQ1M0FHZ0ZXX0l4cmVOcVZmSmdhY1BYRy1Icm9RN3V1emRqelEtRXFnRTIzNVBSZ0hXdWlpLUZjSlVTWWYzeGJWRGZxMWd1THNlOXdFb0Q?oc=5" TargetMode="External"/><Relationship Id="rId200" Type="http://schemas.openxmlformats.org/officeDocument/2006/relationships/hyperlink" Target="https://news.google.com/rss/articles/CBMikwFBVV95cUxOZld1ZFpaT21LcDRiRV9hTndlQ1Z3Rl9CbDk3VmFJVGJwTEVmWHFYMWItQWhWNk9QZE5jWDh5MzRTZW0tRWdTRHFFUXI5Vkx0bVBmWkduZk5HRExmRDgzZTFTbUxXVVUyQWNYNjZqUV9JeFlPNlgxbGhfQjFxVVR5Z1g2TGNLcWt4ZVJPRGNXN19XOUU?oc=5" TargetMode="External"/><Relationship Id="rId201" Type="http://schemas.openxmlformats.org/officeDocument/2006/relationships/hyperlink" Target="https://news.google.com/rss/articles/CBMidkFVX3lxTE1KNURUQy1mRy1DSlUwTG9keEtKQk5QTWtobzNGTGpicFZGLVNMeG9aUk5URk5vQXcydE5tQWFVTFNKcVpDOWRYZzZEcDIwRGo2ZDh0VkZpdHZmeVVwQ0Q0ZXA1VmpodWhZaWpLS0VydEdnT09xV2c?oc=5" TargetMode="External"/><Relationship Id="rId202" Type="http://schemas.openxmlformats.org/officeDocument/2006/relationships/hyperlink" Target="https://news.google.com/rss/articles/CBMihwFBVV95cUxNY2dJTG0yX1pocVdsT3RTeU9XTjZ2NWg3X3laUmZYVVpvTWQ3X1oxeHZLNmM4N2tScVRqM2VaaFFjSGpNOW9YcXFjTVp3T2hRV0MwbEg4VnFmaXhXQk1yQ2dCMDdabk94aEFlLVFUQ2JwcWNuU3FmN0pBQ3ZDUnJDOVlTaU1xWWM?oc=5" TargetMode="External"/><Relationship Id="rId203" Type="http://schemas.openxmlformats.org/officeDocument/2006/relationships/hyperlink" Target="https://news.google.com/rss/articles/CBMi5AFBVV95cUxOM0taOVRycW5WWXR1OC1QLXVpdXVZSlVQOElXanFnYUNKeklaaGh3MDZIOXVNcEZ5Z21ackdjTnI5dUJFUG5zSTk0YVE0S2ZJdy1QUGxfU2h3ZGl0cWt3NGl5WmE5eHQ2UktxdG4wa09VcXVfZTVKd3hhN2Q5UFpRSDRCdURQS0QxSUpVLUpCXzV1cmo1WmhweC1ZVHlBUl" TargetMode="External"/><Relationship Id="rId204" Type="http://schemas.openxmlformats.org/officeDocument/2006/relationships/hyperlink" Target="https://news.google.com/rss/articles/CBMi8wFBVV95cUxNQkQyaWdMcUJjUjRyLW1FMkF0c3N6N0gybm9tUmRXdmlNOFNodTh3bXZwVDE1S1BwTzE3aW5yNnB4d2JiNU1IZnBLQ25qajY0d2hTZlU0eG1VYlJUWDVfRXVTbGIxZnk5Tk5DeU10MndrZlY4cHlSWmRJNEFYOTZvbHdVeUVGUzNCMlIweDZOX29JQVRMOTZjZWl1a19fRz" TargetMode="External"/><Relationship Id="rId205" Type="http://schemas.openxmlformats.org/officeDocument/2006/relationships/hyperlink" Target="https://news.google.com/rss/articles/CBMi6wFBVV95cUxQYTNRenZfUWtLYjhzZjNQOVhQblhZTzRKOXNiU2lqcG9xR3p2VjBlbHUtZU4yd01ycVAxTGR1cW5fVFhzQXpQWFpmemx5SV9XY1JRN04yX0dpYjgyZVF0YWtDNE9pZlJrV28xWmJLUExWSFZjN0tKZlJfd3B0VVl6bjBHTTVWUjRSajBVbzdWVUI3SVRRUUZQWDVWVlhkan" TargetMode="External"/><Relationship Id="rId206" Type="http://schemas.openxmlformats.org/officeDocument/2006/relationships/hyperlink" Target="https://news.google.com/rss/articles/CBMi6gFBVV95cUxNZ0VDZV9NWVB1MFBGNTJZOUNFRXFQMXZPTktER1J0QVJvd0FiVUFmb2t3LTYweHplMjJGSDVvR3dMbEw0UjlyNWlCZWdPZkEwRm9lVHhSRDNDRGhSWm9rOGtuekFCMHV5V0NQTTR1Tl80eWtfWmU4ZVBacUNMeUt6QURTeXota09GbkdrdmZxZ0lUeUd1MDh0UGtkaHlzU2" TargetMode="External"/><Relationship Id="rId207" Type="http://schemas.openxmlformats.org/officeDocument/2006/relationships/hyperlink" Target="https://news.google.com/rss/articles/CBMioAFBVV95cUxOVDAwVHpKWFZNUUpVQVA2SWNsLWdTbG5OenZYN2Q4Q0dZdjdwY19LcVJKRXdjSFJmeUpzMWp5ZTFDdEE1cHY3ZlVKcmRxek1VbjBGUWRpc0UwVnctOGVFMTI3aGtJLWpmM0dBVzJiZXBRMU14NkhqNmx4TFFDZzMxRjE5NGhIR0hfYTg1a0dva21uNy1mRkdjV05oU1lGMV" TargetMode="External"/><Relationship Id="rId208" Type="http://schemas.openxmlformats.org/officeDocument/2006/relationships/hyperlink" Target="https://news.google.com/rss/articles/CBMiuAFBVV95cUxQcHFfVzZjbm9oaUg0VTA1b2ZmUDFDV0UtQ2VRNWp2a0Jya2lyaldlcmpKX18teTczc2RfampZSEhKMHBzdjUtclJpNjJNd0FkUlViNnE3OExzSV82SjcxUTV2a1l5SHB4Y2FqY2xOeEZscTRlTnJhc3N6VUVDSWtuaHFxdGVYb2lxay03N2Q0bi1oQmZwS21BLVVEcWhYSX" TargetMode="External"/><Relationship Id="rId209" Type="http://schemas.openxmlformats.org/officeDocument/2006/relationships/hyperlink" Target="https://news.google.com/rss/articles/CBMijgFBVV95cUxPaExWdlNDU1RLWHkyOHoyTWpKVGMtU0dwQVE1blpKaDFjdHBweHdpZHBOY1NJM0RMbFVEbXdyOFRpY2M4VFprWWw0U1hpV1VKSXdZaGJuQVFjR196cGNRLW90V3p2SERLdHdLckxNU3I0U1p5RGVLXzQ0aEFQYjBwenYwakdTYUZYVmhCc3V3?oc=5" TargetMode="External"/><Relationship Id="rId210" Type="http://schemas.openxmlformats.org/officeDocument/2006/relationships/hyperlink" Target="https://news.google.com/rss/articles/CBMikgFBVV95cUxNTnVJdDhtdGxqTGQwZG1xZXZTQjUyUFMzSUpTN2xiVHBTTDVGS0lGRllEa0NGU1BlVlZOUDdmalNZbmd6RnZyRE92V05xWGdzdE5zbXRtWnlWbXpXdm0yVk9fNElMMVpTOGt5dXM5cENEOXpOck9VakZKeXIzSlV1ZzBaMm5hcm1SMnh6T2R5amhSUQ?oc=5" TargetMode="External"/><Relationship Id="rId211" Type="http://schemas.openxmlformats.org/officeDocument/2006/relationships/hyperlink" Target="https://news.google.com/rss/articles/CBMixwFBVV95cUxPNjV1TWI4b1ZEcnZ2YTVUMW5zZnJCUG10TUZxa255RjFkbjcyd3BSdW1FWjZvYW1yTWxEQWduVDdUWjVDSjY1LURkWmFxLUhUc0k4T2dmRmVQbVVfUFlnd0tmdzZFTU9GNmdSS0ZPellPdkE1M19tREhpLWVvOG45aFNCZHpEUTlyb0NoMi1pbHNJdjllMkU3azNQNkNsS3" TargetMode="External"/><Relationship Id="rId212" Type="http://schemas.openxmlformats.org/officeDocument/2006/relationships/hyperlink" Target="https://news.google.com/rss/articles/CBMid0FVX3lxTE5tQkc2MjdRb2phUFZJbnVEMk1WU1RFS042dUZkYzBMWXZMdFRmclk2RXluY1pRMk5ZSUx4VG56M0VsVUZLeFVLTWJwcmhfQUl6R0NOaG9pRWx6RWZ6RXV0YTJSSmNuekplbDdXcDlyekNRaUZBd0Z3?oc=5" TargetMode="External"/><Relationship Id="rId213" Type="http://schemas.openxmlformats.org/officeDocument/2006/relationships/hyperlink" Target="https://news.google.com/rss/articles/CBMi2gFBVV95cUxOX1g4UGN1MXd0a0k0X0RoOE1pNEFqMnBmeWNqSlRMcDRZSDNhcEJJcW4zaXJTcHpYdWNLS3d3UTRHZlVmdE56WHZoMVplenZCVUp5Rm80ZnZhYWdDVG90VFBKRHpDNEp3QlpLVmRKOVYyeWoyYjdjSk1ySHZVNk54dmowR3J2M290Z25uRk1zbjB5Sm9SeDk4Z3ZvUjFta0" TargetMode="External"/><Relationship Id="rId214" Type="http://schemas.openxmlformats.org/officeDocument/2006/relationships/hyperlink" Target="https://news.google.com/rss/articles/CBMikwFBVV95cUxQTTFWNzExM2k1MS1WRW56REM3UkIwVDVERF9mal9fdVMzajJyMF8zcnRKMWlfX0NTcTJFb09hWWF4eHRnLXFTLWFDUXprVWRkaTFJTTVvYTFVczJ2NEt2bDNfMEVZZGNRN1VEYndJNzdrRklBY0pPeGFfVm5ZQXcyOEl5SzRmc1BmdFM5ODM2cmRFZFU?oc=5" TargetMode="External"/><Relationship Id="rId215" Type="http://schemas.openxmlformats.org/officeDocument/2006/relationships/hyperlink" Target="https://news.google.com/rss/articles/CBMivgFBVV95cUxNMHBEM2hRaGhWS3d1am9lLTBSODlhVzhUYU45WnJJNXBRZ1FGR2podHowNlNjWHRZU3VTbjZsX0QxM1pSdkRIc2FsUGJYWTB5YWY1eGpRNHlGV1JwOENqbXJqa3RLeW1GQTN5Mnk0WXA1ZThWUGIyYkJjRldveFBnOWpjbmRMSzc4WlFQeEVjRWxmV0taWTNDbWkwX2h1U3" TargetMode="External"/><Relationship Id="rId216" Type="http://schemas.openxmlformats.org/officeDocument/2006/relationships/hyperlink" Target="https://news.google.com/rss/articles/CBMia0FVX3lxTFBKZ3NIaWpzREJfTWJEeTlEX0tiYWZXcS1sTGVaZkRDQ0wxX2hmd2I2eC1XZERNWU82NktZeFVuVW9GSmtYOFFqZExOVlVYdXN5OHNXWTZ3ZXJOR09pdzN0eDdVUFNOV2hpWWZ3?oc=5" TargetMode="External"/><Relationship Id="rId217" Type="http://schemas.openxmlformats.org/officeDocument/2006/relationships/hyperlink" Target="https://news.google.com/rss/articles/CBMiYkFVX3lxTE1sSV95cmhzcnJQVzNRMGhTTjNralp2WmU3dTUtVl93dk5ONkE5MEhwenc3eEI2cnAtR2lrQTBhb2ZOczkyLWtFUHhCYWNMalRSaDIweDZrcFlIRHh2UDU0RGxB?oc=5" TargetMode="External"/><Relationship Id="rId218" Type="http://schemas.openxmlformats.org/officeDocument/2006/relationships/hyperlink" Target="https://news.google.com/rss/articles/CBMipAFBVV95cUxOSGhaX00tcDRRRzE4NlFWV0t3UzdZWUxDSUlveG5fWEJBSTJIbmlBb2lLU2lmWW5zN1pJbmJfb3RzZHczMHFMaE5KbENlaXZTWXA1NFFrTjZFeUFXbXhTaEVaSTdFRVpuT3JhVEoxMTdNbWw0eVFOMjlDSzRsZktDTEpFb0hwd2RKZjlMVzg0Wkl5eXlEaEFJNENldFFqZ2" TargetMode="External"/><Relationship Id="rId219" Type="http://schemas.openxmlformats.org/officeDocument/2006/relationships/hyperlink" Target="https://news.google.com/rss/articles/CBMivwFBVV95cUxPLS1aYlVOUXFhdnhOSmRGX2FpTFZLZ0FZcWdkQ1UycVVsMVNBQ0xxeVlWU3FqekNmQ3hVVUdBb0ttZERjRC1tWGFONTFaMWNtYWY5OERKbko3b3NQT0YxNUNPam5UZld1NFVzdXV5LVc0MlA0QzRWMGE2djBZdkVpcWZ5aXRPTlk4eTdTV0Z2dHg3NnNOWTlaUFA0cUdzT2" TargetMode="External"/><Relationship Id="rId220" Type="http://schemas.openxmlformats.org/officeDocument/2006/relationships/hyperlink" Target="https://news.google.com/rss/articles/CBMipwFBVV95cUxONU1oNFlFbGQ0Rk5aTGZXWmo1c2xQa1dPU3U5MEZ1TnBhVU1ObHJZeE1Bd0hBN0dtVGdpMEc5czFjQUZlSU95a3FkNkJNREN4TWY0YzBHd3N6RXJ2UVgxR3ZzSTFKdGZPWWZlR29SRTdFQTllRTBUSzRLNktRMWtkeFJGSWJFcWR6V00zdFM2V3J1azhZUG9XaW5ydGsyX0" TargetMode="External"/><Relationship Id="rId221" Type="http://schemas.openxmlformats.org/officeDocument/2006/relationships/hyperlink" Target="https://news.google.com/rss/articles/CBMitAFBVV95cUxONmpaSkFKXzhJclpJSlJYeTlsZlFMQmd6Tmo5UG53V05tREY5cWNxY2h5T1VYd0x3SnpxNUpmbDlHbk5KV0NSZlBLVDdZemU3VTNWTENFMW5PMVd1TmwybGs5VXBqSm1udHV4dktCUVFLb1BId29QclFDajI0TEp6UU55ckhBQ3JTbG9yRWQ0SWU4LW5kd2NXMGNLN3F0Vn" TargetMode="External"/><Relationship Id="rId222" Type="http://schemas.openxmlformats.org/officeDocument/2006/relationships/hyperlink" Target="https://news.google.com/rss/articles/CBMi0gFBVV95cUxORzdIRXZDRGdnazJRV2VUckV2LVBXLWRVNWtKWmhwZlFiUURMTGRJYmVnemR5cDlIWkJ3YVA5TE9uRnRzdGVLNjlweDZnanNVV0NaQ0NoVmdzLTh6YmZFdVdtOGJvR1RiLVJUNjVSdDZaX1JtUDFaOEJMRjhHZ3pRMF8xdmRzYk1tODZBb0ozT2x0UFpvNmJfY3pvM0pSMm" TargetMode="External"/><Relationship Id="rId223" Type="http://schemas.openxmlformats.org/officeDocument/2006/relationships/hyperlink" Target="https://news.google.com/rss/articles/CBMi0gFBVV95cUxORzdIRXZDRGdnazJRV2VUckV2LVBXLWRVNWtKWmhwZlFiUURMTGRJYmVnemR5cDlIWkJ3YVA5TE9uRnRzdGVLNjlweDZnanNVV0NaQ0NoVmdzLTh6YmZFdVdtOGJvR1RiLVJUNjVSdDZaX1JtUDFaOEJMRjhHZ3pRMF8xdmRzYk1tODZBb0ozT2x0UFpvNmJfY3pvM0pSMm" TargetMode="External"/><Relationship Id="rId224" Type="http://schemas.openxmlformats.org/officeDocument/2006/relationships/hyperlink" Target="https://news.google.com/rss/articles/CBMiZ0FVX3lxTE03SnZkLWxCcE1fOFRoYnNpbDhudjNpYWxZdXA3TllPRTJVcGItaXZMZlVSX3ppWmtlRGJFYm9ERU9jRklYUUpxS1JldldOSkdGYnpCeVZUOWE5ejR6Ym9XSl9SVFRaUGc?oc=5" TargetMode="External"/><Relationship Id="rId225" Type="http://schemas.openxmlformats.org/officeDocument/2006/relationships/hyperlink" Target="https://news.google.com/rss/articles/CBMitAFBVV95cUxONmpaSkFKXzhJclpJSlJYeTlsZlFMQmd6Tmo5UG53V05tREY5cWNxY2h5T1VYd0x3SnpxNUpmbDlHbk5KV0NSZlBLVDdZemU3VTNWTENFMW5PMVd1TmwybGs5VXBqSm1udHV4dktCUVFLb1BId29QclFDajI0TEp6UU55ckhBQ3JTbG9yRWQ0SWU4LW5kd2NXMGNLN3F0Vn" TargetMode="External"/><Relationship Id="rId226" Type="http://schemas.openxmlformats.org/officeDocument/2006/relationships/hyperlink" Target="https://news.google.com/rss/articles/CBMijgFBVV95cUxNa045MWdBNV80dmFvVGlNaDJwTmN3bHRwQUdzem1SSzFvZGtDSk45RkE2NVU5cTFuQkhHZ0kzaGluckZXcVpNUXVPWUdlN1djX2RZbXBPVGVQODQ0Sm1YUk9pOVRwNXhFWXhUTmZRMERrWjhaZHkwMzZpVWt2Vjh5VkNkcmNpQzlXNklTNHh3?oc=5" TargetMode="External"/><Relationship Id="rId227" Type="http://schemas.openxmlformats.org/officeDocument/2006/relationships/hyperlink" Target="https://news.google.com/rss/articles/CBMiekFVX3lxTE9XM1BYbGgyajhINi02Wk5hYmNJX1BOY1pTTW96QUVZU0ZuRUwydzV4dTlVWHVNVHBLdGgzOEUtbExSN3VtR1F5NXVUNVVsOWVQNXI3MGZJbm9CZkZoT0QzbGdUU1B2VHZjaVBUSDVrbVBHRVM4VDRRanR3?oc=5" TargetMode="External"/><Relationship Id="rId228" Type="http://schemas.openxmlformats.org/officeDocument/2006/relationships/hyperlink" Target="https://news.google.com/rss/articles/CBMi7wFBVV95cUxNTDY3QndsMVpGbmw1X085cnlva2hQYVZ2Wm51U25tVGdta003N1pFeG81SGdZRWJmeG9EVFpKS0FpYmJFMWhOcUtSNDJIWjFDMGRERXg0emZFN0oxanlGekdfQU5jMXllcHpFYzhuMzdiaHFSQlE5TXQxOGF1Y3hzc3R6SlEzUVljUzh3OGtrOTE4bDQ1aC1KSHNqSzhHSn" TargetMode="External"/><Relationship Id="rId229" Type="http://schemas.openxmlformats.org/officeDocument/2006/relationships/hyperlink" Target="https://news.google.com/rss/articles/CBMijAJBVV95cUxQSGNXLTFoYWtLUDQ2UVpXeU1QejJtbmdaYzYtbk5ITFl4SHpLdkJEaDQtdWNMX3ctYTBuVTlwdTNEZGZTRXVwdzZuQ093ZFVEZ25JckpLNjFxYnJLVFROUEJvd3FIOE5iSnVTeF84ZWlvN1hDdERnb2pHeVVDQTBjN3pwemY4bVhmY1ROZTh2ODJ5dHhQSTNXdEhVM0c5ZF" TargetMode="External"/><Relationship Id="rId230" Type="http://schemas.openxmlformats.org/officeDocument/2006/relationships/hyperlink" Target="https://news.google.com/rss/articles/CBMixwFBVV95cUxQb0RNcjI2Q1JLZVhlZGZZOVhfNG93TjVLQ3NPemJWMHRiRWN0aVZxOExJanRkR1NYME1wS0VtVjBUTFF6TzZTcGF5ZldvX200NEo5M1JlNkFwU2hsNmRHU3hUS2J6SXdMZlNiM056WGR5bUpFT2ZuYXcwcTNVU2RkQ1N5N2JvQU1qd2ZWYUl1Y3JhMmVrTDlZaWlMSlhrRn" TargetMode="External"/><Relationship Id="rId231" Type="http://schemas.openxmlformats.org/officeDocument/2006/relationships/hyperlink" Target="https://news.google.com/rss/articles/CBMirgFBVV95cUxNME0zYUQwNjBDVHBuWS0zT2JBU1RpdzFyZjlxbWxNUmlsSXRTWXh3Z2wwbmFuU2dFcnd2U2s0dFdFZFJzX0tlZ1NnYk9saVlGblhpU2xUNkNVbFlUYzlXVjRYYXRGeXNpQXZNLTJDSXNZYjlLQl9FWFhQalN4TGgyRXZ0aU14c002bHFheDlFTlNCN1RYdTg1MUsxNnBmZF" TargetMode="External"/><Relationship Id="rId232" Type="http://schemas.openxmlformats.org/officeDocument/2006/relationships/hyperlink" Target="https://news.google.com/rss/articles/CBMi1AJBVV95cUxOVjNBX1pEdG56MW5KRjRhWUpSRGVjelRRYl9haWNrVFdzYWtBbXJoNVFONmRVaEJoQ0ZvNXR0bmRXZUxSekdRYmItdktVSE03ekhBbmpQdkI5WDlWQ2Q4VlZhYVNpWEc5VmFKcnBXdFp3S3NlNTlEQTRYWjExa2xVNzh2MVlZSkFod0RISXY0NWpvWWwwaWlvWW9Ud3hlbz" TargetMode="External"/><Relationship Id="rId233" Type="http://schemas.openxmlformats.org/officeDocument/2006/relationships/hyperlink" Target="https://news.google.com/rss/articles/CBMixAFBVV95cUxOc1RQVUdJRkxIbzljTXFMVlR5eXMtN0RXX1RnNVBPT2dDY1pYYW1qUThpOFJTOHZPNERPeUdtamh4Yk1fZ1lZdzhEWC1WakxyOEVaX21KVzJSa1p3UXU1TE1ULWJteF9aMTYybjcwUjB0M0FMbHBwUGFlaEE3bkdoRWhRZk54R3ZrLVBHOV9GVnlpXzREdFY2UF9UQ0dDZT" TargetMode="External"/><Relationship Id="rId234" Type="http://schemas.openxmlformats.org/officeDocument/2006/relationships/hyperlink" Target="https://news.google.com/rss/articles/CBMimgFBVV95cUxNUndLM001VVpNUlRYVDhDcWNnT3pMUWhMdHlnUy1Fb1hUaVk0cXpOeFlCRGJWTmdvRENtNktVNFNZRjJTVEFvczBGMjBsM2lLYjlhSzM3ZlY4UG5YX3lmZGxqUlhod1F4dGdidUx3djNTdVVKYy1ZdW1DaG9Nd2MwN0tWeUkxSW1DZXlWS2FrbC1Lem50dzNPQW5n?oc=5" TargetMode="External"/><Relationship Id="rId235" Type="http://schemas.openxmlformats.org/officeDocument/2006/relationships/hyperlink" Target="https://news.google.com/rss/articles/CBMixgFBVV95cUxObXhENkZtRTUyYkQ3TS1ydy0zUUNKdDBzS0g0OHloeVEwTHBXWHI5VGFDcGwzVHpqWGhoMmFqYWZHVWp5YjBFN285ZkZ4U0dzUW5hbXlaZkJHYWxueG5uQ09zU0k2bmR6dUdHNGJzWlczQVJrUWpsQTFpU25xNGVsWDRNbkg4V0R3VXVfRE1BYVgxX2JReU43M09KQ0QwVT" TargetMode="External"/><Relationship Id="rId236" Type="http://schemas.openxmlformats.org/officeDocument/2006/relationships/hyperlink" Target="https://news.google.com/rss/articles/CBMif0FVX3lxTE1EMG1mUjJibmNTWG9Hc1ZSUXZUMHJiWFByOGNBMk84ck94eEl0anFEZzVNcTdZQk1ySkNGNlV2WC1SYlpfeHAxYjdVOUV4QmNOYnhRQ2hTby05Z0hreHV6Y1Zrako2dUJjU25NZ0lORC1weHNCamxsU3Nla2M4VW_SAYQBQVVfeXFMUF94MmtjSzBJMVl3WjJ4VVNvWU4zMV" TargetMode="External"/><Relationship Id="rId237" Type="http://schemas.openxmlformats.org/officeDocument/2006/relationships/hyperlink" Target="https://news.google.com/rss/articles/CBMilAFBVV95cUxPZUFlN2E4a0F3eV9hNGFodm5aalRzcW1yYVMwRm1CbFdUaG9UVFJURHE0Mko3NTFpLXVDZkVlQnNJZGNubktybkdOYUhVVGFjZFhHNzVBMGNRak0xQnk4S25iR2p3X2NGOEZmM2xVM3Q2dU12UGhFOUUyY2U4MXZ2QmFOT2lqUEdCemd0cjQ5ajFmcWdr?oc=5" TargetMode="External"/><Relationship Id="rId238" Type="http://schemas.openxmlformats.org/officeDocument/2006/relationships/hyperlink" Target="https://news.google.com/rss/articles/CBMimgFBVV95cUxNUkdyanYwRXZWaHlqNVlUUlNLa1V3czlJUmRDbXNPQ2c3NEhJcTdwYndkU1ZYaEZxdWJnbzRqZl9xeG9Qb3Z5dlY5UkN5R1l5S1ZieTZMRGtOa0pFbndfbTJlYkw0WHpickhwaW4tR0s0YXZZRG5MT2RwNHUtbGdUYmdNU1g3WUszNVhiRERtVm1PVjlLdlhia29n?oc=5" TargetMode="External"/><Relationship Id="rId239" Type="http://schemas.openxmlformats.org/officeDocument/2006/relationships/hyperlink" Target="https://news.google.com/rss/articles/CBMitAFBVV95cUxPdXAxTWZmZXhkZG1aR2txMWFQQnpUa1Z0YzBOaHVNNU1LTm5fMG1weHVRclBNUTB4ZlN5bUFHOTRNck4wME4zUXlpa0lGMEhIZ2k0cUQtUVZQeTVzOFBaYTVvX3d4dmJEVk9JNGh2N09ydTFIYmt5STVCNk9KNkFCczRKV3VqaFhnSU16cHYyM2JTejZzTFcxanBHeHN4MX" TargetMode="External"/><Relationship Id="rId240" Type="http://schemas.openxmlformats.org/officeDocument/2006/relationships/hyperlink" Target="https://news.google.com/rss/articles/CBMigwJBVV95cUxQbmhVWVJ5TnJHMkxPVVdXMk9WRjBWSzdUZUFveEZlcmhQb3AxSGpleDVGSU1waGxMRDdFMnp4bWI3c0xhM2MwMFhNQ1dTbFJNVzdDZ1hSdm02NTA5U2JuQVJvdklsaU1tVnVVM25MUmZyRE5lNmZ1em0wRThYRTRBdnNtUVZoeUdrRXpMdXo3SjVEMTlRSjdSZlhIOXRTMW" TargetMode="External"/><Relationship Id="rId241" Type="http://schemas.openxmlformats.org/officeDocument/2006/relationships/hyperlink" Target="https://news.google.com/rss/articles/CBMikwFBVV95cUxNZXBrdnEtYnZLWk95RmJjZlRTeFR2ZjZDaGM5dDR4VW9KNWdDZjRjTmJidlY0eWExNVJVYUZ2NGJlNlo3NXZYMzFTZkhYeUU4ZC1RSGUzMXhLYkdkRUZXMEt5bVJRY1E0LW52Z0QzaWFYRTE3bDh1SVBMWnRNZUs0dndHVXBXdmZkYjBoRWFsX0p6RG8?oc=5" TargetMode="External"/><Relationship Id="rId242" Type="http://schemas.openxmlformats.org/officeDocument/2006/relationships/hyperlink" Target="https://news.google.com/rss/articles/CBMi0wFBVV95cUxNci15Z01KVG5QNW1RTUl0UHY1R0ZSTWRadTFWQWU5WGk5NHZtMDlhWXpNNDVsaVVoVWdFeUd2SFdEbDBXVnFtMWpHSVVmU3B0RUE2RWZLRm1JVENSN1JLWk1xYlJ5Um1UUGhzRGdFVGZTRWZYc19YNEpZd1lWMkJaSHpzbTJjR3Bad0VIS1E1SHk0RG8xU0RCM0pKYnV4bG" TargetMode="External"/><Relationship Id="rId243" Type="http://schemas.openxmlformats.org/officeDocument/2006/relationships/hyperlink" Target="https://news.google.com/rss/articles/CBMi2gFBVV95cUxOWGVfOU5uREF0Y3lWX1Job3JZVVRHMm5BRzNmZk5CRGlKcDFYWjNFaXBORllHV0tNSEpKR19OZDh2QnZvaGpsLUxTWXFJTlJsQnBJbkFEWHFRZDg3cmlyWVN5dElqT1huXzB2OGdqMlYwbUtUekxiQTV5RkdQMGZTdm5VLWt6YlFDZTlXaURhZF9UU2FJQ0s5MXpuczdpZz" TargetMode="External"/><Relationship Id="rId244" Type="http://schemas.openxmlformats.org/officeDocument/2006/relationships/hyperlink" Target="https://news.google.com/rss/articles/CBMiqgFBVV95cUxQRVVLU0VSZzY3SW8tOHc0ZmsxeklsWDNnbHJ1ZlpDYnRyeXVmN3lxY3lKM25fUlZSa0h3RDZtUjhtbFdjQWNNeXJWTW13dmJTaUhmN2hfTnlrODFLOGlPQ0laVDFlUE82ajkxMFA0ZmNBNE1wNU04QU1EY2tWcUNUb1R4R3A1X0RVdG9hV3JCX2xwN09YeEdMa0xqSW9hem" TargetMode="External"/><Relationship Id="rId245" Type="http://schemas.openxmlformats.org/officeDocument/2006/relationships/hyperlink" Target="https://news.google.com/rss/articles/CBMi0wFBVV95cUxOVldXWXRpQ0NhT2lXWXowazZsRUR0c2RnT21HUXBxWS02di00bndVQmtQME9ia1J0Z0plMnptcWN3OUFVQVVVNXkxaXB6U1QtSGpJRWxCSG9OZzY1Z2ttVGxHSFJvWDFQOXRIZUg2UW5ZaDRQMGdMY3dReGZHbUdNUExrUmQyVVZOS0tnLUVLay1aSWYxbTBoenpBbXZOV0" TargetMode="External"/><Relationship Id="rId246" Type="http://schemas.openxmlformats.org/officeDocument/2006/relationships/hyperlink" Target="https://news.google.com/rss/articles/CBMiswFBVV95cUxOOVp4d0NwOFdQNC1IZWlxUG00NGNqZTFrNXR5T3h0NmR6cXZ3eV9pZkZpeDZyaEpVSUtibng2bUZOcFRMcDJldkE2LU44cnFfLVRfYVJ0MVp0NDAyX09YT3d2UE5lV0l4aXhVYTlrRHE4S0JXODVaclJZcjFYU2czbEs3c2RzVGlNRlVDcnppbTlJdzVPd0I5QkdJV1JWLV" TargetMode="External"/><Relationship Id="rId247" Type="http://schemas.openxmlformats.org/officeDocument/2006/relationships/hyperlink" Target="https://news.google.com/rss/articles/CBMitwFBVV95cUxNTFZYY1ZnQTV2emdTMWszZ1JKWjRkV0ZXMkFvWmxuZ3YwZ0F3anY5dThpRDJwbjEydGNqU3dfN3VYWGlqcmlHM2x2MFRlQlZMQ29LLU1yNHRxcnVSa0pwbjR0RF9aSk1Dbm92UGQ3cFA0dHBpUHExM3dTWG1rZGpnUHQwZTc2eGg0UnlpMTRiSXlPcTM1bUJ1MWtsZ192UE" TargetMode="External"/><Relationship Id="rId248" Type="http://schemas.openxmlformats.org/officeDocument/2006/relationships/hyperlink" Target="https://news.google.com/rss/articles/CBMijwFBVV95cUxQamNSWW55ZS1OUXc4eFNLeVF4bGRLNkE4b3hQWTBnV1BUUDFJUVhtZ2lVdHpiaVBfLVBaOFNjZnhCTmtnUFNrMW5mdHdneXlWRTQtM3RUVDlFVC1kYnoyMG51S0l3alh5T2xCQXlzaUU4US1ZeXBUcXlPN25hYXZaMzc4ZTd5NXpKeldkR3hwRQ?oc=5" TargetMode="External"/><Relationship Id="rId249" Type="http://schemas.openxmlformats.org/officeDocument/2006/relationships/hyperlink" Target="https://news.google.com/rss/articles/CBMi2wFBVV95cUxPdUtMOElacGJqSGNsOEMySGV2NUFESEtoV1NBbWIwYkZzeHlTRnlwajNiRjVqcHZLNEFVdmpmeEZnZC1NLVJlZkVSUFBlQ1doRDR2Vldma0FDaUZTWnFtWV9WNGQ4M2RSQXhYelBDZUs4bXNNOVhic3JxM09JMU1ha0NZUmlsWGdkN1dsQ1JJRG95b1BRcHFxZzR6N3pnbz" TargetMode="External"/><Relationship Id="rId250" Type="http://schemas.openxmlformats.org/officeDocument/2006/relationships/hyperlink" Target="https://news.google.com/rss/articles/CBMimAFBVV95cUxOdktma0l0bHU3eE43U2xjcmNJd0tGYmRpZGNlYWU1OHI2T0Z5V2pIMkN5Ti02Q2l4Y1hGRGNkalE5b0h4N1BCTC12NjFFSU9YaXoxcU9zQ1psZHFMTWw5ektBU3ZBRkYxZWNPTUhZSzk2YThuZl9Jc213Z01WNHhoLXM5ekV1MXdJVDlCVnJRSlIxd19FYUhWedIBmAFBVV" TargetMode="External"/><Relationship Id="rId251" Type="http://schemas.openxmlformats.org/officeDocument/2006/relationships/hyperlink" Target="https://news.google.com/rss/articles/CBMiigFBVV95cUxNSlpaVnN3YThUTjJXWElfMmNycjdhOFVSemtsZktDR3lNcmZyYzhyU3BUSFFpR0JwUkRJVVZVMDU4ZVd2OFhMcGxNTmF6VkxTcXBxM0puUmIxM3lvZmxRNTdiLXMzUnpLTDdVZ3k1UlBueXV2V3BKWjZ4TVMyUFV5Z0huaU5OME9fN0E?oc=5" TargetMode="External"/><Relationship Id="rId252" Type="http://schemas.openxmlformats.org/officeDocument/2006/relationships/hyperlink" Target="https://news.google.com/rss/articles/CBMi0gFBVV95cUxNdUVQQU5Ndy00WUljMXBBdnFBendjMjdrVkRKVGFMWTJBWjZLaGFobFg3SlRnR2Jzbnp4RFRVM2htdVJVaGJkVW1TVU05eUpVMDhrQVNHXzlyOXQ1RDJWZXNfaXZva0FpeVJIZHlDMkxVX0IyYW9mVS1LX29RYTBFcklsNklNdzRkOUk2RDQ5Wl9mV3ZaVVg2UkhiQ2hwcF" TargetMode="External"/><Relationship Id="rId253" Type="http://schemas.openxmlformats.org/officeDocument/2006/relationships/hyperlink" Target="https://news.google.com/rss/articles/CBMieEFVX3lxTE1aeVg5Xy1najFQQm9sYTJyWW1UZHcyWnVGWXM2ZV9mdzlRQlB3RUZUNEdoWHNNMGo4WUdZV3c1dy1iTmxiZnRLOHhSalk1cHpCTHQyT190MC1tRHJrMHBna1U1N0pyUkhZQ2tPY1NCc24teHQ5RjE1Rw?oc=5" TargetMode="External"/><Relationship Id="rId254" Type="http://schemas.openxmlformats.org/officeDocument/2006/relationships/hyperlink" Target="https://news.google.com/rss/articles/CBMi1gFBVV95cUxOTEpfTEtoMG5NUENrUS1OZzBnWE1IWUJXR0QyNk5ITmpPcGxwSU9DNTdnV0lpLWczNFM1Rmo0eGlRNkdzSGFJcWFoSlFIamYzVmlQRU9LSzlaV01PTkJ3Mm1tU1RlZzhLYktvVml3WFA4Qk5TTUl6LTdTUUlUTlNPcDJkZUtUaUc5UkhhVzJyQmpxLTBCenNISkhDYURnSH" TargetMode="External"/><Relationship Id="rId255" Type="http://schemas.openxmlformats.org/officeDocument/2006/relationships/hyperlink" Target="https://news.google.com/rss/articles/CBMirwFBVV95cUxQODdFTDBQTmFReDQwaFk5QWt5WktBOTFQNmlRNG5VZnZaMlhkUlNYd0gteHZvTGduNmlNbkl5cG1pTWc5b3J3MF94b3RsbmdXZzRaM016WFhsV1ZkT3YtOThWeUg3bndBOU4xRlZTTGNmemFGWXJaa19xNW1FRFZpSjY5S2FXeEpxWnhPcUVvRE5pRWEyMkZtUTBvaElOUD" TargetMode="External"/><Relationship Id="rId256" Type="http://schemas.openxmlformats.org/officeDocument/2006/relationships/hyperlink" Target="https://news.google.com/rss/articles/CBMikwFBVV95cUxOWkFvbHIxdF9haTlPTUk1aWtCNmprMkNhbDE3djQ4d1QxTWE5VWZlSzVsVFVLTkpFSnlZRGUtek9MS2VZbGZKV2QyLUlnaW1QNUYxWUU5Rl9FOUwzZTVQYS1LSmpEQkVjbVBkaXlsM3RORVdNX2IxeGE4d2JoS1g4Q0hwYWwtWnRGYlhJdGctSHRRYUE?oc=5" TargetMode="External"/><Relationship Id="rId257" Type="http://schemas.openxmlformats.org/officeDocument/2006/relationships/hyperlink" Target="https://news.google.com/rss/articles/CBMiqwFBVV95cUxQLTVXeVBSWmJrakpsYUFBX0pScEMzWHc0TDRDWDIySVRhaEtCUHhWcUpiZTBKMktTX19GMDB2T3VvaTVSRjJwVzVJTzVBVXZUNHhXUk9LaldjWTJnLUVrbkREWHg2ZjNhX09RNHRGYVNIazBRcEVxTVoyNy1Lc3hpMWk5Q0RlRmlfQ21JVDNaNkRSUVBDd1poOWJ0OUxBMD" TargetMode="External"/><Relationship Id="rId258" Type="http://schemas.openxmlformats.org/officeDocument/2006/relationships/hyperlink" Target="https://news.google.com/rss/articles/CBMi1wFBVV95cUxNVU5leEJoQ1dqTzdSaUtfU2dDWmZ4U2JyWFFKZnlPRmlfbE5KZjlnSjBFV09SSVFiTTQ0QUxyWnBVTzdMLTNMZjRtRzAzblY1RVpWWHVuS1lXTmpPVHFLc1ZJeDljRXpQRlFsUkRNVkFzQXhqd3ZEaXFHQy1zZDlqdS1iSGdSenJOUnd0R2dCU1Y3R1lTZFRkc1N1ZlZ5Nl" TargetMode="External"/><Relationship Id="rId259" Type="http://schemas.openxmlformats.org/officeDocument/2006/relationships/hyperlink" Target="https://news.google.com/rss/articles/CBMiVEFVX3lxTE9FYXZXanRQNnZqUGl5aUd0YkFVWXdPV2tIWlVjdklGVi1GLWdtMi1hVHBjTFY1YzRjeUdleXJ4RWdzdE16MEdFZElNeVhSY0VtYWJyMg?oc=5" TargetMode="External"/><Relationship Id="rId260" Type="http://schemas.openxmlformats.org/officeDocument/2006/relationships/hyperlink" Target="https://news.google.com/rss/articles/CBMinAFBVV95cUxOclRsVWJ1eFA2QWNEUmJLbUlSXzBSMnh1Vkw5YXc4MjNweW4yclBaNnl3Yzkyc2owcEMySDJqMF9WTVBnU3UwdW9Xd1ZYZWsxN0NEQ0VGN2swWTVnbkNpSkozWlNFeU9GemI0QXdtVHpiQjQydENORUFIWE9USENCWjVwcVF5cy1aYjIyNlBmb2dzY2hfWFlpMWVTaGU?oc" TargetMode="External"/><Relationship Id="rId261" Type="http://schemas.openxmlformats.org/officeDocument/2006/relationships/hyperlink" Target="https://news.google.com/rss/articles/CBMi0wFBVV95cUxOSHNtUmxqVHpJVDFzQWtiVC1nWmtUMEY2c1RHWEtmXzNBVWNPMERsSUJpZ0g3ZVZTai10SUFrcmY3YzRIWWZOaTBUMUk4bzFTWkUyajdHZWNaVGxqMVZvN2tFZ0UyUTBtV1dNUjN0ejByQ3F2VExpU0NpNXJody1ESHRnVlBZd1NpeHdRTUhNaTRUWU1IcDA1VkNLVTB1cl" TargetMode="External"/><Relationship Id="rId262" Type="http://schemas.openxmlformats.org/officeDocument/2006/relationships/hyperlink" Target="https://news.google.com/rss/articles/CBMi0AFBVV95cUxPWk10MjRYRXBaWE1PZllxa1V2TWFEb1dlT2swS25vS3lsY1RTMGs3UEJWY2haNUh6N2hfaldCbE1vN2ZuNUhBMHRwdmk2anNXUTctWVJ5OFpGd2RsQVdueDRZazFYNTNPWVR0QnZxWE1LN2IwU1g1enc1Rm5Da2NhWXhLTGp3eWFEYmJmd2JHZzFaTkxXaWNPdkE1WUdOTX" TargetMode="External"/><Relationship Id="rId263" Type="http://schemas.openxmlformats.org/officeDocument/2006/relationships/hyperlink" Target="https://news.google.com/rss/articles/CBMi2gFBVV95cUxNVjN0NFBobXM2T0twWDRjRXFjNTRVaml5cTNVQjVYYlVNaS1CUGlSRzN4WE11dE13b28yNTR5bS1tdnpLZ2ttUURSTXFOQnZ6TkZQRXk5WFc4Ukc0MU5SZVh3X3JmSGw0VkJJOTZLMGFMNVFfWGJjcGJ0MndNQVZhM1pmb0M2VlB5MU1UaXRIX2xoVEFHMUk4WGFHc3VuMm" TargetMode="External"/><Relationship Id="rId264" Type="http://schemas.openxmlformats.org/officeDocument/2006/relationships/hyperlink" Target="https://news.google.com/rss/articles/CBMi1wFBVV95cUxOSTFWamRoZFNUVmtmY0xnSENiR1M2akgyTmtLMkRBTUh2ZkdVRmRpTE9LZzBqRXUwUzQ0M2VobFdTOV9HMjA4aFlmcmc5dU1YSENrTWVsaFpQRlY4anpLTkRkcjVydU9SZE9xVlUyWHlmbkU3MHViempYZXpaOUxGY1pPT1Y4dUpaN2xGajUwNTVTOUNoSGxpMEJXN3otWX" TargetMode="External"/><Relationship Id="rId265" Type="http://schemas.openxmlformats.org/officeDocument/2006/relationships/hyperlink" Target="https://news.google.com/rss/articles/CBMingFBVV95cUxNODFCWlhOX2VVYzFlZ1JkUG1HamNYbzJZY2JDMkJiTU94YWU1UEpjVWt2ZjJ6MlMxb1hGc3U2ZWNvRE52NGxkTTAyLXR3WGlqY01fRVB0cTFraC1QMjd0cG91Z1J1dW52UXZQbU5WdmRTMmxuZWxSYmtLUFFIYWE1UUJzY0Y5bHU3SXU5UE9DZnhYWjV4UU5JWFJMbE9iUQ" TargetMode="External"/><Relationship Id="rId266" Type="http://schemas.openxmlformats.org/officeDocument/2006/relationships/hyperlink" Target="https://news.google.com/rss/articles/CBMimAFBVV95cUxPdWpDYUJQYTNsQ052OXJrRVFDVGpndVRwcTcwRUlXa29HLUtkZk45eDN6NW4wdXVqV0ZJcXQ5c2NCUEJGb0Vra1FjQTJuT2pwUzI1Qk1wZWlzeXIyVC1Id2Q2V2ZfdnJVYVA0R1FNT1pRSW9KOTUxeWlrRkgtRzlUeVFXRG9TX0ZPQTVDeE1ybnlPRzEwV2FtTg?oc=5" TargetMode="External"/><Relationship Id="rId267" Type="http://schemas.openxmlformats.org/officeDocument/2006/relationships/hyperlink" Target="https://news.google.com/rss/articles/CBMiiwFBVV95cUxPd04wemQtMFNETHhlUHlSVzJOTGZjY0JSQW1NTjJJajVTeHprSlB1RkstMVE5eXc0RE9YQV9zUHdmMDBzQlc5d2N0dnpIbm54UHdWXzhZU3RnUnFzM09RYXZtUVlrRm15RXhaOTVVdUtScXF5YlZwaXRKMG5Oc2JzXzJ3S0VLWVlROW9J0gGQAUFVX3lxTFBDNjg3eHZPT0" TargetMode="External"/><Relationship Id="rId268" Type="http://schemas.openxmlformats.org/officeDocument/2006/relationships/hyperlink" Target="https://news.google.com/rss/articles/CBMitAFBVV95cUxOVmFzc3ppTHRDa1MtemRFLUstMEQ2M0FQbElIREFWeDNoal9uNU1pdjRvdEJkT0F6SWZrZjA4a2pKWGpBN1BDeWNoR2RJZEk2ZVBfbEt0eEs4Ykt0b0FteVJfYnRCZzlOZC1pTFYxRGR3YVBZWmhhSUlIYjRpbk5qUkNtbmR5UG9vRDBlMWF2OWtLNlB5RGRKYmd4Zng2RV" TargetMode="External"/><Relationship Id="rId269" Type="http://schemas.openxmlformats.org/officeDocument/2006/relationships/hyperlink" Target="https://news.google.com/rss/articles/CBMid0FVX3lxTE52bUdLTVgzTTdndm0tY2tfYTFMZHV5T1ZBSk5HTTdYRldCLVR1V2R4d1hHWnNQZDdLUk9LVE9MZVFsem9GQnpScmJpb0k5RHN1bHBGanJrMm5CVWQySlZCVm1ub1puNVlsSGstcDZjR1R0MXZlTnpv?oc=5" TargetMode="External"/><Relationship Id="rId270" Type="http://schemas.openxmlformats.org/officeDocument/2006/relationships/hyperlink" Target="https://news.google.com/rss/articles/CBMijAFBVV95cUxNRnVzdldWM1lUVFE1UF9EcUJHc0lTZUp5b0ZzTTBUMUlGRHZ1OW51WElPT0Z5Nm0wd0hjeU5Ga2Z4MGZuOU9xejhsNTk3NjRXYXVMOGZGd01mY0VXSldOM2l4ZEZocFQtSEhvRGUwZl85T3l4U0J6RkRlMXdKNUVBWURlNXVfNDVjWTItbg?oc=5" TargetMode="External"/><Relationship Id="rId271" Type="http://schemas.openxmlformats.org/officeDocument/2006/relationships/hyperlink" Target="https://news.google.com/rss/articles/CBMi2wFBVV95cUxQWDZ3WU5OREd6RXBQR0IwbnFhS25DTjUwemd6RDVLWks4YkNEelJ2b0xSR1N4bDQ1WUxFQTNRRk5ZSi1PUDkxQ2ZxODBST2dEM21XX2pLTjZSd2QyWS1oR2FGd01YNVJXV19KNkhaT3RzWlpHbFM1YW5PWFA4b3VJSjRzWFFKbzZnNWx4OHl2MHpvbmkteUJYZVN1ZUtRbU" TargetMode="External"/><Relationship Id="rId272" Type="http://schemas.openxmlformats.org/officeDocument/2006/relationships/hyperlink" Target="https://news.google.com/rss/articles/CBMitgFBVV95cUxNbUc4Vm1lWVBtRmZ2SmpOQ2g5Rkh2eUs1bEVmODg1REFSVVdlUWE4am9WaVU0SlUxdU4wMm1acVNGRloxNE1iaE8zM052VjlqcWtRd1JCSUhuWHhXUVptcHRJeUNjZ3ExQWZ1QVFfRGRQTDd5Y3BRVm1UUjRURXc5RVh4Wl9VWGl0aEZsT1I4NmdycjVQRHpOYWVkU3ZWej" TargetMode="External"/><Relationship Id="rId273" Type="http://schemas.openxmlformats.org/officeDocument/2006/relationships/hyperlink" Target="https://news.google.com/rss/articles/CBMiwgFBVV95cUxOWFlneG9IR2ZWVHhYTzJSNko1YjNiMXZmZHU3eE9laEYyTnJSeWlHQV9EcjBQZzkwX2Z4VWRBYVBNVEsyVUxocXNiaUNuMS1VRGFaOFh0bWZSRHFMQklYcUJyTGFvbm1qUC1GN0c2RG5GcU9feXNGUDM2bE9WM1JLMWZFc0JBTzliUmtWMk9kbTVYSkVpRVc2Vl8tS1lod1" TargetMode="External"/><Relationship Id="rId274" Type="http://schemas.openxmlformats.org/officeDocument/2006/relationships/hyperlink" Target="https://news.google.com/rss/articles/CBMioAFBVV95cUxNV183UHdGQmItRTJEMmtUODBCUXB5T2JnUXV1a1JOQUFIZjdjWllpNWRPWGNmYk5rWGx4QkduMy1NNmx2Y3RZODhTenpsSURqTGc0eHhKaG0wNGl2S0FtRlplcFk1R3hoRnlNV1RtbDZpMmUwejZtUjNhaWhhdG9LSDhRZnU0ZktVYno0N3hWUWU3ckhhRk1hZnBPeTZqbl" TargetMode="External"/><Relationship Id="rId275" Type="http://schemas.openxmlformats.org/officeDocument/2006/relationships/hyperlink" Target="https://news.google.com/rss/articles/CBMiygFBVV95cUxPM0d5NjB3RTV2cXFhRzBkdU9jUkRWUGtNMkMwNE5vWDFDWUVpcUYxYWx1LVllNjFkRUROUF96NG1zXzVOTGxoWnpiV1h6S3dZbkNCb2VPdGxLTXlYVXBSN24tU3BsU2k1cmZQd2pVbVgwZWxBaV9ra1lNV3EzZzVURTd1ZWZaX1hiS2J0cERRWVFfRlFLZlg3R1Z1dm4tc3" TargetMode="External"/><Relationship Id="rId276" Type="http://schemas.openxmlformats.org/officeDocument/2006/relationships/hyperlink" Target="https://news.google.com/rss/articles/CBMisAFBVV95cUxPS09jeURQLXFkcFBMeVJ2RUJMSzlLOWgwSzkxZGg2Zl9jaDZrOGp5LTFieDhKb0tJSHFDNEhMd19IajlSWDJ5ZFVZc25nYzBjM1Qwc3dTeGg2UWthUzR0amdwZE45eDFyUjRObFo5aFJDYTNpb3Y4TG05akV3NlJvZndjbGJ0MTJWblEySlJVV2VxcEl4a2VqYlRpX0RXcU" TargetMode="External"/><Relationship Id="rId277" Type="http://schemas.openxmlformats.org/officeDocument/2006/relationships/hyperlink" Target="https://news.google.com/rss/articles/CBMidEFVX3lxTE84Ul9FOWc4WHNxeWozU0FKQlpESVRpUmg3c1dPMDdNTEs0M1Fzc2p1OE50QkJ0ZV9lMGotdlZub2JZY3o3VllsdGhJNVYwN0FyekUzWlEydVI1TENyYmZ4dG5JSEhZYjZOOFRRYmZFTzNHVUhS?oc=5" TargetMode="External"/><Relationship Id="rId278" Type="http://schemas.openxmlformats.org/officeDocument/2006/relationships/hyperlink" Target="https://news.google.com/rss/articles/CBMipwFBVV95cUxNZWNhcVNVelBTSm1NdmpNOEFyNGlLZ1NIdENkOU83dVM0VFBLTW50WWJFZktRTzN4M081NlNYYVhUTWFvZkRRR0NLaVdXVUFjaWFMWEQwMXRoM0dKS2o2cWFNa1Bmc1RNd3dpRUQ3cVpHZWkxUDZtOHJ6VVQ4SkdhMC1STlZJZUkyRU11Y3BCZjljanVwWmVqUXl4ZklQLT" TargetMode="External"/><Relationship Id="rId279" Type="http://schemas.openxmlformats.org/officeDocument/2006/relationships/hyperlink" Target="https://news.google.com/rss/articles/CBMiqgFBVV95cUxPR1JKMmtQMmRGNWl1bTdIaHExc1Bzc2VRd0NoY0ZpSGdpaDE0OUdiRzRRWnpwY1AtOHh3d1dZNjRyaFZ4enJZS2FfTnNlMTR6UlhTNTFwQmtFVWprU3BaLU9QVm0zaVJoM3ZxeXNvMmVucDhiZF9tdTBtTF85R2FnUEFIM1dnenNWcDg2T21jaUZvRFpYby1vemR6YUVDWG" TargetMode="External"/><Relationship Id="rId280" Type="http://schemas.openxmlformats.org/officeDocument/2006/relationships/hyperlink" Target="https://news.google.com/rss/articles/CBMipgFBVV95cUxQUmEtZE5nNlhkS3BQa0JNN2cxNGIyeDR4a1JTWmV6WDBSTUp3aUJTUzBZaU04SXlsRGdUeEQ4emNoQnlURThEOUtjMUl0amw5cVNVN21YQWppd2E4TnpZdVRna3diX3ZEdk9lM1FPWEtIRDYxbEp4aEVfTnFiZzNGZ2pXZnZBWmVQbldQX1hBLVlPYnFXLU9BaG1uVTdZaD" TargetMode="External"/><Relationship Id="rId281" Type="http://schemas.openxmlformats.org/officeDocument/2006/relationships/hyperlink" Target="https://news.google.com/rss/articles/CBMiygFBVV95cUxNUFhQRmt4eXNTRU1tOFdKQjlQaHc3NGtRMjB3YUhSNWlpTnJDYUxTN1V6T0Z6MDFmYy13YnJPclZ2Qk5XTmVsb1VBQzQtR21PU1d6eFhLejAtVVFSdVVvcll0cHc3cnRyN0NhZUI4eGlBbGlHdk1kdlFBSkxLZjJ2RWMzY2ZodHpQMW1XN2ZMaFh4N3VBVEhoS25sbkNsTU" TargetMode="External"/><Relationship Id="rId282" Type="http://schemas.openxmlformats.org/officeDocument/2006/relationships/hyperlink" Target="https://news.google.com/rss/articles/CBMirgFBVV95cUxOYndZM080Wmo0clJ2d0w4RFZDWG12NF84Q25tUTA1aXd6el9VdlBCUEJpcjJNYkJoVFJTeDc1RGxBVkY3OUNTT3poQkExM21KV1M1V3JlaFRoTHJLM2VvTlFhRHRqZ1dlVnRJUDNDM0dsTnV5dHN1bkRzanVpdUpmTEhOenVXbEFUWFF5cl8yaTl1VkpXeEhtUlhzSkdBV0" TargetMode="External"/><Relationship Id="rId283" Type="http://schemas.openxmlformats.org/officeDocument/2006/relationships/hyperlink" Target="https://news.google.com/rss/articles/CBMirAFBVV95cUxPVGlEMkVZcHk2cUduX2s3NnpjX0lUUkZVNUlpaEd2ZzVsYmpqQnlnbXpSM0RkQ18yUUtfZEFHQkw3Wm1MdW1vblZMOVBNckhjTnJ4dEZTUXo5UXg2a0xDekZPclJUeG14THctcXotcE1yVHJ5VVZWUGxsRGZPTzdzOExVUWREcUwtbjk0bU10Z3JSRnQxbXVSYzNUY0dzWF" TargetMode="External"/><Relationship Id="rId284" Type="http://schemas.openxmlformats.org/officeDocument/2006/relationships/hyperlink" Target="https://news.google.com/rss/articles/CBMilAFBVV95cUxQY2FHX1IxSEhVMEdRbmo2Q1otXzFZcXlaYk1RQ0RZY0FsTFA0OWFPRS1xeThCNDJGazJRT0xuNlZuTk1uMXAyS1AxekFseWpxRlRTV0wyMG5XSzc2SDNDMWhRRjFsU0pfNHQzMXZfaGotUnhRQlZaYUlDbE5adnFZNGRTanhpUkxPTXNaODZnR19vNFBf?oc=5" TargetMode="External"/><Relationship Id="rId285" Type="http://schemas.openxmlformats.org/officeDocument/2006/relationships/hyperlink" Target="https://news.google.com/rss/articles/CBMiywFBVV95cUxQOXJzc2VBeXhmYTBaOVNDN2NmSlkyTFVPT1I1WnJnNllJRkhqajluaFNNVVJzakF4OTJ3NEk0Q0k5cFdTb09HcWlLSnkxcmxhNHh3UjREQ0NzT0ZlZW9ZdW0zeDM2ZkxQUTltQ25MMGJBNVV4eEFDR0RuMGFRRHhZeFdyREM5X2w0eXlsSTRCalJMNnVKS045c2xpSXdJaD" TargetMode="External"/><Relationship Id="rId286" Type="http://schemas.openxmlformats.org/officeDocument/2006/relationships/hyperlink" Target="https://news.google.com/rss/articles/CBMivwFBVV95cUxPZDBiYWpMbkxlU3lRR3BFTjVmWE1CZldtcEZ4X243R05kdmZqaWJiamVScG1rVmxzTms2SExzcEk0dEM0QmZxWG5zT3lXUk1HNFhGYk0yN3BVOFVJb0VJSmExckwtZ0NLa1BSRVZrUTR1VHMwb2oxUzJQbGtERXFxdGRvWENZakdCVGRlTlltT2RrS181NVVicGNwUFRQWm" TargetMode="External"/><Relationship Id="rId287" Type="http://schemas.openxmlformats.org/officeDocument/2006/relationships/hyperlink" Target="https://news.google.com/rss/articles/CBMiowFBVV95cUxOMzZxS2F5Zk9CX0xaN2pxRGhzU19TVmNFQjV2OVlxbkI2WEtBc0VPXzJwMF9QUXFDdHlqcFg3SWNFX3RQbTJSdkNab0EyNndWeFVSNGhkWDdiX1QxNXZZU29pVkItY0tsOWQ1eEN0eVd2R2U2dU1TTDdkZzUzdWN0cVctdDR2RHpNRDRSa0htZWpUZjZ3NFhnMGM0aVpIX0" TargetMode="External"/><Relationship Id="rId288" Type="http://schemas.openxmlformats.org/officeDocument/2006/relationships/hyperlink" Target="https://news.google.com/rss/articles/CBMivAFBVV95cUxOWmhhMFB1bEE4LWhEQklrc2c3TFNiQy11em41cVc5NDBETjVLWFAybkNLeWZMOVdrQkhXWktNb0hsdUpaOGdYUkhIa3lMS0NIY1pVbnlZd29Cb1hCV0oxVjFMT1dFajJaUUlmLXZ4YjRnN20zc3h5aHdqRUI3LVZzRTdFbWxrWkpXZUE2X2pWTDhPMnltaXZXRlJBY0tfeU" TargetMode="External"/><Relationship Id="rId289" Type="http://schemas.openxmlformats.org/officeDocument/2006/relationships/hyperlink" Target="https://news.google.com/rss/articles/CBMiowFBVV95cUxNS3VIQVB2V2xGTGtPN3Zfa2x2czZJY0o1MVhRVEgzNXpMcEU4Z3pxeHFQeDFQWTBVYURobEE3OGFYek56d1Q0Tk5KNllyb2dFWFY0WlRKZzRISW5RaW12QWN4a0hzOGZycjlaYUhKOUJ4RkN3Q3pDZ2RaNHp4clZfUUhGWi13cHNMcFNkS1Ixdy1ZNDlwX3Rldzk3UDVzeF" TargetMode="External"/><Relationship Id="rId290" Type="http://schemas.openxmlformats.org/officeDocument/2006/relationships/hyperlink" Target="https://news.google.com/rss/articles/CBMiswFBVV95cUxNYXNqRVlIelJ6dnJQNi1WblJwdkNqQWpJLU5XTnNvVWJKOHdfMnJuRFlLUW8ya2ZOYUlPSjBKdEJYZ1kyREd3Nm1uR0pxTjFUUjFJLUIyRTVmblV1OVBTd29WWHByVzZhZnE4SVRJajFpaVpIZ2ZDVkZ0MzBzdEJHT3NRemtyZmtCd0ZWTXZZUGxudzlCZlVWelBRVnM3X3" TargetMode="External"/><Relationship Id="rId291" Type="http://schemas.openxmlformats.org/officeDocument/2006/relationships/hyperlink" Target="https://news.google.com/rss/articles/CBMi1gFBVV95cUxPQUxJemNXWjkwUGxraTlBcFJQbkdXR3loU2lIRWhmX2J2a3NLQV9pTUlVNUJkbkhaYjJfQU96elVwTkdOUGxfSXZUQ0g2VUhpQW1ocm02cnQzTVB0cFJGT2NXM25jSl91bnlVSFd5cVdqc0kwRUJXUlpZUEZHYWQ5bnlWaE15YnFFQzNMVlhLeC00WjJRMEQySkhLb0NNRD" TargetMode="External"/><Relationship Id="rId292" Type="http://schemas.openxmlformats.org/officeDocument/2006/relationships/hyperlink" Target="https://news.google.com/rss/articles/CBMiswFBVV95cUxPZXVxZGUzZ2l3dkdDdEg5S292RFNrRVNTa21iZk9qLXhSQ2JTbU5Rb1BMTG9PVWV5bXpQNTRlRndCbHhuX3VnQU9MbnpPOTJ4bHZZMkJkRDY0eC1SQVdOQzNwOGpjTUl2NFV4R0NWbHZ5NXlnLVpiMlRjcE5rTUR5RVYxXzZ1N1pQYW1QMDVPT0FzUWdkR1V3UUdEeFM3dz" TargetMode="External"/><Relationship Id="rId293" Type="http://schemas.openxmlformats.org/officeDocument/2006/relationships/hyperlink" Target="https://news.google.com/rss/articles/CBMitAFBVV95cUxQUVFmUFJPZVhzSHY2Z09IWk9jRVRGbnRFWHp1NHJlbVpFclNDdFlweDZLU2VfSWlyM2JmaTlEV1hlY24xWk9LQVR3d0VMNlQxZXpPNHF4Y3V4WWo2ZXFWQ08wUzhKanlfSXF3TExSdW0tSVFfUkRFT1h4NFBxN2l6UHZVbnE0Vm1XLU9mYmI4Y3g5VGpJd3BlX3YxT00xN2" TargetMode="External"/><Relationship Id="rId294" Type="http://schemas.openxmlformats.org/officeDocument/2006/relationships/hyperlink" Target="https://news.google.com/rss/articles/CBMiygFBVV95cUxNaS1URXNjbTVQbnFieG5mdGJyVkUzMUVXaklvQnlrLUNqc3FFUlB5VUFFanpjdnhvX3hmelVOVkJDMzVpY243eVRSTGlaU2Vyc3dZdnJTYUd6RkEyN3J2SFBybmRab0VWOXcyUWRqVTFfbldHNVMycThYUFp1MTdXRGd4S21yN0tZQ1JwcTdDS0ppNU1jTTFIaDczVUU1Yl" TargetMode="External"/><Relationship Id="rId295" Type="http://schemas.openxmlformats.org/officeDocument/2006/relationships/hyperlink" Target="https://news.google.com/rss/articles/CBMijgFBVV95cUxNRnZhR0J4NHU4bUd0RnpfYkowa0hhbkl5S0V0TlhTNjBIdW9Wc1N5eWFJQmF3NE9qY1MzLVYzcjBSbzdlZFhYUlJyUm5fWGVmeG45c2U0X1Z4aVJUSS1nMlkxVFkxbGNsYlZWQWtOSGZZN25kSnVOa1lwdG9NSTB1WnBNVHp3NG1sT0RRRDd3?oc=5" TargetMode="External"/><Relationship Id="rId296" Type="http://schemas.openxmlformats.org/officeDocument/2006/relationships/hyperlink" Target="https://news.google.com/rss/articles/CBMimwFBVV95cUxNRDkyLTZkUFRjUG5ua2JpelI4clE1aVlPdHg1aklUQUFmSmEzR2JIdEJ6QkQwSG5TNGV2bkNhYlk0NjdtNnEySUpjZHo3WnRJVUpaMTNfcmhXMzZXaVRxU2VYaVZQUXNuWkl3QkQxZ3AyZ3FIaDZDUG5xRFZoTV9OeHdCVllZOUNndUtZeTJRRWRPejdsWkl1ZGw0SQ?oc=" TargetMode="External"/><Relationship Id="rId297" Type="http://schemas.openxmlformats.org/officeDocument/2006/relationships/hyperlink" Target="https://news.google.com/rss/articles/CBMibEFVX3lxTE5jU1dYMTJLaEM4aHZyMEluWGRrdmVjWDVTSUs5dnp5UzVvd1RZSGM0UURrWUNuSUZuckM5UTdTZ0xaYnNvRzBIZWNVcndBTldEdWF1NGRmMFAxVnNnQ3J2RXVqVUQyTk9ncjNiZQ?oc=5" TargetMode="External"/><Relationship Id="rId298" Type="http://schemas.openxmlformats.org/officeDocument/2006/relationships/hyperlink" Target="https://news.google.com/rss/articles/CBMibEFVX3lxTE84REI2OGdwb2NHTGs5dVk2Uy01QWxiY3FJOGY3MXJkVk5aMkZsU3lvZEpvS3pkOUpJVFZCY2ZqMHUwU1VrZlpOeXduX3NiaHM4SlFnX1BMOExKSVliUmtTV3JhMXJZMzdUeU1rZQ?oc=5" TargetMode="External"/><Relationship Id="rId299" Type="http://schemas.openxmlformats.org/officeDocument/2006/relationships/hyperlink" Target="https://news.google.com/rss/articles/CBMitwFBVV95cUxNZDQ1SE0xODA0OEpheWp5MFR4ZEtmVko2UTk5OUxyT2lNSXRyNVhuaXJkLS1UcW04bjV3R0Qwb3d1bng1R2hHVTZmbDViOWFRMUhHcW9RSHkyWmNmRDd4RzYwRW81UWdmMDZIRmVMcjQ4Y1RWYU9nMVJCSjhuVFNwVjdzQjRmYkZjQm9nTnktSjNqYktzOWRjQkVCaDlCR1" TargetMode="External"/><Relationship Id="rId300" Type="http://schemas.openxmlformats.org/officeDocument/2006/relationships/hyperlink" Target="https://news.google.com/rss/articles/CBMilwFBVV95cUxNYUVqQlNwcXhPQzJZNFdiUlJ6Rm1tVkdaS0cyNk5wVFRKMXczVkhWMHEyWlJ0Y042R2ZuOC1zLVF4LV9xRGpWNmg1UmRveW5NUEpZRTRZVG1lMGVjeWV1cUxCUk5raUQtVEdxVFF3UEsxbUR4OEFUNDNBZnoxSm5qeU5XRy1WNVBYZXQ1dWhVZEFtZzVrTXdB?oc=5" TargetMode="External"/><Relationship Id="rId301" Type="http://schemas.openxmlformats.org/officeDocument/2006/relationships/hyperlink" Target="https://news.google.com/rss/articles/CBMiswFBVV95cUxNYWpDT00yNnBneVhjYUpLMEhDRW81TzJWOGIwRVRoUDhlNFp6Y2pLWUYtdUpJa3BjNWk4UnhHeFVReXNNOWJub1ZDbDJDUFBHSWZnWkpuTHA0T1lSbThoemxHNVh5UXE4TkNuYk5zYmUwTDl5ekt1SWhCLVlDdlR5TGZiUVBFYTNVeXVDM0tETDZiaVVENWttSnp3ZWhHQ1" TargetMode="External"/><Relationship Id="rId302" Type="http://schemas.openxmlformats.org/officeDocument/2006/relationships/hyperlink" Target="https://news.google.com/rss/articles/CBMiqwFBVV95cUxPVzJraWktdk5JanZSalRoOXlhNEo1TVd6Z19hZlNWZTFsOHg2ZXRXUmQxUC1SbWxZdlZMNDE0QlBvQmNvb0M5Nm9iOXNyc2xmczhPMEo4eHFwSUtObHBqbXlja2VnTXR0V1ZfTkk3SG9qMlJ0b3BUUHlqdVVFTW9YbFdCd1QtZDNZZWx2aW5BMmZPelE3dzZMZGh6ZG1TTW" TargetMode="External"/><Relationship Id="rId303" Type="http://schemas.openxmlformats.org/officeDocument/2006/relationships/hyperlink" Target="https://news.google.com/rss/articles/CBMi0AFBVV95cUxOdUxEUzVyR3FZck5xek5nRjZuMEk3bHN1ZmZHaGdVdUg4WGdpU05ReUtYTmtfcGp6akVzRTBLa2JwMjk5TWtyT3o3RFI2UkVPUXdreVNmS2JtUjZ0Y1lOejhGamxKUGFPazZRMm80UkxUYzg5cDlZZ0xMNVpNLVRrU2F6OW1xYkhNRG41eTRBMmJzLXlMV19vTUZ5OG1Gcm" TargetMode="External"/><Relationship Id="rId304" Type="http://schemas.openxmlformats.org/officeDocument/2006/relationships/hyperlink" Target="https://news.google.com/rss/articles/CBMikwFBVV95cUxOSk5SanNWRHhfREc4dDJtSGJXc2UtVklXUmFvek5QWUlNYktKclh0dlV1OFVIYmJMWXFUa1lKUzkwQkFnY3ItZlJ6aEprMTUtOUlsbzJjWmdxRk5vTnVnSndXRVhIRk0tWERBc092SUZNeng3Vy1ZdU5RN2VtV3FJU3lCRDhyeGVWQWF4Z1c1WTNYc2s?oc=5" TargetMode="External"/><Relationship Id="rId305" Type="http://schemas.openxmlformats.org/officeDocument/2006/relationships/hyperlink" Target="https://news.google.com/rss/articles/CBMia0FVX3lxTE9fdzU2eldqRVFtQXNKS3dPZ3czVWV4UVZCVjZvWlR5dEZnYi1iWjNFNUg1WEZyNUlicjY2Qm82ckR2UUU0RG81dFlwd29uRnV3SGxEVFh6dTJ5TzVkbmU5c2p4c19WLVZHV0xN?oc=5" TargetMode="External"/><Relationship Id="rId306" Type="http://schemas.openxmlformats.org/officeDocument/2006/relationships/hyperlink" Target="https://news.google.com/rss/articles/CBMic0FVX3lxTE5lZV83OWRxcFlEUkFTMTl3eXZQeDdBa0c1NUdOWE9vZktUT3BIY3FGdWJ5Z2ZacWRSeC1lcUFYeVA4ZmhSZmNadnoyMmF3cnBwWDBmaDg0MTJUVGVYVDEyTW5NbG9hX0R6ejl0ZzhfWUhyZXc?oc=5" TargetMode="External"/><Relationship Id="rId307" Type="http://schemas.openxmlformats.org/officeDocument/2006/relationships/hyperlink" Target="https://news.google.com/rss/articles/CBMioAFBVV95cUxPc2tBUDBwdGVxM0xOSWxZRVNrcFhZQXF1SnRnS2FzYlVFc2c0cnp4RXp4eUptdjhKSzRCQk5zZXBXaW1abnAxakN3LVVNWFFtTTJSbElUeWFDZXM0d3lVa1VDX1FEWG9jMEg2RU82ajR0dFJCS2l4SmdOVi1BNU11dmdOU0g3UndEXzNESUlRWlJhUE5SMWtZbVdUSjltbW" TargetMode="External"/><Relationship Id="rId308" Type="http://schemas.openxmlformats.org/officeDocument/2006/relationships/hyperlink" Target="https://news.google.com/rss/articles/CBMigwFBVV95cUxOdi1KZzZlNE4xcWpGSGg4aktPUGdHLTE0ZDh2YjBld0xRVHVtVmpKT1Z6U3F4ZW9jYzBPWndzZ1FPX1B2dUxzQUpCai1IQWZUUEJzUGdhUEttVkx1M2c4MDdFNW01c0VGV0VoQXByck1jNWllbFB1SXVvSmd0MnJVemlHWQ?oc=5" TargetMode="External"/><Relationship Id="rId309" Type="http://schemas.openxmlformats.org/officeDocument/2006/relationships/hyperlink" Target="https://news.google.com/rss/articles/CBMivgFBVV95cUxOVHhMVDlhdllQNHhWY2JobllpcDdaQjBmUnJOM04wTWZwUTVJRnloTEVGLWVxcGgxYTZpQUhmc1BQTnFRSTlPMi1ITVdzcTBncTNsY21iNVlNUEtVX25WdERDYnFWcVNoU2Y0NEpFWS1HaG5KRldvNDlPMGI2U05iejFYbldROFp0VEtUUlJuRUJSb2x4Y2w3WGVQVnVnWl" TargetMode="External"/><Relationship Id="rId310" Type="http://schemas.openxmlformats.org/officeDocument/2006/relationships/hyperlink" Target="https://news.google.com/rss/articles/CBMioAFBVV95cUxNUVdWR3RobFlncV9UdEZCUE9ZcTdTM1Y4V1FqblYxV0VRUGwwNVZTQTZBellkUmZRa3JxcFQxb2Qybm9hN3NRaEFMTkplMWRFNG9tZjR4MFU3OUg4c04wQjd0NGg0NjBfWm11QmxjaTNqN3FHR0RKNnVqc1hTRDlTSWY2blBMRjZuTGNxOHBkWkE0bUpKcTFLeUJ5ZGdFc2" TargetMode="External"/><Relationship Id="rId311" Type="http://schemas.openxmlformats.org/officeDocument/2006/relationships/hyperlink" Target="https://news.google.com/rss/articles/CBMi2AFBVV95cUxNZnFHaHR2eVFqaXFSOGw4VmZMcUNKbUFSajJiZlUwMWRkbVN1SjZHWEJudDU0MlZWU3pjM3p4ajI3WDlaYWZmNzRlZkhmY3RqR2ZXbENmMDZmdlBaTmVuZ29VbnBnMGhNLXdpeG12NnotazBuWEUxaEpQZDk0dGFkZWNEZFZJc2ZaeDFqY0E3VkNtRnNmUTZ1c01JRGQwOG" TargetMode="External"/><Relationship Id="rId312" Type="http://schemas.openxmlformats.org/officeDocument/2006/relationships/hyperlink" Target="https://news.google.com/rss/articles/CBMiqAFBVV95cUxNOUM2RmJTREJMeUNpeHE3TF9oX3QzUHZDWVRXSVR3REpJUTBnb2l1VFFBdlVUTzI0d2h3NjlQQ1ZlUUdMMndmUHowX2pScmYyMEZtdUhUS01lQkZvc0pXRE9JdVFXaFREXzVwUXRpZ3Z4ZGJELXQ1bS1JZjZSM0FDQm5udk1IUGlNb2pSRDYyMnVNTWxwc1k5djVHTVFUdi" TargetMode="External"/><Relationship Id="rId313" Type="http://schemas.openxmlformats.org/officeDocument/2006/relationships/hyperlink" Target="https://news.google.com/rss/articles/CBMimgFBVV95cUxORG85b0xwYVJIb3RhbUQ1Qy1uLUdDV2NlNEwwSjllNlRVUDkwOG5HaEhIMTc0bXUxZDBNTGVIekVhaGY5ZG1DTUJxZTBsX2x0OHkwOWpOdFJnQ2lpU25TV0NfTDZOWHQ3T0l3LV9yM3cwZ2R2Sm9malBUZG41TGV5MnQ5WE5ERlBNbncwd2lHWjdVUFlEaWd4ZVV3?oc=5" TargetMode="External"/><Relationship Id="rId314" Type="http://schemas.openxmlformats.org/officeDocument/2006/relationships/hyperlink" Target="https://news.google.com/rss/articles/CBMiqAFBVV95cUxQVXpGcl83by13SW9TX3ZnTW9MSWU3cXV6NDVjVnZUY3d1Rk9sNF8wa1RWZ2IwU0UxcWlQcDFGeFdjUndZWFp4U25qSk9FRFoyOUdiQ1pIaTJGaExnNldGU2h6Z21TRGplOGF3TGZYd3VnN05zbWFzcGlreG5uVHVOR2FmamxmTUJ3VW5vM2YxVjhpdk10cTJSYXA4Ukdhcn" TargetMode="External"/><Relationship Id="rId315" Type="http://schemas.openxmlformats.org/officeDocument/2006/relationships/hyperlink" Target="https://news.google.com/rss/articles/CBMitwFBVV95cUxQRENpdUlMTU11RHBaM1NDV0xoMmg5dmk1eDZOUWZzQ0pWVHpWSFNnWmN1N2cwYWRZTVRsR0FqZlhJWU5pLTJ3TUd0ajg2NUN3MFkwdWVwSVphS29BVmYyeVRBd3dEczVBWldGSmlxZmdqQXZyUGV1ejZNQmRHS2FyOXRUazR4M2dBa2tSLTlRMXJrMXZzM0ZVN3FsWGxaMH" TargetMode="External"/><Relationship Id="rId316" Type="http://schemas.openxmlformats.org/officeDocument/2006/relationships/hyperlink" Target="https://news.google.com/rss/articles/CBMivAFBVV95cUxQX3NfWTlMZy02NjRrVExGUmxJZi1BZjUwRVdGRDQwNHN4XzduOWpLX0lNZ3FVM3hDbHZCRWkzZ3VYSC12MXhyNk92aDdvaTZWQUM3S01LbTFzcjkwUUJMV0o5b2l0SVMzZEVvTi1HWHo3T1FfdTlGMXhPM0dodWJ5TXAwZHVyWlVlXzF0WTFlUzRod2g5Z2ZBbHVGcEEwdD" TargetMode="External"/><Relationship Id="rId317" Type="http://schemas.openxmlformats.org/officeDocument/2006/relationships/hyperlink" Target="https://news.google.com/rss/articles/CBMitAFBVV95cUxPWTRoaEpMX2lIUDEtWFczVDNneU11VFZWa3JjcWZ0Y1d5a3VHRmxDSHV5SkU4X2tTWGRWaTQteXcydF8zcHlsVEJ5Qk9DdDJYNW5UbjhZcWcydGhmR0Z4Q0pxTWVBR3pxaTFJYjVvWE54aWgwLWRiSnNCQ3FOQ3k3QlpCTEU0cXBwRjdTenZuTXVwamRNWWtJQTBKMTBkZX" TargetMode="External"/><Relationship Id="rId318" Type="http://schemas.openxmlformats.org/officeDocument/2006/relationships/hyperlink" Target="https://www.gelonghui.com/live/2726878" TargetMode="External"/><Relationship Id="rId319" Type="http://schemas.openxmlformats.org/officeDocument/2006/relationships/hyperlink" Target="https://news.google.com/rss/articles/CBMiuAFBVV95cUxQRWlXUkpRSWFXS254NDVwUjlCWU5NZXZIVUhBbWZCVFRCVUo5clVLTVdGS3FuMHhLcHEtbGd1eWx0V0lIVU1yYVQ4YjJYa2twZ1B0REVLSjdDMDlUU2FUZ3hrbE9IWXBUYUtLbVBib0wxOGlvTmRvWHJmajhGSEE1cUNTMGZSXzI0OFc1SzRhVGF2ODl3SDdhSjg1ald0M0" TargetMode="External"/><Relationship Id="rId320" Type="http://schemas.openxmlformats.org/officeDocument/2006/relationships/hyperlink" Target="https://news.google.com/rss/articles/CBMigwFBVV95cUxOS2lwbGZmdGktWHZ3Q0VseEhtSTR1dEdKVUxGeGJ2N0FLbWlxWGhEWldTMllSQVNKN3BuR0ZfemYxbjVIeU5JNlNQRk5nT2V1RVJvMmhqdFU0QnpJSnFEWlh5MEhpTHpqVnFXVkdYeWFXSUQ4MXVfTnUwSW1nOW82MFFLTQ?oc=5" TargetMode="External"/><Relationship Id="rId321" Type="http://schemas.openxmlformats.org/officeDocument/2006/relationships/hyperlink" Target="https://www.gelonghui.com/live/2726878" TargetMode="External"/><Relationship Id="rId322" Type="http://schemas.openxmlformats.org/officeDocument/2006/relationships/hyperlink" Target="https://news.google.com/rss/articles/CBMizAFBVV95cUxNLUI0c2pLVnI2c0lyaUxNTVY2SzlzS1VvLXVzR1psdzZoUTdCXzl6YWtZRUlKalpOLWRlWXFqRkxXZ0pBdnEtSzFRdnphSkt4ZHo1WmIyMzJ5aVdEb3d0dzhCR3NyU1M5dnRIaV8wMGhCZEM3WTRlX1JjSGNOb0pxNDJ3aG95TTdudTFQcGNaaWk3NTE4TE0zTlZEMEU2TT" TargetMode="External"/><Relationship Id="rId323" Type="http://schemas.openxmlformats.org/officeDocument/2006/relationships/hyperlink" Target="https://news.google.com/rss/articles/CBMi1AFBVV95cUxOb2lJZGxxdXZFay1mSHkzMldJV2huU0E0bGFRVnB5bkJzTk4tcllzbmZGLUhqR3kwVjFlblZ6c0NCU2tybmNMOGh6ZU1ELXQzdUgzRXc1U2RYVzNJN3ZBMDlYSlJ1VFNpV2ROSG1EQk11R3RZbFZla19kUWdGS1l4S2EwT0c0TDBiR0w3Q3pQWGlYc0Itc3gtMEl0R3Q0NG" TargetMode="External"/><Relationship Id="rId324" Type="http://schemas.openxmlformats.org/officeDocument/2006/relationships/hyperlink" Target="https://news.google.com/rss/articles/CBMirAFBVV95cUxNSHQ3LXBHUXBWZzZCQndMZjZYeHFiM2htZkVRMjU3dkNPRlRxRjlLdElHNldPb1FHT3ViWTkyLUZLTW1TTnNDa29DN2ZaX1pxN2c5dld1LWFXall2YmdISjdNU3RVQXQ0dUVDbkk2N2x0bHREZFNWc0QzNHhUdzlqVEt6V3pOZk5JQmRaeWRpcDJ0RkdSQnhUMzZyN0RfX2" TargetMode="External"/><Relationship Id="rId325" Type="http://schemas.openxmlformats.org/officeDocument/2006/relationships/hyperlink" Target="https://news.google.com/rss/articles/CBMiiwFBVV95cUxNNDRMZzVaek8yQ3FtYkFGMnJMTC0yWVBKSy1jRDhuSkVKTkxDTW43SGpXSW1xaWVZbjFMcTAyY3NJOURLcEZhR1dJVkFCMDZwaXpXWl9IYlE5Z3pGQmxvY3lRN2VMeERyTGtZLWk5X240cWZfeC1zWWFtMEd1ZTRyeUctOVMxRVlqbjl3?oc=5" TargetMode="External"/><Relationship Id="rId326" Type="http://schemas.openxmlformats.org/officeDocument/2006/relationships/hyperlink" Target="https://news.google.com/rss/articles/CBMiqAFBVV95cUxPYmR3TlJEeVVkMG5zMWtxYnZsTUJ4bFd0SE5nTG9vaHZFOGpneDdpYWMxckV6cTJVSnpxWWpDZzI5dGJWMXpoQTBaX0c2aGJud2ZSWmpQb1dSWWF6NHZCNTF1SnZXY2hLSnIzMFVEQ29HbU1JZEJNTUlJLWdFR3pjb1g4TEo1TDRmWEg3S1BSMThGUU53aWxRb2doNUZXUm" TargetMode="External"/><Relationship Id="rId327" Type="http://schemas.openxmlformats.org/officeDocument/2006/relationships/hyperlink" Target="https://news.google.com/rss/articles/CBMilwFBVV95cUxOdWYwQ3R5cDlNbDF6WmtLcTFKT1Yya3o3TEZjUl9fTnVIU3ZmREIyeVBoOXNZcGJDTkJDOFJucS11d3ZUbDE1X0V3RXpicTkyVkZrY3RRNkJCSkRuWEQxYkZVTmhPdVVXajlFT0toak56ZXR6d2dGaXRFYUVrUGptRHpJbHVxMWN1VmcwUlhSSmtaQkwwNXFJ?oc=5" TargetMode="External"/><Relationship Id="rId328" Type="http://schemas.openxmlformats.org/officeDocument/2006/relationships/hyperlink" Target="https://news.google.com/rss/articles/CBMifEFVX3lxTE1YRGFHaGE1aDdEZWwyamRVbm1fSzNyWDBsbkJEa0JZeHE3Qmh2LVJMd0pKVFRXMGkteEtEd1RfNFpKX1RLT3U3NElwa2Y1QmVmVXg1Z0J4TGRXRHA2d2RmcC0xbmpaTHo1bDNVaDNZZWpJeWxtbXpBbFdQSHc?oc=5" TargetMode="External"/><Relationship Id="rId329" Type="http://schemas.openxmlformats.org/officeDocument/2006/relationships/hyperlink" Target="https://news.google.com/rss/articles/CBMitgFBVV95cUxQZEhTc18xTjJSVVBsY0Njb2RNamRwOXBoUzFGY3lGZzdJS3QxZXBOSmJrU1dBTlNfNVlMVmNndmMzYnFRT2VUYW1JY3BSaHJrUkNlcGJtUWlCUHhMS1FMQ2tPX08yR3dqVjlvdm9Mamo1cHUxS3p5UGVVeUVVLVlwZHNrXzVFLTFUaVNTMzBKYVl1dV9CbER2N2FuOVhHQW" TargetMode="External"/><Relationship Id="rId330" Type="http://schemas.openxmlformats.org/officeDocument/2006/relationships/hyperlink" Target="https://news.google.com/rss/articles/CBMi1gFBVV95cUxQX180eHE3R3dPZGxZZngtbDlRbk53Q1kyZnUtaTcwZEZRZE1PeGwxMC05UTFVMWhzT09hanoxeDVLTGN0Ry1tRXdvUTFsTTVNbWJOOVRET0ppRmhuaU1pWnpUcUotVGxraEwxSlB1UXlabVJOY2xzaC1IQTZaWEhjMUxhbUNlQzZpSE43VXVZQ2lFV2R5REUyTmdyLU1RWj" TargetMode="External"/><Relationship Id="rId331" Type="http://schemas.openxmlformats.org/officeDocument/2006/relationships/hyperlink" Target="https://news.google.com/rss/articles/CBMiswJBVV95cUxOM2F1ZDdVNDRtUXNmLWVrbHMzcTR0dHcwRXhodjg0Vkl3b21leEV0MW42NTNaOWZ3U090cjdhcHk0MEpMbnh2bnpNb1JXWFBhclR3QW5XeFAtaXVvdzFpNlM2X0ZQYmVtTk1kS0dmRDFkZjRQQS1uZ3RRb0VNVjZNQXpFM1pxbmNqd0NiNDhpOUhkejZsdDNOUzFpYkhNTn" TargetMode="External"/><Relationship Id="rId332" Type="http://schemas.openxmlformats.org/officeDocument/2006/relationships/hyperlink" Target="https://news.google.com/rss/articles/CBMizAFBVV95cUxNdFloRUh2TUpVM0gyc29RVWdNRG5YTS11cm84ak5VMEFIS1VDYWh4RHV2dGNZbGFsODZTaEkzTHoybTRhUlhPV2lDREl4R2tETDFhVnZZZ1k1cVQ5LW84Z0RjNlRrdzNLSEl6cUZlSDN2OU5Yb3Z5MUxqRnluN3F0dGtmV3NOUXE4ZWZBWWc1YmxPeEdGbmktTVh3MGFUNW" TargetMode="External"/><Relationship Id="rId333" Type="http://schemas.openxmlformats.org/officeDocument/2006/relationships/hyperlink" Target="https://news.google.com/rss/articles/CBMiswJBVV95cUxOM2F1ZDdVNDRtUXNmLWVrbHMzcTR0dHcwRXhodjg0Vkl3b21leEV0MW42NTNaOWZ3U090cjdhcHk0MEpMbnh2bnpNb1JXWFBhclR3QW5XeFAtaXVvdzFpNlM2X0ZQYmVtTk1kS0dmRDFkZjRQQS1uZ3RRb0VNVjZNQXpFM1pxbmNqd0NiNDhpOUhkejZsdDNOUzFpYkhNTn" TargetMode="External"/><Relationship Id="rId334" Type="http://schemas.openxmlformats.org/officeDocument/2006/relationships/hyperlink" Target="https://news.google.com/rss/articles/CBMiugFBVV95cUxOOGN0QVpTVi1JcVh5ZWJEYlNtM3IzM0J0THRrcDRjOXJONlBwd3ZvSmMxak9hQi1aamZvOUR5UkZqUXJFd0YzaWxrcExBR3ExZ0tuOTJsekREaEEyZXpIZVlORXZ5d2o2YVcxQk5RVXRhdmhoOGhXRDhlTmtDX3VaVmo2bFoxNl9fUzZCZFp1N0UtbmdQQVpRdUZPX3dIZz" TargetMode="External"/><Relationship Id="rId335" Type="http://schemas.openxmlformats.org/officeDocument/2006/relationships/hyperlink" Target="https://news.google.com/rss/articles/CBMi8gFBVV95cUxPbWVYOEkwd3lwRUJteWQ2Q3hJYTFldU43VzJwbVBmX20yM2F2d3pDZnZKQmlrZXZadFJMdVpaZlBvUjVQMmtZR3R4ZnFxeU5PS093bUVpT0Q5SEdXWUtMUjY5Q2lqNUY4Z3ZsbTQ5RWlRT2VNYVRjV0RlWG14bWZIQ285aFQ1ZUlyVlVzcVlZWlY2OHdnVlZHNDNxTkRIME" TargetMode="External"/><Relationship Id="rId336" Type="http://schemas.openxmlformats.org/officeDocument/2006/relationships/hyperlink" Target="https://news.google.com/rss/articles/CBMiqwFBVV95cUxQNnJwSExCZnExNW1kTmxpdzV0M09iY2tQOTV1WE9OMlk4c1ZlT21LdmFuOGFrUFB2dzJDVjE0WGtkMEtoV1NIeGVWYXFMRlBFekFkVV81VzJjVU5tazROTm4xc253THY3WE53YUF4d3JpdUxqT0FsVG5GTXpQdzktR0ZDbG9ZRXY0d2VKdkNDSWhjNDV6WUZYZ1ZnaVNiV3" TargetMode="External"/><Relationship Id="rId337" Type="http://schemas.openxmlformats.org/officeDocument/2006/relationships/hyperlink" Target="https://news.google.com/rss/articles/CBMirwFBVV95cUxPaEF0S29pNWlsVmdiXy1xcGozdDBNbXFtQzU1T0tqeHBRNm5ONWxlR1p0VnhTMFZqNlZGRVhtUnhNcHh6R2ROYTVjaU9SeDJOYlRXbjd0a2pPNjRrYlQ2REN6ZVlsQm80bzBLeGdlYUkyYk9oLUltZE9ZcnhUcXhtUERpZW4wRFRfV1g2OUp0MU5PQ2w1cHNmWXNLWGN2c0" TargetMode="External"/><Relationship Id="rId338" Type="http://schemas.openxmlformats.org/officeDocument/2006/relationships/hyperlink" Target="https://news.google.com/rss/articles/CBMitgFBVV95cUxObE9KUjJrX1AxeFdBR2RiT0RJb2x4NTJWc0VVR1FxRkhKcjcxMDJ3blo3X1ZiRmlJYXp0STQtSEZPX3lwVTNHTS1oMUd2eHRwZGpsX2Y0VHNSMG44eUpnb1g4NVM5VV90VklwYVpzc1NROVlZLW1XOEJjazdVaGN1RURrMGRTeUVEUTBsXy1KWHNlaXBvWG55YVROU1E1TX" TargetMode="External"/><Relationship Id="rId339" Type="http://schemas.openxmlformats.org/officeDocument/2006/relationships/hyperlink" Target="https://news.google.com/rss/articles/CBMi6gFBVV95cUxPLVNWZXR4d2ZuLWFfdF9OZk5VUVljcEI1ZU1yblJ5N2hKTXU3TTdEYTJ2TlF1YVRPbHptSlBpdkhJSmVlUC0yc1JjaTZpUG5Oa0JNNGpzamRtMnJqSnBsNUQxZ3hTa0cwX1dRNm5DZmpSbTA0amdsc0lCY2JkdlE4Z1dESlZwWXpaYnVQeTJHZmcwMkQ1bi1yVnExZ2pfdF" TargetMode="External"/><Relationship Id="rId340" Type="http://schemas.openxmlformats.org/officeDocument/2006/relationships/hyperlink" Target="https://news.google.com/rss/articles/CBMivgFBVV95cUxPZ2otd01ibks5OWpPamhpbEJUUjlYd1ZBT1hOZ3FWY2Y1cXRoR1R3NDZKRXVmdTR3RW9OS2FBY1U2ZXJzMEpCUWhTZUNmMC1BeXNJaXdjN1VLTzdOZ0hHVEJBYVpydVBfUms1RTAxMlJfbWNWMEZUbVZnQ195ajY1d2JYVThGQU5WaFZCS0k1Y0pGV2ZxZzlNNnU1eDBoLX" TargetMode="External"/><Relationship Id="rId341" Type="http://schemas.openxmlformats.org/officeDocument/2006/relationships/hyperlink" Target="https://news.google.com/rss/articles/CBMiywFBVV95cUxQSVBTclk1cFJMRFlVRHpvb0dVZ2ZjS2VWTWluMjJtYzZEMDVrdXRicS02bFRiNy1GYTZxYy03bkplcXhwRHpRa0dJTjNXSndaSUlMMWVBM0FmVkYtVXdhOWRyOEtXdm1BRXFiaGRrY092RnNKM0VsaEoyc2VfaVVFWUJqLVJPcWZ2RW4yTlFGVG1NNVNQMk1PTE9fT2tCTk" TargetMode="External"/><Relationship Id="rId342" Type="http://schemas.openxmlformats.org/officeDocument/2006/relationships/hyperlink" Target="https://news.google.com/rss/articles/CBMi1wFBVV95cUxNSWZ4T3o3aEh1OC1MZks5ejg4aW5XSk1mS3RYNm4zOHIzYnZrQmV2VlJOVzRPMzF0QmpKYUM4SWJDQk5Ca3dOTVZSWGxiSFVibUhVckNfRWlhekx1OGNGeUt3bjI5ZTV5R0RaYnlIZjJwdlNXUWpyV2ZlQzVaN3pRZ0tZbFBDeWRzNkl6V0t6Si0wdHUyeVppVWxPN3NKbD" TargetMode="External"/><Relationship Id="rId343" Type="http://schemas.openxmlformats.org/officeDocument/2006/relationships/hyperlink" Target="https://news.google.com/rss/articles/CBMiowFBVV95cUxQbjNyZ28tWDR1VGFiZzFTcXJYNHhja20zdTVsLTZYVzRQb1B5OFdtVXZwM1RueGN6dDBnYzBtYzExd1pfTzlXR0hQQW1QQkFTWmwtT3JabVlCbnozMXpvY0NUWlYtR3YtbDdfVHhSNVlLRk04THAxOVFRcGhubWhDbUFwamhydEhPRm5lbjJfM1JLOWhOVldMUjVsMFc0Sz" TargetMode="External"/><Relationship Id="rId344" Type="http://schemas.openxmlformats.org/officeDocument/2006/relationships/hyperlink" Target="https://news.google.com/rss/articles/CBMinAFBVV95cUxOdDFqVVJlaUJZZTVTRlZPU0V4OEFZVGpoTkdsREFTU3R3WVp0QTNJdFRLZHRGcF9DZDhYQ0lXY3pZaUZSRWZoX1VPQTNRRC1aTWdfV2pOc3lOak9EeEFjcGJOeGhBUmhielRJeWFIZmd2MzNlQm9LM0FSSXh3OGdsNXJ0YmV3Zi1YeGNnbkh2Mk14NFUwTGpUTHdhamY?oc" TargetMode="External"/><Relationship Id="rId345" Type="http://schemas.openxmlformats.org/officeDocument/2006/relationships/hyperlink" Target="https://news.google.com/rss/articles/CBMixAFBVV95cUxPLVNUODBCNnhESy15RUJZUlFLVGtpNXZsSmhDcHZBZzR1TTQ0RXg3NmZrbEZUeEkyc2ZORk1rVXQ5SDJ3OGtxWlRRemVFN1JVczRyX2I3dnRfak1mNzQ2ZC03ZkpxUmtYM0gwZzdFOURMcnp3NHVrMnZlcEU0SU4wWVRnZG1STmNZeURyU1AtWk9fWVItUHpMU3BpaDlXMW" TargetMode="External"/><Relationship Id="rId346" Type="http://schemas.openxmlformats.org/officeDocument/2006/relationships/hyperlink" Target="https://news.google.com/rss/articles/CBMixAFBVV95cUxPLVNUODBCNnhESy15RUJZUlFLVGtpNXZsSmhDcHZBZzR1TTQ0RXg3NmZrbEZUeEkyc2ZORk1rVXQ5SDJ3OGtxWlRRemVFN1JVczRyX2I3dnRfak1mNzQ2ZC03ZkpxUmtYM0gwZzdFOURMcnp3NHVrMnZlcEU0SU4wWVRnZG1STmNZeURyU1AtWk9fWVItUHpMU3BpaDlXMW" TargetMode="External"/><Relationship Id="rId347" Type="http://schemas.openxmlformats.org/officeDocument/2006/relationships/hyperlink" Target="https://news.google.com/rss/articles/CBMixAFBVV95cUxPLVNUODBCNnhESy15RUJZUlFLVGtpNXZsSmhDcHZBZzR1TTQ0RXg3NmZrbEZUeEkyc2ZORk1rVXQ5SDJ3OGtxWlRRemVFN1JVczRyX2I3dnRfak1mNzQ2ZC03ZkpxUmtYM0gwZzdFOURMcnp3NHVrMnZlcEU0SU4wWVRnZG1STmNZeURyU1AtWk9fWVItUHpMU3BpaDlXMW" TargetMode="External"/><Relationship Id="rId348" Type="http://schemas.openxmlformats.org/officeDocument/2006/relationships/hyperlink" Target="https://news.google.com/rss/articles/CBMie0FVX3lxTE5BT3UxalNZb3VfZUVzdzRLWXpJT3M5TkdzaU9sTnIwemdSNHdQbXhwcnVtNmJPZFdVcEwxLU1ZWkZmTHVIZGw1Yksxc1Y0ajk3YlNkM3duaW9kVTNxWjUwUjhwMFBhOVlUcXQzUWVSM0pwTHdlSVhhYnFEVQ?oc=5" TargetMode="External"/><Relationship Id="rId349" Type="http://schemas.openxmlformats.org/officeDocument/2006/relationships/hyperlink" Target="https://news.google.com/rss/articles/CBMisgFBVV95cUxPZHpZdEpJN1JERFZXQUJrcU4wZV84VEdKNnJReGl5ZGZKOUw5a2hhV1dxM3liWjFWaWFLdEk3Y0VGbWdaVDhLRndvelpTa2ZoV2MxcVVqMFdtajcwYzJlSFhfRFRzZ0ZvbHdDTHItVTV6bU9VYUM2UVlIMXJoSGZQZUw1TFZSQWdtckFIOWJTVzZDMTVCRXlrMTFfX2tmeX" TargetMode="External"/><Relationship Id="rId350" Type="http://schemas.openxmlformats.org/officeDocument/2006/relationships/hyperlink" Target="https://news.google.com/rss/articles/CBMi0gJBVV95cUxPNy00c2pMSm0tTENselJFRHRPekpPSDhoMDFTN1BxQ19NZ20xTC1LTE1aRTFqNEJzRTJBQ2lnaFBROHNFZ3RIMUJKODdQQ29TZHFhdVMwSkkwaUZVYkxGM1JLTWllTjBSLXlIRXdDYllnWk54Y09VTHYyaWZ6NHZCR0gxMC13Um5DeThfTHNibUVBbVJEYnBBOTRHaXdzVV" TargetMode="External"/><Relationship Id="rId351" Type="http://schemas.openxmlformats.org/officeDocument/2006/relationships/hyperlink" Target="https://news.google.com/rss/articles/CBMiwgFBVV95cUxQVWJkSklUZFpMcFYtNVNySGJZdlZGby0xcUd3dWw3Qi04MVVLRXYwdEdVVmNZT0N3Xy1kd1NaRUFLVjl2M3A4OW0wWnhyblhyaFZuRElyWnJ0M3hhMFl6SV9SQmFDcFd5S0xSQXBIcFFkV1liTnF1V3RKWkNVMFdqZDVNZlBSS2EySXF3VndPekZiaVcwMTZGVzVMcnhMa0" TargetMode="External"/><Relationship Id="rId352" Type="http://schemas.openxmlformats.org/officeDocument/2006/relationships/hyperlink" Target="https://news.google.com/rss/articles/CBMi0gJBVV95cUxNTzZKUXZYMUs0cDUtUVNMWkZ4U2I0WUc0anlzWll1M0pPczlMek93QkMwZzZoQmhkbE1mRkdmdlZvX1R2U2pDZzRObWh0X1BWUEU2NWdjbzNTTlNGYUpSX2N6NGExWFhRdnF0V0RIS3h6UVY0YjFVQkVwOXZ5anFfemoyMWs4MGJWSzhBZTNuWjRWX0l6dVJvczBjZXJqNk" TargetMode="External"/><Relationship Id="rId353" Type="http://schemas.openxmlformats.org/officeDocument/2006/relationships/hyperlink" Target="https://news.google.com/rss/articles/CBMi3AFBVV95cUxNamZMQzFTdDU1M2hyT0dVUGdkdGE4ek96QzMtbV9fX0lqR202dVpnTHBNS0dpN3RHUkh6WFFjWVp3bjEtQ3hVTTVIa2N2S193ckxNd2dHU0ktamo4TkhvTHRJWmVpLURhd215aUVnejVUd1Etb0FFXy1vaDlXM2lmVDFFWjlsVWE2ZzJmd3R5dzdDX3Z6VC15MzRMZnd5ZF" TargetMode="External"/><Relationship Id="rId354" Type="http://schemas.openxmlformats.org/officeDocument/2006/relationships/hyperlink" Target="https://news.google.com/rss/articles/CBMipgFBVV95cUxOUERQMW15N3pQSG9CVzhydTVRdUZuSXMyOVhmdFZ6YXFxTngybkZGbmE3ZzZtYVA0Zk00cHZlZTlhWm9aRk9KYVpOQ3hvMFhzQ2pfQmZ4OFBDbmpFLTRVbHhkS3ZMNmduM0tiZEI4aFFwOFJkSDVZYUxWYmVaRFgtVnZzVzVSZkdsLUhDdXpDNlBaNlBqamtmVkRLY3JlT2" TargetMode="External"/><Relationship Id="rId355" Type="http://schemas.openxmlformats.org/officeDocument/2006/relationships/hyperlink" Target="https://news.google.com/rss/articles/CBMiswFBVV95cUxOWDZfcHZfVDRIOEFjTEhlWjBEc1NkMW5vR0JtOGIyT1BIUWRMSUttMXd3RF8tdXN4WGdieVIwNFNFNW91Z3l4TFRuM3hGNVJxeWhHY1h1YlU4M0RhRUhVbWJ5eS1zWDg4MWNTSXByQUJ1eVRONDBzcEF0UWZrbHRPZFI2MkpreUl2LTdOTi12YVZmeERXYWpsVWNfaFJTZX" TargetMode="External"/><Relationship Id="rId356" Type="http://schemas.openxmlformats.org/officeDocument/2006/relationships/hyperlink" Target="https://news.google.com/rss/articles/CBMilAFBVV95cUxNNXRDQXhONUUwYXV6Uzlqblg2WTdZUUZueGtMcXlOeFdJY2hocGxIWmhBd3p1XzFBTEx1aW93OG5LVEZ5bFdNUHgwQVpqd2FpQkJpTEdieGNidkI0ZGZnekF3M1kwM3loVnlycUFMUVZBVmNhNHlhY2hmbmNmdjNuWmhSeExnTHl6bmktSm12aVJVakps?oc=5" TargetMode="External"/><Relationship Id="rId357" Type="http://schemas.openxmlformats.org/officeDocument/2006/relationships/hyperlink" Target="https://news.google.com/rss/articles/CBMi6wFBVV95cUxQc01hYzhJdU9fejZadlVfc1AzMXBkMTZhSy0ycndNNzRqeHRuRk9XS2UwTWVadmZMTjBqZU5RbDRTUHZVeGVPZzhJYU5veGFJallMOFJiZ0tibmpxTDVLb2VCQ3dvRXpER01jNjJCQVY4RjMtLVFfREc1eUUyUmZCR2NxYXk3MTFheWp6d0U4N1VMaDRhUVhKSlFzdFRGQ3" TargetMode="External"/><Relationship Id="rId358" Type="http://schemas.openxmlformats.org/officeDocument/2006/relationships/hyperlink" Target="https://news.google.com/rss/articles/CBMiekFVX3lxTE1PUElMVUJTanctYmRlOUU4MDdjSEJZR29mUEhMR3IySzBpaUZkaHZIUjdqREZ4cGZyamdQWjRwdE5zVlhsdExWU09XdG9TZThYZWticGttMEVSUWdxTEdKbllid3puMzJ6bVJrOTVOdmxsa0k4STFaZmJn?oc=5" TargetMode="External"/><Relationship Id="rId359" Type="http://schemas.openxmlformats.org/officeDocument/2006/relationships/hyperlink" Target="https://news.google.com/rss/articles/CBMimgFBVV95cUxOZlhjSXpHX0h5dV9BYWMzWVdMXzJTa05MeXd3YmtRRXV2R1dXLUxhSmZFaFhpeU9Sb05PWS1KS3ZWU1g2d3RyRmgxVVNicWU4NDhhSUtWS2oxZVI3WDhlWnhfbjJWeWRGSE40QjlvbVlhUDJTTzlDS2VPOEh3U25EWG8wMGpzN1RuaVBDWVRHaEFtRWNZSlBuSjJR?oc=5" TargetMode="External"/><Relationship Id="rId360" Type="http://schemas.openxmlformats.org/officeDocument/2006/relationships/hyperlink" Target="https://news.google.com/rss/articles/CBMijgJBVV95cUxOd2lvdGpHX3dLd2IxLUMtbU43a3FRdGktQXNoeERwR1pBSDE4SjJIVG1EOEdEZ2l2cXhGTHFmMHIzVzlwZ3pERFhpRlpMUG90MlE5Y01GQlRRaTd4ZXBjdWxEcVE2R3VqYUtjYUhNb3F1T3VaVnJ4Mk9iN2UxS1Z2VlkzTXlQRzNfVU0zT2xuVWE0X05na2JDenpMU19YX0" TargetMode="External"/><Relationship Id="rId361" Type="http://schemas.openxmlformats.org/officeDocument/2006/relationships/hyperlink" Target="https://news.google.com/rss/articles/CBMiqAFBVV95cUxNRkwxNHg0ajdnTzNUVlFEcUp2T3pXeVNRWUdlb0pqdU5jU3VlRm42R2NGRF82VnBvcFpVMGw1V0R6ejhzcEd5RC1XbFBDd3lNaDItLVJVU2JiYWRYMUlMcWRrallGOWcwVmF5UkUtT0U5ZHRzNEtaWk5Pa21oa3U0STZRUFJRZWxucUtjLUgwcmVpSzRNQjBCZWt0WTk5TF" TargetMode="External"/><Relationship Id="rId362" Type="http://schemas.openxmlformats.org/officeDocument/2006/relationships/hyperlink" Target="https://news.google.com/rss/articles/CBMi6gFBVV95cUxPblJLWklvRllrUlV4SmtHWFFyNUVONS1oLWw1UTVVeVkxdnBUYXBMLWRWcWJhTjdpczIySDFtd2NqZzl6M2VSd043eFRrMEdyOU1OTXAyYVplSG02bFgzSFFKOXh3ZWZGenBGZjZEREgyTEpPbHVpdVgzaGJDeGF1OTJfMC1TR3h6TDBJNnozSll3VkFTWi1WZEpiUnM5Vk" TargetMode="External"/><Relationship Id="rId363" Type="http://schemas.openxmlformats.org/officeDocument/2006/relationships/hyperlink" Target="https://news.google.com/rss/articles/CBMipgFBVV95cUxOUlVRSnhQMXBub1NfYnUzdEdQLXVWSWVncHZSTFBhLVNrOTI5czJ4TkdSSGdGdUQ3ajV0czh4MXdDTFRUNllKdVNoRXkzLUNkdVRWazRfN19LNTd1dE9pdjgtdEFpUzNLQXJ5bGNyY1dRYjJRdVJ1dFFoZWxnaVdxX0phVEpqR2pjUTBmX25aYU5rQWJwbGZpejF2Zmgycm" TargetMode="External"/><Relationship Id="rId364" Type="http://schemas.openxmlformats.org/officeDocument/2006/relationships/hyperlink" Target="https://news.google.com/rss/articles/CBMijgFBVV95cUxOYVlUZjJnTXBSZ3R0LVBzejFUcDQ5MklPeURDajNjR3BNLV96dXlDYU92U0QxTnlIVG92WE1oTlNOQW5ub0NNN2tRSzRzcGo2NUREdk51cFo2UW1oajN0akNBWWFuNFBZREhTdUg4d1BrTjgwb3Bua3U4Z2JVektQeG04NEVzNS1NS1VaR0Jn?oc=5" TargetMode="External"/><Relationship Id="rId365" Type="http://schemas.openxmlformats.org/officeDocument/2006/relationships/hyperlink" Target="https://news.google.com/rss/articles/CBMiugFBVV95cUxNQWtDVHJHUkY2Y0pOQWN5VnVBZmp5SDBTSEZYU2FxenFicnBOSTN0cXdGaThIV3NRMVlMTnJEZjZ1VWNNNC1tdDBad19idjBDMEZhLW9INklJU3E3cVp0cllzal9VTlNGLTBJZF9Wb01qa2dTVjIyVHlkMVRlUDhEMXg4ZlBVUjY0d3JnRTJvUkFsUWJtSmw5ZERhY2wtUX" TargetMode="External"/><Relationship Id="rId366" Type="http://schemas.openxmlformats.org/officeDocument/2006/relationships/hyperlink" Target="https://news.google.com/rss/articles/CBMi2wFBVV95cUxORXZ2alBCTVk2UFpOSTl2cTFOVXZKYzlVN1hQRHdGYlduUUNnSkFQa2h5clY0STRQd2drUkE4c0R2ZFBpYzVPVGVuME42OGRvbG5qX0VOaUx3MnlZYVlxTDR5V2ZBdXAwVkRVWGg0LThUWFhMQTBVNS1CYjBuNEl1MGp6a296Y3RHMWJacGVINmttdWNIVkFPS09TbnR1Q3" TargetMode="External"/><Relationship Id="rId367" Type="http://schemas.openxmlformats.org/officeDocument/2006/relationships/hyperlink" Target="https://news.google.com/rss/articles/CBMi5AFBVV95cUxPaU55akhYWUlvd1JydmVJTFBVOHozbU51S21hOG1nZ1lYMkkzMHRqT1c3Z3RWd2V2a3k0NVJMR1pFZlhZUGhzSFBUMEtaZlk2eG9lVDdrdHh5MV9WOGtxUEdVMnhxZ3hKcGFkUXFwSDBTMExLSW9HOWxobmVVZ254YUlKSGNSdEI2VllBb0RXcUFPUzR2NmNsdmxRb1o1SH" TargetMode="External"/><Relationship Id="rId368" Type="http://schemas.openxmlformats.org/officeDocument/2006/relationships/hyperlink" Target="https://news.google.com/rss/articles/CBMiygFBVV95cUxNRUZKSEdSN2FQZjBJWjVMTDhoc2hhZHpsbEJCN0ZocVlhVEwwV1lnRGRUUTB5QnhYVDYtaUtfS3otSk5ZTDhURHJDdVpldFBSejh5Y1NSNzlTWklaa2dQUll3OERMLTlLVy1KWG9xVzY1X09lWDNjXzdWS2dmMWFSRHVKZEhSQmRrNnB0STk0d01zN0c5Y193OExWdTlrRm" TargetMode="External"/><Relationship Id="rId369" Type="http://schemas.openxmlformats.org/officeDocument/2006/relationships/hyperlink" Target="https://news.google.com/rss/articles/CBMicEFVX3lxTE1iRWpBNTBLM3UxUGFMMFY1U291NW1HOS1hUjgzM0I4bHBVWEp4MnNTTkpUeTNEcWNsOTZoVndWZ0RBZWRSSWRTZGdKNENSVUZfQlBybmhQb0xTNFZHZnd2SDlFR2pNa1hidVI0Ym5iTG3SAXZBVV95cUxPMmtGVDJxYTlEal9pUXFZNXJqUFhlZDIzSElPRkNKY3RpNW1JTD" TargetMode="External"/><Relationship Id="rId370" Type="http://schemas.openxmlformats.org/officeDocument/2006/relationships/hyperlink" Target="https://news.google.com/rss/articles/CBMiekFVX3lxTE5SejFFUzU5cXMyMjdUZW9rM1R0Y0J2Q1JUUGVxZVhjZTVIeHpJcVRoWHBYSlZ0WFltaWpOS0k3THFpcGxJZXBVN3hIUmxoOWNHLTlCYzZUYTNuN2JuQ0hBdHpFUWNWd1d1RGxnV0ljRW15eDJiUGFYQS1R?oc=5" TargetMode="External"/><Relationship Id="rId371" Type="http://schemas.openxmlformats.org/officeDocument/2006/relationships/hyperlink" Target="https://news.google.com/rss/articles/CBMiigFBVV95cUxQemQzeGdTaVVpR2tBN0hIS1B2Skpad2JCS3RhMUxWV1NIVFN6NDZ0OUY1Vmk1OUtDLWtlY0ZHX0JGdHd0QzYwNmZyX1Z3SnFfY1Z1MXQzVmJPSEtQcW1ScHBOMHp3dWlobUhpN2dMSlVOWGI0TEYzU01SQjNBendMcWlPRHNwekRfWmc?oc=5" TargetMode="External"/><Relationship Id="rId372" Type="http://schemas.openxmlformats.org/officeDocument/2006/relationships/hyperlink" Target="https://news.google.com/rss/articles/CBMixAFBVV95cUxOMXpMMy12ZzFnN0M1STExSXIyamU2bGRvckJVUUxmUm5HZ2hMMmNWUFpoRy1tVUtvbW9iWlJlVUduNlp5Z2tHYVZDa2NHSV9udHhsWENva3E0NmhtZHVWd2dtVVcwZ2lyS0lmUXFFUGVEenpJYjdSbFc3LVdOb2x0em41aHpTc2wwaEE1QzRsdU1hRGJtaDdDcXIzcHg0Sz" TargetMode="External"/><Relationship Id="rId373" Type="http://schemas.openxmlformats.org/officeDocument/2006/relationships/hyperlink" Target="https://news.google.com/rss/articles/CBMiswJBVV95cUxNTngycHF6NU4zM3dFMm9lRzE1dmo1MFNSSE5peDJQd1RuQVNoNGVkT0RPdE0tVU9XbWJwMTA2TUFhUllkaV9wRHFjWlNkOWdGb1FfNmlVVHdkUy1uOUEtYWhkdlVmcmJPbTYwZ0dYZFFXUlJ0aDNwaXRCZ0Z4VW9mc1o3dzFxS2phZDdwdV9UWS0tVllJakMxNGpodVRaSF" TargetMode="External"/><Relationship Id="rId374" Type="http://schemas.openxmlformats.org/officeDocument/2006/relationships/hyperlink" Target="https://news.google.com/rss/articles/CBMiwwFBVV95cUxOREhESDg0TlBXb3A1RlRJY0MtSWhkSm51RFZiUEVaTlNucVpWM05sRGM2LTFRV1hEVTBmODJsQXZIaTJRSEY3a0tadWsxYThyU3pVVWZ0NC1jc2s0R2tNckpudzdKMWxyd3RBUTUxRERnMmtSU05ibWpQSzFRbzRQeTl2NVRDUC1UXzY2aWFqM3E0bVhOMnlrTjJuTE8wR3" TargetMode="External"/><Relationship Id="rId375" Type="http://schemas.openxmlformats.org/officeDocument/2006/relationships/hyperlink" Target="https://news.google.com/rss/articles/CBMi2wFBVV95cUxOSmE0WlFvV1JpUmhVQm12aE1uX3RhaG1WWWFNUmV2NFExeXhxa0ZLTURLZHN3TkVGLWVRMTdIV3FjOXdScGN4YkR4dC14VmpSZFVVRVRxNjZQV1dtbk5LUlFmcDMxQkJleHBJQVNJM0o1Um1jZGFTOFNMSGZCY3ZmLWFwTV9XX1QtOHdqVUwtUmpLLUJCSHhGRjl6RUxfdj" TargetMode="External"/><Relationship Id="rId376" Type="http://schemas.openxmlformats.org/officeDocument/2006/relationships/hyperlink" Target="https://news.google.com/rss/articles/CBMikgJBVV95cUxPZnp0M3ZyNlFLUFFqbC1iRnJDd282dmlMNHJVQU5qRjZXZFRtNzlPSzRJMWpjWkduQXBWMGxXeXAwQnlyZW5GZVY2Q2xja0t3ZXBteUVuSWpHSE1wYnI1LXRsVkJqSU14bjUxMU90c3A3N0U4MnViaWFiTXRvT0piQnA1QmRNU1BPZWljdDdsZjA0RS0wbW40ajlsbFRHWG" TargetMode="External"/><Relationship Id="rId377" Type="http://schemas.openxmlformats.org/officeDocument/2006/relationships/hyperlink" Target="https://news.google.com/rss/articles/CBMi7gFBVV95cUxPVGd0aUVHdnJrRWY3cTVHSGJYNFVkRDA5VGtNWkM1SXNIZEF1cFhrb2hVcDFYVDJHcEhjRWJuN1RBREM4dXBDUXV4UDhYenNCcDlkMjZIcldMRFZqWlppc2ZEOE9YUUFGOHRJOEthSUNNOGZsS2RTam9GM2hUT2F4XzdfbkFUajhMY29mYlU3WXl0cUR6OTVUOXFueWw0Nn" TargetMode="External"/><Relationship Id="rId378" Type="http://schemas.openxmlformats.org/officeDocument/2006/relationships/hyperlink" Target="https://news.google.com/rss/articles/CBMi0gFBVV95cUxQMGpRSXF5UEV0VWpUUFFFOXVzY1AweGdSZE5hMEhvaXZpeUdoclhwNXpGVEs1U3hRSlBUb0FhVFZLLWhWVDZLWGpBVGRGRjhGZ2ZHVnZOdTNYNXVBZHJWd1J6RjMwMFBrcnhnb3FrWGRkNzBUSXh4OUtQX09fYzNrT1V6UkF3RnV5aldfQUo5T2N2ZlZkMGxxal96ZVVibH" TargetMode="External"/><Relationship Id="rId379" Type="http://schemas.openxmlformats.org/officeDocument/2006/relationships/hyperlink" Target="https://news.google.com/rss/articles/CBMilwFBVV95cUxPcHNEZVI1Zk5XNl83MDFXQTRPb2ZsaElUelEwNGYycG82V3lKYUVxNFI4b3hQcFZKVm5oS3FWakIyUkhNOEhCTG9vWW5oTEJNTk9acTlIVFVpdU5pdjlHVUJlQ053d2tIb2ZpTmNsdDkwWXR3aVdJU0pQVVFFQ2pVSHVOR0pjeG9DSWc3UnA5VGtXR05jS0Zn?oc=5" TargetMode="External"/><Relationship Id="rId380" Type="http://schemas.openxmlformats.org/officeDocument/2006/relationships/hyperlink" Target="https://news.google.com/rss/articles/CBMiigFBVV95cUxNbFZtUzl0ejlHNTlEbXJxOHBsQ2xuc1Vyb2FlTDdlUFpqLXhtM3JfRWhtSVhYUE82VXRGSXRQWHNPN2pzd0dJbkp6SnNZMDVheS1mOUhBbFpMdTZtR0FtUHFEcGZqZkM3bU9idFZxLUdrcDFWU3p4ZDBkUTJ5NmJEemFuOWdhc3FLYlE?oc=5" TargetMode="External"/><Relationship Id="rId381" Type="http://schemas.openxmlformats.org/officeDocument/2006/relationships/hyperlink" Target="https://news.google.com/rss/articles/CBMiugFBVV95cUxQaXN3T1ZVR3dLTXh6QUhvcUZmWF9MY1pQYk5GaUxXV1hsRGg2dnJYQ0JFM3RVSEVRblpLWjhobHUtLUZZWTZXc0RoV3lSQnplUFBYVV9EZ2kzbGVmWjNZWWJ3NXNyaVlnSE1mVEt0ekFDM2loU2hoVDU3bzdPVVdpU0RIbFhtTXBVdmRWYlRfZ2xsQXMwcC1ValFLaVRDU0" TargetMode="External"/><Relationship Id="rId382" Type="http://schemas.openxmlformats.org/officeDocument/2006/relationships/hyperlink" Target="https://news.google.com/rss/articles/CBMikAFBVV95cUxONUZaSmtpZm44Rm5EM2l0VWhEbDAxN1BFSklWRDdEWFFTMGc2akxNSzVPVGlNNTQ2X2FwcWV6dzVFX1pNVl9yd3V6Wm1vSUlicmxSZXl5WW1vcmQ0NDc5QjZqZjJTeS1Eam41Qm8ySDVVVWRRZnVDalltcFVjRGVnQThrVG80XzVPYThYZ21jV1k?oc=5" TargetMode="External"/><Relationship Id="rId383" Type="http://schemas.openxmlformats.org/officeDocument/2006/relationships/hyperlink" Target="https://news.google.com/rss/articles/CBMitgFBVV95cUxQbHM4dWxwZ2IxMWVlc19JZVp3b3c0UE0ydG5WZ255TmZKLXYtSEpWLUdtQ1k4N2xiQms2ZGpEOXh5YTM0eUJuTnk3OVB0RzRaUHBlekFRWmUyRmpfZnlLUHJ1alZMZnNSZVpzb25TLW1FOFp0b3ZlM0lib2h0d1FRaEpaRGY4TVpjRnFWeEg3dWJ6a05PMjZVOE05SVh2SH" TargetMode="External"/><Relationship Id="rId384" Type="http://schemas.openxmlformats.org/officeDocument/2006/relationships/hyperlink" Target="https://news.google.com/rss/articles/CBMilwFBVV95cUxNSTJaZGVEbXZXRGZhRlBtRUpZYmt3QUxIM0ktR0lNZVpWQTlMM1lhZ0hPdzdnRF9YRkdYUHMzNk96QzRMWWdaWFlraW80emJUekVsbm55MFRvS2N1LXh5Z2dOLTYwcjNPTkpOYzQwMlRzTFFpZ3dDMldMc1c1R0g1YndXTy03OURrNVpqcHRrVDkwMEZFUGhB?oc=5" TargetMode="External"/><Relationship Id="rId385" Type="http://schemas.openxmlformats.org/officeDocument/2006/relationships/hyperlink" Target="https://news.google.com/rss/articles/CBMid0FVX3lxTE1ZUmN5NE5JcGRnUW5sZDlqWlhGUWZBdHFZYTJYQXdzay1lcUxFVm5RLXlQS01ZalhONjdSZWRLS2JTam1VN2pHYTd1b0E1SmYtbHJFeW1RbWdtQWtteGVudDVQbXhUWEVJSlplUXBJUTY5ZjhwaWFn?oc=5" TargetMode="External"/><Relationship Id="rId386" Type="http://schemas.openxmlformats.org/officeDocument/2006/relationships/hyperlink" Target="https://news.google.com/rss/articles/CBMikwFBVV95cUxNcmlfdzk4bFM5UmRVNHlza1FlLXN6SUJ3YlZHNTZtRm9KTUJpdFVNWVFIUW0teVJyMjl3S1djZEdLaVN4blJ4OTNyN190Vl9KblJGTy1TTU1CQ1dVbEJCOWpmcV91dDVsSWxFcjZLMzNxeWFTYmRKUzl4bHZUTjBPSVpzbGE1b3p0eUNfWnMtVVpiZjQ?oc=5" TargetMode="External"/><Relationship Id="rId387" Type="http://schemas.openxmlformats.org/officeDocument/2006/relationships/hyperlink" Target="https://news.google.com/rss/articles/CBMitAFBVV95cUxNMDlLZ2Zub0ZjUlJ1VXpwY2lCYXlELUFIQzZjbXJCOS1PeVdEVXVPSXVqNU8yZ1dXQW1YR0UyblJ1X2VPNXFXM3IxYzZIN1RiMF9LWXJEcDlzdzJvR0VqMm54OVBmMnZDV3RhN3liTXpYS1lHU0xOcUljR1NLWmFNVUVfb3hTdTJzVkl6S2YtaDJVbHFQS2VzT29DbUhvUk" TargetMode="External"/><Relationship Id="rId388" Type="http://schemas.openxmlformats.org/officeDocument/2006/relationships/hyperlink" Target="https://news.google.com/rss/articles/CBMikwFBVV95cUxNOU5QcTRzamhXSnVONDE2UHZTYXdITFQxLVkwX3JGU1pQS0JibXdINERhWHNobFhBbEROQjhWQ1BZTnRwODNCUGFUVjU2VUhsTl9PMlhkazlFd3VVOE1VLTJIWXpPVF9JQ0cxZWpXcjVQMUUxSnR4WklQQzBVa0tpdFRWVEF4eWNSTW5jbXY2bFViYk0?oc=5" TargetMode="External"/><Relationship Id="rId389" Type="http://schemas.openxmlformats.org/officeDocument/2006/relationships/hyperlink" Target="https://news.google.com/rss/articles/CBMivgFBVV95cUxPWWh4TXVTd1ltblVhSl96RXI4TnptSV9Va1RNNjc4b1c3U2ZsVTRiMV9fdkt6SFlYRHM3OUtySUM4dlVZRXN6bnlNbWZHMFlhb3NYcFM2clVvczZfcG0tYnMtWmJDLS1wM0lfMERuR3BCOVNDQ2Y1dHNoa2MzUGUyNWVmZFJQU0g4cXNPRVc1UjBPOEUyYm5EUDluU2pYeF" TargetMode="External"/><Relationship Id="rId390" Type="http://schemas.openxmlformats.org/officeDocument/2006/relationships/hyperlink" Target="https://news.google.com/rss/articles/CBMisAFBVV95cUxPcWVQOXRjZEZPRTBDWUJybWh2dXQ5R1V0VGlwa3RxVDg1V2ZLUzdyOU0xd21NMEVDejlBckRDSGNlR3VVaU1OZkROV0V3bEVSN0paUllScjhmejBEZ0dsX2NjaE5PQ2haaVpLTUdQZXpsbHhIaVNUckVLa0cxRUdoSHE2YjhoRFI4R2s1c3JmdkxVazlZZm5wWURHSDBtc0" TargetMode="External"/><Relationship Id="rId391" Type="http://schemas.openxmlformats.org/officeDocument/2006/relationships/hyperlink" Target="https://news.google.com/rss/articles/CBMipAFBVV95cUxQenVJRjM3WGR6RU53SHE3N19taXZRSWM0TDNuSkJkZEhodFhsVGs5OEpBLXMzUWZYQmstSk5DZmk3MzJBR2tyd1ktZ1dzaGVBTlNKam44T2Zsb2FEcnA5WXpWeGp1ZU5oOE5NUkNJc0ltT0hnbDVRRC1ZMzFlbEFYZmd5bTFsR0lIaXQ3aXgtOG9JdG54YWg0RGlrSEpfUD" TargetMode="External"/><Relationship Id="rId392" Type="http://schemas.openxmlformats.org/officeDocument/2006/relationships/hyperlink" Target="https://news.google.com/rss/articles/CBMizwFBVV95cUxPSWpWa2N2YTRlNzJxVW14Yk55MVpzLUc1VWxsM3p1RUJLX1dMby1sM2pqX1c3aEg5WlpDYktFeTVUa1BuWldTdkNzejY5VUk2VG1jOTBUbFpybXhfeExHWV9wMnNrNTBGSFU0NURRRmRiRGd1QWNlOC1XdzFwVnZfMzdfUXVhUDBwUkNuTUsxeXhrMDVucm9Pay1PWG5RVW" TargetMode="External"/><Relationship Id="rId393" Type="http://schemas.openxmlformats.org/officeDocument/2006/relationships/hyperlink" Target="https://news.google.com/rss/articles/CBMi3gFBVV95cUxOTVl6ZDR6QlAya2J3REZ1ZmQ0aDNDMGIyZnM3OHktZ2VDMTREWDRZVmRYcU00NzhaeEM3dnVXQVNMSzc2R0oyRk52aDBFajN2RzE2UzFwQkczVHJkTm1ieFNfWFdzT1IxZEYwNEhicWs1bW9zZVFHU0ZkREZaSXdtY1RTYmZIeC1id29MT1lENGp1dTVqMUF5b1h1d3dtdU" TargetMode="External"/><Relationship Id="rId394" Type="http://schemas.openxmlformats.org/officeDocument/2006/relationships/hyperlink" Target="https://news.google.com/rss/articles/CBMi3gFBVV95cUxOY3Y3V1pMR24wcHdwU1VJVFlVRVJvS3hGbEt5VTlTZF9uUGh3WkFXdS1fRnIzcC0yckVza3lPRnU4alN6M2RQYzc5dHdHRGRySm04WnA2YTJITjlvRzZiekxveHJNUVBpeEdSUmNiaFpsVXZwZklZaGxJOTFnVEFzVHExY3hmQjd3OHJsOE5LNEZBc3RoTG80YlVzekFZeD" TargetMode="External"/><Relationship Id="rId395" Type="http://schemas.openxmlformats.org/officeDocument/2006/relationships/hyperlink" Target="https://news.google.com/rss/articles/CBMiswFBVV95cUxNTC10eGdOUWpGSTVKZ1FQMW9XTWdENllZdTk0eUkwTjVsYXRzWUM1bmV4N3BIZ28yZ2hiLTdWMkdGTFJqbUw2OF9uSjJwM0VNc1VhVHFTdEdZcnpFbHpqcEZ2c1JZc0VXbzIwVkRrc0RqOHFSSzNRWTBkbUpWemdtNWhxX3FVQWpNczhvUm9RaHN1WWJaMVQ3b3hVeGJOcF" TargetMode="External"/><Relationship Id="rId396" Type="http://schemas.openxmlformats.org/officeDocument/2006/relationships/hyperlink" Target="https://news.google.com/rss/articles/CBMizgFBVV95cUxQeGluaDJJZlpyNHhtX1BUTHRwQXUxZEZmYlJOeWxFbzdWM180YXJJSzNOVWZxSnk5MFdfalRyQ2tMUEc3UmUyTlBYN0M1ek02dThJWERiOWd4YmJtZk9LdlUzREhjUlE2UkZ5cWtLaHJEWWp2QWlwRm9fa3YtVGVNekJjM3dyb0hHblI1clNyejF4NHVkQ2Itb0N0X1pabk" TargetMode="External"/><Relationship Id="rId397" Type="http://schemas.openxmlformats.org/officeDocument/2006/relationships/hyperlink" Target="https://news.cnyes.com/news/id/6636941" TargetMode="External"/><Relationship Id="rId398" Type="http://schemas.openxmlformats.org/officeDocument/2006/relationships/hyperlink" Target="https://news.google.com/rss/articles/CBMitwFBVV95cUxNTTZvcG5wUXVZTzV6VUhSaFAzaWRNdjlzNHhSMkFud0NxOG5TRk1hQ011Q0hEMFhLMXk4ZjdwaENVdFlQeFE5R1Z4Wkp0amxpVnFCMTRPakM2SlNrODd0TENQeGg4cV9uX2dENks5UFZYdEhIN0FvbWNvNl9VS0lCbHM3Nnc5eXNSb0VUQVZNRWhMdmFhdWJLT0JKQjhVdV" TargetMode="External"/><Relationship Id="rId399" Type="http://schemas.openxmlformats.org/officeDocument/2006/relationships/hyperlink" Target="https://news.google.com/rss/articles/CBMivwFBVV95cUxQZW9RUHd6WkRrbDlpT2pKM1NMM3VPMUhjcXg4T2NvNEE4V2lsM0ozbEpaOXZGMHZmZEVrVjliMjBvZnRiRzF3R2FEVTlEQVFCVThfNWNzTUdfY3RnV0JkRUdmOEhsZncyQnJjNTQ1LVFnNnRNcUZyMnhyZFNqSTVhSUZvSVl1cjE2T3RicWZxREdpSG11WEZ4aDRraUZ2aV" TargetMode="External"/><Relationship Id="rId400" Type="http://schemas.openxmlformats.org/officeDocument/2006/relationships/hyperlink" Target="https://news.google.com/rss/articles/CBMinwFBVV95cUxOUlN3TG1GZVdIYV9PSHJKbG9kX3BZVDNBYkRiLUlwNnYwQy0xWW5kR25EbE5pTGtlazBWdlFWaWFfSldEejQ1UjhvX2R2b2FJZktOV0NWNnBfR2tiaEY0bm8yOUhNRm5vbUhzTGVNRzR1THQxcHJSbjJiTXVlYTJObGJlNWthNUtHRmN2aUNZZHNMNWp6YjBfU3RmVW84VT" TargetMode="External"/><Relationship Id="rId401" Type="http://schemas.openxmlformats.org/officeDocument/2006/relationships/hyperlink" Target="https://news.google.com/rss/articles/CBMiygFBVV95cUxPX25aMTdSMHA2NGltdU9BSDZ3NTI5XzEwR3pqSDYzYXBJR1ZTRjRHejlTeGhoNDZLTVRkX2FKTmFKMHhacUxIVnNlQ0l0MDhaLXAxeFh4YkZwVmhLdVk5SHl0VjhkNmxPRmNYQW5ZcEt6ajMyUkVxaGxfTjlNaXpUVFJzdXFuQm9idi05azBRQ050ZnU4OV9WTWhrenJDcV" TargetMode="External"/><Relationship Id="rId402" Type="http://schemas.openxmlformats.org/officeDocument/2006/relationships/hyperlink" Target="https://news.google.com/rss/articles/CBMioAFBVV95cUxPZjNaUnRVZjFrVjhEMThBeVYxUDA4Vjk5czJPdXNkZk1qbU5NMV8tQ3FtbzdJbi1meG5UNnJUUWlmN1lYcVJTZ2tqU2ZmUHBPVVFDM3I1cFI2ZV83eS1pTXRIdXduOUVFc3M2ZnBWbUdnTlpHQjVrQlRHd1NOOUE2eTYtMmV3dW44N2JhOEZta0lOTV9mck5qUWp1emZBWF" TargetMode="External"/><Relationship Id="rId403" Type="http://schemas.openxmlformats.org/officeDocument/2006/relationships/hyperlink" Target="https://news.google.com/rss/articles/CBMi1AFBVV95cUxOLTZyT3Q2RFRxVEJfTU9fNXEtaXZrVXE4OE1aVlpwUGZwMmlnTFlaMExqbVJJaWJfTGFfUHEyRDNQMkNOaFRXOU5aYTl0RFlFNGVoZWxlTWNGTUhZR2hXRnE3b3RNVlNzTi1NX2hxUF93Y25RNHFGQkM4NjVwcENaMXlUcG5ZNHMtdENpOWtQdkFRZEk3VE94aElBOVJ4dk" TargetMode="External"/><Relationship Id="rId404" Type="http://schemas.openxmlformats.org/officeDocument/2006/relationships/hyperlink" Target="https://news.google.com/rss/articles/CBMif0FVX3lxTE9laGtBTm05UEE3eGs5Q0Zad0xBa1FKRW9jMmZsSkhnb2RnRWswazhORlFYdFFscmplU2x6c01OQmxheVRmNFVEbFVwSEVLMXBzZjhWNnkyVEFtV1JrQWYyVnNrOG9tc2pLYkIwYmR5YmVncWxnQTY4MjBHUWlacUk?oc=5" TargetMode="External"/><Relationship Id="rId405" Type="http://schemas.openxmlformats.org/officeDocument/2006/relationships/hyperlink" Target="https://news.google.com/rss/articles/CBMipgFBVV95cUxOcHZNRE0zWnF1bC1MRjJkNjZtOVRlbTVOZkJXTW5wRVVJM1N2bmF5TVM4UnpGbHN2ajlSZDlLWDdlNWZVejFRVEdzY0g3bW9GUkhwNHM4M1hkV1JRVm1YUHhjdzRVNjJTY0xhaDJGWEJ1LWhsZGRQNkFuLWNnLWxYa0tybzVPRkVXQ21Yd1lUMGtaTnBOTzU2NlFIVHB2Tk" TargetMode="External"/><Relationship Id="rId406" Type="http://schemas.openxmlformats.org/officeDocument/2006/relationships/hyperlink" Target="https://news.google.com/rss/articles/CBMisgFBVV95cUxPS092cnd3TDE0NTh1Z0N2bjlOaTM0OThTZUZXbFg4UVJjMnZnaEFOQmVLd09zNmloMHRLTnBINDRUNzQxWGpOQndtVk9iUG5ISzVXYXFzUGZlVmZYckt2ajY0dW9hTUZIYy1KV2t1OVJ5ODVMRXRVRE82LWsyMkNGNEx5YnlVTjJ3STdDM2d0aE5nMmhrbHExQnM0bTdlS0" TargetMode="External"/><Relationship Id="rId407" Type="http://schemas.openxmlformats.org/officeDocument/2006/relationships/hyperlink" Target="https://news.google.com/rss/articles/CBMiZ0FVX3lxTE9BX0tQSkk1VzlYeTVnOElwMDhDTHVjWUNhUlVhT0VFVHF3bWcteFR4TVB5bWI1Smdka2ZVdzh4WDd6Tlg4TjdxbU8wQ09BUlBVMFBDRmgyVzZsckt0T0NIZl9LV01UdTA?oc=5" TargetMode="External"/><Relationship Id="rId408" Type="http://schemas.openxmlformats.org/officeDocument/2006/relationships/hyperlink" Target="https://news.google.com/rss/articles/CBMi-wFBVV95cUxPa1lOTVN6OUxZLVhPQ2MyREVUamcyUHdsbWhzWVhkbVBXWl9oUG95VlZzSldENWtCRVhoczUtbVRybWF5WlZUTWtMcUxyaUZyMjItVlVmMVRVVVFRMmY2M2t4Z0ZVNlJLUjJjVzBkUERkSGYtT216T05XQk5SdVh5bjBPcjFoSGRabFlOenpnYU5hZlJBMGlPTkgtUTVGQU" TargetMode="External"/><Relationship Id="rId409" Type="http://schemas.openxmlformats.org/officeDocument/2006/relationships/hyperlink" Target="https://news.google.com/rss/articles/CBMizwFBVV95cUxQS25qVmpiZ3VpaUhjMzVYQmhLcWdtdWRWdWppSURHUG9BLXN3S3ljUDFYVXpkaHBPSmVVclJWSVAzM3ZjY2IweThRZ0dmeGtWZ1QybkU2U2NCNHAxbjMydWR4bTBaNlhuM0htMmlDT0lvUkt4NWotb1ZvVkQtTDFvYWowZnFhNE5kSVBkc3VzS2RnVjRyTEh4QjF5RTcxN3" TargetMode="External"/><Relationship Id="rId410" Type="http://schemas.openxmlformats.org/officeDocument/2006/relationships/hyperlink" Target="https://news.google.com/rss/articles/CBMi0AFBVV95cUxPcTlhZmN5ZzNqcF9GNXpaTldZVDg1dVFMQW1oLUgwVWxLREVscHd5aHVscEdtcjUxcGNNOTBOdHZYekVpbGNXTXBLTlpzM1VJMjZWVU0zT24tdEpGeUF6N2g2N25mdUROV1JkNVJYRGVDODFaTGs1NG4zMnBXcVpyUGNJMmxlXzFqYjE5V1VGZF8zaFNuZHR3VThxWTZ2c2" TargetMode="External"/><Relationship Id="rId411" Type="http://schemas.openxmlformats.org/officeDocument/2006/relationships/hyperlink" Target="https://news.google.com/rss/articles/CBMi0AFBVV95cUxNSDFjZzlDUDRBY2xoTHJMbmRxX1RnUEZrRVI2emdYVmhTckVlYzdsbXotcmJHZ1A4T19FWGNJQk40cXQtWkVzd0RiSXZVR1pieUNYRk1Td3NYOHQ5QVk3U3FkaFNUaU02R3dCVmh1VUtQWFJHWHh2Z01kN05lNjhoZTdtSlZGTXZBdlc0VWRKRUpLN2Qxckg3NTduUGZ5SG" TargetMode="External"/><Relationship Id="rId412" Type="http://schemas.openxmlformats.org/officeDocument/2006/relationships/hyperlink" Target="https://news.google.com/rss/articles/CBMikgFBVV95cUxPN2ppaHFMa0pxRmhNZEsyTVMzTEpkZ0tOZ0hMTDEyeUl0WVFPdTdGa1VZNjFUcmdJLWtxeXUtcnpfNDhodFlaZV9BdUNVLXlDZEVzREllLWlRdTdpcEZPdG0tN3dBZ05LUEtWU2k0aXVsM3kwR1MyR2lrQkFCa1ZsczEyak9adjc5Z1locmpLTktvUQ?oc=5" TargetMode="External"/><Relationship Id="rId413" Type="http://schemas.openxmlformats.org/officeDocument/2006/relationships/hyperlink" Target="https://news.google.com/rss/articles/CBMizgFBVV95cUxNSHUtbnNZMHVKYWV1N0diWC0zMlBGc01Fc3pVNDRpQXktZEg3cWp4RGRyZ1J6bU1PLWdtQ2dDMmFYazdwRDgtNU9Qb0hMWG1IeHVjY0dBYW43M1RIVndQMUJuclJnMG9MSHNFdnplNUtlMS1wb09Wd0dfMVFiaXdHSTVmVi1YZl9KZGdtU3NZOHozMkRJa1VZekJFU1hXND" TargetMode="External"/><Relationship Id="rId414" Type="http://schemas.openxmlformats.org/officeDocument/2006/relationships/hyperlink" Target="https://news.google.com/rss/articles/CBMioAFBVV95cUxPXzR1dWh2dFZaZ0Q3VW96ZW1vTEM4aThiSEtCWVZWUzlQdWNfOG5hWHgyRE9ZM0cxaEVCNHBXczFWUS01Wm1ubWFIME9Ob0l6cHZmWmlXcjIwSGpUb3RFVm92bFNXeTRCS2UwVmZqVHdVbUNXWEpJR1hXQkphU3ZfWjJiX1loX3FjRGhySktIamdkak9rXzI2WE1XQW9CWV" TargetMode="External"/><Relationship Id="rId415" Type="http://schemas.openxmlformats.org/officeDocument/2006/relationships/hyperlink" Target="https://news.google.com/rss/articles/CBMixgFBVV95cUxOQ0M0SnVYcjlPeEI5QVk4bkdTQy1qZE5JWnB5UG1GWXVyc1FIeWJROGVxeTVTd0tMcFRVX1V5UEtUckZXUm5tZ1FqN2JlTFVwbU5TVGJDdnYtUFZNZEZES3YxSU5Zcmg2dzZ3TEZGN25YZUt6bTQxX2NhYUwzS0pQMzhJOGUwc0lEUnM1UXFMLThFNG9abTdDNWtfN0dvQU" TargetMode="External"/><Relationship Id="rId416" Type="http://schemas.openxmlformats.org/officeDocument/2006/relationships/hyperlink" Target="https://news.cnyes.com/news/id/6636768" TargetMode="External"/><Relationship Id="rId417" Type="http://schemas.openxmlformats.org/officeDocument/2006/relationships/hyperlink" Target="https://news.google.com/rss/articles/CBMigAFBVV95cUxPUGx0My0wRFU3ZGRUN2JEbjJnTEhhekd5UjdXSE9BOEZnTHJTQUZ6MW9pVkVDU2d1Z3NsV2FoaXBubXF2dEpLR1J2bXJsaXAwa2xnM1RQSnBpWVZ6Q3FIdW1qYjR2cDhWcm1WY2gwa0g5MnE5Ui16SVZmc2NaazhOaw?oc=5" TargetMode="External"/><Relationship Id="rId418" Type="http://schemas.openxmlformats.org/officeDocument/2006/relationships/hyperlink" Target="https://news.google.com/rss/articles/CBMinAFBVV95cUxQQnZPeTV6SUdLZ04xRElneUQ1cmEyWnZlQzNYUndjUnRvN09ObEkyMFNjWDBUbzBfT0dDMW11S29mek9ScTNqRXQ3cXJrUFJQTGZEcE5XQWhBSmFFOFc1VFVJMG5ZYzVGYUI0SW96aHM2UlNqNFlrNVVsVGExaGlYeGRnZmVPLUdUTXp1NVd6QzFYdDd6SWotOUlTQkY?oc" TargetMode="External"/><Relationship Id="rId419" Type="http://schemas.openxmlformats.org/officeDocument/2006/relationships/hyperlink" Target="https://news.google.com/rss/articles/CBMiqgFBVV95cUxQS2NfcHgyYmpRaWpIN2s0NU5Fa1paZklldTh1M3B4Y28zd2UtZVUxdzExdG5iTnYtYXNDdjUwR1E1Vkx6SkRSZUZWVzF5eWdkTG5fR3dIYzZjM3kwR3Vqa2wyVldnUTNqbkh5eWNxWF9LMnVJVFhkdzBPVnE5RVd1OHFJTmtWY3kzNGtydkY2TnhfZXVnVzZkOXBleW1ESV" TargetMode="External"/><Relationship Id="rId420" Type="http://schemas.openxmlformats.org/officeDocument/2006/relationships/hyperlink" Target="https://news.google.com/rss/articles/CBMiugFBVV95cUxQeVRsTUpvYUhrM3ZCR0tEUTJSdkZzenRWMUZRNW95V2hhV29YZ04wdzBqOTZURUNEWGlKUmtISFFkcEsycnZRSFRzdHRlUG5xOTZJM3NyS2JUOHBtZDV3TlhpWm1qS3VMS1hiQUxKUE9pc2EzdWRnZFVCM3hZQndZaS1lRjZjak9VU2lxMUxwVkstem9uYmdMOWsyTWlzZk" TargetMode="External"/><Relationship Id="rId421" Type="http://schemas.openxmlformats.org/officeDocument/2006/relationships/hyperlink" Target="https://news.google.com/rss/articles/CBMi2wFBVV95cUxQRnk2d0hpNlpIbnU3NGRDOElmbS1uWnd5dDBrWXVKY09ZYjRpVkdDazZOdktabmJ1LVJ6LUVwcHgwTjFrQ0YwakFwOG9uei1HLXZDMjczSkJPcGxFdjBqbUVvaWJmZ09YLWhIWlVPb0M1MW5PeGdRSURjdkJhM0s1S1g0a3pLWDRXWFpSU25vd3ZPckg4LVhiX3RMbXRkV3" TargetMode="External"/><Relationship Id="rId422" Type="http://schemas.openxmlformats.org/officeDocument/2006/relationships/hyperlink" Target="https://news.google.com/rss/articles/CBMiekFVX3lxTE9iUVFKMGZsNVo1X3BnWjNBc2xYYTdZMHltalhvajZfSFlHTnJwMEJSZUtCSGcxZ1B3end6RXJYZXZNM2U5SktvaW5NeXZQNUprWTQ3RkRQanV0di14TjFoel9lUG9MbU9LMmlUbk9wekluWVA0S3pRNkJn?oc=5" TargetMode="External"/><Relationship Id="rId423" Type="http://schemas.openxmlformats.org/officeDocument/2006/relationships/hyperlink" Target="https://news.google.com/rss/articles/CBMi1wFBVV95cUxPNHdrb0lZZkMwalJrWnhJVWwxVGdIdmZYMDlHb1Y1SXNkdkZwYnk0dXN1akxwTS13ZUh5OE1nbmtZU1lSaEVrNkI1bWJKSlprd2JNUkhEV1ZxTU1MU2JDaUJqa1Z0Zm5mVXN1N2ZTY0ZNR3Q5NnR3SjBYRUxPOFA2a0FOQjF0MHBuQjVSVWtxSjBSRDM1TGdGNTFHVGI3d0" TargetMode="External"/><Relationship Id="rId424" Type="http://schemas.openxmlformats.org/officeDocument/2006/relationships/hyperlink" Target="https://news.google.com/rss/articles/CBMisAFBVV95cUxOTlZNay05ZE1VbTNBVmZHT0ZMYzkxZ2VKOS10X1dKbVR6WU1kc2pLRk05aVZzU2txX3VqMlRQOXhXSW9iYWczN0NpQjJkN2dSRzhFVkVlNFFubUxFdUs5dTJMenBpM3cxSnJlQ28wTHJCYVNvRW5aSUpsUkFBS1dUbWIxRkhDSUhrc2E1bjZoUElKRGdqTEIzT2RzRC1lYU" TargetMode="External"/><Relationship Id="rId425" Type="http://schemas.openxmlformats.org/officeDocument/2006/relationships/hyperlink" Target="https://news.google.com/rss/articles/CBMizAFBVV95cUxPeXRJR2xkaTRYMXk1TEtib211NUtRZ2F5UDBWMWEySjMzMURud1NGVkYxWVlJSkxMS21zWUhIZDZQNmU5UENqcjh1eTZka2JUMTI2UGVRMzRTNHRVd19ORjFSa21aLU9DdmxRVGxEVEtvcmRpckM5bHRBUVUtejFFcktKZFNyRmZTOWI5TmdFMGJBbHNWcmV3TXllTGZyYT" TargetMode="External"/><Relationship Id="rId426" Type="http://schemas.openxmlformats.org/officeDocument/2006/relationships/hyperlink" Target="https://news.google.com/rss/articles/CBMi0wJBVV95cUxQZ0hQcEROcWpKZWVteHU0c295TVh6amcyUDQ2UlMyS2N6WTl3TTBwNERUZlE1LUpZUWxMRVMwUFZ3Y1lwV0MybjZPQ29tS3NmV1U0aFhJQXZ2MFkyNnhKdEtlZjVGdl9meFgxRU1NcEstdWpCS0ozY3JXaV9Wb05wdV85Q0RERjZDdU1KSHBLZlUtOGZOQUtzaDFHLWQtMl" TargetMode="External"/><Relationship Id="rId427" Type="http://schemas.openxmlformats.org/officeDocument/2006/relationships/hyperlink" Target="https://news.google.com/rss/articles/CBMiWEFVX3lxTE9uQWJrM19WY0VYU3JPQ29IdDJZRGhOOHR6VnQyQWlZMnpGdURrSDBmOWxsTGF2WDFYT1B5RllmUlFYQXJQbndTZUxXYjZzdHMxeUx6OF9idjc?oc=5" TargetMode="External"/><Relationship Id="rId428" Type="http://schemas.openxmlformats.org/officeDocument/2006/relationships/hyperlink" Target="https://news.google.com/rss/articles/CBMi4AFBVV95cUxOSTE4bmhuWk92MjdBR3VTTmpBMWw3Vmo1WW5KYTFKWDE5ckFFNnFtOVZkMDI0WDJWUzkzOTVwLTg5TEtrVWxmVzV5QkI5T3NxRDJqLVhoT0V3YnZkVlFiVUlPeFR5NXVXdmNLaXVXQ0g5ZUtFa1RYZnU5VGZNMndYRlNhdGVfQUtoSzd5RUc2Nm82SnN6amFLNXc0OXVqQz" TargetMode="External"/><Relationship Id="rId429" Type="http://schemas.openxmlformats.org/officeDocument/2006/relationships/hyperlink" Target="https://news.google.com/rss/articles/CBMiyAFBVV95cUxPNHdmSTVnSVFQSFU2YzFKZU04SW1sQmU2UV9XX19JRDVTcGNZc1djOGo2c0Y4X2FZU1F4Y3lmUGhzUEFKWXNUZnN1QjVPUGdxRnpFYTREMW9aMHFZV29Lc01WRDN5NGJTUlFGT2ZoRUQwSTVGYlZFbzZ0R1dXby12NE55SFJwbVBEcTY5bUVXZTNWRDd6RzF4emxJQkF6bE" TargetMode="External"/><Relationship Id="rId430" Type="http://schemas.openxmlformats.org/officeDocument/2006/relationships/hyperlink" Target="https://news.google.com/rss/articles/CBMiyAFBVV95cUxOX1NLUU85UE9EbHhkUUIwZUtWazZxV2hzX0t3MERZLXo2Z1pKYl8tODBOM0xOQTNFUzVFM1JtZVZlUHVDLW9WeEVHS1Ytc19lbWFBWW9hdVR2YTFFZUxGWFB2c0NrNUhUaHVPMko2WUl5akd4Z3NLM2k2eDA3TXYzTFdfM3lRUlB1eGE5Qzlwelk0SzE1TEtHYnI3VGktbD" TargetMode="External"/><Relationship Id="rId431" Type="http://schemas.openxmlformats.org/officeDocument/2006/relationships/hyperlink" Target="https://news.google.com/rss/articles/CBMiywFBVV95cUxOQVUtNnJMTk00cGNORzNjdHdZTGQtb1o0amZvTGQxMFE0OWJ3cjJEZlJBcEcwRlZMZDhJRWwtVjRVVkQxTW41RTdCU3d0TWtJR1pQUlpRUXFfZWhkaGpIOWRZa2VBVUNaUEtIS2U5bzVzSzRsX0JYaFlWVm9ZY3V1UWpuZTNDenRGQmxuLU1wQmpHMTY3cW5iOWRWS2Fqem" TargetMode="External"/><Relationship Id="rId432" Type="http://schemas.openxmlformats.org/officeDocument/2006/relationships/hyperlink" Target="https://news.google.com/rss/articles/CBMiygFBVV95cUxOd0VYSkxKT3lPYVNoTTVuaGVJQ3dBYkVuc2tRS0ZfazNLRjIzcC0tcml5eFZIRE1Tckw0d3VnUks0TDlKTmxCSURfclN2Q1lDU2szY0dXYVRkRjNiVXdJMGhPTzZYMF9IRFE1eGdUWnFGT0xBMlhKR21PemRxeDgyZ1FnSzViN1UtRkxpbV9YN04xVzBhR3VGSUhheTN0ZD" TargetMode="External"/><Relationship Id="rId433" Type="http://schemas.openxmlformats.org/officeDocument/2006/relationships/hyperlink" Target="https://news.google.com/rss/articles/CBMipgFBVV95cUxOX2JGclZQX2hBbkMtUFZlNUhnRXJHNzVHODhJRFY0YWFmR3VZZWk0b2tCVkRwMERGVTVQZmh4bTdNc3J5MHlSSXlxT3BVSnNQdHVwOWJ0d0k3S1JRYzNNeHFKMjMydktQaVNaLUpNTm1sSWlLaGpHLTAwMTJ5azljMjFyTlJnLU0wSE81VTZzOFFVSGFwRl9QOWFJNGlpQW" TargetMode="External"/><Relationship Id="rId434" Type="http://schemas.openxmlformats.org/officeDocument/2006/relationships/hyperlink" Target="https://news.google.com/rss/articles/CBMiqwFBVV95cUxPMVE3LVVaYmFLUUVQcWlSXzJUOWVvd21BX0wxMnJCUDJzQjVZT1dhb1hxc2Z2b3NtOHVrLU9CN1JLZ3NIX0JDMlV5MHAxWDJBaDVqOXkyLVV5UEFvNHRkMUtPLWlUeHAzNm1XeGFOYkdrUWN5eUhhWWN3R3F3MHViNlRiZ1lLMG14bEhEdlBzS0RtZE04TWlPVXBya3NnUF" TargetMode="External"/><Relationship Id="rId435" Type="http://schemas.openxmlformats.org/officeDocument/2006/relationships/hyperlink" Target="https://news.google.com/rss/articles/CBMiywFBVV95cUxPZ3BvUG54amVvY01vVThjQnhZTjNmdExyaHV2V3F0NUJDM0Y0d1ZGdGlibENPZFVyTUpWZ3k2WmNyYjlVOXhoVm43Tl9IYUxvMzlMbWEtVlNHLU9TUnlabjJfTTY4SXBtaENoNTFsd3JGVGlHNzJHbHN1Sy04clpBeHVkYWx6R1pkd0dRa0Q1NnNKQ19KMjZlWlFjcGhxX0" TargetMode="External"/><Relationship Id="rId436" Type="http://schemas.openxmlformats.org/officeDocument/2006/relationships/hyperlink" Target="https://news.google.com/rss/articles/CBMitwFBVV95cUxPbGZpTDNRTW02UWZKejhRQ0oxLXFiQzlrRWFTMTV0TVB5Q3JzMEE5ZjZENlBDM2dPVW1oM3F5RFRneG9RZFJnVkxxbGJBbUxOVmVPaURmRkJuVktFUEVnam9BV28tLVQ1OE8yVHJmTFBHNVdIbHhYY2YyLW5tQ0xMVTlkQkdCUnZEdHBqa1ItYlNsbnQzRExQWFpsRi1IUk" TargetMode="External"/><Relationship Id="rId437" Type="http://schemas.openxmlformats.org/officeDocument/2006/relationships/hyperlink" Target="https://news.google.com/rss/articles/CBMimgFBVV95cUxQb3BXNkc3QV9VUERNR2hYZC1FMmR2VVgycnR3MDMtQXJ6Rm9tX1k4enBrS01mTmNQWVY4ZUxfSHZ3ZTRkcGhXc0Y3SnJvamx0YXhXY0JEVE5pZU5lYjJ4d3ZIcUg0Q2hpTWoxMWltd0dQcThqWllpTEVCa2psYUtsMGNiRHVGNl9uOEFlYnlIRU1kUm00M3l4a3ZR?oc=5" TargetMode="External"/><Relationship Id="rId438" Type="http://schemas.openxmlformats.org/officeDocument/2006/relationships/hyperlink" Target="https://news.google.com/rss/articles/CBMifkFVX3lxTE1ZeTJrZm9OLWlvWFJtSGE2ZWJDUE1DRDRXM2pNR3ZIaW1ZRGY3VWM2X1drTjFKamhJZGtxd3FaSnFGczV3d056dzA0M2hSSEVvaXFRSjNqZE5GZ0hFZEZsZDlBaUg4QWwtQ0hMb01YcERIdFlOck9JdXJjT3lxdw?oc=5" TargetMode="External"/><Relationship Id="rId439" Type="http://schemas.openxmlformats.org/officeDocument/2006/relationships/hyperlink" Target="https://news.google.com/rss/articles/CBMizAFBVV95cUxPRG9RY1NmY052VEhRdjJ3VGduc1AxMHBnSVowU0NCcVVDZkFQMFpiTnRYRTNseXJRX19wcVNLZGZyRGhWamFjY3BpUWlMLU8wWWVUWS14LUIwR3dHZWRBT1JTeGUwSlpZdWd1Nm9KYWtIZUFEb051Ni14V1BuZ0RWYXE0MXUtRXkyeWp4YUM3SWJneC1GdEphQTdjQjV0bV" TargetMode="External"/><Relationship Id="rId440" Type="http://schemas.openxmlformats.org/officeDocument/2006/relationships/hyperlink" Target="https://news.google.com/rss/articles/CBMihAFBVV95cUxPbXNVSmZhTFhzUHVFQ09MSDJxSkdLNGdXTFJMWGpWRFp4cFRCMms2X0tfZWUyRFd5OWVveW03OEEyV1EyZTZqWFZRc19aaXRfWXVReXg5VGlDeUNoUWNlS0ZITGt5cU1uYkFUNk9yUVJLR2R6ZVhnZzA1clZQbGRYZnRHMTE?oc=5" TargetMode="External"/><Relationship Id="rId441" Type="http://schemas.openxmlformats.org/officeDocument/2006/relationships/hyperlink" Target="https://news.google.com/rss/articles/CBMirwFBVV95cUxOTVpTQ29MbXAydi1iRlZZLVZHYXNnUEQ2V05xSlFSR0daQTczYU1QVmlPNXRic1l4eklNSURMU1RCQlJucUJ0dGxaeGFtXzAtcjNDa0dvTEhFeGk2MlljeGRCN1hndU1XeTRfeWhzdXJ6S0Z4cnN1bHh5aERfN1pLYjBzRHhna0cycVRBZXYxeXJ2WkI2djl2WExBQ29NSy" TargetMode="External"/><Relationship Id="rId442" Type="http://schemas.openxmlformats.org/officeDocument/2006/relationships/hyperlink" Target="https://news.google.com/rss/articles/CBMiywFBVV95cUxPSExwSmhMWWNtYlI1XzIzeXpxOWNJTXlxd1lESnViT1drN09ZNHJEd0RaRnd0aWRndmxlTkNEdGV6X0NCaWJzNmEwM3dMUnBtb1hseENsUUptSDZ3Z1M3YnRlNGU4alRMc2xtY1NpVTh2d09JWXRoZ01xQnpOOU5Qa2l1Smw5RmNoUlN4dk9NVjlIdFR1ZjNYbDFzS2hvVW" TargetMode="External"/><Relationship Id="rId443" Type="http://schemas.openxmlformats.org/officeDocument/2006/relationships/hyperlink" Target="https://news.google.com/rss/articles/CBMidkFVX3lxTFBsdjAzQl9JWVpNUVREREtIOGh3VS1GaHRvTXZCaE14VFJNUHo1ZXlJa0xPRDRnaWhORjRHejA5Vk5IZUxWTXdGR2NDOXFWWllQT2JtXzVhQ0s3NWo4ckYwd1dRd0M3SnVZR2NBTnVRZmtsbDljTlE?oc=5" TargetMode="External"/><Relationship Id="rId444" Type="http://schemas.openxmlformats.org/officeDocument/2006/relationships/hyperlink" Target="https://news.google.com/rss/articles/CBMi6AFBVV95cUxQZ0Z3OGtybVVlNGQ0ampkSGtTZ0tPRHk4RExia0h0MWVyOTRCMjFZUE5WcC11QllVSTluMTJqZ3JHbnowZnhWSEppb1dHYUpiZzJveFdUazdydi1hVWxCQUtCYmE0c0hPQTRKQTVNZ0Y5azZNMjdsWGl4ZmpuOGQtZnNIYzdETUhsemxZNUpGcjRKMVNIVFFLblpWYjZDTG" TargetMode="External"/><Relationship Id="rId445" Type="http://schemas.openxmlformats.org/officeDocument/2006/relationships/hyperlink" Target="https://news.google.com/rss/articles/CBMirwFBVV95cUxQMzVJQ2c3V1MwX2lEc3RfWVFJRHYtdFdlSHlPdVlWUFVKOVRZVURuRWZnUW1XYTFEYmh2YjAzTnRreTdzODdHcm56T2dyMGtVdk9oNXZCSk03NnZnZ1BiR3hGV21tTlN1dzk5aHgzenpjY3dSVUR2Qm11My1QR0ZqMXJLU0VhaWdTN2laNWVfdEVRNHpyOG1GVzE0WGVPVH" TargetMode="External"/><Relationship Id="rId446" Type="http://schemas.openxmlformats.org/officeDocument/2006/relationships/hyperlink" Target="https://news.google.com/rss/articles/CBMipwFBVV95cUxNbWhQRElfdXk2UFRRWU5nYmdYazlPZVpEdk5NajZqQXhHRExSQ3RkMWN6Sk5ldUNaMXpqcUdVOXY4QjRpZFlMM3luQnFRczRtdmFGdmIwbVMwWGY3cnFyS3Q1TWhpZGsyeEdBbXJOMGNHWnlZdGxmQjl6aTBsNFRrZldvaV9fZGJrdlZIaHQtR3J1NkJWaDlCVGZWT1ZQU1" TargetMode="External"/><Relationship Id="rId447" Type="http://schemas.openxmlformats.org/officeDocument/2006/relationships/hyperlink" Target="https://news.google.com/rss/articles/CBMidkFVX3lxTFBsdjAzQl9JWVpNUVREREtIOGh3VS1GaHRvTXZCaE14VFJNUHo1ZXlJa0xPRDRnaWhORjRHejA5Vk5IZUxWTXdGR2NDOXFWWllQT2JtXzVhQ0s3NWo4ckYwd1dRd0M3SnVZR2NBTnVRZmtsbDljTlE?oc=5" TargetMode="External"/><Relationship Id="rId448" Type="http://schemas.openxmlformats.org/officeDocument/2006/relationships/hyperlink" Target="https://news.google.com/rss/articles/CBMiygFBVV95cUxQbnhaN3JSYjVSM21ZOHNOREkyazM5bUZxRDk3eHdLSFJTWHhDT3lNMWtUOWcyQnBCRnMtR0NWejVybVhNT0VDdUhaX1JheDVNTC1pVENSSkZPcmtHZzg5OFk3OGd0aU5XUFB3UkhjcVZ1ZlpucGxuSVF5eTUyT2dGX1otNlF3bUNCMTViazg1R2RBR2ZxVmt6Y0Q2d1dmUT" TargetMode="External"/><Relationship Id="rId449" Type="http://schemas.openxmlformats.org/officeDocument/2006/relationships/hyperlink" Target="https://news.google.com/rss/articles/CBMipwFBVV95cUxQMVdpVm5FSEtrNF8xbGRJVGc5dXZib3lqSGxSbEh2Y2Mzb2NzRjZNZFg3bUdLNWtESDRHd2xha3BqWWg4X0Yzd2taU2pHNHdwTkdmaVVxR0JMbFAxRVE4TlhEUlFDSlFDMFBSaFowc182emdHX19seUJxRnFybVR6VmRVckY1aU5xT1lXb1ZkN3IwcHZpU3VQckNEUlFJcE" TargetMode="External"/><Relationship Id="rId450" Type="http://schemas.openxmlformats.org/officeDocument/2006/relationships/hyperlink" Target="https://news.google.com/rss/articles/CBMitgFBVV95cUxQUUhkWFNNUHVrbGN1Q1ZkNU9Yek11R2hLalBDVmdNMHJyVy1nVktWUkZ1ZVlrdVZjWUs0UWhPVTRZUTFvTGVWTHZkMUcwUk5sOEdZMC02WFVTU09XLXVKbUd5QzFNYy1hbVl5QlVES1g3OGRBekxQbGl1VUxzRWNrMDFHS0M1SF9MSm85N0Zna0RHOU1sUW1WU191SkpZdj" TargetMode="External"/><Relationship Id="rId451" Type="http://schemas.openxmlformats.org/officeDocument/2006/relationships/hyperlink" Target="https://news.google.com/rss/articles/CBMizgFBVV95cUxNNGNPSUU3OUhUYnpRaDUzdlkxM2lNdjR1WkJLQmV6cWFwVmtBMzBETXhhNDk0YW82Z3ZSeGVSc2t6dWcwYldSWTVRYU40Tl9PMlRoXzg5cG5FQ1B3S1hYN25sSmxKM2ExWHhhSnVBNWdvemVMOXpzWVVZNml6aW55cVhrR3pZMEQtTU4zQU1md0lzUEFheV8xQ2RHSEtNWX" TargetMode="External"/><Relationship Id="rId452" Type="http://schemas.openxmlformats.org/officeDocument/2006/relationships/hyperlink" Target="https://news.google.com/rss/articles/CBMingFBVV95cUxQcW5haG1CeEhsaDk1OVZDc293QjIwWnlPNXFDWW1LZTMycHF6M1VCVjQtNlRqMmR1OVdCTWRlUExyTDVSMkcxMlV1XzRmVDJObkZyd2NZS1NmOVRKLWJmWVhlVDJaYV9DalBFeGNyZFRwVmxwc3NqcUZ3SDNLYTRMWEY4UHBZV2dhb0s1RnYySmVxTU5CaHVLZ1RpdXJ0UQ" TargetMode="External"/><Relationship Id="rId453" Type="http://schemas.openxmlformats.org/officeDocument/2006/relationships/hyperlink" Target="https://news.google.com/rss/articles/CBMipwFBVV95cUxORXFob1ZDcFEwcjUwQjNxQmNoV3VnRzdkTGF2Z1dxdk1uY3lBVmVPZndPb1FEVTAwcm93WmNjVTB6bXYtcGFwQ1hWZmNycG84emRySVhiVjhNNnF0bk96bDI0UkUwUWFpYUVNSWV0MDk3RnlveTMtVDBrazE1cWd5R3hyTkJUY2pISnRZSXN3TkVFeHpfb0xhV240T2ZqTm" TargetMode="External"/><Relationship Id="rId454" Type="http://schemas.openxmlformats.org/officeDocument/2006/relationships/hyperlink" Target="https://news.google.com/rss/articles/CBMiqgFBVV95cUxNWEF1QmRyT1FGR3AtZnJmUWo5dmg1cFBiT1pSdmN0OUYxa2pfd2Y5eDZ5VVpPS2ZrYXpLRHdKbGxTckZWQjhmODFvQlZ1TEh2TV9BRTB6OWpzakljNWJYeUZWUHZkQk94S19pbmduUmJkWUxvXzdTR0pReUFjNkdjTFJqam9zSW84ZnJrWWFNWlgtZU9qWGxiNnhLekhuX0" TargetMode="External"/><Relationship Id="rId455" Type="http://schemas.openxmlformats.org/officeDocument/2006/relationships/hyperlink" Target="https://www.gelonghui.com/live/2728110" TargetMode="External"/><Relationship Id="rId456" Type="http://schemas.openxmlformats.org/officeDocument/2006/relationships/hyperlink" Target="https://news.google.com/rss/articles/CBMingFBVV95cUxOUVlHa1M2UHZQeTl5RjI3SzN6ZHYteXdjdEtycmRyaXVfeGZjeThUQ1BjQ2lmREVrWnpOdUlGd3ZPbzN1UVgxZ0JxUkhGdUlsZC13N1ZuUHl0UVIyOXRjRkpVeDJVUHpiWW95eGVYZm9FOUhyR3ZjSjZFTWVkNFdRcmJvaFRPNUZVNFlUWUhoenlaTW90ZUZyU2J0eFdKZw" TargetMode="External"/><Relationship Id="rId457" Type="http://schemas.openxmlformats.org/officeDocument/2006/relationships/hyperlink" Target="https://news.google.com/rss/articles/CBMiugFBVV95cUxOSTFVOVkwX1NVX2t4bTItQXR3Z2xQU1pVNnp3Tlc4R3RnOF9CUmd4TU1UVG9JOXVDZURsYUgxV0JKUHVWRDVVTFM3NUNmWnBrQXRHSVdJR2dYR0JicmFLMEwxa3hrZ0V2VWE5clNkQUlSM2dRUjVIdEt6X2gwdG56bzc4dGVQZGlZQTlIak5EemdWcVFhU0hndTdFb19wOG" TargetMode="External"/><Relationship Id="rId458" Type="http://schemas.openxmlformats.org/officeDocument/2006/relationships/hyperlink" Target="https://news.google.com/rss/articles/CBMi1AFBVV95cUxNNlBqaTUzNll6dmhMSVZmX25rQ2Z0N1p3SXZvc1oxX1ZmQzMycWo1dWJhUHBmc2l0NmE4QkNuTWhIT1lYTC1iNlkxcmJDMjZndE9JOU9SUnF6dVpTdmo0M1hxRllzSUp5MDBqUzN1eDdkQk9mQkcyU0J0Z1pHOUdMNjNReHJqR3lXYkFTbF9ncFJ3UjRPLVpmSTYzN3Fwcj" TargetMode="External"/><Relationship Id="rId459" Type="http://schemas.openxmlformats.org/officeDocument/2006/relationships/hyperlink" Target="https://news.google.com/rss/articles/CBMi0AFBVV95cUxOV3M3clhXS1ExQ0UwOFA3ZDMxOG9JZkxPemh5Rlk4UkhBQjlrVHVYLUNqc1B2Y1JHaDM0ZEpsbTJ0cGZOV0JzTkFHODZlVVZqQzZEZFh4bDNPSW1xeGpZYXFHY2NQOWJpX24teFZzUEJhdjVxUGJ0cnNsNnU4UlN6UmRFc2dVWXJmeHpfcVJJVzJ5UEpWcWxXU2tXdWRBST" TargetMode="External"/><Relationship Id="rId460" Type="http://schemas.openxmlformats.org/officeDocument/2006/relationships/hyperlink" Target="https://news.google.com/rss/articles/CBMi9AFBVV95cUxNeEYwRTMyNG81cWZOblFIaXlaX0ZOcEVmdWQ5RWw4dFY4MThrMV9wTDNILXIxUndUTk9ueTdhRWV6XzQwVHFhWWtzNVRGaEhzQmsybFVHTlhORmRKNWQzcmI4ekNqZjl0QS1nU3MzOGQ0NnNpYmdVd3FZeVRuQ2J2S3dPRXk4bnI1QXNiazFMTkhxT2NlOW9ET1BzYlRFZ2" TargetMode="External"/><Relationship Id="rId461" Type="http://schemas.openxmlformats.org/officeDocument/2006/relationships/hyperlink" Target="https://news.google.com/rss/articles/CBMigwNBVV95cUxORVhJUkFmODRFc2xUX1pCLWtVUTJJRElHMkxKTzZ3Qm15WlBmVV9peEhyR1Y1aXBRem9adHNPVUpBejIxLWFBQklWakFHcjRUR1RRVXByZWY4QzhnY3Y2MnYtYVFCXzBmTEkxY3FfYTllZjVLMWI2bE5uazNxMTVXcVhIaVVUZEdEY0s1d2hNMHduQU1LeTRoaDNKVHNJSU" TargetMode="External"/><Relationship Id="rId462" Type="http://schemas.openxmlformats.org/officeDocument/2006/relationships/hyperlink" Target="https://news.google.com/rss/articles/CBMixwFBVV95cUxNZXRXbm92MWw3dGl3Um5iSGJVZS1EZ1V6RUR3VlF6WUFBVGhOZGlzcmE2NHZ1RTVqbEpfTWZKaFF4TURZeE1MbmdRZ3E0V1hveFNtaDRnS2RZV1c3VjBSbkpEQXA1WWdmVXBZWGdhMnVWUTZOZVFkMjRwdWZuWjJndWQzcnZnODNLREVxMTgwSHhnQ2dnMUFlN2dvMm5LUk" TargetMode="External"/><Relationship Id="rId463" Type="http://schemas.openxmlformats.org/officeDocument/2006/relationships/hyperlink" Target="https://news.google.com/rss/articles/CBMiowFBVV95cUxPd29iOFNvTmVqMU5tSzhhc0REalpHbm5DMEFsblhMLWt2cjlWYVZXUHdFQkhkTDRqQm1XN0ZLdlhYYUR1N1lKc1lWQUhrUzRrNVFWR1VjZXBOTk1tWVVhUDh3NFNpTUxQMmI5SzlxSEJQbVlldEp6ekxXeTBqeWx1UUNIXy01Ykl2N29IdlVLQjZJRGFxZ1A0RHdUcFpWZW" TargetMode="External"/><Relationship Id="rId464" Type="http://schemas.openxmlformats.org/officeDocument/2006/relationships/hyperlink" Target="https://news.google.com/rss/articles/CBMiwwFBVV95cUxPTnJxMlJVRDdVNzdiREI2czZJbktFVDI2LXY0RkYzeUh5bmFGLUN0aDhpNU02S3E2dmJtUm5LMU5SdGpQdE51MzhjZEdXM19QaFJNVDBMX2ZqODN5OTVITUc5SGRmM04tSUotUlh0ZHl0UXpkeFhfQU5rWWRWdXNsM296Nmx4RFV2Mkl5UDU0NW12N1VSeU9IVEYzeGY0Q2" TargetMode="External"/><Relationship Id="rId465" Type="http://schemas.openxmlformats.org/officeDocument/2006/relationships/hyperlink" Target="https://news.google.com/rss/articles/CBMi7gFBVV95cUxQTENXeXlPazk5VTRNNFI5MUthM3VVX0VNM0s2LTJEQy0xVngwdXRRenVoUzNWVi1qT1ZIaHFkS3RETkp3aGxQQ0NTSWZqNTgyUUQ2RmZoU1pNaDNBd2hJX0c1T29GYVQ2cjRtM00zTGdObjBWenlyWVVPblpUa19oOC1zbUJZenhDTnh0TjRNTm1aY1NISm5aT0J1NzJ4UU" TargetMode="External"/><Relationship Id="rId466" Type="http://schemas.openxmlformats.org/officeDocument/2006/relationships/hyperlink" Target="https://news.google.com/rss/articles/CBMi6AFBVV95cUxNZVB1Z1h5TUVZeUNNNkoyWGNMQzZBSFZTTVV4dHdHcHhmNXp3LUFMZ1lJUzIxel90UlNJdWRNb0xNWno0MF9PZ0h5OHB1N1gwWXg5SzZLX0N2bUlXM1JTQUdNd2tBMlVITmp0dVBaRzItd1ZuZDVQaDhsVExLZk41a0dfS3NpTFZjUG5YaE5TWVRuWVdwOTlCSGtPUnphbn" TargetMode="External"/><Relationship Id="rId467" Type="http://schemas.openxmlformats.org/officeDocument/2006/relationships/hyperlink" Target="https://news.google.com/rss/articles/CBMiygFBVV95cUxNV2ZrU3pQLUJaTWZIVjhLQnpRZERYd2g1a2NzRktZaTFJdnppVXdqck9laXFHUi11UW1xbWR1OU9uVndUYXF6WmdaRFZsWHJxNmdvVEdHWHVWZ2RZSmYyRmVVeTV3c0FkV3JhczhDWngzOWRxYndhZjhWRVluSVFPUlJjQjQ2WnNsbE1BTk4wM3lTNHhucHFwQnk5emJHVW" TargetMode="External"/><Relationship Id="rId468" Type="http://schemas.openxmlformats.org/officeDocument/2006/relationships/hyperlink" Target="https://news.google.com/rss/articles/CBMi4AFBVV95cUxOZEMzYW8zc1lSNHppblJGMmpsamh5NXpNUFFJeW1adTU5QWtpXzFvRVFUMVU0WEo4MzVSVWpCcjZjdVdDU2tKb0VHclBYek9vQU45M25hR2tzX00teXVpZkkyVmJWTWtGZnJQXzM2RkJtQ2NrRm90YXRQUHRaTW9VLVV4WTZtaElsTWxHeHZhby1wWkV4RDcwUFZDNnJSa0" TargetMode="External"/><Relationship Id="rId469" Type="http://schemas.openxmlformats.org/officeDocument/2006/relationships/hyperlink" Target="https://news.google.com/rss/articles/CBMingJBVV95cUxPTzlZbVRQXzE1UkpDUk1nV3BwU2Jvb0ZkMWxqUWxrOVNoQU9oZUdRdXBfMmxFQndDdzJnWnAwZDNCdTlnSEFwRlhEZEV3SVpMSUZ6VnRVbXRKQzVELTVpTlVlZUJTMFZZb0VJN05jbjJJZU5mYk5oUVJQbF95XzZVSGtPYXg1MkprTEl3QWZVVU54Z255VE9EX1FVVmxVcE" TargetMode="External"/><Relationship Id="rId470" Type="http://schemas.openxmlformats.org/officeDocument/2006/relationships/hyperlink" Target="https://news.google.com/rss/articles/CBMi7gFBVV95cUxORGNWUVoxLW45OWs1dHVuSm5PVU5uT2JIdVdkbFpjOWtmT29VMVk2dG92UjlqendRa3ZzSTRlbndCWVhUZFctQjlDLW5vc1ZfVUNWajh1dDhXVlhmd0ZERGlBNHBLSEw2ZUg3ZXQ1OUFCV1RJSGpsME5keXRweGljN29xdkZEeGF3T2RCLW9FTldnc2NDSElrS3A3XzZHYV" TargetMode="External"/><Relationship Id="rId471" Type="http://schemas.openxmlformats.org/officeDocument/2006/relationships/hyperlink" Target="https://news.google.com/rss/articles/CBMizwFBVV95cUxQMXZiVElHcms3ZWs0Y3Boc3ZDRHlkWDllQVFhVWM5aVQ4VURydWRRSkFmSTBHMzBkNTJDaW5Mc3VfTUtWdzR3MVVwNmptRG9JNk9kZnVjR3liV2RHOGNtcGtBakRIRXRPZFNXYmp5WWJmdFVCLW8xRnVkcURmWUVyM0k1V3N3dGJLMTJsMnprcl8ydG56N1Y1MmI5NERodz" TargetMode="External"/><Relationship Id="rId472" Type="http://schemas.openxmlformats.org/officeDocument/2006/relationships/hyperlink" Target="https://news.google.com/rss/articles/CBMi6gFBVV95cUxPbDN0ZzlFa3MzRHc5aHFqRWVaUGREZjRGWTUxT2ZJOC1BRDVZWHlRN1VqYXhTVzJnaXNOWjBfbWlWM1AzVm9vWTVsY3ZFVzRBZWhVQkpfYzNZb3RZSlFLcmZaSWZSQ2pyUUVRdmpkV2tDTG1sSUhycWprVTgzN2VYSGJTM29OMW5sMXkyS2Zpb0ZPcjhSQjZydlJ2QTRZY3" TargetMode="External"/><Relationship Id="rId473" Type="http://schemas.openxmlformats.org/officeDocument/2006/relationships/hyperlink" Target="https://news.google.com/rss/articles/CBMihAFBVV95cUxQYXZzdjBCSTNtRDNOZkloWFRTMXQ5MU1JSU11ZDE1TGZ2OXZudTJ2dWNURm1keHBhXzNKZXFXdVBHa2Mxakh6TkFkUVVFNzFtWllSMFhZUXBMX1pkclI2aDd6WkJQQ0U0OGcwQnFQSEQxLUo1YmItYWpSQTJOVURXSS1YbXg?oc=5" TargetMode="External"/><Relationship Id="rId474" Type="http://schemas.openxmlformats.org/officeDocument/2006/relationships/hyperlink" Target="https://news.google.com/rss/articles/CBMioAFBVV95cUxOa1hpci1BT2w0cGtnMXhWc1plMzFxMEYwbDAxNEw2Y3B5aG1CNHhGNk5RLTlmN0NzR2JwRGRKVjZiZmJPTDdHb1ZlSDdNQ2ZxeE00aWtfemJlcGMxS1dWbW45UURyZWlhVVQ5SXhzV3pDUndwalRncl8zQ1ZuYnZEeFFiVG5hX1ZrMHhKWVFXS0JOYWYybkhzUDJWR3lfQj" TargetMode="External"/><Relationship Id="rId475" Type="http://schemas.openxmlformats.org/officeDocument/2006/relationships/hyperlink" Target="https://news.google.com/rss/articles/CBMiqAFBVV95cUxON2JJc0tSdHo2RzZQRHhobF9aRjNnbmdmb3VKcUQ2YlhTT1BucDJYSEhxanNtelBEX3FtX1FiMzQwUXEtZ1ZPb3lBUjE5cDA4Z2U0M2w4dm1rcU0wdW54dWEwRFZ1X3VDT0VFN01zRmVDY3dmREZtS2o3TTVidHR3d1pndXNvSXFHWDBndWd4dkJ3czVqOHFTU09FbDVsVH" TargetMode="External"/><Relationship Id="rId476" Type="http://schemas.openxmlformats.org/officeDocument/2006/relationships/hyperlink" Target="https://news.google.com/rss/articles/CBMiuAFBVV95cUxQLXFNSkxfU3d5dFh1TWM3ZmVPN2IyMUVVWkdmTmFNVmRJRjFDQW84QUQ1cDJnUDdpdENBdlZfSW5pMXRjWUEzNDZBSlI4VnpSY0Z0Ym4zcG16TDk0X3E5Y3IzRVdwS0wtcnlDUFZzR2RYU3l6NHdiM2FUYkFRLWZqZmpDSlA0MklxcDQtOWNaQXVHS0haRjlWYVNzcUk0Rn" TargetMode="External"/><Relationship Id="rId477" Type="http://schemas.openxmlformats.org/officeDocument/2006/relationships/hyperlink" Target="https://news.google.com/rss/articles/CBMixgFBVV95cUxOYlRUUGRXRFdPWVp0NFZHb2t4SUVJZ2MyTG1Md0ZhMmFiU1NNS0RmcmQyN2o3eHZKeHl0RGZqaEwzYjQwZmFuSnptTUVHSV9Yck5LWXgtUXVXaWdGMXFkVDdJcTZOZEpHclA4ZVBjZTRUQUcwN0JEelBoZW9kVW5wc1BQTV83WnhsMG5sYVoyVDhLZW5jWVllZ3hKQmwzbU" TargetMode="External"/><Relationship Id="rId478" Type="http://schemas.openxmlformats.org/officeDocument/2006/relationships/hyperlink" Target="https://news.google.com/rss/articles/CBMihAFBVV95cUxNbVAyaFZ4c0w1MUF4Zm5nczEzd0RHM1VfQXV0bnl6cjBnd2tRb1VseEZzRThONzZlYkR2NFAzUDQ1VUlueENiT2RVZEc5NzJVWTdna3NWRE5VTUo0ZnpxdHJiU1U3UVgxMHZob0FRV2VWdU9DU0c2TUlBQ3EwdDhmU1I4VjA?oc=5" TargetMode="External"/><Relationship Id="rId479" Type="http://schemas.openxmlformats.org/officeDocument/2006/relationships/hyperlink" Target="https://www.gelonghui.com/live/2727484" TargetMode="External"/><Relationship Id="rId480" Type="http://schemas.openxmlformats.org/officeDocument/2006/relationships/hyperlink" Target="https://news.google.com/rss/articles/CBMikwFBVV95cUxPRlg3Sk1zYWtmNVQ1RjVfcC13RTJQdFRnLTZXd3I0allvUnJIVmRoWTlkMnpmLXdLWFFNWm9NY0E1TmJwclNlSjd2UkJwdmwtc3JmaXFDYUx6eFpBUWFCcWpGdFB4VDNsRXd4N3V3VU00a0dQODFxamFYVldQRE9BWE91NlZNb3IyOXRUeHRUc3pYX2c?oc=5" TargetMode="External"/><Relationship Id="rId481" Type="http://schemas.openxmlformats.org/officeDocument/2006/relationships/hyperlink" Target="https://news.google.com/rss/articles/CBMiywFBVV95cUxOamw0clpNLVEyY0hST1QyUlNJZlRRN3FLelU2bEJ1THJ6YkZmR1h0N3hmQjlsYWVJLWZvanBJaWRLd0w3dzRxWnBVQVVBTnNXdmZUa09FX1RhOS1VOGU2akVWSDc0aTZRZ1MtTDRmRXlxcXFYNW5odEY0djV2a3JKd0dBMVE2YUl6WEdOTVpOaVlYUmFvQThONk8xejg5V0" TargetMode="External"/><Relationship Id="rId482" Type="http://schemas.openxmlformats.org/officeDocument/2006/relationships/hyperlink" Target="https://news.google.com/rss/articles/CBMioAFBVV95cUxQX3EzZ0E0N0RCd3JwOHBKMm0xUFFLMVRBUHg5YkVJZHFoMDV0Ylh3SGh5anBLdnlvVmFkSkdHdmozbGp4TjZmcnZOY0hGdE0ySFhVLV9YQVRlaTUteGM4OWIxdEV0Z0Q0M1UxYzNqWlZicHVhSXJ3T2hWaUVEWDNmQ2E1UUFaWThJNnVjQmdqS3lJcW5MSmpWQ1RIOUN3Z2" TargetMode="External"/><Relationship Id="rId483" Type="http://schemas.openxmlformats.org/officeDocument/2006/relationships/hyperlink" Target="https://news.google.com/rss/articles/CBMi4AFBVV95cUxQOWJUUUQxRWE3UjN3MGV5R21nU2hoQ0Y0M1NrVHpWbUs0cGpWS0V6T196YmRycVBnOUJtaTZGdDlHVFp0TWdNNHBRT3p6MGlEVGl2ckJCZ05VREhBX1ZjQS0yMmpVVXQ0SmgzU0I3a2xkQWZlMnUtMWVUS3NiTXFSaU80bEtOYlpYdklHN1BUWlNfeko5NGxIN01wSFRzQ2" TargetMode="External"/><Relationship Id="rId484" Type="http://schemas.openxmlformats.org/officeDocument/2006/relationships/hyperlink" Target="https://news.google.com/rss/articles/CBMi4gFBVV95cUxPbWdGalZFamYwdXBWRWFRQWEzZW9VbWtIUmViYldtQTlIWEtDYU1pNXk1V1RZYTVITHAxZmc3N1NvNUtuNWlVSW9xVGp3U0s4OG5JYVVUdWYyMW9Ed2YtRkM4R0paQjBmbzhvNkJGTnk4Rmp1aU42S2diMjZkVnZrTTFodUZjY2hhejVvVmVBTDBhV1NxdmJtNzAzMjhadW" TargetMode="External"/><Relationship Id="rId485" Type="http://schemas.openxmlformats.org/officeDocument/2006/relationships/hyperlink" Target="https://news.google.com/rss/articles/CBMiqwFBVV95cUxQTWdvTWNYOXhDWEpzSDBlVnZUaGNncGh4aGhqbk5JaWNsZTZtOUlSNGZxVFRGX2ItbndqczZ5aThNMDRRVXl1QmVhcUEtaU9OR285cGZUYVVQaUNfdVhxOWt4X2VDc0k2YzR1WDQ5VW0weWFRT1ZjTGhmbUxSek1GVTk3SUphbVJHSGR1eUlyZElmdEFBdjF6ekxBdUI3Rz" TargetMode="External"/><Relationship Id="rId486" Type="http://schemas.openxmlformats.org/officeDocument/2006/relationships/hyperlink" Target="https://news.google.com/rss/articles/CBMimwFBVV95cUxQUnVBSlo4ekpFWVJMWFctdDFwOUR1eGlGRmViUV8zNzNPOE96eFdtZmRSYmtMWjBrS2FzMTFEdnNqZm84T2lJVlBMcWt6VUpqYzVOeFg2MnByc1FVSTJBWF9ScEVaNzNEQ21ZT2gwOE12Si1oV2lvZjVKTWZuWjljYlFhWW9ZdGdzS2JVeUdINW8xNWlsVW50WHFEUQ?oc=" TargetMode="External"/><Relationship Id="rId487" Type="http://schemas.openxmlformats.org/officeDocument/2006/relationships/hyperlink" Target="https://news.google.com/rss/articles/CBMimwFBVV95cUxQUnVBSlo4ekpFWVJMWFctdDFwOUR1eGlGRmViUV8zNzNPOE96eFdtZmRSYmtMWjBrS2FzMTFEdnNqZm84T2lJVlBMcWt6VUpqYzVOeFg2MnByc1FVSTJBWF9ScEVaNzNEQ21ZT2gwOE12Si1oV2lvZjVKTWZuWjljYlFhWW9ZdGdzS2JVeUdINW8xNWlsVW50WHFEUQ?oc=" TargetMode="External"/><Relationship Id="rId488" Type="http://schemas.openxmlformats.org/officeDocument/2006/relationships/hyperlink" Target="https://news.google.com/rss/articles/CBMi0AFBVV95cUxQYVctYUJIVVJlR0VNX1JCN0FGVk1LX3pRUVhjbkJoYm5hZ3duWjJfZUxiUEROTWVhRndYYjNldFVGdFdlbmMzMng4d2c4ZGZqd0NhRE1KRld6dkRBSFpMaHN0ZUZJMTZrTERJUkV5M01jdjhPQ2ZKVU55T1BESV9DWm93Z2JEWVlfOXpCUEJqNzRLZUZUbFJnbTBFUDhwVW" TargetMode="External"/><Relationship Id="rId489" Type="http://schemas.openxmlformats.org/officeDocument/2006/relationships/hyperlink" Target="https://news.google.com/rss/articles/CBMitwFBVV95cUxNMnE2NmJtUmhlekNlSjU0R0xWc3Z2TktYOWpZY0QxMk9QUUR1eFZXd1I4RXUwT2YtMWJURXgtSDd2VWt4Y0Q3LTY0ay1CUXQtZjVfNTdTYjBxMFF0MElfaUE0N19SczNhdE1fbmdueVg1RUpZRVU0MUtSckNDYUtKRkRiUmtHaW9GOUtnRjJ0SkxoS2NJM1dyOHpzUE9zUX" TargetMode="External"/><Relationship Id="rId490" Type="http://schemas.openxmlformats.org/officeDocument/2006/relationships/hyperlink" Target="https://news.google.com/rss/articles/CBMi7wFBVV95cUxPLU9KNGxYLU1LcV9UOU02eGxjSGJlNW5FT2Qxa3BYUDBFallub18zQVNHUlpNVFUyR1FTdU9ZNm1iclRMdVFlYVZnUUNwWm8za2o4cTR1X05seE1Yc0FNUUpBOGRVeDlkZGw0ZklJLU1HcUFhTWl6ck16NGZwd0lIZHdVaTRia0dLRjhuR3R6NnY3TEx2SFR5UWFOTUp4a0" TargetMode="External"/><Relationship Id="rId491" Type="http://schemas.openxmlformats.org/officeDocument/2006/relationships/hyperlink" Target="https://news.google.com/rss/articles/CBMirgFBVV95cUxPaW1oUUFRZWtaRjZNMHBpVUg1VFVzRmUyc29JT0JwVXNpWWZLbnFqV0RkWFJadzZqd0hVLTFHMUI4WFl5dEZ1TGljNWxJWEZ3YkcxOEdNeWkwcHUxWER0MGVHajN1RGd0WFFMazd4Y2xIcU1Dcm5OQ0Z0T20xRF9rR0h3WUx4Smd6WG5YMXFnUHBadUFMWVFRdmtQZjNZOT" TargetMode="External"/><Relationship Id="rId492" Type="http://schemas.openxmlformats.org/officeDocument/2006/relationships/hyperlink" Target="https://news.google.com/rss/articles/CBMiekFVX3lxTE1JNktqVm5Mb3RNMG4zRGU5R2RBdEp5dEFBWWI3bTJfMVh1M2Nldjd0STR6dUVBcmpmTDZSMTlNaWRkaXIyeldtRTZPaDkyTWRKVnc0RjhkZ3U2dmRnVFZ4b1hBd05RaXJ5MlNIQ2tadFBZRWd4Z05xSnNn?oc=5" TargetMode="External"/><Relationship Id="rId493" Type="http://schemas.openxmlformats.org/officeDocument/2006/relationships/hyperlink" Target="https://news.google.com/rss/articles/CBMifkFVX3lxTE5SVktBZjJfVEV6cG1KNTRURUZ5MUNuSmFSeW5aeldtcWg4LWNkZC05TVVmRmhZYzhSWnNtbG81Vkt0ellCTWZ3dGRYMGptZ0xfZGdCTU8xY3lmR2tjNE80NE5MZ0l1R3M5M0xHV0k2THFIYk13QXlRRU5hSFdzZw?oc=5" TargetMode="External"/><Relationship Id="rId494" Type="http://schemas.openxmlformats.org/officeDocument/2006/relationships/hyperlink" Target="https://news.google.com/rss/articles/CBMixwFBVV95cUxNSDJGTlY0blpCa2pTRmIzdXVmMFdzZHk2XzdNWUQ0Z2dOdXRMWFJPSElkanEzM0M4YmVMTFlBdWpzSnNLZDNhdUhzYkNtdmVPX3F2ZGhqZzI3cC1MeWwwUlVBb1g5MTlEcHBzcW9acl9rMlpqSTl1STNPQXhyNkUzaXhaSG5fdkctODVDOHdiUGpYQjlzRWtGRVJUUzhjdm" TargetMode="External"/><Relationship Id="rId495" Type="http://schemas.openxmlformats.org/officeDocument/2006/relationships/hyperlink" Target="https://news.google.com/rss/articles/CBMi-wFBVV95cUxOclB2YWxBd3NncVB4cnBFZTRiMXRqWDViM2ZYMFNBTXpYZy14NU1WZkdnZG0tc2RJWmtkby1JR0ZiZTNlaEJLNjMtRzNLUTVyY1RTZFBuTXdtRnNfa2psbmtNR29GVW5WWjFLTEQtQW45WndSQ1ZtMjBFMmNnYVFiWkpFbnRVWHp1a3ZoV3JKZV9iNHFhbmRQemFvWWJoUW" TargetMode="External"/><Relationship Id="rId496" Type="http://schemas.openxmlformats.org/officeDocument/2006/relationships/hyperlink" Target="https://news.google.com/rss/articles/CBMiqgFBVV95cUxQNjBMSEVKUG9OM3hUSGFhUDZMN2pndVhaS01tSnNBZ050SW1jQzk0bC1XS2Q1NmhqWkV1VlZDeTUxMVcyUkhSS1FGUlk2TjRFbkRXcGotWVdlZkM1LVp1OTBXNmwyRi01azliMXdTTDFwQ1pBMDVtdGxlYVV0Z0VRblpvcEdvc2FKc0gzS2VDMURvb0JFNXVyTDEwVjBSSl" TargetMode="External"/><Relationship Id="rId497" Type="http://schemas.openxmlformats.org/officeDocument/2006/relationships/hyperlink" Target="https://www.gelonghui.com/live/2727351" TargetMode="External"/><Relationship Id="rId498" Type="http://schemas.openxmlformats.org/officeDocument/2006/relationships/hyperlink" Target="https://news.google.com/rss/articles/CBMi5gFBVV95cUxNS2w1NU9Qc0hDWG1IUVhlVFhmVE5Bc3FURVdtempkQjJncVFzTGhIdzlNZkp1dGFBUEtjVkE0ZEJzUmtoYXYwbnBaLWoyWWM2TWltWjdPR0gwYmFPSUpTa2w3ZkIwbV9LenIwR3pDTHlkTGstbGxMenBnRUxhT2h6d0kwQ3A4aC1senlYbDI2TTg3QUxsYjNXZjk4UHpwM2" TargetMode="External"/><Relationship Id="rId499" Type="http://schemas.openxmlformats.org/officeDocument/2006/relationships/hyperlink" Target="https://news.google.com/rss/articles/CBMiiwFBVV95cUxNZWRYMHk0NFU0YmIyLXB0ZDM1eTBsMXFrQkdMd0Mzc1JxYWlDb2tiWE1KNVhuMTFYVDRQUXlkbjQyMlg0Y2FVemFZa1RoczFjdjd4bTJjSUgxSTVYSXRpcFJHaHNkR2doSEhMYWN5RDRQTFkwZEM1LTdZR2JfNGhuTmE0MUhMMnJKVXpJ0gGQAUFVX3lxTE1xS1ZCN0VLak" TargetMode="External"/><Relationship Id="rId500" Type="http://schemas.openxmlformats.org/officeDocument/2006/relationships/hyperlink" Target="https://news.google.com/rss/articles/CBMiwwFBVV95cUxPWFowdDBiallzbWd2STRXSEhUeGo0dUtESXdNZTZ6TmZpbXpSeXo4WGJiNzkzZWJ5dGRpTnNvR2RzVVphSmY3cWVROG5kdmNPdUd6UDNVVWJ4QVZMZzVBRGF0NGpzQjNNMFpzYU5hQUJWa0FxNFJvbjdpT0c4NVFnOXRZei13TGFuOFJRUk1FekhPSmtURW5QV0dmekpueT" TargetMode="External"/><Relationship Id="rId501" Type="http://schemas.openxmlformats.org/officeDocument/2006/relationships/hyperlink" Target="https://news.google.com/rss/articles/CBMiwwFBVV95cUxOMjlwNmkwWkNRWjNkbmMxamlFVVdSVTRQZ0dfdVZHaWtwOC03WUFfLXZnc2d2bFBNTmhYQzdtek1uM0loVWtQT2psWHd4V1IycDdncEt4VjE3MkdWNHMtbFJUOFVmeGZLUklqeWxNTkFEYXhqQlNOTEthYXhhdmRXSTJETTZUMlE1ZmhKbURqNU1VaXlpbWtxejBmdnJld2" TargetMode="External"/><Relationship Id="rId502" Type="http://schemas.openxmlformats.org/officeDocument/2006/relationships/hyperlink" Target="https://news.google.com/rss/articles/CBMihgFBVV95cUxNaUJnMkhfNnF4MDdKejRyM3dJUlVGSE1uWC1MUkdFelNVVmt2ZmpkUjNBcVVIb2Vfdzd3dllqOUg4RzI0MUtTMGc3MnN2WGpwQ2txLTIzSkVvODBObElnamlyenNuNU9tVnJRZlMxUWFRS3h5QVFPOXRaWmpTbEcybFM3UE9xUQ?oc=5" TargetMode="External"/><Relationship Id="rId503" Type="http://schemas.openxmlformats.org/officeDocument/2006/relationships/hyperlink" Target="https://news.google.com/rss/articles/CBMi2AFBVV95cUxQNU1maUcyOWVRRXZ2WGlBakdiRVNWTXl2R1hGODRibzVRWjF4X0p2S1BiUHhwcGNYd1hCdC1UeHpobVVtdE9NZjc2ZHVVYTlEbEdIZ0E1Qm8taVhuSTkxZnFjYlpJQTkyajJCekdnNEIzYm5RcjktT2lXZ3o0dF9TNlRpeHpIQWtVVmlOd1p6ZlVmdzRsSWZaV01RNEdCaj" TargetMode="External"/><Relationship Id="rId504" Type="http://schemas.openxmlformats.org/officeDocument/2006/relationships/hyperlink" Target="https://news.google.com/rss/articles/CBMi2gFBVV95cUxNZDVOdlhYaENqYTBXdC1ZcEdhTmh0dXZRYVk1V1NCd3BFVGlHVjIwcGdZX0hsV1d3d3ZPaWJ6Q0Q5alduTi1HbHNYbVpHSXVOamEzVFd5WTkwN0pVaUViN2l3Q3RSX0ZmYThsd0pUQ1JLaVNSNWZoWjhvVy1jMjRDMV9reXZ3Mmo2VWFlMXpPMTdHT2NWZVJORmxaX0UxQ1" TargetMode="External"/><Relationship Id="rId505" Type="http://schemas.openxmlformats.org/officeDocument/2006/relationships/hyperlink" Target="https://news.google.com/rss/articles/CBMi9gFBVV95cUxQbHVFRzNaVlRoMks5NGdhaVJXY180N2lIcnozOWNib0Nkb25rem9zYjlxM0Y3VXFIa05RQldXcnZZVkU2STBiS09TS094bnlvdEkxNmQ3ZjBOOGZCS25JNVc3ZTQyUEhybVlZazBTVUlYQ3JPV0xOMm1nUkVNX2tvQ0ZORVA3aFNHbURFTzIwUGx4ZTVMcl9iQzVFVmZST2" TargetMode="External"/><Relationship Id="rId506" Type="http://schemas.openxmlformats.org/officeDocument/2006/relationships/hyperlink" Target="https://news.google.com/rss/articles/CBMitAFBVV95cUxQUE5USWU0MTlTZzlFUnp4M1ZKNmlCel9YcXczZXFwTGNzazExVF9jUUZ6d01kVWFXOXFOeUx3R2o1N3BMdE54cjNyU0Z4MnhLN01nTXBsX2JYejhkaVk1Y1I0Z2NUUXJiQjdmcXl6TnBfMzNrdDJ2NFJkZjhkNWM0R1M0MmdQQXNkVDRXN2ZEVV9yX1FpZzRtSndwQ1NWVm" TargetMode="External"/><Relationship Id="rId507" Type="http://schemas.openxmlformats.org/officeDocument/2006/relationships/hyperlink" Target="https://news.google.com/rss/articles/CBMipAFBVV95cUxPTm5URkY0aHJjYWN2NFRnRUxfVlNzdlZjWTNHS3FnMEhOeFhRMkU4T0lvNjBfbTBqaWwxb1Uta0h5bk1TWnBOS3JDTjFWdTZQRG42TXNDWXdMVWZabG1QcHhiVjNaRGJjU2tYZGxRd2dpRHl0V193dlBHRFBXYnRKS1RMSjQ4VlN1WmVGRS13UG1VbjcxLUI5MS1aVjJDRW" TargetMode="External"/><Relationship Id="rId508" Type="http://schemas.openxmlformats.org/officeDocument/2006/relationships/hyperlink" Target="https://news.google.com/rss/articles/CBMi_gFBVV95cUxPYWl2RW10cVhnZGs3RUhiLXFScmZ4dm1xU01Fdm5yNzZPampaZF81ejZKWnZNWS1UREtJaEFrS043d3lKTGRacTk1Q20wV2M0TlJTRlZlUjNEckhiSE5xUEJ3Mm1sRmJPcURUajFjalZKU2xXOGh5SjliWjRLbWlHT0NXVHYtZUszaURieS1WaEtodVpvSHFrb2VFN3BWX1" TargetMode="External"/><Relationship Id="rId509" Type="http://schemas.openxmlformats.org/officeDocument/2006/relationships/hyperlink" Target="https://news.google.com/rss/articles/CBMi3gFBVV95cUxQR1VMSlpuV1dEazIwWE1nM2V6VVdQYjRZQW5aX1lLT3ozQkR0OGZjcjNhb2dTd2RnYmJpMWp3SzZmQmtvSWo3a0VpaGl3TFpfZ1JXVUlGaHZyQ09WS0l0RTBRVGI2VUZ6MlNZVFk2N1B5U3lJYVdwb3QwS0xzUWZGVjFQMGgzUFZ5emVQVXl0Vy1Ca0xGTkYxb2xMbDhwWW" TargetMode="External"/><Relationship Id="rId510" Type="http://schemas.openxmlformats.org/officeDocument/2006/relationships/hyperlink" Target="https://news.google.com/rss/articles/CBMi5AFBVV95cUxNa1M0bUJyRXNzSlZHakZ5djRZRGpZQmY2TUNfbEhwUEhHdVVCY3FIUDVuWmNTYjh5N3htNm9mOUFWOEdvelBBUWdUUmVqb2U1bFg5YWNmeUJIVHpROFUtc05rOVN1WHlQTHpqN1NFeENkem1qcmhLOVlSeDRNQ3RGOWFUVVBPcnZYaHpvRFdwTXpkOXFGd2lQN3VPUU5Kb1" TargetMode="External"/><Relationship Id="rId511" Type="http://schemas.openxmlformats.org/officeDocument/2006/relationships/hyperlink" Target="https://news.google.com/rss/articles/CBMiygFBVV95cUxNem5tcTNrRFRYQ1lEaEpIZUxfcFRfeXc1V3lWTTBnQlNMM3lYbERLWktMNl9RdTlwT3BFRXROZG1PeWVjMFJEUXZtLUJwVUJvOXNlQmZqMzRXRDdjc3FjWWljRkh4cGxhOTJHTTRKUDRTNkpYR3NvZXdRQm9LMFpZb0tYSjZ6NkROWEhTSWRLMmRKX1hNMTVfZldzR1JPOG" TargetMode="External"/><Relationship Id="rId512" Type="http://schemas.openxmlformats.org/officeDocument/2006/relationships/hyperlink" Target="https://news.google.com/rss/articles/CBMi2AFBVV95cUxPN3VwSEJOeGhRSzlKT2I3ZDk1ejIzN004N1ZjU1ZyQldRLWVUUjA3a2MyQ1ZvT2tPZmZRdnA0NjdKUEF5X1VfRk1iSnlza2NPQmhFNGhRZW9fdTFRdURZY1o5N2Y2cy0yWkdEbjJFY0RhbEJtZkt6UWt3UVREakRJOFo0d3lRemVVa0RBVDU3a0p3T0xrYjdNTlRtUms1Wm" TargetMode="External"/><Relationship Id="rId513" Type="http://schemas.openxmlformats.org/officeDocument/2006/relationships/hyperlink" Target="https://news.google.com/rss/articles/CBMi5gFBVV95cUxNQk1jZXRvWlNVbUZVeHRfSFNvcEpLZzltczJJOVR2UTlRSVo3ME1CYllrUHRjV1c1UWQxaS1ORkw5QnJNMWJXdUhHMHlYM3hnU1dKc2VGNHJsMHEwdlBQclVidlMwdmdXLTNFY2Q2TDRoZjVNNEQ4a3R6WHJ3S2xJOHp5anl5QXUyQVE3UUdzbGlDZi1YNEgtMGw2SXJoUD" TargetMode="External"/><Relationship Id="rId514" Type="http://schemas.openxmlformats.org/officeDocument/2006/relationships/hyperlink" Target="https://news.google.com/rss/articles/CBMiogFBVV95cUxPT1AyWE41QTNhSEhjQXBvU2NhSjRuTlEyOXVrd09fNnkzUmNXS3hmV09fckhBUlJWSmRUZ0sxVFZicVhDOFl4aTJkTk5sdGhvVzRPRXF4MU5IbTZ6RmU1WWExY2VUcVdoNzBjcmhsWDFRWnhfaDdneHBVSC1QVU1iclRpNWp2aURoYktJNlVtY29UTzJNcS13eG1tTDM5QU" TargetMode="External"/><Relationship Id="rId515" Type="http://schemas.openxmlformats.org/officeDocument/2006/relationships/hyperlink" Target="https://news.google.com/rss/articles/CBMi1gFBVV95cUxNd1JFRENpYmZHOFFWTThHR28tUWpjc3l5VU55cnd6bXI1UUdCT2xTUXlyUHhTZmlYM2hWWW9LSGhnakx0bXF0RE5NRWxQYTNFTWJwVkhGaEh3QlRkUHhEbGtkamdqQXV4aU1nZUFZTDRmSVNGTjFpcURtY3hHRmZVMVpmVDZDT29WaFdLQmdjZjVBeHBicXVRejhSV2VaVC" TargetMode="External"/><Relationship Id="rId516" Type="http://schemas.openxmlformats.org/officeDocument/2006/relationships/hyperlink" Target="https://news.google.com/rss/articles/CBMiogJBVV95cUxOQUEyVjk1bUFDTEU1U3JTWFRtXzdzcG40QU9ZR1BBTDktQVVmbWtha1VHYV9BbkdJWEF1VVYyVzlvd2dlYkk1b0M0cmdTdmZEaC1DbGdsOUhJbXVtNWtyNm9XZmljMVlxYzhNeXVJZWw3MEh4UUJBOE5ETjc2VmdfaWluSE1SYlZDS3lQVHd2d3JLMlExR0lUbzlEeVdvYU" TargetMode="External"/><Relationship Id="rId517" Type="http://schemas.openxmlformats.org/officeDocument/2006/relationships/hyperlink" Target="https://news.google.com/rss/articles/CBMisgJBVV95cUxNRm83TEI3WV91Y19DZVUwRktfRVZ4c3EwWGJGNlBEV2VBNkstN01YSkRER3R5Tkh6SUNCQW5YSXg2UWFUWG1lRU5vRWdvbWZRZkJoSzV5aXE1bzVlUkVtUFZmNk1HRmZvaVk1SG90T01sNm5XRWM4RU40MVpCNHJ4VXpyQUtMVlhPdERfWlFaM1REbnc1dzdBV2Z4SzJQNU" TargetMode="External"/><Relationship Id="rId518" Type="http://schemas.openxmlformats.org/officeDocument/2006/relationships/hyperlink" Target="https://news.google.com/rss/articles/CBMicEFVX3lxTE82eENnM1dSMjNseW81ajVxT05qRHNIYzk5Nnpid25vNG9GbkUxOWRxOHBsdFpoQi15YllRUWlXOHVMTHdNWTdVVTl6dFNmYzZlSnVkc09admFqcTh5eVduQThkZUlQUFBmZDNUNFlDaEE?oc=5" TargetMode="External"/><Relationship Id="rId519" Type="http://schemas.openxmlformats.org/officeDocument/2006/relationships/hyperlink" Target="https://news.google.com/rss/articles/CBMipwFBVV95cUxPWmwxVjBpQ281aEJJd3pNeGUxRXVlZWd5QnZ1ckdiR1RqMnJjazVTU3Z1UjROYjZiT1pDbURoMkhEVFdDcVRZcU0zSGJ4YllQMWdramdqSE54ejN6dENyNmxkcERUTk9HcXZpS1dTbW00OW5QY2pKYTJlcTVReUs5VGZIUDkweHJPQlJnWC0zTWFsay1sdTUtVXpRZHZDWH" TargetMode="External"/><Relationship Id="rId520" Type="http://schemas.openxmlformats.org/officeDocument/2006/relationships/hyperlink" Target="https://news.google.com/rss/articles/CBMixwFBVV95cUxOMlU0eHh1ZS1WQ2pka2hzMjZvOTM3VEE2cnJ1dERCa2ozdWZILWQ1ckpNZzZuSEVqekRlN1dReVpTLW45UnhEZE5lNUhZVFAwNzlsNVVPYkpQVm1WN3ZoaXJ5U1BqUFVuTVhtX3pjRUx3Rmc3Z0RvMGxiMjhfYjBrUndST0RxYk4wN2oycy1EMzl3NWRkay1UdXZUTHJ4Rn" TargetMode="External"/><Relationship Id="rId521" Type="http://schemas.openxmlformats.org/officeDocument/2006/relationships/hyperlink" Target="https://news.google.com/rss/articles/CBMi8AFBVV95cUxQWjlmOEtPcE1qQnNaWnpuVHlZQlN6dGNLTTAybU5kbjBnMkJhdkxhUDltMW9fTFMtSFNUdnJ0MnpCbDBWWHlPR0stQ21TR0JxMHp3V2hWT3pnak56RmNmbVNzRVpfY3EzdlJEWEI0NTFHUk9DWGlTMVBZbzF5bmlZeDVlMURKX1A4Yks0M0NESUhXeHRxTTBwcVU0MTRFNW" TargetMode="External"/><Relationship Id="rId522" Type="http://schemas.openxmlformats.org/officeDocument/2006/relationships/hyperlink" Target="https://news.google.com/rss/articles/CBMi5gFBVV95cUxPYXctTzVLT3FsZVhkUGpxTHBORDQyMzZfWDh3ZFNfQ3M4bEc0M19ILVk0T21QU0JtMjBCZUtHM09Va0NwTFZybGJqc0dSYlpEQ0sxSDZfaUJKRDhIMTNXMENHMXNXOUlULUhWaUlWVTJ4QktWR2dVcktxTFJSUlFHdm1kN2V4YWlRWk0tU0lQam91X05HN3lWUTlydVh4cG" TargetMode="External"/><Relationship Id="rId523" Type="http://schemas.openxmlformats.org/officeDocument/2006/relationships/hyperlink" Target="https://news.google.com/rss/articles/CBMi1AFBVV95cUxNWGpvbEZtWlJXUzFJRVR6M0x4NEZwanJOSzIxVVk3T252eU0tR0hlVDR1cTF4ckdMUmtvQzRrUnhfbkxUd1FETmJNc1VPNVlsX2x2MzZzdUQ4ZXg0MXBMQWZpSGlhOHJFM3l0THdKM2xTU18zWHQ2d2lzLVVXSUN5d0tnV0RsbWo5Ym9yaE16ZHhVQk53VjJiMGowVkJUN2" TargetMode="External"/><Relationship Id="rId524" Type="http://schemas.openxmlformats.org/officeDocument/2006/relationships/hyperlink" Target="https://news.google.com/rss/articles/CBMimAFBVV95cUxQVkVuZl9UelNMeEFSTHhvTzFRYzdQNTNKZlMxdU9kWWUyaXhiR1FoLXhXRFZqM0xub21DRm1JbFp2XzBNY1lwOEMtaHozeUkyUkpJMm51U1FocUZpd3FSU1Y2djc0LUNVdEtibGlrVW9yNWUxQWpLWDE5Sk1SeXBTVkl5MktzaEc5YmhFUU9YbjgwVnRma2VVYw?oc=5" TargetMode="External"/><Relationship Id="rId525" Type="http://schemas.openxmlformats.org/officeDocument/2006/relationships/hyperlink" Target="https://news.google.com/rss/articles/CBMitAFBVV95cUxQbTRpZVF5UnpMWTljWmFBS052UUl3LTVRU2Vuc3cxRURFZjl2eVN1em5rUW8tRnVxaURRYUt5aFJGV2FxUS1FbjlXZmlpdFZrOTl1SjZndWlWdDB4cFJQVGE4VHJSOHJ3ajA1eHkwcFpOcUkzS2kyc0R5eUJuamNscFQ2dDUyUFFKMjJXNFI4cWF1alA1a2pxa296cmlRYW" TargetMode="External"/><Relationship Id="rId526" Type="http://schemas.openxmlformats.org/officeDocument/2006/relationships/hyperlink" Target="https://news.google.com/rss/articles/CBMinAFBVV95cUxONXdTMzJRX2lhYWpQaS1USjE4QUVPQnhHY3F5SC14aGhRcGVweHk0ZUJyN3VPMzNaYUZGQ3ZXdzgxbXUxRjhMaXRNVnFhSkpFOURDZDVTck5seHJXN0N5akNid1BTbVc3eVgyazEyNWQ2d0l3MXRYcGU4bmJfb1BkQ0pwYi16bWNSa1RMOW1pYkROczgwaVlQUTg3SWPSAa" TargetMode="External"/><Relationship Id="rId527" Type="http://schemas.openxmlformats.org/officeDocument/2006/relationships/hyperlink" Target="https://news.google.com/rss/articles/CBMihAFBVV95cUxPZW12b3F4S29KR1RERFNyVkZVT1VUaE4teUwwSk9NeUVvTzRKMmFQYWVpZ20wU0RzcVl2bjY5WkJDTFB2ZS1ZQ1VzUzJ5Y2JxR29zbTZUUUtJdzZoZVlseks5NE4xVjZRNWw2cFZFY0FVeWNadm5vNHNPb3gwMVpGSmhiY2E?oc=5" TargetMode="External"/><Relationship Id="rId528" Type="http://schemas.openxmlformats.org/officeDocument/2006/relationships/hyperlink" Target="https://news.google.com/rss/articles/CBMirwFBVV95cUxNd2tqN3RMdGxHd0tlS1p1WndoRVd5WkZlakJjMTRlcDNQYWdubncyUm5fX2ZDYW1ZQjZNaF9KSnpKcV9SYUVHdldnQUVKZTMzSzNxT1dKSzFneE1PM0hlV1k4SDQwNnc1ZUY1YTEwakJCRDhwSlVRT2JBMTNjV0hOaEY2cnREWEJjOVRmX1ZEMmdTSDJTVUdxNWNQeFFiel" TargetMode="External"/><Relationship Id="rId529" Type="http://schemas.openxmlformats.org/officeDocument/2006/relationships/hyperlink" Target="https://news.google.com/rss/articles/CBMiqgFBVV95cUxNLXZZby16ZTQ1cXVNQXprZWtCWEJiUWVfelJENTBmbEw1c2cxdFRValZuV3BlbGJDbGtsSU5Bay0xeUEyYlRzdERwWUNWallzemZuT1RKQlhMMDZ1ZW5BdWVkQVR2OGxHeDJoa1B3TnFlaXZ3dHk4QUdlRmtLb2JtVVZ1RDRZTjFUTEVVX19CZkhpa2xxV0tmblFuMEctYj" TargetMode="External"/><Relationship Id="rId530" Type="http://schemas.openxmlformats.org/officeDocument/2006/relationships/hyperlink" Target="https://news.google.com/rss/articles/CBMitgFBVV95cUxPd2kyZlNZcnZydDRDMWZyR2cyV3pHYkJQMXl3c1A3azNEM2xNWDJjUmdzT3ZVT3JWRlVIZmtrTG82d2kwRk5vbmg3TEZMdWJ0R1NZZl9uSDVhQ1NBbUxoN1lTeDFfQTI0MlhqRnpDRC1feTFEYXIwbmU2ZzdYTUM2SGtsbnFyOEdpM0ZIZnpZZDVNWGZLWlA2a0VqbWk0a2" TargetMode="External"/><Relationship Id="rId531" Type="http://schemas.openxmlformats.org/officeDocument/2006/relationships/hyperlink" Target="https://news.google.com/rss/articles/CBMixwFBVV95cUxOd05hZV9CR1JuTWw5ZUE3Q0pyU2gyaHp0cEFGQXYtS3MwSUdaV2JpN2E3a3E0VjlmUldBNWpjLVFyeDNiY3JnX1haTjhsY28xa2VpbFdXLU9TMk1RazhkOVRqX296dFZKNFVkWE84dnFWcVNicEhKcFFualpFS0pYSnpwWXI3QlVpdkhVQ2trckJQcUhIemp0aWV0MGxNQk" TargetMode="External"/><Relationship Id="rId532" Type="http://schemas.openxmlformats.org/officeDocument/2006/relationships/hyperlink" Target="https://news.google.com/rss/articles/CBMib0FVX3lxTE5FM0NpcGtfeTJzc2ZKbGk1a2lKZGxTWkd5TU9QTW8xQmxVaS1LT0tTUXNHMlZQY1pWN3NDamI3bjU4VnZ1WURRc2RNdE8xYTMwY0Y1bHVYQkQtbHJNT3lMa3lsUUhyelh6UmtCTDFfbw?oc=5" TargetMode="External"/><Relationship Id="rId533" Type="http://schemas.openxmlformats.org/officeDocument/2006/relationships/hyperlink" Target="https://news.google.com/rss/articles/CBMipgFBVV95cUxPd3ROY2tkdDRnU0N6SkZMNThXZ3dWaDVnNXJpUzZHRXUwdjF2QXVuRFpob3NhTVE3aDJ4Ni1ucWlIbldhaUxGLVNBbGJWc0F5bzQyLU5YQVg0amJKSTZRa2JjYVNGaDkwWGJoX3VPUW9GdUpHRzNva1dKNWZPbTNHQkY4VzVJUHVEanRzNktMTHJFV21VR2hhanVZcWdrX1" TargetMode="External"/><Relationship Id="rId534" Type="http://schemas.openxmlformats.org/officeDocument/2006/relationships/hyperlink" Target="https://news.google.com/rss/articles/CBMiiAJBVV95cUxQS3loeE5oV3RDYzBHcjVNU3phZktvOEoxQURKSFFCbW90ZS1MakJTV1E4dGpfMkRKdVRLYmZfWHhYenZpbW1YQVdDN3RKMHB2NklqamFROFJaVFhsTmg4V1V3QUxUTGlNYWQ2MXhPQWI1azM4TmUwN1NSVXdid0NDeWkyT2NSMDRFRHhpQm9MS3NCdkJ5U0dVN29SNkpiQk" TargetMode="External"/><Relationship Id="rId535" Type="http://schemas.openxmlformats.org/officeDocument/2006/relationships/hyperlink" Target="https://news.google.com/rss/articles/CBMinAFBVV95cUxNLXRLVURSNjMtWTlCQ29NWWtmTXFYTTBhdFd3OUNfQjZRckd5ek1LbEpjVS1ucGxzOGNKc0NfcG5xZm85MVJBSXZHbEJLZlJZSnE4M0RrRG1HUnJtOXFqVE01M2R1UEFJYldsbnMxRHdrd0tqam9LTmV2ckVRVm40eFVKbjdFT25xOFByVG9aS2t3dGU4VjJWRTJsc2w?oc" TargetMode="External"/><Relationship Id="rId536" Type="http://schemas.openxmlformats.org/officeDocument/2006/relationships/hyperlink" Target="https://news.google.com/rss/articles/CBMiqwFBVV95cUxNbklVWDJEdVEya2xhZVJrYzBmd2lweFAtU3JTcnhWSzJja1lEc0pQTTJSbzFwbEpLZDc0cHluWFEtcHpZeWdNYm9BM3dYb3hHVEttREhKUWVhMlc1OXZTYnNuNWx0QjI4NnVyTDNaNnIxTXc1T0NCWFZEdzZ3Y01maF9DdTRXQUdWZndQVUNPZjlhMkZEbzREMElTZDB2el" TargetMode="External"/><Relationship Id="rId537" Type="http://schemas.openxmlformats.org/officeDocument/2006/relationships/hyperlink" Target="https://news.google.com/rss/articles/CBMiogFBVV95cUxNWjg5aHNGWmpqb0I2bnlYNHlNR0paYkhjNlctZHRsZlh4c2JzN2JuMjc4bG55bjBSV1ZrYTRJYmVjZ0hLbTJfNWtBM05uSXN4dnBDcU1NdlY0TlZTT19aYTZKc20tTkU5Y1BlV21kYUh2ZFR4TlR6X0VvdnVrNzZFcGpiY2xnbTlhWXFaX0NVOFVrc3VnMzJ5WFYxTW9adT" TargetMode="External"/><Relationship Id="rId538" Type="http://schemas.openxmlformats.org/officeDocument/2006/relationships/hyperlink" Target="https://news.google.com/rss/articles/CBMiiwFBVV95cUxOSzVxZnFpSjB3ZW4zak9HdHN4N0VkaHdLRk1Qc3RDZkFEdEN5a3NlaTd3R2w1ZzlHMlBOQ1RjQXN6WWk5OUV1Yl9SQmdackxEV0VyYkZGVzk4ZjR3SXM2QXdlaE9heHRYS1k1eV9abDVuekpDNHIzalk5T3B5NklsbF8yUktQQ2ZXTkpJ?oc=5" TargetMode="External"/><Relationship Id="rId539" Type="http://schemas.openxmlformats.org/officeDocument/2006/relationships/hyperlink" Target="https://tw.tradingview.com/symbols/NYSE-DAL/news/" TargetMode="External"/><Relationship Id="rId540" Type="http://schemas.openxmlformats.org/officeDocument/2006/relationships/hyperlink" Target="https://news.google.com/rss/articles/CBMi2wFBVV95cUxQWEVXX2VINmVCdEdZdUFiRjd1Y0h0MUc3WFlUdzcyYjIwQ3FPZ1NPcmRMMl9uUERJTHB5Y3YtSnNDN01hdFVsLWJWRFdlWEZyOHpMU241SXQ2ZzdUMGxzMkZrUW1NYnc3aUdLTy1Zdmd3WHd4N0txX1E4T19vOEltTGk4QTVLdl9RcEpTWlBZVXB4VzBaZlBSSGdiczU1Y3" TargetMode="External"/><Relationship Id="rId541" Type="http://schemas.openxmlformats.org/officeDocument/2006/relationships/hyperlink" Target="https://news.google.com/rss/articles/CBMiwgFBVV95cUxNMW5fckc3RmJWT1pXbjEtQ3FVQlZnb3ZtR004NC1OcVBMRW9JZjktYTJORmZkNzJQOGJ6eUNOLTRRWHJKX2FuMGFINUMyaWNHaXRvbngxcjVoQTFMU1JtZVM5emZwRDBLZnV4eF8zZUJFODlTM2p3bm84c1hGWE8zSGhmU1hiZEtGRmZIWjN6X0kxMDR4YmMxOWQtbFNQQW" TargetMode="External"/><Relationship Id="rId542" Type="http://schemas.openxmlformats.org/officeDocument/2006/relationships/hyperlink" Target="https://news.google.com/rss/articles/CBMiiwFBVV95cUxPbXBJTmQ2UmVfcFRnemJMUHNHLWhHblZaQkV0NTg0M1hscDAyX2o5ODNzMy1UdTdaWjd0bDBRclJxYzhiQWllU3ZNSjZ2YjV2TTR3QzIzdEU2N2hmYWlqRjlrNlRiOEVpaDBCZ2pDZHNlNFU4V1FyV0E0VFZjampkR0pubG80aldraFk4?oc=5" TargetMode="External"/><Relationship Id="rId543" Type="http://schemas.openxmlformats.org/officeDocument/2006/relationships/hyperlink" Target="https://news.google.com/rss/articles/CBMirgFBVV95cUxQRXJWMDNEZTJLYThmMk9HTGtacHVkNUxSbnkybzRvbzFpQWstZVdIS1hVb2Z2enB0eDNMc2psdVM2R1NiUzFOMnV1OXRGQkpYdVEzMXdTQkVBNjducEJza1Zubi02RnBEQ0QzUnEwN0QtdkhsTE10a0s3U3VQcEhpbDNoMHlad0V2NGxRYlMxZzR0NWRBRmFPSEx2TklMVF" TargetMode="External"/><Relationship Id="rId544" Type="http://schemas.openxmlformats.org/officeDocument/2006/relationships/hyperlink" Target="https://news.google.com/rss/articles/CBMi1AFBVV95cUxPSG5zQUM5VnVXVVBsSEJmNDV2ekUwa2t2R0E1MngyVUh0ZnkyRDkxZ19OSHVMREVTODRmdzFvamlBeUM4eTNFaDl1MFB6OGhtWExrOXBQaTI0Yk1YUjJLUlZqem1fN0QwMW13a2R4a0VwVTdneExVenNnR1pBdWV2OHFjd08yNkNjUTM3UzAzX1pCOTBJRWhDbUZIRlJBeG" TargetMode="External"/><Relationship Id="rId545" Type="http://schemas.openxmlformats.org/officeDocument/2006/relationships/hyperlink" Target="https://news.google.com/rss/articles/CBMimwFBVV95cUxOdEFjSlFsNEltRWZ1dXg3ZDBsYmFPTEhTWGExMW5CVVNrODdvamYtVEEyV3NrM2RlSzVoNVRCUm1YcUh2NG1kbW1tYzVoMU5KSDV2ME5heFFnUGdNSTVtbVE5TzdwQ2hIdWFWMVZ1djMyOXZBaUtReDlPc1RESnZMaUJqNlR6ZFV2QmJ0WWFjMkZnb29XekUxQTZxdw?oc=" TargetMode="External"/><Relationship Id="rId546" Type="http://schemas.openxmlformats.org/officeDocument/2006/relationships/hyperlink" Target="https://news.google.com/rss/articles/CBMiiwFBVV95cUxPaW5sdThCLVE0MjNoQjRSQWRoa1oxS1RHRTZvY0E3ZGJDLWY0cTBWdnNJMkxlalBVaFZKMG1COEFxV1J6YVFUT2kwX1FZSEZtX2VWYkVyQXhiS00xdERITTl0cUQ1cGxycUdmNUhEYmR3RnpDZjdSYXdDY0JNM2Q5LWxvMW5sd2ZMZ1Qw?oc=5" TargetMode="External"/><Relationship Id="rId547" Type="http://schemas.openxmlformats.org/officeDocument/2006/relationships/hyperlink" Target="https://news.google.com/rss/articles/CBMitgFBVV95cUxQbmsydlhpNWxiUnZVNE1iYm9YdHoxWTJVMlBRZ25jYnIzbXFjX1RYRkpkbGpndW15cnNqMURXMXZQdGM1ZmpDek1ldmswQUFEdDJQYXo0OXZqVkVhVjFKeFEwZm5fR3lwSl9qeGhWdHBDaVY0WkloaTc2ekZsSlV2S1N0bU1IVFl5akRybEdPaGNtdGNlaGh2bExNeHA5Mm" TargetMode="External"/><Relationship Id="rId548" Type="http://schemas.openxmlformats.org/officeDocument/2006/relationships/hyperlink" Target="https://news.google.com/rss/articles/CBMigAFBVV95cUxQYmNLXzJzUWtTcUdBTmVaOXhkUFMwTUVxNTV4a1lKOHEtVEpwVk9pQ09NQktGSmlTRzZuT3kxRkhnQy1FY0MxRzNyNUptTjZmaFNlU3JacnBtY080U1FUaEwwbkRyLVJ4TWsyQWlvMTYxV05PWDVPRE9hallIOU9rSQ?oc=5" TargetMode="External"/><Relationship Id="rId549" Type="http://schemas.openxmlformats.org/officeDocument/2006/relationships/hyperlink" Target="https://news.google.com/rss/articles/CBMizAFBVV95cUxOSW5Ta19KZlhFek1md1ZHZTNRc05KblBLNy1wcmcxT19rbm1SUUd6ODZJamppSG1zUkdMTlhxOGtxV25ZaEpPaEU0N3dCWGZyTUZyVUFVVFdsU1JkRnBNcFhSaVpEZ1N4THppbnVUTDg0ZUVmVE5jb1d4UlB2MWtuR3JGTDg2NHFKS0dxNXUzSGptbExqeWhsRjFLa2pyaT" TargetMode="External"/><Relationship Id="rId550" Type="http://schemas.openxmlformats.org/officeDocument/2006/relationships/hyperlink" Target="https://news.google.com/rss/articles/CBMi-AFBVV95cUxPdUVodVBVSGdxemhuLWphd21iRkxVTWZRSF9PV2M0MnIxZmVYZXVKQ2JFaEgxdlQ1Y29CVUhrRnR4bnJBQm5mZEcwWlBpaHNLLTJlay03a1E4UndnbTBRdUxKQzkxMTNYSVpyM3dkOTdHT21rQV9WYk12dGxjeTJpU0JrSWpqUjgyOEtDS2dXM0tiRTBRYjljMkdCWEljUV" TargetMode="External"/><Relationship Id="rId551" Type="http://schemas.openxmlformats.org/officeDocument/2006/relationships/hyperlink" Target="https://news.google.com/rss/articles/CBMiigFBVV95cUxNQXNtRW1aVXZsVzZOc0xHT2VjTGhOXzNhTzFsaldJbTZCR3lpc0VWMW14UGhPNk5lMF9GVW15S3pZRVFoRFg3ek9aVHBDcmVvQjB2akJ5azhqMVFhZHhfSDlmNS1LV1c0alBqeHVvMnI1aXMycFptVEhpcjV4NkswMlE2ZHRCTWN5dnc?oc=5" TargetMode="External"/><Relationship Id="rId552" Type="http://schemas.openxmlformats.org/officeDocument/2006/relationships/hyperlink" Target="https://news.google.com/rss/articles/CBMimgFBVV95cUxPaGgyR0ZrNWNBTDBoNFdIblVmSTBsM0xYMUVGWUdNYW9Na1JBUGZROE9fdlVXU2hFNncxSEdJblFGeWdfODZxYWxybTZ5SDRfc0p2ZlowVFpSY052UzlYMTRfZjdia3NrUUVfdGpTanJfLW13SlNMZFNqYXJfTkdoY0lUSEY4SjZnaDNqTWV1dzNhQ2hZampSUEpn?oc=5" TargetMode="External"/><Relationship Id="rId553" Type="http://schemas.openxmlformats.org/officeDocument/2006/relationships/hyperlink" Target="https://news.google.com/rss/articles/CBMi4gFBVV95cUxQTVdSajBLbGVZc0JnTmFaMFlmRHltUE9GNHV4VlI0Qm1nbkRXUTJEeFNkbFl2LTEwcENTSGl6SURWdF9YVWM2WEVQWFdhNm9nOTNmdHpzMWhFRG1HczNtUUpEQ0pfbTFjSUNpODAwX3FXVExYMUJPbWdLRDBfTWk5V0E2S2RUdHlLdEs5NGdOWjk0SGhOX0lRNkNUZjR3R2" TargetMode="External"/><Relationship Id="rId554" Type="http://schemas.openxmlformats.org/officeDocument/2006/relationships/hyperlink" Target="https://news.google.com/rss/articles/CBMi4gFBVV95cUxQTVdSajBLbGVZc0JnTmFaMFlmRHltUE9GNHV4VlI0Qm1nbkRXUTJEeFNkbFl2LTEwcENTSGl6SURWdF9YVWM2WEVQWFdhNm9nOTNmdHpzMWhFRG1HczNtUUpEQ0pfbTFjSUNpODAwX3FXVExYMUJPbWdLRDBfTWk5V0E2S2RUdHlLdEs5NGdOWjk0SGhOX0lRNkNUZjR3R2" TargetMode="External"/><Relationship Id="rId555" Type="http://schemas.openxmlformats.org/officeDocument/2006/relationships/hyperlink" Target="https://news.google.com/rss/articles/CBMiaEFVX3lxTE1udGR3Y01sM3B5bVJUeFRRaWRWZUZnaFg3bzV3SHVKZjlYTFhTRlhZX1BWZnBUaXdQNlFuU1lCcWJ1SUFjR25RODlnSHNIQTBnQWxFN1ZVdzY4NHJQNDVtUlVydnhIbEtX?oc=5" TargetMode="External"/><Relationship Id="rId556" Type="http://schemas.openxmlformats.org/officeDocument/2006/relationships/hyperlink" Target="https://news.google.com/rss/articles/CBMiygFBVV95cUxQbFktUk9iOVN0VG5hdlRYLUhHSXZqYWt2STZaVWtMOWpCWGhaQmlrWFlpaVBwUUxCdS1oV0FPQmxtMnkxTnFJOHFHc2Y0SUNDZGtkekZTcDBUbjJDS3Z6RWdmRmtHN29YVDNuR1pBcXY5MkQ4ZFJTcU1LWVlfUGpLeWlvaWwzaExMU2l6VmsxVG41TllaODFwRTM1MzFyYm" TargetMode="External"/><Relationship Id="rId557" Type="http://schemas.openxmlformats.org/officeDocument/2006/relationships/hyperlink" Target="https://news.google.com/rss/articles/CBMi0AFBVV95cUxNZ0YxVE1wQU5GcW5UdU5hVkV3ZWRDVkZpUDloaHQ4MzJjX01NLW1YRUVHbEl0QVQ1U1VuOG1pdXM3TDdnTkFIZmRWY3JjdS1YNTd1azdYVDhiTjB1LUhSRTVSNTNmenI5YThqRV91MmljRXFGZzc5WVhZeUJBX3hQS2o3RUlvR2dnZkdMZUFHV3NoTTRGeHR0SXhobHdwdi" TargetMode="External"/><Relationship Id="rId558" Type="http://schemas.openxmlformats.org/officeDocument/2006/relationships/hyperlink" Target="https://news.google.com/rss/articles/CBMihgFBVV95cUxOVDMtaU5MY2xKQ3Q4d3VPdEpDcnRqdkJCYk1uSG05YUFKcUZNS09mZWRoY0VTWFNQVXJNeWtSeV90NjFCZWRWbS1XNjk2VVpFYl93VkdZVVliUy04VlpCOUlMVVM5aUMwYTRJbmhIRzllcUZBdTBGOHYxRGUyWXJ3VkRuSGRMUQ?oc=5" TargetMode="External"/><Relationship Id="rId559" Type="http://schemas.openxmlformats.org/officeDocument/2006/relationships/hyperlink" Target="https://news.google.com/rss/articles/CBMixgFBVV95cUxPeUVnRjhUTzZVRU5Ta19XVUxneGZXZHB1T2pFaGg3ejlaejltQmtoU0dtWlFHOWQ1QUUwS1JnRDc0cXVfbl9SSzF6REtVQkFPRFpTTEktd0swRjFuODFBZm5wZ2NsQkFTRllhVFRtWlZ6VlUxM21rclFtTUozdy1FZ3IybE1nQ1RDRm5wXzVOLWg3SF93X1VNZDcteV9FZ0" TargetMode="External"/><Relationship Id="rId560" Type="http://schemas.openxmlformats.org/officeDocument/2006/relationships/hyperlink" Target="https://news.google.com/rss/articles/CBMiowFBVV95cUxNOUkzZ3B6bEI5R2d5WHlLWm9kamxpLVplWkZLOXZGbkxILUgwcW1mX0U2WnFJekMtYk1DaUgwUjBJUlI4SVNWX1pjLUMwNXdDQzZFZU9GVlJOeElCRk8zei1QRFgtdkZoanVUSHZUNEhxNU5SaU0xS0Q3N0VuNWRNQkhsVU1kZ19yenNJMmU3Ti0zWVNEMnpENHMtT0VOUV" TargetMode="External"/><Relationship Id="rId561" Type="http://schemas.openxmlformats.org/officeDocument/2006/relationships/hyperlink" Target="https://news.google.com/rss/articles/CBMi0AFBVV95cUxPLTBHdE42SmlyUmxEckFIY2h2ZEdKa2pOM2JBZmZaWXdDUHZPM3E3UHV5VXlDSUVCSVFPTmd1SUc5b1B6TXd6Z05LVEw3R1lzSVktZXBMSURKaHNURjRvNDNjRWdNaG5hMHFCRVVxYWFBTmdfOWVRWHRYYVFCRmcyWE9pUVJxeXJ3Tk5Ja2ZMbW1vZmRBeTFKSzQ4NzAzSG" TargetMode="External"/><Relationship Id="rId562" Type="http://schemas.openxmlformats.org/officeDocument/2006/relationships/hyperlink" Target="https://news.google.com/rss/articles/CBMiV0FVX3lxTE13dGk1RjJ2REVMTjRwN2RTeUJlNmZrNnYyWGFPRlhCUzFSUjJxNml2OXAyc3ZYdEVTOU53b0lkcTd0UjRySE1HbUZnckNNR0ZSU0JBaUs0QQ?oc=5" TargetMode="External"/><Relationship Id="rId563" Type="http://schemas.openxmlformats.org/officeDocument/2006/relationships/hyperlink" Target="https://news.google.com/rss/articles/CBMigwFBVV95cUxNd0w2SzkwQTl2MkhKeFctRTMwZkx4MFdsZFlFb2EyRUxpYkZfQ1p3eEZ1TnBWaG0xQnhrN25sc0xpZkdTUVFHUXRTSmlqSzYwSWhkODJPMmx5V2ZnWW01azJDWEJNLVA2QkhwbDNQMk5HaElfaDFBUTNJVnpRN2FLZzV6SQ?oc=5" TargetMode="External"/><Relationship Id="rId564" Type="http://schemas.openxmlformats.org/officeDocument/2006/relationships/hyperlink" Target="https://news.google.com/rss/articles/CBMilgJBVV95cUxPZXdsTjcxclFWd09Ka1VvNzZiQWsyNHNrV3dpTExzSjBfUllnYVBKZ25SVnZfZTRkalJxXzFtMEc3S3R5aWVLQ2NGT0hab3FoUU9xdVF4eDBNRXJiSnFCTWtpMzJrRFdBUllXVWtpTk5abGQ4eFByNGRoSHVjSDBObDMtUFR4aDZUV1dmYTlIb0huQXUyN2RfQ0NCWFVPa0" TargetMode="External"/><Relationship Id="rId565" Type="http://schemas.openxmlformats.org/officeDocument/2006/relationships/hyperlink" Target="https://news.google.com/rss/articles/CBMigAFBVV95cUxOUjVMZkZ3UEhURU1qVVlZTkRDLU1FVGNwREVMcDlGcFhtQVJZSmd5Y2IzeWt1YjNWcFhIT2RMN005REpfdkNoRDdrdHRaaHFtTm5kYkJpWjZ4YlBtdVJRX2lnNnZKX0FWclRqb3E1cF9EZFlSaThhZzBzYnp4LWg2UQ?oc=5" TargetMode="External"/><Relationship Id="rId566" Type="http://schemas.openxmlformats.org/officeDocument/2006/relationships/hyperlink" Target="https://news.google.com/rss/articles/CBMijgFBVV95cUxPc3I0NmVWSU9iVWxYOFlwYWRLTExtcExYS1l6MWhwa1ZPVzdiNjFfNVF0QXY1X0hLcEZnSEJwUDdBS0tPeE53a3RRM0ZveTdIVGVZZFBEY0Qxa3dQRktmYVF5WVFDbHpZUDVwdmh3eFpwRlhpdXNZdUpqTUpxTmJYM3VWSV84RVBUSll4X0R3?oc=5" TargetMode="External"/><Relationship Id="rId567" Type="http://schemas.openxmlformats.org/officeDocument/2006/relationships/hyperlink" Target="https://news.google.com/rss/articles/CBMinAFBVV95cUxOWUIwNUc2YTBxbDJBeXA5ZHhXV1lfUGlhd3RPYTdhWDRmQmtoMzQ3dEtzZ3Rzd2dRMktWMDRJVGdHVDVkdC1qbE0wWVhNTFVMRV9OVk14aWZ0UFcyUXhzUXlqbGpYS3JjTHo4dWFnZUtuZXpudlJDOW5TSHUtSHVWOVZmbEMyYzAtYkhGMU5feEVQQnk4dUR3aGdGeGI?oc" TargetMode="External"/><Relationship Id="rId568" Type="http://schemas.openxmlformats.org/officeDocument/2006/relationships/hyperlink" Target="https://tw.tradingview.com/symbols/NASDAQ-LRCX/news/" TargetMode="External"/><Relationship Id="rId569" Type="http://schemas.openxmlformats.org/officeDocument/2006/relationships/hyperlink" Target="https://tw.tradingview.com/symbols/NASDAQ-NVDA/news/" TargetMode="External"/><Relationship Id="rId570" Type="http://schemas.openxmlformats.org/officeDocument/2006/relationships/hyperlink" Target="https://news.google.com/rss/articles/CBMivgFBVV95cUxPYjVNQWZqTzdqTzM2Z1dKaDM1QTY5Tmk4OHpaTVN6WEc1R3lmRnRQaGYyRkVUU1l3Ynhjci1jM3cxemZvM3o4ZE1iU0k2RXZhT3hCMnFFYkdZUXU1Zjhsc0hBZ2FMZjhoaG10dUN0aFNUWlFvSXRsRUpMTGJITnFlR3g4elI2NUJvRWMydHpDY180ZWhzd0lvRzlmNWt3X1" TargetMode="External"/><Relationship Id="rId571" Type="http://schemas.openxmlformats.org/officeDocument/2006/relationships/hyperlink" Target="https://news.google.com/rss/articles/CBMiuwFBVV95cUxOY1V5ak01aDZNZFhTczdHY1Z2OXFZNE5aUlh0b1dfMk9tRHJKbVJMVXZJM1UyX3NVZzgyUWV2VUMtUU5QekQwLUlaandYejItVnRpVHdVM3ZLMUdFczdvWXBxcWxXdkVpLWF0OEFHZ1NrX0gxaWpnSWNmbVE1ckozUlB4dTBaeWFLR2xOWVNJYzQySEFvVmRfUHBwcjlCRE" TargetMode="External"/><Relationship Id="rId572" Type="http://schemas.openxmlformats.org/officeDocument/2006/relationships/hyperlink" Target="https://news.google.com/rss/articles/CBMixAFBVV95cUxPOTQwNjJpcmx4VDZtYlc4Y0pvUlRUMDFSdzRPd0VYejBud3JGRU9lTU9DcU13WWJrS0c3U2dJZHk5dF9HOW5kTkhsTWhyWTdWMTM1ZGhVR0loUUVwM1h5Z2podnU2MkJzeE16eUpPQTJuR0F5MGhUNXY3OHJWQ25aN1U5cWRiR2lPcjRlSmdrTUhLcV8wT0V3aWlFYl9uWF" TargetMode="External"/><Relationship Id="rId573" Type="http://schemas.openxmlformats.org/officeDocument/2006/relationships/hyperlink" Target="https://news.google.com/rss/articles/CBMizgFBVV95cUxNT3VjTGlkSWFhZUpzbE8zYzAwUGF6c1ZlWXRQZnA3ZlA1VElQdmtzZU41QVBhLUdNYVY5Z2RzVHh6OGxjMWpmV09abkwzNFFwVmxLdTh6Yy01ZktkZ0hOaVdfc1d0MllYYzJaVmZUbG5ncnpQNHhrZkF5NUx4QWZuclhfZ0dXWURiZWdMWFQ5TGxQYUdIN0pmdzJVX1RUSX" TargetMode="External"/><Relationship Id="rId574" Type="http://schemas.openxmlformats.org/officeDocument/2006/relationships/hyperlink" Target="https://news.google.com/rss/articles/CBMiyAFBVV95cUxNNlVhaWVDTTdyczFDV1JNZjMzakVkSHlnZ2wzMWNWUHl0Zy1jRUd2eUMwa1YtV0VvM3Frcy1ic055Z0ZVd2tvWS0wVmowX3NuVUxtMXdQZEUzNmdvWW0weWdyajM4SFhfR0RPekczRTd3a0lvd2luV3FMNzNNWWNtZFZ1TjlNOFVPVnV2T3pnYkdTVHU4M1l2QXo0LXo1eT" TargetMode="External"/><Relationship Id="rId575" Type="http://schemas.openxmlformats.org/officeDocument/2006/relationships/hyperlink" Target="https://news.google.com/rss/articles/CBMingFBVV95cUxOQU9ZLUlGbWV5YUprQzBPTzVpNFZ5VEFrWnhLYmREWU5yeUJDd0E2QWc3NDJOelNhRTlBRVVKa1VtcFJyZmRmZ0VWU0RBQk9fT0lnZ3J4alI4QnRRWFVVMTJYXy00dmtSSW5PMGdYVkpkVzF5N2NyRlIwSm1abjJVS3BKcEhtU1hFZ0hnUlBhWWdpTWxlSVg0ZFhfdXFvUQ" TargetMode="External"/><Relationship Id="rId576" Type="http://schemas.openxmlformats.org/officeDocument/2006/relationships/hyperlink" Target="https://news.google.com/rss/articles/CBMijwFBVV95cUxQNjhYMEkwZWtxaGFNY2lBOWNCUUtJMFEwWDJjQkF3dm9WVEc2SFE2ZVhpTHAwWnZSR1NsYWhFLXcxVy1tdkU1QWdNNGxVdG9DNWdaZTdmSHNBek5EaXFZbEExWEdlSDNNcDcxT3FNalI2bmozVWdGdExlTUpackNQQ0hoUDVzaVBSTXQtVmt2dw?oc=5" TargetMode="External"/><Relationship Id="rId577" Type="http://schemas.openxmlformats.org/officeDocument/2006/relationships/hyperlink" Target="https://news.google.com/rss/articles/CBMiuwFBVV95cUxOS3BnZ2dxM2hJWUZvWllnMnVscEhQT00ydDZoSXpycmFzQTg3OEFaR3hDNUZ3bXA4Wm5WYW9FejZYeXRVMGt4SWM5RE54cWtGaUFWN180azhtWHpUZkZNVnl0bFdUM3pTZHlMU1NzSnRKUzFyYmJ5SnVIa3laSVFyMDlxdDM1WWV5QjZlWFF2X012amNkcy1KY3QtQkJrbk" TargetMode="External"/><Relationship Id="rId578" Type="http://schemas.openxmlformats.org/officeDocument/2006/relationships/hyperlink" Target="https://news.google.com/rss/articles/CBMitwFBVV95cUxOeEpTUnpxdFZ3d2pDQm9qbnlJZENEOW9NU2NIdVd5VFFJQmhtbGNDRWhKWUYwQjdHTEdYdUtYSDUwYmZzNTJ3cVBac3RwWWVDZ1VSRDA2andGaW52OFJxQ001OXotU3U2Q3RMYjhXUS1VbTF1aEtsVzNZaHFUMFZUbzVhUnNtTlNIXzZvRUkwZC1aeUtJcVpGV1JoTW1EU2" TargetMode="External"/><Relationship Id="rId579" Type="http://schemas.openxmlformats.org/officeDocument/2006/relationships/hyperlink" Target="https://news.google.com/rss/articles/CBMiggFBVV95cUxNcUhaRk91N2p0N3N0NnRQbDBJdmIxNUEzd21tZjlJOFdtT01RVFpoT0Q1Si1OTXN0LXh0cUQ5M1YwTXN2SUZxbU1taG4xZUF1RUU5M21kTFlIVDBUbS1Yb3R1ZDZXdmNRWFY4NkxlZkZIZ3M0WW5qVTM4MXhPS2VvQnJB?oc=5" TargetMode="External"/><Relationship Id="rId580" Type="http://schemas.openxmlformats.org/officeDocument/2006/relationships/hyperlink" Target="https://news.google.com/rss/articles/CBMikAFBVV95cUxQc3lIVE00bGhpMFR3eUtHS3BBWXV6YXlhVktNdkpMLU1BcEZ4TGhtZlRIOTE4Y2xkSk8xcnRQaW1lSUlWeGl5V0xEZFRGT1Rhak5HeGVOYW84bExlRy1PZjlXT292SXVUN3RCUjJTZk44TXRWQWhhMjlQa2FiUTkwdi1QU0I2ZmFSZHhlbi16Tko?oc=5" TargetMode="External"/><Relationship Id="rId581" Type="http://schemas.openxmlformats.org/officeDocument/2006/relationships/hyperlink" Target="https://news.google.com/rss/articles/CBMiqgFBVV95cUxOQlJ4Q1lHUlNFa1ZENzNLS2VjSWNaYVRjYTRHdlFEc3ZLaWp6N0U4d1R1b1BpYTVTM1VnRDNyaC0zZ2dXM0Z6UjZDMl9fWFBaUGJBVU9SM2pyRFd2ckFfbWtvNjRFUWNKTHZOTU5kNnMyWkkyLWFpS0g3OFdBTjQtZnRiR0txQ05ZLTQxM29NQmtxbUZmbWZnbTlvZk9acl" TargetMode="External"/><Relationship Id="rId582" Type="http://schemas.openxmlformats.org/officeDocument/2006/relationships/hyperlink" Target="https://news.google.com/rss/articles/CBMickFVX3lxTE5nbl81YkRFYUE0WkJkYWNTNU5KUW9fS0gxVXZJeXJucDd0RjhWT2ZhMVBjem1JU1kyZVVFc0QxTmtlQkRQMWZUVjJxQzBiTlNDZUNmQ0VBVVM2TGdpS3NXY1c1dktSa3hBNmRUUEJaQkc2QdIBckFVX3lxTFBoRlFEaFh1R09oS21nM3UwSmRBc29DeW41bUZlLUZzOGlGbn" TargetMode="External"/><Relationship Id="rId583" Type="http://schemas.openxmlformats.org/officeDocument/2006/relationships/hyperlink" Target="https://news.google.com/rss/articles/CBMiogFBVV95cUxPTVFaRjM5QUdQUmR1aHkzb3RoR2lubUp1Nk8tSGk0OFNvWVh5SmdYQ1BNdmM1RTJJMmE3QlZ4S3hzUnd6LWFwS0VwS2xJQWg1ZEk2c0J1QmlnYTQtLUp4QXRfTU8zT3lOaXhxaUxzYUUxOWZoNk1aZUdMRFZTcEE0RWV5amYtQ202VWFwc1ZvY1l3a2lzTzFpdzlXNGRPTW" TargetMode="External"/><Relationship Id="rId584" Type="http://schemas.openxmlformats.org/officeDocument/2006/relationships/hyperlink" Target="https://news.google.com/rss/articles/CBMioAFBVV95cUxPMkFuVUs1X2dZTDd0NGpwNTVWQUJqYlpfTGRib1BYdW9WWlB1VVNtUFNBTW5iNmN3ckFTTlhBTm1LVWJmam9BWERMME1ZLXNEamVGamEtV3dMYzNLYTZIbDZVd0liZU5RbGdRTlh3Nm9YODhuaE9tdERxcl9LOEppVmxPby0tYU5JbE9JV3FOdTdzX2tGcGh1UlR0d0ZBan" TargetMode="External"/><Relationship Id="rId585" Type="http://schemas.openxmlformats.org/officeDocument/2006/relationships/hyperlink" Target="https://news.google.com/rss/articles/CBMixgFBVV95cUxNekw1XzBXUGJrS2hKa0xLWE8xWEVZbU9RN0c2SmdoZlFWUG1lVVFvdXJuZF9FNm5Iem5oYkZHVUJ2a1N4dUZROWNxTkFkOUlTRk1ObEFiakZGZDhWLU1IV3hkMHR0WWdpanIzeWFlcVMzOTZUaHJGWEV0TU5kTUZNanVaWXE0SFM3RHFxSEZ4emdTT0hzeWpoZUJCT21qay" TargetMode="External"/><Relationship Id="rId586" Type="http://schemas.openxmlformats.org/officeDocument/2006/relationships/hyperlink" Target="https://news.google.com/rss/articles/CBMilAFBVV95cUxQdzJJNXZ6dU5lOEhCVFdVRjZiVTBId1NxMHNlVEN3WHpaZS01Xy1lcGU3alo4WnAwd0hZaVlna1hYdkp1R2pOaTdjRTBWMDNneDNSSmNMZy1PdDRwNDhvS01kVjNBVFZ3QjVhMUZWY0NDLWJldTRCTUNWTEpKVTlIVjltSnZPQzdzZ0IzTnJzSjQ1RDFj?oc=5" TargetMode="External"/><Relationship Id="rId587" Type="http://schemas.openxmlformats.org/officeDocument/2006/relationships/hyperlink" Target="https://news.google.com/rss/articles/CBMi0gFBVV95cUxQU19SX2JubFR2YXljVURBeXh1THRYdjZRSzJhd1VfeS1HS3EyQXBDVjdUQVkyNjRLQnJKQ19TTWlNOXZzWGdYdHBrY0E0Z0VicEpCX1MtaTdGdWIyYU9uTjVkd3FRT2QwdEdtRUI0dU5NajhvZ0pqellHdFZTdXhzRnJIY0hIakJMd1RjN0JSRE12RW52V3FWb3BfeGRHM1" TargetMode="External"/><Relationship Id="rId588" Type="http://schemas.openxmlformats.org/officeDocument/2006/relationships/hyperlink" Target="https://news.google.com/rss/articles/CBMib0FVX3lxTE9hSUpPQ3F2Y1FTWDd1MlVERVJtM2pORU16RFlGRWxmWnFOLTFkUmI5a0JLNDFZd1hXVDBEWFY1NzBJclJTRkk3VEF5MzhmWnRTakFJcm45VnZPQzB6bzA0LWs4dk8yVlRxMmdES2F0d9IBb0FVX3lxTE9hSUpPQ3F2Y1FTWDd1MlVERVJtM2pORU16RFlGRWxmWnFOLTFkUm" TargetMode="External"/><Relationship Id="rId589" Type="http://schemas.openxmlformats.org/officeDocument/2006/relationships/hyperlink" Target="https://news.google.com/rss/articles/CBMihgJBVV95cUxQdjRZMUtnV1htWFRRMHdBdTZubWtCd01MdFNZc3d2X2l5dTg0b1Q2VTh2UzZKU3NJNXBwNjRiUk4wZnk2MDFwQzRibzlCUjc3aERGYlRWU0NBNkdsUGpSVnBLSVhBS3JHS0RILTFHWnM3bEtzMTFiYzdxNFVDMGpQU3dwNGh5QkJjaWJnSVhNTE41b01iOTQwSHBJNmczaj" TargetMode="External"/><Relationship Id="rId590" Type="http://schemas.openxmlformats.org/officeDocument/2006/relationships/hyperlink" Target="https://news.google.com/rss/articles/CBMikwFBVV95cUxObGgyUFgxSW1FZkVUbUxVNFVHT3pGd0YyLTlzaklGVFFhdlZWQVpyeDhPNDYwRDRlMWFMellaTERPbXVCaU4zRXR2VGNpa0Y0MkFOWVVIZDFiakpIMmxhUTl1QzlnRUxqRElZUnN5c21pY3A2NS1FUlR1eEpVLU94Rm8wVExFOEx1Y25pclhTanlhSGfSAZgBQVVfeXFMUH" TargetMode="External"/><Relationship Id="rId591" Type="http://schemas.openxmlformats.org/officeDocument/2006/relationships/hyperlink" Target="https://news.google.com/rss/articles/CBMikwFBVV95cUxOdy1DODl1UVczS1E3R1MxX0Z2V3JvWXRiM3FaQnp2enNDa0cxdG9aV0dfank1VnNDczRuaFJ3UDVNbkdCWWI1Z1BybjZPR0ZOUE9NMl9pTnZKUjBJdy04S05XNTh3cGhIamhzd1h1dDhWR01mckRET2tjTkZYTkJ2R2F4MDRUZDUwUEtJanNINE94QXM?oc=5" TargetMode="External"/><Relationship Id="rId592" Type="http://schemas.openxmlformats.org/officeDocument/2006/relationships/hyperlink" Target="https://news.google.com/rss/articles/CBMilAFBVV95cUxQaU1kZG44dUpBdVdkQVhES0dwcVpjVlJqdmRHdXh6Rk4yS3VLWERKUDZsb0dYLXNHTlA3NGhFVUdETE9rSXdJd3NQWGJ1cHNtMkp5dDh0QUd0Nnhla0N4aG8zRUVWRDBjcTR1MjJFVm0tSXByU0NUdndDZHNleEV5UkVZbXpnRUUwbHFjTlpvaWFrZWFN?oc=5" TargetMode="External"/><Relationship Id="rId593" Type="http://schemas.openxmlformats.org/officeDocument/2006/relationships/hyperlink" Target="https://news.google.com/rss/articles/CBMiywFBVV95cUxPbUYtN1V5eEwtckpGeG5ib2JYZXpLYVBVVG5WQUhrU0JKYXlFZHlHRVVENnJFMlJTRkZiWlF6OC1MMjdrNHBHMWkzYU0wZXpiLURNa1pFZV9YZzZBR0p6UmVsbzYwcUhoZUpUdzM2WldnenoyYTJnVHBhX2w1RV9naVBDUU5pU04tTk5aaFo3Z3Atd3pRb2ZrRWMtWldLMV" TargetMode="External"/><Relationship Id="rId594" Type="http://schemas.openxmlformats.org/officeDocument/2006/relationships/hyperlink" Target="https://news.google.com/rss/articles/CBMivgFBVV95cUxNWVdZTWc3TV83aFJaNE04Nl83LXVLOURUZE4tYlZIeEtaZTlQOGNIRlJZcXZqRHFXTUtITVRKcnVFOFNLZHlZQ3RsbVBmbDFQWkQ4Y0Q0Q1NtM1lhVTN2SHlyRG5Wd1BSdWVKMlFwZ1VReXM5YTgxTXQzNzFBTFdKSks1RnIxbFVtMlVVaTFoalJfaDlVUXJZb092S1BEYm" TargetMode="External"/><Relationship Id="rId595" Type="http://schemas.openxmlformats.org/officeDocument/2006/relationships/hyperlink" Target="https://news.google.com/rss/articles/CBMifEFVX3lxTE9QOFF3M3l5cGRmVi1vc3p3WGpSU2FFckhfYmcxOXdpOVE4Z3NhWTdUemtwWDgwQTNCWDRIU0hndUhIMTdJS1pObFJrOWwteHFNczBHZ1RhWXdlZGduN0dLWF9xNGU1eHRSblNZREx4UzBkMVVlOHNIWnhsSUE?oc=5" TargetMode="External"/><Relationship Id="rId596" Type="http://schemas.openxmlformats.org/officeDocument/2006/relationships/hyperlink" Target="https://news.google.com/rss/articles/CBMilgFBVV95cUxOVUpGaEg5dXJ2SHlKaG1LakJJY1VPNDJ4X3hzTzdZcXJOQS1ESUtCWWdvc0E1YjNCOHg4cDk1Y2Y4TjlXWGlYbF9kQmJGR2RYWHJEeDV0VF94V01vOC0zemZFTkxlRUl3NktncG5Ncl9jZ3YzYWtJcHhDRUI3T1dlNXFuMWdUNEJUUnE4SnVIenhNZHpqYWc?oc=5" TargetMode="External"/><Relationship Id="rId597" Type="http://schemas.openxmlformats.org/officeDocument/2006/relationships/hyperlink" Target="https://news.google.com/rss/articles/CBMiqAFBVV95cUxNaXVoZjBYdFdwRzFqU3M5Z2ozT0xDbEYtMHZoekpnbTh6ODdfZDluVnRYdnphQS1JaHRHOHROWDBobUZDb1J6cG4tLUhzMmdyMk9lNnpjSU5HRWdKZWVrb18wZkF1SENlWDVycWpMVVRKczRUdzl4MXk1OWlpQWdJUTNSZXhJb3F4VHFOVVJlYm8waWZEZ1BrS01nQnVqal" TargetMode="External"/><Relationship Id="rId598" Type="http://schemas.openxmlformats.org/officeDocument/2006/relationships/hyperlink" Target="https://news.google.com/rss/articles/CBMijAFBVV95cUxNWTJwQXMtbjBXS2M1a1JnSkdKVjlvWG1wYjZoWnI3aE5RcGpFSlJRVjdObWVCbkh2YWFMcDMyYzZlMlZ3S3VGemJoUGJDdXppdm9lb3RQVVhxNTZaNnI5RF9BRlh5bWNKNm85QkVEbXpNemxfTUc5X1hoMzhoTTNIUnN2bDdEejFTeEVwTg?oc=5" TargetMode="External"/><Relationship Id="rId599" Type="http://schemas.openxmlformats.org/officeDocument/2006/relationships/hyperlink" Target="https://news.google.com/rss/articles/CBMi3gFBVV95cUxObTN2RGdJQmtqbzJiWFp5b2ZDbExfZEp4WW5aR3htcFZrYXlGOTQ5OWhSV2pnMnQ3RDkyemoxRTl1aHc5cWIzQy1sSzJOdDhzd0pTNmxJQnhJaTFzd2lzT3BaSXI4b3NkcEhXY09MX19JeGJWZGRGeHJvb1VXc3dwYV9faGczYVBkTnFJd1p0VVAwYXpqZW9CeGJhMTVnaX" TargetMode="External"/><Relationship Id="rId600" Type="http://schemas.openxmlformats.org/officeDocument/2006/relationships/hyperlink" Target="https://news.google.com/rss/articles/CBMi8AFBVV95cUxPbENOQnJVXzlVVzM5Y2I2V1B5TklqbkZZVkszMnB3MzdnYkEzQUNvWW16eGxYSmsxaUFSZ1NRUDNibFNtTTItU1lOMnhFS0tHNVhUUEpKaFhVclpUelQ0alZLYlNNQ0FkeHVSNUpPdVpCTU9SaVhyRnBBYUdEQ255RlpoMUt6d1k5ZERGd2NJckFETUt6NkNMdkFxeFpETF" TargetMode="External"/><Relationship Id="rId601" Type="http://schemas.openxmlformats.org/officeDocument/2006/relationships/hyperlink" Target="https://news.google.com/rss/articles/CBMiigFBVV95cUxQV0dMTkhUTGdMYTJVNXZMRWNBSkJSVWk1azFHeGhMTFdfcE1yRTJOc1FVV1RveEJrNFMyNG8tYktlbmY4eE5KdUswbHo5d2JfbGduanNkUEV6MW9paVJKVmd4STM2Mk8yajRNVU04eHgtNzhJYWQyd013TjRteHpQRkE5ZHlMd2dabmc?oc=5" TargetMode="External"/><Relationship Id="rId602" Type="http://schemas.openxmlformats.org/officeDocument/2006/relationships/hyperlink" Target="https://news.google.com/rss/articles/CBMimwFBVV95cUxNTkVsaTNyZ0tGZ2NWS2xFZWZVdUZtTm9yVlJtN2lBdzVQQmNsTVV1SHdQS1hVOElsWGFJejR4MDdUcVNNQUVaV0ZnZ28xdmVRZ1ExYzdOd1lObjhTZUN6RWlLN0VjNTEyX3BJZEpCUmw3Yjg3dmd2TnJ1Qk5uVTFGQ2xfQWJtYUwtbkZHMHFwTmtpY19MZEVJaVQxcw?oc=" TargetMode="External"/><Relationship Id="rId603" Type="http://schemas.openxmlformats.org/officeDocument/2006/relationships/hyperlink" Target="https://news.google.com/rss/articles/CBMikAFBVV95cUxNMXNEWlIwWldjYXpvcUYzUERncnlMY3pOUE81SWVwVVBQRnExQVlSclB4QzZxRWhCMHQwdmR2cjJtUTVDUjAwU1lTTU5LM0RzS2xsMGIzN2lQTnhvdzNEdnpJNDc3SGtaNFlEZWgxUHNPVmMzVDFhVy0yeVhRaGxFY0xaTDhpWlVWTkUyNkU0OWU?oc=5" TargetMode="External"/><Relationship Id="rId604" Type="http://schemas.openxmlformats.org/officeDocument/2006/relationships/hyperlink" Target="https://news.google.com/rss/articles/CBMioAFBVV95cUxOS3dQQnRCNGwxUkxwS0dYV1ZTQjNwZXoyZDhvVW8xR3lJVHRtZEstSlU4MFp0T1pkZVVJTDNBU0Nocm5GV3o1cHlzaVJkYno0MUIxYW13S0pVOFQ4MnRrTERIeUJsWGRJU0ZpYXhGbmF4dzd1WmVWZ3dlVGJ5VVo2N3cwc3BqSUUwY3l5R1NFS0JCZ0hoeEIxbzl4WmNocm" TargetMode="External"/><Relationship Id="rId605" Type="http://schemas.openxmlformats.org/officeDocument/2006/relationships/hyperlink" Target="https://news.google.com/rss/articles/CBMiVkFVX3lxTE14VW9RalR0a3NJY2YxbHVlZ05TXzdxS1FNcFN2ZWpKZ0J0S2taZ1dFRExTWHdlZUJuWUV0Um5PV3pubU5EYWlZTGVlNFQyelZib3FGbU9B0gFWQVVfeXFMTXhVb1FqVHRrc0ljZjFsdWVnTlNfN3FLUU1wU3ZlakpnQnRLa1pnV0VETFNYd2VlQm5ZRXRSbk9Xem5tTkRhaV" TargetMode="External"/><Relationship Id="rId606" Type="http://schemas.openxmlformats.org/officeDocument/2006/relationships/hyperlink" Target="https://news.google.com/rss/articles/CBMixwFBVV95cUxPU1UyMGVPQW1IYnRqLXgxVnk5NG1NMGZ2cU1wcUlsbVlRdzR1RU9lN1llWjRyV1ZTN2VJV0RYRlpKU0lnSWhqNmgxdk0waXJPUWZjNmtDbndHWEhZSnVVdVo2OHA2dEFMLWhlMzRXY09oWjl3ZlJ2a0tlcVp5SzhIenNmdEZodVhYY01hdG1VRVIwMktiNjgzb3RPYlVSa3" TargetMode="External"/><Relationship Id="rId607" Type="http://schemas.openxmlformats.org/officeDocument/2006/relationships/hyperlink" Target="https://news.google.com/rss/articles/CBMiiAFBVV95cUxPSDQwVEVlSzJvd29FeVdwU3BvbU9zbFhyZ24wN1Q3RVFJYlhPZk4zTzRQMFBzMjhaQzBoTGJKZjlfaWE5OVJJRmNnV3d0VU45M25RcUx2ZjhlTUVwWlJCOEY5dXREZDRGeWtFX3BFSkRPVkVDSURaQ3FPdGh2TTRoMEd3YzdNRXcw?oc=5" TargetMode="External"/><Relationship Id="rId608" Type="http://schemas.openxmlformats.org/officeDocument/2006/relationships/hyperlink" Target="https://news.google.com/rss/articles/CBMifkFVX3lxTFBNeTEzZmFLRm96a0wwNXV4bTBDU3JHX3Qtc0x3TnVKOW1PbFJ4c1FyNFNncVR0VkpLeUwyX2xGenAwU281WEpFZWRYdTNVaVIxbFRuaFBMRFNWaVI5ZFJBeHhyRll3QWs5aDJYQUtMQUdMMWpnalRPclZ3aDd4dw?oc=5" TargetMode="External"/><Relationship Id="rId609" Type="http://schemas.openxmlformats.org/officeDocument/2006/relationships/hyperlink" Target="https://news.google.com/rss/articles/CBMijAFBVV95cUxQNlBaN1dJSnVXZVFNUXdNV0JsRnh6YlltN0FiYk42Q0pkSnZxZDZ0dFlrZF8wVzFNME1hSjh4bFBSN0cyRWdqNjhoVWNzSVZaeEJ1MEs4YjUtZEo2WlQ4cTJ3S1JSVTJXOGRxN3NOUjI1dFNEMVRHa1ZfNF8yeDhVRU1sU3lMNWRYenUydg?oc=5" TargetMode="External"/><Relationship Id="rId610" Type="http://schemas.openxmlformats.org/officeDocument/2006/relationships/hyperlink" Target="https://news.google.com/rss/articles/CBMiywFBVV95cUxPR1RjdEFoZTFHRVhTSkxrM3ZTV0d1LVBVQy1rNUU0NzVYekJVM2lHQUtUelVqQ1VzVWc2cEhucmM4eE5KLTBwenhmcDNuWWpqLVhyS21XeTFqZi13RkUxT2Yxd1hIeG9rcWFsRHh0S3p0VDRub2VEbDJLTl9WOHA3Mld6N051X3poM3ZKYW1ZM1U0dUEzU0dWLWd2TEdndn" TargetMode="External"/><Relationship Id="rId611" Type="http://schemas.openxmlformats.org/officeDocument/2006/relationships/hyperlink" Target="https://news.google.com/rss/articles/CBMiVkFVX3lxTE90dGx6eXBCZ3UyRGZld3lfT1hLZW9VNHVUbzZ3QkhXS2J0MGJfVm9wZGFvSEhUdU1qdmxyZ2phSDRaTUNDYThMSkxEMS1VUjR0NjNieXV3?oc=5" TargetMode="External"/><Relationship Id="rId612" Type="http://schemas.openxmlformats.org/officeDocument/2006/relationships/hyperlink" Target="https://news.google.com/rss/articles/CBMijAFBVV95cUxQNlBaN1dJSnVXZVFNUXdNV0JsRnh6YlltN0FiYk42Q0pkSnZxZDZ0dFlrZF8wVzFNME1hSjh4bFBSN0cyRWdqNjhoVWNzSVZaeEJ1MEs4YjUtZEo2WlQ4cTJ3S1JSVTJXOGRxN3NOUjI1dFNEMVRHa1ZfNF8yeDhVRU1sU3lMNWRYenUydg?oc=5" TargetMode="External"/><Relationship Id="rId613" Type="http://schemas.openxmlformats.org/officeDocument/2006/relationships/hyperlink" Target="https://news.google.com/rss/articles/CBMitgFBVV95cUxNZ1BoTWlGekVoM05LOTJKSTRPZE5xal9rc0V1cmtKLWZ4ZnNLOXh3V2R4YU94d2wwZW1JR2VqZzdrdjFYeW1uLWw3dU9DRzVYYVRvOExKU1BJcklPLWJGTllZclF1a0htQ1JKVGlTalBzYlhaNGEwU2p1WlN1Z0hwN2M3Q1hvTUdkY29OcVA2Snk5N2ppdWJUMEtSWXc1OV" TargetMode="External"/><Relationship Id="rId614" Type="http://schemas.openxmlformats.org/officeDocument/2006/relationships/hyperlink" Target="https://news.google.com/rss/articles/CBMi6AFBVV95cUxOdjNhU2JiWEJNalpHQjhoNko3SDFGQUo5UjRLV1F2UUxQOXpCUk9BY1QyZUJXaGNZRUp4OWFpa2lRWVlPLXZJWGNRZk5aOFV5UFBTcklSZmd6eTAwbl9XdGVyYlZNUWVXc0djWjkyYnd0QnV2LTg2VnZpTUFEejFvd1A0RFdWZUhjaS1FNUNMRGp5RlVwX1dSLVhHbVkxZE" TargetMode="External"/><Relationship Id="rId615" Type="http://schemas.openxmlformats.org/officeDocument/2006/relationships/hyperlink" Target="https://news.google.com/rss/articles/CBMingFBVV95cUxOUzRJVUw2LWlleU11MWZMNTlKWmstWmtrazBaeUxKOTI0aWRkYVlaS2xiVDV3TUFSSzg0M055dEpmRDZyVDZJQVh5MnRuUVU0ZzJCcEZmN0VwaE9LLWdpUE1DWW9tYkZBc3FkVHpZTWxOaW45ZXU0OTMtMFB5UURTS2hYT1JfXzZJUFQxblctSWk5YmRFYmg0UWwtelJYdw" TargetMode="External"/><Relationship Id="rId616" Type="http://schemas.openxmlformats.org/officeDocument/2006/relationships/hyperlink" Target="https://news.google.com/rss/articles/CBMi1wFBVV95cUxQZHBhR3c5M3Zxa2duQWpORG1LanRHUm0wUWNZWF84ZXl0cUF6QV9JUXNsYi0xeWVQMzREdDVSTzUydEZNeUVTb0tnODhpaUFUTWxQaVo2c25pNDRTdmk1RnlSY3cxTzhrdEZWRjU3cFJGTHlGTDdXRG1FcVhZUk80V1FxSjA5bmJZNTRxRzlrZkZGWkc5V1hnU2hVOUFzVT" TargetMode="External"/><Relationship Id="rId617" Type="http://schemas.openxmlformats.org/officeDocument/2006/relationships/hyperlink" Target="https://news.google.com/rss/articles/CBMi2AFBVV95cUxQVFFrUUNhbkRvMWZ1Z1llZEt0NW9NeUpqNnMyUUJmWXI3cVAxMjJBeGY1UkFSZW12V1R6SjNkRkxya3V4cDFXeVRnX0thQU9BVFczeGw2ZEdrQUJleWtvOUVxdVhGTnNMYW1ZampnQTQ2OVVyaHlteXV4V0VtYWpZVlhKR0xpa2ZCM3BFS0ZadFQ2WlMyQkRZUFRERUlRSD" TargetMode="External"/><Relationship Id="rId618" Type="http://schemas.openxmlformats.org/officeDocument/2006/relationships/hyperlink" Target="https://news.google.com/rss/articles/CBMidkFVX3lxTE8tRXY4YXNQdUtrUVluOVY5X2dPMHd5bS1wWEpaRDNrY0xOU1ZJTmd3Y3V1NU1TdHB5WVhtak9aRENKbzhZcFNOTWl0LTlzMTNmcDNjUlViNFZ3bjRnYnMyc25qLUg4cWRPY0ZIOUdkY1FJTGVhcFE?oc=5" TargetMode="External"/><Relationship Id="rId619" Type="http://schemas.openxmlformats.org/officeDocument/2006/relationships/hyperlink" Target="https://news.google.com/rss/articles/CBMiowFBVV95cUxOUkhmcFYzX2pFc0x4QkEzR3ZJc2o3Y1ExVUhoTTFPM2oxQ1dCbEZWR055QjZwcEN6QXRCMTFVSVNxcnQ0QU1MNjVLcFJNQVhKZXpDVGQwRXZkanlMa3pod19wb01iWm1QSEx1RG1aMTNyVWlQY1pVdHg5NE0xQkhfNDRhOGlRZ3FCdEx0QlpzdElZZ0FWQkgwQ1M2QmVGLT" TargetMode="External"/><Relationship Id="rId620" Type="http://schemas.openxmlformats.org/officeDocument/2006/relationships/hyperlink" Target="https://news.google.com/rss/articles/CBMitgFBVV95cUxPYWpVLU1TdS1KSURFa2hxaUhpVWxCdWlGLVA1SXF2VS1ic291MTQ2enBPSi1mZGc1QzhjaU9IaEZyMGRsTTZIeVFrMUVYN01nUHhKRzVaUWlobmpCVVVzVGduSmZXSW5iZVRZX0tkNjZwVVdVTVJBWU85bHlxTnU4ZUJiWlBreE1SRlpvT2tUZTlqZGlyekFTUlE2OENuXz" TargetMode="External"/><Relationship Id="rId621" Type="http://schemas.openxmlformats.org/officeDocument/2006/relationships/hyperlink" Target="https://news.google.com/rss/articles/CBMi1wFBVV95cUxNOUJGSDAxMVo4TWhycU96SW0yU2NuQVRWVVE4S2p3aWVVc1JBS0E0MzdIQ0s5OVk1bXR0SHQ2Um9zdHJKVnVDell4S3ZPbXdPN3BUVkg4a2F2bmN5RGZwTVlSSjBleERnQU1wZXY5R0Q2el82ZUxaWm1GT3pUbkc5RElxbldMMG43ek9RRHJ1T0lDWFJ3REhPTThnYVBQWW" TargetMode="External"/><Relationship Id="rId622" Type="http://schemas.openxmlformats.org/officeDocument/2006/relationships/hyperlink" Target="https://news.google.com/rss/articles/CBMitgFBVV95cUxPYWpVLU1TdS1KSURFa2hxaUhpVWxCdWlGLVA1SXF2VS1ic291MTQ2enBPSi1mZGc1QzhjaU9IaEZyMGRsTTZIeVFrMUVYN01nUHhKRzVaUWlobmpCVVVzVGduSmZXSW5iZVRZX0tkNjZwVVdVTVJBWU85bHlxTnU4ZUJiWlBreE1SRlpvT2tUZTlqZGlyekFTUlE2OENuXz" TargetMode="External"/><Relationship Id="rId623" Type="http://schemas.openxmlformats.org/officeDocument/2006/relationships/hyperlink" Target="https://news.google.com/rss/articles/CBMihAJBVV95cUxOdFlQZVJtQUREMDl0Y0hLbXE5by1SNEl5QWc2WGtIT3Ffak1VclF1YldYUlVETTdmMlhuaGRsdWxnUHRfck5zcHJzdENRcTFWQmJBUnV4S2NhcWJiWWFJSUd4ZHZ4M1hJSXlhVmZwQlNNNllYS0RPVUFCa3V6Uk5fLU8wZFR5S2dLMkRWNEsyUEQ5SnpQdV9FRUNPdG16WG" TargetMode="External"/><Relationship Id="rId624" Type="http://schemas.openxmlformats.org/officeDocument/2006/relationships/hyperlink" Target="https://news.google.com/rss/articles/CBMipwFBVV95cUxPQXRjLW9jQnhxZVhrc25Nb0h4clBhaWp0YWhUVkFvY2NmVzRfVUh2TndmaXJHZ3FydDNJNll3d05tb1RUbWZBOTBrajY1UVNBMVpKbzdEV050U20tR1R0VUlpUWJuN0xuOHkxYkdoZ3VKSklMR2lWcXpXNGduM2tUMXBONnM0UjRnYVVvektlOHhSTlMwQmJoemYtRDhrZF" TargetMode="External"/><Relationship Id="rId625" Type="http://schemas.openxmlformats.org/officeDocument/2006/relationships/hyperlink" Target="https://news.google.com/rss/articles/CBMi9gFBVV95cUxNaGZLVTV1bXdxNk5TVlNsbmhWTm5wV3o4T2kyWTJPNHhqTXo0MFZnY1A2VkZLcTIxN05oeUpFbUhBZ1QxR3BoY2pWVmpPZmJTXzBJNXRFak05b090Wm5JWGQ5THhRR3JQZDEtSUc4Z0VJRHFYajBBcWx6LVJlM2lZTFRXdVUyVzlqUGtOaFZ0aVNHcUJWREhFbl8zNjdxYm" TargetMode="External"/><Relationship Id="rId626" Type="http://schemas.openxmlformats.org/officeDocument/2006/relationships/hyperlink" Target="https://news.google.com/rss/articles/CBMinAFBVV95cUxOOXFJU0VIU0dXX01FTmpDQTFMSzRJc1NTLWx1UWltSmZObnBiOFFBQnhBcGJCM0F5bHlGeXVpY3lCNVlRQlNsT3J1SjhvR0t0cEVwWVpFdl8xZEFlMm5XbExhbGxOWGQ4WGdDQlNiRHQwdVdRQWw3Q1dickdGLWNHY1F3cjFpMUwtUS1lbk5oUHdhZkJkQWVXbXh1Tkg?oc" TargetMode="External"/><Relationship Id="rId627" Type="http://schemas.openxmlformats.org/officeDocument/2006/relationships/hyperlink" Target="https://news.google.com/rss/articles/CBMixwFBVV95cUxORzZCYmhLYXVBR2l2V3FsSmlmQWVqZXFUclJqd2ZxVGk2Ul9Ra195QlNVeUM5Rm5KcjIzYjY0Nks3VG1yanJldVJyaGRqbkpsVUw1ZWM0WW9ESkFuRGo5V0FGMnVkcURMSTM4eEhmZlRPZzJSaHhoeHZRWWV5aU9PMlBQN3MxbDlBYzNsa09iQTN0VFd3WU5nSWVfM0RXUk" TargetMode="External"/><Relationship Id="rId628" Type="http://schemas.openxmlformats.org/officeDocument/2006/relationships/hyperlink" Target="https://news.google.com/rss/articles/CBMinwFBVV95cUxQS3V1MlI2VkI2UDlTdTR2M3haY0pxWUc0dUtvSU9sX0lGbWJlNmhTUkI2UmdfSEhaUFdPOV9ZRWxTSGJaRF9GdjN2eHB3VHowQ1B3b0R6Sl9veEU4ZHhWWVRIdmpCcnctdEFuQVBDektFc3lLdDJFdFNjaVFrc0xnZXJBYVpZckVJaG9ES00yUXFvQkY2YUdjb0h0aXdNUm" TargetMode="External"/><Relationship Id="rId629" Type="http://schemas.openxmlformats.org/officeDocument/2006/relationships/hyperlink" Target="https://news.google.com/rss/articles/CBMinwJBVV95cUxNVFNrQ2JzSE1tTzBTMW1QRlU2d3NqcWtCT1lJU1dlWUxfREk3Y3RMTElsYlpGOVpSa2lGdkZKMmtPZV9xbENZT2E0Nl93VHNXWHg2RU0xalZLQmdWV1Z5N2pBblpMV1Z4Q0d5ZVBYcDlKNGdQcWx4NGlVMnFlbnVOdFVkdkVpS290WkxUYzJCWVVselhFRDA2S29rRUJ4c3" TargetMode="External"/><Relationship Id="rId630" Type="http://schemas.openxmlformats.org/officeDocument/2006/relationships/hyperlink" Target="https://news.google.com/rss/articles/CBMixAFBVV95cUxOZ1hUc01fenNNSzJ2S0FKLVN4TmE1aDVIU3RNSW5iT0xQV0haRVJPdENWZng0bG1NU0J2UUZndnlocGVVTzRGWmFMb1VhMkVFaF9XZkd5SHhaSF8ySnM0WWIwUXhmSjA2azFhdlNZWHlTMVFobk80MDFPd1FadlIwU3lOUDlDWXFjbmlQZ1d0c05FUjYxMlg5cFRtMkhGdC" TargetMode="External"/><Relationship Id="rId631" Type="http://schemas.openxmlformats.org/officeDocument/2006/relationships/hyperlink" Target="https://news.google.com/rss/articles/CBMi4gFBVV95cUxQa3pXU0NrU0RZQ3VQUmZmUU9zVGhjOWFTOVY0S0NydGwyNTVOemc2eC00VmxhNmtXamxnQmVFS2IzZXRqUUdTOFlKOEgtN3hmeWoySWtRckNVemxvLTBzUW5yQmhuOURPQkMxUlRWaEs3bGg4ZGJfT1NjZmU3ZWwzbjBrU2hpYW1BMmNwZHhIbjFnbWhmQUp0b1VCUlFzV0" TargetMode="External"/><Relationship Id="rId632" Type="http://schemas.openxmlformats.org/officeDocument/2006/relationships/hyperlink" Target="https://news.google.com/rss/articles/CBMiwwFBVV95cUxQNS1VUF82Mmo4dy1yZWlpelVmZE5LbFl4dmd2QzlkMmphXzZkYzhYUHQtRDZRaVdTSjhRdUlMX2wyeTc2NUpFUlRZQll2QzJlVTU4eUNkUFRnT1d5UmhjVFU5dUpyNlE3WVZhRDRPVlZqbVBsZmZkV0NSWG4tanpOSVcxRU1WZzc4SC0xYkYyTDJEalVMakpJTDQwOV8xZE" TargetMode="External"/><Relationship Id="rId633" Type="http://schemas.openxmlformats.org/officeDocument/2006/relationships/hyperlink" Target="https://news.google.com/rss/articles/CBMi4AFBVV95cUxNZ2E4NGQ4SDQwOE81YkMyWEdaeHc5bE4tOTVIY2lsV1MxaTU2MVFQeE8tOXR4ME41Vl9QRGNUZmlUdFh0Wk5QRFJTVDhaQVFKQ1hlUnpKWFRMQjUtTXkwWnRKd1R1S1Z5ZVpHMUphRktFd29XOW80UHFwQ1NDTjJJX2JvZ1dmSlZUZ2VlaXYxWkUyUWZ0NXdkNnpoQ0xpOX" TargetMode="External"/><Relationship Id="rId634" Type="http://schemas.openxmlformats.org/officeDocument/2006/relationships/hyperlink" Target="https://news.google.com/rss/articles/CBMivwFBVV95cUxQbXBqS1RZb0FyUkN6WWlhZEVWVTFhSUlCMGF1YkFLWEE1RWJMSlpNYzFLSElqd0RmSXZYT0ZLeXdYYUV5MEQ2VE9wVXVSN0ZnUk45V2JmamVEYUJEUm5IZHVISGlzb1NnNU5seVFPT2IwMkNrSkwtNFhSbTdSLWtpMEZxR2hza3g4djd0VjJpeEdVZGFpekNmaTZCc0VQdj" TargetMode="External"/><Relationship Id="rId635" Type="http://schemas.openxmlformats.org/officeDocument/2006/relationships/hyperlink" Target="https://news.google.com/rss/articles/CBMinAFBVV95cUxNdVd4VkpQNDhHV05qUGhraTRMYUxOaXNiOTVMYTJHTXpQbEdYZExlTGY3YUh2bHZ4LXNKdkZ4UTlGSlZHVzdDSGRiVm9od2twU0hRMllSQXNReE1MVUVPaWl3MVlKd1ZQbTZkVFFLLUkyTmhlbUgwaGQ0ZXY2eFFxWExKdnRVbXZ6aXo2ZEdtUU85Z1hpcUpSMHBHTDA?oc" TargetMode="External"/><Relationship Id="rId636" Type="http://schemas.openxmlformats.org/officeDocument/2006/relationships/hyperlink" Target="https://news.google.com/rss/articles/CBMikgFBVV95cUxPam5TUmNubzJUdzlnZTdJd0NQSzNzaFE3cEwwM2g2emRDUGxpSkV0LWVNbm9sc2lld2xjM2lxNC1vWTlTUjJoRDNZQnFROEZrbVFacnZhSHJOdUtSUjM4eUNDYzRxM3o2M2VSNzh0WmUwRV9FQk1CbFVDdjB6cmlaaHZJZksyNkluenB1ZnVNdGMyZw?oc=5" TargetMode="External"/><Relationship Id="rId637" Type="http://schemas.openxmlformats.org/officeDocument/2006/relationships/hyperlink" Target="https://news.google.com/rss/articles/CBMiqgFBVV95cUxPNU1CQURjcjIxYVhGOVpOaHRnbmk1S1pmc19zRDlsU3JNV01qSGtJbVZOX2hka3d1a0NjR3ZEbnFTYUxuekQ1Y2dlRU1zTE5kMVNQVDJGckRIVXdDRzRNRGhla0ZkRG1wN1laWEpxZHpCRDFtbkRKZE5MZHdzREhSVURtQlp0M0x6WXliZlhjM3JHTFB2M0NfOWZJNkdGRF" TargetMode="External"/><Relationship Id="rId638" Type="http://schemas.openxmlformats.org/officeDocument/2006/relationships/hyperlink" Target="https://news.google.com/rss/articles/CBMi0wFBVV95cUxOcm9mMkZ6dzFCdklCaUk3WWtiZDlGYWN5VzNzNkJEc1E3cVA5dndvTGFrN1NfM1Noel9kdXRLSko2U3g3N0NDVmZ2NXliTjU3VndzaUI3bkJtZkQ3dHF6bmtfNVBTQkg4RWh0RGRndlJrQS1mVmlrZFlqMi1PNHRMYWU1dkNNXzNyeENfNllqWnBhMHFWLVpFeFpTdkFUZm" TargetMode="External"/><Relationship Id="rId639" Type="http://schemas.openxmlformats.org/officeDocument/2006/relationships/hyperlink" Target="https://news.google.com/rss/articles/CBMioAFBVV95cUxPU1RLUmNMRmVTVUhaWGRkcDhoNF9BVURRcDJUaGlmaENRY19vM0s4SVNzTHg5XzBnQTdseGxxaTZIWXo4QzJvVzZaQUN1YlBoRF9LM1N5VFN2Y1h2YWlyYWFyb01rM053OThOb3F1RnlTX09RWlFxajNYeGJGU1NvU0c3MUNGWkd4WUNLUnJTc3VrRE9YdzVnUnQ0ODVHZH" TargetMode="External"/><Relationship Id="rId640" Type="http://schemas.openxmlformats.org/officeDocument/2006/relationships/hyperlink" Target="https://news.google.com/rss/articles/CBMioAFBVV95cUxPU1RLUmNMRmVTVUhaWGRkcDhoNF9BVURRcDJUaGlmaENRY19vM0s4SVNzTHg5XzBnQTdseGxxaTZIWXo4QzJvVzZaQUN1YlBoRF9LM1N5VFN2Y1h2YWlyYWFyb01rM053OThOb3F1RnlTX09RWlFxajNYeGJGU1NvU0c3MUNGWkd4WUNLUnJTc3VrRE9YdzVnUnQ0ODVHZH" TargetMode="External"/><Relationship Id="rId641" Type="http://schemas.openxmlformats.org/officeDocument/2006/relationships/hyperlink" Target="https://news.google.com/rss/articles/CBMi6AFBVV95cUxNY1FTZFVHYUEzdWlUUjlMbzdRaE1TQmNNVzc5MnE0NFY5ay0xbGdFUU9Udlo4NHlMcGZRY3pmSm5ialJGUW1DTkdzV1htSGFiMzc2dkU2Z1c0SlRxMWVqekhHeHZsUDlLdlVuZWIyZUZzYVVTelZUQ0RTSFRpUU5rYmJJNi1Cck9makp4SzNxUU5qMGdSYkJ4Nk9aUGRsa0" TargetMode="External"/><Relationship Id="rId642" Type="http://schemas.openxmlformats.org/officeDocument/2006/relationships/hyperlink" Target="https://news.google.com/rss/articles/CBMieEFVX3lxTFByaFdDRmtwUndpQXR1UjI4aFB5Z0FtTDRJZFV5ZlhDOFhZTk5lbktlVFFqdDlGLU5wX2p6WGhlM1g2YXdmNmIzS0Ffb09UWWJQVkJKQnNSbGhFVkdqNFBYM0o5aWNSU3dDNkhoUXZsdzFzU19QeWlnNw?oc=5" TargetMode="External"/><Relationship Id="rId643" Type="http://schemas.openxmlformats.org/officeDocument/2006/relationships/hyperlink" Target="https://news.google.com/rss/articles/CBMie0FVX3lxTFBQMWhaU3BVek1Cb0VrdlNyS1h2Uk8wdm5rdHF6ekhzMjd4cVloQmJONE9MUS1EaF9NU0hGbUQybUhPVUZCNzBhU1NtR2NmVHBGaTl0ZU1kYnM3cmlvek5pRXlCY2NEQnZMLWJSNHpjcHl4YW5SZk00V2NXTQ?oc=5" TargetMode="External"/><Relationship Id="rId644" Type="http://schemas.openxmlformats.org/officeDocument/2006/relationships/hyperlink" Target="https://news.google.com/rss/articles/CBMiwwFBVV95cUxPSTBsbnlJOF84MUUxTjUwQWZERHM0Rk9JYjM5VjE2YUtKVmwyZG5HbXh0VGZmVVp0SkZkeDZSdXJBZ3phZFYxNEtWREk3UjgyaVdGOGVpSVBPSFBYOFZKOFEtZDFsZXJGNmZTVm1ubHVIMW9XZUg4S1pWOXNteGtMdGVETWItR3MxeUswV2YxamxYc0szZTFwam5iaGFnbH" TargetMode="External"/><Relationship Id="rId645" Type="http://schemas.openxmlformats.org/officeDocument/2006/relationships/hyperlink" Target="https://news.google.com/rss/articles/CBMilAFBVV95cUxQZXlCNHQta2Q0OVRWU3g2VG95Q2FENnpnT0xPeXItTG5oRG1XbW9fTkRfeG54eGxNbnZlUk0tVUI1T29VT1FwS2NGZW5oQXlMZFEzbWlxMEdONzVla0NOMGxaXzJnU0hLM3N1SDJVVElRLWFjQlp2Mmw5SWxMemt2YUpOUjFDRDRvd1RZTnloNlNOMnhU?oc=5" TargetMode="External"/><Relationship Id="rId646" Type="http://schemas.openxmlformats.org/officeDocument/2006/relationships/hyperlink" Target="https://news.google.com/rss/articles/CBMiqgFBVV95cUxOSmNZLVNMRjhoZ1lkd3B3ODFMS3VfSDVWeWh1czlCcTR1d01YVjhDM0l5M0xsYXhOdWU5MVpxdkY1RmxDNm1kZUFDY0JtRDJzd1pkSG0wd2syVFN2SkJ3eVlsUUtTTUwtOWpOcmMtZ3NsclNtUWtBZ0tzRWNFMzNNTkNEelBuMjRlLTlUZ3dmN3ljQ1p2bjRyUV9oUGVHWn" TargetMode="External"/><Relationship Id="rId647" Type="http://schemas.openxmlformats.org/officeDocument/2006/relationships/hyperlink" Target="https://news.google.com/rss/articles/CBMiiAFBVV95cUxOWVh2aWNwZkN3MjJ4dWExMTF3Sm5KeV9yNkxjMXMwSWdfMDl5R0xITnBrQ2VocFJrUnZlM0hsNWVjTXJ0bVRUNUdvN0I2VkVTOXhFTXpnZi1vbnotenVyS2IzRGtxYVFDcEN4eGN4dWRoQkRFdEZBM21JNzhEMENac0F2a0NFMGEw?oc=5" TargetMode="External"/><Relationship Id="rId648" Type="http://schemas.openxmlformats.org/officeDocument/2006/relationships/hyperlink" Target="https://news.google.com/rss/articles/CBMingFBVV95cUxPTmx4QlAxZ2F1MjVYTWYwQkd4SGp1cnBuVmJ1NlZnLTF3Njk3TVN5T3RPRHhLOWViQTFDbXZnZGJOVm5qUzBNVkh0dGcxT3dWTWt6N0VGclJETGNObVlMNjgyT3JnWERhU3dmTDdBdkc1YjFFTkZ4SU1ya1hmUmtweDRSRFN2QU5VLTRpR2doZm1XalRudnJlbmk2X2lXdw" TargetMode="External"/><Relationship Id="rId649" Type="http://schemas.openxmlformats.org/officeDocument/2006/relationships/hyperlink" Target="https://news.google.com/rss/articles/CBMitgFBVV95cUxOX2p3UVhMNXFqc2E3SnhfLVhRLTF1VXFRTlQ1YWl5OUZtRElidlF5X3dGU0trUmVVMnVSaUVVQVpDZHhzYjhSa2RMczhQMHh3cm1lanV3RkpER3hfTnJaUGlzTGN4Rk9GUXZsM1U5M1pESHp6VkZEb0NWLUQzdkdZSW9JRHJ3WWpEWHR6Vm1xZURKMjBEUDdfS052M3BGQl" TargetMode="External"/><Relationship Id="rId650" Type="http://schemas.openxmlformats.org/officeDocument/2006/relationships/hyperlink" Target="https://news.google.com/rss/articles/CBMisgFBVV95cUxPNWVwVXV1bnlvOGxiakJ5QVNjTjhGWHMyV1lKaUUxeGFoOWtiLWJfRm8wR0otMDhxbUd0U3k3eEVNU05NblNBMVlWblJYci1lWGkyS1J6ZTAyRTllamFZdmM4dmx4R1YxZUFJa0t6S1NxaDNHOVJfMlo2d2M1d1puWUEwQ1dFTm9EYm5vMnpLOGcwZjBpcHoyb1JWOXUwNU" TargetMode="External"/><Relationship Id="rId651" Type="http://schemas.openxmlformats.org/officeDocument/2006/relationships/hyperlink" Target="https://news.google.com/rss/articles/CBMijwJBVV95cUxNT3lwVFN6YS1ONWxjNU1qUjlaYm5xTHByamF5NFgyOTk0WllzLTFLa3hXSzJ6LTdBaVEtOEI5VlBNRG52ZlV5dU5scWdWc0NDMmdlNy1GanhzekdKTXpabjRVVzEtUFp3cUJHQkgyblMxOTJ5Z0p0QzczS2lURU9SUUptcTQ0b1Zha0VVYTdqOUwzNmN3cDRGSi0yRzNDZF" TargetMode="External"/><Relationship Id="rId652" Type="http://schemas.openxmlformats.org/officeDocument/2006/relationships/hyperlink" Target="https://news.google.com/rss/articles/CBMi0gFBVV95cUxQQy02V2ktVWJQOG5aRl9LdzZGMDI2OGxmVDh5RnVPZEcxLUpaejNGX1dGSWRQcjdIc25uRHpnLVROZERkN1UyLXI0TG9kbDI0ZU9HaTh3UDdpczNPWWN0ZEh6a0t0aEhTR0lydXJONTRUdlREVWZEUWQzak5TTWo0b3ZnVGNOTWE1SElKNlFNVm5UUGN4X1pHY045LXhYcG" TargetMode="External"/><Relationship Id="rId653" Type="http://schemas.openxmlformats.org/officeDocument/2006/relationships/hyperlink" Target="https://news.google.com/rss/articles/CBMi0AFBVV95cUxNYWNmVFh3TDRUVTl1UktTYkllWktpc3VzRENNZ0FWZkY3dlBfUjU4STItN3BiOW1XSFNTemQ1cHlCYlF5RWVCaUExMEh3M1FObzA2ZmxYY3BLQ0dUUXRMRy1MRUI5OUhNeml2aUZQV0xjSXd3aThmYXRQdkgyZTJ3TElhNF9WdURzd1N4RmFXeV9yVmZHUEJpdkh4X3BNQ0" TargetMode="External"/><Relationship Id="rId654" Type="http://schemas.openxmlformats.org/officeDocument/2006/relationships/hyperlink" Target="https://news.google.com/rss/articles/CBMizwFBVV95cUxOTDB1bjRrMkxFTUt2QUljNDAzZWF4S211TUpyNGJVRm91WVRuWmpDY1E2SzlkWDBvQzE5d0pUdjVEQU1jT3FkQ2w1Z2hyZUJfRG5IWEt1SVFzZ0ZnOHZUT2c3ZWRTdGRvZTVnNExBcER5T0tRVTR5TlpKSHcweUpmc0t3ZGg2UFM5SG1HWXVYWW5CVEJqb2VveTBXMG5CMG" TargetMode="External"/><Relationship Id="rId655" Type="http://schemas.openxmlformats.org/officeDocument/2006/relationships/hyperlink" Target="https://news.google.com/rss/articles/CBMi0AFBVV95cUxNYWNmVFh3TDRUVTl1UktTYkllWktpc3VzRENNZ0FWZkY3dlBfUjU4STItN3BiOW1XSFNTemQ1cHlCYlF5RWVCaUExMEh3M1FObzA2ZmxYY3BLQ0dUUXRMRy1MRUI5OUhNeml2aUZQV0xjSXd3aThmYXRQdkgyZTJ3TElhNF9WdURzd1N4RmFXeV9yVmZHUEJpdkh4X3BNQ0" TargetMode="External"/><Relationship Id="rId656" Type="http://schemas.openxmlformats.org/officeDocument/2006/relationships/hyperlink" Target="https://news.google.com/rss/articles/CBMioAFBVV95cUxOVUIyRWZabVFSYUNlYkxBQmRmMEFla1dMQnY5bEtuc0lvYTJoSEhYRDd2SkRla252WWMwbm14QTBnV0E1aXpsNkhxVFIxMUlIdEVDSThsUi12N1ZhbHo4aGpJSVR4QTh1VDRZbnQ4aGpCc2tvaGpSX18tYzlONWlwUUducXB5ZTB1ZUczN0lha0JTMnlzTnYzRWhacHdXQk" TargetMode="External"/><Relationship Id="rId657" Type="http://schemas.openxmlformats.org/officeDocument/2006/relationships/hyperlink" Target="https://news.google.com/rss/articles/CBMidkFVX3lxTE9fVG1pTVppcm10azRSSElHUXBmV1NMa2ZOVVhCN2Z5R0dCVFZWVUtpaHA5UERHVzByaEtleE9NSzlwdXQ4S0l2OTBFeG1Sc3NyS29JcU1jYW1YNHE5MzlHUk90NVBqOWRuUUhQLUVxQXkzMGhJeWc?oc=5" TargetMode="External"/><Relationship Id="rId658" Type="http://schemas.openxmlformats.org/officeDocument/2006/relationships/hyperlink" Target="https://news.google.com/rss/articles/CBMidkFVX3lxTFBmSzNva2ZiOFU1X0ZXR3o3Q05HU0lwak5xOWtOYk1OV3p2RWNHbEtCY0xRa0J0TWhIR3NMTnBZNnV0eDdtTGFOTG9ucjV1V3YxN21La0tRUHhuZXlfb1EyUk80LVpLZkZHZEU1cE9FZVI5YW52ZUE?oc=5" TargetMode="External"/><Relationship Id="rId659" Type="http://schemas.openxmlformats.org/officeDocument/2006/relationships/hyperlink" Target="https://news.google.com/rss/articles/CBMingFBVV95cUxPUjJWd0Ixc1dscE44dGgyamphY1BCM2I3bmxuY19SSVROUlRfejRWTmVwWHVPTXJucUE3ODk0RDMyTmNOTjZZQlhjY0FvQkNiYkdadEIyaHlTd2s4ZEZVMzR5QUluekJETWpUSE5mS040bFRVYWJFeWprZkUzUHlERVRIQUxtMmU4NUpuSVByZ0ZPa2tpRzRCUjdOWVNGZw" TargetMode="External"/><Relationship Id="rId660" Type="http://schemas.openxmlformats.org/officeDocument/2006/relationships/hyperlink" Target="https://news.google.com/rss/articles/CBMipAFBVV95cUxQam0xdWdfTXpfZWxONnpkTnNaOURUbzVnMnJZb3d4elA0QTRXbnIwS3FobWZud3AyQ2t6WkxkMkFlWHdiWmRoZ0ZEN2VrSFBqZ2RUR196TmNFalVubGpCa0R5YXpGX1BXQmRubldBNHNhM0QtdzcyMkNFT0tyZTNYUWtkazQ4YmZUaE9rdTczODNueFd1V0JRdWw0X3VyS2" TargetMode="External"/><Relationship Id="rId661" Type="http://schemas.openxmlformats.org/officeDocument/2006/relationships/hyperlink" Target="https://news.google.com/rss/articles/CBMipAFBVV95cUxPUjk3cDFmaXBKeWw5d3YwaVVCVExTV2VwWHNTbFA0N1duOEsyS3pLUVZ1emszU3VJaU56cUd0elhSM0NhMTdIZVA0cjYwRDVCbkVlckVrb0FERG9pNTBNMFQ5akV0Uk1aWDlEbmNveGF0TGtnU0pJeU1pTGprX010a0J2VTNzaC0ycW16OV80TWJLQ1NGUWtLNkpmTmtrcn" TargetMode="External"/><Relationship Id="rId662" Type="http://schemas.openxmlformats.org/officeDocument/2006/relationships/hyperlink" Target="https://news.google.com/rss/articles/CBMilAFBVV95cUxPWGN4anh5Mm1vRUhYdU9lM2xxR21FSHZpMVlrRmFMMlFtRFpoWnVpOWpPc0lOZ2tWbTc2WHJDVy1TaDBjMHlQdUxxWXdrLWxYck1jdE9EcFBvWDRsZ1BLR2lNaFdxREhNSE9XVVRrZEpZODlRUU9PMTd2clVLRldqS0pnYkZuSkZOeHJEYjdsd1FFNTgt?oc=5" TargetMode="External"/><Relationship Id="rId663" Type="http://schemas.openxmlformats.org/officeDocument/2006/relationships/hyperlink" Target="https://news.google.com/rss/articles/CBMioAFBVV95cUxQR3RnY29HWWc0dEE4VDBaNkdIcEtJSXJ6ZG9kQkp5WEUyMHFsLV82cTJRTHhWdXU0YjVoaW1QUVZwdWVDQlJpU2Vfd2hDWTFzazM0Tm9HUzZtd19MSFJic21PTHZWZHVER1JIZXFsUU5wNmxqbXhGQ0hFUG9hTTN0ZjRoTWVtdjE4VEZ5WWRoVWxSNktpRDJUTnN4N193b1" TargetMode="External"/><Relationship Id="rId664" Type="http://schemas.openxmlformats.org/officeDocument/2006/relationships/hyperlink" Target="https://news.google.com/rss/articles/CBMi5AFBVV95cUxOZThmUUNOQ051MzdzM2lscWFwM3BhRXpXaGs4WWhVY3l1cXo4YUdFOXlBVFpZOTBjM2lJLWJMaFoyNG5jOW5fcThXY3pvT0NRb1JZd1JmVXlLejFtdTdPd3hLUmZXOGExRlJPb2JadUVtQWRreUlZUlc3RWNEejFwemF5NGx2OGlWenBDRG1ZZVlTVDFOdm1DSU9maWZhSE" TargetMode="External"/><Relationship Id="rId665" Type="http://schemas.openxmlformats.org/officeDocument/2006/relationships/hyperlink" Target="https://news.google.com/rss/articles/CBMiggFBVV95cUxPWjJCYVFMdXA2ZVRmNURTSlotcUNVTngtTWhGSlZLcWlmU3JJLXZpZXA0bzhvQmpDRjNtNmtqM2lqZzVzb1k1Wm91djNfc1pmbUZ5enBIak5teGk2QUxad2JSTTNpZEx6WERxR2gxZzlLZm00aUtyU1Ftd3dLVGNjT2lB?oc=5" TargetMode="External"/><Relationship Id="rId666" Type="http://schemas.openxmlformats.org/officeDocument/2006/relationships/hyperlink" Target="https://news.google.com/rss/articles/CBMi1gFBVV95cUxOU01QdEg0TVpfSVBqWWV2MWFZdEVBNDlIVTdkN1Utb05FcWp4MkVGWWpoSDhfWDN6UjBDdkw2d2g0UnhlcllFWVV0NEpZZkR5SFVYUy1QR3Q5elFlU3NSMmJFbi1JWVhEdWl4U3N2UUFTdXMwNG95WXk0M0JTSGlXaU15ZG5qMXd3cFZBcl9iMFl0R205c1YyWVFDOGpIcT" TargetMode="External"/><Relationship Id="rId667" Type="http://schemas.openxmlformats.org/officeDocument/2006/relationships/hyperlink" Target="https://news.google.com/rss/articles/CBMiwgFBVV95cUxNaEpRTzJzMzlmcEY0T0JLN29QamdCdHQwQjEwTk1YU3Y0NGJralNoOWl1YXpiSWI0NHFGNGE5LUprTjRhU3ZVNHJZSUh1b0JiUVU3cWtQRFNnQ3NuRE9yMDNuV2syOTZXeHlJaXMyRElvM0RGa2xOM2hBeHFnZXVLM2laaWVrVW5WS2IwVVQ5bWtfQUkzNFphdzdfSUwwVi" TargetMode="External"/><Relationship Id="rId668" Type="http://schemas.openxmlformats.org/officeDocument/2006/relationships/hyperlink" Target="https://www.gelonghui.com/live/2726433" TargetMode="External"/><Relationship Id="rId669" Type="http://schemas.openxmlformats.org/officeDocument/2006/relationships/hyperlink" Target="https://news.google.com/rss/articles/CBMi8gFBVV95cUxOcDhwc0lTQUUtUnBfN3ZDUkVMby1RSkJsakViTzltX3JfZnBxVWIyMDlmeVJGUjVPVkV0NFZPMlZyNV9PcHlSanVVV3UxbGlmNW1wUkplX09CR0RmMWFERzBNcjVmZ3lwZlp4WTIwek1SQ2J5UWJNWWY3SnJNS28ySVdCeXdMSmdSVTVwR1R2RERzMFZ0Q3JQeVNlMFR6SH" TargetMode="External"/><Relationship Id="rId670" Type="http://schemas.openxmlformats.org/officeDocument/2006/relationships/hyperlink" Target="https://news.google.com/rss/articles/CBMikwFBVV95cUxQZlB3aURYZG95WUI5T2l3SFhpZDBEbnJLOHVaNW1iMFpCcGloU2lfdkZyVlpRaWlXbEJYTHQ3NWpDcnVoZ0x5cmFWZUxiWi1TNmozekp2UThUUVBJRktrUVdBTmlBOGZBWDhqdU55QUpoNTRFcGNXTGk4cF9ZRUpRb3NoNVNvNFlFUzdWT2tHNlk0bms?oc=5" TargetMode="External"/><Relationship Id="rId671" Type="http://schemas.openxmlformats.org/officeDocument/2006/relationships/hyperlink" Target="https://news.google.com/rss/articles/CBMisgFBVV95cUxOQVJaRGpWNDA0dG5URWNtaUk2YWZDdHdfTzhxcDJ2S19nR2NCRzNwTUxqR1pRNUVVdGpYOGx3R0N6X0FJbE1VVHpUVnJQOE9qQjZWTWhpVTFWaFRiRXJHdmU1N21zTFFfR2pZQTZ3dHBHUmZyM0ZVTFljV1YxaDFXOUJTaF9WNmFLV0VoeXF4YnZKZW41T25PV1VZbmdtbT" TargetMode="External"/><Relationship Id="rId672" Type="http://schemas.openxmlformats.org/officeDocument/2006/relationships/hyperlink" Target="https://news.google.com/rss/articles/CBMiW0FVX3lxTFBmc3dYOEV6emplaHk0VTJjOG53VGtxR0d3Z2YxQzV0eEdDZGdGVlMxQU12NWtibHozNGlDTkhZRFp2Z2hmUGxuNzVMN0tsTU8zaGg5SkNjYmhwMUk?oc=5" TargetMode="External"/><Relationship Id="rId673" Type="http://schemas.openxmlformats.org/officeDocument/2006/relationships/hyperlink" Target="https://news.google.com/rss/articles/CBMi4AFBVV95cUxOTklUZm1TaVRIUGNyVi11QXp3ZDZ5YVZwRUFiSkhXZXZtVFpCekRIUmxNaExVeVhnSkhXM0c1dGxtekhWcXFSSzY4MGotM1BaUU5UVFVEaTU0N0tJa0tYN19DaGx2R2JjTkw3eWdONVhTTjNiRlNwN21xRDNjclVOcWdkNXA1T0RCV1RxcUdhQWROeFFCS3VldTZSWVIyRD" TargetMode="External"/><Relationship Id="rId674" Type="http://schemas.openxmlformats.org/officeDocument/2006/relationships/hyperlink" Target="https://news.google.com/rss/articles/CBMie0FVX3lxTFBSQXRpUDFKMHp3TV9mN0RYMU94NUJGSVJqOHdVSlBWSmsyQ3Y0eThoS29YeFlrZzZ3MmFkWkNWcGpoMkFPRFVWUl9CdExIbnRtZ2RBM3RYYlVkajN4LVBkVGhmVDlzaFZfeFVuVnNOenVHV3BRSF96UXRONA?oc=5" TargetMode="External"/><Relationship Id="rId675" Type="http://schemas.openxmlformats.org/officeDocument/2006/relationships/hyperlink" Target="https://news.google.com/rss/articles/CBMinAFBVV95cUxNWmRQSFJXSzRMb29XeEtFOGJnei0wZXhQZUd3aDN3T1o4MWRkTDBBelV3Y08wSnhsTC1EakpJNzRuVTVJVVdWY1Z2bXlQNUI4N1h0dnRpY3MwMjNzV0tZNmdJS2dEcF9lV2h1WTBDZUxXR1dMSEpTSEUzbGlNcHRGRnk0NWlPMlk5U2E4aEV0S3Y5dkZiRXBjcEExbUo?oc" TargetMode="External"/><Relationship Id="rId676" Type="http://schemas.openxmlformats.org/officeDocument/2006/relationships/hyperlink" Target="https://news.google.com/rss/articles/CBMiwgFBVV95cUxPdjZYY1E3Y3pkRjF6WFFTTEoxOWp3UEZvQTVQNE0wV2RPYWdDMDRMb1g5aXlKQXN3VS15a3RteHJxYmVGaVJkVHMya0VzVmh3NGV2QUdqRXV4Um5MczNFTVFJdnJ2ckt5OUt1aG4tdmtSWmxsd251N1RmTVYtUEtVMGJtVWJQU3dwd1QzbnZnV05QWFNQWkVLaU5fZG1BcU" TargetMode="External"/><Relationship Id="rId677" Type="http://schemas.openxmlformats.org/officeDocument/2006/relationships/hyperlink" Target="https://news.google.com/rss/articles/CBMirAFBVV95cUxPbl9RQXUzUFA1ME8wUG8tN1dqZ0hOWW5IMlR2dkExYXJ1bDZUbTRYWllfdnA5bGNEMkd3X0hsRzJuTnF1bUtyQVRfUmFPTFgxQ3JySGg4X01VWHNHdjZBVEwwNGE3Sk9WRkZONGRobnJodmczV01XWk9oWGtPWVVaZG5RTTVIeEM5cWNBcFB1TFlQcmFtNmxyVzYxWHp3R2" TargetMode="External"/><Relationship Id="rId678" Type="http://schemas.openxmlformats.org/officeDocument/2006/relationships/hyperlink" Target="https://news.google.com/rss/articles/CBMifEFVX3lxTE1QcmtjMm1FVmc5SWxRU0N6R1p3X1pvTlRGbnMybnlRdm1fZ081OUZ1cjNhMmZzUF8xVjNfTlhUekFkMU16MHpUd0Z0VnE0N3FLSlliT3NkMnVjbTdWX3oxS0l0NWhVQ3VHZ0pjODYwUkhxVXoyT2ZrOEZncV8?oc=5" TargetMode="External"/><Relationship Id="rId679" Type="http://schemas.openxmlformats.org/officeDocument/2006/relationships/hyperlink" Target="https://news.google.com/rss/articles/CBMiZEFVX3lxTE1RbEw3MWhmZEhqS2JBaUM1dDV0S2x0RHdBTUpxZm5weGlMclNJQlNzU3VYUnRRRkRqTkFMMW45eDdjcWo5TE5yY2JUQzBBNkNRMmJwa1RwWjJnTmxOSnEweUxBTzE?oc=5" TargetMode="External"/><Relationship Id="rId680" Type="http://schemas.openxmlformats.org/officeDocument/2006/relationships/hyperlink" Target="https://news.google.com/rss/articles/CBMi2AFBVV95cUxNTWxYZlJtTDdTUmRtZnk0ckZzaXhfQVp2dGsxTTRaR3Q0WnJMTXdNTFJXZkhhcC03dkpsLXlPUE03VVIzdi1hX2ZNZHIxd0J6T1JmZlFqYlFOanJpU0xBN19fSVo2LWhuOVE1UjNFNW9ORlY5QmZueWNyOHhCS0cxWHV5THY0N284NnRvT3BOMHFNRW1hUzZuTUF2ZlB3Yz" TargetMode="External"/><Relationship Id="rId681" Type="http://schemas.openxmlformats.org/officeDocument/2006/relationships/hyperlink" Target="https://news.google.com/rss/articles/CBMi2gFBVV95cUxQUGgtdjZ6VUNKT0JWSWdTemJnbjRQVGN0NUstQzJJSHl1b0hFd05zM2NiX0Z3clBiNjBpd1gxeG1SVE5OaFk2aU9FNjlyMEJMejNfQjdlVFNFNUtfUlhNYklGeVk3MDJEblRBcnQzTWhSTFNIZmZWY080aGRlc2ZVY3lka25zaWYxYWE5SjhrUy1oZmltb0FIdl9vZ0R1d3" TargetMode="External"/><Relationship Id="rId682" Type="http://schemas.openxmlformats.org/officeDocument/2006/relationships/hyperlink" Target="https://news.google.com/rss/articles/CBMijAFBVV95cUxPS3Q0U1hfU1ZEUE1FS1AtS3hJdVgyTTVtSWljWUNFaE5zcTdtTGZScmdaZVdZazYtWmxLQ3ZCaEtNeWVSc2VzNGpLbUxNd3pBLUdlTUVKMHlFU3F1WkVvRU13Rmw5WF9IbHpwZGV5RXdUSUI4a0JVVVB4Q00xRU1FTUpaUGxMTDRsdmZyYQ?oc=5" TargetMode="External"/><Relationship Id="rId683" Type="http://schemas.openxmlformats.org/officeDocument/2006/relationships/hyperlink" Target="https://news.google.com/rss/articles/CBMiiAFBVV95cUxOdVdQWVd0U3h2VVhaYl92Y005bDZ4WnFoSVpRdTFMQUgyUGhFTWhfbl9sMW5Sb0JDMzYwWm1XcHNYeGsxeHpBM3BpcnIzT0xoNWFKYkVCZXI0djhyMWxmcXhxZUhNc201Tk5TSVBwYWVfWDVfUTRPTzRxd0JyZzE4aWxqTDU1RGtp?oc=5" TargetMode="External"/><Relationship Id="rId684" Type="http://schemas.openxmlformats.org/officeDocument/2006/relationships/hyperlink" Target="https://news.google.com/rss/articles/CBMic0FVX3lxTE9BaVFHb3FMZlR5QlhEa2VDeFJrY09MZzNlanZUNVRDMlh2YTlfMGVycFczaU5hWlhyMUo5cy1LeFNjUy1VVThqb21DYlVQbU5JUzNNdTl0QVVWR2FxTTRTT0ptREppWkxjcDlDQktnSjRLTnc?oc=5" TargetMode="External"/><Relationship Id="rId685" Type="http://schemas.openxmlformats.org/officeDocument/2006/relationships/hyperlink" Target="https://news.google.com/rss/articles/CBMi1gFBVV95cUxQekNuREZZc3VOVmxDY1RHczFJNFJNQncySjlVdlRsa0RGNFNqWXRQMHZrZnlOaUdDcjBOZzRSOWwxN0xiYXdJd0dCR2p4U0ZEa19lbGpUOXFlT3c0UUQtdEpjRFBUUk1pRmJFdWxnMHpFdGtpNVhwaWM5aTRCTmtxUFVmb3JGMm96Z19KTFJVc2dOWEZ2bXhFU0QyYXowb1" TargetMode="External"/><Relationship Id="rId686" Type="http://schemas.openxmlformats.org/officeDocument/2006/relationships/hyperlink" Target="https://news.google.com/rss/articles/CBMixwFBVV95cUxNM1J6YllhRDNuOHZIOS0xWDdfOFBRMHF4aE5ZN0ctVDNhSEYxWWsweUtSR25iWVZvQnhyeTV2OTU1NnR0cjB2MG1XN0xmNDlRRUJOWXN6RmdMY2JHaXhwVjRoWl81YVhOUjFjMzF0a2dWNHhSejdic1RmdGZJYnVaYU1kejlSdjZTZnNPZTVmM3ppYVF2VFpUXzhCR1FXcE" TargetMode="External"/><Relationship Id="rId687" Type="http://schemas.openxmlformats.org/officeDocument/2006/relationships/hyperlink" Target="https://news.google.com/rss/articles/CBMi9gFBVV95cUxPTElsWDhaRW5ubEREbnlUVTVBb21SU2piNng0R192czdKbjAtRkdMZ25NMUVMRk9FV1VRQTk4QTlUUjgzMmtaZklYZ3Btai1NM1NSLVhDdlNpN0RiUlhBSXhSM0hyMVRSQTdDMEJzc1VzblRkOXFjeTlDNnVOMzlwMGdCVHNRcTNmMHZJSDlESlo4cDV0djRpWWNRX2staH" TargetMode="External"/><Relationship Id="rId688" Type="http://schemas.openxmlformats.org/officeDocument/2006/relationships/hyperlink" Target="https://news.google.com/rss/articles/CBMigAFBVV95cUxPX2NpQUtKNWRxSnBJMUllTE9qSDVmdWExcmZSdklUMHRHS0pwd0tlM0FZQVdsQ3loZzZ4blF3d3FYSHE3V1lHR1ZmSldmUlVjUDNrdjNsLUVwbTRkRElfTEZpVEg1aWZ2a3FMaThkeXNuMkxEb0pBTVZEQ0NEdmhodw?oc=5" TargetMode="External"/><Relationship Id="rId689" Type="http://schemas.openxmlformats.org/officeDocument/2006/relationships/hyperlink" Target="https://news.google.com/rss/articles/CBMi3AJBVV95cUxQNmpTRmN6UTF6dDRoSHo2YkIxcGVlbUtUM01TVjJHTTg1MklsZWNCV0h5bFZNZldncXRValBKbU5rWjZFUVBjLXdGcnZPVC11MjNYU002TU1HbmhKS1JhM09QYWpjUHlLNDJEb1pmN3E1MDQxODNTNmRmTFRMSklwMDhiMFpDb3ZSZDRLbUNaNVV6RDNKWXh0TmM2LTJiV0" TargetMode="External"/><Relationship Id="rId690" Type="http://schemas.openxmlformats.org/officeDocument/2006/relationships/hyperlink" Target="https://news.google.com/rss/articles/CBMi_wFBVV95cUxNM004UkRpNkNEVVVsQUZPVjN3M1hSQV9nYm9LenN3Vmk1MVo1YWhiZmJqR0Z6S25yaVRvV1hHbDJkaVVOc25uLXk1UjgtaFVZYkdZRU1qRWhnQnpHRk5aZGRxUVl1YUpoZm1YbXBBMzRNWHV2T25vZWhfTkhibnNPckhVN2FzSmJnaFJqVEktRjZmaFA4azdjWHMwdEJsQm" TargetMode="External"/><Relationship Id="rId691" Type="http://schemas.openxmlformats.org/officeDocument/2006/relationships/hyperlink" Target="https://news.google.com/rss/articles/CBMioAFBVV95cUxNMmxrOU1EOEx3V2g2RUpvTTNqZmVYeHd0My1mMTRyRXdYUU5iOHhHVF9uZWJsdy1NQWRoM3lhLWFzMDd1aFJvcWUydEs2WVp5dl9OeUloUHdLMFktT1JETDF6TFFnUGxHM21UWFN5WS1pVkw5a0RlU1RKZWFNMGUwWnRhSkZUSGNiNXM2ODFKZFRNbUk1QVpmVEktcEF5cW" TargetMode="External"/><Relationship Id="rId692" Type="http://schemas.openxmlformats.org/officeDocument/2006/relationships/hyperlink" Target="https://news.google.com/rss/articles/CBMiekFVX3lxTE9MMW03WkdLWUFSQlRqb0RFbXNieF82UnFRT1BfbGJNclI0ZXdhamtrRlVrS3d5WEltVDZlQTlibWstdk5pLURfWFpLRW1KNTBFSlFiOWVyd1VESTBnYm8yT3pYWlMtN1JKbU9ta3JYVUxuZkthSzlqNjFB?oc=5" TargetMode="External"/><Relationship Id="rId693" Type="http://schemas.openxmlformats.org/officeDocument/2006/relationships/hyperlink" Target="https://news.google.com/rss/articles/CBMi2wFBVV95cUxPNTc3NG9QZ0VaZEN4SGdBQVBvNjNxUGlfUWdTRzJ2ZVRGUjVFUGJ5bUhOdUNFZ3VmMloydmxodjdSc3dieEc4RGRBd1dENXBoQ1IwTHdkc2VFV3VjdXhITTNTNjVTcXpHYnlXWlJvaUM0aERwdTllalBid1dJWHpUeDJVbkI4SlBhWDZGRFQ2VnRJYzJWWDdGLW9tdXp0en" TargetMode="External"/><Relationship Id="rId694" Type="http://schemas.openxmlformats.org/officeDocument/2006/relationships/hyperlink" Target="https://news.google.com/rss/articles/CBMi0gFBVV95cUxNem0xRGoyVnpxVDJBUWRSNDRNS2dpOTRPRWZhZzZSY1Fub1FjREFzaHJWSV9jX294UmlXQjE1TnZySUdrZ3psZWlJVHU5R3dFMlR1ODh4Ykd3aWM3eXd1bVdvMDVuNTVMdjU1Z3FrUm91TDgzSGxFN2FXOHl1a3UwclY2ekZPZ2dwYzh6Ty01a212eXdjN2k5ZFNwalpfaT" TargetMode="External"/><Relationship Id="rId695" Type="http://schemas.openxmlformats.org/officeDocument/2006/relationships/hyperlink" Target="https://news.google.com/rss/articles/CBMisAFBVV95cUxPcllxTmxDeWs1c1ZIVV8xdE1SSWR3X2pnUldNeEl0WjJGSlpQLXhhWVJlWjJ6eW1MSU9Dc0tMVGhOS2tPWWt0Y2JlQjlReW1BY1V6d2k2a1JGLWJ4dkFXN0RWczlycFl5WGxlS1liRXAyVlUxWnNmX2VfZnJ2enRqQWppNFF4OEJpTjFUeGNBS3ctbE1RbkJEM2JpUGpQMU" TargetMode="External"/><Relationship Id="rId696" Type="http://schemas.openxmlformats.org/officeDocument/2006/relationships/hyperlink" Target="https://news.google.com/rss/articles/CBMimgFBVV95cUxOandXSEtrWndmSkYydXJaUnRjTm5hMEpjbUFQZ3VfWmxaa3BSZEc4dHR3WWVvNmZva2lQdXZXdEhKQXptVG9JcGdMb09mY0tjdHQzTU9EVTJibzlBT3FzNFBIOVJJcTdiU1FjRm5FcC1Zbk9seWdXdWhVQ2tZUEFGRGViNk9yTmM0bG4wN05mSTlUS1NoWURPMVh3?oc=5" TargetMode="External"/><Relationship Id="rId697" Type="http://schemas.openxmlformats.org/officeDocument/2006/relationships/hyperlink" Target="https://news.google.com/rss/articles/CBMipAJBVV95cUxOakVZTkdPQ0ZIYmY5ZkpCcVFVSV8wTHZfZ3UwemFJVHBQbkIyeVR5SHNvYzFKcEJDSnZ6eHFQZHZDS2pRZUhYM3kyYkRVdS13YWRDTXo0Q2RuQ0tZX3FOZ0NQdVZUNVBmcWtuTkpwbTYzV3ZiNThET25maXd1aGd2a1RDZDN4cGFlRlhQNElIRm9rT0JLeGR0Tm5GaklxdD" TargetMode="External"/><Relationship Id="rId698" Type="http://schemas.openxmlformats.org/officeDocument/2006/relationships/hyperlink" Target="https://news.google.com/rss/articles/CBMimwFBVV95cUxOSjZNWVlWZjV1MjVzT0k5Ul9mMGVkN2tPaG5QM0hOTklJeGowdjhmRUo3bS0wRC1MNndpS0hsVG9PZTZuQlEwODF3TGpWejJLbW1IaGp2cDhnMEJwejNYdGFDbmx1WVZ2ZlQzQmtLaV9xbWlXYjhGbmt6aGVaRG9MaFVDMjgtVEt5TlIyM1IyOVZLWG9YY2NBWk5Cbw?oc=" TargetMode="External"/><Relationship Id="rId699" Type="http://schemas.openxmlformats.org/officeDocument/2006/relationships/hyperlink" Target="https://www.gelonghui.com/live/2725595" TargetMode="External"/><Relationship Id="rId700" Type="http://schemas.openxmlformats.org/officeDocument/2006/relationships/hyperlink" Target="https://news.google.com/rss/articles/CBMicEFVX3lxTFBvWUs2dWREYlRyTU9wdkRFbkJUYkxobVlXN3lCbERmVmN2Q18yYktMSUVJdnk4Wm1xQjB0dFBFTkNZZTF3UFpreFdJcVNkWWJqWVE0YXdvS1hpY2dMQTlxSV9pU0ZDWk1EU0NUTUNBTFY?oc=5" TargetMode="External"/><Relationship Id="rId701" Type="http://schemas.openxmlformats.org/officeDocument/2006/relationships/hyperlink" Target="https://news.google.com/rss/articles/CBMizAFBVV95cUxNa1dabU02WGlUSm5TMGVvczVuUG82YUxBWVdBbFhySEZ6V0ZWY2x6TjdyMVpySXFKY2dtQ0lBMGZQc3Q5b0pXelZRbmFPcHNpeUtNdUdmMjRsNFFnVzNrMFhfTGRxX01vVWJMNExrTDVRclFDcUZHc0x0bjFZLXJGRjhXSHpuMnFvc1U5bk1rbnJESHU4dEZnVkNJMDFkVU" TargetMode="External"/><Relationship Id="rId702" Type="http://schemas.openxmlformats.org/officeDocument/2006/relationships/hyperlink" Target="https://news.google.com/rss/articles/CBMi2gFBVV95cUxPYlRnVlhQeUVWMmpRVFEyam9rQTllZEdVVTlTSE91Rm5OUEhZV2hMTUZKVEcwam1DTFlrc3MtdzN5cktRYURVOHZFYVZ5UzZWd2hGR3did1RIa1lwb2dqT2JpZ0wyd2JSWUhSeExCUDhyRUFabWdTeWpoSE1DMFRXdnIxSnJELXBfYUstSVl4WmpXNjBEVHhET3QtYm5RVl" TargetMode="External"/><Relationship Id="rId703" Type="http://schemas.openxmlformats.org/officeDocument/2006/relationships/hyperlink" Target="https://news.google.com/rss/articles/CBMisgFBVV95cUxPV3pGTFBDTFJweXVtUWZ6VlFOT3NMeGp3bTBmV2JXVi0zeVBuRGRiM005dTdXM3FsOEVoSllnZHp2eHF1cFlpR2tSYzY3R1hfOGdfcUo0YUtrZkdaUWFidHBrV2M0bEhJcmxYOWtiQklpWDhOQUszaWhkdWl0X1RIR1BSam1EMlBSSWo2U3NXR0YyMGJfYjhGcktVX05nSU" TargetMode="External"/><Relationship Id="rId704" Type="http://schemas.openxmlformats.org/officeDocument/2006/relationships/hyperlink" Target="https://news.google.com/rss/articles/CBMilgFBVV95cUxQdE94NUtQaWVEamNpQTNuMnZDTktZbi1ISEZuWXpTNnR2RnJxaVU4VVJLSWlpck5kemhxUFZPYXNRNW9uZm51dk9NVlNSOTg5SnJtNWhWVUVESWlnV1hCTktGNXZhcm5mWUZJeVFQXzlLRHpKdnBkNnBoS0k0ZDY3N1VHYnk1SWJvVm5LRnFhc0NKMTUxY2c?oc=5" TargetMode="External"/><Relationship Id="rId705" Type="http://schemas.openxmlformats.org/officeDocument/2006/relationships/hyperlink" Target="https://news.google.com/rss/articles/CBMiyAFBVV95cUxPeHhEam1PRFhoM2FyQUV1V3dlS3pfTmgxa0VPS3FtcDlOMW5uQ2pVRWtUMU1ycUJPWDlSclp4dlF0emNfalJTOFo4YTRxWlViSHhMRGo3Z2dhcTNBWThHRWdKd2hfYkNKWWNLSFRET1RMcF9DLVU5OUV6Y3NnSHViMU5wZlJVVS0wQUc3bi1FLW9qRVdPdWI4aVRDbk9YbD" TargetMode="External"/><Relationship Id="rId706" Type="http://schemas.openxmlformats.org/officeDocument/2006/relationships/hyperlink" Target="https://news.google.com/rss/articles/CBMiuwFBVV95cUxNSld6aU9zOGRmNnpRRU5zODVYLURVWUo0WXlyZ1JsNmliWXJreDRRX0ZxV050bnBjTjN2VzRKWXFSWW5lN2hZVFNwSFRkbU02UnVyRnFINHNpN1RlMncyNjF3UUpFRHl0T1Nrc2llSWJ5WFE3bFB1azRFc2NuWVNPY1lMVEJZQl93R2FoaHE0RUYyeFdsT0Q2aHBCRzZINW" TargetMode="External"/><Relationship Id="rId707" Type="http://schemas.openxmlformats.org/officeDocument/2006/relationships/hyperlink" Target="https://news.google.com/rss/articles/CBMi4wFBVV95cUxNUnFDWmFPZHM3OEtwNUR6QlNRNFpOSkJjU1cyYmZFUHAtbXJtZXJuZ21rMF9NeXB1M1NnNzIyUWtKNTBMUG9mOGRmRDh2enY5UmpmYXVuOWd4a09WWDJsQk5jMWozTHNLXzNNMjZPZTNIRDUzUkVsbVhQRmN3VER1Zy1JN2NjdlpSRHVhaWNBTk9ELW9BakRtbTBtWU13Vy" TargetMode="External"/><Relationship Id="rId708" Type="http://schemas.openxmlformats.org/officeDocument/2006/relationships/hyperlink" Target="https://news.google.com/rss/articles/CBMi4gFBVV95cUxNTUx2aDVpQ1M1elk2RUhpblFGZG9waE9PUHlkU01JRVk5dzFrYnM3cWhjWFVtS09fZGlTckp1NXduMkNaVldjWHJCUzZ3blhmSFlWb1dVdG5MM0ZXZzgxa2toZllNb1hlNnZVQTRYTnZjb003TFltamdQWjU4NEFXdWxRc19yXzhVdGVkQmZwNmFwQjhYWDlSQzM3b2RQQn" TargetMode="External"/><Relationship Id="rId709" Type="http://schemas.openxmlformats.org/officeDocument/2006/relationships/hyperlink" Target="https://news.google.com/rss/articles/CBMipAFBVV95cUxQV1h2UWxhRXNtMjNTM2lQVVc2c0JfM0VkbWEtZUtab1o1TF9MMXV5cjd1SngxY05IRm1fa09qZ3B0UW16NUpGYzNNZmxpNlFrZ296a3czOHc5VDJ1TnhTWkxmbEdZVnQ0bFpRTGh6RnZSalpYTFVTaHVHbkN1SFMtczBybU1MZGxqclFueHVmQndvN1NDZjFSVmk4RHBhc0" TargetMode="External"/><Relationship Id="rId710" Type="http://schemas.openxmlformats.org/officeDocument/2006/relationships/hyperlink" Target="https://news.google.com/rss/articles/CBMi2AFBVV95cUxQaUU2RlhOTl9FVXlCVmRuOUNoeXZSTXdYV1RNM1NSTU9hUzZ6NzB5ZDdwRk9XQk90VHVLbmV6cXZpdVFlOTVJbWJOQWhDS1R0Uk5jdmZzV0FQQ0FyaE12UFMzNG1EM3dUTzd1MlUxWG1WWU12eV9zc3NqSkgtcWVWc3cyUGd1TklwdS1PY0c0UjZqbW9PaURaODNaRmNQcX" TargetMode="External"/><Relationship Id="rId711" Type="http://schemas.openxmlformats.org/officeDocument/2006/relationships/hyperlink" Target="https://news.google.com/rss/articles/CBMiuAFBVV95cUxPRHJTNGJGUVR3WnNzMklBdFJWaHJ3NGszN2gxYzR5TkZ1c0lhVlFWYVB5UG0xQmxkc1JnMEtLQm5VODVkZFNEMHdfQnltVU1halpaX2lsR0tEaERQLW1xa2hPUXBKMWhrSi1oTU1JSXpnRHZCbFBVTU1MSF9Od0JTdGF2R25FcFozcEZzMGFJZXQxVGx6S2VpNmFCWjZUQ3" TargetMode="External"/><Relationship Id="rId712" Type="http://schemas.openxmlformats.org/officeDocument/2006/relationships/hyperlink" Target="https://news.google.com/rss/articles/CBMinAFBVV95cUxOSy1xLS1fY1VEbTRYbzQ5dnpxWUpwQUJzQkgwaHlzTWsyaUFlcHFJUWp1cl85TkFsYWMwTHJPNnlaN0o5MDVLOXp5WWFHMUZHVkpBRlQ4bkQ3UC1aZGFsb0ZxOUNHUXBvMGk2M0Y2alA5VDVnLXJNSkk1S2g2U0JBVFpBUEFlY2JRN1VWcG5leW1ta1ZBM0stMkdvN1Y?oc" TargetMode="External"/><Relationship Id="rId713" Type="http://schemas.openxmlformats.org/officeDocument/2006/relationships/hyperlink" Target="https://news.google.com/rss/articles/CBMi3AFBVV95cUxQM1lrVDRtTEthdWJkZWpQQjZmWE14eWtFd0U5OFMySk1XdkhseGJSdS1SUVJFb2VfbHBDdXk4NkZ2ZDRVOTNhc0dRNGJPSEVTYWctb1h1aWhLNlpiakR0U3Bjb3BFaEoxYlVPWE5EbFFaN3h3MVl0M3pvRE1RcDlVdGdHZmdxYVFZVllpcW5LY0MyYXN4dnJ0S1Ywa0NQSE" TargetMode="External"/><Relationship Id="rId714" Type="http://schemas.openxmlformats.org/officeDocument/2006/relationships/hyperlink" Target="https://news.google.com/rss/articles/CBMiuwFBVV95cUxQWXdvWWRHZDBCMC1kbmpuVGhSS3Qyc3VTd3R0SzZpY19RZlMtbmQ1UnFCQnNFcm9yQzhYWndqTExXa05DaFlFd3B6dXcwTktGT1h4WERBRnlPRlJVNWR5eHphWjk2ZTU2QkFXc1I5NlBjWUFLcFIzY01aakNzaWhrNEw3aEY5eDRqaFR3Rl9ZYjJjYkZ0OEtCbWNYZ0ZYNT" TargetMode="External"/><Relationship Id="rId715" Type="http://schemas.openxmlformats.org/officeDocument/2006/relationships/hyperlink" Target="https://news.google.com/rss/articles/CBMijwFBVV95cUxNXzVpamRMUGNZNXp5cG1FVWlfcnUyYkFtRVctU0c1R0RIcUlNeHhoT0dwaUxMU2wtMkF1U2I0cGJpc3ZTakxUZFVTelk3bU94WkFnTU5yQUZTbEZnb2RxTnNhYi12Qzk4QnVNRXhza2dIR3lnXy04R1RHdVpMN0l6Ymx6clpIZlZ4eFNaUUtmbw?oc=5" TargetMode="External"/><Relationship Id="rId716" Type="http://schemas.openxmlformats.org/officeDocument/2006/relationships/hyperlink" Target="https://news.google.com/rss/articles/CBMi4gFBVV95cUxPeWlfZUZ1M1B3Zm1kTkt5LUNibnJhWTJibzlBSUlnWGVaRE9kNGJrcnlWOEY0d2pFa05VOFlTSHR2dTBCMGl0X0FEcC1OY0dSVGNWbVRYb0lRcERpcm44ZDk2SWI0aDExSVJ6MlAwZU5SSEFtb1ljR1JUeFRrX1ZjOUlUMXFlVl83SGtadENtT1FJOWdJWjZhQng3dldtZk" TargetMode="External"/><Relationship Id="rId717" Type="http://schemas.openxmlformats.org/officeDocument/2006/relationships/hyperlink" Target="https://news.google.com/rss/articles/CBMiwgFBVV95cUxOZkxkbTFsOUpibjY1SVpnd1FIcW4yQW1Bd19YeVZYQThIUm1CUHVJWXFBcDVrZFRrNDdrblJTQjhzczRpMGF0NEJYdDdablM3ckxELWw3Q3VOVVVvRk9SSXJZOVRSSFpNelhtaXkwQUJlU1pJclZrNmxWZlVNU3NOdzVEM3k2aE03LXhJQnFOdnN3TXVRVjV0UTY3X0ZhWT" TargetMode="External"/><Relationship Id="rId718" Type="http://schemas.openxmlformats.org/officeDocument/2006/relationships/hyperlink" Target="https://news.google.com/rss/articles/CBMirgFBVV95cUxQengycVVzZ1FFRGFfdDFfWXN0LW5aQ1AwVkJ2QUFZMGZqNHVHMGhDNC1CUFJIMjNYeThLVU5DVVZkbkdjWlVuT3NvaEh0bkRsSjFtcDVQVHNNMXk2cFlSQWt5Vld4U3doQXI2WXBvYVptRXVjRXloSGlWUmM0LUdGcUVxR0tjTXhac2h2d2lKUUR3S0lRMmNZSW9KLWNMa3" TargetMode="External"/><Relationship Id="rId719" Type="http://schemas.openxmlformats.org/officeDocument/2006/relationships/hyperlink" Target="https://news.google.com/rss/articles/CBMimwFBVV95cUxORWVHUUMtejFNcU5MNXZxZk41M0NRdklRbE5pR0k5TkNuN3lETDd5VGFrZ1NPalgwRzk5c0ZlRk1XQUV4Nlk0R3B2RHFxOExKVllqYkNnSTZiaDdpRGxxTF9CN29MUHhHeTViV1lmMjRjSmxoZ1BocHZiaUY3VGVlODZHY2FoeHJQc0dmMWs1WlB5R29saW4tdTRGQQ?oc=" TargetMode="External"/><Relationship Id="rId720" Type="http://schemas.openxmlformats.org/officeDocument/2006/relationships/hyperlink" Target="https://news.google.com/rss/articles/CBMimwFBVV95cUxORWVHUUMtejFNcU5MNXZxZk41M0NRdklRbE5pR0k5TkNuN3lETDd5VGFrZ1NPalgwRzk5c0ZlRk1XQUV4Nlk0R3B2RHFxOExKVllqYkNnSTZiaDdpRGxxTF9CN29MUHhHeTViV1lmMjRjSmxoZ1BocHZiaUY3VGVlODZHY2FoeHJQc0dmMWs1WlB5R29saW4tdTRGQQ?oc=" TargetMode="External"/><Relationship Id="rId721" Type="http://schemas.openxmlformats.org/officeDocument/2006/relationships/hyperlink" Target="https://news.google.com/rss/articles/CBMimwFBVV95cUxORWVHUUMtejFNcU5MNXZxZk41M0NRdklRbE5pR0k5TkNuN3lETDd5VGFrZ1NPalgwRzk5c0ZlRk1XQUV4Nlk0R3B2RHFxOExKVllqYkNnSTZiaDdpRGxxTF9CN29MUHhHeTViV1lmMjRjSmxoZ1BocHZiaUY3VGVlODZHY2FoeHJQc0dmMWs1WlB5R29saW4tdTRGQQ?oc=" TargetMode="External"/><Relationship Id="rId722" Type="http://schemas.openxmlformats.org/officeDocument/2006/relationships/hyperlink" Target="https://news.google.com/rss/articles/CBMifkFVX3lxTE1YbU12Sk8tR1M0bHE1Z2xDSHhGVzJzZVNmblUzVWduMlROX1ZxZTl0VlNRM1RHdmpxNThSeVZPUnVGRi1vMWktNEJiamhjT0VGemVTQWtzX1lWUFBSUHd1RUFzT0VxR2tZRVhvbFdiSjEzZUhNcl9WMGh0NW9PUdIBgwFBVV95cUxNLXJrelJFd2UzcWtja3NIT0VDWGstZk" TargetMode="External"/><Relationship Id="rId723" Type="http://schemas.openxmlformats.org/officeDocument/2006/relationships/hyperlink" Target="https://news.google.com/rss/articles/CBMilAFBVV95cUxPSEEyTF9qRXZLNDNGampENFI5cl81SHR6V3VocnZkQy1ZRVhoMGJvZ0JPMjB6VEpWR2JrcXd5X1l3S2VxTGNJQzFpRXhKdTB2SHpiN2ExcDFWa19mVDlZMVFJMC15a1YyR2w3dmVvb2RibHBaMC14RWhJRkpxdElVVVZSS2I0TXNzdjFVc2hGakNKLVE5?oc=5" TargetMode="External"/><Relationship Id="rId724" Type="http://schemas.openxmlformats.org/officeDocument/2006/relationships/hyperlink" Target="https://news.google.com/rss/articles/CBMimwFBVV95cUxPYnVnN19Pd3dWRTJzSXZPQVpxcVE1T0xJcDVCWXY0VElaMTFmb2dJY3l4dGxGUGRoZW5IbzZjZl9tLVhtMFR5WVFfanNXUDFjYnBSV3pucmpMZmpmZGxzZ1N3Rm1hUWFmc1hjc2dpUWpVN0xhNzVXRlRrcjVZMU1LU0R2NXdHa3dPRk42UEItYWUwWGMxaC1yRm5vSQ?oc=" TargetMode="External"/><Relationship Id="rId725" Type="http://schemas.openxmlformats.org/officeDocument/2006/relationships/hyperlink" Target="https://news.google.com/rss/articles/CBMizAFBVV95cUxNekc1MnU3Uktka3JVcEpxem1xS0UxaGZVQzcwQTVBWHNQd01PUHNJMzdBa3Y4UFB6SkVlRTljOHJzYnZIS045eklhNlFtTDJFd3llSXJBS0x5VFNialdLMm5CVDhSTTBVa1lkcmxab1ZoQVZ0ZUhTZXl5ZWs0T0FFZUxIT0pvcmh1TjRLVUxGdG9Dd1JjQjVYdmRmaEdSdn" TargetMode="External"/><Relationship Id="rId726" Type="http://schemas.openxmlformats.org/officeDocument/2006/relationships/hyperlink" Target="https://news.google.com/rss/articles/CBMizAFBVV95cUxNekc1MnU3Uktka3JVcEpxem1xS0UxaGZVQzcwQTVBWHNQd01PUHNJMzdBa3Y4UFB6SkVlRTljOHJzYnZIS045eklhNlFtTDJFd3llSXJBS0x5VFNialdLMm5CVDhSTTBVa1lkcmxab1ZoQVZ0ZUhTZXl5ZWs0T0FFZUxIT0pvcmh1TjRLVUxGdG9Dd1JjQjVYdmRmaEdSdn" TargetMode="External"/><Relationship Id="rId727" Type="http://schemas.openxmlformats.org/officeDocument/2006/relationships/hyperlink" Target="https://news.google.com/rss/articles/CBMiqAFBVV95cUxPZkQwY1J1WHNmeUJ2aEFRLWhOd3dVYzllOUZFOE1qelVvOEZiU3FOeGVtVXFBOTdmTFZYVDlRRHNrbVJobGN6RTZadGloR2o3UkN2ZDJ3b3J6YklqZ3g0dlZqOVB3OUNVZzdJaG1oczNXeTJQcjBUcExmZDR4Sjhfald5WVVmZ29ndkpYc3k3OElrV2Z2NlY0ajhXblVoZn" TargetMode="External"/><Relationship Id="rId728" Type="http://schemas.openxmlformats.org/officeDocument/2006/relationships/hyperlink" Target="https://news.google.com/rss/articles/CBMiUEFVX3lxTE9UNVdoU3Z1WTVJZk9rZTJTZ2JHNlV6RE40bUJRNTNZTGFMWF9pVHVmT0FiNWw0TXZvTUpmOXdtSVJkZDBtOWw4QUt5VmVyeWhN?oc=5" TargetMode="External"/><Relationship Id="rId729" Type="http://schemas.openxmlformats.org/officeDocument/2006/relationships/hyperlink" Target="https://news.google.com/rss/articles/CBMifEFVX3lxTE5JTjdWZ2NMRzJFbC1UOGFiaGpFLUlUelI4MkdpaGtfamxqb2JDd19icm1MVE5hZnFZT1ZTb2dIcjJQV2NpZ2lVOTRRY00tVHl2NndxTjFJT1QyUkRJWkM4NDhGdWVWUGw3Z2paem9ERVdCVHZFcTk0OVBmSTc?oc=5" TargetMode="External"/><Relationship Id="rId730" Type="http://schemas.openxmlformats.org/officeDocument/2006/relationships/hyperlink" Target="https://news.google.com/rss/articles/CBMitAFBVV95cUxNWFgwVnQ0TkhwWVJqU2VkOGRJd2NrS2lNa3RFTG9zMmROVlZNN1N6LWY3RjJweFNvSWZIcmswYzNJLWQ0REo3YXp1Z3RLM2RPZVF1TTFUYVE3LWRxTXMyd0p1WFFiUWtIekhYWkxMQ3FuT0plR1VTdjlxcnRHekd1N1FvRXo5V3lPUEdxamVhOWd6SmNyVldmMXNiZWtlTS" TargetMode="External"/><Relationship Id="rId731" Type="http://schemas.openxmlformats.org/officeDocument/2006/relationships/hyperlink" Target="https://news.google.com/rss/articles/CBMi0wFBVV95cUxQV0kwZHFYOWJFYldwWl9wOWpveUh4TmEyTzlULUlPR05PdEJQa1NNWWlCUHZMbWlYM3ZXVnhWczNWTzhlWXFCTzF4NDlFSXptOUh4ZHk4RmxJZ3BHUHRGV05xVjNjdnZoLS1lUnZRdDdwRjExWWVMZk5qNTlYb0NId1J0TUw1Q053bEZxLUFWYnZjTW5MSXBkWmFybXNoS3" TargetMode="External"/><Relationship Id="rId732" Type="http://schemas.openxmlformats.org/officeDocument/2006/relationships/hyperlink" Target="https://news.google.com/rss/articles/CBMib0FVX3lxTE9CNTBiYnozVGNUQk1jQ2xHbW5xcW5lSWRZSU5aZVUzdFlHcFhtTER6MUVaV2toazBfSW0zV2FZZUQ4OWoweFlRcDVUZXZXM2ZIXzNIcmFDbDVDTGZxYmVuX0cxWlh2cGlrN3dsMXpXWQ?oc=5" TargetMode="External"/><Relationship Id="rId733" Type="http://schemas.openxmlformats.org/officeDocument/2006/relationships/hyperlink" Target="https://news.google.com/rss/articles/CBMijwFBVV95cUxNcWZMb3lfSDBlU3BUQXozX25ucjA2dTdyM0doMW53SkNjczhoMmRLeFpkQ2RjamV6aVZvT0tfRWkyTjBuZ2cwdmluREhnVUd3WGFMVm9aOVJBMWMxOXJySUZjZFBiUWEwaXF0cUkyQzlBNUJLclVTSF9TLVlLMktTSWo1OUZCeFJVRVF4N3RyVQ?oc=5" TargetMode="External"/><Relationship Id="rId734" Type="http://schemas.openxmlformats.org/officeDocument/2006/relationships/hyperlink" Target="https://news.google.com/rss/articles/CBMilwFBVV95cUxNZmhEUU9ZS2pRcFZXQnNRakMxbkZlVmJRMG1qVlVkRFlKLVEwc3g0WTU1Y0FlUlpXakFpSl9QX25zdTlqaTVuTlFqM0RpTjBXeWpzQS1BS25pLUNrQXZNZmxqNXVQaloybURpbm83UEpZeUFVejFzQTg3ajZkTW9tQzlwbkxvV3ItU1NTYUI5dGtJd1NOb19Z0gGrAUFVX3" TargetMode="External"/><Relationship Id="rId735" Type="http://schemas.openxmlformats.org/officeDocument/2006/relationships/hyperlink" Target="https://news.google.com/rss/articles/CBMijwFBVV95cUxPTFdMZWlrYWlGMkRoeUktMWdGSUg3dWZXUHY0N2prRHVwZkpKdUJtQjZYTExleFhmdjJXUTc5a1Y2TjdZcG52RjZaVzYzQlRFLTdtRzE0U2ZiS056bUpJMFJqb3dBamR5aVVwUWZGOUZMZFdESWRJU2o4UDBBZTZ3dFV3X3hPWXpDb2tXUDNGdw?oc=5" TargetMode="External"/><Relationship Id="rId736" Type="http://schemas.openxmlformats.org/officeDocument/2006/relationships/hyperlink" Target="https://news.google.com/rss/articles/CBMimAFBVV95cUxQalZyZ21xNWx6M1pjUDJTWjFUYS1tSWJIU0toUUVRbF9HT2dheGhvNVlrR1JJYWJjeFQzT041VFUzMUJRRHJ5MUd1SGpSTTc2dEtMcnktLXhGcWlEZV8zQUktQ2NsRVpXdnN6NEt2STFobVExUUhGQVRvZkdQRkhBNnJ2bnFKRHozT0paRHRldnNMZERBWF9HcA?oc=5" TargetMode="External"/><Relationship Id="rId737" Type="http://schemas.openxmlformats.org/officeDocument/2006/relationships/hyperlink" Target="https://news.google.com/rss/articles/CBMi9wFBVV95cUxPOEZaMm5yTjFaZUxrZDhoRXh2MnZFOFpubXlTbmF2NDVXQXVqcFdtbWQ5aElYQ3hDRnp0T0dzNER4RWVHY3RGVk9rZW1iWXRIVjZkRVZCd3ZVRk1aNTBxNlloUVZGWXVSWTZvMVdEajBsbDl6RWJMRk4xN0dsNEIteDlObVZPbzdta3VzblpMOW9EZUs0MF94YTh2djZNQ0" TargetMode="External"/><Relationship Id="rId738" Type="http://schemas.openxmlformats.org/officeDocument/2006/relationships/hyperlink" Target="https://news.google.com/rss/articles/CBMi1wFBVV95cUxPcUJhdTJJS3ZYRjVINk82LTNSczhocXhldVNreXJFR1QzaERPTUJDVXZpVmEzSnpxRno0SkRELVZPTWtLQ2JraUVueUZUTk5WdEFnVEY1T2tJUXBucUxmaHRsaFN2OTdpTjhMd212dzdoaDVZYmpPX0QzbkdKTUFQQmtnV3hkTTh3bzFhRllxV0lZRUhmSkNOUWNzSm5yaF" TargetMode="External"/><Relationship Id="rId739" Type="http://schemas.openxmlformats.org/officeDocument/2006/relationships/hyperlink" Target="https://news.google.com/rss/articles/CBMiwwFBVV95cUxPNEhYMWpDM0ZaRWJyM2RQTERXMGVDbnZieGV6ZnE5N19pMm90Q3ltUm43UzFRRTdVeHhVUnhrVnliT3RfY1U5TC02MFpTNXRjSXpOM3VWTUEzQUNjVUZ5Nk8xazNwZURrQV93b3NMTXo0Q1prckZUQ3E5NWJmblllUnFHX25iQlRTMFJwci1kSWJoeDI4YjN1dUNMbXcxdF" TargetMode="External"/><Relationship Id="rId740" Type="http://schemas.openxmlformats.org/officeDocument/2006/relationships/hyperlink" Target="https://news.google.com/rss/articles/CBMipgFBVV95cUxOLUh6NG9OMTl3Tkl1UFRBTy1SN2k0NFZPcGcyb2FSMGlCVXBVQVhwaGRMZk9vMlR1YTBFSzZXN3hSWmlYel92UDg4ODNCS0JPQzMwdzJrSTB4VmUtQ1B0ODFFU0MxbkFZTG1CeGsyTE5XM3VXY1BRSkhVRlBtRTdmN1ZnbDZFb3FvRFJvaGR2ZnZaU2VWOGthaVFxaWV0YU" TargetMode="External"/><Relationship Id="rId741" Type="http://schemas.openxmlformats.org/officeDocument/2006/relationships/hyperlink" Target="https://news.google.com/rss/articles/CBMiuAFBVV95cUxNODA2NW1vb1FpMElrd2VieVNCNnNvN2J0alI2NDhLbEl3NHcxemtBSDFHQVBmY0k1YVZzbG1jbEtWOGdiUGxNVUxHNzhnNG9CeU5ldnVMRmF0bkhvamlQaDIyclFYS2VaWU1tWDZiVloteE5ld09nOURTZWtwaklkQ3dNb0p6QkdRbjltV3RReUhoakNVNF94am4tNHpCcz" TargetMode="External"/><Relationship Id="rId742" Type="http://schemas.openxmlformats.org/officeDocument/2006/relationships/hyperlink" Target="https://news.google.com/rss/articles/CBMimgFBVV95cUxOVHpraE10VXV3ckNPQnVwYVBYYzZMZVIyOUpDNDROSnVLY21JZGtBMUpPdTJwTVhoOXFrV1oxcm90bk5RWjJNYTFMenNVMlQzV29ndGg0a1ZRenJPWnF4SVR3ZHNhdlAwbGxnMExHcHV2TEIyTE5BOHNRc2lBVWVNRTF6cUtaUV9VUEROUDBLOWdkbUx1X0ZMbmxn?oc=5" TargetMode="External"/><Relationship Id="rId743" Type="http://schemas.openxmlformats.org/officeDocument/2006/relationships/hyperlink" Target="https://news.google.com/rss/articles/CBMigwFBVV95cUxQUGJ6QS03cElBdjkxaWlHZzJNcnFqVmVlVnBTb3AtcWRuTkpraWV0eU5YYklUNXkxYjJQd3BFTk4tWFNERWxnaVNyUnVqLVVhUGpFOXhBZ3VLYVJOWlpoUTVZa3JiRmt5RC1CaTFhNVd6Y2ZRblkycVN1d25ISV96S2RIZw?oc=5" TargetMode="External"/><Relationship Id="rId744" Type="http://schemas.openxmlformats.org/officeDocument/2006/relationships/hyperlink" Target="https://news.google.com/rss/articles/CBMi2AFBVV95cUxNVFNMTjlibzgyby0xSHVJeWhJUlBzQXRwMk5JeFVka2sydDZGZkx6aU5JczhVbTZYek1EV2kxU2RnU2Q3bEdFUjVmeDEtb2ZOQUJwR3p1bExYellMbXU0UkNyb194Z3pOOEx3LWdpdGtieEx0d2ZLNjZUeHkzZDV1c1Z3amNya0NYTHRYTDk0a055ZlpycWRfdDctUGd4VU" TargetMode="External"/><Relationship Id="rId745" Type="http://schemas.openxmlformats.org/officeDocument/2006/relationships/hyperlink" Target="https://news.google.com/rss/articles/CBMi4wFBVV95cUxPTTNvdFYxY08yVmlGUTMyNEJhbFpzUmk5VTZKdEk3aFFJQTVxanVsa1BzMXVpS1FuTzJCSENOMVlPT2E0b2dNQy1zTng0bk5mVG16dU1yUUdCRkRycGY5cWNkcFBjOC1CSG8wTW85MG5tbmIzc1cyWDJzRktCV1VDaFZRV0M4NkpjTC1NTWk0b0dFVzAybjZQVW1qVU1TRU" TargetMode="External"/><Relationship Id="rId746" Type="http://schemas.openxmlformats.org/officeDocument/2006/relationships/hyperlink" Target="https://news.google.com/rss/articles/CBMi7AFBVV95cUxNQTY2X1ZIVENaekZuZnVfR1lLZFA3dzNKS0REUnMyMkwyQ0VkQzhtNkhmNlQtcEpoSll0blpjYzdrNUt6OWhWbmdfQWQxenFvM181Y0hOMVlBTFMtaF8tbThIWG13blp4WmFaQ1lad2djNE9aZXM0R21QNDlMak5CTkNXLXExS3o4eUNwTWtWLUVPZXM1S1Blb0xrcWFoS0" TargetMode="External"/><Relationship Id="rId747" Type="http://schemas.openxmlformats.org/officeDocument/2006/relationships/hyperlink" Target="https://news.google.com/rss/articles/CBMiowFBVV95cUxQaTYzSTM1TWdkMGZ6MDZaYTBFaU9mT29FWG5TdVcweXF2QWhMTFBMR19DM0xSLXczMldjeEJDejZWbGNOTDJna21UbXI5ZWVIbWh2dUN0eExuaXd5c2VrZ3ZrbzM5RUU2TnJmcFRHZWt5UjNJMG1HTVp1OU84T1ZzdFFCOE1COWJpd1NELXdrdEQ5MUpPUG4xenRPVFRGZG" TargetMode="External"/><Relationship Id="rId748" Type="http://schemas.openxmlformats.org/officeDocument/2006/relationships/hyperlink" Target="https://news.google.com/rss/articles/CBMi0gFBVV95cUxNS1JXM2RXbGNYLXNLWXRMenllNGhabGdCRHJ1Yy05a1Y4T2VnUVlmY2ljczdhd0VFaUlRazM1dzB2RmpON1c3Wm1ZLVJVX1ZRbUdEcHVaUkoyM09CdHVGRExvM1NrWWpwVjNyNVJ5WHlqWWVDemJXZmY0UXFxcHVqYklVMzlEd2pTZXNiYzFyeS1pUjc1NHBPOFhfc2VmeD" TargetMode="External"/><Relationship Id="rId749" Type="http://schemas.openxmlformats.org/officeDocument/2006/relationships/hyperlink" Target="https://news.google.com/rss/articles/CBMi5AFBVV95cUxPVWRrRDFyWERLZE1NUlNyWENOcGNVbDMtLWZtRWF0NkFtMGwtY0plMi0xdWZBR2pzNm5KdXJhRjdNVjBvT1J3WnRYdUJ6ck9JS2tCVjc4X1lfRjRPeGZlZk1xMThpSW01RkstVElhNV9weUdKU0Vid19hMThzbWI1NjFhR1NHN1dndEZXS011REI5RFhUMWJ1MzY2R2dZd3" TargetMode="External"/><Relationship Id="rId750" Type="http://schemas.openxmlformats.org/officeDocument/2006/relationships/hyperlink" Target="https://news.google.com/rss/articles/CBMiqwFBVV95cUxObWs3d2JhZnkzSWxZU2dkQXZaSnBHcWVYV3pEdXZseXpsbGhFWGU3aUV4bmFQUXI0dkxPQ1NndmhjZzBRZWx5b05odnBma1RqX2Y4S1A2TmxqbVJuN2YzREVNenFJNGZKTkxBTGFLRnhaeFV4bk5NY05nYmZZby0tNnR2dnAwenF1RExGa3owZm1fUlJLb3F3MnNSWXd3NF" TargetMode="External"/><Relationship Id="rId751" Type="http://schemas.openxmlformats.org/officeDocument/2006/relationships/hyperlink" Target="https://news.google.com/rss/articles/CBMirAFBVV95cUxONUE4Z2VtdkhiNGY5RVMxenpkcU1fbE56ZTg1MkRCeHlyOXRTejZsZHlWZUFYdnRBYlUwWUstVHZiWFc1ZkhpTE1aSHYzeU80V3Z0emdfcGMzVEFyYm1DM3JheTF1WjJkNGZOQ1c0bFB3bUFwallKU0lXU0Y1ejBDOUNVMGFhd2U0cUV3VUlLVlAwQkVMWGRPb0xhemxzQ0" TargetMode="External"/><Relationship Id="rId752" Type="http://schemas.openxmlformats.org/officeDocument/2006/relationships/hyperlink" Target="https://news.google.com/rss/articles/CBMirAFBVV95cUxONUE4Z2VtdkhiNGY5RVMxenpkcU1fbE56ZTg1MkRCeHlyOXRTejZsZHlWZUFYdnRBYlUwWUstVHZiWFc1ZkhpTE1aSHYzeU80V3Z0emdfcGMzVEFyYm1DM3JheTF1WjJkNGZOQ1c0bFB3bUFwallKU0lXU0Y1ejBDOUNVMGFhd2U0cUV3VUlLVlAwQkVMWGRPb0xhemxzQ0" TargetMode="External"/><Relationship Id="rId753" Type="http://schemas.openxmlformats.org/officeDocument/2006/relationships/hyperlink" Target="https://news.google.com/rss/articles/CBMiqwFBVV95cUxORWltNXFkXzRValc2eDJWQktNb1JWVklSN1JpTkZLNThIdW5XQl8xaEZhbWFaV2l5aDFEVjhoVVZPWEZ6YlM0cVd1NWlRZFFXc2tqVXNBUEdBMVVBdWVmdGtOeGgxUEF4NDFEOUFFUk5JQ0p6X1lkMURHUmVTRW0taUI0OVhMUnA4THducEJXOHRNZTAtaWE1MHFPcE1sMU" TargetMode="External"/><Relationship Id="rId754" Type="http://schemas.openxmlformats.org/officeDocument/2006/relationships/hyperlink" Target="https://news.google.com/rss/articles/CBMiU0FVX3lxTFBXMTU3dUVBMUczdC00ZElzS0NOYm9SM2xsWjU4bWpGQmZkNktaVGx2aVdyeU5hZFk1dVZlSU5xVVFocVA3eHp3ajcySi1zSVB2MU8w?oc=5" TargetMode="External"/><Relationship Id="rId755" Type="http://schemas.openxmlformats.org/officeDocument/2006/relationships/hyperlink" Target="https://news.google.com/rss/articles/CBMipgFBVV95cUxQTDROOURKZkVDMXRWd182Snc0cldual9zWklWcmFyRjZlWWw0Z1NMNGE5SVVmeG55TTNOV3BfOUd4WTdORjBZNEpidGMtc0ctcnFCamhHN1hNQVdNajdUaG9NUWVhaVVXWnpRazlNMjkxR1BONWRvX1lrV3huVDVRRDZMRFZwT2VDUEdYckh6cnlLU2xIOXV5ZncxdXRkV0" TargetMode="External"/><Relationship Id="rId756" Type="http://schemas.openxmlformats.org/officeDocument/2006/relationships/hyperlink" Target="https://news.google.com/rss/articles/CBMipgFBVV95cUxQTDROOURKZkVDMXRWd182Snc0cldual9zWklWcmFyRjZlWWw0Z1NMNGE5SVVmeG55TTNOV3BfOUd4WTdORjBZNEpidGMtc0ctcnFCamhHN1hNQVdNajdUaG9NUWVhaVVXWnpRazlNMjkxR1BONWRvX1lrV3huVDVRRDZMRFZwT2VDUEdYckh6cnlLU2xIOXV5ZncxdXRkV0" TargetMode="External"/><Relationship Id="rId757" Type="http://schemas.openxmlformats.org/officeDocument/2006/relationships/hyperlink" Target="https://news.google.com/rss/articles/CBMivgFBVV95cUxOYWhKNUZsbHRhUWpCMVJnOWdwZGp3bjhTTlAxSmNRU0J6VDZqNVNhVXRDY09LX3VBTW4yOGY2Q0NMQjhha3NFRlRyMDBVY20xeG11UF92QXVCWk5oTTZZaGZub1l3NzhQZk5QZzB0Wi1RVUFIVUtoU2R5aG5rWnJPRkZoaFFuSGJrcjRCRmhUb0JYWWF6ZDQ3VWtwRzNaek" TargetMode="External"/><Relationship Id="rId758" Type="http://schemas.openxmlformats.org/officeDocument/2006/relationships/hyperlink" Target="https://news.google.com/rss/articles/CBMiywFBVV95cUxOU2pLN3Ric2xHbjA4Vy1RbWZFd1ZzbUtmS0Y1dzc3Q2ppSDVUS0pWYW50RVBiM2lrN2N3bjg4bGtSLW5WWm1qN0hyTWk3SkhZOTk1VmxaX1ZrUGtCeTY5bDJjd0d1V2IwZ25yVS1WaW5pS0JqY28tbDZUZlBPS3I4T1hTdlRkLThpTVljTUlRT2Q2WVB1a19hNHR1TXhsTV" TargetMode="External"/><Relationship Id="rId759" Type="http://schemas.openxmlformats.org/officeDocument/2006/relationships/hyperlink" Target="https://news.google.com/rss/articles/CBMiqwFBVV95cUxPTm55NmxDRkgtOWVBRUwtQmxta3dpc21UYnhJRWFIdmJMb2xaU25pY19la0l1ZGRNSDFGVnB0bmpOcy1iMnA3QVQ4TVh3anhUdVdMTUh4Q0Q2bzJma194S1Njb0trZ1FNYkFfTmNvR0Vsd1RiQ3VYVmpvRlNNRHhhcE1MdFZ0ZzFrUml4OW95bHVvSm9GdEI4dDdPV21NQm" TargetMode="External"/><Relationship Id="rId760" Type="http://schemas.openxmlformats.org/officeDocument/2006/relationships/hyperlink" Target="https://news.google.com/rss/articles/CBMi4gFBVV95cUxQalRLbXJDM3oxNnlVREdlOWVnMEVYWl81UmF6N2Zia0FfZjg0dTR6b21HNUNnbjM0ZEtSRGppNFJzNlFGVnVpVU9ZZjRYcFpyTDg1ak5FaGgyNlhSTnF6ZjFoRWtBMl9Kb3FmMVRmZGVjclBZZDBpUXRjYjlGSmhSM1ZiVjdzTXk4S1BFYm9DazBJaTZ5WXBkZjdKZjBkNz" TargetMode="External"/><Relationship Id="rId761" Type="http://schemas.openxmlformats.org/officeDocument/2006/relationships/hyperlink" Target="https://news.google.com/rss/articles/CBMivgFBVV95cUxPbl9yR2huTThhd3NSUmV0UHF2M21qSVRiX0gxa0RVa1dURW5yd1JURXFzczhDM1FycU9KSjdReEdKNzgwNk9Wek9kaEJxWXg3UTRLaHJ1ZnFhVGRTS0g4UXBkclJCdnpnOUkxS1gzUHoxbmk1RzFSck54WXJCY2l3SmtxMmNRVHpqTHhUM0dDREFRWWYyUkV3Y1RjYlUyUH" TargetMode="External"/><Relationship Id="rId762" Type="http://schemas.openxmlformats.org/officeDocument/2006/relationships/hyperlink" Target="https://news.google.com/rss/articles/CBMimwFBVV95cUxOR1lXZzlJYjY4TUtsQmpDOEJWT2dUd1M4dXcxNmZkTHJkRnhsVFFSN00zZjZzQmsyQjltem14eFZ1cy1RcWpKY250X2VBQmN5Q1RzSEt2SGxtWmpUaEVFQ2pSQmF1VG5jUGk2SHdIdU5HdFl4SjR0XzJhWTc3bUZsQ0VXT0tTM0JkWFVoQjJIX1QzZkpWR3pyaGJudw?oc=" TargetMode="External"/><Relationship Id="rId763" Type="http://schemas.openxmlformats.org/officeDocument/2006/relationships/hyperlink" Target="https://news.google.com/rss/articles/CBMimwFBVV95cUxORktJQ3czU3BQVy1rQ0pEMmI2ZGNsVVRYLTdsb3pUdjRsZ0h2OFVaQVVUNkJpeTlVN081OEdlbnowang2dmVnSV9jbzNxSjJBcDQ5WnFRQXFrSXd5SWZycTJ1RzFSRXF5TzFkM0Z1SHJ2ZmhqaGt3ZDBjTkk0ZzQ1Y21pYXBTSUNzM2dsYi1qSWdtd0ozQldmUEZzRQ?oc=" TargetMode="External"/><Relationship Id="rId764" Type="http://schemas.openxmlformats.org/officeDocument/2006/relationships/hyperlink" Target="https://news.google.com/rss/articles/CBMioAFBVV95cUxPUExwR3VjSGRtNW9uSmxVcTBuYlpxN0RfS1JnTG9VTWE2MjNPOGZtQnNsX3RROVF2MU4yMzBFZDNhbXMxYm5HZGx2Wk9DTzV2MEF4NnFnNFdvMGhZamt1ODBRMWlpN1QxSnV5ME5Ca2x3QzdZNGhBWEpvZFltblN1SDNTY2RJMFZaM3dlc21SQVNZU3JsLUhqbkJZZjdra1" TargetMode="External"/><Relationship Id="rId765" Type="http://schemas.openxmlformats.org/officeDocument/2006/relationships/hyperlink" Target="https://news.google.com/rss/articles/CBMipwFBVV95cUxOaUh1b2VwTzQ2bHJPcnYtOGF3dXJ1SGVXVmNXZ3hZOW9zMVdWZm5OR1c2aU5wR2hCS3ZPOXZnREpJRlRaTVdZeFl4WVpYZXRxLVdDelRPanE5UjBwUDVGNkd0Z3hDMnZkbGVaUFk3X3RLel9DUUdGZ3NLX2JnaTZUR0FEMV9GN1R6cE00c3l1NnZUQ195WHNmX1EzLVdxQ3" TargetMode="External"/><Relationship Id="rId766" Type="http://schemas.openxmlformats.org/officeDocument/2006/relationships/hyperlink" Target="https://news.google.com/rss/articles/CBMisgFBVV95cUxOR0V2SjMwNHdrdEZfeG9hUkw0bWJFdExfVmRoa2taUkl5SGd0TEpraFB1YnM1djdEZ25ldXZLU2t1S0NGelVwUi1DaTFVSjIzeUlJQlNMbDZJR2RzZlZCQUVyZ1NjNGFFYTJqVGRSVGhCOUktZl9lSDJHaGJFWUFiU0traWxHOWlqMDJHOHM5dDJJbkQyVHRKdWtaMUV3bX" TargetMode="External"/><Relationship Id="rId767" Type="http://schemas.openxmlformats.org/officeDocument/2006/relationships/hyperlink" Target="https://news.google.com/rss/articles/CBMingFBVV95cUxNUm5EaDlzTWt1T2hnYXJNZURKbnRQQzBMQ3IzYzMxb2ZYVDhjbFhuakp1Z1pBYm9ILUl4SHVLbThKYTFUNWV2Z1BZU3dVb19QUENXdnpaaFh4YTJCRXFxd0FrY3RoRG10RlhBQ01PMVIzNWljMTVCZnZISG5zcUtEd0JQRHBLb0k5bzk5REZVUnJsVEViNTR0N3VONFlrUQ" TargetMode="External"/><Relationship Id="rId768" Type="http://schemas.openxmlformats.org/officeDocument/2006/relationships/hyperlink" Target="https://news.google.com/rss/articles/CBMiogFBVV95cUxOMzIwaEVXcVQ1Wk9IWTRKRkltZEFmcHJtTG5uekNza0FqT0h6MmRmY1QxZ3VCaktqalo5R19xQUdMTnVpdXFzay05ejN5VXhXai10cUljVm1WZlM5VEFfNzNEZjU4c3c1a25oc0I1WTdta2V4RWxjTlR2UUc3YmJaT1N0NWN1Q2wwLWVWTXJGZ2o2b3cwYTV2WV8xY05RRk" TargetMode="External"/><Relationship Id="rId769" Type="http://schemas.openxmlformats.org/officeDocument/2006/relationships/hyperlink" Target="https://news.google.com/rss/articles/CBMifEFVX3lxTFA1U0EyMkFIOXVvZmVnRC1rbXJ1Y0ZpLWF3SmE3WTd1bmtxYk1kemdaTXhmLTQ3blVtU0p1RVdpckhnTW5KOXlUWnNVREhTZHE0Yks2QmFUZlktcGZuUHg5NW5IbVAzNG9XeXlESFJ1ZnBZOWI5Smdqd1F2M2E?oc=5" TargetMode="External"/><Relationship Id="rId770" Type="http://schemas.openxmlformats.org/officeDocument/2006/relationships/hyperlink" Target="https://news.google.com/rss/articles/CBMivgFBVV95cUxQYlFEd290TmpubGttOGdweDlBYWFhUmhoZHRSLTdLa3dsNjdOSEdyc3NIeXljV3Q2QXB3YTM3MnNaZ2RBWjZyMHRlazhhWFBBWjZnQXJxcEF4bEduZzR2aHI1ZGx3Nk5CREhHX1FQY3hHWnNRSERLYVVKdEFucnBBdzZuTXRCa1cyRWVnWExJUGRIbjM3Nm9tSFBxbTlfa1" TargetMode="External"/><Relationship Id="rId771" Type="http://schemas.openxmlformats.org/officeDocument/2006/relationships/hyperlink" Target="https://news.google.com/rss/articles/CBMinAFBVV95cUxQTHY1RmJRQzctbGVxd3lDaW1Nbmg0YlZyMlVpdWpidXNBSWFXNG1Xc29BRTdzTlBsdHlOanBtTUtwQXN0SzRxcXVhNTlNQzlXSUdhSS1FNjctSVdPVG94OE5tRk5iVUVVWHVfdDhpWndWRExpLXplaTYwVnduOVVVbnVZdG9yVUJJN1RYSXVzalUwX3hfUzlXczlZNGE?oc" TargetMode="External"/><Relationship Id="rId772" Type="http://schemas.openxmlformats.org/officeDocument/2006/relationships/hyperlink" Target="https://news.google.com/rss/articles/CBMihwJBVV95cUxNejdoVzl6eW54VmJxdkI3QXd4aDV4VUhkRjREYlpSQ3BTc1VYZnpGUFZCYnNBeDFueHNrZjJJS0V6bDRjS2ZzYWxHeTVBaWNOVjRhS3lSTEZGN3gyTjFIUEl1MHVYQk9GYmtKb1hJMGpCWmxqV0hNZ1JybkxvNE93STRGV09KRWFsWHpjRDUxWUU4ZXhJVTY4dmJMTGVpRU" TargetMode="External"/><Relationship Id="rId773" Type="http://schemas.openxmlformats.org/officeDocument/2006/relationships/hyperlink" Target="https://news.google.com/rss/articles/CBMi6gFBVV95cUxPOG1SRDNqNTRsd3hoTUdEaGVoTkJSWDNFSU14cGlmd1VDV2xKc3hEeGtIT0dtWmdjNGpMcUVBendYOWRhbEgta1Bsamw5Ulg2bFgwVGRGZEt1WE44N005WFFXbGlLSkF1NV92WTJGd3BybGVsMmltamQxOGZqeHA2dHhoLWl6ZkR5SUtqdjB3Y05rUi1lNGo5b0RibC0zNH" TargetMode="External"/><Relationship Id="rId774" Type="http://schemas.openxmlformats.org/officeDocument/2006/relationships/hyperlink" Target="https://news.google.com/rss/articles/CBMikAFBVV95cUxQaVpHMHBtUDFfZkItdTZmSXpHVFdqNG9ZTi1SWmUzYlpCUVhSTGRnUG5ENHlnTkJNUnN5dE1HMUUtQ0x0RG9hWWRNckN2REEydXlJd2ZCYUJDTFhlZ3VtbkN6X1FEczFrUHRYdHRHRnh3Vi1hbnJ4YzI1TV9oT1ZXNzZvblB1M1hEVVI4Q0FHZ2g?oc=5" TargetMode="External"/><Relationship Id="rId775" Type="http://schemas.openxmlformats.org/officeDocument/2006/relationships/hyperlink" Target="https://news.google.com/rss/articles/CBMixgFBVV95cUxNbUs5V3BObUZ0RGV1ZXpzdXpZc2poaFJIdVVMeEF2MFB4VlZCOXVraV96X0cyTjNzSll0dzhTMk85VTRRbE5xb0lCaFNZSW55ZURObTc0eld3a04wbk1vaW82d0dxYlVjZDlWZTRka3A0czhNRmxXdXNQLWFLN0ktdXA0Zl9vOFBkTzYzRzM2ck54ZVBFcjBjR2FBbnc4a0" TargetMode="External"/><Relationship Id="rId776" Type="http://schemas.openxmlformats.org/officeDocument/2006/relationships/hyperlink" Target="https://news.google.com/rss/articles/CBMinwFBVV95cUxQWVU4cTBoMmxHTmVfckl3akdWSEtXSGtFT1BTLThiZEp3MVF0dFh0VHpTeTFEOVpoQWlKTlZDZjFTRDFINGFldzBydkhVN3o3bHdHX2trRGY2cXc2RjdnSHdaNm5PSGtHaGU4UE5Bc24zaXI3QURVc2J0dzF2OG0tQk5RQ3N1NVREczk4ZnhjeTFRNmJxazdPdFpRNGZKek" TargetMode="External"/><Relationship Id="rId777" Type="http://schemas.openxmlformats.org/officeDocument/2006/relationships/hyperlink" Target="https://news.google.com/rss/articles/CBMioAFBVV95cUxPWUYwdG94Rkg4RkxiWkZJMGppLUJwWVpnOTlRcE5hTzBQYXo2Nnl1Ri1HNVVsOS1FX2JXb0ZTWGxNcU9qU3hQMGpDNTFtOUZCZUtNQlh1YkNuakZvbnlVcFhKdnUzSTEzTWtXSXQxT2xOZzlQWWpqNXVrOHlVVlQwM0JGVVpmNWQ3Mk5SZktNcjFLRWd1Slp3Q1NFNDFWcF" TargetMode="External"/><Relationship Id="rId778" Type="http://schemas.openxmlformats.org/officeDocument/2006/relationships/hyperlink" Target="https://news.google.com/rss/articles/CBMijgFBVV95cUxOZXlGd2pxMlI1ZlVKLUJmcm1zNF9rd0RneG93cWxBbG8tU0V2N0FJeWdTSzluWkVWdU55YmpfY28yb3JaME1JSkxXd0dHdmtDSkctcnQyanpjQkhfWXNhWFdzVDZqMVR2Z280bWEyYTdNNnM3QkppSXZBaXNLQTNBc0ZQZWxSUWJKZk16bVdB?oc=5" TargetMode="External"/><Relationship Id="rId779" Type="http://schemas.openxmlformats.org/officeDocument/2006/relationships/hyperlink" Target="https://news.google.com/rss/articles/CBMiuAFBVV95cUxPanVlbS04SWhPTnN5OTVoWm1keFpMNTRQcFVIN3F3QzJsVXBWM0U3b1JyN0ZuUC1qM0dPLV9YUTBTWERXRk16Y1FOQ002YkpqcS1GWG9qbk95UlJFV1d0T1drU0RMWGVBc1N4cmxBaTdOd1VVSTJMS01oZXRWUGFWVUdsYndiVVh4ZTVqVDk4VTJmZTl5WkFQRWhQRTl4TU" TargetMode="External"/><Relationship Id="rId780" Type="http://schemas.openxmlformats.org/officeDocument/2006/relationships/hyperlink" Target="https://news.google.com/rss/articles/CBMitgFBVV95cUxPSGc0OExreTdrUnVaanFiYzV1ajNXZ29uekowUUprdF8xejdXeEZKRFAxNWV5b0g0UWFIVVFXdkVoQXRpMTFVY0NXYkgwQ3pBT0szY0RPamIybWNUWDlzbmxXNkRUckJTZE1qZHg5M2pTMTNCLUdrVFZsSmZFeUpwQThmRldhdkpYbUpiQjNpQkFvUTk0eDRsZ1RkNFR4OF" TargetMode="External"/><Relationship Id="rId781" Type="http://schemas.openxmlformats.org/officeDocument/2006/relationships/hyperlink" Target="https://news.google.com/rss/articles/CBMipgFBVV95cUxORExxNXpfNW1lSXdGdUpPRXo5Ry13dXdWVG9vd0JHYlRiT0JpYWtnUGhZM0Z4N01oUWpMbnZiR29UUVlQZWZPR3lYQlI1X1A1OW14eDdnZnR4X2NPTUtyWm9TVkQtTEpaa1lwWDd4T2RqVDN1anZST05wUHIyeGhJbGZreUlWdHk5MXl1X2xDaU1hN19tSGY1S2hDeUlzMF" TargetMode="External"/><Relationship Id="rId782" Type="http://schemas.openxmlformats.org/officeDocument/2006/relationships/hyperlink" Target="https://news.google.com/rss/articles/CBMiqwFBVV95cUxPUWxIZnE2MThZYVhLNGdPN0xFU25WVTFtdlBjVHNZUUFMTC1kUTRhbjVldGhWSmEydlFZMXFVamNCZGp6dXg5eXE1Mk0yYWdkU0FTb2YwZkFWcWZKOFBWNnZfNE9UU3BpUlEtSFdIek02a016TXI2c1ZmRjFpUHM0S0pKc3UyUmlrcEh1MHFBRFRyUDlXWnJnZkF3NDNaMD" TargetMode="External"/><Relationship Id="rId783" Type="http://schemas.openxmlformats.org/officeDocument/2006/relationships/hyperlink" Target="https://news.google.com/rss/articles/CBMipwFBVV95cUxPTnd2Z2ZZckJNc0tIU1ltUEhEaDduV0JGeDVpQlJrZk9FVm9UYVZTdnZpb1NuZW9fUnpzRnJsVlF5N1BIQlNWc0tvRjVKQTJMZnVkVjh3UVNSTEdIOEdoVHFJdGRvaHpKbUduVEVxSTdhLTB5SXZpMF9xa0NuUF9HWm5yLWhFRFBEdURzV0M0MzBoVkU2YURfNjhaUkwweW" TargetMode="External"/><Relationship Id="rId784" Type="http://schemas.openxmlformats.org/officeDocument/2006/relationships/hyperlink" Target="https://news.google.com/rss/articles/CBMi0wFBVV95cUxNeTlUS1hKNXpNMjA4UUlVTzFVODZWNGhsTExnRDVhWUU4cHBRMXFnUmhQdW5yNFFrR0x5RndUVmlwbWR3NnZNRVFXNlVyUng5eTV4RzVtdFRka0JjRjBORU85VnFkTElSUFVwenBOZmJMdExnU2xSM1E0TTU4REVyd1BYZFRmNm50dk9lV0ttQ29qdktDMXN3R21HaWE0dV" TargetMode="External"/><Relationship Id="rId785" Type="http://schemas.openxmlformats.org/officeDocument/2006/relationships/hyperlink" Target="https://news.google.com/rss/articles/CBMixAFBVV95cUxObW11SXNxXzMtTExTaWhWOWJBVDFhWGYxVkhyalR6WGxoVnQ5cTBnaWRBY05kZW1UcVZ0YzdFWTI0UDVjdWpFVWtqYlRkdzIwdXVPYlBmMF9aZ1JZREZLOG5zTThMRlZHZ0tpNWNST1pVdFJ2YXE3dlFtelc0T0NEVUNBekFkcVlxaHVEYzNXOGxROEdlbVBiZGM5aHRSeU" TargetMode="External"/><Relationship Id="rId786" Type="http://schemas.openxmlformats.org/officeDocument/2006/relationships/hyperlink" Target="https://news.google.com/rss/articles/CBMijAJBVV95cUxNYlg0SkpBNHhBNmRXZ1BMcmFVakc4QVNXQ0ltWjZTX2NBa0toa3kyY29xY21rVElRS3BuTlFyOVRsQzd6N1FQR0pOYlloVjVTUFJJNFVlYzhYb24xenAyemttaGhBcUVEdXU4N0F1cURibFJNWEllSmtmcG9mZGpBSkpHNnpoNmRsaGhSTGhHOFgzSlRveWFlTG9pa0lran" TargetMode="External"/><Relationship Id="rId787" Type="http://schemas.openxmlformats.org/officeDocument/2006/relationships/hyperlink" Target="https://news.google.com/rss/articles/CBMizgFBVV95cUxPbjNxZUdESW1hY1lBbDEwN0ZhN3d6bEFTNk1TS3FZYW1QMUZ4MkpjdWVLRi1GYXM0SFU5X0o2MW1hYTJpaDNFNDlBT0RPRDlYcC1ocTR1Z2tIa2h6Mm1zekpMTXlONTdUZUdNTnFqbjVONnpEZkx0RmFrbmlpWlRoaVZjaWt0ckxZTFd5TkdHYnFmRmdtQ0kyS0JRY1lVTn" TargetMode="External"/><Relationship Id="rId788" Type="http://schemas.openxmlformats.org/officeDocument/2006/relationships/hyperlink" Target="https://news.google.com/rss/articles/CBMivgFBVV95cUxPTzNNWVRseW1tQnZZTXNKeTdLYXdXb1gzcFJpWnl3RW9JNUoxbFUxSFlNOUtHcHZWVll3c3RwVEhYd3JPQVpCb2Flamw5TV9TdzRPZlZUNzBQbENYQ0dqWVVBVWk3VGc3S0FZS2RlVW1RVng5SFVWbHVSc2llMEx1SkRsQTdvcDR4ZUZFaW1pQTk5aTBkcWhHZWJFRC1XM3" TargetMode="External"/><Relationship Id="rId789" Type="http://schemas.openxmlformats.org/officeDocument/2006/relationships/hyperlink" Target="https://news.google.com/rss/articles/CBMijAJBVV95cUxNYlg0SkpBNHhBNmRXZ1BMcmFVakc4QVNXQ0ltWjZTX2NBa0toa3kyY29xY21rVElRS3BuTlFyOVRsQzd6N1FQR0pOYlloVjVTUFJJNFVlYzhYb24xenAyemttaGhBcUVEdXU4N0F1cURibFJNWEllSmtmcG9mZGpBSkpHNnpoNmRsaGhSTGhHOFgzSlRveWFlTG9pa0lran" TargetMode="External"/><Relationship Id="rId790" Type="http://schemas.openxmlformats.org/officeDocument/2006/relationships/hyperlink" Target="https://news.google.com/rss/articles/CBMimAFBVV95cUxOMkJYS19Say1waEF1REFGck1tOFQyUmt0eEphYW1JcUJ2d2pSSVRJaUVyRUNTcXRLbHZWakRjTVB1SHdVX3JJNk5IS21FZkxJc2V1V2JUcHhLN2xuTmNBUk90cGI1dkFOMkZOUDVuSDFTb3lVTFJiQWs1VHppS3ptaGVxb1V4THFwZTRGWVVCWDdBOFBPSng1eQ?oc=5" TargetMode="External"/><Relationship Id="rId791" Type="http://schemas.openxmlformats.org/officeDocument/2006/relationships/hyperlink" Target="https://news.google.com/rss/articles/CBMiqwFBVV95cUxPd1gwbTFUSU1KbzhWQzZKOW9jVUZYaktad2lBN09LNTVldEJ1andfdmN3OHNVX3NmekRMWXJOWUxGMkZHQnFmWC1mdHZKQlJSZ0hZR0tjU0J4QWtSUXZnbXpzbWVKcmN1Y1FvLXlHcXpIQTB5RkNqQ3o5dnJkejZhTkRFY0FQYmtrVDFKVzE4RF9MS00yYXlRaV9odXNBQ1" TargetMode="External"/><Relationship Id="rId792" Type="http://schemas.openxmlformats.org/officeDocument/2006/relationships/hyperlink" Target="https://news.google.com/rss/articles/CBMigAFBVV95cUxOckNlWC1fWlRya0p1bTNIRUZTaktHZUtmbWNHMjBEVzZWNkFweWxGaWRrbm5iNGpwSjR6SEVIXzJjSFg1RFBQcmFVX1NyaVBLbDhTZ3pGRUNuMUlTY29NU2J1SnpGZWFqY1NDcmQ3OXBsOW9TcUU0QjlkUlE4OVRUdA?oc=5" TargetMode="External"/><Relationship Id="rId793" Type="http://schemas.openxmlformats.org/officeDocument/2006/relationships/hyperlink" Target="https://news.google.com/rss/articles/CBMilAFBVV95cUxQWXc0TzBOUndZQ1Q2Y0xrRlZMZmU5VlhhWm1tOEt5WXhHaERMeFE4TjhWUnFlTzl5bDBrZFFxWDhxNXdreEpOdU9zQkUtQi12QUZ5SkZMdnFPNjlsUlBUNmxZcGpKaHl6Yzg5aTd1eU9aYm5RdkVUMEZiWC1uenY3ZHlpX0N1UFVjM1dVZWdhNVgtT1U2?oc=5" TargetMode="External"/><Relationship Id="rId794" Type="http://schemas.openxmlformats.org/officeDocument/2006/relationships/hyperlink" Target="https://news.google.com/rss/articles/CBMilAFBVV95cUxQWXc0TzBOUndZQ1Q2Y0xrRlZMZmU5VlhhWm1tOEt5WXhHaERMeFE4TjhWUnFlTzl5bDBrZFFxWDhxNXdreEpOdU9zQkUtQi12QUZ5SkZMdnFPNjlsUlBUNmxZcGpKaHl6Yzg5aTd1eU9aYm5RdkVUMEZiWC1uenY3ZHlpX0N1UFVjM1dVZWdhNVgtT1U2?oc=5" TargetMode="External"/><Relationship Id="rId795" Type="http://schemas.openxmlformats.org/officeDocument/2006/relationships/hyperlink" Target="https://news.google.com/rss/articles/CBMixgFBVV95cUxNMWRtcml4STZWMktDNnluMEV3LVlrQ3dLRHljNTZNQXpEenVQZkktMHF6VTFibjVYalVxNzFtZkFiVFZaUG1wUWI2aXVYb05vLXp1OVpLbWM5d1dSQU5DckN5MU5KamdzR01SVTZFQWJySWFvWWVOLUJQWjRvNzlHMkFjSnRPMDdMU0stQjJHem5KZ05LQ0hOTVQ4WWoweX" TargetMode="External"/><Relationship Id="rId796" Type="http://schemas.openxmlformats.org/officeDocument/2006/relationships/hyperlink" Target="https://news.google.com/rss/articles/CBMirAFBVV95cUxNT3NzS3FkaEJqVG5Eakd5VzE1VWhpNm9RbXhJc3hBbi00WjJaVWFGd1dKMFE0YmhtbjZEWmlsM01xMmdCU0wwLXQyUk41MHI5RmdfX0l4SjNEOGRuejZRR0xhQnBPd1lEUkdGaXlEOFZ1RmVSQXcxRXRxRlZJV0JMQnVHZ05MSmVSbi1ZVXhULUR4LS1STENrc093Ry10aG" TargetMode="External"/><Relationship Id="rId797" Type="http://schemas.openxmlformats.org/officeDocument/2006/relationships/hyperlink" Target="https://news.google.com/rss/articles/CBMixwFBVV95cUxNTDNhdnR1QmZqalRiR3dRQ1hoM3hGZXZSMjVWcnpUS0FTZDFKWERXcWd3dlhOcG9jdV9mT0tnUWhNWFg2WWlWRW9pZV81UU5yb0RNTE1oWnBwSV92cnpveDhNdkJuNkdKOVJjbWk1R3Z4NllSbXhFRzN3VThVVUZtUkZJZll4eTJncWhnT2hWa00tNF9oc2xvWHprRUJLcF" TargetMode="External"/><Relationship Id="rId798" Type="http://schemas.openxmlformats.org/officeDocument/2006/relationships/hyperlink" Target="https://news.google.com/rss/articles/CBMiowFBVV95cUxQd3VpUERiNUd0STJ4bmRZdGpiMEphUUFzOVd5MUNuelhKLThPdUFUY1VTaHpXcE1NaFhzM2VKYW1HSUVyMkpLVlFXQmJaQXF2NmVkMkxrTmdKam1ZekNlT1o2ZHBHblI5eGxFNU9EN0VRTjM4cjRSdkI4UnktRDdjbWJ5MURQVkJKYzAzcDltT1RnTlhDSEswdm0tZjhEeV" TargetMode="External"/><Relationship Id="rId799" Type="http://schemas.openxmlformats.org/officeDocument/2006/relationships/hyperlink" Target="https://news.google.com/rss/articles/CBMi1wFBVV95cUxOSFJnUTgtM1pFQ3c2T3BYcjUyQTR0dGVNYjNDSTZyVnl2MXFSZ2dhWkltMDhVU2NtY2FuM0F2ODFERGI5aV9rLU9rUXlpUnk3ZXVzRURiVUxlUGNJQktDazNsSTVDcC0tUVFUbkpEajVJMGI1STd3OHBsQ0xUYzhpOGZ6ckxXNklmblNPWVR6WUtzWlRzTHJGYmd4NXk5T1" TargetMode="External"/><Relationship Id="rId800" Type="http://schemas.openxmlformats.org/officeDocument/2006/relationships/hyperlink" Target="https://news.google.com/rss/articles/CBMiwAFBVV95cUxPSTdXWWFZN2ZGUUluTUtYcWZzN2FyOEoxTS1kMURuZEJqSnpTdlM1bEp5YlIxWW1leFBGSl9JLWNWNXFyVGlsYkJqb3N2a3FpOEd3QnVpVDU1TXpWaTRRNWNLRG04czlublJIaU95TDF6NzkyUTRsclo0U0hiSDJIcmtwQU5iU29uRWN2Z0JoWVRScWlLeHZoYVkyTmFFYU" TargetMode="External"/><Relationship Id="rId801" Type="http://schemas.openxmlformats.org/officeDocument/2006/relationships/hyperlink" Target="https://news.google.com/rss/articles/CBMivgFBVV95cUxNc01qbXVDTnNtRDVzQXZiR1h3REJjc3pXc1paOEFSOXRXb3k2RFdPQ0lQTzJZQlh2cGhKTEptcVJBX2lMdGxiYS0yQ09Tai1NTFdHbWh3MnFnNTlfTTZrWUJ3YlJCbmpOcG1iRjJGRUlJQzlPZTVaWVRFc08ydWQ1cDM3Rjdhdk5RNDh6RlVkRVltLVIwTHhvX1dVaEpxeE" TargetMode="External"/><Relationship Id="rId802" Type="http://schemas.openxmlformats.org/officeDocument/2006/relationships/hyperlink" Target="https://news.google.com/rss/articles/CBMijgFBVV95cUxPak8ySFlxeDBMLTNXOFQyT0lMVi1YR0x1SG5PR0hyZlEza2kzSjhiOHhkbnh6eHNDLVpCUFozUTFFYU9MZEczb2xNQ0puY0hwXzJTdlVhdlZzb0VmZlpaWDNDQmlHV1VGdURkekpxOEJmY1NMUlJKdlVGc1kzM2dBZUhwb3lHVFJpSEl1R2Rn?oc=5" TargetMode="External"/><Relationship Id="rId803" Type="http://schemas.openxmlformats.org/officeDocument/2006/relationships/hyperlink" Target="https://news.google.com/rss/articles/CBMingFBVV95cUxQWFZWWnJxRFp2d1VhOGxBZEpOdFpJNHNwcC01ZWJwbDVRSmZ0UHdST0ZNcmlkajlBQWQ3NmF6MWlrY2JxaXVmajJOZnFIVE1YR1Bac1RuN2dibWxnc181cldJOU43RGRFX2dtMTZZQXpURVR2UllvLVVvUW54LS1WXzU1bW5mWUlCaGF1WHNXcHltVEgyajZaT0NfRmFYQQ" TargetMode="External"/><Relationship Id="rId804" Type="http://schemas.openxmlformats.org/officeDocument/2006/relationships/hyperlink" Target="https://news.google.com/rss/articles/CBMiuwFBVV95cUxPSmdPclJvbmNMV3JUNldWS2hjblUyMVFVeDYxR2xoVTVKQklNNnVHMUNCa3dSS0NxV1NEV0ZLb2xabDFLNTZDS3l3TEZleC1uRjlnbXFyazUyNnZpamZHNW8zWHROalU1bndxZHcxWUZ0emFzMXluZTFNSGpaRlFjamwwQjdqdXZacXItRGFOVVhBak5MbmdzVFdmZlhRXz" TargetMode="External"/><Relationship Id="rId805" Type="http://schemas.openxmlformats.org/officeDocument/2006/relationships/hyperlink" Target="https://news.google.com/rss/articles/CBMi4wFBVV95cUxQSjBsb0dnNXNKOGVNV2puMExnMFg5TzN1M0hITmNLRHdrb0l6dzAzS3N2OFluQW1aU1pUa3dFbi1YdjF2Y2Z2LXpXVTJyODU5NFcwUnlWTXBEb01YRGVURnRYMXhCOHBwQmdBNlFfYUgxSlFBaTJpcE1Ca3B3d2hHbFpxcHN6ZnVaMnBxZWIwa1ZKMS12OHJUQ1lBems0OU" TargetMode="External"/><Relationship Id="rId806" Type="http://schemas.openxmlformats.org/officeDocument/2006/relationships/hyperlink" Target="https://news.google.com/rss/articles/CBMiswFBVV95cUxOYkx2NWM3eXNndGQzdnk0aXpXOUtreWg0cHU0MWZ5UUJsSV9WZ19jTW9kRzRjSnVKUkJJMHJOS1g0bENjMUZvQjRIQ0N5algzcWwtTkIyVVd1LWZEWW1zdVV1N1hBR0hTc0J0ZkhCTDVvWmZQc1BDQjZjeDBhMTFlb0k4Y3ljd3VIdXVPNEhOM2ZIX1F2MVV1NHgtWEJMdn" TargetMode="External"/><Relationship Id="rId807" Type="http://schemas.openxmlformats.org/officeDocument/2006/relationships/hyperlink" Target="https://news.google.com/rss/articles/CBMijAFBVV95cUxPbi0tVlU3Qjl3dnR1TjMxYzRCSEthVkNtWHJIZXVpRUZ1Qk1WdGtROWxYa09Qcno5aV9XamNSRTIyeGxZSElIdjRubWRxWE9DZHlTQzg2SUFCck1NbVRkc1R1UVlfRElDSmFKdHlndDdrd0RvbzR2d0RBcmtVd0c3MmVXMm9FM3pZd25vNw?oc=5" TargetMode="External"/><Relationship Id="rId808" Type="http://schemas.openxmlformats.org/officeDocument/2006/relationships/hyperlink" Target="https://news.google.com/rss/articles/CBMilwFBVV95cUxOTGRxM2p1dEFnb0lwSGYzcktaWEpZeVlxNkxIRTFxeWhHSWRfckx2b2dDckhNMUdNdXZqb2N6QWZhR0tlTTd1WW05a3RFMUs2bmdQRXFDcExSSDlDaWNJRXhNWG1VVzk5cGtSV1ZyZVNjYmNjRXN5MW11QWFWM00xYkl6QUEwVk9yNm5sU0dEVkp5NXJjWVgw?oc=5" TargetMode="External"/><Relationship Id="rId809" Type="http://schemas.openxmlformats.org/officeDocument/2006/relationships/hyperlink" Target="https://news.google.com/rss/articles/CBMi9AFBVV95cUxPNmxPUVEweUM2eUU5MTlEbW5raHBOSUdEbTlhdjA3SlZaczdBcjB5MUVLYzNDQy11OEFyMno3MG5ON1pEdDBfU1dtWFEwUlVjbjQxLVI1c1FhTVhrbjdKT2NSUXlYRmlKVnFvTWJlam5IQVY5NWZjV0djQmh5LV9HMHFvYkpwRnE3TnJvVVdhZlBvT25PNDQ3QmlpR2laMH" TargetMode="External"/><Relationship Id="rId810" Type="http://schemas.openxmlformats.org/officeDocument/2006/relationships/hyperlink" Target="https://news.google.com/rss/articles/CBMie0FVX3lxTE5ta3JUTVFGMkNrem1zUjV3RzRxbllsX2JZZ0g3d0Z2Rmo2bHVjdS1yajBSY2czRGhTMlFBblRzMGMzWHNPM0RyZ2ZhWDFnZWNqUjBiWVBEZUxuN09UY2ZhTWRlS2FNUmZxd1VxTng0Tl9xOWljT0ZxeV9OMA?oc=5" TargetMode="External"/><Relationship Id="rId811" Type="http://schemas.openxmlformats.org/officeDocument/2006/relationships/hyperlink" Target="https://news.google.com/rss/articles/CBMitAFBVV95cUxPMVA3cWF3dkp3TU9kU0lmV2sweVRCSGhwWVlXcGtwS25WMldiTzMwYzVrU195bkdXTDRjRVZGMS1KQkVoUEJFdWlfSkdKYmVPUHRPU2VGdE13b202dlB6ZGJEck1RM3Z1UHJ5SDlIOWhFMjNSUTRqa09ReU5MMzNsN0xnMUhPdG9UbGRmX0l3aUE0eDczWVQ4S2JBOW94Uz" TargetMode="External"/><Relationship Id="rId812" Type="http://schemas.openxmlformats.org/officeDocument/2006/relationships/hyperlink" Target="https://news.google.com/rss/articles/CBMiwAFBVV95cUxOU0tmSzdrdkdJUHE5aFlhYjUzeFhPamlqeUFQUjUtalBkZGkzYTROUUNsUndSQU9PZGFOWVMxOTdDMTA5YmJFZWI4aU8xS3dUQldyWWJaWEFaZkozUlBnMTBGcnZaUklWSDZ2VUxSR0tFbFNUQUJsMkFKaDJWQnpVY2Z1TjFJYnByVy1tazdYNm5aZDEwd29tNVU0NWIyV1" TargetMode="External"/><Relationship Id="rId813" Type="http://schemas.openxmlformats.org/officeDocument/2006/relationships/hyperlink" Target="https://news.google.com/rss/articles/CBMi1wFBVV95cUxNYkh0c3FaWXVHVno1QnpPMno4Mk9qWW1lbUNfTkM2bHk1bWxEdEQwMm1oRDRpMUlIQXg5UlVGdzBmcm5Zck1BY3NrR3pPSnY0X2twcFpvdHBSS0RCaThDUjFaZ0p0M044LVFzSFJaUEszbnFlby15bTRyclZVTWtOQ1JQYU9rVlRrbDNaMDBaN2lSaFBsMUxpRDRfbDIzeW" TargetMode="External"/><Relationship Id="rId814" Type="http://schemas.openxmlformats.org/officeDocument/2006/relationships/hyperlink" Target="https://news.google.com/rss/articles/CBMingFBVV95cUxQYzFrVHd3RmxsdEx2ajRmanN5QlZuMmxqOWJPdVNJR2xLTEhuTWprWE5UcEFwcVhmSVVMbHNTeC1OZE5ELVNlcUZhRzh5QTZEelZsRERlN2QweEYtY0h5VEtRbmdaSzV4Wjl1d1VHMUF6SmVqUzBJMmVHZk8ydVR5b1ZLbGFBZTRSV0VxVTFPM2JoYTl1TmhscGpXcndldw" TargetMode="External"/><Relationship Id="rId815" Type="http://schemas.openxmlformats.org/officeDocument/2006/relationships/hyperlink" Target="https://news.google.com/rss/articles/CBMixgFBVV95cUxOU2Z1QUhlUy04aUJlUHQ4ZWNaYWY5TjBTY2l0dkg5U0ZkNEE3cjc4N3E5dUM1TzM5a2g5LXcxY1EtVjhMSDkzV2ZnSDRFNzY2Z1pEZnNvQjN2SGJRMTVqdjdDbU5MdXNmaUFUa0VXM1VOYlgyRmNELUJFX2JjamhQaGctalV2X29aQVlFLWJaWHhLSUZzLUJZYlB4VnRvRV" TargetMode="External"/><Relationship Id="rId816" Type="http://schemas.openxmlformats.org/officeDocument/2006/relationships/hyperlink" Target="https://news.google.com/rss/articles/CBMiiwJBVV95cUxQUVRSMGowb1hRenFrNElqY1U2ZWJlYkotQkRwLTZLdFZkYVZVV3hvOTNUVWVJWTh0Y3FLVGhrbEFmRXY2RVMyMElsR3JFQnJVaHg1TS1HenhLZnlBaERRWW5tVzVkSkVROTU5bXRBM2ktYmE3YnJqUkVYTlUxUFNSd19RQ0NJNm03NklfYkY0TERpeEJWSmI0YWtDb216T1" TargetMode="External"/><Relationship Id="rId817" Type="http://schemas.openxmlformats.org/officeDocument/2006/relationships/hyperlink" Target="https://news.google.com/rss/articles/CBMiqAJBVV95cUxNR1NmczJHUmwzVmVtOUNtcUVJekxkX3RZVmVkSUdIOERMeU93ZThfbFZkTUFEcFp0TUZxZzJoRmk3a2Z3X0F4bWFSUGhDVnNVZkFtSnpTNU5iZGJRYWN5UFhuQ1ZDNTFfYkRqSEh3ckt6MnVqazh6MjFZNG1MTDRISFRyanQ5UUJfNE9jM1BiQklyNHl4dDd0WDJrN2lfVE" TargetMode="External"/><Relationship Id="rId818" Type="http://schemas.openxmlformats.org/officeDocument/2006/relationships/hyperlink" Target="https://news.google.com/rss/articles/CBMimgFBVV95cUxPclJUeVRCZTg5MUdPM2QyY3NMVXl4U0FMLWNCcVRpMlVnRXZSS21vWG9BR2JuNXhURjZKdGNhdm4zQ3BjMEl0b3VReEk0SkhPM0RZSm1iVk5Kd3J0cTNfUUt2cUp1NjN0eEpsd1ZRWjYxakR6RHVVNmN3Y2Z2dW80OVA3RUM3aHdVY1hiYXRMSXNzVG1lR2RVSkln?oc=5" TargetMode="External"/><Relationship Id="rId819" Type="http://schemas.openxmlformats.org/officeDocument/2006/relationships/hyperlink" Target="https://news.google.com/rss/articles/CBMitwFBVV95cUxNMFhualJHVGc4OVloSFhrSzdib3JueC1PcW5zRGJEOEtycDI0MC1BRHBPbkJLU1ZlTURzWk5iQUFCQnNmUDlJakJ1MVBGeVpmT25kc0FhMmV1OUJ0ZDN2MEtrNEQ5N3dLUmZsUF85YkMzSnk0TDBHME9UTnZ0NXBLTDk5SkNuUDZPNGtTdmpBdC1GX251aDRQRkhGNFhzeE" TargetMode="External"/><Relationship Id="rId820" Type="http://schemas.openxmlformats.org/officeDocument/2006/relationships/hyperlink" Target="https://news.google.com/rss/articles/CBMikwFBVV95cUxNdVR4bldOX1ZVV2NvdFpELTRVMWcxZ19kNEs4NWhCNGhUckt5VG9DTGt2ZDJYR0ZwcDZFRV96VDd0aEo0SHNVVjl6b3V5N0E0MTlwRkNSWTJJUmJQbXFHSjRnbXpfanQ2UWUyekgyMmFBckExc0VZeEJtTUo0Y2xUSkY0d0ZneVl6LVhQWEhuOUhxaGM?oc=5" TargetMode="External"/><Relationship Id="rId821" Type="http://schemas.openxmlformats.org/officeDocument/2006/relationships/hyperlink" Target="https://news.google.com/rss/articles/CBMilAFBVV95cUxPSmtyTml0Wm5EWG96LURCdEVOM2VaQkdfcU5Bc01EeERtaC1XbTJaZXZDT01wSWQ0VXViZnAzYzJsV0tsUUtZSTVWcmVGaFhxV2ttMGVJb3BZZDQtOG4yaXZkOVhNci1Wc3ZVc0p4aWdNaS0yZ3MzWGdFOTd5NXFoOEpTRTF5V05SMVJueUx2UGQ2bkFq0gGaAUFVX3lxTE" TargetMode="External"/><Relationship Id="rId822" Type="http://schemas.openxmlformats.org/officeDocument/2006/relationships/hyperlink" Target="https://news.google.com/rss/articles/CBMi0AFBVV95cUxQV3pwdzB6Nl9qdEFSTFZkOWg5TnJId0Z3WnN1a3c3WTFaUW8wOThGR0pDWUtqaEhxTENLV2R0Vm40RUZOT0NrcjhHSUNSQ2t4Rk9rbkpubjFwN3lTUDRmcjJ5X2YyUUtJNkpCYXRaNHZGaEI5VzItWGRUYldkMGtkeFlUYWdXMTBZcHpDOGxrTGZXbzBJUXZKT3JqTjdNa1" TargetMode="External"/><Relationship Id="rId823" Type="http://schemas.openxmlformats.org/officeDocument/2006/relationships/hyperlink" Target="https://news.google.com/rss/articles/CBMi0wFBVV95cUxQWDB3enpfWUhsZHRxOFBTaU1rZlVieTBmV0VfWTBmUnl4X2ZrT3hKTzBPMERBSjVVcl8ydExZcGZnaFEzZTBwbHRYdlB5bWxnbno3YTVMTFZMZDFXWENTcU1hSWFvSEpvNVI0U1MtSWxUenpmdWNNdUpmTWE3c013akJxTzg4ZFpFbDNXRDhsOEYzQ0w3dkJYQlQzRUQ1c1" TargetMode="External"/><Relationship Id="rId824" Type="http://schemas.openxmlformats.org/officeDocument/2006/relationships/hyperlink" Target="https://news.google.com/rss/articles/CBMimwFBVV95cUxPYXJRMXM1cGVCbEZCcThLaE0zNFlGcmd0Tk8xc0RSNFk0QUpVREplVFBZNzNPYmxtYlR4bEpNaTJjR0JZM212WmlCbm56T3RBUE1QdmNKOENaNlBnTW9EREtLQUdaUDVvclZoY1dzaGlJSWpRb0thd2dWUHpCOTN5Snhwb0hnOVRCRlFqMUpaUDNpX0RESkFWTnluOA?oc=" TargetMode="External"/><Relationship Id="rId825" Type="http://schemas.openxmlformats.org/officeDocument/2006/relationships/hyperlink" Target="https://news.google.com/rss/articles/CBMilgFBVV95cUxQRjNUZUhQLTlkVmFQQmVqa1dSbG8yZFhkRExNMldxSXhhTmZoSmY3SXpjZ0RITjBtVEZwaDhjZzQtd3Rzelc4d3d1SDZQbFBzMWJjUHNPUmF1SWhDTHlnTEhFZC1PTEEwcmNqSFhEREwxNElvWWFmWU5GR2NhU0p1NFdWYTk2a0lqR0J6ZVNUWEI5UzNlLUE?oc=5" TargetMode="External"/><Relationship Id="rId826" Type="http://schemas.openxmlformats.org/officeDocument/2006/relationships/hyperlink" Target="https://news.google.com/rss/articles/CBMi1wFBVV95cUxPVnctTFp4OUJ1Z1d1ZnJkd2NjdHFzNGVCdElaa1VNNXFlRHNyQXBvRXdvekxJaTZGcHJMd3RvbFRSM1lrZ3UwRk5hSkZ2NVVxMWN4MS1EZTZMRU9feGdxNVJSNlBOdDZMbi1oYS12c2ZOdEJwalNndUxkNEhERVVLdmItRHEwZU1QMnZzdHFMMWFYYmZ5empKaDdER3dHNT" TargetMode="External"/><Relationship Id="rId827" Type="http://schemas.openxmlformats.org/officeDocument/2006/relationships/hyperlink" Target="https://news.google.com/rss/articles/CBMirAJBVV95cUxOZ2pYUkd6OVpNRGh3X3Y3UFB0WHhPQ2QyNld6aGZMbEE2NWQ2bmRBZjg0eTBPZFNVUWQ3LWw4YjQxMFhOenpXY2xELWtvMWtQdXJ3aEc2ZG02cEpjcFVkbExDUmhOeVFQSmlqM0JveWlOeWJ0d2ZsQVd5VHozWWNaUWpqOUFKd3hqTnFyakFvSWtkQUw2bzBhRFdQekhRbG" TargetMode="External"/><Relationship Id="rId828" Type="http://schemas.openxmlformats.org/officeDocument/2006/relationships/hyperlink" Target="https://news.google.com/rss/articles/CBMihgFBVV95cUxQX0RweTl2aUc1LU9HUE5HaExpVUUwVjlEQlJIZjZsOHdTakFDS2hTZVc4N25zWjZqQk1FWU9PbTZCSEE2eXNLTl9idVRyalZ4aUdLVlQtellVY3J1RGFyY1J4LU9JNndGYWlmRll0SUp4MXgzWHFBalNIcHdNYWswZ0h4R2lQUQ?oc=5" TargetMode="External"/><Relationship Id="rId829" Type="http://schemas.openxmlformats.org/officeDocument/2006/relationships/hyperlink" Target="https://news.google.com/rss/articles/CBMisgFBVV95cUxOMjZVYU5tZG1kNXJfMjZnQVBuMkd3YTl4TzhqVklaX1VNY3RsTGxOaWozYlJOcjNwaFpxRFFCalhlU2V4akhvNlUyRzI1Znlhd1h5dGZ0OUlUbkNUMmsyd3JWWVEwV3lacFhucTQ5SVluellvM3hwQVFJUFMxR2tKeXRKTlIzLTJQdzZwT2NGYUNUa0JvVG52NVR5a0paa0" TargetMode="External"/><Relationship Id="rId830" Type="http://schemas.openxmlformats.org/officeDocument/2006/relationships/hyperlink" Target="https://news.google.com/rss/articles/CBMiswFBVV95cUxObVVoVnk4VVNGWjBid3BiMm8xRDlZckJyWTlsYjJ1bGNaSjBzXzBqZUNMdTlTM3NENEJkOFNzTDFWUThKb1VtWE8wZ1JNelNxVGw0endOQjFMeU91Z2I0QVZrUzJOSDlRZWcwcDNUY05SUmNhVS16d3hicnhLeGpjeDVzekM1UUNVWWEzVTFHU2tublp2bGlNU1N4TTIzV2" TargetMode="External"/><Relationship Id="rId831" Type="http://schemas.openxmlformats.org/officeDocument/2006/relationships/hyperlink" Target="https://news.google.com/rss/articles/CBMisgFBVV95cUxNZ2xOYkJ5dVNZOW9RVGszMWlYbGtFamdlQ3pTZDZfR0hnZDZaVW43a29Lb0ZDa0ZjdGl6UWJwRndTMTJFMm9NVjdiQ3o1bGlPWkl4YWNKbG5oZjFuRzlyZEVtQjNTN3UyVEV1dlcxT3hESzhjaVZoN3dqXzA0cGliSTNHY0tHQm1NcTU5YlBEbk1QSGVMdXZ6T0JZZWEzV0" TargetMode="External"/><Relationship Id="rId832" Type="http://schemas.openxmlformats.org/officeDocument/2006/relationships/hyperlink" Target="https://news.google.com/rss/articles/CBMigAJBVV95cUxQUzd5WXZ2TjhJSWkzWko3clJhT0lac3JNdTc0QndUb2JjQ21pUnhLMWhPYXlQM2hiTjlLU1ZTVHNXako2RlkzZmFnVlZkdURBc0EtUTFGNlZJN3BKazhJd0FiaXFSZ2pQYlpYTFBMMkFHakhwQ1NGTEJ5c0ttbVdLQUg3VUk1NDhZSEtyZ1Q5S0Uyc2NVNkdSeVBwNUNXLV" TargetMode="External"/><Relationship Id="rId833" Type="http://schemas.openxmlformats.org/officeDocument/2006/relationships/hyperlink" Target="https://news.google.com/rss/articles/CBMiwAFBVV95cUxOXzVtUXBIM2lJRVA5TlRRb3lQZnVlWjdBdlNycDBCOVNMbWVXY1BBVlhqZzAydXpXMXM2Z21hQ2NFYTdsRUN6QllMZFRjVERhbzlyVW1iTktRQ0NIVHlVZUU0d2sxOW42MlhyQV9TM1JvUC1vcjhfeXBoWE1jLVVSNHJsbWFlc2tKd3JNV0p3bVpOQS1sbC1od0c1dUdaeF" TargetMode="External"/><Relationship Id="rId834" Type="http://schemas.openxmlformats.org/officeDocument/2006/relationships/hyperlink" Target="https://news.google.com/rss/articles/CBMi5gFBVV95cUxORzN4dmlEejcyYldsOFJ3dXpaeDNjdTNRbDRiaUczV3lpNF9tLU1XeU13SzJwRjU2VUJ3TmRZMzJvVlhVZEpaMTB3V3VGcHM0c0R1SGlod2lQSzdYSEROakVqWTBPZEZMV25TeG8xY21zV3NzSjNzSTNfUmlHREpIWHJYVHFicl9UUFY0eE1HbUNaOVUwM08zeDI4OG9ncE" TargetMode="External"/><Relationship Id="rId835" Type="http://schemas.openxmlformats.org/officeDocument/2006/relationships/hyperlink" Target="https://news.google.com/rss/articles/CBMiowJBVV95cUxQTklkLVRYRWROdnVnTVRJWGtOWDVQQlhiMHBrVzdFN1RkVG9VM3YyMHBCVFJ2SHVvb05ONExfakM3UkREVFRnVWV1YVA3Qld4VU5xNUJwR3ZXazJNc0xQMURXTFZFa0J1MF9jaWtYNzBreXRpRGFrdHpwUVlwZldxaXBlSS1tVFV1dlFYbDRNOVZpTDBURlhxM0hubnhpUT" TargetMode="External"/><Relationship Id="rId836" Type="http://schemas.openxmlformats.org/officeDocument/2006/relationships/hyperlink" Target="https://news.google.com/rss/articles/CBMirwFBVV95cUxOQVl5eEpwOG5qNm1uVzVTVDZXdWpVbGY0RExRUk9HUUZ4T3NVYnBNajhZd2VnQjNQakR4SnlRSG5hTFBpeFpHSVBRRWJkdTRmVVoxM2VNZzZWVzZyVHJueWVBcEp5MTlha3BMR25iaWFHXzJzcmpzVkVadU5PNHhGOEtwWHUtODVYUmtrZzJpOVp3cE8zOWdmRm5QVjhEV0" TargetMode="External"/><Relationship Id="rId837" Type="http://schemas.openxmlformats.org/officeDocument/2006/relationships/hyperlink" Target="https://news.google.com/rss/articles/CBMiigFBVV95cUxQcUFfbzVDMWhDaUtEYWRtSHRDYkRnSmZlMnN4d1MzUW9LbjFsVFAyY05hZVkyeTY5dWctRG4wWi1ESEM0Mkllc3JzNVJ4OEFYREk2QUlYZEsyQTZKQV9ra1h6cmFtNVNWSHlJWGhvenhrY2xpQjRwbEFKelF1UkVzU0tHcWhZa3JqN1E?oc=5" TargetMode="External"/><Relationship Id="rId838" Type="http://schemas.openxmlformats.org/officeDocument/2006/relationships/hyperlink" Target="https://news.google.com/rss/articles/CBMihgFBVV95cUxQdVZmS2llczRpVmFab0ZvTXRXc0VxeFdSTVZ5cURUREpnNG1vX2c4OGxvdnJUbEVOdG52dklBX1FZMjNVRnlJTmtvTGlhZk8td1p1ZW9haUg4bVBfZ1U3NmdXVFRmekJlX1JOTFVKcHV3Mkp5dkowNU1nRFJzSEhheVhmdEFiZw?oc=5" TargetMode="External"/><Relationship Id="rId839" Type="http://schemas.openxmlformats.org/officeDocument/2006/relationships/hyperlink" Target="https://news.google.com/rss/articles/CBMitwFBVV95cUxORmVFVm9sOGtGVXBTUERicEprNzBkNThTNnlrT2F4SHJwVUprRmJTWkJ0ckxKZlNFZWFmdjlQOGM0ajZsTmVZUVd5V094cDZzdHZ6WUhjbE5JMHRsV0NaNHc3X2czejQ0WncxYVpXajdLeW5acDFzc0ptMnB2ZWJ3Y19SdHJFNmhOVkhueWNxNWYwWV9jVm8yaTVNNEl4bj" TargetMode="External"/><Relationship Id="rId840" Type="http://schemas.openxmlformats.org/officeDocument/2006/relationships/hyperlink" Target="https://news.google.com/rss/articles/CBMivwFBVV95cUxOalo3ODA3OWZMVE9zeXVjdUNjMXBXVDF4LUdxZHFTLTlhdWVrZDlReVJYaXhLWURNQ0k4NTR3RTVicE55dUEtYjcyVUhsMmtGQnA5SDFuWkFhcUJ0VGY3dUZiWWF4X3RMNXFHMFNKVXRuLUxQTEgwR091aFZtSjV2MTBXTXR3MUgzY3I0UDk1SVJIeXFxX0MxU3JyLVFNNT" TargetMode="External"/><Relationship Id="rId841" Type="http://schemas.openxmlformats.org/officeDocument/2006/relationships/hyperlink" Target="https://news.google.com/rss/articles/CBMiowFBVV95cUxNWV9Ub2htdExJRVhWMmphUF9HWkxxVW92SjNNSjZCRC0wVHFHVGppbWdxV0JGSWdLOVUzNWZFTFF4cnFuTmlJM2VtdmpYamt4QWN0c29tel9PRFB2ZV9GMFRGU2lxLWMyaXFfVkNyRjVHXzRFR0ZIb3pZTjNoZkRzeXd1bEdjNFNseW5JMmtCR0hEZU1kQVZxLUVIV2ljVH" TargetMode="External"/><Relationship Id="rId842" Type="http://schemas.openxmlformats.org/officeDocument/2006/relationships/hyperlink" Target="https://news.google.com/rss/articles/CBMivgFBVV95cUxQQ3NyQnU2NmlQZlFPMVZ1MjVpUjVtT2lQRXFmUFdxMExlTnZoSzhWdm91Si1MNWxZR1hCekR2eTdWeWM0SVJaclgxbk1ILUJuWVlGUHg0d3EyRHpSRk16X1hVRm5rRWRQanRTYzREOGFFQmo0VDV3RU54ZHBJb2xDNi1IQm9sb1hWNERWc2hhTmk5bklUTUVIMGNUdnVqRm" TargetMode="External"/><Relationship Id="rId843" Type="http://schemas.openxmlformats.org/officeDocument/2006/relationships/hyperlink" Target="https://news.google.com/rss/articles/CBMixwFBVV95cUxQVERHdjlHa2NKQ0IyOFdGRVhYZnFqYWRKYVVmalpaMENSV2QySkd1dC1udVBYczN0RktVRk9wbWN3U2hrNkZQZWx0V1kxcHJGWTl6aEdBbVVRUDBBNVpSTzhHWWRMUUJxZklrdEpJZ2d6enQwYXVNWHdEc3JFOXJfbWh0TFJXRjJIbnpzTWRabUlTVkc5cEkwVjY0aVZsdW" TargetMode="External"/><Relationship Id="rId844" Type="http://schemas.openxmlformats.org/officeDocument/2006/relationships/hyperlink" Target="https://news.google.com/rss/articles/CBMinwFBVV95cUxQOWF4NG5lTjNXZVY0VDhGZHBsVFJlX0FQUlVMVURVUWQ1MDNyeXpPSE5kMmJKdXRJdGx6Z0R0WllQeW1MOUdsUkh6X0pxbjUxYU5jeDhKb2ExQWNDVFZKVUdjYUVkTHNoRDVfWm5KU2F1eEhFU3ZYY2xhcElmVFZPSmkyRTRnd2ctSm4tQnZoV0pUWE1GQTFrekRCdndpNl" TargetMode="External"/><Relationship Id="rId845" Type="http://schemas.openxmlformats.org/officeDocument/2006/relationships/hyperlink" Target="https://news.google.com/rss/articles/CBMiugFBVV95cUxQTEpCMkdJcVJadjZKYnBOUmpRWFFybEtjSjl5UnBCOVEwdW1wY08zWVpRbEhMTE1QNE8zV1pNSGlFVGlMNFJPc09wXzMxMzJmQ1VaejJxaFMtV0JiVTUxX2JWOW9tblViQ2dQUDZIeS1hR2lkZnVpeWVtVkxFVkp5endVVkpxSmpjeWd0cGRXMWVMLUxDRTZZeTVVekk0ZU" TargetMode="External"/><Relationship Id="rId846" Type="http://schemas.openxmlformats.org/officeDocument/2006/relationships/hyperlink" Target="https://news.google.com/rss/articles/CBMixwFBVV95cUxNczFsTXN0UndtcEhhYV9pbC1jcTRSai1pU1FjYjREMklUNlBYcDFiZ1kxMW9HRmN6NXBsb2lvUnFSS0JydDhMOFBaVjFKTXdZSFVrQVFmV3ZRRURjdWhlS29BSUM5QWpaOEtaaXROTXJpZ01WaXhCVzNLUEgtYjF3aG1NY2lxVUIyUXN5dXA2d1o0UFhVMDBHRUVjcHFlU2" TargetMode="External"/><Relationship Id="rId847" Type="http://schemas.openxmlformats.org/officeDocument/2006/relationships/hyperlink" Target="https://tw.tradingview.com/symbols/NYSE-VZ/news/" TargetMode="External"/><Relationship Id="rId848" Type="http://schemas.openxmlformats.org/officeDocument/2006/relationships/hyperlink" Target="https://tw.tradingview.com/symbols/NASDAQ-TMUS/news/" TargetMode="External"/><Relationship Id="rId849" Type="http://schemas.openxmlformats.org/officeDocument/2006/relationships/hyperlink" Target="https://news.google.com/rss/articles/CBMifEFVX3lxTE52bTdjajU1b3NZeDEyM3MzSmttVG95UERIVngyYm9fdnhYak92V3loUDFKZGs5YllMb2FUR29ZVEJzejRZOGlRc0lkYVZWTjNxODl2OGR5eDB5T2JzZWh1SHYzUHdnQnJBV3RENE92QkYyN2pIOTZOM1hvU2E?oc=5" TargetMode="External"/><Relationship Id="rId850" Type="http://schemas.openxmlformats.org/officeDocument/2006/relationships/hyperlink" Target="https://news.google.com/rss/articles/CBMimgFBVV95cUxOTXlVR3JrN3FJUU51QVVVdlN5aWFHY1pydHpmZEJUazYyeXFhODdob1YxNXVCaDVneHBOellpRHItRHU1SnpqYjVjcUFobXhzRHRDUTVrT3VtcFV5eloxeGs5NTlxeDdJWTNTNjNudFdGdHFhVTJUbnpPZXcwbVY1Y2lSbFJITXQ1RjY2ZndXcTQ0eHNTVThlYm5R0gGfAU" TargetMode="External"/><Relationship Id="rId851" Type="http://schemas.openxmlformats.org/officeDocument/2006/relationships/hyperlink" Target="https://news.google.com/rss/articles/CBMi1gFBVV95cUxNcWd0THlIczkyaUtnSkNWZ2dmMlpLYU9GMHVlZE1QclI5WFhfbTJkOG9CWXViS1pfbmFSdEszXzI1X3M3YjFmMWxFd2dVVk9pWlEzZFVDWHZ3ZlpVY3duWmhtZElpakc4Y29oa0tpem1ad2VOZm00al9VbzJESGhQMTBGdUZLSDQxdHdXS1dNd3lnT3JrQWs0d2xPVTB1Vm" TargetMode="External"/><Relationship Id="rId852" Type="http://schemas.openxmlformats.org/officeDocument/2006/relationships/hyperlink" Target="https://news.google.com/rss/articles/CBMirwFBVV95cUxPNXpBcEVjTThnTjh4VmpmcWxWZkdQNXR6RjVIZXN6REtSWWx2cVc5LTRSRVFPN1ZNd194YlF4UW55a0VlTW1XM3VMZi1Yd3Z6UW5xSS1GM09XM0JidkhvRHJWdlNUNU5LS3AwYkQ5SXVFbE1Dd2s2UTFIa1pNMXIwOV9NQk9HbU5BSFJmT21rQ0phdWJqMkluaTJmaG9uQk" TargetMode="External"/><Relationship Id="rId853" Type="http://schemas.openxmlformats.org/officeDocument/2006/relationships/hyperlink" Target="https://news.google.com/rss/articles/CBMid0FVX3lxTE1BNEMxMEJVVjBnNDdWdW5uMWYyYW95Vld1OHR5UUFHOTBpX3ljWTFQZWMyQjd3TkF0SmJmYTdWQTg3R2tzS2tQNHhYS0g0amU1QVBObG4tVEdmc3RlXy1CTUM4bXp4a3VrdWU0ZVFKX1FERFd1cFQ0?oc=5" TargetMode="External"/><Relationship Id="rId854" Type="http://schemas.openxmlformats.org/officeDocument/2006/relationships/hyperlink" Target="https://news.google.com/rss/articles/CBMi1AFBVV95cUxPM21hM2ZzN3Q3ZEN3R1EtR1VkOHY1RXBnaC1NTi1Ic2tXaXdqTXJMYjROa2hpTWpFd2pGd3dibmhreWtzaXJMcXl5amZTTlNFb1oxQ2JGelh5cDA1aWJJd29wdDR3Q3Zybm9KMWtYS3BQa2ZhcUJWTXVKTlZnSXV1X21wMmtZU29uUjJGVk1TMFZFYV9DV2NxMW1wTG53YU" TargetMode="External"/><Relationship Id="rId855" Type="http://schemas.openxmlformats.org/officeDocument/2006/relationships/hyperlink" Target="https://news.google.com/rss/articles/CBMiaEFVX3lxTFBwSjFyZ2RqSUlfV1dEVWNSQmRWZFFmQmVJVFJnQ1FzaThxRU1wSkhoRUsyOHNValNLb2xIei1mTWdzamd0aVd2QXlObElsSkppdjhod0h0S0lmLTRWYWxCZnRNWElXaVdV?oc=5" TargetMode="External"/><Relationship Id="rId856" Type="http://schemas.openxmlformats.org/officeDocument/2006/relationships/hyperlink" Target="https://news.google.com/rss/articles/CBMitwFBVV95cUxQbmtjWnBpTFBHOE8yWVNIOGRmMW8ycm9jeG5wSnZISDRZU2dPTU1TS0lxaVplaXJETHNpVWlzT1YxMDlmVW1uWVRMWnl5RUJ3aTFhb1RnODMwcUpiWktwaDRXaElCZkxJb1JMaXJYR0dPUzhsUGNmcTMyRnkwQ1BLYkRzTk5ib1lzRTZ1Y2RIQU91MXhUZ2JfcFd2bFEzSH" TargetMode="External"/><Relationship Id="rId857" Type="http://schemas.openxmlformats.org/officeDocument/2006/relationships/hyperlink" Target="https://news.google.com/rss/articles/CBMi6AFBVV95cUxPWm9zU3d6aGJxS19IUGpPT1ktVkJWQmV3cnI1dnhJZEkxQTU5V1VqWWdPZ2JwTVowZnJJdU5KRE91T214TTIxSW94M0xKY0MtdEpWUmVOaWZlSlJjLWg0UmFVZjVRZFlkYVA0d3VfekplRFFDVEEyYlhOWTdaSXRUejBaX21uUXotbDA0MDBtQWZZSkxVTC1UbWh6OG5DWl" TargetMode="External"/><Relationship Id="rId858" Type="http://schemas.openxmlformats.org/officeDocument/2006/relationships/hyperlink" Target="https://news.google.com/rss/articles/CBMif0FVX3lxTE1mcmMwZXotMHI4UnRBZWZYd1VxMTJUT3h0Y3NmWTU4NzN0MFlQLWczZm9pQ1dNLWZ5UjZZYXdFUFN2MTA0dmYtWWk2N0JOT0l4b2pYNU9hVkZjOFBaZFV4NlpkR2ZaUkF1S0RDY05PdFl6bDJSY2xfQU45NEhLMVE?oc=5" TargetMode="External"/><Relationship Id="rId859" Type="http://schemas.openxmlformats.org/officeDocument/2006/relationships/hyperlink" Target="https://news.google.com/rss/articles/CBMi0AFBVV95cUxNNlQ0WGZzdUgwS2x6NS0zMUxhUzdEVDNEdDlEOTc3bUItaUZpbzQ0c21NQ2daZGdBcGI3d29EWkVwb3ZDZm1RYlQtX0NsMW5CQlV4X2U0bHJpaC1FQ19IYkR0cGJkbVI3cnFlTnFtOEcyRUlZVWxZRHE4R1RjcjZHTFdrZDBhTG55ZFlJb1o0MkZSMG9oR2gwMnl4ZzlZbz" TargetMode="External"/><Relationship Id="rId860" Type="http://schemas.openxmlformats.org/officeDocument/2006/relationships/hyperlink" Target="https://news.google.com/rss/articles/CBMimgFBVV95cUxNYTM1dkl2Tk1qQUFNU2JQTms2VEJQYXlVODEwUlFweWxJeF9BQTNIZHBpQm9vM0R3MlNDWTJtclNmSVU1TWs1V0dQMDVMbFBIdVZLZVdPVzhPTklNY2VtOGlldjJBVmM3UklHZkRJSmJWaHFqRFcxNjY2VFd2cFZPWDVGRlRkRkpBY2E0Ql9YR2Z5N3ZfR2puY0ZB?oc=5" TargetMode="External"/><Relationship Id="rId861" Type="http://schemas.openxmlformats.org/officeDocument/2006/relationships/hyperlink" Target="https://news.google.com/rss/articles/CBMipAFBVV95cUxPaktWYlJRMW5xdTROM3EwMjVDVjNHbHI2alQ1bFlWZXgyTFBCLWhSU1hoTzNVNnp1LVZGYXROaVJPVDYxWnpJZ2Y5TGZ2NXVPdF9Ec2xoa1JEazEzUjliTXFpWXByTlJXdzhaV01RNGQ4SW1HT2ZEcmkxejNGRVFDYXBxMlZRRjVfaEJXRnlvVlBwa3ItMTBjbU02dmdmX3" TargetMode="External"/><Relationship Id="rId862" Type="http://schemas.openxmlformats.org/officeDocument/2006/relationships/hyperlink" Target="https://news.google.com/rss/articles/CBMiwAFBVV95cUxOcGFqMVQ2QmlMRW5QeWdTQWE0YXRnLXFhdlZKNUQ1RnZJZFRTeTBJVVdvb0JHWTRuTjYtVU5XazVlM2EtYVhsX21Talh1UkhGandFLXIwUG51YXZnOWZWXzZHeThUMzhxVGRxUEtGSW1fY2pWOXFnWFRlU09Bb2tpR0x5SnJyWlZLVV9GckxxeG5KOTNWS3pkbXRreFpadH" TargetMode="External"/><Relationship Id="rId863" Type="http://schemas.openxmlformats.org/officeDocument/2006/relationships/hyperlink" Target="https://tw.tradingview.com/symbols/NASDAQ-INTU/news/" TargetMode="External"/><Relationship Id="rId864" Type="http://schemas.openxmlformats.org/officeDocument/2006/relationships/hyperlink" Target="https://news.google.com/rss/articles/CBMinAFBVV95cUxOTDdMN3JkWGNMTVNYUDFtV3o1R0JCZmlKUFRscHJzdTFEMThyZUFDUWpDZkVtazl1U3gyaldUbERuTi1fd004REZDVHRKOXNOZ2EzR3d5TENXcFdEZDhENENLWXNNTE83SmkwZXlUYkx6NmljcHRVNk15ckxCQ1JjLWRjTG5HUGNrMW5uQWNQSkxvUG9HSzRDTGlod1o?oc" TargetMode="External"/><Relationship Id="rId865" Type="http://schemas.openxmlformats.org/officeDocument/2006/relationships/hyperlink" Target="https://news.google.com/rss/articles/CBMi3gFBVV95cUxOTGF6aUZOSm5KSmR3dXFPMVZVWVlYNjdNQ1gwWTl5VTdIOGNRcWhTM3ZxeGdaT0JCQ0RkTVMxNjFQbHBkNVhzVFFZMEx2LXFWajk2STR2UVA0RmVJa1djXy1uTWdyTTRKZzBaaUZVYVNJUjBRQ2hEamI0Y0JKSHZMWm8xMlBqMXJnNmFZeVNRNXphSF9vcmo4ZVlXM01zaE" TargetMode="External"/><Relationship Id="rId866" Type="http://schemas.openxmlformats.org/officeDocument/2006/relationships/hyperlink" Target="https://news.google.com/rss/articles/CBMixgFBVV95cUxPRHl1YWhEUzRWUzdnb3o0bGtOQThITTBTSC1KTVdzbWpLQ2FuclNGWTU0MVB5eGxCQWo4RlpWUzJDWG5ud3NvOXU2WG14RkViMTNQLTU2dWtrYUZrNHlVRWVQSHh1dmExa1hWbG5BQlBBYVRUTGV5dng5RENHSDV4eEphSUpFRzVENnZ4alhRY2ViLUZTRDVfeV84ZXRaY1" TargetMode="External"/><Relationship Id="rId867" Type="http://schemas.openxmlformats.org/officeDocument/2006/relationships/hyperlink" Target="https://news.google.com/rss/articles/CBMimwFBVV95cUxPemZyaDdqNGU4RGlrQllOZ2ZuVG5XSFRYdUNwXzRad28tbVdSZVNJQ3ViQVItc1dDek4zdjkyOEZSZTNkZEFZcmhIM1lZazVoZUZ3VDBLNEh3M0lsS0djUXZtbkV1WUlCRVdDdmJBMkE3UlprejluVFZ5REY2LURmUVkyNkVGdF9YenRqazdiYnYxTWlpTy1pNXNPTQ?oc=" TargetMode="External"/><Relationship Id="rId868" Type="http://schemas.openxmlformats.org/officeDocument/2006/relationships/hyperlink" Target="https://news.google.com/rss/articles/CBMipAFBVV95cUxOYWtmUDlRNW5LRWJURzlvOF9XaDB5QUk1c1J2ZW9ZYnF2XzFlT1FMWmNxcG5YMDdGVHlRa3dva2FEZUJHY2d4czNqazg1SFkzWmZXME8tZjlJNHFCa1VwYXhZSUN5cHVIQUx3ZW84SFRUMG5NOF9OdWVLc2x5QTdDTE1YcTlVMTB6XzdyVkNHcUFHTzFlYVQ2Y1BHTTVTMX" TargetMode="External"/><Relationship Id="rId869" Type="http://schemas.openxmlformats.org/officeDocument/2006/relationships/hyperlink" Target="https://news.google.com/rss/articles/CBMi3AFBVV95cUxQbERpbVZtcTQ3bXI2M2JsaDE3UVhVdlJRY0J0b2xMeG0xMTFrcHgyVUgzOHNleVRnMFpvVFZQaEVUTXJ6RUNfeldnSklZbzFMcHRiQ2cyTEhac21BcU8yT3UxZGt2V3RaVDBmTnk4TGlZcHdJblRHbEs3eGlSby1RX1NRSEtta1Rqa0pqS0JMYlZoN01ObEduQ25tNjRBRm" TargetMode="External"/><Relationship Id="rId870" Type="http://schemas.openxmlformats.org/officeDocument/2006/relationships/hyperlink" Target="https://news.google.com/rss/articles/CBMitwFBVV95cUxNdXhkcm5ZOW40VGo3Rk1ma2l3aVV4R0dEdmpzRVgtczJjeko0MkJtd0tuZy1oT0xpQzI4WmpITG0wRUlqcG5XZWlZdllaQ2FmajVkem9xYWRsU1Vla21nU3J5c0UyYTNJY3B6RFZmaDhDWmdnVURNWS04OGNIUHpSSTJtaW9RWUIyc0cwbHEwRlF2Y2o5bm1IMGhUUEdWdX" TargetMode="External"/><Relationship Id="rId871" Type="http://schemas.openxmlformats.org/officeDocument/2006/relationships/hyperlink" Target="https://news.google.com/rss/articles/CBMihAFBVV95cUxNcTQ4NnBnWC1uUUUxNENQdGhvOUNmeTFwenB3TGhQT05aQVcxaHhkSlJ1dXpyNmNzbnlPUWRuUTNwTmRxb3JwVlgxNnlFRWFDYUdpSml6MC0yZWduUV9yMmJDQkpqVHRlUFpjVk5uZTUxcENuODkwenBvTExKQlNnalpEZkE?oc=5" TargetMode="External"/><Relationship Id="rId872" Type="http://schemas.openxmlformats.org/officeDocument/2006/relationships/hyperlink" Target="https://news.google.com/rss/articles/CBMiWEFVX3lxTE95X0lPcHFBN1hxUmVNSU1KaFRVNlQxbTB2dG5UeFhMbVJ0cVJzbU93Q1Fka0FxSnRQS1gycWd4b0ZYSTBCUWZEenpJWF9kcFZuWnV5bnVtVmM?oc=5" TargetMode="External"/><Relationship Id="rId873" Type="http://schemas.openxmlformats.org/officeDocument/2006/relationships/hyperlink" Target="https://news.google.com/rss/articles/CBMinwFBVV95cUxPZ3p5bW5UU1R3Z1h6UHR6Z2pfU19hZXlUeEExWXVmWEdMUVdwYTluT0FibHZSb2FybzhxTkVwMld6amRxY09zZjhfVmh0QUM0NXJlMHQ0WVlmOEx5R2lMX2ZxeFlfWkdkNElaREtGaEg3WHBYdHRlbm1fSmY4UUF5bi1mNERnR0dDOTdmYlpSVVFaNjQxOGpXa25qV2FDVG" TargetMode="External"/><Relationship Id="rId874" Type="http://schemas.openxmlformats.org/officeDocument/2006/relationships/hyperlink" Target="https://news.google.com/rss/articles/CBMiigFBVV95cUxNaGJjN1JzMEVORzRiSjhxRUtFVDBPS3pfRWNRV0JnZkVGNi1RRkp4TXgyQTNyckw0N1laZkhXbURoRW5qVGNlYXh1blJhY3YyS0U3eTFZWHctZFNWMndBcVhMbjN1RW5WVXhfNWx6dVRHX0lDYzVENzVBNC1PYjQ1Wm8tSU03QUtNdFE?oc=5" TargetMode="External"/><Relationship Id="rId875" Type="http://schemas.openxmlformats.org/officeDocument/2006/relationships/hyperlink" Target="https://news.google.com/rss/articles/CBMikgFBVV95cUxOVHJCRXhLVlpDbjJUc3p2TWlOdG55ZUpzaUY3VnZpRkZRenJSR2pPY2wxcXFQTXBIYW1td3RSRm13aEtKZ3RMU1NwQU9nUk5najdLN2RPZ0JiOUN6X3dLZXhFYTNpREwxUVZMT1VYa2Z3X3ZtMnpRajkwNUU2SEpqYWlUMmRCaEhheHBQWWRiWlNrQQ?oc=5" TargetMode="External"/><Relationship Id="rId876" Type="http://schemas.openxmlformats.org/officeDocument/2006/relationships/hyperlink" Target="https://news.google.com/rss/articles/CBMi0gFBVV95cUxQMzZvMFVaalVzbEFSWDdHcVBEVVFRUjExRjlrVG52Szc3bFdwc2EzUWt5a3M2dDlrZnFaSnNjSjZLYlVtOUNGWkhUU0YtdzZGVDNoMUFmcmp2WlB4dEhNeE9QZE05Q0JjYjlYR2Rrc19GUFVQYkFIdFVrWDJNV2dCRG8xbHVCVUZGT1pGWmpCdm5QWF9VTFVURU03d3lSaD" TargetMode="External"/><Relationship Id="rId877" Type="http://schemas.openxmlformats.org/officeDocument/2006/relationships/hyperlink" Target="https://news.google.com/rss/articles/CBMilAFBVV95cUxPUHZ0ZnBxMFRHMjhOekIzX0E0blpFWHZIVV9Cd0dwLUo4aThHQm5TV1B6VVNoQ0VrdjdtTlRPRUZiaWJHdy1iZmVBVjA0QkRFX0dDcnVtLUNZR1B6Z2JuZmN4WjhNR3B6SVRIUjBXUWNmdHBhR2Y3Wnd5V283RU9jeUpPVlRrSmZwdmMxMENHd2N2S2tC?oc=5" TargetMode="External"/><Relationship Id="rId878" Type="http://schemas.openxmlformats.org/officeDocument/2006/relationships/hyperlink" Target="https://news.google.com/rss/articles/CBMiqwFBVV95cUxQZnV0NG9uTXk1YUhEc1diNWdkbG1yUHZiZ0JsU2JWUGYwWWt1RlZwS3NLQnpVX2oxOTJRMmk0enU2NG92NThqWm82WWEwRzdJWC0xZnpNbTBMaHJpd1FkRTNCY3R1TmtaNjViMGNtZWVCUTRNM0ZwRUhkQmVLV1VkUURpU054b0ppTkZ5SnJUaFhxaG9EcU9PR2hSWkptOD" TargetMode="External"/><Relationship Id="rId879" Type="http://schemas.openxmlformats.org/officeDocument/2006/relationships/hyperlink" Target="https://news.google.com/rss/articles/CBMisgFBVV95cUxPcE1DYTlDdkpjZHpScDZPaFZfdldsbTBKWUdLa0ZlaVFkMUZkTWVlVjhTb2J3aHc1SFNwQzFUaG5WSnd1ZldiYXR4bWUwWkNCLVU0LXpJLXNhZlF5Y2pZU0dKb01GT3hkM0dwd0tKYWFRSEFKV3hVdi14QzZXdkJ3MW05bDM1TXlCNl9HaHVUeFhvbVBqWlRHZDRYdnZZNG" TargetMode="External"/><Relationship Id="rId880" Type="http://schemas.openxmlformats.org/officeDocument/2006/relationships/hyperlink" Target="https://news.google.com/rss/articles/CBMizgFBVV95cUxPdl9qYmM3a0RSdmdTbHB2SnNqN3dIRXc1d1ViYjAyU0pqQmp0dUoyOUhFb3pZcUxRNm5UV0t2eVl1UTVBdDFxaFZfV2ZZR2FfOEY4SW4xa3lhR01hcHpDNEc3azRzcEoxa3VtYm1yVVV6ek1uQ3Z1RmRtbFQtdXBLYnpVNWVkeWVPSWVVeTdHd3hvd2NpOUlmZlBjN2lLQz" TargetMode="External"/><Relationship Id="rId881" Type="http://schemas.openxmlformats.org/officeDocument/2006/relationships/hyperlink" Target="https://news.google.com/rss/articles/CBMi1gFBVV95cUxPZXl2ZlB4N2N2OTYxS09YODBuMldYdUpQa0tBSmdlc25URjNxaDBfa3U2WG9fZ280dlhCd2tzV3hmYVNaZXFVZ3BLMVMzVklEVTFCN0NJRHVIRDluVkVjT2NXR09jcEhNcEpmXzhIVndvUllUTVpMREx6TEFXU2NHLTdlWERXYXVoaVpwYU5lQU1TQk52ZHFCNkgwUFE2Q2" TargetMode="External"/><Relationship Id="rId882" Type="http://schemas.openxmlformats.org/officeDocument/2006/relationships/hyperlink" Target="https://news.google.com/rss/articles/CBMi3gFBVV95cUxQQXZZVm13blNIYUZ5MWw5aWNRVWtqMDR4X2xHRGhOSElwbXd5STlPQ3pVX1NCMzZqaDRuZDgyY01jZm5NeGJmSlZxYXhPNzVsbUwxd2VVZ0hCU0cwcHJFVF94clY3X1pKZWhrbEpMWUxfYWFJMFBhdWszVFBScTRQRlFJa3hRTmgzZ1hHWnl5dW13SFZvaEczMWhsRXBBbW" TargetMode="External"/><Relationship Id="rId883" Type="http://schemas.openxmlformats.org/officeDocument/2006/relationships/hyperlink" Target="https://news.google.com/rss/articles/CBMirwFBVV95cUxOUjhDOFNmcW5YbUZNVURSVUszbzdXWU9fZ2ZVMFAzek5KOG9OUzd3eC1RN3gwV1J0aFUyOXd0WlpSMDkybmdtdkVrNHhLck94WC14ay1MSnBPMkViYmQzakVJS2ZidWVEcWlPOHlZX2otU0ZiVGx6am1FUDU3MVZUWVMxZlZVWEMzVUdSVnV6SkZXWnZaSm92a2pVUE9jV2" TargetMode="External"/><Relationship Id="rId884" Type="http://schemas.openxmlformats.org/officeDocument/2006/relationships/hyperlink" Target="https://news.google.com/rss/articles/CBMilwFBVV95cUxQQUsyOW1UZ1MxekltSkNTUTZqVWtWNHZtQ25hak5uai00c1k3cVI3YVBJQU5qd19BZUhrbm5yemo3UGFfUXpwWFFjcDNXOURSaS1nYmZXbmJuazR6aExVWWxLN0ZkY1NyUWswd3dZcFhSdlFEdWdKNHJmMDVwRlJmdUdoVG4tWTRqdlNqZ2VSZGJDQW9BczA4?oc=5" TargetMode="External"/><Relationship Id="rId885" Type="http://schemas.openxmlformats.org/officeDocument/2006/relationships/hyperlink" Target="https://news.google.com/rss/articles/CBMinAFBVV95cUxNQTZwdjNlTThyNU5QMFVDMnRpQS1FV2Y5ZWgwQlZZczVsWWRMZlN0ODNTT2JvRUZZOWVaQVRDbXE4ejBxdE9HaEduV1ZLaHdDeENIVkFUNTZ0c21abFI1UmtaNWVJYlNBM3ctVGM2c0JDZ05HcUxkcm80cHlpTDBPV0Z0TnFvMF9BMW5rWVVQSFMyVGtMOXdnT283d04?oc" TargetMode="External"/><Relationship Id="rId886" Type="http://schemas.openxmlformats.org/officeDocument/2006/relationships/hyperlink" Target="https://news.google.com/rss/articles/CBMihAJBVV95cUxOVGhiS21sV1hVTmE3TXh0cjdwOHhuTEI4Q05EX2oxUXQxM1ZXT2dQb09yQU1KQ1BUaDRTcFB4cjNacnNJSTZ3eWlsX18xSDdja3JIeG1MM0ZlYk04MEpJSU91SEZTV1QwYnhvVDVYa0owSk1hSm1Fcjc5RGdIYzZwN2huYWZBeVEzZEItdm01cERGdFVYamItYTVNUHNKU0" TargetMode="External"/><Relationship Id="rId887" Type="http://schemas.openxmlformats.org/officeDocument/2006/relationships/hyperlink" Target="https://news.google.com/rss/articles/CBMimgFBVV95cUxNNGJSMmVUZklveGhad2Z3ZUFEVThPQk00YUloNG9reWVYZnYxMVBvTHFuUHlhTHZUZVV3UmJUNlVBemdMNGRTTDNCUUJVanhjaDZhcW1qOUFVcWI4cDV0U1l6cEhKSVVqZlNndlQtY0hqZ2RzNjUzXzVzNjUtbEJqUktIRVlNRlB6UVVHenRSU0JCTlVwVlQtQ2dB0gFYQV" TargetMode="External"/><Relationship Id="rId888" Type="http://schemas.openxmlformats.org/officeDocument/2006/relationships/hyperlink" Target="https://news.google.com/rss/articles/CBMiugFBVV95cUxOQXQ1OTFXNGFvZThDSC1LOGRIaV9DY2I0bWl6dTdvUnZGaDZvUzdqNXpfYTB0WHFsTnVZbER4dGF2dy1zOVpKaGZ0anlPLVBJZHR0QWdpOEZMNFNsaUVXWTFtTXU2MzZCNkdUTnNpaEVLTDhyTU1Rb0ZZZmRwcUY4NFZfbWRwdW5YTFJhWjdqZzRkRlpfN1RXMDNzMFAweE" TargetMode="External"/><Relationship Id="rId889" Type="http://schemas.openxmlformats.org/officeDocument/2006/relationships/hyperlink" Target="https://news.google.com/rss/articles/CBMiUkFVX3lxTFA3ckY4a09kVFlhNnhsVDBqRl9INEpsV2JTX2tWMXVxUklnMnVrVnVHc0dyTTR5SUlWSU4zNEhPOTZTRlBXR195NmRpbzFQQW9Pd0E?oc=5" TargetMode="External"/><Relationship Id="rId890" Type="http://schemas.openxmlformats.org/officeDocument/2006/relationships/hyperlink" Target="https://news.google.com/rss/articles/CBMisAFBVV95cUxQVEJMOFppSU1qdTdHWDV5MVBURldxVWRNQmZ5SDZyQzJ3VllOLXdqd0I3bWlGXzVSYlFtTThYQVVwczdMWl9LYVlyQ0lsWVRtekpLWHpwSlJRRFNpSHZoY0EyVWM1UkJTZUQxdFNCdGtYc1RVa3V6YUpHbXZCV2NnTlg3d2xoWlJIMHJ4WUtmOFVuTlpndGU5ZXp4OHFGSE" TargetMode="External"/><Relationship Id="rId891" Type="http://schemas.openxmlformats.org/officeDocument/2006/relationships/hyperlink" Target="https://news.google.com/rss/articles/CBMipgFBVV95cUxOWFRoa21MeEVlY1BzSy0yY2VLbGZCcThiOTJqSnpHNWR3d29IM0tYRS16VTE1TjRvaEY1QjJDSHpCSEpnUW1lQ0Q2QkNYV1BSZmhDVFN1b2haUkFJMVBHNVVRWkxhTU5EWUdqX094RER2em1UMFQzdzBaYXZNNDMzaWRfYzl5My1qM2NyUHFfSUJFbjJPZEJic1I0ZzctTG" TargetMode="External"/><Relationship Id="rId892" Type="http://schemas.openxmlformats.org/officeDocument/2006/relationships/hyperlink" Target="https://news.google.com/rss/articles/CBMiwAFBVV95cUxOandFT1drTjdtTlNsVW1HRHZsRjl0RVVoNU8yWmhZbkhOaGtuTmt0T2tlODB0QUszT3llLVZ0TU80SUQ5WHc2RXQtZFk4eXMxWW9HeFltSWhnTGlMdDUxaTNtWDU0RnY0dHRlUWM3VU1sZHpLVEZQaEI3bDY1U2Rpa3F1djR4RzRhTUZFWnRXbnpOV3U1alNYNUdSVlpRMn" TargetMode="External"/><Relationship Id="rId893" Type="http://schemas.openxmlformats.org/officeDocument/2006/relationships/hyperlink" Target="https://news.google.com/rss/articles/CBMikwFBVV95cUxOSzhlTHJ5V0xUVF9uN1ZsY3l1UWZqZnpmX210UXJpS3hoN05DUG5ZZ08zNmVXT19HbnZOLXBhaWJQM0hUakJyT25CclUweDF0UUlDdDNiNUM5V3lfVExFeXBBN29YQnJMWVBfdXR0ODBpRlVLRGFBMlNxWUVMa3d1cUNXem02b0RzajYzM3hKbVYtUDQ?oc=5" TargetMode="External"/><Relationship Id="rId894" Type="http://schemas.openxmlformats.org/officeDocument/2006/relationships/hyperlink" Target="https://news.google.com/rss/articles/CBMijwFBVV95cUxObkFSZFNnak4zdFNWeTJubVE4NUhGdnFpcjJMMU50emFjdTZNQ2xzRFR2UUdiMmdfdzBXTE9XdDBqNm5jVHp6UUxPQ1ZNLTQ4RExtZWhqdEVpSWNBUkk4ekRhME5fdko4cG11UUlnUEFfMFVISUVYOUlFRnRZMXU5bGR3Y1RabjdmMERSUzIwbw?oc=5" TargetMode="External"/><Relationship Id="rId895" Type="http://schemas.openxmlformats.org/officeDocument/2006/relationships/hyperlink" Target="https://news.google.com/rss/articles/CBMinAFBVV95cUxNaHNxekxjMFBiRFVFdU1SUkktZlN6bVVNaTVrbXhtTzljVHhnZ2pyQ09lblY3MHlmVHVzYnFWbXBwNkhJa0hqYWhVa3BWY19pbFVMTm11M1hsUXlxQnJSMjh6dUlidC0xV2gybWhWNGQtLUh5VVNQY3dNMm44cDM1QkJqT2FzQktXYmNueTBmSzE4ZmtMQTE3RVNEclM?oc" TargetMode="External"/><Relationship Id="rId896" Type="http://schemas.openxmlformats.org/officeDocument/2006/relationships/hyperlink" Target="https://news.google.com/rss/articles/CBMilAFBVV95cUxOSlRTZy05MmIzcVo5cnBsREpUbkxzQlJ0ZGhzUlpBSVc4VzZZQ1FEWlhhVGdqajN6OEo3eEstYlAtbnVlaVU3UG5mb1F0emJrRlBpRHk4VWhUQURXV2QzRnc1UlYtYU1MWE1rd0VJR3ZWbXVMWUFvUmlZNGk0S1F1eGtWQmdZdVZZekdaVnl6Mms0WTdk0gGUAUFVX3lxTE" TargetMode="External"/><Relationship Id="rId897" Type="http://schemas.openxmlformats.org/officeDocument/2006/relationships/hyperlink" Target="https://news.google.com/rss/articles/CBMiqAFBVV95cUxNaS11VWl2M0F1bEUyQmcwOGNaQjVGZmNZRHhzdGUxamZyYUltdUtPTllrV2pfMW9HeDd3eGRWV2NWSS1UZzdJMjNhblRuMVAxaTJmN3MxUkQzMTFTakpHOC12bjdNMXMzRUpVT25xdDZDck4wSkszMktsMlFMOEVJTDVzajU1OHllbm43dEhZSWloNVZnSXFBTmF6S0JQZj" TargetMode="External"/><Relationship Id="rId898" Type="http://schemas.openxmlformats.org/officeDocument/2006/relationships/hyperlink" Target="https://news.google.com/rss/articles/CBMivgFBVV95cUxQeW4tS29PWDBmZUhLZXVYaTBUQWZ6dTNaUHRxc2hHekw1d0E4TGpUeldTOWxVWDA3VXNJcFZheWhpMXFoR2NuOVBKc0oxcDNJTDI2VFQ3SER4ZncxOU1NSUJpWjhlMktVS1Ric0I1aGdMTl90NnlMT0hVX1RYZk92cUZQMEt0QWo0WTdVRWJrZ3g3dG9EcnR1akZZNDk2OH" TargetMode="External"/><Relationship Id="rId899" Type="http://schemas.openxmlformats.org/officeDocument/2006/relationships/hyperlink" Target="https://news.google.com/rss/articles/CBMitgFBVV95cUxOZDRTUFpnb1hOM1g3dVpFQWU0eDM5bE5pM3JiOGNzR2YxVDBRQTZTV0R2WGFCMDRuR2kyVHpOZFU0NFROMXlyZS1uZEIwMUJqODF5TnRQUmliV2N1RzVITHZFbU9WRnFzVlIyWV9pbktkUXlzVmtEV2Jrc0drQmpnX0xKODl1dlhhS0pKUXAzYWlDeHdqTy1vTVVGelp5Rl" TargetMode="External"/><Relationship Id="rId900" Type="http://schemas.openxmlformats.org/officeDocument/2006/relationships/hyperlink" Target="https://news.google.com/rss/articles/CBMimAFBVV95cUxPRC1Sc0kzdWNKNUUtcEZ5NURRRnpDUmdhT1pEelhMb1c5N1dSdDl5TF9ONzVMdlJZVVBFVDZwMmZTcndlNzZkSVNpLUdEa2pMMWJVeW5TVjF0QmZEdnFfRU80Y1N6blNtd3ZmSWRESXduN1E1RjhKS3NjcDZGN0k1UmNWcnhXRU1MNS1CSGVwRDY0N3JkYXZHcQ?oc=5" TargetMode="External"/><Relationship Id="rId901" Type="http://schemas.openxmlformats.org/officeDocument/2006/relationships/hyperlink" Target="https://news.google.com/rss/articles/CBMitAFBVV95cUxNb05xRFB5VjNrX25IalBTTHBhTXlhY1lfc1c3N3dzSWpEVDBXaml6VnhMWDNXM2NsNHRSeXZWeWZYNGIxOVBrcmZNT2MweE16R0lUOUNTOHNNb2JwdVJXY192YTVPblVmdE96b0JXOXhwVlVYak1OajQxRS15RlRCUHdyTXQ4NGN5dFA2aTRBMm4ycWFUaU1hWHkySWhrc3" TargetMode="External"/><Relationship Id="rId902" Type="http://schemas.openxmlformats.org/officeDocument/2006/relationships/hyperlink" Target="https://www.gelonghui.com/news/5330652" TargetMode="External"/><Relationship Id="rId903" Type="http://schemas.openxmlformats.org/officeDocument/2006/relationships/hyperlink" Target="https://news.google.com/rss/articles/CBMimwFBVV95cUxPOUhHYzM4RmpiMmpTRmpkLUQyOUJRM2p5MDZ1aUVka0laZzRJdG9TX3JqRWVfV2VFSXZHbmhBcWZqZjNvbmxBdlY0djRiLXc4b2t2NDFVbE5EQ3A4WE9tTzBpbm9zZ3dZT1NjMnVzNmIwYjRVV25KanQtaS12Sm1EVzVrRlFmNl9LOGw4eXMtOUE0bjhXeVhicVdUOA?oc=" TargetMode="External"/><Relationship Id="rId904" Type="http://schemas.openxmlformats.org/officeDocument/2006/relationships/hyperlink" Target="https://news.google.com/rss/articles/CBMijwFBVV95cUxOaEt3SVB1WGhnbHVhVmVTbVl0QmR5QmN1U05DbVlUUmViLVlBb2xwSGk2RlZBZXNpalE3enZuV1Z1bXN0ZENLeHBQVFFXZUVNMFpLT25VZE9tWVRNcm1rdFpFSUFIY29aRVlKTmRNRFV4c1FXeUNxRks1VkdOOGlqeVpscjZJMVFCTTk5Ul9GYw?oc=5" TargetMode="External"/><Relationship Id="rId905" Type="http://schemas.openxmlformats.org/officeDocument/2006/relationships/hyperlink" Target="https://news.google.com/rss/articles/CBMiqAFBVV95cUxPamI3ZGxfTFRnWkJEeUEwM2VXM2JqUDRCdkh3TWNrUmduOWROaUtxSkFEaUlmaTJDS1FidEctcDhxRVVNUnlhbDRlUEh2MU1HNy01dVF5MUhzM1hHRDBENnlkcmdzeW93dS1tZ3l3Z0NrdzVQWHFITjlYTVJrRDd1MkRnbGVfSEFXdGlDTWFjOFI4Qmt1a3dDMFVGbzk3TG" TargetMode="External"/><Relationship Id="rId906" Type="http://schemas.openxmlformats.org/officeDocument/2006/relationships/hyperlink" Target="https://news.google.com/rss/articles/CBMiiwJBVV95cUxPR3cySU1hRmhUZU5Na2pTRU0tLS1xMF9raUlob19tcDd4anM5bGFwRUdfSVRTMUZvbzNkVVdYYl9Hb0RDdmliM3k5RnIzNmNpaVRuQXNSeHZoZERzSE5Ed3BSYXc2LXZ1bEdoeFVyUWpSWGhsazE0bGMzR20wZkZ2VHZKRmZVb0FVcGk4WGtZcmlfRlpvb2ZWbnAyLWRIMU" TargetMode="External"/><Relationship Id="rId907" Type="http://schemas.openxmlformats.org/officeDocument/2006/relationships/hyperlink" Target="https://news.google.com/rss/articles/CBMi1AFBVV95cUxQUFliRnhCcFVLbFU3TVhWX3BXNzhERHdDRnIyU0lCNFFuRzRic0J5Z3I4R1pCNW1mblI2THN0SXJzU0F4cE1xYkoxWkZ1WG4yckJ5bkk2VG1GdWN6ZGtwZUhNMGZTRlJxWUx4ak1JZjNsSGQ5cldGUDRQWFlQXzU5VVFoUzNHWmQ1R2pQYm1IaU5KcHFRcWNqem03NU9RR0" TargetMode="External"/><Relationship Id="rId908" Type="http://schemas.openxmlformats.org/officeDocument/2006/relationships/hyperlink" Target="https://news.google.com/rss/articles/CBMimwFBVV95cUxNYTRJak9Qd253MDkxdk1WdFQ1LVV4TldlTFhwdERvZHJrNkI2ZXA3RHdYYllyVERKZkhSNW9tOEJQZW9tRmt4Z3AycXpWankzZm9Sa3ZaMGlBSTJFUVVkWmNZZmJXNGF0YXNqZkVsVlVjc0tub2dqcnAyVjNKc0ZFVy1sSkhqTHFVNDlTMk02Z2tzcmkzaFdMUmNBcw?oc=" TargetMode="External"/><Relationship Id="rId909" Type="http://schemas.openxmlformats.org/officeDocument/2006/relationships/hyperlink" Target="https://news.google.com/rss/articles/CBMirwFBVV95cUxQcDdtTy15WWNDQzhmQVR0YnVIenFsWmQwMGY5VzNscV9EbG5hQkZBUTZtTlN1LUFDdWVTdFZ5dXlYTFoycEFmcmlpZVdWMUFoeUx4bU1IZ1NLMGdRZ1BhbF9aNGJ5Sy1hOWFmMDR4WHRzeUQydTRqLVVXNDFLdUVka3l3VlNpZEl2SXlxUjNWUzVlMjFxTk1zT051NXpGUk" TargetMode="External"/><Relationship Id="rId910" Type="http://schemas.openxmlformats.org/officeDocument/2006/relationships/hyperlink" Target="https://news.google.com/rss/articles/CBMi6gFBVV95cUxQVHJ4RHJvODR1Sk9HTGx6OXpLMmZvSThET3owbXpOSmdKdmo0bmFweWowOXpEdUFIVlZXUm95RUhzY05mQThfOUtkS21jdDZlbmE0YzJ0cldIWERWVDllLTRKcWxFc1ZzdFdIak9ldFppX0RtbDlYOVBDandXazZ4WS13OU1PQTg3SmdQRzdWajRFcjJ6UXBDT3BkTDN6OE" TargetMode="External"/><Relationship Id="rId911" Type="http://schemas.openxmlformats.org/officeDocument/2006/relationships/hyperlink" Target="https://news.google.com/rss/articles/CBMi3AFBVV95cUxNeXozcmJNeHN2dlhTVlQxc092NjhmRDBFaVhEVWx5cEY0dDhEUm1obHFZUTMzUzQ3blRCMHJYTFVnN3hGczlCajdWekw5NFFBS0ZLMFpRSmtORFplVFZxVUtHYkVNRldlbWFNQ0FjbTBSd09nQnJBVTVmYkZPZDVyQzM2Qm5QSnppN1BLV0R4MjJzaFJMWm1kc2Y2WkRyMW" TargetMode="External"/><Relationship Id="rId912" Type="http://schemas.openxmlformats.org/officeDocument/2006/relationships/hyperlink" Target="https://news.google.com/rss/articles/CBMivAFBVV95cUxQdUNUNmZrZnJESFpReDJQa251NVlKTmxxTzJ3eEtZNHVRZzl1d3pNSTY2WmxTTnFLajU5blpDNEU4a18weVpiMG5xclRtb2Q5UVlNcmVGa0tTQThLVXlYODQyaTZWZ0JKS2JYUzBHUklOQk5oQjg3anEtclNVZU1tWEw1dmdMZ0p3RGtUNXlnazdjbEFCU0ZrTU05QmFMSn" TargetMode="External"/><Relationship Id="rId913" Type="http://schemas.openxmlformats.org/officeDocument/2006/relationships/hyperlink" Target="https://news.google.com/rss/articles/CBMiuAFBVV95cUxQbHllMkEzbmQ3RkwzUEEtNWJDWnVnTnlRX2JUc1h1a2xXdExPT0Qwem5VMC15QTNFcnluenRqQVVtRkVCczNhMU9JV3lHUm9Fb1hFYXhxa2F5eEh5bWkyOUFVenFzTGJ5dG5naTRlc09tQmlzTEhaOURfVzFTOE9YUWZRWVk5UnExQmxadHg2UEFRcDExZ3kxMDdwYW4zY3" TargetMode="External"/><Relationship Id="rId914" Type="http://schemas.openxmlformats.org/officeDocument/2006/relationships/hyperlink" Target="https://news.google.com/rss/articles/CBMixAFBVV95cUxNb01mTTBoVTZ5aXI4SG1zMFNiNEZZQlJjVkV6aDBZUmk0NUJLWEJMM0pzanRvQWNHVDZyMklKWjM0NV9JeWU1NlZuTzJNVnNvaEwzZERYUUFpVEpObHRIRk10RlYyQXcyOGVSQUhmakwxT3NuTWhKYjlDT2FQQm1MYnhzd194WGxpRzdNOGVWaEs0c1FBU3VIOE9BMndfQl" TargetMode="External"/><Relationship Id="rId915" Type="http://schemas.openxmlformats.org/officeDocument/2006/relationships/hyperlink" Target="https://news.google.com/rss/articles/CBMiiAFBVV95cUxQSEFGSmFRTUNvb0RoWmRnSUxUcFBnRkVuay1jeVVEZ05aMWtVOURwbC05RHNSR0ZkbGdkbGc3UzJPR2Q5VHFKaVJrOUFyNDBJSTM2YVE4NUxwQmNsQkNrNE9Jdzg2VEVPUVh0SFE3d1gyeHJSN2NRSlVFdFBRQ0FVSUpuQWJfMXlY?oc=5" TargetMode="External"/><Relationship Id="rId916" Type="http://schemas.openxmlformats.org/officeDocument/2006/relationships/hyperlink" Target="https://news.google.com/rss/articles/CBMitgFBVV95cUxNWW1mMXNNd3M4TGRxZ1J6b2JtajM3aXBRTWp6SW0xQVlyVjh5NVBxQW1BR0J5ZXNTZXRMSHFXTFZCYlRuRUUzX0N5d01QT2U0S1NnekV6TUxWQzI1ZVRCU3RRdkg2aUdWWE0wNy1XUXowbG05QVNhd3I3VW90RGlRQnpmcDhfS0t1eFVWUWhTbEJYeTlndFItR00yWjRodC" TargetMode="External"/><Relationship Id="rId917" Type="http://schemas.openxmlformats.org/officeDocument/2006/relationships/hyperlink" Target="https://news.google.com/rss/articles/CBMiugFBVV95cUxNaUFXd21fbUJVNmd4X1BjUGs4VmhpUDRkMUFwanBsUUVNMmdNdWNIRnV5Sk42QmNiT2V1UWtfUlRJU3RiWUVpSEQzenQwdm5sU0ZPa2FTTlo4Uk1xUUJ0akxEY3FIWHM1RGM3RGNzeFNnYnhUalFiZXl1MUhzM0VncXRjWEZQbzRmbVNHMWJUbXNUMGw5WWhpLVFfTElNZE" TargetMode="External"/><Relationship Id="rId918" Type="http://schemas.openxmlformats.org/officeDocument/2006/relationships/hyperlink" Target="https://news.google.com/rss/articles/CBMi2AFBVV95cUxNNDVLdURuVTN4Y3hKWDY1RXlMWmtxYmpHQVdWWHR6M0hzOHZ0c2pHdzV0Yk12VWgwemhjcmxUUEhmWmNiLWZfMXhma2d6NGV5TlpkVGozTzVkaDFkMU5MTUs0dVI0SXBhSFBwOW9fcW0xR1ZjUmRucGxnYVIyRmFha0xFUE9RQ2JnN3E3UnA2VEtYazd4V0c3dWFzb1V1Zm" TargetMode="External"/><Relationship Id="rId919" Type="http://schemas.openxmlformats.org/officeDocument/2006/relationships/hyperlink" Target="https://news.google.com/rss/articles/CBMidEFVX3lxTE5lTzdDckpKSldERm9OcVU4VFY1eDUydUllWjNTY3NsOUh3SFJqTnJHQ2h5S1pDY0FGR2l2azE5VGR5SE9ESkVveENYU2dIQXdlMWpyLUZtY1RFNmR6SWt4V005OGZKX1NuU0FGSGNhbm1EejZ5?oc=5" TargetMode="External"/><Relationship Id="rId920" Type="http://schemas.openxmlformats.org/officeDocument/2006/relationships/hyperlink" Target="https://news.google.com/rss/articles/CBMixAFBVV95cUxOTlpvODhYS1FXUjZGb0VaMW9vMWFtbkU4OFg3NFNzRGNoQXlYRjdOV3VwVndxMlgxM1p4TVJmSFpkMDN6Y050eWVLeHEydGRFaVpRYUNCUjlRUDViS3owU09hMl9jbktYSUh1Tk11bWxHdXAxb1hZUENMSHBfMWVMZ0lEOFA1MFdmUzRWbDJfNjg0VVVuRTZqSVo1Nll1ck" TargetMode="External"/><Relationship Id="rId921" Type="http://schemas.openxmlformats.org/officeDocument/2006/relationships/hyperlink" Target="https://news.google.com/rss/articles/CBMipAFBVV95cUxOa0RkbVVycHY4UDlxd1BSeEMycjJITURqWnRUd215M1FlRDlEdDVQX19QY3dlM0dMNF94T3BqR0VkVVVIN0lFTUJZbnJ2QXczMHFaRU03RmV1YTRJelEzMFVGYWpXaE5ZU3VlXzBadTIzdzF5U3JVcW1rcHdKaDMxejlxRkJkRGNldzNUeEdDVjQ3SUw4NUxWcmcwUzRzTE" TargetMode="External"/><Relationship Id="rId922" Type="http://schemas.openxmlformats.org/officeDocument/2006/relationships/hyperlink" Target="https://news.google.com/rss/articles/CBMikwFBVV95cUxQTXFZWnp5RUtLRTdjVDNjVkp5OHJoVEd0bW9MdXVLX0QzWkgxOFU0R2dQZWdhT0hYa0o5VWRkTW9xX0FZOE9JSGljVzNKSW9sZkxpcXpFd0FROE5YWjhJazVmbmVMMEl5ZlBjdVp0anlObjNhc2FqNEZFZHFZam0xZ3Z6bERqSk4ybTc3eE14S1R6SEU?oc=5" TargetMode="External"/><Relationship Id="rId923" Type="http://schemas.openxmlformats.org/officeDocument/2006/relationships/hyperlink" Target="https://news.google.com/rss/articles/CBMilAFBVV95cUxOaXR3eWctTU5RdTY4TkpQUXdEYlFqRlV3MmpOVERBMzBPS012WHZSNGZzalBxNE9TVlBCWmNxUTVpUDBLV0FPTWpralBMQzctOEJ2a09LY3NGSFMxYnJrb3ZFMmFTTnhTU1BwWlJqd1ZRY2VMTXJYUlg3dUctdDV4S19tdERGQ0JiVkk3VjRTUkZQM2ds?oc=5" TargetMode="External"/><Relationship Id="rId924" Type="http://schemas.openxmlformats.org/officeDocument/2006/relationships/hyperlink" Target="https://news.google.com/rss/articles/CBMivgFBVV95cUxOVmE5UlgzYXg0SzFhcC1xUmRNU0N6Q1o5MEhDeVFLRFZ3cXpLUnZ5Nnp0YjROMTBWN2J5ODFHdnlmV3ZrQTJUdDA0bUs3Tl9FOXhRUDdvNl90YUpzdjZYMERuM3E5b3JqZEVhd0NhQTl6bkkxWDZDTThpZHJzemNCeVFOSTBtN1pCNDhlc2lfQ21ST3dQcVlKaGlGOHR4eE" TargetMode="External"/><Relationship Id="rId925" Type="http://schemas.openxmlformats.org/officeDocument/2006/relationships/hyperlink" Target="https://news.google.com/rss/articles/CBMirwFBVV95cUxNRzNtLWVnUmxHNnVPS3lJQ3ZvbVB0YWNwR1dRN2p1OHJpSXNudHNSaHpfVWwwamZ0WWRuRWs1alNHbXZwME1TR29UQ3RIY3JqUTdEejZJdVhoR2VKLTFNUFJ1ZFJYYzVWNmRoeDdEb2tiNjFCNllJVzkwcWlMcnhSYk1zc2xoS2x3Tk4yRXhidENaWkVDdklSSjAwdm1xM0" TargetMode="External"/><Relationship Id="rId926" Type="http://schemas.openxmlformats.org/officeDocument/2006/relationships/hyperlink" Target="https://www.gelonghui.com/p/7115168" TargetMode="External"/><Relationship Id="rId927" Type="http://schemas.openxmlformats.org/officeDocument/2006/relationships/hyperlink" Target="https://news.google.com/rss/articles/CBMifEFVX3lxTE1GS2JHNzFFT0FwTFJlV3F0OFdoZk13dEFNSjM4Qi1LRG95ZF9LRGVqc2t5MEtGMTZPa2JhcGsxSGt2VFJDTG1RblQwWEtiX2pIN21yeHJVUzBqSzR1VXkyVjMtZzc2dDc3ajJWZnl1X1ljbWJOaFMyRE5HR0E?oc=5" TargetMode="External"/><Relationship Id="rId928"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 collapsed="false" customWidth="true" hidden="false" outlineLevel="0" max="2" min="2" style="0" width="10"/>
  </cols>
  <sheetData>
    <row r="1" customFormat="false" ht="19.4"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29.85" hidden="false" customHeight="false" outlineLevel="0" collapsed="false">
      <c r="A5" s="4" t="s">
        <v>3</v>
      </c>
    </row>
    <row r="6" customFormat="false" ht="15" hidden="false" customHeight="false" outlineLevel="0" collapsed="false">
      <c r="A6" s="4" t="s">
        <v>4</v>
      </c>
    </row>
    <row r="7" customFormat="false" ht="29.85" hidden="false" customHeight="false" outlineLevel="0" collapsed="false">
      <c r="A7" s="4" t="s">
        <v>5</v>
      </c>
    </row>
    <row r="8" customFormat="false" ht="15" hidden="false" customHeight="false" outlineLevel="0" collapsed="false">
      <c r="A8" s="4" t="s">
        <v>6</v>
      </c>
    </row>
    <row r="9" customFormat="false" ht="15" hidden="false" customHeight="false" outlineLevel="0" collapsed="false">
      <c r="A9" s="4" t="s">
        <v>7</v>
      </c>
    </row>
    <row r="10" customFormat="false" ht="15" hidden="false" customHeight="false" outlineLevel="0" collapsed="false">
      <c r="A10" s="4" t="s">
        <v>8</v>
      </c>
    </row>
    <row r="11" customFormat="false" ht="15" hidden="false" customHeight="false" outlineLevel="0" collapsed="false">
      <c r="A11" s="4" t="s">
        <v>9</v>
      </c>
    </row>
    <row r="12" customFormat="false" ht="15" hidden="false" customHeight="false" outlineLevel="0" collapsed="false">
      <c r="A12" s="4" t="s">
        <v>10</v>
      </c>
    </row>
    <row r="13" customFormat="false" ht="15" hidden="false" customHeight="false" outlineLevel="0" collapsed="false">
      <c r="A13" s="2"/>
    </row>
    <row r="14" customFormat="false" ht="15" hidden="false" customHeight="false" outlineLevel="0" collapsed="false">
      <c r="A14" s="3" t="s">
        <v>11</v>
      </c>
    </row>
    <row r="15" customFormat="false" ht="15" hidden="false" customHeight="false" outlineLevel="0" collapsed="false">
      <c r="A15" s="5" t="s">
        <v>12</v>
      </c>
      <c r="B15" s="5" t="n">
        <f aca="false">COUNTIF(覆核!$M$2:$M$928,"維持")</f>
        <v>0</v>
      </c>
    </row>
    <row r="16" customFormat="false" ht="15" hidden="false" customHeight="false" outlineLevel="0" collapsed="false">
      <c r="A16" s="5" t="s">
        <v>13</v>
      </c>
      <c r="B16" s="5" t="n">
        <f aca="false">COUNTIF(覆核!$M$2:$M$928,"修改")</f>
        <v>203</v>
      </c>
    </row>
    <row r="17" customFormat="false" ht="15" hidden="false" customHeight="false" outlineLevel="0" collapsed="false">
      <c r="A17" s="5" t="s">
        <v>14</v>
      </c>
      <c r="B17" s="5" t="n">
        <f aca="false">COUNTIF(覆核!$M$2:$M$928,"排除")</f>
        <v>724</v>
      </c>
    </row>
    <row r="18" customFormat="false" ht="15" hidden="false" customHeight="false" outlineLevel="0" collapsed="false">
      <c r="A18" s="5" t="s">
        <v>15</v>
      </c>
      <c r="B18" s="5" t="n">
        <f aca="false">COUNTBLANK(覆核!$R$2:$R$928)</f>
        <v>0</v>
      </c>
    </row>
    <row r="20" customFormat="false" ht="15" hidden="false" customHeight="false" outlineLevel="0" collapsed="false">
      <c r="A20" s="5"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9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8"/>
    <col collapsed="false" customWidth="true" hidden="false" outlineLevel="0" max="4" min="4" style="0" width="18"/>
    <col collapsed="false" customWidth="true" hidden="false" outlineLevel="0" max="5" min="5" style="0" width="42"/>
    <col collapsed="false" customWidth="true" hidden="false" outlineLevel="0" max="6" min="6" style="0" width="34"/>
    <col collapsed="false" customWidth="true" hidden="false" outlineLevel="0" max="7" min="7" style="0" width="16"/>
    <col collapsed="false" customWidth="true" hidden="false" outlineLevel="0" max="8" min="8" style="0" width="8"/>
    <col collapsed="false" customWidth="true" hidden="false" outlineLevel="0" max="9" min="9" style="0" width="22"/>
    <col collapsed="false" customWidth="true" hidden="false" outlineLevel="0" max="10" min="10" style="0" width="14"/>
    <col collapsed="false" customWidth="true" hidden="false" outlineLevel="0" max="11" min="11" style="0" width="8"/>
    <col collapsed="false" customWidth="true" hidden="false" outlineLevel="0" max="12" min="12" style="0" width="10"/>
    <col collapsed="false" customWidth="true" hidden="false" outlineLevel="0" max="13" min="13" style="0" width="8"/>
    <col collapsed="false" customWidth="true" hidden="false" outlineLevel="0" max="14" min="14" style="0" width="22"/>
    <col collapsed="false" customWidth="true" hidden="false" outlineLevel="0" max="15" min="15" style="0" width="8"/>
    <col collapsed="false" customWidth="true" hidden="false" outlineLevel="0" max="16" min="16" style="0" width="48"/>
    <col collapsed="false" customWidth="true" hidden="false" outlineLevel="0" max="17" min="17" style="0" width="8"/>
    <col collapsed="false" customWidth="true" hidden="false" outlineLevel="0" max="18" min="18" style="0" width="10"/>
    <col collapsed="false" customWidth="true" hidden="false" outlineLevel="0" max="19" min="19" style="0" width="22"/>
    <col collapsed="false" customWidth="true" hidden="false" outlineLevel="0" max="20" min="20" style="0" width="16"/>
    <col collapsed="false" customWidth="true" hidden="false" outlineLevel="0" max="21" min="21" style="0" width="8"/>
    <col collapsed="false" customWidth="true" hidden="false" outlineLevel="0" max="22" min="22" style="0" width="20"/>
    <col collapsed="false" customWidth="true" hidden="false" outlineLevel="0" max="23" min="23" style="0" width="10"/>
    <col collapsed="false" customWidth="true" hidden="false" outlineLevel="0" max="24" min="24" style="0" width="16"/>
    <col collapsed="false" customWidth="true" hidden="false" outlineLevel="0" max="25" min="25" style="0" width="22"/>
    <col collapsed="false" customWidth="true" hidden="false" outlineLevel="0" max="26" min="26" style="0" width="10"/>
    <col collapsed="false" customWidth="true" hidden="false" outlineLevel="0" max="27" min="27" style="0" width="26"/>
    <col collapsed="false" customWidth="true" hidden="false" outlineLevel="0" max="28" min="28" style="0" width="10"/>
  </cols>
  <sheetData>
    <row r="1" customFormat="false" ht="31.5" hidden="false" customHeight="true" outlineLevel="0" collapsed="false">
      <c r="A1" s="6" t="s">
        <v>17</v>
      </c>
      <c r="B1" s="6" t="s">
        <v>18</v>
      </c>
      <c r="C1" s="7" t="s">
        <v>19</v>
      </c>
      <c r="D1" s="6" t="s">
        <v>20</v>
      </c>
      <c r="E1" s="6" t="s">
        <v>21</v>
      </c>
      <c r="F1" s="6" t="s">
        <v>22</v>
      </c>
      <c r="G1" s="6" t="s">
        <v>23</v>
      </c>
      <c r="H1" s="7" t="s">
        <v>24</v>
      </c>
      <c r="I1" s="6" t="s">
        <v>25</v>
      </c>
      <c r="J1" s="6" t="s">
        <v>26</v>
      </c>
      <c r="K1" s="6" t="s">
        <v>27</v>
      </c>
      <c r="L1" s="6" t="s">
        <v>28</v>
      </c>
      <c r="M1" s="6" t="s">
        <v>29</v>
      </c>
      <c r="N1" s="6" t="s">
        <v>30</v>
      </c>
      <c r="O1" s="6" t="s">
        <v>31</v>
      </c>
      <c r="P1" s="6" t="s">
        <v>32</v>
      </c>
      <c r="Q1" s="6" t="s">
        <v>33</v>
      </c>
      <c r="R1" s="8" t="s">
        <v>34</v>
      </c>
      <c r="S1" s="8" t="s">
        <v>35</v>
      </c>
      <c r="T1" s="6" t="s">
        <v>36</v>
      </c>
      <c r="U1" s="6" t="s">
        <v>37</v>
      </c>
      <c r="V1" s="8" t="s">
        <v>38</v>
      </c>
      <c r="W1" s="8" t="s">
        <v>39</v>
      </c>
      <c r="X1" s="6" t="s">
        <v>40</v>
      </c>
      <c r="Y1" s="8" t="s">
        <v>41</v>
      </c>
      <c r="Z1" s="8" t="s">
        <v>42</v>
      </c>
      <c r="AA1" s="7" t="s">
        <v>43</v>
      </c>
      <c r="AB1" s="6" t="s">
        <v>44</v>
      </c>
    </row>
    <row r="2" customFormat="false" ht="29.85" hidden="false" customHeight="false" outlineLevel="0" collapsed="false">
      <c r="A2" s="9" t="n">
        <v>1</v>
      </c>
      <c r="B2" s="9" t="s">
        <v>45</v>
      </c>
      <c r="C2" s="9" t="s">
        <v>46</v>
      </c>
      <c r="D2" s="10" t="s">
        <v>47</v>
      </c>
      <c r="E2" s="11" t="s">
        <v>48</v>
      </c>
      <c r="F2" s="12" t="s">
        <v>49</v>
      </c>
      <c r="G2" s="13" t="s">
        <v>50</v>
      </c>
      <c r="H2" s="14" t="n">
        <v>-0.966</v>
      </c>
      <c r="I2" s="15"/>
      <c r="J2" s="12"/>
      <c r="K2" s="9"/>
      <c r="L2" s="16" t="s">
        <v>51</v>
      </c>
      <c r="M2" s="17" t="s">
        <v>52</v>
      </c>
      <c r="N2" s="15" t="s">
        <v>53</v>
      </c>
      <c r="O2" s="16" t="s">
        <v>54</v>
      </c>
      <c r="P2" s="10" t="s">
        <v>55</v>
      </c>
      <c r="Q2" s="9"/>
      <c r="R2" s="18" t="s">
        <v>52</v>
      </c>
      <c r="S2" s="19" t="s">
        <v>53</v>
      </c>
      <c r="T2" s="12" t="str">
        <f aca="false">IF(R2="維持",J2,IF(R2="排除","無關新聞事件",IFERROR(INDEX(事件規則!$B$2:$B$53,MATCH(S2,事件規則!$A$2:$A$53,0)),"")))</f>
        <v>股價下跌</v>
      </c>
      <c r="U2" s="20" t="n">
        <f aca="false">IF(R2="維持",K2,IF(R2="排除",0,IFERROR(INDEX(事件規則!$C$2:$C$53,MATCH(S2,事件規則!$A$2:$A$53,0)),"")))</f>
        <v>1</v>
      </c>
      <c r="V2" s="21"/>
      <c r="W2" s="22"/>
      <c r="X2" s="10" t="str">
        <f aca="false">IF(AND(R2="修改",S2=""),"請選新事件代碼",IF(AND(R2&lt;&gt;"修改",S2&lt;&gt;""),"只有「修改」才需填代碼",""))</f>
        <v/>
      </c>
      <c r="Y2" s="21"/>
      <c r="Z2" s="22"/>
      <c r="AA2" s="23" t="s">
        <v>56</v>
      </c>
      <c r="AB2" s="13"/>
    </row>
    <row r="3" customFormat="false" ht="23.85" hidden="false" customHeight="false" outlineLevel="0" collapsed="false">
      <c r="A3" s="16" t="n">
        <v>2</v>
      </c>
      <c r="B3" s="9" t="s">
        <v>45</v>
      </c>
      <c r="C3" s="9" t="s">
        <v>57</v>
      </c>
      <c r="D3" s="10" t="s">
        <v>58</v>
      </c>
      <c r="E3" s="24" t="s">
        <v>59</v>
      </c>
      <c r="F3" s="12"/>
      <c r="G3" s="23" t="s">
        <v>60</v>
      </c>
      <c r="H3" s="14" t="n">
        <v>-0.966</v>
      </c>
      <c r="I3" s="15"/>
      <c r="J3" s="12"/>
      <c r="K3" s="9"/>
      <c r="L3" s="16" t="s">
        <v>51</v>
      </c>
      <c r="M3" s="17" t="s">
        <v>52</v>
      </c>
      <c r="N3" s="15" t="s">
        <v>61</v>
      </c>
      <c r="O3" s="16" t="s">
        <v>62</v>
      </c>
      <c r="P3" s="12" t="s">
        <v>63</v>
      </c>
      <c r="Q3" s="9"/>
      <c r="R3" s="18" t="s">
        <v>52</v>
      </c>
      <c r="S3" s="19" t="s">
        <v>61</v>
      </c>
      <c r="T3" s="12" t="str">
        <f aca="false">IF(R3="維持",J3,IF(R3="排除","無關新聞事件",IFERROR(INDEX(事件規則!$B$2:$B$53,MATCH(S3,事件規則!$A$2:$A$53,0)),"")))</f>
        <v>裁員或人力縮減</v>
      </c>
      <c r="U3" s="20" t="n">
        <f aca="false">IF(R3="維持",K3,IF(R3="排除",0,IFERROR(INDEX(事件規則!$C$2:$C$53,MATCH(S3,事件規則!$A$2:$A$53,0)),"")))</f>
        <v>3</v>
      </c>
      <c r="V3" s="21"/>
      <c r="W3" s="22"/>
      <c r="X3" s="10" t="str">
        <f aca="false">IF(AND(R3="修改",S3=""),"請選新事件代碼",IF(AND(R3&lt;&gt;"修改",S3&lt;&gt;""),"只有「修改」才需填代碼",""))</f>
        <v/>
      </c>
      <c r="Y3" s="21"/>
      <c r="Z3" s="22"/>
      <c r="AA3" s="23" t="s">
        <v>64</v>
      </c>
      <c r="AB3" s="13"/>
    </row>
    <row r="4" customFormat="false" ht="23.85" hidden="false" customHeight="false" outlineLevel="0" collapsed="false">
      <c r="A4" s="16" t="n">
        <v>3</v>
      </c>
      <c r="B4" s="9" t="s">
        <v>65</v>
      </c>
      <c r="C4" s="9" t="s">
        <v>57</v>
      </c>
      <c r="D4" s="10" t="s">
        <v>58</v>
      </c>
      <c r="E4" s="24" t="s">
        <v>66</v>
      </c>
      <c r="F4" s="12"/>
      <c r="G4" s="23" t="s">
        <v>67</v>
      </c>
      <c r="H4" s="14" t="n">
        <v>-0.966</v>
      </c>
      <c r="I4" s="15"/>
      <c r="J4" s="12"/>
      <c r="K4" s="9"/>
      <c r="L4" s="16" t="s">
        <v>51</v>
      </c>
      <c r="M4" s="17" t="s">
        <v>52</v>
      </c>
      <c r="N4" s="15" t="s">
        <v>61</v>
      </c>
      <c r="O4" s="16" t="s">
        <v>62</v>
      </c>
      <c r="P4" s="12" t="s">
        <v>63</v>
      </c>
      <c r="Q4" s="9"/>
      <c r="R4" s="18" t="s">
        <v>52</v>
      </c>
      <c r="S4" s="19" t="s">
        <v>61</v>
      </c>
      <c r="T4" s="12" t="str">
        <f aca="false">IF(R4="維持",J4,IF(R4="排除","無關新聞事件",IFERROR(INDEX(事件規則!$B$2:$B$53,MATCH(S4,事件規則!$A$2:$A$53,0)),"")))</f>
        <v>裁員或人力縮減</v>
      </c>
      <c r="U4" s="20" t="n">
        <f aca="false">IF(R4="維持",K4,IF(R4="排除",0,IFERROR(INDEX(事件規則!$C$2:$C$53,MATCH(S4,事件規則!$A$2:$A$53,0)),"")))</f>
        <v>3</v>
      </c>
      <c r="V4" s="21"/>
      <c r="W4" s="22"/>
      <c r="X4" s="10" t="str">
        <f aca="false">IF(AND(R4="修改",S4=""),"請選新事件代碼",IF(AND(R4&lt;&gt;"修改",S4&lt;&gt;""),"只有「修改」才需填代碼",""))</f>
        <v/>
      </c>
      <c r="Y4" s="21"/>
      <c r="Z4" s="22"/>
      <c r="AA4" s="23" t="s">
        <v>68</v>
      </c>
      <c r="AB4" s="13"/>
    </row>
    <row r="5" customFormat="false" ht="15" hidden="false" customHeight="false" outlineLevel="0" collapsed="false">
      <c r="A5" s="16" t="n">
        <v>4</v>
      </c>
      <c r="B5" s="9" t="s">
        <v>45</v>
      </c>
      <c r="C5" s="9" t="s">
        <v>69</v>
      </c>
      <c r="D5" s="10" t="s">
        <v>70</v>
      </c>
      <c r="E5" s="24" t="s">
        <v>71</v>
      </c>
      <c r="F5" s="12"/>
      <c r="G5" s="13" t="s">
        <v>72</v>
      </c>
      <c r="H5" s="14" t="n">
        <v>-0.965</v>
      </c>
      <c r="I5" s="15"/>
      <c r="J5" s="12"/>
      <c r="K5" s="9"/>
      <c r="L5" s="16" t="s">
        <v>51</v>
      </c>
      <c r="M5" s="17" t="s">
        <v>52</v>
      </c>
      <c r="N5" s="15" t="s">
        <v>53</v>
      </c>
      <c r="O5" s="16" t="s">
        <v>54</v>
      </c>
      <c r="P5" s="10" t="s">
        <v>73</v>
      </c>
      <c r="Q5" s="9"/>
      <c r="R5" s="18" t="s">
        <v>52</v>
      </c>
      <c r="S5" s="19" t="s">
        <v>53</v>
      </c>
      <c r="T5" s="12" t="str">
        <f aca="false">IF(R5="維持",J5,IF(R5="排除","無關新聞事件",IFERROR(INDEX(事件規則!$B$2:$B$53,MATCH(S5,事件規則!$A$2:$A$53,0)),"")))</f>
        <v>股價下跌</v>
      </c>
      <c r="U5" s="20" t="n">
        <f aca="false">IF(R5="維持",K5,IF(R5="排除",0,IFERROR(INDEX(事件規則!$C$2:$C$53,MATCH(S5,事件規則!$A$2:$A$53,0)),"")))</f>
        <v>1</v>
      </c>
      <c r="V5" s="21"/>
      <c r="W5" s="22"/>
      <c r="X5" s="10" t="str">
        <f aca="false">IF(AND(R5="修改",S5=""),"請選新事件代碼",IF(AND(R5&lt;&gt;"修改",S5&lt;&gt;""),"只有「修改」才需填代碼",""))</f>
        <v/>
      </c>
      <c r="Y5" s="21"/>
      <c r="Z5" s="22"/>
      <c r="AA5" s="23" t="s">
        <v>74</v>
      </c>
      <c r="AB5" s="13"/>
    </row>
    <row r="6" customFormat="false" ht="44" hidden="false" customHeight="false" outlineLevel="0" collapsed="false">
      <c r="A6" s="16" t="n">
        <v>5</v>
      </c>
      <c r="B6" s="9" t="s">
        <v>65</v>
      </c>
      <c r="C6" s="9" t="s">
        <v>75</v>
      </c>
      <c r="D6" s="10" t="s">
        <v>76</v>
      </c>
      <c r="E6" s="24" t="s">
        <v>77</v>
      </c>
      <c r="F6" s="12"/>
      <c r="G6" s="23" t="s">
        <v>78</v>
      </c>
      <c r="H6" s="14" t="n">
        <v>-0.965</v>
      </c>
      <c r="I6" s="15"/>
      <c r="J6" s="12"/>
      <c r="K6" s="9"/>
      <c r="L6" s="16" t="s">
        <v>51</v>
      </c>
      <c r="M6" s="17" t="s">
        <v>79</v>
      </c>
      <c r="N6" s="15"/>
      <c r="O6" s="16" t="s">
        <v>54</v>
      </c>
      <c r="P6" s="12" t="s">
        <v>80</v>
      </c>
      <c r="Q6" s="9"/>
      <c r="R6" s="18" t="s">
        <v>79</v>
      </c>
      <c r="S6" s="19"/>
      <c r="T6" s="12" t="str">
        <f aca="false">IF(R6="維持",J6,IF(R6="排除","無關新聞事件",IFERROR(INDEX(事件規則!$B$2:$B$53,MATCH(S6,事件規則!$A$2:$A$53,0)),"")))</f>
        <v>無關新聞事件</v>
      </c>
      <c r="U6" s="20" t="n">
        <f aca="false">IF(R6="維持",K6,IF(R6="排除",0,IFERROR(INDEX(事件規則!$C$2:$C$53,MATCH(S6,事件規則!$A$2:$A$53,0)),"")))</f>
        <v>0</v>
      </c>
      <c r="V6" s="21"/>
      <c r="W6" s="22"/>
      <c r="X6" s="10" t="str">
        <f aca="false">IF(AND(R6="修改",S6=""),"請選新事件代碼",IF(AND(R6&lt;&gt;"修改",S6&lt;&gt;""),"只有「修改」才需填代碼",""))</f>
        <v/>
      </c>
      <c r="Y6" s="21"/>
      <c r="Z6" s="22"/>
      <c r="AA6" s="23" t="s">
        <v>81</v>
      </c>
      <c r="AB6" s="13"/>
    </row>
    <row r="7" customFormat="false" ht="23.85" hidden="false" customHeight="false" outlineLevel="0" collapsed="false">
      <c r="A7" s="16" t="n">
        <v>6</v>
      </c>
      <c r="B7" s="9" t="s">
        <v>65</v>
      </c>
      <c r="C7" s="9" t="s">
        <v>57</v>
      </c>
      <c r="D7" s="10" t="s">
        <v>58</v>
      </c>
      <c r="E7" s="24" t="s">
        <v>82</v>
      </c>
      <c r="F7" s="12"/>
      <c r="G7" s="23" t="s">
        <v>83</v>
      </c>
      <c r="H7" s="14" t="n">
        <v>-0.965</v>
      </c>
      <c r="I7" s="15"/>
      <c r="J7" s="12"/>
      <c r="K7" s="9"/>
      <c r="L7" s="16" t="s">
        <v>51</v>
      </c>
      <c r="M7" s="17" t="s">
        <v>52</v>
      </c>
      <c r="N7" s="15" t="s">
        <v>61</v>
      </c>
      <c r="O7" s="16" t="s">
        <v>62</v>
      </c>
      <c r="P7" s="12" t="s">
        <v>63</v>
      </c>
      <c r="Q7" s="9"/>
      <c r="R7" s="18" t="s">
        <v>52</v>
      </c>
      <c r="S7" s="19" t="s">
        <v>61</v>
      </c>
      <c r="T7" s="12" t="str">
        <f aca="false">IF(R7="維持",J7,IF(R7="排除","無關新聞事件",IFERROR(INDEX(事件規則!$B$2:$B$53,MATCH(S7,事件規則!$A$2:$A$53,0)),"")))</f>
        <v>裁員或人力縮減</v>
      </c>
      <c r="U7" s="20" t="n">
        <f aca="false">IF(R7="維持",K7,IF(R7="排除",0,IFERROR(INDEX(事件規則!$C$2:$C$53,MATCH(S7,事件規則!$A$2:$A$53,0)),"")))</f>
        <v>3</v>
      </c>
      <c r="V7" s="21"/>
      <c r="W7" s="22"/>
      <c r="X7" s="10" t="str">
        <f aca="false">IF(AND(R7="修改",S7=""),"請選新事件代碼",IF(AND(R7&lt;&gt;"修改",S7&lt;&gt;""),"只有「修改」才需填代碼",""))</f>
        <v/>
      </c>
      <c r="Y7" s="21"/>
      <c r="Z7" s="22"/>
      <c r="AA7" s="23" t="s">
        <v>84</v>
      </c>
      <c r="AB7" s="13"/>
    </row>
    <row r="8" customFormat="false" ht="23.85" hidden="false" customHeight="false" outlineLevel="0" collapsed="false">
      <c r="A8" s="16" t="n">
        <v>7</v>
      </c>
      <c r="B8" s="9" t="s">
        <v>45</v>
      </c>
      <c r="C8" s="9" t="s">
        <v>57</v>
      </c>
      <c r="D8" s="10" t="s">
        <v>58</v>
      </c>
      <c r="E8" s="24" t="s">
        <v>85</v>
      </c>
      <c r="F8" s="12"/>
      <c r="G8" s="23" t="s">
        <v>86</v>
      </c>
      <c r="H8" s="14" t="n">
        <v>-0.964</v>
      </c>
      <c r="I8" s="15"/>
      <c r="J8" s="12"/>
      <c r="K8" s="9"/>
      <c r="L8" s="16" t="s">
        <v>51</v>
      </c>
      <c r="M8" s="17" t="s">
        <v>52</v>
      </c>
      <c r="N8" s="15" t="s">
        <v>61</v>
      </c>
      <c r="O8" s="16" t="s">
        <v>62</v>
      </c>
      <c r="P8" s="12" t="s">
        <v>63</v>
      </c>
      <c r="Q8" s="9"/>
      <c r="R8" s="18" t="s">
        <v>52</v>
      </c>
      <c r="S8" s="19" t="s">
        <v>61</v>
      </c>
      <c r="T8" s="12" t="str">
        <f aca="false">IF(R8="維持",J8,IF(R8="排除","無關新聞事件",IFERROR(INDEX(事件規則!$B$2:$B$53,MATCH(S8,事件規則!$A$2:$A$53,0)),"")))</f>
        <v>裁員或人力縮減</v>
      </c>
      <c r="U8" s="20" t="n">
        <f aca="false">IF(R8="維持",K8,IF(R8="排除",0,IFERROR(INDEX(事件規則!$C$2:$C$53,MATCH(S8,事件規則!$A$2:$A$53,0)),"")))</f>
        <v>3</v>
      </c>
      <c r="V8" s="21"/>
      <c r="W8" s="22"/>
      <c r="X8" s="10" t="str">
        <f aca="false">IF(AND(R8="修改",S8=""),"請選新事件代碼",IF(AND(R8&lt;&gt;"修改",S8&lt;&gt;""),"只有「修改」才需填代碼",""))</f>
        <v/>
      </c>
      <c r="Y8" s="21"/>
      <c r="Z8" s="22"/>
      <c r="AA8" s="23" t="s">
        <v>87</v>
      </c>
      <c r="AB8" s="13"/>
    </row>
    <row r="9" customFormat="false" ht="29.85" hidden="false" customHeight="false" outlineLevel="0" collapsed="false">
      <c r="A9" s="16" t="n">
        <v>8</v>
      </c>
      <c r="B9" s="9" t="s">
        <v>45</v>
      </c>
      <c r="C9" s="9" t="s">
        <v>88</v>
      </c>
      <c r="D9" s="10" t="s">
        <v>89</v>
      </c>
      <c r="E9" s="11" t="s">
        <v>90</v>
      </c>
      <c r="F9" s="12" t="s">
        <v>91</v>
      </c>
      <c r="G9" s="13" t="s">
        <v>50</v>
      </c>
      <c r="H9" s="14" t="n">
        <v>-0.964</v>
      </c>
      <c r="I9" s="15"/>
      <c r="J9" s="12"/>
      <c r="K9" s="9"/>
      <c r="L9" s="16" t="s">
        <v>51</v>
      </c>
      <c r="M9" s="17" t="s">
        <v>52</v>
      </c>
      <c r="N9" s="15" t="s">
        <v>53</v>
      </c>
      <c r="O9" s="16" t="s">
        <v>54</v>
      </c>
      <c r="P9" s="10" t="s">
        <v>55</v>
      </c>
      <c r="Q9" s="9"/>
      <c r="R9" s="18" t="s">
        <v>52</v>
      </c>
      <c r="S9" s="19" t="s">
        <v>53</v>
      </c>
      <c r="T9" s="12" t="str">
        <f aca="false">IF(R9="維持",J9,IF(R9="排除","無關新聞事件",IFERROR(INDEX(事件規則!$B$2:$B$53,MATCH(S9,事件規則!$A$2:$A$53,0)),"")))</f>
        <v>股價下跌</v>
      </c>
      <c r="U9" s="20" t="n">
        <f aca="false">IF(R9="維持",K9,IF(R9="排除",0,IFERROR(INDEX(事件規則!$C$2:$C$53,MATCH(S9,事件規則!$A$2:$A$53,0)),"")))</f>
        <v>1</v>
      </c>
      <c r="V9" s="21"/>
      <c r="W9" s="22"/>
      <c r="X9" s="10" t="str">
        <f aca="false">IF(AND(R9="修改",S9=""),"請選新事件代碼",IF(AND(R9&lt;&gt;"修改",S9&lt;&gt;""),"只有「修改」才需填代碼",""))</f>
        <v/>
      </c>
      <c r="Y9" s="21"/>
      <c r="Z9" s="22"/>
      <c r="AA9" s="23" t="s">
        <v>92</v>
      </c>
      <c r="AB9" s="13"/>
    </row>
    <row r="10" customFormat="false" ht="23.85" hidden="false" customHeight="false" outlineLevel="0" collapsed="false">
      <c r="A10" s="16" t="n">
        <v>9</v>
      </c>
      <c r="B10" s="9" t="s">
        <v>65</v>
      </c>
      <c r="C10" s="9" t="s">
        <v>93</v>
      </c>
      <c r="D10" s="10" t="s">
        <v>94</v>
      </c>
      <c r="E10" s="24" t="s">
        <v>95</v>
      </c>
      <c r="F10" s="12"/>
      <c r="G10" s="23" t="s">
        <v>96</v>
      </c>
      <c r="H10" s="14" t="n">
        <v>-0.964</v>
      </c>
      <c r="I10" s="15"/>
      <c r="J10" s="12"/>
      <c r="K10" s="9"/>
      <c r="L10" s="16" t="s">
        <v>51</v>
      </c>
      <c r="M10" s="17" t="s">
        <v>52</v>
      </c>
      <c r="N10" s="15" t="s">
        <v>61</v>
      </c>
      <c r="O10" s="16" t="s">
        <v>62</v>
      </c>
      <c r="P10" s="10" t="s">
        <v>97</v>
      </c>
      <c r="Q10" s="9"/>
      <c r="R10" s="18" t="s">
        <v>52</v>
      </c>
      <c r="S10" s="19" t="s">
        <v>61</v>
      </c>
      <c r="T10" s="12" t="str">
        <f aca="false">IF(R10="維持",J10,IF(R10="排除","無關新聞事件",IFERROR(INDEX(事件規則!$B$2:$B$53,MATCH(S10,事件規則!$A$2:$A$53,0)),"")))</f>
        <v>裁員或人力縮減</v>
      </c>
      <c r="U10" s="20" t="n">
        <f aca="false">IF(R10="維持",K10,IF(R10="排除",0,IFERROR(INDEX(事件規則!$C$2:$C$53,MATCH(S10,事件規則!$A$2:$A$53,0)),"")))</f>
        <v>3</v>
      </c>
      <c r="V10" s="21"/>
      <c r="W10" s="22"/>
      <c r="X10" s="10" t="str">
        <f aca="false">IF(AND(R10="修改",S10=""),"請選新事件代碼",IF(AND(R10&lt;&gt;"修改",S10&lt;&gt;""),"只有「修改」才需填代碼",""))</f>
        <v/>
      </c>
      <c r="Y10" s="21"/>
      <c r="Z10" s="22"/>
      <c r="AA10" s="23" t="s">
        <v>98</v>
      </c>
      <c r="AB10" s="13"/>
    </row>
    <row r="11" customFormat="false" ht="23.85" hidden="false" customHeight="false" outlineLevel="0" collapsed="false">
      <c r="A11" s="16" t="n">
        <v>10</v>
      </c>
      <c r="B11" s="9" t="s">
        <v>65</v>
      </c>
      <c r="C11" s="9" t="s">
        <v>99</v>
      </c>
      <c r="D11" s="10" t="s">
        <v>100</v>
      </c>
      <c r="E11" s="24" t="s">
        <v>95</v>
      </c>
      <c r="F11" s="12"/>
      <c r="G11" s="23" t="s">
        <v>96</v>
      </c>
      <c r="H11" s="14" t="n">
        <v>-0.964</v>
      </c>
      <c r="I11" s="15"/>
      <c r="J11" s="12"/>
      <c r="K11" s="9"/>
      <c r="L11" s="16" t="s">
        <v>51</v>
      </c>
      <c r="M11" s="17" t="s">
        <v>52</v>
      </c>
      <c r="N11" s="15" t="s">
        <v>61</v>
      </c>
      <c r="O11" s="16" t="s">
        <v>62</v>
      </c>
      <c r="P11" s="10" t="s">
        <v>97</v>
      </c>
      <c r="Q11" s="9"/>
      <c r="R11" s="18" t="s">
        <v>52</v>
      </c>
      <c r="S11" s="19" t="s">
        <v>61</v>
      </c>
      <c r="T11" s="12" t="str">
        <f aca="false">IF(R11="維持",J11,IF(R11="排除","無關新聞事件",IFERROR(INDEX(事件規則!$B$2:$B$53,MATCH(S11,事件規則!$A$2:$A$53,0)),"")))</f>
        <v>裁員或人力縮減</v>
      </c>
      <c r="U11" s="20" t="n">
        <f aca="false">IF(R11="維持",K11,IF(R11="排除",0,IFERROR(INDEX(事件規則!$C$2:$C$53,MATCH(S11,事件規則!$A$2:$A$53,0)),"")))</f>
        <v>3</v>
      </c>
      <c r="V11" s="21"/>
      <c r="W11" s="22"/>
      <c r="X11" s="10" t="str">
        <f aca="false">IF(AND(R11="修改",S11=""),"請選新事件代碼",IF(AND(R11&lt;&gt;"修改",S11&lt;&gt;""),"只有「修改」才需填代碼",""))</f>
        <v/>
      </c>
      <c r="Y11" s="21"/>
      <c r="Z11" s="22"/>
      <c r="AA11" s="23" t="s">
        <v>101</v>
      </c>
      <c r="AB11" s="13"/>
    </row>
    <row r="12" customFormat="false" ht="15" hidden="false" customHeight="false" outlineLevel="0" collapsed="false">
      <c r="A12" s="16" t="n">
        <v>11</v>
      </c>
      <c r="B12" s="9" t="s">
        <v>65</v>
      </c>
      <c r="C12" s="9" t="s">
        <v>102</v>
      </c>
      <c r="D12" s="10" t="s">
        <v>103</v>
      </c>
      <c r="E12" s="24" t="s">
        <v>104</v>
      </c>
      <c r="F12" s="12"/>
      <c r="G12" s="23" t="s">
        <v>78</v>
      </c>
      <c r="H12" s="14" t="n">
        <v>-0.964</v>
      </c>
      <c r="I12" s="15"/>
      <c r="J12" s="12"/>
      <c r="K12" s="9"/>
      <c r="L12" s="16" t="s">
        <v>51</v>
      </c>
      <c r="M12" s="17" t="s">
        <v>52</v>
      </c>
      <c r="N12" s="15" t="s">
        <v>53</v>
      </c>
      <c r="O12" s="16" t="s">
        <v>105</v>
      </c>
      <c r="P12" s="10" t="s">
        <v>106</v>
      </c>
      <c r="Q12" s="9"/>
      <c r="R12" s="18" t="s">
        <v>52</v>
      </c>
      <c r="S12" s="19" t="s">
        <v>53</v>
      </c>
      <c r="T12" s="12" t="str">
        <f aca="false">IF(R12="維持",J12,IF(R12="排除","無關新聞事件",IFERROR(INDEX(事件規則!$B$2:$B$53,MATCH(S12,事件規則!$A$2:$A$53,0)),"")))</f>
        <v>股價下跌</v>
      </c>
      <c r="U12" s="20" t="n">
        <f aca="false">IF(R12="維持",K12,IF(R12="排除",0,IFERROR(INDEX(事件規則!$C$2:$C$53,MATCH(S12,事件規則!$A$2:$A$53,0)),"")))</f>
        <v>1</v>
      </c>
      <c r="V12" s="21"/>
      <c r="W12" s="22"/>
      <c r="X12" s="10" t="str">
        <f aca="false">IF(AND(R12="修改",S12=""),"請選新事件代碼",IF(AND(R12&lt;&gt;"修改",S12&lt;&gt;""),"只有「修改」才需填代碼",""))</f>
        <v/>
      </c>
      <c r="Y12" s="21"/>
      <c r="Z12" s="22"/>
      <c r="AA12" s="23" t="s">
        <v>107</v>
      </c>
      <c r="AB12" s="13"/>
    </row>
    <row r="13" customFormat="false" ht="44" hidden="false" customHeight="false" outlineLevel="0" collapsed="false">
      <c r="A13" s="16" t="n">
        <v>12</v>
      </c>
      <c r="B13" s="9" t="s">
        <v>65</v>
      </c>
      <c r="C13" s="9" t="s">
        <v>108</v>
      </c>
      <c r="D13" s="10" t="s">
        <v>109</v>
      </c>
      <c r="E13" s="24" t="s">
        <v>110</v>
      </c>
      <c r="F13" s="12"/>
      <c r="G13" s="23" t="s">
        <v>78</v>
      </c>
      <c r="H13" s="14" t="n">
        <v>-0.964</v>
      </c>
      <c r="I13" s="15"/>
      <c r="J13" s="12"/>
      <c r="K13" s="9"/>
      <c r="L13" s="16" t="s">
        <v>51</v>
      </c>
      <c r="M13" s="17" t="s">
        <v>79</v>
      </c>
      <c r="N13" s="15"/>
      <c r="O13" s="16" t="s">
        <v>54</v>
      </c>
      <c r="P13" s="12" t="s">
        <v>80</v>
      </c>
      <c r="Q13" s="9"/>
      <c r="R13" s="18" t="s">
        <v>79</v>
      </c>
      <c r="S13" s="19"/>
      <c r="T13" s="12" t="str">
        <f aca="false">IF(R13="維持",J13,IF(R13="排除","無關新聞事件",IFERROR(INDEX(事件規則!$B$2:$B$53,MATCH(S13,事件規則!$A$2:$A$53,0)),"")))</f>
        <v>無關新聞事件</v>
      </c>
      <c r="U13" s="20" t="n">
        <f aca="false">IF(R13="維持",K13,IF(R13="排除",0,IFERROR(INDEX(事件規則!$C$2:$C$53,MATCH(S13,事件規則!$A$2:$A$53,0)),"")))</f>
        <v>0</v>
      </c>
      <c r="V13" s="21"/>
      <c r="W13" s="22"/>
      <c r="X13" s="10" t="str">
        <f aca="false">IF(AND(R13="修改",S13=""),"請選新事件代碼",IF(AND(R13&lt;&gt;"修改",S13&lt;&gt;""),"只有「修改」才需填代碼",""))</f>
        <v/>
      </c>
      <c r="Y13" s="21"/>
      <c r="Z13" s="22"/>
      <c r="AA13" s="23" t="s">
        <v>111</v>
      </c>
      <c r="AB13" s="13"/>
    </row>
    <row r="14" customFormat="false" ht="44" hidden="false" customHeight="false" outlineLevel="0" collapsed="false">
      <c r="A14" s="16" t="n">
        <v>13</v>
      </c>
      <c r="B14" s="9" t="s">
        <v>65</v>
      </c>
      <c r="C14" s="9" t="s">
        <v>112</v>
      </c>
      <c r="D14" s="10" t="s">
        <v>113</v>
      </c>
      <c r="E14" s="11" t="s">
        <v>114</v>
      </c>
      <c r="F14" s="12" t="s">
        <v>115</v>
      </c>
      <c r="G14" s="13" t="s">
        <v>50</v>
      </c>
      <c r="H14" s="14" t="n">
        <v>-0.964</v>
      </c>
      <c r="I14" s="15"/>
      <c r="J14" s="12"/>
      <c r="K14" s="9"/>
      <c r="L14" s="16" t="s">
        <v>51</v>
      </c>
      <c r="M14" s="17" t="s">
        <v>79</v>
      </c>
      <c r="N14" s="15"/>
      <c r="O14" s="16" t="s">
        <v>54</v>
      </c>
      <c r="P14" s="12" t="s">
        <v>80</v>
      </c>
      <c r="Q14" s="9"/>
      <c r="R14" s="18" t="s">
        <v>79</v>
      </c>
      <c r="S14" s="19"/>
      <c r="T14" s="12" t="str">
        <f aca="false">IF(R14="維持",J14,IF(R14="排除","無關新聞事件",IFERROR(INDEX(事件規則!$B$2:$B$53,MATCH(S14,事件規則!$A$2:$A$53,0)),"")))</f>
        <v>無關新聞事件</v>
      </c>
      <c r="U14" s="20" t="n">
        <f aca="false">IF(R14="維持",K14,IF(R14="排除",0,IFERROR(INDEX(事件規則!$C$2:$C$53,MATCH(S14,事件規則!$A$2:$A$53,0)),"")))</f>
        <v>0</v>
      </c>
      <c r="V14" s="21"/>
      <c r="W14" s="22"/>
      <c r="X14" s="10" t="str">
        <f aca="false">IF(AND(R14="修改",S14=""),"請選新事件代碼",IF(AND(R14&lt;&gt;"修改",S14&lt;&gt;""),"只有「修改」才需填代碼",""))</f>
        <v/>
      </c>
      <c r="Y14" s="21"/>
      <c r="Z14" s="22"/>
      <c r="AA14" s="23" t="s">
        <v>116</v>
      </c>
      <c r="AB14" s="13"/>
    </row>
    <row r="15" customFormat="false" ht="15" hidden="false" customHeight="false" outlineLevel="0" collapsed="false">
      <c r="A15" s="16" t="n">
        <v>14</v>
      </c>
      <c r="B15" s="9" t="s">
        <v>65</v>
      </c>
      <c r="C15" s="9" t="s">
        <v>117</v>
      </c>
      <c r="D15" s="10" t="s">
        <v>118</v>
      </c>
      <c r="E15" s="24" t="s">
        <v>119</v>
      </c>
      <c r="F15" s="12"/>
      <c r="G15" s="23" t="s">
        <v>120</v>
      </c>
      <c r="H15" s="14" t="n">
        <v>-0.964</v>
      </c>
      <c r="I15" s="15"/>
      <c r="J15" s="12"/>
      <c r="K15" s="9"/>
      <c r="L15" s="16" t="s">
        <v>51</v>
      </c>
      <c r="M15" s="17" t="s">
        <v>52</v>
      </c>
      <c r="N15" s="15" t="s">
        <v>53</v>
      </c>
      <c r="O15" s="16" t="s">
        <v>54</v>
      </c>
      <c r="P15" s="12" t="s">
        <v>121</v>
      </c>
      <c r="Q15" s="9"/>
      <c r="R15" s="18" t="s">
        <v>52</v>
      </c>
      <c r="S15" s="19" t="s">
        <v>53</v>
      </c>
      <c r="T15" s="12" t="str">
        <f aca="false">IF(R15="維持",J15,IF(R15="排除","無關新聞事件",IFERROR(INDEX(事件規則!$B$2:$B$53,MATCH(S15,事件規則!$A$2:$A$53,0)),"")))</f>
        <v>股價下跌</v>
      </c>
      <c r="U15" s="20" t="n">
        <f aca="false">IF(R15="維持",K15,IF(R15="排除",0,IFERROR(INDEX(事件規則!$C$2:$C$53,MATCH(S15,事件規則!$A$2:$A$53,0)),"")))</f>
        <v>1</v>
      </c>
      <c r="V15" s="21"/>
      <c r="W15" s="22"/>
      <c r="X15" s="10" t="str">
        <f aca="false">IF(AND(R15="修改",S15=""),"請選新事件代碼",IF(AND(R15&lt;&gt;"修改",S15&lt;&gt;""),"只有「修改」才需填代碼",""))</f>
        <v/>
      </c>
      <c r="Y15" s="21"/>
      <c r="Z15" s="22"/>
      <c r="AA15" s="23" t="s">
        <v>122</v>
      </c>
      <c r="AB15" s="13"/>
    </row>
    <row r="16" customFormat="false" ht="44" hidden="false" customHeight="false" outlineLevel="0" collapsed="false">
      <c r="A16" s="16" t="n">
        <v>15</v>
      </c>
      <c r="B16" s="9" t="s">
        <v>65</v>
      </c>
      <c r="C16" s="9" t="s">
        <v>123</v>
      </c>
      <c r="D16" s="10" t="s">
        <v>124</v>
      </c>
      <c r="E16" s="24" t="s">
        <v>125</v>
      </c>
      <c r="F16" s="12"/>
      <c r="G16" s="23" t="s">
        <v>78</v>
      </c>
      <c r="H16" s="14" t="n">
        <v>-0.964</v>
      </c>
      <c r="I16" s="15"/>
      <c r="J16" s="12"/>
      <c r="K16" s="9"/>
      <c r="L16" s="16" t="s">
        <v>51</v>
      </c>
      <c r="M16" s="17" t="s">
        <v>79</v>
      </c>
      <c r="N16" s="15"/>
      <c r="O16" s="16" t="s">
        <v>54</v>
      </c>
      <c r="P16" s="12" t="s">
        <v>80</v>
      </c>
      <c r="Q16" s="9"/>
      <c r="R16" s="18" t="s">
        <v>79</v>
      </c>
      <c r="S16" s="19"/>
      <c r="T16" s="12" t="str">
        <f aca="false">IF(R16="維持",J16,IF(R16="排除","無關新聞事件",IFERROR(INDEX(事件規則!$B$2:$B$53,MATCH(S16,事件規則!$A$2:$A$53,0)),"")))</f>
        <v>無關新聞事件</v>
      </c>
      <c r="U16" s="20" t="n">
        <f aca="false">IF(R16="維持",K16,IF(R16="排除",0,IFERROR(INDEX(事件規則!$C$2:$C$53,MATCH(S16,事件規則!$A$2:$A$53,0)),"")))</f>
        <v>0</v>
      </c>
      <c r="V16" s="21"/>
      <c r="W16" s="22"/>
      <c r="X16" s="10" t="str">
        <f aca="false">IF(AND(R16="修改",S16=""),"請選新事件代碼",IF(AND(R16&lt;&gt;"修改",S16&lt;&gt;""),"只有「修改」才需填代碼",""))</f>
        <v/>
      </c>
      <c r="Y16" s="21"/>
      <c r="Z16" s="22"/>
      <c r="AA16" s="23" t="s">
        <v>126</v>
      </c>
      <c r="AB16" s="13"/>
    </row>
    <row r="17" customFormat="false" ht="15" hidden="false" customHeight="false" outlineLevel="0" collapsed="false">
      <c r="A17" s="16" t="n">
        <v>16</v>
      </c>
      <c r="B17" s="9" t="s">
        <v>65</v>
      </c>
      <c r="C17" s="9" t="s">
        <v>127</v>
      </c>
      <c r="D17" s="10" t="s">
        <v>128</v>
      </c>
      <c r="E17" s="24" t="s">
        <v>119</v>
      </c>
      <c r="F17" s="12"/>
      <c r="G17" s="23" t="s">
        <v>120</v>
      </c>
      <c r="H17" s="14" t="n">
        <v>-0.964</v>
      </c>
      <c r="I17" s="15"/>
      <c r="J17" s="12"/>
      <c r="K17" s="9"/>
      <c r="L17" s="16" t="s">
        <v>51</v>
      </c>
      <c r="M17" s="17" t="s">
        <v>52</v>
      </c>
      <c r="N17" s="15" t="s">
        <v>53</v>
      </c>
      <c r="O17" s="16" t="s">
        <v>54</v>
      </c>
      <c r="P17" s="12" t="s">
        <v>121</v>
      </c>
      <c r="Q17" s="9"/>
      <c r="R17" s="18" t="s">
        <v>52</v>
      </c>
      <c r="S17" s="19" t="s">
        <v>53</v>
      </c>
      <c r="T17" s="12" t="str">
        <f aca="false">IF(R17="維持",J17,IF(R17="排除","無關新聞事件",IFERROR(INDEX(事件規則!$B$2:$B$53,MATCH(S17,事件規則!$A$2:$A$53,0)),"")))</f>
        <v>股價下跌</v>
      </c>
      <c r="U17" s="20" t="n">
        <f aca="false">IF(R17="維持",K17,IF(R17="排除",0,IFERROR(INDEX(事件規則!$C$2:$C$53,MATCH(S17,事件規則!$A$2:$A$53,0)),"")))</f>
        <v>1</v>
      </c>
      <c r="V17" s="21"/>
      <c r="W17" s="22"/>
      <c r="X17" s="10" t="str">
        <f aca="false">IF(AND(R17="修改",S17=""),"請選新事件代碼",IF(AND(R17&lt;&gt;"修改",S17&lt;&gt;""),"只有「修改」才需填代碼",""))</f>
        <v/>
      </c>
      <c r="Y17" s="21"/>
      <c r="Z17" s="22"/>
      <c r="AA17" s="23" t="s">
        <v>129</v>
      </c>
      <c r="AB17" s="13"/>
    </row>
    <row r="18" customFormat="false" ht="15" hidden="false" customHeight="false" outlineLevel="0" collapsed="false">
      <c r="A18" s="16" t="n">
        <v>17</v>
      </c>
      <c r="B18" s="9" t="s">
        <v>65</v>
      </c>
      <c r="C18" s="9" t="s">
        <v>127</v>
      </c>
      <c r="D18" s="10" t="s">
        <v>128</v>
      </c>
      <c r="E18" s="24" t="s">
        <v>130</v>
      </c>
      <c r="F18" s="12"/>
      <c r="G18" s="23" t="s">
        <v>67</v>
      </c>
      <c r="H18" s="14" t="n">
        <v>-0.963</v>
      </c>
      <c r="I18" s="15"/>
      <c r="J18" s="12"/>
      <c r="K18" s="9"/>
      <c r="L18" s="16" t="s">
        <v>51</v>
      </c>
      <c r="M18" s="17" t="s">
        <v>52</v>
      </c>
      <c r="N18" s="15" t="s">
        <v>53</v>
      </c>
      <c r="O18" s="16" t="s">
        <v>54</v>
      </c>
      <c r="P18" s="12" t="s">
        <v>121</v>
      </c>
      <c r="Q18" s="9"/>
      <c r="R18" s="18" t="s">
        <v>52</v>
      </c>
      <c r="S18" s="19" t="s">
        <v>53</v>
      </c>
      <c r="T18" s="12" t="str">
        <f aca="false">IF(R18="維持",J18,IF(R18="排除","無關新聞事件",IFERROR(INDEX(事件規則!$B$2:$B$53,MATCH(S18,事件規則!$A$2:$A$53,0)),"")))</f>
        <v>股價下跌</v>
      </c>
      <c r="U18" s="20" t="n">
        <f aca="false">IF(R18="維持",K18,IF(R18="排除",0,IFERROR(INDEX(事件規則!$C$2:$C$53,MATCH(S18,事件規則!$A$2:$A$53,0)),"")))</f>
        <v>1</v>
      </c>
      <c r="V18" s="21"/>
      <c r="W18" s="22"/>
      <c r="X18" s="10" t="str">
        <f aca="false">IF(AND(R18="修改",S18=""),"請選新事件代碼",IF(AND(R18&lt;&gt;"修改",S18&lt;&gt;""),"只有「修改」才需填代碼",""))</f>
        <v/>
      </c>
      <c r="Y18" s="21"/>
      <c r="Z18" s="22"/>
      <c r="AA18" s="23" t="s">
        <v>131</v>
      </c>
      <c r="AB18" s="13"/>
    </row>
    <row r="19" customFormat="false" ht="44" hidden="false" customHeight="false" outlineLevel="0" collapsed="false">
      <c r="A19" s="16" t="n">
        <v>18</v>
      </c>
      <c r="B19" s="9" t="s">
        <v>65</v>
      </c>
      <c r="C19" s="9" t="s">
        <v>132</v>
      </c>
      <c r="D19" s="10" t="s">
        <v>133</v>
      </c>
      <c r="E19" s="24" t="s">
        <v>134</v>
      </c>
      <c r="F19" s="12"/>
      <c r="G19" s="23" t="s">
        <v>135</v>
      </c>
      <c r="H19" s="14" t="n">
        <v>-0.963</v>
      </c>
      <c r="I19" s="15"/>
      <c r="J19" s="12"/>
      <c r="K19" s="9"/>
      <c r="L19" s="16" t="s">
        <v>51</v>
      </c>
      <c r="M19" s="17" t="s">
        <v>79</v>
      </c>
      <c r="N19" s="15"/>
      <c r="O19" s="16" t="s">
        <v>54</v>
      </c>
      <c r="P19" s="12" t="s">
        <v>80</v>
      </c>
      <c r="Q19" s="9"/>
      <c r="R19" s="18" t="s">
        <v>79</v>
      </c>
      <c r="S19" s="19"/>
      <c r="T19" s="12" t="str">
        <f aca="false">IF(R19="維持",J19,IF(R19="排除","無關新聞事件",IFERROR(INDEX(事件規則!$B$2:$B$53,MATCH(S19,事件規則!$A$2:$A$53,0)),"")))</f>
        <v>無關新聞事件</v>
      </c>
      <c r="U19" s="20" t="n">
        <f aca="false">IF(R19="維持",K19,IF(R19="排除",0,IFERROR(INDEX(事件規則!$C$2:$C$53,MATCH(S19,事件規則!$A$2:$A$53,0)),"")))</f>
        <v>0</v>
      </c>
      <c r="V19" s="21"/>
      <c r="W19" s="22"/>
      <c r="X19" s="10" t="str">
        <f aca="false">IF(AND(R19="修改",S19=""),"請選新事件代碼",IF(AND(R19&lt;&gt;"修改",S19&lt;&gt;""),"只有「修改」才需填代碼",""))</f>
        <v/>
      </c>
      <c r="Y19" s="21"/>
      <c r="Z19" s="22"/>
      <c r="AA19" s="23" t="s">
        <v>136</v>
      </c>
      <c r="AB19" s="13"/>
    </row>
    <row r="20" customFormat="false" ht="44" hidden="false" customHeight="false" outlineLevel="0" collapsed="false">
      <c r="A20" s="16" t="n">
        <v>19</v>
      </c>
      <c r="B20" s="9" t="s">
        <v>65</v>
      </c>
      <c r="C20" s="9" t="s">
        <v>137</v>
      </c>
      <c r="D20" s="10" t="s">
        <v>138</v>
      </c>
      <c r="E20" s="24" t="s">
        <v>139</v>
      </c>
      <c r="F20" s="12"/>
      <c r="G20" s="23" t="s">
        <v>140</v>
      </c>
      <c r="H20" s="14" t="n">
        <v>-0.963</v>
      </c>
      <c r="I20" s="15"/>
      <c r="J20" s="12"/>
      <c r="K20" s="9"/>
      <c r="L20" s="16" t="s">
        <v>51</v>
      </c>
      <c r="M20" s="17" t="s">
        <v>79</v>
      </c>
      <c r="N20" s="15"/>
      <c r="O20" s="16" t="s">
        <v>54</v>
      </c>
      <c r="P20" s="12" t="s">
        <v>80</v>
      </c>
      <c r="Q20" s="9"/>
      <c r="R20" s="18" t="s">
        <v>79</v>
      </c>
      <c r="S20" s="19"/>
      <c r="T20" s="12" t="str">
        <f aca="false">IF(R20="維持",J20,IF(R20="排除","無關新聞事件",IFERROR(INDEX(事件規則!$B$2:$B$53,MATCH(S20,事件規則!$A$2:$A$53,0)),"")))</f>
        <v>無關新聞事件</v>
      </c>
      <c r="U20" s="20" t="n">
        <f aca="false">IF(R20="維持",K20,IF(R20="排除",0,IFERROR(INDEX(事件規則!$C$2:$C$53,MATCH(S20,事件規則!$A$2:$A$53,0)),"")))</f>
        <v>0</v>
      </c>
      <c r="V20" s="21"/>
      <c r="W20" s="22"/>
      <c r="X20" s="10" t="str">
        <f aca="false">IF(AND(R20="修改",S20=""),"請選新事件代碼",IF(AND(R20&lt;&gt;"修改",S20&lt;&gt;""),"只有「修改」才需填代碼",""))</f>
        <v/>
      </c>
      <c r="Y20" s="21"/>
      <c r="Z20" s="22"/>
      <c r="AA20" s="23" t="s">
        <v>141</v>
      </c>
      <c r="AB20" s="13"/>
    </row>
    <row r="21" customFormat="false" ht="44" hidden="false" customHeight="false" outlineLevel="0" collapsed="false">
      <c r="A21" s="16" t="n">
        <v>20</v>
      </c>
      <c r="B21" s="9" t="s">
        <v>65</v>
      </c>
      <c r="C21" s="9" t="s">
        <v>142</v>
      </c>
      <c r="D21" s="10" t="s">
        <v>143</v>
      </c>
      <c r="E21" s="24" t="s">
        <v>144</v>
      </c>
      <c r="F21" s="12"/>
      <c r="G21" s="23" t="s">
        <v>78</v>
      </c>
      <c r="H21" s="14" t="n">
        <v>-0.963</v>
      </c>
      <c r="I21" s="15"/>
      <c r="J21" s="12"/>
      <c r="K21" s="9"/>
      <c r="L21" s="16" t="s">
        <v>51</v>
      </c>
      <c r="M21" s="17" t="s">
        <v>79</v>
      </c>
      <c r="N21" s="15"/>
      <c r="O21" s="16" t="s">
        <v>54</v>
      </c>
      <c r="P21" s="12" t="s">
        <v>80</v>
      </c>
      <c r="Q21" s="9"/>
      <c r="R21" s="18" t="s">
        <v>79</v>
      </c>
      <c r="S21" s="19"/>
      <c r="T21" s="12" t="str">
        <f aca="false">IF(R21="維持",J21,IF(R21="排除","無關新聞事件",IFERROR(INDEX(事件規則!$B$2:$B$53,MATCH(S21,事件規則!$A$2:$A$53,0)),"")))</f>
        <v>無關新聞事件</v>
      </c>
      <c r="U21" s="20" t="n">
        <f aca="false">IF(R21="維持",K21,IF(R21="排除",0,IFERROR(INDEX(事件規則!$C$2:$C$53,MATCH(S21,事件規則!$A$2:$A$53,0)),"")))</f>
        <v>0</v>
      </c>
      <c r="V21" s="21"/>
      <c r="W21" s="22"/>
      <c r="X21" s="10" t="str">
        <f aca="false">IF(AND(R21="修改",S21=""),"請選新事件代碼",IF(AND(R21&lt;&gt;"修改",S21&lt;&gt;""),"只有「修改」才需填代碼",""))</f>
        <v/>
      </c>
      <c r="Y21" s="21"/>
      <c r="Z21" s="22"/>
      <c r="AA21" s="23" t="s">
        <v>145</v>
      </c>
      <c r="AB21" s="13"/>
    </row>
    <row r="22" customFormat="false" ht="44" hidden="false" customHeight="false" outlineLevel="0" collapsed="false">
      <c r="A22" s="16" t="n">
        <v>21</v>
      </c>
      <c r="B22" s="9" t="s">
        <v>65</v>
      </c>
      <c r="C22" s="9" t="s">
        <v>57</v>
      </c>
      <c r="D22" s="10" t="s">
        <v>58</v>
      </c>
      <c r="E22" s="24" t="s">
        <v>146</v>
      </c>
      <c r="F22" s="12"/>
      <c r="G22" s="23" t="s">
        <v>147</v>
      </c>
      <c r="H22" s="14" t="n">
        <v>-0.963</v>
      </c>
      <c r="I22" s="15"/>
      <c r="J22" s="12"/>
      <c r="K22" s="9"/>
      <c r="L22" s="16" t="s">
        <v>51</v>
      </c>
      <c r="M22" s="17" t="s">
        <v>79</v>
      </c>
      <c r="N22" s="15"/>
      <c r="O22" s="16" t="s">
        <v>54</v>
      </c>
      <c r="P22" s="12" t="s">
        <v>80</v>
      </c>
      <c r="Q22" s="9"/>
      <c r="R22" s="18" t="s">
        <v>79</v>
      </c>
      <c r="S22" s="19"/>
      <c r="T22" s="12" t="str">
        <f aca="false">IF(R22="維持",J22,IF(R22="排除","無關新聞事件",IFERROR(INDEX(事件規則!$B$2:$B$53,MATCH(S22,事件規則!$A$2:$A$53,0)),"")))</f>
        <v>無關新聞事件</v>
      </c>
      <c r="U22" s="20" t="n">
        <f aca="false">IF(R22="維持",K22,IF(R22="排除",0,IFERROR(INDEX(事件規則!$C$2:$C$53,MATCH(S22,事件規則!$A$2:$A$53,0)),"")))</f>
        <v>0</v>
      </c>
      <c r="V22" s="21"/>
      <c r="W22" s="22"/>
      <c r="X22" s="10" t="str">
        <f aca="false">IF(AND(R22="修改",S22=""),"請選新事件代碼",IF(AND(R22&lt;&gt;"修改",S22&lt;&gt;""),"只有「修改」才需填代碼",""))</f>
        <v/>
      </c>
      <c r="Y22" s="21"/>
      <c r="Z22" s="22"/>
      <c r="AA22" s="23" t="s">
        <v>148</v>
      </c>
      <c r="AB22" s="13"/>
    </row>
    <row r="23" customFormat="false" ht="15" hidden="false" customHeight="false" outlineLevel="0" collapsed="false">
      <c r="A23" s="16" t="n">
        <v>22</v>
      </c>
      <c r="B23" s="9" t="s">
        <v>45</v>
      </c>
      <c r="C23" s="9" t="s">
        <v>149</v>
      </c>
      <c r="D23" s="10" t="s">
        <v>150</v>
      </c>
      <c r="E23" s="24" t="s">
        <v>151</v>
      </c>
      <c r="F23" s="12"/>
      <c r="G23" s="23" t="s">
        <v>152</v>
      </c>
      <c r="H23" s="14" t="n">
        <v>-0.963</v>
      </c>
      <c r="I23" s="15"/>
      <c r="J23" s="12"/>
      <c r="K23" s="9"/>
      <c r="L23" s="16" t="s">
        <v>51</v>
      </c>
      <c r="M23" s="17" t="s">
        <v>52</v>
      </c>
      <c r="N23" s="15" t="s">
        <v>53</v>
      </c>
      <c r="O23" s="16" t="s">
        <v>54</v>
      </c>
      <c r="P23" s="10" t="s">
        <v>55</v>
      </c>
      <c r="Q23" s="9"/>
      <c r="R23" s="18" t="s">
        <v>52</v>
      </c>
      <c r="S23" s="19" t="s">
        <v>53</v>
      </c>
      <c r="T23" s="12" t="str">
        <f aca="false">IF(R23="維持",J23,IF(R23="排除","無關新聞事件",IFERROR(INDEX(事件規則!$B$2:$B$53,MATCH(S23,事件規則!$A$2:$A$53,0)),"")))</f>
        <v>股價下跌</v>
      </c>
      <c r="U23" s="20" t="n">
        <f aca="false">IF(R23="維持",K23,IF(R23="排除",0,IFERROR(INDEX(事件規則!$C$2:$C$53,MATCH(S23,事件規則!$A$2:$A$53,0)),"")))</f>
        <v>1</v>
      </c>
      <c r="V23" s="21"/>
      <c r="W23" s="22"/>
      <c r="X23" s="10" t="str">
        <f aca="false">IF(AND(R23="修改",S23=""),"請選新事件代碼",IF(AND(R23&lt;&gt;"修改",S23&lt;&gt;""),"只有「修改」才需填代碼",""))</f>
        <v/>
      </c>
      <c r="Y23" s="21"/>
      <c r="Z23" s="22"/>
      <c r="AA23" s="23" t="s">
        <v>153</v>
      </c>
      <c r="AB23" s="13"/>
    </row>
    <row r="24" customFormat="false" ht="44" hidden="false" customHeight="false" outlineLevel="0" collapsed="false">
      <c r="A24" s="16" t="n">
        <v>23</v>
      </c>
      <c r="B24" s="9" t="s">
        <v>45</v>
      </c>
      <c r="C24" s="9" t="s">
        <v>149</v>
      </c>
      <c r="D24" s="10" t="s">
        <v>150</v>
      </c>
      <c r="E24" s="24" t="s">
        <v>154</v>
      </c>
      <c r="F24" s="12"/>
      <c r="G24" s="23" t="s">
        <v>78</v>
      </c>
      <c r="H24" s="14" t="n">
        <v>-0.963</v>
      </c>
      <c r="I24" s="15"/>
      <c r="J24" s="12"/>
      <c r="K24" s="9"/>
      <c r="L24" s="16" t="s">
        <v>51</v>
      </c>
      <c r="M24" s="17" t="s">
        <v>79</v>
      </c>
      <c r="N24" s="15"/>
      <c r="O24" s="16" t="s">
        <v>54</v>
      </c>
      <c r="P24" s="12" t="s">
        <v>80</v>
      </c>
      <c r="Q24" s="9"/>
      <c r="R24" s="18" t="s">
        <v>79</v>
      </c>
      <c r="S24" s="19"/>
      <c r="T24" s="12" t="str">
        <f aca="false">IF(R24="維持",J24,IF(R24="排除","無關新聞事件",IFERROR(INDEX(事件規則!$B$2:$B$53,MATCH(S24,事件規則!$A$2:$A$53,0)),"")))</f>
        <v>無關新聞事件</v>
      </c>
      <c r="U24" s="20" t="n">
        <f aca="false">IF(R24="維持",K24,IF(R24="排除",0,IFERROR(INDEX(事件規則!$C$2:$C$53,MATCH(S24,事件規則!$A$2:$A$53,0)),"")))</f>
        <v>0</v>
      </c>
      <c r="V24" s="21"/>
      <c r="W24" s="22"/>
      <c r="X24" s="10" t="str">
        <f aca="false">IF(AND(R24="修改",S24=""),"請選新事件代碼",IF(AND(R24&lt;&gt;"修改",S24&lt;&gt;""),"只有「修改」才需填代碼",""))</f>
        <v/>
      </c>
      <c r="Y24" s="21"/>
      <c r="Z24" s="22"/>
      <c r="AA24" s="23" t="s">
        <v>155</v>
      </c>
      <c r="AB24" s="13"/>
    </row>
    <row r="25" customFormat="false" ht="44" hidden="false" customHeight="false" outlineLevel="0" collapsed="false">
      <c r="A25" s="16" t="n">
        <v>24</v>
      </c>
      <c r="B25" s="9" t="s">
        <v>65</v>
      </c>
      <c r="C25" s="9" t="s">
        <v>156</v>
      </c>
      <c r="D25" s="10" t="s">
        <v>157</v>
      </c>
      <c r="E25" s="24" t="s">
        <v>158</v>
      </c>
      <c r="F25" s="12"/>
      <c r="G25" s="23" t="s">
        <v>152</v>
      </c>
      <c r="H25" s="14" t="n">
        <v>-0.963</v>
      </c>
      <c r="I25" s="15"/>
      <c r="J25" s="12"/>
      <c r="K25" s="9"/>
      <c r="L25" s="16" t="s">
        <v>51</v>
      </c>
      <c r="M25" s="17" t="s">
        <v>79</v>
      </c>
      <c r="N25" s="15"/>
      <c r="O25" s="16" t="s">
        <v>54</v>
      </c>
      <c r="P25" s="12" t="s">
        <v>80</v>
      </c>
      <c r="Q25" s="9"/>
      <c r="R25" s="18" t="s">
        <v>79</v>
      </c>
      <c r="S25" s="19"/>
      <c r="T25" s="12" t="str">
        <f aca="false">IF(R25="維持",J25,IF(R25="排除","無關新聞事件",IFERROR(INDEX(事件規則!$B$2:$B$53,MATCH(S25,事件規則!$A$2:$A$53,0)),"")))</f>
        <v>無關新聞事件</v>
      </c>
      <c r="U25" s="20" t="n">
        <f aca="false">IF(R25="維持",K25,IF(R25="排除",0,IFERROR(INDEX(事件規則!$C$2:$C$53,MATCH(S25,事件規則!$A$2:$A$53,0)),"")))</f>
        <v>0</v>
      </c>
      <c r="V25" s="21"/>
      <c r="W25" s="22"/>
      <c r="X25" s="10" t="str">
        <f aca="false">IF(AND(R25="修改",S25=""),"請選新事件代碼",IF(AND(R25&lt;&gt;"修改",S25&lt;&gt;""),"只有「修改」才需填代碼",""))</f>
        <v/>
      </c>
      <c r="Y25" s="21"/>
      <c r="Z25" s="22"/>
      <c r="AA25" s="23" t="s">
        <v>159</v>
      </c>
      <c r="AB25" s="13"/>
    </row>
    <row r="26" customFormat="false" ht="23.85" hidden="false" customHeight="false" outlineLevel="0" collapsed="false">
      <c r="A26" s="16" t="n">
        <v>25</v>
      </c>
      <c r="B26" s="9" t="s">
        <v>65</v>
      </c>
      <c r="C26" s="9" t="s">
        <v>57</v>
      </c>
      <c r="D26" s="10" t="s">
        <v>58</v>
      </c>
      <c r="E26" s="24" t="s">
        <v>160</v>
      </c>
      <c r="F26" s="12"/>
      <c r="G26" s="23" t="s">
        <v>161</v>
      </c>
      <c r="H26" s="14" t="n">
        <v>-0.963</v>
      </c>
      <c r="I26" s="15"/>
      <c r="J26" s="12"/>
      <c r="K26" s="9"/>
      <c r="L26" s="16" t="s">
        <v>51</v>
      </c>
      <c r="M26" s="17" t="s">
        <v>52</v>
      </c>
      <c r="N26" s="15" t="s">
        <v>61</v>
      </c>
      <c r="O26" s="16" t="s">
        <v>62</v>
      </c>
      <c r="P26" s="12" t="s">
        <v>63</v>
      </c>
      <c r="Q26" s="9"/>
      <c r="R26" s="18" t="s">
        <v>52</v>
      </c>
      <c r="S26" s="19" t="s">
        <v>61</v>
      </c>
      <c r="T26" s="12" t="str">
        <f aca="false">IF(R26="維持",J26,IF(R26="排除","無關新聞事件",IFERROR(INDEX(事件規則!$B$2:$B$53,MATCH(S26,事件規則!$A$2:$A$53,0)),"")))</f>
        <v>裁員或人力縮減</v>
      </c>
      <c r="U26" s="20" t="n">
        <f aca="false">IF(R26="維持",K26,IF(R26="排除",0,IFERROR(INDEX(事件規則!$C$2:$C$53,MATCH(S26,事件規則!$A$2:$A$53,0)),"")))</f>
        <v>3</v>
      </c>
      <c r="V26" s="21"/>
      <c r="W26" s="22"/>
      <c r="X26" s="10" t="str">
        <f aca="false">IF(AND(R26="修改",S26=""),"請選新事件代碼",IF(AND(R26&lt;&gt;"修改",S26&lt;&gt;""),"只有「修改」才需填代碼",""))</f>
        <v/>
      </c>
      <c r="Y26" s="21"/>
      <c r="Z26" s="22"/>
      <c r="AA26" s="23" t="s">
        <v>162</v>
      </c>
      <c r="AB26" s="13"/>
    </row>
    <row r="27" customFormat="false" ht="44" hidden="false" customHeight="false" outlineLevel="0" collapsed="false">
      <c r="A27" s="16" t="n">
        <v>26</v>
      </c>
      <c r="B27" s="9" t="s">
        <v>65</v>
      </c>
      <c r="C27" s="9" t="s">
        <v>163</v>
      </c>
      <c r="D27" s="10" t="s">
        <v>164</v>
      </c>
      <c r="E27" s="24" t="s">
        <v>165</v>
      </c>
      <c r="F27" s="12"/>
      <c r="G27" s="23" t="s">
        <v>147</v>
      </c>
      <c r="H27" s="14" t="n">
        <v>-0.963</v>
      </c>
      <c r="I27" s="15"/>
      <c r="J27" s="12"/>
      <c r="K27" s="9"/>
      <c r="L27" s="16" t="s">
        <v>51</v>
      </c>
      <c r="M27" s="17" t="s">
        <v>79</v>
      </c>
      <c r="N27" s="15"/>
      <c r="O27" s="16" t="s">
        <v>54</v>
      </c>
      <c r="P27" s="12" t="s">
        <v>80</v>
      </c>
      <c r="Q27" s="9"/>
      <c r="R27" s="18" t="s">
        <v>79</v>
      </c>
      <c r="S27" s="19"/>
      <c r="T27" s="12" t="str">
        <f aca="false">IF(R27="維持",J27,IF(R27="排除","無關新聞事件",IFERROR(INDEX(事件規則!$B$2:$B$53,MATCH(S27,事件規則!$A$2:$A$53,0)),"")))</f>
        <v>無關新聞事件</v>
      </c>
      <c r="U27" s="20" t="n">
        <f aca="false">IF(R27="維持",K27,IF(R27="排除",0,IFERROR(INDEX(事件規則!$C$2:$C$53,MATCH(S27,事件規則!$A$2:$A$53,0)),"")))</f>
        <v>0</v>
      </c>
      <c r="V27" s="21"/>
      <c r="W27" s="22"/>
      <c r="X27" s="10" t="str">
        <f aca="false">IF(AND(R27="修改",S27=""),"請選新事件代碼",IF(AND(R27&lt;&gt;"修改",S27&lt;&gt;""),"只有「修改」才需填代碼",""))</f>
        <v/>
      </c>
      <c r="Y27" s="21"/>
      <c r="Z27" s="22"/>
      <c r="AA27" s="23" t="s">
        <v>166</v>
      </c>
      <c r="AB27" s="13"/>
    </row>
    <row r="28" customFormat="false" ht="15" hidden="false" customHeight="false" outlineLevel="0" collapsed="false">
      <c r="A28" s="16" t="n">
        <v>27</v>
      </c>
      <c r="B28" s="9" t="s">
        <v>65</v>
      </c>
      <c r="C28" s="9" t="s">
        <v>117</v>
      </c>
      <c r="D28" s="10" t="s">
        <v>118</v>
      </c>
      <c r="E28" s="24" t="s">
        <v>130</v>
      </c>
      <c r="F28" s="12"/>
      <c r="G28" s="23" t="s">
        <v>67</v>
      </c>
      <c r="H28" s="14" t="n">
        <v>-0.963</v>
      </c>
      <c r="I28" s="15"/>
      <c r="J28" s="12"/>
      <c r="K28" s="9"/>
      <c r="L28" s="16" t="s">
        <v>51</v>
      </c>
      <c r="M28" s="17" t="s">
        <v>52</v>
      </c>
      <c r="N28" s="15" t="s">
        <v>53</v>
      </c>
      <c r="O28" s="16" t="s">
        <v>54</v>
      </c>
      <c r="P28" s="12" t="s">
        <v>121</v>
      </c>
      <c r="Q28" s="9"/>
      <c r="R28" s="18" t="s">
        <v>52</v>
      </c>
      <c r="S28" s="19" t="s">
        <v>53</v>
      </c>
      <c r="T28" s="12" t="str">
        <f aca="false">IF(R28="維持",J28,IF(R28="排除","無關新聞事件",IFERROR(INDEX(事件規則!$B$2:$B$53,MATCH(S28,事件規則!$A$2:$A$53,0)),"")))</f>
        <v>股價下跌</v>
      </c>
      <c r="U28" s="20" t="n">
        <f aca="false">IF(R28="維持",K28,IF(R28="排除",0,IFERROR(INDEX(事件規則!$C$2:$C$53,MATCH(S28,事件規則!$A$2:$A$53,0)),"")))</f>
        <v>1</v>
      </c>
      <c r="V28" s="21"/>
      <c r="W28" s="22"/>
      <c r="X28" s="10" t="str">
        <f aca="false">IF(AND(R28="修改",S28=""),"請選新事件代碼",IF(AND(R28&lt;&gt;"修改",S28&lt;&gt;""),"只有「修改」才需填代碼",""))</f>
        <v/>
      </c>
      <c r="Y28" s="21"/>
      <c r="Z28" s="22"/>
      <c r="AA28" s="23" t="s">
        <v>167</v>
      </c>
      <c r="AB28" s="13"/>
    </row>
    <row r="29" customFormat="false" ht="44" hidden="false" customHeight="false" outlineLevel="0" collapsed="false">
      <c r="A29" s="16" t="n">
        <v>28</v>
      </c>
      <c r="B29" s="9" t="s">
        <v>65</v>
      </c>
      <c r="C29" s="9" t="s">
        <v>168</v>
      </c>
      <c r="D29" s="10" t="s">
        <v>169</v>
      </c>
      <c r="E29" s="24" t="s">
        <v>139</v>
      </c>
      <c r="F29" s="12"/>
      <c r="G29" s="23" t="s">
        <v>140</v>
      </c>
      <c r="H29" s="14" t="n">
        <v>-0.963</v>
      </c>
      <c r="I29" s="15"/>
      <c r="J29" s="12"/>
      <c r="K29" s="9"/>
      <c r="L29" s="16" t="s">
        <v>51</v>
      </c>
      <c r="M29" s="17" t="s">
        <v>79</v>
      </c>
      <c r="N29" s="15"/>
      <c r="O29" s="16" t="s">
        <v>54</v>
      </c>
      <c r="P29" s="12" t="s">
        <v>80</v>
      </c>
      <c r="Q29" s="9"/>
      <c r="R29" s="18" t="s">
        <v>79</v>
      </c>
      <c r="S29" s="19"/>
      <c r="T29" s="12" t="str">
        <f aca="false">IF(R29="維持",J29,IF(R29="排除","無關新聞事件",IFERROR(INDEX(事件規則!$B$2:$B$53,MATCH(S29,事件規則!$A$2:$A$53,0)),"")))</f>
        <v>無關新聞事件</v>
      </c>
      <c r="U29" s="20" t="n">
        <f aca="false">IF(R29="維持",K29,IF(R29="排除",0,IFERROR(INDEX(事件規則!$C$2:$C$53,MATCH(S29,事件規則!$A$2:$A$53,0)),"")))</f>
        <v>0</v>
      </c>
      <c r="V29" s="21"/>
      <c r="W29" s="22"/>
      <c r="X29" s="10" t="str">
        <f aca="false">IF(AND(R29="修改",S29=""),"請選新事件代碼",IF(AND(R29&lt;&gt;"修改",S29&lt;&gt;""),"只有「修改」才需填代碼",""))</f>
        <v/>
      </c>
      <c r="Y29" s="21"/>
      <c r="Z29" s="22"/>
      <c r="AA29" s="23" t="s">
        <v>170</v>
      </c>
      <c r="AB29" s="13"/>
    </row>
    <row r="30" customFormat="false" ht="44" hidden="false" customHeight="false" outlineLevel="0" collapsed="false">
      <c r="A30" s="16" t="n">
        <v>29</v>
      </c>
      <c r="B30" s="9" t="s">
        <v>65</v>
      </c>
      <c r="C30" s="9" t="s">
        <v>171</v>
      </c>
      <c r="D30" s="10" t="s">
        <v>172</v>
      </c>
      <c r="E30" s="24" t="s">
        <v>173</v>
      </c>
      <c r="F30" s="12"/>
      <c r="G30" s="23" t="s">
        <v>147</v>
      </c>
      <c r="H30" s="14" t="n">
        <v>-0.963</v>
      </c>
      <c r="I30" s="15"/>
      <c r="J30" s="12"/>
      <c r="K30" s="9"/>
      <c r="L30" s="16" t="s">
        <v>51</v>
      </c>
      <c r="M30" s="17" t="s">
        <v>79</v>
      </c>
      <c r="N30" s="15"/>
      <c r="O30" s="16" t="s">
        <v>54</v>
      </c>
      <c r="P30" s="12" t="s">
        <v>80</v>
      </c>
      <c r="Q30" s="9"/>
      <c r="R30" s="18" t="s">
        <v>79</v>
      </c>
      <c r="S30" s="19"/>
      <c r="T30" s="12" t="str">
        <f aca="false">IF(R30="維持",J30,IF(R30="排除","無關新聞事件",IFERROR(INDEX(事件規則!$B$2:$B$53,MATCH(S30,事件規則!$A$2:$A$53,0)),"")))</f>
        <v>無關新聞事件</v>
      </c>
      <c r="U30" s="20" t="n">
        <f aca="false">IF(R30="維持",K30,IF(R30="排除",0,IFERROR(INDEX(事件規則!$C$2:$C$53,MATCH(S30,事件規則!$A$2:$A$53,0)),"")))</f>
        <v>0</v>
      </c>
      <c r="V30" s="21"/>
      <c r="W30" s="22"/>
      <c r="X30" s="10" t="str">
        <f aca="false">IF(AND(R30="修改",S30=""),"請選新事件代碼",IF(AND(R30&lt;&gt;"修改",S30&lt;&gt;""),"只有「修改」才需填代碼",""))</f>
        <v/>
      </c>
      <c r="Y30" s="21"/>
      <c r="Z30" s="22"/>
      <c r="AA30" s="23" t="s">
        <v>174</v>
      </c>
      <c r="AB30" s="13"/>
    </row>
    <row r="31" customFormat="false" ht="44" hidden="false" customHeight="false" outlineLevel="0" collapsed="false">
      <c r="A31" s="16" t="n">
        <v>30</v>
      </c>
      <c r="B31" s="9" t="s">
        <v>65</v>
      </c>
      <c r="C31" s="9" t="s">
        <v>175</v>
      </c>
      <c r="D31" s="10" t="s">
        <v>176</v>
      </c>
      <c r="E31" s="24" t="s">
        <v>177</v>
      </c>
      <c r="F31" s="12"/>
      <c r="G31" s="23" t="s">
        <v>147</v>
      </c>
      <c r="H31" s="14" t="n">
        <v>-0.963</v>
      </c>
      <c r="I31" s="15"/>
      <c r="J31" s="12"/>
      <c r="K31" s="9"/>
      <c r="L31" s="16" t="s">
        <v>51</v>
      </c>
      <c r="M31" s="17" t="s">
        <v>79</v>
      </c>
      <c r="N31" s="15"/>
      <c r="O31" s="16" t="s">
        <v>54</v>
      </c>
      <c r="P31" s="12" t="s">
        <v>80</v>
      </c>
      <c r="Q31" s="9"/>
      <c r="R31" s="18" t="s">
        <v>79</v>
      </c>
      <c r="S31" s="19"/>
      <c r="T31" s="12" t="str">
        <f aca="false">IF(R31="維持",J31,IF(R31="排除","無關新聞事件",IFERROR(INDEX(事件規則!$B$2:$B$53,MATCH(S31,事件規則!$A$2:$A$53,0)),"")))</f>
        <v>無關新聞事件</v>
      </c>
      <c r="U31" s="20" t="n">
        <f aca="false">IF(R31="維持",K31,IF(R31="排除",0,IFERROR(INDEX(事件規則!$C$2:$C$53,MATCH(S31,事件規則!$A$2:$A$53,0)),"")))</f>
        <v>0</v>
      </c>
      <c r="V31" s="21"/>
      <c r="W31" s="22"/>
      <c r="X31" s="10" t="str">
        <f aca="false">IF(AND(R31="修改",S31=""),"請選新事件代碼",IF(AND(R31&lt;&gt;"修改",S31&lt;&gt;""),"只有「修改」才需填代碼",""))</f>
        <v/>
      </c>
      <c r="Y31" s="21"/>
      <c r="Z31" s="22"/>
      <c r="AA31" s="23" t="s">
        <v>178</v>
      </c>
      <c r="AB31" s="13"/>
    </row>
    <row r="32" customFormat="false" ht="23.85" hidden="false" customHeight="false" outlineLevel="0" collapsed="false">
      <c r="A32" s="16" t="n">
        <v>31</v>
      </c>
      <c r="B32" s="9" t="s">
        <v>45</v>
      </c>
      <c r="C32" s="9" t="s">
        <v>179</v>
      </c>
      <c r="D32" s="10" t="s">
        <v>180</v>
      </c>
      <c r="E32" s="24" t="s">
        <v>181</v>
      </c>
      <c r="F32" s="12"/>
      <c r="G32" s="23" t="s">
        <v>182</v>
      </c>
      <c r="H32" s="14" t="n">
        <v>-0.962</v>
      </c>
      <c r="I32" s="15"/>
      <c r="J32" s="12"/>
      <c r="K32" s="9"/>
      <c r="L32" s="16" t="s">
        <v>51</v>
      </c>
      <c r="M32" s="17" t="s">
        <v>52</v>
      </c>
      <c r="N32" s="15" t="s">
        <v>183</v>
      </c>
      <c r="O32" s="16" t="s">
        <v>54</v>
      </c>
      <c r="P32" s="10" t="s">
        <v>184</v>
      </c>
      <c r="Q32" s="9"/>
      <c r="R32" s="18" t="s">
        <v>52</v>
      </c>
      <c r="S32" s="19" t="s">
        <v>183</v>
      </c>
      <c r="T32" s="12" t="str">
        <f aca="false">IF(R32="維持",J32,IF(R32="排除","無關新聞事件",IFERROR(INDEX(事件規則!$B$2:$B$53,MATCH(S32,事件規則!$A$2:$A$53,0)),"")))</f>
        <v>營運惡化</v>
      </c>
      <c r="U32" s="20" t="n">
        <f aca="false">IF(R32="維持",K32,IF(R32="排除",0,IFERROR(INDEX(事件規則!$C$2:$C$53,MATCH(S32,事件規則!$A$2:$A$53,0)),"")))</f>
        <v>3</v>
      </c>
      <c r="V32" s="21"/>
      <c r="W32" s="22"/>
      <c r="X32" s="10" t="str">
        <f aca="false">IF(AND(R32="修改",S32=""),"請選新事件代碼",IF(AND(R32&lt;&gt;"修改",S32&lt;&gt;""),"只有「修改」才需填代碼",""))</f>
        <v/>
      </c>
      <c r="Y32" s="21"/>
      <c r="Z32" s="22"/>
      <c r="AA32" s="23" t="s">
        <v>185</v>
      </c>
      <c r="AB32" s="13"/>
    </row>
    <row r="33" customFormat="false" ht="44" hidden="false" customHeight="false" outlineLevel="0" collapsed="false">
      <c r="A33" s="16" t="n">
        <v>32</v>
      </c>
      <c r="B33" s="9" t="s">
        <v>45</v>
      </c>
      <c r="C33" s="9" t="s">
        <v>186</v>
      </c>
      <c r="D33" s="10" t="s">
        <v>187</v>
      </c>
      <c r="E33" s="24" t="s">
        <v>188</v>
      </c>
      <c r="F33" s="12"/>
      <c r="G33" s="23" t="s">
        <v>120</v>
      </c>
      <c r="H33" s="14" t="n">
        <v>-0.962</v>
      </c>
      <c r="I33" s="15"/>
      <c r="J33" s="12"/>
      <c r="K33" s="9"/>
      <c r="L33" s="16" t="s">
        <v>51</v>
      </c>
      <c r="M33" s="17" t="s">
        <v>79</v>
      </c>
      <c r="N33" s="15"/>
      <c r="O33" s="16" t="s">
        <v>54</v>
      </c>
      <c r="P33" s="12" t="s">
        <v>80</v>
      </c>
      <c r="Q33" s="9"/>
      <c r="R33" s="18" t="s">
        <v>79</v>
      </c>
      <c r="S33" s="19"/>
      <c r="T33" s="12" t="str">
        <f aca="false">IF(R33="維持",J33,IF(R33="排除","無關新聞事件",IFERROR(INDEX(事件規則!$B$2:$B$53,MATCH(S33,事件規則!$A$2:$A$53,0)),"")))</f>
        <v>無關新聞事件</v>
      </c>
      <c r="U33" s="20" t="n">
        <f aca="false">IF(R33="維持",K33,IF(R33="排除",0,IFERROR(INDEX(事件規則!$C$2:$C$53,MATCH(S33,事件規則!$A$2:$A$53,0)),"")))</f>
        <v>0</v>
      </c>
      <c r="V33" s="21"/>
      <c r="W33" s="22"/>
      <c r="X33" s="10" t="str">
        <f aca="false">IF(AND(R33="修改",S33=""),"請選新事件代碼",IF(AND(R33&lt;&gt;"修改",S33&lt;&gt;""),"只有「修改」才需填代碼",""))</f>
        <v/>
      </c>
      <c r="Y33" s="21"/>
      <c r="Z33" s="22"/>
      <c r="AA33" s="23" t="s">
        <v>189</v>
      </c>
      <c r="AB33" s="13"/>
    </row>
    <row r="34" customFormat="false" ht="44" hidden="false" customHeight="false" outlineLevel="0" collapsed="false">
      <c r="A34" s="16" t="n">
        <v>33</v>
      </c>
      <c r="B34" s="9" t="s">
        <v>65</v>
      </c>
      <c r="C34" s="9" t="s">
        <v>142</v>
      </c>
      <c r="D34" s="10" t="s">
        <v>143</v>
      </c>
      <c r="E34" s="24" t="s">
        <v>190</v>
      </c>
      <c r="F34" s="12"/>
      <c r="G34" s="23" t="s">
        <v>147</v>
      </c>
      <c r="H34" s="14" t="n">
        <v>-0.962</v>
      </c>
      <c r="I34" s="15"/>
      <c r="J34" s="12"/>
      <c r="K34" s="9"/>
      <c r="L34" s="16" t="s">
        <v>51</v>
      </c>
      <c r="M34" s="17" t="s">
        <v>79</v>
      </c>
      <c r="N34" s="15"/>
      <c r="O34" s="16" t="s">
        <v>54</v>
      </c>
      <c r="P34" s="12" t="s">
        <v>80</v>
      </c>
      <c r="Q34" s="9"/>
      <c r="R34" s="18" t="s">
        <v>79</v>
      </c>
      <c r="S34" s="19"/>
      <c r="T34" s="12" t="str">
        <f aca="false">IF(R34="維持",J34,IF(R34="排除","無關新聞事件",IFERROR(INDEX(事件規則!$B$2:$B$53,MATCH(S34,事件規則!$A$2:$A$53,0)),"")))</f>
        <v>無關新聞事件</v>
      </c>
      <c r="U34" s="20" t="n">
        <f aca="false">IF(R34="維持",K34,IF(R34="排除",0,IFERROR(INDEX(事件規則!$C$2:$C$53,MATCH(S34,事件規則!$A$2:$A$53,0)),"")))</f>
        <v>0</v>
      </c>
      <c r="V34" s="21"/>
      <c r="W34" s="22"/>
      <c r="X34" s="10" t="str">
        <f aca="false">IF(AND(R34="修改",S34=""),"請選新事件代碼",IF(AND(R34&lt;&gt;"修改",S34&lt;&gt;""),"只有「修改」才需填代碼",""))</f>
        <v/>
      </c>
      <c r="Y34" s="21"/>
      <c r="Z34" s="22"/>
      <c r="AA34" s="23" t="s">
        <v>191</v>
      </c>
      <c r="AB34" s="13"/>
    </row>
    <row r="35" customFormat="false" ht="44" hidden="false" customHeight="false" outlineLevel="0" collapsed="false">
      <c r="A35" s="16" t="n">
        <v>34</v>
      </c>
      <c r="B35" s="9" t="s">
        <v>45</v>
      </c>
      <c r="C35" s="9" t="s">
        <v>192</v>
      </c>
      <c r="D35" s="10" t="s">
        <v>193</v>
      </c>
      <c r="E35" s="24" t="s">
        <v>194</v>
      </c>
      <c r="F35" s="12"/>
      <c r="G35" s="23" t="s">
        <v>120</v>
      </c>
      <c r="H35" s="14" t="n">
        <v>-0.962</v>
      </c>
      <c r="I35" s="15"/>
      <c r="J35" s="12"/>
      <c r="K35" s="9"/>
      <c r="L35" s="16" t="s">
        <v>51</v>
      </c>
      <c r="M35" s="17" t="s">
        <v>79</v>
      </c>
      <c r="N35" s="15"/>
      <c r="O35" s="16" t="s">
        <v>54</v>
      </c>
      <c r="P35" s="12" t="s">
        <v>80</v>
      </c>
      <c r="Q35" s="9"/>
      <c r="R35" s="18" t="s">
        <v>79</v>
      </c>
      <c r="S35" s="19"/>
      <c r="T35" s="12" t="str">
        <f aca="false">IF(R35="維持",J35,IF(R35="排除","無關新聞事件",IFERROR(INDEX(事件規則!$B$2:$B$53,MATCH(S35,事件規則!$A$2:$A$53,0)),"")))</f>
        <v>無關新聞事件</v>
      </c>
      <c r="U35" s="20" t="n">
        <f aca="false">IF(R35="維持",K35,IF(R35="排除",0,IFERROR(INDEX(事件規則!$C$2:$C$53,MATCH(S35,事件規則!$A$2:$A$53,0)),"")))</f>
        <v>0</v>
      </c>
      <c r="V35" s="21"/>
      <c r="W35" s="22"/>
      <c r="X35" s="10" t="str">
        <f aca="false">IF(AND(R35="修改",S35=""),"請選新事件代碼",IF(AND(R35&lt;&gt;"修改",S35&lt;&gt;""),"只有「修改」才需填代碼",""))</f>
        <v/>
      </c>
      <c r="Y35" s="21"/>
      <c r="Z35" s="22"/>
      <c r="AA35" s="23" t="s">
        <v>195</v>
      </c>
      <c r="AB35" s="13"/>
    </row>
    <row r="36" customFormat="false" ht="15" hidden="false" customHeight="false" outlineLevel="0" collapsed="false">
      <c r="A36" s="16" t="n">
        <v>35</v>
      </c>
      <c r="B36" s="9" t="s">
        <v>65</v>
      </c>
      <c r="C36" s="9" t="s">
        <v>196</v>
      </c>
      <c r="D36" s="10" t="s">
        <v>197</v>
      </c>
      <c r="E36" s="24" t="s">
        <v>198</v>
      </c>
      <c r="F36" s="12"/>
      <c r="G36" s="23" t="s">
        <v>199</v>
      </c>
      <c r="H36" s="14" t="n">
        <v>-0.962</v>
      </c>
      <c r="I36" s="15"/>
      <c r="J36" s="12"/>
      <c r="K36" s="9"/>
      <c r="L36" s="16" t="s">
        <v>51</v>
      </c>
      <c r="M36" s="17" t="s">
        <v>52</v>
      </c>
      <c r="N36" s="15" t="s">
        <v>53</v>
      </c>
      <c r="O36" s="16" t="s">
        <v>54</v>
      </c>
      <c r="P36" s="10" t="s">
        <v>200</v>
      </c>
      <c r="Q36" s="9"/>
      <c r="R36" s="18" t="s">
        <v>52</v>
      </c>
      <c r="S36" s="19" t="s">
        <v>53</v>
      </c>
      <c r="T36" s="12" t="str">
        <f aca="false">IF(R36="維持",J36,IF(R36="排除","無關新聞事件",IFERROR(INDEX(事件規則!$B$2:$B$53,MATCH(S36,事件規則!$A$2:$A$53,0)),"")))</f>
        <v>股價下跌</v>
      </c>
      <c r="U36" s="20" t="n">
        <f aca="false">IF(R36="維持",K36,IF(R36="排除",0,IFERROR(INDEX(事件規則!$C$2:$C$53,MATCH(S36,事件規則!$A$2:$A$53,0)),"")))</f>
        <v>1</v>
      </c>
      <c r="V36" s="21"/>
      <c r="W36" s="22"/>
      <c r="X36" s="10" t="str">
        <f aca="false">IF(AND(R36="修改",S36=""),"請選新事件代碼",IF(AND(R36&lt;&gt;"修改",S36&lt;&gt;""),"只有「修改」才需填代碼",""))</f>
        <v/>
      </c>
      <c r="Y36" s="21"/>
      <c r="Z36" s="22"/>
      <c r="AA36" s="23" t="s">
        <v>201</v>
      </c>
      <c r="AB36" s="13"/>
    </row>
    <row r="37" customFormat="false" ht="44" hidden="false" customHeight="false" outlineLevel="0" collapsed="false">
      <c r="A37" s="16" t="n">
        <v>36</v>
      </c>
      <c r="B37" s="9" t="s">
        <v>65</v>
      </c>
      <c r="C37" s="9" t="s">
        <v>202</v>
      </c>
      <c r="D37" s="10" t="s">
        <v>203</v>
      </c>
      <c r="E37" s="24" t="s">
        <v>204</v>
      </c>
      <c r="F37" s="12"/>
      <c r="G37" s="23" t="s">
        <v>147</v>
      </c>
      <c r="H37" s="14" t="n">
        <v>-0.962</v>
      </c>
      <c r="I37" s="15"/>
      <c r="J37" s="12"/>
      <c r="K37" s="9"/>
      <c r="L37" s="16" t="s">
        <v>51</v>
      </c>
      <c r="M37" s="17" t="s">
        <v>79</v>
      </c>
      <c r="N37" s="15"/>
      <c r="O37" s="16" t="s">
        <v>54</v>
      </c>
      <c r="P37" s="12" t="s">
        <v>80</v>
      </c>
      <c r="Q37" s="9"/>
      <c r="R37" s="18" t="s">
        <v>79</v>
      </c>
      <c r="S37" s="19"/>
      <c r="T37" s="12" t="str">
        <f aca="false">IF(R37="維持",J37,IF(R37="排除","無關新聞事件",IFERROR(INDEX(事件規則!$B$2:$B$53,MATCH(S37,事件規則!$A$2:$A$53,0)),"")))</f>
        <v>無關新聞事件</v>
      </c>
      <c r="U37" s="20" t="n">
        <f aca="false">IF(R37="維持",K37,IF(R37="排除",0,IFERROR(INDEX(事件規則!$C$2:$C$53,MATCH(S37,事件規則!$A$2:$A$53,0)),"")))</f>
        <v>0</v>
      </c>
      <c r="V37" s="21"/>
      <c r="W37" s="22"/>
      <c r="X37" s="10" t="str">
        <f aca="false">IF(AND(R37="修改",S37=""),"請選新事件代碼",IF(AND(R37&lt;&gt;"修改",S37&lt;&gt;""),"只有「修改」才需填代碼",""))</f>
        <v/>
      </c>
      <c r="Y37" s="21"/>
      <c r="Z37" s="22"/>
      <c r="AA37" s="23" t="s">
        <v>205</v>
      </c>
      <c r="AB37" s="13"/>
    </row>
    <row r="38" customFormat="false" ht="44" hidden="false" customHeight="false" outlineLevel="0" collapsed="false">
      <c r="A38" s="16" t="n">
        <v>37</v>
      </c>
      <c r="B38" s="9" t="s">
        <v>65</v>
      </c>
      <c r="C38" s="9" t="s">
        <v>206</v>
      </c>
      <c r="D38" s="10" t="s">
        <v>207</v>
      </c>
      <c r="E38" s="24" t="s">
        <v>208</v>
      </c>
      <c r="F38" s="12"/>
      <c r="G38" s="23" t="s">
        <v>147</v>
      </c>
      <c r="H38" s="14" t="n">
        <v>-0.962</v>
      </c>
      <c r="I38" s="15"/>
      <c r="J38" s="12"/>
      <c r="K38" s="9"/>
      <c r="L38" s="16" t="s">
        <v>51</v>
      </c>
      <c r="M38" s="17" t="s">
        <v>79</v>
      </c>
      <c r="N38" s="15"/>
      <c r="O38" s="16" t="s">
        <v>54</v>
      </c>
      <c r="P38" s="12" t="s">
        <v>80</v>
      </c>
      <c r="Q38" s="9"/>
      <c r="R38" s="18" t="s">
        <v>79</v>
      </c>
      <c r="S38" s="19"/>
      <c r="T38" s="12" t="str">
        <f aca="false">IF(R38="維持",J38,IF(R38="排除","無關新聞事件",IFERROR(INDEX(事件規則!$B$2:$B$53,MATCH(S38,事件規則!$A$2:$A$53,0)),"")))</f>
        <v>無關新聞事件</v>
      </c>
      <c r="U38" s="20" t="n">
        <f aca="false">IF(R38="維持",K38,IF(R38="排除",0,IFERROR(INDEX(事件規則!$C$2:$C$53,MATCH(S38,事件規則!$A$2:$A$53,0)),"")))</f>
        <v>0</v>
      </c>
      <c r="V38" s="21"/>
      <c r="W38" s="22"/>
      <c r="X38" s="10" t="str">
        <f aca="false">IF(AND(R38="修改",S38=""),"請選新事件代碼",IF(AND(R38&lt;&gt;"修改",S38&lt;&gt;""),"只有「修改」才需填代碼",""))</f>
        <v/>
      </c>
      <c r="Y38" s="21"/>
      <c r="Z38" s="22"/>
      <c r="AA38" s="23" t="s">
        <v>209</v>
      </c>
      <c r="AB38" s="13"/>
    </row>
    <row r="39" customFormat="false" ht="23.85" hidden="false" customHeight="false" outlineLevel="0" collapsed="false">
      <c r="A39" s="16" t="n">
        <v>38</v>
      </c>
      <c r="B39" s="9" t="s">
        <v>65</v>
      </c>
      <c r="C39" s="9" t="s">
        <v>93</v>
      </c>
      <c r="D39" s="10" t="s">
        <v>94</v>
      </c>
      <c r="E39" s="24" t="s">
        <v>210</v>
      </c>
      <c r="F39" s="12"/>
      <c r="G39" s="23" t="s">
        <v>211</v>
      </c>
      <c r="H39" s="14" t="n">
        <v>-0.961</v>
      </c>
      <c r="I39" s="15"/>
      <c r="J39" s="12"/>
      <c r="K39" s="9"/>
      <c r="L39" s="16" t="s">
        <v>51</v>
      </c>
      <c r="M39" s="17" t="s">
        <v>52</v>
      </c>
      <c r="N39" s="15" t="s">
        <v>61</v>
      </c>
      <c r="O39" s="16" t="s">
        <v>62</v>
      </c>
      <c r="P39" s="10" t="s">
        <v>97</v>
      </c>
      <c r="Q39" s="9"/>
      <c r="R39" s="18" t="s">
        <v>52</v>
      </c>
      <c r="S39" s="19" t="s">
        <v>61</v>
      </c>
      <c r="T39" s="12" t="str">
        <f aca="false">IF(R39="維持",J39,IF(R39="排除","無關新聞事件",IFERROR(INDEX(事件規則!$B$2:$B$53,MATCH(S39,事件規則!$A$2:$A$53,0)),"")))</f>
        <v>裁員或人力縮減</v>
      </c>
      <c r="U39" s="20" t="n">
        <f aca="false">IF(R39="維持",K39,IF(R39="排除",0,IFERROR(INDEX(事件規則!$C$2:$C$53,MATCH(S39,事件規則!$A$2:$A$53,0)),"")))</f>
        <v>3</v>
      </c>
      <c r="V39" s="21"/>
      <c r="W39" s="22"/>
      <c r="X39" s="10" t="str">
        <f aca="false">IF(AND(R39="修改",S39=""),"請選新事件代碼",IF(AND(R39&lt;&gt;"修改",S39&lt;&gt;""),"只有「修改」才需填代碼",""))</f>
        <v/>
      </c>
      <c r="Y39" s="21"/>
      <c r="Z39" s="22"/>
      <c r="AA39" s="23" t="s">
        <v>212</v>
      </c>
      <c r="AB39" s="13"/>
    </row>
    <row r="40" customFormat="false" ht="44" hidden="false" customHeight="false" outlineLevel="0" collapsed="false">
      <c r="A40" s="16" t="n">
        <v>39</v>
      </c>
      <c r="B40" s="9" t="s">
        <v>65</v>
      </c>
      <c r="C40" s="9" t="s">
        <v>213</v>
      </c>
      <c r="D40" s="10" t="s">
        <v>214</v>
      </c>
      <c r="E40" s="24" t="s">
        <v>215</v>
      </c>
      <c r="F40" s="12"/>
      <c r="G40" s="23" t="s">
        <v>216</v>
      </c>
      <c r="H40" s="14" t="n">
        <v>-0.961</v>
      </c>
      <c r="I40" s="15"/>
      <c r="J40" s="12"/>
      <c r="K40" s="9"/>
      <c r="L40" s="16" t="s">
        <v>51</v>
      </c>
      <c r="M40" s="17" t="s">
        <v>79</v>
      </c>
      <c r="N40" s="15"/>
      <c r="O40" s="16" t="s">
        <v>54</v>
      </c>
      <c r="P40" s="12" t="s">
        <v>80</v>
      </c>
      <c r="Q40" s="9"/>
      <c r="R40" s="18" t="s">
        <v>79</v>
      </c>
      <c r="S40" s="19"/>
      <c r="T40" s="12" t="str">
        <f aca="false">IF(R40="維持",J40,IF(R40="排除","無關新聞事件",IFERROR(INDEX(事件規則!$B$2:$B$53,MATCH(S40,事件規則!$A$2:$A$53,0)),"")))</f>
        <v>無關新聞事件</v>
      </c>
      <c r="U40" s="20" t="n">
        <f aca="false">IF(R40="維持",K40,IF(R40="排除",0,IFERROR(INDEX(事件規則!$C$2:$C$53,MATCH(S40,事件規則!$A$2:$A$53,0)),"")))</f>
        <v>0</v>
      </c>
      <c r="V40" s="21"/>
      <c r="W40" s="22"/>
      <c r="X40" s="10" t="str">
        <f aca="false">IF(AND(R40="修改",S40=""),"請選新事件代碼",IF(AND(R40&lt;&gt;"修改",S40&lt;&gt;""),"只有「修改」才需填代碼",""))</f>
        <v/>
      </c>
      <c r="Y40" s="21"/>
      <c r="Z40" s="22"/>
      <c r="AA40" s="23" t="s">
        <v>217</v>
      </c>
      <c r="AB40" s="13"/>
    </row>
    <row r="41" customFormat="false" ht="23.85" hidden="false" customHeight="false" outlineLevel="0" collapsed="false">
      <c r="A41" s="16" t="n">
        <v>40</v>
      </c>
      <c r="B41" s="9" t="s">
        <v>65</v>
      </c>
      <c r="C41" s="9" t="s">
        <v>57</v>
      </c>
      <c r="D41" s="10" t="s">
        <v>58</v>
      </c>
      <c r="E41" s="24" t="s">
        <v>218</v>
      </c>
      <c r="F41" s="12"/>
      <c r="G41" s="23" t="s">
        <v>219</v>
      </c>
      <c r="H41" s="14" t="n">
        <v>-0.961</v>
      </c>
      <c r="I41" s="15"/>
      <c r="J41" s="12"/>
      <c r="K41" s="9"/>
      <c r="L41" s="16" t="s">
        <v>51</v>
      </c>
      <c r="M41" s="17" t="s">
        <v>52</v>
      </c>
      <c r="N41" s="15" t="s">
        <v>61</v>
      </c>
      <c r="O41" s="16" t="s">
        <v>62</v>
      </c>
      <c r="P41" s="12" t="s">
        <v>63</v>
      </c>
      <c r="Q41" s="9"/>
      <c r="R41" s="18" t="s">
        <v>52</v>
      </c>
      <c r="S41" s="19" t="s">
        <v>61</v>
      </c>
      <c r="T41" s="12" t="str">
        <f aca="false">IF(R41="維持",J41,IF(R41="排除","無關新聞事件",IFERROR(INDEX(事件規則!$B$2:$B$53,MATCH(S41,事件規則!$A$2:$A$53,0)),"")))</f>
        <v>裁員或人力縮減</v>
      </c>
      <c r="U41" s="20" t="n">
        <f aca="false">IF(R41="維持",K41,IF(R41="排除",0,IFERROR(INDEX(事件規則!$C$2:$C$53,MATCH(S41,事件規則!$A$2:$A$53,0)),"")))</f>
        <v>3</v>
      </c>
      <c r="V41" s="21"/>
      <c r="W41" s="22"/>
      <c r="X41" s="10" t="str">
        <f aca="false">IF(AND(R41="修改",S41=""),"請選新事件代碼",IF(AND(R41&lt;&gt;"修改",S41&lt;&gt;""),"只有「修改」才需填代碼",""))</f>
        <v/>
      </c>
      <c r="Y41" s="21"/>
      <c r="Z41" s="22"/>
      <c r="AA41" s="23" t="s">
        <v>220</v>
      </c>
      <c r="AB41" s="13"/>
    </row>
    <row r="42" customFormat="false" ht="44" hidden="false" customHeight="false" outlineLevel="0" collapsed="false">
      <c r="A42" s="16" t="n">
        <v>41</v>
      </c>
      <c r="B42" s="9" t="s">
        <v>65</v>
      </c>
      <c r="C42" s="9" t="s">
        <v>221</v>
      </c>
      <c r="D42" s="10" t="s">
        <v>222</v>
      </c>
      <c r="E42" s="24" t="s">
        <v>223</v>
      </c>
      <c r="F42" s="12"/>
      <c r="G42" s="23" t="s">
        <v>224</v>
      </c>
      <c r="H42" s="14" t="n">
        <v>-0.961</v>
      </c>
      <c r="I42" s="15"/>
      <c r="J42" s="12"/>
      <c r="K42" s="9"/>
      <c r="L42" s="16" t="s">
        <v>51</v>
      </c>
      <c r="M42" s="17" t="s">
        <v>79</v>
      </c>
      <c r="N42" s="15"/>
      <c r="O42" s="16" t="s">
        <v>54</v>
      </c>
      <c r="P42" s="12" t="s">
        <v>80</v>
      </c>
      <c r="Q42" s="9"/>
      <c r="R42" s="18" t="s">
        <v>79</v>
      </c>
      <c r="S42" s="19"/>
      <c r="T42" s="12" t="str">
        <f aca="false">IF(R42="維持",J42,IF(R42="排除","無關新聞事件",IFERROR(INDEX(事件規則!$B$2:$B$53,MATCH(S42,事件規則!$A$2:$A$53,0)),"")))</f>
        <v>無關新聞事件</v>
      </c>
      <c r="U42" s="20" t="n">
        <f aca="false">IF(R42="維持",K42,IF(R42="排除",0,IFERROR(INDEX(事件規則!$C$2:$C$53,MATCH(S42,事件規則!$A$2:$A$53,0)),"")))</f>
        <v>0</v>
      </c>
      <c r="V42" s="21"/>
      <c r="W42" s="22"/>
      <c r="X42" s="10" t="str">
        <f aca="false">IF(AND(R42="修改",S42=""),"請選新事件代碼",IF(AND(R42&lt;&gt;"修改",S42&lt;&gt;""),"只有「修改」才需填代碼",""))</f>
        <v/>
      </c>
      <c r="Y42" s="21"/>
      <c r="Z42" s="22"/>
      <c r="AA42" s="23" t="s">
        <v>225</v>
      </c>
      <c r="AB42" s="13"/>
    </row>
    <row r="43" customFormat="false" ht="23.85" hidden="false" customHeight="false" outlineLevel="0" collapsed="false">
      <c r="A43" s="16" t="n">
        <v>42</v>
      </c>
      <c r="B43" s="9" t="s">
        <v>65</v>
      </c>
      <c r="C43" s="9" t="s">
        <v>226</v>
      </c>
      <c r="D43" s="10" t="s">
        <v>227</v>
      </c>
      <c r="E43" s="24" t="s">
        <v>228</v>
      </c>
      <c r="F43" s="12"/>
      <c r="G43" s="23" t="s">
        <v>120</v>
      </c>
      <c r="H43" s="14" t="n">
        <v>-0.961</v>
      </c>
      <c r="I43" s="15"/>
      <c r="J43" s="12"/>
      <c r="K43" s="9"/>
      <c r="L43" s="16" t="s">
        <v>51</v>
      </c>
      <c r="M43" s="17" t="s">
        <v>52</v>
      </c>
      <c r="N43" s="15" t="s">
        <v>183</v>
      </c>
      <c r="O43" s="16" t="s">
        <v>54</v>
      </c>
      <c r="P43" s="10" t="s">
        <v>229</v>
      </c>
      <c r="Q43" s="9"/>
      <c r="R43" s="18" t="s">
        <v>52</v>
      </c>
      <c r="S43" s="19" t="s">
        <v>183</v>
      </c>
      <c r="T43" s="12" t="str">
        <f aca="false">IF(R43="維持",J43,IF(R43="排除","無關新聞事件",IFERROR(INDEX(事件規則!$B$2:$B$53,MATCH(S43,事件規則!$A$2:$A$53,0)),"")))</f>
        <v>營運惡化</v>
      </c>
      <c r="U43" s="20" t="n">
        <f aca="false">IF(R43="維持",K43,IF(R43="排除",0,IFERROR(INDEX(事件規則!$C$2:$C$53,MATCH(S43,事件規則!$A$2:$A$53,0)),"")))</f>
        <v>3</v>
      </c>
      <c r="V43" s="21"/>
      <c r="W43" s="22"/>
      <c r="X43" s="10" t="str">
        <f aca="false">IF(AND(R43="修改",S43=""),"請選新事件代碼",IF(AND(R43&lt;&gt;"修改",S43&lt;&gt;""),"只有「修改」才需填代碼",""))</f>
        <v/>
      </c>
      <c r="Y43" s="21"/>
      <c r="Z43" s="22"/>
      <c r="AA43" s="23" t="s">
        <v>230</v>
      </c>
      <c r="AB43" s="13"/>
    </row>
    <row r="44" customFormat="false" ht="23.85" hidden="false" customHeight="false" outlineLevel="0" collapsed="false">
      <c r="A44" s="16" t="n">
        <v>43</v>
      </c>
      <c r="B44" s="9" t="s">
        <v>45</v>
      </c>
      <c r="C44" s="9" t="s">
        <v>57</v>
      </c>
      <c r="D44" s="10" t="s">
        <v>58</v>
      </c>
      <c r="E44" s="24" t="s">
        <v>231</v>
      </c>
      <c r="F44" s="12"/>
      <c r="G44" s="23" t="s">
        <v>120</v>
      </c>
      <c r="H44" s="14" t="n">
        <v>-0.961</v>
      </c>
      <c r="I44" s="15"/>
      <c r="J44" s="12"/>
      <c r="K44" s="9"/>
      <c r="L44" s="16" t="s">
        <v>51</v>
      </c>
      <c r="M44" s="17" t="s">
        <v>52</v>
      </c>
      <c r="N44" s="15" t="s">
        <v>61</v>
      </c>
      <c r="O44" s="16" t="s">
        <v>62</v>
      </c>
      <c r="P44" s="12" t="s">
        <v>63</v>
      </c>
      <c r="Q44" s="9"/>
      <c r="R44" s="18" t="s">
        <v>52</v>
      </c>
      <c r="S44" s="19" t="s">
        <v>61</v>
      </c>
      <c r="T44" s="12" t="str">
        <f aca="false">IF(R44="維持",J44,IF(R44="排除","無關新聞事件",IFERROR(INDEX(事件規則!$B$2:$B$53,MATCH(S44,事件規則!$A$2:$A$53,0)),"")))</f>
        <v>裁員或人力縮減</v>
      </c>
      <c r="U44" s="20" t="n">
        <f aca="false">IF(R44="維持",K44,IF(R44="排除",0,IFERROR(INDEX(事件規則!$C$2:$C$53,MATCH(S44,事件規則!$A$2:$A$53,0)),"")))</f>
        <v>3</v>
      </c>
      <c r="V44" s="21"/>
      <c r="W44" s="22"/>
      <c r="X44" s="10" t="str">
        <f aca="false">IF(AND(R44="修改",S44=""),"請選新事件代碼",IF(AND(R44&lt;&gt;"修改",S44&lt;&gt;""),"只有「修改」才需填代碼",""))</f>
        <v/>
      </c>
      <c r="Y44" s="21"/>
      <c r="Z44" s="22"/>
      <c r="AA44" s="23" t="s">
        <v>232</v>
      </c>
      <c r="AB44" s="13"/>
    </row>
    <row r="45" customFormat="false" ht="44" hidden="false" customHeight="false" outlineLevel="0" collapsed="false">
      <c r="A45" s="16" t="n">
        <v>44</v>
      </c>
      <c r="B45" s="9" t="s">
        <v>45</v>
      </c>
      <c r="C45" s="9" t="s">
        <v>213</v>
      </c>
      <c r="D45" s="10" t="s">
        <v>214</v>
      </c>
      <c r="E45" s="24" t="s">
        <v>233</v>
      </c>
      <c r="F45" s="12"/>
      <c r="G45" s="23" t="s">
        <v>78</v>
      </c>
      <c r="H45" s="14" t="n">
        <v>-0.961</v>
      </c>
      <c r="I45" s="15"/>
      <c r="J45" s="12"/>
      <c r="K45" s="9"/>
      <c r="L45" s="16" t="s">
        <v>51</v>
      </c>
      <c r="M45" s="17" t="s">
        <v>79</v>
      </c>
      <c r="N45" s="15"/>
      <c r="O45" s="16" t="s">
        <v>54</v>
      </c>
      <c r="P45" s="12" t="s">
        <v>80</v>
      </c>
      <c r="Q45" s="9"/>
      <c r="R45" s="18" t="s">
        <v>79</v>
      </c>
      <c r="S45" s="19"/>
      <c r="T45" s="12" t="str">
        <f aca="false">IF(R45="維持",J45,IF(R45="排除","無關新聞事件",IFERROR(INDEX(事件規則!$B$2:$B$53,MATCH(S45,事件規則!$A$2:$A$53,0)),"")))</f>
        <v>無關新聞事件</v>
      </c>
      <c r="U45" s="20" t="n">
        <f aca="false">IF(R45="維持",K45,IF(R45="排除",0,IFERROR(INDEX(事件規則!$C$2:$C$53,MATCH(S45,事件規則!$A$2:$A$53,0)),"")))</f>
        <v>0</v>
      </c>
      <c r="V45" s="21"/>
      <c r="W45" s="22"/>
      <c r="X45" s="10" t="str">
        <f aca="false">IF(AND(R45="修改",S45=""),"請選新事件代碼",IF(AND(R45&lt;&gt;"修改",S45&lt;&gt;""),"只有「修改」才需填代碼",""))</f>
        <v/>
      </c>
      <c r="Y45" s="21"/>
      <c r="Z45" s="22"/>
      <c r="AA45" s="23" t="s">
        <v>234</v>
      </c>
      <c r="AB45" s="13"/>
    </row>
    <row r="46" customFormat="false" ht="23.85" hidden="false" customHeight="false" outlineLevel="0" collapsed="false">
      <c r="A46" s="16" t="n">
        <v>45</v>
      </c>
      <c r="B46" s="9" t="s">
        <v>45</v>
      </c>
      <c r="C46" s="9" t="s">
        <v>57</v>
      </c>
      <c r="D46" s="10" t="s">
        <v>58</v>
      </c>
      <c r="E46" s="24" t="s">
        <v>218</v>
      </c>
      <c r="F46" s="12"/>
      <c r="G46" s="23" t="s">
        <v>219</v>
      </c>
      <c r="H46" s="14" t="n">
        <v>-0.961</v>
      </c>
      <c r="I46" s="15"/>
      <c r="J46" s="12"/>
      <c r="K46" s="9"/>
      <c r="L46" s="16" t="s">
        <v>51</v>
      </c>
      <c r="M46" s="17" t="s">
        <v>52</v>
      </c>
      <c r="N46" s="15" t="s">
        <v>61</v>
      </c>
      <c r="O46" s="16" t="s">
        <v>62</v>
      </c>
      <c r="P46" s="12" t="s">
        <v>63</v>
      </c>
      <c r="Q46" s="9"/>
      <c r="R46" s="18" t="s">
        <v>52</v>
      </c>
      <c r="S46" s="19" t="s">
        <v>61</v>
      </c>
      <c r="T46" s="12" t="str">
        <f aca="false">IF(R46="維持",J46,IF(R46="排除","無關新聞事件",IFERROR(INDEX(事件規則!$B$2:$B$53,MATCH(S46,事件規則!$A$2:$A$53,0)),"")))</f>
        <v>裁員或人力縮減</v>
      </c>
      <c r="U46" s="20" t="n">
        <f aca="false">IF(R46="維持",K46,IF(R46="排除",0,IFERROR(INDEX(事件規則!$C$2:$C$53,MATCH(S46,事件規則!$A$2:$A$53,0)),"")))</f>
        <v>3</v>
      </c>
      <c r="V46" s="21"/>
      <c r="W46" s="22"/>
      <c r="X46" s="10" t="str">
        <f aca="false">IF(AND(R46="修改",S46=""),"請選新事件代碼",IF(AND(R46&lt;&gt;"修改",S46&lt;&gt;""),"只有「修改」才需填代碼",""))</f>
        <v/>
      </c>
      <c r="Y46" s="21"/>
      <c r="Z46" s="22"/>
      <c r="AA46" s="23" t="s">
        <v>235</v>
      </c>
      <c r="AB46" s="13"/>
    </row>
    <row r="47" customFormat="false" ht="44" hidden="false" customHeight="false" outlineLevel="0" collapsed="false">
      <c r="A47" s="16" t="n">
        <v>46</v>
      </c>
      <c r="B47" s="9" t="s">
        <v>45</v>
      </c>
      <c r="C47" s="9" t="s">
        <v>236</v>
      </c>
      <c r="D47" s="10" t="s">
        <v>237</v>
      </c>
      <c r="E47" s="24" t="s">
        <v>238</v>
      </c>
      <c r="F47" s="12"/>
      <c r="G47" s="23" t="s">
        <v>120</v>
      </c>
      <c r="H47" s="14" t="n">
        <v>-0.961</v>
      </c>
      <c r="I47" s="15"/>
      <c r="J47" s="12"/>
      <c r="K47" s="9"/>
      <c r="L47" s="16" t="s">
        <v>51</v>
      </c>
      <c r="M47" s="17" t="s">
        <v>79</v>
      </c>
      <c r="N47" s="15"/>
      <c r="O47" s="16" t="s">
        <v>54</v>
      </c>
      <c r="P47" s="12" t="s">
        <v>80</v>
      </c>
      <c r="Q47" s="9"/>
      <c r="R47" s="18" t="s">
        <v>79</v>
      </c>
      <c r="S47" s="19"/>
      <c r="T47" s="12" t="str">
        <f aca="false">IF(R47="維持",J47,IF(R47="排除","無關新聞事件",IFERROR(INDEX(事件規則!$B$2:$B$53,MATCH(S47,事件規則!$A$2:$A$53,0)),"")))</f>
        <v>無關新聞事件</v>
      </c>
      <c r="U47" s="20" t="n">
        <f aca="false">IF(R47="維持",K47,IF(R47="排除",0,IFERROR(INDEX(事件規則!$C$2:$C$53,MATCH(S47,事件規則!$A$2:$A$53,0)),"")))</f>
        <v>0</v>
      </c>
      <c r="V47" s="21"/>
      <c r="W47" s="22"/>
      <c r="X47" s="10" t="str">
        <f aca="false">IF(AND(R47="修改",S47=""),"請選新事件代碼",IF(AND(R47&lt;&gt;"修改",S47&lt;&gt;""),"只有「修改」才需填代碼",""))</f>
        <v/>
      </c>
      <c r="Y47" s="21"/>
      <c r="Z47" s="22"/>
      <c r="AA47" s="23" t="s">
        <v>239</v>
      </c>
      <c r="AB47" s="13"/>
    </row>
    <row r="48" customFormat="false" ht="23.85" hidden="false" customHeight="false" outlineLevel="0" collapsed="false">
      <c r="A48" s="16" t="n">
        <v>47</v>
      </c>
      <c r="B48" s="9" t="s">
        <v>65</v>
      </c>
      <c r="C48" s="9" t="s">
        <v>240</v>
      </c>
      <c r="D48" s="10" t="s">
        <v>241</v>
      </c>
      <c r="E48" s="24" t="s">
        <v>242</v>
      </c>
      <c r="F48" s="12"/>
      <c r="G48" s="23" t="s">
        <v>243</v>
      </c>
      <c r="H48" s="14" t="n">
        <v>-0.961</v>
      </c>
      <c r="I48" s="15"/>
      <c r="J48" s="12"/>
      <c r="K48" s="9"/>
      <c r="L48" s="16" t="s">
        <v>51</v>
      </c>
      <c r="M48" s="17" t="s">
        <v>52</v>
      </c>
      <c r="N48" s="15" t="s">
        <v>61</v>
      </c>
      <c r="O48" s="16" t="s">
        <v>54</v>
      </c>
      <c r="P48" s="12" t="s">
        <v>244</v>
      </c>
      <c r="Q48" s="9"/>
      <c r="R48" s="18" t="s">
        <v>52</v>
      </c>
      <c r="S48" s="19" t="s">
        <v>61</v>
      </c>
      <c r="T48" s="12" t="str">
        <f aca="false">IF(R48="維持",J48,IF(R48="排除","無關新聞事件",IFERROR(INDEX(事件規則!$B$2:$B$53,MATCH(S48,事件規則!$A$2:$A$53,0)),"")))</f>
        <v>裁員或人力縮減</v>
      </c>
      <c r="U48" s="20" t="n">
        <f aca="false">IF(R48="維持",K48,IF(R48="排除",0,IFERROR(INDEX(事件規則!$C$2:$C$53,MATCH(S48,事件規則!$A$2:$A$53,0)),"")))</f>
        <v>3</v>
      </c>
      <c r="V48" s="21"/>
      <c r="W48" s="22"/>
      <c r="X48" s="10" t="str">
        <f aca="false">IF(AND(R48="修改",S48=""),"請選新事件代碼",IF(AND(R48&lt;&gt;"修改",S48&lt;&gt;""),"只有「修改」才需填代碼",""))</f>
        <v/>
      </c>
      <c r="Y48" s="21"/>
      <c r="Z48" s="22"/>
      <c r="AA48" s="23" t="s">
        <v>245</v>
      </c>
      <c r="AB48" s="13"/>
    </row>
    <row r="49" customFormat="false" ht="44" hidden="false" customHeight="false" outlineLevel="0" collapsed="false">
      <c r="A49" s="16" t="n">
        <v>48</v>
      </c>
      <c r="B49" s="9" t="s">
        <v>65</v>
      </c>
      <c r="C49" s="9" t="s">
        <v>246</v>
      </c>
      <c r="D49" s="10" t="s">
        <v>247</v>
      </c>
      <c r="E49" s="24" t="s">
        <v>248</v>
      </c>
      <c r="F49" s="12"/>
      <c r="G49" s="23" t="s">
        <v>249</v>
      </c>
      <c r="H49" s="14" t="n">
        <v>-0.961</v>
      </c>
      <c r="I49" s="15"/>
      <c r="J49" s="12"/>
      <c r="K49" s="9"/>
      <c r="L49" s="16" t="s">
        <v>51</v>
      </c>
      <c r="M49" s="17" t="s">
        <v>79</v>
      </c>
      <c r="N49" s="15"/>
      <c r="O49" s="16" t="s">
        <v>54</v>
      </c>
      <c r="P49" s="12" t="s">
        <v>80</v>
      </c>
      <c r="Q49" s="9"/>
      <c r="R49" s="18" t="s">
        <v>79</v>
      </c>
      <c r="S49" s="19"/>
      <c r="T49" s="12" t="str">
        <f aca="false">IF(R49="維持",J49,IF(R49="排除","無關新聞事件",IFERROR(INDEX(事件規則!$B$2:$B$53,MATCH(S49,事件規則!$A$2:$A$53,0)),"")))</f>
        <v>無關新聞事件</v>
      </c>
      <c r="U49" s="20" t="n">
        <f aca="false">IF(R49="維持",K49,IF(R49="排除",0,IFERROR(INDEX(事件規則!$C$2:$C$53,MATCH(S49,事件規則!$A$2:$A$53,0)),"")))</f>
        <v>0</v>
      </c>
      <c r="V49" s="21"/>
      <c r="W49" s="22"/>
      <c r="X49" s="10" t="str">
        <f aca="false">IF(AND(R49="修改",S49=""),"請選新事件代碼",IF(AND(R49&lt;&gt;"修改",S49&lt;&gt;""),"只有「修改」才需填代碼",""))</f>
        <v/>
      </c>
      <c r="Y49" s="21"/>
      <c r="Z49" s="22"/>
      <c r="AA49" s="23" t="s">
        <v>250</v>
      </c>
      <c r="AB49" s="13"/>
    </row>
    <row r="50" customFormat="false" ht="44" hidden="false" customHeight="false" outlineLevel="0" collapsed="false">
      <c r="A50" s="16" t="n">
        <v>49</v>
      </c>
      <c r="B50" s="9" t="s">
        <v>65</v>
      </c>
      <c r="C50" s="9" t="s">
        <v>251</v>
      </c>
      <c r="D50" s="10" t="s">
        <v>252</v>
      </c>
      <c r="E50" s="24" t="s">
        <v>253</v>
      </c>
      <c r="F50" s="12"/>
      <c r="G50" s="23" t="s">
        <v>147</v>
      </c>
      <c r="H50" s="14" t="n">
        <v>-0.961</v>
      </c>
      <c r="I50" s="15"/>
      <c r="J50" s="12"/>
      <c r="K50" s="9"/>
      <c r="L50" s="16" t="s">
        <v>51</v>
      </c>
      <c r="M50" s="17" t="s">
        <v>79</v>
      </c>
      <c r="N50" s="15"/>
      <c r="O50" s="16" t="s">
        <v>54</v>
      </c>
      <c r="P50" s="12" t="s">
        <v>80</v>
      </c>
      <c r="Q50" s="9"/>
      <c r="R50" s="18" t="s">
        <v>79</v>
      </c>
      <c r="S50" s="19"/>
      <c r="T50" s="12" t="str">
        <f aca="false">IF(R50="維持",J50,IF(R50="排除","無關新聞事件",IFERROR(INDEX(事件規則!$B$2:$B$53,MATCH(S50,事件規則!$A$2:$A$53,0)),"")))</f>
        <v>無關新聞事件</v>
      </c>
      <c r="U50" s="20" t="n">
        <f aca="false">IF(R50="維持",K50,IF(R50="排除",0,IFERROR(INDEX(事件規則!$C$2:$C$53,MATCH(S50,事件規則!$A$2:$A$53,0)),"")))</f>
        <v>0</v>
      </c>
      <c r="V50" s="21"/>
      <c r="W50" s="22"/>
      <c r="X50" s="10" t="str">
        <f aca="false">IF(AND(R50="修改",S50=""),"請選新事件代碼",IF(AND(R50&lt;&gt;"修改",S50&lt;&gt;""),"只有「修改」才需填代碼",""))</f>
        <v/>
      </c>
      <c r="Y50" s="21"/>
      <c r="Z50" s="22"/>
      <c r="AA50" s="23" t="s">
        <v>254</v>
      </c>
      <c r="AB50" s="13"/>
    </row>
    <row r="51" customFormat="false" ht="15" hidden="false" customHeight="false" outlineLevel="0" collapsed="false">
      <c r="A51" s="16" t="n">
        <v>50</v>
      </c>
      <c r="B51" s="9" t="s">
        <v>65</v>
      </c>
      <c r="C51" s="9" t="s">
        <v>255</v>
      </c>
      <c r="D51" s="10" t="s">
        <v>256</v>
      </c>
      <c r="E51" s="24" t="s">
        <v>257</v>
      </c>
      <c r="F51" s="12"/>
      <c r="G51" s="23" t="s">
        <v>258</v>
      </c>
      <c r="H51" s="14" t="n">
        <v>-0.961</v>
      </c>
      <c r="I51" s="15"/>
      <c r="J51" s="12"/>
      <c r="K51" s="9"/>
      <c r="L51" s="16" t="s">
        <v>51</v>
      </c>
      <c r="M51" s="17" t="s">
        <v>52</v>
      </c>
      <c r="N51" s="15" t="s">
        <v>259</v>
      </c>
      <c r="O51" s="16" t="s">
        <v>54</v>
      </c>
      <c r="P51" s="10" t="s">
        <v>260</v>
      </c>
      <c r="Q51" s="9"/>
      <c r="R51" s="18" t="s">
        <v>52</v>
      </c>
      <c r="S51" s="19" t="s">
        <v>259</v>
      </c>
      <c r="T51" s="12" t="str">
        <f aca="false">IF(R51="維持",J51,IF(R51="排除","無關新聞事件",IFERROR(INDEX(事件規則!$B$2:$B$53,MATCH(S51,事件規則!$A$2:$A$53,0)),"")))</f>
        <v>財報不如預期</v>
      </c>
      <c r="U51" s="20" t="n">
        <f aca="false">IF(R51="維持",K51,IF(R51="排除",0,IFERROR(INDEX(事件規則!$C$2:$C$53,MATCH(S51,事件規則!$A$2:$A$53,0)),"")))</f>
        <v>3</v>
      </c>
      <c r="V51" s="21"/>
      <c r="W51" s="22"/>
      <c r="X51" s="10" t="str">
        <f aca="false">IF(AND(R51="修改",S51=""),"請選新事件代碼",IF(AND(R51&lt;&gt;"修改",S51&lt;&gt;""),"只有「修改」才需填代碼",""))</f>
        <v/>
      </c>
      <c r="Y51" s="21"/>
      <c r="Z51" s="22"/>
      <c r="AA51" s="23" t="s">
        <v>261</v>
      </c>
      <c r="AB51" s="13"/>
    </row>
    <row r="52" customFormat="false" ht="15" hidden="false" customHeight="false" outlineLevel="0" collapsed="false">
      <c r="A52" s="16" t="n">
        <v>51</v>
      </c>
      <c r="B52" s="9" t="s">
        <v>65</v>
      </c>
      <c r="C52" s="9" t="s">
        <v>213</v>
      </c>
      <c r="D52" s="10" t="s">
        <v>214</v>
      </c>
      <c r="E52" s="24" t="s">
        <v>262</v>
      </c>
      <c r="F52" s="12"/>
      <c r="G52" s="23" t="s">
        <v>263</v>
      </c>
      <c r="H52" s="14" t="n">
        <v>-0.961</v>
      </c>
      <c r="I52" s="15"/>
      <c r="J52" s="12"/>
      <c r="K52" s="9"/>
      <c r="L52" s="16" t="s">
        <v>51</v>
      </c>
      <c r="M52" s="17" t="s">
        <v>52</v>
      </c>
      <c r="N52" s="15" t="s">
        <v>264</v>
      </c>
      <c r="O52" s="16" t="s">
        <v>54</v>
      </c>
      <c r="P52" s="10" t="s">
        <v>265</v>
      </c>
      <c r="Q52" s="9"/>
      <c r="R52" s="18" t="s">
        <v>52</v>
      </c>
      <c r="S52" s="19" t="s">
        <v>264</v>
      </c>
      <c r="T52" s="12" t="str">
        <f aca="false">IF(R52="維持",J52,IF(R52="排除","無關新聞事件",IFERROR(INDEX(事件規則!$B$2:$B$53,MATCH(S52,事件規則!$A$2:$A$53,0)),"")))</f>
        <v>分析師降評</v>
      </c>
      <c r="U52" s="20" t="n">
        <f aca="false">IF(R52="維持",K52,IF(R52="排除",0,IFERROR(INDEX(事件規則!$C$2:$C$53,MATCH(S52,事件規則!$A$2:$A$53,0)),"")))</f>
        <v>2</v>
      </c>
      <c r="V52" s="21"/>
      <c r="W52" s="22"/>
      <c r="X52" s="10" t="str">
        <f aca="false">IF(AND(R52="修改",S52=""),"請選新事件代碼",IF(AND(R52&lt;&gt;"修改",S52&lt;&gt;""),"只有「修改」才需填代碼",""))</f>
        <v/>
      </c>
      <c r="Y52" s="21"/>
      <c r="Z52" s="22"/>
      <c r="AA52" s="23" t="s">
        <v>266</v>
      </c>
      <c r="AB52" s="13"/>
    </row>
    <row r="53" customFormat="false" ht="23.85" hidden="false" customHeight="false" outlineLevel="0" collapsed="false">
      <c r="A53" s="16" t="n">
        <v>52</v>
      </c>
      <c r="B53" s="9" t="s">
        <v>65</v>
      </c>
      <c r="C53" s="9" t="s">
        <v>267</v>
      </c>
      <c r="D53" s="10" t="s">
        <v>268</v>
      </c>
      <c r="E53" s="24" t="s">
        <v>269</v>
      </c>
      <c r="F53" s="12"/>
      <c r="G53" s="23" t="s">
        <v>120</v>
      </c>
      <c r="H53" s="14" t="n">
        <v>-0.961</v>
      </c>
      <c r="I53" s="15"/>
      <c r="J53" s="12"/>
      <c r="K53" s="9"/>
      <c r="L53" s="16" t="s">
        <v>51</v>
      </c>
      <c r="M53" s="17" t="s">
        <v>52</v>
      </c>
      <c r="N53" s="15" t="s">
        <v>183</v>
      </c>
      <c r="O53" s="16" t="s">
        <v>54</v>
      </c>
      <c r="P53" s="10" t="s">
        <v>270</v>
      </c>
      <c r="Q53" s="9"/>
      <c r="R53" s="18" t="s">
        <v>52</v>
      </c>
      <c r="S53" s="19" t="s">
        <v>183</v>
      </c>
      <c r="T53" s="12" t="str">
        <f aca="false">IF(R53="維持",J53,IF(R53="排除","無關新聞事件",IFERROR(INDEX(事件規則!$B$2:$B$53,MATCH(S53,事件規則!$A$2:$A$53,0)),"")))</f>
        <v>營運惡化</v>
      </c>
      <c r="U53" s="20" t="n">
        <f aca="false">IF(R53="維持",K53,IF(R53="排除",0,IFERROR(INDEX(事件規則!$C$2:$C$53,MATCH(S53,事件規則!$A$2:$A$53,0)),"")))</f>
        <v>3</v>
      </c>
      <c r="V53" s="21"/>
      <c r="W53" s="22"/>
      <c r="X53" s="10" t="str">
        <f aca="false">IF(AND(R53="修改",S53=""),"請選新事件代碼",IF(AND(R53&lt;&gt;"修改",S53&lt;&gt;""),"只有「修改」才需填代碼",""))</f>
        <v/>
      </c>
      <c r="Y53" s="21"/>
      <c r="Z53" s="22"/>
      <c r="AA53" s="23" t="s">
        <v>271</v>
      </c>
      <c r="AB53" s="13"/>
    </row>
    <row r="54" customFormat="false" ht="23.85" hidden="false" customHeight="false" outlineLevel="0" collapsed="false">
      <c r="A54" s="16" t="n">
        <v>53</v>
      </c>
      <c r="B54" s="9" t="s">
        <v>65</v>
      </c>
      <c r="C54" s="9" t="s">
        <v>99</v>
      </c>
      <c r="D54" s="10" t="s">
        <v>100</v>
      </c>
      <c r="E54" s="24" t="s">
        <v>272</v>
      </c>
      <c r="F54" s="12"/>
      <c r="G54" s="23" t="s">
        <v>273</v>
      </c>
      <c r="H54" s="14" t="n">
        <v>-0.961</v>
      </c>
      <c r="I54" s="15"/>
      <c r="J54" s="12"/>
      <c r="K54" s="9"/>
      <c r="L54" s="16" t="s">
        <v>51</v>
      </c>
      <c r="M54" s="17" t="s">
        <v>52</v>
      </c>
      <c r="N54" s="15" t="s">
        <v>61</v>
      </c>
      <c r="O54" s="16" t="s">
        <v>54</v>
      </c>
      <c r="P54" s="10" t="s">
        <v>274</v>
      </c>
      <c r="Q54" s="9"/>
      <c r="R54" s="18" t="s">
        <v>52</v>
      </c>
      <c r="S54" s="19" t="s">
        <v>61</v>
      </c>
      <c r="T54" s="12" t="str">
        <f aca="false">IF(R54="維持",J54,IF(R54="排除","無關新聞事件",IFERROR(INDEX(事件規則!$B$2:$B$53,MATCH(S54,事件規則!$A$2:$A$53,0)),"")))</f>
        <v>裁員或人力縮減</v>
      </c>
      <c r="U54" s="20" t="n">
        <f aca="false">IF(R54="維持",K54,IF(R54="排除",0,IFERROR(INDEX(事件規則!$C$2:$C$53,MATCH(S54,事件規則!$A$2:$A$53,0)),"")))</f>
        <v>3</v>
      </c>
      <c r="V54" s="21"/>
      <c r="W54" s="22"/>
      <c r="X54" s="10" t="str">
        <f aca="false">IF(AND(R54="修改",S54=""),"請選新事件代碼",IF(AND(R54&lt;&gt;"修改",S54&lt;&gt;""),"只有「修改」才需填代碼",""))</f>
        <v/>
      </c>
      <c r="Y54" s="21"/>
      <c r="Z54" s="22"/>
      <c r="AA54" s="23" t="s">
        <v>275</v>
      </c>
      <c r="AB54" s="13"/>
    </row>
    <row r="55" customFormat="false" ht="29.85" hidden="false" customHeight="false" outlineLevel="0" collapsed="false">
      <c r="A55" s="16" t="n">
        <v>54</v>
      </c>
      <c r="B55" s="9" t="s">
        <v>45</v>
      </c>
      <c r="C55" s="16"/>
      <c r="D55" s="10" t="s">
        <v>58</v>
      </c>
      <c r="E55" s="11" t="s">
        <v>276</v>
      </c>
      <c r="F55" s="12" t="s">
        <v>277</v>
      </c>
      <c r="G55" s="23" t="s">
        <v>152</v>
      </c>
      <c r="H55" s="14" t="n">
        <v>-0.96</v>
      </c>
      <c r="I55" s="15"/>
      <c r="J55" s="12"/>
      <c r="K55" s="9"/>
      <c r="L55" s="16" t="s">
        <v>51</v>
      </c>
      <c r="M55" s="17" t="s">
        <v>52</v>
      </c>
      <c r="N55" s="15" t="s">
        <v>61</v>
      </c>
      <c r="O55" s="16" t="s">
        <v>62</v>
      </c>
      <c r="P55" s="12" t="s">
        <v>63</v>
      </c>
      <c r="Q55" s="9"/>
      <c r="R55" s="18" t="s">
        <v>52</v>
      </c>
      <c r="S55" s="19" t="s">
        <v>61</v>
      </c>
      <c r="T55" s="12" t="str">
        <f aca="false">IF(R55="維持",J55,IF(R55="排除","無關新聞事件",IFERROR(INDEX(事件規則!$B$2:$B$53,MATCH(S55,事件規則!$A$2:$A$53,0)),"")))</f>
        <v>裁員或人力縮減</v>
      </c>
      <c r="U55" s="20" t="n">
        <f aca="false">IF(R55="維持",K55,IF(R55="排除",0,IFERROR(INDEX(事件規則!$C$2:$C$53,MATCH(S55,事件規則!$A$2:$A$53,0)),"")))</f>
        <v>3</v>
      </c>
      <c r="V55" s="21"/>
      <c r="W55" s="22" t="s">
        <v>57</v>
      </c>
      <c r="X55" s="10" t="str">
        <f aca="false">IF(AND(R55="修改",S55=""),"請選新事件代碼",IF(AND(R55&lt;&gt;"修改",S55&lt;&gt;""),"只有「修改」才需填代碼",""))</f>
        <v/>
      </c>
      <c r="Y55" s="21"/>
      <c r="Z55" s="22"/>
      <c r="AA55" s="23" t="s">
        <v>278</v>
      </c>
      <c r="AB55" s="13"/>
    </row>
    <row r="56" customFormat="false" ht="44" hidden="false" customHeight="false" outlineLevel="0" collapsed="false">
      <c r="A56" s="16" t="n">
        <v>55</v>
      </c>
      <c r="B56" s="9" t="s">
        <v>45</v>
      </c>
      <c r="C56" s="16"/>
      <c r="D56" s="10" t="s">
        <v>279</v>
      </c>
      <c r="E56" s="11" t="s">
        <v>280</v>
      </c>
      <c r="F56" s="12" t="s">
        <v>280</v>
      </c>
      <c r="G56" s="23" t="s">
        <v>152</v>
      </c>
      <c r="H56" s="14" t="n">
        <v>-0.96</v>
      </c>
      <c r="I56" s="15"/>
      <c r="J56" s="12"/>
      <c r="K56" s="9"/>
      <c r="L56" s="16" t="s">
        <v>51</v>
      </c>
      <c r="M56" s="17" t="s">
        <v>79</v>
      </c>
      <c r="N56" s="15"/>
      <c r="O56" s="16" t="s">
        <v>54</v>
      </c>
      <c r="P56" s="12" t="s">
        <v>80</v>
      </c>
      <c r="Q56" s="9"/>
      <c r="R56" s="18" t="s">
        <v>79</v>
      </c>
      <c r="S56" s="19"/>
      <c r="T56" s="12" t="str">
        <f aca="false">IF(R56="維持",J56,IF(R56="排除","無關新聞事件",IFERROR(INDEX(事件規則!$B$2:$B$53,MATCH(S56,事件規則!$A$2:$A$53,0)),"")))</f>
        <v>無關新聞事件</v>
      </c>
      <c r="U56" s="20" t="n">
        <f aca="false">IF(R56="維持",K56,IF(R56="排除",0,IFERROR(INDEX(事件規則!$C$2:$C$53,MATCH(S56,事件規則!$A$2:$A$53,0)),"")))</f>
        <v>0</v>
      </c>
      <c r="V56" s="21"/>
      <c r="W56" s="22"/>
      <c r="X56" s="10" t="str">
        <f aca="false">IF(AND(R56="修改",S56=""),"請選新事件代碼",IF(AND(R56&lt;&gt;"修改",S56&lt;&gt;""),"只有「修改」才需填代碼",""))</f>
        <v/>
      </c>
      <c r="Y56" s="21"/>
      <c r="Z56" s="22"/>
      <c r="AA56" s="23" t="s">
        <v>281</v>
      </c>
      <c r="AB56" s="13"/>
    </row>
    <row r="57" customFormat="false" ht="15" hidden="false" customHeight="false" outlineLevel="0" collapsed="false">
      <c r="A57" s="16" t="n">
        <v>56</v>
      </c>
      <c r="B57" s="9" t="s">
        <v>45</v>
      </c>
      <c r="C57" s="9" t="s">
        <v>282</v>
      </c>
      <c r="D57" s="10" t="s">
        <v>283</v>
      </c>
      <c r="E57" s="24" t="s">
        <v>284</v>
      </c>
      <c r="F57" s="12"/>
      <c r="G57" s="23" t="s">
        <v>285</v>
      </c>
      <c r="H57" s="14" t="n">
        <v>-0.96</v>
      </c>
      <c r="I57" s="15"/>
      <c r="J57" s="12"/>
      <c r="K57" s="9"/>
      <c r="L57" s="16" t="s">
        <v>51</v>
      </c>
      <c r="M57" s="17" t="s">
        <v>52</v>
      </c>
      <c r="N57" s="15" t="s">
        <v>259</v>
      </c>
      <c r="O57" s="16" t="s">
        <v>62</v>
      </c>
      <c r="P57" s="10" t="s">
        <v>286</v>
      </c>
      <c r="Q57" s="9"/>
      <c r="R57" s="18" t="s">
        <v>52</v>
      </c>
      <c r="S57" s="19" t="s">
        <v>259</v>
      </c>
      <c r="T57" s="12" t="str">
        <f aca="false">IF(R57="維持",J57,IF(R57="排除","無關新聞事件",IFERROR(INDEX(事件規則!$B$2:$B$53,MATCH(S57,事件規則!$A$2:$A$53,0)),"")))</f>
        <v>財報不如預期</v>
      </c>
      <c r="U57" s="20" t="n">
        <f aca="false">IF(R57="維持",K57,IF(R57="排除",0,IFERROR(INDEX(事件規則!$C$2:$C$53,MATCH(S57,事件規則!$A$2:$A$53,0)),"")))</f>
        <v>3</v>
      </c>
      <c r="V57" s="21"/>
      <c r="W57" s="22"/>
      <c r="X57" s="10" t="str">
        <f aca="false">IF(AND(R57="修改",S57=""),"請選新事件代碼",IF(AND(R57&lt;&gt;"修改",S57&lt;&gt;""),"只有「修改」才需填代碼",""))</f>
        <v/>
      </c>
      <c r="Y57" s="21"/>
      <c r="Z57" s="22"/>
      <c r="AA57" s="23" t="s">
        <v>287</v>
      </c>
      <c r="AB57" s="13"/>
    </row>
    <row r="58" customFormat="false" ht="23.85" hidden="false" customHeight="false" outlineLevel="0" collapsed="false">
      <c r="A58" s="16" t="n">
        <v>57</v>
      </c>
      <c r="B58" s="9" t="s">
        <v>65</v>
      </c>
      <c r="C58" s="9" t="s">
        <v>240</v>
      </c>
      <c r="D58" s="10" t="s">
        <v>241</v>
      </c>
      <c r="E58" s="24" t="s">
        <v>288</v>
      </c>
      <c r="F58" s="12"/>
      <c r="G58" s="23" t="s">
        <v>289</v>
      </c>
      <c r="H58" s="14" t="n">
        <v>-0.96</v>
      </c>
      <c r="I58" s="15"/>
      <c r="J58" s="12"/>
      <c r="K58" s="9"/>
      <c r="L58" s="16" t="s">
        <v>51</v>
      </c>
      <c r="M58" s="17" t="s">
        <v>52</v>
      </c>
      <c r="N58" s="15" t="s">
        <v>61</v>
      </c>
      <c r="O58" s="16" t="s">
        <v>54</v>
      </c>
      <c r="P58" s="12" t="s">
        <v>244</v>
      </c>
      <c r="Q58" s="9"/>
      <c r="R58" s="18" t="s">
        <v>52</v>
      </c>
      <c r="S58" s="19" t="s">
        <v>61</v>
      </c>
      <c r="T58" s="12" t="str">
        <f aca="false">IF(R58="維持",J58,IF(R58="排除","無關新聞事件",IFERROR(INDEX(事件規則!$B$2:$B$53,MATCH(S58,事件規則!$A$2:$A$53,0)),"")))</f>
        <v>裁員或人力縮減</v>
      </c>
      <c r="U58" s="20" t="n">
        <f aca="false">IF(R58="維持",K58,IF(R58="排除",0,IFERROR(INDEX(事件規則!$C$2:$C$53,MATCH(S58,事件規則!$A$2:$A$53,0)),"")))</f>
        <v>3</v>
      </c>
      <c r="V58" s="21"/>
      <c r="W58" s="22"/>
      <c r="X58" s="10" t="str">
        <f aca="false">IF(AND(R58="修改",S58=""),"請選新事件代碼",IF(AND(R58&lt;&gt;"修改",S58&lt;&gt;""),"只有「修改」才需填代碼",""))</f>
        <v/>
      </c>
      <c r="Y58" s="21"/>
      <c r="Z58" s="22"/>
      <c r="AA58" s="23" t="s">
        <v>290</v>
      </c>
      <c r="AB58" s="13"/>
    </row>
    <row r="59" customFormat="false" ht="15" hidden="false" customHeight="false" outlineLevel="0" collapsed="false">
      <c r="A59" s="16" t="n">
        <v>58</v>
      </c>
      <c r="B59" s="9" t="s">
        <v>65</v>
      </c>
      <c r="C59" s="9" t="s">
        <v>88</v>
      </c>
      <c r="D59" s="10" t="s">
        <v>89</v>
      </c>
      <c r="E59" s="24" t="s">
        <v>291</v>
      </c>
      <c r="F59" s="12"/>
      <c r="G59" s="23" t="s">
        <v>292</v>
      </c>
      <c r="H59" s="14" t="n">
        <v>-0.96</v>
      </c>
      <c r="I59" s="15"/>
      <c r="J59" s="12"/>
      <c r="K59" s="9"/>
      <c r="L59" s="16" t="s">
        <v>51</v>
      </c>
      <c r="M59" s="17" t="s">
        <v>52</v>
      </c>
      <c r="N59" s="15" t="s">
        <v>53</v>
      </c>
      <c r="O59" s="16" t="s">
        <v>54</v>
      </c>
      <c r="P59" s="10" t="s">
        <v>55</v>
      </c>
      <c r="Q59" s="9"/>
      <c r="R59" s="18" t="s">
        <v>52</v>
      </c>
      <c r="S59" s="19" t="s">
        <v>53</v>
      </c>
      <c r="T59" s="12" t="str">
        <f aca="false">IF(R59="維持",J59,IF(R59="排除","無關新聞事件",IFERROR(INDEX(事件規則!$B$2:$B$53,MATCH(S59,事件規則!$A$2:$A$53,0)),"")))</f>
        <v>股價下跌</v>
      </c>
      <c r="U59" s="20" t="n">
        <f aca="false">IF(R59="維持",K59,IF(R59="排除",0,IFERROR(INDEX(事件規則!$C$2:$C$53,MATCH(S59,事件規則!$A$2:$A$53,0)),"")))</f>
        <v>1</v>
      </c>
      <c r="V59" s="21"/>
      <c r="W59" s="22"/>
      <c r="X59" s="10" t="str">
        <f aca="false">IF(AND(R59="修改",S59=""),"請選新事件代碼",IF(AND(R59&lt;&gt;"修改",S59&lt;&gt;""),"只有「修改」才需填代碼",""))</f>
        <v/>
      </c>
      <c r="Y59" s="21"/>
      <c r="Z59" s="22"/>
      <c r="AA59" s="23" t="s">
        <v>293</v>
      </c>
      <c r="AB59" s="13"/>
    </row>
    <row r="60" customFormat="false" ht="44" hidden="false" customHeight="false" outlineLevel="0" collapsed="false">
      <c r="A60" s="16" t="n">
        <v>59</v>
      </c>
      <c r="B60" s="9" t="s">
        <v>65</v>
      </c>
      <c r="C60" s="9" t="s">
        <v>255</v>
      </c>
      <c r="D60" s="10" t="s">
        <v>256</v>
      </c>
      <c r="E60" s="24" t="s">
        <v>294</v>
      </c>
      <c r="F60" s="12"/>
      <c r="G60" s="23" t="s">
        <v>295</v>
      </c>
      <c r="H60" s="14" t="n">
        <v>-0.96</v>
      </c>
      <c r="I60" s="15"/>
      <c r="J60" s="12"/>
      <c r="K60" s="9"/>
      <c r="L60" s="16" t="s">
        <v>51</v>
      </c>
      <c r="M60" s="17" t="s">
        <v>79</v>
      </c>
      <c r="N60" s="15"/>
      <c r="O60" s="16" t="s">
        <v>54</v>
      </c>
      <c r="P60" s="12" t="s">
        <v>80</v>
      </c>
      <c r="Q60" s="9"/>
      <c r="R60" s="18" t="s">
        <v>79</v>
      </c>
      <c r="S60" s="19"/>
      <c r="T60" s="12" t="str">
        <f aca="false">IF(R60="維持",J60,IF(R60="排除","無關新聞事件",IFERROR(INDEX(事件規則!$B$2:$B$53,MATCH(S60,事件規則!$A$2:$A$53,0)),"")))</f>
        <v>無關新聞事件</v>
      </c>
      <c r="U60" s="20" t="n">
        <f aca="false">IF(R60="維持",K60,IF(R60="排除",0,IFERROR(INDEX(事件規則!$C$2:$C$53,MATCH(S60,事件規則!$A$2:$A$53,0)),"")))</f>
        <v>0</v>
      </c>
      <c r="V60" s="21"/>
      <c r="W60" s="22"/>
      <c r="X60" s="10" t="str">
        <f aca="false">IF(AND(R60="修改",S60=""),"請選新事件代碼",IF(AND(R60&lt;&gt;"修改",S60&lt;&gt;""),"只有「修改」才需填代碼",""))</f>
        <v/>
      </c>
      <c r="Y60" s="21"/>
      <c r="Z60" s="22"/>
      <c r="AA60" s="23" t="s">
        <v>296</v>
      </c>
      <c r="AB60" s="13"/>
    </row>
    <row r="61" customFormat="false" ht="44" hidden="false" customHeight="false" outlineLevel="0" collapsed="false">
      <c r="A61" s="16" t="n">
        <v>60</v>
      </c>
      <c r="B61" s="9" t="s">
        <v>45</v>
      </c>
      <c r="C61" s="9" t="s">
        <v>282</v>
      </c>
      <c r="D61" s="10" t="s">
        <v>283</v>
      </c>
      <c r="E61" s="24" t="s">
        <v>297</v>
      </c>
      <c r="F61" s="12"/>
      <c r="G61" s="23" t="s">
        <v>298</v>
      </c>
      <c r="H61" s="14" t="n">
        <v>-0.96</v>
      </c>
      <c r="I61" s="15"/>
      <c r="J61" s="12"/>
      <c r="K61" s="9"/>
      <c r="L61" s="16" t="s">
        <v>51</v>
      </c>
      <c r="M61" s="17" t="s">
        <v>79</v>
      </c>
      <c r="N61" s="15"/>
      <c r="O61" s="16" t="s">
        <v>54</v>
      </c>
      <c r="P61" s="12" t="s">
        <v>80</v>
      </c>
      <c r="Q61" s="9"/>
      <c r="R61" s="18" t="s">
        <v>79</v>
      </c>
      <c r="S61" s="19"/>
      <c r="T61" s="12" t="str">
        <f aca="false">IF(R61="維持",J61,IF(R61="排除","無關新聞事件",IFERROR(INDEX(事件規則!$B$2:$B$53,MATCH(S61,事件規則!$A$2:$A$53,0)),"")))</f>
        <v>無關新聞事件</v>
      </c>
      <c r="U61" s="20" t="n">
        <f aca="false">IF(R61="維持",K61,IF(R61="排除",0,IFERROR(INDEX(事件規則!$C$2:$C$53,MATCH(S61,事件規則!$A$2:$A$53,0)),"")))</f>
        <v>0</v>
      </c>
      <c r="V61" s="21"/>
      <c r="W61" s="22"/>
      <c r="X61" s="10" t="str">
        <f aca="false">IF(AND(R61="修改",S61=""),"請選新事件代碼",IF(AND(R61&lt;&gt;"修改",S61&lt;&gt;""),"只有「修改」才需填代碼",""))</f>
        <v/>
      </c>
      <c r="Y61" s="21"/>
      <c r="Z61" s="22"/>
      <c r="AA61" s="23" t="s">
        <v>299</v>
      </c>
      <c r="AB61" s="13"/>
    </row>
    <row r="62" customFormat="false" ht="15" hidden="false" customHeight="false" outlineLevel="0" collapsed="false">
      <c r="A62" s="16" t="n">
        <v>61</v>
      </c>
      <c r="B62" s="9" t="s">
        <v>45</v>
      </c>
      <c r="C62" s="16"/>
      <c r="D62" s="12"/>
      <c r="E62" s="24" t="s">
        <v>300</v>
      </c>
      <c r="F62" s="12"/>
      <c r="G62" s="23" t="s">
        <v>301</v>
      </c>
      <c r="H62" s="14" t="n">
        <v>-0.96</v>
      </c>
      <c r="I62" s="15"/>
      <c r="J62" s="12"/>
      <c r="K62" s="9"/>
      <c r="L62" s="16" t="s">
        <v>51</v>
      </c>
      <c r="M62" s="17" t="s">
        <v>52</v>
      </c>
      <c r="N62" s="15" t="s">
        <v>259</v>
      </c>
      <c r="O62" s="16" t="s">
        <v>54</v>
      </c>
      <c r="P62" s="10" t="s">
        <v>302</v>
      </c>
      <c r="Q62" s="9"/>
      <c r="R62" s="18" t="s">
        <v>52</v>
      </c>
      <c r="S62" s="19" t="s">
        <v>259</v>
      </c>
      <c r="T62" s="12" t="str">
        <f aca="false">IF(R62="維持",J62,IF(R62="排除","無關新聞事件",IFERROR(INDEX(事件規則!$B$2:$B$53,MATCH(S62,事件規則!$A$2:$A$53,0)),"")))</f>
        <v>財報不如預期</v>
      </c>
      <c r="U62" s="20" t="n">
        <f aca="false">IF(R62="維持",K62,IF(R62="排除",0,IFERROR(INDEX(事件規則!$C$2:$C$53,MATCH(S62,事件規則!$A$2:$A$53,0)),"")))</f>
        <v>3</v>
      </c>
      <c r="V62" s="21" t="s">
        <v>303</v>
      </c>
      <c r="W62" s="22" t="s">
        <v>304</v>
      </c>
      <c r="X62" s="10" t="str">
        <f aca="false">IF(AND(R62="修改",S62=""),"請選新事件代碼",IF(AND(R62&lt;&gt;"修改",S62&lt;&gt;""),"只有「修改」才需填代碼",""))</f>
        <v/>
      </c>
      <c r="Y62" s="21"/>
      <c r="Z62" s="22"/>
      <c r="AA62" s="23" t="s">
        <v>305</v>
      </c>
      <c r="AB62" s="13"/>
    </row>
    <row r="63" customFormat="false" ht="23.85" hidden="false" customHeight="false" outlineLevel="0" collapsed="false">
      <c r="A63" s="16" t="n">
        <v>62</v>
      </c>
      <c r="B63" s="9" t="s">
        <v>45</v>
      </c>
      <c r="C63" s="9" t="s">
        <v>57</v>
      </c>
      <c r="D63" s="10" t="s">
        <v>58</v>
      </c>
      <c r="E63" s="24" t="s">
        <v>306</v>
      </c>
      <c r="F63" s="12"/>
      <c r="G63" s="23" t="s">
        <v>120</v>
      </c>
      <c r="H63" s="14" t="n">
        <v>-0.959</v>
      </c>
      <c r="I63" s="15"/>
      <c r="J63" s="12"/>
      <c r="K63" s="9"/>
      <c r="L63" s="16" t="s">
        <v>51</v>
      </c>
      <c r="M63" s="17" t="s">
        <v>52</v>
      </c>
      <c r="N63" s="15" t="s">
        <v>61</v>
      </c>
      <c r="O63" s="16" t="s">
        <v>62</v>
      </c>
      <c r="P63" s="12" t="s">
        <v>63</v>
      </c>
      <c r="Q63" s="9"/>
      <c r="R63" s="18" t="s">
        <v>52</v>
      </c>
      <c r="S63" s="19" t="s">
        <v>61</v>
      </c>
      <c r="T63" s="12" t="str">
        <f aca="false">IF(R63="維持",J63,IF(R63="排除","無關新聞事件",IFERROR(INDEX(事件規則!$B$2:$B$53,MATCH(S63,事件規則!$A$2:$A$53,0)),"")))</f>
        <v>裁員或人力縮減</v>
      </c>
      <c r="U63" s="20" t="n">
        <f aca="false">IF(R63="維持",K63,IF(R63="排除",0,IFERROR(INDEX(事件規則!$C$2:$C$53,MATCH(S63,事件規則!$A$2:$A$53,0)),"")))</f>
        <v>3</v>
      </c>
      <c r="V63" s="21"/>
      <c r="W63" s="22"/>
      <c r="X63" s="10" t="str">
        <f aca="false">IF(AND(R63="修改",S63=""),"請選新事件代碼",IF(AND(R63&lt;&gt;"修改",S63&lt;&gt;""),"只有「修改」才需填代碼",""))</f>
        <v/>
      </c>
      <c r="Y63" s="21"/>
      <c r="Z63" s="22"/>
      <c r="AA63" s="23" t="s">
        <v>307</v>
      </c>
      <c r="AB63" s="13"/>
    </row>
    <row r="64" customFormat="false" ht="15" hidden="false" customHeight="false" outlineLevel="0" collapsed="false">
      <c r="A64" s="16" t="n">
        <v>63</v>
      </c>
      <c r="B64" s="9" t="s">
        <v>45</v>
      </c>
      <c r="C64" s="9" t="s">
        <v>282</v>
      </c>
      <c r="D64" s="10" t="s">
        <v>283</v>
      </c>
      <c r="E64" s="24" t="s">
        <v>308</v>
      </c>
      <c r="F64" s="12"/>
      <c r="G64" s="23" t="s">
        <v>301</v>
      </c>
      <c r="H64" s="14" t="n">
        <v>-0.959</v>
      </c>
      <c r="I64" s="15"/>
      <c r="J64" s="12"/>
      <c r="K64" s="9"/>
      <c r="L64" s="16" t="s">
        <v>51</v>
      </c>
      <c r="M64" s="17" t="s">
        <v>52</v>
      </c>
      <c r="N64" s="15" t="s">
        <v>264</v>
      </c>
      <c r="O64" s="16" t="s">
        <v>62</v>
      </c>
      <c r="P64" s="10" t="s">
        <v>309</v>
      </c>
      <c r="Q64" s="9"/>
      <c r="R64" s="18" t="s">
        <v>52</v>
      </c>
      <c r="S64" s="19" t="s">
        <v>264</v>
      </c>
      <c r="T64" s="12" t="str">
        <f aca="false">IF(R64="維持",J64,IF(R64="排除","無關新聞事件",IFERROR(INDEX(事件規則!$B$2:$B$53,MATCH(S64,事件規則!$A$2:$A$53,0)),"")))</f>
        <v>分析師降評</v>
      </c>
      <c r="U64" s="20" t="n">
        <f aca="false">IF(R64="維持",K64,IF(R64="排除",0,IFERROR(INDEX(事件規則!$C$2:$C$53,MATCH(S64,事件規則!$A$2:$A$53,0)),"")))</f>
        <v>2</v>
      </c>
      <c r="V64" s="21"/>
      <c r="W64" s="22"/>
      <c r="X64" s="10" t="str">
        <f aca="false">IF(AND(R64="修改",S64=""),"請選新事件代碼",IF(AND(R64&lt;&gt;"修改",S64&lt;&gt;""),"只有「修改」才需填代碼",""))</f>
        <v/>
      </c>
      <c r="Y64" s="21"/>
      <c r="Z64" s="22"/>
      <c r="AA64" s="23" t="s">
        <v>310</v>
      </c>
      <c r="AB64" s="13"/>
    </row>
    <row r="65" customFormat="false" ht="44" hidden="false" customHeight="false" outlineLevel="0" collapsed="false">
      <c r="A65" s="16" t="n">
        <v>64</v>
      </c>
      <c r="B65" s="9" t="s">
        <v>45</v>
      </c>
      <c r="C65" s="9" t="s">
        <v>132</v>
      </c>
      <c r="D65" s="10" t="s">
        <v>133</v>
      </c>
      <c r="E65" s="24" t="s">
        <v>311</v>
      </c>
      <c r="F65" s="12"/>
      <c r="G65" s="23" t="s">
        <v>312</v>
      </c>
      <c r="H65" s="14" t="n">
        <v>-0.959</v>
      </c>
      <c r="I65" s="15"/>
      <c r="J65" s="12"/>
      <c r="K65" s="9"/>
      <c r="L65" s="16" t="s">
        <v>51</v>
      </c>
      <c r="M65" s="17" t="s">
        <v>79</v>
      </c>
      <c r="N65" s="15"/>
      <c r="O65" s="16" t="s">
        <v>54</v>
      </c>
      <c r="P65" s="12" t="s">
        <v>80</v>
      </c>
      <c r="Q65" s="9"/>
      <c r="R65" s="18" t="s">
        <v>79</v>
      </c>
      <c r="S65" s="19"/>
      <c r="T65" s="12" t="str">
        <f aca="false">IF(R65="維持",J65,IF(R65="排除","無關新聞事件",IFERROR(INDEX(事件規則!$B$2:$B$53,MATCH(S65,事件規則!$A$2:$A$53,0)),"")))</f>
        <v>無關新聞事件</v>
      </c>
      <c r="U65" s="20" t="n">
        <f aca="false">IF(R65="維持",K65,IF(R65="排除",0,IFERROR(INDEX(事件規則!$C$2:$C$53,MATCH(S65,事件規則!$A$2:$A$53,0)),"")))</f>
        <v>0</v>
      </c>
      <c r="V65" s="21"/>
      <c r="W65" s="22"/>
      <c r="X65" s="10" t="str">
        <f aca="false">IF(AND(R65="修改",S65=""),"請選新事件代碼",IF(AND(R65&lt;&gt;"修改",S65&lt;&gt;""),"只有「修改」才需填代碼",""))</f>
        <v/>
      </c>
      <c r="Y65" s="21"/>
      <c r="Z65" s="22"/>
      <c r="AA65" s="23" t="s">
        <v>313</v>
      </c>
      <c r="AB65" s="13"/>
    </row>
    <row r="66" customFormat="false" ht="44" hidden="false" customHeight="false" outlineLevel="0" collapsed="false">
      <c r="A66" s="16" t="n">
        <v>65</v>
      </c>
      <c r="B66" s="9" t="s">
        <v>45</v>
      </c>
      <c r="C66" s="9" t="s">
        <v>314</v>
      </c>
      <c r="D66" s="10" t="s">
        <v>315</v>
      </c>
      <c r="E66" s="24" t="s">
        <v>316</v>
      </c>
      <c r="F66" s="12"/>
      <c r="G66" s="23" t="s">
        <v>317</v>
      </c>
      <c r="H66" s="14" t="n">
        <v>-0.959</v>
      </c>
      <c r="I66" s="15"/>
      <c r="J66" s="12"/>
      <c r="K66" s="9"/>
      <c r="L66" s="16" t="s">
        <v>51</v>
      </c>
      <c r="M66" s="17" t="s">
        <v>79</v>
      </c>
      <c r="N66" s="15"/>
      <c r="O66" s="16" t="s">
        <v>54</v>
      </c>
      <c r="P66" s="12" t="s">
        <v>80</v>
      </c>
      <c r="Q66" s="9"/>
      <c r="R66" s="18" t="s">
        <v>79</v>
      </c>
      <c r="S66" s="19"/>
      <c r="T66" s="12" t="str">
        <f aca="false">IF(R66="維持",J66,IF(R66="排除","無關新聞事件",IFERROR(INDEX(事件規則!$B$2:$B$53,MATCH(S66,事件規則!$A$2:$A$53,0)),"")))</f>
        <v>無關新聞事件</v>
      </c>
      <c r="U66" s="20" t="n">
        <f aca="false">IF(R66="維持",K66,IF(R66="排除",0,IFERROR(INDEX(事件規則!$C$2:$C$53,MATCH(S66,事件規則!$A$2:$A$53,0)),"")))</f>
        <v>0</v>
      </c>
      <c r="V66" s="21"/>
      <c r="W66" s="22"/>
      <c r="X66" s="10" t="str">
        <f aca="false">IF(AND(R66="修改",S66=""),"請選新事件代碼",IF(AND(R66&lt;&gt;"修改",S66&lt;&gt;""),"只有「修改」才需填代碼",""))</f>
        <v/>
      </c>
      <c r="Y66" s="21"/>
      <c r="Z66" s="22"/>
      <c r="AA66" s="23" t="s">
        <v>318</v>
      </c>
      <c r="AB66" s="13"/>
    </row>
    <row r="67" customFormat="false" ht="44" hidden="false" customHeight="false" outlineLevel="0" collapsed="false">
      <c r="A67" s="16" t="n">
        <v>66</v>
      </c>
      <c r="B67" s="9" t="s">
        <v>65</v>
      </c>
      <c r="C67" s="9" t="s">
        <v>57</v>
      </c>
      <c r="D67" s="10" t="s">
        <v>58</v>
      </c>
      <c r="E67" s="24" t="s">
        <v>319</v>
      </c>
      <c r="F67" s="12"/>
      <c r="G67" s="23" t="s">
        <v>120</v>
      </c>
      <c r="H67" s="14" t="n">
        <v>-0.959</v>
      </c>
      <c r="I67" s="15"/>
      <c r="J67" s="12"/>
      <c r="K67" s="9"/>
      <c r="L67" s="16" t="s">
        <v>51</v>
      </c>
      <c r="M67" s="17" t="s">
        <v>79</v>
      </c>
      <c r="N67" s="15"/>
      <c r="O67" s="16" t="s">
        <v>54</v>
      </c>
      <c r="P67" s="12" t="s">
        <v>80</v>
      </c>
      <c r="Q67" s="9"/>
      <c r="R67" s="18" t="s">
        <v>79</v>
      </c>
      <c r="S67" s="19"/>
      <c r="T67" s="12" t="str">
        <f aca="false">IF(R67="維持",J67,IF(R67="排除","無關新聞事件",IFERROR(INDEX(事件規則!$B$2:$B$53,MATCH(S67,事件規則!$A$2:$A$53,0)),"")))</f>
        <v>無關新聞事件</v>
      </c>
      <c r="U67" s="20" t="n">
        <f aca="false">IF(R67="維持",K67,IF(R67="排除",0,IFERROR(INDEX(事件規則!$C$2:$C$53,MATCH(S67,事件規則!$A$2:$A$53,0)),"")))</f>
        <v>0</v>
      </c>
      <c r="V67" s="21"/>
      <c r="W67" s="22"/>
      <c r="X67" s="10" t="str">
        <f aca="false">IF(AND(R67="修改",S67=""),"請選新事件代碼",IF(AND(R67&lt;&gt;"修改",S67&lt;&gt;""),"只有「修改」才需填代碼",""))</f>
        <v/>
      </c>
      <c r="Y67" s="21"/>
      <c r="Z67" s="22"/>
      <c r="AA67" s="23" t="s">
        <v>320</v>
      </c>
      <c r="AB67" s="13"/>
    </row>
    <row r="68" customFormat="false" ht="23.85" hidden="false" customHeight="false" outlineLevel="0" collapsed="false">
      <c r="A68" s="16" t="n">
        <v>67</v>
      </c>
      <c r="B68" s="9" t="s">
        <v>65</v>
      </c>
      <c r="C68" s="9" t="s">
        <v>226</v>
      </c>
      <c r="D68" s="10" t="s">
        <v>227</v>
      </c>
      <c r="E68" s="24" t="s">
        <v>321</v>
      </c>
      <c r="F68" s="12"/>
      <c r="G68" s="23" t="s">
        <v>147</v>
      </c>
      <c r="H68" s="14" t="n">
        <v>-0.959</v>
      </c>
      <c r="I68" s="15"/>
      <c r="J68" s="12"/>
      <c r="K68" s="9"/>
      <c r="L68" s="16" t="s">
        <v>51</v>
      </c>
      <c r="M68" s="17" t="s">
        <v>52</v>
      </c>
      <c r="N68" s="15" t="s">
        <v>183</v>
      </c>
      <c r="O68" s="16" t="s">
        <v>54</v>
      </c>
      <c r="P68" s="10" t="s">
        <v>229</v>
      </c>
      <c r="Q68" s="9"/>
      <c r="R68" s="18" t="s">
        <v>52</v>
      </c>
      <c r="S68" s="19" t="s">
        <v>183</v>
      </c>
      <c r="T68" s="12" t="str">
        <f aca="false">IF(R68="維持",J68,IF(R68="排除","無關新聞事件",IFERROR(INDEX(事件規則!$B$2:$B$53,MATCH(S68,事件規則!$A$2:$A$53,0)),"")))</f>
        <v>營運惡化</v>
      </c>
      <c r="U68" s="20" t="n">
        <f aca="false">IF(R68="維持",K68,IF(R68="排除",0,IFERROR(INDEX(事件規則!$C$2:$C$53,MATCH(S68,事件規則!$A$2:$A$53,0)),"")))</f>
        <v>3</v>
      </c>
      <c r="V68" s="21"/>
      <c r="W68" s="22"/>
      <c r="X68" s="10" t="str">
        <f aca="false">IF(AND(R68="修改",S68=""),"請選新事件代碼",IF(AND(R68&lt;&gt;"修改",S68&lt;&gt;""),"只有「修改」才需填代碼",""))</f>
        <v/>
      </c>
      <c r="Y68" s="21"/>
      <c r="Z68" s="22"/>
      <c r="AA68" s="23" t="s">
        <v>322</v>
      </c>
      <c r="AB68" s="13"/>
    </row>
    <row r="69" customFormat="false" ht="44" hidden="false" customHeight="false" outlineLevel="0" collapsed="false">
      <c r="A69" s="16" t="n">
        <v>68</v>
      </c>
      <c r="B69" s="9" t="s">
        <v>65</v>
      </c>
      <c r="C69" s="9" t="s">
        <v>57</v>
      </c>
      <c r="D69" s="10" t="s">
        <v>58</v>
      </c>
      <c r="E69" s="24" t="s">
        <v>323</v>
      </c>
      <c r="F69" s="12"/>
      <c r="G69" s="23" t="s">
        <v>324</v>
      </c>
      <c r="H69" s="14" t="n">
        <v>-0.959</v>
      </c>
      <c r="I69" s="15"/>
      <c r="J69" s="12"/>
      <c r="K69" s="9"/>
      <c r="L69" s="16" t="s">
        <v>51</v>
      </c>
      <c r="M69" s="17" t="s">
        <v>79</v>
      </c>
      <c r="N69" s="15"/>
      <c r="O69" s="16" t="s">
        <v>54</v>
      </c>
      <c r="P69" s="12" t="s">
        <v>80</v>
      </c>
      <c r="Q69" s="9"/>
      <c r="R69" s="18" t="s">
        <v>79</v>
      </c>
      <c r="S69" s="19"/>
      <c r="T69" s="12" t="str">
        <f aca="false">IF(R69="維持",J69,IF(R69="排除","無關新聞事件",IFERROR(INDEX(事件規則!$B$2:$B$53,MATCH(S69,事件規則!$A$2:$A$53,0)),"")))</f>
        <v>無關新聞事件</v>
      </c>
      <c r="U69" s="20" t="n">
        <f aca="false">IF(R69="維持",K69,IF(R69="排除",0,IFERROR(INDEX(事件規則!$C$2:$C$53,MATCH(S69,事件規則!$A$2:$A$53,0)),"")))</f>
        <v>0</v>
      </c>
      <c r="V69" s="21"/>
      <c r="W69" s="22"/>
      <c r="X69" s="10" t="str">
        <f aca="false">IF(AND(R69="修改",S69=""),"請選新事件代碼",IF(AND(R69&lt;&gt;"修改",S69&lt;&gt;""),"只有「修改」才需填代碼",""))</f>
        <v/>
      </c>
      <c r="Y69" s="21"/>
      <c r="Z69" s="22"/>
      <c r="AA69" s="23" t="s">
        <v>325</v>
      </c>
      <c r="AB69" s="13"/>
    </row>
    <row r="70" customFormat="false" ht="15" hidden="false" customHeight="false" outlineLevel="0" collapsed="false">
      <c r="A70" s="16" t="n">
        <v>69</v>
      </c>
      <c r="B70" s="9" t="s">
        <v>65</v>
      </c>
      <c r="C70" s="9" t="s">
        <v>102</v>
      </c>
      <c r="D70" s="10" t="s">
        <v>103</v>
      </c>
      <c r="E70" s="24" t="s">
        <v>326</v>
      </c>
      <c r="F70" s="12"/>
      <c r="G70" s="23" t="s">
        <v>147</v>
      </c>
      <c r="H70" s="14" t="n">
        <v>-0.959</v>
      </c>
      <c r="I70" s="15"/>
      <c r="J70" s="12"/>
      <c r="K70" s="9"/>
      <c r="L70" s="16" t="s">
        <v>51</v>
      </c>
      <c r="M70" s="17" t="s">
        <v>52</v>
      </c>
      <c r="N70" s="15" t="s">
        <v>53</v>
      </c>
      <c r="O70" s="16" t="s">
        <v>105</v>
      </c>
      <c r="P70" s="10" t="s">
        <v>106</v>
      </c>
      <c r="Q70" s="9"/>
      <c r="R70" s="18" t="s">
        <v>52</v>
      </c>
      <c r="S70" s="19" t="s">
        <v>53</v>
      </c>
      <c r="T70" s="12" t="str">
        <f aca="false">IF(R70="維持",J70,IF(R70="排除","無關新聞事件",IFERROR(INDEX(事件規則!$B$2:$B$53,MATCH(S70,事件規則!$A$2:$A$53,0)),"")))</f>
        <v>股價下跌</v>
      </c>
      <c r="U70" s="20" t="n">
        <f aca="false">IF(R70="維持",K70,IF(R70="排除",0,IFERROR(INDEX(事件規則!$C$2:$C$53,MATCH(S70,事件規則!$A$2:$A$53,0)),"")))</f>
        <v>1</v>
      </c>
      <c r="V70" s="21"/>
      <c r="W70" s="22"/>
      <c r="X70" s="10" t="str">
        <f aca="false">IF(AND(R70="修改",S70=""),"請選新事件代碼",IF(AND(R70&lt;&gt;"修改",S70&lt;&gt;""),"只有「修改」才需填代碼",""))</f>
        <v/>
      </c>
      <c r="Y70" s="21"/>
      <c r="Z70" s="22"/>
      <c r="AA70" s="23" t="s">
        <v>327</v>
      </c>
      <c r="AB70" s="13"/>
    </row>
    <row r="71" customFormat="false" ht="15" hidden="false" customHeight="false" outlineLevel="0" collapsed="false">
      <c r="A71" s="16" t="n">
        <v>70</v>
      </c>
      <c r="B71" s="9" t="s">
        <v>65</v>
      </c>
      <c r="C71" s="9" t="s">
        <v>88</v>
      </c>
      <c r="D71" s="10" t="s">
        <v>89</v>
      </c>
      <c r="E71" s="24" t="s">
        <v>328</v>
      </c>
      <c r="F71" s="12"/>
      <c r="G71" s="23" t="s">
        <v>329</v>
      </c>
      <c r="H71" s="14" t="n">
        <v>-0.959</v>
      </c>
      <c r="I71" s="15"/>
      <c r="J71" s="12"/>
      <c r="K71" s="9"/>
      <c r="L71" s="16" t="s">
        <v>51</v>
      </c>
      <c r="M71" s="17" t="s">
        <v>52</v>
      </c>
      <c r="N71" s="15" t="s">
        <v>53</v>
      </c>
      <c r="O71" s="16" t="s">
        <v>54</v>
      </c>
      <c r="P71" s="10" t="s">
        <v>55</v>
      </c>
      <c r="Q71" s="9"/>
      <c r="R71" s="18" t="s">
        <v>52</v>
      </c>
      <c r="S71" s="19" t="s">
        <v>53</v>
      </c>
      <c r="T71" s="12" t="str">
        <f aca="false">IF(R71="維持",J71,IF(R71="排除","無關新聞事件",IFERROR(INDEX(事件規則!$B$2:$B$53,MATCH(S71,事件規則!$A$2:$A$53,0)),"")))</f>
        <v>股價下跌</v>
      </c>
      <c r="U71" s="20" t="n">
        <f aca="false">IF(R71="維持",K71,IF(R71="排除",0,IFERROR(INDEX(事件規則!$C$2:$C$53,MATCH(S71,事件規則!$A$2:$A$53,0)),"")))</f>
        <v>1</v>
      </c>
      <c r="V71" s="21"/>
      <c r="W71" s="22"/>
      <c r="X71" s="10" t="str">
        <f aca="false">IF(AND(R71="修改",S71=""),"請選新事件代碼",IF(AND(R71&lt;&gt;"修改",S71&lt;&gt;""),"只有「修改」才需填代碼",""))</f>
        <v/>
      </c>
      <c r="Y71" s="21"/>
      <c r="Z71" s="22"/>
      <c r="AA71" s="23" t="s">
        <v>330</v>
      </c>
      <c r="AB71" s="13"/>
    </row>
    <row r="72" customFormat="false" ht="23.85" hidden="false" customHeight="false" outlineLevel="0" collapsed="false">
      <c r="A72" s="16" t="n">
        <v>71</v>
      </c>
      <c r="B72" s="9" t="s">
        <v>331</v>
      </c>
      <c r="C72" s="9" t="s">
        <v>332</v>
      </c>
      <c r="D72" s="10" t="s">
        <v>333</v>
      </c>
      <c r="E72" s="24" t="s">
        <v>334</v>
      </c>
      <c r="F72" s="12"/>
      <c r="G72" s="23" t="s">
        <v>335</v>
      </c>
      <c r="H72" s="14" t="n">
        <v>-0.959</v>
      </c>
      <c r="I72" s="15"/>
      <c r="J72" s="12"/>
      <c r="K72" s="9"/>
      <c r="L72" s="16" t="s">
        <v>51</v>
      </c>
      <c r="M72" s="17" t="s">
        <v>52</v>
      </c>
      <c r="N72" s="15" t="s">
        <v>336</v>
      </c>
      <c r="O72" s="16" t="s">
        <v>54</v>
      </c>
      <c r="P72" s="10" t="s">
        <v>337</v>
      </c>
      <c r="Q72" s="9"/>
      <c r="R72" s="18" t="s">
        <v>52</v>
      </c>
      <c r="S72" s="19" t="s">
        <v>336</v>
      </c>
      <c r="T72" s="12" t="str">
        <f aca="false">IF(R72="維持",J72,IF(R72="排除","無關新聞事件",IFERROR(INDEX(事件規則!$B$2:$B$53,MATCH(S72,事件規則!$A$2:$A$53,0)),"")))</f>
        <v>財測下修</v>
      </c>
      <c r="U72" s="20" t="n">
        <f aca="false">IF(R72="維持",K72,IF(R72="排除",0,IFERROR(INDEX(事件規則!$C$2:$C$53,MATCH(S72,事件規則!$A$2:$A$53,0)),"")))</f>
        <v>3</v>
      </c>
      <c r="V72" s="21"/>
      <c r="W72" s="22"/>
      <c r="X72" s="10" t="str">
        <f aca="false">IF(AND(R72="修改",S72=""),"請選新事件代碼",IF(AND(R72&lt;&gt;"修改",S72&lt;&gt;""),"只有「修改」才需填代碼",""))</f>
        <v/>
      </c>
      <c r="Y72" s="21"/>
      <c r="Z72" s="22"/>
      <c r="AA72" s="23" t="s">
        <v>338</v>
      </c>
      <c r="AB72" s="13"/>
    </row>
    <row r="73" customFormat="false" ht="23.85" hidden="false" customHeight="false" outlineLevel="0" collapsed="false">
      <c r="A73" s="16" t="n">
        <v>72</v>
      </c>
      <c r="B73" s="9" t="s">
        <v>65</v>
      </c>
      <c r="C73" s="9" t="s">
        <v>93</v>
      </c>
      <c r="D73" s="10" t="s">
        <v>94</v>
      </c>
      <c r="E73" s="24" t="s">
        <v>339</v>
      </c>
      <c r="F73" s="12"/>
      <c r="G73" s="23" t="s">
        <v>96</v>
      </c>
      <c r="H73" s="14" t="n">
        <v>-0.958</v>
      </c>
      <c r="I73" s="15"/>
      <c r="J73" s="12"/>
      <c r="K73" s="9"/>
      <c r="L73" s="16" t="s">
        <v>51</v>
      </c>
      <c r="M73" s="17" t="s">
        <v>52</v>
      </c>
      <c r="N73" s="15" t="s">
        <v>61</v>
      </c>
      <c r="O73" s="16" t="s">
        <v>62</v>
      </c>
      <c r="P73" s="10" t="s">
        <v>97</v>
      </c>
      <c r="Q73" s="9"/>
      <c r="R73" s="18" t="s">
        <v>52</v>
      </c>
      <c r="S73" s="19" t="s">
        <v>61</v>
      </c>
      <c r="T73" s="12" t="str">
        <f aca="false">IF(R73="維持",J73,IF(R73="排除","無關新聞事件",IFERROR(INDEX(事件規則!$B$2:$B$53,MATCH(S73,事件規則!$A$2:$A$53,0)),"")))</f>
        <v>裁員或人力縮減</v>
      </c>
      <c r="U73" s="20" t="n">
        <f aca="false">IF(R73="維持",K73,IF(R73="排除",0,IFERROR(INDEX(事件規則!$C$2:$C$53,MATCH(S73,事件規則!$A$2:$A$53,0)),"")))</f>
        <v>3</v>
      </c>
      <c r="V73" s="21"/>
      <c r="W73" s="22"/>
      <c r="X73" s="10" t="str">
        <f aca="false">IF(AND(R73="修改",S73=""),"請選新事件代碼",IF(AND(R73&lt;&gt;"修改",S73&lt;&gt;""),"只有「修改」才需填代碼",""))</f>
        <v/>
      </c>
      <c r="Y73" s="21"/>
      <c r="Z73" s="22"/>
      <c r="AA73" s="23" t="s">
        <v>340</v>
      </c>
      <c r="AB73" s="13"/>
    </row>
    <row r="74" customFormat="false" ht="44" hidden="false" customHeight="false" outlineLevel="0" collapsed="false">
      <c r="A74" s="16" t="n">
        <v>73</v>
      </c>
      <c r="B74" s="9" t="s">
        <v>65</v>
      </c>
      <c r="C74" s="9" t="s">
        <v>341</v>
      </c>
      <c r="D74" s="10" t="s">
        <v>342</v>
      </c>
      <c r="E74" s="24" t="s">
        <v>343</v>
      </c>
      <c r="F74" s="12"/>
      <c r="G74" s="23" t="s">
        <v>344</v>
      </c>
      <c r="H74" s="14" t="n">
        <v>-0.958</v>
      </c>
      <c r="I74" s="15"/>
      <c r="J74" s="12"/>
      <c r="K74" s="9"/>
      <c r="L74" s="16" t="s">
        <v>51</v>
      </c>
      <c r="M74" s="17" t="s">
        <v>79</v>
      </c>
      <c r="N74" s="15"/>
      <c r="O74" s="16" t="s">
        <v>54</v>
      </c>
      <c r="P74" s="12" t="s">
        <v>80</v>
      </c>
      <c r="Q74" s="9"/>
      <c r="R74" s="18" t="s">
        <v>79</v>
      </c>
      <c r="S74" s="19"/>
      <c r="T74" s="12" t="str">
        <f aca="false">IF(R74="維持",J74,IF(R74="排除","無關新聞事件",IFERROR(INDEX(事件規則!$B$2:$B$53,MATCH(S74,事件規則!$A$2:$A$53,0)),"")))</f>
        <v>無關新聞事件</v>
      </c>
      <c r="U74" s="20" t="n">
        <f aca="false">IF(R74="維持",K74,IF(R74="排除",0,IFERROR(INDEX(事件規則!$C$2:$C$53,MATCH(S74,事件規則!$A$2:$A$53,0)),"")))</f>
        <v>0</v>
      </c>
      <c r="V74" s="21"/>
      <c r="W74" s="22"/>
      <c r="X74" s="10" t="str">
        <f aca="false">IF(AND(R74="修改",S74=""),"請選新事件代碼",IF(AND(R74&lt;&gt;"修改",S74&lt;&gt;""),"只有「修改」才需填代碼",""))</f>
        <v/>
      </c>
      <c r="Y74" s="21"/>
      <c r="Z74" s="22"/>
      <c r="AA74" s="23" t="s">
        <v>345</v>
      </c>
      <c r="AB74" s="13"/>
    </row>
    <row r="75" customFormat="false" ht="15" hidden="false" customHeight="false" outlineLevel="0" collapsed="false">
      <c r="A75" s="16" t="n">
        <v>74</v>
      </c>
      <c r="B75" s="9" t="s">
        <v>65</v>
      </c>
      <c r="C75" s="9" t="s">
        <v>346</v>
      </c>
      <c r="D75" s="10" t="s">
        <v>347</v>
      </c>
      <c r="E75" s="24" t="s">
        <v>348</v>
      </c>
      <c r="F75" s="12"/>
      <c r="G75" s="23" t="s">
        <v>349</v>
      </c>
      <c r="H75" s="14" t="n">
        <v>-0.958</v>
      </c>
      <c r="I75" s="15"/>
      <c r="J75" s="12"/>
      <c r="K75" s="9"/>
      <c r="L75" s="16" t="s">
        <v>51</v>
      </c>
      <c r="M75" s="17" t="s">
        <v>52</v>
      </c>
      <c r="N75" s="15" t="s">
        <v>350</v>
      </c>
      <c r="O75" s="16" t="s">
        <v>62</v>
      </c>
      <c r="P75" s="12" t="s">
        <v>351</v>
      </c>
      <c r="Q75" s="9"/>
      <c r="R75" s="18" t="s">
        <v>52</v>
      </c>
      <c r="S75" s="19" t="s">
        <v>350</v>
      </c>
      <c r="T75" s="12" t="str">
        <f aca="false">IF(R75="維持",J75,IF(R75="排除","無關新聞事件",IFERROR(INDEX(事件規則!$B$2:$B$53,MATCH(S75,事件規則!$A$2:$A$53,0)),"")))</f>
        <v>生產延遲</v>
      </c>
      <c r="U75" s="20" t="n">
        <f aca="false">IF(R75="維持",K75,IF(R75="排除",0,IFERROR(INDEX(事件規則!$C$2:$C$53,MATCH(S75,事件規則!$A$2:$A$53,0)),"")))</f>
        <v>2</v>
      </c>
      <c r="V75" s="21"/>
      <c r="W75" s="22"/>
      <c r="X75" s="10" t="str">
        <f aca="false">IF(AND(R75="修改",S75=""),"請選新事件代碼",IF(AND(R75&lt;&gt;"修改",S75&lt;&gt;""),"只有「修改」才需填代碼",""))</f>
        <v/>
      </c>
      <c r="Y75" s="21"/>
      <c r="Z75" s="22"/>
      <c r="AA75" s="23" t="s">
        <v>352</v>
      </c>
      <c r="AB75" s="13"/>
    </row>
    <row r="76" customFormat="false" ht="15" hidden="false" customHeight="false" outlineLevel="0" collapsed="false">
      <c r="A76" s="16" t="n">
        <v>75</v>
      </c>
      <c r="B76" s="9" t="s">
        <v>45</v>
      </c>
      <c r="C76" s="9" t="s">
        <v>353</v>
      </c>
      <c r="D76" s="10" t="s">
        <v>354</v>
      </c>
      <c r="E76" s="24" t="s">
        <v>355</v>
      </c>
      <c r="F76" s="12"/>
      <c r="G76" s="23" t="s">
        <v>356</v>
      </c>
      <c r="H76" s="14" t="n">
        <v>-0.958</v>
      </c>
      <c r="I76" s="15"/>
      <c r="J76" s="12"/>
      <c r="K76" s="9"/>
      <c r="L76" s="16" t="s">
        <v>51</v>
      </c>
      <c r="M76" s="17" t="s">
        <v>52</v>
      </c>
      <c r="N76" s="15" t="s">
        <v>357</v>
      </c>
      <c r="O76" s="16" t="s">
        <v>62</v>
      </c>
      <c r="P76" s="10" t="s">
        <v>358</v>
      </c>
      <c r="Q76" s="9"/>
      <c r="R76" s="18" t="s">
        <v>52</v>
      </c>
      <c r="S76" s="19" t="s">
        <v>357</v>
      </c>
      <c r="T76" s="12" t="str">
        <f aca="false">IF(R76="維持",J76,IF(R76="排除","無關新聞事件",IFERROR(INDEX(事件規則!$B$2:$B$53,MATCH(S76,事件規則!$A$2:$A$53,0)),"")))</f>
        <v>資料外洩</v>
      </c>
      <c r="U76" s="20" t="n">
        <f aca="false">IF(R76="維持",K76,IF(R76="排除",0,IFERROR(INDEX(事件規則!$C$2:$C$53,MATCH(S76,事件規則!$A$2:$A$53,0)),"")))</f>
        <v>3</v>
      </c>
      <c r="V76" s="21"/>
      <c r="W76" s="22"/>
      <c r="X76" s="10" t="str">
        <f aca="false">IF(AND(R76="修改",S76=""),"請選新事件代碼",IF(AND(R76&lt;&gt;"修改",S76&lt;&gt;""),"只有「修改」才需填代碼",""))</f>
        <v/>
      </c>
      <c r="Y76" s="21"/>
      <c r="Z76" s="22"/>
      <c r="AA76" s="23" t="s">
        <v>359</v>
      </c>
      <c r="AB76" s="13"/>
    </row>
    <row r="77" customFormat="false" ht="23.85" hidden="false" customHeight="false" outlineLevel="0" collapsed="false">
      <c r="A77" s="16" t="n">
        <v>76</v>
      </c>
      <c r="B77" s="9" t="s">
        <v>65</v>
      </c>
      <c r="C77" s="9" t="s">
        <v>57</v>
      </c>
      <c r="D77" s="10" t="s">
        <v>58</v>
      </c>
      <c r="E77" s="24" t="s">
        <v>360</v>
      </c>
      <c r="F77" s="12"/>
      <c r="G77" s="23" t="s">
        <v>361</v>
      </c>
      <c r="H77" s="14" t="n">
        <v>-0.958</v>
      </c>
      <c r="I77" s="15"/>
      <c r="J77" s="12"/>
      <c r="K77" s="9"/>
      <c r="L77" s="16" t="s">
        <v>51</v>
      </c>
      <c r="M77" s="17" t="s">
        <v>52</v>
      </c>
      <c r="N77" s="15" t="s">
        <v>61</v>
      </c>
      <c r="O77" s="16" t="s">
        <v>62</v>
      </c>
      <c r="P77" s="12" t="s">
        <v>63</v>
      </c>
      <c r="Q77" s="9"/>
      <c r="R77" s="18" t="s">
        <v>52</v>
      </c>
      <c r="S77" s="19" t="s">
        <v>61</v>
      </c>
      <c r="T77" s="12" t="str">
        <f aca="false">IF(R77="維持",J77,IF(R77="排除","無關新聞事件",IFERROR(INDEX(事件規則!$B$2:$B$53,MATCH(S77,事件規則!$A$2:$A$53,0)),"")))</f>
        <v>裁員或人力縮減</v>
      </c>
      <c r="U77" s="20" t="n">
        <f aca="false">IF(R77="維持",K77,IF(R77="排除",0,IFERROR(INDEX(事件規則!$C$2:$C$53,MATCH(S77,事件規則!$A$2:$A$53,0)),"")))</f>
        <v>3</v>
      </c>
      <c r="V77" s="21"/>
      <c r="W77" s="22"/>
      <c r="X77" s="10" t="str">
        <f aca="false">IF(AND(R77="修改",S77=""),"請選新事件代碼",IF(AND(R77&lt;&gt;"修改",S77&lt;&gt;""),"只有「修改」才需填代碼",""))</f>
        <v/>
      </c>
      <c r="Y77" s="21"/>
      <c r="Z77" s="22"/>
      <c r="AA77" s="23" t="s">
        <v>362</v>
      </c>
      <c r="AB77" s="13"/>
    </row>
    <row r="78" customFormat="false" ht="44" hidden="false" customHeight="false" outlineLevel="0" collapsed="false">
      <c r="A78" s="16" t="n">
        <v>77</v>
      </c>
      <c r="B78" s="9" t="s">
        <v>65</v>
      </c>
      <c r="C78" s="9" t="s">
        <v>363</v>
      </c>
      <c r="D78" s="10" t="s">
        <v>364</v>
      </c>
      <c r="E78" s="24" t="s">
        <v>365</v>
      </c>
      <c r="F78" s="12"/>
      <c r="G78" s="23" t="s">
        <v>147</v>
      </c>
      <c r="H78" s="14" t="n">
        <v>-0.958</v>
      </c>
      <c r="I78" s="15"/>
      <c r="J78" s="12"/>
      <c r="K78" s="9"/>
      <c r="L78" s="16" t="s">
        <v>51</v>
      </c>
      <c r="M78" s="17" t="s">
        <v>79</v>
      </c>
      <c r="N78" s="15"/>
      <c r="O78" s="16" t="s">
        <v>54</v>
      </c>
      <c r="P78" s="12" t="s">
        <v>80</v>
      </c>
      <c r="Q78" s="9"/>
      <c r="R78" s="18" t="s">
        <v>79</v>
      </c>
      <c r="S78" s="19"/>
      <c r="T78" s="12" t="str">
        <f aca="false">IF(R78="維持",J78,IF(R78="排除","無關新聞事件",IFERROR(INDEX(事件規則!$B$2:$B$53,MATCH(S78,事件規則!$A$2:$A$53,0)),"")))</f>
        <v>無關新聞事件</v>
      </c>
      <c r="U78" s="20" t="n">
        <f aca="false">IF(R78="維持",K78,IF(R78="排除",0,IFERROR(INDEX(事件規則!$C$2:$C$53,MATCH(S78,事件規則!$A$2:$A$53,0)),"")))</f>
        <v>0</v>
      </c>
      <c r="V78" s="21"/>
      <c r="W78" s="22"/>
      <c r="X78" s="10" t="str">
        <f aca="false">IF(AND(R78="修改",S78=""),"請選新事件代碼",IF(AND(R78&lt;&gt;"修改",S78&lt;&gt;""),"只有「修改」才需填代碼",""))</f>
        <v/>
      </c>
      <c r="Y78" s="21"/>
      <c r="Z78" s="22"/>
      <c r="AA78" s="23" t="s">
        <v>366</v>
      </c>
      <c r="AB78" s="13"/>
    </row>
    <row r="79" customFormat="false" ht="23.85" hidden="false" customHeight="false" outlineLevel="0" collapsed="false">
      <c r="A79" s="16" t="n">
        <v>78</v>
      </c>
      <c r="B79" s="9" t="s">
        <v>65</v>
      </c>
      <c r="C79" s="9" t="s">
        <v>99</v>
      </c>
      <c r="D79" s="10" t="s">
        <v>100</v>
      </c>
      <c r="E79" s="24" t="s">
        <v>339</v>
      </c>
      <c r="F79" s="12"/>
      <c r="G79" s="23" t="s">
        <v>96</v>
      </c>
      <c r="H79" s="14" t="n">
        <v>-0.958</v>
      </c>
      <c r="I79" s="15"/>
      <c r="J79" s="12"/>
      <c r="K79" s="9"/>
      <c r="L79" s="16" t="s">
        <v>51</v>
      </c>
      <c r="M79" s="17" t="s">
        <v>52</v>
      </c>
      <c r="N79" s="15" t="s">
        <v>61</v>
      </c>
      <c r="O79" s="16" t="s">
        <v>62</v>
      </c>
      <c r="P79" s="10" t="s">
        <v>97</v>
      </c>
      <c r="Q79" s="9"/>
      <c r="R79" s="18" t="s">
        <v>52</v>
      </c>
      <c r="S79" s="19" t="s">
        <v>61</v>
      </c>
      <c r="T79" s="12" t="str">
        <f aca="false">IF(R79="維持",J79,IF(R79="排除","無關新聞事件",IFERROR(INDEX(事件規則!$B$2:$B$53,MATCH(S79,事件規則!$A$2:$A$53,0)),"")))</f>
        <v>裁員或人力縮減</v>
      </c>
      <c r="U79" s="20" t="n">
        <f aca="false">IF(R79="維持",K79,IF(R79="排除",0,IFERROR(INDEX(事件規則!$C$2:$C$53,MATCH(S79,事件規則!$A$2:$A$53,0)),"")))</f>
        <v>3</v>
      </c>
      <c r="V79" s="21"/>
      <c r="W79" s="22"/>
      <c r="X79" s="10" t="str">
        <f aca="false">IF(AND(R79="修改",S79=""),"請選新事件代碼",IF(AND(R79&lt;&gt;"修改",S79&lt;&gt;""),"只有「修改」才需填代碼",""))</f>
        <v/>
      </c>
      <c r="Y79" s="21"/>
      <c r="Z79" s="22"/>
      <c r="AA79" s="23" t="s">
        <v>367</v>
      </c>
      <c r="AB79" s="13"/>
    </row>
    <row r="80" customFormat="false" ht="44" hidden="false" customHeight="false" outlineLevel="0" collapsed="false">
      <c r="A80" s="16" t="n">
        <v>79</v>
      </c>
      <c r="B80" s="9" t="s">
        <v>65</v>
      </c>
      <c r="C80" s="9" t="s">
        <v>368</v>
      </c>
      <c r="D80" s="10" t="s">
        <v>369</v>
      </c>
      <c r="E80" s="24" t="s">
        <v>370</v>
      </c>
      <c r="F80" s="12"/>
      <c r="G80" s="23" t="s">
        <v>147</v>
      </c>
      <c r="H80" s="14" t="n">
        <v>-0.958</v>
      </c>
      <c r="I80" s="15"/>
      <c r="J80" s="12"/>
      <c r="K80" s="9"/>
      <c r="L80" s="16" t="s">
        <v>51</v>
      </c>
      <c r="M80" s="17" t="s">
        <v>79</v>
      </c>
      <c r="N80" s="15"/>
      <c r="O80" s="16" t="s">
        <v>54</v>
      </c>
      <c r="P80" s="12" t="s">
        <v>80</v>
      </c>
      <c r="Q80" s="9"/>
      <c r="R80" s="18" t="s">
        <v>79</v>
      </c>
      <c r="S80" s="19"/>
      <c r="T80" s="12" t="str">
        <f aca="false">IF(R80="維持",J80,IF(R80="排除","無關新聞事件",IFERROR(INDEX(事件規則!$B$2:$B$53,MATCH(S80,事件規則!$A$2:$A$53,0)),"")))</f>
        <v>無關新聞事件</v>
      </c>
      <c r="U80" s="20" t="n">
        <f aca="false">IF(R80="維持",K80,IF(R80="排除",0,IFERROR(INDEX(事件規則!$C$2:$C$53,MATCH(S80,事件規則!$A$2:$A$53,0)),"")))</f>
        <v>0</v>
      </c>
      <c r="V80" s="21"/>
      <c r="W80" s="22"/>
      <c r="X80" s="10" t="str">
        <f aca="false">IF(AND(R80="修改",S80=""),"請選新事件代碼",IF(AND(R80&lt;&gt;"修改",S80&lt;&gt;""),"只有「修改」才需填代碼",""))</f>
        <v/>
      </c>
      <c r="Y80" s="21"/>
      <c r="Z80" s="22"/>
      <c r="AA80" s="23" t="s">
        <v>371</v>
      </c>
      <c r="AB80" s="13"/>
    </row>
    <row r="81" customFormat="false" ht="44" hidden="false" customHeight="false" outlineLevel="0" collapsed="false">
      <c r="A81" s="16" t="n">
        <v>80</v>
      </c>
      <c r="B81" s="9" t="s">
        <v>331</v>
      </c>
      <c r="C81" s="9" t="s">
        <v>372</v>
      </c>
      <c r="D81" s="10" t="s">
        <v>373</v>
      </c>
      <c r="E81" s="24" t="s">
        <v>374</v>
      </c>
      <c r="F81" s="12"/>
      <c r="G81" s="23" t="s">
        <v>120</v>
      </c>
      <c r="H81" s="14" t="n">
        <v>-0.958</v>
      </c>
      <c r="I81" s="15"/>
      <c r="J81" s="12"/>
      <c r="K81" s="9"/>
      <c r="L81" s="16" t="s">
        <v>51</v>
      </c>
      <c r="M81" s="17" t="s">
        <v>79</v>
      </c>
      <c r="N81" s="15"/>
      <c r="O81" s="16" t="s">
        <v>54</v>
      </c>
      <c r="P81" s="12" t="s">
        <v>80</v>
      </c>
      <c r="Q81" s="9"/>
      <c r="R81" s="18" t="s">
        <v>79</v>
      </c>
      <c r="S81" s="19"/>
      <c r="T81" s="12" t="str">
        <f aca="false">IF(R81="維持",J81,IF(R81="排除","無關新聞事件",IFERROR(INDEX(事件規則!$B$2:$B$53,MATCH(S81,事件規則!$A$2:$A$53,0)),"")))</f>
        <v>無關新聞事件</v>
      </c>
      <c r="U81" s="20" t="n">
        <f aca="false">IF(R81="維持",K81,IF(R81="排除",0,IFERROR(INDEX(事件規則!$C$2:$C$53,MATCH(S81,事件規則!$A$2:$A$53,0)),"")))</f>
        <v>0</v>
      </c>
      <c r="V81" s="21"/>
      <c r="W81" s="22"/>
      <c r="X81" s="10" t="str">
        <f aca="false">IF(AND(R81="修改",S81=""),"請選新事件代碼",IF(AND(R81&lt;&gt;"修改",S81&lt;&gt;""),"只有「修改」才需填代碼",""))</f>
        <v/>
      </c>
      <c r="Y81" s="21"/>
      <c r="Z81" s="22"/>
      <c r="AA81" s="23" t="s">
        <v>375</v>
      </c>
      <c r="AB81" s="13"/>
    </row>
    <row r="82" customFormat="false" ht="44" hidden="false" customHeight="false" outlineLevel="0" collapsed="false">
      <c r="A82" s="16" t="n">
        <v>81</v>
      </c>
      <c r="B82" s="9" t="s">
        <v>65</v>
      </c>
      <c r="C82" s="9" t="s">
        <v>376</v>
      </c>
      <c r="D82" s="10" t="s">
        <v>377</v>
      </c>
      <c r="E82" s="24" t="s">
        <v>378</v>
      </c>
      <c r="F82" s="12"/>
      <c r="G82" s="23" t="s">
        <v>379</v>
      </c>
      <c r="H82" s="14" t="n">
        <v>-0.958</v>
      </c>
      <c r="I82" s="15"/>
      <c r="J82" s="12"/>
      <c r="K82" s="9"/>
      <c r="L82" s="16" t="s">
        <v>51</v>
      </c>
      <c r="M82" s="17" t="s">
        <v>79</v>
      </c>
      <c r="N82" s="15"/>
      <c r="O82" s="16" t="s">
        <v>54</v>
      </c>
      <c r="P82" s="12" t="s">
        <v>80</v>
      </c>
      <c r="Q82" s="9"/>
      <c r="R82" s="18" t="s">
        <v>79</v>
      </c>
      <c r="S82" s="19"/>
      <c r="T82" s="12" t="str">
        <f aca="false">IF(R82="維持",J82,IF(R82="排除","無關新聞事件",IFERROR(INDEX(事件規則!$B$2:$B$53,MATCH(S82,事件規則!$A$2:$A$53,0)),"")))</f>
        <v>無關新聞事件</v>
      </c>
      <c r="U82" s="20" t="n">
        <f aca="false">IF(R82="維持",K82,IF(R82="排除",0,IFERROR(INDEX(事件規則!$C$2:$C$53,MATCH(S82,事件規則!$A$2:$A$53,0)),"")))</f>
        <v>0</v>
      </c>
      <c r="V82" s="21"/>
      <c r="W82" s="22"/>
      <c r="X82" s="10" t="str">
        <f aca="false">IF(AND(R82="修改",S82=""),"請選新事件代碼",IF(AND(R82&lt;&gt;"修改",S82&lt;&gt;""),"只有「修改」才需填代碼",""))</f>
        <v/>
      </c>
      <c r="Y82" s="21"/>
      <c r="Z82" s="22"/>
      <c r="AA82" s="23" t="s">
        <v>380</v>
      </c>
      <c r="AB82" s="13"/>
    </row>
    <row r="83" customFormat="false" ht="15" hidden="false" customHeight="false" outlineLevel="0" collapsed="false">
      <c r="A83" s="16" t="n">
        <v>82</v>
      </c>
      <c r="B83" s="9" t="s">
        <v>45</v>
      </c>
      <c r="C83" s="9" t="s">
        <v>381</v>
      </c>
      <c r="D83" s="10" t="s">
        <v>382</v>
      </c>
      <c r="E83" s="24" t="s">
        <v>383</v>
      </c>
      <c r="F83" s="12"/>
      <c r="G83" s="23" t="s">
        <v>67</v>
      </c>
      <c r="H83" s="14" t="n">
        <v>-0.958</v>
      </c>
      <c r="I83" s="15"/>
      <c r="J83" s="12"/>
      <c r="K83" s="9"/>
      <c r="L83" s="16" t="s">
        <v>51</v>
      </c>
      <c r="M83" s="17" t="s">
        <v>52</v>
      </c>
      <c r="N83" s="15" t="s">
        <v>53</v>
      </c>
      <c r="O83" s="16" t="s">
        <v>62</v>
      </c>
      <c r="P83" s="10" t="s">
        <v>384</v>
      </c>
      <c r="Q83" s="9"/>
      <c r="R83" s="18" t="s">
        <v>52</v>
      </c>
      <c r="S83" s="19" t="s">
        <v>53</v>
      </c>
      <c r="T83" s="12" t="str">
        <f aca="false">IF(R83="維持",J83,IF(R83="排除","無關新聞事件",IFERROR(INDEX(事件規則!$B$2:$B$53,MATCH(S83,事件規則!$A$2:$A$53,0)),"")))</f>
        <v>股價下跌</v>
      </c>
      <c r="U83" s="20" t="n">
        <f aca="false">IF(R83="維持",K83,IF(R83="排除",0,IFERROR(INDEX(事件規則!$C$2:$C$53,MATCH(S83,事件規則!$A$2:$A$53,0)),"")))</f>
        <v>1</v>
      </c>
      <c r="V83" s="21"/>
      <c r="W83" s="22"/>
      <c r="X83" s="10" t="str">
        <f aca="false">IF(AND(R83="修改",S83=""),"請選新事件代碼",IF(AND(R83&lt;&gt;"修改",S83&lt;&gt;""),"只有「修改」才需填代碼",""))</f>
        <v/>
      </c>
      <c r="Y83" s="21"/>
      <c r="Z83" s="22"/>
      <c r="AA83" s="23" t="s">
        <v>385</v>
      </c>
      <c r="AB83" s="13"/>
    </row>
    <row r="84" customFormat="false" ht="44" hidden="false" customHeight="false" outlineLevel="0" collapsed="false">
      <c r="A84" s="16" t="n">
        <v>83</v>
      </c>
      <c r="B84" s="9" t="s">
        <v>386</v>
      </c>
      <c r="C84" s="9" t="s">
        <v>132</v>
      </c>
      <c r="D84" s="10" t="s">
        <v>133</v>
      </c>
      <c r="E84" s="24" t="s">
        <v>387</v>
      </c>
      <c r="F84" s="12"/>
      <c r="G84" s="23" t="s">
        <v>147</v>
      </c>
      <c r="H84" s="14" t="n">
        <v>-0.958</v>
      </c>
      <c r="I84" s="15"/>
      <c r="J84" s="12"/>
      <c r="K84" s="9"/>
      <c r="L84" s="16" t="s">
        <v>51</v>
      </c>
      <c r="M84" s="17" t="s">
        <v>79</v>
      </c>
      <c r="N84" s="15"/>
      <c r="O84" s="16" t="s">
        <v>54</v>
      </c>
      <c r="P84" s="12" t="s">
        <v>80</v>
      </c>
      <c r="Q84" s="9"/>
      <c r="R84" s="18" t="s">
        <v>79</v>
      </c>
      <c r="S84" s="19"/>
      <c r="T84" s="12" t="str">
        <f aca="false">IF(R84="維持",J84,IF(R84="排除","無關新聞事件",IFERROR(INDEX(事件規則!$B$2:$B$53,MATCH(S84,事件規則!$A$2:$A$53,0)),"")))</f>
        <v>無關新聞事件</v>
      </c>
      <c r="U84" s="20" t="n">
        <f aca="false">IF(R84="維持",K84,IF(R84="排除",0,IFERROR(INDEX(事件規則!$C$2:$C$53,MATCH(S84,事件規則!$A$2:$A$53,0)),"")))</f>
        <v>0</v>
      </c>
      <c r="V84" s="21"/>
      <c r="W84" s="22"/>
      <c r="X84" s="10" t="str">
        <f aca="false">IF(AND(R84="修改",S84=""),"請選新事件代碼",IF(AND(R84&lt;&gt;"修改",S84&lt;&gt;""),"只有「修改」才需填代碼",""))</f>
        <v/>
      </c>
      <c r="Y84" s="21"/>
      <c r="Z84" s="22"/>
      <c r="AA84" s="23" t="s">
        <v>388</v>
      </c>
      <c r="AB84" s="13"/>
    </row>
    <row r="85" customFormat="false" ht="15" hidden="false" customHeight="false" outlineLevel="0" collapsed="false">
      <c r="A85" s="16" t="n">
        <v>84</v>
      </c>
      <c r="B85" s="9" t="s">
        <v>65</v>
      </c>
      <c r="C85" s="9" t="s">
        <v>389</v>
      </c>
      <c r="D85" s="10" t="s">
        <v>390</v>
      </c>
      <c r="E85" s="24" t="s">
        <v>391</v>
      </c>
      <c r="F85" s="12"/>
      <c r="G85" s="23" t="s">
        <v>392</v>
      </c>
      <c r="H85" s="14" t="n">
        <v>-0.958</v>
      </c>
      <c r="I85" s="15"/>
      <c r="J85" s="12"/>
      <c r="K85" s="9"/>
      <c r="L85" s="16" t="s">
        <v>51</v>
      </c>
      <c r="M85" s="17" t="s">
        <v>52</v>
      </c>
      <c r="N85" s="15" t="s">
        <v>259</v>
      </c>
      <c r="O85" s="16" t="s">
        <v>54</v>
      </c>
      <c r="P85" s="10" t="s">
        <v>393</v>
      </c>
      <c r="Q85" s="9"/>
      <c r="R85" s="18" t="s">
        <v>52</v>
      </c>
      <c r="S85" s="19" t="s">
        <v>259</v>
      </c>
      <c r="T85" s="12" t="str">
        <f aca="false">IF(R85="維持",J85,IF(R85="排除","無關新聞事件",IFERROR(INDEX(事件規則!$B$2:$B$53,MATCH(S85,事件規則!$A$2:$A$53,0)),"")))</f>
        <v>財報不如預期</v>
      </c>
      <c r="U85" s="20" t="n">
        <f aca="false">IF(R85="維持",K85,IF(R85="排除",0,IFERROR(INDEX(事件規則!$C$2:$C$53,MATCH(S85,事件規則!$A$2:$A$53,0)),"")))</f>
        <v>3</v>
      </c>
      <c r="V85" s="21"/>
      <c r="W85" s="22"/>
      <c r="X85" s="10" t="str">
        <f aca="false">IF(AND(R85="修改",S85=""),"請選新事件代碼",IF(AND(R85&lt;&gt;"修改",S85&lt;&gt;""),"只有「修改」才需填代碼",""))</f>
        <v/>
      </c>
      <c r="Y85" s="21"/>
      <c r="Z85" s="22"/>
      <c r="AA85" s="23" t="s">
        <v>394</v>
      </c>
      <c r="AB85" s="13"/>
    </row>
    <row r="86" customFormat="false" ht="23.85" hidden="false" customHeight="false" outlineLevel="0" collapsed="false">
      <c r="A86" s="16" t="n">
        <v>85</v>
      </c>
      <c r="B86" s="9" t="s">
        <v>65</v>
      </c>
      <c r="C86" s="9" t="s">
        <v>57</v>
      </c>
      <c r="D86" s="10" t="s">
        <v>58</v>
      </c>
      <c r="E86" s="24" t="s">
        <v>395</v>
      </c>
      <c r="F86" s="12"/>
      <c r="G86" s="23" t="s">
        <v>396</v>
      </c>
      <c r="H86" s="14" t="n">
        <v>-0.958</v>
      </c>
      <c r="I86" s="15"/>
      <c r="J86" s="12"/>
      <c r="K86" s="9"/>
      <c r="L86" s="16" t="s">
        <v>51</v>
      </c>
      <c r="M86" s="17" t="s">
        <v>52</v>
      </c>
      <c r="N86" s="15" t="s">
        <v>61</v>
      </c>
      <c r="O86" s="16" t="s">
        <v>62</v>
      </c>
      <c r="P86" s="12" t="s">
        <v>63</v>
      </c>
      <c r="Q86" s="9"/>
      <c r="R86" s="18" t="s">
        <v>52</v>
      </c>
      <c r="S86" s="19" t="s">
        <v>61</v>
      </c>
      <c r="T86" s="12" t="str">
        <f aca="false">IF(R86="維持",J86,IF(R86="排除","無關新聞事件",IFERROR(INDEX(事件規則!$B$2:$B$53,MATCH(S86,事件規則!$A$2:$A$53,0)),"")))</f>
        <v>裁員或人力縮減</v>
      </c>
      <c r="U86" s="20" t="n">
        <f aca="false">IF(R86="維持",K86,IF(R86="排除",0,IFERROR(INDEX(事件規則!$C$2:$C$53,MATCH(S86,事件規則!$A$2:$A$53,0)),"")))</f>
        <v>3</v>
      </c>
      <c r="V86" s="21"/>
      <c r="W86" s="22"/>
      <c r="X86" s="10" t="str">
        <f aca="false">IF(AND(R86="修改",S86=""),"請選新事件代碼",IF(AND(R86&lt;&gt;"修改",S86&lt;&gt;""),"只有「修改」才需填代碼",""))</f>
        <v/>
      </c>
      <c r="Y86" s="21"/>
      <c r="Z86" s="22"/>
      <c r="AA86" s="23" t="s">
        <v>397</v>
      </c>
      <c r="AB86" s="13"/>
    </row>
    <row r="87" customFormat="false" ht="23.85" hidden="false" customHeight="false" outlineLevel="0" collapsed="false">
      <c r="A87" s="16" t="n">
        <v>86</v>
      </c>
      <c r="B87" s="9" t="s">
        <v>45</v>
      </c>
      <c r="C87" s="9" t="s">
        <v>398</v>
      </c>
      <c r="D87" s="10" t="s">
        <v>399</v>
      </c>
      <c r="E87" s="24" t="s">
        <v>400</v>
      </c>
      <c r="F87" s="12"/>
      <c r="G87" s="23" t="s">
        <v>401</v>
      </c>
      <c r="H87" s="14" t="n">
        <v>-0.958</v>
      </c>
      <c r="I87" s="15"/>
      <c r="J87" s="12"/>
      <c r="K87" s="9"/>
      <c r="L87" s="16" t="s">
        <v>51</v>
      </c>
      <c r="M87" s="17" t="s">
        <v>52</v>
      </c>
      <c r="N87" s="15" t="s">
        <v>61</v>
      </c>
      <c r="O87" s="16" t="s">
        <v>105</v>
      </c>
      <c r="P87" s="12" t="s">
        <v>402</v>
      </c>
      <c r="Q87" s="9"/>
      <c r="R87" s="18" t="s">
        <v>52</v>
      </c>
      <c r="S87" s="19" t="s">
        <v>61</v>
      </c>
      <c r="T87" s="12" t="str">
        <f aca="false">IF(R87="維持",J87,IF(R87="排除","無關新聞事件",IFERROR(INDEX(事件規則!$B$2:$B$53,MATCH(S87,事件規則!$A$2:$A$53,0)),"")))</f>
        <v>裁員或人力縮減</v>
      </c>
      <c r="U87" s="20" t="n">
        <f aca="false">IF(R87="維持",K87,IF(R87="排除",0,IFERROR(INDEX(事件規則!$C$2:$C$53,MATCH(S87,事件規則!$A$2:$A$53,0)),"")))</f>
        <v>3</v>
      </c>
      <c r="V87" s="21"/>
      <c r="W87" s="22"/>
      <c r="X87" s="10" t="str">
        <f aca="false">IF(AND(R87="修改",S87=""),"請選新事件代碼",IF(AND(R87&lt;&gt;"修改",S87&lt;&gt;""),"只有「修改」才需填代碼",""))</f>
        <v/>
      </c>
      <c r="Y87" s="21"/>
      <c r="Z87" s="22"/>
      <c r="AA87" s="23" t="s">
        <v>403</v>
      </c>
      <c r="AB87" s="13"/>
    </row>
    <row r="88" customFormat="false" ht="44" hidden="false" customHeight="false" outlineLevel="0" collapsed="false">
      <c r="A88" s="16" t="n">
        <v>87</v>
      </c>
      <c r="B88" s="9" t="s">
        <v>45</v>
      </c>
      <c r="C88" s="9" t="s">
        <v>404</v>
      </c>
      <c r="D88" s="10" t="s">
        <v>405</v>
      </c>
      <c r="E88" s="24" t="s">
        <v>406</v>
      </c>
      <c r="F88" s="12"/>
      <c r="G88" s="23" t="s">
        <v>120</v>
      </c>
      <c r="H88" s="14" t="n">
        <v>-0.957</v>
      </c>
      <c r="I88" s="15"/>
      <c r="J88" s="12"/>
      <c r="K88" s="9"/>
      <c r="L88" s="16" t="s">
        <v>51</v>
      </c>
      <c r="M88" s="17" t="s">
        <v>79</v>
      </c>
      <c r="N88" s="15"/>
      <c r="O88" s="16" t="s">
        <v>54</v>
      </c>
      <c r="P88" s="12" t="s">
        <v>80</v>
      </c>
      <c r="Q88" s="9"/>
      <c r="R88" s="18" t="s">
        <v>79</v>
      </c>
      <c r="S88" s="19"/>
      <c r="T88" s="12" t="str">
        <f aca="false">IF(R88="維持",J88,IF(R88="排除","無關新聞事件",IFERROR(INDEX(事件規則!$B$2:$B$53,MATCH(S88,事件規則!$A$2:$A$53,0)),"")))</f>
        <v>無關新聞事件</v>
      </c>
      <c r="U88" s="20" t="n">
        <f aca="false">IF(R88="維持",K88,IF(R88="排除",0,IFERROR(INDEX(事件規則!$C$2:$C$53,MATCH(S88,事件規則!$A$2:$A$53,0)),"")))</f>
        <v>0</v>
      </c>
      <c r="V88" s="21"/>
      <c r="W88" s="22"/>
      <c r="X88" s="10" t="str">
        <f aca="false">IF(AND(R88="修改",S88=""),"請選新事件代碼",IF(AND(R88&lt;&gt;"修改",S88&lt;&gt;""),"只有「修改」才需填代碼",""))</f>
        <v/>
      </c>
      <c r="Y88" s="21"/>
      <c r="Z88" s="22"/>
      <c r="AA88" s="23" t="s">
        <v>407</v>
      </c>
      <c r="AB88" s="13"/>
    </row>
    <row r="89" customFormat="false" ht="44" hidden="false" customHeight="false" outlineLevel="0" collapsed="false">
      <c r="A89" s="16" t="n">
        <v>88</v>
      </c>
      <c r="B89" s="9" t="s">
        <v>45</v>
      </c>
      <c r="C89" s="9" t="s">
        <v>88</v>
      </c>
      <c r="D89" s="10" t="s">
        <v>89</v>
      </c>
      <c r="E89" s="24" t="s">
        <v>408</v>
      </c>
      <c r="F89" s="12"/>
      <c r="G89" s="23" t="s">
        <v>78</v>
      </c>
      <c r="H89" s="14" t="n">
        <v>-0.957</v>
      </c>
      <c r="I89" s="15"/>
      <c r="J89" s="12"/>
      <c r="K89" s="9"/>
      <c r="L89" s="16" t="s">
        <v>51</v>
      </c>
      <c r="M89" s="17" t="s">
        <v>79</v>
      </c>
      <c r="N89" s="15"/>
      <c r="O89" s="16" t="s">
        <v>54</v>
      </c>
      <c r="P89" s="12" t="s">
        <v>80</v>
      </c>
      <c r="Q89" s="9"/>
      <c r="R89" s="18" t="s">
        <v>79</v>
      </c>
      <c r="S89" s="19"/>
      <c r="T89" s="12" t="str">
        <f aca="false">IF(R89="維持",J89,IF(R89="排除","無關新聞事件",IFERROR(INDEX(事件規則!$B$2:$B$53,MATCH(S89,事件規則!$A$2:$A$53,0)),"")))</f>
        <v>無關新聞事件</v>
      </c>
      <c r="U89" s="20" t="n">
        <f aca="false">IF(R89="維持",K89,IF(R89="排除",0,IFERROR(INDEX(事件規則!$C$2:$C$53,MATCH(S89,事件規則!$A$2:$A$53,0)),"")))</f>
        <v>0</v>
      </c>
      <c r="V89" s="21"/>
      <c r="W89" s="22"/>
      <c r="X89" s="10" t="str">
        <f aca="false">IF(AND(R89="修改",S89=""),"請選新事件代碼",IF(AND(R89&lt;&gt;"修改",S89&lt;&gt;""),"只有「修改」才需填代碼",""))</f>
        <v/>
      </c>
      <c r="Y89" s="21"/>
      <c r="Z89" s="22"/>
      <c r="AA89" s="23" t="s">
        <v>409</v>
      </c>
      <c r="AB89" s="13"/>
    </row>
    <row r="90" customFormat="false" ht="23.85" hidden="false" customHeight="false" outlineLevel="0" collapsed="false">
      <c r="A90" s="16" t="n">
        <v>89</v>
      </c>
      <c r="B90" s="9" t="s">
        <v>65</v>
      </c>
      <c r="C90" s="9" t="s">
        <v>410</v>
      </c>
      <c r="D90" s="10" t="s">
        <v>411</v>
      </c>
      <c r="E90" s="24" t="s">
        <v>412</v>
      </c>
      <c r="F90" s="12"/>
      <c r="G90" s="23" t="s">
        <v>413</v>
      </c>
      <c r="H90" s="14" t="n">
        <v>-0.957</v>
      </c>
      <c r="I90" s="15"/>
      <c r="J90" s="12"/>
      <c r="K90" s="9"/>
      <c r="L90" s="16" t="s">
        <v>51</v>
      </c>
      <c r="M90" s="17" t="s">
        <v>52</v>
      </c>
      <c r="N90" s="15" t="s">
        <v>414</v>
      </c>
      <c r="O90" s="16" t="s">
        <v>54</v>
      </c>
      <c r="P90" s="10" t="s">
        <v>415</v>
      </c>
      <c r="Q90" s="16" t="s">
        <v>416</v>
      </c>
      <c r="R90" s="18" t="s">
        <v>52</v>
      </c>
      <c r="S90" s="19" t="s">
        <v>414</v>
      </c>
      <c r="T90" s="12" t="str">
        <f aca="false">IF(R90="維持",J90,IF(R90="排除","無關新聞事件",IFERROR(INDEX(事件規則!$B$2:$B$53,MATCH(S90,事件規則!$A$2:$A$53,0)),"")))</f>
        <v>重大環境事故</v>
      </c>
      <c r="U90" s="20" t="n">
        <f aca="false">IF(R90="維持",K90,IF(R90="排除",0,IFERROR(INDEX(事件規則!$C$2:$C$53,MATCH(S90,事件規則!$A$2:$A$53,0)),"")))</f>
        <v>4</v>
      </c>
      <c r="V90" s="21"/>
      <c r="W90" s="22"/>
      <c r="X90" s="10" t="str">
        <f aca="false">IF(AND(R90="修改",S90=""),"請選新事件代碼",IF(AND(R90&lt;&gt;"修改",S90&lt;&gt;""),"只有「修改」才需填代碼",""))</f>
        <v/>
      </c>
      <c r="Y90" s="21"/>
      <c r="Z90" s="22"/>
      <c r="AA90" s="23" t="s">
        <v>417</v>
      </c>
      <c r="AB90" s="13"/>
    </row>
    <row r="91" customFormat="false" ht="44" hidden="false" customHeight="false" outlineLevel="0" collapsed="false">
      <c r="A91" s="16" t="n">
        <v>90</v>
      </c>
      <c r="B91" s="9" t="s">
        <v>65</v>
      </c>
      <c r="C91" s="9" t="s">
        <v>69</v>
      </c>
      <c r="D91" s="10" t="s">
        <v>70</v>
      </c>
      <c r="E91" s="24" t="s">
        <v>418</v>
      </c>
      <c r="F91" s="12"/>
      <c r="G91" s="23" t="s">
        <v>147</v>
      </c>
      <c r="H91" s="14" t="n">
        <v>-0.957</v>
      </c>
      <c r="I91" s="15"/>
      <c r="J91" s="12"/>
      <c r="K91" s="9"/>
      <c r="L91" s="16" t="s">
        <v>51</v>
      </c>
      <c r="M91" s="17" t="s">
        <v>79</v>
      </c>
      <c r="N91" s="15"/>
      <c r="O91" s="16" t="s">
        <v>54</v>
      </c>
      <c r="P91" s="12" t="s">
        <v>80</v>
      </c>
      <c r="Q91" s="16"/>
      <c r="R91" s="18" t="s">
        <v>79</v>
      </c>
      <c r="S91" s="19"/>
      <c r="T91" s="12" t="str">
        <f aca="false">IF(R91="維持",J91,IF(R91="排除","無關新聞事件",IFERROR(INDEX(事件規則!$B$2:$B$53,MATCH(S91,事件規則!$A$2:$A$53,0)),"")))</f>
        <v>無關新聞事件</v>
      </c>
      <c r="U91" s="20" t="n">
        <f aca="false">IF(R91="維持",K91,IF(R91="排除",0,IFERROR(INDEX(事件規則!$C$2:$C$53,MATCH(S91,事件規則!$A$2:$A$53,0)),"")))</f>
        <v>0</v>
      </c>
      <c r="V91" s="21"/>
      <c r="W91" s="22"/>
      <c r="X91" s="10" t="str">
        <f aca="false">IF(AND(R91="修改",S91=""),"請選新事件代碼",IF(AND(R91&lt;&gt;"修改",S91&lt;&gt;""),"只有「修改」才需填代碼",""))</f>
        <v/>
      </c>
      <c r="Y91" s="21"/>
      <c r="Z91" s="22"/>
      <c r="AA91" s="23" t="s">
        <v>419</v>
      </c>
      <c r="AB91" s="13"/>
    </row>
    <row r="92" customFormat="false" ht="44" hidden="false" customHeight="false" outlineLevel="0" collapsed="false">
      <c r="A92" s="16" t="n">
        <v>91</v>
      </c>
      <c r="B92" s="9" t="s">
        <v>331</v>
      </c>
      <c r="C92" s="9" t="s">
        <v>108</v>
      </c>
      <c r="D92" s="10" t="s">
        <v>109</v>
      </c>
      <c r="E92" s="24" t="s">
        <v>420</v>
      </c>
      <c r="F92" s="12"/>
      <c r="G92" s="23" t="s">
        <v>421</v>
      </c>
      <c r="H92" s="14" t="n">
        <v>-0.957</v>
      </c>
      <c r="I92" s="15"/>
      <c r="J92" s="12"/>
      <c r="K92" s="9"/>
      <c r="L92" s="16" t="s">
        <v>51</v>
      </c>
      <c r="M92" s="17" t="s">
        <v>79</v>
      </c>
      <c r="N92" s="15"/>
      <c r="O92" s="16" t="s">
        <v>54</v>
      </c>
      <c r="P92" s="12" t="s">
        <v>80</v>
      </c>
      <c r="Q92" s="16"/>
      <c r="R92" s="18" t="s">
        <v>79</v>
      </c>
      <c r="S92" s="19"/>
      <c r="T92" s="12" t="str">
        <f aca="false">IF(R92="維持",J92,IF(R92="排除","無關新聞事件",IFERROR(INDEX(事件規則!$B$2:$B$53,MATCH(S92,事件規則!$A$2:$A$53,0)),"")))</f>
        <v>無關新聞事件</v>
      </c>
      <c r="U92" s="20" t="n">
        <f aca="false">IF(R92="維持",K92,IF(R92="排除",0,IFERROR(INDEX(事件規則!$C$2:$C$53,MATCH(S92,事件規則!$A$2:$A$53,0)),"")))</f>
        <v>0</v>
      </c>
      <c r="V92" s="21"/>
      <c r="W92" s="22"/>
      <c r="X92" s="10" t="str">
        <f aca="false">IF(AND(R92="修改",S92=""),"請選新事件代碼",IF(AND(R92&lt;&gt;"修改",S92&lt;&gt;""),"只有「修改」才需填代碼",""))</f>
        <v/>
      </c>
      <c r="Y92" s="21"/>
      <c r="Z92" s="22"/>
      <c r="AA92" s="23" t="s">
        <v>422</v>
      </c>
      <c r="AB92" s="13"/>
    </row>
    <row r="93" customFormat="false" ht="23.85" hidden="false" customHeight="false" outlineLevel="0" collapsed="false">
      <c r="A93" s="16" t="n">
        <v>92</v>
      </c>
      <c r="B93" s="9" t="s">
        <v>65</v>
      </c>
      <c r="C93" s="9" t="s">
        <v>93</v>
      </c>
      <c r="D93" s="10" t="s">
        <v>94</v>
      </c>
      <c r="E93" s="24" t="s">
        <v>423</v>
      </c>
      <c r="F93" s="12"/>
      <c r="G93" s="23" t="s">
        <v>424</v>
      </c>
      <c r="H93" s="14" t="n">
        <v>-0.957</v>
      </c>
      <c r="I93" s="15"/>
      <c r="J93" s="12"/>
      <c r="K93" s="9"/>
      <c r="L93" s="16" t="s">
        <v>51</v>
      </c>
      <c r="M93" s="17" t="s">
        <v>52</v>
      </c>
      <c r="N93" s="15" t="s">
        <v>61</v>
      </c>
      <c r="O93" s="16" t="s">
        <v>62</v>
      </c>
      <c r="P93" s="10" t="s">
        <v>97</v>
      </c>
      <c r="Q93" s="16"/>
      <c r="R93" s="18" t="s">
        <v>52</v>
      </c>
      <c r="S93" s="19" t="s">
        <v>61</v>
      </c>
      <c r="T93" s="12" t="str">
        <f aca="false">IF(R93="維持",J93,IF(R93="排除","無關新聞事件",IFERROR(INDEX(事件規則!$B$2:$B$53,MATCH(S93,事件規則!$A$2:$A$53,0)),"")))</f>
        <v>裁員或人力縮減</v>
      </c>
      <c r="U93" s="20" t="n">
        <f aca="false">IF(R93="維持",K93,IF(R93="排除",0,IFERROR(INDEX(事件規則!$C$2:$C$53,MATCH(S93,事件規則!$A$2:$A$53,0)),"")))</f>
        <v>3</v>
      </c>
      <c r="V93" s="21"/>
      <c r="W93" s="22"/>
      <c r="X93" s="10" t="str">
        <f aca="false">IF(AND(R93="修改",S93=""),"請選新事件代碼",IF(AND(R93&lt;&gt;"修改",S93&lt;&gt;""),"只有「修改」才需填代碼",""))</f>
        <v/>
      </c>
      <c r="Y93" s="21"/>
      <c r="Z93" s="22"/>
      <c r="AA93" s="23" t="s">
        <v>425</v>
      </c>
      <c r="AB93" s="13"/>
    </row>
    <row r="94" customFormat="false" ht="23.85" hidden="false" customHeight="false" outlineLevel="0" collapsed="false">
      <c r="A94" s="16" t="n">
        <v>93</v>
      </c>
      <c r="B94" s="9" t="s">
        <v>65</v>
      </c>
      <c r="C94" s="9" t="s">
        <v>99</v>
      </c>
      <c r="D94" s="10" t="s">
        <v>100</v>
      </c>
      <c r="E94" s="24" t="s">
        <v>423</v>
      </c>
      <c r="F94" s="12"/>
      <c r="G94" s="23" t="s">
        <v>424</v>
      </c>
      <c r="H94" s="14" t="n">
        <v>-0.957</v>
      </c>
      <c r="I94" s="15"/>
      <c r="J94" s="12"/>
      <c r="K94" s="9"/>
      <c r="L94" s="16" t="s">
        <v>51</v>
      </c>
      <c r="M94" s="17" t="s">
        <v>52</v>
      </c>
      <c r="N94" s="15" t="s">
        <v>61</v>
      </c>
      <c r="O94" s="16" t="s">
        <v>62</v>
      </c>
      <c r="P94" s="10" t="s">
        <v>97</v>
      </c>
      <c r="Q94" s="16"/>
      <c r="R94" s="18" t="s">
        <v>52</v>
      </c>
      <c r="S94" s="19" t="s">
        <v>61</v>
      </c>
      <c r="T94" s="12" t="str">
        <f aca="false">IF(R94="維持",J94,IF(R94="排除","無關新聞事件",IFERROR(INDEX(事件規則!$B$2:$B$53,MATCH(S94,事件規則!$A$2:$A$53,0)),"")))</f>
        <v>裁員或人力縮減</v>
      </c>
      <c r="U94" s="20" t="n">
        <f aca="false">IF(R94="維持",K94,IF(R94="排除",0,IFERROR(INDEX(事件規則!$C$2:$C$53,MATCH(S94,事件規則!$A$2:$A$53,0)),"")))</f>
        <v>3</v>
      </c>
      <c r="V94" s="21"/>
      <c r="W94" s="22"/>
      <c r="X94" s="10" t="str">
        <f aca="false">IF(AND(R94="修改",S94=""),"請選新事件代碼",IF(AND(R94&lt;&gt;"修改",S94&lt;&gt;""),"只有「修改」才需填代碼",""))</f>
        <v/>
      </c>
      <c r="Y94" s="21"/>
      <c r="Z94" s="22"/>
      <c r="AA94" s="23" t="s">
        <v>426</v>
      </c>
      <c r="AB94" s="13"/>
    </row>
    <row r="95" customFormat="false" ht="15" hidden="false" customHeight="false" outlineLevel="0" collapsed="false">
      <c r="A95" s="16" t="n">
        <v>94</v>
      </c>
      <c r="B95" s="9" t="s">
        <v>45</v>
      </c>
      <c r="C95" s="16"/>
      <c r="D95" s="10" t="s">
        <v>89</v>
      </c>
      <c r="E95" s="11" t="s">
        <v>427</v>
      </c>
      <c r="F95" s="12" t="s">
        <v>428</v>
      </c>
      <c r="G95" s="23" t="s">
        <v>152</v>
      </c>
      <c r="H95" s="14" t="n">
        <v>-0.957</v>
      </c>
      <c r="I95" s="15"/>
      <c r="J95" s="12"/>
      <c r="K95" s="9"/>
      <c r="L95" s="16" t="s">
        <v>51</v>
      </c>
      <c r="M95" s="17" t="s">
        <v>52</v>
      </c>
      <c r="N95" s="15" t="s">
        <v>53</v>
      </c>
      <c r="O95" s="16" t="s">
        <v>54</v>
      </c>
      <c r="P95" s="10" t="s">
        <v>55</v>
      </c>
      <c r="Q95" s="16"/>
      <c r="R95" s="18" t="s">
        <v>52</v>
      </c>
      <c r="S95" s="19" t="s">
        <v>53</v>
      </c>
      <c r="T95" s="12" t="str">
        <f aca="false">IF(R95="維持",J95,IF(R95="排除","無關新聞事件",IFERROR(INDEX(事件規則!$B$2:$B$53,MATCH(S95,事件規則!$A$2:$A$53,0)),"")))</f>
        <v>股價下跌</v>
      </c>
      <c r="U95" s="20" t="n">
        <f aca="false">IF(R95="維持",K95,IF(R95="排除",0,IFERROR(INDEX(事件規則!$C$2:$C$53,MATCH(S95,事件規則!$A$2:$A$53,0)),"")))</f>
        <v>1</v>
      </c>
      <c r="V95" s="21"/>
      <c r="W95" s="22" t="s">
        <v>88</v>
      </c>
      <c r="X95" s="10" t="str">
        <f aca="false">IF(AND(R95="修改",S95=""),"請選新事件代碼",IF(AND(R95&lt;&gt;"修改",S95&lt;&gt;""),"只有「修改」才需填代碼",""))</f>
        <v/>
      </c>
      <c r="Y95" s="21"/>
      <c r="Z95" s="22"/>
      <c r="AA95" s="23" t="s">
        <v>429</v>
      </c>
      <c r="AB95" s="13"/>
    </row>
    <row r="96" customFormat="false" ht="15" hidden="false" customHeight="false" outlineLevel="0" collapsed="false">
      <c r="A96" s="16" t="n">
        <v>95</v>
      </c>
      <c r="B96" s="9" t="s">
        <v>45</v>
      </c>
      <c r="C96" s="9" t="s">
        <v>46</v>
      </c>
      <c r="D96" s="10" t="s">
        <v>47</v>
      </c>
      <c r="E96" s="24" t="s">
        <v>430</v>
      </c>
      <c r="F96" s="12"/>
      <c r="G96" s="23" t="s">
        <v>431</v>
      </c>
      <c r="H96" s="14" t="n">
        <v>-0.957</v>
      </c>
      <c r="I96" s="15"/>
      <c r="J96" s="12"/>
      <c r="K96" s="9"/>
      <c r="L96" s="16" t="s">
        <v>51</v>
      </c>
      <c r="M96" s="17" t="s">
        <v>52</v>
      </c>
      <c r="N96" s="15" t="s">
        <v>53</v>
      </c>
      <c r="O96" s="16" t="s">
        <v>54</v>
      </c>
      <c r="P96" s="10" t="s">
        <v>55</v>
      </c>
      <c r="Q96" s="16"/>
      <c r="R96" s="18" t="s">
        <v>52</v>
      </c>
      <c r="S96" s="19" t="s">
        <v>53</v>
      </c>
      <c r="T96" s="12" t="str">
        <f aca="false">IF(R96="維持",J96,IF(R96="排除","無關新聞事件",IFERROR(INDEX(事件規則!$B$2:$B$53,MATCH(S96,事件規則!$A$2:$A$53,0)),"")))</f>
        <v>股價下跌</v>
      </c>
      <c r="U96" s="20" t="n">
        <f aca="false">IF(R96="維持",K96,IF(R96="排除",0,IFERROR(INDEX(事件規則!$C$2:$C$53,MATCH(S96,事件規則!$A$2:$A$53,0)),"")))</f>
        <v>1</v>
      </c>
      <c r="V96" s="21"/>
      <c r="W96" s="22"/>
      <c r="X96" s="10" t="str">
        <f aca="false">IF(AND(R96="修改",S96=""),"請選新事件代碼",IF(AND(R96&lt;&gt;"修改",S96&lt;&gt;""),"只有「修改」才需填代碼",""))</f>
        <v/>
      </c>
      <c r="Y96" s="21"/>
      <c r="Z96" s="22"/>
      <c r="AA96" s="23" t="s">
        <v>432</v>
      </c>
      <c r="AB96" s="13"/>
    </row>
    <row r="97" customFormat="false" ht="15" hidden="false" customHeight="false" outlineLevel="0" collapsed="false">
      <c r="A97" s="16" t="n">
        <v>96</v>
      </c>
      <c r="B97" s="9" t="s">
        <v>45</v>
      </c>
      <c r="C97" s="16"/>
      <c r="D97" s="10" t="s">
        <v>150</v>
      </c>
      <c r="E97" s="11" t="s">
        <v>427</v>
      </c>
      <c r="F97" s="12" t="s">
        <v>428</v>
      </c>
      <c r="G97" s="23" t="s">
        <v>152</v>
      </c>
      <c r="H97" s="14" t="n">
        <v>-0.957</v>
      </c>
      <c r="I97" s="15"/>
      <c r="J97" s="12"/>
      <c r="K97" s="9"/>
      <c r="L97" s="16" t="s">
        <v>51</v>
      </c>
      <c r="M97" s="17" t="s">
        <v>52</v>
      </c>
      <c r="N97" s="15" t="s">
        <v>53</v>
      </c>
      <c r="O97" s="16" t="s">
        <v>54</v>
      </c>
      <c r="P97" s="10" t="s">
        <v>55</v>
      </c>
      <c r="Q97" s="16"/>
      <c r="R97" s="18" t="s">
        <v>52</v>
      </c>
      <c r="S97" s="19" t="s">
        <v>53</v>
      </c>
      <c r="T97" s="12" t="str">
        <f aca="false">IF(R97="維持",J97,IF(R97="排除","無關新聞事件",IFERROR(INDEX(事件規則!$B$2:$B$53,MATCH(S97,事件規則!$A$2:$A$53,0)),"")))</f>
        <v>股價下跌</v>
      </c>
      <c r="U97" s="20" t="n">
        <f aca="false">IF(R97="維持",K97,IF(R97="排除",0,IFERROR(INDEX(事件規則!$C$2:$C$53,MATCH(S97,事件規則!$A$2:$A$53,0)),"")))</f>
        <v>1</v>
      </c>
      <c r="V97" s="21"/>
      <c r="W97" s="22" t="s">
        <v>149</v>
      </c>
      <c r="X97" s="10" t="str">
        <f aca="false">IF(AND(R97="修改",S97=""),"請選新事件代碼",IF(AND(R97&lt;&gt;"修改",S97&lt;&gt;""),"只有「修改」才需填代碼",""))</f>
        <v/>
      </c>
      <c r="Y97" s="21"/>
      <c r="Z97" s="22"/>
      <c r="AA97" s="23" t="s">
        <v>433</v>
      </c>
      <c r="AB97" s="13"/>
    </row>
    <row r="98" customFormat="false" ht="15" hidden="false" customHeight="false" outlineLevel="0" collapsed="false">
      <c r="A98" s="16" t="n">
        <v>97</v>
      </c>
      <c r="B98" s="9" t="s">
        <v>65</v>
      </c>
      <c r="C98" s="9" t="s">
        <v>434</v>
      </c>
      <c r="D98" s="10" t="s">
        <v>435</v>
      </c>
      <c r="E98" s="24" t="s">
        <v>436</v>
      </c>
      <c r="F98" s="12"/>
      <c r="G98" s="23" t="s">
        <v>437</v>
      </c>
      <c r="H98" s="14" t="n">
        <v>-0.957</v>
      </c>
      <c r="I98" s="15"/>
      <c r="J98" s="12"/>
      <c r="K98" s="9"/>
      <c r="L98" s="16" t="s">
        <v>51</v>
      </c>
      <c r="M98" s="17" t="s">
        <v>52</v>
      </c>
      <c r="N98" s="15" t="s">
        <v>53</v>
      </c>
      <c r="O98" s="16" t="s">
        <v>54</v>
      </c>
      <c r="P98" s="10" t="s">
        <v>438</v>
      </c>
      <c r="Q98" s="16"/>
      <c r="R98" s="18" t="s">
        <v>52</v>
      </c>
      <c r="S98" s="19" t="s">
        <v>53</v>
      </c>
      <c r="T98" s="12" t="str">
        <f aca="false">IF(R98="維持",J98,IF(R98="排除","無關新聞事件",IFERROR(INDEX(事件規則!$B$2:$B$53,MATCH(S98,事件規則!$A$2:$A$53,0)),"")))</f>
        <v>股價下跌</v>
      </c>
      <c r="U98" s="20" t="n">
        <f aca="false">IF(R98="維持",K98,IF(R98="排除",0,IFERROR(INDEX(事件規則!$C$2:$C$53,MATCH(S98,事件規則!$A$2:$A$53,0)),"")))</f>
        <v>1</v>
      </c>
      <c r="V98" s="21"/>
      <c r="W98" s="22"/>
      <c r="X98" s="10" t="str">
        <f aca="false">IF(AND(R98="修改",S98=""),"請選新事件代碼",IF(AND(R98&lt;&gt;"修改",S98&lt;&gt;""),"只有「修改」才需填代碼",""))</f>
        <v/>
      </c>
      <c r="Y98" s="21"/>
      <c r="Z98" s="22"/>
      <c r="AA98" s="23" t="s">
        <v>439</v>
      </c>
      <c r="AB98" s="13"/>
    </row>
    <row r="99" customFormat="false" ht="15" hidden="false" customHeight="false" outlineLevel="0" collapsed="false">
      <c r="A99" s="16" t="n">
        <v>98</v>
      </c>
      <c r="B99" s="9" t="s">
        <v>45</v>
      </c>
      <c r="C99" s="9" t="s">
        <v>149</v>
      </c>
      <c r="D99" s="10" t="s">
        <v>150</v>
      </c>
      <c r="E99" s="24" t="s">
        <v>430</v>
      </c>
      <c r="F99" s="12"/>
      <c r="G99" s="23" t="s">
        <v>431</v>
      </c>
      <c r="H99" s="14" t="n">
        <v>-0.957</v>
      </c>
      <c r="I99" s="15"/>
      <c r="J99" s="12"/>
      <c r="K99" s="9"/>
      <c r="L99" s="16" t="s">
        <v>51</v>
      </c>
      <c r="M99" s="17" t="s">
        <v>52</v>
      </c>
      <c r="N99" s="15" t="s">
        <v>53</v>
      </c>
      <c r="O99" s="16" t="s">
        <v>54</v>
      </c>
      <c r="P99" s="10" t="s">
        <v>55</v>
      </c>
      <c r="Q99" s="16"/>
      <c r="R99" s="18" t="s">
        <v>52</v>
      </c>
      <c r="S99" s="19" t="s">
        <v>53</v>
      </c>
      <c r="T99" s="12" t="str">
        <f aca="false">IF(R99="維持",J99,IF(R99="排除","無關新聞事件",IFERROR(INDEX(事件規則!$B$2:$B$53,MATCH(S99,事件規則!$A$2:$A$53,0)),"")))</f>
        <v>股價下跌</v>
      </c>
      <c r="U99" s="20" t="n">
        <f aca="false">IF(R99="維持",K99,IF(R99="排除",0,IFERROR(INDEX(事件規則!$C$2:$C$53,MATCH(S99,事件規則!$A$2:$A$53,0)),"")))</f>
        <v>1</v>
      </c>
      <c r="V99" s="21"/>
      <c r="W99" s="22"/>
      <c r="X99" s="10" t="str">
        <f aca="false">IF(AND(R99="修改",S99=""),"請選新事件代碼",IF(AND(R99&lt;&gt;"修改",S99&lt;&gt;""),"只有「修改」才需填代碼",""))</f>
        <v/>
      </c>
      <c r="Y99" s="21"/>
      <c r="Z99" s="22"/>
      <c r="AA99" s="23" t="s">
        <v>440</v>
      </c>
      <c r="AB99" s="13"/>
    </row>
    <row r="100" customFormat="false" ht="44" hidden="false" customHeight="false" outlineLevel="0" collapsed="false">
      <c r="A100" s="16" t="n">
        <v>99</v>
      </c>
      <c r="B100" s="9" t="s">
        <v>386</v>
      </c>
      <c r="C100" s="9" t="s">
        <v>441</v>
      </c>
      <c r="D100" s="10" t="s">
        <v>442</v>
      </c>
      <c r="E100" s="24" t="s">
        <v>443</v>
      </c>
      <c r="F100" s="12"/>
      <c r="G100" s="23" t="s">
        <v>444</v>
      </c>
      <c r="H100" s="14" t="n">
        <v>-0.957</v>
      </c>
      <c r="I100" s="15"/>
      <c r="J100" s="12"/>
      <c r="K100" s="9"/>
      <c r="L100" s="16" t="s">
        <v>51</v>
      </c>
      <c r="M100" s="17" t="s">
        <v>79</v>
      </c>
      <c r="N100" s="15"/>
      <c r="O100" s="16" t="s">
        <v>54</v>
      </c>
      <c r="P100" s="12" t="s">
        <v>80</v>
      </c>
      <c r="Q100" s="16"/>
      <c r="R100" s="18" t="s">
        <v>79</v>
      </c>
      <c r="S100" s="19"/>
      <c r="T100" s="12" t="str">
        <f aca="false">IF(R100="維持",J100,IF(R100="排除","無關新聞事件",IFERROR(INDEX(事件規則!$B$2:$B$53,MATCH(S100,事件規則!$A$2:$A$53,0)),"")))</f>
        <v>無關新聞事件</v>
      </c>
      <c r="U100" s="20" t="n">
        <f aca="false">IF(R100="維持",K100,IF(R100="排除",0,IFERROR(INDEX(事件規則!$C$2:$C$53,MATCH(S100,事件規則!$A$2:$A$53,0)),"")))</f>
        <v>0</v>
      </c>
      <c r="V100" s="21"/>
      <c r="W100" s="22"/>
      <c r="X100" s="10" t="str">
        <f aca="false">IF(AND(R100="修改",S100=""),"請選新事件代碼",IF(AND(R100&lt;&gt;"修改",S100&lt;&gt;""),"只有「修改」才需填代碼",""))</f>
        <v/>
      </c>
      <c r="Y100" s="21"/>
      <c r="Z100" s="22"/>
      <c r="AA100" s="23" t="s">
        <v>445</v>
      </c>
      <c r="AB100" s="13"/>
    </row>
    <row r="101" customFormat="false" ht="15" hidden="false" customHeight="false" outlineLevel="0" collapsed="false">
      <c r="A101" s="16" t="n">
        <v>100</v>
      </c>
      <c r="B101" s="9" t="s">
        <v>45</v>
      </c>
      <c r="C101" s="16"/>
      <c r="D101" s="10" t="s">
        <v>47</v>
      </c>
      <c r="E101" s="11" t="s">
        <v>427</v>
      </c>
      <c r="F101" s="12" t="s">
        <v>428</v>
      </c>
      <c r="G101" s="23" t="s">
        <v>152</v>
      </c>
      <c r="H101" s="14" t="n">
        <v>-0.957</v>
      </c>
      <c r="I101" s="15"/>
      <c r="J101" s="12"/>
      <c r="K101" s="9"/>
      <c r="L101" s="16" t="s">
        <v>51</v>
      </c>
      <c r="M101" s="17" t="s">
        <v>52</v>
      </c>
      <c r="N101" s="15" t="s">
        <v>53</v>
      </c>
      <c r="O101" s="16" t="s">
        <v>54</v>
      </c>
      <c r="P101" s="10" t="s">
        <v>55</v>
      </c>
      <c r="Q101" s="16"/>
      <c r="R101" s="18" t="s">
        <v>52</v>
      </c>
      <c r="S101" s="19" t="s">
        <v>53</v>
      </c>
      <c r="T101" s="12" t="str">
        <f aca="false">IF(R101="維持",J101,IF(R101="排除","無關新聞事件",IFERROR(INDEX(事件規則!$B$2:$B$53,MATCH(S101,事件規則!$A$2:$A$53,0)),"")))</f>
        <v>股價下跌</v>
      </c>
      <c r="U101" s="20" t="n">
        <f aca="false">IF(R101="維持",K101,IF(R101="排除",0,IFERROR(INDEX(事件規則!$C$2:$C$53,MATCH(S101,事件規則!$A$2:$A$53,0)),"")))</f>
        <v>1</v>
      </c>
      <c r="V101" s="21"/>
      <c r="W101" s="22" t="s">
        <v>46</v>
      </c>
      <c r="X101" s="10" t="str">
        <f aca="false">IF(AND(R101="修改",S101=""),"請選新事件代碼",IF(AND(R101&lt;&gt;"修改",S101&lt;&gt;""),"只有「修改」才需填代碼",""))</f>
        <v/>
      </c>
      <c r="Y101" s="21"/>
      <c r="Z101" s="22"/>
      <c r="AA101" s="23" t="s">
        <v>446</v>
      </c>
      <c r="AB101" s="13"/>
    </row>
    <row r="102" customFormat="false" ht="44" hidden="false" customHeight="false" outlineLevel="0" collapsed="false">
      <c r="A102" s="16" t="n">
        <v>101</v>
      </c>
      <c r="B102" s="9" t="s">
        <v>331</v>
      </c>
      <c r="C102" s="9" t="s">
        <v>99</v>
      </c>
      <c r="D102" s="10" t="s">
        <v>100</v>
      </c>
      <c r="E102" s="24" t="s">
        <v>447</v>
      </c>
      <c r="F102" s="12"/>
      <c r="G102" s="23" t="s">
        <v>329</v>
      </c>
      <c r="H102" s="14" t="n">
        <v>-0.957</v>
      </c>
      <c r="I102" s="15"/>
      <c r="J102" s="12"/>
      <c r="K102" s="9"/>
      <c r="L102" s="16" t="s">
        <v>51</v>
      </c>
      <c r="M102" s="17" t="s">
        <v>79</v>
      </c>
      <c r="N102" s="15"/>
      <c r="O102" s="16" t="s">
        <v>54</v>
      </c>
      <c r="P102" s="12" t="s">
        <v>80</v>
      </c>
      <c r="Q102" s="16"/>
      <c r="R102" s="18" t="s">
        <v>79</v>
      </c>
      <c r="S102" s="19"/>
      <c r="T102" s="12" t="str">
        <f aca="false">IF(R102="維持",J102,IF(R102="排除","無關新聞事件",IFERROR(INDEX(事件規則!$B$2:$B$53,MATCH(S102,事件規則!$A$2:$A$53,0)),"")))</f>
        <v>無關新聞事件</v>
      </c>
      <c r="U102" s="20" t="n">
        <f aca="false">IF(R102="維持",K102,IF(R102="排除",0,IFERROR(INDEX(事件規則!$C$2:$C$53,MATCH(S102,事件規則!$A$2:$A$53,0)),"")))</f>
        <v>0</v>
      </c>
      <c r="V102" s="21"/>
      <c r="W102" s="22"/>
      <c r="X102" s="10" t="str">
        <f aca="false">IF(AND(R102="修改",S102=""),"請選新事件代碼",IF(AND(R102&lt;&gt;"修改",S102&lt;&gt;""),"只有「修改」才需填代碼",""))</f>
        <v/>
      </c>
      <c r="Y102" s="21"/>
      <c r="Z102" s="22"/>
      <c r="AA102" s="23" t="s">
        <v>448</v>
      </c>
      <c r="AB102" s="13"/>
    </row>
    <row r="103" customFormat="false" ht="44" hidden="false" customHeight="false" outlineLevel="0" collapsed="false">
      <c r="A103" s="16" t="n">
        <v>102</v>
      </c>
      <c r="B103" s="9" t="s">
        <v>331</v>
      </c>
      <c r="C103" s="9" t="s">
        <v>449</v>
      </c>
      <c r="D103" s="10" t="s">
        <v>450</v>
      </c>
      <c r="E103" s="24" t="s">
        <v>451</v>
      </c>
      <c r="F103" s="12"/>
      <c r="G103" s="23" t="s">
        <v>120</v>
      </c>
      <c r="H103" s="14" t="n">
        <v>-0.956</v>
      </c>
      <c r="I103" s="15"/>
      <c r="J103" s="12"/>
      <c r="K103" s="9"/>
      <c r="L103" s="16" t="s">
        <v>51</v>
      </c>
      <c r="M103" s="17" t="s">
        <v>79</v>
      </c>
      <c r="N103" s="15"/>
      <c r="O103" s="16" t="s">
        <v>54</v>
      </c>
      <c r="P103" s="12" t="s">
        <v>80</v>
      </c>
      <c r="Q103" s="16"/>
      <c r="R103" s="18" t="s">
        <v>79</v>
      </c>
      <c r="S103" s="19"/>
      <c r="T103" s="12" t="str">
        <f aca="false">IF(R103="維持",J103,IF(R103="排除","無關新聞事件",IFERROR(INDEX(事件規則!$B$2:$B$53,MATCH(S103,事件規則!$A$2:$A$53,0)),"")))</f>
        <v>無關新聞事件</v>
      </c>
      <c r="U103" s="20" t="n">
        <f aca="false">IF(R103="維持",K103,IF(R103="排除",0,IFERROR(INDEX(事件規則!$C$2:$C$53,MATCH(S103,事件規則!$A$2:$A$53,0)),"")))</f>
        <v>0</v>
      </c>
      <c r="V103" s="21"/>
      <c r="W103" s="22"/>
      <c r="X103" s="10" t="str">
        <f aca="false">IF(AND(R103="修改",S103=""),"請選新事件代碼",IF(AND(R103&lt;&gt;"修改",S103&lt;&gt;""),"只有「修改」才需填代碼",""))</f>
        <v/>
      </c>
      <c r="Y103" s="21"/>
      <c r="Z103" s="22"/>
      <c r="AA103" s="23" t="s">
        <v>452</v>
      </c>
      <c r="AB103" s="13"/>
    </row>
    <row r="104" customFormat="false" ht="15" hidden="false" customHeight="false" outlineLevel="0" collapsed="false">
      <c r="A104" s="16" t="n">
        <v>103</v>
      </c>
      <c r="B104" s="9" t="s">
        <v>331</v>
      </c>
      <c r="C104" s="9" t="s">
        <v>108</v>
      </c>
      <c r="D104" s="10" t="s">
        <v>109</v>
      </c>
      <c r="E104" s="24" t="s">
        <v>453</v>
      </c>
      <c r="F104" s="12"/>
      <c r="G104" s="23" t="s">
        <v>295</v>
      </c>
      <c r="H104" s="14" t="n">
        <v>-0.956</v>
      </c>
      <c r="I104" s="15"/>
      <c r="J104" s="12"/>
      <c r="K104" s="9"/>
      <c r="L104" s="16" t="s">
        <v>51</v>
      </c>
      <c r="M104" s="17" t="s">
        <v>52</v>
      </c>
      <c r="N104" s="15" t="s">
        <v>264</v>
      </c>
      <c r="O104" s="16" t="s">
        <v>62</v>
      </c>
      <c r="P104" s="10" t="s">
        <v>454</v>
      </c>
      <c r="Q104" s="16"/>
      <c r="R104" s="18" t="s">
        <v>52</v>
      </c>
      <c r="S104" s="19" t="s">
        <v>264</v>
      </c>
      <c r="T104" s="12" t="str">
        <f aca="false">IF(R104="維持",J104,IF(R104="排除","無關新聞事件",IFERROR(INDEX(事件規則!$B$2:$B$53,MATCH(S104,事件規則!$A$2:$A$53,0)),"")))</f>
        <v>分析師降評</v>
      </c>
      <c r="U104" s="20" t="n">
        <f aca="false">IF(R104="維持",K104,IF(R104="排除",0,IFERROR(INDEX(事件規則!$C$2:$C$53,MATCH(S104,事件規則!$A$2:$A$53,0)),"")))</f>
        <v>2</v>
      </c>
      <c r="V104" s="21"/>
      <c r="W104" s="22"/>
      <c r="X104" s="10" t="str">
        <f aca="false">IF(AND(R104="修改",S104=""),"請選新事件代碼",IF(AND(R104&lt;&gt;"修改",S104&lt;&gt;""),"只有「修改」才需填代碼",""))</f>
        <v/>
      </c>
      <c r="Y104" s="21"/>
      <c r="Z104" s="22"/>
      <c r="AA104" s="23" t="s">
        <v>455</v>
      </c>
      <c r="AB104" s="13"/>
    </row>
    <row r="105" customFormat="false" ht="44" hidden="false" customHeight="false" outlineLevel="0" collapsed="false">
      <c r="A105" s="16" t="n">
        <v>104</v>
      </c>
      <c r="B105" s="9" t="s">
        <v>331</v>
      </c>
      <c r="C105" s="9" t="s">
        <v>456</v>
      </c>
      <c r="D105" s="10" t="s">
        <v>457</v>
      </c>
      <c r="E105" s="24" t="s">
        <v>458</v>
      </c>
      <c r="F105" s="12"/>
      <c r="G105" s="23" t="s">
        <v>120</v>
      </c>
      <c r="H105" s="14" t="n">
        <v>-0.956</v>
      </c>
      <c r="I105" s="15"/>
      <c r="J105" s="12"/>
      <c r="K105" s="9"/>
      <c r="L105" s="16" t="s">
        <v>51</v>
      </c>
      <c r="M105" s="17" t="s">
        <v>79</v>
      </c>
      <c r="N105" s="15"/>
      <c r="O105" s="16" t="s">
        <v>54</v>
      </c>
      <c r="P105" s="12" t="s">
        <v>80</v>
      </c>
      <c r="Q105" s="16"/>
      <c r="R105" s="18" t="s">
        <v>79</v>
      </c>
      <c r="S105" s="19"/>
      <c r="T105" s="12" t="str">
        <f aca="false">IF(R105="維持",J105,IF(R105="排除","無關新聞事件",IFERROR(INDEX(事件規則!$B$2:$B$53,MATCH(S105,事件規則!$A$2:$A$53,0)),"")))</f>
        <v>無關新聞事件</v>
      </c>
      <c r="U105" s="20" t="n">
        <f aca="false">IF(R105="維持",K105,IF(R105="排除",0,IFERROR(INDEX(事件規則!$C$2:$C$53,MATCH(S105,事件規則!$A$2:$A$53,0)),"")))</f>
        <v>0</v>
      </c>
      <c r="V105" s="21"/>
      <c r="W105" s="22"/>
      <c r="X105" s="10" t="str">
        <f aca="false">IF(AND(R105="修改",S105=""),"請選新事件代碼",IF(AND(R105&lt;&gt;"修改",S105&lt;&gt;""),"只有「修改」才需填代碼",""))</f>
        <v/>
      </c>
      <c r="Y105" s="21"/>
      <c r="Z105" s="22"/>
      <c r="AA105" s="23" t="s">
        <v>459</v>
      </c>
      <c r="AB105" s="13"/>
    </row>
    <row r="106" customFormat="false" ht="23.85" hidden="false" customHeight="false" outlineLevel="0" collapsed="false">
      <c r="A106" s="16" t="n">
        <v>105</v>
      </c>
      <c r="B106" s="9" t="s">
        <v>65</v>
      </c>
      <c r="C106" s="9" t="s">
        <v>57</v>
      </c>
      <c r="D106" s="10" t="s">
        <v>58</v>
      </c>
      <c r="E106" s="24" t="s">
        <v>460</v>
      </c>
      <c r="F106" s="12"/>
      <c r="G106" s="23" t="s">
        <v>120</v>
      </c>
      <c r="H106" s="14" t="n">
        <v>-0.956</v>
      </c>
      <c r="I106" s="15"/>
      <c r="J106" s="12"/>
      <c r="K106" s="9"/>
      <c r="L106" s="16" t="s">
        <v>51</v>
      </c>
      <c r="M106" s="17" t="s">
        <v>52</v>
      </c>
      <c r="N106" s="15" t="s">
        <v>61</v>
      </c>
      <c r="O106" s="16" t="s">
        <v>62</v>
      </c>
      <c r="P106" s="12" t="s">
        <v>63</v>
      </c>
      <c r="Q106" s="16"/>
      <c r="R106" s="18" t="s">
        <v>52</v>
      </c>
      <c r="S106" s="19" t="s">
        <v>61</v>
      </c>
      <c r="T106" s="12" t="str">
        <f aca="false">IF(R106="維持",J106,IF(R106="排除","無關新聞事件",IFERROR(INDEX(事件規則!$B$2:$B$53,MATCH(S106,事件規則!$A$2:$A$53,0)),"")))</f>
        <v>裁員或人力縮減</v>
      </c>
      <c r="U106" s="20" t="n">
        <f aca="false">IF(R106="維持",K106,IF(R106="排除",0,IFERROR(INDEX(事件規則!$C$2:$C$53,MATCH(S106,事件規則!$A$2:$A$53,0)),"")))</f>
        <v>3</v>
      </c>
      <c r="V106" s="21"/>
      <c r="W106" s="22"/>
      <c r="X106" s="10" t="str">
        <f aca="false">IF(AND(R106="修改",S106=""),"請選新事件代碼",IF(AND(R106&lt;&gt;"修改",S106&lt;&gt;""),"只有「修改」才需填代碼",""))</f>
        <v/>
      </c>
      <c r="Y106" s="21"/>
      <c r="Z106" s="22"/>
      <c r="AA106" s="23" t="s">
        <v>461</v>
      </c>
      <c r="AB106" s="13"/>
    </row>
    <row r="107" customFormat="false" ht="44" hidden="false" customHeight="false" outlineLevel="0" collapsed="false">
      <c r="A107" s="16" t="n">
        <v>106</v>
      </c>
      <c r="B107" s="9" t="s">
        <v>65</v>
      </c>
      <c r="C107" s="9" t="s">
        <v>108</v>
      </c>
      <c r="D107" s="10" t="s">
        <v>109</v>
      </c>
      <c r="E107" s="24" t="s">
        <v>462</v>
      </c>
      <c r="F107" s="12"/>
      <c r="G107" s="23" t="s">
        <v>335</v>
      </c>
      <c r="H107" s="14" t="n">
        <v>-0.956</v>
      </c>
      <c r="I107" s="15"/>
      <c r="J107" s="12"/>
      <c r="K107" s="9"/>
      <c r="L107" s="16" t="s">
        <v>51</v>
      </c>
      <c r="M107" s="17" t="s">
        <v>79</v>
      </c>
      <c r="N107" s="15"/>
      <c r="O107" s="16" t="s">
        <v>54</v>
      </c>
      <c r="P107" s="12" t="s">
        <v>80</v>
      </c>
      <c r="Q107" s="16"/>
      <c r="R107" s="18" t="s">
        <v>79</v>
      </c>
      <c r="S107" s="19"/>
      <c r="T107" s="12" t="str">
        <f aca="false">IF(R107="維持",J107,IF(R107="排除","無關新聞事件",IFERROR(INDEX(事件規則!$B$2:$B$53,MATCH(S107,事件規則!$A$2:$A$53,0)),"")))</f>
        <v>無關新聞事件</v>
      </c>
      <c r="U107" s="20" t="n">
        <f aca="false">IF(R107="維持",K107,IF(R107="排除",0,IFERROR(INDEX(事件規則!$C$2:$C$53,MATCH(S107,事件規則!$A$2:$A$53,0)),"")))</f>
        <v>0</v>
      </c>
      <c r="V107" s="21"/>
      <c r="W107" s="22"/>
      <c r="X107" s="10" t="str">
        <f aca="false">IF(AND(R107="修改",S107=""),"請選新事件代碼",IF(AND(R107&lt;&gt;"修改",S107&lt;&gt;""),"只有「修改」才需填代碼",""))</f>
        <v/>
      </c>
      <c r="Y107" s="21"/>
      <c r="Z107" s="22"/>
      <c r="AA107" s="23" t="s">
        <v>463</v>
      </c>
      <c r="AB107" s="13"/>
    </row>
    <row r="108" customFormat="false" ht="44" hidden="false" customHeight="false" outlineLevel="0" collapsed="false">
      <c r="A108" s="16" t="n">
        <v>107</v>
      </c>
      <c r="B108" s="9" t="s">
        <v>45</v>
      </c>
      <c r="C108" s="9" t="s">
        <v>434</v>
      </c>
      <c r="D108" s="10" t="s">
        <v>435</v>
      </c>
      <c r="E108" s="24" t="s">
        <v>464</v>
      </c>
      <c r="F108" s="12"/>
      <c r="G108" s="23" t="s">
        <v>317</v>
      </c>
      <c r="H108" s="14" t="n">
        <v>-0.956</v>
      </c>
      <c r="I108" s="15"/>
      <c r="J108" s="12"/>
      <c r="K108" s="9"/>
      <c r="L108" s="16" t="s">
        <v>51</v>
      </c>
      <c r="M108" s="17" t="s">
        <v>79</v>
      </c>
      <c r="N108" s="15"/>
      <c r="O108" s="16" t="s">
        <v>54</v>
      </c>
      <c r="P108" s="12" t="s">
        <v>80</v>
      </c>
      <c r="Q108" s="16"/>
      <c r="R108" s="18" t="s">
        <v>79</v>
      </c>
      <c r="S108" s="19"/>
      <c r="T108" s="12" t="str">
        <f aca="false">IF(R108="維持",J108,IF(R108="排除","無關新聞事件",IFERROR(INDEX(事件規則!$B$2:$B$53,MATCH(S108,事件規則!$A$2:$A$53,0)),"")))</f>
        <v>無關新聞事件</v>
      </c>
      <c r="U108" s="20" t="n">
        <f aca="false">IF(R108="維持",K108,IF(R108="排除",0,IFERROR(INDEX(事件規則!$C$2:$C$53,MATCH(S108,事件規則!$A$2:$A$53,0)),"")))</f>
        <v>0</v>
      </c>
      <c r="V108" s="21"/>
      <c r="W108" s="22"/>
      <c r="X108" s="10" t="str">
        <f aca="false">IF(AND(R108="修改",S108=""),"請選新事件代碼",IF(AND(R108&lt;&gt;"修改",S108&lt;&gt;""),"只有「修改」才需填代碼",""))</f>
        <v/>
      </c>
      <c r="Y108" s="21"/>
      <c r="Z108" s="22"/>
      <c r="AA108" s="23" t="s">
        <v>465</v>
      </c>
      <c r="AB108" s="13"/>
    </row>
    <row r="109" customFormat="false" ht="15" hidden="false" customHeight="false" outlineLevel="0" collapsed="false">
      <c r="A109" s="16" t="n">
        <v>108</v>
      </c>
      <c r="B109" s="9" t="s">
        <v>45</v>
      </c>
      <c r="C109" s="9" t="s">
        <v>69</v>
      </c>
      <c r="D109" s="10" t="s">
        <v>70</v>
      </c>
      <c r="E109" s="24" t="s">
        <v>466</v>
      </c>
      <c r="F109" s="12"/>
      <c r="G109" s="23" t="s">
        <v>317</v>
      </c>
      <c r="H109" s="14" t="n">
        <v>-0.956</v>
      </c>
      <c r="I109" s="15"/>
      <c r="J109" s="12"/>
      <c r="K109" s="9"/>
      <c r="L109" s="16" t="s">
        <v>51</v>
      </c>
      <c r="M109" s="17" t="s">
        <v>52</v>
      </c>
      <c r="N109" s="15" t="s">
        <v>336</v>
      </c>
      <c r="O109" s="16" t="s">
        <v>62</v>
      </c>
      <c r="P109" s="10" t="s">
        <v>467</v>
      </c>
      <c r="Q109" s="16"/>
      <c r="R109" s="18" t="s">
        <v>52</v>
      </c>
      <c r="S109" s="19" t="s">
        <v>336</v>
      </c>
      <c r="T109" s="12" t="str">
        <f aca="false">IF(R109="維持",J109,IF(R109="排除","無關新聞事件",IFERROR(INDEX(事件規則!$B$2:$B$53,MATCH(S109,事件規則!$A$2:$A$53,0)),"")))</f>
        <v>財測下修</v>
      </c>
      <c r="U109" s="20" t="n">
        <f aca="false">IF(R109="維持",K109,IF(R109="排除",0,IFERROR(INDEX(事件規則!$C$2:$C$53,MATCH(S109,事件規則!$A$2:$A$53,0)),"")))</f>
        <v>3</v>
      </c>
      <c r="V109" s="21"/>
      <c r="W109" s="22"/>
      <c r="X109" s="10" t="str">
        <f aca="false">IF(AND(R109="修改",S109=""),"請選新事件代碼",IF(AND(R109&lt;&gt;"修改",S109&lt;&gt;""),"只有「修改」才需填代碼",""))</f>
        <v/>
      </c>
      <c r="Y109" s="21"/>
      <c r="Z109" s="22"/>
      <c r="AA109" s="23" t="s">
        <v>468</v>
      </c>
      <c r="AB109" s="13"/>
    </row>
    <row r="110" customFormat="false" ht="23.85" hidden="false" customHeight="false" outlineLevel="0" collapsed="false">
      <c r="A110" s="16" t="n">
        <v>109</v>
      </c>
      <c r="B110" s="9" t="s">
        <v>45</v>
      </c>
      <c r="C110" s="9" t="s">
        <v>57</v>
      </c>
      <c r="D110" s="10" t="s">
        <v>58</v>
      </c>
      <c r="E110" s="24" t="s">
        <v>469</v>
      </c>
      <c r="F110" s="12"/>
      <c r="G110" s="23" t="s">
        <v>120</v>
      </c>
      <c r="H110" s="14" t="n">
        <v>-0.956</v>
      </c>
      <c r="I110" s="15"/>
      <c r="J110" s="12"/>
      <c r="K110" s="9"/>
      <c r="L110" s="16" t="s">
        <v>51</v>
      </c>
      <c r="M110" s="17" t="s">
        <v>52</v>
      </c>
      <c r="N110" s="15" t="s">
        <v>61</v>
      </c>
      <c r="O110" s="16" t="s">
        <v>62</v>
      </c>
      <c r="P110" s="12" t="s">
        <v>63</v>
      </c>
      <c r="Q110" s="16"/>
      <c r="R110" s="18" t="s">
        <v>52</v>
      </c>
      <c r="S110" s="19" t="s">
        <v>61</v>
      </c>
      <c r="T110" s="12" t="str">
        <f aca="false">IF(R110="維持",J110,IF(R110="排除","無關新聞事件",IFERROR(INDEX(事件規則!$B$2:$B$53,MATCH(S110,事件規則!$A$2:$A$53,0)),"")))</f>
        <v>裁員或人力縮減</v>
      </c>
      <c r="U110" s="20" t="n">
        <f aca="false">IF(R110="維持",K110,IF(R110="排除",0,IFERROR(INDEX(事件規則!$C$2:$C$53,MATCH(S110,事件規則!$A$2:$A$53,0)),"")))</f>
        <v>3</v>
      </c>
      <c r="V110" s="21"/>
      <c r="W110" s="22"/>
      <c r="X110" s="10" t="str">
        <f aca="false">IF(AND(R110="修改",S110=""),"請選新事件代碼",IF(AND(R110&lt;&gt;"修改",S110&lt;&gt;""),"只有「修改」才需填代碼",""))</f>
        <v/>
      </c>
      <c r="Y110" s="21"/>
      <c r="Z110" s="22"/>
      <c r="AA110" s="23" t="s">
        <v>470</v>
      </c>
      <c r="AB110" s="13"/>
    </row>
    <row r="111" customFormat="false" ht="15" hidden="false" customHeight="false" outlineLevel="0" collapsed="false">
      <c r="A111" s="16" t="n">
        <v>110</v>
      </c>
      <c r="B111" s="9" t="s">
        <v>45</v>
      </c>
      <c r="C111" s="9" t="s">
        <v>471</v>
      </c>
      <c r="D111" s="10" t="s">
        <v>472</v>
      </c>
      <c r="E111" s="24" t="s">
        <v>473</v>
      </c>
      <c r="F111" s="12"/>
      <c r="G111" s="23" t="s">
        <v>258</v>
      </c>
      <c r="H111" s="14" t="n">
        <v>-0.956</v>
      </c>
      <c r="I111" s="15"/>
      <c r="J111" s="12"/>
      <c r="K111" s="9"/>
      <c r="L111" s="16" t="s">
        <v>51</v>
      </c>
      <c r="M111" s="17" t="s">
        <v>52</v>
      </c>
      <c r="N111" s="15" t="s">
        <v>264</v>
      </c>
      <c r="O111" s="16" t="s">
        <v>54</v>
      </c>
      <c r="P111" s="10" t="s">
        <v>474</v>
      </c>
      <c r="Q111" s="16"/>
      <c r="R111" s="18" t="s">
        <v>52</v>
      </c>
      <c r="S111" s="19" t="s">
        <v>264</v>
      </c>
      <c r="T111" s="12" t="str">
        <f aca="false">IF(R111="維持",J111,IF(R111="排除","無關新聞事件",IFERROR(INDEX(事件規則!$B$2:$B$53,MATCH(S111,事件規則!$A$2:$A$53,0)),"")))</f>
        <v>分析師降評</v>
      </c>
      <c r="U111" s="20" t="n">
        <f aca="false">IF(R111="維持",K111,IF(R111="排除",0,IFERROR(INDEX(事件規則!$C$2:$C$53,MATCH(S111,事件規則!$A$2:$A$53,0)),"")))</f>
        <v>2</v>
      </c>
      <c r="V111" s="21"/>
      <c r="W111" s="22"/>
      <c r="X111" s="10" t="str">
        <f aca="false">IF(AND(R111="修改",S111=""),"請選新事件代碼",IF(AND(R111&lt;&gt;"修改",S111&lt;&gt;""),"只有「修改」才需填代碼",""))</f>
        <v/>
      </c>
      <c r="Y111" s="21"/>
      <c r="Z111" s="22"/>
      <c r="AA111" s="23" t="s">
        <v>475</v>
      </c>
      <c r="AB111" s="13"/>
    </row>
    <row r="112" customFormat="false" ht="44" hidden="false" customHeight="false" outlineLevel="0" collapsed="false">
      <c r="A112" s="16" t="n">
        <v>111</v>
      </c>
      <c r="B112" s="9" t="s">
        <v>331</v>
      </c>
      <c r="C112" s="9" t="s">
        <v>456</v>
      </c>
      <c r="D112" s="10" t="s">
        <v>457</v>
      </c>
      <c r="E112" s="24" t="s">
        <v>476</v>
      </c>
      <c r="F112" s="12"/>
      <c r="G112" s="23" t="s">
        <v>477</v>
      </c>
      <c r="H112" s="14" t="n">
        <v>-0.956</v>
      </c>
      <c r="I112" s="15"/>
      <c r="J112" s="12"/>
      <c r="K112" s="9"/>
      <c r="L112" s="16" t="s">
        <v>51</v>
      </c>
      <c r="M112" s="17" t="s">
        <v>79</v>
      </c>
      <c r="N112" s="15"/>
      <c r="O112" s="16" t="s">
        <v>54</v>
      </c>
      <c r="P112" s="12" t="s">
        <v>80</v>
      </c>
      <c r="Q112" s="16"/>
      <c r="R112" s="18" t="s">
        <v>79</v>
      </c>
      <c r="S112" s="19"/>
      <c r="T112" s="12" t="str">
        <f aca="false">IF(R112="維持",J112,IF(R112="排除","無關新聞事件",IFERROR(INDEX(事件規則!$B$2:$B$53,MATCH(S112,事件規則!$A$2:$A$53,0)),"")))</f>
        <v>無關新聞事件</v>
      </c>
      <c r="U112" s="20" t="n">
        <f aca="false">IF(R112="維持",K112,IF(R112="排除",0,IFERROR(INDEX(事件規則!$C$2:$C$53,MATCH(S112,事件規則!$A$2:$A$53,0)),"")))</f>
        <v>0</v>
      </c>
      <c r="V112" s="21"/>
      <c r="W112" s="22"/>
      <c r="X112" s="10" t="str">
        <f aca="false">IF(AND(R112="修改",S112=""),"請選新事件代碼",IF(AND(R112&lt;&gt;"修改",S112&lt;&gt;""),"只有「修改」才需填代碼",""))</f>
        <v/>
      </c>
      <c r="Y112" s="21"/>
      <c r="Z112" s="22"/>
      <c r="AA112" s="23" t="s">
        <v>478</v>
      </c>
      <c r="AB112" s="13"/>
    </row>
    <row r="113" customFormat="false" ht="15" hidden="false" customHeight="false" outlineLevel="0" collapsed="false">
      <c r="A113" s="16" t="n">
        <v>112</v>
      </c>
      <c r="B113" s="9" t="s">
        <v>65</v>
      </c>
      <c r="C113" s="9" t="s">
        <v>346</v>
      </c>
      <c r="D113" s="10" t="s">
        <v>347</v>
      </c>
      <c r="E113" s="24" t="s">
        <v>479</v>
      </c>
      <c r="F113" s="12"/>
      <c r="G113" s="23" t="s">
        <v>152</v>
      </c>
      <c r="H113" s="14" t="n">
        <v>-0.956</v>
      </c>
      <c r="I113" s="15"/>
      <c r="J113" s="12"/>
      <c r="K113" s="9"/>
      <c r="L113" s="16" t="s">
        <v>51</v>
      </c>
      <c r="M113" s="17" t="s">
        <v>52</v>
      </c>
      <c r="N113" s="15" t="s">
        <v>350</v>
      </c>
      <c r="O113" s="16" t="s">
        <v>62</v>
      </c>
      <c r="P113" s="12" t="s">
        <v>351</v>
      </c>
      <c r="Q113" s="16"/>
      <c r="R113" s="18" t="s">
        <v>52</v>
      </c>
      <c r="S113" s="19" t="s">
        <v>350</v>
      </c>
      <c r="T113" s="12" t="str">
        <f aca="false">IF(R113="維持",J113,IF(R113="排除","無關新聞事件",IFERROR(INDEX(事件規則!$B$2:$B$53,MATCH(S113,事件規則!$A$2:$A$53,0)),"")))</f>
        <v>生產延遲</v>
      </c>
      <c r="U113" s="20" t="n">
        <f aca="false">IF(R113="維持",K113,IF(R113="排除",0,IFERROR(INDEX(事件規則!$C$2:$C$53,MATCH(S113,事件規則!$A$2:$A$53,0)),"")))</f>
        <v>2</v>
      </c>
      <c r="V113" s="21"/>
      <c r="W113" s="22"/>
      <c r="X113" s="10" t="str">
        <f aca="false">IF(AND(R113="修改",S113=""),"請選新事件代碼",IF(AND(R113&lt;&gt;"修改",S113&lt;&gt;""),"只有「修改」才需填代碼",""))</f>
        <v/>
      </c>
      <c r="Y113" s="21"/>
      <c r="Z113" s="22"/>
      <c r="AA113" s="23" t="s">
        <v>480</v>
      </c>
      <c r="AB113" s="13"/>
    </row>
    <row r="114" customFormat="false" ht="15" hidden="false" customHeight="false" outlineLevel="0" collapsed="false">
      <c r="A114" s="16" t="n">
        <v>113</v>
      </c>
      <c r="B114" s="9" t="s">
        <v>45</v>
      </c>
      <c r="C114" s="9" t="s">
        <v>149</v>
      </c>
      <c r="D114" s="10" t="s">
        <v>150</v>
      </c>
      <c r="E114" s="24" t="s">
        <v>481</v>
      </c>
      <c r="F114" s="12"/>
      <c r="G114" s="23" t="s">
        <v>120</v>
      </c>
      <c r="H114" s="14" t="n">
        <v>-0.956</v>
      </c>
      <c r="I114" s="15"/>
      <c r="J114" s="12"/>
      <c r="K114" s="9"/>
      <c r="L114" s="16" t="s">
        <v>51</v>
      </c>
      <c r="M114" s="17" t="s">
        <v>52</v>
      </c>
      <c r="N114" s="15" t="s">
        <v>53</v>
      </c>
      <c r="O114" s="16" t="s">
        <v>54</v>
      </c>
      <c r="P114" s="10" t="s">
        <v>55</v>
      </c>
      <c r="Q114" s="16"/>
      <c r="R114" s="18" t="s">
        <v>52</v>
      </c>
      <c r="S114" s="19" t="s">
        <v>53</v>
      </c>
      <c r="T114" s="12" t="str">
        <f aca="false">IF(R114="維持",J114,IF(R114="排除","無關新聞事件",IFERROR(INDEX(事件規則!$B$2:$B$53,MATCH(S114,事件規則!$A$2:$A$53,0)),"")))</f>
        <v>股價下跌</v>
      </c>
      <c r="U114" s="20" t="n">
        <f aca="false">IF(R114="維持",K114,IF(R114="排除",0,IFERROR(INDEX(事件規則!$C$2:$C$53,MATCH(S114,事件規則!$A$2:$A$53,0)),"")))</f>
        <v>1</v>
      </c>
      <c r="V114" s="21"/>
      <c r="W114" s="22"/>
      <c r="X114" s="10" t="str">
        <f aca="false">IF(AND(R114="修改",S114=""),"請選新事件代碼",IF(AND(R114&lt;&gt;"修改",S114&lt;&gt;""),"只有「修改」才需填代碼",""))</f>
        <v/>
      </c>
      <c r="Y114" s="21"/>
      <c r="Z114" s="22"/>
      <c r="AA114" s="23" t="s">
        <v>482</v>
      </c>
      <c r="AB114" s="13"/>
    </row>
    <row r="115" customFormat="false" ht="23.85" hidden="false" customHeight="false" outlineLevel="0" collapsed="false">
      <c r="A115" s="16" t="n">
        <v>114</v>
      </c>
      <c r="B115" s="9" t="s">
        <v>331</v>
      </c>
      <c r="C115" s="9" t="s">
        <v>57</v>
      </c>
      <c r="D115" s="10" t="s">
        <v>58</v>
      </c>
      <c r="E115" s="24" t="s">
        <v>483</v>
      </c>
      <c r="F115" s="12"/>
      <c r="G115" s="23" t="s">
        <v>484</v>
      </c>
      <c r="H115" s="14" t="n">
        <v>-0.955</v>
      </c>
      <c r="I115" s="15"/>
      <c r="J115" s="12"/>
      <c r="K115" s="9"/>
      <c r="L115" s="16" t="s">
        <v>51</v>
      </c>
      <c r="M115" s="17" t="s">
        <v>52</v>
      </c>
      <c r="N115" s="15" t="s">
        <v>61</v>
      </c>
      <c r="O115" s="16" t="s">
        <v>62</v>
      </c>
      <c r="P115" s="12" t="s">
        <v>63</v>
      </c>
      <c r="Q115" s="16"/>
      <c r="R115" s="18" t="s">
        <v>52</v>
      </c>
      <c r="S115" s="19" t="s">
        <v>61</v>
      </c>
      <c r="T115" s="12" t="str">
        <f aca="false">IF(R115="維持",J115,IF(R115="排除","無關新聞事件",IFERROR(INDEX(事件規則!$B$2:$B$53,MATCH(S115,事件規則!$A$2:$A$53,0)),"")))</f>
        <v>裁員或人力縮減</v>
      </c>
      <c r="U115" s="20" t="n">
        <f aca="false">IF(R115="維持",K115,IF(R115="排除",0,IFERROR(INDEX(事件規則!$C$2:$C$53,MATCH(S115,事件規則!$A$2:$A$53,0)),"")))</f>
        <v>3</v>
      </c>
      <c r="V115" s="21"/>
      <c r="W115" s="22"/>
      <c r="X115" s="10" t="str">
        <f aca="false">IF(AND(R115="修改",S115=""),"請選新事件代碼",IF(AND(R115&lt;&gt;"修改",S115&lt;&gt;""),"只有「修改」才需填代碼",""))</f>
        <v/>
      </c>
      <c r="Y115" s="21"/>
      <c r="Z115" s="22"/>
      <c r="AA115" s="23" t="s">
        <v>485</v>
      </c>
      <c r="AB115" s="13"/>
    </row>
    <row r="116" customFormat="false" ht="23.85" hidden="false" customHeight="false" outlineLevel="0" collapsed="false">
      <c r="A116" s="16" t="n">
        <v>115</v>
      </c>
      <c r="B116" s="9" t="s">
        <v>65</v>
      </c>
      <c r="C116" s="9" t="s">
        <v>57</v>
      </c>
      <c r="D116" s="10" t="s">
        <v>58</v>
      </c>
      <c r="E116" s="24" t="s">
        <v>486</v>
      </c>
      <c r="F116" s="12"/>
      <c r="G116" s="23" t="s">
        <v>487</v>
      </c>
      <c r="H116" s="14" t="n">
        <v>-0.955</v>
      </c>
      <c r="I116" s="15"/>
      <c r="J116" s="12"/>
      <c r="K116" s="9"/>
      <c r="L116" s="16" t="s">
        <v>51</v>
      </c>
      <c r="M116" s="17" t="s">
        <v>52</v>
      </c>
      <c r="N116" s="15" t="s">
        <v>61</v>
      </c>
      <c r="O116" s="16" t="s">
        <v>62</v>
      </c>
      <c r="P116" s="12" t="s">
        <v>63</v>
      </c>
      <c r="Q116" s="16"/>
      <c r="R116" s="18" t="s">
        <v>52</v>
      </c>
      <c r="S116" s="19" t="s">
        <v>61</v>
      </c>
      <c r="T116" s="12" t="str">
        <f aca="false">IF(R116="維持",J116,IF(R116="排除","無關新聞事件",IFERROR(INDEX(事件規則!$B$2:$B$53,MATCH(S116,事件規則!$A$2:$A$53,0)),"")))</f>
        <v>裁員或人力縮減</v>
      </c>
      <c r="U116" s="20" t="n">
        <f aca="false">IF(R116="維持",K116,IF(R116="排除",0,IFERROR(INDEX(事件規則!$C$2:$C$53,MATCH(S116,事件規則!$A$2:$A$53,0)),"")))</f>
        <v>3</v>
      </c>
      <c r="V116" s="21"/>
      <c r="W116" s="22"/>
      <c r="X116" s="10" t="str">
        <f aca="false">IF(AND(R116="修改",S116=""),"請選新事件代碼",IF(AND(R116&lt;&gt;"修改",S116&lt;&gt;""),"只有「修改」才需填代碼",""))</f>
        <v/>
      </c>
      <c r="Y116" s="21"/>
      <c r="Z116" s="22"/>
      <c r="AA116" s="23" t="s">
        <v>488</v>
      </c>
      <c r="AB116" s="13"/>
    </row>
    <row r="117" customFormat="false" ht="44" hidden="false" customHeight="false" outlineLevel="0" collapsed="false">
      <c r="A117" s="16" t="n">
        <v>116</v>
      </c>
      <c r="B117" s="9" t="s">
        <v>65</v>
      </c>
      <c r="C117" s="9" t="s">
        <v>99</v>
      </c>
      <c r="D117" s="10" t="s">
        <v>100</v>
      </c>
      <c r="E117" s="24" t="s">
        <v>489</v>
      </c>
      <c r="F117" s="12"/>
      <c r="G117" s="23" t="s">
        <v>490</v>
      </c>
      <c r="H117" s="14" t="n">
        <v>-0.955</v>
      </c>
      <c r="I117" s="15"/>
      <c r="J117" s="12"/>
      <c r="K117" s="9"/>
      <c r="L117" s="16" t="s">
        <v>51</v>
      </c>
      <c r="M117" s="17" t="s">
        <v>79</v>
      </c>
      <c r="N117" s="15"/>
      <c r="O117" s="16" t="s">
        <v>54</v>
      </c>
      <c r="P117" s="12" t="s">
        <v>80</v>
      </c>
      <c r="Q117" s="16"/>
      <c r="R117" s="18" t="s">
        <v>79</v>
      </c>
      <c r="S117" s="19"/>
      <c r="T117" s="12" t="str">
        <f aca="false">IF(R117="維持",J117,IF(R117="排除","無關新聞事件",IFERROR(INDEX(事件規則!$B$2:$B$53,MATCH(S117,事件規則!$A$2:$A$53,0)),"")))</f>
        <v>無關新聞事件</v>
      </c>
      <c r="U117" s="20" t="n">
        <f aca="false">IF(R117="維持",K117,IF(R117="排除",0,IFERROR(INDEX(事件規則!$C$2:$C$53,MATCH(S117,事件規則!$A$2:$A$53,0)),"")))</f>
        <v>0</v>
      </c>
      <c r="V117" s="21"/>
      <c r="W117" s="22"/>
      <c r="X117" s="10" t="str">
        <f aca="false">IF(AND(R117="修改",S117=""),"請選新事件代碼",IF(AND(R117&lt;&gt;"修改",S117&lt;&gt;""),"只有「修改」才需填代碼",""))</f>
        <v/>
      </c>
      <c r="Y117" s="21"/>
      <c r="Z117" s="22"/>
      <c r="AA117" s="23" t="s">
        <v>491</v>
      </c>
      <c r="AB117" s="13"/>
    </row>
    <row r="118" customFormat="false" ht="23.85" hidden="false" customHeight="false" outlineLevel="0" collapsed="false">
      <c r="A118" s="16" t="n">
        <v>117</v>
      </c>
      <c r="B118" s="9" t="s">
        <v>65</v>
      </c>
      <c r="C118" s="9" t="s">
        <v>449</v>
      </c>
      <c r="D118" s="10" t="s">
        <v>450</v>
      </c>
      <c r="E118" s="24" t="s">
        <v>492</v>
      </c>
      <c r="F118" s="12"/>
      <c r="G118" s="23" t="s">
        <v>292</v>
      </c>
      <c r="H118" s="14" t="n">
        <v>-0.955</v>
      </c>
      <c r="I118" s="15"/>
      <c r="J118" s="12"/>
      <c r="K118" s="9"/>
      <c r="L118" s="16" t="s">
        <v>51</v>
      </c>
      <c r="M118" s="17" t="s">
        <v>52</v>
      </c>
      <c r="N118" s="15" t="s">
        <v>493</v>
      </c>
      <c r="O118" s="16" t="s">
        <v>54</v>
      </c>
      <c r="P118" s="10" t="s">
        <v>494</v>
      </c>
      <c r="Q118" s="16"/>
      <c r="R118" s="18" t="s">
        <v>52</v>
      </c>
      <c r="S118" s="19" t="s">
        <v>493</v>
      </c>
      <c r="T118" s="12" t="str">
        <f aca="false">IF(R118="維持",J118,IF(R118="排除","無關新聞事件",IFERROR(INDEX(事件規則!$B$2:$B$53,MATCH(S118,事件規則!$A$2:$A$53,0)),"")))</f>
        <v>CFO異動</v>
      </c>
      <c r="U118" s="20" t="n">
        <f aca="false">IF(R118="維持",K118,IF(R118="排除",0,IFERROR(INDEX(事件規則!$C$2:$C$53,MATCH(S118,事件規則!$A$2:$A$53,0)),"")))</f>
        <v>3</v>
      </c>
      <c r="V118" s="21"/>
      <c r="W118" s="22"/>
      <c r="X118" s="10" t="str">
        <f aca="false">IF(AND(R118="修改",S118=""),"請選新事件代碼",IF(AND(R118&lt;&gt;"修改",S118&lt;&gt;""),"只有「修改」才需填代碼",""))</f>
        <v/>
      </c>
      <c r="Y118" s="21"/>
      <c r="Z118" s="22"/>
      <c r="AA118" s="23" t="s">
        <v>495</v>
      </c>
      <c r="AB118" s="13"/>
    </row>
    <row r="119" customFormat="false" ht="15" hidden="false" customHeight="false" outlineLevel="0" collapsed="false">
      <c r="A119" s="16" t="n">
        <v>118</v>
      </c>
      <c r="B119" s="9" t="s">
        <v>45</v>
      </c>
      <c r="C119" s="9" t="s">
        <v>434</v>
      </c>
      <c r="D119" s="10" t="s">
        <v>435</v>
      </c>
      <c r="E119" s="24" t="s">
        <v>496</v>
      </c>
      <c r="F119" s="12"/>
      <c r="G119" s="23" t="s">
        <v>301</v>
      </c>
      <c r="H119" s="14" t="n">
        <v>-0.955</v>
      </c>
      <c r="I119" s="15"/>
      <c r="J119" s="12"/>
      <c r="K119" s="9"/>
      <c r="L119" s="16" t="s">
        <v>51</v>
      </c>
      <c r="M119" s="17" t="s">
        <v>52</v>
      </c>
      <c r="N119" s="15" t="s">
        <v>53</v>
      </c>
      <c r="O119" s="16" t="s">
        <v>54</v>
      </c>
      <c r="P119" s="10" t="s">
        <v>438</v>
      </c>
      <c r="Q119" s="16"/>
      <c r="R119" s="18" t="s">
        <v>52</v>
      </c>
      <c r="S119" s="19" t="s">
        <v>53</v>
      </c>
      <c r="T119" s="12" t="str">
        <f aca="false">IF(R119="維持",J119,IF(R119="排除","無關新聞事件",IFERROR(INDEX(事件規則!$B$2:$B$53,MATCH(S119,事件規則!$A$2:$A$53,0)),"")))</f>
        <v>股價下跌</v>
      </c>
      <c r="U119" s="20" t="n">
        <f aca="false">IF(R119="維持",K119,IF(R119="排除",0,IFERROR(INDEX(事件規則!$C$2:$C$53,MATCH(S119,事件規則!$A$2:$A$53,0)),"")))</f>
        <v>1</v>
      </c>
      <c r="V119" s="21"/>
      <c r="W119" s="22"/>
      <c r="X119" s="10" t="str">
        <f aca="false">IF(AND(R119="修改",S119=""),"請選新事件代碼",IF(AND(R119&lt;&gt;"修改",S119&lt;&gt;""),"只有「修改」才需填代碼",""))</f>
        <v/>
      </c>
      <c r="Y119" s="21"/>
      <c r="Z119" s="22"/>
      <c r="AA119" s="23" t="s">
        <v>497</v>
      </c>
      <c r="AB119" s="13"/>
    </row>
    <row r="120" customFormat="false" ht="44" hidden="false" customHeight="false" outlineLevel="0" collapsed="false">
      <c r="A120" s="16" t="n">
        <v>119</v>
      </c>
      <c r="B120" s="9" t="s">
        <v>45</v>
      </c>
      <c r="C120" s="9" t="s">
        <v>498</v>
      </c>
      <c r="D120" s="10" t="s">
        <v>499</v>
      </c>
      <c r="E120" s="24" t="s">
        <v>500</v>
      </c>
      <c r="F120" s="12"/>
      <c r="G120" s="23" t="s">
        <v>501</v>
      </c>
      <c r="H120" s="14" t="n">
        <v>-0.955</v>
      </c>
      <c r="I120" s="15"/>
      <c r="J120" s="12"/>
      <c r="K120" s="9"/>
      <c r="L120" s="16" t="s">
        <v>51</v>
      </c>
      <c r="M120" s="17" t="s">
        <v>79</v>
      </c>
      <c r="N120" s="15"/>
      <c r="O120" s="16" t="s">
        <v>54</v>
      </c>
      <c r="P120" s="12" t="s">
        <v>80</v>
      </c>
      <c r="Q120" s="16"/>
      <c r="R120" s="18" t="s">
        <v>79</v>
      </c>
      <c r="S120" s="19"/>
      <c r="T120" s="12" t="str">
        <f aca="false">IF(R120="維持",J120,IF(R120="排除","無關新聞事件",IFERROR(INDEX(事件規則!$B$2:$B$53,MATCH(S120,事件規則!$A$2:$A$53,0)),"")))</f>
        <v>無關新聞事件</v>
      </c>
      <c r="U120" s="20" t="n">
        <f aca="false">IF(R120="維持",K120,IF(R120="排除",0,IFERROR(INDEX(事件規則!$C$2:$C$53,MATCH(S120,事件規則!$A$2:$A$53,0)),"")))</f>
        <v>0</v>
      </c>
      <c r="V120" s="21"/>
      <c r="W120" s="22"/>
      <c r="X120" s="10" t="str">
        <f aca="false">IF(AND(R120="修改",S120=""),"請選新事件代碼",IF(AND(R120&lt;&gt;"修改",S120&lt;&gt;""),"只有「修改」才需填代碼",""))</f>
        <v/>
      </c>
      <c r="Y120" s="21"/>
      <c r="Z120" s="22"/>
      <c r="AA120" s="23" t="s">
        <v>502</v>
      </c>
      <c r="AB120" s="13"/>
    </row>
    <row r="121" customFormat="false" ht="23.85" hidden="false" customHeight="false" outlineLevel="0" collapsed="false">
      <c r="A121" s="16" t="n">
        <v>120</v>
      </c>
      <c r="B121" s="9" t="s">
        <v>65</v>
      </c>
      <c r="C121" s="9" t="s">
        <v>57</v>
      </c>
      <c r="D121" s="10" t="s">
        <v>58</v>
      </c>
      <c r="E121" s="24" t="s">
        <v>503</v>
      </c>
      <c r="F121" s="12"/>
      <c r="G121" s="23" t="s">
        <v>504</v>
      </c>
      <c r="H121" s="14" t="n">
        <v>-0.955</v>
      </c>
      <c r="I121" s="15"/>
      <c r="J121" s="12"/>
      <c r="K121" s="9"/>
      <c r="L121" s="16" t="s">
        <v>51</v>
      </c>
      <c r="M121" s="17" t="s">
        <v>52</v>
      </c>
      <c r="N121" s="15" t="s">
        <v>61</v>
      </c>
      <c r="O121" s="16" t="s">
        <v>62</v>
      </c>
      <c r="P121" s="12" t="s">
        <v>63</v>
      </c>
      <c r="Q121" s="16"/>
      <c r="R121" s="18" t="s">
        <v>52</v>
      </c>
      <c r="S121" s="19" t="s">
        <v>61</v>
      </c>
      <c r="T121" s="12" t="str">
        <f aca="false">IF(R121="維持",J121,IF(R121="排除","無關新聞事件",IFERROR(INDEX(事件規則!$B$2:$B$53,MATCH(S121,事件規則!$A$2:$A$53,0)),"")))</f>
        <v>裁員或人力縮減</v>
      </c>
      <c r="U121" s="20" t="n">
        <f aca="false">IF(R121="維持",K121,IF(R121="排除",0,IFERROR(INDEX(事件規則!$C$2:$C$53,MATCH(S121,事件規則!$A$2:$A$53,0)),"")))</f>
        <v>3</v>
      </c>
      <c r="V121" s="21"/>
      <c r="W121" s="22"/>
      <c r="X121" s="10" t="str">
        <f aca="false">IF(AND(R121="修改",S121=""),"請選新事件代碼",IF(AND(R121&lt;&gt;"修改",S121&lt;&gt;""),"只有「修改」才需填代碼",""))</f>
        <v/>
      </c>
      <c r="Y121" s="21"/>
      <c r="Z121" s="22"/>
      <c r="AA121" s="23" t="s">
        <v>505</v>
      </c>
      <c r="AB121" s="13"/>
    </row>
    <row r="122" customFormat="false" ht="15" hidden="false" customHeight="false" outlineLevel="0" collapsed="false">
      <c r="A122" s="16" t="n">
        <v>121</v>
      </c>
      <c r="B122" s="9" t="s">
        <v>65</v>
      </c>
      <c r="C122" s="9" t="s">
        <v>506</v>
      </c>
      <c r="D122" s="10" t="s">
        <v>507</v>
      </c>
      <c r="E122" s="24" t="s">
        <v>508</v>
      </c>
      <c r="F122" s="12"/>
      <c r="G122" s="23" t="s">
        <v>437</v>
      </c>
      <c r="H122" s="14" t="n">
        <v>-0.955</v>
      </c>
      <c r="I122" s="15"/>
      <c r="J122" s="12"/>
      <c r="K122" s="9"/>
      <c r="L122" s="16" t="s">
        <v>51</v>
      </c>
      <c r="M122" s="17" t="s">
        <v>52</v>
      </c>
      <c r="N122" s="15" t="s">
        <v>53</v>
      </c>
      <c r="O122" s="16" t="s">
        <v>54</v>
      </c>
      <c r="P122" s="10" t="s">
        <v>509</v>
      </c>
      <c r="Q122" s="16"/>
      <c r="R122" s="18" t="s">
        <v>52</v>
      </c>
      <c r="S122" s="19" t="s">
        <v>53</v>
      </c>
      <c r="T122" s="12" t="str">
        <f aca="false">IF(R122="維持",J122,IF(R122="排除","無關新聞事件",IFERROR(INDEX(事件規則!$B$2:$B$53,MATCH(S122,事件規則!$A$2:$A$53,0)),"")))</f>
        <v>股價下跌</v>
      </c>
      <c r="U122" s="20" t="n">
        <f aca="false">IF(R122="維持",K122,IF(R122="排除",0,IFERROR(INDEX(事件規則!$C$2:$C$53,MATCH(S122,事件規則!$A$2:$A$53,0)),"")))</f>
        <v>1</v>
      </c>
      <c r="V122" s="21"/>
      <c r="W122" s="22"/>
      <c r="X122" s="10" t="str">
        <f aca="false">IF(AND(R122="修改",S122=""),"請選新事件代碼",IF(AND(R122&lt;&gt;"修改",S122&lt;&gt;""),"只有「修改」才需填代碼",""))</f>
        <v/>
      </c>
      <c r="Y122" s="21"/>
      <c r="Z122" s="22"/>
      <c r="AA122" s="23" t="s">
        <v>510</v>
      </c>
      <c r="AB122" s="13"/>
    </row>
    <row r="123" customFormat="false" ht="15" hidden="false" customHeight="false" outlineLevel="0" collapsed="false">
      <c r="A123" s="16" t="n">
        <v>122</v>
      </c>
      <c r="B123" s="9" t="s">
        <v>65</v>
      </c>
      <c r="C123" s="9" t="s">
        <v>511</v>
      </c>
      <c r="D123" s="10" t="s">
        <v>512</v>
      </c>
      <c r="E123" s="24" t="s">
        <v>513</v>
      </c>
      <c r="F123" s="12"/>
      <c r="G123" s="23" t="s">
        <v>437</v>
      </c>
      <c r="H123" s="14" t="n">
        <v>-0.955</v>
      </c>
      <c r="I123" s="15"/>
      <c r="J123" s="12"/>
      <c r="K123" s="9"/>
      <c r="L123" s="16" t="s">
        <v>51</v>
      </c>
      <c r="M123" s="17" t="s">
        <v>52</v>
      </c>
      <c r="N123" s="15" t="s">
        <v>53</v>
      </c>
      <c r="O123" s="16" t="s">
        <v>54</v>
      </c>
      <c r="P123" s="10" t="s">
        <v>509</v>
      </c>
      <c r="Q123" s="16"/>
      <c r="R123" s="18" t="s">
        <v>52</v>
      </c>
      <c r="S123" s="19" t="s">
        <v>53</v>
      </c>
      <c r="T123" s="12" t="str">
        <f aca="false">IF(R123="維持",J123,IF(R123="排除","無關新聞事件",IFERROR(INDEX(事件規則!$B$2:$B$53,MATCH(S123,事件規則!$A$2:$A$53,0)),"")))</f>
        <v>股價下跌</v>
      </c>
      <c r="U123" s="20" t="n">
        <f aca="false">IF(R123="維持",K123,IF(R123="排除",0,IFERROR(INDEX(事件規則!$C$2:$C$53,MATCH(S123,事件規則!$A$2:$A$53,0)),"")))</f>
        <v>1</v>
      </c>
      <c r="V123" s="21"/>
      <c r="W123" s="22"/>
      <c r="X123" s="10" t="str">
        <f aca="false">IF(AND(R123="修改",S123=""),"請選新事件代碼",IF(AND(R123&lt;&gt;"修改",S123&lt;&gt;""),"只有「修改」才需填代碼",""))</f>
        <v/>
      </c>
      <c r="Y123" s="21"/>
      <c r="Z123" s="22"/>
      <c r="AA123" s="23" t="s">
        <v>514</v>
      </c>
      <c r="AB123" s="13"/>
    </row>
    <row r="124" customFormat="false" ht="44" hidden="false" customHeight="false" outlineLevel="0" collapsed="false">
      <c r="A124" s="16" t="n">
        <v>123</v>
      </c>
      <c r="B124" s="9" t="s">
        <v>65</v>
      </c>
      <c r="C124" s="9" t="s">
        <v>346</v>
      </c>
      <c r="D124" s="10" t="s">
        <v>347</v>
      </c>
      <c r="E124" s="24" t="s">
        <v>515</v>
      </c>
      <c r="F124" s="12"/>
      <c r="G124" s="23" t="s">
        <v>516</v>
      </c>
      <c r="H124" s="14" t="n">
        <v>-0.955</v>
      </c>
      <c r="I124" s="15"/>
      <c r="J124" s="12"/>
      <c r="K124" s="9"/>
      <c r="L124" s="16" t="s">
        <v>51</v>
      </c>
      <c r="M124" s="17" t="s">
        <v>79</v>
      </c>
      <c r="N124" s="15"/>
      <c r="O124" s="16" t="s">
        <v>54</v>
      </c>
      <c r="P124" s="12" t="s">
        <v>80</v>
      </c>
      <c r="Q124" s="16"/>
      <c r="R124" s="18" t="s">
        <v>79</v>
      </c>
      <c r="S124" s="19"/>
      <c r="T124" s="12" t="str">
        <f aca="false">IF(R124="維持",J124,IF(R124="排除","無關新聞事件",IFERROR(INDEX(事件規則!$B$2:$B$53,MATCH(S124,事件規則!$A$2:$A$53,0)),"")))</f>
        <v>無關新聞事件</v>
      </c>
      <c r="U124" s="20" t="n">
        <f aca="false">IF(R124="維持",K124,IF(R124="排除",0,IFERROR(INDEX(事件規則!$C$2:$C$53,MATCH(S124,事件規則!$A$2:$A$53,0)),"")))</f>
        <v>0</v>
      </c>
      <c r="V124" s="21"/>
      <c r="W124" s="22"/>
      <c r="X124" s="10" t="str">
        <f aca="false">IF(AND(R124="修改",S124=""),"請選新事件代碼",IF(AND(R124&lt;&gt;"修改",S124&lt;&gt;""),"只有「修改」才需填代碼",""))</f>
        <v/>
      </c>
      <c r="Y124" s="21"/>
      <c r="Z124" s="22"/>
      <c r="AA124" s="23" t="s">
        <v>517</v>
      </c>
      <c r="AB124" s="13"/>
    </row>
    <row r="125" customFormat="false" ht="44" hidden="false" customHeight="false" outlineLevel="0" collapsed="false">
      <c r="A125" s="16" t="n">
        <v>124</v>
      </c>
      <c r="B125" s="9" t="s">
        <v>386</v>
      </c>
      <c r="C125" s="9" t="s">
        <v>255</v>
      </c>
      <c r="D125" s="10" t="s">
        <v>256</v>
      </c>
      <c r="E125" s="24" t="s">
        <v>518</v>
      </c>
      <c r="F125" s="12"/>
      <c r="G125" s="23" t="s">
        <v>519</v>
      </c>
      <c r="H125" s="14" t="n">
        <v>-0.955</v>
      </c>
      <c r="I125" s="15"/>
      <c r="J125" s="12"/>
      <c r="K125" s="9"/>
      <c r="L125" s="16" t="s">
        <v>51</v>
      </c>
      <c r="M125" s="17" t="s">
        <v>79</v>
      </c>
      <c r="N125" s="15"/>
      <c r="O125" s="16" t="s">
        <v>54</v>
      </c>
      <c r="P125" s="12" t="s">
        <v>80</v>
      </c>
      <c r="Q125" s="16"/>
      <c r="R125" s="18" t="s">
        <v>79</v>
      </c>
      <c r="S125" s="19"/>
      <c r="T125" s="12" t="str">
        <f aca="false">IF(R125="維持",J125,IF(R125="排除","無關新聞事件",IFERROR(INDEX(事件規則!$B$2:$B$53,MATCH(S125,事件規則!$A$2:$A$53,0)),"")))</f>
        <v>無關新聞事件</v>
      </c>
      <c r="U125" s="20" t="n">
        <f aca="false">IF(R125="維持",K125,IF(R125="排除",0,IFERROR(INDEX(事件規則!$C$2:$C$53,MATCH(S125,事件規則!$A$2:$A$53,0)),"")))</f>
        <v>0</v>
      </c>
      <c r="V125" s="21"/>
      <c r="W125" s="22"/>
      <c r="X125" s="10" t="str">
        <f aca="false">IF(AND(R125="修改",S125=""),"請選新事件代碼",IF(AND(R125&lt;&gt;"修改",S125&lt;&gt;""),"只有「修改」才需填代碼",""))</f>
        <v/>
      </c>
      <c r="Y125" s="21"/>
      <c r="Z125" s="22"/>
      <c r="AA125" s="23" t="s">
        <v>520</v>
      </c>
      <c r="AB125" s="13"/>
    </row>
    <row r="126" customFormat="false" ht="44" hidden="false" customHeight="false" outlineLevel="0" collapsed="false">
      <c r="A126" s="16" t="n">
        <v>125</v>
      </c>
      <c r="B126" s="9" t="s">
        <v>331</v>
      </c>
      <c r="C126" s="9" t="s">
        <v>132</v>
      </c>
      <c r="D126" s="10" t="s">
        <v>133</v>
      </c>
      <c r="E126" s="24" t="s">
        <v>521</v>
      </c>
      <c r="F126" s="12"/>
      <c r="G126" s="13" t="s">
        <v>522</v>
      </c>
      <c r="H126" s="14" t="n">
        <v>-0.955</v>
      </c>
      <c r="I126" s="15"/>
      <c r="J126" s="12"/>
      <c r="K126" s="9"/>
      <c r="L126" s="16" t="s">
        <v>51</v>
      </c>
      <c r="M126" s="17" t="s">
        <v>79</v>
      </c>
      <c r="N126" s="15"/>
      <c r="O126" s="16" t="s">
        <v>54</v>
      </c>
      <c r="P126" s="12" t="s">
        <v>80</v>
      </c>
      <c r="Q126" s="16"/>
      <c r="R126" s="18" t="s">
        <v>79</v>
      </c>
      <c r="S126" s="19"/>
      <c r="T126" s="12" t="str">
        <f aca="false">IF(R126="維持",J126,IF(R126="排除","無關新聞事件",IFERROR(INDEX(事件規則!$B$2:$B$53,MATCH(S126,事件規則!$A$2:$A$53,0)),"")))</f>
        <v>無關新聞事件</v>
      </c>
      <c r="U126" s="20" t="n">
        <f aca="false">IF(R126="維持",K126,IF(R126="排除",0,IFERROR(INDEX(事件規則!$C$2:$C$53,MATCH(S126,事件規則!$A$2:$A$53,0)),"")))</f>
        <v>0</v>
      </c>
      <c r="V126" s="21"/>
      <c r="W126" s="22"/>
      <c r="X126" s="10" t="str">
        <f aca="false">IF(AND(R126="修改",S126=""),"請選新事件代碼",IF(AND(R126&lt;&gt;"修改",S126&lt;&gt;""),"只有「修改」才需填代碼",""))</f>
        <v/>
      </c>
      <c r="Y126" s="21"/>
      <c r="Z126" s="22"/>
      <c r="AA126" s="23" t="s">
        <v>523</v>
      </c>
      <c r="AB126" s="13"/>
    </row>
    <row r="127" customFormat="false" ht="44" hidden="false" customHeight="false" outlineLevel="0" collapsed="false">
      <c r="A127" s="16" t="n">
        <v>126</v>
      </c>
      <c r="B127" s="9" t="s">
        <v>386</v>
      </c>
      <c r="C127" s="9" t="s">
        <v>524</v>
      </c>
      <c r="D127" s="10" t="s">
        <v>525</v>
      </c>
      <c r="E127" s="24" t="s">
        <v>526</v>
      </c>
      <c r="F127" s="12"/>
      <c r="G127" s="23" t="s">
        <v>527</v>
      </c>
      <c r="H127" s="14" t="n">
        <v>-0.955</v>
      </c>
      <c r="I127" s="15"/>
      <c r="J127" s="12"/>
      <c r="K127" s="9"/>
      <c r="L127" s="16" t="s">
        <v>51</v>
      </c>
      <c r="M127" s="17" t="s">
        <v>79</v>
      </c>
      <c r="N127" s="15"/>
      <c r="O127" s="16" t="s">
        <v>54</v>
      </c>
      <c r="P127" s="12" t="s">
        <v>80</v>
      </c>
      <c r="Q127" s="16"/>
      <c r="R127" s="18" t="s">
        <v>79</v>
      </c>
      <c r="S127" s="19"/>
      <c r="T127" s="12" t="str">
        <f aca="false">IF(R127="維持",J127,IF(R127="排除","無關新聞事件",IFERROR(INDEX(事件規則!$B$2:$B$53,MATCH(S127,事件規則!$A$2:$A$53,0)),"")))</f>
        <v>無關新聞事件</v>
      </c>
      <c r="U127" s="20" t="n">
        <f aca="false">IF(R127="維持",K127,IF(R127="排除",0,IFERROR(INDEX(事件規則!$C$2:$C$53,MATCH(S127,事件規則!$A$2:$A$53,0)),"")))</f>
        <v>0</v>
      </c>
      <c r="V127" s="21"/>
      <c r="W127" s="22"/>
      <c r="X127" s="10" t="str">
        <f aca="false">IF(AND(R127="修改",S127=""),"請選新事件代碼",IF(AND(R127&lt;&gt;"修改",S127&lt;&gt;""),"只有「修改」才需填代碼",""))</f>
        <v/>
      </c>
      <c r="Y127" s="21"/>
      <c r="Z127" s="22"/>
      <c r="AA127" s="23" t="s">
        <v>528</v>
      </c>
      <c r="AB127" s="13"/>
    </row>
    <row r="128" customFormat="false" ht="44" hidden="false" customHeight="false" outlineLevel="0" collapsed="false">
      <c r="A128" s="16" t="n">
        <v>127</v>
      </c>
      <c r="B128" s="9" t="s">
        <v>386</v>
      </c>
      <c r="C128" s="9" t="s">
        <v>99</v>
      </c>
      <c r="D128" s="10" t="s">
        <v>100</v>
      </c>
      <c r="E128" s="24" t="s">
        <v>529</v>
      </c>
      <c r="F128" s="12"/>
      <c r="G128" s="23" t="s">
        <v>292</v>
      </c>
      <c r="H128" s="14" t="n">
        <v>-0.955</v>
      </c>
      <c r="I128" s="15"/>
      <c r="J128" s="12"/>
      <c r="K128" s="9"/>
      <c r="L128" s="16" t="s">
        <v>51</v>
      </c>
      <c r="M128" s="17" t="s">
        <v>79</v>
      </c>
      <c r="N128" s="15"/>
      <c r="O128" s="16" t="s">
        <v>54</v>
      </c>
      <c r="P128" s="12" t="s">
        <v>80</v>
      </c>
      <c r="Q128" s="16"/>
      <c r="R128" s="18" t="s">
        <v>79</v>
      </c>
      <c r="S128" s="19"/>
      <c r="T128" s="12" t="str">
        <f aca="false">IF(R128="維持",J128,IF(R128="排除","無關新聞事件",IFERROR(INDEX(事件規則!$B$2:$B$53,MATCH(S128,事件規則!$A$2:$A$53,0)),"")))</f>
        <v>無關新聞事件</v>
      </c>
      <c r="U128" s="20" t="n">
        <f aca="false">IF(R128="維持",K128,IF(R128="排除",0,IFERROR(INDEX(事件規則!$C$2:$C$53,MATCH(S128,事件規則!$A$2:$A$53,0)),"")))</f>
        <v>0</v>
      </c>
      <c r="V128" s="21"/>
      <c r="W128" s="22"/>
      <c r="X128" s="10" t="str">
        <f aca="false">IF(AND(R128="修改",S128=""),"請選新事件代碼",IF(AND(R128&lt;&gt;"修改",S128&lt;&gt;""),"只有「修改」才需填代碼",""))</f>
        <v/>
      </c>
      <c r="Y128" s="21"/>
      <c r="Z128" s="22"/>
      <c r="AA128" s="23" t="s">
        <v>530</v>
      </c>
      <c r="AB128" s="13"/>
    </row>
    <row r="129" customFormat="false" ht="44" hidden="false" customHeight="false" outlineLevel="0" collapsed="false">
      <c r="A129" s="16" t="n">
        <v>128</v>
      </c>
      <c r="B129" s="9" t="s">
        <v>386</v>
      </c>
      <c r="C129" s="9" t="s">
        <v>456</v>
      </c>
      <c r="D129" s="10" t="s">
        <v>457</v>
      </c>
      <c r="E129" s="24" t="s">
        <v>526</v>
      </c>
      <c r="F129" s="12"/>
      <c r="G129" s="23" t="s">
        <v>527</v>
      </c>
      <c r="H129" s="14" t="n">
        <v>-0.955</v>
      </c>
      <c r="I129" s="15"/>
      <c r="J129" s="12"/>
      <c r="K129" s="9"/>
      <c r="L129" s="16" t="s">
        <v>51</v>
      </c>
      <c r="M129" s="17" t="s">
        <v>79</v>
      </c>
      <c r="N129" s="15"/>
      <c r="O129" s="16" t="s">
        <v>54</v>
      </c>
      <c r="P129" s="12" t="s">
        <v>80</v>
      </c>
      <c r="Q129" s="16"/>
      <c r="R129" s="18" t="s">
        <v>79</v>
      </c>
      <c r="S129" s="19"/>
      <c r="T129" s="12" t="str">
        <f aca="false">IF(R129="維持",J129,IF(R129="排除","無關新聞事件",IFERROR(INDEX(事件規則!$B$2:$B$53,MATCH(S129,事件規則!$A$2:$A$53,0)),"")))</f>
        <v>無關新聞事件</v>
      </c>
      <c r="U129" s="20" t="n">
        <f aca="false">IF(R129="維持",K129,IF(R129="排除",0,IFERROR(INDEX(事件規則!$C$2:$C$53,MATCH(S129,事件規則!$A$2:$A$53,0)),"")))</f>
        <v>0</v>
      </c>
      <c r="V129" s="21"/>
      <c r="W129" s="22"/>
      <c r="X129" s="10" t="str">
        <f aca="false">IF(AND(R129="修改",S129=""),"請選新事件代碼",IF(AND(R129&lt;&gt;"修改",S129&lt;&gt;""),"只有「修改」才需填代碼",""))</f>
        <v/>
      </c>
      <c r="Y129" s="21"/>
      <c r="Z129" s="22"/>
      <c r="AA129" s="23" t="s">
        <v>531</v>
      </c>
      <c r="AB129" s="13"/>
    </row>
    <row r="130" customFormat="false" ht="44" hidden="false" customHeight="false" outlineLevel="0" collapsed="false">
      <c r="A130" s="16" t="n">
        <v>129</v>
      </c>
      <c r="B130" s="9" t="s">
        <v>45</v>
      </c>
      <c r="C130" s="9" t="s">
        <v>57</v>
      </c>
      <c r="D130" s="10" t="s">
        <v>58</v>
      </c>
      <c r="E130" s="24" t="s">
        <v>532</v>
      </c>
      <c r="F130" s="12"/>
      <c r="G130" s="23" t="s">
        <v>152</v>
      </c>
      <c r="H130" s="14" t="n">
        <v>-0.955</v>
      </c>
      <c r="I130" s="15"/>
      <c r="J130" s="12"/>
      <c r="K130" s="9"/>
      <c r="L130" s="16" t="s">
        <v>51</v>
      </c>
      <c r="M130" s="17" t="s">
        <v>79</v>
      </c>
      <c r="N130" s="15"/>
      <c r="O130" s="16" t="s">
        <v>54</v>
      </c>
      <c r="P130" s="12" t="s">
        <v>80</v>
      </c>
      <c r="Q130" s="16"/>
      <c r="R130" s="18" t="s">
        <v>79</v>
      </c>
      <c r="S130" s="19"/>
      <c r="T130" s="12" t="str">
        <f aca="false">IF(R130="維持",J130,IF(R130="排除","無關新聞事件",IFERROR(INDEX(事件規則!$B$2:$B$53,MATCH(S130,事件規則!$A$2:$A$53,0)),"")))</f>
        <v>無關新聞事件</v>
      </c>
      <c r="U130" s="20" t="n">
        <f aca="false">IF(R130="維持",K130,IF(R130="排除",0,IFERROR(INDEX(事件規則!$C$2:$C$53,MATCH(S130,事件規則!$A$2:$A$53,0)),"")))</f>
        <v>0</v>
      </c>
      <c r="V130" s="21"/>
      <c r="W130" s="22"/>
      <c r="X130" s="10" t="str">
        <f aca="false">IF(AND(R130="修改",S130=""),"請選新事件代碼",IF(AND(R130&lt;&gt;"修改",S130&lt;&gt;""),"只有「修改」才需填代碼",""))</f>
        <v/>
      </c>
      <c r="Y130" s="21"/>
      <c r="Z130" s="22"/>
      <c r="AA130" s="23" t="s">
        <v>533</v>
      </c>
      <c r="AB130" s="13"/>
    </row>
    <row r="131" customFormat="false" ht="44" hidden="false" customHeight="false" outlineLevel="0" collapsed="false">
      <c r="A131" s="16" t="n">
        <v>130</v>
      </c>
      <c r="B131" s="9" t="s">
        <v>65</v>
      </c>
      <c r="C131" s="9" t="s">
        <v>534</v>
      </c>
      <c r="D131" s="10" t="s">
        <v>535</v>
      </c>
      <c r="E131" s="24" t="s">
        <v>536</v>
      </c>
      <c r="F131" s="12"/>
      <c r="G131" s="23" t="s">
        <v>537</v>
      </c>
      <c r="H131" s="14" t="n">
        <v>-0.954</v>
      </c>
      <c r="I131" s="15"/>
      <c r="J131" s="12"/>
      <c r="K131" s="9"/>
      <c r="L131" s="16" t="s">
        <v>51</v>
      </c>
      <c r="M131" s="17" t="s">
        <v>79</v>
      </c>
      <c r="N131" s="15"/>
      <c r="O131" s="16" t="s">
        <v>54</v>
      </c>
      <c r="P131" s="12" t="s">
        <v>80</v>
      </c>
      <c r="Q131" s="16"/>
      <c r="R131" s="18" t="s">
        <v>79</v>
      </c>
      <c r="S131" s="19"/>
      <c r="T131" s="12" t="str">
        <f aca="false">IF(R131="維持",J131,IF(R131="排除","無關新聞事件",IFERROR(INDEX(事件規則!$B$2:$B$53,MATCH(S131,事件規則!$A$2:$A$53,0)),"")))</f>
        <v>無關新聞事件</v>
      </c>
      <c r="U131" s="20" t="n">
        <f aca="false">IF(R131="維持",K131,IF(R131="排除",0,IFERROR(INDEX(事件規則!$C$2:$C$53,MATCH(S131,事件規則!$A$2:$A$53,0)),"")))</f>
        <v>0</v>
      </c>
      <c r="V131" s="21"/>
      <c r="W131" s="22"/>
      <c r="X131" s="10" t="str">
        <f aca="false">IF(AND(R131="修改",S131=""),"請選新事件代碼",IF(AND(R131&lt;&gt;"修改",S131&lt;&gt;""),"只有「修改」才需填代碼",""))</f>
        <v/>
      </c>
      <c r="Y131" s="21"/>
      <c r="Z131" s="22"/>
      <c r="AA131" s="23" t="s">
        <v>538</v>
      </c>
      <c r="AB131" s="13"/>
    </row>
    <row r="132" customFormat="false" ht="15" hidden="false" customHeight="false" outlineLevel="0" collapsed="false">
      <c r="A132" s="16" t="n">
        <v>131</v>
      </c>
      <c r="B132" s="9" t="s">
        <v>45</v>
      </c>
      <c r="C132" s="9" t="s">
        <v>102</v>
      </c>
      <c r="D132" s="10" t="s">
        <v>103</v>
      </c>
      <c r="E132" s="24" t="s">
        <v>539</v>
      </c>
      <c r="F132" s="12"/>
      <c r="G132" s="23" t="s">
        <v>147</v>
      </c>
      <c r="H132" s="14" t="n">
        <v>-0.954</v>
      </c>
      <c r="I132" s="15"/>
      <c r="J132" s="12"/>
      <c r="K132" s="9"/>
      <c r="L132" s="16" t="s">
        <v>51</v>
      </c>
      <c r="M132" s="17" t="s">
        <v>52</v>
      </c>
      <c r="N132" s="15" t="s">
        <v>259</v>
      </c>
      <c r="O132" s="16" t="s">
        <v>54</v>
      </c>
      <c r="P132" s="10" t="s">
        <v>540</v>
      </c>
      <c r="Q132" s="16"/>
      <c r="R132" s="18" t="s">
        <v>52</v>
      </c>
      <c r="S132" s="19" t="s">
        <v>259</v>
      </c>
      <c r="T132" s="12" t="str">
        <f aca="false">IF(R132="維持",J132,IF(R132="排除","無關新聞事件",IFERROR(INDEX(事件規則!$B$2:$B$53,MATCH(S132,事件規則!$A$2:$A$53,0)),"")))</f>
        <v>財報不如預期</v>
      </c>
      <c r="U132" s="20" t="n">
        <f aca="false">IF(R132="維持",K132,IF(R132="排除",0,IFERROR(INDEX(事件規則!$C$2:$C$53,MATCH(S132,事件規則!$A$2:$A$53,0)),"")))</f>
        <v>3</v>
      </c>
      <c r="V132" s="21"/>
      <c r="W132" s="22"/>
      <c r="X132" s="10" t="str">
        <f aca="false">IF(AND(R132="修改",S132=""),"請選新事件代碼",IF(AND(R132&lt;&gt;"修改",S132&lt;&gt;""),"只有「修改」才需填代碼",""))</f>
        <v/>
      </c>
      <c r="Y132" s="21"/>
      <c r="Z132" s="22"/>
      <c r="AA132" s="23" t="s">
        <v>541</v>
      </c>
      <c r="AB132" s="13"/>
    </row>
    <row r="133" customFormat="false" ht="44" hidden="false" customHeight="false" outlineLevel="0" collapsed="false">
      <c r="A133" s="16" t="n">
        <v>132</v>
      </c>
      <c r="B133" s="9" t="s">
        <v>65</v>
      </c>
      <c r="C133" s="9" t="s">
        <v>542</v>
      </c>
      <c r="D133" s="10" t="s">
        <v>543</v>
      </c>
      <c r="E133" s="24" t="s">
        <v>544</v>
      </c>
      <c r="F133" s="12"/>
      <c r="G133" s="23" t="s">
        <v>335</v>
      </c>
      <c r="H133" s="14" t="n">
        <v>-0.954</v>
      </c>
      <c r="I133" s="15"/>
      <c r="J133" s="12"/>
      <c r="K133" s="9"/>
      <c r="L133" s="16" t="s">
        <v>51</v>
      </c>
      <c r="M133" s="17" t="s">
        <v>79</v>
      </c>
      <c r="N133" s="15"/>
      <c r="O133" s="16" t="s">
        <v>54</v>
      </c>
      <c r="P133" s="12" t="s">
        <v>80</v>
      </c>
      <c r="Q133" s="16"/>
      <c r="R133" s="18" t="s">
        <v>79</v>
      </c>
      <c r="S133" s="19"/>
      <c r="T133" s="12" t="str">
        <f aca="false">IF(R133="維持",J133,IF(R133="排除","無關新聞事件",IFERROR(INDEX(事件規則!$B$2:$B$53,MATCH(S133,事件規則!$A$2:$A$53,0)),"")))</f>
        <v>無關新聞事件</v>
      </c>
      <c r="U133" s="20" t="n">
        <f aca="false">IF(R133="維持",K133,IF(R133="排除",0,IFERROR(INDEX(事件規則!$C$2:$C$53,MATCH(S133,事件規則!$A$2:$A$53,0)),"")))</f>
        <v>0</v>
      </c>
      <c r="V133" s="21"/>
      <c r="W133" s="22"/>
      <c r="X133" s="10" t="str">
        <f aca="false">IF(AND(R133="修改",S133=""),"請選新事件代碼",IF(AND(R133&lt;&gt;"修改",S133&lt;&gt;""),"只有「修改」才需填代碼",""))</f>
        <v/>
      </c>
      <c r="Y133" s="21"/>
      <c r="Z133" s="22"/>
      <c r="AA133" s="23" t="s">
        <v>545</v>
      </c>
      <c r="AB133" s="13"/>
    </row>
    <row r="134" customFormat="false" ht="44" hidden="false" customHeight="false" outlineLevel="0" collapsed="false">
      <c r="A134" s="16" t="n">
        <v>133</v>
      </c>
      <c r="B134" s="9" t="s">
        <v>65</v>
      </c>
      <c r="C134" s="9" t="s">
        <v>108</v>
      </c>
      <c r="D134" s="10" t="s">
        <v>109</v>
      </c>
      <c r="E134" s="24" t="s">
        <v>546</v>
      </c>
      <c r="F134" s="12"/>
      <c r="G134" s="23" t="s">
        <v>120</v>
      </c>
      <c r="H134" s="14" t="n">
        <v>-0.954</v>
      </c>
      <c r="I134" s="15"/>
      <c r="J134" s="12"/>
      <c r="K134" s="9"/>
      <c r="L134" s="16" t="s">
        <v>51</v>
      </c>
      <c r="M134" s="17" t="s">
        <v>79</v>
      </c>
      <c r="N134" s="15"/>
      <c r="O134" s="16" t="s">
        <v>54</v>
      </c>
      <c r="P134" s="12" t="s">
        <v>80</v>
      </c>
      <c r="Q134" s="16"/>
      <c r="R134" s="18" t="s">
        <v>79</v>
      </c>
      <c r="S134" s="19"/>
      <c r="T134" s="12" t="str">
        <f aca="false">IF(R134="維持",J134,IF(R134="排除","無關新聞事件",IFERROR(INDEX(事件規則!$B$2:$B$53,MATCH(S134,事件規則!$A$2:$A$53,0)),"")))</f>
        <v>無關新聞事件</v>
      </c>
      <c r="U134" s="20" t="n">
        <f aca="false">IF(R134="維持",K134,IF(R134="排除",0,IFERROR(INDEX(事件規則!$C$2:$C$53,MATCH(S134,事件規則!$A$2:$A$53,0)),"")))</f>
        <v>0</v>
      </c>
      <c r="V134" s="21"/>
      <c r="W134" s="22"/>
      <c r="X134" s="10" t="str">
        <f aca="false">IF(AND(R134="修改",S134=""),"請選新事件代碼",IF(AND(R134&lt;&gt;"修改",S134&lt;&gt;""),"只有「修改」才需填代碼",""))</f>
        <v/>
      </c>
      <c r="Y134" s="21"/>
      <c r="Z134" s="22"/>
      <c r="AA134" s="23" t="s">
        <v>547</v>
      </c>
      <c r="AB134" s="13"/>
    </row>
    <row r="135" customFormat="false" ht="15" hidden="false" customHeight="false" outlineLevel="0" collapsed="false">
      <c r="A135" s="16" t="n">
        <v>134</v>
      </c>
      <c r="B135" s="9" t="s">
        <v>386</v>
      </c>
      <c r="C135" s="16"/>
      <c r="D135" s="12"/>
      <c r="E135" s="24" t="s">
        <v>548</v>
      </c>
      <c r="F135" s="12"/>
      <c r="G135" s="23" t="s">
        <v>549</v>
      </c>
      <c r="H135" s="14" t="n">
        <v>-0.954</v>
      </c>
      <c r="I135" s="15"/>
      <c r="J135" s="12"/>
      <c r="K135" s="9"/>
      <c r="L135" s="16" t="s">
        <v>51</v>
      </c>
      <c r="M135" s="17" t="s">
        <v>52</v>
      </c>
      <c r="N135" s="15" t="s">
        <v>259</v>
      </c>
      <c r="O135" s="16" t="s">
        <v>54</v>
      </c>
      <c r="P135" s="10" t="s">
        <v>550</v>
      </c>
      <c r="Q135" s="16"/>
      <c r="R135" s="18" t="s">
        <v>52</v>
      </c>
      <c r="S135" s="19" t="s">
        <v>259</v>
      </c>
      <c r="T135" s="12" t="str">
        <f aca="false">IF(R135="維持",J135,IF(R135="排除","無關新聞事件",IFERROR(INDEX(事件規則!$B$2:$B$53,MATCH(S135,事件規則!$A$2:$A$53,0)),"")))</f>
        <v>財報不如預期</v>
      </c>
      <c r="U135" s="20" t="n">
        <f aca="false">IF(R135="維持",K135,IF(R135="排除",0,IFERROR(INDEX(事件規則!$C$2:$C$53,MATCH(S135,事件規則!$A$2:$A$53,0)),"")))</f>
        <v>3</v>
      </c>
      <c r="V135" s="21" t="s">
        <v>551</v>
      </c>
      <c r="W135" s="22" t="s">
        <v>552</v>
      </c>
      <c r="X135" s="10" t="str">
        <f aca="false">IF(AND(R135="修改",S135=""),"請選新事件代碼",IF(AND(R135&lt;&gt;"修改",S135&lt;&gt;""),"只有「修改」才需填代碼",""))</f>
        <v/>
      </c>
      <c r="Y135" s="21"/>
      <c r="Z135" s="22"/>
      <c r="AA135" s="23" t="s">
        <v>553</v>
      </c>
      <c r="AB135" s="13"/>
    </row>
    <row r="136" customFormat="false" ht="44" hidden="false" customHeight="false" outlineLevel="0" collapsed="false">
      <c r="A136" s="16" t="n">
        <v>135</v>
      </c>
      <c r="B136" s="9" t="s">
        <v>65</v>
      </c>
      <c r="C136" s="9" t="s">
        <v>554</v>
      </c>
      <c r="D136" s="10" t="s">
        <v>555</v>
      </c>
      <c r="E136" s="24" t="s">
        <v>556</v>
      </c>
      <c r="F136" s="12"/>
      <c r="G136" s="23" t="s">
        <v>224</v>
      </c>
      <c r="H136" s="14" t="n">
        <v>-0.954</v>
      </c>
      <c r="I136" s="15"/>
      <c r="J136" s="12"/>
      <c r="K136" s="9"/>
      <c r="L136" s="16" t="s">
        <v>51</v>
      </c>
      <c r="M136" s="17" t="s">
        <v>79</v>
      </c>
      <c r="N136" s="15"/>
      <c r="O136" s="16" t="s">
        <v>54</v>
      </c>
      <c r="P136" s="12" t="s">
        <v>80</v>
      </c>
      <c r="Q136" s="16"/>
      <c r="R136" s="18" t="s">
        <v>79</v>
      </c>
      <c r="S136" s="19"/>
      <c r="T136" s="12" t="str">
        <f aca="false">IF(R136="維持",J136,IF(R136="排除","無關新聞事件",IFERROR(INDEX(事件規則!$B$2:$B$53,MATCH(S136,事件規則!$A$2:$A$53,0)),"")))</f>
        <v>無關新聞事件</v>
      </c>
      <c r="U136" s="20" t="n">
        <f aca="false">IF(R136="維持",K136,IF(R136="排除",0,IFERROR(INDEX(事件規則!$C$2:$C$53,MATCH(S136,事件規則!$A$2:$A$53,0)),"")))</f>
        <v>0</v>
      </c>
      <c r="V136" s="21"/>
      <c r="W136" s="22"/>
      <c r="X136" s="10" t="str">
        <f aca="false">IF(AND(R136="修改",S136=""),"請選新事件代碼",IF(AND(R136&lt;&gt;"修改",S136&lt;&gt;""),"只有「修改」才需填代碼",""))</f>
        <v/>
      </c>
      <c r="Y136" s="21"/>
      <c r="Z136" s="22"/>
      <c r="AA136" s="23" t="s">
        <v>557</v>
      </c>
      <c r="AB136" s="13"/>
    </row>
    <row r="137" customFormat="false" ht="15" hidden="false" customHeight="false" outlineLevel="0" collapsed="false">
      <c r="A137" s="16" t="n">
        <v>136</v>
      </c>
      <c r="B137" s="9" t="s">
        <v>65</v>
      </c>
      <c r="C137" s="9" t="s">
        <v>346</v>
      </c>
      <c r="D137" s="10" t="s">
        <v>347</v>
      </c>
      <c r="E137" s="24" t="s">
        <v>558</v>
      </c>
      <c r="F137" s="12"/>
      <c r="G137" s="23" t="s">
        <v>559</v>
      </c>
      <c r="H137" s="14" t="n">
        <v>-0.954</v>
      </c>
      <c r="I137" s="15"/>
      <c r="J137" s="12"/>
      <c r="K137" s="9"/>
      <c r="L137" s="16" t="s">
        <v>51</v>
      </c>
      <c r="M137" s="17" t="s">
        <v>52</v>
      </c>
      <c r="N137" s="15" t="s">
        <v>350</v>
      </c>
      <c r="O137" s="16" t="s">
        <v>62</v>
      </c>
      <c r="P137" s="12" t="s">
        <v>351</v>
      </c>
      <c r="Q137" s="16"/>
      <c r="R137" s="18" t="s">
        <v>52</v>
      </c>
      <c r="S137" s="19" t="s">
        <v>350</v>
      </c>
      <c r="T137" s="12" t="str">
        <f aca="false">IF(R137="維持",J137,IF(R137="排除","無關新聞事件",IFERROR(INDEX(事件規則!$B$2:$B$53,MATCH(S137,事件規則!$A$2:$A$53,0)),"")))</f>
        <v>生產延遲</v>
      </c>
      <c r="U137" s="20" t="n">
        <f aca="false">IF(R137="維持",K137,IF(R137="排除",0,IFERROR(INDEX(事件規則!$C$2:$C$53,MATCH(S137,事件規則!$A$2:$A$53,0)),"")))</f>
        <v>2</v>
      </c>
      <c r="V137" s="21"/>
      <c r="W137" s="22"/>
      <c r="X137" s="10" t="str">
        <f aca="false">IF(AND(R137="修改",S137=""),"請選新事件代碼",IF(AND(R137&lt;&gt;"修改",S137&lt;&gt;""),"只有「修改」才需填代碼",""))</f>
        <v/>
      </c>
      <c r="Y137" s="21"/>
      <c r="Z137" s="22"/>
      <c r="AA137" s="23" t="s">
        <v>560</v>
      </c>
      <c r="AB137" s="13"/>
    </row>
    <row r="138" customFormat="false" ht="44" hidden="false" customHeight="false" outlineLevel="0" collapsed="false">
      <c r="A138" s="16" t="n">
        <v>137</v>
      </c>
      <c r="B138" s="9" t="s">
        <v>331</v>
      </c>
      <c r="C138" s="9" t="s">
        <v>57</v>
      </c>
      <c r="D138" s="10" t="s">
        <v>58</v>
      </c>
      <c r="E138" s="24" t="s">
        <v>561</v>
      </c>
      <c r="F138" s="12"/>
      <c r="G138" s="23" t="s">
        <v>562</v>
      </c>
      <c r="H138" s="14" t="n">
        <v>-0.953</v>
      </c>
      <c r="I138" s="15"/>
      <c r="J138" s="12"/>
      <c r="K138" s="9"/>
      <c r="L138" s="16" t="s">
        <v>51</v>
      </c>
      <c r="M138" s="17" t="s">
        <v>79</v>
      </c>
      <c r="N138" s="15"/>
      <c r="O138" s="16" t="s">
        <v>54</v>
      </c>
      <c r="P138" s="12" t="s">
        <v>80</v>
      </c>
      <c r="Q138" s="16"/>
      <c r="R138" s="18" t="s">
        <v>79</v>
      </c>
      <c r="S138" s="19"/>
      <c r="T138" s="12" t="str">
        <f aca="false">IF(R138="維持",J138,IF(R138="排除","無關新聞事件",IFERROR(INDEX(事件規則!$B$2:$B$53,MATCH(S138,事件規則!$A$2:$A$53,0)),"")))</f>
        <v>無關新聞事件</v>
      </c>
      <c r="U138" s="20" t="n">
        <f aca="false">IF(R138="維持",K138,IF(R138="排除",0,IFERROR(INDEX(事件規則!$C$2:$C$53,MATCH(S138,事件規則!$A$2:$A$53,0)),"")))</f>
        <v>0</v>
      </c>
      <c r="V138" s="21"/>
      <c r="W138" s="22"/>
      <c r="X138" s="10" t="str">
        <f aca="false">IF(AND(R138="修改",S138=""),"請選新事件代碼",IF(AND(R138&lt;&gt;"修改",S138&lt;&gt;""),"只有「修改」才需填代碼",""))</f>
        <v/>
      </c>
      <c r="Y138" s="21"/>
      <c r="Z138" s="22"/>
      <c r="AA138" s="23" t="s">
        <v>563</v>
      </c>
      <c r="AB138" s="13"/>
    </row>
    <row r="139" customFormat="false" ht="44" hidden="false" customHeight="false" outlineLevel="0" collapsed="false">
      <c r="A139" s="16" t="n">
        <v>138</v>
      </c>
      <c r="B139" s="9" t="s">
        <v>386</v>
      </c>
      <c r="C139" s="9" t="s">
        <v>564</v>
      </c>
      <c r="D139" s="10" t="s">
        <v>565</v>
      </c>
      <c r="E139" s="24" t="s">
        <v>566</v>
      </c>
      <c r="F139" s="12"/>
      <c r="G139" s="23" t="s">
        <v>567</v>
      </c>
      <c r="H139" s="14" t="n">
        <v>-0.953</v>
      </c>
      <c r="I139" s="15"/>
      <c r="J139" s="12"/>
      <c r="K139" s="9"/>
      <c r="L139" s="16" t="s">
        <v>51</v>
      </c>
      <c r="M139" s="17" t="s">
        <v>79</v>
      </c>
      <c r="N139" s="15"/>
      <c r="O139" s="16" t="s">
        <v>54</v>
      </c>
      <c r="P139" s="12" t="s">
        <v>80</v>
      </c>
      <c r="Q139" s="16"/>
      <c r="R139" s="18" t="s">
        <v>79</v>
      </c>
      <c r="S139" s="19"/>
      <c r="T139" s="12" t="str">
        <f aca="false">IF(R139="維持",J139,IF(R139="排除","無關新聞事件",IFERROR(INDEX(事件規則!$B$2:$B$53,MATCH(S139,事件規則!$A$2:$A$53,0)),"")))</f>
        <v>無關新聞事件</v>
      </c>
      <c r="U139" s="20" t="n">
        <f aca="false">IF(R139="維持",K139,IF(R139="排除",0,IFERROR(INDEX(事件規則!$C$2:$C$53,MATCH(S139,事件規則!$A$2:$A$53,0)),"")))</f>
        <v>0</v>
      </c>
      <c r="V139" s="21"/>
      <c r="W139" s="22"/>
      <c r="X139" s="10" t="str">
        <f aca="false">IF(AND(R139="修改",S139=""),"請選新事件代碼",IF(AND(R139&lt;&gt;"修改",S139&lt;&gt;""),"只有「修改」才需填代碼",""))</f>
        <v/>
      </c>
      <c r="Y139" s="21"/>
      <c r="Z139" s="22"/>
      <c r="AA139" s="23" t="s">
        <v>568</v>
      </c>
      <c r="AB139" s="13"/>
    </row>
    <row r="140" customFormat="false" ht="44" hidden="false" customHeight="false" outlineLevel="0" collapsed="false">
      <c r="A140" s="16" t="n">
        <v>139</v>
      </c>
      <c r="B140" s="9" t="s">
        <v>65</v>
      </c>
      <c r="C140" s="9" t="s">
        <v>569</v>
      </c>
      <c r="D140" s="10" t="s">
        <v>570</v>
      </c>
      <c r="E140" s="24" t="s">
        <v>571</v>
      </c>
      <c r="F140" s="12"/>
      <c r="G140" s="23" t="s">
        <v>572</v>
      </c>
      <c r="H140" s="14" t="n">
        <v>-0.953</v>
      </c>
      <c r="I140" s="15"/>
      <c r="J140" s="12"/>
      <c r="K140" s="9"/>
      <c r="L140" s="16" t="s">
        <v>51</v>
      </c>
      <c r="M140" s="17" t="s">
        <v>79</v>
      </c>
      <c r="N140" s="15"/>
      <c r="O140" s="16" t="s">
        <v>54</v>
      </c>
      <c r="P140" s="12" t="s">
        <v>80</v>
      </c>
      <c r="Q140" s="16"/>
      <c r="R140" s="18" t="s">
        <v>79</v>
      </c>
      <c r="S140" s="19"/>
      <c r="T140" s="12" t="str">
        <f aca="false">IF(R140="維持",J140,IF(R140="排除","無關新聞事件",IFERROR(INDEX(事件規則!$B$2:$B$53,MATCH(S140,事件規則!$A$2:$A$53,0)),"")))</f>
        <v>無關新聞事件</v>
      </c>
      <c r="U140" s="20" t="n">
        <f aca="false">IF(R140="維持",K140,IF(R140="排除",0,IFERROR(INDEX(事件規則!$C$2:$C$53,MATCH(S140,事件規則!$A$2:$A$53,0)),"")))</f>
        <v>0</v>
      </c>
      <c r="V140" s="21"/>
      <c r="W140" s="22"/>
      <c r="X140" s="10" t="str">
        <f aca="false">IF(AND(R140="修改",S140=""),"請選新事件代碼",IF(AND(R140&lt;&gt;"修改",S140&lt;&gt;""),"只有「修改」才需填代碼",""))</f>
        <v/>
      </c>
      <c r="Y140" s="21"/>
      <c r="Z140" s="22"/>
      <c r="AA140" s="23" t="s">
        <v>573</v>
      </c>
      <c r="AB140" s="13"/>
    </row>
    <row r="141" customFormat="false" ht="23.85" hidden="false" customHeight="false" outlineLevel="0" collapsed="false">
      <c r="A141" s="16" t="n">
        <v>140</v>
      </c>
      <c r="B141" s="9" t="s">
        <v>45</v>
      </c>
      <c r="C141" s="9" t="s">
        <v>93</v>
      </c>
      <c r="D141" s="10" t="s">
        <v>94</v>
      </c>
      <c r="E141" s="24" t="s">
        <v>574</v>
      </c>
      <c r="F141" s="12"/>
      <c r="G141" s="23" t="s">
        <v>575</v>
      </c>
      <c r="H141" s="14" t="n">
        <v>-0.953</v>
      </c>
      <c r="I141" s="15"/>
      <c r="J141" s="12"/>
      <c r="K141" s="9"/>
      <c r="L141" s="16" t="s">
        <v>51</v>
      </c>
      <c r="M141" s="17" t="s">
        <v>52</v>
      </c>
      <c r="N141" s="15" t="s">
        <v>61</v>
      </c>
      <c r="O141" s="16" t="s">
        <v>62</v>
      </c>
      <c r="P141" s="10" t="s">
        <v>97</v>
      </c>
      <c r="Q141" s="16"/>
      <c r="R141" s="18" t="s">
        <v>52</v>
      </c>
      <c r="S141" s="19" t="s">
        <v>61</v>
      </c>
      <c r="T141" s="12" t="str">
        <f aca="false">IF(R141="維持",J141,IF(R141="排除","無關新聞事件",IFERROR(INDEX(事件規則!$B$2:$B$53,MATCH(S141,事件規則!$A$2:$A$53,0)),"")))</f>
        <v>裁員或人力縮減</v>
      </c>
      <c r="U141" s="20" t="n">
        <f aca="false">IF(R141="維持",K141,IF(R141="排除",0,IFERROR(INDEX(事件規則!$C$2:$C$53,MATCH(S141,事件規則!$A$2:$A$53,0)),"")))</f>
        <v>3</v>
      </c>
      <c r="V141" s="21"/>
      <c r="W141" s="22"/>
      <c r="X141" s="10" t="str">
        <f aca="false">IF(AND(R141="修改",S141=""),"請選新事件代碼",IF(AND(R141&lt;&gt;"修改",S141&lt;&gt;""),"只有「修改」才需填代碼",""))</f>
        <v/>
      </c>
      <c r="Y141" s="21"/>
      <c r="Z141" s="22"/>
      <c r="AA141" s="23" t="s">
        <v>576</v>
      </c>
      <c r="AB141" s="13"/>
    </row>
    <row r="142" customFormat="false" ht="44" hidden="false" customHeight="false" outlineLevel="0" collapsed="false">
      <c r="A142" s="16" t="n">
        <v>141</v>
      </c>
      <c r="B142" s="9" t="s">
        <v>45</v>
      </c>
      <c r="C142" s="9" t="s">
        <v>577</v>
      </c>
      <c r="D142" s="10" t="s">
        <v>578</v>
      </c>
      <c r="E142" s="24" t="s">
        <v>579</v>
      </c>
      <c r="F142" s="12"/>
      <c r="G142" s="23" t="s">
        <v>224</v>
      </c>
      <c r="H142" s="14" t="n">
        <v>-0.953</v>
      </c>
      <c r="I142" s="15"/>
      <c r="J142" s="12"/>
      <c r="K142" s="9"/>
      <c r="L142" s="16" t="s">
        <v>51</v>
      </c>
      <c r="M142" s="17" t="s">
        <v>79</v>
      </c>
      <c r="N142" s="15"/>
      <c r="O142" s="16" t="s">
        <v>54</v>
      </c>
      <c r="P142" s="12" t="s">
        <v>80</v>
      </c>
      <c r="Q142" s="16"/>
      <c r="R142" s="18" t="s">
        <v>79</v>
      </c>
      <c r="S142" s="19"/>
      <c r="T142" s="12" t="str">
        <f aca="false">IF(R142="維持",J142,IF(R142="排除","無關新聞事件",IFERROR(INDEX(事件規則!$B$2:$B$53,MATCH(S142,事件規則!$A$2:$A$53,0)),"")))</f>
        <v>無關新聞事件</v>
      </c>
      <c r="U142" s="20" t="n">
        <f aca="false">IF(R142="維持",K142,IF(R142="排除",0,IFERROR(INDEX(事件規則!$C$2:$C$53,MATCH(S142,事件規則!$A$2:$A$53,0)),"")))</f>
        <v>0</v>
      </c>
      <c r="V142" s="21"/>
      <c r="W142" s="22"/>
      <c r="X142" s="10" t="str">
        <f aca="false">IF(AND(R142="修改",S142=""),"請選新事件代碼",IF(AND(R142&lt;&gt;"修改",S142&lt;&gt;""),"只有「修改」才需填代碼",""))</f>
        <v/>
      </c>
      <c r="Y142" s="21"/>
      <c r="Z142" s="22"/>
      <c r="AA142" s="23" t="s">
        <v>580</v>
      </c>
      <c r="AB142" s="13"/>
    </row>
    <row r="143" customFormat="false" ht="44" hidden="false" customHeight="false" outlineLevel="0" collapsed="false">
      <c r="A143" s="16" t="n">
        <v>142</v>
      </c>
      <c r="B143" s="9" t="s">
        <v>65</v>
      </c>
      <c r="C143" s="9" t="s">
        <v>69</v>
      </c>
      <c r="D143" s="10" t="s">
        <v>70</v>
      </c>
      <c r="E143" s="24" t="s">
        <v>581</v>
      </c>
      <c r="F143" s="12"/>
      <c r="G143" s="23" t="s">
        <v>582</v>
      </c>
      <c r="H143" s="14" t="n">
        <v>-0.953</v>
      </c>
      <c r="I143" s="15"/>
      <c r="J143" s="12"/>
      <c r="K143" s="9"/>
      <c r="L143" s="16" t="s">
        <v>51</v>
      </c>
      <c r="M143" s="17" t="s">
        <v>79</v>
      </c>
      <c r="N143" s="15"/>
      <c r="O143" s="16" t="s">
        <v>54</v>
      </c>
      <c r="P143" s="12" t="s">
        <v>80</v>
      </c>
      <c r="Q143" s="16"/>
      <c r="R143" s="18" t="s">
        <v>79</v>
      </c>
      <c r="S143" s="19"/>
      <c r="T143" s="12" t="str">
        <f aca="false">IF(R143="維持",J143,IF(R143="排除","無關新聞事件",IFERROR(INDEX(事件規則!$B$2:$B$53,MATCH(S143,事件規則!$A$2:$A$53,0)),"")))</f>
        <v>無關新聞事件</v>
      </c>
      <c r="U143" s="20" t="n">
        <f aca="false">IF(R143="維持",K143,IF(R143="排除",0,IFERROR(INDEX(事件規則!$C$2:$C$53,MATCH(S143,事件規則!$A$2:$A$53,0)),"")))</f>
        <v>0</v>
      </c>
      <c r="V143" s="21"/>
      <c r="W143" s="22"/>
      <c r="X143" s="10" t="str">
        <f aca="false">IF(AND(R143="修改",S143=""),"請選新事件代碼",IF(AND(R143&lt;&gt;"修改",S143&lt;&gt;""),"只有「修改」才需填代碼",""))</f>
        <v/>
      </c>
      <c r="Y143" s="21"/>
      <c r="Z143" s="22"/>
      <c r="AA143" s="23" t="s">
        <v>583</v>
      </c>
      <c r="AB143" s="13"/>
    </row>
    <row r="144" customFormat="false" ht="44" hidden="false" customHeight="false" outlineLevel="0" collapsed="false">
      <c r="A144" s="16" t="n">
        <v>143</v>
      </c>
      <c r="B144" s="9" t="s">
        <v>65</v>
      </c>
      <c r="C144" s="9" t="s">
        <v>404</v>
      </c>
      <c r="D144" s="10" t="s">
        <v>405</v>
      </c>
      <c r="E144" s="24" t="s">
        <v>584</v>
      </c>
      <c r="F144" s="12"/>
      <c r="G144" s="23" t="s">
        <v>78</v>
      </c>
      <c r="H144" s="14" t="n">
        <v>-0.952</v>
      </c>
      <c r="I144" s="15"/>
      <c r="J144" s="12"/>
      <c r="K144" s="9"/>
      <c r="L144" s="16" t="s">
        <v>51</v>
      </c>
      <c r="M144" s="17" t="s">
        <v>79</v>
      </c>
      <c r="N144" s="15"/>
      <c r="O144" s="16" t="s">
        <v>54</v>
      </c>
      <c r="P144" s="12" t="s">
        <v>80</v>
      </c>
      <c r="Q144" s="16"/>
      <c r="R144" s="18" t="s">
        <v>79</v>
      </c>
      <c r="S144" s="19"/>
      <c r="T144" s="12" t="str">
        <f aca="false">IF(R144="維持",J144,IF(R144="排除","無關新聞事件",IFERROR(INDEX(事件規則!$B$2:$B$53,MATCH(S144,事件規則!$A$2:$A$53,0)),"")))</f>
        <v>無關新聞事件</v>
      </c>
      <c r="U144" s="20" t="n">
        <f aca="false">IF(R144="維持",K144,IF(R144="排除",0,IFERROR(INDEX(事件規則!$C$2:$C$53,MATCH(S144,事件規則!$A$2:$A$53,0)),"")))</f>
        <v>0</v>
      </c>
      <c r="V144" s="21"/>
      <c r="W144" s="22"/>
      <c r="X144" s="10" t="str">
        <f aca="false">IF(AND(R144="修改",S144=""),"請選新事件代碼",IF(AND(R144&lt;&gt;"修改",S144&lt;&gt;""),"只有「修改」才需填代碼",""))</f>
        <v/>
      </c>
      <c r="Y144" s="21"/>
      <c r="Z144" s="22"/>
      <c r="AA144" s="23" t="s">
        <v>585</v>
      </c>
      <c r="AB144" s="13"/>
    </row>
    <row r="145" customFormat="false" ht="15" hidden="false" customHeight="false" outlineLevel="0" collapsed="false">
      <c r="A145" s="16" t="n">
        <v>144</v>
      </c>
      <c r="B145" s="9" t="s">
        <v>65</v>
      </c>
      <c r="C145" s="9" t="s">
        <v>346</v>
      </c>
      <c r="D145" s="10" t="s">
        <v>347</v>
      </c>
      <c r="E145" s="24" t="s">
        <v>586</v>
      </c>
      <c r="F145" s="12"/>
      <c r="G145" s="23" t="s">
        <v>587</v>
      </c>
      <c r="H145" s="14" t="n">
        <v>-0.952</v>
      </c>
      <c r="I145" s="15"/>
      <c r="J145" s="12"/>
      <c r="K145" s="9"/>
      <c r="L145" s="16" t="s">
        <v>51</v>
      </c>
      <c r="M145" s="17" t="s">
        <v>52</v>
      </c>
      <c r="N145" s="15" t="s">
        <v>350</v>
      </c>
      <c r="O145" s="16" t="s">
        <v>62</v>
      </c>
      <c r="P145" s="12" t="s">
        <v>351</v>
      </c>
      <c r="Q145" s="16"/>
      <c r="R145" s="18" t="s">
        <v>52</v>
      </c>
      <c r="S145" s="19" t="s">
        <v>350</v>
      </c>
      <c r="T145" s="12" t="str">
        <f aca="false">IF(R145="維持",J145,IF(R145="排除","無關新聞事件",IFERROR(INDEX(事件規則!$B$2:$B$53,MATCH(S145,事件規則!$A$2:$A$53,0)),"")))</f>
        <v>生產延遲</v>
      </c>
      <c r="U145" s="20" t="n">
        <f aca="false">IF(R145="維持",K145,IF(R145="排除",0,IFERROR(INDEX(事件規則!$C$2:$C$53,MATCH(S145,事件規則!$A$2:$A$53,0)),"")))</f>
        <v>2</v>
      </c>
      <c r="V145" s="21"/>
      <c r="W145" s="22"/>
      <c r="X145" s="10" t="str">
        <f aca="false">IF(AND(R145="修改",S145=""),"請選新事件代碼",IF(AND(R145&lt;&gt;"修改",S145&lt;&gt;""),"只有「修改」才需填代碼",""))</f>
        <v/>
      </c>
      <c r="Y145" s="21"/>
      <c r="Z145" s="22"/>
      <c r="AA145" s="23" t="s">
        <v>588</v>
      </c>
      <c r="AB145" s="13"/>
    </row>
    <row r="146" customFormat="false" ht="44" hidden="false" customHeight="false" outlineLevel="0" collapsed="false">
      <c r="A146" s="16" t="n">
        <v>145</v>
      </c>
      <c r="B146" s="9" t="s">
        <v>65</v>
      </c>
      <c r="C146" s="9" t="s">
        <v>569</v>
      </c>
      <c r="D146" s="10" t="s">
        <v>570</v>
      </c>
      <c r="E146" s="24" t="s">
        <v>589</v>
      </c>
      <c r="F146" s="12"/>
      <c r="G146" s="23" t="s">
        <v>335</v>
      </c>
      <c r="H146" s="14" t="n">
        <v>-0.952</v>
      </c>
      <c r="I146" s="15"/>
      <c r="J146" s="12"/>
      <c r="K146" s="9"/>
      <c r="L146" s="16" t="s">
        <v>51</v>
      </c>
      <c r="M146" s="17" t="s">
        <v>79</v>
      </c>
      <c r="N146" s="15"/>
      <c r="O146" s="16" t="s">
        <v>54</v>
      </c>
      <c r="P146" s="12" t="s">
        <v>80</v>
      </c>
      <c r="Q146" s="16"/>
      <c r="R146" s="18" t="s">
        <v>79</v>
      </c>
      <c r="S146" s="19"/>
      <c r="T146" s="12" t="str">
        <f aca="false">IF(R146="維持",J146,IF(R146="排除","無關新聞事件",IFERROR(INDEX(事件規則!$B$2:$B$53,MATCH(S146,事件規則!$A$2:$A$53,0)),"")))</f>
        <v>無關新聞事件</v>
      </c>
      <c r="U146" s="20" t="n">
        <f aca="false">IF(R146="維持",K146,IF(R146="排除",0,IFERROR(INDEX(事件規則!$C$2:$C$53,MATCH(S146,事件規則!$A$2:$A$53,0)),"")))</f>
        <v>0</v>
      </c>
      <c r="V146" s="21"/>
      <c r="W146" s="22"/>
      <c r="X146" s="10" t="str">
        <f aca="false">IF(AND(R146="修改",S146=""),"請選新事件代碼",IF(AND(R146&lt;&gt;"修改",S146&lt;&gt;""),"只有「修改」才需填代碼",""))</f>
        <v/>
      </c>
      <c r="Y146" s="21"/>
      <c r="Z146" s="22"/>
      <c r="AA146" s="23" t="s">
        <v>590</v>
      </c>
      <c r="AB146" s="13"/>
    </row>
    <row r="147" customFormat="false" ht="23.85" hidden="false" customHeight="false" outlineLevel="0" collapsed="false">
      <c r="A147" s="16" t="n">
        <v>146</v>
      </c>
      <c r="B147" s="9" t="s">
        <v>65</v>
      </c>
      <c r="C147" s="9" t="s">
        <v>99</v>
      </c>
      <c r="D147" s="10" t="s">
        <v>100</v>
      </c>
      <c r="E147" s="24" t="s">
        <v>591</v>
      </c>
      <c r="F147" s="12"/>
      <c r="G147" s="23" t="s">
        <v>592</v>
      </c>
      <c r="H147" s="14" t="n">
        <v>-0.952</v>
      </c>
      <c r="I147" s="15"/>
      <c r="J147" s="12"/>
      <c r="K147" s="9"/>
      <c r="L147" s="16" t="s">
        <v>51</v>
      </c>
      <c r="M147" s="17" t="s">
        <v>52</v>
      </c>
      <c r="N147" s="15" t="s">
        <v>61</v>
      </c>
      <c r="O147" s="16" t="s">
        <v>54</v>
      </c>
      <c r="P147" s="10" t="s">
        <v>274</v>
      </c>
      <c r="Q147" s="16"/>
      <c r="R147" s="18" t="s">
        <v>52</v>
      </c>
      <c r="S147" s="19" t="s">
        <v>61</v>
      </c>
      <c r="T147" s="12" t="str">
        <f aca="false">IF(R147="維持",J147,IF(R147="排除","無關新聞事件",IFERROR(INDEX(事件規則!$B$2:$B$53,MATCH(S147,事件規則!$A$2:$A$53,0)),"")))</f>
        <v>裁員或人力縮減</v>
      </c>
      <c r="U147" s="20" t="n">
        <f aca="false">IF(R147="維持",K147,IF(R147="排除",0,IFERROR(INDEX(事件規則!$C$2:$C$53,MATCH(S147,事件規則!$A$2:$A$53,0)),"")))</f>
        <v>3</v>
      </c>
      <c r="V147" s="21"/>
      <c r="W147" s="22"/>
      <c r="X147" s="10" t="str">
        <f aca="false">IF(AND(R147="修改",S147=""),"請選新事件代碼",IF(AND(R147&lt;&gt;"修改",S147&lt;&gt;""),"只有「修改」才需填代碼",""))</f>
        <v/>
      </c>
      <c r="Y147" s="21"/>
      <c r="Z147" s="22"/>
      <c r="AA147" s="23" t="s">
        <v>593</v>
      </c>
      <c r="AB147" s="13"/>
    </row>
    <row r="148" customFormat="false" ht="44" hidden="false" customHeight="false" outlineLevel="0" collapsed="false">
      <c r="A148" s="16" t="n">
        <v>147</v>
      </c>
      <c r="B148" s="9" t="s">
        <v>331</v>
      </c>
      <c r="C148" s="9" t="s">
        <v>594</v>
      </c>
      <c r="D148" s="10" t="s">
        <v>595</v>
      </c>
      <c r="E148" s="24" t="s">
        <v>596</v>
      </c>
      <c r="F148" s="12"/>
      <c r="G148" s="23" t="s">
        <v>597</v>
      </c>
      <c r="H148" s="14" t="n">
        <v>-0.952</v>
      </c>
      <c r="I148" s="15"/>
      <c r="J148" s="12"/>
      <c r="K148" s="9"/>
      <c r="L148" s="16" t="s">
        <v>51</v>
      </c>
      <c r="M148" s="17" t="s">
        <v>79</v>
      </c>
      <c r="N148" s="15"/>
      <c r="O148" s="16" t="s">
        <v>54</v>
      </c>
      <c r="P148" s="12" t="s">
        <v>80</v>
      </c>
      <c r="Q148" s="16"/>
      <c r="R148" s="18" t="s">
        <v>79</v>
      </c>
      <c r="S148" s="19"/>
      <c r="T148" s="12" t="str">
        <f aca="false">IF(R148="維持",J148,IF(R148="排除","無關新聞事件",IFERROR(INDEX(事件規則!$B$2:$B$53,MATCH(S148,事件規則!$A$2:$A$53,0)),"")))</f>
        <v>無關新聞事件</v>
      </c>
      <c r="U148" s="20" t="n">
        <f aca="false">IF(R148="維持",K148,IF(R148="排除",0,IFERROR(INDEX(事件規則!$C$2:$C$53,MATCH(S148,事件規則!$A$2:$A$53,0)),"")))</f>
        <v>0</v>
      </c>
      <c r="V148" s="21"/>
      <c r="W148" s="22"/>
      <c r="X148" s="10" t="str">
        <f aca="false">IF(AND(R148="修改",S148=""),"請選新事件代碼",IF(AND(R148&lt;&gt;"修改",S148&lt;&gt;""),"只有「修改」才需填代碼",""))</f>
        <v/>
      </c>
      <c r="Y148" s="21"/>
      <c r="Z148" s="22"/>
      <c r="AA148" s="23" t="s">
        <v>598</v>
      </c>
      <c r="AB148" s="13"/>
    </row>
    <row r="149" customFormat="false" ht="44" hidden="false" customHeight="false" outlineLevel="0" collapsed="false">
      <c r="A149" s="16" t="n">
        <v>148</v>
      </c>
      <c r="B149" s="9" t="s">
        <v>331</v>
      </c>
      <c r="C149" s="9" t="s">
        <v>599</v>
      </c>
      <c r="D149" s="10" t="s">
        <v>600</v>
      </c>
      <c r="E149" s="24" t="s">
        <v>601</v>
      </c>
      <c r="F149" s="12"/>
      <c r="G149" s="23" t="s">
        <v>602</v>
      </c>
      <c r="H149" s="14" t="n">
        <v>-0.952</v>
      </c>
      <c r="I149" s="15"/>
      <c r="J149" s="12"/>
      <c r="K149" s="9"/>
      <c r="L149" s="16" t="s">
        <v>51</v>
      </c>
      <c r="M149" s="17" t="s">
        <v>79</v>
      </c>
      <c r="N149" s="15"/>
      <c r="O149" s="16" t="s">
        <v>54</v>
      </c>
      <c r="P149" s="12" t="s">
        <v>80</v>
      </c>
      <c r="Q149" s="16"/>
      <c r="R149" s="18" t="s">
        <v>79</v>
      </c>
      <c r="S149" s="19"/>
      <c r="T149" s="12" t="str">
        <f aca="false">IF(R149="維持",J149,IF(R149="排除","無關新聞事件",IFERROR(INDEX(事件規則!$B$2:$B$53,MATCH(S149,事件規則!$A$2:$A$53,0)),"")))</f>
        <v>無關新聞事件</v>
      </c>
      <c r="U149" s="20" t="n">
        <f aca="false">IF(R149="維持",K149,IF(R149="排除",0,IFERROR(INDEX(事件規則!$C$2:$C$53,MATCH(S149,事件規則!$A$2:$A$53,0)),"")))</f>
        <v>0</v>
      </c>
      <c r="V149" s="21"/>
      <c r="W149" s="22"/>
      <c r="X149" s="10" t="str">
        <f aca="false">IF(AND(R149="修改",S149=""),"請選新事件代碼",IF(AND(R149&lt;&gt;"修改",S149&lt;&gt;""),"只有「修改」才需填代碼",""))</f>
        <v/>
      </c>
      <c r="Y149" s="21"/>
      <c r="Z149" s="22"/>
      <c r="AA149" s="23" t="s">
        <v>603</v>
      </c>
      <c r="AB149" s="13"/>
    </row>
    <row r="150" customFormat="false" ht="23.85" hidden="false" customHeight="false" outlineLevel="0" collapsed="false">
      <c r="A150" s="16" t="n">
        <v>149</v>
      </c>
      <c r="B150" s="9" t="s">
        <v>65</v>
      </c>
      <c r="C150" s="9" t="s">
        <v>57</v>
      </c>
      <c r="D150" s="10" t="s">
        <v>58</v>
      </c>
      <c r="E150" s="24" t="s">
        <v>604</v>
      </c>
      <c r="F150" s="12"/>
      <c r="G150" s="23" t="s">
        <v>605</v>
      </c>
      <c r="H150" s="14" t="n">
        <v>-0.952</v>
      </c>
      <c r="I150" s="15"/>
      <c r="J150" s="12"/>
      <c r="K150" s="9"/>
      <c r="L150" s="16" t="s">
        <v>51</v>
      </c>
      <c r="M150" s="17" t="s">
        <v>52</v>
      </c>
      <c r="N150" s="15" t="s">
        <v>61</v>
      </c>
      <c r="O150" s="16" t="s">
        <v>62</v>
      </c>
      <c r="P150" s="12" t="s">
        <v>63</v>
      </c>
      <c r="Q150" s="16"/>
      <c r="R150" s="18" t="s">
        <v>52</v>
      </c>
      <c r="S150" s="19" t="s">
        <v>61</v>
      </c>
      <c r="T150" s="12" t="str">
        <f aca="false">IF(R150="維持",J150,IF(R150="排除","無關新聞事件",IFERROR(INDEX(事件規則!$B$2:$B$53,MATCH(S150,事件規則!$A$2:$A$53,0)),"")))</f>
        <v>裁員或人力縮減</v>
      </c>
      <c r="U150" s="20" t="n">
        <f aca="false">IF(R150="維持",K150,IF(R150="排除",0,IFERROR(INDEX(事件規則!$C$2:$C$53,MATCH(S150,事件規則!$A$2:$A$53,0)),"")))</f>
        <v>3</v>
      </c>
      <c r="V150" s="21"/>
      <c r="W150" s="22"/>
      <c r="X150" s="10" t="str">
        <f aca="false">IF(AND(R150="修改",S150=""),"請選新事件代碼",IF(AND(R150&lt;&gt;"修改",S150&lt;&gt;""),"只有「修改」才需填代碼",""))</f>
        <v/>
      </c>
      <c r="Y150" s="21"/>
      <c r="Z150" s="22"/>
      <c r="AA150" s="23" t="s">
        <v>606</v>
      </c>
      <c r="AB150" s="13"/>
    </row>
    <row r="151" customFormat="false" ht="44" hidden="false" customHeight="false" outlineLevel="0" collapsed="false">
      <c r="A151" s="16" t="n">
        <v>150</v>
      </c>
      <c r="B151" s="9" t="s">
        <v>45</v>
      </c>
      <c r="C151" s="9" t="s">
        <v>607</v>
      </c>
      <c r="D151" s="10" t="s">
        <v>608</v>
      </c>
      <c r="E151" s="24" t="s">
        <v>609</v>
      </c>
      <c r="F151" s="12"/>
      <c r="G151" s="23" t="s">
        <v>610</v>
      </c>
      <c r="H151" s="14" t="n">
        <v>-0.952</v>
      </c>
      <c r="I151" s="15"/>
      <c r="J151" s="12"/>
      <c r="K151" s="9"/>
      <c r="L151" s="16" t="s">
        <v>51</v>
      </c>
      <c r="M151" s="17" t="s">
        <v>79</v>
      </c>
      <c r="N151" s="15"/>
      <c r="O151" s="16" t="s">
        <v>54</v>
      </c>
      <c r="P151" s="12" t="s">
        <v>80</v>
      </c>
      <c r="Q151" s="16"/>
      <c r="R151" s="18" t="s">
        <v>79</v>
      </c>
      <c r="S151" s="19"/>
      <c r="T151" s="12" t="str">
        <f aca="false">IF(R151="維持",J151,IF(R151="排除","無關新聞事件",IFERROR(INDEX(事件規則!$B$2:$B$53,MATCH(S151,事件規則!$A$2:$A$53,0)),"")))</f>
        <v>無關新聞事件</v>
      </c>
      <c r="U151" s="20" t="n">
        <f aca="false">IF(R151="維持",K151,IF(R151="排除",0,IFERROR(INDEX(事件規則!$C$2:$C$53,MATCH(S151,事件規則!$A$2:$A$53,0)),"")))</f>
        <v>0</v>
      </c>
      <c r="V151" s="21"/>
      <c r="W151" s="22"/>
      <c r="X151" s="10" t="str">
        <f aca="false">IF(AND(R151="修改",S151=""),"請選新事件代碼",IF(AND(R151&lt;&gt;"修改",S151&lt;&gt;""),"只有「修改」才需填代碼",""))</f>
        <v/>
      </c>
      <c r="Y151" s="21"/>
      <c r="Z151" s="22"/>
      <c r="AA151" s="23" t="s">
        <v>611</v>
      </c>
      <c r="AB151" s="13"/>
    </row>
    <row r="152" customFormat="false" ht="15" hidden="false" customHeight="false" outlineLevel="0" collapsed="false">
      <c r="A152" s="16" t="n">
        <v>151</v>
      </c>
      <c r="B152" s="9" t="s">
        <v>45</v>
      </c>
      <c r="C152" s="9" t="s">
        <v>381</v>
      </c>
      <c r="D152" s="10" t="s">
        <v>382</v>
      </c>
      <c r="E152" s="24" t="s">
        <v>612</v>
      </c>
      <c r="F152" s="12"/>
      <c r="G152" s="23" t="s">
        <v>120</v>
      </c>
      <c r="H152" s="14" t="n">
        <v>-0.952</v>
      </c>
      <c r="I152" s="15"/>
      <c r="J152" s="12"/>
      <c r="K152" s="9"/>
      <c r="L152" s="16" t="s">
        <v>51</v>
      </c>
      <c r="M152" s="17" t="s">
        <v>52</v>
      </c>
      <c r="N152" s="15" t="s">
        <v>53</v>
      </c>
      <c r="O152" s="16" t="s">
        <v>62</v>
      </c>
      <c r="P152" s="10" t="s">
        <v>384</v>
      </c>
      <c r="Q152" s="16"/>
      <c r="R152" s="18" t="s">
        <v>52</v>
      </c>
      <c r="S152" s="19" t="s">
        <v>53</v>
      </c>
      <c r="T152" s="12" t="str">
        <f aca="false">IF(R152="維持",J152,IF(R152="排除","無關新聞事件",IFERROR(INDEX(事件規則!$B$2:$B$53,MATCH(S152,事件規則!$A$2:$A$53,0)),"")))</f>
        <v>股價下跌</v>
      </c>
      <c r="U152" s="20" t="n">
        <f aca="false">IF(R152="維持",K152,IF(R152="排除",0,IFERROR(INDEX(事件規則!$C$2:$C$53,MATCH(S152,事件規則!$A$2:$A$53,0)),"")))</f>
        <v>1</v>
      </c>
      <c r="V152" s="21"/>
      <c r="W152" s="22"/>
      <c r="X152" s="10" t="str">
        <f aca="false">IF(AND(R152="修改",S152=""),"請選新事件代碼",IF(AND(R152&lt;&gt;"修改",S152&lt;&gt;""),"只有「修改」才需填代碼",""))</f>
        <v/>
      </c>
      <c r="Y152" s="21"/>
      <c r="Z152" s="22"/>
      <c r="AA152" s="23" t="s">
        <v>613</v>
      </c>
      <c r="AB152" s="13"/>
    </row>
    <row r="153" customFormat="false" ht="15" hidden="false" customHeight="false" outlineLevel="0" collapsed="false">
      <c r="A153" s="16" t="n">
        <v>152</v>
      </c>
      <c r="B153" s="9" t="s">
        <v>45</v>
      </c>
      <c r="C153" s="9" t="s">
        <v>282</v>
      </c>
      <c r="D153" s="10" t="s">
        <v>283</v>
      </c>
      <c r="E153" s="24" t="s">
        <v>614</v>
      </c>
      <c r="F153" s="12"/>
      <c r="G153" s="23" t="s">
        <v>152</v>
      </c>
      <c r="H153" s="14" t="n">
        <v>-0.952</v>
      </c>
      <c r="I153" s="15"/>
      <c r="J153" s="12"/>
      <c r="K153" s="9"/>
      <c r="L153" s="16" t="s">
        <v>51</v>
      </c>
      <c r="M153" s="17" t="s">
        <v>52</v>
      </c>
      <c r="N153" s="15" t="s">
        <v>259</v>
      </c>
      <c r="O153" s="16" t="s">
        <v>62</v>
      </c>
      <c r="P153" s="10" t="s">
        <v>286</v>
      </c>
      <c r="Q153" s="16"/>
      <c r="R153" s="18" t="s">
        <v>52</v>
      </c>
      <c r="S153" s="19" t="s">
        <v>259</v>
      </c>
      <c r="T153" s="12" t="str">
        <f aca="false">IF(R153="維持",J153,IF(R153="排除","無關新聞事件",IFERROR(INDEX(事件規則!$B$2:$B$53,MATCH(S153,事件規則!$A$2:$A$53,0)),"")))</f>
        <v>財報不如預期</v>
      </c>
      <c r="U153" s="20" t="n">
        <f aca="false">IF(R153="維持",K153,IF(R153="排除",0,IFERROR(INDEX(事件規則!$C$2:$C$53,MATCH(S153,事件規則!$A$2:$A$53,0)),"")))</f>
        <v>3</v>
      </c>
      <c r="V153" s="21"/>
      <c r="W153" s="22"/>
      <c r="X153" s="10" t="str">
        <f aca="false">IF(AND(R153="修改",S153=""),"請選新事件代碼",IF(AND(R153&lt;&gt;"修改",S153&lt;&gt;""),"只有「修改」才需填代碼",""))</f>
        <v/>
      </c>
      <c r="Y153" s="21"/>
      <c r="Z153" s="22"/>
      <c r="AA153" s="23" t="s">
        <v>615</v>
      </c>
      <c r="AB153" s="13"/>
    </row>
    <row r="154" customFormat="false" ht="23.85" hidden="false" customHeight="false" outlineLevel="0" collapsed="false">
      <c r="A154" s="16" t="n">
        <v>153</v>
      </c>
      <c r="B154" s="9" t="s">
        <v>45</v>
      </c>
      <c r="C154" s="9" t="s">
        <v>57</v>
      </c>
      <c r="D154" s="10" t="s">
        <v>58</v>
      </c>
      <c r="E154" s="24" t="s">
        <v>616</v>
      </c>
      <c r="F154" s="12"/>
      <c r="G154" s="23" t="s">
        <v>392</v>
      </c>
      <c r="H154" s="14" t="n">
        <v>-0.952</v>
      </c>
      <c r="I154" s="15"/>
      <c r="J154" s="12"/>
      <c r="K154" s="9"/>
      <c r="L154" s="16" t="s">
        <v>51</v>
      </c>
      <c r="M154" s="17" t="s">
        <v>52</v>
      </c>
      <c r="N154" s="15" t="s">
        <v>61</v>
      </c>
      <c r="O154" s="16" t="s">
        <v>62</v>
      </c>
      <c r="P154" s="12" t="s">
        <v>63</v>
      </c>
      <c r="Q154" s="16"/>
      <c r="R154" s="18" t="s">
        <v>52</v>
      </c>
      <c r="S154" s="19" t="s">
        <v>61</v>
      </c>
      <c r="T154" s="12" t="str">
        <f aca="false">IF(R154="維持",J154,IF(R154="排除","無關新聞事件",IFERROR(INDEX(事件規則!$B$2:$B$53,MATCH(S154,事件規則!$A$2:$A$53,0)),"")))</f>
        <v>裁員或人力縮減</v>
      </c>
      <c r="U154" s="20" t="n">
        <f aca="false">IF(R154="維持",K154,IF(R154="排除",0,IFERROR(INDEX(事件規則!$C$2:$C$53,MATCH(S154,事件規則!$A$2:$A$53,0)),"")))</f>
        <v>3</v>
      </c>
      <c r="V154" s="21"/>
      <c r="W154" s="22"/>
      <c r="X154" s="10" t="str">
        <f aca="false">IF(AND(R154="修改",S154=""),"請選新事件代碼",IF(AND(R154&lt;&gt;"修改",S154&lt;&gt;""),"只有「修改」才需填代碼",""))</f>
        <v/>
      </c>
      <c r="Y154" s="21"/>
      <c r="Z154" s="22"/>
      <c r="AA154" s="23" t="s">
        <v>617</v>
      </c>
      <c r="AB154" s="13"/>
    </row>
    <row r="155" customFormat="false" ht="44" hidden="false" customHeight="false" outlineLevel="0" collapsed="false">
      <c r="A155" s="16" t="n">
        <v>154</v>
      </c>
      <c r="B155" s="9" t="s">
        <v>331</v>
      </c>
      <c r="C155" s="9" t="s">
        <v>618</v>
      </c>
      <c r="D155" s="10" t="s">
        <v>619</v>
      </c>
      <c r="E155" s="24" t="s">
        <v>620</v>
      </c>
      <c r="F155" s="12"/>
      <c r="G155" s="23" t="s">
        <v>120</v>
      </c>
      <c r="H155" s="14" t="n">
        <v>-0.952</v>
      </c>
      <c r="I155" s="15"/>
      <c r="J155" s="12"/>
      <c r="K155" s="9"/>
      <c r="L155" s="16" t="s">
        <v>51</v>
      </c>
      <c r="M155" s="17" t="s">
        <v>79</v>
      </c>
      <c r="N155" s="15"/>
      <c r="O155" s="16" t="s">
        <v>54</v>
      </c>
      <c r="P155" s="12" t="s">
        <v>80</v>
      </c>
      <c r="Q155" s="16"/>
      <c r="R155" s="18" t="s">
        <v>79</v>
      </c>
      <c r="S155" s="19"/>
      <c r="T155" s="12" t="str">
        <f aca="false">IF(R155="維持",J155,IF(R155="排除","無關新聞事件",IFERROR(INDEX(事件規則!$B$2:$B$53,MATCH(S155,事件規則!$A$2:$A$53,0)),"")))</f>
        <v>無關新聞事件</v>
      </c>
      <c r="U155" s="20" t="n">
        <f aca="false">IF(R155="維持",K155,IF(R155="排除",0,IFERROR(INDEX(事件規則!$C$2:$C$53,MATCH(S155,事件規則!$A$2:$A$53,0)),"")))</f>
        <v>0</v>
      </c>
      <c r="V155" s="21"/>
      <c r="W155" s="22"/>
      <c r="X155" s="10" t="str">
        <f aca="false">IF(AND(R155="修改",S155=""),"請選新事件代碼",IF(AND(R155&lt;&gt;"修改",S155&lt;&gt;""),"只有「修改」才需填代碼",""))</f>
        <v/>
      </c>
      <c r="Y155" s="21"/>
      <c r="Z155" s="22"/>
      <c r="AA155" s="23" t="s">
        <v>621</v>
      </c>
      <c r="AB155" s="13"/>
    </row>
    <row r="156" customFormat="false" ht="15" hidden="false" customHeight="false" outlineLevel="0" collapsed="false">
      <c r="A156" s="16" t="n">
        <v>155</v>
      </c>
      <c r="B156" s="9" t="s">
        <v>65</v>
      </c>
      <c r="C156" s="9" t="s">
        <v>346</v>
      </c>
      <c r="D156" s="10" t="s">
        <v>347</v>
      </c>
      <c r="E156" s="24" t="s">
        <v>622</v>
      </c>
      <c r="F156" s="12"/>
      <c r="G156" s="23" t="s">
        <v>623</v>
      </c>
      <c r="H156" s="14" t="n">
        <v>-0.952</v>
      </c>
      <c r="I156" s="15"/>
      <c r="J156" s="12"/>
      <c r="K156" s="9"/>
      <c r="L156" s="16" t="s">
        <v>51</v>
      </c>
      <c r="M156" s="17" t="s">
        <v>52</v>
      </c>
      <c r="N156" s="15" t="s">
        <v>350</v>
      </c>
      <c r="O156" s="16" t="s">
        <v>62</v>
      </c>
      <c r="P156" s="12" t="s">
        <v>351</v>
      </c>
      <c r="Q156" s="16"/>
      <c r="R156" s="18" t="s">
        <v>52</v>
      </c>
      <c r="S156" s="19" t="s">
        <v>350</v>
      </c>
      <c r="T156" s="12" t="str">
        <f aca="false">IF(R156="維持",J156,IF(R156="排除","無關新聞事件",IFERROR(INDEX(事件規則!$B$2:$B$53,MATCH(S156,事件規則!$A$2:$A$53,0)),"")))</f>
        <v>生產延遲</v>
      </c>
      <c r="U156" s="20" t="n">
        <f aca="false">IF(R156="維持",K156,IF(R156="排除",0,IFERROR(INDEX(事件規則!$C$2:$C$53,MATCH(S156,事件規則!$A$2:$A$53,0)),"")))</f>
        <v>2</v>
      </c>
      <c r="V156" s="21"/>
      <c r="W156" s="22"/>
      <c r="X156" s="10" t="str">
        <f aca="false">IF(AND(R156="修改",S156=""),"請選新事件代碼",IF(AND(R156&lt;&gt;"修改",S156&lt;&gt;""),"只有「修改」才需填代碼",""))</f>
        <v/>
      </c>
      <c r="Y156" s="21"/>
      <c r="Z156" s="22"/>
      <c r="AA156" s="23" t="s">
        <v>624</v>
      </c>
      <c r="AB156" s="13"/>
    </row>
    <row r="157" customFormat="false" ht="44" hidden="false" customHeight="false" outlineLevel="0" collapsed="false">
      <c r="A157" s="16" t="n">
        <v>156</v>
      </c>
      <c r="B157" s="9" t="s">
        <v>386</v>
      </c>
      <c r="C157" s="9" t="s">
        <v>346</v>
      </c>
      <c r="D157" s="10" t="s">
        <v>347</v>
      </c>
      <c r="E157" s="24" t="s">
        <v>625</v>
      </c>
      <c r="F157" s="12"/>
      <c r="G157" s="23" t="s">
        <v>626</v>
      </c>
      <c r="H157" s="14" t="n">
        <v>-0.952</v>
      </c>
      <c r="I157" s="15"/>
      <c r="J157" s="12"/>
      <c r="K157" s="9"/>
      <c r="L157" s="16" t="s">
        <v>51</v>
      </c>
      <c r="M157" s="17" t="s">
        <v>79</v>
      </c>
      <c r="N157" s="15"/>
      <c r="O157" s="16" t="s">
        <v>54</v>
      </c>
      <c r="P157" s="12" t="s">
        <v>80</v>
      </c>
      <c r="Q157" s="16"/>
      <c r="R157" s="18" t="s">
        <v>79</v>
      </c>
      <c r="S157" s="19"/>
      <c r="T157" s="12" t="str">
        <f aca="false">IF(R157="維持",J157,IF(R157="排除","無關新聞事件",IFERROR(INDEX(事件規則!$B$2:$B$53,MATCH(S157,事件規則!$A$2:$A$53,0)),"")))</f>
        <v>無關新聞事件</v>
      </c>
      <c r="U157" s="20" t="n">
        <f aca="false">IF(R157="維持",K157,IF(R157="排除",0,IFERROR(INDEX(事件規則!$C$2:$C$53,MATCH(S157,事件規則!$A$2:$A$53,0)),"")))</f>
        <v>0</v>
      </c>
      <c r="V157" s="21"/>
      <c r="W157" s="22"/>
      <c r="X157" s="10" t="str">
        <f aca="false">IF(AND(R157="修改",S157=""),"請選新事件代碼",IF(AND(R157&lt;&gt;"修改",S157&lt;&gt;""),"只有「修改」才需填代碼",""))</f>
        <v/>
      </c>
      <c r="Y157" s="21"/>
      <c r="Z157" s="22"/>
      <c r="AA157" s="23" t="s">
        <v>627</v>
      </c>
      <c r="AB157" s="13"/>
    </row>
    <row r="158" customFormat="false" ht="44" hidden="false" customHeight="false" outlineLevel="0" collapsed="false">
      <c r="A158" s="16" t="n">
        <v>157</v>
      </c>
      <c r="B158" s="9" t="s">
        <v>65</v>
      </c>
      <c r="C158" s="9" t="s">
        <v>137</v>
      </c>
      <c r="D158" s="10" t="s">
        <v>138</v>
      </c>
      <c r="E158" s="24" t="s">
        <v>628</v>
      </c>
      <c r="F158" s="12"/>
      <c r="G158" s="23" t="s">
        <v>152</v>
      </c>
      <c r="H158" s="14" t="n">
        <v>-0.951</v>
      </c>
      <c r="I158" s="15"/>
      <c r="J158" s="12"/>
      <c r="K158" s="9"/>
      <c r="L158" s="16" t="s">
        <v>51</v>
      </c>
      <c r="M158" s="17" t="s">
        <v>79</v>
      </c>
      <c r="N158" s="15"/>
      <c r="O158" s="16" t="s">
        <v>54</v>
      </c>
      <c r="P158" s="12" t="s">
        <v>80</v>
      </c>
      <c r="Q158" s="16"/>
      <c r="R158" s="18" t="s">
        <v>79</v>
      </c>
      <c r="S158" s="19"/>
      <c r="T158" s="12" t="str">
        <f aca="false">IF(R158="維持",J158,IF(R158="排除","無關新聞事件",IFERROR(INDEX(事件規則!$B$2:$B$53,MATCH(S158,事件規則!$A$2:$A$53,0)),"")))</f>
        <v>無關新聞事件</v>
      </c>
      <c r="U158" s="20" t="n">
        <f aca="false">IF(R158="維持",K158,IF(R158="排除",0,IFERROR(INDEX(事件規則!$C$2:$C$53,MATCH(S158,事件規則!$A$2:$A$53,0)),"")))</f>
        <v>0</v>
      </c>
      <c r="V158" s="21"/>
      <c r="W158" s="22"/>
      <c r="X158" s="10" t="str">
        <f aca="false">IF(AND(R158="修改",S158=""),"請選新事件代碼",IF(AND(R158&lt;&gt;"修改",S158&lt;&gt;""),"只有「修改」才需填代碼",""))</f>
        <v/>
      </c>
      <c r="Y158" s="21"/>
      <c r="Z158" s="22"/>
      <c r="AA158" s="23" t="s">
        <v>629</v>
      </c>
      <c r="AB158" s="13"/>
    </row>
    <row r="159" customFormat="false" ht="23.85" hidden="false" customHeight="false" outlineLevel="0" collapsed="false">
      <c r="A159" s="16" t="n">
        <v>158</v>
      </c>
      <c r="B159" s="9" t="s">
        <v>45</v>
      </c>
      <c r="C159" s="9" t="s">
        <v>99</v>
      </c>
      <c r="D159" s="10" t="s">
        <v>100</v>
      </c>
      <c r="E159" s="24" t="s">
        <v>630</v>
      </c>
      <c r="F159" s="12"/>
      <c r="G159" s="23" t="s">
        <v>631</v>
      </c>
      <c r="H159" s="14" t="n">
        <v>-0.951</v>
      </c>
      <c r="I159" s="15"/>
      <c r="J159" s="12"/>
      <c r="K159" s="9"/>
      <c r="L159" s="16" t="s">
        <v>51</v>
      </c>
      <c r="M159" s="17" t="s">
        <v>52</v>
      </c>
      <c r="N159" s="15" t="s">
        <v>61</v>
      </c>
      <c r="O159" s="16" t="s">
        <v>62</v>
      </c>
      <c r="P159" s="10" t="s">
        <v>97</v>
      </c>
      <c r="Q159" s="16"/>
      <c r="R159" s="18" t="s">
        <v>52</v>
      </c>
      <c r="S159" s="19" t="s">
        <v>61</v>
      </c>
      <c r="T159" s="12" t="str">
        <f aca="false">IF(R159="維持",J159,IF(R159="排除","無關新聞事件",IFERROR(INDEX(事件規則!$B$2:$B$53,MATCH(S159,事件規則!$A$2:$A$53,0)),"")))</f>
        <v>裁員或人力縮減</v>
      </c>
      <c r="U159" s="20" t="n">
        <f aca="false">IF(R159="維持",K159,IF(R159="排除",0,IFERROR(INDEX(事件規則!$C$2:$C$53,MATCH(S159,事件規則!$A$2:$A$53,0)),"")))</f>
        <v>3</v>
      </c>
      <c r="V159" s="21"/>
      <c r="W159" s="22"/>
      <c r="X159" s="10" t="str">
        <f aca="false">IF(AND(R159="修改",S159=""),"請選新事件代碼",IF(AND(R159&lt;&gt;"修改",S159&lt;&gt;""),"只有「修改」才需填代碼",""))</f>
        <v/>
      </c>
      <c r="Y159" s="21"/>
      <c r="Z159" s="22"/>
      <c r="AA159" s="23" t="s">
        <v>632</v>
      </c>
      <c r="AB159" s="13"/>
    </row>
    <row r="160" customFormat="false" ht="23.85" hidden="false" customHeight="false" outlineLevel="0" collapsed="false">
      <c r="A160" s="16" t="n">
        <v>159</v>
      </c>
      <c r="B160" s="9" t="s">
        <v>45</v>
      </c>
      <c r="C160" s="9" t="s">
        <v>93</v>
      </c>
      <c r="D160" s="10" t="s">
        <v>94</v>
      </c>
      <c r="E160" s="24" t="s">
        <v>630</v>
      </c>
      <c r="F160" s="12"/>
      <c r="G160" s="23" t="s">
        <v>631</v>
      </c>
      <c r="H160" s="14" t="n">
        <v>-0.951</v>
      </c>
      <c r="I160" s="15"/>
      <c r="J160" s="12"/>
      <c r="K160" s="9"/>
      <c r="L160" s="16" t="s">
        <v>51</v>
      </c>
      <c r="M160" s="17" t="s">
        <v>52</v>
      </c>
      <c r="N160" s="15" t="s">
        <v>61</v>
      </c>
      <c r="O160" s="16" t="s">
        <v>62</v>
      </c>
      <c r="P160" s="10" t="s">
        <v>97</v>
      </c>
      <c r="Q160" s="16"/>
      <c r="R160" s="18" t="s">
        <v>52</v>
      </c>
      <c r="S160" s="19" t="s">
        <v>61</v>
      </c>
      <c r="T160" s="12" t="str">
        <f aca="false">IF(R160="維持",J160,IF(R160="排除","無關新聞事件",IFERROR(INDEX(事件規則!$B$2:$B$53,MATCH(S160,事件規則!$A$2:$A$53,0)),"")))</f>
        <v>裁員或人力縮減</v>
      </c>
      <c r="U160" s="20" t="n">
        <f aca="false">IF(R160="維持",K160,IF(R160="排除",0,IFERROR(INDEX(事件規則!$C$2:$C$53,MATCH(S160,事件規則!$A$2:$A$53,0)),"")))</f>
        <v>3</v>
      </c>
      <c r="V160" s="21"/>
      <c r="W160" s="22"/>
      <c r="X160" s="10" t="str">
        <f aca="false">IF(AND(R160="修改",S160=""),"請選新事件代碼",IF(AND(R160&lt;&gt;"修改",S160&lt;&gt;""),"只有「修改」才需填代碼",""))</f>
        <v/>
      </c>
      <c r="Y160" s="21"/>
      <c r="Z160" s="22"/>
      <c r="AA160" s="23" t="s">
        <v>633</v>
      </c>
      <c r="AB160" s="13"/>
    </row>
    <row r="161" customFormat="false" ht="23.85" hidden="false" customHeight="false" outlineLevel="0" collapsed="false">
      <c r="A161" s="16" t="n">
        <v>160</v>
      </c>
      <c r="B161" s="9" t="s">
        <v>45</v>
      </c>
      <c r="C161" s="9" t="s">
        <v>267</v>
      </c>
      <c r="D161" s="10" t="s">
        <v>268</v>
      </c>
      <c r="E161" s="24" t="s">
        <v>634</v>
      </c>
      <c r="F161" s="12"/>
      <c r="G161" s="23" t="s">
        <v>120</v>
      </c>
      <c r="H161" s="14" t="n">
        <v>-0.951</v>
      </c>
      <c r="I161" s="15"/>
      <c r="J161" s="12"/>
      <c r="K161" s="9"/>
      <c r="L161" s="16" t="s">
        <v>51</v>
      </c>
      <c r="M161" s="17" t="s">
        <v>52</v>
      </c>
      <c r="N161" s="15" t="s">
        <v>183</v>
      </c>
      <c r="O161" s="16" t="s">
        <v>54</v>
      </c>
      <c r="P161" s="10" t="s">
        <v>270</v>
      </c>
      <c r="Q161" s="16"/>
      <c r="R161" s="18" t="s">
        <v>52</v>
      </c>
      <c r="S161" s="19" t="s">
        <v>183</v>
      </c>
      <c r="T161" s="12" t="str">
        <f aca="false">IF(R161="維持",J161,IF(R161="排除","無關新聞事件",IFERROR(INDEX(事件規則!$B$2:$B$53,MATCH(S161,事件規則!$A$2:$A$53,0)),"")))</f>
        <v>營運惡化</v>
      </c>
      <c r="U161" s="20" t="n">
        <f aca="false">IF(R161="維持",K161,IF(R161="排除",0,IFERROR(INDEX(事件規則!$C$2:$C$53,MATCH(S161,事件規則!$A$2:$A$53,0)),"")))</f>
        <v>3</v>
      </c>
      <c r="V161" s="21"/>
      <c r="W161" s="22"/>
      <c r="X161" s="10" t="str">
        <f aca="false">IF(AND(R161="修改",S161=""),"請選新事件代碼",IF(AND(R161&lt;&gt;"修改",S161&lt;&gt;""),"只有「修改」才需填代碼",""))</f>
        <v/>
      </c>
      <c r="Y161" s="21"/>
      <c r="Z161" s="22"/>
      <c r="AA161" s="23" t="s">
        <v>635</v>
      </c>
      <c r="AB161" s="13"/>
    </row>
    <row r="162" customFormat="false" ht="44" hidden="false" customHeight="false" outlineLevel="0" collapsed="false">
      <c r="A162" s="16" t="n">
        <v>161</v>
      </c>
      <c r="B162" s="9" t="s">
        <v>65</v>
      </c>
      <c r="C162" s="9" t="s">
        <v>636</v>
      </c>
      <c r="D162" s="10" t="s">
        <v>637</v>
      </c>
      <c r="E162" s="24" t="s">
        <v>628</v>
      </c>
      <c r="F162" s="12"/>
      <c r="G162" s="23" t="s">
        <v>152</v>
      </c>
      <c r="H162" s="14" t="n">
        <v>-0.951</v>
      </c>
      <c r="I162" s="15"/>
      <c r="J162" s="12"/>
      <c r="K162" s="9"/>
      <c r="L162" s="16" t="s">
        <v>51</v>
      </c>
      <c r="M162" s="17" t="s">
        <v>79</v>
      </c>
      <c r="N162" s="15"/>
      <c r="O162" s="16" t="s">
        <v>54</v>
      </c>
      <c r="P162" s="12" t="s">
        <v>80</v>
      </c>
      <c r="Q162" s="16"/>
      <c r="R162" s="18" t="s">
        <v>79</v>
      </c>
      <c r="S162" s="19"/>
      <c r="T162" s="12" t="str">
        <f aca="false">IF(R162="維持",J162,IF(R162="排除","無關新聞事件",IFERROR(INDEX(事件規則!$B$2:$B$53,MATCH(S162,事件規則!$A$2:$A$53,0)),"")))</f>
        <v>無關新聞事件</v>
      </c>
      <c r="U162" s="20" t="n">
        <f aca="false">IF(R162="維持",K162,IF(R162="排除",0,IFERROR(INDEX(事件規則!$C$2:$C$53,MATCH(S162,事件規則!$A$2:$A$53,0)),"")))</f>
        <v>0</v>
      </c>
      <c r="V162" s="21"/>
      <c r="W162" s="22"/>
      <c r="X162" s="10" t="str">
        <f aca="false">IF(AND(R162="修改",S162=""),"請選新事件代碼",IF(AND(R162&lt;&gt;"修改",S162&lt;&gt;""),"只有「修改」才需填代碼",""))</f>
        <v/>
      </c>
      <c r="Y162" s="21"/>
      <c r="Z162" s="22"/>
      <c r="AA162" s="23" t="s">
        <v>638</v>
      </c>
      <c r="AB162" s="13"/>
    </row>
    <row r="163" customFormat="false" ht="44" hidden="false" customHeight="false" outlineLevel="0" collapsed="false">
      <c r="A163" s="16" t="n">
        <v>162</v>
      </c>
      <c r="B163" s="9" t="s">
        <v>65</v>
      </c>
      <c r="C163" s="9" t="s">
        <v>639</v>
      </c>
      <c r="D163" s="10" t="s">
        <v>640</v>
      </c>
      <c r="E163" s="24" t="s">
        <v>641</v>
      </c>
      <c r="F163" s="12"/>
      <c r="G163" s="23" t="s">
        <v>120</v>
      </c>
      <c r="H163" s="14" t="n">
        <v>-0.951</v>
      </c>
      <c r="I163" s="15"/>
      <c r="J163" s="12"/>
      <c r="K163" s="9"/>
      <c r="L163" s="16" t="s">
        <v>51</v>
      </c>
      <c r="M163" s="17" t="s">
        <v>79</v>
      </c>
      <c r="N163" s="15"/>
      <c r="O163" s="16" t="s">
        <v>54</v>
      </c>
      <c r="P163" s="12" t="s">
        <v>80</v>
      </c>
      <c r="Q163" s="16"/>
      <c r="R163" s="18" t="s">
        <v>79</v>
      </c>
      <c r="S163" s="19"/>
      <c r="T163" s="12" t="str">
        <f aca="false">IF(R163="維持",J163,IF(R163="排除","無關新聞事件",IFERROR(INDEX(事件規則!$B$2:$B$53,MATCH(S163,事件規則!$A$2:$A$53,0)),"")))</f>
        <v>無關新聞事件</v>
      </c>
      <c r="U163" s="20" t="n">
        <f aca="false">IF(R163="維持",K163,IF(R163="排除",0,IFERROR(INDEX(事件規則!$C$2:$C$53,MATCH(S163,事件規則!$A$2:$A$53,0)),"")))</f>
        <v>0</v>
      </c>
      <c r="V163" s="21"/>
      <c r="W163" s="22"/>
      <c r="X163" s="10" t="str">
        <f aca="false">IF(AND(R163="修改",S163=""),"請選新事件代碼",IF(AND(R163&lt;&gt;"修改",S163&lt;&gt;""),"只有「修改」才需填代碼",""))</f>
        <v/>
      </c>
      <c r="Y163" s="21"/>
      <c r="Z163" s="22"/>
      <c r="AA163" s="23" t="s">
        <v>642</v>
      </c>
      <c r="AB163" s="13"/>
    </row>
    <row r="164" customFormat="false" ht="44" hidden="false" customHeight="false" outlineLevel="0" collapsed="false">
      <c r="A164" s="16" t="n">
        <v>163</v>
      </c>
      <c r="B164" s="9" t="s">
        <v>65</v>
      </c>
      <c r="C164" s="9" t="s">
        <v>569</v>
      </c>
      <c r="D164" s="10" t="s">
        <v>570</v>
      </c>
      <c r="E164" s="24" t="s">
        <v>643</v>
      </c>
      <c r="F164" s="12"/>
      <c r="G164" s="23" t="s">
        <v>120</v>
      </c>
      <c r="H164" s="14" t="n">
        <v>-0.951</v>
      </c>
      <c r="I164" s="15"/>
      <c r="J164" s="12"/>
      <c r="K164" s="9"/>
      <c r="L164" s="16" t="s">
        <v>51</v>
      </c>
      <c r="M164" s="17" t="s">
        <v>79</v>
      </c>
      <c r="N164" s="15"/>
      <c r="O164" s="16" t="s">
        <v>54</v>
      </c>
      <c r="P164" s="12" t="s">
        <v>80</v>
      </c>
      <c r="Q164" s="16"/>
      <c r="R164" s="18" t="s">
        <v>79</v>
      </c>
      <c r="S164" s="19"/>
      <c r="T164" s="12" t="str">
        <f aca="false">IF(R164="維持",J164,IF(R164="排除","無關新聞事件",IFERROR(INDEX(事件規則!$B$2:$B$53,MATCH(S164,事件規則!$A$2:$A$53,0)),"")))</f>
        <v>無關新聞事件</v>
      </c>
      <c r="U164" s="20" t="n">
        <f aca="false">IF(R164="維持",K164,IF(R164="排除",0,IFERROR(INDEX(事件規則!$C$2:$C$53,MATCH(S164,事件規則!$A$2:$A$53,0)),"")))</f>
        <v>0</v>
      </c>
      <c r="V164" s="21"/>
      <c r="W164" s="22"/>
      <c r="X164" s="10" t="str">
        <f aca="false">IF(AND(R164="修改",S164=""),"請選新事件代碼",IF(AND(R164&lt;&gt;"修改",S164&lt;&gt;""),"只有「修改」才需填代碼",""))</f>
        <v/>
      </c>
      <c r="Y164" s="21"/>
      <c r="Z164" s="22"/>
      <c r="AA164" s="23" t="s">
        <v>644</v>
      </c>
      <c r="AB164" s="13"/>
    </row>
    <row r="165" customFormat="false" ht="44" hidden="false" customHeight="false" outlineLevel="0" collapsed="false">
      <c r="A165" s="16" t="n">
        <v>164</v>
      </c>
      <c r="B165" s="9" t="s">
        <v>331</v>
      </c>
      <c r="C165" s="9" t="s">
        <v>645</v>
      </c>
      <c r="D165" s="10" t="s">
        <v>646</v>
      </c>
      <c r="E165" s="24" t="s">
        <v>647</v>
      </c>
      <c r="F165" s="12"/>
      <c r="G165" s="23" t="s">
        <v>648</v>
      </c>
      <c r="H165" s="14" t="n">
        <v>-0.951</v>
      </c>
      <c r="I165" s="15"/>
      <c r="J165" s="12"/>
      <c r="K165" s="9"/>
      <c r="L165" s="16" t="s">
        <v>51</v>
      </c>
      <c r="M165" s="17" t="s">
        <v>79</v>
      </c>
      <c r="N165" s="15"/>
      <c r="O165" s="16" t="s">
        <v>54</v>
      </c>
      <c r="P165" s="12" t="s">
        <v>80</v>
      </c>
      <c r="Q165" s="16"/>
      <c r="R165" s="18" t="s">
        <v>79</v>
      </c>
      <c r="S165" s="19"/>
      <c r="T165" s="12" t="str">
        <f aca="false">IF(R165="維持",J165,IF(R165="排除","無關新聞事件",IFERROR(INDEX(事件規則!$B$2:$B$53,MATCH(S165,事件規則!$A$2:$A$53,0)),"")))</f>
        <v>無關新聞事件</v>
      </c>
      <c r="U165" s="20" t="n">
        <f aca="false">IF(R165="維持",K165,IF(R165="排除",0,IFERROR(INDEX(事件規則!$C$2:$C$53,MATCH(S165,事件規則!$A$2:$A$53,0)),"")))</f>
        <v>0</v>
      </c>
      <c r="V165" s="21"/>
      <c r="W165" s="22"/>
      <c r="X165" s="10" t="str">
        <f aca="false">IF(AND(R165="修改",S165=""),"請選新事件代碼",IF(AND(R165&lt;&gt;"修改",S165&lt;&gt;""),"只有「修改」才需填代碼",""))</f>
        <v/>
      </c>
      <c r="Y165" s="21"/>
      <c r="Z165" s="22"/>
      <c r="AA165" s="23" t="s">
        <v>649</v>
      </c>
      <c r="AB165" s="13"/>
    </row>
    <row r="166" customFormat="false" ht="23.85" hidden="false" customHeight="false" outlineLevel="0" collapsed="false">
      <c r="A166" s="16" t="n">
        <v>165</v>
      </c>
      <c r="B166" s="9" t="s">
        <v>65</v>
      </c>
      <c r="C166" s="9" t="s">
        <v>179</v>
      </c>
      <c r="D166" s="10" t="s">
        <v>180</v>
      </c>
      <c r="E166" s="24" t="s">
        <v>650</v>
      </c>
      <c r="F166" s="12"/>
      <c r="G166" s="23" t="s">
        <v>651</v>
      </c>
      <c r="H166" s="14" t="n">
        <v>-0.951</v>
      </c>
      <c r="I166" s="15"/>
      <c r="J166" s="12"/>
      <c r="K166" s="9"/>
      <c r="L166" s="16" t="s">
        <v>51</v>
      </c>
      <c r="M166" s="17" t="s">
        <v>52</v>
      </c>
      <c r="N166" s="15" t="s">
        <v>61</v>
      </c>
      <c r="O166" s="16" t="s">
        <v>62</v>
      </c>
      <c r="P166" s="10" t="s">
        <v>652</v>
      </c>
      <c r="Q166" s="16"/>
      <c r="R166" s="18" t="s">
        <v>52</v>
      </c>
      <c r="S166" s="19" t="s">
        <v>61</v>
      </c>
      <c r="T166" s="12" t="str">
        <f aca="false">IF(R166="維持",J166,IF(R166="排除","無關新聞事件",IFERROR(INDEX(事件規則!$B$2:$B$53,MATCH(S166,事件規則!$A$2:$A$53,0)),"")))</f>
        <v>裁員或人力縮減</v>
      </c>
      <c r="U166" s="20" t="n">
        <f aca="false">IF(R166="維持",K166,IF(R166="排除",0,IFERROR(INDEX(事件規則!$C$2:$C$53,MATCH(S166,事件規則!$A$2:$A$53,0)),"")))</f>
        <v>3</v>
      </c>
      <c r="V166" s="21"/>
      <c r="W166" s="22"/>
      <c r="X166" s="10" t="str">
        <f aca="false">IF(AND(R166="修改",S166=""),"請選新事件代碼",IF(AND(R166&lt;&gt;"修改",S166&lt;&gt;""),"只有「修改」才需填代碼",""))</f>
        <v/>
      </c>
      <c r="Y166" s="21"/>
      <c r="Z166" s="22"/>
      <c r="AA166" s="23" t="s">
        <v>653</v>
      </c>
      <c r="AB166" s="13"/>
    </row>
    <row r="167" customFormat="false" ht="15" hidden="false" customHeight="false" outlineLevel="0" collapsed="false">
      <c r="A167" s="16" t="n">
        <v>166</v>
      </c>
      <c r="B167" s="9" t="s">
        <v>65</v>
      </c>
      <c r="C167" s="16"/>
      <c r="D167" s="12"/>
      <c r="E167" s="24" t="s">
        <v>654</v>
      </c>
      <c r="F167" s="12"/>
      <c r="G167" s="23" t="s">
        <v>549</v>
      </c>
      <c r="H167" s="14" t="n">
        <v>-0.951</v>
      </c>
      <c r="I167" s="15"/>
      <c r="J167" s="12"/>
      <c r="K167" s="9"/>
      <c r="L167" s="16" t="s">
        <v>51</v>
      </c>
      <c r="M167" s="17" t="s">
        <v>52</v>
      </c>
      <c r="N167" s="15" t="s">
        <v>259</v>
      </c>
      <c r="O167" s="16" t="s">
        <v>54</v>
      </c>
      <c r="P167" s="10" t="s">
        <v>550</v>
      </c>
      <c r="Q167" s="16"/>
      <c r="R167" s="18" t="s">
        <v>52</v>
      </c>
      <c r="S167" s="19" t="s">
        <v>259</v>
      </c>
      <c r="T167" s="12" t="str">
        <f aca="false">IF(R167="維持",J167,IF(R167="排除","無關新聞事件",IFERROR(INDEX(事件規則!$B$2:$B$53,MATCH(S167,事件規則!$A$2:$A$53,0)),"")))</f>
        <v>財報不如預期</v>
      </c>
      <c r="U167" s="20" t="n">
        <f aca="false">IF(R167="維持",K167,IF(R167="排除",0,IFERROR(INDEX(事件規則!$C$2:$C$53,MATCH(S167,事件規則!$A$2:$A$53,0)),"")))</f>
        <v>3</v>
      </c>
      <c r="V167" s="21" t="s">
        <v>551</v>
      </c>
      <c r="W167" s="22" t="s">
        <v>552</v>
      </c>
      <c r="X167" s="10" t="str">
        <f aca="false">IF(AND(R167="修改",S167=""),"請選新事件代碼",IF(AND(R167&lt;&gt;"修改",S167&lt;&gt;""),"只有「修改」才需填代碼",""))</f>
        <v/>
      </c>
      <c r="Y167" s="21"/>
      <c r="Z167" s="22"/>
      <c r="AA167" s="23" t="s">
        <v>655</v>
      </c>
      <c r="AB167" s="13"/>
    </row>
    <row r="168" customFormat="false" ht="23.85" hidden="false" customHeight="false" outlineLevel="0" collapsed="false">
      <c r="A168" s="16" t="n">
        <v>167</v>
      </c>
      <c r="B168" s="9" t="s">
        <v>65</v>
      </c>
      <c r="C168" s="9" t="s">
        <v>57</v>
      </c>
      <c r="D168" s="10" t="s">
        <v>58</v>
      </c>
      <c r="E168" s="24" t="s">
        <v>656</v>
      </c>
      <c r="F168" s="12"/>
      <c r="G168" s="23" t="s">
        <v>657</v>
      </c>
      <c r="H168" s="14" t="n">
        <v>-0.951</v>
      </c>
      <c r="I168" s="15"/>
      <c r="J168" s="12"/>
      <c r="K168" s="9"/>
      <c r="L168" s="16" t="s">
        <v>51</v>
      </c>
      <c r="M168" s="17" t="s">
        <v>52</v>
      </c>
      <c r="N168" s="15" t="s">
        <v>61</v>
      </c>
      <c r="O168" s="16" t="s">
        <v>62</v>
      </c>
      <c r="P168" s="12" t="s">
        <v>63</v>
      </c>
      <c r="Q168" s="16"/>
      <c r="R168" s="18" t="s">
        <v>52</v>
      </c>
      <c r="S168" s="19" t="s">
        <v>61</v>
      </c>
      <c r="T168" s="12" t="str">
        <f aca="false">IF(R168="維持",J168,IF(R168="排除","無關新聞事件",IFERROR(INDEX(事件規則!$B$2:$B$53,MATCH(S168,事件規則!$A$2:$A$53,0)),"")))</f>
        <v>裁員或人力縮減</v>
      </c>
      <c r="U168" s="20" t="n">
        <f aca="false">IF(R168="維持",K168,IF(R168="排除",0,IFERROR(INDEX(事件規則!$C$2:$C$53,MATCH(S168,事件規則!$A$2:$A$53,0)),"")))</f>
        <v>3</v>
      </c>
      <c r="V168" s="21"/>
      <c r="W168" s="22"/>
      <c r="X168" s="10" t="str">
        <f aca="false">IF(AND(R168="修改",S168=""),"請選新事件代碼",IF(AND(R168&lt;&gt;"修改",S168&lt;&gt;""),"只有「修改」才需填代碼",""))</f>
        <v/>
      </c>
      <c r="Y168" s="21"/>
      <c r="Z168" s="22"/>
      <c r="AA168" s="23" t="s">
        <v>658</v>
      </c>
      <c r="AB168" s="13"/>
    </row>
    <row r="169" customFormat="false" ht="44" hidden="false" customHeight="false" outlineLevel="0" collapsed="false">
      <c r="A169" s="16" t="n">
        <v>168</v>
      </c>
      <c r="B169" s="9" t="s">
        <v>65</v>
      </c>
      <c r="C169" s="16"/>
      <c r="D169" s="12"/>
      <c r="E169" s="24" t="s">
        <v>659</v>
      </c>
      <c r="F169" s="10" t="s">
        <v>660</v>
      </c>
      <c r="G169" s="13" t="s">
        <v>50</v>
      </c>
      <c r="H169" s="14" t="n">
        <v>-0.951</v>
      </c>
      <c r="I169" s="15"/>
      <c r="J169" s="12"/>
      <c r="K169" s="9"/>
      <c r="L169" s="16" t="s">
        <v>51</v>
      </c>
      <c r="M169" s="17" t="s">
        <v>79</v>
      </c>
      <c r="N169" s="15"/>
      <c r="O169" s="16" t="s">
        <v>54</v>
      </c>
      <c r="P169" s="12" t="s">
        <v>80</v>
      </c>
      <c r="Q169" s="16"/>
      <c r="R169" s="18" t="s">
        <v>79</v>
      </c>
      <c r="S169" s="19"/>
      <c r="T169" s="12" t="str">
        <f aca="false">IF(R169="維持",J169,IF(R169="排除","無關新聞事件",IFERROR(INDEX(事件規則!$B$2:$B$53,MATCH(S169,事件規則!$A$2:$A$53,0)),"")))</f>
        <v>無關新聞事件</v>
      </c>
      <c r="U169" s="20" t="n">
        <f aca="false">IF(R169="維持",K169,IF(R169="排除",0,IFERROR(INDEX(事件規則!$C$2:$C$53,MATCH(S169,事件規則!$A$2:$A$53,0)),"")))</f>
        <v>0</v>
      </c>
      <c r="V169" s="21"/>
      <c r="W169" s="22"/>
      <c r="X169" s="10" t="str">
        <f aca="false">IF(AND(R169="修改",S169=""),"請選新事件代碼",IF(AND(R169&lt;&gt;"修改",S169&lt;&gt;""),"只有「修改」才需填代碼",""))</f>
        <v/>
      </c>
      <c r="Y169" s="21"/>
      <c r="Z169" s="22"/>
      <c r="AA169" s="23" t="s">
        <v>661</v>
      </c>
      <c r="AB169" s="13"/>
    </row>
    <row r="170" customFormat="false" ht="44" hidden="false" customHeight="false" outlineLevel="0" collapsed="false">
      <c r="A170" s="16" t="n">
        <v>169</v>
      </c>
      <c r="B170" s="9" t="s">
        <v>65</v>
      </c>
      <c r="C170" s="9" t="s">
        <v>662</v>
      </c>
      <c r="D170" s="10" t="s">
        <v>663</v>
      </c>
      <c r="E170" s="24" t="s">
        <v>628</v>
      </c>
      <c r="F170" s="12"/>
      <c r="G170" s="23" t="s">
        <v>152</v>
      </c>
      <c r="H170" s="14" t="n">
        <v>-0.951</v>
      </c>
      <c r="I170" s="15"/>
      <c r="J170" s="12"/>
      <c r="K170" s="9"/>
      <c r="L170" s="16" t="s">
        <v>51</v>
      </c>
      <c r="M170" s="17" t="s">
        <v>79</v>
      </c>
      <c r="N170" s="15"/>
      <c r="O170" s="16" t="s">
        <v>54</v>
      </c>
      <c r="P170" s="12" t="s">
        <v>80</v>
      </c>
      <c r="Q170" s="16"/>
      <c r="R170" s="18" t="s">
        <v>79</v>
      </c>
      <c r="S170" s="19"/>
      <c r="T170" s="12" t="str">
        <f aca="false">IF(R170="維持",J170,IF(R170="排除","無關新聞事件",IFERROR(INDEX(事件規則!$B$2:$B$53,MATCH(S170,事件規則!$A$2:$A$53,0)),"")))</f>
        <v>無關新聞事件</v>
      </c>
      <c r="U170" s="20" t="n">
        <f aca="false">IF(R170="維持",K170,IF(R170="排除",0,IFERROR(INDEX(事件規則!$C$2:$C$53,MATCH(S170,事件規則!$A$2:$A$53,0)),"")))</f>
        <v>0</v>
      </c>
      <c r="V170" s="21"/>
      <c r="W170" s="22"/>
      <c r="X170" s="10" t="str">
        <f aca="false">IF(AND(R170="修改",S170=""),"請選新事件代碼",IF(AND(R170&lt;&gt;"修改",S170&lt;&gt;""),"只有「修改」才需填代碼",""))</f>
        <v/>
      </c>
      <c r="Y170" s="21"/>
      <c r="Z170" s="22"/>
      <c r="AA170" s="23" t="s">
        <v>664</v>
      </c>
      <c r="AB170" s="13"/>
    </row>
    <row r="171" customFormat="false" ht="15" hidden="false" customHeight="false" outlineLevel="0" collapsed="false">
      <c r="A171" s="16" t="n">
        <v>170</v>
      </c>
      <c r="B171" s="9" t="s">
        <v>331</v>
      </c>
      <c r="C171" s="9" t="s">
        <v>346</v>
      </c>
      <c r="D171" s="10" t="s">
        <v>347</v>
      </c>
      <c r="E171" s="24" t="s">
        <v>665</v>
      </c>
      <c r="F171" s="12"/>
      <c r="G171" s="23" t="s">
        <v>666</v>
      </c>
      <c r="H171" s="14" t="n">
        <v>-0.95</v>
      </c>
      <c r="I171" s="15"/>
      <c r="J171" s="12"/>
      <c r="K171" s="9"/>
      <c r="L171" s="16" t="s">
        <v>51</v>
      </c>
      <c r="M171" s="17" t="s">
        <v>52</v>
      </c>
      <c r="N171" s="15" t="s">
        <v>667</v>
      </c>
      <c r="O171" s="16" t="s">
        <v>62</v>
      </c>
      <c r="P171" s="10" t="s">
        <v>668</v>
      </c>
      <c r="Q171" s="16"/>
      <c r="R171" s="18" t="s">
        <v>52</v>
      </c>
      <c r="S171" s="19" t="s">
        <v>667</v>
      </c>
      <c r="T171" s="12" t="str">
        <f aca="false">IF(R171="維持",J171,IF(R171="排除","無關新聞事件",IFERROR(INDEX(事件規則!$B$2:$B$53,MATCH(S171,事件規則!$A$2:$A$53,0)),"")))</f>
        <v>重大產品瑕疵</v>
      </c>
      <c r="U171" s="20" t="n">
        <f aca="false">IF(R171="維持",K171,IF(R171="排除",0,IFERROR(INDEX(事件規則!$C$2:$C$53,MATCH(S171,事件規則!$A$2:$A$53,0)),"")))</f>
        <v>3</v>
      </c>
      <c r="V171" s="21"/>
      <c r="W171" s="22"/>
      <c r="X171" s="10" t="str">
        <f aca="false">IF(AND(R171="修改",S171=""),"請選新事件代碼",IF(AND(R171&lt;&gt;"修改",S171&lt;&gt;""),"只有「修改」才需填代碼",""))</f>
        <v/>
      </c>
      <c r="Y171" s="21"/>
      <c r="Z171" s="22"/>
      <c r="AA171" s="23" t="s">
        <v>669</v>
      </c>
      <c r="AB171" s="13"/>
    </row>
    <row r="172" customFormat="false" ht="23.85" hidden="false" customHeight="false" outlineLevel="0" collapsed="false">
      <c r="A172" s="16" t="n">
        <v>171</v>
      </c>
      <c r="B172" s="9" t="s">
        <v>65</v>
      </c>
      <c r="C172" s="9" t="s">
        <v>57</v>
      </c>
      <c r="D172" s="10" t="s">
        <v>58</v>
      </c>
      <c r="E172" s="24" t="s">
        <v>670</v>
      </c>
      <c r="F172" s="12"/>
      <c r="G172" s="23" t="s">
        <v>671</v>
      </c>
      <c r="H172" s="14" t="n">
        <v>-0.95</v>
      </c>
      <c r="I172" s="15"/>
      <c r="J172" s="12"/>
      <c r="K172" s="9"/>
      <c r="L172" s="16" t="s">
        <v>51</v>
      </c>
      <c r="M172" s="17" t="s">
        <v>52</v>
      </c>
      <c r="N172" s="15" t="s">
        <v>61</v>
      </c>
      <c r="O172" s="16" t="s">
        <v>62</v>
      </c>
      <c r="P172" s="12" t="s">
        <v>63</v>
      </c>
      <c r="Q172" s="16"/>
      <c r="R172" s="18" t="s">
        <v>52</v>
      </c>
      <c r="S172" s="19" t="s">
        <v>61</v>
      </c>
      <c r="T172" s="12" t="str">
        <f aca="false">IF(R172="維持",J172,IF(R172="排除","無關新聞事件",IFERROR(INDEX(事件規則!$B$2:$B$53,MATCH(S172,事件規則!$A$2:$A$53,0)),"")))</f>
        <v>裁員或人力縮減</v>
      </c>
      <c r="U172" s="20" t="n">
        <f aca="false">IF(R172="維持",K172,IF(R172="排除",0,IFERROR(INDEX(事件規則!$C$2:$C$53,MATCH(S172,事件規則!$A$2:$A$53,0)),"")))</f>
        <v>3</v>
      </c>
      <c r="V172" s="21"/>
      <c r="W172" s="22"/>
      <c r="X172" s="10" t="str">
        <f aca="false">IF(AND(R172="修改",S172=""),"請選新事件代碼",IF(AND(R172&lt;&gt;"修改",S172&lt;&gt;""),"只有「修改」才需填代碼",""))</f>
        <v/>
      </c>
      <c r="Y172" s="21"/>
      <c r="Z172" s="22"/>
      <c r="AA172" s="23" t="s">
        <v>672</v>
      </c>
      <c r="AB172" s="13"/>
    </row>
    <row r="173" customFormat="false" ht="23.85" hidden="false" customHeight="false" outlineLevel="0" collapsed="false">
      <c r="A173" s="16" t="n">
        <v>172</v>
      </c>
      <c r="B173" s="9" t="s">
        <v>65</v>
      </c>
      <c r="C173" s="9" t="s">
        <v>57</v>
      </c>
      <c r="D173" s="10" t="s">
        <v>58</v>
      </c>
      <c r="E173" s="24" t="s">
        <v>673</v>
      </c>
      <c r="F173" s="12"/>
      <c r="G173" s="23" t="s">
        <v>674</v>
      </c>
      <c r="H173" s="14" t="n">
        <v>-0.95</v>
      </c>
      <c r="I173" s="15"/>
      <c r="J173" s="12"/>
      <c r="K173" s="9"/>
      <c r="L173" s="16" t="s">
        <v>51</v>
      </c>
      <c r="M173" s="17" t="s">
        <v>52</v>
      </c>
      <c r="N173" s="15" t="s">
        <v>61</v>
      </c>
      <c r="O173" s="16" t="s">
        <v>62</v>
      </c>
      <c r="P173" s="12" t="s">
        <v>63</v>
      </c>
      <c r="Q173" s="16"/>
      <c r="R173" s="18" t="s">
        <v>52</v>
      </c>
      <c r="S173" s="19" t="s">
        <v>61</v>
      </c>
      <c r="T173" s="12" t="str">
        <f aca="false">IF(R173="維持",J173,IF(R173="排除","無關新聞事件",IFERROR(INDEX(事件規則!$B$2:$B$53,MATCH(S173,事件規則!$A$2:$A$53,0)),"")))</f>
        <v>裁員或人力縮減</v>
      </c>
      <c r="U173" s="20" t="n">
        <f aca="false">IF(R173="維持",K173,IF(R173="排除",0,IFERROR(INDEX(事件規則!$C$2:$C$53,MATCH(S173,事件規則!$A$2:$A$53,0)),"")))</f>
        <v>3</v>
      </c>
      <c r="V173" s="21"/>
      <c r="W173" s="22"/>
      <c r="X173" s="10" t="str">
        <f aca="false">IF(AND(R173="修改",S173=""),"請選新事件代碼",IF(AND(R173&lt;&gt;"修改",S173&lt;&gt;""),"只有「修改」才需填代碼",""))</f>
        <v/>
      </c>
      <c r="Y173" s="21"/>
      <c r="Z173" s="22"/>
      <c r="AA173" s="23" t="s">
        <v>675</v>
      </c>
      <c r="AB173" s="13"/>
    </row>
    <row r="174" customFormat="false" ht="44" hidden="false" customHeight="false" outlineLevel="0" collapsed="false">
      <c r="A174" s="16" t="n">
        <v>173</v>
      </c>
      <c r="B174" s="9" t="s">
        <v>386</v>
      </c>
      <c r="C174" s="9" t="s">
        <v>149</v>
      </c>
      <c r="D174" s="10" t="s">
        <v>150</v>
      </c>
      <c r="E174" s="24" t="s">
        <v>676</v>
      </c>
      <c r="F174" s="12"/>
      <c r="G174" s="23" t="s">
        <v>677</v>
      </c>
      <c r="H174" s="14" t="n">
        <v>-0.95</v>
      </c>
      <c r="I174" s="15"/>
      <c r="J174" s="12"/>
      <c r="K174" s="9"/>
      <c r="L174" s="16" t="s">
        <v>51</v>
      </c>
      <c r="M174" s="17" t="s">
        <v>79</v>
      </c>
      <c r="N174" s="15"/>
      <c r="O174" s="16" t="s">
        <v>54</v>
      </c>
      <c r="P174" s="12" t="s">
        <v>80</v>
      </c>
      <c r="Q174" s="16"/>
      <c r="R174" s="18" t="s">
        <v>79</v>
      </c>
      <c r="S174" s="19"/>
      <c r="T174" s="12" t="str">
        <f aca="false">IF(R174="維持",J174,IF(R174="排除","無關新聞事件",IFERROR(INDEX(事件規則!$B$2:$B$53,MATCH(S174,事件規則!$A$2:$A$53,0)),"")))</f>
        <v>無關新聞事件</v>
      </c>
      <c r="U174" s="20" t="n">
        <f aca="false">IF(R174="維持",K174,IF(R174="排除",0,IFERROR(INDEX(事件規則!$C$2:$C$53,MATCH(S174,事件規則!$A$2:$A$53,0)),"")))</f>
        <v>0</v>
      </c>
      <c r="V174" s="21"/>
      <c r="W174" s="22"/>
      <c r="X174" s="10" t="str">
        <f aca="false">IF(AND(R174="修改",S174=""),"請選新事件代碼",IF(AND(R174&lt;&gt;"修改",S174&lt;&gt;""),"只有「修改」才需填代碼",""))</f>
        <v/>
      </c>
      <c r="Y174" s="21"/>
      <c r="Z174" s="22"/>
      <c r="AA174" s="23" t="s">
        <v>678</v>
      </c>
      <c r="AB174" s="13"/>
    </row>
    <row r="175" customFormat="false" ht="44" hidden="false" customHeight="false" outlineLevel="0" collapsed="false">
      <c r="A175" s="16" t="n">
        <v>174</v>
      </c>
      <c r="B175" s="9" t="s">
        <v>65</v>
      </c>
      <c r="C175" s="9" t="s">
        <v>679</v>
      </c>
      <c r="D175" s="10" t="s">
        <v>680</v>
      </c>
      <c r="E175" s="24" t="s">
        <v>681</v>
      </c>
      <c r="F175" s="12"/>
      <c r="G175" s="23" t="s">
        <v>78</v>
      </c>
      <c r="H175" s="14" t="n">
        <v>-0.95</v>
      </c>
      <c r="I175" s="15"/>
      <c r="J175" s="12"/>
      <c r="K175" s="9"/>
      <c r="L175" s="16" t="s">
        <v>51</v>
      </c>
      <c r="M175" s="17" t="s">
        <v>79</v>
      </c>
      <c r="N175" s="15"/>
      <c r="O175" s="16" t="s">
        <v>54</v>
      </c>
      <c r="P175" s="12" t="s">
        <v>80</v>
      </c>
      <c r="Q175" s="16"/>
      <c r="R175" s="18" t="s">
        <v>79</v>
      </c>
      <c r="S175" s="19"/>
      <c r="T175" s="12" t="str">
        <f aca="false">IF(R175="維持",J175,IF(R175="排除","無關新聞事件",IFERROR(INDEX(事件規則!$B$2:$B$53,MATCH(S175,事件規則!$A$2:$A$53,0)),"")))</f>
        <v>無關新聞事件</v>
      </c>
      <c r="U175" s="20" t="n">
        <f aca="false">IF(R175="維持",K175,IF(R175="排除",0,IFERROR(INDEX(事件規則!$C$2:$C$53,MATCH(S175,事件規則!$A$2:$A$53,0)),"")))</f>
        <v>0</v>
      </c>
      <c r="V175" s="21"/>
      <c r="W175" s="22"/>
      <c r="X175" s="10" t="str">
        <f aca="false">IF(AND(R175="修改",S175=""),"請選新事件代碼",IF(AND(R175&lt;&gt;"修改",S175&lt;&gt;""),"只有「修改」才需填代碼",""))</f>
        <v/>
      </c>
      <c r="Y175" s="21"/>
      <c r="Z175" s="22"/>
      <c r="AA175" s="23" t="s">
        <v>682</v>
      </c>
      <c r="AB175" s="13"/>
    </row>
    <row r="176" customFormat="false" ht="44" hidden="false" customHeight="false" outlineLevel="0" collapsed="false">
      <c r="A176" s="16" t="n">
        <v>175</v>
      </c>
      <c r="B176" s="9" t="s">
        <v>65</v>
      </c>
      <c r="C176" s="9" t="s">
        <v>108</v>
      </c>
      <c r="D176" s="10" t="s">
        <v>109</v>
      </c>
      <c r="E176" s="24" t="s">
        <v>683</v>
      </c>
      <c r="F176" s="12"/>
      <c r="G176" s="13" t="s">
        <v>684</v>
      </c>
      <c r="H176" s="14" t="n">
        <v>-0.95</v>
      </c>
      <c r="I176" s="15"/>
      <c r="J176" s="12"/>
      <c r="K176" s="9"/>
      <c r="L176" s="16" t="s">
        <v>51</v>
      </c>
      <c r="M176" s="17" t="s">
        <v>79</v>
      </c>
      <c r="N176" s="15"/>
      <c r="O176" s="16" t="s">
        <v>54</v>
      </c>
      <c r="P176" s="12" t="s">
        <v>80</v>
      </c>
      <c r="Q176" s="16"/>
      <c r="R176" s="18" t="s">
        <v>79</v>
      </c>
      <c r="S176" s="19"/>
      <c r="T176" s="12" t="str">
        <f aca="false">IF(R176="維持",J176,IF(R176="排除","無關新聞事件",IFERROR(INDEX(事件規則!$B$2:$B$53,MATCH(S176,事件規則!$A$2:$A$53,0)),"")))</f>
        <v>無關新聞事件</v>
      </c>
      <c r="U176" s="20" t="n">
        <f aca="false">IF(R176="維持",K176,IF(R176="排除",0,IFERROR(INDEX(事件規則!$C$2:$C$53,MATCH(S176,事件規則!$A$2:$A$53,0)),"")))</f>
        <v>0</v>
      </c>
      <c r="V176" s="21"/>
      <c r="W176" s="22"/>
      <c r="X176" s="10" t="str">
        <f aca="false">IF(AND(R176="修改",S176=""),"請選新事件代碼",IF(AND(R176&lt;&gt;"修改",S176&lt;&gt;""),"只有「修改」才需填代碼",""))</f>
        <v/>
      </c>
      <c r="Y176" s="21"/>
      <c r="Z176" s="22"/>
      <c r="AA176" s="23" t="s">
        <v>685</v>
      </c>
      <c r="AB176" s="13"/>
    </row>
    <row r="177" customFormat="false" ht="23.85" hidden="false" customHeight="false" outlineLevel="0" collapsed="false">
      <c r="A177" s="16" t="n">
        <v>176</v>
      </c>
      <c r="B177" s="9" t="s">
        <v>65</v>
      </c>
      <c r="C177" s="9" t="s">
        <v>57</v>
      </c>
      <c r="D177" s="10" t="s">
        <v>58</v>
      </c>
      <c r="E177" s="24" t="s">
        <v>686</v>
      </c>
      <c r="F177" s="12"/>
      <c r="G177" s="23" t="s">
        <v>687</v>
      </c>
      <c r="H177" s="14" t="n">
        <v>-0.95</v>
      </c>
      <c r="I177" s="15"/>
      <c r="J177" s="12"/>
      <c r="K177" s="9"/>
      <c r="L177" s="16" t="s">
        <v>51</v>
      </c>
      <c r="M177" s="17" t="s">
        <v>52</v>
      </c>
      <c r="N177" s="15" t="s">
        <v>61</v>
      </c>
      <c r="O177" s="16" t="s">
        <v>62</v>
      </c>
      <c r="P177" s="12" t="s">
        <v>63</v>
      </c>
      <c r="Q177" s="16"/>
      <c r="R177" s="18" t="s">
        <v>52</v>
      </c>
      <c r="S177" s="19" t="s">
        <v>61</v>
      </c>
      <c r="T177" s="12" t="str">
        <f aca="false">IF(R177="維持",J177,IF(R177="排除","無關新聞事件",IFERROR(INDEX(事件規則!$B$2:$B$53,MATCH(S177,事件規則!$A$2:$A$53,0)),"")))</f>
        <v>裁員或人力縮減</v>
      </c>
      <c r="U177" s="20" t="n">
        <f aca="false">IF(R177="維持",K177,IF(R177="排除",0,IFERROR(INDEX(事件規則!$C$2:$C$53,MATCH(S177,事件規則!$A$2:$A$53,0)),"")))</f>
        <v>3</v>
      </c>
      <c r="V177" s="21"/>
      <c r="W177" s="22"/>
      <c r="X177" s="10" t="str">
        <f aca="false">IF(AND(R177="修改",S177=""),"請選新事件代碼",IF(AND(R177&lt;&gt;"修改",S177&lt;&gt;""),"只有「修改」才需填代碼",""))</f>
        <v/>
      </c>
      <c r="Y177" s="21"/>
      <c r="Z177" s="22"/>
      <c r="AA177" s="23" t="s">
        <v>688</v>
      </c>
      <c r="AB177" s="13"/>
    </row>
    <row r="178" customFormat="false" ht="23.85" hidden="false" customHeight="false" outlineLevel="0" collapsed="false">
      <c r="A178" s="16" t="n">
        <v>177</v>
      </c>
      <c r="B178" s="9" t="s">
        <v>45</v>
      </c>
      <c r="C178" s="9" t="s">
        <v>57</v>
      </c>
      <c r="D178" s="10" t="s">
        <v>58</v>
      </c>
      <c r="E178" s="24" t="s">
        <v>689</v>
      </c>
      <c r="F178" s="12"/>
      <c r="G178" s="23" t="s">
        <v>120</v>
      </c>
      <c r="H178" s="14" t="n">
        <v>-0.95</v>
      </c>
      <c r="I178" s="15"/>
      <c r="J178" s="12"/>
      <c r="K178" s="9"/>
      <c r="L178" s="16" t="s">
        <v>51</v>
      </c>
      <c r="M178" s="17" t="s">
        <v>52</v>
      </c>
      <c r="N178" s="15" t="s">
        <v>61</v>
      </c>
      <c r="O178" s="16" t="s">
        <v>62</v>
      </c>
      <c r="P178" s="12" t="s">
        <v>63</v>
      </c>
      <c r="Q178" s="16"/>
      <c r="R178" s="18" t="s">
        <v>52</v>
      </c>
      <c r="S178" s="19" t="s">
        <v>61</v>
      </c>
      <c r="T178" s="12" t="str">
        <f aca="false">IF(R178="維持",J178,IF(R178="排除","無關新聞事件",IFERROR(INDEX(事件規則!$B$2:$B$53,MATCH(S178,事件規則!$A$2:$A$53,0)),"")))</f>
        <v>裁員或人力縮減</v>
      </c>
      <c r="U178" s="20" t="n">
        <f aca="false">IF(R178="維持",K178,IF(R178="排除",0,IFERROR(INDEX(事件規則!$C$2:$C$53,MATCH(S178,事件規則!$A$2:$A$53,0)),"")))</f>
        <v>3</v>
      </c>
      <c r="V178" s="21"/>
      <c r="W178" s="22"/>
      <c r="X178" s="10" t="str">
        <f aca="false">IF(AND(R178="修改",S178=""),"請選新事件代碼",IF(AND(R178&lt;&gt;"修改",S178&lt;&gt;""),"只有「修改」才需填代碼",""))</f>
        <v/>
      </c>
      <c r="Y178" s="21"/>
      <c r="Z178" s="22"/>
      <c r="AA178" s="23" t="s">
        <v>690</v>
      </c>
      <c r="AB178" s="13"/>
    </row>
    <row r="179" customFormat="false" ht="44" hidden="false" customHeight="false" outlineLevel="0" collapsed="false">
      <c r="A179" s="16" t="n">
        <v>178</v>
      </c>
      <c r="B179" s="9" t="s">
        <v>45</v>
      </c>
      <c r="C179" s="9" t="s">
        <v>691</v>
      </c>
      <c r="D179" s="10" t="s">
        <v>692</v>
      </c>
      <c r="E179" s="24" t="s">
        <v>693</v>
      </c>
      <c r="F179" s="12"/>
      <c r="G179" s="23" t="s">
        <v>120</v>
      </c>
      <c r="H179" s="14" t="n">
        <v>-0.95</v>
      </c>
      <c r="I179" s="15"/>
      <c r="J179" s="12"/>
      <c r="K179" s="9"/>
      <c r="L179" s="16" t="s">
        <v>51</v>
      </c>
      <c r="M179" s="17" t="s">
        <v>79</v>
      </c>
      <c r="N179" s="15"/>
      <c r="O179" s="16" t="s">
        <v>54</v>
      </c>
      <c r="P179" s="12" t="s">
        <v>80</v>
      </c>
      <c r="Q179" s="16"/>
      <c r="R179" s="18" t="s">
        <v>79</v>
      </c>
      <c r="S179" s="19"/>
      <c r="T179" s="12" t="str">
        <f aca="false">IF(R179="維持",J179,IF(R179="排除","無關新聞事件",IFERROR(INDEX(事件規則!$B$2:$B$53,MATCH(S179,事件規則!$A$2:$A$53,0)),"")))</f>
        <v>無關新聞事件</v>
      </c>
      <c r="U179" s="20" t="n">
        <f aca="false">IF(R179="維持",K179,IF(R179="排除",0,IFERROR(INDEX(事件規則!$C$2:$C$53,MATCH(S179,事件規則!$A$2:$A$53,0)),"")))</f>
        <v>0</v>
      </c>
      <c r="V179" s="21"/>
      <c r="W179" s="22"/>
      <c r="X179" s="10" t="str">
        <f aca="false">IF(AND(R179="修改",S179=""),"請選新事件代碼",IF(AND(R179&lt;&gt;"修改",S179&lt;&gt;""),"只有「修改」才需填代碼",""))</f>
        <v/>
      </c>
      <c r="Y179" s="21"/>
      <c r="Z179" s="22"/>
      <c r="AA179" s="23" t="s">
        <v>694</v>
      </c>
      <c r="AB179" s="13"/>
    </row>
    <row r="180" customFormat="false" ht="29.85" hidden="false" customHeight="false" outlineLevel="0" collapsed="false">
      <c r="A180" s="16" t="n">
        <v>179</v>
      </c>
      <c r="B180" s="9" t="s">
        <v>65</v>
      </c>
      <c r="C180" s="9" t="s">
        <v>695</v>
      </c>
      <c r="D180" s="10" t="s">
        <v>696</v>
      </c>
      <c r="E180" s="24" t="s">
        <v>697</v>
      </c>
      <c r="F180" s="12"/>
      <c r="G180" s="23" t="s">
        <v>698</v>
      </c>
      <c r="H180" s="14" t="n">
        <v>-0.95</v>
      </c>
      <c r="I180" s="15"/>
      <c r="J180" s="12"/>
      <c r="K180" s="9"/>
      <c r="L180" s="16" t="s">
        <v>51</v>
      </c>
      <c r="M180" s="17" t="s">
        <v>52</v>
      </c>
      <c r="N180" s="15" t="s">
        <v>699</v>
      </c>
      <c r="O180" s="16" t="s">
        <v>54</v>
      </c>
      <c r="P180" s="10" t="s">
        <v>700</v>
      </c>
      <c r="Q180" s="16"/>
      <c r="R180" s="18" t="s">
        <v>52</v>
      </c>
      <c r="S180" s="19" t="s">
        <v>699</v>
      </c>
      <c r="T180" s="12" t="str">
        <f aca="false">IF(R180="維持",J180,IF(R180="排除","無關新聞事件",IFERROR(INDEX(事件規則!$B$2:$B$53,MATCH(S180,事件規則!$A$2:$A$53,0)),"")))</f>
        <v>產品或服務終止</v>
      </c>
      <c r="U180" s="20" t="n">
        <f aca="false">IF(R180="維持",K180,IF(R180="排除",0,IFERROR(INDEX(事件規則!$C$2:$C$53,MATCH(S180,事件規則!$A$2:$A$53,0)),"")))</f>
        <v>2</v>
      </c>
      <c r="V180" s="21"/>
      <c r="W180" s="22"/>
      <c r="X180" s="10" t="str">
        <f aca="false">IF(AND(R180="修改",S180=""),"請選新事件代碼",IF(AND(R180&lt;&gt;"修改",S180&lt;&gt;""),"只有「修改」才需填代碼",""))</f>
        <v/>
      </c>
      <c r="Y180" s="21"/>
      <c r="Z180" s="22"/>
      <c r="AA180" s="23" t="s">
        <v>701</v>
      </c>
      <c r="AB180" s="13"/>
    </row>
    <row r="181" customFormat="false" ht="44" hidden="false" customHeight="false" outlineLevel="0" collapsed="false">
      <c r="A181" s="16" t="n">
        <v>180</v>
      </c>
      <c r="B181" s="9" t="s">
        <v>331</v>
      </c>
      <c r="C181" s="9" t="s">
        <v>569</v>
      </c>
      <c r="D181" s="10" t="s">
        <v>570</v>
      </c>
      <c r="E181" s="24" t="s">
        <v>702</v>
      </c>
      <c r="F181" s="12"/>
      <c r="G181" s="23" t="s">
        <v>120</v>
      </c>
      <c r="H181" s="14" t="n">
        <v>-0.95</v>
      </c>
      <c r="I181" s="15"/>
      <c r="J181" s="12"/>
      <c r="K181" s="9"/>
      <c r="L181" s="16" t="s">
        <v>51</v>
      </c>
      <c r="M181" s="17" t="s">
        <v>79</v>
      </c>
      <c r="N181" s="15"/>
      <c r="O181" s="16" t="s">
        <v>54</v>
      </c>
      <c r="P181" s="12" t="s">
        <v>80</v>
      </c>
      <c r="Q181" s="16"/>
      <c r="R181" s="18" t="s">
        <v>79</v>
      </c>
      <c r="S181" s="19"/>
      <c r="T181" s="12" t="str">
        <f aca="false">IF(R181="維持",J181,IF(R181="排除","無關新聞事件",IFERROR(INDEX(事件規則!$B$2:$B$53,MATCH(S181,事件規則!$A$2:$A$53,0)),"")))</f>
        <v>無關新聞事件</v>
      </c>
      <c r="U181" s="20" t="n">
        <f aca="false">IF(R181="維持",K181,IF(R181="排除",0,IFERROR(INDEX(事件規則!$C$2:$C$53,MATCH(S181,事件規則!$A$2:$A$53,0)),"")))</f>
        <v>0</v>
      </c>
      <c r="V181" s="21"/>
      <c r="W181" s="22"/>
      <c r="X181" s="10" t="str">
        <f aca="false">IF(AND(R181="修改",S181=""),"請選新事件代碼",IF(AND(R181&lt;&gt;"修改",S181&lt;&gt;""),"只有「修改」才需填代碼",""))</f>
        <v/>
      </c>
      <c r="Y181" s="21"/>
      <c r="Z181" s="22"/>
      <c r="AA181" s="23" t="s">
        <v>703</v>
      </c>
      <c r="AB181" s="13"/>
    </row>
    <row r="182" customFormat="false" ht="44" hidden="false" customHeight="false" outlineLevel="0" collapsed="false">
      <c r="A182" s="16" t="n">
        <v>181</v>
      </c>
      <c r="B182" s="9" t="s">
        <v>45</v>
      </c>
      <c r="C182" s="9" t="s">
        <v>704</v>
      </c>
      <c r="D182" s="10" t="s">
        <v>705</v>
      </c>
      <c r="E182" s="24" t="s">
        <v>706</v>
      </c>
      <c r="F182" s="12"/>
      <c r="G182" s="23" t="s">
        <v>707</v>
      </c>
      <c r="H182" s="14" t="n">
        <v>-0.95</v>
      </c>
      <c r="I182" s="15"/>
      <c r="J182" s="12"/>
      <c r="K182" s="9"/>
      <c r="L182" s="16" t="s">
        <v>51</v>
      </c>
      <c r="M182" s="17" t="s">
        <v>79</v>
      </c>
      <c r="N182" s="15"/>
      <c r="O182" s="16" t="s">
        <v>54</v>
      </c>
      <c r="P182" s="12" t="s">
        <v>80</v>
      </c>
      <c r="Q182" s="16"/>
      <c r="R182" s="18" t="s">
        <v>79</v>
      </c>
      <c r="S182" s="19"/>
      <c r="T182" s="12" t="str">
        <f aca="false">IF(R182="維持",J182,IF(R182="排除","無關新聞事件",IFERROR(INDEX(事件規則!$B$2:$B$53,MATCH(S182,事件規則!$A$2:$A$53,0)),"")))</f>
        <v>無關新聞事件</v>
      </c>
      <c r="U182" s="20" t="n">
        <f aca="false">IF(R182="維持",K182,IF(R182="排除",0,IFERROR(INDEX(事件規則!$C$2:$C$53,MATCH(S182,事件規則!$A$2:$A$53,0)),"")))</f>
        <v>0</v>
      </c>
      <c r="V182" s="21"/>
      <c r="W182" s="22"/>
      <c r="X182" s="10" t="str">
        <f aca="false">IF(AND(R182="修改",S182=""),"請選新事件代碼",IF(AND(R182&lt;&gt;"修改",S182&lt;&gt;""),"只有「修改」才需填代碼",""))</f>
        <v/>
      </c>
      <c r="Y182" s="21"/>
      <c r="Z182" s="22"/>
      <c r="AA182" s="23" t="s">
        <v>708</v>
      </c>
      <c r="AB182" s="13"/>
    </row>
    <row r="183" customFormat="false" ht="44" hidden="false" customHeight="false" outlineLevel="0" collapsed="false">
      <c r="A183" s="16" t="n">
        <v>182</v>
      </c>
      <c r="B183" s="9" t="s">
        <v>65</v>
      </c>
      <c r="C183" s="9" t="s">
        <v>376</v>
      </c>
      <c r="D183" s="10" t="s">
        <v>377</v>
      </c>
      <c r="E183" s="24" t="s">
        <v>709</v>
      </c>
      <c r="F183" s="12"/>
      <c r="G183" s="23" t="s">
        <v>258</v>
      </c>
      <c r="H183" s="14" t="n">
        <v>-0.949</v>
      </c>
      <c r="I183" s="15"/>
      <c r="J183" s="12"/>
      <c r="K183" s="9"/>
      <c r="L183" s="16" t="s">
        <v>51</v>
      </c>
      <c r="M183" s="17" t="s">
        <v>79</v>
      </c>
      <c r="N183" s="15"/>
      <c r="O183" s="16" t="s">
        <v>54</v>
      </c>
      <c r="P183" s="12" t="s">
        <v>80</v>
      </c>
      <c r="Q183" s="16"/>
      <c r="R183" s="18" t="s">
        <v>79</v>
      </c>
      <c r="S183" s="19"/>
      <c r="T183" s="12" t="str">
        <f aca="false">IF(R183="維持",J183,IF(R183="排除","無關新聞事件",IFERROR(INDEX(事件規則!$B$2:$B$53,MATCH(S183,事件規則!$A$2:$A$53,0)),"")))</f>
        <v>無關新聞事件</v>
      </c>
      <c r="U183" s="20" t="n">
        <f aca="false">IF(R183="維持",K183,IF(R183="排除",0,IFERROR(INDEX(事件規則!$C$2:$C$53,MATCH(S183,事件規則!$A$2:$A$53,0)),"")))</f>
        <v>0</v>
      </c>
      <c r="V183" s="21"/>
      <c r="W183" s="22"/>
      <c r="X183" s="10" t="str">
        <f aca="false">IF(AND(R183="修改",S183=""),"請選新事件代碼",IF(AND(R183&lt;&gt;"修改",S183&lt;&gt;""),"只有「修改」才需填代碼",""))</f>
        <v/>
      </c>
      <c r="Y183" s="21"/>
      <c r="Z183" s="22"/>
      <c r="AA183" s="23" t="s">
        <v>710</v>
      </c>
      <c r="AB183" s="13"/>
    </row>
    <row r="184" customFormat="false" ht="44" hidden="false" customHeight="false" outlineLevel="0" collapsed="false">
      <c r="A184" s="16" t="n">
        <v>183</v>
      </c>
      <c r="B184" s="9" t="s">
        <v>65</v>
      </c>
      <c r="C184" s="9" t="s">
        <v>75</v>
      </c>
      <c r="D184" s="10" t="s">
        <v>76</v>
      </c>
      <c r="E184" s="24" t="s">
        <v>711</v>
      </c>
      <c r="F184" s="12"/>
      <c r="G184" s="23" t="s">
        <v>224</v>
      </c>
      <c r="H184" s="14" t="n">
        <v>-0.949</v>
      </c>
      <c r="I184" s="15"/>
      <c r="J184" s="12"/>
      <c r="K184" s="9"/>
      <c r="L184" s="16" t="s">
        <v>51</v>
      </c>
      <c r="M184" s="17" t="s">
        <v>79</v>
      </c>
      <c r="N184" s="15"/>
      <c r="O184" s="16" t="s">
        <v>54</v>
      </c>
      <c r="P184" s="12" t="s">
        <v>80</v>
      </c>
      <c r="Q184" s="16"/>
      <c r="R184" s="18" t="s">
        <v>79</v>
      </c>
      <c r="S184" s="19"/>
      <c r="T184" s="12" t="str">
        <f aca="false">IF(R184="維持",J184,IF(R184="排除","無關新聞事件",IFERROR(INDEX(事件規則!$B$2:$B$53,MATCH(S184,事件規則!$A$2:$A$53,0)),"")))</f>
        <v>無關新聞事件</v>
      </c>
      <c r="U184" s="20" t="n">
        <f aca="false">IF(R184="維持",K184,IF(R184="排除",0,IFERROR(INDEX(事件規則!$C$2:$C$53,MATCH(S184,事件規則!$A$2:$A$53,0)),"")))</f>
        <v>0</v>
      </c>
      <c r="V184" s="21"/>
      <c r="W184" s="22"/>
      <c r="X184" s="10" t="str">
        <f aca="false">IF(AND(R184="修改",S184=""),"請選新事件代碼",IF(AND(R184&lt;&gt;"修改",S184&lt;&gt;""),"只有「修改」才需填代碼",""))</f>
        <v/>
      </c>
      <c r="Y184" s="21"/>
      <c r="Z184" s="22"/>
      <c r="AA184" s="23" t="s">
        <v>712</v>
      </c>
      <c r="AB184" s="13"/>
    </row>
    <row r="185" customFormat="false" ht="44" hidden="false" customHeight="false" outlineLevel="0" collapsed="false">
      <c r="A185" s="16" t="n">
        <v>184</v>
      </c>
      <c r="B185" s="9" t="s">
        <v>331</v>
      </c>
      <c r="C185" s="9" t="s">
        <v>713</v>
      </c>
      <c r="D185" s="10" t="s">
        <v>714</v>
      </c>
      <c r="E185" s="24" t="s">
        <v>715</v>
      </c>
      <c r="F185" s="12"/>
      <c r="G185" s="23" t="s">
        <v>329</v>
      </c>
      <c r="H185" s="14" t="n">
        <v>-0.949</v>
      </c>
      <c r="I185" s="15"/>
      <c r="J185" s="12"/>
      <c r="K185" s="9"/>
      <c r="L185" s="16" t="s">
        <v>51</v>
      </c>
      <c r="M185" s="17" t="s">
        <v>79</v>
      </c>
      <c r="N185" s="15"/>
      <c r="O185" s="16" t="s">
        <v>54</v>
      </c>
      <c r="P185" s="12" t="s">
        <v>80</v>
      </c>
      <c r="Q185" s="16"/>
      <c r="R185" s="18" t="s">
        <v>79</v>
      </c>
      <c r="S185" s="19"/>
      <c r="T185" s="12" t="str">
        <f aca="false">IF(R185="維持",J185,IF(R185="排除","無關新聞事件",IFERROR(INDEX(事件規則!$B$2:$B$53,MATCH(S185,事件規則!$A$2:$A$53,0)),"")))</f>
        <v>無關新聞事件</v>
      </c>
      <c r="U185" s="20" t="n">
        <f aca="false">IF(R185="維持",K185,IF(R185="排除",0,IFERROR(INDEX(事件規則!$C$2:$C$53,MATCH(S185,事件規則!$A$2:$A$53,0)),"")))</f>
        <v>0</v>
      </c>
      <c r="V185" s="21"/>
      <c r="W185" s="22"/>
      <c r="X185" s="10" t="str">
        <f aca="false">IF(AND(R185="修改",S185=""),"請選新事件代碼",IF(AND(R185&lt;&gt;"修改",S185&lt;&gt;""),"只有「修改」才需填代碼",""))</f>
        <v/>
      </c>
      <c r="Y185" s="21"/>
      <c r="Z185" s="22"/>
      <c r="AA185" s="23" t="s">
        <v>716</v>
      </c>
      <c r="AB185" s="13"/>
    </row>
    <row r="186" customFormat="false" ht="44" hidden="false" customHeight="false" outlineLevel="0" collapsed="false">
      <c r="A186" s="16" t="n">
        <v>185</v>
      </c>
      <c r="B186" s="9" t="s">
        <v>386</v>
      </c>
      <c r="C186" s="9" t="s">
        <v>240</v>
      </c>
      <c r="D186" s="10" t="s">
        <v>241</v>
      </c>
      <c r="E186" s="24" t="s">
        <v>717</v>
      </c>
      <c r="F186" s="12"/>
      <c r="G186" s="23" t="s">
        <v>718</v>
      </c>
      <c r="H186" s="14" t="n">
        <v>-0.949</v>
      </c>
      <c r="I186" s="15"/>
      <c r="J186" s="12"/>
      <c r="K186" s="9"/>
      <c r="L186" s="16" t="s">
        <v>51</v>
      </c>
      <c r="M186" s="17" t="s">
        <v>79</v>
      </c>
      <c r="N186" s="15"/>
      <c r="O186" s="16" t="s">
        <v>54</v>
      </c>
      <c r="P186" s="12" t="s">
        <v>80</v>
      </c>
      <c r="Q186" s="16"/>
      <c r="R186" s="18" t="s">
        <v>79</v>
      </c>
      <c r="S186" s="19"/>
      <c r="T186" s="12" t="str">
        <f aca="false">IF(R186="維持",J186,IF(R186="排除","無關新聞事件",IFERROR(INDEX(事件規則!$B$2:$B$53,MATCH(S186,事件規則!$A$2:$A$53,0)),"")))</f>
        <v>無關新聞事件</v>
      </c>
      <c r="U186" s="20" t="n">
        <f aca="false">IF(R186="維持",K186,IF(R186="排除",0,IFERROR(INDEX(事件規則!$C$2:$C$53,MATCH(S186,事件規則!$A$2:$A$53,0)),"")))</f>
        <v>0</v>
      </c>
      <c r="V186" s="21"/>
      <c r="W186" s="22"/>
      <c r="X186" s="10" t="str">
        <f aca="false">IF(AND(R186="修改",S186=""),"請選新事件代碼",IF(AND(R186&lt;&gt;"修改",S186&lt;&gt;""),"只有「修改」才需填代碼",""))</f>
        <v/>
      </c>
      <c r="Y186" s="21"/>
      <c r="Z186" s="22"/>
      <c r="AA186" s="23" t="s">
        <v>719</v>
      </c>
      <c r="AB186" s="13"/>
    </row>
    <row r="187" customFormat="false" ht="44" hidden="false" customHeight="false" outlineLevel="0" collapsed="false">
      <c r="A187" s="16" t="n">
        <v>186</v>
      </c>
      <c r="B187" s="9" t="s">
        <v>331</v>
      </c>
      <c r="C187" s="9" t="s">
        <v>168</v>
      </c>
      <c r="D187" s="10" t="s">
        <v>169</v>
      </c>
      <c r="E187" s="24" t="s">
        <v>720</v>
      </c>
      <c r="F187" s="12"/>
      <c r="G187" s="23" t="s">
        <v>721</v>
      </c>
      <c r="H187" s="14" t="n">
        <v>-0.949</v>
      </c>
      <c r="I187" s="15"/>
      <c r="J187" s="12"/>
      <c r="K187" s="9"/>
      <c r="L187" s="16" t="s">
        <v>51</v>
      </c>
      <c r="M187" s="17" t="s">
        <v>79</v>
      </c>
      <c r="N187" s="15"/>
      <c r="O187" s="16" t="s">
        <v>54</v>
      </c>
      <c r="P187" s="12" t="s">
        <v>80</v>
      </c>
      <c r="Q187" s="16"/>
      <c r="R187" s="18" t="s">
        <v>79</v>
      </c>
      <c r="S187" s="19"/>
      <c r="T187" s="12" t="str">
        <f aca="false">IF(R187="維持",J187,IF(R187="排除","無關新聞事件",IFERROR(INDEX(事件規則!$B$2:$B$53,MATCH(S187,事件規則!$A$2:$A$53,0)),"")))</f>
        <v>無關新聞事件</v>
      </c>
      <c r="U187" s="20" t="n">
        <f aca="false">IF(R187="維持",K187,IF(R187="排除",0,IFERROR(INDEX(事件規則!$C$2:$C$53,MATCH(S187,事件規則!$A$2:$A$53,0)),"")))</f>
        <v>0</v>
      </c>
      <c r="V187" s="21"/>
      <c r="W187" s="22"/>
      <c r="X187" s="10" t="str">
        <f aca="false">IF(AND(R187="修改",S187=""),"請選新事件代碼",IF(AND(R187&lt;&gt;"修改",S187&lt;&gt;""),"只有「修改」才需填代碼",""))</f>
        <v/>
      </c>
      <c r="Y187" s="21"/>
      <c r="Z187" s="22"/>
      <c r="AA187" s="23" t="s">
        <v>722</v>
      </c>
      <c r="AB187" s="13"/>
    </row>
    <row r="188" customFormat="false" ht="44" hidden="false" customHeight="false" outlineLevel="0" collapsed="false">
      <c r="A188" s="16" t="n">
        <v>187</v>
      </c>
      <c r="B188" s="9" t="s">
        <v>331</v>
      </c>
      <c r="C188" s="9" t="s">
        <v>645</v>
      </c>
      <c r="D188" s="10" t="s">
        <v>646</v>
      </c>
      <c r="E188" s="24" t="s">
        <v>723</v>
      </c>
      <c r="F188" s="12"/>
      <c r="G188" s="23" t="s">
        <v>724</v>
      </c>
      <c r="H188" s="14" t="n">
        <v>-0.949</v>
      </c>
      <c r="I188" s="15"/>
      <c r="J188" s="12"/>
      <c r="K188" s="9"/>
      <c r="L188" s="16" t="s">
        <v>51</v>
      </c>
      <c r="M188" s="17" t="s">
        <v>79</v>
      </c>
      <c r="N188" s="15"/>
      <c r="O188" s="16" t="s">
        <v>54</v>
      </c>
      <c r="P188" s="12" t="s">
        <v>80</v>
      </c>
      <c r="Q188" s="16"/>
      <c r="R188" s="18" t="s">
        <v>79</v>
      </c>
      <c r="S188" s="19"/>
      <c r="T188" s="12" t="str">
        <f aca="false">IF(R188="維持",J188,IF(R188="排除","無關新聞事件",IFERROR(INDEX(事件規則!$B$2:$B$53,MATCH(S188,事件規則!$A$2:$A$53,0)),"")))</f>
        <v>無關新聞事件</v>
      </c>
      <c r="U188" s="20" t="n">
        <f aca="false">IF(R188="維持",K188,IF(R188="排除",0,IFERROR(INDEX(事件規則!$C$2:$C$53,MATCH(S188,事件規則!$A$2:$A$53,0)),"")))</f>
        <v>0</v>
      </c>
      <c r="V188" s="21"/>
      <c r="W188" s="22"/>
      <c r="X188" s="10" t="str">
        <f aca="false">IF(AND(R188="修改",S188=""),"請選新事件代碼",IF(AND(R188&lt;&gt;"修改",S188&lt;&gt;""),"只有「修改」才需填代碼",""))</f>
        <v/>
      </c>
      <c r="Y188" s="21"/>
      <c r="Z188" s="22"/>
      <c r="AA188" s="23" t="s">
        <v>725</v>
      </c>
      <c r="AB188" s="13"/>
    </row>
    <row r="189" customFormat="false" ht="44" hidden="false" customHeight="false" outlineLevel="0" collapsed="false">
      <c r="A189" s="16" t="n">
        <v>188</v>
      </c>
      <c r="B189" s="9" t="s">
        <v>65</v>
      </c>
      <c r="C189" s="9" t="s">
        <v>569</v>
      </c>
      <c r="D189" s="10" t="s">
        <v>570</v>
      </c>
      <c r="E189" s="24" t="s">
        <v>726</v>
      </c>
      <c r="F189" s="12"/>
      <c r="G189" s="23" t="s">
        <v>727</v>
      </c>
      <c r="H189" s="14" t="n">
        <v>-0.949</v>
      </c>
      <c r="I189" s="15"/>
      <c r="J189" s="12"/>
      <c r="K189" s="9"/>
      <c r="L189" s="16" t="s">
        <v>51</v>
      </c>
      <c r="M189" s="17" t="s">
        <v>79</v>
      </c>
      <c r="N189" s="15"/>
      <c r="O189" s="16" t="s">
        <v>54</v>
      </c>
      <c r="P189" s="12" t="s">
        <v>80</v>
      </c>
      <c r="Q189" s="16"/>
      <c r="R189" s="18" t="s">
        <v>79</v>
      </c>
      <c r="S189" s="19"/>
      <c r="T189" s="12" t="str">
        <f aca="false">IF(R189="維持",J189,IF(R189="排除","無關新聞事件",IFERROR(INDEX(事件規則!$B$2:$B$53,MATCH(S189,事件規則!$A$2:$A$53,0)),"")))</f>
        <v>無關新聞事件</v>
      </c>
      <c r="U189" s="20" t="n">
        <f aca="false">IF(R189="維持",K189,IF(R189="排除",0,IFERROR(INDEX(事件規則!$C$2:$C$53,MATCH(S189,事件規則!$A$2:$A$53,0)),"")))</f>
        <v>0</v>
      </c>
      <c r="V189" s="21"/>
      <c r="W189" s="22"/>
      <c r="X189" s="10" t="str">
        <f aca="false">IF(AND(R189="修改",S189=""),"請選新事件代碼",IF(AND(R189&lt;&gt;"修改",S189&lt;&gt;""),"只有「修改」才需填代碼",""))</f>
        <v/>
      </c>
      <c r="Y189" s="21"/>
      <c r="Z189" s="22"/>
      <c r="AA189" s="23" t="s">
        <v>728</v>
      </c>
      <c r="AB189" s="13"/>
    </row>
    <row r="190" customFormat="false" ht="44" hidden="false" customHeight="false" outlineLevel="0" collapsed="false">
      <c r="A190" s="16" t="n">
        <v>189</v>
      </c>
      <c r="B190" s="9" t="s">
        <v>65</v>
      </c>
      <c r="C190" s="9" t="s">
        <v>456</v>
      </c>
      <c r="D190" s="10" t="s">
        <v>457</v>
      </c>
      <c r="E190" s="24" t="s">
        <v>729</v>
      </c>
      <c r="F190" s="12"/>
      <c r="G190" s="23" t="s">
        <v>730</v>
      </c>
      <c r="H190" s="14" t="n">
        <v>-0.948</v>
      </c>
      <c r="I190" s="15"/>
      <c r="J190" s="12"/>
      <c r="K190" s="9"/>
      <c r="L190" s="16" t="s">
        <v>51</v>
      </c>
      <c r="M190" s="17" t="s">
        <v>79</v>
      </c>
      <c r="N190" s="15"/>
      <c r="O190" s="16" t="s">
        <v>54</v>
      </c>
      <c r="P190" s="12" t="s">
        <v>80</v>
      </c>
      <c r="Q190" s="16"/>
      <c r="R190" s="18" t="s">
        <v>79</v>
      </c>
      <c r="S190" s="19"/>
      <c r="T190" s="12" t="str">
        <f aca="false">IF(R190="維持",J190,IF(R190="排除","無關新聞事件",IFERROR(INDEX(事件規則!$B$2:$B$53,MATCH(S190,事件規則!$A$2:$A$53,0)),"")))</f>
        <v>無關新聞事件</v>
      </c>
      <c r="U190" s="20" t="n">
        <f aca="false">IF(R190="維持",K190,IF(R190="排除",0,IFERROR(INDEX(事件規則!$C$2:$C$53,MATCH(S190,事件規則!$A$2:$A$53,0)),"")))</f>
        <v>0</v>
      </c>
      <c r="V190" s="21"/>
      <c r="W190" s="22"/>
      <c r="X190" s="10" t="str">
        <f aca="false">IF(AND(R190="修改",S190=""),"請選新事件代碼",IF(AND(R190&lt;&gt;"修改",S190&lt;&gt;""),"只有「修改」才需填代碼",""))</f>
        <v/>
      </c>
      <c r="Y190" s="21"/>
      <c r="Z190" s="22"/>
      <c r="AA190" s="23" t="s">
        <v>731</v>
      </c>
      <c r="AB190" s="13"/>
    </row>
    <row r="191" customFormat="false" ht="44" hidden="false" customHeight="false" outlineLevel="0" collapsed="false">
      <c r="A191" s="16" t="n">
        <v>190</v>
      </c>
      <c r="B191" s="9" t="s">
        <v>65</v>
      </c>
      <c r="C191" s="9" t="s">
        <v>732</v>
      </c>
      <c r="D191" s="10" t="s">
        <v>732</v>
      </c>
      <c r="E191" s="24" t="s">
        <v>733</v>
      </c>
      <c r="F191" s="12"/>
      <c r="G191" s="23" t="s">
        <v>120</v>
      </c>
      <c r="H191" s="14" t="n">
        <v>-0.948</v>
      </c>
      <c r="I191" s="15"/>
      <c r="J191" s="12"/>
      <c r="K191" s="9"/>
      <c r="L191" s="16" t="s">
        <v>51</v>
      </c>
      <c r="M191" s="17" t="s">
        <v>79</v>
      </c>
      <c r="N191" s="15"/>
      <c r="O191" s="16" t="s">
        <v>54</v>
      </c>
      <c r="P191" s="12" t="s">
        <v>80</v>
      </c>
      <c r="Q191" s="16"/>
      <c r="R191" s="18" t="s">
        <v>79</v>
      </c>
      <c r="S191" s="19"/>
      <c r="T191" s="12" t="str">
        <f aca="false">IF(R191="維持",J191,IF(R191="排除","無關新聞事件",IFERROR(INDEX(事件規則!$B$2:$B$53,MATCH(S191,事件規則!$A$2:$A$53,0)),"")))</f>
        <v>無關新聞事件</v>
      </c>
      <c r="U191" s="20" t="n">
        <f aca="false">IF(R191="維持",K191,IF(R191="排除",0,IFERROR(INDEX(事件規則!$C$2:$C$53,MATCH(S191,事件規則!$A$2:$A$53,0)),"")))</f>
        <v>0</v>
      </c>
      <c r="V191" s="21"/>
      <c r="W191" s="22"/>
      <c r="X191" s="10" t="str">
        <f aca="false">IF(AND(R191="修改",S191=""),"請選新事件代碼",IF(AND(R191&lt;&gt;"修改",S191&lt;&gt;""),"只有「修改」才需填代碼",""))</f>
        <v/>
      </c>
      <c r="Y191" s="21"/>
      <c r="Z191" s="22"/>
      <c r="AA191" s="23" t="s">
        <v>734</v>
      </c>
      <c r="AB191" s="13"/>
    </row>
    <row r="192" customFormat="false" ht="15" hidden="false" customHeight="false" outlineLevel="0" collapsed="false">
      <c r="A192" s="16" t="n">
        <v>191</v>
      </c>
      <c r="B192" s="9" t="s">
        <v>386</v>
      </c>
      <c r="C192" s="9" t="s">
        <v>202</v>
      </c>
      <c r="D192" s="10" t="s">
        <v>203</v>
      </c>
      <c r="E192" s="24" t="s">
        <v>735</v>
      </c>
      <c r="F192" s="12"/>
      <c r="G192" s="23" t="s">
        <v>335</v>
      </c>
      <c r="H192" s="14" t="n">
        <v>-0.948</v>
      </c>
      <c r="I192" s="15"/>
      <c r="J192" s="12"/>
      <c r="K192" s="9"/>
      <c r="L192" s="16" t="s">
        <v>51</v>
      </c>
      <c r="M192" s="17" t="s">
        <v>52</v>
      </c>
      <c r="N192" s="15" t="s">
        <v>736</v>
      </c>
      <c r="O192" s="16" t="s">
        <v>54</v>
      </c>
      <c r="P192" s="10" t="s">
        <v>737</v>
      </c>
      <c r="Q192" s="16"/>
      <c r="R192" s="18" t="s">
        <v>52</v>
      </c>
      <c r="S192" s="19" t="s">
        <v>736</v>
      </c>
      <c r="T192" s="12" t="str">
        <f aca="false">IF(R192="維持",J192,IF(R192="排除","無關新聞事件",IFERROR(INDEX(事件規則!$B$2:$B$53,MATCH(S192,事件規則!$A$2:$A$53,0)),"")))</f>
        <v>重大訴訟</v>
      </c>
      <c r="U192" s="20" t="n">
        <f aca="false">IF(R192="維持",K192,IF(R192="排除",0,IFERROR(INDEX(事件規則!$C$2:$C$53,MATCH(S192,事件規則!$A$2:$A$53,0)),"")))</f>
        <v>4</v>
      </c>
      <c r="V192" s="21"/>
      <c r="W192" s="22"/>
      <c r="X192" s="10" t="str">
        <f aca="false">IF(AND(R192="修改",S192=""),"請選新事件代碼",IF(AND(R192&lt;&gt;"修改",S192&lt;&gt;""),"只有「修改」才需填代碼",""))</f>
        <v/>
      </c>
      <c r="Y192" s="21"/>
      <c r="Z192" s="22"/>
      <c r="AA192" s="23" t="s">
        <v>738</v>
      </c>
      <c r="AB192" s="13"/>
    </row>
    <row r="193" customFormat="false" ht="44" hidden="false" customHeight="false" outlineLevel="0" collapsed="false">
      <c r="A193" s="16" t="n">
        <v>192</v>
      </c>
      <c r="B193" s="9" t="s">
        <v>65</v>
      </c>
      <c r="C193" s="9" t="s">
        <v>739</v>
      </c>
      <c r="D193" s="10" t="s">
        <v>740</v>
      </c>
      <c r="E193" s="24" t="s">
        <v>741</v>
      </c>
      <c r="F193" s="12"/>
      <c r="G193" s="23" t="s">
        <v>742</v>
      </c>
      <c r="H193" s="14" t="n">
        <v>-0.948</v>
      </c>
      <c r="I193" s="15"/>
      <c r="J193" s="12"/>
      <c r="K193" s="9"/>
      <c r="L193" s="16" t="s">
        <v>51</v>
      </c>
      <c r="M193" s="17" t="s">
        <v>79</v>
      </c>
      <c r="N193" s="15"/>
      <c r="O193" s="16" t="s">
        <v>54</v>
      </c>
      <c r="P193" s="12" t="s">
        <v>80</v>
      </c>
      <c r="Q193" s="16"/>
      <c r="R193" s="18" t="s">
        <v>79</v>
      </c>
      <c r="S193" s="19"/>
      <c r="T193" s="12" t="str">
        <f aca="false">IF(R193="維持",J193,IF(R193="排除","無關新聞事件",IFERROR(INDEX(事件規則!$B$2:$B$53,MATCH(S193,事件規則!$A$2:$A$53,0)),"")))</f>
        <v>無關新聞事件</v>
      </c>
      <c r="U193" s="20" t="n">
        <f aca="false">IF(R193="維持",K193,IF(R193="排除",0,IFERROR(INDEX(事件規則!$C$2:$C$53,MATCH(S193,事件規則!$A$2:$A$53,0)),"")))</f>
        <v>0</v>
      </c>
      <c r="V193" s="21"/>
      <c r="W193" s="22"/>
      <c r="X193" s="10" t="str">
        <f aca="false">IF(AND(R193="修改",S193=""),"請選新事件代碼",IF(AND(R193&lt;&gt;"修改",S193&lt;&gt;""),"只有「修改」才需填代碼",""))</f>
        <v/>
      </c>
      <c r="Y193" s="21"/>
      <c r="Z193" s="22"/>
      <c r="AA193" s="23" t="s">
        <v>743</v>
      </c>
      <c r="AB193" s="13"/>
    </row>
    <row r="194" customFormat="false" ht="23.85" hidden="false" customHeight="false" outlineLevel="0" collapsed="false">
      <c r="A194" s="16" t="n">
        <v>193</v>
      </c>
      <c r="B194" s="9" t="s">
        <v>45</v>
      </c>
      <c r="C194" s="9" t="s">
        <v>246</v>
      </c>
      <c r="D194" s="10" t="s">
        <v>247</v>
      </c>
      <c r="E194" s="24" t="s">
        <v>744</v>
      </c>
      <c r="F194" s="12"/>
      <c r="G194" s="23" t="s">
        <v>745</v>
      </c>
      <c r="H194" s="14" t="n">
        <v>-0.948</v>
      </c>
      <c r="I194" s="15"/>
      <c r="J194" s="12"/>
      <c r="K194" s="9"/>
      <c r="L194" s="16" t="s">
        <v>51</v>
      </c>
      <c r="M194" s="17" t="s">
        <v>52</v>
      </c>
      <c r="N194" s="15" t="s">
        <v>746</v>
      </c>
      <c r="O194" s="16" t="s">
        <v>62</v>
      </c>
      <c r="P194" s="12" t="s">
        <v>747</v>
      </c>
      <c r="Q194" s="16"/>
      <c r="R194" s="18" t="s">
        <v>52</v>
      </c>
      <c r="S194" s="19" t="s">
        <v>746</v>
      </c>
      <c r="T194" s="12" t="str">
        <f aca="false">IF(R194="維持",J194,IF(R194="排除","無關新聞事件",IFERROR(INDEX(事件規則!$B$2:$B$53,MATCH(S194,事件規則!$A$2:$A$53,0)),"")))</f>
        <v>監管裁罰</v>
      </c>
      <c r="U194" s="20" t="n">
        <f aca="false">IF(R194="維持",K194,IF(R194="排除",0,IFERROR(INDEX(事件規則!$C$2:$C$53,MATCH(S194,事件規則!$A$2:$A$53,0)),"")))</f>
        <v>4</v>
      </c>
      <c r="V194" s="21"/>
      <c r="W194" s="22"/>
      <c r="X194" s="10" t="str">
        <f aca="false">IF(AND(R194="修改",S194=""),"請選新事件代碼",IF(AND(R194&lt;&gt;"修改",S194&lt;&gt;""),"只有「修改」才需填代碼",""))</f>
        <v/>
      </c>
      <c r="Y194" s="21"/>
      <c r="Z194" s="22"/>
      <c r="AA194" s="23" t="s">
        <v>748</v>
      </c>
      <c r="AB194" s="13"/>
    </row>
    <row r="195" customFormat="false" ht="15" hidden="false" customHeight="false" outlineLevel="0" collapsed="false">
      <c r="A195" s="16" t="n">
        <v>194</v>
      </c>
      <c r="B195" s="9" t="s">
        <v>45</v>
      </c>
      <c r="C195" s="9" t="s">
        <v>149</v>
      </c>
      <c r="D195" s="10" t="s">
        <v>150</v>
      </c>
      <c r="E195" s="24" t="s">
        <v>749</v>
      </c>
      <c r="F195" s="12"/>
      <c r="G195" s="23" t="s">
        <v>750</v>
      </c>
      <c r="H195" s="14" t="n">
        <v>-0.948</v>
      </c>
      <c r="I195" s="15"/>
      <c r="J195" s="12"/>
      <c r="K195" s="9"/>
      <c r="L195" s="16" t="s">
        <v>51</v>
      </c>
      <c r="M195" s="17" t="s">
        <v>52</v>
      </c>
      <c r="N195" s="15" t="s">
        <v>53</v>
      </c>
      <c r="O195" s="16" t="s">
        <v>54</v>
      </c>
      <c r="P195" s="10" t="s">
        <v>55</v>
      </c>
      <c r="Q195" s="16"/>
      <c r="R195" s="18" t="s">
        <v>52</v>
      </c>
      <c r="S195" s="19" t="s">
        <v>53</v>
      </c>
      <c r="T195" s="12" t="str">
        <f aca="false">IF(R195="維持",J195,IF(R195="排除","無關新聞事件",IFERROR(INDEX(事件規則!$B$2:$B$53,MATCH(S195,事件規則!$A$2:$A$53,0)),"")))</f>
        <v>股價下跌</v>
      </c>
      <c r="U195" s="20" t="n">
        <f aca="false">IF(R195="維持",K195,IF(R195="排除",0,IFERROR(INDEX(事件規則!$C$2:$C$53,MATCH(S195,事件規則!$A$2:$A$53,0)),"")))</f>
        <v>1</v>
      </c>
      <c r="V195" s="21"/>
      <c r="W195" s="22"/>
      <c r="X195" s="10" t="str">
        <f aca="false">IF(AND(R195="修改",S195=""),"請選新事件代碼",IF(AND(R195&lt;&gt;"修改",S195&lt;&gt;""),"只有「修改」才需填代碼",""))</f>
        <v/>
      </c>
      <c r="Y195" s="21"/>
      <c r="Z195" s="22"/>
      <c r="AA195" s="23" t="s">
        <v>751</v>
      </c>
      <c r="AB195" s="13"/>
    </row>
    <row r="196" customFormat="false" ht="44" hidden="false" customHeight="false" outlineLevel="0" collapsed="false">
      <c r="A196" s="16" t="n">
        <v>195</v>
      </c>
      <c r="B196" s="9" t="s">
        <v>45</v>
      </c>
      <c r="C196" s="9" t="s">
        <v>564</v>
      </c>
      <c r="D196" s="10" t="s">
        <v>565</v>
      </c>
      <c r="E196" s="24" t="s">
        <v>752</v>
      </c>
      <c r="F196" s="12"/>
      <c r="G196" s="23" t="s">
        <v>753</v>
      </c>
      <c r="H196" s="14" t="n">
        <v>-0.948</v>
      </c>
      <c r="I196" s="15"/>
      <c r="J196" s="12"/>
      <c r="K196" s="9"/>
      <c r="L196" s="16" t="s">
        <v>51</v>
      </c>
      <c r="M196" s="17" t="s">
        <v>79</v>
      </c>
      <c r="N196" s="15"/>
      <c r="O196" s="16" t="s">
        <v>54</v>
      </c>
      <c r="P196" s="12" t="s">
        <v>80</v>
      </c>
      <c r="Q196" s="16"/>
      <c r="R196" s="18" t="s">
        <v>79</v>
      </c>
      <c r="S196" s="19"/>
      <c r="T196" s="12" t="str">
        <f aca="false">IF(R196="維持",J196,IF(R196="排除","無關新聞事件",IFERROR(INDEX(事件規則!$B$2:$B$53,MATCH(S196,事件規則!$A$2:$A$53,0)),"")))</f>
        <v>無關新聞事件</v>
      </c>
      <c r="U196" s="20" t="n">
        <f aca="false">IF(R196="維持",K196,IF(R196="排除",0,IFERROR(INDEX(事件規則!$C$2:$C$53,MATCH(S196,事件規則!$A$2:$A$53,0)),"")))</f>
        <v>0</v>
      </c>
      <c r="V196" s="21"/>
      <c r="W196" s="22"/>
      <c r="X196" s="10" t="str">
        <f aca="false">IF(AND(R196="修改",S196=""),"請選新事件代碼",IF(AND(R196&lt;&gt;"修改",S196&lt;&gt;""),"只有「修改」才需填代碼",""))</f>
        <v/>
      </c>
      <c r="Y196" s="21"/>
      <c r="Z196" s="22"/>
      <c r="AA196" s="23" t="s">
        <v>754</v>
      </c>
      <c r="AB196" s="13"/>
    </row>
    <row r="197" customFormat="false" ht="44" hidden="false" customHeight="false" outlineLevel="0" collapsed="false">
      <c r="A197" s="16" t="n">
        <v>196</v>
      </c>
      <c r="B197" s="9" t="s">
        <v>45</v>
      </c>
      <c r="C197" s="9" t="s">
        <v>341</v>
      </c>
      <c r="D197" s="10" t="s">
        <v>342</v>
      </c>
      <c r="E197" s="24" t="s">
        <v>755</v>
      </c>
      <c r="F197" s="12"/>
      <c r="G197" s="23" t="s">
        <v>224</v>
      </c>
      <c r="H197" s="14" t="n">
        <v>-0.948</v>
      </c>
      <c r="I197" s="15"/>
      <c r="J197" s="12"/>
      <c r="K197" s="9"/>
      <c r="L197" s="16" t="s">
        <v>51</v>
      </c>
      <c r="M197" s="17" t="s">
        <v>79</v>
      </c>
      <c r="N197" s="15"/>
      <c r="O197" s="16" t="s">
        <v>54</v>
      </c>
      <c r="P197" s="12" t="s">
        <v>80</v>
      </c>
      <c r="Q197" s="16"/>
      <c r="R197" s="18" t="s">
        <v>79</v>
      </c>
      <c r="S197" s="19"/>
      <c r="T197" s="12" t="str">
        <f aca="false">IF(R197="維持",J197,IF(R197="排除","無關新聞事件",IFERROR(INDEX(事件規則!$B$2:$B$53,MATCH(S197,事件規則!$A$2:$A$53,0)),"")))</f>
        <v>無關新聞事件</v>
      </c>
      <c r="U197" s="20" t="n">
        <f aca="false">IF(R197="維持",K197,IF(R197="排除",0,IFERROR(INDEX(事件規則!$C$2:$C$53,MATCH(S197,事件規則!$A$2:$A$53,0)),"")))</f>
        <v>0</v>
      </c>
      <c r="V197" s="21"/>
      <c r="W197" s="22"/>
      <c r="X197" s="10" t="str">
        <f aca="false">IF(AND(R197="修改",S197=""),"請選新事件代碼",IF(AND(R197&lt;&gt;"修改",S197&lt;&gt;""),"只有「修改」才需填代碼",""))</f>
        <v/>
      </c>
      <c r="Y197" s="21"/>
      <c r="Z197" s="22"/>
      <c r="AA197" s="23" t="s">
        <v>756</v>
      </c>
      <c r="AB197" s="13"/>
    </row>
    <row r="198" customFormat="false" ht="44" hidden="false" customHeight="false" outlineLevel="0" collapsed="false">
      <c r="A198" s="16" t="n">
        <v>197</v>
      </c>
      <c r="B198" s="9" t="s">
        <v>45</v>
      </c>
      <c r="C198" s="9" t="s">
        <v>691</v>
      </c>
      <c r="D198" s="10" t="s">
        <v>692</v>
      </c>
      <c r="E198" s="24" t="s">
        <v>757</v>
      </c>
      <c r="F198" s="12"/>
      <c r="G198" s="23" t="s">
        <v>120</v>
      </c>
      <c r="H198" s="14" t="n">
        <v>-0.948</v>
      </c>
      <c r="I198" s="15"/>
      <c r="J198" s="12"/>
      <c r="K198" s="9"/>
      <c r="L198" s="16" t="s">
        <v>51</v>
      </c>
      <c r="M198" s="17" t="s">
        <v>79</v>
      </c>
      <c r="N198" s="15"/>
      <c r="O198" s="16" t="s">
        <v>54</v>
      </c>
      <c r="P198" s="12" t="s">
        <v>80</v>
      </c>
      <c r="Q198" s="16"/>
      <c r="R198" s="18" t="s">
        <v>79</v>
      </c>
      <c r="S198" s="19"/>
      <c r="T198" s="12" t="str">
        <f aca="false">IF(R198="維持",J198,IF(R198="排除","無關新聞事件",IFERROR(INDEX(事件規則!$B$2:$B$53,MATCH(S198,事件規則!$A$2:$A$53,0)),"")))</f>
        <v>無關新聞事件</v>
      </c>
      <c r="U198" s="20" t="n">
        <f aca="false">IF(R198="維持",K198,IF(R198="排除",0,IFERROR(INDEX(事件規則!$C$2:$C$53,MATCH(S198,事件規則!$A$2:$A$53,0)),"")))</f>
        <v>0</v>
      </c>
      <c r="V198" s="21"/>
      <c r="W198" s="22"/>
      <c r="X198" s="10" t="str">
        <f aca="false">IF(AND(R198="修改",S198=""),"請選新事件代碼",IF(AND(R198&lt;&gt;"修改",S198&lt;&gt;""),"只有「修改」才需填代碼",""))</f>
        <v/>
      </c>
      <c r="Y198" s="21"/>
      <c r="Z198" s="22"/>
      <c r="AA198" s="23" t="s">
        <v>758</v>
      </c>
      <c r="AB198" s="13"/>
    </row>
    <row r="199" customFormat="false" ht="44" hidden="false" customHeight="false" outlineLevel="0" collapsed="false">
      <c r="A199" s="16" t="n">
        <v>198</v>
      </c>
      <c r="B199" s="9" t="s">
        <v>65</v>
      </c>
      <c r="C199" s="9" t="s">
        <v>149</v>
      </c>
      <c r="D199" s="10" t="s">
        <v>150</v>
      </c>
      <c r="E199" s="24" t="s">
        <v>759</v>
      </c>
      <c r="F199" s="12"/>
      <c r="G199" s="23" t="s">
        <v>224</v>
      </c>
      <c r="H199" s="14" t="n">
        <v>-0.948</v>
      </c>
      <c r="I199" s="15"/>
      <c r="J199" s="12"/>
      <c r="K199" s="9"/>
      <c r="L199" s="16" t="s">
        <v>51</v>
      </c>
      <c r="M199" s="17" t="s">
        <v>79</v>
      </c>
      <c r="N199" s="15"/>
      <c r="O199" s="16" t="s">
        <v>54</v>
      </c>
      <c r="P199" s="12" t="s">
        <v>80</v>
      </c>
      <c r="Q199" s="16"/>
      <c r="R199" s="18" t="s">
        <v>79</v>
      </c>
      <c r="S199" s="19"/>
      <c r="T199" s="12" t="str">
        <f aca="false">IF(R199="維持",J199,IF(R199="排除","無關新聞事件",IFERROR(INDEX(事件規則!$B$2:$B$53,MATCH(S199,事件規則!$A$2:$A$53,0)),"")))</f>
        <v>無關新聞事件</v>
      </c>
      <c r="U199" s="20" t="n">
        <f aca="false">IF(R199="維持",K199,IF(R199="排除",0,IFERROR(INDEX(事件規則!$C$2:$C$53,MATCH(S199,事件規則!$A$2:$A$53,0)),"")))</f>
        <v>0</v>
      </c>
      <c r="V199" s="21"/>
      <c r="W199" s="22"/>
      <c r="X199" s="10" t="str">
        <f aca="false">IF(AND(R199="修改",S199=""),"請選新事件代碼",IF(AND(R199&lt;&gt;"修改",S199&lt;&gt;""),"只有「修改」才需填代碼",""))</f>
        <v/>
      </c>
      <c r="Y199" s="21"/>
      <c r="Z199" s="22"/>
      <c r="AA199" s="23" t="s">
        <v>760</v>
      </c>
      <c r="AB199" s="13"/>
    </row>
    <row r="200" customFormat="false" ht="44" hidden="false" customHeight="false" outlineLevel="0" collapsed="false">
      <c r="A200" s="16" t="n">
        <v>199</v>
      </c>
      <c r="B200" s="9" t="s">
        <v>331</v>
      </c>
      <c r="C200" s="9" t="s">
        <v>569</v>
      </c>
      <c r="D200" s="10" t="s">
        <v>570</v>
      </c>
      <c r="E200" s="24" t="s">
        <v>761</v>
      </c>
      <c r="F200" s="12"/>
      <c r="G200" s="23" t="s">
        <v>762</v>
      </c>
      <c r="H200" s="14" t="n">
        <v>-0.948</v>
      </c>
      <c r="I200" s="15"/>
      <c r="J200" s="12"/>
      <c r="K200" s="9"/>
      <c r="L200" s="16" t="s">
        <v>51</v>
      </c>
      <c r="M200" s="17" t="s">
        <v>79</v>
      </c>
      <c r="N200" s="15"/>
      <c r="O200" s="16" t="s">
        <v>54</v>
      </c>
      <c r="P200" s="12" t="s">
        <v>80</v>
      </c>
      <c r="Q200" s="16"/>
      <c r="R200" s="18" t="s">
        <v>79</v>
      </c>
      <c r="S200" s="19"/>
      <c r="T200" s="12" t="str">
        <f aca="false">IF(R200="維持",J200,IF(R200="排除","無關新聞事件",IFERROR(INDEX(事件規則!$B$2:$B$53,MATCH(S200,事件規則!$A$2:$A$53,0)),"")))</f>
        <v>無關新聞事件</v>
      </c>
      <c r="U200" s="20" t="n">
        <f aca="false">IF(R200="維持",K200,IF(R200="排除",0,IFERROR(INDEX(事件規則!$C$2:$C$53,MATCH(S200,事件規則!$A$2:$A$53,0)),"")))</f>
        <v>0</v>
      </c>
      <c r="V200" s="21"/>
      <c r="W200" s="22"/>
      <c r="X200" s="10" t="str">
        <f aca="false">IF(AND(R200="修改",S200=""),"請選新事件代碼",IF(AND(R200&lt;&gt;"修改",S200&lt;&gt;""),"只有「修改」才需填代碼",""))</f>
        <v/>
      </c>
      <c r="Y200" s="21"/>
      <c r="Z200" s="22"/>
      <c r="AA200" s="23" t="s">
        <v>763</v>
      </c>
      <c r="AB200" s="13"/>
    </row>
    <row r="201" customFormat="false" ht="44" hidden="false" customHeight="false" outlineLevel="0" collapsed="false">
      <c r="A201" s="16" t="n">
        <v>200</v>
      </c>
      <c r="B201" s="9" t="s">
        <v>45</v>
      </c>
      <c r="C201" s="9" t="s">
        <v>764</v>
      </c>
      <c r="D201" s="10" t="s">
        <v>765</v>
      </c>
      <c r="E201" s="24" t="s">
        <v>766</v>
      </c>
      <c r="F201" s="12"/>
      <c r="G201" s="23" t="s">
        <v>120</v>
      </c>
      <c r="H201" s="14" t="n">
        <v>-0.948</v>
      </c>
      <c r="I201" s="15"/>
      <c r="J201" s="12"/>
      <c r="K201" s="9"/>
      <c r="L201" s="16" t="s">
        <v>51</v>
      </c>
      <c r="M201" s="17" t="s">
        <v>79</v>
      </c>
      <c r="N201" s="15"/>
      <c r="O201" s="16" t="s">
        <v>54</v>
      </c>
      <c r="P201" s="12" t="s">
        <v>80</v>
      </c>
      <c r="Q201" s="16"/>
      <c r="R201" s="18" t="s">
        <v>79</v>
      </c>
      <c r="S201" s="19"/>
      <c r="T201" s="12" t="str">
        <f aca="false">IF(R201="維持",J201,IF(R201="排除","無關新聞事件",IFERROR(INDEX(事件規則!$B$2:$B$53,MATCH(S201,事件規則!$A$2:$A$53,0)),"")))</f>
        <v>無關新聞事件</v>
      </c>
      <c r="U201" s="20" t="n">
        <f aca="false">IF(R201="維持",K201,IF(R201="排除",0,IFERROR(INDEX(事件規則!$C$2:$C$53,MATCH(S201,事件規則!$A$2:$A$53,0)),"")))</f>
        <v>0</v>
      </c>
      <c r="V201" s="21"/>
      <c r="W201" s="22"/>
      <c r="X201" s="10" t="str">
        <f aca="false">IF(AND(R201="修改",S201=""),"請選新事件代碼",IF(AND(R201&lt;&gt;"修改",S201&lt;&gt;""),"只有「修改」才需填代碼",""))</f>
        <v/>
      </c>
      <c r="Y201" s="21"/>
      <c r="Z201" s="22"/>
      <c r="AA201" s="23" t="s">
        <v>767</v>
      </c>
      <c r="AB201" s="13"/>
    </row>
    <row r="202" customFormat="false" ht="44" hidden="false" customHeight="false" outlineLevel="0" collapsed="false">
      <c r="A202" s="16" t="n">
        <v>201</v>
      </c>
      <c r="B202" s="9" t="s">
        <v>65</v>
      </c>
      <c r="C202" s="9" t="s">
        <v>768</v>
      </c>
      <c r="D202" s="10" t="s">
        <v>769</v>
      </c>
      <c r="E202" s="24" t="s">
        <v>770</v>
      </c>
      <c r="F202" s="12"/>
      <c r="G202" s="23" t="s">
        <v>771</v>
      </c>
      <c r="H202" s="14" t="n">
        <v>-0.948</v>
      </c>
      <c r="I202" s="15"/>
      <c r="J202" s="12"/>
      <c r="K202" s="9"/>
      <c r="L202" s="16" t="s">
        <v>51</v>
      </c>
      <c r="M202" s="17" t="s">
        <v>79</v>
      </c>
      <c r="N202" s="15"/>
      <c r="O202" s="16" t="s">
        <v>54</v>
      </c>
      <c r="P202" s="12" t="s">
        <v>80</v>
      </c>
      <c r="Q202" s="16"/>
      <c r="R202" s="18" t="s">
        <v>79</v>
      </c>
      <c r="S202" s="19"/>
      <c r="T202" s="12" t="str">
        <f aca="false">IF(R202="維持",J202,IF(R202="排除","無關新聞事件",IFERROR(INDEX(事件規則!$B$2:$B$53,MATCH(S202,事件規則!$A$2:$A$53,0)),"")))</f>
        <v>無關新聞事件</v>
      </c>
      <c r="U202" s="20" t="n">
        <f aca="false">IF(R202="維持",K202,IF(R202="排除",0,IFERROR(INDEX(事件規則!$C$2:$C$53,MATCH(S202,事件規則!$A$2:$A$53,0)),"")))</f>
        <v>0</v>
      </c>
      <c r="V202" s="21"/>
      <c r="W202" s="22"/>
      <c r="X202" s="10" t="str">
        <f aca="false">IF(AND(R202="修改",S202=""),"請選新事件代碼",IF(AND(R202&lt;&gt;"修改",S202&lt;&gt;""),"只有「修改」才需填代碼",""))</f>
        <v/>
      </c>
      <c r="Y202" s="21"/>
      <c r="Z202" s="22"/>
      <c r="AA202" s="23" t="s">
        <v>772</v>
      </c>
      <c r="AB202" s="13"/>
    </row>
    <row r="203" customFormat="false" ht="44" hidden="false" customHeight="false" outlineLevel="0" collapsed="false">
      <c r="A203" s="16" t="n">
        <v>202</v>
      </c>
      <c r="B203" s="9" t="s">
        <v>386</v>
      </c>
      <c r="C203" s="9" t="s">
        <v>564</v>
      </c>
      <c r="D203" s="10" t="s">
        <v>565</v>
      </c>
      <c r="E203" s="24" t="s">
        <v>773</v>
      </c>
      <c r="F203" s="12"/>
      <c r="G203" s="23" t="s">
        <v>774</v>
      </c>
      <c r="H203" s="14" t="n">
        <v>-0.948</v>
      </c>
      <c r="I203" s="15"/>
      <c r="J203" s="12"/>
      <c r="K203" s="9"/>
      <c r="L203" s="16" t="s">
        <v>51</v>
      </c>
      <c r="M203" s="17" t="s">
        <v>79</v>
      </c>
      <c r="N203" s="15"/>
      <c r="O203" s="16" t="s">
        <v>54</v>
      </c>
      <c r="P203" s="12" t="s">
        <v>80</v>
      </c>
      <c r="Q203" s="16"/>
      <c r="R203" s="18" t="s">
        <v>79</v>
      </c>
      <c r="S203" s="19"/>
      <c r="T203" s="12" t="str">
        <f aca="false">IF(R203="維持",J203,IF(R203="排除","無關新聞事件",IFERROR(INDEX(事件規則!$B$2:$B$53,MATCH(S203,事件規則!$A$2:$A$53,0)),"")))</f>
        <v>無關新聞事件</v>
      </c>
      <c r="U203" s="20" t="n">
        <f aca="false">IF(R203="維持",K203,IF(R203="排除",0,IFERROR(INDEX(事件規則!$C$2:$C$53,MATCH(S203,事件規則!$A$2:$A$53,0)),"")))</f>
        <v>0</v>
      </c>
      <c r="V203" s="21"/>
      <c r="W203" s="22"/>
      <c r="X203" s="10" t="str">
        <f aca="false">IF(AND(R203="修改",S203=""),"請選新事件代碼",IF(AND(R203&lt;&gt;"修改",S203&lt;&gt;""),"只有「修改」才需填代碼",""))</f>
        <v/>
      </c>
      <c r="Y203" s="21"/>
      <c r="Z203" s="22"/>
      <c r="AA203" s="23" t="s">
        <v>775</v>
      </c>
      <c r="AB203" s="13"/>
    </row>
    <row r="204" customFormat="false" ht="44" hidden="false" customHeight="false" outlineLevel="0" collapsed="false">
      <c r="A204" s="16" t="n">
        <v>203</v>
      </c>
      <c r="B204" s="9" t="s">
        <v>65</v>
      </c>
      <c r="C204" s="9" t="s">
        <v>776</v>
      </c>
      <c r="D204" s="10" t="s">
        <v>777</v>
      </c>
      <c r="E204" s="24" t="s">
        <v>778</v>
      </c>
      <c r="F204" s="12"/>
      <c r="G204" s="23" t="s">
        <v>779</v>
      </c>
      <c r="H204" s="14" t="n">
        <v>-0.947</v>
      </c>
      <c r="I204" s="15"/>
      <c r="J204" s="12"/>
      <c r="K204" s="9"/>
      <c r="L204" s="16" t="s">
        <v>51</v>
      </c>
      <c r="M204" s="17" t="s">
        <v>79</v>
      </c>
      <c r="N204" s="15"/>
      <c r="O204" s="16" t="s">
        <v>54</v>
      </c>
      <c r="P204" s="12" t="s">
        <v>80</v>
      </c>
      <c r="Q204" s="16"/>
      <c r="R204" s="18" t="s">
        <v>79</v>
      </c>
      <c r="S204" s="19"/>
      <c r="T204" s="12" t="str">
        <f aca="false">IF(R204="維持",J204,IF(R204="排除","無關新聞事件",IFERROR(INDEX(事件規則!$B$2:$B$53,MATCH(S204,事件規則!$A$2:$A$53,0)),"")))</f>
        <v>無關新聞事件</v>
      </c>
      <c r="U204" s="20" t="n">
        <f aca="false">IF(R204="維持",K204,IF(R204="排除",0,IFERROR(INDEX(事件規則!$C$2:$C$53,MATCH(S204,事件規則!$A$2:$A$53,0)),"")))</f>
        <v>0</v>
      </c>
      <c r="V204" s="21"/>
      <c r="W204" s="22"/>
      <c r="X204" s="10" t="str">
        <f aca="false">IF(AND(R204="修改",S204=""),"請選新事件代碼",IF(AND(R204&lt;&gt;"修改",S204&lt;&gt;""),"只有「修改」才需填代碼",""))</f>
        <v/>
      </c>
      <c r="Y204" s="21"/>
      <c r="Z204" s="22"/>
      <c r="AA204" s="23" t="s">
        <v>780</v>
      </c>
      <c r="AB204" s="13"/>
    </row>
    <row r="205" customFormat="false" ht="23.85" hidden="false" customHeight="false" outlineLevel="0" collapsed="false">
      <c r="A205" s="16" t="n">
        <v>204</v>
      </c>
      <c r="B205" s="9" t="s">
        <v>331</v>
      </c>
      <c r="C205" s="9" t="s">
        <v>781</v>
      </c>
      <c r="D205" s="10" t="s">
        <v>782</v>
      </c>
      <c r="E205" s="24" t="s">
        <v>783</v>
      </c>
      <c r="F205" s="12"/>
      <c r="G205" s="23" t="s">
        <v>784</v>
      </c>
      <c r="H205" s="14" t="n">
        <v>-0.947</v>
      </c>
      <c r="I205" s="15"/>
      <c r="J205" s="12"/>
      <c r="K205" s="9"/>
      <c r="L205" s="16" t="s">
        <v>51</v>
      </c>
      <c r="M205" s="17" t="s">
        <v>52</v>
      </c>
      <c r="N205" s="15" t="s">
        <v>61</v>
      </c>
      <c r="O205" s="16" t="s">
        <v>62</v>
      </c>
      <c r="P205" s="10" t="s">
        <v>785</v>
      </c>
      <c r="Q205" s="16"/>
      <c r="R205" s="18" t="s">
        <v>52</v>
      </c>
      <c r="S205" s="19" t="s">
        <v>61</v>
      </c>
      <c r="T205" s="12" t="str">
        <f aca="false">IF(R205="維持",J205,IF(R205="排除","無關新聞事件",IFERROR(INDEX(事件規則!$B$2:$B$53,MATCH(S205,事件規則!$A$2:$A$53,0)),"")))</f>
        <v>裁員或人力縮減</v>
      </c>
      <c r="U205" s="20" t="n">
        <f aca="false">IF(R205="維持",K205,IF(R205="排除",0,IFERROR(INDEX(事件規則!$C$2:$C$53,MATCH(S205,事件規則!$A$2:$A$53,0)),"")))</f>
        <v>3</v>
      </c>
      <c r="V205" s="21"/>
      <c r="W205" s="22"/>
      <c r="X205" s="10" t="str">
        <f aca="false">IF(AND(R205="修改",S205=""),"請選新事件代碼",IF(AND(R205&lt;&gt;"修改",S205&lt;&gt;""),"只有「修改」才需填代碼",""))</f>
        <v/>
      </c>
      <c r="Y205" s="21"/>
      <c r="Z205" s="22"/>
      <c r="AA205" s="23" t="s">
        <v>786</v>
      </c>
      <c r="AB205" s="13"/>
    </row>
    <row r="206" customFormat="false" ht="44" hidden="false" customHeight="false" outlineLevel="0" collapsed="false">
      <c r="A206" s="16" t="n">
        <v>205</v>
      </c>
      <c r="B206" s="9" t="s">
        <v>65</v>
      </c>
      <c r="C206" s="9" t="s">
        <v>524</v>
      </c>
      <c r="D206" s="10" t="s">
        <v>525</v>
      </c>
      <c r="E206" s="24" t="s">
        <v>787</v>
      </c>
      <c r="F206" s="12"/>
      <c r="G206" s="23" t="s">
        <v>78</v>
      </c>
      <c r="H206" s="14" t="n">
        <v>-0.947</v>
      </c>
      <c r="I206" s="15"/>
      <c r="J206" s="12"/>
      <c r="K206" s="9"/>
      <c r="L206" s="16" t="s">
        <v>51</v>
      </c>
      <c r="M206" s="17" t="s">
        <v>79</v>
      </c>
      <c r="N206" s="15"/>
      <c r="O206" s="16" t="s">
        <v>54</v>
      </c>
      <c r="P206" s="12" t="s">
        <v>80</v>
      </c>
      <c r="Q206" s="16"/>
      <c r="R206" s="18" t="s">
        <v>79</v>
      </c>
      <c r="S206" s="19"/>
      <c r="T206" s="12" t="str">
        <f aca="false">IF(R206="維持",J206,IF(R206="排除","無關新聞事件",IFERROR(INDEX(事件規則!$B$2:$B$53,MATCH(S206,事件規則!$A$2:$A$53,0)),"")))</f>
        <v>無關新聞事件</v>
      </c>
      <c r="U206" s="20" t="n">
        <f aca="false">IF(R206="維持",K206,IF(R206="排除",0,IFERROR(INDEX(事件規則!$C$2:$C$53,MATCH(S206,事件規則!$A$2:$A$53,0)),"")))</f>
        <v>0</v>
      </c>
      <c r="V206" s="21"/>
      <c r="W206" s="22"/>
      <c r="X206" s="10" t="str">
        <f aca="false">IF(AND(R206="修改",S206=""),"請選新事件代碼",IF(AND(R206&lt;&gt;"修改",S206&lt;&gt;""),"只有「修改」才需填代碼",""))</f>
        <v/>
      </c>
      <c r="Y206" s="21"/>
      <c r="Z206" s="22"/>
      <c r="AA206" s="23" t="s">
        <v>788</v>
      </c>
      <c r="AB206" s="13"/>
    </row>
    <row r="207" customFormat="false" ht="44" hidden="false" customHeight="false" outlineLevel="0" collapsed="false">
      <c r="A207" s="16" t="n">
        <v>206</v>
      </c>
      <c r="B207" s="9" t="s">
        <v>45</v>
      </c>
      <c r="C207" s="9" t="s">
        <v>376</v>
      </c>
      <c r="D207" s="10" t="s">
        <v>377</v>
      </c>
      <c r="E207" s="24" t="s">
        <v>789</v>
      </c>
      <c r="F207" s="12"/>
      <c r="G207" s="23" t="s">
        <v>335</v>
      </c>
      <c r="H207" s="14" t="n">
        <v>-0.947</v>
      </c>
      <c r="I207" s="15"/>
      <c r="J207" s="12"/>
      <c r="K207" s="9"/>
      <c r="L207" s="16" t="s">
        <v>51</v>
      </c>
      <c r="M207" s="17" t="s">
        <v>79</v>
      </c>
      <c r="N207" s="15"/>
      <c r="O207" s="16" t="s">
        <v>54</v>
      </c>
      <c r="P207" s="12" t="s">
        <v>80</v>
      </c>
      <c r="Q207" s="16"/>
      <c r="R207" s="18" t="s">
        <v>79</v>
      </c>
      <c r="S207" s="19"/>
      <c r="T207" s="12" t="str">
        <f aca="false">IF(R207="維持",J207,IF(R207="排除","無關新聞事件",IFERROR(INDEX(事件規則!$B$2:$B$53,MATCH(S207,事件規則!$A$2:$A$53,0)),"")))</f>
        <v>無關新聞事件</v>
      </c>
      <c r="U207" s="20" t="n">
        <f aca="false">IF(R207="維持",K207,IF(R207="排除",0,IFERROR(INDEX(事件規則!$C$2:$C$53,MATCH(S207,事件規則!$A$2:$A$53,0)),"")))</f>
        <v>0</v>
      </c>
      <c r="V207" s="21"/>
      <c r="W207" s="22"/>
      <c r="X207" s="10" t="str">
        <f aca="false">IF(AND(R207="修改",S207=""),"請選新事件代碼",IF(AND(R207&lt;&gt;"修改",S207&lt;&gt;""),"只有「修改」才需填代碼",""))</f>
        <v/>
      </c>
      <c r="Y207" s="21"/>
      <c r="Z207" s="22"/>
      <c r="AA207" s="23" t="s">
        <v>790</v>
      </c>
      <c r="AB207" s="13"/>
    </row>
    <row r="208" customFormat="false" ht="15" hidden="false" customHeight="false" outlineLevel="0" collapsed="false">
      <c r="A208" s="16" t="n">
        <v>207</v>
      </c>
      <c r="B208" s="9" t="s">
        <v>45</v>
      </c>
      <c r="C208" s="9" t="s">
        <v>791</v>
      </c>
      <c r="D208" s="10" t="s">
        <v>792</v>
      </c>
      <c r="E208" s="24" t="s">
        <v>793</v>
      </c>
      <c r="F208" s="12"/>
      <c r="G208" s="23" t="s">
        <v>301</v>
      </c>
      <c r="H208" s="14" t="n">
        <v>-0.947</v>
      </c>
      <c r="I208" s="15"/>
      <c r="J208" s="12"/>
      <c r="K208" s="9"/>
      <c r="L208" s="16" t="s">
        <v>51</v>
      </c>
      <c r="M208" s="17" t="s">
        <v>52</v>
      </c>
      <c r="N208" s="15" t="s">
        <v>53</v>
      </c>
      <c r="O208" s="16" t="s">
        <v>54</v>
      </c>
      <c r="P208" s="10" t="s">
        <v>794</v>
      </c>
      <c r="Q208" s="16"/>
      <c r="R208" s="18" t="s">
        <v>52</v>
      </c>
      <c r="S208" s="19" t="s">
        <v>53</v>
      </c>
      <c r="T208" s="12" t="str">
        <f aca="false">IF(R208="維持",J208,IF(R208="排除","無關新聞事件",IFERROR(INDEX(事件規則!$B$2:$B$53,MATCH(S208,事件規則!$A$2:$A$53,0)),"")))</f>
        <v>股價下跌</v>
      </c>
      <c r="U208" s="20" t="n">
        <f aca="false">IF(R208="維持",K208,IF(R208="排除",0,IFERROR(INDEX(事件規則!$C$2:$C$53,MATCH(S208,事件規則!$A$2:$A$53,0)),"")))</f>
        <v>1</v>
      </c>
      <c r="V208" s="21"/>
      <c r="W208" s="22"/>
      <c r="X208" s="10" t="str">
        <f aca="false">IF(AND(R208="修改",S208=""),"請選新事件代碼",IF(AND(R208&lt;&gt;"修改",S208&lt;&gt;""),"只有「修改」才需填代碼",""))</f>
        <v/>
      </c>
      <c r="Y208" s="21"/>
      <c r="Z208" s="22"/>
      <c r="AA208" s="23" t="s">
        <v>795</v>
      </c>
      <c r="AB208" s="13"/>
    </row>
    <row r="209" customFormat="false" ht="44" hidden="false" customHeight="false" outlineLevel="0" collapsed="false">
      <c r="A209" s="16" t="n">
        <v>208</v>
      </c>
      <c r="B209" s="9" t="s">
        <v>45</v>
      </c>
      <c r="C209" s="9" t="s">
        <v>341</v>
      </c>
      <c r="D209" s="10" t="s">
        <v>342</v>
      </c>
      <c r="E209" s="24" t="s">
        <v>796</v>
      </c>
      <c r="F209" s="12"/>
      <c r="G209" s="23" t="s">
        <v>298</v>
      </c>
      <c r="H209" s="14" t="n">
        <v>-0.946</v>
      </c>
      <c r="I209" s="15"/>
      <c r="J209" s="12"/>
      <c r="K209" s="9"/>
      <c r="L209" s="16" t="s">
        <v>51</v>
      </c>
      <c r="M209" s="17" t="s">
        <v>79</v>
      </c>
      <c r="N209" s="15"/>
      <c r="O209" s="16" t="s">
        <v>54</v>
      </c>
      <c r="P209" s="12" t="s">
        <v>80</v>
      </c>
      <c r="Q209" s="16"/>
      <c r="R209" s="18" t="s">
        <v>79</v>
      </c>
      <c r="S209" s="19"/>
      <c r="T209" s="12" t="str">
        <f aca="false">IF(R209="維持",J209,IF(R209="排除","無關新聞事件",IFERROR(INDEX(事件規則!$B$2:$B$53,MATCH(S209,事件規則!$A$2:$A$53,0)),"")))</f>
        <v>無關新聞事件</v>
      </c>
      <c r="U209" s="20" t="n">
        <f aca="false">IF(R209="維持",K209,IF(R209="排除",0,IFERROR(INDEX(事件規則!$C$2:$C$53,MATCH(S209,事件規則!$A$2:$A$53,0)),"")))</f>
        <v>0</v>
      </c>
      <c r="V209" s="21"/>
      <c r="W209" s="22"/>
      <c r="X209" s="10" t="str">
        <f aca="false">IF(AND(R209="修改",S209=""),"請選新事件代碼",IF(AND(R209&lt;&gt;"修改",S209&lt;&gt;""),"只有「修改」才需填代碼",""))</f>
        <v/>
      </c>
      <c r="Y209" s="21"/>
      <c r="Z209" s="22"/>
      <c r="AA209" s="23" t="s">
        <v>797</v>
      </c>
      <c r="AB209" s="13"/>
    </row>
    <row r="210" customFormat="false" ht="44" hidden="false" customHeight="false" outlineLevel="0" collapsed="false">
      <c r="A210" s="16" t="n">
        <v>209</v>
      </c>
      <c r="B210" s="9" t="s">
        <v>65</v>
      </c>
      <c r="C210" s="9" t="s">
        <v>798</v>
      </c>
      <c r="D210" s="10" t="s">
        <v>799</v>
      </c>
      <c r="E210" s="24" t="s">
        <v>800</v>
      </c>
      <c r="F210" s="12"/>
      <c r="G210" s="23" t="s">
        <v>379</v>
      </c>
      <c r="H210" s="14" t="n">
        <v>-0.946</v>
      </c>
      <c r="I210" s="15"/>
      <c r="J210" s="12"/>
      <c r="K210" s="9"/>
      <c r="L210" s="16" t="s">
        <v>51</v>
      </c>
      <c r="M210" s="17" t="s">
        <v>79</v>
      </c>
      <c r="N210" s="15"/>
      <c r="O210" s="16" t="s">
        <v>54</v>
      </c>
      <c r="P210" s="12" t="s">
        <v>80</v>
      </c>
      <c r="Q210" s="16"/>
      <c r="R210" s="18" t="s">
        <v>79</v>
      </c>
      <c r="S210" s="19"/>
      <c r="T210" s="12" t="str">
        <f aca="false">IF(R210="維持",J210,IF(R210="排除","無關新聞事件",IFERROR(INDEX(事件規則!$B$2:$B$53,MATCH(S210,事件規則!$A$2:$A$53,0)),"")))</f>
        <v>無關新聞事件</v>
      </c>
      <c r="U210" s="20" t="n">
        <f aca="false">IF(R210="維持",K210,IF(R210="排除",0,IFERROR(INDEX(事件規則!$C$2:$C$53,MATCH(S210,事件規則!$A$2:$A$53,0)),"")))</f>
        <v>0</v>
      </c>
      <c r="V210" s="21"/>
      <c r="W210" s="22"/>
      <c r="X210" s="10" t="str">
        <f aca="false">IF(AND(R210="修改",S210=""),"請選新事件代碼",IF(AND(R210&lt;&gt;"修改",S210&lt;&gt;""),"只有「修改」才需填代碼",""))</f>
        <v/>
      </c>
      <c r="Y210" s="21"/>
      <c r="Z210" s="22"/>
      <c r="AA210" s="23" t="s">
        <v>801</v>
      </c>
      <c r="AB210" s="13"/>
    </row>
    <row r="211" customFormat="false" ht="44" hidden="false" customHeight="false" outlineLevel="0" collapsed="false">
      <c r="A211" s="16" t="n">
        <v>210</v>
      </c>
      <c r="B211" s="9" t="s">
        <v>331</v>
      </c>
      <c r="C211" s="9" t="s">
        <v>246</v>
      </c>
      <c r="D211" s="10" t="s">
        <v>247</v>
      </c>
      <c r="E211" s="24" t="s">
        <v>802</v>
      </c>
      <c r="F211" s="12"/>
      <c r="G211" s="23" t="s">
        <v>803</v>
      </c>
      <c r="H211" s="14" t="n">
        <v>-0.946</v>
      </c>
      <c r="I211" s="15"/>
      <c r="J211" s="12"/>
      <c r="K211" s="9"/>
      <c r="L211" s="16" t="s">
        <v>51</v>
      </c>
      <c r="M211" s="17" t="s">
        <v>79</v>
      </c>
      <c r="N211" s="15"/>
      <c r="O211" s="16" t="s">
        <v>54</v>
      </c>
      <c r="P211" s="12" t="s">
        <v>80</v>
      </c>
      <c r="Q211" s="16"/>
      <c r="R211" s="18" t="s">
        <v>79</v>
      </c>
      <c r="S211" s="19"/>
      <c r="T211" s="12" t="str">
        <f aca="false">IF(R211="維持",J211,IF(R211="排除","無關新聞事件",IFERROR(INDEX(事件規則!$B$2:$B$53,MATCH(S211,事件規則!$A$2:$A$53,0)),"")))</f>
        <v>無關新聞事件</v>
      </c>
      <c r="U211" s="20" t="n">
        <f aca="false">IF(R211="維持",K211,IF(R211="排除",0,IFERROR(INDEX(事件規則!$C$2:$C$53,MATCH(S211,事件規則!$A$2:$A$53,0)),"")))</f>
        <v>0</v>
      </c>
      <c r="V211" s="21"/>
      <c r="W211" s="22"/>
      <c r="X211" s="10" t="str">
        <f aca="false">IF(AND(R211="修改",S211=""),"請選新事件代碼",IF(AND(R211&lt;&gt;"修改",S211&lt;&gt;""),"只有「修改」才需填代碼",""))</f>
        <v/>
      </c>
      <c r="Y211" s="21"/>
      <c r="Z211" s="22"/>
      <c r="AA211" s="23" t="s">
        <v>804</v>
      </c>
      <c r="AB211" s="13"/>
    </row>
    <row r="212" customFormat="false" ht="44" hidden="false" customHeight="false" outlineLevel="0" collapsed="false">
      <c r="A212" s="16" t="n">
        <v>211</v>
      </c>
      <c r="B212" s="9" t="s">
        <v>65</v>
      </c>
      <c r="C212" s="9" t="s">
        <v>132</v>
      </c>
      <c r="D212" s="10" t="s">
        <v>133</v>
      </c>
      <c r="E212" s="24" t="s">
        <v>805</v>
      </c>
      <c r="F212" s="12"/>
      <c r="G212" s="23" t="s">
        <v>301</v>
      </c>
      <c r="H212" s="14" t="n">
        <v>-0.946</v>
      </c>
      <c r="I212" s="15"/>
      <c r="J212" s="12"/>
      <c r="K212" s="9"/>
      <c r="L212" s="16" t="s">
        <v>51</v>
      </c>
      <c r="M212" s="17" t="s">
        <v>79</v>
      </c>
      <c r="N212" s="15"/>
      <c r="O212" s="16" t="s">
        <v>54</v>
      </c>
      <c r="P212" s="12" t="s">
        <v>80</v>
      </c>
      <c r="Q212" s="16"/>
      <c r="R212" s="18" t="s">
        <v>79</v>
      </c>
      <c r="S212" s="19"/>
      <c r="T212" s="12" t="str">
        <f aca="false">IF(R212="維持",J212,IF(R212="排除","無關新聞事件",IFERROR(INDEX(事件規則!$B$2:$B$53,MATCH(S212,事件規則!$A$2:$A$53,0)),"")))</f>
        <v>無關新聞事件</v>
      </c>
      <c r="U212" s="20" t="n">
        <f aca="false">IF(R212="維持",K212,IF(R212="排除",0,IFERROR(INDEX(事件規則!$C$2:$C$53,MATCH(S212,事件規則!$A$2:$A$53,0)),"")))</f>
        <v>0</v>
      </c>
      <c r="V212" s="21"/>
      <c r="W212" s="22"/>
      <c r="X212" s="10" t="str">
        <f aca="false">IF(AND(R212="修改",S212=""),"請選新事件代碼",IF(AND(R212&lt;&gt;"修改",S212&lt;&gt;""),"只有「修改」才需填代碼",""))</f>
        <v/>
      </c>
      <c r="Y212" s="21"/>
      <c r="Z212" s="22"/>
      <c r="AA212" s="23" t="s">
        <v>806</v>
      </c>
      <c r="AB212" s="13"/>
    </row>
    <row r="213" customFormat="false" ht="44" hidden="false" customHeight="false" outlineLevel="0" collapsed="false">
      <c r="A213" s="16" t="n">
        <v>212</v>
      </c>
      <c r="B213" s="9" t="s">
        <v>65</v>
      </c>
      <c r="C213" s="9" t="s">
        <v>202</v>
      </c>
      <c r="D213" s="10" t="s">
        <v>203</v>
      </c>
      <c r="E213" s="24" t="s">
        <v>807</v>
      </c>
      <c r="F213" s="12"/>
      <c r="G213" s="23" t="s">
        <v>549</v>
      </c>
      <c r="H213" s="14" t="n">
        <v>-0.945</v>
      </c>
      <c r="I213" s="15"/>
      <c r="J213" s="12"/>
      <c r="K213" s="9"/>
      <c r="L213" s="16" t="s">
        <v>51</v>
      </c>
      <c r="M213" s="17" t="s">
        <v>79</v>
      </c>
      <c r="N213" s="15"/>
      <c r="O213" s="16" t="s">
        <v>54</v>
      </c>
      <c r="P213" s="12" t="s">
        <v>80</v>
      </c>
      <c r="Q213" s="16"/>
      <c r="R213" s="18" t="s">
        <v>79</v>
      </c>
      <c r="S213" s="19"/>
      <c r="T213" s="12" t="str">
        <f aca="false">IF(R213="維持",J213,IF(R213="排除","無關新聞事件",IFERROR(INDEX(事件規則!$B$2:$B$53,MATCH(S213,事件規則!$A$2:$A$53,0)),"")))</f>
        <v>無關新聞事件</v>
      </c>
      <c r="U213" s="20" t="n">
        <f aca="false">IF(R213="維持",K213,IF(R213="排除",0,IFERROR(INDEX(事件規則!$C$2:$C$53,MATCH(S213,事件規則!$A$2:$A$53,0)),"")))</f>
        <v>0</v>
      </c>
      <c r="V213" s="21"/>
      <c r="W213" s="22"/>
      <c r="X213" s="10" t="str">
        <f aca="false">IF(AND(R213="修改",S213=""),"請選新事件代碼",IF(AND(R213&lt;&gt;"修改",S213&lt;&gt;""),"只有「修改」才需填代碼",""))</f>
        <v/>
      </c>
      <c r="Y213" s="21"/>
      <c r="Z213" s="22"/>
      <c r="AA213" s="23" t="s">
        <v>808</v>
      </c>
      <c r="AB213" s="13"/>
    </row>
    <row r="214" customFormat="false" ht="44" hidden="false" customHeight="false" outlineLevel="0" collapsed="false">
      <c r="A214" s="16" t="n">
        <v>213</v>
      </c>
      <c r="B214" s="9" t="s">
        <v>65</v>
      </c>
      <c r="C214" s="9" t="s">
        <v>142</v>
      </c>
      <c r="D214" s="10" t="s">
        <v>143</v>
      </c>
      <c r="E214" s="24" t="s">
        <v>809</v>
      </c>
      <c r="F214" s="12"/>
      <c r="G214" s="23" t="s">
        <v>810</v>
      </c>
      <c r="H214" s="14" t="n">
        <v>-0.945</v>
      </c>
      <c r="I214" s="15"/>
      <c r="J214" s="12"/>
      <c r="K214" s="9"/>
      <c r="L214" s="16" t="s">
        <v>51</v>
      </c>
      <c r="M214" s="17" t="s">
        <v>79</v>
      </c>
      <c r="N214" s="15"/>
      <c r="O214" s="16" t="s">
        <v>54</v>
      </c>
      <c r="P214" s="12" t="s">
        <v>80</v>
      </c>
      <c r="Q214" s="16"/>
      <c r="R214" s="18" t="s">
        <v>79</v>
      </c>
      <c r="S214" s="19"/>
      <c r="T214" s="12" t="str">
        <f aca="false">IF(R214="維持",J214,IF(R214="排除","無關新聞事件",IFERROR(INDEX(事件規則!$B$2:$B$53,MATCH(S214,事件規則!$A$2:$A$53,0)),"")))</f>
        <v>無關新聞事件</v>
      </c>
      <c r="U214" s="20" t="n">
        <f aca="false">IF(R214="維持",K214,IF(R214="排除",0,IFERROR(INDEX(事件規則!$C$2:$C$53,MATCH(S214,事件規則!$A$2:$A$53,0)),"")))</f>
        <v>0</v>
      </c>
      <c r="V214" s="21"/>
      <c r="W214" s="22"/>
      <c r="X214" s="10" t="str">
        <f aca="false">IF(AND(R214="修改",S214=""),"請選新事件代碼",IF(AND(R214&lt;&gt;"修改",S214&lt;&gt;""),"只有「修改」才需填代碼",""))</f>
        <v/>
      </c>
      <c r="Y214" s="21"/>
      <c r="Z214" s="22"/>
      <c r="AA214" s="23" t="s">
        <v>811</v>
      </c>
      <c r="AB214" s="13"/>
    </row>
    <row r="215" customFormat="false" ht="44" hidden="false" customHeight="false" outlineLevel="0" collapsed="false">
      <c r="A215" s="16" t="n">
        <v>214</v>
      </c>
      <c r="B215" s="9" t="s">
        <v>65</v>
      </c>
      <c r="C215" s="9" t="s">
        <v>99</v>
      </c>
      <c r="D215" s="10" t="s">
        <v>100</v>
      </c>
      <c r="E215" s="24" t="s">
        <v>812</v>
      </c>
      <c r="F215" s="12"/>
      <c r="G215" s="23" t="s">
        <v>120</v>
      </c>
      <c r="H215" s="14" t="n">
        <v>-0.945</v>
      </c>
      <c r="I215" s="15"/>
      <c r="J215" s="12"/>
      <c r="K215" s="9"/>
      <c r="L215" s="16" t="s">
        <v>51</v>
      </c>
      <c r="M215" s="17" t="s">
        <v>79</v>
      </c>
      <c r="N215" s="15"/>
      <c r="O215" s="16" t="s">
        <v>54</v>
      </c>
      <c r="P215" s="12" t="s">
        <v>80</v>
      </c>
      <c r="Q215" s="16"/>
      <c r="R215" s="18" t="s">
        <v>79</v>
      </c>
      <c r="S215" s="19"/>
      <c r="T215" s="12" t="str">
        <f aca="false">IF(R215="維持",J215,IF(R215="排除","無關新聞事件",IFERROR(INDEX(事件規則!$B$2:$B$53,MATCH(S215,事件規則!$A$2:$A$53,0)),"")))</f>
        <v>無關新聞事件</v>
      </c>
      <c r="U215" s="20" t="n">
        <f aca="false">IF(R215="維持",K215,IF(R215="排除",0,IFERROR(INDEX(事件規則!$C$2:$C$53,MATCH(S215,事件規則!$A$2:$A$53,0)),"")))</f>
        <v>0</v>
      </c>
      <c r="V215" s="21"/>
      <c r="W215" s="22"/>
      <c r="X215" s="10" t="str">
        <f aca="false">IF(AND(R215="修改",S215=""),"請選新事件代碼",IF(AND(R215&lt;&gt;"修改",S215&lt;&gt;""),"只有「修改」才需填代碼",""))</f>
        <v/>
      </c>
      <c r="Y215" s="21"/>
      <c r="Z215" s="22"/>
      <c r="AA215" s="23" t="s">
        <v>813</v>
      </c>
      <c r="AB215" s="13"/>
    </row>
    <row r="216" customFormat="false" ht="23.85" hidden="false" customHeight="false" outlineLevel="0" collapsed="false">
      <c r="A216" s="16" t="n">
        <v>215</v>
      </c>
      <c r="B216" s="9" t="s">
        <v>331</v>
      </c>
      <c r="C216" s="9" t="s">
        <v>240</v>
      </c>
      <c r="D216" s="10" t="s">
        <v>241</v>
      </c>
      <c r="E216" s="24" t="s">
        <v>814</v>
      </c>
      <c r="F216" s="12"/>
      <c r="G216" s="23" t="s">
        <v>815</v>
      </c>
      <c r="H216" s="14" t="n">
        <v>-0.945</v>
      </c>
      <c r="I216" s="15"/>
      <c r="J216" s="12"/>
      <c r="K216" s="9"/>
      <c r="L216" s="16" t="s">
        <v>51</v>
      </c>
      <c r="M216" s="17" t="s">
        <v>52</v>
      </c>
      <c r="N216" s="15" t="s">
        <v>61</v>
      </c>
      <c r="O216" s="16" t="s">
        <v>54</v>
      </c>
      <c r="P216" s="12" t="s">
        <v>244</v>
      </c>
      <c r="Q216" s="16"/>
      <c r="R216" s="18" t="s">
        <v>52</v>
      </c>
      <c r="S216" s="19" t="s">
        <v>61</v>
      </c>
      <c r="T216" s="12" t="str">
        <f aca="false">IF(R216="維持",J216,IF(R216="排除","無關新聞事件",IFERROR(INDEX(事件規則!$B$2:$B$53,MATCH(S216,事件規則!$A$2:$A$53,0)),"")))</f>
        <v>裁員或人力縮減</v>
      </c>
      <c r="U216" s="20" t="n">
        <f aca="false">IF(R216="維持",K216,IF(R216="排除",0,IFERROR(INDEX(事件規則!$C$2:$C$53,MATCH(S216,事件規則!$A$2:$A$53,0)),"")))</f>
        <v>3</v>
      </c>
      <c r="V216" s="21"/>
      <c r="W216" s="22"/>
      <c r="X216" s="10" t="str">
        <f aca="false">IF(AND(R216="修改",S216=""),"請選新事件代碼",IF(AND(R216&lt;&gt;"修改",S216&lt;&gt;""),"只有「修改」才需填代碼",""))</f>
        <v/>
      </c>
      <c r="Y216" s="21"/>
      <c r="Z216" s="22"/>
      <c r="AA216" s="23" t="s">
        <v>816</v>
      </c>
      <c r="AB216" s="13"/>
    </row>
    <row r="217" customFormat="false" ht="23.85" hidden="false" customHeight="false" outlineLevel="0" collapsed="false">
      <c r="A217" s="16" t="n">
        <v>216</v>
      </c>
      <c r="B217" s="9" t="s">
        <v>65</v>
      </c>
      <c r="C217" s="9" t="s">
        <v>240</v>
      </c>
      <c r="D217" s="10" t="s">
        <v>241</v>
      </c>
      <c r="E217" s="24" t="s">
        <v>814</v>
      </c>
      <c r="F217" s="12"/>
      <c r="G217" s="23" t="s">
        <v>817</v>
      </c>
      <c r="H217" s="14" t="n">
        <v>-0.945</v>
      </c>
      <c r="I217" s="15"/>
      <c r="J217" s="12"/>
      <c r="K217" s="9"/>
      <c r="L217" s="16" t="s">
        <v>51</v>
      </c>
      <c r="M217" s="17" t="s">
        <v>52</v>
      </c>
      <c r="N217" s="15" t="s">
        <v>61</v>
      </c>
      <c r="O217" s="16" t="s">
        <v>54</v>
      </c>
      <c r="P217" s="12" t="s">
        <v>244</v>
      </c>
      <c r="Q217" s="16"/>
      <c r="R217" s="18" t="s">
        <v>52</v>
      </c>
      <c r="S217" s="19" t="s">
        <v>61</v>
      </c>
      <c r="T217" s="12" t="str">
        <f aca="false">IF(R217="維持",J217,IF(R217="排除","無關新聞事件",IFERROR(INDEX(事件規則!$B$2:$B$53,MATCH(S217,事件規則!$A$2:$A$53,0)),"")))</f>
        <v>裁員或人力縮減</v>
      </c>
      <c r="U217" s="20" t="n">
        <f aca="false">IF(R217="維持",K217,IF(R217="排除",0,IFERROR(INDEX(事件規則!$C$2:$C$53,MATCH(S217,事件規則!$A$2:$A$53,0)),"")))</f>
        <v>3</v>
      </c>
      <c r="V217" s="21"/>
      <c r="W217" s="22"/>
      <c r="X217" s="10" t="str">
        <f aca="false">IF(AND(R217="修改",S217=""),"請選新事件代碼",IF(AND(R217&lt;&gt;"修改",S217&lt;&gt;""),"只有「修改」才需填代碼",""))</f>
        <v/>
      </c>
      <c r="Y217" s="21"/>
      <c r="Z217" s="22"/>
      <c r="AA217" s="23" t="s">
        <v>818</v>
      </c>
      <c r="AB217" s="13"/>
    </row>
    <row r="218" customFormat="false" ht="23.85" hidden="false" customHeight="false" outlineLevel="0" collapsed="false">
      <c r="A218" s="16" t="n">
        <v>217</v>
      </c>
      <c r="B218" s="9" t="s">
        <v>45</v>
      </c>
      <c r="C218" s="9" t="s">
        <v>246</v>
      </c>
      <c r="D218" s="10" t="s">
        <v>247</v>
      </c>
      <c r="E218" s="24" t="s">
        <v>819</v>
      </c>
      <c r="F218" s="12"/>
      <c r="G218" s="23" t="s">
        <v>820</v>
      </c>
      <c r="H218" s="14" t="n">
        <v>-0.945</v>
      </c>
      <c r="I218" s="15"/>
      <c r="J218" s="12"/>
      <c r="K218" s="9"/>
      <c r="L218" s="16" t="s">
        <v>51</v>
      </c>
      <c r="M218" s="17" t="s">
        <v>52</v>
      </c>
      <c r="N218" s="15" t="s">
        <v>746</v>
      </c>
      <c r="O218" s="16" t="s">
        <v>62</v>
      </c>
      <c r="P218" s="12" t="s">
        <v>747</v>
      </c>
      <c r="Q218" s="16"/>
      <c r="R218" s="18" t="s">
        <v>52</v>
      </c>
      <c r="S218" s="19" t="s">
        <v>746</v>
      </c>
      <c r="T218" s="12" t="str">
        <f aca="false">IF(R218="維持",J218,IF(R218="排除","無關新聞事件",IFERROR(INDEX(事件規則!$B$2:$B$53,MATCH(S218,事件規則!$A$2:$A$53,0)),"")))</f>
        <v>監管裁罰</v>
      </c>
      <c r="U218" s="20" t="n">
        <f aca="false">IF(R218="維持",K218,IF(R218="排除",0,IFERROR(INDEX(事件規則!$C$2:$C$53,MATCH(S218,事件規則!$A$2:$A$53,0)),"")))</f>
        <v>4</v>
      </c>
      <c r="V218" s="21"/>
      <c r="W218" s="22"/>
      <c r="X218" s="10" t="str">
        <f aca="false">IF(AND(R218="修改",S218=""),"請選新事件代碼",IF(AND(R218&lt;&gt;"修改",S218&lt;&gt;""),"只有「修改」才需填代碼",""))</f>
        <v/>
      </c>
      <c r="Y218" s="21"/>
      <c r="Z218" s="22"/>
      <c r="AA218" s="23" t="s">
        <v>821</v>
      </c>
      <c r="AB218" s="13"/>
    </row>
    <row r="219" customFormat="false" ht="44" hidden="false" customHeight="false" outlineLevel="0" collapsed="false">
      <c r="A219" s="16" t="n">
        <v>218</v>
      </c>
      <c r="B219" s="9" t="s">
        <v>331</v>
      </c>
      <c r="C219" s="9" t="s">
        <v>822</v>
      </c>
      <c r="D219" s="10" t="s">
        <v>823</v>
      </c>
      <c r="E219" s="24" t="s">
        <v>824</v>
      </c>
      <c r="F219" s="12"/>
      <c r="G219" s="23" t="s">
        <v>199</v>
      </c>
      <c r="H219" s="14" t="n">
        <v>-0.945</v>
      </c>
      <c r="I219" s="15"/>
      <c r="J219" s="12"/>
      <c r="K219" s="9"/>
      <c r="L219" s="16" t="s">
        <v>51</v>
      </c>
      <c r="M219" s="17" t="s">
        <v>79</v>
      </c>
      <c r="N219" s="15"/>
      <c r="O219" s="16" t="s">
        <v>54</v>
      </c>
      <c r="P219" s="12" t="s">
        <v>80</v>
      </c>
      <c r="Q219" s="16"/>
      <c r="R219" s="18" t="s">
        <v>79</v>
      </c>
      <c r="S219" s="19"/>
      <c r="T219" s="12" t="str">
        <f aca="false">IF(R219="維持",J219,IF(R219="排除","無關新聞事件",IFERROR(INDEX(事件規則!$B$2:$B$53,MATCH(S219,事件規則!$A$2:$A$53,0)),"")))</f>
        <v>無關新聞事件</v>
      </c>
      <c r="U219" s="20" t="n">
        <f aca="false">IF(R219="維持",K219,IF(R219="排除",0,IFERROR(INDEX(事件規則!$C$2:$C$53,MATCH(S219,事件規則!$A$2:$A$53,0)),"")))</f>
        <v>0</v>
      </c>
      <c r="V219" s="21"/>
      <c r="W219" s="22"/>
      <c r="X219" s="10" t="str">
        <f aca="false">IF(AND(R219="修改",S219=""),"請選新事件代碼",IF(AND(R219&lt;&gt;"修改",S219&lt;&gt;""),"只有「修改」才需填代碼",""))</f>
        <v/>
      </c>
      <c r="Y219" s="21"/>
      <c r="Z219" s="22"/>
      <c r="AA219" s="23" t="s">
        <v>825</v>
      </c>
      <c r="AB219" s="13"/>
    </row>
    <row r="220" customFormat="false" ht="44" hidden="false" customHeight="false" outlineLevel="0" collapsed="false">
      <c r="A220" s="16" t="n">
        <v>219</v>
      </c>
      <c r="B220" s="9" t="s">
        <v>65</v>
      </c>
      <c r="C220" s="9" t="s">
        <v>826</v>
      </c>
      <c r="D220" s="10" t="s">
        <v>827</v>
      </c>
      <c r="E220" s="24" t="s">
        <v>828</v>
      </c>
      <c r="F220" s="12"/>
      <c r="G220" s="23" t="s">
        <v>829</v>
      </c>
      <c r="H220" s="14" t="n">
        <v>-0.944</v>
      </c>
      <c r="I220" s="15"/>
      <c r="J220" s="12"/>
      <c r="K220" s="9"/>
      <c r="L220" s="16" t="s">
        <v>51</v>
      </c>
      <c r="M220" s="17" t="s">
        <v>79</v>
      </c>
      <c r="N220" s="15"/>
      <c r="O220" s="16" t="s">
        <v>54</v>
      </c>
      <c r="P220" s="12" t="s">
        <v>80</v>
      </c>
      <c r="Q220" s="16"/>
      <c r="R220" s="18" t="s">
        <v>79</v>
      </c>
      <c r="S220" s="19"/>
      <c r="T220" s="12" t="str">
        <f aca="false">IF(R220="維持",J220,IF(R220="排除","無關新聞事件",IFERROR(INDEX(事件規則!$B$2:$B$53,MATCH(S220,事件規則!$A$2:$A$53,0)),"")))</f>
        <v>無關新聞事件</v>
      </c>
      <c r="U220" s="20" t="n">
        <f aca="false">IF(R220="維持",K220,IF(R220="排除",0,IFERROR(INDEX(事件規則!$C$2:$C$53,MATCH(S220,事件規則!$A$2:$A$53,0)),"")))</f>
        <v>0</v>
      </c>
      <c r="V220" s="21"/>
      <c r="W220" s="22"/>
      <c r="X220" s="10" t="str">
        <f aca="false">IF(AND(R220="修改",S220=""),"請選新事件代碼",IF(AND(R220&lt;&gt;"修改",S220&lt;&gt;""),"只有「修改」才需填代碼",""))</f>
        <v/>
      </c>
      <c r="Y220" s="21"/>
      <c r="Z220" s="22"/>
      <c r="AA220" s="23" t="s">
        <v>830</v>
      </c>
      <c r="AB220" s="13"/>
    </row>
    <row r="221" customFormat="false" ht="44" hidden="false" customHeight="false" outlineLevel="0" collapsed="false">
      <c r="A221" s="16" t="n">
        <v>220</v>
      </c>
      <c r="B221" s="9" t="s">
        <v>65</v>
      </c>
      <c r="C221" s="9" t="s">
        <v>456</v>
      </c>
      <c r="D221" s="10" t="s">
        <v>457</v>
      </c>
      <c r="E221" s="24" t="s">
        <v>831</v>
      </c>
      <c r="F221" s="12"/>
      <c r="G221" s="23" t="s">
        <v>832</v>
      </c>
      <c r="H221" s="14" t="n">
        <v>-0.944</v>
      </c>
      <c r="I221" s="15"/>
      <c r="J221" s="12"/>
      <c r="K221" s="9"/>
      <c r="L221" s="16" t="s">
        <v>51</v>
      </c>
      <c r="M221" s="17" t="s">
        <v>79</v>
      </c>
      <c r="N221" s="15"/>
      <c r="O221" s="16" t="s">
        <v>54</v>
      </c>
      <c r="P221" s="12" t="s">
        <v>80</v>
      </c>
      <c r="Q221" s="16"/>
      <c r="R221" s="18" t="s">
        <v>79</v>
      </c>
      <c r="S221" s="19"/>
      <c r="T221" s="12" t="str">
        <f aca="false">IF(R221="維持",J221,IF(R221="排除","無關新聞事件",IFERROR(INDEX(事件規則!$B$2:$B$53,MATCH(S221,事件規則!$A$2:$A$53,0)),"")))</f>
        <v>無關新聞事件</v>
      </c>
      <c r="U221" s="20" t="n">
        <f aca="false">IF(R221="維持",K221,IF(R221="排除",0,IFERROR(INDEX(事件規則!$C$2:$C$53,MATCH(S221,事件規則!$A$2:$A$53,0)),"")))</f>
        <v>0</v>
      </c>
      <c r="V221" s="21"/>
      <c r="W221" s="22"/>
      <c r="X221" s="10" t="str">
        <f aca="false">IF(AND(R221="修改",S221=""),"請選新事件代碼",IF(AND(R221&lt;&gt;"修改",S221&lt;&gt;""),"只有「修改」才需填代碼",""))</f>
        <v/>
      </c>
      <c r="Y221" s="21"/>
      <c r="Z221" s="22"/>
      <c r="AA221" s="23" t="s">
        <v>833</v>
      </c>
      <c r="AB221" s="13"/>
    </row>
    <row r="222" customFormat="false" ht="23.85" hidden="false" customHeight="false" outlineLevel="0" collapsed="false">
      <c r="A222" s="16" t="n">
        <v>221</v>
      </c>
      <c r="B222" s="9" t="s">
        <v>386</v>
      </c>
      <c r="C222" s="9" t="s">
        <v>57</v>
      </c>
      <c r="D222" s="10" t="s">
        <v>58</v>
      </c>
      <c r="E222" s="24" t="s">
        <v>834</v>
      </c>
      <c r="F222" s="12"/>
      <c r="G222" s="23" t="s">
        <v>392</v>
      </c>
      <c r="H222" s="14" t="n">
        <v>-0.944</v>
      </c>
      <c r="I222" s="15"/>
      <c r="J222" s="12"/>
      <c r="K222" s="9"/>
      <c r="L222" s="16" t="s">
        <v>51</v>
      </c>
      <c r="M222" s="17" t="s">
        <v>52</v>
      </c>
      <c r="N222" s="15" t="s">
        <v>61</v>
      </c>
      <c r="O222" s="16" t="s">
        <v>62</v>
      </c>
      <c r="P222" s="12" t="s">
        <v>63</v>
      </c>
      <c r="Q222" s="16"/>
      <c r="R222" s="18" t="s">
        <v>52</v>
      </c>
      <c r="S222" s="19" t="s">
        <v>61</v>
      </c>
      <c r="T222" s="12" t="str">
        <f aca="false">IF(R222="維持",J222,IF(R222="排除","無關新聞事件",IFERROR(INDEX(事件規則!$B$2:$B$53,MATCH(S222,事件規則!$A$2:$A$53,0)),"")))</f>
        <v>裁員或人力縮減</v>
      </c>
      <c r="U222" s="20" t="n">
        <f aca="false">IF(R222="維持",K222,IF(R222="排除",0,IFERROR(INDEX(事件規則!$C$2:$C$53,MATCH(S222,事件規則!$A$2:$A$53,0)),"")))</f>
        <v>3</v>
      </c>
      <c r="V222" s="21"/>
      <c r="W222" s="22"/>
      <c r="X222" s="10" t="str">
        <f aca="false">IF(AND(R222="修改",S222=""),"請選新事件代碼",IF(AND(R222&lt;&gt;"修改",S222&lt;&gt;""),"只有「修改」才需填代碼",""))</f>
        <v/>
      </c>
      <c r="Y222" s="21"/>
      <c r="Z222" s="22"/>
      <c r="AA222" s="23" t="s">
        <v>835</v>
      </c>
      <c r="AB222" s="13"/>
    </row>
    <row r="223" customFormat="false" ht="44" hidden="false" customHeight="false" outlineLevel="0" collapsed="false">
      <c r="A223" s="16" t="n">
        <v>222</v>
      </c>
      <c r="B223" s="9" t="s">
        <v>331</v>
      </c>
      <c r="C223" s="9" t="s">
        <v>836</v>
      </c>
      <c r="D223" s="10" t="s">
        <v>837</v>
      </c>
      <c r="E223" s="24" t="s">
        <v>838</v>
      </c>
      <c r="F223" s="12"/>
      <c r="G223" s="23" t="s">
        <v>224</v>
      </c>
      <c r="H223" s="14" t="n">
        <v>-0.944</v>
      </c>
      <c r="I223" s="15"/>
      <c r="J223" s="12"/>
      <c r="K223" s="9"/>
      <c r="L223" s="16" t="s">
        <v>51</v>
      </c>
      <c r="M223" s="17" t="s">
        <v>79</v>
      </c>
      <c r="N223" s="15"/>
      <c r="O223" s="16" t="s">
        <v>54</v>
      </c>
      <c r="P223" s="12" t="s">
        <v>80</v>
      </c>
      <c r="Q223" s="16"/>
      <c r="R223" s="18" t="s">
        <v>79</v>
      </c>
      <c r="S223" s="19"/>
      <c r="T223" s="12" t="str">
        <f aca="false">IF(R223="維持",J223,IF(R223="排除","無關新聞事件",IFERROR(INDEX(事件規則!$B$2:$B$53,MATCH(S223,事件規則!$A$2:$A$53,0)),"")))</f>
        <v>無關新聞事件</v>
      </c>
      <c r="U223" s="20" t="n">
        <f aca="false">IF(R223="維持",K223,IF(R223="排除",0,IFERROR(INDEX(事件規則!$C$2:$C$53,MATCH(S223,事件規則!$A$2:$A$53,0)),"")))</f>
        <v>0</v>
      </c>
      <c r="V223" s="21"/>
      <c r="W223" s="22"/>
      <c r="X223" s="10" t="str">
        <f aca="false">IF(AND(R223="修改",S223=""),"請選新事件代碼",IF(AND(R223&lt;&gt;"修改",S223&lt;&gt;""),"只有「修改」才需填代碼",""))</f>
        <v/>
      </c>
      <c r="Y223" s="21"/>
      <c r="Z223" s="22"/>
      <c r="AA223" s="23" t="s">
        <v>839</v>
      </c>
      <c r="AB223" s="13"/>
    </row>
    <row r="224" customFormat="false" ht="44" hidden="false" customHeight="false" outlineLevel="0" collapsed="false">
      <c r="A224" s="16" t="n">
        <v>223</v>
      </c>
      <c r="B224" s="9" t="s">
        <v>331</v>
      </c>
      <c r="C224" s="9" t="s">
        <v>840</v>
      </c>
      <c r="D224" s="10" t="s">
        <v>841</v>
      </c>
      <c r="E224" s="24" t="s">
        <v>838</v>
      </c>
      <c r="F224" s="12"/>
      <c r="G224" s="23" t="s">
        <v>224</v>
      </c>
      <c r="H224" s="14" t="n">
        <v>-0.944</v>
      </c>
      <c r="I224" s="15"/>
      <c r="J224" s="12"/>
      <c r="K224" s="9"/>
      <c r="L224" s="16" t="s">
        <v>51</v>
      </c>
      <c r="M224" s="17" t="s">
        <v>79</v>
      </c>
      <c r="N224" s="15"/>
      <c r="O224" s="16" t="s">
        <v>54</v>
      </c>
      <c r="P224" s="12" t="s">
        <v>80</v>
      </c>
      <c r="Q224" s="16"/>
      <c r="R224" s="18" t="s">
        <v>79</v>
      </c>
      <c r="S224" s="19"/>
      <c r="T224" s="12" t="str">
        <f aca="false">IF(R224="維持",J224,IF(R224="排除","無關新聞事件",IFERROR(INDEX(事件規則!$B$2:$B$53,MATCH(S224,事件規則!$A$2:$A$53,0)),"")))</f>
        <v>無關新聞事件</v>
      </c>
      <c r="U224" s="20" t="n">
        <f aca="false">IF(R224="維持",K224,IF(R224="排除",0,IFERROR(INDEX(事件規則!$C$2:$C$53,MATCH(S224,事件規則!$A$2:$A$53,0)),"")))</f>
        <v>0</v>
      </c>
      <c r="V224" s="21"/>
      <c r="W224" s="22"/>
      <c r="X224" s="10" t="str">
        <f aca="false">IF(AND(R224="修改",S224=""),"請選新事件代碼",IF(AND(R224&lt;&gt;"修改",S224&lt;&gt;""),"只有「修改」才需填代碼",""))</f>
        <v/>
      </c>
      <c r="Y224" s="21"/>
      <c r="Z224" s="22"/>
      <c r="AA224" s="23" t="s">
        <v>842</v>
      </c>
      <c r="AB224" s="13"/>
    </row>
    <row r="225" customFormat="false" ht="23.85" hidden="false" customHeight="false" outlineLevel="0" collapsed="false">
      <c r="A225" s="16" t="n">
        <v>224</v>
      </c>
      <c r="B225" s="9" t="s">
        <v>386</v>
      </c>
      <c r="C225" s="9" t="s">
        <v>179</v>
      </c>
      <c r="D225" s="10" t="s">
        <v>180</v>
      </c>
      <c r="E225" s="24" t="s">
        <v>843</v>
      </c>
      <c r="F225" s="12"/>
      <c r="G225" s="23" t="s">
        <v>490</v>
      </c>
      <c r="H225" s="14" t="n">
        <v>-0.944</v>
      </c>
      <c r="I225" s="15"/>
      <c r="J225" s="12"/>
      <c r="K225" s="9"/>
      <c r="L225" s="16" t="s">
        <v>51</v>
      </c>
      <c r="M225" s="17" t="s">
        <v>52</v>
      </c>
      <c r="N225" s="15" t="s">
        <v>61</v>
      </c>
      <c r="O225" s="16" t="s">
        <v>62</v>
      </c>
      <c r="P225" s="10" t="s">
        <v>652</v>
      </c>
      <c r="Q225" s="16"/>
      <c r="R225" s="18" t="s">
        <v>52</v>
      </c>
      <c r="S225" s="19" t="s">
        <v>61</v>
      </c>
      <c r="T225" s="12" t="str">
        <f aca="false">IF(R225="維持",J225,IF(R225="排除","無關新聞事件",IFERROR(INDEX(事件規則!$B$2:$B$53,MATCH(S225,事件規則!$A$2:$A$53,0)),"")))</f>
        <v>裁員或人力縮減</v>
      </c>
      <c r="U225" s="20" t="n">
        <f aca="false">IF(R225="維持",K225,IF(R225="排除",0,IFERROR(INDEX(事件規則!$C$2:$C$53,MATCH(S225,事件規則!$A$2:$A$53,0)),"")))</f>
        <v>3</v>
      </c>
      <c r="V225" s="21"/>
      <c r="W225" s="22"/>
      <c r="X225" s="10" t="str">
        <f aca="false">IF(AND(R225="修改",S225=""),"請選新事件代碼",IF(AND(R225&lt;&gt;"修改",S225&lt;&gt;""),"只有「修改」才需填代碼",""))</f>
        <v/>
      </c>
      <c r="Y225" s="21"/>
      <c r="Z225" s="22"/>
      <c r="AA225" s="23" t="s">
        <v>844</v>
      </c>
      <c r="AB225" s="13"/>
    </row>
    <row r="226" customFormat="false" ht="23.85" hidden="false" customHeight="false" outlineLevel="0" collapsed="false">
      <c r="A226" s="16" t="n">
        <v>225</v>
      </c>
      <c r="B226" s="9" t="s">
        <v>45</v>
      </c>
      <c r="C226" s="9" t="s">
        <v>57</v>
      </c>
      <c r="D226" s="10" t="s">
        <v>58</v>
      </c>
      <c r="E226" s="24" t="s">
        <v>834</v>
      </c>
      <c r="F226" s="12"/>
      <c r="G226" s="23" t="s">
        <v>392</v>
      </c>
      <c r="H226" s="14" t="n">
        <v>-0.944</v>
      </c>
      <c r="I226" s="15"/>
      <c r="J226" s="12"/>
      <c r="K226" s="9"/>
      <c r="L226" s="16" t="s">
        <v>51</v>
      </c>
      <c r="M226" s="17" t="s">
        <v>52</v>
      </c>
      <c r="N226" s="15" t="s">
        <v>61</v>
      </c>
      <c r="O226" s="16" t="s">
        <v>62</v>
      </c>
      <c r="P226" s="12" t="s">
        <v>63</v>
      </c>
      <c r="Q226" s="16"/>
      <c r="R226" s="18" t="s">
        <v>52</v>
      </c>
      <c r="S226" s="19" t="s">
        <v>61</v>
      </c>
      <c r="T226" s="12" t="str">
        <f aca="false">IF(R226="維持",J226,IF(R226="排除","無關新聞事件",IFERROR(INDEX(事件規則!$B$2:$B$53,MATCH(S226,事件規則!$A$2:$A$53,0)),"")))</f>
        <v>裁員或人力縮減</v>
      </c>
      <c r="U226" s="20" t="n">
        <f aca="false">IF(R226="維持",K226,IF(R226="排除",0,IFERROR(INDEX(事件規則!$C$2:$C$53,MATCH(S226,事件規則!$A$2:$A$53,0)),"")))</f>
        <v>3</v>
      </c>
      <c r="V226" s="21"/>
      <c r="W226" s="22"/>
      <c r="X226" s="10" t="str">
        <f aca="false">IF(AND(R226="修改",S226=""),"請選新事件代碼",IF(AND(R226&lt;&gt;"修改",S226&lt;&gt;""),"只有「修改」才需填代碼",""))</f>
        <v/>
      </c>
      <c r="Y226" s="21"/>
      <c r="Z226" s="22"/>
      <c r="AA226" s="23" t="s">
        <v>835</v>
      </c>
      <c r="AB226" s="13"/>
    </row>
    <row r="227" customFormat="false" ht="44" hidden="false" customHeight="false" outlineLevel="0" collapsed="false">
      <c r="A227" s="16" t="n">
        <v>226</v>
      </c>
      <c r="B227" s="9" t="s">
        <v>331</v>
      </c>
      <c r="C227" s="9" t="s">
        <v>246</v>
      </c>
      <c r="D227" s="10" t="s">
        <v>247</v>
      </c>
      <c r="E227" s="24" t="s">
        <v>845</v>
      </c>
      <c r="F227" s="12"/>
      <c r="G227" s="23" t="s">
        <v>199</v>
      </c>
      <c r="H227" s="14" t="n">
        <v>-0.943</v>
      </c>
      <c r="I227" s="15"/>
      <c r="J227" s="12"/>
      <c r="K227" s="9"/>
      <c r="L227" s="16" t="s">
        <v>51</v>
      </c>
      <c r="M227" s="17" t="s">
        <v>79</v>
      </c>
      <c r="N227" s="15"/>
      <c r="O227" s="16" t="s">
        <v>54</v>
      </c>
      <c r="P227" s="12" t="s">
        <v>80</v>
      </c>
      <c r="Q227" s="16"/>
      <c r="R227" s="18" t="s">
        <v>79</v>
      </c>
      <c r="S227" s="19"/>
      <c r="T227" s="12" t="str">
        <f aca="false">IF(R227="維持",J227,IF(R227="排除","無關新聞事件",IFERROR(INDEX(事件規則!$B$2:$B$53,MATCH(S227,事件規則!$A$2:$A$53,0)),"")))</f>
        <v>無關新聞事件</v>
      </c>
      <c r="U227" s="20" t="n">
        <f aca="false">IF(R227="維持",K227,IF(R227="排除",0,IFERROR(INDEX(事件規則!$C$2:$C$53,MATCH(S227,事件規則!$A$2:$A$53,0)),"")))</f>
        <v>0</v>
      </c>
      <c r="V227" s="21"/>
      <c r="W227" s="22"/>
      <c r="X227" s="10" t="str">
        <f aca="false">IF(AND(R227="修改",S227=""),"請選新事件代碼",IF(AND(R227&lt;&gt;"修改",S227&lt;&gt;""),"只有「修改」才需填代碼",""))</f>
        <v/>
      </c>
      <c r="Y227" s="21"/>
      <c r="Z227" s="22"/>
      <c r="AA227" s="23" t="s">
        <v>846</v>
      </c>
      <c r="AB227" s="13"/>
    </row>
    <row r="228" customFormat="false" ht="44" hidden="false" customHeight="false" outlineLevel="0" collapsed="false">
      <c r="A228" s="16" t="n">
        <v>227</v>
      </c>
      <c r="B228" s="9" t="s">
        <v>45</v>
      </c>
      <c r="C228" s="9" t="s">
        <v>69</v>
      </c>
      <c r="D228" s="10" t="s">
        <v>70</v>
      </c>
      <c r="E228" s="24" t="s">
        <v>847</v>
      </c>
      <c r="F228" s="12"/>
      <c r="G228" s="23" t="s">
        <v>848</v>
      </c>
      <c r="H228" s="14" t="n">
        <v>-0.943</v>
      </c>
      <c r="I228" s="15"/>
      <c r="J228" s="12"/>
      <c r="K228" s="9"/>
      <c r="L228" s="16" t="s">
        <v>51</v>
      </c>
      <c r="M228" s="17" t="s">
        <v>79</v>
      </c>
      <c r="N228" s="15"/>
      <c r="O228" s="16" t="s">
        <v>54</v>
      </c>
      <c r="P228" s="12" t="s">
        <v>80</v>
      </c>
      <c r="Q228" s="16"/>
      <c r="R228" s="18" t="s">
        <v>79</v>
      </c>
      <c r="S228" s="19"/>
      <c r="T228" s="12" t="str">
        <f aca="false">IF(R228="維持",J228,IF(R228="排除","無關新聞事件",IFERROR(INDEX(事件規則!$B$2:$B$53,MATCH(S228,事件規則!$A$2:$A$53,0)),"")))</f>
        <v>無關新聞事件</v>
      </c>
      <c r="U228" s="20" t="n">
        <f aca="false">IF(R228="維持",K228,IF(R228="排除",0,IFERROR(INDEX(事件規則!$C$2:$C$53,MATCH(S228,事件規則!$A$2:$A$53,0)),"")))</f>
        <v>0</v>
      </c>
      <c r="V228" s="21"/>
      <c r="W228" s="22"/>
      <c r="X228" s="10" t="str">
        <f aca="false">IF(AND(R228="修改",S228=""),"請選新事件代碼",IF(AND(R228&lt;&gt;"修改",S228&lt;&gt;""),"只有「修改」才需填代碼",""))</f>
        <v/>
      </c>
      <c r="Y228" s="21"/>
      <c r="Z228" s="22"/>
      <c r="AA228" s="23" t="s">
        <v>849</v>
      </c>
      <c r="AB228" s="13"/>
    </row>
    <row r="229" customFormat="false" ht="44" hidden="false" customHeight="false" outlineLevel="0" collapsed="false">
      <c r="A229" s="16" t="n">
        <v>228</v>
      </c>
      <c r="B229" s="9" t="s">
        <v>45</v>
      </c>
      <c r="C229" s="9" t="s">
        <v>108</v>
      </c>
      <c r="D229" s="10" t="s">
        <v>109</v>
      </c>
      <c r="E229" s="24" t="s">
        <v>850</v>
      </c>
      <c r="F229" s="12"/>
      <c r="G229" s="23" t="s">
        <v>78</v>
      </c>
      <c r="H229" s="14" t="n">
        <v>-0.943</v>
      </c>
      <c r="I229" s="15"/>
      <c r="J229" s="12"/>
      <c r="K229" s="9"/>
      <c r="L229" s="16" t="s">
        <v>51</v>
      </c>
      <c r="M229" s="17" t="s">
        <v>79</v>
      </c>
      <c r="N229" s="15"/>
      <c r="O229" s="16" t="s">
        <v>54</v>
      </c>
      <c r="P229" s="12" t="s">
        <v>80</v>
      </c>
      <c r="Q229" s="16"/>
      <c r="R229" s="18" t="s">
        <v>79</v>
      </c>
      <c r="S229" s="19"/>
      <c r="T229" s="12" t="str">
        <f aca="false">IF(R229="維持",J229,IF(R229="排除","無關新聞事件",IFERROR(INDEX(事件規則!$B$2:$B$53,MATCH(S229,事件規則!$A$2:$A$53,0)),"")))</f>
        <v>無關新聞事件</v>
      </c>
      <c r="U229" s="20" t="n">
        <f aca="false">IF(R229="維持",K229,IF(R229="排除",0,IFERROR(INDEX(事件規則!$C$2:$C$53,MATCH(S229,事件規則!$A$2:$A$53,0)),"")))</f>
        <v>0</v>
      </c>
      <c r="V229" s="21"/>
      <c r="W229" s="22"/>
      <c r="X229" s="10" t="str">
        <f aca="false">IF(AND(R229="修改",S229=""),"請選新事件代碼",IF(AND(R229&lt;&gt;"修改",S229&lt;&gt;""),"只有「修改」才需填代碼",""))</f>
        <v/>
      </c>
      <c r="Y229" s="21"/>
      <c r="Z229" s="22"/>
      <c r="AA229" s="23" t="s">
        <v>851</v>
      </c>
      <c r="AB229" s="13"/>
    </row>
    <row r="230" customFormat="false" ht="44" hidden="false" customHeight="false" outlineLevel="0" collapsed="false">
      <c r="A230" s="16" t="n">
        <v>229</v>
      </c>
      <c r="B230" s="9" t="s">
        <v>65</v>
      </c>
      <c r="C230" s="9" t="s">
        <v>441</v>
      </c>
      <c r="D230" s="10" t="s">
        <v>442</v>
      </c>
      <c r="E230" s="24" t="s">
        <v>852</v>
      </c>
      <c r="F230" s="12"/>
      <c r="G230" s="23" t="s">
        <v>562</v>
      </c>
      <c r="H230" s="14" t="n">
        <v>-0.943</v>
      </c>
      <c r="I230" s="15"/>
      <c r="J230" s="12"/>
      <c r="K230" s="9"/>
      <c r="L230" s="16" t="s">
        <v>51</v>
      </c>
      <c r="M230" s="17" t="s">
        <v>79</v>
      </c>
      <c r="N230" s="15"/>
      <c r="O230" s="16" t="s">
        <v>54</v>
      </c>
      <c r="P230" s="12" t="s">
        <v>80</v>
      </c>
      <c r="Q230" s="16"/>
      <c r="R230" s="18" t="s">
        <v>79</v>
      </c>
      <c r="S230" s="19"/>
      <c r="T230" s="12" t="str">
        <f aca="false">IF(R230="維持",J230,IF(R230="排除","無關新聞事件",IFERROR(INDEX(事件規則!$B$2:$B$53,MATCH(S230,事件規則!$A$2:$A$53,0)),"")))</f>
        <v>無關新聞事件</v>
      </c>
      <c r="U230" s="20" t="n">
        <f aca="false">IF(R230="維持",K230,IF(R230="排除",0,IFERROR(INDEX(事件規則!$C$2:$C$53,MATCH(S230,事件規則!$A$2:$A$53,0)),"")))</f>
        <v>0</v>
      </c>
      <c r="V230" s="21"/>
      <c r="W230" s="22"/>
      <c r="X230" s="10" t="str">
        <f aca="false">IF(AND(R230="修改",S230=""),"請選新事件代碼",IF(AND(R230&lt;&gt;"修改",S230&lt;&gt;""),"只有「修改」才需填代碼",""))</f>
        <v/>
      </c>
      <c r="Y230" s="21"/>
      <c r="Z230" s="22"/>
      <c r="AA230" s="23" t="s">
        <v>853</v>
      </c>
      <c r="AB230" s="13"/>
    </row>
    <row r="231" customFormat="false" ht="44" hidden="false" customHeight="false" outlineLevel="0" collapsed="false">
      <c r="A231" s="16" t="n">
        <v>230</v>
      </c>
      <c r="B231" s="9" t="s">
        <v>65</v>
      </c>
      <c r="C231" s="9" t="s">
        <v>854</v>
      </c>
      <c r="D231" s="10" t="s">
        <v>855</v>
      </c>
      <c r="E231" s="24" t="s">
        <v>856</v>
      </c>
      <c r="F231" s="12"/>
      <c r="G231" s="23" t="s">
        <v>857</v>
      </c>
      <c r="H231" s="14" t="n">
        <v>-0.943</v>
      </c>
      <c r="I231" s="15"/>
      <c r="J231" s="12"/>
      <c r="K231" s="9"/>
      <c r="L231" s="16" t="s">
        <v>51</v>
      </c>
      <c r="M231" s="17" t="s">
        <v>79</v>
      </c>
      <c r="N231" s="15"/>
      <c r="O231" s="16" t="s">
        <v>54</v>
      </c>
      <c r="P231" s="12" t="s">
        <v>80</v>
      </c>
      <c r="Q231" s="16"/>
      <c r="R231" s="18" t="s">
        <v>79</v>
      </c>
      <c r="S231" s="19"/>
      <c r="T231" s="12" t="str">
        <f aca="false">IF(R231="維持",J231,IF(R231="排除","無關新聞事件",IFERROR(INDEX(事件規則!$B$2:$B$53,MATCH(S231,事件規則!$A$2:$A$53,0)),"")))</f>
        <v>無關新聞事件</v>
      </c>
      <c r="U231" s="20" t="n">
        <f aca="false">IF(R231="維持",K231,IF(R231="排除",0,IFERROR(INDEX(事件規則!$C$2:$C$53,MATCH(S231,事件規則!$A$2:$A$53,0)),"")))</f>
        <v>0</v>
      </c>
      <c r="V231" s="21"/>
      <c r="W231" s="22"/>
      <c r="X231" s="10" t="str">
        <f aca="false">IF(AND(R231="修改",S231=""),"請選新事件代碼",IF(AND(R231&lt;&gt;"修改",S231&lt;&gt;""),"只有「修改」才需填代碼",""))</f>
        <v/>
      </c>
      <c r="Y231" s="21"/>
      <c r="Z231" s="22"/>
      <c r="AA231" s="23" t="s">
        <v>858</v>
      </c>
      <c r="AB231" s="13"/>
    </row>
    <row r="232" customFormat="false" ht="15" hidden="false" customHeight="false" outlineLevel="0" collapsed="false">
      <c r="A232" s="16" t="n">
        <v>231</v>
      </c>
      <c r="B232" s="9" t="s">
        <v>65</v>
      </c>
      <c r="C232" s="9" t="s">
        <v>346</v>
      </c>
      <c r="D232" s="10" t="s">
        <v>347</v>
      </c>
      <c r="E232" s="24" t="s">
        <v>859</v>
      </c>
      <c r="F232" s="12"/>
      <c r="G232" s="23" t="s">
        <v>860</v>
      </c>
      <c r="H232" s="14" t="n">
        <v>-0.942</v>
      </c>
      <c r="I232" s="15"/>
      <c r="J232" s="12"/>
      <c r="K232" s="9"/>
      <c r="L232" s="16" t="s">
        <v>51</v>
      </c>
      <c r="M232" s="17" t="s">
        <v>52</v>
      </c>
      <c r="N232" s="15" t="s">
        <v>350</v>
      </c>
      <c r="O232" s="16" t="s">
        <v>62</v>
      </c>
      <c r="P232" s="12" t="s">
        <v>351</v>
      </c>
      <c r="Q232" s="16"/>
      <c r="R232" s="18" t="s">
        <v>52</v>
      </c>
      <c r="S232" s="19" t="s">
        <v>350</v>
      </c>
      <c r="T232" s="12" t="str">
        <f aca="false">IF(R232="維持",J232,IF(R232="排除","無關新聞事件",IFERROR(INDEX(事件規則!$B$2:$B$53,MATCH(S232,事件規則!$A$2:$A$53,0)),"")))</f>
        <v>生產延遲</v>
      </c>
      <c r="U232" s="20" t="n">
        <f aca="false">IF(R232="維持",K232,IF(R232="排除",0,IFERROR(INDEX(事件規則!$C$2:$C$53,MATCH(S232,事件規則!$A$2:$A$53,0)),"")))</f>
        <v>2</v>
      </c>
      <c r="V232" s="21"/>
      <c r="W232" s="22"/>
      <c r="X232" s="10" t="str">
        <f aca="false">IF(AND(R232="修改",S232=""),"請選新事件代碼",IF(AND(R232&lt;&gt;"修改",S232&lt;&gt;""),"只有「修改」才需填代碼",""))</f>
        <v/>
      </c>
      <c r="Y232" s="21"/>
      <c r="Z232" s="22"/>
      <c r="AA232" s="23" t="s">
        <v>861</v>
      </c>
      <c r="AB232" s="13"/>
    </row>
    <row r="233" customFormat="false" ht="44" hidden="false" customHeight="false" outlineLevel="0" collapsed="false">
      <c r="A233" s="16" t="n">
        <v>232</v>
      </c>
      <c r="B233" s="9" t="s">
        <v>65</v>
      </c>
      <c r="C233" s="9" t="s">
        <v>862</v>
      </c>
      <c r="D233" s="10" t="s">
        <v>863</v>
      </c>
      <c r="E233" s="24" t="s">
        <v>864</v>
      </c>
      <c r="F233" s="12"/>
      <c r="G233" s="23" t="s">
        <v>865</v>
      </c>
      <c r="H233" s="14" t="n">
        <v>-0.942</v>
      </c>
      <c r="I233" s="15"/>
      <c r="J233" s="12"/>
      <c r="K233" s="9"/>
      <c r="L233" s="16" t="s">
        <v>51</v>
      </c>
      <c r="M233" s="17" t="s">
        <v>79</v>
      </c>
      <c r="N233" s="15"/>
      <c r="O233" s="16" t="s">
        <v>54</v>
      </c>
      <c r="P233" s="12" t="s">
        <v>80</v>
      </c>
      <c r="Q233" s="16"/>
      <c r="R233" s="18" t="s">
        <v>79</v>
      </c>
      <c r="S233" s="19"/>
      <c r="T233" s="12" t="str">
        <f aca="false">IF(R233="維持",J233,IF(R233="排除","無關新聞事件",IFERROR(INDEX(事件規則!$B$2:$B$53,MATCH(S233,事件規則!$A$2:$A$53,0)),"")))</f>
        <v>無關新聞事件</v>
      </c>
      <c r="U233" s="20" t="n">
        <f aca="false">IF(R233="維持",K233,IF(R233="排除",0,IFERROR(INDEX(事件規則!$C$2:$C$53,MATCH(S233,事件規則!$A$2:$A$53,0)),"")))</f>
        <v>0</v>
      </c>
      <c r="V233" s="21"/>
      <c r="W233" s="22"/>
      <c r="X233" s="10" t="str">
        <f aca="false">IF(AND(R233="修改",S233=""),"請選新事件代碼",IF(AND(R233&lt;&gt;"修改",S233&lt;&gt;""),"只有「修改」才需填代碼",""))</f>
        <v/>
      </c>
      <c r="Y233" s="21"/>
      <c r="Z233" s="22"/>
      <c r="AA233" s="23" t="s">
        <v>866</v>
      </c>
      <c r="AB233" s="13"/>
    </row>
    <row r="234" customFormat="false" ht="44" hidden="false" customHeight="false" outlineLevel="0" collapsed="false">
      <c r="A234" s="16" t="n">
        <v>233</v>
      </c>
      <c r="B234" s="9" t="s">
        <v>331</v>
      </c>
      <c r="C234" s="9" t="s">
        <v>645</v>
      </c>
      <c r="D234" s="10" t="s">
        <v>646</v>
      </c>
      <c r="E234" s="24" t="s">
        <v>867</v>
      </c>
      <c r="F234" s="12"/>
      <c r="G234" s="23" t="s">
        <v>868</v>
      </c>
      <c r="H234" s="14" t="n">
        <v>-0.942</v>
      </c>
      <c r="I234" s="15"/>
      <c r="J234" s="12"/>
      <c r="K234" s="9"/>
      <c r="L234" s="16" t="s">
        <v>51</v>
      </c>
      <c r="M234" s="17" t="s">
        <v>79</v>
      </c>
      <c r="N234" s="15"/>
      <c r="O234" s="16" t="s">
        <v>54</v>
      </c>
      <c r="P234" s="12" t="s">
        <v>80</v>
      </c>
      <c r="Q234" s="16"/>
      <c r="R234" s="18" t="s">
        <v>79</v>
      </c>
      <c r="S234" s="19"/>
      <c r="T234" s="12" t="str">
        <f aca="false">IF(R234="維持",J234,IF(R234="排除","無關新聞事件",IFERROR(INDEX(事件規則!$B$2:$B$53,MATCH(S234,事件規則!$A$2:$A$53,0)),"")))</f>
        <v>無關新聞事件</v>
      </c>
      <c r="U234" s="20" t="n">
        <f aca="false">IF(R234="維持",K234,IF(R234="排除",0,IFERROR(INDEX(事件規則!$C$2:$C$53,MATCH(S234,事件規則!$A$2:$A$53,0)),"")))</f>
        <v>0</v>
      </c>
      <c r="V234" s="21"/>
      <c r="W234" s="22"/>
      <c r="X234" s="10" t="str">
        <f aca="false">IF(AND(R234="修改",S234=""),"請選新事件代碼",IF(AND(R234&lt;&gt;"修改",S234&lt;&gt;""),"只有「修改」才需填代碼",""))</f>
        <v/>
      </c>
      <c r="Y234" s="21"/>
      <c r="Z234" s="22"/>
      <c r="AA234" s="23" t="s">
        <v>869</v>
      </c>
      <c r="AB234" s="13"/>
    </row>
    <row r="235" customFormat="false" ht="15" hidden="false" customHeight="false" outlineLevel="0" collapsed="false">
      <c r="A235" s="16" t="n">
        <v>234</v>
      </c>
      <c r="B235" s="9" t="s">
        <v>331</v>
      </c>
      <c r="C235" s="9" t="s">
        <v>108</v>
      </c>
      <c r="D235" s="10" t="s">
        <v>109</v>
      </c>
      <c r="E235" s="24" t="s">
        <v>870</v>
      </c>
      <c r="F235" s="12"/>
      <c r="G235" s="23" t="s">
        <v>292</v>
      </c>
      <c r="H235" s="14" t="n">
        <v>-0.942</v>
      </c>
      <c r="I235" s="15"/>
      <c r="J235" s="12"/>
      <c r="K235" s="9"/>
      <c r="L235" s="16" t="s">
        <v>51</v>
      </c>
      <c r="M235" s="17" t="s">
        <v>52</v>
      </c>
      <c r="N235" s="15" t="s">
        <v>264</v>
      </c>
      <c r="O235" s="16" t="s">
        <v>62</v>
      </c>
      <c r="P235" s="10" t="s">
        <v>454</v>
      </c>
      <c r="Q235" s="16"/>
      <c r="R235" s="18" t="s">
        <v>52</v>
      </c>
      <c r="S235" s="19" t="s">
        <v>264</v>
      </c>
      <c r="T235" s="12" t="str">
        <f aca="false">IF(R235="維持",J235,IF(R235="排除","無關新聞事件",IFERROR(INDEX(事件規則!$B$2:$B$53,MATCH(S235,事件規則!$A$2:$A$53,0)),"")))</f>
        <v>分析師降評</v>
      </c>
      <c r="U235" s="20" t="n">
        <f aca="false">IF(R235="維持",K235,IF(R235="排除",0,IFERROR(INDEX(事件規則!$C$2:$C$53,MATCH(S235,事件規則!$A$2:$A$53,0)),"")))</f>
        <v>2</v>
      </c>
      <c r="V235" s="21"/>
      <c r="W235" s="22"/>
      <c r="X235" s="10" t="str">
        <f aca="false">IF(AND(R235="修改",S235=""),"請選新事件代碼",IF(AND(R235&lt;&gt;"修改",S235&lt;&gt;""),"只有「修改」才需填代碼",""))</f>
        <v/>
      </c>
      <c r="Y235" s="21"/>
      <c r="Z235" s="22"/>
      <c r="AA235" s="23" t="s">
        <v>871</v>
      </c>
      <c r="AB235" s="13"/>
    </row>
    <row r="236" customFormat="false" ht="44" hidden="false" customHeight="false" outlineLevel="0" collapsed="false">
      <c r="A236" s="16" t="n">
        <v>235</v>
      </c>
      <c r="B236" s="9" t="s">
        <v>65</v>
      </c>
      <c r="C236" s="9" t="s">
        <v>149</v>
      </c>
      <c r="D236" s="10" t="s">
        <v>150</v>
      </c>
      <c r="E236" s="24" t="s">
        <v>872</v>
      </c>
      <c r="F236" s="12"/>
      <c r="G236" s="23" t="s">
        <v>147</v>
      </c>
      <c r="H236" s="14" t="n">
        <v>-0.942</v>
      </c>
      <c r="I236" s="15"/>
      <c r="J236" s="12"/>
      <c r="K236" s="9"/>
      <c r="L236" s="16" t="s">
        <v>51</v>
      </c>
      <c r="M236" s="17" t="s">
        <v>79</v>
      </c>
      <c r="N236" s="15"/>
      <c r="O236" s="16" t="s">
        <v>54</v>
      </c>
      <c r="P236" s="12" t="s">
        <v>80</v>
      </c>
      <c r="Q236" s="16"/>
      <c r="R236" s="18" t="s">
        <v>79</v>
      </c>
      <c r="S236" s="19"/>
      <c r="T236" s="12" t="str">
        <f aca="false">IF(R236="維持",J236,IF(R236="排除","無關新聞事件",IFERROR(INDEX(事件規則!$B$2:$B$53,MATCH(S236,事件規則!$A$2:$A$53,0)),"")))</f>
        <v>無關新聞事件</v>
      </c>
      <c r="U236" s="20" t="n">
        <f aca="false">IF(R236="維持",K236,IF(R236="排除",0,IFERROR(INDEX(事件規則!$C$2:$C$53,MATCH(S236,事件規則!$A$2:$A$53,0)),"")))</f>
        <v>0</v>
      </c>
      <c r="V236" s="21"/>
      <c r="W236" s="22"/>
      <c r="X236" s="10" t="str">
        <f aca="false">IF(AND(R236="修改",S236=""),"請選新事件代碼",IF(AND(R236&lt;&gt;"修改",S236&lt;&gt;""),"只有「修改」才需填代碼",""))</f>
        <v/>
      </c>
      <c r="Y236" s="21"/>
      <c r="Z236" s="22"/>
      <c r="AA236" s="23" t="s">
        <v>873</v>
      </c>
      <c r="AB236" s="13"/>
    </row>
    <row r="237" customFormat="false" ht="15" hidden="false" customHeight="false" outlineLevel="0" collapsed="false">
      <c r="A237" s="16" t="n">
        <v>236</v>
      </c>
      <c r="B237" s="9" t="s">
        <v>65</v>
      </c>
      <c r="C237" s="9" t="s">
        <v>346</v>
      </c>
      <c r="D237" s="10" t="s">
        <v>347</v>
      </c>
      <c r="E237" s="24" t="s">
        <v>874</v>
      </c>
      <c r="F237" s="12"/>
      <c r="G237" s="23" t="s">
        <v>875</v>
      </c>
      <c r="H237" s="14" t="n">
        <v>-0.942</v>
      </c>
      <c r="I237" s="15"/>
      <c r="J237" s="12"/>
      <c r="K237" s="9"/>
      <c r="L237" s="16" t="s">
        <v>51</v>
      </c>
      <c r="M237" s="17" t="s">
        <v>52</v>
      </c>
      <c r="N237" s="15" t="s">
        <v>667</v>
      </c>
      <c r="O237" s="16" t="s">
        <v>62</v>
      </c>
      <c r="P237" s="10" t="s">
        <v>668</v>
      </c>
      <c r="Q237" s="16"/>
      <c r="R237" s="18" t="s">
        <v>52</v>
      </c>
      <c r="S237" s="19" t="s">
        <v>667</v>
      </c>
      <c r="T237" s="12" t="str">
        <f aca="false">IF(R237="維持",J237,IF(R237="排除","無關新聞事件",IFERROR(INDEX(事件規則!$B$2:$B$53,MATCH(S237,事件規則!$A$2:$A$53,0)),"")))</f>
        <v>重大產品瑕疵</v>
      </c>
      <c r="U237" s="20" t="n">
        <f aca="false">IF(R237="維持",K237,IF(R237="排除",0,IFERROR(INDEX(事件規則!$C$2:$C$53,MATCH(S237,事件規則!$A$2:$A$53,0)),"")))</f>
        <v>3</v>
      </c>
      <c r="V237" s="21"/>
      <c r="W237" s="22"/>
      <c r="X237" s="10" t="str">
        <f aca="false">IF(AND(R237="修改",S237=""),"請選新事件代碼",IF(AND(R237&lt;&gt;"修改",S237&lt;&gt;""),"只有「修改」才需填代碼",""))</f>
        <v/>
      </c>
      <c r="Y237" s="21"/>
      <c r="Z237" s="22"/>
      <c r="AA237" s="23" t="s">
        <v>876</v>
      </c>
      <c r="AB237" s="13"/>
    </row>
    <row r="238" customFormat="false" ht="44" hidden="false" customHeight="false" outlineLevel="0" collapsed="false">
      <c r="A238" s="16" t="n">
        <v>237</v>
      </c>
      <c r="B238" s="9" t="s">
        <v>65</v>
      </c>
      <c r="C238" s="9" t="s">
        <v>142</v>
      </c>
      <c r="D238" s="10" t="s">
        <v>143</v>
      </c>
      <c r="E238" s="24" t="s">
        <v>877</v>
      </c>
      <c r="F238" s="12"/>
      <c r="G238" s="23" t="s">
        <v>135</v>
      </c>
      <c r="H238" s="14" t="n">
        <v>-0.941</v>
      </c>
      <c r="I238" s="15"/>
      <c r="J238" s="12"/>
      <c r="K238" s="9"/>
      <c r="L238" s="16" t="s">
        <v>51</v>
      </c>
      <c r="M238" s="17" t="s">
        <v>79</v>
      </c>
      <c r="N238" s="15"/>
      <c r="O238" s="16" t="s">
        <v>54</v>
      </c>
      <c r="P238" s="12" t="s">
        <v>80</v>
      </c>
      <c r="Q238" s="16"/>
      <c r="R238" s="18" t="s">
        <v>79</v>
      </c>
      <c r="S238" s="19"/>
      <c r="T238" s="12" t="str">
        <f aca="false">IF(R238="維持",J238,IF(R238="排除","無關新聞事件",IFERROR(INDEX(事件規則!$B$2:$B$53,MATCH(S238,事件規則!$A$2:$A$53,0)),"")))</f>
        <v>無關新聞事件</v>
      </c>
      <c r="U238" s="20" t="n">
        <f aca="false">IF(R238="維持",K238,IF(R238="排除",0,IFERROR(INDEX(事件規則!$C$2:$C$53,MATCH(S238,事件規則!$A$2:$A$53,0)),"")))</f>
        <v>0</v>
      </c>
      <c r="V238" s="21"/>
      <c r="W238" s="22"/>
      <c r="X238" s="10" t="str">
        <f aca="false">IF(AND(R238="修改",S238=""),"請選新事件代碼",IF(AND(R238&lt;&gt;"修改",S238&lt;&gt;""),"只有「修改」才需填代碼",""))</f>
        <v/>
      </c>
      <c r="Y238" s="21"/>
      <c r="Z238" s="22"/>
      <c r="AA238" s="23" t="s">
        <v>878</v>
      </c>
      <c r="AB238" s="13"/>
    </row>
    <row r="239" customFormat="false" ht="15" hidden="false" customHeight="false" outlineLevel="0" collapsed="false">
      <c r="A239" s="16" t="n">
        <v>238</v>
      </c>
      <c r="B239" s="9" t="s">
        <v>65</v>
      </c>
      <c r="C239" s="9" t="s">
        <v>879</v>
      </c>
      <c r="D239" s="10" t="s">
        <v>880</v>
      </c>
      <c r="E239" s="24" t="s">
        <v>881</v>
      </c>
      <c r="F239" s="12"/>
      <c r="G239" s="23" t="s">
        <v>301</v>
      </c>
      <c r="H239" s="14" t="n">
        <v>-0.941</v>
      </c>
      <c r="I239" s="15"/>
      <c r="J239" s="12"/>
      <c r="K239" s="9"/>
      <c r="L239" s="16" t="s">
        <v>51</v>
      </c>
      <c r="M239" s="17" t="s">
        <v>52</v>
      </c>
      <c r="N239" s="15" t="s">
        <v>53</v>
      </c>
      <c r="O239" s="16" t="s">
        <v>54</v>
      </c>
      <c r="P239" s="10" t="s">
        <v>794</v>
      </c>
      <c r="Q239" s="16"/>
      <c r="R239" s="18" t="s">
        <v>52</v>
      </c>
      <c r="S239" s="19" t="s">
        <v>53</v>
      </c>
      <c r="T239" s="12" t="str">
        <f aca="false">IF(R239="維持",J239,IF(R239="排除","無關新聞事件",IFERROR(INDEX(事件規則!$B$2:$B$53,MATCH(S239,事件規則!$A$2:$A$53,0)),"")))</f>
        <v>股價下跌</v>
      </c>
      <c r="U239" s="20" t="n">
        <f aca="false">IF(R239="維持",K239,IF(R239="排除",0,IFERROR(INDEX(事件規則!$C$2:$C$53,MATCH(S239,事件規則!$A$2:$A$53,0)),"")))</f>
        <v>1</v>
      </c>
      <c r="V239" s="21"/>
      <c r="W239" s="22"/>
      <c r="X239" s="10" t="str">
        <f aca="false">IF(AND(R239="修改",S239=""),"請選新事件代碼",IF(AND(R239&lt;&gt;"修改",S239&lt;&gt;""),"只有「修改」才需填代碼",""))</f>
        <v/>
      </c>
      <c r="Y239" s="21"/>
      <c r="Z239" s="22"/>
      <c r="AA239" s="23" t="s">
        <v>882</v>
      </c>
      <c r="AB239" s="13"/>
    </row>
    <row r="240" customFormat="false" ht="23.85" hidden="false" customHeight="false" outlineLevel="0" collapsed="false">
      <c r="A240" s="16" t="n">
        <v>239</v>
      </c>
      <c r="B240" s="9" t="s">
        <v>65</v>
      </c>
      <c r="C240" s="9" t="s">
        <v>398</v>
      </c>
      <c r="D240" s="10" t="s">
        <v>399</v>
      </c>
      <c r="E240" s="24" t="s">
        <v>883</v>
      </c>
      <c r="F240" s="12"/>
      <c r="G240" s="23" t="s">
        <v>884</v>
      </c>
      <c r="H240" s="14" t="n">
        <v>-0.941</v>
      </c>
      <c r="I240" s="15"/>
      <c r="J240" s="12"/>
      <c r="K240" s="9"/>
      <c r="L240" s="16" t="s">
        <v>51</v>
      </c>
      <c r="M240" s="17" t="s">
        <v>52</v>
      </c>
      <c r="N240" s="15" t="s">
        <v>61</v>
      </c>
      <c r="O240" s="16" t="s">
        <v>62</v>
      </c>
      <c r="P240" s="10" t="s">
        <v>885</v>
      </c>
      <c r="Q240" s="16"/>
      <c r="R240" s="18" t="s">
        <v>52</v>
      </c>
      <c r="S240" s="19" t="s">
        <v>61</v>
      </c>
      <c r="T240" s="12" t="str">
        <f aca="false">IF(R240="維持",J240,IF(R240="排除","無關新聞事件",IFERROR(INDEX(事件規則!$B$2:$B$53,MATCH(S240,事件規則!$A$2:$A$53,0)),"")))</f>
        <v>裁員或人力縮減</v>
      </c>
      <c r="U240" s="20" t="n">
        <f aca="false">IF(R240="維持",K240,IF(R240="排除",0,IFERROR(INDEX(事件規則!$C$2:$C$53,MATCH(S240,事件規則!$A$2:$A$53,0)),"")))</f>
        <v>3</v>
      </c>
      <c r="V240" s="21"/>
      <c r="W240" s="22"/>
      <c r="X240" s="10" t="str">
        <f aca="false">IF(AND(R240="修改",S240=""),"請選新事件代碼",IF(AND(R240&lt;&gt;"修改",S240&lt;&gt;""),"只有「修改」才需填代碼",""))</f>
        <v/>
      </c>
      <c r="Y240" s="21"/>
      <c r="Z240" s="22"/>
      <c r="AA240" s="23" t="s">
        <v>886</v>
      </c>
      <c r="AB240" s="13"/>
    </row>
    <row r="241" customFormat="false" ht="44" hidden="false" customHeight="false" outlineLevel="0" collapsed="false">
      <c r="A241" s="16" t="n">
        <v>240</v>
      </c>
      <c r="B241" s="9" t="s">
        <v>386</v>
      </c>
      <c r="C241" s="9" t="s">
        <v>564</v>
      </c>
      <c r="D241" s="10" t="s">
        <v>565</v>
      </c>
      <c r="E241" s="24" t="s">
        <v>887</v>
      </c>
      <c r="F241" s="12"/>
      <c r="G241" s="23" t="s">
        <v>567</v>
      </c>
      <c r="H241" s="14" t="n">
        <v>-0.941</v>
      </c>
      <c r="I241" s="15"/>
      <c r="J241" s="12"/>
      <c r="K241" s="9"/>
      <c r="L241" s="16" t="s">
        <v>51</v>
      </c>
      <c r="M241" s="17" t="s">
        <v>79</v>
      </c>
      <c r="N241" s="15"/>
      <c r="O241" s="16" t="s">
        <v>54</v>
      </c>
      <c r="P241" s="12" t="s">
        <v>80</v>
      </c>
      <c r="Q241" s="16"/>
      <c r="R241" s="18" t="s">
        <v>79</v>
      </c>
      <c r="S241" s="19"/>
      <c r="T241" s="12" t="str">
        <f aca="false">IF(R241="維持",J241,IF(R241="排除","無關新聞事件",IFERROR(INDEX(事件規則!$B$2:$B$53,MATCH(S241,事件規則!$A$2:$A$53,0)),"")))</f>
        <v>無關新聞事件</v>
      </c>
      <c r="U241" s="20" t="n">
        <f aca="false">IF(R241="維持",K241,IF(R241="排除",0,IFERROR(INDEX(事件規則!$C$2:$C$53,MATCH(S241,事件規則!$A$2:$A$53,0)),"")))</f>
        <v>0</v>
      </c>
      <c r="V241" s="21"/>
      <c r="W241" s="22"/>
      <c r="X241" s="10" t="str">
        <f aca="false">IF(AND(R241="修改",S241=""),"請選新事件代碼",IF(AND(R241&lt;&gt;"修改",S241&lt;&gt;""),"只有「修改」才需填代碼",""))</f>
        <v/>
      </c>
      <c r="Y241" s="21"/>
      <c r="Z241" s="22"/>
      <c r="AA241" s="23" t="s">
        <v>888</v>
      </c>
      <c r="AB241" s="13"/>
    </row>
    <row r="242" customFormat="false" ht="29.85" hidden="false" customHeight="false" outlineLevel="0" collapsed="false">
      <c r="A242" s="16" t="n">
        <v>241</v>
      </c>
      <c r="B242" s="9" t="s">
        <v>386</v>
      </c>
      <c r="C242" s="9" t="s">
        <v>569</v>
      </c>
      <c r="D242" s="10" t="s">
        <v>570</v>
      </c>
      <c r="E242" s="24" t="s">
        <v>889</v>
      </c>
      <c r="F242" s="12"/>
      <c r="G242" s="23" t="s">
        <v>120</v>
      </c>
      <c r="H242" s="14" t="n">
        <v>-0.941</v>
      </c>
      <c r="I242" s="15"/>
      <c r="J242" s="12"/>
      <c r="K242" s="9"/>
      <c r="L242" s="16" t="s">
        <v>51</v>
      </c>
      <c r="M242" s="17" t="s">
        <v>79</v>
      </c>
      <c r="N242" s="15"/>
      <c r="O242" s="16" t="s">
        <v>54</v>
      </c>
      <c r="P242" s="12" t="s">
        <v>890</v>
      </c>
      <c r="Q242" s="16"/>
      <c r="R242" s="18" t="s">
        <v>79</v>
      </c>
      <c r="S242" s="19"/>
      <c r="T242" s="12" t="str">
        <f aca="false">IF(R242="維持",J242,IF(R242="排除","無關新聞事件",IFERROR(INDEX(事件規則!$B$2:$B$53,MATCH(S242,事件規則!$A$2:$A$53,0)),"")))</f>
        <v>無關新聞事件</v>
      </c>
      <c r="U242" s="20" t="n">
        <f aca="false">IF(R242="維持",K242,IF(R242="排除",0,IFERROR(INDEX(事件規則!$C$2:$C$53,MATCH(S242,事件規則!$A$2:$A$53,0)),"")))</f>
        <v>0</v>
      </c>
      <c r="V242" s="21"/>
      <c r="W242" s="22"/>
      <c r="X242" s="10" t="str">
        <f aca="false">IF(AND(R242="修改",S242=""),"請選新事件代碼",IF(AND(R242&lt;&gt;"修改",S242&lt;&gt;""),"只有「修改」才需填代碼",""))</f>
        <v/>
      </c>
      <c r="Y242" s="21"/>
      <c r="Z242" s="22"/>
      <c r="AA242" s="23" t="s">
        <v>891</v>
      </c>
      <c r="AB242" s="13"/>
    </row>
    <row r="243" customFormat="false" ht="29.85" hidden="false" customHeight="false" outlineLevel="0" collapsed="false">
      <c r="A243" s="16" t="n">
        <v>242</v>
      </c>
      <c r="B243" s="9" t="s">
        <v>65</v>
      </c>
      <c r="C243" s="9" t="s">
        <v>132</v>
      </c>
      <c r="D243" s="10" t="s">
        <v>133</v>
      </c>
      <c r="E243" s="24" t="s">
        <v>892</v>
      </c>
      <c r="F243" s="12"/>
      <c r="G243" s="23" t="s">
        <v>893</v>
      </c>
      <c r="H243" s="14" t="n">
        <v>-0.941</v>
      </c>
      <c r="I243" s="15"/>
      <c r="J243" s="12"/>
      <c r="K243" s="9"/>
      <c r="L243" s="16" t="s">
        <v>51</v>
      </c>
      <c r="M243" s="17" t="s">
        <v>79</v>
      </c>
      <c r="N243" s="15"/>
      <c r="O243" s="16" t="s">
        <v>54</v>
      </c>
      <c r="P243" s="12" t="s">
        <v>890</v>
      </c>
      <c r="Q243" s="16"/>
      <c r="R243" s="18" t="s">
        <v>79</v>
      </c>
      <c r="S243" s="19"/>
      <c r="T243" s="12" t="str">
        <f aca="false">IF(R243="維持",J243,IF(R243="排除","無關新聞事件",IFERROR(INDEX(事件規則!$B$2:$B$53,MATCH(S243,事件規則!$A$2:$A$53,0)),"")))</f>
        <v>無關新聞事件</v>
      </c>
      <c r="U243" s="20" t="n">
        <f aca="false">IF(R243="維持",K243,IF(R243="排除",0,IFERROR(INDEX(事件規則!$C$2:$C$53,MATCH(S243,事件規則!$A$2:$A$53,0)),"")))</f>
        <v>0</v>
      </c>
      <c r="V243" s="21"/>
      <c r="W243" s="22"/>
      <c r="X243" s="10" t="str">
        <f aca="false">IF(AND(R243="修改",S243=""),"請選新事件代碼",IF(AND(R243&lt;&gt;"修改",S243&lt;&gt;""),"只有「修改」才需填代碼",""))</f>
        <v/>
      </c>
      <c r="Y243" s="21"/>
      <c r="Z243" s="22"/>
      <c r="AA243" s="23" t="s">
        <v>894</v>
      </c>
      <c r="AB243" s="13"/>
    </row>
    <row r="244" customFormat="false" ht="29.85" hidden="false" customHeight="false" outlineLevel="0" collapsed="false">
      <c r="A244" s="16" t="n">
        <v>243</v>
      </c>
      <c r="B244" s="9" t="s">
        <v>331</v>
      </c>
      <c r="C244" s="9" t="s">
        <v>346</v>
      </c>
      <c r="D244" s="10" t="s">
        <v>347</v>
      </c>
      <c r="E244" s="24" t="s">
        <v>895</v>
      </c>
      <c r="F244" s="12"/>
      <c r="G244" s="23" t="s">
        <v>896</v>
      </c>
      <c r="H244" s="14" t="n">
        <v>-0.94</v>
      </c>
      <c r="I244" s="15"/>
      <c r="J244" s="12"/>
      <c r="K244" s="9"/>
      <c r="L244" s="16" t="s">
        <v>51</v>
      </c>
      <c r="M244" s="17" t="s">
        <v>79</v>
      </c>
      <c r="N244" s="15"/>
      <c r="O244" s="16" t="s">
        <v>54</v>
      </c>
      <c r="P244" s="12" t="s">
        <v>890</v>
      </c>
      <c r="Q244" s="16"/>
      <c r="R244" s="18" t="s">
        <v>79</v>
      </c>
      <c r="S244" s="19"/>
      <c r="T244" s="12" t="str">
        <f aca="false">IF(R244="維持",J244,IF(R244="排除","無關新聞事件",IFERROR(INDEX(事件規則!$B$2:$B$53,MATCH(S244,事件規則!$A$2:$A$53,0)),"")))</f>
        <v>無關新聞事件</v>
      </c>
      <c r="U244" s="20" t="n">
        <f aca="false">IF(R244="維持",K244,IF(R244="排除",0,IFERROR(INDEX(事件規則!$C$2:$C$53,MATCH(S244,事件規則!$A$2:$A$53,0)),"")))</f>
        <v>0</v>
      </c>
      <c r="V244" s="21"/>
      <c r="W244" s="22"/>
      <c r="X244" s="10" t="str">
        <f aca="false">IF(AND(R244="修改",S244=""),"請選新事件代碼",IF(AND(R244&lt;&gt;"修改",S244&lt;&gt;""),"只有「修改」才需填代碼",""))</f>
        <v/>
      </c>
      <c r="Y244" s="21"/>
      <c r="Z244" s="22"/>
      <c r="AA244" s="23" t="s">
        <v>897</v>
      </c>
      <c r="AB244" s="13"/>
    </row>
    <row r="245" customFormat="false" ht="29.85" hidden="false" customHeight="false" outlineLevel="0" collapsed="false">
      <c r="A245" s="16" t="n">
        <v>244</v>
      </c>
      <c r="B245" s="9" t="s">
        <v>45</v>
      </c>
      <c r="C245" s="9" t="s">
        <v>108</v>
      </c>
      <c r="D245" s="10" t="s">
        <v>109</v>
      </c>
      <c r="E245" s="24" t="s">
        <v>898</v>
      </c>
      <c r="F245" s="12"/>
      <c r="G245" s="23" t="s">
        <v>899</v>
      </c>
      <c r="H245" s="14" t="n">
        <v>-0.94</v>
      </c>
      <c r="I245" s="15"/>
      <c r="J245" s="12"/>
      <c r="K245" s="9"/>
      <c r="L245" s="16" t="s">
        <v>51</v>
      </c>
      <c r="M245" s="17" t="s">
        <v>79</v>
      </c>
      <c r="N245" s="15"/>
      <c r="O245" s="16" t="s">
        <v>54</v>
      </c>
      <c r="P245" s="12" t="s">
        <v>890</v>
      </c>
      <c r="Q245" s="16"/>
      <c r="R245" s="18" t="s">
        <v>79</v>
      </c>
      <c r="S245" s="19"/>
      <c r="T245" s="12" t="str">
        <f aca="false">IF(R245="維持",J245,IF(R245="排除","無關新聞事件",IFERROR(INDEX(事件規則!$B$2:$B$53,MATCH(S245,事件規則!$A$2:$A$53,0)),"")))</f>
        <v>無關新聞事件</v>
      </c>
      <c r="U245" s="20" t="n">
        <f aca="false">IF(R245="維持",K245,IF(R245="排除",0,IFERROR(INDEX(事件規則!$C$2:$C$53,MATCH(S245,事件規則!$A$2:$A$53,0)),"")))</f>
        <v>0</v>
      </c>
      <c r="V245" s="21"/>
      <c r="W245" s="22"/>
      <c r="X245" s="10" t="str">
        <f aca="false">IF(AND(R245="修改",S245=""),"請選新事件代碼",IF(AND(R245&lt;&gt;"修改",S245&lt;&gt;""),"只有「修改」才需填代碼",""))</f>
        <v/>
      </c>
      <c r="Y245" s="21"/>
      <c r="Z245" s="22"/>
      <c r="AA245" s="23" t="s">
        <v>900</v>
      </c>
      <c r="AB245" s="13"/>
    </row>
    <row r="246" customFormat="false" ht="29.85" hidden="false" customHeight="false" outlineLevel="0" collapsed="false">
      <c r="A246" s="16" t="n">
        <v>245</v>
      </c>
      <c r="B246" s="9" t="s">
        <v>331</v>
      </c>
      <c r="C246" s="9" t="s">
        <v>498</v>
      </c>
      <c r="D246" s="10" t="s">
        <v>499</v>
      </c>
      <c r="E246" s="24" t="s">
        <v>901</v>
      </c>
      <c r="F246" s="12"/>
      <c r="G246" s="23" t="s">
        <v>902</v>
      </c>
      <c r="H246" s="14" t="n">
        <v>-0.94</v>
      </c>
      <c r="I246" s="15"/>
      <c r="J246" s="12"/>
      <c r="K246" s="9"/>
      <c r="L246" s="16" t="s">
        <v>51</v>
      </c>
      <c r="M246" s="17" t="s">
        <v>79</v>
      </c>
      <c r="N246" s="15"/>
      <c r="O246" s="16" t="s">
        <v>54</v>
      </c>
      <c r="P246" s="12" t="s">
        <v>890</v>
      </c>
      <c r="Q246" s="16"/>
      <c r="R246" s="18" t="s">
        <v>79</v>
      </c>
      <c r="S246" s="19"/>
      <c r="T246" s="12" t="str">
        <f aca="false">IF(R246="維持",J246,IF(R246="排除","無關新聞事件",IFERROR(INDEX(事件規則!$B$2:$B$53,MATCH(S246,事件規則!$A$2:$A$53,0)),"")))</f>
        <v>無關新聞事件</v>
      </c>
      <c r="U246" s="20" t="n">
        <f aca="false">IF(R246="維持",K246,IF(R246="排除",0,IFERROR(INDEX(事件規則!$C$2:$C$53,MATCH(S246,事件規則!$A$2:$A$53,0)),"")))</f>
        <v>0</v>
      </c>
      <c r="V246" s="21"/>
      <c r="W246" s="22"/>
      <c r="X246" s="10" t="str">
        <f aca="false">IF(AND(R246="修改",S246=""),"請選新事件代碼",IF(AND(R246&lt;&gt;"修改",S246&lt;&gt;""),"只有「修改」才需填代碼",""))</f>
        <v/>
      </c>
      <c r="Y246" s="21"/>
      <c r="Z246" s="22"/>
      <c r="AA246" s="23" t="s">
        <v>903</v>
      </c>
      <c r="AB246" s="13"/>
    </row>
    <row r="247" customFormat="false" ht="23.85" hidden="false" customHeight="false" outlineLevel="0" collapsed="false">
      <c r="A247" s="16" t="n">
        <v>246</v>
      </c>
      <c r="B247" s="9" t="s">
        <v>65</v>
      </c>
      <c r="C247" s="9" t="s">
        <v>246</v>
      </c>
      <c r="D247" s="10" t="s">
        <v>247</v>
      </c>
      <c r="E247" s="24" t="s">
        <v>904</v>
      </c>
      <c r="F247" s="12"/>
      <c r="G247" s="23" t="s">
        <v>905</v>
      </c>
      <c r="H247" s="14" t="n">
        <v>-0.94</v>
      </c>
      <c r="I247" s="15"/>
      <c r="J247" s="12"/>
      <c r="K247" s="9"/>
      <c r="L247" s="16" t="s">
        <v>51</v>
      </c>
      <c r="M247" s="17" t="s">
        <v>52</v>
      </c>
      <c r="N247" s="15" t="s">
        <v>746</v>
      </c>
      <c r="O247" s="16" t="s">
        <v>62</v>
      </c>
      <c r="P247" s="12" t="s">
        <v>906</v>
      </c>
      <c r="Q247" s="16"/>
      <c r="R247" s="18" t="s">
        <v>52</v>
      </c>
      <c r="S247" s="19" t="s">
        <v>746</v>
      </c>
      <c r="T247" s="12" t="str">
        <f aca="false">IF(R247="維持",J247,IF(R247="排除","無關新聞事件",IFERROR(INDEX(事件規則!$B$2:$B$53,MATCH(S247,事件規則!$A$2:$A$53,0)),"")))</f>
        <v>監管裁罰</v>
      </c>
      <c r="U247" s="20" t="n">
        <f aca="false">IF(R247="維持",K247,IF(R247="排除",0,IFERROR(INDEX(事件規則!$C$2:$C$53,MATCH(S247,事件規則!$A$2:$A$53,0)),"")))</f>
        <v>4</v>
      </c>
      <c r="V247" s="21"/>
      <c r="W247" s="22"/>
      <c r="X247" s="10" t="str">
        <f aca="false">IF(AND(R247="修改",S247=""),"請選新事件代碼",IF(AND(R247&lt;&gt;"修改",S247&lt;&gt;""),"只有「修改」才需填代碼",""))</f>
        <v/>
      </c>
      <c r="Y247" s="21"/>
      <c r="Z247" s="22"/>
      <c r="AA247" s="23" t="s">
        <v>907</v>
      </c>
      <c r="AB247" s="13"/>
    </row>
    <row r="248" customFormat="false" ht="23.85" hidden="false" customHeight="false" outlineLevel="0" collapsed="false">
      <c r="A248" s="16" t="n">
        <v>247</v>
      </c>
      <c r="B248" s="9" t="s">
        <v>331</v>
      </c>
      <c r="C248" s="9" t="s">
        <v>57</v>
      </c>
      <c r="D248" s="10" t="s">
        <v>58</v>
      </c>
      <c r="E248" s="24" t="s">
        <v>908</v>
      </c>
      <c r="F248" s="12"/>
      <c r="G248" s="23" t="s">
        <v>909</v>
      </c>
      <c r="H248" s="14" t="n">
        <v>-0.94</v>
      </c>
      <c r="I248" s="15"/>
      <c r="J248" s="12"/>
      <c r="K248" s="9"/>
      <c r="L248" s="16" t="s">
        <v>51</v>
      </c>
      <c r="M248" s="17" t="s">
        <v>52</v>
      </c>
      <c r="N248" s="15" t="s">
        <v>61</v>
      </c>
      <c r="O248" s="16" t="s">
        <v>62</v>
      </c>
      <c r="P248" s="12" t="s">
        <v>910</v>
      </c>
      <c r="Q248" s="16"/>
      <c r="R248" s="18" t="s">
        <v>52</v>
      </c>
      <c r="S248" s="19" t="s">
        <v>61</v>
      </c>
      <c r="T248" s="12" t="str">
        <f aca="false">IF(R248="維持",J248,IF(R248="排除","無關新聞事件",IFERROR(INDEX(事件規則!$B$2:$B$53,MATCH(S248,事件規則!$A$2:$A$53,0)),"")))</f>
        <v>裁員或人力縮減</v>
      </c>
      <c r="U248" s="20" t="n">
        <f aca="false">IF(R248="維持",K248,IF(R248="排除",0,IFERROR(INDEX(事件規則!$C$2:$C$53,MATCH(S248,事件規則!$A$2:$A$53,0)),"")))</f>
        <v>3</v>
      </c>
      <c r="V248" s="21"/>
      <c r="W248" s="22"/>
      <c r="X248" s="10" t="str">
        <f aca="false">IF(AND(R248="修改",S248=""),"請選新事件代碼",IF(AND(R248&lt;&gt;"修改",S248&lt;&gt;""),"只有「修改」才需填代碼",""))</f>
        <v/>
      </c>
      <c r="Y248" s="21"/>
      <c r="Z248" s="22"/>
      <c r="AA248" s="23" t="s">
        <v>911</v>
      </c>
      <c r="AB248" s="13"/>
    </row>
    <row r="249" customFormat="false" ht="23.85" hidden="false" customHeight="false" outlineLevel="0" collapsed="false">
      <c r="A249" s="16" t="n">
        <v>248</v>
      </c>
      <c r="B249" s="9" t="s">
        <v>45</v>
      </c>
      <c r="C249" s="9" t="s">
        <v>246</v>
      </c>
      <c r="D249" s="10" t="s">
        <v>247</v>
      </c>
      <c r="E249" s="24" t="s">
        <v>912</v>
      </c>
      <c r="F249" s="12"/>
      <c r="G249" s="23" t="s">
        <v>913</v>
      </c>
      <c r="H249" s="14" t="n">
        <v>-0.94</v>
      </c>
      <c r="I249" s="15"/>
      <c r="J249" s="12"/>
      <c r="K249" s="9"/>
      <c r="L249" s="16" t="s">
        <v>51</v>
      </c>
      <c r="M249" s="17" t="s">
        <v>52</v>
      </c>
      <c r="N249" s="15" t="s">
        <v>746</v>
      </c>
      <c r="O249" s="16" t="s">
        <v>62</v>
      </c>
      <c r="P249" s="12" t="s">
        <v>906</v>
      </c>
      <c r="Q249" s="16"/>
      <c r="R249" s="18" t="s">
        <v>52</v>
      </c>
      <c r="S249" s="19" t="s">
        <v>746</v>
      </c>
      <c r="T249" s="12" t="str">
        <f aca="false">IF(R249="維持",J249,IF(R249="排除","無關新聞事件",IFERROR(INDEX(事件規則!$B$2:$B$53,MATCH(S249,事件規則!$A$2:$A$53,0)),"")))</f>
        <v>監管裁罰</v>
      </c>
      <c r="U249" s="20" t="n">
        <f aca="false">IF(R249="維持",K249,IF(R249="排除",0,IFERROR(INDEX(事件規則!$C$2:$C$53,MATCH(S249,事件規則!$A$2:$A$53,0)),"")))</f>
        <v>4</v>
      </c>
      <c r="V249" s="21"/>
      <c r="W249" s="22"/>
      <c r="X249" s="10" t="str">
        <f aca="false">IF(AND(R249="修改",S249=""),"請選新事件代碼",IF(AND(R249&lt;&gt;"修改",S249&lt;&gt;""),"只有「修改」才需填代碼",""))</f>
        <v/>
      </c>
      <c r="Y249" s="21"/>
      <c r="Z249" s="22"/>
      <c r="AA249" s="23" t="s">
        <v>914</v>
      </c>
      <c r="AB249" s="13"/>
    </row>
    <row r="250" customFormat="false" ht="23.85" hidden="false" customHeight="false" outlineLevel="0" collapsed="false">
      <c r="A250" s="16" t="n">
        <v>249</v>
      </c>
      <c r="B250" s="9" t="s">
        <v>65</v>
      </c>
      <c r="C250" s="9" t="s">
        <v>915</v>
      </c>
      <c r="D250" s="10" t="s">
        <v>916</v>
      </c>
      <c r="E250" s="24" t="s">
        <v>917</v>
      </c>
      <c r="F250" s="12"/>
      <c r="G250" s="23" t="s">
        <v>918</v>
      </c>
      <c r="H250" s="14" t="n">
        <v>-0.94</v>
      </c>
      <c r="I250" s="15"/>
      <c r="J250" s="12"/>
      <c r="K250" s="9"/>
      <c r="L250" s="16" t="s">
        <v>51</v>
      </c>
      <c r="M250" s="17" t="s">
        <v>52</v>
      </c>
      <c r="N250" s="15" t="s">
        <v>919</v>
      </c>
      <c r="O250" s="16" t="s">
        <v>62</v>
      </c>
      <c r="P250" s="12" t="s">
        <v>920</v>
      </c>
      <c r="Q250" s="16"/>
      <c r="R250" s="18" t="s">
        <v>52</v>
      </c>
      <c r="S250" s="19" t="s">
        <v>919</v>
      </c>
      <c r="T250" s="12" t="str">
        <f aca="false">IF(R250="維持",J250,IF(R250="排除","無關新聞事件",IFERROR(INDEX(事件規則!$B$2:$B$53,MATCH(S250,事件規則!$A$2:$A$53,0)),"")))</f>
        <v>監管調查</v>
      </c>
      <c r="U250" s="20" t="n">
        <f aca="false">IF(R250="維持",K250,IF(R250="排除",0,IFERROR(INDEX(事件規則!$C$2:$C$53,MATCH(S250,事件規則!$A$2:$A$53,0)),"")))</f>
        <v>4</v>
      </c>
      <c r="V250" s="21"/>
      <c r="W250" s="22"/>
      <c r="X250" s="10" t="str">
        <f aca="false">IF(AND(R250="修改",S250=""),"請選新事件代碼",IF(AND(R250&lt;&gt;"修改",S250&lt;&gt;""),"只有「修改」才需填代碼",""))</f>
        <v/>
      </c>
      <c r="Y250" s="21"/>
      <c r="Z250" s="22"/>
      <c r="AA250" s="23" t="s">
        <v>921</v>
      </c>
      <c r="AB250" s="13"/>
    </row>
    <row r="251" customFormat="false" ht="15" hidden="false" customHeight="false" outlineLevel="0" collapsed="false">
      <c r="A251" s="16" t="n">
        <v>250</v>
      </c>
      <c r="B251" s="9" t="s">
        <v>65</v>
      </c>
      <c r="C251" s="9" t="s">
        <v>922</v>
      </c>
      <c r="D251" s="10" t="s">
        <v>923</v>
      </c>
      <c r="E251" s="24" t="s">
        <v>924</v>
      </c>
      <c r="F251" s="12"/>
      <c r="G251" s="23" t="s">
        <v>925</v>
      </c>
      <c r="H251" s="14" t="n">
        <v>-0.939</v>
      </c>
      <c r="I251" s="15"/>
      <c r="J251" s="12"/>
      <c r="K251" s="9"/>
      <c r="L251" s="16" t="s">
        <v>51</v>
      </c>
      <c r="M251" s="17" t="s">
        <v>52</v>
      </c>
      <c r="N251" s="15" t="s">
        <v>53</v>
      </c>
      <c r="O251" s="16" t="s">
        <v>54</v>
      </c>
      <c r="P251" s="10" t="s">
        <v>926</v>
      </c>
      <c r="Q251" s="16"/>
      <c r="R251" s="18" t="s">
        <v>52</v>
      </c>
      <c r="S251" s="19" t="s">
        <v>53</v>
      </c>
      <c r="T251" s="12" t="str">
        <f aca="false">IF(R251="維持",J251,IF(R251="排除","無關新聞事件",IFERROR(INDEX(事件規則!$B$2:$B$53,MATCH(S251,事件規則!$A$2:$A$53,0)),"")))</f>
        <v>股價下跌</v>
      </c>
      <c r="U251" s="20" t="n">
        <f aca="false">IF(R251="維持",K251,IF(R251="排除",0,IFERROR(INDEX(事件規則!$C$2:$C$53,MATCH(S251,事件規則!$A$2:$A$53,0)),"")))</f>
        <v>1</v>
      </c>
      <c r="V251" s="21" t="s">
        <v>927</v>
      </c>
      <c r="W251" s="22" t="s">
        <v>46</v>
      </c>
      <c r="X251" s="10" t="str">
        <f aca="false">IF(AND(R251="修改",S251=""),"請選新事件代碼",IF(AND(R251&lt;&gt;"修改",S251&lt;&gt;""),"只有「修改」才需填代碼",""))</f>
        <v/>
      </c>
      <c r="Y251" s="21"/>
      <c r="Z251" s="22"/>
      <c r="AA251" s="23" t="s">
        <v>928</v>
      </c>
      <c r="AB251" s="13"/>
    </row>
    <row r="252" customFormat="false" ht="29.85" hidden="false" customHeight="false" outlineLevel="0" collapsed="false">
      <c r="A252" s="16" t="n">
        <v>251</v>
      </c>
      <c r="B252" s="9" t="s">
        <v>331</v>
      </c>
      <c r="C252" s="9" t="s">
        <v>542</v>
      </c>
      <c r="D252" s="10" t="s">
        <v>543</v>
      </c>
      <c r="E252" s="24" t="s">
        <v>929</v>
      </c>
      <c r="F252" s="12"/>
      <c r="G252" s="23" t="s">
        <v>295</v>
      </c>
      <c r="H252" s="14" t="n">
        <v>-0.939</v>
      </c>
      <c r="I252" s="15"/>
      <c r="J252" s="12"/>
      <c r="K252" s="9"/>
      <c r="L252" s="16" t="s">
        <v>51</v>
      </c>
      <c r="M252" s="17" t="s">
        <v>79</v>
      </c>
      <c r="N252" s="15"/>
      <c r="O252" s="16" t="s">
        <v>54</v>
      </c>
      <c r="P252" s="12" t="s">
        <v>890</v>
      </c>
      <c r="Q252" s="16"/>
      <c r="R252" s="18" t="s">
        <v>79</v>
      </c>
      <c r="S252" s="19"/>
      <c r="T252" s="12" t="str">
        <f aca="false">IF(R252="維持",J252,IF(R252="排除","無關新聞事件",IFERROR(INDEX(事件規則!$B$2:$B$53,MATCH(S252,事件規則!$A$2:$A$53,0)),"")))</f>
        <v>無關新聞事件</v>
      </c>
      <c r="U252" s="20" t="n">
        <f aca="false">IF(R252="維持",K252,IF(R252="排除",0,IFERROR(INDEX(事件規則!$C$2:$C$53,MATCH(S252,事件規則!$A$2:$A$53,0)),"")))</f>
        <v>0</v>
      </c>
      <c r="V252" s="21"/>
      <c r="W252" s="22"/>
      <c r="X252" s="10" t="str">
        <f aca="false">IF(AND(R252="修改",S252=""),"請選新事件代碼",IF(AND(R252&lt;&gt;"修改",S252&lt;&gt;""),"只有「修改」才需填代碼",""))</f>
        <v/>
      </c>
      <c r="Y252" s="21"/>
      <c r="Z252" s="22"/>
      <c r="AA252" s="23" t="s">
        <v>930</v>
      </c>
      <c r="AB252" s="13"/>
    </row>
    <row r="253" customFormat="false" ht="15" hidden="false" customHeight="false" outlineLevel="0" collapsed="false">
      <c r="A253" s="16" t="n">
        <v>252</v>
      </c>
      <c r="B253" s="9" t="s">
        <v>45</v>
      </c>
      <c r="C253" s="9" t="s">
        <v>381</v>
      </c>
      <c r="D253" s="10" t="s">
        <v>382</v>
      </c>
      <c r="E253" s="24" t="s">
        <v>931</v>
      </c>
      <c r="F253" s="12"/>
      <c r="G253" s="23" t="s">
        <v>120</v>
      </c>
      <c r="H253" s="14" t="n">
        <v>-0.939</v>
      </c>
      <c r="I253" s="15"/>
      <c r="J253" s="12"/>
      <c r="K253" s="9"/>
      <c r="L253" s="16" t="s">
        <v>51</v>
      </c>
      <c r="M253" s="17" t="s">
        <v>52</v>
      </c>
      <c r="N253" s="15" t="s">
        <v>53</v>
      </c>
      <c r="O253" s="16" t="s">
        <v>62</v>
      </c>
      <c r="P253" s="10" t="s">
        <v>932</v>
      </c>
      <c r="Q253" s="16"/>
      <c r="R253" s="18" t="s">
        <v>52</v>
      </c>
      <c r="S253" s="19" t="s">
        <v>53</v>
      </c>
      <c r="T253" s="12" t="str">
        <f aca="false">IF(R253="維持",J253,IF(R253="排除","無關新聞事件",IFERROR(INDEX(事件規則!$B$2:$B$53,MATCH(S253,事件規則!$A$2:$A$53,0)),"")))</f>
        <v>股價下跌</v>
      </c>
      <c r="U253" s="20" t="n">
        <f aca="false">IF(R253="維持",K253,IF(R253="排除",0,IFERROR(INDEX(事件規則!$C$2:$C$53,MATCH(S253,事件規則!$A$2:$A$53,0)),"")))</f>
        <v>1</v>
      </c>
      <c r="V253" s="21"/>
      <c r="W253" s="22"/>
      <c r="X253" s="10" t="str">
        <f aca="false">IF(AND(R253="修改",S253=""),"請選新事件代碼",IF(AND(R253&lt;&gt;"修改",S253&lt;&gt;""),"只有「修改」才需填代碼",""))</f>
        <v/>
      </c>
      <c r="Y253" s="21"/>
      <c r="Z253" s="22"/>
      <c r="AA253" s="23" t="s">
        <v>933</v>
      </c>
      <c r="AB253" s="13"/>
    </row>
    <row r="254" customFormat="false" ht="15" hidden="false" customHeight="false" outlineLevel="0" collapsed="false">
      <c r="A254" s="16" t="n">
        <v>253</v>
      </c>
      <c r="B254" s="9" t="s">
        <v>65</v>
      </c>
      <c r="C254" s="9" t="s">
        <v>346</v>
      </c>
      <c r="D254" s="10" t="s">
        <v>347</v>
      </c>
      <c r="E254" s="24" t="s">
        <v>934</v>
      </c>
      <c r="F254" s="12"/>
      <c r="G254" s="23" t="s">
        <v>935</v>
      </c>
      <c r="H254" s="14" t="n">
        <v>-0.939</v>
      </c>
      <c r="I254" s="15"/>
      <c r="J254" s="12"/>
      <c r="K254" s="9"/>
      <c r="L254" s="16" t="s">
        <v>51</v>
      </c>
      <c r="M254" s="17" t="s">
        <v>52</v>
      </c>
      <c r="N254" s="15" t="s">
        <v>667</v>
      </c>
      <c r="O254" s="16" t="s">
        <v>62</v>
      </c>
      <c r="P254" s="10" t="s">
        <v>936</v>
      </c>
      <c r="Q254" s="16"/>
      <c r="R254" s="18" t="s">
        <v>52</v>
      </c>
      <c r="S254" s="19" t="s">
        <v>667</v>
      </c>
      <c r="T254" s="12" t="str">
        <f aca="false">IF(R254="維持",J254,IF(R254="排除","無關新聞事件",IFERROR(INDEX(事件規則!$B$2:$B$53,MATCH(S254,事件規則!$A$2:$A$53,0)),"")))</f>
        <v>重大產品瑕疵</v>
      </c>
      <c r="U254" s="20" t="n">
        <f aca="false">IF(R254="維持",K254,IF(R254="排除",0,IFERROR(INDEX(事件規則!$C$2:$C$53,MATCH(S254,事件規則!$A$2:$A$53,0)),"")))</f>
        <v>3</v>
      </c>
      <c r="V254" s="21"/>
      <c r="W254" s="22"/>
      <c r="X254" s="10" t="str">
        <f aca="false">IF(AND(R254="修改",S254=""),"請選新事件代碼",IF(AND(R254&lt;&gt;"修改",S254&lt;&gt;""),"只有「修改」才需填代碼",""))</f>
        <v/>
      </c>
      <c r="Y254" s="21"/>
      <c r="Z254" s="22"/>
      <c r="AA254" s="23" t="s">
        <v>937</v>
      </c>
      <c r="AB254" s="13"/>
    </row>
    <row r="255" customFormat="false" ht="29.85" hidden="false" customHeight="false" outlineLevel="0" collapsed="false">
      <c r="A255" s="16" t="n">
        <v>254</v>
      </c>
      <c r="B255" s="9" t="s">
        <v>65</v>
      </c>
      <c r="C255" s="9" t="s">
        <v>554</v>
      </c>
      <c r="D255" s="10" t="s">
        <v>555</v>
      </c>
      <c r="E255" s="24" t="s">
        <v>938</v>
      </c>
      <c r="F255" s="12"/>
      <c r="G255" s="23" t="s">
        <v>939</v>
      </c>
      <c r="H255" s="14" t="n">
        <v>-0.938</v>
      </c>
      <c r="I255" s="15"/>
      <c r="J255" s="12"/>
      <c r="K255" s="9"/>
      <c r="L255" s="16" t="s">
        <v>51</v>
      </c>
      <c r="M255" s="17" t="s">
        <v>79</v>
      </c>
      <c r="N255" s="15"/>
      <c r="O255" s="16" t="s">
        <v>54</v>
      </c>
      <c r="P255" s="12" t="s">
        <v>890</v>
      </c>
      <c r="Q255" s="16"/>
      <c r="R255" s="18" t="s">
        <v>79</v>
      </c>
      <c r="S255" s="19"/>
      <c r="T255" s="12" t="str">
        <f aca="false">IF(R255="維持",J255,IF(R255="排除","無關新聞事件",IFERROR(INDEX(事件規則!$B$2:$B$53,MATCH(S255,事件規則!$A$2:$A$53,0)),"")))</f>
        <v>無關新聞事件</v>
      </c>
      <c r="U255" s="20" t="n">
        <f aca="false">IF(R255="維持",K255,IF(R255="排除",0,IFERROR(INDEX(事件規則!$C$2:$C$53,MATCH(S255,事件規則!$A$2:$A$53,0)),"")))</f>
        <v>0</v>
      </c>
      <c r="V255" s="21"/>
      <c r="W255" s="22"/>
      <c r="X255" s="10" t="str">
        <f aca="false">IF(AND(R255="修改",S255=""),"請選新事件代碼",IF(AND(R255&lt;&gt;"修改",S255&lt;&gt;""),"只有「修改」才需填代碼",""))</f>
        <v/>
      </c>
      <c r="Y255" s="21"/>
      <c r="Z255" s="22"/>
      <c r="AA255" s="23" t="s">
        <v>940</v>
      </c>
      <c r="AB255" s="13"/>
    </row>
    <row r="256" customFormat="false" ht="29.85" hidden="false" customHeight="false" outlineLevel="0" collapsed="false">
      <c r="A256" s="16" t="n">
        <v>255</v>
      </c>
      <c r="B256" s="9" t="s">
        <v>65</v>
      </c>
      <c r="C256" s="9" t="s">
        <v>57</v>
      </c>
      <c r="D256" s="10" t="s">
        <v>58</v>
      </c>
      <c r="E256" s="24" t="s">
        <v>941</v>
      </c>
      <c r="F256" s="12"/>
      <c r="G256" s="23" t="s">
        <v>501</v>
      </c>
      <c r="H256" s="14" t="n">
        <v>-0.938</v>
      </c>
      <c r="I256" s="15"/>
      <c r="J256" s="12"/>
      <c r="K256" s="9"/>
      <c r="L256" s="16" t="s">
        <v>51</v>
      </c>
      <c r="M256" s="17" t="s">
        <v>79</v>
      </c>
      <c r="N256" s="15"/>
      <c r="O256" s="16" t="s">
        <v>54</v>
      </c>
      <c r="P256" s="12" t="s">
        <v>890</v>
      </c>
      <c r="Q256" s="16"/>
      <c r="R256" s="18" t="s">
        <v>79</v>
      </c>
      <c r="S256" s="19"/>
      <c r="T256" s="12" t="str">
        <f aca="false">IF(R256="維持",J256,IF(R256="排除","無關新聞事件",IFERROR(INDEX(事件規則!$B$2:$B$53,MATCH(S256,事件規則!$A$2:$A$53,0)),"")))</f>
        <v>無關新聞事件</v>
      </c>
      <c r="U256" s="20" t="n">
        <f aca="false">IF(R256="維持",K256,IF(R256="排除",0,IFERROR(INDEX(事件規則!$C$2:$C$53,MATCH(S256,事件規則!$A$2:$A$53,0)),"")))</f>
        <v>0</v>
      </c>
      <c r="V256" s="21"/>
      <c r="W256" s="22"/>
      <c r="X256" s="10" t="str">
        <f aca="false">IF(AND(R256="修改",S256=""),"請選新事件代碼",IF(AND(R256&lt;&gt;"修改",S256&lt;&gt;""),"只有「修改」才需填代碼",""))</f>
        <v/>
      </c>
      <c r="Y256" s="21"/>
      <c r="Z256" s="22"/>
      <c r="AA256" s="23" t="s">
        <v>942</v>
      </c>
      <c r="AB256" s="13"/>
    </row>
    <row r="257" customFormat="false" ht="29.85" hidden="false" customHeight="false" outlineLevel="0" collapsed="false">
      <c r="A257" s="16" t="n">
        <v>256</v>
      </c>
      <c r="B257" s="9" t="s">
        <v>65</v>
      </c>
      <c r="C257" s="9" t="s">
        <v>943</v>
      </c>
      <c r="D257" s="10" t="s">
        <v>944</v>
      </c>
      <c r="E257" s="24" t="s">
        <v>945</v>
      </c>
      <c r="F257" s="12"/>
      <c r="G257" s="23" t="s">
        <v>120</v>
      </c>
      <c r="H257" s="14" t="n">
        <v>-0.938</v>
      </c>
      <c r="I257" s="15"/>
      <c r="J257" s="12"/>
      <c r="K257" s="9"/>
      <c r="L257" s="16" t="s">
        <v>51</v>
      </c>
      <c r="M257" s="17" t="s">
        <v>79</v>
      </c>
      <c r="N257" s="15"/>
      <c r="O257" s="16" t="s">
        <v>54</v>
      </c>
      <c r="P257" s="12" t="s">
        <v>890</v>
      </c>
      <c r="Q257" s="16"/>
      <c r="R257" s="18" t="s">
        <v>79</v>
      </c>
      <c r="S257" s="19"/>
      <c r="T257" s="12" t="str">
        <f aca="false">IF(R257="維持",J257,IF(R257="排除","無關新聞事件",IFERROR(INDEX(事件規則!$B$2:$B$53,MATCH(S257,事件規則!$A$2:$A$53,0)),"")))</f>
        <v>無關新聞事件</v>
      </c>
      <c r="U257" s="20" t="n">
        <f aca="false">IF(R257="維持",K257,IF(R257="排除",0,IFERROR(INDEX(事件規則!$C$2:$C$53,MATCH(S257,事件規則!$A$2:$A$53,0)),"")))</f>
        <v>0</v>
      </c>
      <c r="V257" s="21"/>
      <c r="W257" s="22"/>
      <c r="X257" s="10" t="str">
        <f aca="false">IF(AND(R257="修改",S257=""),"請選新事件代碼",IF(AND(R257&lt;&gt;"修改",S257&lt;&gt;""),"只有「修改」才需填代碼",""))</f>
        <v/>
      </c>
      <c r="Y257" s="21"/>
      <c r="Z257" s="22"/>
      <c r="AA257" s="23" t="s">
        <v>946</v>
      </c>
      <c r="AB257" s="13"/>
    </row>
    <row r="258" customFormat="false" ht="29.85" hidden="false" customHeight="false" outlineLevel="0" collapsed="false">
      <c r="A258" s="16" t="n">
        <v>257</v>
      </c>
      <c r="B258" s="9" t="s">
        <v>45</v>
      </c>
      <c r="C258" s="9" t="s">
        <v>69</v>
      </c>
      <c r="D258" s="10" t="s">
        <v>70</v>
      </c>
      <c r="E258" s="24" t="s">
        <v>947</v>
      </c>
      <c r="F258" s="12"/>
      <c r="G258" s="23" t="s">
        <v>899</v>
      </c>
      <c r="H258" s="14" t="n">
        <v>-0.938</v>
      </c>
      <c r="I258" s="15"/>
      <c r="J258" s="12"/>
      <c r="K258" s="9"/>
      <c r="L258" s="16" t="s">
        <v>51</v>
      </c>
      <c r="M258" s="17" t="s">
        <v>79</v>
      </c>
      <c r="N258" s="15"/>
      <c r="O258" s="16" t="s">
        <v>54</v>
      </c>
      <c r="P258" s="12" t="s">
        <v>890</v>
      </c>
      <c r="Q258" s="16"/>
      <c r="R258" s="18" t="s">
        <v>79</v>
      </c>
      <c r="S258" s="19"/>
      <c r="T258" s="12" t="str">
        <f aca="false">IF(R258="維持",J258,IF(R258="排除","無關新聞事件",IFERROR(INDEX(事件規則!$B$2:$B$53,MATCH(S258,事件規則!$A$2:$A$53,0)),"")))</f>
        <v>無關新聞事件</v>
      </c>
      <c r="U258" s="20" t="n">
        <f aca="false">IF(R258="維持",K258,IF(R258="排除",0,IFERROR(INDEX(事件規則!$C$2:$C$53,MATCH(S258,事件規則!$A$2:$A$53,0)),"")))</f>
        <v>0</v>
      </c>
      <c r="V258" s="21"/>
      <c r="W258" s="22"/>
      <c r="X258" s="10" t="str">
        <f aca="false">IF(AND(R258="修改",S258=""),"請選新事件代碼",IF(AND(R258&lt;&gt;"修改",S258&lt;&gt;""),"只有「修改」才需填代碼",""))</f>
        <v/>
      </c>
      <c r="Y258" s="21"/>
      <c r="Z258" s="22"/>
      <c r="AA258" s="23" t="s">
        <v>948</v>
      </c>
      <c r="AB258" s="13"/>
    </row>
    <row r="259" customFormat="false" ht="15" hidden="false" customHeight="false" outlineLevel="0" collapsed="false">
      <c r="A259" s="16" t="n">
        <v>258</v>
      </c>
      <c r="B259" s="9" t="s">
        <v>65</v>
      </c>
      <c r="C259" s="9" t="s">
        <v>381</v>
      </c>
      <c r="D259" s="10" t="s">
        <v>382</v>
      </c>
      <c r="E259" s="24" t="s">
        <v>949</v>
      </c>
      <c r="F259" s="12"/>
      <c r="G259" s="23" t="s">
        <v>120</v>
      </c>
      <c r="H259" s="14" t="n">
        <v>-0.938</v>
      </c>
      <c r="I259" s="15"/>
      <c r="J259" s="12"/>
      <c r="K259" s="9"/>
      <c r="L259" s="16" t="s">
        <v>51</v>
      </c>
      <c r="M259" s="17" t="s">
        <v>52</v>
      </c>
      <c r="N259" s="15" t="s">
        <v>53</v>
      </c>
      <c r="O259" s="16" t="s">
        <v>62</v>
      </c>
      <c r="P259" s="10" t="s">
        <v>932</v>
      </c>
      <c r="Q259" s="16"/>
      <c r="R259" s="18" t="s">
        <v>52</v>
      </c>
      <c r="S259" s="19" t="s">
        <v>53</v>
      </c>
      <c r="T259" s="12" t="str">
        <f aca="false">IF(R259="維持",J259,IF(R259="排除","無關新聞事件",IFERROR(INDEX(事件規則!$B$2:$B$53,MATCH(S259,事件規則!$A$2:$A$53,0)),"")))</f>
        <v>股價下跌</v>
      </c>
      <c r="U259" s="20" t="n">
        <f aca="false">IF(R259="維持",K259,IF(R259="排除",0,IFERROR(INDEX(事件規則!$C$2:$C$53,MATCH(S259,事件規則!$A$2:$A$53,0)),"")))</f>
        <v>1</v>
      </c>
      <c r="V259" s="21"/>
      <c r="W259" s="22"/>
      <c r="X259" s="10" t="str">
        <f aca="false">IF(AND(R259="修改",S259=""),"請選新事件代碼",IF(AND(R259&lt;&gt;"修改",S259&lt;&gt;""),"只有「修改」才需填代碼",""))</f>
        <v/>
      </c>
      <c r="Y259" s="21"/>
      <c r="Z259" s="22"/>
      <c r="AA259" s="23" t="s">
        <v>950</v>
      </c>
      <c r="AB259" s="13"/>
    </row>
    <row r="260" customFormat="false" ht="29.85" hidden="false" customHeight="false" outlineLevel="0" collapsed="false">
      <c r="A260" s="16" t="n">
        <v>259</v>
      </c>
      <c r="B260" s="9" t="s">
        <v>45</v>
      </c>
      <c r="C260" s="9" t="s">
        <v>213</v>
      </c>
      <c r="D260" s="10" t="s">
        <v>214</v>
      </c>
      <c r="E260" s="24" t="s">
        <v>951</v>
      </c>
      <c r="F260" s="12"/>
      <c r="G260" s="23" t="s">
        <v>952</v>
      </c>
      <c r="H260" s="14" t="n">
        <v>-0.938</v>
      </c>
      <c r="I260" s="15"/>
      <c r="J260" s="12"/>
      <c r="K260" s="9"/>
      <c r="L260" s="16" t="s">
        <v>51</v>
      </c>
      <c r="M260" s="17" t="s">
        <v>79</v>
      </c>
      <c r="N260" s="15"/>
      <c r="O260" s="16" t="s">
        <v>54</v>
      </c>
      <c r="P260" s="12" t="s">
        <v>890</v>
      </c>
      <c r="Q260" s="16"/>
      <c r="R260" s="18" t="s">
        <v>79</v>
      </c>
      <c r="S260" s="19"/>
      <c r="T260" s="12" t="str">
        <f aca="false">IF(R260="維持",J260,IF(R260="排除","無關新聞事件",IFERROR(INDEX(事件規則!$B$2:$B$53,MATCH(S260,事件規則!$A$2:$A$53,0)),"")))</f>
        <v>無關新聞事件</v>
      </c>
      <c r="U260" s="20" t="n">
        <f aca="false">IF(R260="維持",K260,IF(R260="排除",0,IFERROR(INDEX(事件規則!$C$2:$C$53,MATCH(S260,事件規則!$A$2:$A$53,0)),"")))</f>
        <v>0</v>
      </c>
      <c r="V260" s="21"/>
      <c r="W260" s="22"/>
      <c r="X260" s="10" t="str">
        <f aca="false">IF(AND(R260="修改",S260=""),"請選新事件代碼",IF(AND(R260&lt;&gt;"修改",S260&lt;&gt;""),"只有「修改」才需填代碼",""))</f>
        <v/>
      </c>
      <c r="Y260" s="21"/>
      <c r="Z260" s="22"/>
      <c r="AA260" s="23" t="s">
        <v>953</v>
      </c>
      <c r="AB260" s="13"/>
    </row>
    <row r="261" customFormat="false" ht="29.85" hidden="false" customHeight="false" outlineLevel="0" collapsed="false">
      <c r="A261" s="16" t="n">
        <v>260</v>
      </c>
      <c r="B261" s="9" t="s">
        <v>45</v>
      </c>
      <c r="C261" s="9" t="s">
        <v>108</v>
      </c>
      <c r="D261" s="10" t="s">
        <v>109</v>
      </c>
      <c r="E261" s="24" t="s">
        <v>954</v>
      </c>
      <c r="F261" s="12"/>
      <c r="G261" s="23" t="s">
        <v>899</v>
      </c>
      <c r="H261" s="14" t="n">
        <v>-0.938</v>
      </c>
      <c r="I261" s="15"/>
      <c r="J261" s="12"/>
      <c r="K261" s="9"/>
      <c r="L261" s="16" t="s">
        <v>51</v>
      </c>
      <c r="M261" s="17" t="s">
        <v>79</v>
      </c>
      <c r="N261" s="15"/>
      <c r="O261" s="16" t="s">
        <v>54</v>
      </c>
      <c r="P261" s="12" t="s">
        <v>890</v>
      </c>
      <c r="Q261" s="16"/>
      <c r="R261" s="18" t="s">
        <v>79</v>
      </c>
      <c r="S261" s="19"/>
      <c r="T261" s="12" t="str">
        <f aca="false">IF(R261="維持",J261,IF(R261="排除","無關新聞事件",IFERROR(INDEX(事件規則!$B$2:$B$53,MATCH(S261,事件規則!$A$2:$A$53,0)),"")))</f>
        <v>無關新聞事件</v>
      </c>
      <c r="U261" s="20" t="n">
        <f aca="false">IF(R261="維持",K261,IF(R261="排除",0,IFERROR(INDEX(事件規則!$C$2:$C$53,MATCH(S261,事件規則!$A$2:$A$53,0)),"")))</f>
        <v>0</v>
      </c>
      <c r="V261" s="21"/>
      <c r="W261" s="22"/>
      <c r="X261" s="10" t="str">
        <f aca="false">IF(AND(R261="修改",S261=""),"請選新事件代碼",IF(AND(R261&lt;&gt;"修改",S261&lt;&gt;""),"只有「修改」才需填代碼",""))</f>
        <v/>
      </c>
      <c r="Y261" s="21"/>
      <c r="Z261" s="22"/>
      <c r="AA261" s="23" t="s">
        <v>955</v>
      </c>
      <c r="AB261" s="13"/>
    </row>
    <row r="262" customFormat="false" ht="29.85" hidden="false" customHeight="false" outlineLevel="0" collapsed="false">
      <c r="A262" s="16" t="n">
        <v>261</v>
      </c>
      <c r="B262" s="9" t="s">
        <v>65</v>
      </c>
      <c r="C262" s="9" t="s">
        <v>956</v>
      </c>
      <c r="D262" s="10" t="s">
        <v>957</v>
      </c>
      <c r="E262" s="24" t="s">
        <v>958</v>
      </c>
      <c r="F262" s="12"/>
      <c r="G262" s="23" t="s">
        <v>335</v>
      </c>
      <c r="H262" s="14" t="n">
        <v>-0.938</v>
      </c>
      <c r="I262" s="15"/>
      <c r="J262" s="12"/>
      <c r="K262" s="9"/>
      <c r="L262" s="16" t="s">
        <v>51</v>
      </c>
      <c r="M262" s="17" t="s">
        <v>79</v>
      </c>
      <c r="N262" s="15"/>
      <c r="O262" s="16" t="s">
        <v>54</v>
      </c>
      <c r="P262" s="12" t="s">
        <v>890</v>
      </c>
      <c r="Q262" s="16"/>
      <c r="R262" s="18" t="s">
        <v>79</v>
      </c>
      <c r="S262" s="19"/>
      <c r="T262" s="12" t="str">
        <f aca="false">IF(R262="維持",J262,IF(R262="排除","無關新聞事件",IFERROR(INDEX(事件規則!$B$2:$B$53,MATCH(S262,事件規則!$A$2:$A$53,0)),"")))</f>
        <v>無關新聞事件</v>
      </c>
      <c r="U262" s="20" t="n">
        <f aca="false">IF(R262="維持",K262,IF(R262="排除",0,IFERROR(INDEX(事件規則!$C$2:$C$53,MATCH(S262,事件規則!$A$2:$A$53,0)),"")))</f>
        <v>0</v>
      </c>
      <c r="V262" s="21"/>
      <c r="W262" s="22"/>
      <c r="X262" s="10" t="str">
        <f aca="false">IF(AND(R262="修改",S262=""),"請選新事件代碼",IF(AND(R262&lt;&gt;"修改",S262&lt;&gt;""),"只有「修改」才需填代碼",""))</f>
        <v/>
      </c>
      <c r="Y262" s="21"/>
      <c r="Z262" s="22"/>
      <c r="AA262" s="23" t="s">
        <v>959</v>
      </c>
      <c r="AB262" s="13"/>
    </row>
    <row r="263" customFormat="false" ht="29.85" hidden="false" customHeight="false" outlineLevel="0" collapsed="false">
      <c r="A263" s="16" t="n">
        <v>262</v>
      </c>
      <c r="B263" s="9" t="s">
        <v>386</v>
      </c>
      <c r="C263" s="9" t="s">
        <v>960</v>
      </c>
      <c r="D263" s="10" t="s">
        <v>961</v>
      </c>
      <c r="E263" s="24" t="s">
        <v>962</v>
      </c>
      <c r="F263" s="12"/>
      <c r="G263" s="23" t="s">
        <v>963</v>
      </c>
      <c r="H263" s="14" t="n">
        <v>-0.938</v>
      </c>
      <c r="I263" s="15"/>
      <c r="J263" s="12"/>
      <c r="K263" s="9"/>
      <c r="L263" s="16" t="s">
        <v>51</v>
      </c>
      <c r="M263" s="17" t="s">
        <v>79</v>
      </c>
      <c r="N263" s="15"/>
      <c r="O263" s="16" t="s">
        <v>54</v>
      </c>
      <c r="P263" s="12" t="s">
        <v>890</v>
      </c>
      <c r="Q263" s="16"/>
      <c r="R263" s="18" t="s">
        <v>79</v>
      </c>
      <c r="S263" s="19"/>
      <c r="T263" s="12" t="str">
        <f aca="false">IF(R263="維持",J263,IF(R263="排除","無關新聞事件",IFERROR(INDEX(事件規則!$B$2:$B$53,MATCH(S263,事件規則!$A$2:$A$53,0)),"")))</f>
        <v>無關新聞事件</v>
      </c>
      <c r="U263" s="20" t="n">
        <f aca="false">IF(R263="維持",K263,IF(R263="排除",0,IFERROR(INDEX(事件規則!$C$2:$C$53,MATCH(S263,事件規則!$A$2:$A$53,0)),"")))</f>
        <v>0</v>
      </c>
      <c r="V263" s="21"/>
      <c r="W263" s="22"/>
      <c r="X263" s="10" t="str">
        <f aca="false">IF(AND(R263="修改",S263=""),"請選新事件代碼",IF(AND(R263&lt;&gt;"修改",S263&lt;&gt;""),"只有「修改」才需填代碼",""))</f>
        <v/>
      </c>
      <c r="Y263" s="21"/>
      <c r="Z263" s="22"/>
      <c r="AA263" s="23" t="s">
        <v>964</v>
      </c>
      <c r="AB263" s="13"/>
    </row>
    <row r="264" customFormat="false" ht="29.85" hidden="false" customHeight="false" outlineLevel="0" collapsed="false">
      <c r="A264" s="16" t="n">
        <v>263</v>
      </c>
      <c r="B264" s="9" t="s">
        <v>65</v>
      </c>
      <c r="C264" s="9" t="s">
        <v>149</v>
      </c>
      <c r="D264" s="10" t="s">
        <v>150</v>
      </c>
      <c r="E264" s="24" t="s">
        <v>965</v>
      </c>
      <c r="F264" s="12"/>
      <c r="G264" s="23" t="s">
        <v>147</v>
      </c>
      <c r="H264" s="14" t="n">
        <v>-0.937</v>
      </c>
      <c r="I264" s="15"/>
      <c r="J264" s="12"/>
      <c r="K264" s="9"/>
      <c r="L264" s="16" t="s">
        <v>51</v>
      </c>
      <c r="M264" s="17" t="s">
        <v>79</v>
      </c>
      <c r="N264" s="15"/>
      <c r="O264" s="16" t="s">
        <v>54</v>
      </c>
      <c r="P264" s="12" t="s">
        <v>890</v>
      </c>
      <c r="Q264" s="16"/>
      <c r="R264" s="18" t="s">
        <v>79</v>
      </c>
      <c r="S264" s="19"/>
      <c r="T264" s="12" t="str">
        <f aca="false">IF(R264="維持",J264,IF(R264="排除","無關新聞事件",IFERROR(INDEX(事件規則!$B$2:$B$53,MATCH(S264,事件規則!$A$2:$A$53,0)),"")))</f>
        <v>無關新聞事件</v>
      </c>
      <c r="U264" s="20" t="n">
        <f aca="false">IF(R264="維持",K264,IF(R264="排除",0,IFERROR(INDEX(事件規則!$C$2:$C$53,MATCH(S264,事件規則!$A$2:$A$53,0)),"")))</f>
        <v>0</v>
      </c>
      <c r="V264" s="21"/>
      <c r="W264" s="22"/>
      <c r="X264" s="10" t="str">
        <f aca="false">IF(AND(R264="修改",S264=""),"請選新事件代碼",IF(AND(R264&lt;&gt;"修改",S264&lt;&gt;""),"只有「修改」才需填代碼",""))</f>
        <v/>
      </c>
      <c r="Y264" s="21"/>
      <c r="Z264" s="22"/>
      <c r="AA264" s="23" t="s">
        <v>966</v>
      </c>
      <c r="AB264" s="13"/>
    </row>
    <row r="265" customFormat="false" ht="29.85" hidden="false" customHeight="false" outlineLevel="0" collapsed="false">
      <c r="A265" s="16" t="n">
        <v>264</v>
      </c>
      <c r="B265" s="9" t="s">
        <v>65</v>
      </c>
      <c r="C265" s="9" t="s">
        <v>618</v>
      </c>
      <c r="D265" s="10" t="s">
        <v>619</v>
      </c>
      <c r="E265" s="24" t="s">
        <v>967</v>
      </c>
      <c r="F265" s="12"/>
      <c r="G265" s="23" t="s">
        <v>779</v>
      </c>
      <c r="H265" s="14" t="n">
        <v>-0.937</v>
      </c>
      <c r="I265" s="15"/>
      <c r="J265" s="12"/>
      <c r="K265" s="9"/>
      <c r="L265" s="16" t="s">
        <v>51</v>
      </c>
      <c r="M265" s="17" t="s">
        <v>79</v>
      </c>
      <c r="N265" s="15"/>
      <c r="O265" s="16" t="s">
        <v>54</v>
      </c>
      <c r="P265" s="12" t="s">
        <v>890</v>
      </c>
      <c r="Q265" s="16"/>
      <c r="R265" s="18" t="s">
        <v>79</v>
      </c>
      <c r="S265" s="19"/>
      <c r="T265" s="12" t="str">
        <f aca="false">IF(R265="維持",J265,IF(R265="排除","無關新聞事件",IFERROR(INDEX(事件規則!$B$2:$B$53,MATCH(S265,事件規則!$A$2:$A$53,0)),"")))</f>
        <v>無關新聞事件</v>
      </c>
      <c r="U265" s="20" t="n">
        <f aca="false">IF(R265="維持",K265,IF(R265="排除",0,IFERROR(INDEX(事件規則!$C$2:$C$53,MATCH(S265,事件規則!$A$2:$A$53,0)),"")))</f>
        <v>0</v>
      </c>
      <c r="V265" s="21"/>
      <c r="W265" s="22"/>
      <c r="X265" s="10" t="str">
        <f aca="false">IF(AND(R265="修改",S265=""),"請選新事件代碼",IF(AND(R265&lt;&gt;"修改",S265&lt;&gt;""),"只有「修改」才需填代碼",""))</f>
        <v/>
      </c>
      <c r="Y265" s="21"/>
      <c r="Z265" s="22"/>
      <c r="AA265" s="23" t="s">
        <v>968</v>
      </c>
      <c r="AB265" s="13"/>
    </row>
    <row r="266" customFormat="false" ht="29.85" hidden="false" customHeight="false" outlineLevel="0" collapsed="false">
      <c r="A266" s="16" t="n">
        <v>265</v>
      </c>
      <c r="B266" s="9" t="s">
        <v>331</v>
      </c>
      <c r="C266" s="9" t="s">
        <v>969</v>
      </c>
      <c r="D266" s="10" t="s">
        <v>970</v>
      </c>
      <c r="E266" s="24" t="s">
        <v>971</v>
      </c>
      <c r="F266" s="12"/>
      <c r="G266" s="23" t="s">
        <v>295</v>
      </c>
      <c r="H266" s="14" t="n">
        <v>-0.937</v>
      </c>
      <c r="I266" s="15"/>
      <c r="J266" s="12"/>
      <c r="K266" s="9"/>
      <c r="L266" s="16" t="s">
        <v>51</v>
      </c>
      <c r="M266" s="17" t="s">
        <v>79</v>
      </c>
      <c r="N266" s="15"/>
      <c r="O266" s="16" t="s">
        <v>54</v>
      </c>
      <c r="P266" s="12" t="s">
        <v>890</v>
      </c>
      <c r="Q266" s="16"/>
      <c r="R266" s="18" t="s">
        <v>79</v>
      </c>
      <c r="S266" s="19"/>
      <c r="T266" s="12" t="str">
        <f aca="false">IF(R266="維持",J266,IF(R266="排除","無關新聞事件",IFERROR(INDEX(事件規則!$B$2:$B$53,MATCH(S266,事件規則!$A$2:$A$53,0)),"")))</f>
        <v>無關新聞事件</v>
      </c>
      <c r="U266" s="20" t="n">
        <f aca="false">IF(R266="維持",K266,IF(R266="排除",0,IFERROR(INDEX(事件規則!$C$2:$C$53,MATCH(S266,事件規則!$A$2:$A$53,0)),"")))</f>
        <v>0</v>
      </c>
      <c r="V266" s="21"/>
      <c r="W266" s="22"/>
      <c r="X266" s="10" t="str">
        <f aca="false">IF(AND(R266="修改",S266=""),"請選新事件代碼",IF(AND(R266&lt;&gt;"修改",S266&lt;&gt;""),"只有「修改」才需填代碼",""))</f>
        <v/>
      </c>
      <c r="Y266" s="21"/>
      <c r="Z266" s="22"/>
      <c r="AA266" s="23" t="s">
        <v>972</v>
      </c>
      <c r="AB266" s="13"/>
    </row>
    <row r="267" customFormat="false" ht="29.85" hidden="false" customHeight="false" outlineLevel="0" collapsed="false">
      <c r="A267" s="16" t="n">
        <v>266</v>
      </c>
      <c r="B267" s="9" t="s">
        <v>45</v>
      </c>
      <c r="C267" s="9" t="s">
        <v>704</v>
      </c>
      <c r="D267" s="10" t="s">
        <v>705</v>
      </c>
      <c r="E267" s="24" t="s">
        <v>973</v>
      </c>
      <c r="F267" s="12"/>
      <c r="G267" s="23" t="s">
        <v>707</v>
      </c>
      <c r="H267" s="14" t="n">
        <v>-0.937</v>
      </c>
      <c r="I267" s="15"/>
      <c r="J267" s="12"/>
      <c r="K267" s="9"/>
      <c r="L267" s="16" t="s">
        <v>51</v>
      </c>
      <c r="M267" s="17" t="s">
        <v>79</v>
      </c>
      <c r="N267" s="15"/>
      <c r="O267" s="16" t="s">
        <v>54</v>
      </c>
      <c r="P267" s="12" t="s">
        <v>890</v>
      </c>
      <c r="Q267" s="16"/>
      <c r="R267" s="18" t="s">
        <v>79</v>
      </c>
      <c r="S267" s="19"/>
      <c r="T267" s="12" t="str">
        <f aca="false">IF(R267="維持",J267,IF(R267="排除","無關新聞事件",IFERROR(INDEX(事件規則!$B$2:$B$53,MATCH(S267,事件規則!$A$2:$A$53,0)),"")))</f>
        <v>無關新聞事件</v>
      </c>
      <c r="U267" s="20" t="n">
        <f aca="false">IF(R267="維持",K267,IF(R267="排除",0,IFERROR(INDEX(事件規則!$C$2:$C$53,MATCH(S267,事件規則!$A$2:$A$53,0)),"")))</f>
        <v>0</v>
      </c>
      <c r="V267" s="21"/>
      <c r="W267" s="22"/>
      <c r="X267" s="10" t="str">
        <f aca="false">IF(AND(R267="修改",S267=""),"請選新事件代碼",IF(AND(R267&lt;&gt;"修改",S267&lt;&gt;""),"只有「修改」才需填代碼",""))</f>
        <v/>
      </c>
      <c r="Y267" s="21"/>
      <c r="Z267" s="22"/>
      <c r="AA267" s="23" t="s">
        <v>974</v>
      </c>
      <c r="AB267" s="13"/>
    </row>
    <row r="268" customFormat="false" ht="29.85" hidden="false" customHeight="false" outlineLevel="0" collapsed="false">
      <c r="A268" s="16" t="n">
        <v>267</v>
      </c>
      <c r="B268" s="9" t="s">
        <v>65</v>
      </c>
      <c r="C268" s="9" t="s">
        <v>975</v>
      </c>
      <c r="D268" s="10" t="s">
        <v>976</v>
      </c>
      <c r="E268" s="24" t="s">
        <v>977</v>
      </c>
      <c r="F268" s="12"/>
      <c r="G268" s="23" t="s">
        <v>978</v>
      </c>
      <c r="H268" s="14" t="n">
        <v>-0.937</v>
      </c>
      <c r="I268" s="15"/>
      <c r="J268" s="12"/>
      <c r="K268" s="9"/>
      <c r="L268" s="16" t="s">
        <v>51</v>
      </c>
      <c r="M268" s="17" t="s">
        <v>79</v>
      </c>
      <c r="N268" s="15"/>
      <c r="O268" s="16" t="s">
        <v>54</v>
      </c>
      <c r="P268" s="12" t="s">
        <v>890</v>
      </c>
      <c r="Q268" s="16"/>
      <c r="R268" s="18" t="s">
        <v>79</v>
      </c>
      <c r="S268" s="19"/>
      <c r="T268" s="12" t="str">
        <f aca="false">IF(R268="維持",J268,IF(R268="排除","無關新聞事件",IFERROR(INDEX(事件規則!$B$2:$B$53,MATCH(S268,事件規則!$A$2:$A$53,0)),"")))</f>
        <v>無關新聞事件</v>
      </c>
      <c r="U268" s="20" t="n">
        <f aca="false">IF(R268="維持",K268,IF(R268="排除",0,IFERROR(INDEX(事件規則!$C$2:$C$53,MATCH(S268,事件規則!$A$2:$A$53,0)),"")))</f>
        <v>0</v>
      </c>
      <c r="V268" s="21"/>
      <c r="W268" s="22"/>
      <c r="X268" s="10" t="str">
        <f aca="false">IF(AND(R268="修改",S268=""),"請選新事件代碼",IF(AND(R268&lt;&gt;"修改",S268&lt;&gt;""),"只有「修改」才需填代碼",""))</f>
        <v/>
      </c>
      <c r="Y268" s="21"/>
      <c r="Z268" s="22"/>
      <c r="AA268" s="23" t="s">
        <v>979</v>
      </c>
      <c r="AB268" s="13"/>
    </row>
    <row r="269" customFormat="false" ht="29.85" hidden="false" customHeight="false" outlineLevel="0" collapsed="false">
      <c r="A269" s="16" t="n">
        <v>268</v>
      </c>
      <c r="B269" s="9" t="s">
        <v>65</v>
      </c>
      <c r="C269" s="9" t="s">
        <v>108</v>
      </c>
      <c r="D269" s="10" t="s">
        <v>109</v>
      </c>
      <c r="E269" s="24" t="s">
        <v>980</v>
      </c>
      <c r="F269" s="12"/>
      <c r="G269" s="23" t="s">
        <v>152</v>
      </c>
      <c r="H269" s="14" t="n">
        <v>-0.937</v>
      </c>
      <c r="I269" s="15"/>
      <c r="J269" s="12"/>
      <c r="K269" s="9"/>
      <c r="L269" s="16" t="s">
        <v>51</v>
      </c>
      <c r="M269" s="17" t="s">
        <v>79</v>
      </c>
      <c r="N269" s="15"/>
      <c r="O269" s="16" t="s">
        <v>54</v>
      </c>
      <c r="P269" s="12" t="s">
        <v>890</v>
      </c>
      <c r="Q269" s="16"/>
      <c r="R269" s="18" t="s">
        <v>79</v>
      </c>
      <c r="S269" s="19"/>
      <c r="T269" s="12" t="str">
        <f aca="false">IF(R269="維持",J269,IF(R269="排除","無關新聞事件",IFERROR(INDEX(事件規則!$B$2:$B$53,MATCH(S269,事件規則!$A$2:$A$53,0)),"")))</f>
        <v>無關新聞事件</v>
      </c>
      <c r="U269" s="20" t="n">
        <f aca="false">IF(R269="維持",K269,IF(R269="排除",0,IFERROR(INDEX(事件規則!$C$2:$C$53,MATCH(S269,事件規則!$A$2:$A$53,0)),"")))</f>
        <v>0</v>
      </c>
      <c r="V269" s="21"/>
      <c r="W269" s="22"/>
      <c r="X269" s="10" t="str">
        <f aca="false">IF(AND(R269="修改",S269=""),"請選新事件代碼",IF(AND(R269&lt;&gt;"修改",S269&lt;&gt;""),"只有「修改」才需填代碼",""))</f>
        <v/>
      </c>
      <c r="Y269" s="21"/>
      <c r="Z269" s="22"/>
      <c r="AA269" s="23" t="s">
        <v>981</v>
      </c>
      <c r="AB269" s="13"/>
    </row>
    <row r="270" customFormat="false" ht="29.85" hidden="false" customHeight="false" outlineLevel="0" collapsed="false">
      <c r="A270" s="16" t="n">
        <v>269</v>
      </c>
      <c r="B270" s="9" t="s">
        <v>65</v>
      </c>
      <c r="C270" s="9" t="s">
        <v>346</v>
      </c>
      <c r="D270" s="10" t="s">
        <v>347</v>
      </c>
      <c r="E270" s="24" t="s">
        <v>982</v>
      </c>
      <c r="F270" s="12"/>
      <c r="G270" s="23" t="s">
        <v>983</v>
      </c>
      <c r="H270" s="14" t="n">
        <v>-0.937</v>
      </c>
      <c r="I270" s="15"/>
      <c r="J270" s="12"/>
      <c r="K270" s="9"/>
      <c r="L270" s="16" t="s">
        <v>51</v>
      </c>
      <c r="M270" s="17" t="s">
        <v>79</v>
      </c>
      <c r="N270" s="15"/>
      <c r="O270" s="16" t="s">
        <v>54</v>
      </c>
      <c r="P270" s="12" t="s">
        <v>890</v>
      </c>
      <c r="Q270" s="16"/>
      <c r="R270" s="18" t="s">
        <v>79</v>
      </c>
      <c r="S270" s="19"/>
      <c r="T270" s="12" t="str">
        <f aca="false">IF(R270="維持",J270,IF(R270="排除","無關新聞事件",IFERROR(INDEX(事件規則!$B$2:$B$53,MATCH(S270,事件規則!$A$2:$A$53,0)),"")))</f>
        <v>無關新聞事件</v>
      </c>
      <c r="U270" s="20" t="n">
        <f aca="false">IF(R270="維持",K270,IF(R270="排除",0,IFERROR(INDEX(事件規則!$C$2:$C$53,MATCH(S270,事件規則!$A$2:$A$53,0)),"")))</f>
        <v>0</v>
      </c>
      <c r="V270" s="21"/>
      <c r="W270" s="22"/>
      <c r="X270" s="10" t="str">
        <f aca="false">IF(AND(R270="修改",S270=""),"請選新事件代碼",IF(AND(R270&lt;&gt;"修改",S270&lt;&gt;""),"只有「修改」才需填代碼",""))</f>
        <v/>
      </c>
      <c r="Y270" s="21"/>
      <c r="Z270" s="22"/>
      <c r="AA270" s="23" t="s">
        <v>984</v>
      </c>
      <c r="AB270" s="13"/>
    </row>
    <row r="271" customFormat="false" ht="29.85" hidden="false" customHeight="false" outlineLevel="0" collapsed="false">
      <c r="A271" s="16" t="n">
        <v>270</v>
      </c>
      <c r="B271" s="9" t="s">
        <v>65</v>
      </c>
      <c r="C271" s="9" t="s">
        <v>142</v>
      </c>
      <c r="D271" s="10" t="s">
        <v>143</v>
      </c>
      <c r="E271" s="24" t="s">
        <v>985</v>
      </c>
      <c r="F271" s="12"/>
      <c r="G271" s="23" t="s">
        <v>986</v>
      </c>
      <c r="H271" s="14" t="n">
        <v>-0.936</v>
      </c>
      <c r="I271" s="15"/>
      <c r="J271" s="12"/>
      <c r="K271" s="9"/>
      <c r="L271" s="16" t="s">
        <v>51</v>
      </c>
      <c r="M271" s="17" t="s">
        <v>79</v>
      </c>
      <c r="N271" s="15"/>
      <c r="O271" s="16" t="s">
        <v>54</v>
      </c>
      <c r="P271" s="12" t="s">
        <v>890</v>
      </c>
      <c r="Q271" s="16"/>
      <c r="R271" s="18" t="s">
        <v>79</v>
      </c>
      <c r="S271" s="19"/>
      <c r="T271" s="12" t="str">
        <f aca="false">IF(R271="維持",J271,IF(R271="排除","無關新聞事件",IFERROR(INDEX(事件規則!$B$2:$B$53,MATCH(S271,事件規則!$A$2:$A$53,0)),"")))</f>
        <v>無關新聞事件</v>
      </c>
      <c r="U271" s="20" t="n">
        <f aca="false">IF(R271="維持",K271,IF(R271="排除",0,IFERROR(INDEX(事件規則!$C$2:$C$53,MATCH(S271,事件規則!$A$2:$A$53,0)),"")))</f>
        <v>0</v>
      </c>
      <c r="V271" s="21"/>
      <c r="W271" s="22"/>
      <c r="X271" s="10" t="str">
        <f aca="false">IF(AND(R271="修改",S271=""),"請選新事件代碼",IF(AND(R271&lt;&gt;"修改",S271&lt;&gt;""),"只有「修改」才需填代碼",""))</f>
        <v/>
      </c>
      <c r="Y271" s="21"/>
      <c r="Z271" s="22"/>
      <c r="AA271" s="23" t="s">
        <v>987</v>
      </c>
      <c r="AB271" s="13"/>
    </row>
    <row r="272" customFormat="false" ht="29.85" hidden="false" customHeight="false" outlineLevel="0" collapsed="false">
      <c r="A272" s="16" t="n">
        <v>271</v>
      </c>
      <c r="B272" s="9" t="s">
        <v>331</v>
      </c>
      <c r="C272" s="9" t="s">
        <v>988</v>
      </c>
      <c r="D272" s="10" t="s">
        <v>989</v>
      </c>
      <c r="E272" s="24" t="s">
        <v>990</v>
      </c>
      <c r="F272" s="12"/>
      <c r="G272" s="23" t="s">
        <v>991</v>
      </c>
      <c r="H272" s="14" t="n">
        <v>-0.936</v>
      </c>
      <c r="I272" s="15"/>
      <c r="J272" s="12"/>
      <c r="K272" s="9"/>
      <c r="L272" s="16" t="s">
        <v>51</v>
      </c>
      <c r="M272" s="17" t="s">
        <v>79</v>
      </c>
      <c r="N272" s="15"/>
      <c r="O272" s="16" t="s">
        <v>54</v>
      </c>
      <c r="P272" s="12" t="s">
        <v>890</v>
      </c>
      <c r="Q272" s="16"/>
      <c r="R272" s="18" t="s">
        <v>79</v>
      </c>
      <c r="S272" s="19"/>
      <c r="T272" s="12" t="str">
        <f aca="false">IF(R272="維持",J272,IF(R272="排除","無關新聞事件",IFERROR(INDEX(事件規則!$B$2:$B$53,MATCH(S272,事件規則!$A$2:$A$53,0)),"")))</f>
        <v>無關新聞事件</v>
      </c>
      <c r="U272" s="20" t="n">
        <f aca="false">IF(R272="維持",K272,IF(R272="排除",0,IFERROR(INDEX(事件規則!$C$2:$C$53,MATCH(S272,事件規則!$A$2:$A$53,0)),"")))</f>
        <v>0</v>
      </c>
      <c r="V272" s="21"/>
      <c r="W272" s="22"/>
      <c r="X272" s="10" t="str">
        <f aca="false">IF(AND(R272="修改",S272=""),"請選新事件代碼",IF(AND(R272&lt;&gt;"修改",S272&lt;&gt;""),"只有「修改」才需填代碼",""))</f>
        <v/>
      </c>
      <c r="Y272" s="21"/>
      <c r="Z272" s="22"/>
      <c r="AA272" s="23" t="s">
        <v>992</v>
      </c>
      <c r="AB272" s="13"/>
    </row>
    <row r="273" customFormat="false" ht="29.85" hidden="false" customHeight="false" outlineLevel="0" collapsed="false">
      <c r="A273" s="16" t="n">
        <v>272</v>
      </c>
      <c r="B273" s="9" t="s">
        <v>65</v>
      </c>
      <c r="C273" s="9" t="s">
        <v>99</v>
      </c>
      <c r="D273" s="10" t="s">
        <v>100</v>
      </c>
      <c r="E273" s="24" t="s">
        <v>993</v>
      </c>
      <c r="F273" s="12"/>
      <c r="G273" s="23" t="s">
        <v>994</v>
      </c>
      <c r="H273" s="14" t="n">
        <v>-0.936</v>
      </c>
      <c r="I273" s="15"/>
      <c r="J273" s="12"/>
      <c r="K273" s="9"/>
      <c r="L273" s="16" t="s">
        <v>51</v>
      </c>
      <c r="M273" s="17" t="s">
        <v>79</v>
      </c>
      <c r="N273" s="15"/>
      <c r="O273" s="16" t="s">
        <v>54</v>
      </c>
      <c r="P273" s="12" t="s">
        <v>890</v>
      </c>
      <c r="Q273" s="16"/>
      <c r="R273" s="18" t="s">
        <v>79</v>
      </c>
      <c r="S273" s="19"/>
      <c r="T273" s="12" t="str">
        <f aca="false">IF(R273="維持",J273,IF(R273="排除","無關新聞事件",IFERROR(INDEX(事件規則!$B$2:$B$53,MATCH(S273,事件規則!$A$2:$A$53,0)),"")))</f>
        <v>無關新聞事件</v>
      </c>
      <c r="U273" s="20" t="n">
        <f aca="false">IF(R273="維持",K273,IF(R273="排除",0,IFERROR(INDEX(事件規則!$C$2:$C$53,MATCH(S273,事件規則!$A$2:$A$53,0)),"")))</f>
        <v>0</v>
      </c>
      <c r="V273" s="21"/>
      <c r="W273" s="22"/>
      <c r="X273" s="10" t="str">
        <f aca="false">IF(AND(R273="修改",S273=""),"請選新事件代碼",IF(AND(R273&lt;&gt;"修改",S273&lt;&gt;""),"只有「修改」才需填代碼",""))</f>
        <v/>
      </c>
      <c r="Y273" s="21"/>
      <c r="Z273" s="22"/>
      <c r="AA273" s="23" t="s">
        <v>995</v>
      </c>
      <c r="AB273" s="13"/>
    </row>
    <row r="274" customFormat="false" ht="29.85" hidden="false" customHeight="false" outlineLevel="0" collapsed="false">
      <c r="A274" s="16" t="n">
        <v>273</v>
      </c>
      <c r="B274" s="9" t="s">
        <v>65</v>
      </c>
      <c r="C274" s="9" t="s">
        <v>996</v>
      </c>
      <c r="D274" s="10" t="s">
        <v>997</v>
      </c>
      <c r="E274" s="24" t="s">
        <v>998</v>
      </c>
      <c r="F274" s="12"/>
      <c r="G274" s="23" t="s">
        <v>999</v>
      </c>
      <c r="H274" s="14" t="n">
        <v>-0.936</v>
      </c>
      <c r="I274" s="15"/>
      <c r="J274" s="12"/>
      <c r="K274" s="9"/>
      <c r="L274" s="16" t="s">
        <v>51</v>
      </c>
      <c r="M274" s="17" t="s">
        <v>79</v>
      </c>
      <c r="N274" s="15"/>
      <c r="O274" s="16" t="s">
        <v>54</v>
      </c>
      <c r="P274" s="12" t="s">
        <v>890</v>
      </c>
      <c r="Q274" s="16"/>
      <c r="R274" s="18" t="s">
        <v>79</v>
      </c>
      <c r="S274" s="19"/>
      <c r="T274" s="12" t="str">
        <f aca="false">IF(R274="維持",J274,IF(R274="排除","無關新聞事件",IFERROR(INDEX(事件規則!$B$2:$B$53,MATCH(S274,事件規則!$A$2:$A$53,0)),"")))</f>
        <v>無關新聞事件</v>
      </c>
      <c r="U274" s="20" t="n">
        <f aca="false">IF(R274="維持",K274,IF(R274="排除",0,IFERROR(INDEX(事件規則!$C$2:$C$53,MATCH(S274,事件規則!$A$2:$A$53,0)),"")))</f>
        <v>0</v>
      </c>
      <c r="V274" s="21"/>
      <c r="W274" s="22"/>
      <c r="X274" s="10" t="str">
        <f aca="false">IF(AND(R274="修改",S274=""),"請選新事件代碼",IF(AND(R274&lt;&gt;"修改",S274&lt;&gt;""),"只有「修改」才需填代碼",""))</f>
        <v/>
      </c>
      <c r="Y274" s="21"/>
      <c r="Z274" s="22"/>
      <c r="AA274" s="23" t="s">
        <v>1000</v>
      </c>
      <c r="AB274" s="13"/>
    </row>
    <row r="275" customFormat="false" ht="29.85" hidden="false" customHeight="false" outlineLevel="0" collapsed="false">
      <c r="A275" s="16" t="n">
        <v>274</v>
      </c>
      <c r="B275" s="9" t="s">
        <v>331</v>
      </c>
      <c r="C275" s="9" t="s">
        <v>1001</v>
      </c>
      <c r="D275" s="10" t="s">
        <v>1002</v>
      </c>
      <c r="E275" s="24" t="s">
        <v>1003</v>
      </c>
      <c r="F275" s="12"/>
      <c r="G275" s="23" t="s">
        <v>120</v>
      </c>
      <c r="H275" s="14" t="n">
        <v>-0.936</v>
      </c>
      <c r="I275" s="15"/>
      <c r="J275" s="12"/>
      <c r="K275" s="9"/>
      <c r="L275" s="16" t="s">
        <v>51</v>
      </c>
      <c r="M275" s="17" t="s">
        <v>79</v>
      </c>
      <c r="N275" s="15"/>
      <c r="O275" s="16" t="s">
        <v>54</v>
      </c>
      <c r="P275" s="12" t="s">
        <v>890</v>
      </c>
      <c r="Q275" s="16"/>
      <c r="R275" s="18" t="s">
        <v>79</v>
      </c>
      <c r="S275" s="19"/>
      <c r="T275" s="12" t="str">
        <f aca="false">IF(R275="維持",J275,IF(R275="排除","無關新聞事件",IFERROR(INDEX(事件規則!$B$2:$B$53,MATCH(S275,事件規則!$A$2:$A$53,0)),"")))</f>
        <v>無關新聞事件</v>
      </c>
      <c r="U275" s="20" t="n">
        <f aca="false">IF(R275="維持",K275,IF(R275="排除",0,IFERROR(INDEX(事件規則!$C$2:$C$53,MATCH(S275,事件規則!$A$2:$A$53,0)),"")))</f>
        <v>0</v>
      </c>
      <c r="V275" s="21"/>
      <c r="W275" s="22"/>
      <c r="X275" s="10" t="str">
        <f aca="false">IF(AND(R275="修改",S275=""),"請選新事件代碼",IF(AND(R275&lt;&gt;"修改",S275&lt;&gt;""),"只有「修改」才需填代碼",""))</f>
        <v/>
      </c>
      <c r="Y275" s="21"/>
      <c r="Z275" s="22"/>
      <c r="AA275" s="23" t="s">
        <v>1004</v>
      </c>
      <c r="AB275" s="13"/>
    </row>
    <row r="276" customFormat="false" ht="15" hidden="false" customHeight="false" outlineLevel="0" collapsed="false">
      <c r="A276" s="16" t="n">
        <v>275</v>
      </c>
      <c r="B276" s="9" t="s">
        <v>45</v>
      </c>
      <c r="C276" s="9" t="s">
        <v>88</v>
      </c>
      <c r="D276" s="10" t="s">
        <v>89</v>
      </c>
      <c r="E276" s="24" t="s">
        <v>1005</v>
      </c>
      <c r="F276" s="12"/>
      <c r="G276" s="23" t="s">
        <v>317</v>
      </c>
      <c r="H276" s="14" t="n">
        <v>-0.936</v>
      </c>
      <c r="I276" s="15"/>
      <c r="J276" s="12"/>
      <c r="K276" s="9"/>
      <c r="L276" s="16" t="s">
        <v>51</v>
      </c>
      <c r="M276" s="17" t="s">
        <v>52</v>
      </c>
      <c r="N276" s="15" t="s">
        <v>53</v>
      </c>
      <c r="O276" s="16" t="s">
        <v>54</v>
      </c>
      <c r="P276" s="10" t="s">
        <v>926</v>
      </c>
      <c r="Q276" s="16"/>
      <c r="R276" s="18" t="s">
        <v>52</v>
      </c>
      <c r="S276" s="19" t="s">
        <v>53</v>
      </c>
      <c r="T276" s="12" t="str">
        <f aca="false">IF(R276="維持",J276,IF(R276="排除","無關新聞事件",IFERROR(INDEX(事件規則!$B$2:$B$53,MATCH(S276,事件規則!$A$2:$A$53,0)),"")))</f>
        <v>股價下跌</v>
      </c>
      <c r="U276" s="20" t="n">
        <f aca="false">IF(R276="維持",K276,IF(R276="排除",0,IFERROR(INDEX(事件規則!$C$2:$C$53,MATCH(S276,事件規則!$A$2:$A$53,0)),"")))</f>
        <v>1</v>
      </c>
      <c r="V276" s="21"/>
      <c r="W276" s="22"/>
      <c r="X276" s="10" t="str">
        <f aca="false">IF(AND(R276="修改",S276=""),"請選新事件代碼",IF(AND(R276&lt;&gt;"修改",S276&lt;&gt;""),"只有「修改」才需填代碼",""))</f>
        <v/>
      </c>
      <c r="Y276" s="21"/>
      <c r="Z276" s="22"/>
      <c r="AA276" s="23" t="s">
        <v>1006</v>
      </c>
      <c r="AB276" s="13"/>
    </row>
    <row r="277" customFormat="false" ht="15" hidden="false" customHeight="false" outlineLevel="0" collapsed="false">
      <c r="A277" s="16" t="n">
        <v>276</v>
      </c>
      <c r="B277" s="9" t="s">
        <v>45</v>
      </c>
      <c r="C277" s="9" t="s">
        <v>1007</v>
      </c>
      <c r="D277" s="10" t="s">
        <v>1008</v>
      </c>
      <c r="E277" s="24" t="s">
        <v>1009</v>
      </c>
      <c r="F277" s="12"/>
      <c r="G277" s="23" t="s">
        <v>120</v>
      </c>
      <c r="H277" s="14" t="n">
        <v>-0.936</v>
      </c>
      <c r="I277" s="15"/>
      <c r="J277" s="12"/>
      <c r="K277" s="9"/>
      <c r="L277" s="16" t="s">
        <v>51</v>
      </c>
      <c r="M277" s="17" t="s">
        <v>52</v>
      </c>
      <c r="N277" s="15" t="s">
        <v>736</v>
      </c>
      <c r="O277" s="16" t="s">
        <v>54</v>
      </c>
      <c r="P277" s="10" t="s">
        <v>1010</v>
      </c>
      <c r="Q277" s="16"/>
      <c r="R277" s="18" t="s">
        <v>52</v>
      </c>
      <c r="S277" s="19" t="s">
        <v>736</v>
      </c>
      <c r="T277" s="12" t="str">
        <f aca="false">IF(R277="維持",J277,IF(R277="排除","無關新聞事件",IFERROR(INDEX(事件規則!$B$2:$B$53,MATCH(S277,事件規則!$A$2:$A$53,0)),"")))</f>
        <v>重大訴訟</v>
      </c>
      <c r="U277" s="20" t="n">
        <f aca="false">IF(R277="維持",K277,IF(R277="排除",0,IFERROR(INDEX(事件規則!$C$2:$C$53,MATCH(S277,事件規則!$A$2:$A$53,0)),"")))</f>
        <v>4</v>
      </c>
      <c r="V277" s="21"/>
      <c r="W277" s="22"/>
      <c r="X277" s="10" t="str">
        <f aca="false">IF(AND(R277="修改",S277=""),"請選新事件代碼",IF(AND(R277&lt;&gt;"修改",S277&lt;&gt;""),"只有「修改」才需填代碼",""))</f>
        <v/>
      </c>
      <c r="Y277" s="21"/>
      <c r="Z277" s="22"/>
      <c r="AA277" s="23" t="s">
        <v>1011</v>
      </c>
      <c r="AB277" s="13"/>
    </row>
    <row r="278" customFormat="false" ht="29.85" hidden="false" customHeight="false" outlineLevel="0" collapsed="false">
      <c r="A278" s="16" t="n">
        <v>277</v>
      </c>
      <c r="B278" s="9" t="s">
        <v>331</v>
      </c>
      <c r="C278" s="9" t="s">
        <v>456</v>
      </c>
      <c r="D278" s="10" t="s">
        <v>457</v>
      </c>
      <c r="E278" s="24" t="s">
        <v>1012</v>
      </c>
      <c r="F278" s="12"/>
      <c r="G278" s="23" t="s">
        <v>1013</v>
      </c>
      <c r="H278" s="14" t="n">
        <v>-0.935</v>
      </c>
      <c r="I278" s="15"/>
      <c r="J278" s="12"/>
      <c r="K278" s="9"/>
      <c r="L278" s="16" t="s">
        <v>51</v>
      </c>
      <c r="M278" s="17" t="s">
        <v>79</v>
      </c>
      <c r="N278" s="15"/>
      <c r="O278" s="16" t="s">
        <v>54</v>
      </c>
      <c r="P278" s="12" t="s">
        <v>890</v>
      </c>
      <c r="Q278" s="16"/>
      <c r="R278" s="18" t="s">
        <v>79</v>
      </c>
      <c r="S278" s="19"/>
      <c r="T278" s="12" t="str">
        <f aca="false">IF(R278="維持",J278,IF(R278="排除","無關新聞事件",IFERROR(INDEX(事件規則!$B$2:$B$53,MATCH(S278,事件規則!$A$2:$A$53,0)),"")))</f>
        <v>無關新聞事件</v>
      </c>
      <c r="U278" s="20" t="n">
        <f aca="false">IF(R278="維持",K278,IF(R278="排除",0,IFERROR(INDEX(事件規則!$C$2:$C$53,MATCH(S278,事件規則!$A$2:$A$53,0)),"")))</f>
        <v>0</v>
      </c>
      <c r="V278" s="21"/>
      <c r="W278" s="22"/>
      <c r="X278" s="10" t="str">
        <f aca="false">IF(AND(R278="修改",S278=""),"請選新事件代碼",IF(AND(R278&lt;&gt;"修改",S278&lt;&gt;""),"只有「修改」才需填代碼",""))</f>
        <v/>
      </c>
      <c r="Y278" s="21"/>
      <c r="Z278" s="22"/>
      <c r="AA278" s="23" t="s">
        <v>1014</v>
      </c>
      <c r="AB278" s="13"/>
    </row>
    <row r="279" customFormat="false" ht="29.85" hidden="false" customHeight="false" outlineLevel="0" collapsed="false">
      <c r="A279" s="16" t="n">
        <v>278</v>
      </c>
      <c r="B279" s="9" t="s">
        <v>331</v>
      </c>
      <c r="C279" s="9" t="s">
        <v>99</v>
      </c>
      <c r="D279" s="10" t="s">
        <v>100</v>
      </c>
      <c r="E279" s="24" t="s">
        <v>1015</v>
      </c>
      <c r="F279" s="12"/>
      <c r="G279" s="23" t="s">
        <v>504</v>
      </c>
      <c r="H279" s="14" t="n">
        <v>-0.935</v>
      </c>
      <c r="I279" s="15"/>
      <c r="J279" s="12"/>
      <c r="K279" s="9"/>
      <c r="L279" s="16" t="s">
        <v>51</v>
      </c>
      <c r="M279" s="17" t="s">
        <v>79</v>
      </c>
      <c r="N279" s="15"/>
      <c r="O279" s="16" t="s">
        <v>54</v>
      </c>
      <c r="P279" s="12" t="s">
        <v>890</v>
      </c>
      <c r="Q279" s="16"/>
      <c r="R279" s="18" t="s">
        <v>79</v>
      </c>
      <c r="S279" s="19"/>
      <c r="T279" s="12" t="str">
        <f aca="false">IF(R279="維持",J279,IF(R279="排除","無關新聞事件",IFERROR(INDEX(事件規則!$B$2:$B$53,MATCH(S279,事件規則!$A$2:$A$53,0)),"")))</f>
        <v>無關新聞事件</v>
      </c>
      <c r="U279" s="20" t="n">
        <f aca="false">IF(R279="維持",K279,IF(R279="排除",0,IFERROR(INDEX(事件規則!$C$2:$C$53,MATCH(S279,事件規則!$A$2:$A$53,0)),"")))</f>
        <v>0</v>
      </c>
      <c r="V279" s="21"/>
      <c r="W279" s="22"/>
      <c r="X279" s="10" t="str">
        <f aca="false">IF(AND(R279="修改",S279=""),"請選新事件代碼",IF(AND(R279&lt;&gt;"修改",S279&lt;&gt;""),"只有「修改」才需填代碼",""))</f>
        <v/>
      </c>
      <c r="Y279" s="21"/>
      <c r="Z279" s="22"/>
      <c r="AA279" s="23" t="s">
        <v>1016</v>
      </c>
      <c r="AB279" s="13"/>
    </row>
    <row r="280" customFormat="false" ht="29.85" hidden="false" customHeight="false" outlineLevel="0" collapsed="false">
      <c r="A280" s="16" t="n">
        <v>279</v>
      </c>
      <c r="B280" s="9" t="s">
        <v>65</v>
      </c>
      <c r="C280" s="9" t="s">
        <v>341</v>
      </c>
      <c r="D280" s="10" t="s">
        <v>342</v>
      </c>
      <c r="E280" s="24" t="s">
        <v>1017</v>
      </c>
      <c r="F280" s="12"/>
      <c r="G280" s="23" t="s">
        <v>224</v>
      </c>
      <c r="H280" s="14" t="n">
        <v>-0.934</v>
      </c>
      <c r="I280" s="15"/>
      <c r="J280" s="12"/>
      <c r="K280" s="9"/>
      <c r="L280" s="16" t="s">
        <v>51</v>
      </c>
      <c r="M280" s="17" t="s">
        <v>79</v>
      </c>
      <c r="N280" s="15"/>
      <c r="O280" s="16" t="s">
        <v>54</v>
      </c>
      <c r="P280" s="12" t="s">
        <v>890</v>
      </c>
      <c r="Q280" s="16"/>
      <c r="R280" s="18" t="s">
        <v>79</v>
      </c>
      <c r="S280" s="19"/>
      <c r="T280" s="12" t="str">
        <f aca="false">IF(R280="維持",J280,IF(R280="排除","無關新聞事件",IFERROR(INDEX(事件規則!$B$2:$B$53,MATCH(S280,事件規則!$A$2:$A$53,0)),"")))</f>
        <v>無關新聞事件</v>
      </c>
      <c r="U280" s="20" t="n">
        <f aca="false">IF(R280="維持",K280,IF(R280="排除",0,IFERROR(INDEX(事件規則!$C$2:$C$53,MATCH(S280,事件規則!$A$2:$A$53,0)),"")))</f>
        <v>0</v>
      </c>
      <c r="V280" s="21"/>
      <c r="W280" s="22"/>
      <c r="X280" s="10" t="str">
        <f aca="false">IF(AND(R280="修改",S280=""),"請選新事件代碼",IF(AND(R280&lt;&gt;"修改",S280&lt;&gt;""),"只有「修改」才需填代碼",""))</f>
        <v/>
      </c>
      <c r="Y280" s="21"/>
      <c r="Z280" s="22"/>
      <c r="AA280" s="23" t="s">
        <v>1018</v>
      </c>
      <c r="AB280" s="13"/>
    </row>
    <row r="281" customFormat="false" ht="15" hidden="false" customHeight="false" outlineLevel="0" collapsed="false">
      <c r="A281" s="16" t="n">
        <v>280</v>
      </c>
      <c r="B281" s="9" t="s">
        <v>45</v>
      </c>
      <c r="C281" s="9" t="s">
        <v>798</v>
      </c>
      <c r="D281" s="10" t="s">
        <v>799</v>
      </c>
      <c r="E281" s="24" t="s">
        <v>1019</v>
      </c>
      <c r="F281" s="12"/>
      <c r="G281" s="23" t="s">
        <v>301</v>
      </c>
      <c r="H281" s="14" t="n">
        <v>-0.934</v>
      </c>
      <c r="I281" s="15"/>
      <c r="J281" s="12"/>
      <c r="K281" s="9"/>
      <c r="L281" s="16" t="s">
        <v>51</v>
      </c>
      <c r="M281" s="17" t="s">
        <v>52</v>
      </c>
      <c r="N281" s="15" t="s">
        <v>53</v>
      </c>
      <c r="O281" s="16" t="s">
        <v>54</v>
      </c>
      <c r="P281" s="10" t="s">
        <v>1020</v>
      </c>
      <c r="Q281" s="16"/>
      <c r="R281" s="18" t="s">
        <v>52</v>
      </c>
      <c r="S281" s="19" t="s">
        <v>53</v>
      </c>
      <c r="T281" s="12" t="str">
        <f aca="false">IF(R281="維持",J281,IF(R281="排除","無關新聞事件",IFERROR(INDEX(事件規則!$B$2:$B$53,MATCH(S281,事件規則!$A$2:$A$53,0)),"")))</f>
        <v>股價下跌</v>
      </c>
      <c r="U281" s="20" t="n">
        <f aca="false">IF(R281="維持",K281,IF(R281="排除",0,IFERROR(INDEX(事件規則!$C$2:$C$53,MATCH(S281,事件規則!$A$2:$A$53,0)),"")))</f>
        <v>1</v>
      </c>
      <c r="V281" s="21"/>
      <c r="W281" s="22"/>
      <c r="X281" s="10" t="str">
        <f aca="false">IF(AND(R281="修改",S281=""),"請選新事件代碼",IF(AND(R281&lt;&gt;"修改",S281&lt;&gt;""),"只有「修改」才需填代碼",""))</f>
        <v/>
      </c>
      <c r="Y281" s="21"/>
      <c r="Z281" s="22"/>
      <c r="AA281" s="23" t="s">
        <v>1021</v>
      </c>
      <c r="AB281" s="13"/>
    </row>
    <row r="282" customFormat="false" ht="23.85" hidden="false" customHeight="false" outlineLevel="0" collapsed="false">
      <c r="A282" s="16" t="n">
        <v>281</v>
      </c>
      <c r="B282" s="9" t="s">
        <v>65</v>
      </c>
      <c r="C282" s="9" t="s">
        <v>57</v>
      </c>
      <c r="D282" s="10" t="s">
        <v>58</v>
      </c>
      <c r="E282" s="24" t="s">
        <v>1022</v>
      </c>
      <c r="F282" s="12"/>
      <c r="G282" s="23" t="s">
        <v>1023</v>
      </c>
      <c r="H282" s="14" t="n">
        <v>-0.934</v>
      </c>
      <c r="I282" s="15"/>
      <c r="J282" s="12"/>
      <c r="K282" s="9"/>
      <c r="L282" s="16" t="s">
        <v>51</v>
      </c>
      <c r="M282" s="17" t="s">
        <v>52</v>
      </c>
      <c r="N282" s="15" t="s">
        <v>61</v>
      </c>
      <c r="O282" s="16" t="s">
        <v>62</v>
      </c>
      <c r="P282" s="12" t="s">
        <v>910</v>
      </c>
      <c r="Q282" s="16"/>
      <c r="R282" s="18" t="s">
        <v>52</v>
      </c>
      <c r="S282" s="19" t="s">
        <v>61</v>
      </c>
      <c r="T282" s="12" t="str">
        <f aca="false">IF(R282="維持",J282,IF(R282="排除","無關新聞事件",IFERROR(INDEX(事件規則!$B$2:$B$53,MATCH(S282,事件規則!$A$2:$A$53,0)),"")))</f>
        <v>裁員或人力縮減</v>
      </c>
      <c r="U282" s="20" t="n">
        <f aca="false">IF(R282="維持",K282,IF(R282="排除",0,IFERROR(INDEX(事件規則!$C$2:$C$53,MATCH(S282,事件規則!$A$2:$A$53,0)),"")))</f>
        <v>3</v>
      </c>
      <c r="V282" s="21"/>
      <c r="W282" s="22"/>
      <c r="X282" s="10" t="str">
        <f aca="false">IF(AND(R282="修改",S282=""),"請選新事件代碼",IF(AND(R282&lt;&gt;"修改",S282&lt;&gt;""),"只有「修改」才需填代碼",""))</f>
        <v/>
      </c>
      <c r="Y282" s="21"/>
      <c r="Z282" s="22"/>
      <c r="AA282" s="23" t="s">
        <v>1024</v>
      </c>
      <c r="AB282" s="13"/>
    </row>
    <row r="283" customFormat="false" ht="29.85" hidden="false" customHeight="false" outlineLevel="0" collapsed="false">
      <c r="A283" s="16" t="n">
        <v>282</v>
      </c>
      <c r="B283" s="9" t="s">
        <v>386</v>
      </c>
      <c r="C283" s="9" t="s">
        <v>1025</v>
      </c>
      <c r="D283" s="10" t="s">
        <v>1026</v>
      </c>
      <c r="E283" s="24" t="s">
        <v>1027</v>
      </c>
      <c r="F283" s="12"/>
      <c r="G283" s="23" t="s">
        <v>1028</v>
      </c>
      <c r="H283" s="14" t="n">
        <v>-0.934</v>
      </c>
      <c r="I283" s="15"/>
      <c r="J283" s="12"/>
      <c r="K283" s="9"/>
      <c r="L283" s="16" t="s">
        <v>51</v>
      </c>
      <c r="M283" s="17" t="s">
        <v>79</v>
      </c>
      <c r="N283" s="15"/>
      <c r="O283" s="16" t="s">
        <v>54</v>
      </c>
      <c r="P283" s="12" t="s">
        <v>890</v>
      </c>
      <c r="Q283" s="16"/>
      <c r="R283" s="18" t="s">
        <v>79</v>
      </c>
      <c r="S283" s="19"/>
      <c r="T283" s="12" t="str">
        <f aca="false">IF(R283="維持",J283,IF(R283="排除","無關新聞事件",IFERROR(INDEX(事件規則!$B$2:$B$53,MATCH(S283,事件規則!$A$2:$A$53,0)),"")))</f>
        <v>無關新聞事件</v>
      </c>
      <c r="U283" s="20" t="n">
        <f aca="false">IF(R283="維持",K283,IF(R283="排除",0,IFERROR(INDEX(事件規則!$C$2:$C$53,MATCH(S283,事件規則!$A$2:$A$53,0)),"")))</f>
        <v>0</v>
      </c>
      <c r="V283" s="21"/>
      <c r="W283" s="22"/>
      <c r="X283" s="10" t="str">
        <f aca="false">IF(AND(R283="修改",S283=""),"請選新事件代碼",IF(AND(R283&lt;&gt;"修改",S283&lt;&gt;""),"只有「修改」才需填代碼",""))</f>
        <v/>
      </c>
      <c r="Y283" s="21"/>
      <c r="Z283" s="22"/>
      <c r="AA283" s="23" t="s">
        <v>1029</v>
      </c>
      <c r="AB283" s="13"/>
    </row>
    <row r="284" customFormat="false" ht="23.85" hidden="false" customHeight="false" outlineLevel="0" collapsed="false">
      <c r="A284" s="16" t="n">
        <v>283</v>
      </c>
      <c r="B284" s="9" t="s">
        <v>45</v>
      </c>
      <c r="C284" s="9" t="s">
        <v>57</v>
      </c>
      <c r="D284" s="10" t="s">
        <v>58</v>
      </c>
      <c r="E284" s="24" t="s">
        <v>1030</v>
      </c>
      <c r="F284" s="12"/>
      <c r="G284" s="23" t="s">
        <v>120</v>
      </c>
      <c r="H284" s="14" t="n">
        <v>-0.934</v>
      </c>
      <c r="I284" s="15"/>
      <c r="J284" s="12"/>
      <c r="K284" s="9"/>
      <c r="L284" s="16" t="s">
        <v>51</v>
      </c>
      <c r="M284" s="17" t="s">
        <v>52</v>
      </c>
      <c r="N284" s="15" t="s">
        <v>61</v>
      </c>
      <c r="O284" s="16" t="s">
        <v>62</v>
      </c>
      <c r="P284" s="12" t="s">
        <v>910</v>
      </c>
      <c r="Q284" s="16"/>
      <c r="R284" s="18" t="s">
        <v>52</v>
      </c>
      <c r="S284" s="19" t="s">
        <v>61</v>
      </c>
      <c r="T284" s="12" t="str">
        <f aca="false">IF(R284="維持",J284,IF(R284="排除","無關新聞事件",IFERROR(INDEX(事件規則!$B$2:$B$53,MATCH(S284,事件規則!$A$2:$A$53,0)),"")))</f>
        <v>裁員或人力縮減</v>
      </c>
      <c r="U284" s="20" t="n">
        <f aca="false">IF(R284="維持",K284,IF(R284="排除",0,IFERROR(INDEX(事件規則!$C$2:$C$53,MATCH(S284,事件規則!$A$2:$A$53,0)),"")))</f>
        <v>3</v>
      </c>
      <c r="V284" s="21"/>
      <c r="W284" s="22"/>
      <c r="X284" s="10" t="str">
        <f aca="false">IF(AND(R284="修改",S284=""),"請選新事件代碼",IF(AND(R284&lt;&gt;"修改",S284&lt;&gt;""),"只有「修改」才需填代碼",""))</f>
        <v/>
      </c>
      <c r="Y284" s="21"/>
      <c r="Z284" s="22"/>
      <c r="AA284" s="23" t="s">
        <v>1031</v>
      </c>
      <c r="AB284" s="13"/>
    </row>
    <row r="285" customFormat="false" ht="29.85" hidden="false" customHeight="false" outlineLevel="0" collapsed="false">
      <c r="A285" s="16" t="n">
        <v>284</v>
      </c>
      <c r="B285" s="9" t="s">
        <v>45</v>
      </c>
      <c r="C285" s="9" t="s">
        <v>255</v>
      </c>
      <c r="D285" s="10" t="s">
        <v>256</v>
      </c>
      <c r="E285" s="24" t="s">
        <v>1032</v>
      </c>
      <c r="F285" s="12"/>
      <c r="G285" s="23" t="s">
        <v>1033</v>
      </c>
      <c r="H285" s="14" t="n">
        <v>-0.934</v>
      </c>
      <c r="I285" s="15"/>
      <c r="J285" s="12"/>
      <c r="K285" s="9"/>
      <c r="L285" s="16" t="s">
        <v>51</v>
      </c>
      <c r="M285" s="17" t="s">
        <v>79</v>
      </c>
      <c r="N285" s="15"/>
      <c r="O285" s="16" t="s">
        <v>54</v>
      </c>
      <c r="P285" s="12" t="s">
        <v>890</v>
      </c>
      <c r="Q285" s="16"/>
      <c r="R285" s="18" t="s">
        <v>79</v>
      </c>
      <c r="S285" s="19"/>
      <c r="T285" s="12" t="str">
        <f aca="false">IF(R285="維持",J285,IF(R285="排除","無關新聞事件",IFERROR(INDEX(事件規則!$B$2:$B$53,MATCH(S285,事件規則!$A$2:$A$53,0)),"")))</f>
        <v>無關新聞事件</v>
      </c>
      <c r="U285" s="20" t="n">
        <f aca="false">IF(R285="維持",K285,IF(R285="排除",0,IFERROR(INDEX(事件規則!$C$2:$C$53,MATCH(S285,事件規則!$A$2:$A$53,0)),"")))</f>
        <v>0</v>
      </c>
      <c r="V285" s="21"/>
      <c r="W285" s="22"/>
      <c r="X285" s="10" t="str">
        <f aca="false">IF(AND(R285="修改",S285=""),"請選新事件代碼",IF(AND(R285&lt;&gt;"修改",S285&lt;&gt;""),"只有「修改」才需填代碼",""))</f>
        <v/>
      </c>
      <c r="Y285" s="21"/>
      <c r="Z285" s="22"/>
      <c r="AA285" s="23" t="s">
        <v>1034</v>
      </c>
      <c r="AB285" s="13"/>
    </row>
    <row r="286" customFormat="false" ht="29.85" hidden="false" customHeight="false" outlineLevel="0" collapsed="false">
      <c r="A286" s="16" t="n">
        <v>285</v>
      </c>
      <c r="B286" s="9" t="s">
        <v>386</v>
      </c>
      <c r="C286" s="9" t="s">
        <v>346</v>
      </c>
      <c r="D286" s="10" t="s">
        <v>347</v>
      </c>
      <c r="E286" s="24" t="s">
        <v>1035</v>
      </c>
      <c r="F286" s="12"/>
      <c r="G286" s="23" t="s">
        <v>899</v>
      </c>
      <c r="H286" s="14" t="n">
        <v>-0.933</v>
      </c>
      <c r="I286" s="15"/>
      <c r="J286" s="12"/>
      <c r="K286" s="9"/>
      <c r="L286" s="16" t="s">
        <v>51</v>
      </c>
      <c r="M286" s="17" t="s">
        <v>79</v>
      </c>
      <c r="N286" s="15"/>
      <c r="O286" s="16" t="s">
        <v>54</v>
      </c>
      <c r="P286" s="12" t="s">
        <v>890</v>
      </c>
      <c r="Q286" s="16"/>
      <c r="R286" s="18" t="s">
        <v>79</v>
      </c>
      <c r="S286" s="19"/>
      <c r="T286" s="12" t="str">
        <f aca="false">IF(R286="維持",J286,IF(R286="排除","無關新聞事件",IFERROR(INDEX(事件規則!$B$2:$B$53,MATCH(S286,事件規則!$A$2:$A$53,0)),"")))</f>
        <v>無關新聞事件</v>
      </c>
      <c r="U286" s="20" t="n">
        <f aca="false">IF(R286="維持",K286,IF(R286="排除",0,IFERROR(INDEX(事件規則!$C$2:$C$53,MATCH(S286,事件規則!$A$2:$A$53,0)),"")))</f>
        <v>0</v>
      </c>
      <c r="V286" s="21"/>
      <c r="W286" s="22"/>
      <c r="X286" s="10" t="str">
        <f aca="false">IF(AND(R286="修改",S286=""),"請選新事件代碼",IF(AND(R286&lt;&gt;"修改",S286&lt;&gt;""),"只有「修改」才需填代碼",""))</f>
        <v/>
      </c>
      <c r="Y286" s="21"/>
      <c r="Z286" s="22"/>
      <c r="AA286" s="23" t="s">
        <v>1036</v>
      </c>
      <c r="AB286" s="13"/>
    </row>
    <row r="287" customFormat="false" ht="15" hidden="false" customHeight="false" outlineLevel="0" collapsed="false">
      <c r="A287" s="16" t="n">
        <v>286</v>
      </c>
      <c r="B287" s="9" t="s">
        <v>45</v>
      </c>
      <c r="C287" s="9" t="s">
        <v>1037</v>
      </c>
      <c r="D287" s="10" t="s">
        <v>1038</v>
      </c>
      <c r="E287" s="24" t="s">
        <v>1039</v>
      </c>
      <c r="F287" s="12"/>
      <c r="G287" s="23" t="s">
        <v>1040</v>
      </c>
      <c r="H287" s="14" t="n">
        <v>-0.933</v>
      </c>
      <c r="I287" s="15"/>
      <c r="J287" s="12"/>
      <c r="K287" s="9"/>
      <c r="L287" s="16" t="s">
        <v>51</v>
      </c>
      <c r="M287" s="17" t="s">
        <v>52</v>
      </c>
      <c r="N287" s="15" t="s">
        <v>1041</v>
      </c>
      <c r="O287" s="16" t="s">
        <v>54</v>
      </c>
      <c r="P287" s="10" t="s">
        <v>1042</v>
      </c>
      <c r="Q287" s="16"/>
      <c r="R287" s="18" t="s">
        <v>52</v>
      </c>
      <c r="S287" s="19" t="s">
        <v>1041</v>
      </c>
      <c r="T287" s="12" t="str">
        <f aca="false">IF(R287="維持",J287,IF(R287="排除","無關新聞事件",IFERROR(INDEX(事件規則!$B$2:$B$53,MATCH(S287,事件規則!$A$2:$A$53,0)),"")))</f>
        <v>工廠停工</v>
      </c>
      <c r="U287" s="20" t="n">
        <f aca="false">IF(R287="維持",K287,IF(R287="排除",0,IFERROR(INDEX(事件規則!$C$2:$C$53,MATCH(S287,事件規則!$A$2:$A$53,0)),"")))</f>
        <v>3</v>
      </c>
      <c r="V287" s="21"/>
      <c r="W287" s="22"/>
      <c r="X287" s="10" t="str">
        <f aca="false">IF(AND(R287="修改",S287=""),"請選新事件代碼",IF(AND(R287&lt;&gt;"修改",S287&lt;&gt;""),"只有「修改」才需填代碼",""))</f>
        <v/>
      </c>
      <c r="Y287" s="21"/>
      <c r="Z287" s="22"/>
      <c r="AA287" s="23" t="s">
        <v>1043</v>
      </c>
      <c r="AB287" s="13"/>
    </row>
    <row r="288" customFormat="false" ht="15" hidden="false" customHeight="false" outlineLevel="0" collapsed="false">
      <c r="A288" s="16" t="n">
        <v>287</v>
      </c>
      <c r="B288" s="9" t="s">
        <v>331</v>
      </c>
      <c r="C288" s="9" t="s">
        <v>346</v>
      </c>
      <c r="D288" s="10" t="s">
        <v>347</v>
      </c>
      <c r="E288" s="24" t="s">
        <v>1044</v>
      </c>
      <c r="F288" s="12"/>
      <c r="G288" s="23" t="s">
        <v>559</v>
      </c>
      <c r="H288" s="14" t="n">
        <v>-0.933</v>
      </c>
      <c r="I288" s="15"/>
      <c r="J288" s="12"/>
      <c r="K288" s="9"/>
      <c r="L288" s="16" t="s">
        <v>51</v>
      </c>
      <c r="M288" s="17" t="s">
        <v>52</v>
      </c>
      <c r="N288" s="15" t="s">
        <v>667</v>
      </c>
      <c r="O288" s="16" t="s">
        <v>62</v>
      </c>
      <c r="P288" s="10" t="s">
        <v>936</v>
      </c>
      <c r="Q288" s="16"/>
      <c r="R288" s="18" t="s">
        <v>52</v>
      </c>
      <c r="S288" s="19" t="s">
        <v>667</v>
      </c>
      <c r="T288" s="12" t="str">
        <f aca="false">IF(R288="維持",J288,IF(R288="排除","無關新聞事件",IFERROR(INDEX(事件規則!$B$2:$B$53,MATCH(S288,事件規則!$A$2:$A$53,0)),"")))</f>
        <v>重大產品瑕疵</v>
      </c>
      <c r="U288" s="20" t="n">
        <f aca="false">IF(R288="維持",K288,IF(R288="排除",0,IFERROR(INDEX(事件規則!$C$2:$C$53,MATCH(S288,事件規則!$A$2:$A$53,0)),"")))</f>
        <v>3</v>
      </c>
      <c r="V288" s="21"/>
      <c r="W288" s="22"/>
      <c r="X288" s="10" t="str">
        <f aca="false">IF(AND(R288="修改",S288=""),"請選新事件代碼",IF(AND(R288&lt;&gt;"修改",S288&lt;&gt;""),"只有「修改」才需填代碼",""))</f>
        <v/>
      </c>
      <c r="Y288" s="21"/>
      <c r="Z288" s="22"/>
      <c r="AA288" s="23" t="s">
        <v>1045</v>
      </c>
      <c r="AB288" s="13"/>
    </row>
    <row r="289" customFormat="false" ht="29.85" hidden="false" customHeight="false" outlineLevel="0" collapsed="false">
      <c r="A289" s="16" t="n">
        <v>288</v>
      </c>
      <c r="B289" s="9" t="s">
        <v>65</v>
      </c>
      <c r="C289" s="9" t="s">
        <v>1046</v>
      </c>
      <c r="D289" s="10" t="s">
        <v>1047</v>
      </c>
      <c r="E289" s="24" t="s">
        <v>1048</v>
      </c>
      <c r="F289" s="12"/>
      <c r="G289" s="23" t="s">
        <v>1049</v>
      </c>
      <c r="H289" s="14" t="n">
        <v>-0.932</v>
      </c>
      <c r="I289" s="15"/>
      <c r="J289" s="12"/>
      <c r="K289" s="9"/>
      <c r="L289" s="16" t="s">
        <v>51</v>
      </c>
      <c r="M289" s="17" t="s">
        <v>79</v>
      </c>
      <c r="N289" s="15"/>
      <c r="O289" s="16" t="s">
        <v>54</v>
      </c>
      <c r="P289" s="12" t="s">
        <v>890</v>
      </c>
      <c r="Q289" s="16"/>
      <c r="R289" s="18" t="s">
        <v>79</v>
      </c>
      <c r="S289" s="19"/>
      <c r="T289" s="12" t="str">
        <f aca="false">IF(R289="維持",J289,IF(R289="排除","無關新聞事件",IFERROR(INDEX(事件規則!$B$2:$B$53,MATCH(S289,事件規則!$A$2:$A$53,0)),"")))</f>
        <v>無關新聞事件</v>
      </c>
      <c r="U289" s="20" t="n">
        <f aca="false">IF(R289="維持",K289,IF(R289="排除",0,IFERROR(INDEX(事件規則!$C$2:$C$53,MATCH(S289,事件規則!$A$2:$A$53,0)),"")))</f>
        <v>0</v>
      </c>
      <c r="V289" s="21"/>
      <c r="W289" s="22"/>
      <c r="X289" s="10" t="str">
        <f aca="false">IF(AND(R289="修改",S289=""),"請選新事件代碼",IF(AND(R289&lt;&gt;"修改",S289&lt;&gt;""),"只有「修改」才需填代碼",""))</f>
        <v/>
      </c>
      <c r="Y289" s="21"/>
      <c r="Z289" s="22"/>
      <c r="AA289" s="23" t="s">
        <v>1050</v>
      </c>
      <c r="AB289" s="13"/>
    </row>
    <row r="290" customFormat="false" ht="29.85" hidden="false" customHeight="false" outlineLevel="0" collapsed="false">
      <c r="A290" s="16" t="n">
        <v>289</v>
      </c>
      <c r="B290" s="9" t="s">
        <v>45</v>
      </c>
      <c r="C290" s="9" t="s">
        <v>1007</v>
      </c>
      <c r="D290" s="10" t="s">
        <v>1008</v>
      </c>
      <c r="E290" s="24" t="s">
        <v>1051</v>
      </c>
      <c r="F290" s="12"/>
      <c r="G290" s="23" t="s">
        <v>120</v>
      </c>
      <c r="H290" s="14" t="n">
        <v>-0.931</v>
      </c>
      <c r="I290" s="15"/>
      <c r="J290" s="12"/>
      <c r="K290" s="9"/>
      <c r="L290" s="16" t="s">
        <v>51</v>
      </c>
      <c r="M290" s="17" t="s">
        <v>79</v>
      </c>
      <c r="N290" s="15"/>
      <c r="O290" s="16" t="s">
        <v>54</v>
      </c>
      <c r="P290" s="12" t="s">
        <v>890</v>
      </c>
      <c r="Q290" s="16"/>
      <c r="R290" s="18" t="s">
        <v>79</v>
      </c>
      <c r="S290" s="19"/>
      <c r="T290" s="12" t="str">
        <f aca="false">IF(R290="維持",J290,IF(R290="排除","無關新聞事件",IFERROR(INDEX(事件規則!$B$2:$B$53,MATCH(S290,事件規則!$A$2:$A$53,0)),"")))</f>
        <v>無關新聞事件</v>
      </c>
      <c r="U290" s="20" t="n">
        <f aca="false">IF(R290="維持",K290,IF(R290="排除",0,IFERROR(INDEX(事件規則!$C$2:$C$53,MATCH(S290,事件規則!$A$2:$A$53,0)),"")))</f>
        <v>0</v>
      </c>
      <c r="V290" s="21"/>
      <c r="W290" s="22"/>
      <c r="X290" s="10" t="str">
        <f aca="false">IF(AND(R290="修改",S290=""),"請選新事件代碼",IF(AND(R290&lt;&gt;"修改",S290&lt;&gt;""),"只有「修改」才需填代碼",""))</f>
        <v/>
      </c>
      <c r="Y290" s="21"/>
      <c r="Z290" s="22"/>
      <c r="AA290" s="23" t="s">
        <v>1052</v>
      </c>
      <c r="AB290" s="13"/>
    </row>
    <row r="291" customFormat="false" ht="29.85" hidden="false" customHeight="false" outlineLevel="0" collapsed="false">
      <c r="A291" s="16" t="n">
        <v>290</v>
      </c>
      <c r="B291" s="9" t="s">
        <v>65</v>
      </c>
      <c r="C291" s="9" t="s">
        <v>564</v>
      </c>
      <c r="D291" s="10" t="s">
        <v>565</v>
      </c>
      <c r="E291" s="24" t="s">
        <v>1053</v>
      </c>
      <c r="F291" s="12"/>
      <c r="G291" s="23" t="s">
        <v>1054</v>
      </c>
      <c r="H291" s="14" t="n">
        <v>-0.931</v>
      </c>
      <c r="I291" s="15"/>
      <c r="J291" s="12"/>
      <c r="K291" s="9"/>
      <c r="L291" s="16" t="s">
        <v>51</v>
      </c>
      <c r="M291" s="17" t="s">
        <v>79</v>
      </c>
      <c r="N291" s="15"/>
      <c r="O291" s="16" t="s">
        <v>54</v>
      </c>
      <c r="P291" s="12" t="s">
        <v>890</v>
      </c>
      <c r="Q291" s="16"/>
      <c r="R291" s="18" t="s">
        <v>79</v>
      </c>
      <c r="S291" s="19"/>
      <c r="T291" s="12" t="str">
        <f aca="false">IF(R291="維持",J291,IF(R291="排除","無關新聞事件",IFERROR(INDEX(事件規則!$B$2:$B$53,MATCH(S291,事件規則!$A$2:$A$53,0)),"")))</f>
        <v>無關新聞事件</v>
      </c>
      <c r="U291" s="20" t="n">
        <f aca="false">IF(R291="維持",K291,IF(R291="排除",0,IFERROR(INDEX(事件規則!$C$2:$C$53,MATCH(S291,事件規則!$A$2:$A$53,0)),"")))</f>
        <v>0</v>
      </c>
      <c r="V291" s="21"/>
      <c r="W291" s="22"/>
      <c r="X291" s="10" t="str">
        <f aca="false">IF(AND(R291="修改",S291=""),"請選新事件代碼",IF(AND(R291&lt;&gt;"修改",S291&lt;&gt;""),"只有「修改」才需填代碼",""))</f>
        <v/>
      </c>
      <c r="Y291" s="21"/>
      <c r="Z291" s="22"/>
      <c r="AA291" s="23" t="s">
        <v>1055</v>
      </c>
      <c r="AB291" s="13"/>
    </row>
    <row r="292" customFormat="false" ht="15" hidden="false" customHeight="false" outlineLevel="0" collapsed="false">
      <c r="A292" s="16" t="n">
        <v>291</v>
      </c>
      <c r="B292" s="9" t="s">
        <v>331</v>
      </c>
      <c r="C292" s="9" t="s">
        <v>389</v>
      </c>
      <c r="D292" s="10" t="s">
        <v>390</v>
      </c>
      <c r="E292" s="24" t="s">
        <v>1056</v>
      </c>
      <c r="F292" s="12"/>
      <c r="G292" s="23" t="s">
        <v>335</v>
      </c>
      <c r="H292" s="14" t="n">
        <v>-0.931</v>
      </c>
      <c r="I292" s="15"/>
      <c r="J292" s="12"/>
      <c r="K292" s="9"/>
      <c r="L292" s="16" t="s">
        <v>51</v>
      </c>
      <c r="M292" s="17" t="s">
        <v>52</v>
      </c>
      <c r="N292" s="15" t="s">
        <v>259</v>
      </c>
      <c r="O292" s="16" t="s">
        <v>54</v>
      </c>
      <c r="P292" s="10" t="s">
        <v>1057</v>
      </c>
      <c r="Q292" s="16"/>
      <c r="R292" s="18" t="s">
        <v>52</v>
      </c>
      <c r="S292" s="19" t="s">
        <v>259</v>
      </c>
      <c r="T292" s="12" t="str">
        <f aca="false">IF(R292="維持",J292,IF(R292="排除","無關新聞事件",IFERROR(INDEX(事件規則!$B$2:$B$53,MATCH(S292,事件規則!$A$2:$A$53,0)),"")))</f>
        <v>財報不如預期</v>
      </c>
      <c r="U292" s="20" t="n">
        <f aca="false">IF(R292="維持",K292,IF(R292="排除",0,IFERROR(INDEX(事件規則!$C$2:$C$53,MATCH(S292,事件規則!$A$2:$A$53,0)),"")))</f>
        <v>3</v>
      </c>
      <c r="V292" s="21"/>
      <c r="W292" s="22"/>
      <c r="X292" s="10" t="str">
        <f aca="false">IF(AND(R292="修改",S292=""),"請選新事件代碼",IF(AND(R292&lt;&gt;"修改",S292&lt;&gt;""),"只有「修改」才需填代碼",""))</f>
        <v/>
      </c>
      <c r="Y292" s="21"/>
      <c r="Z292" s="22"/>
      <c r="AA292" s="23" t="s">
        <v>1058</v>
      </c>
      <c r="AB292" s="13"/>
    </row>
    <row r="293" customFormat="false" ht="29.85" hidden="false" customHeight="false" outlineLevel="0" collapsed="false">
      <c r="A293" s="16" t="n">
        <v>292</v>
      </c>
      <c r="B293" s="9" t="s">
        <v>331</v>
      </c>
      <c r="C293" s="9" t="s">
        <v>564</v>
      </c>
      <c r="D293" s="10" t="s">
        <v>565</v>
      </c>
      <c r="E293" s="24" t="s">
        <v>1053</v>
      </c>
      <c r="F293" s="12"/>
      <c r="G293" s="23" t="s">
        <v>1059</v>
      </c>
      <c r="H293" s="14" t="n">
        <v>-0.931</v>
      </c>
      <c r="I293" s="15"/>
      <c r="J293" s="12"/>
      <c r="K293" s="9"/>
      <c r="L293" s="16" t="s">
        <v>51</v>
      </c>
      <c r="M293" s="17" t="s">
        <v>79</v>
      </c>
      <c r="N293" s="15"/>
      <c r="O293" s="16" t="s">
        <v>54</v>
      </c>
      <c r="P293" s="12" t="s">
        <v>890</v>
      </c>
      <c r="Q293" s="16"/>
      <c r="R293" s="18" t="s">
        <v>79</v>
      </c>
      <c r="S293" s="19"/>
      <c r="T293" s="12" t="str">
        <f aca="false">IF(R293="維持",J293,IF(R293="排除","無關新聞事件",IFERROR(INDEX(事件規則!$B$2:$B$53,MATCH(S293,事件規則!$A$2:$A$53,0)),"")))</f>
        <v>無關新聞事件</v>
      </c>
      <c r="U293" s="20" t="n">
        <f aca="false">IF(R293="維持",K293,IF(R293="排除",0,IFERROR(INDEX(事件規則!$C$2:$C$53,MATCH(S293,事件規則!$A$2:$A$53,0)),"")))</f>
        <v>0</v>
      </c>
      <c r="V293" s="21"/>
      <c r="W293" s="22"/>
      <c r="X293" s="10" t="str">
        <f aca="false">IF(AND(R293="修改",S293=""),"請選新事件代碼",IF(AND(R293&lt;&gt;"修改",S293&lt;&gt;""),"只有「修改」才需填代碼",""))</f>
        <v/>
      </c>
      <c r="Y293" s="21"/>
      <c r="Z293" s="22"/>
      <c r="AA293" s="23" t="s">
        <v>1060</v>
      </c>
      <c r="AB293" s="13"/>
    </row>
    <row r="294" customFormat="false" ht="29.85" hidden="false" customHeight="false" outlineLevel="0" collapsed="false">
      <c r="A294" s="16" t="n">
        <v>293</v>
      </c>
      <c r="B294" s="9" t="s">
        <v>65</v>
      </c>
      <c r="C294" s="9" t="s">
        <v>341</v>
      </c>
      <c r="D294" s="10" t="s">
        <v>342</v>
      </c>
      <c r="E294" s="24" t="s">
        <v>1061</v>
      </c>
      <c r="F294" s="12"/>
      <c r="G294" s="23" t="s">
        <v>1062</v>
      </c>
      <c r="H294" s="14" t="n">
        <v>-0.931</v>
      </c>
      <c r="I294" s="15"/>
      <c r="J294" s="12"/>
      <c r="K294" s="9"/>
      <c r="L294" s="16" t="s">
        <v>51</v>
      </c>
      <c r="M294" s="17" t="s">
        <v>79</v>
      </c>
      <c r="N294" s="15"/>
      <c r="O294" s="16" t="s">
        <v>54</v>
      </c>
      <c r="P294" s="12" t="s">
        <v>890</v>
      </c>
      <c r="Q294" s="16"/>
      <c r="R294" s="18" t="s">
        <v>79</v>
      </c>
      <c r="S294" s="19"/>
      <c r="T294" s="12" t="str">
        <f aca="false">IF(R294="維持",J294,IF(R294="排除","無關新聞事件",IFERROR(INDEX(事件規則!$B$2:$B$53,MATCH(S294,事件規則!$A$2:$A$53,0)),"")))</f>
        <v>無關新聞事件</v>
      </c>
      <c r="U294" s="20" t="n">
        <f aca="false">IF(R294="維持",K294,IF(R294="排除",0,IFERROR(INDEX(事件規則!$C$2:$C$53,MATCH(S294,事件規則!$A$2:$A$53,0)),"")))</f>
        <v>0</v>
      </c>
      <c r="V294" s="21"/>
      <c r="W294" s="22"/>
      <c r="X294" s="10" t="str">
        <f aca="false">IF(AND(R294="修改",S294=""),"請選新事件代碼",IF(AND(R294&lt;&gt;"修改",S294&lt;&gt;""),"只有「修改」才需填代碼",""))</f>
        <v/>
      </c>
      <c r="Y294" s="21"/>
      <c r="Z294" s="22"/>
      <c r="AA294" s="23" t="s">
        <v>1063</v>
      </c>
      <c r="AB294" s="13"/>
    </row>
    <row r="295" customFormat="false" ht="29.85" hidden="false" customHeight="false" outlineLevel="0" collapsed="false">
      <c r="A295" s="16" t="n">
        <v>294</v>
      </c>
      <c r="B295" s="9" t="s">
        <v>45</v>
      </c>
      <c r="C295" s="9" t="s">
        <v>1064</v>
      </c>
      <c r="D295" s="10" t="s">
        <v>1065</v>
      </c>
      <c r="E295" s="24" t="s">
        <v>1066</v>
      </c>
      <c r="F295" s="12"/>
      <c r="G295" s="23" t="s">
        <v>1067</v>
      </c>
      <c r="H295" s="14" t="n">
        <v>-0.931</v>
      </c>
      <c r="I295" s="15"/>
      <c r="J295" s="12"/>
      <c r="K295" s="9"/>
      <c r="L295" s="16" t="s">
        <v>51</v>
      </c>
      <c r="M295" s="17" t="s">
        <v>79</v>
      </c>
      <c r="N295" s="15"/>
      <c r="O295" s="16" t="s">
        <v>54</v>
      </c>
      <c r="P295" s="12" t="s">
        <v>890</v>
      </c>
      <c r="Q295" s="16"/>
      <c r="R295" s="18" t="s">
        <v>79</v>
      </c>
      <c r="S295" s="19"/>
      <c r="T295" s="12" t="str">
        <f aca="false">IF(R295="維持",J295,IF(R295="排除","無關新聞事件",IFERROR(INDEX(事件規則!$B$2:$B$53,MATCH(S295,事件規則!$A$2:$A$53,0)),"")))</f>
        <v>無關新聞事件</v>
      </c>
      <c r="U295" s="20" t="n">
        <f aca="false">IF(R295="維持",K295,IF(R295="排除",0,IFERROR(INDEX(事件規則!$C$2:$C$53,MATCH(S295,事件規則!$A$2:$A$53,0)),"")))</f>
        <v>0</v>
      </c>
      <c r="V295" s="21"/>
      <c r="W295" s="22"/>
      <c r="X295" s="10" t="str">
        <f aca="false">IF(AND(R295="修改",S295=""),"請選新事件代碼",IF(AND(R295&lt;&gt;"修改",S295&lt;&gt;""),"只有「修改」才需填代碼",""))</f>
        <v/>
      </c>
      <c r="Y295" s="21"/>
      <c r="Z295" s="22"/>
      <c r="AA295" s="23" t="s">
        <v>1068</v>
      </c>
      <c r="AB295" s="13"/>
    </row>
    <row r="296" customFormat="false" ht="23.85" hidden="false" customHeight="false" outlineLevel="0" collapsed="false">
      <c r="A296" s="16" t="n">
        <v>295</v>
      </c>
      <c r="B296" s="9" t="s">
        <v>45</v>
      </c>
      <c r="C296" s="9" t="s">
        <v>695</v>
      </c>
      <c r="D296" s="10" t="s">
        <v>696</v>
      </c>
      <c r="E296" s="24" t="s">
        <v>1069</v>
      </c>
      <c r="F296" s="12"/>
      <c r="G296" s="23" t="s">
        <v>120</v>
      </c>
      <c r="H296" s="14" t="n">
        <v>-0.931</v>
      </c>
      <c r="I296" s="15"/>
      <c r="J296" s="12"/>
      <c r="K296" s="9"/>
      <c r="L296" s="16" t="s">
        <v>51</v>
      </c>
      <c r="M296" s="17" t="s">
        <v>52</v>
      </c>
      <c r="N296" s="15" t="s">
        <v>183</v>
      </c>
      <c r="O296" s="16" t="s">
        <v>54</v>
      </c>
      <c r="P296" s="10" t="s">
        <v>1070</v>
      </c>
      <c r="Q296" s="16"/>
      <c r="R296" s="18" t="s">
        <v>52</v>
      </c>
      <c r="S296" s="19" t="s">
        <v>183</v>
      </c>
      <c r="T296" s="12" t="str">
        <f aca="false">IF(R296="維持",J296,IF(R296="排除","無關新聞事件",IFERROR(INDEX(事件規則!$B$2:$B$53,MATCH(S296,事件規則!$A$2:$A$53,0)),"")))</f>
        <v>營運惡化</v>
      </c>
      <c r="U296" s="20" t="n">
        <f aca="false">IF(R296="維持",K296,IF(R296="排除",0,IFERROR(INDEX(事件規則!$C$2:$C$53,MATCH(S296,事件規則!$A$2:$A$53,0)),"")))</f>
        <v>3</v>
      </c>
      <c r="V296" s="21"/>
      <c r="W296" s="22"/>
      <c r="X296" s="10" t="str">
        <f aca="false">IF(AND(R296="修改",S296=""),"請選新事件代碼",IF(AND(R296&lt;&gt;"修改",S296&lt;&gt;""),"只有「修改」才需填代碼",""))</f>
        <v/>
      </c>
      <c r="Y296" s="21"/>
      <c r="Z296" s="22"/>
      <c r="AA296" s="23" t="s">
        <v>1071</v>
      </c>
      <c r="AB296" s="13"/>
    </row>
    <row r="297" customFormat="false" ht="29.85" hidden="false" customHeight="false" outlineLevel="0" collapsed="false">
      <c r="A297" s="16" t="n">
        <v>296</v>
      </c>
      <c r="B297" s="9" t="s">
        <v>45</v>
      </c>
      <c r="C297" s="9" t="s">
        <v>1072</v>
      </c>
      <c r="D297" s="10" t="s">
        <v>1073</v>
      </c>
      <c r="E297" s="24" t="s">
        <v>1074</v>
      </c>
      <c r="F297" s="12"/>
      <c r="G297" s="23" t="s">
        <v>120</v>
      </c>
      <c r="H297" s="14" t="n">
        <v>-0.931</v>
      </c>
      <c r="I297" s="15"/>
      <c r="J297" s="12"/>
      <c r="K297" s="9"/>
      <c r="L297" s="16" t="s">
        <v>51</v>
      </c>
      <c r="M297" s="17" t="s">
        <v>79</v>
      </c>
      <c r="N297" s="15"/>
      <c r="O297" s="16" t="s">
        <v>54</v>
      </c>
      <c r="P297" s="12" t="s">
        <v>890</v>
      </c>
      <c r="Q297" s="16"/>
      <c r="R297" s="18" t="s">
        <v>79</v>
      </c>
      <c r="S297" s="19"/>
      <c r="T297" s="12" t="str">
        <f aca="false">IF(R297="維持",J297,IF(R297="排除","無關新聞事件",IFERROR(INDEX(事件規則!$B$2:$B$53,MATCH(S297,事件規則!$A$2:$A$53,0)),"")))</f>
        <v>無關新聞事件</v>
      </c>
      <c r="U297" s="20" t="n">
        <f aca="false">IF(R297="維持",K297,IF(R297="排除",0,IFERROR(INDEX(事件規則!$C$2:$C$53,MATCH(S297,事件規則!$A$2:$A$53,0)),"")))</f>
        <v>0</v>
      </c>
      <c r="V297" s="21"/>
      <c r="W297" s="22"/>
      <c r="X297" s="10" t="str">
        <f aca="false">IF(AND(R297="修改",S297=""),"請選新事件代碼",IF(AND(R297&lt;&gt;"修改",S297&lt;&gt;""),"只有「修改」才需填代碼",""))</f>
        <v/>
      </c>
      <c r="Y297" s="21"/>
      <c r="Z297" s="22"/>
      <c r="AA297" s="23" t="s">
        <v>1075</v>
      </c>
      <c r="AB297" s="13"/>
    </row>
    <row r="298" customFormat="false" ht="29.85" hidden="false" customHeight="false" outlineLevel="0" collapsed="false">
      <c r="A298" s="16" t="n">
        <v>297</v>
      </c>
      <c r="B298" s="9" t="s">
        <v>331</v>
      </c>
      <c r="C298" s="9" t="s">
        <v>524</v>
      </c>
      <c r="D298" s="10" t="s">
        <v>525</v>
      </c>
      <c r="E298" s="24" t="s">
        <v>1076</v>
      </c>
      <c r="F298" s="12"/>
      <c r="G298" s="23" t="s">
        <v>1077</v>
      </c>
      <c r="H298" s="14" t="n">
        <v>-0.931</v>
      </c>
      <c r="I298" s="15"/>
      <c r="J298" s="12"/>
      <c r="K298" s="9"/>
      <c r="L298" s="16" t="s">
        <v>51</v>
      </c>
      <c r="M298" s="17" t="s">
        <v>79</v>
      </c>
      <c r="N298" s="15"/>
      <c r="O298" s="16" t="s">
        <v>54</v>
      </c>
      <c r="P298" s="12" t="s">
        <v>890</v>
      </c>
      <c r="Q298" s="16"/>
      <c r="R298" s="18" t="s">
        <v>79</v>
      </c>
      <c r="S298" s="19"/>
      <c r="T298" s="12" t="str">
        <f aca="false">IF(R298="維持",J298,IF(R298="排除","無關新聞事件",IFERROR(INDEX(事件規則!$B$2:$B$53,MATCH(S298,事件規則!$A$2:$A$53,0)),"")))</f>
        <v>無關新聞事件</v>
      </c>
      <c r="U298" s="20" t="n">
        <f aca="false">IF(R298="維持",K298,IF(R298="排除",0,IFERROR(INDEX(事件規則!$C$2:$C$53,MATCH(S298,事件規則!$A$2:$A$53,0)),"")))</f>
        <v>0</v>
      </c>
      <c r="V298" s="21"/>
      <c r="W298" s="22"/>
      <c r="X298" s="10" t="str">
        <f aca="false">IF(AND(R298="修改",S298=""),"請選新事件代碼",IF(AND(R298&lt;&gt;"修改",S298&lt;&gt;""),"只有「修改」才需填代碼",""))</f>
        <v/>
      </c>
      <c r="Y298" s="21"/>
      <c r="Z298" s="22"/>
      <c r="AA298" s="23" t="s">
        <v>1078</v>
      </c>
      <c r="AB298" s="13"/>
    </row>
    <row r="299" customFormat="false" ht="29.85" hidden="false" customHeight="false" outlineLevel="0" collapsed="false">
      <c r="A299" s="16" t="n">
        <v>298</v>
      </c>
      <c r="B299" s="9" t="s">
        <v>331</v>
      </c>
      <c r="C299" s="9" t="s">
        <v>569</v>
      </c>
      <c r="D299" s="10" t="s">
        <v>570</v>
      </c>
      <c r="E299" s="24" t="s">
        <v>1079</v>
      </c>
      <c r="F299" s="12"/>
      <c r="G299" s="23" t="s">
        <v>1080</v>
      </c>
      <c r="H299" s="14" t="n">
        <v>-0.931</v>
      </c>
      <c r="I299" s="15"/>
      <c r="J299" s="12"/>
      <c r="K299" s="9"/>
      <c r="L299" s="16" t="s">
        <v>51</v>
      </c>
      <c r="M299" s="17" t="s">
        <v>79</v>
      </c>
      <c r="N299" s="15"/>
      <c r="O299" s="16" t="s">
        <v>54</v>
      </c>
      <c r="P299" s="12" t="s">
        <v>890</v>
      </c>
      <c r="Q299" s="16"/>
      <c r="R299" s="18" t="s">
        <v>79</v>
      </c>
      <c r="S299" s="19"/>
      <c r="T299" s="12" t="str">
        <f aca="false">IF(R299="維持",J299,IF(R299="排除","無關新聞事件",IFERROR(INDEX(事件規則!$B$2:$B$53,MATCH(S299,事件規則!$A$2:$A$53,0)),"")))</f>
        <v>無關新聞事件</v>
      </c>
      <c r="U299" s="20" t="n">
        <f aca="false">IF(R299="維持",K299,IF(R299="排除",0,IFERROR(INDEX(事件規則!$C$2:$C$53,MATCH(S299,事件規則!$A$2:$A$53,0)),"")))</f>
        <v>0</v>
      </c>
      <c r="V299" s="21"/>
      <c r="W299" s="22"/>
      <c r="X299" s="10" t="str">
        <f aca="false">IF(AND(R299="修改",S299=""),"請選新事件代碼",IF(AND(R299&lt;&gt;"修改",S299&lt;&gt;""),"只有「修改」才需填代碼",""))</f>
        <v/>
      </c>
      <c r="Y299" s="21"/>
      <c r="Z299" s="22"/>
      <c r="AA299" s="23" t="s">
        <v>1081</v>
      </c>
      <c r="AB299" s="13"/>
    </row>
    <row r="300" customFormat="false" ht="29.85" hidden="false" customHeight="false" outlineLevel="0" collapsed="false">
      <c r="A300" s="16" t="n">
        <v>299</v>
      </c>
      <c r="B300" s="9" t="s">
        <v>386</v>
      </c>
      <c r="C300" s="9" t="s">
        <v>1025</v>
      </c>
      <c r="D300" s="10" t="s">
        <v>1026</v>
      </c>
      <c r="E300" s="24" t="s">
        <v>1082</v>
      </c>
      <c r="F300" s="12"/>
      <c r="G300" s="23" t="s">
        <v>83</v>
      </c>
      <c r="H300" s="14" t="n">
        <v>-0.931</v>
      </c>
      <c r="I300" s="15"/>
      <c r="J300" s="12"/>
      <c r="K300" s="9"/>
      <c r="L300" s="16" t="s">
        <v>51</v>
      </c>
      <c r="M300" s="17" t="s">
        <v>79</v>
      </c>
      <c r="N300" s="15"/>
      <c r="O300" s="16" t="s">
        <v>54</v>
      </c>
      <c r="P300" s="12" t="s">
        <v>890</v>
      </c>
      <c r="Q300" s="16"/>
      <c r="R300" s="18" t="s">
        <v>79</v>
      </c>
      <c r="S300" s="19"/>
      <c r="T300" s="12" t="str">
        <f aca="false">IF(R300="維持",J300,IF(R300="排除","無關新聞事件",IFERROR(INDEX(事件規則!$B$2:$B$53,MATCH(S300,事件規則!$A$2:$A$53,0)),"")))</f>
        <v>無關新聞事件</v>
      </c>
      <c r="U300" s="20" t="n">
        <f aca="false">IF(R300="維持",K300,IF(R300="排除",0,IFERROR(INDEX(事件規則!$C$2:$C$53,MATCH(S300,事件規則!$A$2:$A$53,0)),"")))</f>
        <v>0</v>
      </c>
      <c r="V300" s="21"/>
      <c r="W300" s="22"/>
      <c r="X300" s="10" t="str">
        <f aca="false">IF(AND(R300="修改",S300=""),"請選新事件代碼",IF(AND(R300&lt;&gt;"修改",S300&lt;&gt;""),"只有「修改」才需填代碼",""))</f>
        <v/>
      </c>
      <c r="Y300" s="21"/>
      <c r="Z300" s="22"/>
      <c r="AA300" s="23" t="s">
        <v>1083</v>
      </c>
      <c r="AB300" s="13"/>
    </row>
    <row r="301" customFormat="false" ht="23.85" hidden="false" customHeight="false" outlineLevel="0" collapsed="false">
      <c r="A301" s="16" t="n">
        <v>300</v>
      </c>
      <c r="B301" s="9" t="s">
        <v>65</v>
      </c>
      <c r="C301" s="9" t="s">
        <v>57</v>
      </c>
      <c r="D301" s="10" t="s">
        <v>58</v>
      </c>
      <c r="E301" s="24" t="s">
        <v>1084</v>
      </c>
      <c r="F301" s="12"/>
      <c r="G301" s="23" t="s">
        <v>1085</v>
      </c>
      <c r="H301" s="14" t="n">
        <v>-0.931</v>
      </c>
      <c r="I301" s="15"/>
      <c r="J301" s="12"/>
      <c r="K301" s="9"/>
      <c r="L301" s="16" t="s">
        <v>51</v>
      </c>
      <c r="M301" s="17" t="s">
        <v>52</v>
      </c>
      <c r="N301" s="15" t="s">
        <v>61</v>
      </c>
      <c r="O301" s="16" t="s">
        <v>62</v>
      </c>
      <c r="P301" s="12" t="s">
        <v>910</v>
      </c>
      <c r="Q301" s="16"/>
      <c r="R301" s="18" t="s">
        <v>52</v>
      </c>
      <c r="S301" s="19" t="s">
        <v>61</v>
      </c>
      <c r="T301" s="12" t="str">
        <f aca="false">IF(R301="維持",J301,IF(R301="排除","無關新聞事件",IFERROR(INDEX(事件規則!$B$2:$B$53,MATCH(S301,事件規則!$A$2:$A$53,0)),"")))</f>
        <v>裁員或人力縮減</v>
      </c>
      <c r="U301" s="20" t="n">
        <f aca="false">IF(R301="維持",K301,IF(R301="排除",0,IFERROR(INDEX(事件規則!$C$2:$C$53,MATCH(S301,事件規則!$A$2:$A$53,0)),"")))</f>
        <v>3</v>
      </c>
      <c r="V301" s="21"/>
      <c r="W301" s="22"/>
      <c r="X301" s="10" t="str">
        <f aca="false">IF(AND(R301="修改",S301=""),"請選新事件代碼",IF(AND(R301&lt;&gt;"修改",S301&lt;&gt;""),"只有「修改」才需填代碼",""))</f>
        <v/>
      </c>
      <c r="Y301" s="21"/>
      <c r="Z301" s="22"/>
      <c r="AA301" s="23" t="s">
        <v>1086</v>
      </c>
      <c r="AB301" s="13"/>
    </row>
    <row r="302" customFormat="false" ht="29.85" hidden="false" customHeight="false" outlineLevel="0" collapsed="false">
      <c r="A302" s="16" t="n">
        <v>301</v>
      </c>
      <c r="B302" s="9" t="s">
        <v>65</v>
      </c>
      <c r="C302" s="9" t="s">
        <v>1037</v>
      </c>
      <c r="D302" s="10" t="s">
        <v>1038</v>
      </c>
      <c r="E302" s="24" t="s">
        <v>1087</v>
      </c>
      <c r="F302" s="12"/>
      <c r="G302" s="23" t="s">
        <v>745</v>
      </c>
      <c r="H302" s="14" t="n">
        <v>-0.93</v>
      </c>
      <c r="I302" s="15"/>
      <c r="J302" s="12"/>
      <c r="K302" s="9"/>
      <c r="L302" s="16" t="s">
        <v>51</v>
      </c>
      <c r="M302" s="17" t="s">
        <v>79</v>
      </c>
      <c r="N302" s="15"/>
      <c r="O302" s="16" t="s">
        <v>54</v>
      </c>
      <c r="P302" s="12" t="s">
        <v>890</v>
      </c>
      <c r="Q302" s="16"/>
      <c r="R302" s="18" t="s">
        <v>79</v>
      </c>
      <c r="S302" s="19"/>
      <c r="T302" s="12" t="str">
        <f aca="false">IF(R302="維持",J302,IF(R302="排除","無關新聞事件",IFERROR(INDEX(事件規則!$B$2:$B$53,MATCH(S302,事件規則!$A$2:$A$53,0)),"")))</f>
        <v>無關新聞事件</v>
      </c>
      <c r="U302" s="20" t="n">
        <f aca="false">IF(R302="維持",K302,IF(R302="排除",0,IFERROR(INDEX(事件規則!$C$2:$C$53,MATCH(S302,事件規則!$A$2:$A$53,0)),"")))</f>
        <v>0</v>
      </c>
      <c r="V302" s="21"/>
      <c r="W302" s="22"/>
      <c r="X302" s="10" t="str">
        <f aca="false">IF(AND(R302="修改",S302=""),"請選新事件代碼",IF(AND(R302&lt;&gt;"修改",S302&lt;&gt;""),"只有「修改」才需填代碼",""))</f>
        <v/>
      </c>
      <c r="Y302" s="21"/>
      <c r="Z302" s="22"/>
      <c r="AA302" s="23" t="s">
        <v>1088</v>
      </c>
      <c r="AB302" s="13"/>
    </row>
    <row r="303" customFormat="false" ht="15" hidden="false" customHeight="false" outlineLevel="0" collapsed="false">
      <c r="A303" s="16" t="n">
        <v>302</v>
      </c>
      <c r="B303" s="9" t="s">
        <v>45</v>
      </c>
      <c r="C303" s="9" t="s">
        <v>1089</v>
      </c>
      <c r="D303" s="10" t="s">
        <v>1090</v>
      </c>
      <c r="E303" s="24" t="s">
        <v>1091</v>
      </c>
      <c r="F303" s="12"/>
      <c r="G303" s="23" t="s">
        <v>1092</v>
      </c>
      <c r="H303" s="14" t="n">
        <v>-0.93</v>
      </c>
      <c r="I303" s="15"/>
      <c r="J303" s="12"/>
      <c r="K303" s="9"/>
      <c r="L303" s="16" t="s">
        <v>51</v>
      </c>
      <c r="M303" s="17" t="s">
        <v>52</v>
      </c>
      <c r="N303" s="15" t="s">
        <v>1093</v>
      </c>
      <c r="O303" s="16" t="s">
        <v>54</v>
      </c>
      <c r="P303" s="10" t="s">
        <v>1094</v>
      </c>
      <c r="Q303" s="16"/>
      <c r="R303" s="18" t="s">
        <v>52</v>
      </c>
      <c r="S303" s="19" t="s">
        <v>1093</v>
      </c>
      <c r="T303" s="12" t="str">
        <f aca="false">IF(R303="維持",J303,IF(R303="排除","無關新聞事件",IFERROR(INDEX(事件規則!$B$2:$B$53,MATCH(S303,事件規則!$A$2:$A$53,0)),"")))</f>
        <v>信用調降</v>
      </c>
      <c r="U303" s="20" t="n">
        <f aca="false">IF(R303="維持",K303,IF(R303="排除",0,IFERROR(INDEX(事件規則!$C$2:$C$53,MATCH(S303,事件規則!$A$2:$A$53,0)),"")))</f>
        <v>4</v>
      </c>
      <c r="V303" s="21"/>
      <c r="W303" s="22"/>
      <c r="X303" s="10" t="str">
        <f aca="false">IF(AND(R303="修改",S303=""),"請選新事件代碼",IF(AND(R303&lt;&gt;"修改",S303&lt;&gt;""),"只有「修改」才需填代碼",""))</f>
        <v/>
      </c>
      <c r="Y303" s="21"/>
      <c r="Z303" s="22"/>
      <c r="AA303" s="23" t="s">
        <v>1095</v>
      </c>
      <c r="AB303" s="13"/>
    </row>
    <row r="304" customFormat="false" ht="15" hidden="false" customHeight="false" outlineLevel="0" collapsed="false">
      <c r="A304" s="16" t="n">
        <v>303</v>
      </c>
      <c r="B304" s="9" t="s">
        <v>331</v>
      </c>
      <c r="C304" s="9" t="s">
        <v>1096</v>
      </c>
      <c r="D304" s="10" t="s">
        <v>1097</v>
      </c>
      <c r="E304" s="24" t="s">
        <v>1098</v>
      </c>
      <c r="F304" s="12"/>
      <c r="G304" s="23" t="s">
        <v>335</v>
      </c>
      <c r="H304" s="14" t="n">
        <v>-0.93</v>
      </c>
      <c r="I304" s="15"/>
      <c r="J304" s="12"/>
      <c r="K304" s="9"/>
      <c r="L304" s="16" t="s">
        <v>51</v>
      </c>
      <c r="M304" s="17" t="s">
        <v>52</v>
      </c>
      <c r="N304" s="15" t="s">
        <v>336</v>
      </c>
      <c r="O304" s="16" t="s">
        <v>62</v>
      </c>
      <c r="P304" s="10" t="s">
        <v>1099</v>
      </c>
      <c r="Q304" s="16"/>
      <c r="R304" s="18" t="s">
        <v>52</v>
      </c>
      <c r="S304" s="19" t="s">
        <v>336</v>
      </c>
      <c r="T304" s="12" t="str">
        <f aca="false">IF(R304="維持",J304,IF(R304="排除","無關新聞事件",IFERROR(INDEX(事件規則!$B$2:$B$53,MATCH(S304,事件規則!$A$2:$A$53,0)),"")))</f>
        <v>財測下修</v>
      </c>
      <c r="U304" s="20" t="n">
        <f aca="false">IF(R304="維持",K304,IF(R304="排除",0,IFERROR(INDEX(事件規則!$C$2:$C$53,MATCH(S304,事件規則!$A$2:$A$53,0)),"")))</f>
        <v>3</v>
      </c>
      <c r="V304" s="21"/>
      <c r="W304" s="22"/>
      <c r="X304" s="10" t="str">
        <f aca="false">IF(AND(R304="修改",S304=""),"請選新事件代碼",IF(AND(R304&lt;&gt;"修改",S304&lt;&gt;""),"只有「修改」才需填代碼",""))</f>
        <v/>
      </c>
      <c r="Y304" s="21"/>
      <c r="Z304" s="22"/>
      <c r="AA304" s="23" t="s">
        <v>1100</v>
      </c>
      <c r="AB304" s="13"/>
    </row>
    <row r="305" customFormat="false" ht="29.85" hidden="false" customHeight="false" outlineLevel="0" collapsed="false">
      <c r="A305" s="16" t="n">
        <v>304</v>
      </c>
      <c r="B305" s="9" t="s">
        <v>65</v>
      </c>
      <c r="C305" s="9" t="s">
        <v>99</v>
      </c>
      <c r="D305" s="10" t="s">
        <v>100</v>
      </c>
      <c r="E305" s="24" t="s">
        <v>1101</v>
      </c>
      <c r="F305" s="12"/>
      <c r="G305" s="23" t="s">
        <v>120</v>
      </c>
      <c r="H305" s="14" t="n">
        <v>-0.93</v>
      </c>
      <c r="I305" s="15"/>
      <c r="J305" s="12"/>
      <c r="K305" s="9"/>
      <c r="L305" s="16" t="s">
        <v>51</v>
      </c>
      <c r="M305" s="17" t="s">
        <v>79</v>
      </c>
      <c r="N305" s="15"/>
      <c r="O305" s="16" t="s">
        <v>54</v>
      </c>
      <c r="P305" s="12" t="s">
        <v>890</v>
      </c>
      <c r="Q305" s="16"/>
      <c r="R305" s="18" t="s">
        <v>79</v>
      </c>
      <c r="S305" s="19"/>
      <c r="T305" s="12" t="str">
        <f aca="false">IF(R305="維持",J305,IF(R305="排除","無關新聞事件",IFERROR(INDEX(事件規則!$B$2:$B$53,MATCH(S305,事件規則!$A$2:$A$53,0)),"")))</f>
        <v>無關新聞事件</v>
      </c>
      <c r="U305" s="20" t="n">
        <f aca="false">IF(R305="維持",K305,IF(R305="排除",0,IFERROR(INDEX(事件規則!$C$2:$C$53,MATCH(S305,事件規則!$A$2:$A$53,0)),"")))</f>
        <v>0</v>
      </c>
      <c r="V305" s="21"/>
      <c r="W305" s="22"/>
      <c r="X305" s="10" t="str">
        <f aca="false">IF(AND(R305="修改",S305=""),"請選新事件代碼",IF(AND(R305&lt;&gt;"修改",S305&lt;&gt;""),"只有「修改」才需填代碼",""))</f>
        <v/>
      </c>
      <c r="Y305" s="21"/>
      <c r="Z305" s="22"/>
      <c r="AA305" s="23" t="s">
        <v>1102</v>
      </c>
      <c r="AB305" s="13"/>
    </row>
    <row r="306" customFormat="false" ht="15" hidden="false" customHeight="false" outlineLevel="0" collapsed="false">
      <c r="A306" s="16" t="n">
        <v>305</v>
      </c>
      <c r="B306" s="9" t="s">
        <v>45</v>
      </c>
      <c r="C306" s="9" t="s">
        <v>353</v>
      </c>
      <c r="D306" s="10" t="s">
        <v>354</v>
      </c>
      <c r="E306" s="24" t="s">
        <v>1103</v>
      </c>
      <c r="F306" s="12"/>
      <c r="G306" s="23" t="s">
        <v>1104</v>
      </c>
      <c r="H306" s="14" t="n">
        <v>-0.929</v>
      </c>
      <c r="I306" s="15"/>
      <c r="J306" s="12"/>
      <c r="K306" s="9"/>
      <c r="L306" s="16" t="s">
        <v>51</v>
      </c>
      <c r="M306" s="17" t="s">
        <v>52</v>
      </c>
      <c r="N306" s="15" t="s">
        <v>357</v>
      </c>
      <c r="O306" s="16" t="s">
        <v>62</v>
      </c>
      <c r="P306" s="10" t="s">
        <v>1105</v>
      </c>
      <c r="Q306" s="16"/>
      <c r="R306" s="18" t="s">
        <v>52</v>
      </c>
      <c r="S306" s="19" t="s">
        <v>357</v>
      </c>
      <c r="T306" s="12" t="str">
        <f aca="false">IF(R306="維持",J306,IF(R306="排除","無關新聞事件",IFERROR(INDEX(事件規則!$B$2:$B$53,MATCH(S306,事件規則!$A$2:$A$53,0)),"")))</f>
        <v>資料外洩</v>
      </c>
      <c r="U306" s="20" t="n">
        <f aca="false">IF(R306="維持",K306,IF(R306="排除",0,IFERROR(INDEX(事件規則!$C$2:$C$53,MATCH(S306,事件規則!$A$2:$A$53,0)),"")))</f>
        <v>3</v>
      </c>
      <c r="V306" s="21"/>
      <c r="W306" s="22"/>
      <c r="X306" s="10" t="str">
        <f aca="false">IF(AND(R306="修改",S306=""),"請選新事件代碼",IF(AND(R306&lt;&gt;"修改",S306&lt;&gt;""),"只有「修改」才需填代碼",""))</f>
        <v/>
      </c>
      <c r="Y306" s="21"/>
      <c r="Z306" s="22"/>
      <c r="AA306" s="23" t="s">
        <v>1106</v>
      </c>
      <c r="AB306" s="13"/>
    </row>
    <row r="307" customFormat="false" ht="15" hidden="false" customHeight="false" outlineLevel="0" collapsed="false">
      <c r="A307" s="16" t="n">
        <v>306</v>
      </c>
      <c r="B307" s="9" t="s">
        <v>65</v>
      </c>
      <c r="C307" s="9" t="s">
        <v>346</v>
      </c>
      <c r="D307" s="10" t="s">
        <v>347</v>
      </c>
      <c r="E307" s="24" t="s">
        <v>1107</v>
      </c>
      <c r="F307" s="12"/>
      <c r="G307" s="23" t="s">
        <v>1108</v>
      </c>
      <c r="H307" s="14" t="n">
        <v>-0.929</v>
      </c>
      <c r="I307" s="15"/>
      <c r="J307" s="12"/>
      <c r="K307" s="9"/>
      <c r="L307" s="16" t="s">
        <v>51</v>
      </c>
      <c r="M307" s="17" t="s">
        <v>52</v>
      </c>
      <c r="N307" s="15" t="s">
        <v>667</v>
      </c>
      <c r="O307" s="16" t="s">
        <v>62</v>
      </c>
      <c r="P307" s="10" t="s">
        <v>936</v>
      </c>
      <c r="Q307" s="16"/>
      <c r="R307" s="18" t="s">
        <v>52</v>
      </c>
      <c r="S307" s="19" t="s">
        <v>667</v>
      </c>
      <c r="T307" s="12" t="str">
        <f aca="false">IF(R307="維持",J307,IF(R307="排除","無關新聞事件",IFERROR(INDEX(事件規則!$B$2:$B$53,MATCH(S307,事件規則!$A$2:$A$53,0)),"")))</f>
        <v>重大產品瑕疵</v>
      </c>
      <c r="U307" s="20" t="n">
        <f aca="false">IF(R307="維持",K307,IF(R307="排除",0,IFERROR(INDEX(事件規則!$C$2:$C$53,MATCH(S307,事件規則!$A$2:$A$53,0)),"")))</f>
        <v>3</v>
      </c>
      <c r="V307" s="21"/>
      <c r="W307" s="22"/>
      <c r="X307" s="10" t="str">
        <f aca="false">IF(AND(R307="修改",S307=""),"請選新事件代碼",IF(AND(R307&lt;&gt;"修改",S307&lt;&gt;""),"只有「修改」才需填代碼",""))</f>
        <v/>
      </c>
      <c r="Y307" s="21"/>
      <c r="Z307" s="22"/>
      <c r="AA307" s="23" t="s">
        <v>1109</v>
      </c>
      <c r="AB307" s="13"/>
    </row>
    <row r="308" customFormat="false" ht="29.85" hidden="false" customHeight="false" outlineLevel="0" collapsed="false">
      <c r="A308" s="16" t="n">
        <v>307</v>
      </c>
      <c r="B308" s="9" t="s">
        <v>65</v>
      </c>
      <c r="C308" s="9" t="s">
        <v>1110</v>
      </c>
      <c r="D308" s="10" t="s">
        <v>1111</v>
      </c>
      <c r="E308" s="24" t="s">
        <v>1112</v>
      </c>
      <c r="F308" s="12"/>
      <c r="G308" s="23" t="s">
        <v>120</v>
      </c>
      <c r="H308" s="14" t="n">
        <v>-0.929</v>
      </c>
      <c r="I308" s="15"/>
      <c r="J308" s="12"/>
      <c r="K308" s="9"/>
      <c r="L308" s="16" t="s">
        <v>51</v>
      </c>
      <c r="M308" s="17" t="s">
        <v>79</v>
      </c>
      <c r="N308" s="15"/>
      <c r="O308" s="16" t="s">
        <v>54</v>
      </c>
      <c r="P308" s="12" t="s">
        <v>890</v>
      </c>
      <c r="Q308" s="16"/>
      <c r="R308" s="18" t="s">
        <v>79</v>
      </c>
      <c r="S308" s="19"/>
      <c r="T308" s="12" t="str">
        <f aca="false">IF(R308="維持",J308,IF(R308="排除","無關新聞事件",IFERROR(INDEX(事件規則!$B$2:$B$53,MATCH(S308,事件規則!$A$2:$A$53,0)),"")))</f>
        <v>無關新聞事件</v>
      </c>
      <c r="U308" s="20" t="n">
        <f aca="false">IF(R308="維持",K308,IF(R308="排除",0,IFERROR(INDEX(事件規則!$C$2:$C$53,MATCH(S308,事件規則!$A$2:$A$53,0)),"")))</f>
        <v>0</v>
      </c>
      <c r="V308" s="21"/>
      <c r="W308" s="22"/>
      <c r="X308" s="10" t="str">
        <f aca="false">IF(AND(R308="修改",S308=""),"請選新事件代碼",IF(AND(R308&lt;&gt;"修改",S308&lt;&gt;""),"只有「修改」才需填代碼",""))</f>
        <v/>
      </c>
      <c r="Y308" s="21"/>
      <c r="Z308" s="22"/>
      <c r="AA308" s="23" t="s">
        <v>1113</v>
      </c>
      <c r="AB308" s="13"/>
    </row>
    <row r="309" customFormat="false" ht="15" hidden="false" customHeight="false" outlineLevel="0" collapsed="false">
      <c r="A309" s="16" t="n">
        <v>308</v>
      </c>
      <c r="B309" s="9" t="s">
        <v>65</v>
      </c>
      <c r="C309" s="9" t="s">
        <v>346</v>
      </c>
      <c r="D309" s="10" t="s">
        <v>347</v>
      </c>
      <c r="E309" s="24" t="s">
        <v>1114</v>
      </c>
      <c r="F309" s="12"/>
      <c r="G309" s="23" t="s">
        <v>1115</v>
      </c>
      <c r="H309" s="14" t="n">
        <v>-0.929</v>
      </c>
      <c r="I309" s="15"/>
      <c r="J309" s="12"/>
      <c r="K309" s="9"/>
      <c r="L309" s="16" t="s">
        <v>51</v>
      </c>
      <c r="M309" s="17" t="s">
        <v>52</v>
      </c>
      <c r="N309" s="15" t="s">
        <v>350</v>
      </c>
      <c r="O309" s="16" t="s">
        <v>62</v>
      </c>
      <c r="P309" s="12" t="s">
        <v>1116</v>
      </c>
      <c r="Q309" s="16"/>
      <c r="R309" s="18" t="s">
        <v>52</v>
      </c>
      <c r="S309" s="19" t="s">
        <v>350</v>
      </c>
      <c r="T309" s="12" t="str">
        <f aca="false">IF(R309="維持",J309,IF(R309="排除","無關新聞事件",IFERROR(INDEX(事件規則!$B$2:$B$53,MATCH(S309,事件規則!$A$2:$A$53,0)),"")))</f>
        <v>生產延遲</v>
      </c>
      <c r="U309" s="20" t="n">
        <f aca="false">IF(R309="維持",K309,IF(R309="排除",0,IFERROR(INDEX(事件規則!$C$2:$C$53,MATCH(S309,事件規則!$A$2:$A$53,0)),"")))</f>
        <v>2</v>
      </c>
      <c r="V309" s="21"/>
      <c r="W309" s="22"/>
      <c r="X309" s="10" t="str">
        <f aca="false">IF(AND(R309="修改",S309=""),"請選新事件代碼",IF(AND(R309&lt;&gt;"修改",S309&lt;&gt;""),"只有「修改」才需填代碼",""))</f>
        <v/>
      </c>
      <c r="Y309" s="21"/>
      <c r="Z309" s="22"/>
      <c r="AA309" s="23" t="s">
        <v>1117</v>
      </c>
      <c r="AB309" s="13"/>
    </row>
    <row r="310" customFormat="false" ht="29.85" hidden="false" customHeight="false" outlineLevel="0" collapsed="false">
      <c r="A310" s="16" t="n">
        <v>309</v>
      </c>
      <c r="B310" s="9" t="s">
        <v>65</v>
      </c>
      <c r="C310" s="9" t="s">
        <v>1118</v>
      </c>
      <c r="D310" s="10" t="s">
        <v>1119</v>
      </c>
      <c r="E310" s="24" t="s">
        <v>1120</v>
      </c>
      <c r="F310" s="12"/>
      <c r="G310" s="23" t="s">
        <v>1121</v>
      </c>
      <c r="H310" s="14" t="n">
        <v>-0.928</v>
      </c>
      <c r="I310" s="15"/>
      <c r="J310" s="12"/>
      <c r="K310" s="9"/>
      <c r="L310" s="16" t="s">
        <v>51</v>
      </c>
      <c r="M310" s="17" t="s">
        <v>79</v>
      </c>
      <c r="N310" s="15"/>
      <c r="O310" s="16" t="s">
        <v>54</v>
      </c>
      <c r="P310" s="12" t="s">
        <v>890</v>
      </c>
      <c r="Q310" s="16"/>
      <c r="R310" s="18" t="s">
        <v>79</v>
      </c>
      <c r="S310" s="19"/>
      <c r="T310" s="12" t="str">
        <f aca="false">IF(R310="維持",J310,IF(R310="排除","無關新聞事件",IFERROR(INDEX(事件規則!$B$2:$B$53,MATCH(S310,事件規則!$A$2:$A$53,0)),"")))</f>
        <v>無關新聞事件</v>
      </c>
      <c r="U310" s="20" t="n">
        <f aca="false">IF(R310="維持",K310,IF(R310="排除",0,IFERROR(INDEX(事件規則!$C$2:$C$53,MATCH(S310,事件規則!$A$2:$A$53,0)),"")))</f>
        <v>0</v>
      </c>
      <c r="V310" s="21"/>
      <c r="W310" s="22"/>
      <c r="X310" s="10" t="str">
        <f aca="false">IF(AND(R310="修改",S310=""),"請選新事件代碼",IF(AND(R310&lt;&gt;"修改",S310&lt;&gt;""),"只有「修改」才需填代碼",""))</f>
        <v/>
      </c>
      <c r="Y310" s="21"/>
      <c r="Z310" s="22"/>
      <c r="AA310" s="23" t="s">
        <v>1122</v>
      </c>
      <c r="AB310" s="13"/>
    </row>
    <row r="311" customFormat="false" ht="29.85" hidden="false" customHeight="false" outlineLevel="0" collapsed="false">
      <c r="A311" s="16" t="n">
        <v>310</v>
      </c>
      <c r="B311" s="9" t="s">
        <v>386</v>
      </c>
      <c r="C311" s="9" t="s">
        <v>695</v>
      </c>
      <c r="D311" s="10" t="s">
        <v>696</v>
      </c>
      <c r="E311" s="24" t="s">
        <v>1123</v>
      </c>
      <c r="F311" s="12"/>
      <c r="G311" s="23" t="s">
        <v>1124</v>
      </c>
      <c r="H311" s="14" t="n">
        <v>-0.928</v>
      </c>
      <c r="I311" s="15"/>
      <c r="J311" s="12"/>
      <c r="K311" s="9"/>
      <c r="L311" s="16" t="s">
        <v>51</v>
      </c>
      <c r="M311" s="17" t="s">
        <v>52</v>
      </c>
      <c r="N311" s="15" t="s">
        <v>699</v>
      </c>
      <c r="O311" s="16" t="s">
        <v>54</v>
      </c>
      <c r="P311" s="10" t="s">
        <v>1125</v>
      </c>
      <c r="Q311" s="16"/>
      <c r="R311" s="18" t="s">
        <v>52</v>
      </c>
      <c r="S311" s="19" t="s">
        <v>699</v>
      </c>
      <c r="T311" s="12" t="str">
        <f aca="false">IF(R311="維持",J311,IF(R311="排除","無關新聞事件",IFERROR(INDEX(事件規則!$B$2:$B$53,MATCH(S311,事件規則!$A$2:$A$53,0)),"")))</f>
        <v>產品或服務終止</v>
      </c>
      <c r="U311" s="20" t="n">
        <f aca="false">IF(R311="維持",K311,IF(R311="排除",0,IFERROR(INDEX(事件規則!$C$2:$C$53,MATCH(S311,事件規則!$A$2:$A$53,0)),"")))</f>
        <v>2</v>
      </c>
      <c r="V311" s="21"/>
      <c r="W311" s="22"/>
      <c r="X311" s="10" t="str">
        <f aca="false">IF(AND(R311="修改",S311=""),"請選新事件代碼",IF(AND(R311&lt;&gt;"修改",S311&lt;&gt;""),"只有「修改」才需填代碼",""))</f>
        <v/>
      </c>
      <c r="Y311" s="21"/>
      <c r="Z311" s="22"/>
      <c r="AA311" s="23" t="s">
        <v>1126</v>
      </c>
      <c r="AB311" s="13"/>
    </row>
    <row r="312" customFormat="false" ht="29.85" hidden="false" customHeight="false" outlineLevel="0" collapsed="false">
      <c r="A312" s="16" t="n">
        <v>311</v>
      </c>
      <c r="B312" s="9" t="s">
        <v>331</v>
      </c>
      <c r="C312" s="9" t="s">
        <v>1127</v>
      </c>
      <c r="D312" s="10" t="s">
        <v>1128</v>
      </c>
      <c r="E312" s="24" t="s">
        <v>1129</v>
      </c>
      <c r="F312" s="12"/>
      <c r="G312" s="23" t="s">
        <v>779</v>
      </c>
      <c r="H312" s="14" t="n">
        <v>-0.928</v>
      </c>
      <c r="I312" s="15"/>
      <c r="J312" s="12"/>
      <c r="K312" s="9"/>
      <c r="L312" s="16" t="s">
        <v>51</v>
      </c>
      <c r="M312" s="17" t="s">
        <v>79</v>
      </c>
      <c r="N312" s="15"/>
      <c r="O312" s="16" t="s">
        <v>54</v>
      </c>
      <c r="P312" s="12" t="s">
        <v>890</v>
      </c>
      <c r="Q312" s="16"/>
      <c r="R312" s="18" t="s">
        <v>79</v>
      </c>
      <c r="S312" s="19"/>
      <c r="T312" s="12" t="str">
        <f aca="false">IF(R312="維持",J312,IF(R312="排除","無關新聞事件",IFERROR(INDEX(事件規則!$B$2:$B$53,MATCH(S312,事件規則!$A$2:$A$53,0)),"")))</f>
        <v>無關新聞事件</v>
      </c>
      <c r="U312" s="20" t="n">
        <f aca="false">IF(R312="維持",K312,IF(R312="排除",0,IFERROR(INDEX(事件規則!$C$2:$C$53,MATCH(S312,事件規則!$A$2:$A$53,0)),"")))</f>
        <v>0</v>
      </c>
      <c r="V312" s="21"/>
      <c r="W312" s="22"/>
      <c r="X312" s="10" t="str">
        <f aca="false">IF(AND(R312="修改",S312=""),"請選新事件代碼",IF(AND(R312&lt;&gt;"修改",S312&lt;&gt;""),"只有「修改」才需填代碼",""))</f>
        <v/>
      </c>
      <c r="Y312" s="21"/>
      <c r="Z312" s="22"/>
      <c r="AA312" s="23" t="s">
        <v>1130</v>
      </c>
      <c r="AB312" s="13"/>
    </row>
    <row r="313" customFormat="false" ht="29.85" hidden="false" customHeight="false" outlineLevel="0" collapsed="false">
      <c r="A313" s="16" t="n">
        <v>312</v>
      </c>
      <c r="B313" s="9" t="s">
        <v>331</v>
      </c>
      <c r="C313" s="9" t="s">
        <v>99</v>
      </c>
      <c r="D313" s="10" t="s">
        <v>100</v>
      </c>
      <c r="E313" s="24" t="s">
        <v>1131</v>
      </c>
      <c r="F313" s="12"/>
      <c r="G313" s="23" t="s">
        <v>774</v>
      </c>
      <c r="H313" s="14" t="n">
        <v>-0.928</v>
      </c>
      <c r="I313" s="15"/>
      <c r="J313" s="12"/>
      <c r="K313" s="9"/>
      <c r="L313" s="16" t="s">
        <v>51</v>
      </c>
      <c r="M313" s="17" t="s">
        <v>79</v>
      </c>
      <c r="N313" s="15"/>
      <c r="O313" s="16" t="s">
        <v>54</v>
      </c>
      <c r="P313" s="12" t="s">
        <v>890</v>
      </c>
      <c r="Q313" s="16"/>
      <c r="R313" s="18" t="s">
        <v>79</v>
      </c>
      <c r="S313" s="19"/>
      <c r="T313" s="12" t="str">
        <f aca="false">IF(R313="維持",J313,IF(R313="排除","無關新聞事件",IFERROR(INDEX(事件規則!$B$2:$B$53,MATCH(S313,事件規則!$A$2:$A$53,0)),"")))</f>
        <v>無關新聞事件</v>
      </c>
      <c r="U313" s="20" t="n">
        <f aca="false">IF(R313="維持",K313,IF(R313="排除",0,IFERROR(INDEX(事件規則!$C$2:$C$53,MATCH(S313,事件規則!$A$2:$A$53,0)),"")))</f>
        <v>0</v>
      </c>
      <c r="V313" s="21"/>
      <c r="W313" s="22"/>
      <c r="X313" s="10" t="str">
        <f aca="false">IF(AND(R313="修改",S313=""),"請選新事件代碼",IF(AND(R313&lt;&gt;"修改",S313&lt;&gt;""),"只有「修改」才需填代碼",""))</f>
        <v/>
      </c>
      <c r="Y313" s="21"/>
      <c r="Z313" s="22"/>
      <c r="AA313" s="23" t="s">
        <v>1132</v>
      </c>
      <c r="AB313" s="13"/>
    </row>
    <row r="314" customFormat="false" ht="15" hidden="false" customHeight="false" outlineLevel="0" collapsed="false">
      <c r="A314" s="16" t="n">
        <v>313</v>
      </c>
      <c r="B314" s="9" t="s">
        <v>65</v>
      </c>
      <c r="C314" s="16"/>
      <c r="D314" s="12"/>
      <c r="E314" s="24" t="s">
        <v>1133</v>
      </c>
      <c r="F314" s="12"/>
      <c r="G314" s="23" t="s">
        <v>120</v>
      </c>
      <c r="H314" s="14" t="n">
        <v>-0.928</v>
      </c>
      <c r="I314" s="15"/>
      <c r="J314" s="12"/>
      <c r="K314" s="9"/>
      <c r="L314" s="16" t="s">
        <v>51</v>
      </c>
      <c r="M314" s="17" t="s">
        <v>52</v>
      </c>
      <c r="N314" s="15" t="s">
        <v>259</v>
      </c>
      <c r="O314" s="16" t="s">
        <v>54</v>
      </c>
      <c r="P314" s="10" t="s">
        <v>1134</v>
      </c>
      <c r="Q314" s="16"/>
      <c r="R314" s="18" t="s">
        <v>52</v>
      </c>
      <c r="S314" s="19" t="s">
        <v>259</v>
      </c>
      <c r="T314" s="12" t="str">
        <f aca="false">IF(R314="維持",J314,IF(R314="排除","無關新聞事件",IFERROR(INDEX(事件規則!$B$2:$B$53,MATCH(S314,事件規則!$A$2:$A$53,0)),"")))</f>
        <v>財報不如預期</v>
      </c>
      <c r="U314" s="20" t="n">
        <f aca="false">IF(R314="維持",K314,IF(R314="排除",0,IFERROR(INDEX(事件規則!$C$2:$C$53,MATCH(S314,事件規則!$A$2:$A$53,0)),"")))</f>
        <v>3</v>
      </c>
      <c r="V314" s="21" t="s">
        <v>1135</v>
      </c>
      <c r="W314" s="22" t="s">
        <v>1136</v>
      </c>
      <c r="X314" s="10" t="str">
        <f aca="false">IF(AND(R314="修改",S314=""),"請選新事件代碼",IF(AND(R314&lt;&gt;"修改",S314&lt;&gt;""),"只有「修改」才需填代碼",""))</f>
        <v/>
      </c>
      <c r="Y314" s="21"/>
      <c r="Z314" s="22"/>
      <c r="AA314" s="23" t="s">
        <v>1137</v>
      </c>
      <c r="AB314" s="13"/>
    </row>
    <row r="315" customFormat="false" ht="29.85" hidden="false" customHeight="false" outlineLevel="0" collapsed="false">
      <c r="A315" s="16" t="n">
        <v>314</v>
      </c>
      <c r="B315" s="9" t="s">
        <v>331</v>
      </c>
      <c r="C315" s="9" t="s">
        <v>132</v>
      </c>
      <c r="D315" s="10" t="s">
        <v>133</v>
      </c>
      <c r="E315" s="24" t="s">
        <v>1138</v>
      </c>
      <c r="F315" s="12"/>
      <c r="G315" s="23" t="s">
        <v>504</v>
      </c>
      <c r="H315" s="14" t="n">
        <v>-0.928</v>
      </c>
      <c r="I315" s="15"/>
      <c r="J315" s="12"/>
      <c r="K315" s="9"/>
      <c r="L315" s="16" t="s">
        <v>51</v>
      </c>
      <c r="M315" s="17" t="s">
        <v>79</v>
      </c>
      <c r="N315" s="15"/>
      <c r="O315" s="16" t="s">
        <v>54</v>
      </c>
      <c r="P315" s="12" t="s">
        <v>890</v>
      </c>
      <c r="Q315" s="16"/>
      <c r="R315" s="18" t="s">
        <v>79</v>
      </c>
      <c r="S315" s="19"/>
      <c r="T315" s="12" t="str">
        <f aca="false">IF(R315="維持",J315,IF(R315="排除","無關新聞事件",IFERROR(INDEX(事件規則!$B$2:$B$53,MATCH(S315,事件規則!$A$2:$A$53,0)),"")))</f>
        <v>無關新聞事件</v>
      </c>
      <c r="U315" s="20" t="n">
        <f aca="false">IF(R315="維持",K315,IF(R315="排除",0,IFERROR(INDEX(事件規則!$C$2:$C$53,MATCH(S315,事件規則!$A$2:$A$53,0)),"")))</f>
        <v>0</v>
      </c>
      <c r="V315" s="21"/>
      <c r="W315" s="22"/>
      <c r="X315" s="10" t="str">
        <f aca="false">IF(AND(R315="修改",S315=""),"請選新事件代碼",IF(AND(R315&lt;&gt;"修改",S315&lt;&gt;""),"只有「修改」才需填代碼",""))</f>
        <v/>
      </c>
      <c r="Y315" s="21"/>
      <c r="Z315" s="22"/>
      <c r="AA315" s="23" t="s">
        <v>1139</v>
      </c>
      <c r="AB315" s="13"/>
    </row>
    <row r="316" customFormat="false" ht="15" hidden="false" customHeight="false" outlineLevel="0" collapsed="false">
      <c r="A316" s="16" t="n">
        <v>315</v>
      </c>
      <c r="B316" s="9" t="s">
        <v>45</v>
      </c>
      <c r="C316" s="9" t="s">
        <v>282</v>
      </c>
      <c r="D316" s="10" t="s">
        <v>283</v>
      </c>
      <c r="E316" s="24" t="s">
        <v>1140</v>
      </c>
      <c r="F316" s="12"/>
      <c r="G316" s="23" t="s">
        <v>224</v>
      </c>
      <c r="H316" s="14" t="n">
        <v>-0.927</v>
      </c>
      <c r="I316" s="15"/>
      <c r="J316" s="12"/>
      <c r="K316" s="9"/>
      <c r="L316" s="16" t="s">
        <v>51</v>
      </c>
      <c r="M316" s="17" t="s">
        <v>52</v>
      </c>
      <c r="N316" s="15" t="s">
        <v>264</v>
      </c>
      <c r="O316" s="16" t="s">
        <v>62</v>
      </c>
      <c r="P316" s="10" t="s">
        <v>1141</v>
      </c>
      <c r="Q316" s="16"/>
      <c r="R316" s="18" t="s">
        <v>52</v>
      </c>
      <c r="S316" s="19" t="s">
        <v>264</v>
      </c>
      <c r="T316" s="12" t="str">
        <f aca="false">IF(R316="維持",J316,IF(R316="排除","無關新聞事件",IFERROR(INDEX(事件規則!$B$2:$B$53,MATCH(S316,事件規則!$A$2:$A$53,0)),"")))</f>
        <v>分析師降評</v>
      </c>
      <c r="U316" s="20" t="n">
        <f aca="false">IF(R316="維持",K316,IF(R316="排除",0,IFERROR(INDEX(事件規則!$C$2:$C$53,MATCH(S316,事件規則!$A$2:$A$53,0)),"")))</f>
        <v>2</v>
      </c>
      <c r="V316" s="21"/>
      <c r="W316" s="22"/>
      <c r="X316" s="10" t="str">
        <f aca="false">IF(AND(R316="修改",S316=""),"請選新事件代碼",IF(AND(R316&lt;&gt;"修改",S316&lt;&gt;""),"只有「修改」才需填代碼",""))</f>
        <v/>
      </c>
      <c r="Y316" s="21"/>
      <c r="Z316" s="22"/>
      <c r="AA316" s="23" t="s">
        <v>1142</v>
      </c>
      <c r="AB316" s="13"/>
    </row>
    <row r="317" customFormat="false" ht="29.85" hidden="false" customHeight="false" outlineLevel="0" collapsed="false">
      <c r="A317" s="16" t="n">
        <v>316</v>
      </c>
      <c r="B317" s="9" t="s">
        <v>45</v>
      </c>
      <c r="C317" s="9" t="s">
        <v>1143</v>
      </c>
      <c r="D317" s="10" t="s">
        <v>1144</v>
      </c>
      <c r="E317" s="24" t="s">
        <v>1145</v>
      </c>
      <c r="F317" s="12"/>
      <c r="G317" s="23" t="s">
        <v>335</v>
      </c>
      <c r="H317" s="14" t="n">
        <v>-0.927</v>
      </c>
      <c r="I317" s="15"/>
      <c r="J317" s="12"/>
      <c r="K317" s="9"/>
      <c r="L317" s="16" t="s">
        <v>51</v>
      </c>
      <c r="M317" s="17" t="s">
        <v>79</v>
      </c>
      <c r="N317" s="15"/>
      <c r="O317" s="16" t="s">
        <v>54</v>
      </c>
      <c r="P317" s="12" t="s">
        <v>890</v>
      </c>
      <c r="Q317" s="16"/>
      <c r="R317" s="18" t="s">
        <v>79</v>
      </c>
      <c r="S317" s="19"/>
      <c r="T317" s="12" t="str">
        <f aca="false">IF(R317="維持",J317,IF(R317="排除","無關新聞事件",IFERROR(INDEX(事件規則!$B$2:$B$53,MATCH(S317,事件規則!$A$2:$A$53,0)),"")))</f>
        <v>無關新聞事件</v>
      </c>
      <c r="U317" s="20" t="n">
        <f aca="false">IF(R317="維持",K317,IF(R317="排除",0,IFERROR(INDEX(事件規則!$C$2:$C$53,MATCH(S317,事件規則!$A$2:$A$53,0)),"")))</f>
        <v>0</v>
      </c>
      <c r="V317" s="21"/>
      <c r="W317" s="22"/>
      <c r="X317" s="10" t="str">
        <f aca="false">IF(AND(R317="修改",S317=""),"請選新事件代碼",IF(AND(R317&lt;&gt;"修改",S317&lt;&gt;""),"只有「修改」才需填代碼",""))</f>
        <v/>
      </c>
      <c r="Y317" s="21"/>
      <c r="Z317" s="22"/>
      <c r="AA317" s="23" t="s">
        <v>1146</v>
      </c>
      <c r="AB317" s="13"/>
    </row>
    <row r="318" customFormat="false" ht="29.85" hidden="false" customHeight="false" outlineLevel="0" collapsed="false">
      <c r="A318" s="16" t="n">
        <v>317</v>
      </c>
      <c r="B318" s="9" t="s">
        <v>65</v>
      </c>
      <c r="C318" s="9" t="s">
        <v>1147</v>
      </c>
      <c r="D318" s="10" t="s">
        <v>1148</v>
      </c>
      <c r="E318" s="24" t="s">
        <v>1149</v>
      </c>
      <c r="F318" s="12"/>
      <c r="G318" s="23" t="s">
        <v>1150</v>
      </c>
      <c r="H318" s="14" t="n">
        <v>-0.927</v>
      </c>
      <c r="I318" s="15"/>
      <c r="J318" s="12"/>
      <c r="K318" s="9"/>
      <c r="L318" s="16" t="s">
        <v>51</v>
      </c>
      <c r="M318" s="17" t="s">
        <v>79</v>
      </c>
      <c r="N318" s="15"/>
      <c r="O318" s="16" t="s">
        <v>54</v>
      </c>
      <c r="P318" s="12" t="s">
        <v>890</v>
      </c>
      <c r="Q318" s="16"/>
      <c r="R318" s="18" t="s">
        <v>79</v>
      </c>
      <c r="S318" s="19"/>
      <c r="T318" s="12" t="str">
        <f aca="false">IF(R318="維持",J318,IF(R318="排除","無關新聞事件",IFERROR(INDEX(事件規則!$B$2:$B$53,MATCH(S318,事件規則!$A$2:$A$53,0)),"")))</f>
        <v>無關新聞事件</v>
      </c>
      <c r="U318" s="20" t="n">
        <f aca="false">IF(R318="維持",K318,IF(R318="排除",0,IFERROR(INDEX(事件規則!$C$2:$C$53,MATCH(S318,事件規則!$A$2:$A$53,0)),"")))</f>
        <v>0</v>
      </c>
      <c r="V318" s="21"/>
      <c r="W318" s="22"/>
      <c r="X318" s="10" t="str">
        <f aca="false">IF(AND(R318="修改",S318=""),"請選新事件代碼",IF(AND(R318&lt;&gt;"修改",S318&lt;&gt;""),"只有「修改」才需填代碼",""))</f>
        <v/>
      </c>
      <c r="Y318" s="21"/>
      <c r="Z318" s="22"/>
      <c r="AA318" s="23" t="s">
        <v>1151</v>
      </c>
      <c r="AB318" s="13"/>
    </row>
    <row r="319" customFormat="false" ht="15" hidden="false" customHeight="false" outlineLevel="0" collapsed="false">
      <c r="A319" s="16" t="n">
        <v>318</v>
      </c>
      <c r="B319" s="9" t="s">
        <v>45</v>
      </c>
      <c r="C319" s="16"/>
      <c r="D319" s="10" t="s">
        <v>47</v>
      </c>
      <c r="E319" s="11" t="s">
        <v>1152</v>
      </c>
      <c r="F319" s="12" t="s">
        <v>1152</v>
      </c>
      <c r="G319" s="23" t="s">
        <v>152</v>
      </c>
      <c r="H319" s="14" t="n">
        <v>-0.927</v>
      </c>
      <c r="I319" s="15"/>
      <c r="J319" s="12"/>
      <c r="K319" s="9"/>
      <c r="L319" s="16" t="s">
        <v>51</v>
      </c>
      <c r="M319" s="17" t="s">
        <v>52</v>
      </c>
      <c r="N319" s="15" t="s">
        <v>53</v>
      </c>
      <c r="O319" s="16" t="s">
        <v>54</v>
      </c>
      <c r="P319" s="10" t="s">
        <v>926</v>
      </c>
      <c r="Q319" s="16"/>
      <c r="R319" s="18" t="s">
        <v>52</v>
      </c>
      <c r="S319" s="19" t="s">
        <v>53</v>
      </c>
      <c r="T319" s="12" t="str">
        <f aca="false">IF(R319="維持",J319,IF(R319="排除","無關新聞事件",IFERROR(INDEX(事件規則!$B$2:$B$53,MATCH(S319,事件規則!$A$2:$A$53,0)),"")))</f>
        <v>股價下跌</v>
      </c>
      <c r="U319" s="20" t="n">
        <f aca="false">IF(R319="維持",K319,IF(R319="排除",0,IFERROR(INDEX(事件規則!$C$2:$C$53,MATCH(S319,事件規則!$A$2:$A$53,0)),"")))</f>
        <v>1</v>
      </c>
      <c r="V319" s="21"/>
      <c r="W319" s="22" t="s">
        <v>46</v>
      </c>
      <c r="X319" s="10" t="str">
        <f aca="false">IF(AND(R319="修改",S319=""),"請選新事件代碼",IF(AND(R319&lt;&gt;"修改",S319&lt;&gt;""),"只有「修改」才需填代碼",""))</f>
        <v/>
      </c>
      <c r="Y319" s="21"/>
      <c r="Z319" s="22"/>
      <c r="AA319" s="23" t="s">
        <v>1153</v>
      </c>
      <c r="AB319" s="13"/>
    </row>
    <row r="320" customFormat="false" ht="23.85" hidden="false" customHeight="false" outlineLevel="0" collapsed="false">
      <c r="A320" s="16" t="n">
        <v>319</v>
      </c>
      <c r="B320" s="9" t="s">
        <v>45</v>
      </c>
      <c r="C320" s="9" t="s">
        <v>179</v>
      </c>
      <c r="D320" s="10" t="s">
        <v>180</v>
      </c>
      <c r="E320" s="24" t="s">
        <v>1154</v>
      </c>
      <c r="F320" s="12"/>
      <c r="G320" s="23" t="s">
        <v>1155</v>
      </c>
      <c r="H320" s="14" t="n">
        <v>-0.927</v>
      </c>
      <c r="I320" s="15"/>
      <c r="J320" s="12"/>
      <c r="K320" s="9"/>
      <c r="L320" s="16" t="s">
        <v>51</v>
      </c>
      <c r="M320" s="17" t="s">
        <v>52</v>
      </c>
      <c r="N320" s="15" t="s">
        <v>61</v>
      </c>
      <c r="O320" s="16" t="s">
        <v>62</v>
      </c>
      <c r="P320" s="10" t="s">
        <v>1156</v>
      </c>
      <c r="Q320" s="16"/>
      <c r="R320" s="18" t="s">
        <v>52</v>
      </c>
      <c r="S320" s="19" t="s">
        <v>61</v>
      </c>
      <c r="T320" s="12" t="str">
        <f aca="false">IF(R320="維持",J320,IF(R320="排除","無關新聞事件",IFERROR(INDEX(事件規則!$B$2:$B$53,MATCH(S320,事件規則!$A$2:$A$53,0)),"")))</f>
        <v>裁員或人力縮減</v>
      </c>
      <c r="U320" s="20" t="n">
        <f aca="false">IF(R320="維持",K320,IF(R320="排除",0,IFERROR(INDEX(事件規則!$C$2:$C$53,MATCH(S320,事件規則!$A$2:$A$53,0)),"")))</f>
        <v>3</v>
      </c>
      <c r="V320" s="21"/>
      <c r="W320" s="22"/>
      <c r="X320" s="10" t="str">
        <f aca="false">IF(AND(R320="修改",S320=""),"請選新事件代碼",IF(AND(R320&lt;&gt;"修改",S320&lt;&gt;""),"只有「修改」才需填代碼",""))</f>
        <v/>
      </c>
      <c r="Y320" s="21"/>
      <c r="Z320" s="22"/>
      <c r="AA320" s="23" t="s">
        <v>1157</v>
      </c>
      <c r="AB320" s="13"/>
    </row>
    <row r="321" customFormat="false" ht="29.85" hidden="false" customHeight="false" outlineLevel="0" collapsed="false">
      <c r="A321" s="16" t="n">
        <v>320</v>
      </c>
      <c r="B321" s="9" t="s">
        <v>65</v>
      </c>
      <c r="C321" s="9" t="s">
        <v>1158</v>
      </c>
      <c r="D321" s="10" t="s">
        <v>1159</v>
      </c>
      <c r="E321" s="24" t="s">
        <v>1160</v>
      </c>
      <c r="F321" s="12"/>
      <c r="G321" s="23" t="s">
        <v>1161</v>
      </c>
      <c r="H321" s="14" t="n">
        <v>-0.927</v>
      </c>
      <c r="I321" s="15"/>
      <c r="J321" s="12"/>
      <c r="K321" s="9"/>
      <c r="L321" s="16" t="s">
        <v>51</v>
      </c>
      <c r="M321" s="17" t="s">
        <v>79</v>
      </c>
      <c r="N321" s="15"/>
      <c r="O321" s="16" t="s">
        <v>54</v>
      </c>
      <c r="P321" s="12" t="s">
        <v>890</v>
      </c>
      <c r="Q321" s="16"/>
      <c r="R321" s="18" t="s">
        <v>79</v>
      </c>
      <c r="S321" s="19"/>
      <c r="T321" s="12" t="str">
        <f aca="false">IF(R321="維持",J321,IF(R321="排除","無關新聞事件",IFERROR(INDEX(事件規則!$B$2:$B$53,MATCH(S321,事件規則!$A$2:$A$53,0)),"")))</f>
        <v>無關新聞事件</v>
      </c>
      <c r="U321" s="20" t="n">
        <f aca="false">IF(R321="維持",K321,IF(R321="排除",0,IFERROR(INDEX(事件規則!$C$2:$C$53,MATCH(S321,事件規則!$A$2:$A$53,0)),"")))</f>
        <v>0</v>
      </c>
      <c r="V321" s="21"/>
      <c r="W321" s="22"/>
      <c r="X321" s="10" t="str">
        <f aca="false">IF(AND(R321="修改",S321=""),"請選新事件代碼",IF(AND(R321&lt;&gt;"修改",S321&lt;&gt;""),"只有「修改」才需填代碼",""))</f>
        <v/>
      </c>
      <c r="Y321" s="21"/>
      <c r="Z321" s="22"/>
      <c r="AA321" s="23" t="s">
        <v>1162</v>
      </c>
      <c r="AB321" s="13"/>
    </row>
    <row r="322" customFormat="false" ht="15" hidden="false" customHeight="false" outlineLevel="0" collapsed="false">
      <c r="A322" s="16" t="n">
        <v>321</v>
      </c>
      <c r="B322" s="9" t="s">
        <v>45</v>
      </c>
      <c r="C322" s="16"/>
      <c r="D322" s="10" t="s">
        <v>150</v>
      </c>
      <c r="E322" s="11" t="s">
        <v>1152</v>
      </c>
      <c r="F322" s="12" t="s">
        <v>1152</v>
      </c>
      <c r="G322" s="23" t="s">
        <v>152</v>
      </c>
      <c r="H322" s="14" t="n">
        <v>-0.927</v>
      </c>
      <c r="I322" s="15"/>
      <c r="J322" s="12"/>
      <c r="K322" s="9"/>
      <c r="L322" s="16" t="s">
        <v>51</v>
      </c>
      <c r="M322" s="17" t="s">
        <v>52</v>
      </c>
      <c r="N322" s="15" t="s">
        <v>53</v>
      </c>
      <c r="O322" s="16" t="s">
        <v>54</v>
      </c>
      <c r="P322" s="10" t="s">
        <v>926</v>
      </c>
      <c r="Q322" s="16"/>
      <c r="R322" s="18" t="s">
        <v>52</v>
      </c>
      <c r="S322" s="19" t="s">
        <v>53</v>
      </c>
      <c r="T322" s="12" t="str">
        <f aca="false">IF(R322="維持",J322,IF(R322="排除","無關新聞事件",IFERROR(INDEX(事件規則!$B$2:$B$53,MATCH(S322,事件規則!$A$2:$A$53,0)),"")))</f>
        <v>股價下跌</v>
      </c>
      <c r="U322" s="20" t="n">
        <f aca="false">IF(R322="維持",K322,IF(R322="排除",0,IFERROR(INDEX(事件規則!$C$2:$C$53,MATCH(S322,事件規則!$A$2:$A$53,0)),"")))</f>
        <v>1</v>
      </c>
      <c r="V322" s="21"/>
      <c r="W322" s="22" t="s">
        <v>149</v>
      </c>
      <c r="X322" s="10" t="str">
        <f aca="false">IF(AND(R322="修改",S322=""),"請選新事件代碼",IF(AND(R322&lt;&gt;"修改",S322&lt;&gt;""),"只有「修改」才需填代碼",""))</f>
        <v/>
      </c>
      <c r="Y322" s="21"/>
      <c r="Z322" s="22"/>
      <c r="AA322" s="23" t="s">
        <v>1163</v>
      </c>
      <c r="AB322" s="13"/>
    </row>
    <row r="323" customFormat="false" ht="29.85" hidden="false" customHeight="false" outlineLevel="0" collapsed="false">
      <c r="A323" s="16" t="n">
        <v>322</v>
      </c>
      <c r="B323" s="9" t="s">
        <v>65</v>
      </c>
      <c r="C323" s="9" t="s">
        <v>776</v>
      </c>
      <c r="D323" s="10" t="s">
        <v>777</v>
      </c>
      <c r="E323" s="24" t="s">
        <v>1164</v>
      </c>
      <c r="F323" s="12"/>
      <c r="G323" s="23" t="s">
        <v>999</v>
      </c>
      <c r="H323" s="14" t="n">
        <v>-0.926</v>
      </c>
      <c r="I323" s="15"/>
      <c r="J323" s="12"/>
      <c r="K323" s="9"/>
      <c r="L323" s="16" t="s">
        <v>51</v>
      </c>
      <c r="M323" s="17" t="s">
        <v>79</v>
      </c>
      <c r="N323" s="15"/>
      <c r="O323" s="16" t="s">
        <v>54</v>
      </c>
      <c r="P323" s="12" t="s">
        <v>890</v>
      </c>
      <c r="Q323" s="16"/>
      <c r="R323" s="18" t="s">
        <v>79</v>
      </c>
      <c r="S323" s="19"/>
      <c r="T323" s="12" t="str">
        <f aca="false">IF(R323="維持",J323,IF(R323="排除","無關新聞事件",IFERROR(INDEX(事件規則!$B$2:$B$53,MATCH(S323,事件規則!$A$2:$A$53,0)),"")))</f>
        <v>無關新聞事件</v>
      </c>
      <c r="U323" s="20" t="n">
        <f aca="false">IF(R323="維持",K323,IF(R323="排除",0,IFERROR(INDEX(事件規則!$C$2:$C$53,MATCH(S323,事件規則!$A$2:$A$53,0)),"")))</f>
        <v>0</v>
      </c>
      <c r="V323" s="21"/>
      <c r="W323" s="22"/>
      <c r="X323" s="10" t="str">
        <f aca="false">IF(AND(R323="修改",S323=""),"請選新事件代碼",IF(AND(R323&lt;&gt;"修改",S323&lt;&gt;""),"只有「修改」才需填代碼",""))</f>
        <v/>
      </c>
      <c r="Y323" s="21"/>
      <c r="Z323" s="22"/>
      <c r="AA323" s="23" t="s">
        <v>1165</v>
      </c>
      <c r="AB323" s="13"/>
    </row>
    <row r="324" customFormat="false" ht="29.85" hidden="false" customHeight="false" outlineLevel="0" collapsed="false">
      <c r="A324" s="16" t="n">
        <v>323</v>
      </c>
      <c r="B324" s="9" t="s">
        <v>45</v>
      </c>
      <c r="C324" s="9" t="s">
        <v>1166</v>
      </c>
      <c r="D324" s="10" t="s">
        <v>1167</v>
      </c>
      <c r="E324" s="24" t="s">
        <v>1168</v>
      </c>
      <c r="F324" s="12"/>
      <c r="G324" s="23" t="s">
        <v>335</v>
      </c>
      <c r="H324" s="14" t="n">
        <v>-0.926</v>
      </c>
      <c r="I324" s="15"/>
      <c r="J324" s="12"/>
      <c r="K324" s="9"/>
      <c r="L324" s="16" t="s">
        <v>51</v>
      </c>
      <c r="M324" s="17" t="s">
        <v>79</v>
      </c>
      <c r="N324" s="15"/>
      <c r="O324" s="16" t="s">
        <v>54</v>
      </c>
      <c r="P324" s="12" t="s">
        <v>890</v>
      </c>
      <c r="Q324" s="16"/>
      <c r="R324" s="18" t="s">
        <v>79</v>
      </c>
      <c r="S324" s="19"/>
      <c r="T324" s="12" t="str">
        <f aca="false">IF(R324="維持",J324,IF(R324="排除","無關新聞事件",IFERROR(INDEX(事件規則!$B$2:$B$53,MATCH(S324,事件規則!$A$2:$A$53,0)),"")))</f>
        <v>無關新聞事件</v>
      </c>
      <c r="U324" s="20" t="n">
        <f aca="false">IF(R324="維持",K324,IF(R324="排除",0,IFERROR(INDEX(事件規則!$C$2:$C$53,MATCH(S324,事件規則!$A$2:$A$53,0)),"")))</f>
        <v>0</v>
      </c>
      <c r="V324" s="21"/>
      <c r="W324" s="22"/>
      <c r="X324" s="10" t="str">
        <f aca="false">IF(AND(R324="修改",S324=""),"請選新事件代碼",IF(AND(R324&lt;&gt;"修改",S324&lt;&gt;""),"只有「修改」才需填代碼",""))</f>
        <v/>
      </c>
      <c r="Y324" s="21"/>
      <c r="Z324" s="22"/>
      <c r="AA324" s="23" t="s">
        <v>1169</v>
      </c>
      <c r="AB324" s="13"/>
    </row>
    <row r="325" customFormat="false" ht="29.85" hidden="false" customHeight="false" outlineLevel="0" collapsed="false">
      <c r="A325" s="16" t="n">
        <v>324</v>
      </c>
      <c r="B325" s="9" t="s">
        <v>45</v>
      </c>
      <c r="C325" s="9" t="s">
        <v>922</v>
      </c>
      <c r="D325" s="10" t="s">
        <v>923</v>
      </c>
      <c r="E325" s="24" t="s">
        <v>1170</v>
      </c>
      <c r="F325" s="12"/>
      <c r="G325" s="23" t="s">
        <v>120</v>
      </c>
      <c r="H325" s="14" t="n">
        <v>-0.926</v>
      </c>
      <c r="I325" s="15"/>
      <c r="J325" s="12"/>
      <c r="K325" s="9"/>
      <c r="L325" s="16" t="s">
        <v>51</v>
      </c>
      <c r="M325" s="17" t="s">
        <v>79</v>
      </c>
      <c r="N325" s="15"/>
      <c r="O325" s="16" t="s">
        <v>54</v>
      </c>
      <c r="P325" s="12" t="s">
        <v>890</v>
      </c>
      <c r="Q325" s="16"/>
      <c r="R325" s="18" t="s">
        <v>79</v>
      </c>
      <c r="S325" s="19"/>
      <c r="T325" s="12" t="str">
        <f aca="false">IF(R325="維持",J325,IF(R325="排除","無關新聞事件",IFERROR(INDEX(事件規則!$B$2:$B$53,MATCH(S325,事件規則!$A$2:$A$53,0)),"")))</f>
        <v>無關新聞事件</v>
      </c>
      <c r="U325" s="20" t="n">
        <f aca="false">IF(R325="維持",K325,IF(R325="排除",0,IFERROR(INDEX(事件規則!$C$2:$C$53,MATCH(S325,事件規則!$A$2:$A$53,0)),"")))</f>
        <v>0</v>
      </c>
      <c r="V325" s="21"/>
      <c r="W325" s="22"/>
      <c r="X325" s="10" t="str">
        <f aca="false">IF(AND(R325="修改",S325=""),"請選新事件代碼",IF(AND(R325&lt;&gt;"修改",S325&lt;&gt;""),"只有「修改」才需填代碼",""))</f>
        <v/>
      </c>
      <c r="Y325" s="21"/>
      <c r="Z325" s="22"/>
      <c r="AA325" s="23" t="s">
        <v>1171</v>
      </c>
      <c r="AB325" s="13"/>
    </row>
    <row r="326" customFormat="false" ht="23.85" hidden="false" customHeight="false" outlineLevel="0" collapsed="false">
      <c r="A326" s="16" t="n">
        <v>325</v>
      </c>
      <c r="B326" s="9" t="s">
        <v>45</v>
      </c>
      <c r="C326" s="9" t="s">
        <v>57</v>
      </c>
      <c r="D326" s="10" t="s">
        <v>58</v>
      </c>
      <c r="E326" s="24" t="s">
        <v>1172</v>
      </c>
      <c r="F326" s="12"/>
      <c r="G326" s="23" t="s">
        <v>1173</v>
      </c>
      <c r="H326" s="14" t="n">
        <v>-0.926</v>
      </c>
      <c r="I326" s="15"/>
      <c r="J326" s="12"/>
      <c r="K326" s="9"/>
      <c r="L326" s="16" t="s">
        <v>51</v>
      </c>
      <c r="M326" s="17" t="s">
        <v>52</v>
      </c>
      <c r="N326" s="15" t="s">
        <v>61</v>
      </c>
      <c r="O326" s="16" t="s">
        <v>62</v>
      </c>
      <c r="P326" s="12" t="s">
        <v>910</v>
      </c>
      <c r="Q326" s="16"/>
      <c r="R326" s="18" t="s">
        <v>52</v>
      </c>
      <c r="S326" s="19" t="s">
        <v>61</v>
      </c>
      <c r="T326" s="12" t="str">
        <f aca="false">IF(R326="維持",J326,IF(R326="排除","無關新聞事件",IFERROR(INDEX(事件規則!$B$2:$B$53,MATCH(S326,事件規則!$A$2:$A$53,0)),"")))</f>
        <v>裁員或人力縮減</v>
      </c>
      <c r="U326" s="20" t="n">
        <f aca="false">IF(R326="維持",K326,IF(R326="排除",0,IFERROR(INDEX(事件規則!$C$2:$C$53,MATCH(S326,事件規則!$A$2:$A$53,0)),"")))</f>
        <v>3</v>
      </c>
      <c r="V326" s="21"/>
      <c r="W326" s="22"/>
      <c r="X326" s="10" t="str">
        <f aca="false">IF(AND(R326="修改",S326=""),"請選新事件代碼",IF(AND(R326&lt;&gt;"修改",S326&lt;&gt;""),"只有「修改」才需填代碼",""))</f>
        <v/>
      </c>
      <c r="Y326" s="21"/>
      <c r="Z326" s="22"/>
      <c r="AA326" s="23" t="s">
        <v>1174</v>
      </c>
      <c r="AB326" s="13"/>
    </row>
    <row r="327" customFormat="false" ht="29.85" hidden="false" customHeight="false" outlineLevel="0" collapsed="false">
      <c r="A327" s="16" t="n">
        <v>326</v>
      </c>
      <c r="B327" s="9" t="s">
        <v>65</v>
      </c>
      <c r="C327" s="9" t="s">
        <v>534</v>
      </c>
      <c r="D327" s="10" t="s">
        <v>535</v>
      </c>
      <c r="E327" s="24" t="s">
        <v>1175</v>
      </c>
      <c r="F327" s="12"/>
      <c r="G327" s="23" t="s">
        <v>721</v>
      </c>
      <c r="H327" s="14" t="n">
        <v>-0.926</v>
      </c>
      <c r="I327" s="15"/>
      <c r="J327" s="12"/>
      <c r="K327" s="9"/>
      <c r="L327" s="16" t="s">
        <v>51</v>
      </c>
      <c r="M327" s="17" t="s">
        <v>79</v>
      </c>
      <c r="N327" s="15"/>
      <c r="O327" s="16" t="s">
        <v>54</v>
      </c>
      <c r="P327" s="12" t="s">
        <v>890</v>
      </c>
      <c r="Q327" s="16"/>
      <c r="R327" s="18" t="s">
        <v>79</v>
      </c>
      <c r="S327" s="19"/>
      <c r="T327" s="12" t="str">
        <f aca="false">IF(R327="維持",J327,IF(R327="排除","無關新聞事件",IFERROR(INDEX(事件規則!$B$2:$B$53,MATCH(S327,事件規則!$A$2:$A$53,0)),"")))</f>
        <v>無關新聞事件</v>
      </c>
      <c r="U327" s="20" t="n">
        <f aca="false">IF(R327="維持",K327,IF(R327="排除",0,IFERROR(INDEX(事件規則!$C$2:$C$53,MATCH(S327,事件規則!$A$2:$A$53,0)),"")))</f>
        <v>0</v>
      </c>
      <c r="V327" s="21"/>
      <c r="W327" s="22"/>
      <c r="X327" s="10" t="str">
        <f aca="false">IF(AND(R327="修改",S327=""),"請選新事件代碼",IF(AND(R327&lt;&gt;"修改",S327&lt;&gt;""),"只有「修改」才需填代碼",""))</f>
        <v/>
      </c>
      <c r="Y327" s="21"/>
      <c r="Z327" s="22"/>
      <c r="AA327" s="23" t="s">
        <v>1176</v>
      </c>
      <c r="AB327" s="13"/>
    </row>
    <row r="328" customFormat="false" ht="29.85" hidden="false" customHeight="false" outlineLevel="0" collapsed="false">
      <c r="A328" s="16" t="n">
        <v>327</v>
      </c>
      <c r="B328" s="9" t="s">
        <v>331</v>
      </c>
      <c r="C328" s="9" t="s">
        <v>99</v>
      </c>
      <c r="D328" s="10" t="s">
        <v>100</v>
      </c>
      <c r="E328" s="24" t="s">
        <v>1177</v>
      </c>
      <c r="F328" s="12"/>
      <c r="G328" s="23" t="s">
        <v>120</v>
      </c>
      <c r="H328" s="14" t="n">
        <v>-0.925</v>
      </c>
      <c r="I328" s="15"/>
      <c r="J328" s="12"/>
      <c r="K328" s="9"/>
      <c r="L328" s="16" t="s">
        <v>51</v>
      </c>
      <c r="M328" s="17" t="s">
        <v>79</v>
      </c>
      <c r="N328" s="15"/>
      <c r="O328" s="16" t="s">
        <v>54</v>
      </c>
      <c r="P328" s="12" t="s">
        <v>890</v>
      </c>
      <c r="Q328" s="16"/>
      <c r="R328" s="18" t="s">
        <v>79</v>
      </c>
      <c r="S328" s="19"/>
      <c r="T328" s="12" t="str">
        <f aca="false">IF(R328="維持",J328,IF(R328="排除","無關新聞事件",IFERROR(INDEX(事件規則!$B$2:$B$53,MATCH(S328,事件規則!$A$2:$A$53,0)),"")))</f>
        <v>無關新聞事件</v>
      </c>
      <c r="U328" s="20" t="n">
        <f aca="false">IF(R328="維持",K328,IF(R328="排除",0,IFERROR(INDEX(事件規則!$C$2:$C$53,MATCH(S328,事件規則!$A$2:$A$53,0)),"")))</f>
        <v>0</v>
      </c>
      <c r="V328" s="21"/>
      <c r="W328" s="22"/>
      <c r="X328" s="10" t="str">
        <f aca="false">IF(AND(R328="修改",S328=""),"請選新事件代碼",IF(AND(R328&lt;&gt;"修改",S328&lt;&gt;""),"只有「修改」才需填代碼",""))</f>
        <v/>
      </c>
      <c r="Y328" s="21"/>
      <c r="Z328" s="22"/>
      <c r="AA328" s="23" t="s">
        <v>1178</v>
      </c>
      <c r="AB328" s="13"/>
    </row>
    <row r="329" customFormat="false" ht="29.85" hidden="false" customHeight="false" outlineLevel="0" collapsed="false">
      <c r="A329" s="16" t="n">
        <v>328</v>
      </c>
      <c r="B329" s="9" t="s">
        <v>45</v>
      </c>
      <c r="C329" s="9" t="s">
        <v>156</v>
      </c>
      <c r="D329" s="10" t="s">
        <v>157</v>
      </c>
      <c r="E329" s="24" t="s">
        <v>1179</v>
      </c>
      <c r="F329" s="12"/>
      <c r="G329" s="23" t="s">
        <v>1180</v>
      </c>
      <c r="H329" s="14" t="n">
        <v>-0.925</v>
      </c>
      <c r="I329" s="15"/>
      <c r="J329" s="12"/>
      <c r="K329" s="9"/>
      <c r="L329" s="16" t="s">
        <v>51</v>
      </c>
      <c r="M329" s="17" t="s">
        <v>79</v>
      </c>
      <c r="N329" s="15"/>
      <c r="O329" s="16" t="s">
        <v>54</v>
      </c>
      <c r="P329" s="12" t="s">
        <v>890</v>
      </c>
      <c r="Q329" s="16"/>
      <c r="R329" s="18" t="s">
        <v>79</v>
      </c>
      <c r="S329" s="19"/>
      <c r="T329" s="12" t="str">
        <f aca="false">IF(R329="維持",J329,IF(R329="排除","無關新聞事件",IFERROR(INDEX(事件規則!$B$2:$B$53,MATCH(S329,事件規則!$A$2:$A$53,0)),"")))</f>
        <v>無關新聞事件</v>
      </c>
      <c r="U329" s="20" t="n">
        <f aca="false">IF(R329="維持",K329,IF(R329="排除",0,IFERROR(INDEX(事件規則!$C$2:$C$53,MATCH(S329,事件規則!$A$2:$A$53,0)),"")))</f>
        <v>0</v>
      </c>
      <c r="V329" s="21"/>
      <c r="W329" s="22"/>
      <c r="X329" s="10" t="str">
        <f aca="false">IF(AND(R329="修改",S329=""),"請選新事件代碼",IF(AND(R329&lt;&gt;"修改",S329&lt;&gt;""),"只有「修改」才需填代碼",""))</f>
        <v/>
      </c>
      <c r="Y329" s="21"/>
      <c r="Z329" s="22"/>
      <c r="AA329" s="23" t="s">
        <v>1181</v>
      </c>
      <c r="AB329" s="13"/>
    </row>
    <row r="330" customFormat="false" ht="29.85" hidden="false" customHeight="false" outlineLevel="0" collapsed="false">
      <c r="A330" s="16" t="n">
        <v>329</v>
      </c>
      <c r="B330" s="9" t="s">
        <v>65</v>
      </c>
      <c r="C330" s="9" t="s">
        <v>569</v>
      </c>
      <c r="D330" s="10" t="s">
        <v>570</v>
      </c>
      <c r="E330" s="24" t="s">
        <v>1182</v>
      </c>
      <c r="F330" s="12"/>
      <c r="G330" s="23" t="s">
        <v>1183</v>
      </c>
      <c r="H330" s="14" t="n">
        <v>-0.925</v>
      </c>
      <c r="I330" s="15"/>
      <c r="J330" s="12"/>
      <c r="K330" s="9"/>
      <c r="L330" s="16" t="s">
        <v>51</v>
      </c>
      <c r="M330" s="17" t="s">
        <v>79</v>
      </c>
      <c r="N330" s="15"/>
      <c r="O330" s="16" t="s">
        <v>54</v>
      </c>
      <c r="P330" s="12" t="s">
        <v>890</v>
      </c>
      <c r="Q330" s="16"/>
      <c r="R330" s="18" t="s">
        <v>79</v>
      </c>
      <c r="S330" s="19"/>
      <c r="T330" s="12" t="str">
        <f aca="false">IF(R330="維持",J330,IF(R330="排除","無關新聞事件",IFERROR(INDEX(事件規則!$B$2:$B$53,MATCH(S330,事件規則!$A$2:$A$53,0)),"")))</f>
        <v>無關新聞事件</v>
      </c>
      <c r="U330" s="20" t="n">
        <f aca="false">IF(R330="維持",K330,IF(R330="排除",0,IFERROR(INDEX(事件規則!$C$2:$C$53,MATCH(S330,事件規則!$A$2:$A$53,0)),"")))</f>
        <v>0</v>
      </c>
      <c r="V330" s="21"/>
      <c r="W330" s="22"/>
      <c r="X330" s="10" t="str">
        <f aca="false">IF(AND(R330="修改",S330=""),"請選新事件代碼",IF(AND(R330&lt;&gt;"修改",S330&lt;&gt;""),"只有「修改」才需填代碼",""))</f>
        <v/>
      </c>
      <c r="Y330" s="21"/>
      <c r="Z330" s="22"/>
      <c r="AA330" s="23" t="s">
        <v>1184</v>
      </c>
      <c r="AB330" s="13"/>
    </row>
    <row r="331" customFormat="false" ht="29.85" hidden="false" customHeight="false" outlineLevel="0" collapsed="false">
      <c r="A331" s="16" t="n">
        <v>330</v>
      </c>
      <c r="B331" s="9" t="s">
        <v>65</v>
      </c>
      <c r="C331" s="9" t="s">
        <v>156</v>
      </c>
      <c r="D331" s="10" t="s">
        <v>157</v>
      </c>
      <c r="E331" s="24" t="s">
        <v>1185</v>
      </c>
      <c r="F331" s="12"/>
      <c r="G331" s="23" t="s">
        <v>199</v>
      </c>
      <c r="H331" s="14" t="n">
        <v>-0.925</v>
      </c>
      <c r="I331" s="15"/>
      <c r="J331" s="12"/>
      <c r="K331" s="9"/>
      <c r="L331" s="16" t="s">
        <v>51</v>
      </c>
      <c r="M331" s="17" t="s">
        <v>79</v>
      </c>
      <c r="N331" s="15"/>
      <c r="O331" s="16" t="s">
        <v>54</v>
      </c>
      <c r="P331" s="12" t="s">
        <v>890</v>
      </c>
      <c r="Q331" s="16"/>
      <c r="R331" s="18" t="s">
        <v>79</v>
      </c>
      <c r="S331" s="19"/>
      <c r="T331" s="12" t="str">
        <f aca="false">IF(R331="維持",J331,IF(R331="排除","無關新聞事件",IFERROR(INDEX(事件規則!$B$2:$B$53,MATCH(S331,事件規則!$A$2:$A$53,0)),"")))</f>
        <v>無關新聞事件</v>
      </c>
      <c r="U331" s="20" t="n">
        <f aca="false">IF(R331="維持",K331,IF(R331="排除",0,IFERROR(INDEX(事件規則!$C$2:$C$53,MATCH(S331,事件規則!$A$2:$A$53,0)),"")))</f>
        <v>0</v>
      </c>
      <c r="V331" s="21"/>
      <c r="W331" s="22"/>
      <c r="X331" s="10" t="str">
        <f aca="false">IF(AND(R331="修改",S331=""),"請選新事件代碼",IF(AND(R331&lt;&gt;"修改",S331&lt;&gt;""),"只有「修改」才需填代碼",""))</f>
        <v/>
      </c>
      <c r="Y331" s="21"/>
      <c r="Z331" s="22"/>
      <c r="AA331" s="23" t="s">
        <v>1186</v>
      </c>
      <c r="AB331" s="13"/>
    </row>
    <row r="332" customFormat="false" ht="29.85" hidden="false" customHeight="false" outlineLevel="0" collapsed="false">
      <c r="A332" s="16" t="n">
        <v>331</v>
      </c>
      <c r="B332" s="9" t="s">
        <v>45</v>
      </c>
      <c r="C332" s="9" t="s">
        <v>732</v>
      </c>
      <c r="D332" s="10" t="s">
        <v>732</v>
      </c>
      <c r="E332" s="24" t="s">
        <v>1187</v>
      </c>
      <c r="F332" s="12"/>
      <c r="G332" s="23" t="s">
        <v>1188</v>
      </c>
      <c r="H332" s="14" t="n">
        <v>-0.924</v>
      </c>
      <c r="I332" s="15"/>
      <c r="J332" s="12"/>
      <c r="K332" s="9"/>
      <c r="L332" s="16" t="s">
        <v>51</v>
      </c>
      <c r="M332" s="17" t="s">
        <v>79</v>
      </c>
      <c r="N332" s="15"/>
      <c r="O332" s="16" t="s">
        <v>54</v>
      </c>
      <c r="P332" s="12" t="s">
        <v>890</v>
      </c>
      <c r="Q332" s="16"/>
      <c r="R332" s="18" t="s">
        <v>79</v>
      </c>
      <c r="S332" s="19"/>
      <c r="T332" s="12" t="str">
        <f aca="false">IF(R332="維持",J332,IF(R332="排除","無關新聞事件",IFERROR(INDEX(事件規則!$B$2:$B$53,MATCH(S332,事件規則!$A$2:$A$53,0)),"")))</f>
        <v>無關新聞事件</v>
      </c>
      <c r="U332" s="20" t="n">
        <f aca="false">IF(R332="維持",K332,IF(R332="排除",0,IFERROR(INDEX(事件規則!$C$2:$C$53,MATCH(S332,事件規則!$A$2:$A$53,0)),"")))</f>
        <v>0</v>
      </c>
      <c r="V332" s="21"/>
      <c r="W332" s="22"/>
      <c r="X332" s="10" t="str">
        <f aca="false">IF(AND(R332="修改",S332=""),"請選新事件代碼",IF(AND(R332&lt;&gt;"修改",S332&lt;&gt;""),"只有「修改」才需填代碼",""))</f>
        <v/>
      </c>
      <c r="Y332" s="21"/>
      <c r="Z332" s="22"/>
      <c r="AA332" s="23" t="s">
        <v>1189</v>
      </c>
      <c r="AB332" s="13"/>
    </row>
    <row r="333" customFormat="false" ht="29.85" hidden="false" customHeight="false" outlineLevel="0" collapsed="false">
      <c r="A333" s="16" t="n">
        <v>332</v>
      </c>
      <c r="B333" s="9" t="s">
        <v>65</v>
      </c>
      <c r="C333" s="9" t="s">
        <v>1190</v>
      </c>
      <c r="D333" s="10" t="s">
        <v>1191</v>
      </c>
      <c r="E333" s="24" t="s">
        <v>1192</v>
      </c>
      <c r="F333" s="12"/>
      <c r="G333" s="23" t="s">
        <v>224</v>
      </c>
      <c r="H333" s="14" t="n">
        <v>-0.924</v>
      </c>
      <c r="I333" s="15"/>
      <c r="J333" s="12"/>
      <c r="K333" s="9"/>
      <c r="L333" s="16" t="s">
        <v>51</v>
      </c>
      <c r="M333" s="17" t="s">
        <v>79</v>
      </c>
      <c r="N333" s="15"/>
      <c r="O333" s="16" t="s">
        <v>54</v>
      </c>
      <c r="P333" s="12" t="s">
        <v>890</v>
      </c>
      <c r="Q333" s="16"/>
      <c r="R333" s="18" t="s">
        <v>79</v>
      </c>
      <c r="S333" s="19"/>
      <c r="T333" s="12" t="str">
        <f aca="false">IF(R333="維持",J333,IF(R333="排除","無關新聞事件",IFERROR(INDEX(事件規則!$B$2:$B$53,MATCH(S333,事件規則!$A$2:$A$53,0)),"")))</f>
        <v>無關新聞事件</v>
      </c>
      <c r="U333" s="20" t="n">
        <f aca="false">IF(R333="維持",K333,IF(R333="排除",0,IFERROR(INDEX(事件規則!$C$2:$C$53,MATCH(S333,事件規則!$A$2:$A$53,0)),"")))</f>
        <v>0</v>
      </c>
      <c r="V333" s="21"/>
      <c r="W333" s="22"/>
      <c r="X333" s="10" t="str">
        <f aca="false">IF(AND(R333="修改",S333=""),"請選新事件代碼",IF(AND(R333&lt;&gt;"修改",S333&lt;&gt;""),"只有「修改」才需填代碼",""))</f>
        <v/>
      </c>
      <c r="Y333" s="21"/>
      <c r="Z333" s="22"/>
      <c r="AA333" s="23" t="s">
        <v>1193</v>
      </c>
      <c r="AB333" s="13"/>
    </row>
    <row r="334" customFormat="false" ht="29.85" hidden="false" customHeight="false" outlineLevel="0" collapsed="false">
      <c r="A334" s="16" t="n">
        <v>333</v>
      </c>
      <c r="B334" s="9" t="s">
        <v>45</v>
      </c>
      <c r="C334" s="9" t="s">
        <v>156</v>
      </c>
      <c r="D334" s="10" t="s">
        <v>157</v>
      </c>
      <c r="E334" s="24" t="s">
        <v>1187</v>
      </c>
      <c r="F334" s="12"/>
      <c r="G334" s="23" t="s">
        <v>1188</v>
      </c>
      <c r="H334" s="14" t="n">
        <v>-0.924</v>
      </c>
      <c r="I334" s="15"/>
      <c r="J334" s="12"/>
      <c r="K334" s="9"/>
      <c r="L334" s="16" t="s">
        <v>51</v>
      </c>
      <c r="M334" s="17" t="s">
        <v>79</v>
      </c>
      <c r="N334" s="15"/>
      <c r="O334" s="16" t="s">
        <v>54</v>
      </c>
      <c r="P334" s="12" t="s">
        <v>890</v>
      </c>
      <c r="Q334" s="16"/>
      <c r="R334" s="18" t="s">
        <v>79</v>
      </c>
      <c r="S334" s="19"/>
      <c r="T334" s="12" t="str">
        <f aca="false">IF(R334="維持",J334,IF(R334="排除","無關新聞事件",IFERROR(INDEX(事件規則!$B$2:$B$53,MATCH(S334,事件規則!$A$2:$A$53,0)),"")))</f>
        <v>無關新聞事件</v>
      </c>
      <c r="U334" s="20" t="n">
        <f aca="false">IF(R334="維持",K334,IF(R334="排除",0,IFERROR(INDEX(事件規則!$C$2:$C$53,MATCH(S334,事件規則!$A$2:$A$53,0)),"")))</f>
        <v>0</v>
      </c>
      <c r="V334" s="21"/>
      <c r="W334" s="22"/>
      <c r="X334" s="10" t="str">
        <f aca="false">IF(AND(R334="修改",S334=""),"請選新事件代碼",IF(AND(R334&lt;&gt;"修改",S334&lt;&gt;""),"只有「修改」才需填代碼",""))</f>
        <v/>
      </c>
      <c r="Y334" s="21"/>
      <c r="Z334" s="22"/>
      <c r="AA334" s="23" t="s">
        <v>1194</v>
      </c>
      <c r="AB334" s="13"/>
    </row>
    <row r="335" customFormat="false" ht="15" hidden="false" customHeight="false" outlineLevel="0" collapsed="false">
      <c r="A335" s="16" t="n">
        <v>334</v>
      </c>
      <c r="B335" s="9" t="s">
        <v>331</v>
      </c>
      <c r="C335" s="9" t="s">
        <v>389</v>
      </c>
      <c r="D335" s="10" t="s">
        <v>390</v>
      </c>
      <c r="E335" s="24" t="s">
        <v>1195</v>
      </c>
      <c r="F335" s="12"/>
      <c r="G335" s="23" t="s">
        <v>626</v>
      </c>
      <c r="H335" s="14" t="n">
        <v>-0.923</v>
      </c>
      <c r="I335" s="15"/>
      <c r="J335" s="12"/>
      <c r="K335" s="9"/>
      <c r="L335" s="16" t="s">
        <v>51</v>
      </c>
      <c r="M335" s="17" t="s">
        <v>52</v>
      </c>
      <c r="N335" s="15" t="s">
        <v>259</v>
      </c>
      <c r="O335" s="16" t="s">
        <v>54</v>
      </c>
      <c r="P335" s="10" t="s">
        <v>1057</v>
      </c>
      <c r="Q335" s="16"/>
      <c r="R335" s="18" t="s">
        <v>52</v>
      </c>
      <c r="S335" s="19" t="s">
        <v>259</v>
      </c>
      <c r="T335" s="12" t="str">
        <f aca="false">IF(R335="維持",J335,IF(R335="排除","無關新聞事件",IFERROR(INDEX(事件規則!$B$2:$B$53,MATCH(S335,事件規則!$A$2:$A$53,0)),"")))</f>
        <v>財報不如預期</v>
      </c>
      <c r="U335" s="20" t="n">
        <f aca="false">IF(R335="維持",K335,IF(R335="排除",0,IFERROR(INDEX(事件規則!$C$2:$C$53,MATCH(S335,事件規則!$A$2:$A$53,0)),"")))</f>
        <v>3</v>
      </c>
      <c r="V335" s="21"/>
      <c r="W335" s="22"/>
      <c r="X335" s="10" t="str">
        <f aca="false">IF(AND(R335="修改",S335=""),"請選新事件代碼",IF(AND(R335&lt;&gt;"修改",S335&lt;&gt;""),"只有「修改」才需填代碼",""))</f>
        <v/>
      </c>
      <c r="Y335" s="21"/>
      <c r="Z335" s="22"/>
      <c r="AA335" s="23" t="s">
        <v>1196</v>
      </c>
      <c r="AB335" s="13"/>
    </row>
    <row r="336" customFormat="false" ht="29.85" hidden="false" customHeight="false" outlineLevel="0" collapsed="false">
      <c r="A336" s="16" t="n">
        <v>335</v>
      </c>
      <c r="B336" s="9" t="s">
        <v>65</v>
      </c>
      <c r="C336" s="9" t="s">
        <v>1197</v>
      </c>
      <c r="D336" s="10" t="s">
        <v>1198</v>
      </c>
      <c r="E336" s="24" t="s">
        <v>1199</v>
      </c>
      <c r="F336" s="12"/>
      <c r="G336" s="23" t="s">
        <v>999</v>
      </c>
      <c r="H336" s="14" t="n">
        <v>-0.923</v>
      </c>
      <c r="I336" s="15"/>
      <c r="J336" s="12"/>
      <c r="K336" s="9"/>
      <c r="L336" s="16" t="s">
        <v>51</v>
      </c>
      <c r="M336" s="17" t="s">
        <v>79</v>
      </c>
      <c r="N336" s="15"/>
      <c r="O336" s="16" t="s">
        <v>54</v>
      </c>
      <c r="P336" s="12" t="s">
        <v>890</v>
      </c>
      <c r="Q336" s="16"/>
      <c r="R336" s="18" t="s">
        <v>79</v>
      </c>
      <c r="S336" s="19"/>
      <c r="T336" s="12" t="str">
        <f aca="false">IF(R336="維持",J336,IF(R336="排除","無關新聞事件",IFERROR(INDEX(事件規則!$B$2:$B$53,MATCH(S336,事件規則!$A$2:$A$53,0)),"")))</f>
        <v>無關新聞事件</v>
      </c>
      <c r="U336" s="20" t="n">
        <f aca="false">IF(R336="維持",K336,IF(R336="排除",0,IFERROR(INDEX(事件規則!$C$2:$C$53,MATCH(S336,事件規則!$A$2:$A$53,0)),"")))</f>
        <v>0</v>
      </c>
      <c r="V336" s="21"/>
      <c r="W336" s="22"/>
      <c r="X336" s="10" t="str">
        <f aca="false">IF(AND(R336="修改",S336=""),"請選新事件代碼",IF(AND(R336&lt;&gt;"修改",S336&lt;&gt;""),"只有「修改」才需填代碼",""))</f>
        <v/>
      </c>
      <c r="Y336" s="21"/>
      <c r="Z336" s="22"/>
      <c r="AA336" s="23" t="s">
        <v>1200</v>
      </c>
      <c r="AB336" s="13"/>
    </row>
    <row r="337" customFormat="false" ht="29.85" hidden="false" customHeight="false" outlineLevel="0" collapsed="false">
      <c r="A337" s="16" t="n">
        <v>336</v>
      </c>
      <c r="B337" s="9" t="s">
        <v>65</v>
      </c>
      <c r="C337" s="16"/>
      <c r="D337" s="10" t="s">
        <v>1201</v>
      </c>
      <c r="E337" s="24" t="s">
        <v>1202</v>
      </c>
      <c r="F337" s="12"/>
      <c r="G337" s="23" t="s">
        <v>899</v>
      </c>
      <c r="H337" s="14" t="n">
        <v>-0.923</v>
      </c>
      <c r="I337" s="15"/>
      <c r="J337" s="12"/>
      <c r="K337" s="9"/>
      <c r="L337" s="16" t="s">
        <v>51</v>
      </c>
      <c r="M337" s="17" t="s">
        <v>79</v>
      </c>
      <c r="N337" s="15"/>
      <c r="O337" s="16" t="s">
        <v>54</v>
      </c>
      <c r="P337" s="12" t="s">
        <v>890</v>
      </c>
      <c r="Q337" s="16"/>
      <c r="R337" s="18" t="s">
        <v>79</v>
      </c>
      <c r="S337" s="19"/>
      <c r="T337" s="12" t="str">
        <f aca="false">IF(R337="維持",J337,IF(R337="排除","無關新聞事件",IFERROR(INDEX(事件規則!$B$2:$B$53,MATCH(S337,事件規則!$A$2:$A$53,0)),"")))</f>
        <v>無關新聞事件</v>
      </c>
      <c r="U337" s="20" t="n">
        <f aca="false">IF(R337="維持",K337,IF(R337="排除",0,IFERROR(INDEX(事件規則!$C$2:$C$53,MATCH(S337,事件規則!$A$2:$A$53,0)),"")))</f>
        <v>0</v>
      </c>
      <c r="V337" s="21"/>
      <c r="W337" s="22"/>
      <c r="X337" s="10" t="str">
        <f aca="false">IF(AND(R337="修改",S337=""),"請選新事件代碼",IF(AND(R337&lt;&gt;"修改",S337&lt;&gt;""),"只有「修改」才需填代碼",""))</f>
        <v/>
      </c>
      <c r="Y337" s="21"/>
      <c r="Z337" s="22"/>
      <c r="AA337" s="23" t="s">
        <v>1203</v>
      </c>
      <c r="AB337" s="13"/>
    </row>
    <row r="338" customFormat="false" ht="29.85" hidden="false" customHeight="false" outlineLevel="0" collapsed="false">
      <c r="A338" s="16" t="n">
        <v>337</v>
      </c>
      <c r="B338" s="9" t="s">
        <v>45</v>
      </c>
      <c r="C338" s="9" t="s">
        <v>108</v>
      </c>
      <c r="D338" s="10" t="s">
        <v>109</v>
      </c>
      <c r="E338" s="24" t="s">
        <v>1204</v>
      </c>
      <c r="F338" s="12"/>
      <c r="G338" s="23" t="s">
        <v>1205</v>
      </c>
      <c r="H338" s="14" t="n">
        <v>-0.923</v>
      </c>
      <c r="I338" s="15"/>
      <c r="J338" s="12"/>
      <c r="K338" s="9"/>
      <c r="L338" s="16" t="s">
        <v>51</v>
      </c>
      <c r="M338" s="17" t="s">
        <v>79</v>
      </c>
      <c r="N338" s="15"/>
      <c r="O338" s="16" t="s">
        <v>54</v>
      </c>
      <c r="P338" s="12" t="s">
        <v>890</v>
      </c>
      <c r="Q338" s="16"/>
      <c r="R338" s="18" t="s">
        <v>79</v>
      </c>
      <c r="S338" s="19"/>
      <c r="T338" s="12" t="str">
        <f aca="false">IF(R338="維持",J338,IF(R338="排除","無關新聞事件",IFERROR(INDEX(事件規則!$B$2:$B$53,MATCH(S338,事件規則!$A$2:$A$53,0)),"")))</f>
        <v>無關新聞事件</v>
      </c>
      <c r="U338" s="20" t="n">
        <f aca="false">IF(R338="維持",K338,IF(R338="排除",0,IFERROR(INDEX(事件規則!$C$2:$C$53,MATCH(S338,事件規則!$A$2:$A$53,0)),"")))</f>
        <v>0</v>
      </c>
      <c r="V338" s="21"/>
      <c r="W338" s="22"/>
      <c r="X338" s="10" t="str">
        <f aca="false">IF(AND(R338="修改",S338=""),"請選新事件代碼",IF(AND(R338&lt;&gt;"修改",S338&lt;&gt;""),"只有「修改」才需填代碼",""))</f>
        <v/>
      </c>
      <c r="Y338" s="21"/>
      <c r="Z338" s="22"/>
      <c r="AA338" s="23" t="s">
        <v>1206</v>
      </c>
      <c r="AB338" s="13"/>
    </row>
    <row r="339" customFormat="false" ht="29.85" hidden="false" customHeight="false" outlineLevel="0" collapsed="false">
      <c r="A339" s="16" t="n">
        <v>338</v>
      </c>
      <c r="B339" s="9" t="s">
        <v>65</v>
      </c>
      <c r="C339" s="9" t="s">
        <v>1207</v>
      </c>
      <c r="D339" s="10" t="s">
        <v>1208</v>
      </c>
      <c r="E339" s="24" t="s">
        <v>1209</v>
      </c>
      <c r="F339" s="12"/>
      <c r="G339" s="23" t="s">
        <v>1210</v>
      </c>
      <c r="H339" s="14" t="n">
        <v>-0.922</v>
      </c>
      <c r="I339" s="15"/>
      <c r="J339" s="12"/>
      <c r="K339" s="9"/>
      <c r="L339" s="16" t="s">
        <v>51</v>
      </c>
      <c r="M339" s="17" t="s">
        <v>79</v>
      </c>
      <c r="N339" s="15"/>
      <c r="O339" s="16" t="s">
        <v>54</v>
      </c>
      <c r="P339" s="12" t="s">
        <v>890</v>
      </c>
      <c r="Q339" s="16"/>
      <c r="R339" s="18" t="s">
        <v>79</v>
      </c>
      <c r="S339" s="19"/>
      <c r="T339" s="12" t="str">
        <f aca="false">IF(R339="維持",J339,IF(R339="排除","無關新聞事件",IFERROR(INDEX(事件規則!$B$2:$B$53,MATCH(S339,事件規則!$A$2:$A$53,0)),"")))</f>
        <v>無關新聞事件</v>
      </c>
      <c r="U339" s="20" t="n">
        <f aca="false">IF(R339="維持",K339,IF(R339="排除",0,IFERROR(INDEX(事件規則!$C$2:$C$53,MATCH(S339,事件規則!$A$2:$A$53,0)),"")))</f>
        <v>0</v>
      </c>
      <c r="V339" s="21"/>
      <c r="W339" s="22"/>
      <c r="X339" s="10" t="str">
        <f aca="false">IF(AND(R339="修改",S339=""),"請選新事件代碼",IF(AND(R339&lt;&gt;"修改",S339&lt;&gt;""),"只有「修改」才需填代碼",""))</f>
        <v/>
      </c>
      <c r="Y339" s="21"/>
      <c r="Z339" s="22"/>
      <c r="AA339" s="23" t="s">
        <v>1211</v>
      </c>
      <c r="AB339" s="13"/>
    </row>
    <row r="340" customFormat="false" ht="29.85" hidden="false" customHeight="false" outlineLevel="0" collapsed="false">
      <c r="A340" s="16" t="n">
        <v>339</v>
      </c>
      <c r="B340" s="9" t="s">
        <v>65</v>
      </c>
      <c r="C340" s="9" t="s">
        <v>434</v>
      </c>
      <c r="D340" s="10" t="s">
        <v>435</v>
      </c>
      <c r="E340" s="24" t="s">
        <v>1212</v>
      </c>
      <c r="F340" s="12"/>
      <c r="G340" s="23" t="s">
        <v>999</v>
      </c>
      <c r="H340" s="14" t="n">
        <v>-0.922</v>
      </c>
      <c r="I340" s="15"/>
      <c r="J340" s="12"/>
      <c r="K340" s="9"/>
      <c r="L340" s="16" t="s">
        <v>51</v>
      </c>
      <c r="M340" s="17" t="s">
        <v>79</v>
      </c>
      <c r="N340" s="15"/>
      <c r="O340" s="16" t="s">
        <v>54</v>
      </c>
      <c r="P340" s="12" t="s">
        <v>890</v>
      </c>
      <c r="Q340" s="16"/>
      <c r="R340" s="18" t="s">
        <v>79</v>
      </c>
      <c r="S340" s="19"/>
      <c r="T340" s="12" t="str">
        <f aca="false">IF(R340="維持",J340,IF(R340="排除","無關新聞事件",IFERROR(INDEX(事件規則!$B$2:$B$53,MATCH(S340,事件規則!$A$2:$A$53,0)),"")))</f>
        <v>無關新聞事件</v>
      </c>
      <c r="U340" s="20" t="n">
        <f aca="false">IF(R340="維持",K340,IF(R340="排除",0,IFERROR(INDEX(事件規則!$C$2:$C$53,MATCH(S340,事件規則!$A$2:$A$53,0)),"")))</f>
        <v>0</v>
      </c>
      <c r="V340" s="21"/>
      <c r="W340" s="22"/>
      <c r="X340" s="10" t="str">
        <f aca="false">IF(AND(R340="修改",S340=""),"請選新事件代碼",IF(AND(R340&lt;&gt;"修改",S340&lt;&gt;""),"只有「修改」才需填代碼",""))</f>
        <v/>
      </c>
      <c r="Y340" s="21"/>
      <c r="Z340" s="22"/>
      <c r="AA340" s="23" t="s">
        <v>1213</v>
      </c>
      <c r="AB340" s="13"/>
    </row>
    <row r="341" customFormat="false" ht="29.85" hidden="false" customHeight="false" outlineLevel="0" collapsed="false">
      <c r="A341" s="16" t="n">
        <v>340</v>
      </c>
      <c r="B341" s="9" t="s">
        <v>65</v>
      </c>
      <c r="C341" s="9" t="s">
        <v>108</v>
      </c>
      <c r="D341" s="10" t="s">
        <v>109</v>
      </c>
      <c r="E341" s="24" t="s">
        <v>1214</v>
      </c>
      <c r="F341" s="12"/>
      <c r="G341" s="23" t="s">
        <v>152</v>
      </c>
      <c r="H341" s="14" t="n">
        <v>-0.922</v>
      </c>
      <c r="I341" s="15"/>
      <c r="J341" s="12"/>
      <c r="K341" s="9"/>
      <c r="L341" s="16" t="s">
        <v>51</v>
      </c>
      <c r="M341" s="17" t="s">
        <v>79</v>
      </c>
      <c r="N341" s="15"/>
      <c r="O341" s="16" t="s">
        <v>54</v>
      </c>
      <c r="P341" s="12" t="s">
        <v>890</v>
      </c>
      <c r="Q341" s="16"/>
      <c r="R341" s="18" t="s">
        <v>79</v>
      </c>
      <c r="S341" s="19"/>
      <c r="T341" s="12" t="str">
        <f aca="false">IF(R341="維持",J341,IF(R341="排除","無關新聞事件",IFERROR(INDEX(事件規則!$B$2:$B$53,MATCH(S341,事件規則!$A$2:$A$53,0)),"")))</f>
        <v>無關新聞事件</v>
      </c>
      <c r="U341" s="20" t="n">
        <f aca="false">IF(R341="維持",K341,IF(R341="排除",0,IFERROR(INDEX(事件規則!$C$2:$C$53,MATCH(S341,事件規則!$A$2:$A$53,0)),"")))</f>
        <v>0</v>
      </c>
      <c r="V341" s="21"/>
      <c r="W341" s="22"/>
      <c r="X341" s="10" t="str">
        <f aca="false">IF(AND(R341="修改",S341=""),"請選新事件代碼",IF(AND(R341&lt;&gt;"修改",S341&lt;&gt;""),"只有「修改」才需填代碼",""))</f>
        <v/>
      </c>
      <c r="Y341" s="21"/>
      <c r="Z341" s="22"/>
      <c r="AA341" s="23" t="s">
        <v>1215</v>
      </c>
      <c r="AB341" s="13"/>
    </row>
    <row r="342" customFormat="false" ht="29.85" hidden="false" customHeight="false" outlineLevel="0" collapsed="false">
      <c r="A342" s="16" t="n">
        <v>341</v>
      </c>
      <c r="B342" s="9" t="s">
        <v>45</v>
      </c>
      <c r="C342" s="9" t="s">
        <v>922</v>
      </c>
      <c r="D342" s="10" t="s">
        <v>923</v>
      </c>
      <c r="E342" s="24" t="s">
        <v>1216</v>
      </c>
      <c r="F342" s="12"/>
      <c r="G342" s="23" t="s">
        <v>219</v>
      </c>
      <c r="H342" s="14" t="n">
        <v>-0.922</v>
      </c>
      <c r="I342" s="15"/>
      <c r="J342" s="12"/>
      <c r="K342" s="9"/>
      <c r="L342" s="16" t="s">
        <v>51</v>
      </c>
      <c r="M342" s="17" t="s">
        <v>79</v>
      </c>
      <c r="N342" s="15"/>
      <c r="O342" s="16" t="s">
        <v>54</v>
      </c>
      <c r="P342" s="12" t="s">
        <v>890</v>
      </c>
      <c r="Q342" s="16"/>
      <c r="R342" s="18" t="s">
        <v>79</v>
      </c>
      <c r="S342" s="19"/>
      <c r="T342" s="12" t="str">
        <f aca="false">IF(R342="維持",J342,IF(R342="排除","無關新聞事件",IFERROR(INDEX(事件規則!$B$2:$B$53,MATCH(S342,事件規則!$A$2:$A$53,0)),"")))</f>
        <v>無關新聞事件</v>
      </c>
      <c r="U342" s="20" t="n">
        <f aca="false">IF(R342="維持",K342,IF(R342="排除",0,IFERROR(INDEX(事件規則!$C$2:$C$53,MATCH(S342,事件規則!$A$2:$A$53,0)),"")))</f>
        <v>0</v>
      </c>
      <c r="V342" s="21"/>
      <c r="W342" s="22"/>
      <c r="X342" s="10" t="str">
        <f aca="false">IF(AND(R342="修改",S342=""),"請選新事件代碼",IF(AND(R342&lt;&gt;"修改",S342&lt;&gt;""),"只有「修改」才需填代碼",""))</f>
        <v/>
      </c>
      <c r="Y342" s="21"/>
      <c r="Z342" s="22"/>
      <c r="AA342" s="23" t="s">
        <v>1217</v>
      </c>
      <c r="AB342" s="13"/>
    </row>
    <row r="343" customFormat="false" ht="29.85" hidden="false" customHeight="false" outlineLevel="0" collapsed="false">
      <c r="A343" s="16" t="n">
        <v>342</v>
      </c>
      <c r="B343" s="9" t="s">
        <v>45</v>
      </c>
      <c r="C343" s="9" t="s">
        <v>1218</v>
      </c>
      <c r="D343" s="10" t="s">
        <v>1219</v>
      </c>
      <c r="E343" s="24" t="s">
        <v>1220</v>
      </c>
      <c r="F343" s="12"/>
      <c r="G343" s="23" t="s">
        <v>335</v>
      </c>
      <c r="H343" s="14" t="n">
        <v>-0.921</v>
      </c>
      <c r="I343" s="15"/>
      <c r="J343" s="12"/>
      <c r="K343" s="9"/>
      <c r="L343" s="16" t="s">
        <v>51</v>
      </c>
      <c r="M343" s="17" t="s">
        <v>79</v>
      </c>
      <c r="N343" s="15"/>
      <c r="O343" s="16" t="s">
        <v>54</v>
      </c>
      <c r="P343" s="12" t="s">
        <v>890</v>
      </c>
      <c r="Q343" s="16"/>
      <c r="R343" s="18" t="s">
        <v>79</v>
      </c>
      <c r="S343" s="19"/>
      <c r="T343" s="12" t="str">
        <f aca="false">IF(R343="維持",J343,IF(R343="排除","無關新聞事件",IFERROR(INDEX(事件規則!$B$2:$B$53,MATCH(S343,事件規則!$A$2:$A$53,0)),"")))</f>
        <v>無關新聞事件</v>
      </c>
      <c r="U343" s="20" t="n">
        <f aca="false">IF(R343="維持",K343,IF(R343="排除",0,IFERROR(INDEX(事件規則!$C$2:$C$53,MATCH(S343,事件規則!$A$2:$A$53,0)),"")))</f>
        <v>0</v>
      </c>
      <c r="V343" s="21"/>
      <c r="W343" s="22"/>
      <c r="X343" s="10" t="str">
        <f aca="false">IF(AND(R343="修改",S343=""),"請選新事件代碼",IF(AND(R343&lt;&gt;"修改",S343&lt;&gt;""),"只有「修改」才需填代碼",""))</f>
        <v/>
      </c>
      <c r="Y343" s="21"/>
      <c r="Z343" s="22"/>
      <c r="AA343" s="23" t="s">
        <v>1221</v>
      </c>
      <c r="AB343" s="13"/>
    </row>
    <row r="344" customFormat="false" ht="29.85" hidden="false" customHeight="false" outlineLevel="0" collapsed="false">
      <c r="A344" s="16" t="n">
        <v>343</v>
      </c>
      <c r="B344" s="9" t="s">
        <v>65</v>
      </c>
      <c r="C344" s="9" t="s">
        <v>569</v>
      </c>
      <c r="D344" s="10" t="s">
        <v>570</v>
      </c>
      <c r="E344" s="24" t="s">
        <v>1222</v>
      </c>
      <c r="F344" s="12"/>
      <c r="G344" s="23" t="s">
        <v>120</v>
      </c>
      <c r="H344" s="14" t="n">
        <v>-0.921</v>
      </c>
      <c r="I344" s="15"/>
      <c r="J344" s="12"/>
      <c r="K344" s="9"/>
      <c r="L344" s="16" t="s">
        <v>51</v>
      </c>
      <c r="M344" s="17" t="s">
        <v>79</v>
      </c>
      <c r="N344" s="15"/>
      <c r="O344" s="16" t="s">
        <v>54</v>
      </c>
      <c r="P344" s="12" t="s">
        <v>890</v>
      </c>
      <c r="Q344" s="16"/>
      <c r="R344" s="18" t="s">
        <v>79</v>
      </c>
      <c r="S344" s="19"/>
      <c r="T344" s="12" t="str">
        <f aca="false">IF(R344="維持",J344,IF(R344="排除","無關新聞事件",IFERROR(INDEX(事件規則!$B$2:$B$53,MATCH(S344,事件規則!$A$2:$A$53,0)),"")))</f>
        <v>無關新聞事件</v>
      </c>
      <c r="U344" s="20" t="n">
        <f aca="false">IF(R344="維持",K344,IF(R344="排除",0,IFERROR(INDEX(事件規則!$C$2:$C$53,MATCH(S344,事件規則!$A$2:$A$53,0)),"")))</f>
        <v>0</v>
      </c>
      <c r="V344" s="21"/>
      <c r="W344" s="22"/>
      <c r="X344" s="10" t="str">
        <f aca="false">IF(AND(R344="修改",S344=""),"請選新事件代碼",IF(AND(R344&lt;&gt;"修改",S344&lt;&gt;""),"只有「修改」才需填代碼",""))</f>
        <v/>
      </c>
      <c r="Y344" s="21"/>
      <c r="Z344" s="22"/>
      <c r="AA344" s="23" t="s">
        <v>1223</v>
      </c>
      <c r="AB344" s="13"/>
    </row>
    <row r="345" customFormat="false" ht="15" hidden="false" customHeight="false" outlineLevel="0" collapsed="false">
      <c r="A345" s="16" t="n">
        <v>344</v>
      </c>
      <c r="B345" s="9" t="s">
        <v>45</v>
      </c>
      <c r="C345" s="9" t="s">
        <v>149</v>
      </c>
      <c r="D345" s="10" t="s">
        <v>150</v>
      </c>
      <c r="E345" s="24" t="s">
        <v>1224</v>
      </c>
      <c r="F345" s="12"/>
      <c r="G345" s="23" t="s">
        <v>301</v>
      </c>
      <c r="H345" s="14" t="n">
        <v>-0.921</v>
      </c>
      <c r="I345" s="15"/>
      <c r="J345" s="12"/>
      <c r="K345" s="9"/>
      <c r="L345" s="16" t="s">
        <v>51</v>
      </c>
      <c r="M345" s="17" t="s">
        <v>52</v>
      </c>
      <c r="N345" s="15" t="s">
        <v>53</v>
      </c>
      <c r="O345" s="16" t="s">
        <v>54</v>
      </c>
      <c r="P345" s="10" t="s">
        <v>926</v>
      </c>
      <c r="Q345" s="16"/>
      <c r="R345" s="18" t="s">
        <v>52</v>
      </c>
      <c r="S345" s="19" t="s">
        <v>53</v>
      </c>
      <c r="T345" s="12" t="str">
        <f aca="false">IF(R345="維持",J345,IF(R345="排除","無關新聞事件",IFERROR(INDEX(事件規則!$B$2:$B$53,MATCH(S345,事件規則!$A$2:$A$53,0)),"")))</f>
        <v>股價下跌</v>
      </c>
      <c r="U345" s="20" t="n">
        <f aca="false">IF(R345="維持",K345,IF(R345="排除",0,IFERROR(INDEX(事件規則!$C$2:$C$53,MATCH(S345,事件規則!$A$2:$A$53,0)),"")))</f>
        <v>1</v>
      </c>
      <c r="V345" s="21"/>
      <c r="W345" s="22"/>
      <c r="X345" s="10" t="str">
        <f aca="false">IF(AND(R345="修改",S345=""),"請選新事件代碼",IF(AND(R345&lt;&gt;"修改",S345&lt;&gt;""),"只有「修改」才需填代碼",""))</f>
        <v/>
      </c>
      <c r="Y345" s="21"/>
      <c r="Z345" s="22"/>
      <c r="AA345" s="23" t="s">
        <v>1225</v>
      </c>
      <c r="AB345" s="13"/>
    </row>
    <row r="346" customFormat="false" ht="29.85" hidden="false" customHeight="false" outlineLevel="0" collapsed="false">
      <c r="A346" s="16" t="n">
        <v>345</v>
      </c>
      <c r="B346" s="9" t="s">
        <v>331</v>
      </c>
      <c r="C346" s="9" t="s">
        <v>168</v>
      </c>
      <c r="D346" s="10" t="s">
        <v>169</v>
      </c>
      <c r="E346" s="24" t="s">
        <v>1226</v>
      </c>
      <c r="F346" s="12"/>
      <c r="G346" s="23" t="s">
        <v>140</v>
      </c>
      <c r="H346" s="14" t="n">
        <v>-0.92</v>
      </c>
      <c r="I346" s="15"/>
      <c r="J346" s="12"/>
      <c r="K346" s="9"/>
      <c r="L346" s="16" t="s">
        <v>51</v>
      </c>
      <c r="M346" s="17" t="s">
        <v>79</v>
      </c>
      <c r="N346" s="15"/>
      <c r="O346" s="16" t="s">
        <v>54</v>
      </c>
      <c r="P346" s="12" t="s">
        <v>890</v>
      </c>
      <c r="Q346" s="16"/>
      <c r="R346" s="18" t="s">
        <v>79</v>
      </c>
      <c r="S346" s="19"/>
      <c r="T346" s="12" t="str">
        <f aca="false">IF(R346="維持",J346,IF(R346="排除","無關新聞事件",IFERROR(INDEX(事件規則!$B$2:$B$53,MATCH(S346,事件規則!$A$2:$A$53,0)),"")))</f>
        <v>無關新聞事件</v>
      </c>
      <c r="U346" s="20" t="n">
        <f aca="false">IF(R346="維持",K346,IF(R346="排除",0,IFERROR(INDEX(事件規則!$C$2:$C$53,MATCH(S346,事件規則!$A$2:$A$53,0)),"")))</f>
        <v>0</v>
      </c>
      <c r="V346" s="21"/>
      <c r="W346" s="22"/>
      <c r="X346" s="10" t="str">
        <f aca="false">IF(AND(R346="修改",S346=""),"請選新事件代碼",IF(AND(R346&lt;&gt;"修改",S346&lt;&gt;""),"只有「修改」才需填代碼",""))</f>
        <v/>
      </c>
      <c r="Y346" s="21"/>
      <c r="Z346" s="22"/>
      <c r="AA346" s="23" t="s">
        <v>1227</v>
      </c>
      <c r="AB346" s="13"/>
    </row>
    <row r="347" customFormat="false" ht="29.85" hidden="false" customHeight="false" outlineLevel="0" collapsed="false">
      <c r="A347" s="16" t="n">
        <v>346</v>
      </c>
      <c r="B347" s="9" t="s">
        <v>331</v>
      </c>
      <c r="C347" s="9" t="s">
        <v>137</v>
      </c>
      <c r="D347" s="10" t="s">
        <v>138</v>
      </c>
      <c r="E347" s="24" t="s">
        <v>1226</v>
      </c>
      <c r="F347" s="12"/>
      <c r="G347" s="23" t="s">
        <v>140</v>
      </c>
      <c r="H347" s="14" t="n">
        <v>-0.92</v>
      </c>
      <c r="I347" s="15"/>
      <c r="J347" s="12"/>
      <c r="K347" s="9"/>
      <c r="L347" s="16" t="s">
        <v>51</v>
      </c>
      <c r="M347" s="17" t="s">
        <v>79</v>
      </c>
      <c r="N347" s="15"/>
      <c r="O347" s="16" t="s">
        <v>54</v>
      </c>
      <c r="P347" s="12" t="s">
        <v>890</v>
      </c>
      <c r="Q347" s="16"/>
      <c r="R347" s="18" t="s">
        <v>79</v>
      </c>
      <c r="S347" s="19"/>
      <c r="T347" s="12" t="str">
        <f aca="false">IF(R347="維持",J347,IF(R347="排除","無關新聞事件",IFERROR(INDEX(事件規則!$B$2:$B$53,MATCH(S347,事件規則!$A$2:$A$53,0)),"")))</f>
        <v>無關新聞事件</v>
      </c>
      <c r="U347" s="20" t="n">
        <f aca="false">IF(R347="維持",K347,IF(R347="排除",0,IFERROR(INDEX(事件規則!$C$2:$C$53,MATCH(S347,事件規則!$A$2:$A$53,0)),"")))</f>
        <v>0</v>
      </c>
      <c r="V347" s="21"/>
      <c r="W347" s="22"/>
      <c r="X347" s="10" t="str">
        <f aca="false">IF(AND(R347="修改",S347=""),"請選新事件代碼",IF(AND(R347&lt;&gt;"修改",S347&lt;&gt;""),"只有「修改」才需填代碼",""))</f>
        <v/>
      </c>
      <c r="Y347" s="21"/>
      <c r="Z347" s="22"/>
      <c r="AA347" s="23" t="s">
        <v>1228</v>
      </c>
      <c r="AB347" s="13"/>
    </row>
    <row r="348" customFormat="false" ht="29.85" hidden="false" customHeight="false" outlineLevel="0" collapsed="false">
      <c r="A348" s="16" t="n">
        <v>347</v>
      </c>
      <c r="B348" s="9" t="s">
        <v>331</v>
      </c>
      <c r="C348" s="9" t="s">
        <v>1229</v>
      </c>
      <c r="D348" s="10" t="s">
        <v>1230</v>
      </c>
      <c r="E348" s="24" t="s">
        <v>1226</v>
      </c>
      <c r="F348" s="12"/>
      <c r="G348" s="23" t="s">
        <v>140</v>
      </c>
      <c r="H348" s="14" t="n">
        <v>-0.92</v>
      </c>
      <c r="I348" s="15"/>
      <c r="J348" s="12"/>
      <c r="K348" s="9"/>
      <c r="L348" s="16" t="s">
        <v>51</v>
      </c>
      <c r="M348" s="17" t="s">
        <v>79</v>
      </c>
      <c r="N348" s="15"/>
      <c r="O348" s="16" t="s">
        <v>54</v>
      </c>
      <c r="P348" s="12" t="s">
        <v>890</v>
      </c>
      <c r="Q348" s="16"/>
      <c r="R348" s="18" t="s">
        <v>79</v>
      </c>
      <c r="S348" s="19"/>
      <c r="T348" s="12" t="str">
        <f aca="false">IF(R348="維持",J348,IF(R348="排除","無關新聞事件",IFERROR(INDEX(事件規則!$B$2:$B$53,MATCH(S348,事件規則!$A$2:$A$53,0)),"")))</f>
        <v>無關新聞事件</v>
      </c>
      <c r="U348" s="20" t="n">
        <f aca="false">IF(R348="維持",K348,IF(R348="排除",0,IFERROR(INDEX(事件規則!$C$2:$C$53,MATCH(S348,事件規則!$A$2:$A$53,0)),"")))</f>
        <v>0</v>
      </c>
      <c r="V348" s="21"/>
      <c r="W348" s="22"/>
      <c r="X348" s="10" t="str">
        <f aca="false">IF(AND(R348="修改",S348=""),"請選新事件代碼",IF(AND(R348&lt;&gt;"修改",S348&lt;&gt;""),"只有「修改」才需填代碼",""))</f>
        <v/>
      </c>
      <c r="Y348" s="21"/>
      <c r="Z348" s="22"/>
      <c r="AA348" s="23" t="s">
        <v>1231</v>
      </c>
      <c r="AB348" s="13"/>
    </row>
    <row r="349" customFormat="false" ht="29.85" hidden="false" customHeight="false" outlineLevel="0" collapsed="false">
      <c r="A349" s="16" t="n">
        <v>348</v>
      </c>
      <c r="B349" s="9" t="s">
        <v>331</v>
      </c>
      <c r="C349" s="9" t="s">
        <v>99</v>
      </c>
      <c r="D349" s="10" t="s">
        <v>100</v>
      </c>
      <c r="E349" s="24" t="s">
        <v>1232</v>
      </c>
      <c r="F349" s="12"/>
      <c r="G349" s="23" t="s">
        <v>1233</v>
      </c>
      <c r="H349" s="14" t="n">
        <v>-0.92</v>
      </c>
      <c r="I349" s="15"/>
      <c r="J349" s="12"/>
      <c r="K349" s="9"/>
      <c r="L349" s="16" t="s">
        <v>51</v>
      </c>
      <c r="M349" s="17" t="s">
        <v>79</v>
      </c>
      <c r="N349" s="15"/>
      <c r="O349" s="16" t="s">
        <v>54</v>
      </c>
      <c r="P349" s="12" t="s">
        <v>890</v>
      </c>
      <c r="Q349" s="16"/>
      <c r="R349" s="18" t="s">
        <v>79</v>
      </c>
      <c r="S349" s="19"/>
      <c r="T349" s="12" t="str">
        <f aca="false">IF(R349="維持",J349,IF(R349="排除","無關新聞事件",IFERROR(INDEX(事件規則!$B$2:$B$53,MATCH(S349,事件規則!$A$2:$A$53,0)),"")))</f>
        <v>無關新聞事件</v>
      </c>
      <c r="U349" s="20" t="n">
        <f aca="false">IF(R349="維持",K349,IF(R349="排除",0,IFERROR(INDEX(事件規則!$C$2:$C$53,MATCH(S349,事件規則!$A$2:$A$53,0)),"")))</f>
        <v>0</v>
      </c>
      <c r="V349" s="21"/>
      <c r="W349" s="22"/>
      <c r="X349" s="10" t="str">
        <f aca="false">IF(AND(R349="修改",S349=""),"請選新事件代碼",IF(AND(R349&lt;&gt;"修改",S349&lt;&gt;""),"只有「修改」才需填代碼",""))</f>
        <v/>
      </c>
      <c r="Y349" s="21"/>
      <c r="Z349" s="22"/>
      <c r="AA349" s="23" t="s">
        <v>1234</v>
      </c>
      <c r="AB349" s="13"/>
    </row>
    <row r="350" customFormat="false" ht="29.85" hidden="false" customHeight="false" outlineLevel="0" collapsed="false">
      <c r="A350" s="16" t="n">
        <v>349</v>
      </c>
      <c r="B350" s="9" t="s">
        <v>65</v>
      </c>
      <c r="C350" s="9" t="s">
        <v>498</v>
      </c>
      <c r="D350" s="10" t="s">
        <v>499</v>
      </c>
      <c r="E350" s="24" t="s">
        <v>1235</v>
      </c>
      <c r="F350" s="12"/>
      <c r="G350" s="23" t="s">
        <v>147</v>
      </c>
      <c r="H350" s="14" t="n">
        <v>-0.92</v>
      </c>
      <c r="I350" s="15"/>
      <c r="J350" s="12"/>
      <c r="K350" s="9"/>
      <c r="L350" s="16" t="s">
        <v>51</v>
      </c>
      <c r="M350" s="17" t="s">
        <v>79</v>
      </c>
      <c r="N350" s="15"/>
      <c r="O350" s="16" t="s">
        <v>54</v>
      </c>
      <c r="P350" s="12" t="s">
        <v>890</v>
      </c>
      <c r="Q350" s="16"/>
      <c r="R350" s="18" t="s">
        <v>79</v>
      </c>
      <c r="S350" s="19"/>
      <c r="T350" s="12" t="str">
        <f aca="false">IF(R350="維持",J350,IF(R350="排除","無關新聞事件",IFERROR(INDEX(事件規則!$B$2:$B$53,MATCH(S350,事件規則!$A$2:$A$53,0)),"")))</f>
        <v>無關新聞事件</v>
      </c>
      <c r="U350" s="20" t="n">
        <f aca="false">IF(R350="維持",K350,IF(R350="排除",0,IFERROR(INDEX(事件規則!$C$2:$C$53,MATCH(S350,事件規則!$A$2:$A$53,0)),"")))</f>
        <v>0</v>
      </c>
      <c r="V350" s="21"/>
      <c r="W350" s="22"/>
      <c r="X350" s="10" t="str">
        <f aca="false">IF(AND(R350="修改",S350=""),"請選新事件代碼",IF(AND(R350&lt;&gt;"修改",S350&lt;&gt;""),"只有「修改」才需填代碼",""))</f>
        <v/>
      </c>
      <c r="Y350" s="21"/>
      <c r="Z350" s="22"/>
      <c r="AA350" s="23" t="s">
        <v>1236</v>
      </c>
      <c r="AB350" s="13"/>
    </row>
    <row r="351" customFormat="false" ht="29.85" hidden="false" customHeight="false" outlineLevel="0" collapsed="false">
      <c r="A351" s="16" t="n">
        <v>350</v>
      </c>
      <c r="B351" s="9" t="s">
        <v>45</v>
      </c>
      <c r="C351" s="9" t="s">
        <v>1237</v>
      </c>
      <c r="D351" s="10" t="s">
        <v>1238</v>
      </c>
      <c r="E351" s="24" t="s">
        <v>1239</v>
      </c>
      <c r="F351" s="12"/>
      <c r="G351" s="23" t="s">
        <v>1188</v>
      </c>
      <c r="H351" s="14" t="n">
        <v>-0.919</v>
      </c>
      <c r="I351" s="15"/>
      <c r="J351" s="12"/>
      <c r="K351" s="9"/>
      <c r="L351" s="16" t="s">
        <v>51</v>
      </c>
      <c r="M351" s="17" t="s">
        <v>79</v>
      </c>
      <c r="N351" s="15"/>
      <c r="O351" s="16" t="s">
        <v>54</v>
      </c>
      <c r="P351" s="12" t="s">
        <v>890</v>
      </c>
      <c r="Q351" s="16"/>
      <c r="R351" s="18" t="s">
        <v>79</v>
      </c>
      <c r="S351" s="19"/>
      <c r="T351" s="12" t="str">
        <f aca="false">IF(R351="維持",J351,IF(R351="排除","無關新聞事件",IFERROR(INDEX(事件規則!$B$2:$B$53,MATCH(S351,事件規則!$A$2:$A$53,0)),"")))</f>
        <v>無關新聞事件</v>
      </c>
      <c r="U351" s="20" t="n">
        <f aca="false">IF(R351="維持",K351,IF(R351="排除",0,IFERROR(INDEX(事件規則!$C$2:$C$53,MATCH(S351,事件規則!$A$2:$A$53,0)),"")))</f>
        <v>0</v>
      </c>
      <c r="V351" s="21"/>
      <c r="W351" s="22"/>
      <c r="X351" s="10" t="str">
        <f aca="false">IF(AND(R351="修改",S351=""),"請選新事件代碼",IF(AND(R351&lt;&gt;"修改",S351&lt;&gt;""),"只有「修改」才需填代碼",""))</f>
        <v/>
      </c>
      <c r="Y351" s="21"/>
      <c r="Z351" s="22"/>
      <c r="AA351" s="23" t="s">
        <v>1240</v>
      </c>
      <c r="AB351" s="13"/>
    </row>
    <row r="352" customFormat="false" ht="15" hidden="false" customHeight="false" outlineLevel="0" collapsed="false">
      <c r="A352" s="16" t="n">
        <v>351</v>
      </c>
      <c r="B352" s="9" t="s">
        <v>45</v>
      </c>
      <c r="C352" s="9" t="s">
        <v>346</v>
      </c>
      <c r="D352" s="10" t="s">
        <v>347</v>
      </c>
      <c r="E352" s="24" t="s">
        <v>1241</v>
      </c>
      <c r="F352" s="12"/>
      <c r="G352" s="23" t="s">
        <v>1242</v>
      </c>
      <c r="H352" s="14" t="n">
        <v>-0.919</v>
      </c>
      <c r="I352" s="15"/>
      <c r="J352" s="12"/>
      <c r="K352" s="9"/>
      <c r="L352" s="16" t="s">
        <v>51</v>
      </c>
      <c r="M352" s="17" t="s">
        <v>52</v>
      </c>
      <c r="N352" s="15" t="s">
        <v>350</v>
      </c>
      <c r="O352" s="16" t="s">
        <v>105</v>
      </c>
      <c r="P352" s="10" t="s">
        <v>1243</v>
      </c>
      <c r="Q352" s="16"/>
      <c r="R352" s="18" t="s">
        <v>52</v>
      </c>
      <c r="S352" s="19" t="s">
        <v>350</v>
      </c>
      <c r="T352" s="12" t="str">
        <f aca="false">IF(R352="維持",J352,IF(R352="排除","無關新聞事件",IFERROR(INDEX(事件規則!$B$2:$B$53,MATCH(S352,事件規則!$A$2:$A$53,0)),"")))</f>
        <v>生產延遲</v>
      </c>
      <c r="U352" s="20" t="n">
        <f aca="false">IF(R352="維持",K352,IF(R352="排除",0,IFERROR(INDEX(事件規則!$C$2:$C$53,MATCH(S352,事件規則!$A$2:$A$53,0)),"")))</f>
        <v>2</v>
      </c>
      <c r="V352" s="21"/>
      <c r="W352" s="22"/>
      <c r="X352" s="10" t="str">
        <f aca="false">IF(AND(R352="修改",S352=""),"請選新事件代碼",IF(AND(R352&lt;&gt;"修改",S352&lt;&gt;""),"只有「修改」才需填代碼",""))</f>
        <v/>
      </c>
      <c r="Y352" s="21"/>
      <c r="Z352" s="22"/>
      <c r="AA352" s="23" t="s">
        <v>1244</v>
      </c>
      <c r="AB352" s="13"/>
    </row>
    <row r="353" customFormat="false" ht="29.85" hidden="false" customHeight="false" outlineLevel="0" collapsed="false">
      <c r="A353" s="16" t="n">
        <v>352</v>
      </c>
      <c r="B353" s="9" t="s">
        <v>45</v>
      </c>
      <c r="C353" s="9" t="s">
        <v>732</v>
      </c>
      <c r="D353" s="10" t="s">
        <v>732</v>
      </c>
      <c r="E353" s="24" t="s">
        <v>1239</v>
      </c>
      <c r="F353" s="12"/>
      <c r="G353" s="23" t="s">
        <v>1188</v>
      </c>
      <c r="H353" s="14" t="n">
        <v>-0.919</v>
      </c>
      <c r="I353" s="15"/>
      <c r="J353" s="12"/>
      <c r="K353" s="9"/>
      <c r="L353" s="16" t="s">
        <v>51</v>
      </c>
      <c r="M353" s="17" t="s">
        <v>79</v>
      </c>
      <c r="N353" s="15"/>
      <c r="O353" s="16" t="s">
        <v>54</v>
      </c>
      <c r="P353" s="12" t="s">
        <v>890</v>
      </c>
      <c r="Q353" s="16"/>
      <c r="R353" s="18" t="s">
        <v>79</v>
      </c>
      <c r="S353" s="19"/>
      <c r="T353" s="12" t="str">
        <f aca="false">IF(R353="維持",J353,IF(R353="排除","無關新聞事件",IFERROR(INDEX(事件規則!$B$2:$B$53,MATCH(S353,事件規則!$A$2:$A$53,0)),"")))</f>
        <v>無關新聞事件</v>
      </c>
      <c r="U353" s="20" t="n">
        <f aca="false">IF(R353="維持",K353,IF(R353="排除",0,IFERROR(INDEX(事件規則!$C$2:$C$53,MATCH(S353,事件規則!$A$2:$A$53,0)),"")))</f>
        <v>0</v>
      </c>
      <c r="V353" s="21"/>
      <c r="W353" s="22"/>
      <c r="X353" s="10" t="str">
        <f aca="false">IF(AND(R353="修改",S353=""),"請選新事件代碼",IF(AND(R353&lt;&gt;"修改",S353&lt;&gt;""),"只有「修改」才需填代碼",""))</f>
        <v/>
      </c>
      <c r="Y353" s="21"/>
      <c r="Z353" s="22"/>
      <c r="AA353" s="23" t="s">
        <v>1245</v>
      </c>
      <c r="AB353" s="13"/>
    </row>
    <row r="354" customFormat="false" ht="29.85" hidden="false" customHeight="false" outlineLevel="0" collapsed="false">
      <c r="A354" s="16" t="n">
        <v>353</v>
      </c>
      <c r="B354" s="9" t="s">
        <v>65</v>
      </c>
      <c r="C354" s="9" t="s">
        <v>704</v>
      </c>
      <c r="D354" s="10" t="s">
        <v>705</v>
      </c>
      <c r="E354" s="24" t="s">
        <v>1246</v>
      </c>
      <c r="F354" s="12"/>
      <c r="G354" s="23" t="s">
        <v>1247</v>
      </c>
      <c r="H354" s="14" t="n">
        <v>-0.919</v>
      </c>
      <c r="I354" s="15"/>
      <c r="J354" s="12"/>
      <c r="K354" s="9"/>
      <c r="L354" s="16" t="s">
        <v>51</v>
      </c>
      <c r="M354" s="17" t="s">
        <v>79</v>
      </c>
      <c r="N354" s="15"/>
      <c r="O354" s="16" t="s">
        <v>54</v>
      </c>
      <c r="P354" s="12" t="s">
        <v>890</v>
      </c>
      <c r="Q354" s="16"/>
      <c r="R354" s="18" t="s">
        <v>79</v>
      </c>
      <c r="S354" s="19"/>
      <c r="T354" s="12" t="str">
        <f aca="false">IF(R354="維持",J354,IF(R354="排除","無關新聞事件",IFERROR(INDEX(事件規則!$B$2:$B$53,MATCH(S354,事件規則!$A$2:$A$53,0)),"")))</f>
        <v>無關新聞事件</v>
      </c>
      <c r="U354" s="20" t="n">
        <f aca="false">IF(R354="維持",K354,IF(R354="排除",0,IFERROR(INDEX(事件規則!$C$2:$C$53,MATCH(S354,事件規則!$A$2:$A$53,0)),"")))</f>
        <v>0</v>
      </c>
      <c r="V354" s="21"/>
      <c r="W354" s="22"/>
      <c r="X354" s="10" t="str">
        <f aca="false">IF(AND(R354="修改",S354=""),"請選新事件代碼",IF(AND(R354&lt;&gt;"修改",S354&lt;&gt;""),"只有「修改」才需填代碼",""))</f>
        <v/>
      </c>
      <c r="Y354" s="21"/>
      <c r="Z354" s="22"/>
      <c r="AA354" s="23" t="s">
        <v>1248</v>
      </c>
      <c r="AB354" s="13"/>
    </row>
    <row r="355" customFormat="false" ht="23.85" hidden="false" customHeight="false" outlineLevel="0" collapsed="false">
      <c r="A355" s="16" t="n">
        <v>354</v>
      </c>
      <c r="B355" s="9" t="s">
        <v>331</v>
      </c>
      <c r="C355" s="9" t="s">
        <v>179</v>
      </c>
      <c r="D355" s="10" t="s">
        <v>180</v>
      </c>
      <c r="E355" s="24" t="s">
        <v>1249</v>
      </c>
      <c r="F355" s="12"/>
      <c r="G355" s="23" t="s">
        <v>1250</v>
      </c>
      <c r="H355" s="14" t="n">
        <v>-0.919</v>
      </c>
      <c r="I355" s="15"/>
      <c r="J355" s="12"/>
      <c r="K355" s="9"/>
      <c r="L355" s="16" t="s">
        <v>51</v>
      </c>
      <c r="M355" s="17" t="s">
        <v>52</v>
      </c>
      <c r="N355" s="15" t="s">
        <v>61</v>
      </c>
      <c r="O355" s="16" t="s">
        <v>62</v>
      </c>
      <c r="P355" s="10" t="s">
        <v>1156</v>
      </c>
      <c r="Q355" s="16"/>
      <c r="R355" s="18" t="s">
        <v>52</v>
      </c>
      <c r="S355" s="19" t="s">
        <v>61</v>
      </c>
      <c r="T355" s="12" t="str">
        <f aca="false">IF(R355="維持",J355,IF(R355="排除","無關新聞事件",IFERROR(INDEX(事件規則!$B$2:$B$53,MATCH(S355,事件規則!$A$2:$A$53,0)),"")))</f>
        <v>裁員或人力縮減</v>
      </c>
      <c r="U355" s="20" t="n">
        <f aca="false">IF(R355="維持",K355,IF(R355="排除",0,IFERROR(INDEX(事件規則!$C$2:$C$53,MATCH(S355,事件規則!$A$2:$A$53,0)),"")))</f>
        <v>3</v>
      </c>
      <c r="V355" s="21"/>
      <c r="W355" s="22"/>
      <c r="X355" s="10" t="str">
        <f aca="false">IF(AND(R355="修改",S355=""),"請選新事件代碼",IF(AND(R355&lt;&gt;"修改",S355&lt;&gt;""),"只有「修改」才需填代碼",""))</f>
        <v/>
      </c>
      <c r="Y355" s="21"/>
      <c r="Z355" s="22"/>
      <c r="AA355" s="23" t="s">
        <v>1251</v>
      </c>
      <c r="AB355" s="13"/>
    </row>
    <row r="356" customFormat="false" ht="29.85" hidden="false" customHeight="false" outlineLevel="0" collapsed="false">
      <c r="A356" s="16" t="n">
        <v>355</v>
      </c>
      <c r="B356" s="9" t="s">
        <v>65</v>
      </c>
      <c r="C356" s="9" t="s">
        <v>564</v>
      </c>
      <c r="D356" s="10" t="s">
        <v>565</v>
      </c>
      <c r="E356" s="24" t="s">
        <v>1252</v>
      </c>
      <c r="F356" s="12"/>
      <c r="G356" s="23" t="s">
        <v>1253</v>
      </c>
      <c r="H356" s="14" t="n">
        <v>-0.919</v>
      </c>
      <c r="I356" s="15"/>
      <c r="J356" s="12"/>
      <c r="K356" s="9"/>
      <c r="L356" s="16" t="s">
        <v>51</v>
      </c>
      <c r="M356" s="17" t="s">
        <v>79</v>
      </c>
      <c r="N356" s="15"/>
      <c r="O356" s="16" t="s">
        <v>54</v>
      </c>
      <c r="P356" s="12" t="s">
        <v>890</v>
      </c>
      <c r="Q356" s="16"/>
      <c r="R356" s="18" t="s">
        <v>79</v>
      </c>
      <c r="S356" s="19"/>
      <c r="T356" s="12" t="str">
        <f aca="false">IF(R356="維持",J356,IF(R356="排除","無關新聞事件",IFERROR(INDEX(事件規則!$B$2:$B$53,MATCH(S356,事件規則!$A$2:$A$53,0)),"")))</f>
        <v>無關新聞事件</v>
      </c>
      <c r="U356" s="20" t="n">
        <f aca="false">IF(R356="維持",K356,IF(R356="排除",0,IFERROR(INDEX(事件規則!$C$2:$C$53,MATCH(S356,事件規則!$A$2:$A$53,0)),"")))</f>
        <v>0</v>
      </c>
      <c r="V356" s="21"/>
      <c r="W356" s="22"/>
      <c r="X356" s="10" t="str">
        <f aca="false">IF(AND(R356="修改",S356=""),"請選新事件代碼",IF(AND(R356&lt;&gt;"修改",S356&lt;&gt;""),"只有「修改」才需填代碼",""))</f>
        <v/>
      </c>
      <c r="Y356" s="21"/>
      <c r="Z356" s="22"/>
      <c r="AA356" s="23" t="s">
        <v>1254</v>
      </c>
      <c r="AB356" s="13"/>
    </row>
    <row r="357" customFormat="false" ht="29.85" hidden="false" customHeight="false" outlineLevel="0" collapsed="false">
      <c r="A357" s="16" t="n">
        <v>356</v>
      </c>
      <c r="B357" s="9" t="s">
        <v>65</v>
      </c>
      <c r="C357" s="9" t="s">
        <v>346</v>
      </c>
      <c r="D357" s="10" t="s">
        <v>347</v>
      </c>
      <c r="E357" s="24" t="s">
        <v>1255</v>
      </c>
      <c r="F357" s="12"/>
      <c r="G357" s="23" t="s">
        <v>1256</v>
      </c>
      <c r="H357" s="14" t="n">
        <v>-0.918</v>
      </c>
      <c r="I357" s="15"/>
      <c r="J357" s="12"/>
      <c r="K357" s="9"/>
      <c r="L357" s="16" t="s">
        <v>51</v>
      </c>
      <c r="M357" s="17" t="s">
        <v>79</v>
      </c>
      <c r="N357" s="15"/>
      <c r="O357" s="16" t="s">
        <v>54</v>
      </c>
      <c r="P357" s="12" t="s">
        <v>890</v>
      </c>
      <c r="Q357" s="16"/>
      <c r="R357" s="18" t="s">
        <v>79</v>
      </c>
      <c r="S357" s="19"/>
      <c r="T357" s="12" t="str">
        <f aca="false">IF(R357="維持",J357,IF(R357="排除","無關新聞事件",IFERROR(INDEX(事件規則!$B$2:$B$53,MATCH(S357,事件規則!$A$2:$A$53,0)),"")))</f>
        <v>無關新聞事件</v>
      </c>
      <c r="U357" s="20" t="n">
        <f aca="false">IF(R357="維持",K357,IF(R357="排除",0,IFERROR(INDEX(事件規則!$C$2:$C$53,MATCH(S357,事件規則!$A$2:$A$53,0)),"")))</f>
        <v>0</v>
      </c>
      <c r="V357" s="21"/>
      <c r="W357" s="22"/>
      <c r="X357" s="10" t="str">
        <f aca="false">IF(AND(R357="修改",S357=""),"請選新事件代碼",IF(AND(R357&lt;&gt;"修改",S357&lt;&gt;""),"只有「修改」才需填代碼",""))</f>
        <v/>
      </c>
      <c r="Y357" s="21"/>
      <c r="Z357" s="22"/>
      <c r="AA357" s="23" t="s">
        <v>1257</v>
      </c>
      <c r="AB357" s="13"/>
    </row>
    <row r="358" customFormat="false" ht="29.85" hidden="false" customHeight="false" outlineLevel="0" collapsed="false">
      <c r="A358" s="16" t="n">
        <v>357</v>
      </c>
      <c r="B358" s="9" t="s">
        <v>65</v>
      </c>
      <c r="C358" s="9" t="s">
        <v>1258</v>
      </c>
      <c r="D358" s="10" t="s">
        <v>1259</v>
      </c>
      <c r="E358" s="24" t="s">
        <v>1260</v>
      </c>
      <c r="F358" s="12"/>
      <c r="G358" s="23" t="s">
        <v>1261</v>
      </c>
      <c r="H358" s="14" t="n">
        <v>-0.917</v>
      </c>
      <c r="I358" s="15"/>
      <c r="J358" s="12"/>
      <c r="K358" s="9"/>
      <c r="L358" s="16" t="s">
        <v>51</v>
      </c>
      <c r="M358" s="17" t="s">
        <v>79</v>
      </c>
      <c r="N358" s="15"/>
      <c r="O358" s="16" t="s">
        <v>54</v>
      </c>
      <c r="P358" s="12" t="s">
        <v>890</v>
      </c>
      <c r="Q358" s="16"/>
      <c r="R358" s="18" t="s">
        <v>79</v>
      </c>
      <c r="S358" s="19"/>
      <c r="T358" s="12" t="str">
        <f aca="false">IF(R358="維持",J358,IF(R358="排除","無關新聞事件",IFERROR(INDEX(事件規則!$B$2:$B$53,MATCH(S358,事件規則!$A$2:$A$53,0)),"")))</f>
        <v>無關新聞事件</v>
      </c>
      <c r="U358" s="20" t="n">
        <f aca="false">IF(R358="維持",K358,IF(R358="排除",0,IFERROR(INDEX(事件規則!$C$2:$C$53,MATCH(S358,事件規則!$A$2:$A$53,0)),"")))</f>
        <v>0</v>
      </c>
      <c r="V358" s="21"/>
      <c r="W358" s="22"/>
      <c r="X358" s="10" t="str">
        <f aca="false">IF(AND(R358="修改",S358=""),"請選新事件代碼",IF(AND(R358&lt;&gt;"修改",S358&lt;&gt;""),"只有「修改」才需填代碼",""))</f>
        <v/>
      </c>
      <c r="Y358" s="21"/>
      <c r="Z358" s="22"/>
      <c r="AA358" s="23" t="s">
        <v>1262</v>
      </c>
      <c r="AB358" s="13"/>
    </row>
    <row r="359" customFormat="false" ht="29.85" hidden="false" customHeight="false" outlineLevel="0" collapsed="false">
      <c r="A359" s="16" t="n">
        <v>358</v>
      </c>
      <c r="B359" s="9" t="s">
        <v>65</v>
      </c>
      <c r="C359" s="9" t="s">
        <v>456</v>
      </c>
      <c r="D359" s="10" t="s">
        <v>457</v>
      </c>
      <c r="E359" s="24" t="s">
        <v>1263</v>
      </c>
      <c r="F359" s="12"/>
      <c r="G359" s="23" t="s">
        <v>1013</v>
      </c>
      <c r="H359" s="14" t="n">
        <v>-0.916</v>
      </c>
      <c r="I359" s="15"/>
      <c r="J359" s="12"/>
      <c r="K359" s="9"/>
      <c r="L359" s="16" t="s">
        <v>51</v>
      </c>
      <c r="M359" s="17" t="s">
        <v>79</v>
      </c>
      <c r="N359" s="15"/>
      <c r="O359" s="16" t="s">
        <v>54</v>
      </c>
      <c r="P359" s="12" t="s">
        <v>890</v>
      </c>
      <c r="Q359" s="16"/>
      <c r="R359" s="18" t="s">
        <v>79</v>
      </c>
      <c r="S359" s="19"/>
      <c r="T359" s="12" t="str">
        <f aca="false">IF(R359="維持",J359,IF(R359="排除","無關新聞事件",IFERROR(INDEX(事件規則!$B$2:$B$53,MATCH(S359,事件規則!$A$2:$A$53,0)),"")))</f>
        <v>無關新聞事件</v>
      </c>
      <c r="U359" s="20" t="n">
        <f aca="false">IF(R359="維持",K359,IF(R359="排除",0,IFERROR(INDEX(事件規則!$C$2:$C$53,MATCH(S359,事件規則!$A$2:$A$53,0)),"")))</f>
        <v>0</v>
      </c>
      <c r="V359" s="21"/>
      <c r="W359" s="22"/>
      <c r="X359" s="10" t="str">
        <f aca="false">IF(AND(R359="修改",S359=""),"請選新事件代碼",IF(AND(R359&lt;&gt;"修改",S359&lt;&gt;""),"只有「修改」才需填代碼",""))</f>
        <v/>
      </c>
      <c r="Y359" s="21"/>
      <c r="Z359" s="22"/>
      <c r="AA359" s="23" t="s">
        <v>1264</v>
      </c>
      <c r="AB359" s="13"/>
    </row>
    <row r="360" customFormat="false" ht="29.85" hidden="false" customHeight="false" outlineLevel="0" collapsed="false">
      <c r="A360" s="16" t="n">
        <v>359</v>
      </c>
      <c r="B360" s="9" t="s">
        <v>386</v>
      </c>
      <c r="C360" s="9" t="s">
        <v>1265</v>
      </c>
      <c r="D360" s="10" t="s">
        <v>1266</v>
      </c>
      <c r="E360" s="24" t="s">
        <v>1267</v>
      </c>
      <c r="F360" s="12"/>
      <c r="G360" s="23" t="s">
        <v>1268</v>
      </c>
      <c r="H360" s="14" t="n">
        <v>-0.916</v>
      </c>
      <c r="I360" s="15"/>
      <c r="J360" s="12"/>
      <c r="K360" s="9"/>
      <c r="L360" s="16" t="s">
        <v>51</v>
      </c>
      <c r="M360" s="17" t="s">
        <v>79</v>
      </c>
      <c r="N360" s="15"/>
      <c r="O360" s="16" t="s">
        <v>54</v>
      </c>
      <c r="P360" s="12" t="s">
        <v>890</v>
      </c>
      <c r="Q360" s="16"/>
      <c r="R360" s="18" t="s">
        <v>79</v>
      </c>
      <c r="S360" s="19"/>
      <c r="T360" s="12" t="str">
        <f aca="false">IF(R360="維持",J360,IF(R360="排除","無關新聞事件",IFERROR(INDEX(事件規則!$B$2:$B$53,MATCH(S360,事件規則!$A$2:$A$53,0)),"")))</f>
        <v>無關新聞事件</v>
      </c>
      <c r="U360" s="20" t="n">
        <f aca="false">IF(R360="維持",K360,IF(R360="排除",0,IFERROR(INDEX(事件規則!$C$2:$C$53,MATCH(S360,事件規則!$A$2:$A$53,0)),"")))</f>
        <v>0</v>
      </c>
      <c r="V360" s="21"/>
      <c r="W360" s="22"/>
      <c r="X360" s="10" t="str">
        <f aca="false">IF(AND(R360="修改",S360=""),"請選新事件代碼",IF(AND(R360&lt;&gt;"修改",S360&lt;&gt;""),"只有「修改」才需填代碼",""))</f>
        <v/>
      </c>
      <c r="Y360" s="21"/>
      <c r="Z360" s="22"/>
      <c r="AA360" s="23" t="s">
        <v>1269</v>
      </c>
      <c r="AB360" s="13"/>
    </row>
    <row r="361" customFormat="false" ht="15" hidden="false" customHeight="false" outlineLevel="0" collapsed="false">
      <c r="A361" s="16" t="n">
        <v>360</v>
      </c>
      <c r="B361" s="9" t="s">
        <v>386</v>
      </c>
      <c r="C361" s="9" t="s">
        <v>353</v>
      </c>
      <c r="D361" s="10" t="s">
        <v>354</v>
      </c>
      <c r="E361" s="24" t="s">
        <v>1270</v>
      </c>
      <c r="F361" s="12"/>
      <c r="G361" s="23" t="s">
        <v>1271</v>
      </c>
      <c r="H361" s="14" t="n">
        <v>-0.916</v>
      </c>
      <c r="I361" s="15"/>
      <c r="J361" s="12"/>
      <c r="K361" s="9"/>
      <c r="L361" s="16" t="s">
        <v>51</v>
      </c>
      <c r="M361" s="17" t="s">
        <v>52</v>
      </c>
      <c r="N361" s="15" t="s">
        <v>357</v>
      </c>
      <c r="O361" s="16" t="s">
        <v>62</v>
      </c>
      <c r="P361" s="10" t="s">
        <v>1105</v>
      </c>
      <c r="Q361" s="16"/>
      <c r="R361" s="18" t="s">
        <v>52</v>
      </c>
      <c r="S361" s="19" t="s">
        <v>357</v>
      </c>
      <c r="T361" s="12" t="str">
        <f aca="false">IF(R361="維持",J361,IF(R361="排除","無關新聞事件",IFERROR(INDEX(事件規則!$B$2:$B$53,MATCH(S361,事件規則!$A$2:$A$53,0)),"")))</f>
        <v>資料外洩</v>
      </c>
      <c r="U361" s="20" t="n">
        <f aca="false">IF(R361="維持",K361,IF(R361="排除",0,IFERROR(INDEX(事件規則!$C$2:$C$53,MATCH(S361,事件規則!$A$2:$A$53,0)),"")))</f>
        <v>3</v>
      </c>
      <c r="V361" s="21"/>
      <c r="W361" s="22"/>
      <c r="X361" s="10" t="str">
        <f aca="false">IF(AND(R361="修改",S361=""),"請選新事件代碼",IF(AND(R361&lt;&gt;"修改",S361&lt;&gt;""),"只有「修改」才需填代碼",""))</f>
        <v/>
      </c>
      <c r="Y361" s="21"/>
      <c r="Z361" s="22"/>
      <c r="AA361" s="23" t="s">
        <v>1272</v>
      </c>
      <c r="AB361" s="13"/>
    </row>
    <row r="362" customFormat="false" ht="29.85" hidden="false" customHeight="false" outlineLevel="0" collapsed="false">
      <c r="A362" s="16" t="n">
        <v>361</v>
      </c>
      <c r="B362" s="9" t="s">
        <v>45</v>
      </c>
      <c r="C362" s="9" t="s">
        <v>57</v>
      </c>
      <c r="D362" s="10" t="s">
        <v>58</v>
      </c>
      <c r="E362" s="24" t="s">
        <v>1273</v>
      </c>
      <c r="F362" s="12"/>
      <c r="G362" s="23" t="s">
        <v>301</v>
      </c>
      <c r="H362" s="14" t="n">
        <v>-0.916</v>
      </c>
      <c r="I362" s="15"/>
      <c r="J362" s="12"/>
      <c r="K362" s="9"/>
      <c r="L362" s="16" t="s">
        <v>51</v>
      </c>
      <c r="M362" s="17" t="s">
        <v>79</v>
      </c>
      <c r="N362" s="15"/>
      <c r="O362" s="16" t="s">
        <v>54</v>
      </c>
      <c r="P362" s="12" t="s">
        <v>890</v>
      </c>
      <c r="Q362" s="16"/>
      <c r="R362" s="18" t="s">
        <v>79</v>
      </c>
      <c r="S362" s="19"/>
      <c r="T362" s="12" t="str">
        <f aca="false">IF(R362="維持",J362,IF(R362="排除","無關新聞事件",IFERROR(INDEX(事件規則!$B$2:$B$53,MATCH(S362,事件規則!$A$2:$A$53,0)),"")))</f>
        <v>無關新聞事件</v>
      </c>
      <c r="U362" s="20" t="n">
        <f aca="false">IF(R362="維持",K362,IF(R362="排除",0,IFERROR(INDEX(事件規則!$C$2:$C$53,MATCH(S362,事件規則!$A$2:$A$53,0)),"")))</f>
        <v>0</v>
      </c>
      <c r="V362" s="21"/>
      <c r="W362" s="22"/>
      <c r="X362" s="10" t="str">
        <f aca="false">IF(AND(R362="修改",S362=""),"請選新事件代碼",IF(AND(R362&lt;&gt;"修改",S362&lt;&gt;""),"只有「修改」才需填代碼",""))</f>
        <v/>
      </c>
      <c r="Y362" s="21"/>
      <c r="Z362" s="22"/>
      <c r="AA362" s="23" t="s">
        <v>1274</v>
      </c>
      <c r="AB362" s="13"/>
    </row>
    <row r="363" customFormat="false" ht="29.85" hidden="false" customHeight="false" outlineLevel="0" collapsed="false">
      <c r="A363" s="16" t="n">
        <v>362</v>
      </c>
      <c r="B363" s="9" t="s">
        <v>65</v>
      </c>
      <c r="C363" s="9" t="s">
        <v>75</v>
      </c>
      <c r="D363" s="10" t="s">
        <v>76</v>
      </c>
      <c r="E363" s="24" t="s">
        <v>1275</v>
      </c>
      <c r="F363" s="12"/>
      <c r="G363" s="23" t="s">
        <v>999</v>
      </c>
      <c r="H363" s="14" t="n">
        <v>-0.916</v>
      </c>
      <c r="I363" s="15"/>
      <c r="J363" s="12"/>
      <c r="K363" s="9"/>
      <c r="L363" s="16" t="s">
        <v>51</v>
      </c>
      <c r="M363" s="17" t="s">
        <v>79</v>
      </c>
      <c r="N363" s="15"/>
      <c r="O363" s="16" t="s">
        <v>54</v>
      </c>
      <c r="P363" s="12" t="s">
        <v>890</v>
      </c>
      <c r="Q363" s="16"/>
      <c r="R363" s="18" t="s">
        <v>79</v>
      </c>
      <c r="S363" s="19"/>
      <c r="T363" s="12" t="str">
        <f aca="false">IF(R363="維持",J363,IF(R363="排除","無關新聞事件",IFERROR(INDEX(事件規則!$B$2:$B$53,MATCH(S363,事件規則!$A$2:$A$53,0)),"")))</f>
        <v>無關新聞事件</v>
      </c>
      <c r="U363" s="20" t="n">
        <f aca="false">IF(R363="維持",K363,IF(R363="排除",0,IFERROR(INDEX(事件規則!$C$2:$C$53,MATCH(S363,事件規則!$A$2:$A$53,0)),"")))</f>
        <v>0</v>
      </c>
      <c r="V363" s="21"/>
      <c r="W363" s="22"/>
      <c r="X363" s="10" t="str">
        <f aca="false">IF(AND(R363="修改",S363=""),"請選新事件代碼",IF(AND(R363&lt;&gt;"修改",S363&lt;&gt;""),"只有「修改」才需填代碼",""))</f>
        <v/>
      </c>
      <c r="Y363" s="21"/>
      <c r="Z363" s="22"/>
      <c r="AA363" s="23" t="s">
        <v>1276</v>
      </c>
      <c r="AB363" s="13"/>
    </row>
    <row r="364" customFormat="false" ht="29.85" hidden="false" customHeight="false" outlineLevel="0" collapsed="false">
      <c r="A364" s="16" t="n">
        <v>363</v>
      </c>
      <c r="B364" s="9" t="s">
        <v>65</v>
      </c>
      <c r="C364" s="9" t="s">
        <v>988</v>
      </c>
      <c r="D364" s="10" t="s">
        <v>989</v>
      </c>
      <c r="E364" s="24" t="s">
        <v>1277</v>
      </c>
      <c r="F364" s="12"/>
      <c r="G364" s="23" t="s">
        <v>1278</v>
      </c>
      <c r="H364" s="14" t="n">
        <v>-0.916</v>
      </c>
      <c r="I364" s="15"/>
      <c r="J364" s="12"/>
      <c r="K364" s="9"/>
      <c r="L364" s="16" t="s">
        <v>51</v>
      </c>
      <c r="M364" s="17" t="s">
        <v>79</v>
      </c>
      <c r="N364" s="15"/>
      <c r="O364" s="16" t="s">
        <v>54</v>
      </c>
      <c r="P364" s="12" t="s">
        <v>890</v>
      </c>
      <c r="Q364" s="16"/>
      <c r="R364" s="18" t="s">
        <v>79</v>
      </c>
      <c r="S364" s="19"/>
      <c r="T364" s="12" t="str">
        <f aca="false">IF(R364="維持",J364,IF(R364="排除","無關新聞事件",IFERROR(INDEX(事件規則!$B$2:$B$53,MATCH(S364,事件規則!$A$2:$A$53,0)),"")))</f>
        <v>無關新聞事件</v>
      </c>
      <c r="U364" s="20" t="n">
        <f aca="false">IF(R364="維持",K364,IF(R364="排除",0,IFERROR(INDEX(事件規則!$C$2:$C$53,MATCH(S364,事件規則!$A$2:$A$53,0)),"")))</f>
        <v>0</v>
      </c>
      <c r="V364" s="21"/>
      <c r="W364" s="22"/>
      <c r="X364" s="10" t="str">
        <f aca="false">IF(AND(R364="修改",S364=""),"請選新事件代碼",IF(AND(R364&lt;&gt;"修改",S364&lt;&gt;""),"只有「修改」才需填代碼",""))</f>
        <v/>
      </c>
      <c r="Y364" s="21"/>
      <c r="Z364" s="22"/>
      <c r="AA364" s="23" t="s">
        <v>1279</v>
      </c>
      <c r="AB364" s="13"/>
    </row>
    <row r="365" customFormat="false" ht="15" hidden="false" customHeight="false" outlineLevel="0" collapsed="false">
      <c r="A365" s="16" t="n">
        <v>364</v>
      </c>
      <c r="B365" s="9" t="s">
        <v>65</v>
      </c>
      <c r="C365" s="9" t="s">
        <v>46</v>
      </c>
      <c r="D365" s="10" t="s">
        <v>47</v>
      </c>
      <c r="E365" s="24" t="s">
        <v>1280</v>
      </c>
      <c r="F365" s="12"/>
      <c r="G365" s="23" t="s">
        <v>292</v>
      </c>
      <c r="H365" s="14" t="n">
        <v>-0.916</v>
      </c>
      <c r="I365" s="15"/>
      <c r="J365" s="12"/>
      <c r="K365" s="9"/>
      <c r="L365" s="16" t="s">
        <v>51</v>
      </c>
      <c r="M365" s="17" t="s">
        <v>52</v>
      </c>
      <c r="N365" s="15" t="s">
        <v>53</v>
      </c>
      <c r="O365" s="16" t="s">
        <v>54</v>
      </c>
      <c r="P365" s="10" t="s">
        <v>926</v>
      </c>
      <c r="Q365" s="16"/>
      <c r="R365" s="18" t="s">
        <v>52</v>
      </c>
      <c r="S365" s="19" t="s">
        <v>53</v>
      </c>
      <c r="T365" s="12" t="str">
        <f aca="false">IF(R365="維持",J365,IF(R365="排除","無關新聞事件",IFERROR(INDEX(事件規則!$B$2:$B$53,MATCH(S365,事件規則!$A$2:$A$53,0)),"")))</f>
        <v>股價下跌</v>
      </c>
      <c r="U365" s="20" t="n">
        <f aca="false">IF(R365="維持",K365,IF(R365="排除",0,IFERROR(INDEX(事件規則!$C$2:$C$53,MATCH(S365,事件規則!$A$2:$A$53,0)),"")))</f>
        <v>1</v>
      </c>
      <c r="V365" s="21"/>
      <c r="W365" s="22"/>
      <c r="X365" s="10" t="str">
        <f aca="false">IF(AND(R365="修改",S365=""),"請選新事件代碼",IF(AND(R365&lt;&gt;"修改",S365&lt;&gt;""),"只有「修改」才需填代碼",""))</f>
        <v/>
      </c>
      <c r="Y365" s="21"/>
      <c r="Z365" s="22"/>
      <c r="AA365" s="23" t="s">
        <v>1281</v>
      </c>
      <c r="AB365" s="13"/>
    </row>
    <row r="366" customFormat="false" ht="29.85" hidden="false" customHeight="false" outlineLevel="0" collapsed="false">
      <c r="A366" s="16" t="n">
        <v>365</v>
      </c>
      <c r="B366" s="9" t="s">
        <v>331</v>
      </c>
      <c r="C366" s="9" t="s">
        <v>534</v>
      </c>
      <c r="D366" s="10" t="s">
        <v>535</v>
      </c>
      <c r="E366" s="24" t="s">
        <v>1282</v>
      </c>
      <c r="F366" s="12"/>
      <c r="G366" s="23" t="s">
        <v>721</v>
      </c>
      <c r="H366" s="14" t="n">
        <v>-0.915</v>
      </c>
      <c r="I366" s="15"/>
      <c r="J366" s="12"/>
      <c r="K366" s="9"/>
      <c r="L366" s="16" t="s">
        <v>51</v>
      </c>
      <c r="M366" s="17" t="s">
        <v>79</v>
      </c>
      <c r="N366" s="15"/>
      <c r="O366" s="16" t="s">
        <v>54</v>
      </c>
      <c r="P366" s="12" t="s">
        <v>890</v>
      </c>
      <c r="Q366" s="16"/>
      <c r="R366" s="18" t="s">
        <v>79</v>
      </c>
      <c r="S366" s="19"/>
      <c r="T366" s="12" t="str">
        <f aca="false">IF(R366="維持",J366,IF(R366="排除","無關新聞事件",IFERROR(INDEX(事件規則!$B$2:$B$53,MATCH(S366,事件規則!$A$2:$A$53,0)),"")))</f>
        <v>無關新聞事件</v>
      </c>
      <c r="U366" s="20" t="n">
        <f aca="false">IF(R366="維持",K366,IF(R366="排除",0,IFERROR(INDEX(事件規則!$C$2:$C$53,MATCH(S366,事件規則!$A$2:$A$53,0)),"")))</f>
        <v>0</v>
      </c>
      <c r="V366" s="21"/>
      <c r="W366" s="22"/>
      <c r="X366" s="10" t="str">
        <f aca="false">IF(AND(R366="修改",S366=""),"請選新事件代碼",IF(AND(R366&lt;&gt;"修改",S366&lt;&gt;""),"只有「修改」才需填代碼",""))</f>
        <v/>
      </c>
      <c r="Y366" s="21"/>
      <c r="Z366" s="22"/>
      <c r="AA366" s="23" t="s">
        <v>1283</v>
      </c>
      <c r="AB366" s="13"/>
    </row>
    <row r="367" customFormat="false" ht="15" hidden="false" customHeight="false" outlineLevel="0" collapsed="false">
      <c r="A367" s="16" t="n">
        <v>366</v>
      </c>
      <c r="B367" s="9" t="s">
        <v>45</v>
      </c>
      <c r="C367" s="9" t="s">
        <v>353</v>
      </c>
      <c r="D367" s="10" t="s">
        <v>354</v>
      </c>
      <c r="E367" s="24" t="s">
        <v>1284</v>
      </c>
      <c r="F367" s="12"/>
      <c r="G367" s="23" t="s">
        <v>1285</v>
      </c>
      <c r="H367" s="14" t="n">
        <v>-0.915</v>
      </c>
      <c r="I367" s="15"/>
      <c r="J367" s="12"/>
      <c r="K367" s="9"/>
      <c r="L367" s="16" t="s">
        <v>51</v>
      </c>
      <c r="M367" s="17" t="s">
        <v>52</v>
      </c>
      <c r="N367" s="15" t="s">
        <v>357</v>
      </c>
      <c r="O367" s="16" t="s">
        <v>62</v>
      </c>
      <c r="P367" s="10" t="s">
        <v>1105</v>
      </c>
      <c r="Q367" s="16"/>
      <c r="R367" s="18" t="s">
        <v>52</v>
      </c>
      <c r="S367" s="19" t="s">
        <v>357</v>
      </c>
      <c r="T367" s="12" t="str">
        <f aca="false">IF(R367="維持",J367,IF(R367="排除","無關新聞事件",IFERROR(INDEX(事件規則!$B$2:$B$53,MATCH(S367,事件規則!$A$2:$A$53,0)),"")))</f>
        <v>資料外洩</v>
      </c>
      <c r="U367" s="20" t="n">
        <f aca="false">IF(R367="維持",K367,IF(R367="排除",0,IFERROR(INDEX(事件規則!$C$2:$C$53,MATCH(S367,事件規則!$A$2:$A$53,0)),"")))</f>
        <v>3</v>
      </c>
      <c r="V367" s="21"/>
      <c r="W367" s="22"/>
      <c r="X367" s="10" t="str">
        <f aca="false">IF(AND(R367="修改",S367=""),"請選新事件代碼",IF(AND(R367&lt;&gt;"修改",S367&lt;&gt;""),"只有「修改」才需填代碼",""))</f>
        <v/>
      </c>
      <c r="Y367" s="21"/>
      <c r="Z367" s="22"/>
      <c r="AA367" s="23" t="s">
        <v>1286</v>
      </c>
      <c r="AB367" s="13"/>
    </row>
    <row r="368" customFormat="false" ht="29.85" hidden="false" customHeight="false" outlineLevel="0" collapsed="false">
      <c r="A368" s="16" t="n">
        <v>367</v>
      </c>
      <c r="B368" s="9" t="s">
        <v>331</v>
      </c>
      <c r="C368" s="9" t="s">
        <v>376</v>
      </c>
      <c r="D368" s="10" t="s">
        <v>377</v>
      </c>
      <c r="E368" s="24" t="s">
        <v>1287</v>
      </c>
      <c r="F368" s="12"/>
      <c r="G368" s="23" t="s">
        <v>335</v>
      </c>
      <c r="H368" s="14" t="n">
        <v>-0.915</v>
      </c>
      <c r="I368" s="15"/>
      <c r="J368" s="12"/>
      <c r="K368" s="9"/>
      <c r="L368" s="16" t="s">
        <v>51</v>
      </c>
      <c r="M368" s="17" t="s">
        <v>79</v>
      </c>
      <c r="N368" s="15"/>
      <c r="O368" s="16" t="s">
        <v>54</v>
      </c>
      <c r="P368" s="12" t="s">
        <v>890</v>
      </c>
      <c r="Q368" s="16"/>
      <c r="R368" s="18" t="s">
        <v>79</v>
      </c>
      <c r="S368" s="19"/>
      <c r="T368" s="12" t="str">
        <f aca="false">IF(R368="維持",J368,IF(R368="排除","無關新聞事件",IFERROR(INDEX(事件規則!$B$2:$B$53,MATCH(S368,事件規則!$A$2:$A$53,0)),"")))</f>
        <v>無關新聞事件</v>
      </c>
      <c r="U368" s="20" t="n">
        <f aca="false">IF(R368="維持",K368,IF(R368="排除",0,IFERROR(INDEX(事件規則!$C$2:$C$53,MATCH(S368,事件規則!$A$2:$A$53,0)),"")))</f>
        <v>0</v>
      </c>
      <c r="V368" s="21"/>
      <c r="W368" s="22"/>
      <c r="X368" s="10" t="str">
        <f aca="false">IF(AND(R368="修改",S368=""),"請選新事件代碼",IF(AND(R368&lt;&gt;"修改",S368&lt;&gt;""),"只有「修改」才需填代碼",""))</f>
        <v/>
      </c>
      <c r="Y368" s="21"/>
      <c r="Z368" s="22"/>
      <c r="AA368" s="23" t="s">
        <v>1288</v>
      </c>
      <c r="AB368" s="13"/>
    </row>
    <row r="369" customFormat="false" ht="29.85" hidden="false" customHeight="false" outlineLevel="0" collapsed="false">
      <c r="A369" s="16" t="n">
        <v>368</v>
      </c>
      <c r="B369" s="9" t="s">
        <v>386</v>
      </c>
      <c r="C369" s="9" t="s">
        <v>137</v>
      </c>
      <c r="D369" s="10" t="s">
        <v>138</v>
      </c>
      <c r="E369" s="24" t="s">
        <v>1289</v>
      </c>
      <c r="F369" s="12"/>
      <c r="G369" s="23" t="s">
        <v>477</v>
      </c>
      <c r="H369" s="14" t="n">
        <v>-0.915</v>
      </c>
      <c r="I369" s="15"/>
      <c r="J369" s="12"/>
      <c r="K369" s="9"/>
      <c r="L369" s="16" t="s">
        <v>51</v>
      </c>
      <c r="M369" s="17" t="s">
        <v>79</v>
      </c>
      <c r="N369" s="15"/>
      <c r="O369" s="16" t="s">
        <v>54</v>
      </c>
      <c r="P369" s="12" t="s">
        <v>890</v>
      </c>
      <c r="Q369" s="16"/>
      <c r="R369" s="18" t="s">
        <v>79</v>
      </c>
      <c r="S369" s="19"/>
      <c r="T369" s="12" t="str">
        <f aca="false">IF(R369="維持",J369,IF(R369="排除","無關新聞事件",IFERROR(INDEX(事件規則!$B$2:$B$53,MATCH(S369,事件規則!$A$2:$A$53,0)),"")))</f>
        <v>無關新聞事件</v>
      </c>
      <c r="U369" s="20" t="n">
        <f aca="false">IF(R369="維持",K369,IF(R369="排除",0,IFERROR(INDEX(事件規則!$C$2:$C$53,MATCH(S369,事件規則!$A$2:$A$53,0)),"")))</f>
        <v>0</v>
      </c>
      <c r="V369" s="21"/>
      <c r="W369" s="22"/>
      <c r="X369" s="10" t="str">
        <f aca="false">IF(AND(R369="修改",S369=""),"請選新事件代碼",IF(AND(R369&lt;&gt;"修改",S369&lt;&gt;""),"只有「修改」才需填代碼",""))</f>
        <v/>
      </c>
      <c r="Y369" s="21"/>
      <c r="Z369" s="22"/>
      <c r="AA369" s="23" t="s">
        <v>1290</v>
      </c>
      <c r="AB369" s="13"/>
    </row>
    <row r="370" customFormat="false" ht="23.85" hidden="false" customHeight="false" outlineLevel="0" collapsed="false">
      <c r="A370" s="16" t="n">
        <v>369</v>
      </c>
      <c r="B370" s="9" t="s">
        <v>45</v>
      </c>
      <c r="C370" s="9" t="s">
        <v>1291</v>
      </c>
      <c r="D370" s="10" t="s">
        <v>1292</v>
      </c>
      <c r="E370" s="24" t="s">
        <v>1293</v>
      </c>
      <c r="F370" s="12"/>
      <c r="G370" s="23" t="s">
        <v>1294</v>
      </c>
      <c r="H370" s="14" t="n">
        <v>-0.914</v>
      </c>
      <c r="I370" s="15"/>
      <c r="J370" s="12"/>
      <c r="K370" s="9"/>
      <c r="L370" s="16" t="s">
        <v>51</v>
      </c>
      <c r="M370" s="17" t="s">
        <v>52</v>
      </c>
      <c r="N370" s="15" t="s">
        <v>667</v>
      </c>
      <c r="O370" s="16" t="s">
        <v>54</v>
      </c>
      <c r="P370" s="10" t="s">
        <v>1295</v>
      </c>
      <c r="Q370" s="16"/>
      <c r="R370" s="18" t="s">
        <v>52</v>
      </c>
      <c r="S370" s="19" t="s">
        <v>667</v>
      </c>
      <c r="T370" s="12" t="str">
        <f aca="false">IF(R370="維持",J370,IF(R370="排除","無關新聞事件",IFERROR(INDEX(事件規則!$B$2:$B$53,MATCH(S370,事件規則!$A$2:$A$53,0)),"")))</f>
        <v>重大產品瑕疵</v>
      </c>
      <c r="U370" s="20" t="n">
        <f aca="false">IF(R370="維持",K370,IF(R370="排除",0,IFERROR(INDEX(事件規則!$C$2:$C$53,MATCH(S370,事件規則!$A$2:$A$53,0)),"")))</f>
        <v>3</v>
      </c>
      <c r="V370" s="21"/>
      <c r="W370" s="22"/>
      <c r="X370" s="10" t="str">
        <f aca="false">IF(AND(R370="修改",S370=""),"請選新事件代碼",IF(AND(R370&lt;&gt;"修改",S370&lt;&gt;""),"只有「修改」才需填代碼",""))</f>
        <v/>
      </c>
      <c r="Y370" s="21"/>
      <c r="Z370" s="22"/>
      <c r="AA370" s="23" t="s">
        <v>1296</v>
      </c>
      <c r="AB370" s="13"/>
    </row>
    <row r="371" customFormat="false" ht="29.85" hidden="false" customHeight="false" outlineLevel="0" collapsed="false">
      <c r="A371" s="16" t="n">
        <v>370</v>
      </c>
      <c r="B371" s="9" t="s">
        <v>331</v>
      </c>
      <c r="C371" s="9" t="s">
        <v>99</v>
      </c>
      <c r="D371" s="10" t="s">
        <v>100</v>
      </c>
      <c r="E371" s="24" t="s">
        <v>1297</v>
      </c>
      <c r="F371" s="12"/>
      <c r="G371" s="23" t="s">
        <v>1298</v>
      </c>
      <c r="H371" s="14" t="n">
        <v>-0.914</v>
      </c>
      <c r="I371" s="15"/>
      <c r="J371" s="12"/>
      <c r="K371" s="9"/>
      <c r="L371" s="16" t="s">
        <v>51</v>
      </c>
      <c r="M371" s="17" t="s">
        <v>79</v>
      </c>
      <c r="N371" s="15"/>
      <c r="O371" s="16" t="s">
        <v>54</v>
      </c>
      <c r="P371" s="12" t="s">
        <v>890</v>
      </c>
      <c r="Q371" s="16"/>
      <c r="R371" s="18" t="s">
        <v>79</v>
      </c>
      <c r="S371" s="19"/>
      <c r="T371" s="12" t="str">
        <f aca="false">IF(R371="維持",J371,IF(R371="排除","無關新聞事件",IFERROR(INDEX(事件規則!$B$2:$B$53,MATCH(S371,事件規則!$A$2:$A$53,0)),"")))</f>
        <v>無關新聞事件</v>
      </c>
      <c r="U371" s="20" t="n">
        <f aca="false">IF(R371="維持",K371,IF(R371="排除",0,IFERROR(INDEX(事件規則!$C$2:$C$53,MATCH(S371,事件規則!$A$2:$A$53,0)),"")))</f>
        <v>0</v>
      </c>
      <c r="V371" s="21"/>
      <c r="W371" s="22"/>
      <c r="X371" s="10" t="str">
        <f aca="false">IF(AND(R371="修改",S371=""),"請選新事件代碼",IF(AND(R371&lt;&gt;"修改",S371&lt;&gt;""),"只有「修改」才需填代碼",""))</f>
        <v/>
      </c>
      <c r="Y371" s="21"/>
      <c r="Z371" s="22"/>
      <c r="AA371" s="23" t="s">
        <v>1299</v>
      </c>
      <c r="AB371" s="13"/>
    </row>
    <row r="372" customFormat="false" ht="29.85" hidden="false" customHeight="false" outlineLevel="0" collapsed="false">
      <c r="A372" s="16" t="n">
        <v>371</v>
      </c>
      <c r="B372" s="9" t="s">
        <v>45</v>
      </c>
      <c r="C372" s="9" t="s">
        <v>171</v>
      </c>
      <c r="D372" s="10" t="s">
        <v>172</v>
      </c>
      <c r="E372" s="24" t="s">
        <v>1300</v>
      </c>
      <c r="F372" s="12"/>
      <c r="G372" s="23" t="s">
        <v>258</v>
      </c>
      <c r="H372" s="14" t="n">
        <v>-0.914</v>
      </c>
      <c r="I372" s="15"/>
      <c r="J372" s="12"/>
      <c r="K372" s="9"/>
      <c r="L372" s="16" t="s">
        <v>51</v>
      </c>
      <c r="M372" s="17" t="s">
        <v>79</v>
      </c>
      <c r="N372" s="15"/>
      <c r="O372" s="16" t="s">
        <v>54</v>
      </c>
      <c r="P372" s="12" t="s">
        <v>890</v>
      </c>
      <c r="Q372" s="16"/>
      <c r="R372" s="18" t="s">
        <v>79</v>
      </c>
      <c r="S372" s="19"/>
      <c r="T372" s="12" t="str">
        <f aca="false">IF(R372="維持",J372,IF(R372="排除","無關新聞事件",IFERROR(INDEX(事件規則!$B$2:$B$53,MATCH(S372,事件規則!$A$2:$A$53,0)),"")))</f>
        <v>無關新聞事件</v>
      </c>
      <c r="U372" s="20" t="n">
        <f aca="false">IF(R372="維持",K372,IF(R372="排除",0,IFERROR(INDEX(事件規則!$C$2:$C$53,MATCH(S372,事件規則!$A$2:$A$53,0)),"")))</f>
        <v>0</v>
      </c>
      <c r="V372" s="21"/>
      <c r="W372" s="22"/>
      <c r="X372" s="10" t="str">
        <f aca="false">IF(AND(R372="修改",S372=""),"請選新事件代碼",IF(AND(R372&lt;&gt;"修改",S372&lt;&gt;""),"只有「修改」才需填代碼",""))</f>
        <v/>
      </c>
      <c r="Y372" s="21"/>
      <c r="Z372" s="22"/>
      <c r="AA372" s="23" t="s">
        <v>1301</v>
      </c>
      <c r="AB372" s="13"/>
    </row>
    <row r="373" customFormat="false" ht="29.85" hidden="false" customHeight="false" outlineLevel="0" collapsed="false">
      <c r="A373" s="16" t="n">
        <v>372</v>
      </c>
      <c r="B373" s="9" t="s">
        <v>45</v>
      </c>
      <c r="C373" s="9" t="s">
        <v>1302</v>
      </c>
      <c r="D373" s="10" t="s">
        <v>1303</v>
      </c>
      <c r="E373" s="24" t="s">
        <v>1304</v>
      </c>
      <c r="F373" s="12"/>
      <c r="G373" s="23" t="s">
        <v>1305</v>
      </c>
      <c r="H373" s="14" t="n">
        <v>-0.914</v>
      </c>
      <c r="I373" s="15"/>
      <c r="J373" s="12"/>
      <c r="K373" s="9"/>
      <c r="L373" s="16" t="s">
        <v>51</v>
      </c>
      <c r="M373" s="17" t="s">
        <v>79</v>
      </c>
      <c r="N373" s="15"/>
      <c r="O373" s="16" t="s">
        <v>54</v>
      </c>
      <c r="P373" s="12" t="s">
        <v>890</v>
      </c>
      <c r="Q373" s="16"/>
      <c r="R373" s="18" t="s">
        <v>79</v>
      </c>
      <c r="S373" s="19"/>
      <c r="T373" s="12" t="str">
        <f aca="false">IF(R373="維持",J373,IF(R373="排除","無關新聞事件",IFERROR(INDEX(事件規則!$B$2:$B$53,MATCH(S373,事件規則!$A$2:$A$53,0)),"")))</f>
        <v>無關新聞事件</v>
      </c>
      <c r="U373" s="20" t="n">
        <f aca="false">IF(R373="維持",K373,IF(R373="排除",0,IFERROR(INDEX(事件規則!$C$2:$C$53,MATCH(S373,事件規則!$A$2:$A$53,0)),"")))</f>
        <v>0</v>
      </c>
      <c r="V373" s="21"/>
      <c r="W373" s="22"/>
      <c r="X373" s="10" t="str">
        <f aca="false">IF(AND(R373="修改",S373=""),"請選新事件代碼",IF(AND(R373&lt;&gt;"修改",S373&lt;&gt;""),"只有「修改」才需填代碼",""))</f>
        <v/>
      </c>
      <c r="Y373" s="21"/>
      <c r="Z373" s="22"/>
      <c r="AA373" s="23" t="s">
        <v>1306</v>
      </c>
      <c r="AB373" s="13"/>
    </row>
    <row r="374" customFormat="false" ht="29.85" hidden="false" customHeight="false" outlineLevel="0" collapsed="false">
      <c r="A374" s="16" t="n">
        <v>373</v>
      </c>
      <c r="B374" s="9" t="s">
        <v>331</v>
      </c>
      <c r="C374" s="9" t="s">
        <v>449</v>
      </c>
      <c r="D374" s="10" t="s">
        <v>450</v>
      </c>
      <c r="E374" s="24" t="s">
        <v>1307</v>
      </c>
      <c r="F374" s="12"/>
      <c r="G374" s="23" t="s">
        <v>1308</v>
      </c>
      <c r="H374" s="14" t="n">
        <v>-0.913</v>
      </c>
      <c r="I374" s="15"/>
      <c r="J374" s="12"/>
      <c r="K374" s="9"/>
      <c r="L374" s="16" t="s">
        <v>51</v>
      </c>
      <c r="M374" s="17" t="s">
        <v>79</v>
      </c>
      <c r="N374" s="15"/>
      <c r="O374" s="16" t="s">
        <v>54</v>
      </c>
      <c r="P374" s="12" t="s">
        <v>890</v>
      </c>
      <c r="Q374" s="16"/>
      <c r="R374" s="18" t="s">
        <v>79</v>
      </c>
      <c r="S374" s="19"/>
      <c r="T374" s="12" t="str">
        <f aca="false">IF(R374="維持",J374,IF(R374="排除","無關新聞事件",IFERROR(INDEX(事件規則!$B$2:$B$53,MATCH(S374,事件規則!$A$2:$A$53,0)),"")))</f>
        <v>無關新聞事件</v>
      </c>
      <c r="U374" s="20" t="n">
        <f aca="false">IF(R374="維持",K374,IF(R374="排除",0,IFERROR(INDEX(事件規則!$C$2:$C$53,MATCH(S374,事件規則!$A$2:$A$53,0)),"")))</f>
        <v>0</v>
      </c>
      <c r="V374" s="21"/>
      <c r="W374" s="22"/>
      <c r="X374" s="10" t="str">
        <f aca="false">IF(AND(R374="修改",S374=""),"請選新事件代碼",IF(AND(R374&lt;&gt;"修改",S374&lt;&gt;""),"只有「修改」才需填代碼",""))</f>
        <v/>
      </c>
      <c r="Y374" s="21"/>
      <c r="Z374" s="22"/>
      <c r="AA374" s="23" t="s">
        <v>1309</v>
      </c>
      <c r="AB374" s="13"/>
    </row>
    <row r="375" customFormat="false" ht="29.85" hidden="false" customHeight="false" outlineLevel="0" collapsed="false">
      <c r="A375" s="16" t="n">
        <v>374</v>
      </c>
      <c r="B375" s="9" t="s">
        <v>65</v>
      </c>
      <c r="C375" s="9" t="s">
        <v>1310</v>
      </c>
      <c r="D375" s="10" t="s">
        <v>1311</v>
      </c>
      <c r="E375" s="24" t="s">
        <v>1312</v>
      </c>
      <c r="F375" s="12"/>
      <c r="G375" s="23" t="s">
        <v>999</v>
      </c>
      <c r="H375" s="14" t="n">
        <v>-0.913</v>
      </c>
      <c r="I375" s="15"/>
      <c r="J375" s="12"/>
      <c r="K375" s="9"/>
      <c r="L375" s="16" t="s">
        <v>51</v>
      </c>
      <c r="M375" s="17" t="s">
        <v>79</v>
      </c>
      <c r="N375" s="15"/>
      <c r="O375" s="16" t="s">
        <v>54</v>
      </c>
      <c r="P375" s="12" t="s">
        <v>890</v>
      </c>
      <c r="Q375" s="16"/>
      <c r="R375" s="18" t="s">
        <v>79</v>
      </c>
      <c r="S375" s="19"/>
      <c r="T375" s="12" t="str">
        <f aca="false">IF(R375="維持",J375,IF(R375="排除","無關新聞事件",IFERROR(INDEX(事件規則!$B$2:$B$53,MATCH(S375,事件規則!$A$2:$A$53,0)),"")))</f>
        <v>無關新聞事件</v>
      </c>
      <c r="U375" s="20" t="n">
        <f aca="false">IF(R375="維持",K375,IF(R375="排除",0,IFERROR(INDEX(事件規則!$C$2:$C$53,MATCH(S375,事件規則!$A$2:$A$53,0)),"")))</f>
        <v>0</v>
      </c>
      <c r="V375" s="21"/>
      <c r="W375" s="22"/>
      <c r="X375" s="10" t="str">
        <f aca="false">IF(AND(R375="修改",S375=""),"請選新事件代碼",IF(AND(R375&lt;&gt;"修改",S375&lt;&gt;""),"只有「修改」才需填代碼",""))</f>
        <v/>
      </c>
      <c r="Y375" s="21"/>
      <c r="Z375" s="22"/>
      <c r="AA375" s="23" t="s">
        <v>1313</v>
      </c>
      <c r="AB375" s="13"/>
    </row>
    <row r="376" customFormat="false" ht="29.85" hidden="false" customHeight="false" outlineLevel="0" collapsed="false">
      <c r="A376" s="16" t="n">
        <v>375</v>
      </c>
      <c r="B376" s="9" t="s">
        <v>45</v>
      </c>
      <c r="C376" s="9" t="s">
        <v>57</v>
      </c>
      <c r="D376" s="10" t="s">
        <v>58</v>
      </c>
      <c r="E376" s="24" t="s">
        <v>1314</v>
      </c>
      <c r="F376" s="12"/>
      <c r="G376" s="23" t="s">
        <v>899</v>
      </c>
      <c r="H376" s="14" t="n">
        <v>-0.913</v>
      </c>
      <c r="I376" s="15"/>
      <c r="J376" s="12"/>
      <c r="K376" s="9"/>
      <c r="L376" s="16" t="s">
        <v>51</v>
      </c>
      <c r="M376" s="17" t="s">
        <v>79</v>
      </c>
      <c r="N376" s="15"/>
      <c r="O376" s="16" t="s">
        <v>54</v>
      </c>
      <c r="P376" s="12" t="s">
        <v>890</v>
      </c>
      <c r="Q376" s="16"/>
      <c r="R376" s="18" t="s">
        <v>79</v>
      </c>
      <c r="S376" s="19"/>
      <c r="T376" s="12" t="str">
        <f aca="false">IF(R376="維持",J376,IF(R376="排除","無關新聞事件",IFERROR(INDEX(事件規則!$B$2:$B$53,MATCH(S376,事件規則!$A$2:$A$53,0)),"")))</f>
        <v>無關新聞事件</v>
      </c>
      <c r="U376" s="20" t="n">
        <f aca="false">IF(R376="維持",K376,IF(R376="排除",0,IFERROR(INDEX(事件規則!$C$2:$C$53,MATCH(S376,事件規則!$A$2:$A$53,0)),"")))</f>
        <v>0</v>
      </c>
      <c r="V376" s="21"/>
      <c r="W376" s="22"/>
      <c r="X376" s="10" t="str">
        <f aca="false">IF(AND(R376="修改",S376=""),"請選新事件代碼",IF(AND(R376&lt;&gt;"修改",S376&lt;&gt;""),"只有「修改」才需填代碼",""))</f>
        <v/>
      </c>
      <c r="Y376" s="21"/>
      <c r="Z376" s="22"/>
      <c r="AA376" s="23" t="s">
        <v>1315</v>
      </c>
      <c r="AB376" s="13"/>
    </row>
    <row r="377" customFormat="false" ht="15" hidden="false" customHeight="false" outlineLevel="0" collapsed="false">
      <c r="A377" s="16" t="n">
        <v>376</v>
      </c>
      <c r="B377" s="9" t="s">
        <v>65</v>
      </c>
      <c r="C377" s="9" t="s">
        <v>88</v>
      </c>
      <c r="D377" s="10" t="s">
        <v>89</v>
      </c>
      <c r="E377" s="24" t="s">
        <v>1316</v>
      </c>
      <c r="F377" s="12"/>
      <c r="G377" s="23" t="s">
        <v>939</v>
      </c>
      <c r="H377" s="14" t="n">
        <v>-0.912</v>
      </c>
      <c r="I377" s="15"/>
      <c r="J377" s="12"/>
      <c r="K377" s="9"/>
      <c r="L377" s="16" t="s">
        <v>51</v>
      </c>
      <c r="M377" s="17" t="s">
        <v>52</v>
      </c>
      <c r="N377" s="15" t="s">
        <v>53</v>
      </c>
      <c r="O377" s="16" t="s">
        <v>54</v>
      </c>
      <c r="P377" s="10" t="s">
        <v>926</v>
      </c>
      <c r="Q377" s="16"/>
      <c r="R377" s="18" t="s">
        <v>52</v>
      </c>
      <c r="S377" s="19" t="s">
        <v>53</v>
      </c>
      <c r="T377" s="12" t="str">
        <f aca="false">IF(R377="維持",J377,IF(R377="排除","無關新聞事件",IFERROR(INDEX(事件規則!$B$2:$B$53,MATCH(S377,事件規則!$A$2:$A$53,0)),"")))</f>
        <v>股價下跌</v>
      </c>
      <c r="U377" s="20" t="n">
        <f aca="false">IF(R377="維持",K377,IF(R377="排除",0,IFERROR(INDEX(事件規則!$C$2:$C$53,MATCH(S377,事件規則!$A$2:$A$53,0)),"")))</f>
        <v>1</v>
      </c>
      <c r="V377" s="21"/>
      <c r="W377" s="22"/>
      <c r="X377" s="10" t="str">
        <f aca="false">IF(AND(R377="修改",S377=""),"請選新事件代碼",IF(AND(R377&lt;&gt;"修改",S377&lt;&gt;""),"只有「修改」才需填代碼",""))</f>
        <v/>
      </c>
      <c r="Y377" s="21"/>
      <c r="Z377" s="22"/>
      <c r="AA377" s="23" t="s">
        <v>1317</v>
      </c>
      <c r="AB377" s="13"/>
    </row>
    <row r="378" customFormat="false" ht="29.85" hidden="false" customHeight="false" outlineLevel="0" collapsed="false">
      <c r="A378" s="16" t="n">
        <v>377</v>
      </c>
      <c r="B378" s="9" t="s">
        <v>65</v>
      </c>
      <c r="C378" s="9" t="s">
        <v>132</v>
      </c>
      <c r="D378" s="10" t="s">
        <v>133</v>
      </c>
      <c r="E378" s="24" t="s">
        <v>1318</v>
      </c>
      <c r="F378" s="12"/>
      <c r="G378" s="23" t="s">
        <v>999</v>
      </c>
      <c r="H378" s="14" t="n">
        <v>-0.912</v>
      </c>
      <c r="I378" s="15"/>
      <c r="J378" s="12"/>
      <c r="K378" s="9"/>
      <c r="L378" s="16" t="s">
        <v>51</v>
      </c>
      <c r="M378" s="17" t="s">
        <v>79</v>
      </c>
      <c r="N378" s="15"/>
      <c r="O378" s="16" t="s">
        <v>54</v>
      </c>
      <c r="P378" s="12" t="s">
        <v>890</v>
      </c>
      <c r="Q378" s="16"/>
      <c r="R378" s="18" t="s">
        <v>79</v>
      </c>
      <c r="S378" s="19"/>
      <c r="T378" s="12" t="str">
        <f aca="false">IF(R378="維持",J378,IF(R378="排除","無關新聞事件",IFERROR(INDEX(事件規則!$B$2:$B$53,MATCH(S378,事件規則!$A$2:$A$53,0)),"")))</f>
        <v>無關新聞事件</v>
      </c>
      <c r="U378" s="20" t="n">
        <f aca="false">IF(R378="維持",K378,IF(R378="排除",0,IFERROR(INDEX(事件規則!$C$2:$C$53,MATCH(S378,事件規則!$A$2:$A$53,0)),"")))</f>
        <v>0</v>
      </c>
      <c r="V378" s="21"/>
      <c r="W378" s="22"/>
      <c r="X378" s="10" t="str">
        <f aca="false">IF(AND(R378="修改",S378=""),"請選新事件代碼",IF(AND(R378&lt;&gt;"修改",S378&lt;&gt;""),"只有「修改」才需填代碼",""))</f>
        <v/>
      </c>
      <c r="Y378" s="21"/>
      <c r="Z378" s="22"/>
      <c r="AA378" s="23" t="s">
        <v>1319</v>
      </c>
      <c r="AB378" s="13"/>
    </row>
    <row r="379" customFormat="false" ht="29.85" hidden="false" customHeight="false" outlineLevel="0" collapsed="false">
      <c r="A379" s="16" t="n">
        <v>378</v>
      </c>
      <c r="B379" s="9" t="s">
        <v>65</v>
      </c>
      <c r="C379" s="9" t="s">
        <v>542</v>
      </c>
      <c r="D379" s="10" t="s">
        <v>543</v>
      </c>
      <c r="E379" s="24" t="s">
        <v>1320</v>
      </c>
      <c r="F379" s="12"/>
      <c r="G379" s="23" t="s">
        <v>199</v>
      </c>
      <c r="H379" s="14" t="n">
        <v>-0.911</v>
      </c>
      <c r="I379" s="15"/>
      <c r="J379" s="12"/>
      <c r="K379" s="9"/>
      <c r="L379" s="16" t="s">
        <v>51</v>
      </c>
      <c r="M379" s="17" t="s">
        <v>79</v>
      </c>
      <c r="N379" s="15"/>
      <c r="O379" s="16" t="s">
        <v>54</v>
      </c>
      <c r="P379" s="12" t="s">
        <v>890</v>
      </c>
      <c r="Q379" s="16"/>
      <c r="R379" s="18" t="s">
        <v>79</v>
      </c>
      <c r="S379" s="19"/>
      <c r="T379" s="12" t="str">
        <f aca="false">IF(R379="維持",J379,IF(R379="排除","無關新聞事件",IFERROR(INDEX(事件規則!$B$2:$B$53,MATCH(S379,事件規則!$A$2:$A$53,0)),"")))</f>
        <v>無關新聞事件</v>
      </c>
      <c r="U379" s="20" t="n">
        <f aca="false">IF(R379="維持",K379,IF(R379="排除",0,IFERROR(INDEX(事件規則!$C$2:$C$53,MATCH(S379,事件規則!$A$2:$A$53,0)),"")))</f>
        <v>0</v>
      </c>
      <c r="V379" s="21"/>
      <c r="W379" s="22"/>
      <c r="X379" s="10" t="str">
        <f aca="false">IF(AND(R379="修改",S379=""),"請選新事件代碼",IF(AND(R379&lt;&gt;"修改",S379&lt;&gt;""),"只有「修改」才需填代碼",""))</f>
        <v/>
      </c>
      <c r="Y379" s="21"/>
      <c r="Z379" s="22"/>
      <c r="AA379" s="23" t="s">
        <v>1321</v>
      </c>
      <c r="AB379" s="13"/>
    </row>
    <row r="380" customFormat="false" ht="29.85" hidden="false" customHeight="false" outlineLevel="0" collapsed="false">
      <c r="A380" s="16" t="n">
        <v>379</v>
      </c>
      <c r="B380" s="9" t="s">
        <v>386</v>
      </c>
      <c r="C380" s="9" t="s">
        <v>341</v>
      </c>
      <c r="D380" s="10" t="s">
        <v>342</v>
      </c>
      <c r="E380" s="24" t="s">
        <v>1322</v>
      </c>
      <c r="F380" s="12"/>
      <c r="G380" s="23" t="s">
        <v>1323</v>
      </c>
      <c r="H380" s="14" t="n">
        <v>-0.911</v>
      </c>
      <c r="I380" s="15"/>
      <c r="J380" s="12"/>
      <c r="K380" s="9"/>
      <c r="L380" s="16" t="s">
        <v>51</v>
      </c>
      <c r="M380" s="17" t="s">
        <v>79</v>
      </c>
      <c r="N380" s="15"/>
      <c r="O380" s="16" t="s">
        <v>54</v>
      </c>
      <c r="P380" s="12" t="s">
        <v>890</v>
      </c>
      <c r="Q380" s="16"/>
      <c r="R380" s="18" t="s">
        <v>79</v>
      </c>
      <c r="S380" s="19"/>
      <c r="T380" s="12" t="str">
        <f aca="false">IF(R380="維持",J380,IF(R380="排除","無關新聞事件",IFERROR(INDEX(事件規則!$B$2:$B$53,MATCH(S380,事件規則!$A$2:$A$53,0)),"")))</f>
        <v>無關新聞事件</v>
      </c>
      <c r="U380" s="20" t="n">
        <f aca="false">IF(R380="維持",K380,IF(R380="排除",0,IFERROR(INDEX(事件規則!$C$2:$C$53,MATCH(S380,事件規則!$A$2:$A$53,0)),"")))</f>
        <v>0</v>
      </c>
      <c r="V380" s="21"/>
      <c r="W380" s="22"/>
      <c r="X380" s="10" t="str">
        <f aca="false">IF(AND(R380="修改",S380=""),"請選新事件代碼",IF(AND(R380&lt;&gt;"修改",S380&lt;&gt;""),"只有「修改」才需填代碼",""))</f>
        <v/>
      </c>
      <c r="Y380" s="21"/>
      <c r="Z380" s="22"/>
      <c r="AA380" s="23" t="s">
        <v>1324</v>
      </c>
      <c r="AB380" s="13"/>
    </row>
    <row r="381" customFormat="false" ht="29.85" hidden="false" customHeight="false" outlineLevel="0" collapsed="false">
      <c r="A381" s="16" t="n">
        <v>380</v>
      </c>
      <c r="B381" s="9" t="s">
        <v>331</v>
      </c>
      <c r="C381" s="9" t="s">
        <v>1325</v>
      </c>
      <c r="D381" s="10" t="s">
        <v>1326</v>
      </c>
      <c r="E381" s="24" t="s">
        <v>1327</v>
      </c>
      <c r="F381" s="12"/>
      <c r="G381" s="23" t="s">
        <v>1328</v>
      </c>
      <c r="H381" s="14" t="n">
        <v>-0.911</v>
      </c>
      <c r="I381" s="15"/>
      <c r="J381" s="12"/>
      <c r="K381" s="9"/>
      <c r="L381" s="16" t="s">
        <v>51</v>
      </c>
      <c r="M381" s="17" t="s">
        <v>79</v>
      </c>
      <c r="N381" s="15"/>
      <c r="O381" s="16" t="s">
        <v>54</v>
      </c>
      <c r="P381" s="12" t="s">
        <v>890</v>
      </c>
      <c r="Q381" s="16"/>
      <c r="R381" s="18" t="s">
        <v>79</v>
      </c>
      <c r="S381" s="19"/>
      <c r="T381" s="12" t="str">
        <f aca="false">IF(R381="維持",J381,IF(R381="排除","無關新聞事件",IFERROR(INDEX(事件規則!$B$2:$B$53,MATCH(S381,事件規則!$A$2:$A$53,0)),"")))</f>
        <v>無關新聞事件</v>
      </c>
      <c r="U381" s="20" t="n">
        <f aca="false">IF(R381="維持",K381,IF(R381="排除",0,IFERROR(INDEX(事件規則!$C$2:$C$53,MATCH(S381,事件規則!$A$2:$A$53,0)),"")))</f>
        <v>0</v>
      </c>
      <c r="V381" s="21"/>
      <c r="W381" s="22"/>
      <c r="X381" s="10" t="str">
        <f aca="false">IF(AND(R381="修改",S381=""),"請選新事件代碼",IF(AND(R381&lt;&gt;"修改",S381&lt;&gt;""),"只有「修改」才需填代碼",""))</f>
        <v/>
      </c>
      <c r="Y381" s="21"/>
      <c r="Z381" s="22"/>
      <c r="AA381" s="23" t="s">
        <v>1329</v>
      </c>
      <c r="AB381" s="13"/>
    </row>
    <row r="382" customFormat="false" ht="23.85" hidden="false" customHeight="false" outlineLevel="0" collapsed="false">
      <c r="A382" s="16" t="n">
        <v>381</v>
      </c>
      <c r="B382" s="9" t="s">
        <v>331</v>
      </c>
      <c r="C382" s="9" t="s">
        <v>93</v>
      </c>
      <c r="D382" s="10" t="s">
        <v>94</v>
      </c>
      <c r="E382" s="24" t="s">
        <v>1330</v>
      </c>
      <c r="F382" s="12"/>
      <c r="G382" s="23" t="s">
        <v>335</v>
      </c>
      <c r="H382" s="14" t="n">
        <v>-0.911</v>
      </c>
      <c r="I382" s="15"/>
      <c r="J382" s="12"/>
      <c r="K382" s="9"/>
      <c r="L382" s="16" t="s">
        <v>51</v>
      </c>
      <c r="M382" s="17" t="s">
        <v>52</v>
      </c>
      <c r="N382" s="15" t="s">
        <v>61</v>
      </c>
      <c r="O382" s="16" t="s">
        <v>62</v>
      </c>
      <c r="P382" s="10" t="s">
        <v>1331</v>
      </c>
      <c r="Q382" s="16"/>
      <c r="R382" s="18" t="s">
        <v>52</v>
      </c>
      <c r="S382" s="19" t="s">
        <v>61</v>
      </c>
      <c r="T382" s="12" t="str">
        <f aca="false">IF(R382="維持",J382,IF(R382="排除","無關新聞事件",IFERROR(INDEX(事件規則!$B$2:$B$53,MATCH(S382,事件規則!$A$2:$A$53,0)),"")))</f>
        <v>裁員或人力縮減</v>
      </c>
      <c r="U382" s="20" t="n">
        <f aca="false">IF(R382="維持",K382,IF(R382="排除",0,IFERROR(INDEX(事件規則!$C$2:$C$53,MATCH(S382,事件規則!$A$2:$A$53,0)),"")))</f>
        <v>3</v>
      </c>
      <c r="V382" s="21"/>
      <c r="W382" s="22"/>
      <c r="X382" s="10" t="str">
        <f aca="false">IF(AND(R382="修改",S382=""),"請選新事件代碼",IF(AND(R382&lt;&gt;"修改",S382&lt;&gt;""),"只有「修改」才需填代碼",""))</f>
        <v/>
      </c>
      <c r="Y382" s="21"/>
      <c r="Z382" s="22"/>
      <c r="AA382" s="23" t="s">
        <v>1332</v>
      </c>
      <c r="AB382" s="13"/>
    </row>
    <row r="383" customFormat="false" ht="29.85" hidden="false" customHeight="false" outlineLevel="0" collapsed="false">
      <c r="A383" s="16" t="n">
        <v>382</v>
      </c>
      <c r="B383" s="9" t="s">
        <v>331</v>
      </c>
      <c r="C383" s="9" t="s">
        <v>149</v>
      </c>
      <c r="D383" s="10" t="s">
        <v>150</v>
      </c>
      <c r="E383" s="24" t="s">
        <v>1333</v>
      </c>
      <c r="F383" s="12"/>
      <c r="G383" s="23" t="s">
        <v>1013</v>
      </c>
      <c r="H383" s="14" t="n">
        <v>-0.91</v>
      </c>
      <c r="I383" s="15"/>
      <c r="J383" s="12"/>
      <c r="K383" s="9"/>
      <c r="L383" s="16" t="s">
        <v>51</v>
      </c>
      <c r="M383" s="17" t="s">
        <v>79</v>
      </c>
      <c r="N383" s="15"/>
      <c r="O383" s="16" t="s">
        <v>54</v>
      </c>
      <c r="P383" s="12" t="s">
        <v>890</v>
      </c>
      <c r="Q383" s="16"/>
      <c r="R383" s="18" t="s">
        <v>79</v>
      </c>
      <c r="S383" s="19"/>
      <c r="T383" s="12" t="str">
        <f aca="false">IF(R383="維持",J383,IF(R383="排除","無關新聞事件",IFERROR(INDEX(事件規則!$B$2:$B$53,MATCH(S383,事件規則!$A$2:$A$53,0)),"")))</f>
        <v>無關新聞事件</v>
      </c>
      <c r="U383" s="20" t="n">
        <f aca="false">IF(R383="維持",K383,IF(R383="排除",0,IFERROR(INDEX(事件規則!$C$2:$C$53,MATCH(S383,事件規則!$A$2:$A$53,0)),"")))</f>
        <v>0</v>
      </c>
      <c r="V383" s="21"/>
      <c r="W383" s="22"/>
      <c r="X383" s="10" t="str">
        <f aca="false">IF(AND(R383="修改",S383=""),"請選新事件代碼",IF(AND(R383&lt;&gt;"修改",S383&lt;&gt;""),"只有「修改」才需填代碼",""))</f>
        <v/>
      </c>
      <c r="Y383" s="21"/>
      <c r="Z383" s="22"/>
      <c r="AA383" s="23" t="s">
        <v>1334</v>
      </c>
      <c r="AB383" s="13"/>
    </row>
    <row r="384" customFormat="false" ht="29.85" hidden="false" customHeight="false" outlineLevel="0" collapsed="false">
      <c r="A384" s="16" t="n">
        <v>383</v>
      </c>
      <c r="B384" s="9" t="s">
        <v>65</v>
      </c>
      <c r="C384" s="9" t="s">
        <v>524</v>
      </c>
      <c r="D384" s="10" t="s">
        <v>525</v>
      </c>
      <c r="E384" s="24" t="s">
        <v>1335</v>
      </c>
      <c r="F384" s="12"/>
      <c r="G384" s="23" t="s">
        <v>1336</v>
      </c>
      <c r="H384" s="14" t="n">
        <v>-0.91</v>
      </c>
      <c r="I384" s="15"/>
      <c r="J384" s="12"/>
      <c r="K384" s="9"/>
      <c r="L384" s="16" t="s">
        <v>51</v>
      </c>
      <c r="M384" s="17" t="s">
        <v>79</v>
      </c>
      <c r="N384" s="15"/>
      <c r="O384" s="16" t="s">
        <v>54</v>
      </c>
      <c r="P384" s="12" t="s">
        <v>890</v>
      </c>
      <c r="Q384" s="16"/>
      <c r="R384" s="18" t="s">
        <v>79</v>
      </c>
      <c r="S384" s="19"/>
      <c r="T384" s="12" t="str">
        <f aca="false">IF(R384="維持",J384,IF(R384="排除","無關新聞事件",IFERROR(INDEX(事件規則!$B$2:$B$53,MATCH(S384,事件規則!$A$2:$A$53,0)),"")))</f>
        <v>無關新聞事件</v>
      </c>
      <c r="U384" s="20" t="n">
        <f aca="false">IF(R384="維持",K384,IF(R384="排除",0,IFERROR(INDEX(事件規則!$C$2:$C$53,MATCH(S384,事件規則!$A$2:$A$53,0)),"")))</f>
        <v>0</v>
      </c>
      <c r="V384" s="21"/>
      <c r="W384" s="22"/>
      <c r="X384" s="10" t="str">
        <f aca="false">IF(AND(R384="修改",S384=""),"請選新事件代碼",IF(AND(R384&lt;&gt;"修改",S384&lt;&gt;""),"只有「修改」才需填代碼",""))</f>
        <v/>
      </c>
      <c r="Y384" s="21"/>
      <c r="Z384" s="22"/>
      <c r="AA384" s="23" t="s">
        <v>1337</v>
      </c>
      <c r="AB384" s="13"/>
    </row>
    <row r="385" customFormat="false" ht="29.85" hidden="false" customHeight="false" outlineLevel="0" collapsed="false">
      <c r="A385" s="16" t="n">
        <v>384</v>
      </c>
      <c r="B385" s="9" t="s">
        <v>65</v>
      </c>
      <c r="C385" s="9" t="s">
        <v>346</v>
      </c>
      <c r="D385" s="10" t="s">
        <v>347</v>
      </c>
      <c r="E385" s="24" t="s">
        <v>1338</v>
      </c>
      <c r="F385" s="12"/>
      <c r="G385" s="23" t="s">
        <v>559</v>
      </c>
      <c r="H385" s="14" t="n">
        <v>-0.91</v>
      </c>
      <c r="I385" s="15"/>
      <c r="J385" s="12"/>
      <c r="K385" s="9"/>
      <c r="L385" s="16" t="s">
        <v>51</v>
      </c>
      <c r="M385" s="17" t="s">
        <v>79</v>
      </c>
      <c r="N385" s="15"/>
      <c r="O385" s="16" t="s">
        <v>54</v>
      </c>
      <c r="P385" s="12" t="s">
        <v>890</v>
      </c>
      <c r="Q385" s="16"/>
      <c r="R385" s="18" t="s">
        <v>79</v>
      </c>
      <c r="S385" s="19"/>
      <c r="T385" s="12" t="str">
        <f aca="false">IF(R385="維持",J385,IF(R385="排除","無關新聞事件",IFERROR(INDEX(事件規則!$B$2:$B$53,MATCH(S385,事件規則!$A$2:$A$53,0)),"")))</f>
        <v>無關新聞事件</v>
      </c>
      <c r="U385" s="20" t="n">
        <f aca="false">IF(R385="維持",K385,IF(R385="排除",0,IFERROR(INDEX(事件規則!$C$2:$C$53,MATCH(S385,事件規則!$A$2:$A$53,0)),"")))</f>
        <v>0</v>
      </c>
      <c r="V385" s="21"/>
      <c r="W385" s="22"/>
      <c r="X385" s="10" t="str">
        <f aca="false">IF(AND(R385="修改",S385=""),"請選新事件代碼",IF(AND(R385&lt;&gt;"修改",S385&lt;&gt;""),"只有「修改」才需填代碼",""))</f>
        <v/>
      </c>
      <c r="Y385" s="21"/>
      <c r="Z385" s="22"/>
      <c r="AA385" s="23" t="s">
        <v>1339</v>
      </c>
      <c r="AB385" s="13"/>
    </row>
    <row r="386" customFormat="false" ht="29.85" hidden="false" customHeight="false" outlineLevel="0" collapsed="false">
      <c r="A386" s="16" t="n">
        <v>385</v>
      </c>
      <c r="B386" s="9" t="s">
        <v>331</v>
      </c>
      <c r="C386" s="9" t="s">
        <v>341</v>
      </c>
      <c r="D386" s="10" t="s">
        <v>342</v>
      </c>
      <c r="E386" s="24" t="s">
        <v>1340</v>
      </c>
      <c r="F386" s="12"/>
      <c r="G386" s="23" t="s">
        <v>1341</v>
      </c>
      <c r="H386" s="14" t="n">
        <v>-0.91</v>
      </c>
      <c r="I386" s="15"/>
      <c r="J386" s="12"/>
      <c r="K386" s="9"/>
      <c r="L386" s="16" t="s">
        <v>51</v>
      </c>
      <c r="M386" s="17" t="s">
        <v>79</v>
      </c>
      <c r="N386" s="15"/>
      <c r="O386" s="16" t="s">
        <v>54</v>
      </c>
      <c r="P386" s="12" t="s">
        <v>890</v>
      </c>
      <c r="Q386" s="16"/>
      <c r="R386" s="18" t="s">
        <v>79</v>
      </c>
      <c r="S386" s="19"/>
      <c r="T386" s="12" t="str">
        <f aca="false">IF(R386="維持",J386,IF(R386="排除","無關新聞事件",IFERROR(INDEX(事件規則!$B$2:$B$53,MATCH(S386,事件規則!$A$2:$A$53,0)),"")))</f>
        <v>無關新聞事件</v>
      </c>
      <c r="U386" s="20" t="n">
        <f aca="false">IF(R386="維持",K386,IF(R386="排除",0,IFERROR(INDEX(事件規則!$C$2:$C$53,MATCH(S386,事件規則!$A$2:$A$53,0)),"")))</f>
        <v>0</v>
      </c>
      <c r="V386" s="21"/>
      <c r="W386" s="22"/>
      <c r="X386" s="10" t="str">
        <f aca="false">IF(AND(R386="修改",S386=""),"請選新事件代碼",IF(AND(R386&lt;&gt;"修改",S386&lt;&gt;""),"只有「修改」才需填代碼",""))</f>
        <v/>
      </c>
      <c r="Y386" s="21"/>
      <c r="Z386" s="22"/>
      <c r="AA386" s="23" t="s">
        <v>1342</v>
      </c>
      <c r="AB386" s="13"/>
    </row>
    <row r="387" customFormat="false" ht="29.85" hidden="false" customHeight="false" outlineLevel="0" collapsed="false">
      <c r="A387" s="16" t="n">
        <v>386</v>
      </c>
      <c r="B387" s="9" t="s">
        <v>65</v>
      </c>
      <c r="C387" s="9" t="s">
        <v>1072</v>
      </c>
      <c r="D387" s="10" t="s">
        <v>1073</v>
      </c>
      <c r="E387" s="24" t="s">
        <v>1343</v>
      </c>
      <c r="F387" s="12"/>
      <c r="G387" s="23" t="s">
        <v>120</v>
      </c>
      <c r="H387" s="14" t="n">
        <v>-0.91</v>
      </c>
      <c r="I387" s="15"/>
      <c r="J387" s="12"/>
      <c r="K387" s="9"/>
      <c r="L387" s="16" t="s">
        <v>51</v>
      </c>
      <c r="M387" s="17" t="s">
        <v>79</v>
      </c>
      <c r="N387" s="15"/>
      <c r="O387" s="16" t="s">
        <v>54</v>
      </c>
      <c r="P387" s="12" t="s">
        <v>890</v>
      </c>
      <c r="Q387" s="16"/>
      <c r="R387" s="18" t="s">
        <v>79</v>
      </c>
      <c r="S387" s="19"/>
      <c r="T387" s="12" t="str">
        <f aca="false">IF(R387="維持",J387,IF(R387="排除","無關新聞事件",IFERROR(INDEX(事件規則!$B$2:$B$53,MATCH(S387,事件規則!$A$2:$A$53,0)),"")))</f>
        <v>無關新聞事件</v>
      </c>
      <c r="U387" s="20" t="n">
        <f aca="false">IF(R387="維持",K387,IF(R387="排除",0,IFERROR(INDEX(事件規則!$C$2:$C$53,MATCH(S387,事件規則!$A$2:$A$53,0)),"")))</f>
        <v>0</v>
      </c>
      <c r="V387" s="21"/>
      <c r="W387" s="22"/>
      <c r="X387" s="10" t="str">
        <f aca="false">IF(AND(R387="修改",S387=""),"請選新事件代碼",IF(AND(R387&lt;&gt;"修改",S387&lt;&gt;""),"只有「修改」才需填代碼",""))</f>
        <v/>
      </c>
      <c r="Y387" s="21"/>
      <c r="Z387" s="22"/>
      <c r="AA387" s="23" t="s">
        <v>1344</v>
      </c>
      <c r="AB387" s="13"/>
    </row>
    <row r="388" customFormat="false" ht="29.85" hidden="false" customHeight="false" outlineLevel="0" collapsed="false">
      <c r="A388" s="16" t="n">
        <v>387</v>
      </c>
      <c r="B388" s="9" t="s">
        <v>386</v>
      </c>
      <c r="C388" s="9" t="s">
        <v>99</v>
      </c>
      <c r="D388" s="10" t="s">
        <v>100</v>
      </c>
      <c r="E388" s="24" t="s">
        <v>1345</v>
      </c>
      <c r="F388" s="12"/>
      <c r="G388" s="23" t="s">
        <v>1346</v>
      </c>
      <c r="H388" s="14" t="n">
        <v>-0.91</v>
      </c>
      <c r="I388" s="15"/>
      <c r="J388" s="12"/>
      <c r="K388" s="9"/>
      <c r="L388" s="16" t="s">
        <v>51</v>
      </c>
      <c r="M388" s="17" t="s">
        <v>79</v>
      </c>
      <c r="N388" s="15"/>
      <c r="O388" s="16" t="s">
        <v>54</v>
      </c>
      <c r="P388" s="12" t="s">
        <v>890</v>
      </c>
      <c r="Q388" s="16"/>
      <c r="R388" s="18" t="s">
        <v>79</v>
      </c>
      <c r="S388" s="19"/>
      <c r="T388" s="12" t="str">
        <f aca="false">IF(R388="維持",J388,IF(R388="排除","無關新聞事件",IFERROR(INDEX(事件規則!$B$2:$B$53,MATCH(S388,事件規則!$A$2:$A$53,0)),"")))</f>
        <v>無關新聞事件</v>
      </c>
      <c r="U388" s="20" t="n">
        <f aca="false">IF(R388="維持",K388,IF(R388="排除",0,IFERROR(INDEX(事件規則!$C$2:$C$53,MATCH(S388,事件規則!$A$2:$A$53,0)),"")))</f>
        <v>0</v>
      </c>
      <c r="V388" s="21"/>
      <c r="W388" s="22"/>
      <c r="X388" s="10" t="str">
        <f aca="false">IF(AND(R388="修改",S388=""),"請選新事件代碼",IF(AND(R388&lt;&gt;"修改",S388&lt;&gt;""),"只有「修改」才需填代碼",""))</f>
        <v/>
      </c>
      <c r="Y388" s="21"/>
      <c r="Z388" s="22"/>
      <c r="AA388" s="23" t="s">
        <v>1347</v>
      </c>
      <c r="AB388" s="13"/>
    </row>
    <row r="389" customFormat="false" ht="15" hidden="false" customHeight="false" outlineLevel="0" collapsed="false">
      <c r="A389" s="16" t="n">
        <v>388</v>
      </c>
      <c r="B389" s="9" t="s">
        <v>45</v>
      </c>
      <c r="C389" s="16"/>
      <c r="D389" s="10" t="s">
        <v>1348</v>
      </c>
      <c r="E389" s="24" t="s">
        <v>1349</v>
      </c>
      <c r="F389" s="12"/>
      <c r="G389" s="23" t="s">
        <v>120</v>
      </c>
      <c r="H389" s="14" t="n">
        <v>-0.91</v>
      </c>
      <c r="I389" s="15"/>
      <c r="J389" s="12"/>
      <c r="K389" s="9"/>
      <c r="L389" s="16" t="s">
        <v>51</v>
      </c>
      <c r="M389" s="17" t="s">
        <v>52</v>
      </c>
      <c r="N389" s="15" t="s">
        <v>736</v>
      </c>
      <c r="O389" s="16" t="s">
        <v>105</v>
      </c>
      <c r="P389" s="10" t="s">
        <v>1350</v>
      </c>
      <c r="Q389" s="16" t="s">
        <v>416</v>
      </c>
      <c r="R389" s="18" t="s">
        <v>52</v>
      </c>
      <c r="S389" s="19" t="s">
        <v>736</v>
      </c>
      <c r="T389" s="12" t="str">
        <f aca="false">IF(R389="維持",J389,IF(R389="排除","無關新聞事件",IFERROR(INDEX(事件規則!$B$2:$B$53,MATCH(S389,事件規則!$A$2:$A$53,0)),"")))</f>
        <v>重大訴訟</v>
      </c>
      <c r="U389" s="20" t="n">
        <f aca="false">IF(R389="維持",K389,IF(R389="排除",0,IFERROR(INDEX(事件規則!$C$2:$C$53,MATCH(S389,事件規則!$A$2:$A$53,0)),"")))</f>
        <v>4</v>
      </c>
      <c r="V389" s="21"/>
      <c r="W389" s="22" t="s">
        <v>1351</v>
      </c>
      <c r="X389" s="10" t="str">
        <f aca="false">IF(AND(R389="修改",S389=""),"請選新事件代碼",IF(AND(R389&lt;&gt;"修改",S389&lt;&gt;""),"只有「修改」才需填代碼",""))</f>
        <v/>
      </c>
      <c r="Y389" s="21"/>
      <c r="Z389" s="22"/>
      <c r="AA389" s="23" t="s">
        <v>1352</v>
      </c>
      <c r="AB389" s="13"/>
    </row>
    <row r="390" customFormat="false" ht="29.85" hidden="false" customHeight="false" outlineLevel="0" collapsed="false">
      <c r="A390" s="16" t="n">
        <v>389</v>
      </c>
      <c r="B390" s="9" t="s">
        <v>386</v>
      </c>
      <c r="C390" s="9" t="s">
        <v>156</v>
      </c>
      <c r="D390" s="10" t="s">
        <v>157</v>
      </c>
      <c r="E390" s="24" t="s">
        <v>1353</v>
      </c>
      <c r="F390" s="12"/>
      <c r="G390" s="23" t="s">
        <v>292</v>
      </c>
      <c r="H390" s="14" t="n">
        <v>-0.91</v>
      </c>
      <c r="I390" s="15"/>
      <c r="J390" s="12"/>
      <c r="K390" s="9"/>
      <c r="L390" s="16" t="s">
        <v>51</v>
      </c>
      <c r="M390" s="17" t="s">
        <v>79</v>
      </c>
      <c r="N390" s="15"/>
      <c r="O390" s="16" t="s">
        <v>54</v>
      </c>
      <c r="P390" s="12" t="s">
        <v>890</v>
      </c>
      <c r="Q390" s="16"/>
      <c r="R390" s="18" t="s">
        <v>79</v>
      </c>
      <c r="S390" s="19"/>
      <c r="T390" s="12" t="str">
        <f aca="false">IF(R390="維持",J390,IF(R390="排除","無關新聞事件",IFERROR(INDEX(事件規則!$B$2:$B$53,MATCH(S390,事件規則!$A$2:$A$53,0)),"")))</f>
        <v>無關新聞事件</v>
      </c>
      <c r="U390" s="20" t="n">
        <f aca="false">IF(R390="維持",K390,IF(R390="排除",0,IFERROR(INDEX(事件規則!$C$2:$C$53,MATCH(S390,事件規則!$A$2:$A$53,0)),"")))</f>
        <v>0</v>
      </c>
      <c r="V390" s="21"/>
      <c r="W390" s="22"/>
      <c r="X390" s="10" t="str">
        <f aca="false">IF(AND(R390="修改",S390=""),"請選新事件代碼",IF(AND(R390&lt;&gt;"修改",S390&lt;&gt;""),"只有「修改」才需填代碼",""))</f>
        <v/>
      </c>
      <c r="Y390" s="21"/>
      <c r="Z390" s="22"/>
      <c r="AA390" s="23" t="s">
        <v>1354</v>
      </c>
      <c r="AB390" s="13"/>
    </row>
    <row r="391" customFormat="false" ht="15" hidden="false" customHeight="false" outlineLevel="0" collapsed="false">
      <c r="A391" s="16" t="n">
        <v>390</v>
      </c>
      <c r="B391" s="9" t="s">
        <v>65</v>
      </c>
      <c r="C391" s="9" t="s">
        <v>88</v>
      </c>
      <c r="D391" s="10" t="s">
        <v>89</v>
      </c>
      <c r="E391" s="24" t="s">
        <v>1355</v>
      </c>
      <c r="F391" s="12"/>
      <c r="G391" s="23" t="s">
        <v>224</v>
      </c>
      <c r="H391" s="14" t="n">
        <v>-0.91</v>
      </c>
      <c r="I391" s="15"/>
      <c r="J391" s="12"/>
      <c r="K391" s="9"/>
      <c r="L391" s="16" t="s">
        <v>51</v>
      </c>
      <c r="M391" s="17" t="s">
        <v>52</v>
      </c>
      <c r="N391" s="15" t="s">
        <v>53</v>
      </c>
      <c r="O391" s="16" t="s">
        <v>54</v>
      </c>
      <c r="P391" s="10" t="s">
        <v>926</v>
      </c>
      <c r="Q391" s="16"/>
      <c r="R391" s="18" t="s">
        <v>52</v>
      </c>
      <c r="S391" s="19" t="s">
        <v>53</v>
      </c>
      <c r="T391" s="12" t="str">
        <f aca="false">IF(R391="維持",J391,IF(R391="排除","無關新聞事件",IFERROR(INDEX(事件規則!$B$2:$B$53,MATCH(S391,事件規則!$A$2:$A$53,0)),"")))</f>
        <v>股價下跌</v>
      </c>
      <c r="U391" s="20" t="n">
        <f aca="false">IF(R391="維持",K391,IF(R391="排除",0,IFERROR(INDEX(事件規則!$C$2:$C$53,MATCH(S391,事件規則!$A$2:$A$53,0)),"")))</f>
        <v>1</v>
      </c>
      <c r="V391" s="21"/>
      <c r="W391" s="22"/>
      <c r="X391" s="10" t="str">
        <f aca="false">IF(AND(R391="修改",S391=""),"請選新事件代碼",IF(AND(R391&lt;&gt;"修改",S391&lt;&gt;""),"只有「修改」才需填代碼",""))</f>
        <v/>
      </c>
      <c r="Y391" s="21"/>
      <c r="Z391" s="22"/>
      <c r="AA391" s="23" t="s">
        <v>1356</v>
      </c>
      <c r="AB391" s="13"/>
    </row>
    <row r="392" customFormat="false" ht="29.85" hidden="false" customHeight="false" outlineLevel="0" collapsed="false">
      <c r="A392" s="16" t="n">
        <v>391</v>
      </c>
      <c r="B392" s="9" t="s">
        <v>65</v>
      </c>
      <c r="C392" s="9" t="s">
        <v>854</v>
      </c>
      <c r="D392" s="10" t="s">
        <v>855</v>
      </c>
      <c r="E392" s="24" t="s">
        <v>1357</v>
      </c>
      <c r="F392" s="12"/>
      <c r="G392" s="23" t="s">
        <v>1358</v>
      </c>
      <c r="H392" s="14" t="n">
        <v>-0.91</v>
      </c>
      <c r="I392" s="15"/>
      <c r="J392" s="12"/>
      <c r="K392" s="9"/>
      <c r="L392" s="16" t="s">
        <v>51</v>
      </c>
      <c r="M392" s="17" t="s">
        <v>79</v>
      </c>
      <c r="N392" s="15"/>
      <c r="O392" s="16" t="s">
        <v>54</v>
      </c>
      <c r="P392" s="12" t="s">
        <v>890</v>
      </c>
      <c r="Q392" s="16"/>
      <c r="R392" s="18" t="s">
        <v>79</v>
      </c>
      <c r="S392" s="19"/>
      <c r="T392" s="12" t="str">
        <f aca="false">IF(R392="維持",J392,IF(R392="排除","無關新聞事件",IFERROR(INDEX(事件規則!$B$2:$B$53,MATCH(S392,事件規則!$A$2:$A$53,0)),"")))</f>
        <v>無關新聞事件</v>
      </c>
      <c r="U392" s="20" t="n">
        <f aca="false">IF(R392="維持",K392,IF(R392="排除",0,IFERROR(INDEX(事件規則!$C$2:$C$53,MATCH(S392,事件規則!$A$2:$A$53,0)),"")))</f>
        <v>0</v>
      </c>
      <c r="V392" s="21"/>
      <c r="W392" s="22"/>
      <c r="X392" s="10" t="str">
        <f aca="false">IF(AND(R392="修改",S392=""),"請選新事件代碼",IF(AND(R392&lt;&gt;"修改",S392&lt;&gt;""),"只有「修改」才需填代碼",""))</f>
        <v/>
      </c>
      <c r="Y392" s="21"/>
      <c r="Z392" s="22"/>
      <c r="AA392" s="23" t="s">
        <v>1359</v>
      </c>
      <c r="AB392" s="13"/>
    </row>
    <row r="393" customFormat="false" ht="29.85" hidden="false" customHeight="false" outlineLevel="0" collapsed="false">
      <c r="A393" s="16" t="n">
        <v>392</v>
      </c>
      <c r="B393" s="9" t="s">
        <v>65</v>
      </c>
      <c r="C393" s="9" t="s">
        <v>142</v>
      </c>
      <c r="D393" s="10" t="s">
        <v>143</v>
      </c>
      <c r="E393" s="24" t="s">
        <v>1360</v>
      </c>
      <c r="F393" s="12"/>
      <c r="G393" s="23" t="s">
        <v>1361</v>
      </c>
      <c r="H393" s="14" t="n">
        <v>-0.909</v>
      </c>
      <c r="I393" s="15"/>
      <c r="J393" s="12"/>
      <c r="K393" s="9"/>
      <c r="L393" s="16" t="s">
        <v>51</v>
      </c>
      <c r="M393" s="17" t="s">
        <v>79</v>
      </c>
      <c r="N393" s="15"/>
      <c r="O393" s="16" t="s">
        <v>54</v>
      </c>
      <c r="P393" s="12" t="s">
        <v>890</v>
      </c>
      <c r="Q393" s="16"/>
      <c r="R393" s="18" t="s">
        <v>79</v>
      </c>
      <c r="S393" s="19"/>
      <c r="T393" s="12" t="str">
        <f aca="false">IF(R393="維持",J393,IF(R393="排除","無關新聞事件",IFERROR(INDEX(事件規則!$B$2:$B$53,MATCH(S393,事件規則!$A$2:$A$53,0)),"")))</f>
        <v>無關新聞事件</v>
      </c>
      <c r="U393" s="20" t="n">
        <f aca="false">IF(R393="維持",K393,IF(R393="排除",0,IFERROR(INDEX(事件規則!$C$2:$C$53,MATCH(S393,事件規則!$A$2:$A$53,0)),"")))</f>
        <v>0</v>
      </c>
      <c r="V393" s="21"/>
      <c r="W393" s="22"/>
      <c r="X393" s="10" t="str">
        <f aca="false">IF(AND(R393="修改",S393=""),"請選新事件代碼",IF(AND(R393&lt;&gt;"修改",S393&lt;&gt;""),"只有「修改」才需填代碼",""))</f>
        <v/>
      </c>
      <c r="Y393" s="21"/>
      <c r="Z393" s="22"/>
      <c r="AA393" s="23" t="s">
        <v>1362</v>
      </c>
      <c r="AB393" s="13"/>
    </row>
    <row r="394" customFormat="false" ht="29.85" hidden="false" customHeight="false" outlineLevel="0" collapsed="false">
      <c r="A394" s="16" t="n">
        <v>393</v>
      </c>
      <c r="B394" s="9" t="s">
        <v>65</v>
      </c>
      <c r="C394" s="9" t="s">
        <v>1363</v>
      </c>
      <c r="D394" s="10" t="s">
        <v>1364</v>
      </c>
      <c r="E394" s="24" t="s">
        <v>1365</v>
      </c>
      <c r="F394" s="12"/>
      <c r="G394" s="23" t="s">
        <v>999</v>
      </c>
      <c r="H394" s="14" t="n">
        <v>-0.909</v>
      </c>
      <c r="I394" s="15"/>
      <c r="J394" s="12"/>
      <c r="K394" s="9"/>
      <c r="L394" s="16" t="s">
        <v>51</v>
      </c>
      <c r="M394" s="17" t="s">
        <v>79</v>
      </c>
      <c r="N394" s="15"/>
      <c r="O394" s="16" t="s">
        <v>54</v>
      </c>
      <c r="P394" s="12" t="s">
        <v>890</v>
      </c>
      <c r="Q394" s="16"/>
      <c r="R394" s="18" t="s">
        <v>79</v>
      </c>
      <c r="S394" s="19"/>
      <c r="T394" s="12" t="str">
        <f aca="false">IF(R394="維持",J394,IF(R394="排除","無關新聞事件",IFERROR(INDEX(事件規則!$B$2:$B$53,MATCH(S394,事件規則!$A$2:$A$53,0)),"")))</f>
        <v>無關新聞事件</v>
      </c>
      <c r="U394" s="20" t="n">
        <f aca="false">IF(R394="維持",K394,IF(R394="排除",0,IFERROR(INDEX(事件規則!$C$2:$C$53,MATCH(S394,事件規則!$A$2:$A$53,0)),"")))</f>
        <v>0</v>
      </c>
      <c r="V394" s="21"/>
      <c r="W394" s="22"/>
      <c r="X394" s="10" t="str">
        <f aca="false">IF(AND(R394="修改",S394=""),"請選新事件代碼",IF(AND(R394&lt;&gt;"修改",S394&lt;&gt;""),"只有「修改」才需填代碼",""))</f>
        <v/>
      </c>
      <c r="Y394" s="21"/>
      <c r="Z394" s="22"/>
      <c r="AA394" s="23" t="s">
        <v>1366</v>
      </c>
      <c r="AB394" s="13"/>
    </row>
    <row r="395" customFormat="false" ht="29.85" hidden="false" customHeight="false" outlineLevel="0" collapsed="false">
      <c r="A395" s="16" t="n">
        <v>394</v>
      </c>
      <c r="B395" s="9" t="s">
        <v>65</v>
      </c>
      <c r="C395" s="9" t="s">
        <v>1367</v>
      </c>
      <c r="D395" s="10" t="s">
        <v>1368</v>
      </c>
      <c r="E395" s="24" t="s">
        <v>1369</v>
      </c>
      <c r="F395" s="12"/>
      <c r="G395" s="23" t="s">
        <v>999</v>
      </c>
      <c r="H395" s="14" t="n">
        <v>-0.908</v>
      </c>
      <c r="I395" s="15"/>
      <c r="J395" s="12"/>
      <c r="K395" s="9"/>
      <c r="L395" s="16" t="s">
        <v>51</v>
      </c>
      <c r="M395" s="17" t="s">
        <v>79</v>
      </c>
      <c r="N395" s="15"/>
      <c r="O395" s="16" t="s">
        <v>54</v>
      </c>
      <c r="P395" s="12" t="s">
        <v>890</v>
      </c>
      <c r="Q395" s="16"/>
      <c r="R395" s="18" t="s">
        <v>79</v>
      </c>
      <c r="S395" s="19"/>
      <c r="T395" s="12" t="str">
        <f aca="false">IF(R395="維持",J395,IF(R395="排除","無關新聞事件",IFERROR(INDEX(事件規則!$B$2:$B$53,MATCH(S395,事件規則!$A$2:$A$53,0)),"")))</f>
        <v>無關新聞事件</v>
      </c>
      <c r="U395" s="20" t="n">
        <f aca="false">IF(R395="維持",K395,IF(R395="排除",0,IFERROR(INDEX(事件規則!$C$2:$C$53,MATCH(S395,事件規則!$A$2:$A$53,0)),"")))</f>
        <v>0</v>
      </c>
      <c r="V395" s="21"/>
      <c r="W395" s="22"/>
      <c r="X395" s="10" t="str">
        <f aca="false">IF(AND(R395="修改",S395=""),"請選新事件代碼",IF(AND(R395&lt;&gt;"修改",S395&lt;&gt;""),"只有「修改」才需填代碼",""))</f>
        <v/>
      </c>
      <c r="Y395" s="21"/>
      <c r="Z395" s="22"/>
      <c r="AA395" s="23" t="s">
        <v>1370</v>
      </c>
      <c r="AB395" s="13"/>
    </row>
    <row r="396" customFormat="false" ht="29.85" hidden="false" customHeight="false" outlineLevel="0" collapsed="false">
      <c r="A396" s="16" t="n">
        <v>395</v>
      </c>
      <c r="B396" s="9" t="s">
        <v>331</v>
      </c>
      <c r="C396" s="9" t="s">
        <v>768</v>
      </c>
      <c r="D396" s="10" t="s">
        <v>769</v>
      </c>
      <c r="E396" s="24" t="s">
        <v>1371</v>
      </c>
      <c r="F396" s="12"/>
      <c r="G396" s="23" t="s">
        <v>1372</v>
      </c>
      <c r="H396" s="14" t="n">
        <v>-0.907</v>
      </c>
      <c r="I396" s="15"/>
      <c r="J396" s="12"/>
      <c r="K396" s="9"/>
      <c r="L396" s="16" t="s">
        <v>51</v>
      </c>
      <c r="M396" s="17" t="s">
        <v>79</v>
      </c>
      <c r="N396" s="15"/>
      <c r="O396" s="16" t="s">
        <v>54</v>
      </c>
      <c r="P396" s="12" t="s">
        <v>890</v>
      </c>
      <c r="Q396" s="16"/>
      <c r="R396" s="18" t="s">
        <v>79</v>
      </c>
      <c r="S396" s="19"/>
      <c r="T396" s="12" t="str">
        <f aca="false">IF(R396="維持",J396,IF(R396="排除","無關新聞事件",IFERROR(INDEX(事件規則!$B$2:$B$53,MATCH(S396,事件規則!$A$2:$A$53,0)),"")))</f>
        <v>無關新聞事件</v>
      </c>
      <c r="U396" s="20" t="n">
        <f aca="false">IF(R396="維持",K396,IF(R396="排除",0,IFERROR(INDEX(事件規則!$C$2:$C$53,MATCH(S396,事件規則!$A$2:$A$53,0)),"")))</f>
        <v>0</v>
      </c>
      <c r="V396" s="21"/>
      <c r="W396" s="22"/>
      <c r="X396" s="10" t="str">
        <f aca="false">IF(AND(R396="修改",S396=""),"請選新事件代碼",IF(AND(R396&lt;&gt;"修改",S396&lt;&gt;""),"只有「修改」才需填代碼",""))</f>
        <v/>
      </c>
      <c r="Y396" s="21"/>
      <c r="Z396" s="22"/>
      <c r="AA396" s="23" t="s">
        <v>1373</v>
      </c>
      <c r="AB396" s="13"/>
    </row>
    <row r="397" customFormat="false" ht="29.85" hidden="false" customHeight="false" outlineLevel="0" collapsed="false">
      <c r="A397" s="16" t="n">
        <v>396</v>
      </c>
      <c r="B397" s="9" t="s">
        <v>331</v>
      </c>
      <c r="C397" s="9" t="s">
        <v>822</v>
      </c>
      <c r="D397" s="10" t="s">
        <v>823</v>
      </c>
      <c r="E397" s="24" t="s">
        <v>1374</v>
      </c>
      <c r="F397" s="12"/>
      <c r="G397" s="23" t="s">
        <v>335</v>
      </c>
      <c r="H397" s="14" t="n">
        <v>-0.907</v>
      </c>
      <c r="I397" s="15"/>
      <c r="J397" s="12"/>
      <c r="K397" s="9"/>
      <c r="L397" s="16" t="s">
        <v>51</v>
      </c>
      <c r="M397" s="17" t="s">
        <v>79</v>
      </c>
      <c r="N397" s="15"/>
      <c r="O397" s="16" t="s">
        <v>54</v>
      </c>
      <c r="P397" s="12" t="s">
        <v>890</v>
      </c>
      <c r="Q397" s="16"/>
      <c r="R397" s="18" t="s">
        <v>79</v>
      </c>
      <c r="S397" s="19"/>
      <c r="T397" s="12" t="str">
        <f aca="false">IF(R397="維持",J397,IF(R397="排除","無關新聞事件",IFERROR(INDEX(事件規則!$B$2:$B$53,MATCH(S397,事件規則!$A$2:$A$53,0)),"")))</f>
        <v>無關新聞事件</v>
      </c>
      <c r="U397" s="20" t="n">
        <f aca="false">IF(R397="維持",K397,IF(R397="排除",0,IFERROR(INDEX(事件規則!$C$2:$C$53,MATCH(S397,事件規則!$A$2:$A$53,0)),"")))</f>
        <v>0</v>
      </c>
      <c r="V397" s="21"/>
      <c r="W397" s="22"/>
      <c r="X397" s="10" t="str">
        <f aca="false">IF(AND(R397="修改",S397=""),"請選新事件代碼",IF(AND(R397&lt;&gt;"修改",S397&lt;&gt;""),"只有「修改」才需填代碼",""))</f>
        <v/>
      </c>
      <c r="Y397" s="21"/>
      <c r="Z397" s="22"/>
      <c r="AA397" s="23" t="s">
        <v>1375</v>
      </c>
      <c r="AB397" s="13"/>
    </row>
    <row r="398" customFormat="false" ht="44" hidden="false" customHeight="false" outlineLevel="0" collapsed="false">
      <c r="A398" s="16" t="n">
        <v>397</v>
      </c>
      <c r="B398" s="9" t="s">
        <v>65</v>
      </c>
      <c r="C398" s="9" t="s">
        <v>1376</v>
      </c>
      <c r="D398" s="10" t="s">
        <v>1377</v>
      </c>
      <c r="E398" s="11" t="s">
        <v>1378</v>
      </c>
      <c r="F398" s="12" t="s">
        <v>1379</v>
      </c>
      <c r="G398" s="13" t="s">
        <v>50</v>
      </c>
      <c r="H398" s="14" t="n">
        <v>-0.907</v>
      </c>
      <c r="I398" s="15"/>
      <c r="J398" s="12"/>
      <c r="K398" s="9"/>
      <c r="L398" s="16" t="s">
        <v>51</v>
      </c>
      <c r="M398" s="17" t="s">
        <v>79</v>
      </c>
      <c r="N398" s="15"/>
      <c r="O398" s="16" t="s">
        <v>54</v>
      </c>
      <c r="P398" s="12" t="s">
        <v>890</v>
      </c>
      <c r="Q398" s="16"/>
      <c r="R398" s="18" t="s">
        <v>79</v>
      </c>
      <c r="S398" s="19"/>
      <c r="T398" s="12" t="str">
        <f aca="false">IF(R398="維持",J398,IF(R398="排除","無關新聞事件",IFERROR(INDEX(事件規則!$B$2:$B$53,MATCH(S398,事件規則!$A$2:$A$53,0)),"")))</f>
        <v>無關新聞事件</v>
      </c>
      <c r="U398" s="20" t="n">
        <f aca="false">IF(R398="維持",K398,IF(R398="排除",0,IFERROR(INDEX(事件規則!$C$2:$C$53,MATCH(S398,事件規則!$A$2:$A$53,0)),"")))</f>
        <v>0</v>
      </c>
      <c r="V398" s="21"/>
      <c r="W398" s="22"/>
      <c r="X398" s="10" t="str">
        <f aca="false">IF(AND(R398="修改",S398=""),"請選新事件代碼",IF(AND(R398&lt;&gt;"修改",S398&lt;&gt;""),"只有「修改」才需填代碼",""))</f>
        <v/>
      </c>
      <c r="Y398" s="21"/>
      <c r="Z398" s="22"/>
      <c r="AA398" s="23" t="s">
        <v>1380</v>
      </c>
      <c r="AB398" s="13"/>
    </row>
    <row r="399" customFormat="false" ht="15" hidden="false" customHeight="false" outlineLevel="0" collapsed="false">
      <c r="A399" s="16" t="n">
        <v>398</v>
      </c>
      <c r="B399" s="9" t="s">
        <v>45</v>
      </c>
      <c r="C399" s="9" t="s">
        <v>353</v>
      </c>
      <c r="D399" s="10" t="s">
        <v>354</v>
      </c>
      <c r="E399" s="24" t="s">
        <v>1381</v>
      </c>
      <c r="F399" s="12"/>
      <c r="G399" s="23" t="s">
        <v>1382</v>
      </c>
      <c r="H399" s="14" t="n">
        <v>-0.907</v>
      </c>
      <c r="I399" s="15"/>
      <c r="J399" s="12"/>
      <c r="K399" s="9"/>
      <c r="L399" s="16" t="s">
        <v>51</v>
      </c>
      <c r="M399" s="17" t="s">
        <v>52</v>
      </c>
      <c r="N399" s="15" t="s">
        <v>357</v>
      </c>
      <c r="O399" s="16" t="s">
        <v>62</v>
      </c>
      <c r="P399" s="10" t="s">
        <v>1105</v>
      </c>
      <c r="Q399" s="16"/>
      <c r="R399" s="18" t="s">
        <v>52</v>
      </c>
      <c r="S399" s="19" t="s">
        <v>357</v>
      </c>
      <c r="T399" s="12" t="str">
        <f aca="false">IF(R399="維持",J399,IF(R399="排除","無關新聞事件",IFERROR(INDEX(事件規則!$B$2:$B$53,MATCH(S399,事件規則!$A$2:$A$53,0)),"")))</f>
        <v>資料外洩</v>
      </c>
      <c r="U399" s="20" t="n">
        <f aca="false">IF(R399="維持",K399,IF(R399="排除",0,IFERROR(INDEX(事件規則!$C$2:$C$53,MATCH(S399,事件規則!$A$2:$A$53,0)),"")))</f>
        <v>3</v>
      </c>
      <c r="V399" s="21"/>
      <c r="W399" s="22"/>
      <c r="X399" s="10" t="str">
        <f aca="false">IF(AND(R399="修改",S399=""),"請選新事件代碼",IF(AND(R399&lt;&gt;"修改",S399&lt;&gt;""),"只有「修改」才需填代碼",""))</f>
        <v/>
      </c>
      <c r="Y399" s="21"/>
      <c r="Z399" s="22"/>
      <c r="AA399" s="23" t="s">
        <v>1383</v>
      </c>
      <c r="AB399" s="13"/>
    </row>
    <row r="400" customFormat="false" ht="29.85" hidden="false" customHeight="false" outlineLevel="0" collapsed="false">
      <c r="A400" s="16" t="n">
        <v>399</v>
      </c>
      <c r="B400" s="9" t="s">
        <v>65</v>
      </c>
      <c r="C400" s="9" t="s">
        <v>226</v>
      </c>
      <c r="D400" s="10" t="s">
        <v>227</v>
      </c>
      <c r="E400" s="24" t="s">
        <v>1384</v>
      </c>
      <c r="F400" s="12"/>
      <c r="G400" s="23" t="s">
        <v>224</v>
      </c>
      <c r="H400" s="14" t="n">
        <v>-0.907</v>
      </c>
      <c r="I400" s="15"/>
      <c r="J400" s="12"/>
      <c r="K400" s="9"/>
      <c r="L400" s="16" t="s">
        <v>51</v>
      </c>
      <c r="M400" s="17" t="s">
        <v>79</v>
      </c>
      <c r="N400" s="15"/>
      <c r="O400" s="16" t="s">
        <v>54</v>
      </c>
      <c r="P400" s="12" t="s">
        <v>890</v>
      </c>
      <c r="Q400" s="16"/>
      <c r="R400" s="18" t="s">
        <v>79</v>
      </c>
      <c r="S400" s="19"/>
      <c r="T400" s="12" t="str">
        <f aca="false">IF(R400="維持",J400,IF(R400="排除","無關新聞事件",IFERROR(INDEX(事件規則!$B$2:$B$53,MATCH(S400,事件規則!$A$2:$A$53,0)),"")))</f>
        <v>無關新聞事件</v>
      </c>
      <c r="U400" s="20" t="n">
        <f aca="false">IF(R400="維持",K400,IF(R400="排除",0,IFERROR(INDEX(事件規則!$C$2:$C$53,MATCH(S400,事件規則!$A$2:$A$53,0)),"")))</f>
        <v>0</v>
      </c>
      <c r="V400" s="21"/>
      <c r="W400" s="22"/>
      <c r="X400" s="10" t="str">
        <f aca="false">IF(AND(R400="修改",S400=""),"請選新事件代碼",IF(AND(R400&lt;&gt;"修改",S400&lt;&gt;""),"只有「修改」才需填代碼",""))</f>
        <v/>
      </c>
      <c r="Y400" s="21"/>
      <c r="Z400" s="22"/>
      <c r="AA400" s="23" t="s">
        <v>1385</v>
      </c>
      <c r="AB400" s="13"/>
    </row>
    <row r="401" customFormat="false" ht="29.85" hidden="false" customHeight="false" outlineLevel="0" collapsed="false">
      <c r="A401" s="16" t="n">
        <v>400</v>
      </c>
      <c r="B401" s="9" t="s">
        <v>65</v>
      </c>
      <c r="C401" s="9" t="s">
        <v>213</v>
      </c>
      <c r="D401" s="10" t="s">
        <v>214</v>
      </c>
      <c r="E401" s="24" t="s">
        <v>1386</v>
      </c>
      <c r="F401" s="12"/>
      <c r="G401" s="23" t="s">
        <v>301</v>
      </c>
      <c r="H401" s="14" t="n">
        <v>-0.907</v>
      </c>
      <c r="I401" s="15"/>
      <c r="J401" s="12"/>
      <c r="K401" s="9"/>
      <c r="L401" s="16" t="s">
        <v>51</v>
      </c>
      <c r="M401" s="17" t="s">
        <v>79</v>
      </c>
      <c r="N401" s="15"/>
      <c r="O401" s="16" t="s">
        <v>54</v>
      </c>
      <c r="P401" s="12" t="s">
        <v>890</v>
      </c>
      <c r="Q401" s="16"/>
      <c r="R401" s="18" t="s">
        <v>79</v>
      </c>
      <c r="S401" s="19"/>
      <c r="T401" s="12" t="str">
        <f aca="false">IF(R401="維持",J401,IF(R401="排除","無關新聞事件",IFERROR(INDEX(事件規則!$B$2:$B$53,MATCH(S401,事件規則!$A$2:$A$53,0)),"")))</f>
        <v>無關新聞事件</v>
      </c>
      <c r="U401" s="20" t="n">
        <f aca="false">IF(R401="維持",K401,IF(R401="排除",0,IFERROR(INDEX(事件規則!$C$2:$C$53,MATCH(S401,事件規則!$A$2:$A$53,0)),"")))</f>
        <v>0</v>
      </c>
      <c r="V401" s="21"/>
      <c r="W401" s="22"/>
      <c r="X401" s="10" t="str">
        <f aca="false">IF(AND(R401="修改",S401=""),"請選新事件代碼",IF(AND(R401&lt;&gt;"修改",S401&lt;&gt;""),"只有「修改」才需填代碼",""))</f>
        <v/>
      </c>
      <c r="Y401" s="21"/>
      <c r="Z401" s="22"/>
      <c r="AA401" s="23" t="s">
        <v>1387</v>
      </c>
      <c r="AB401" s="13"/>
    </row>
    <row r="402" customFormat="false" ht="29.85" hidden="false" customHeight="false" outlineLevel="0" collapsed="false">
      <c r="A402" s="16" t="n">
        <v>401</v>
      </c>
      <c r="B402" s="9" t="s">
        <v>45</v>
      </c>
      <c r="C402" s="9" t="s">
        <v>739</v>
      </c>
      <c r="D402" s="10" t="s">
        <v>740</v>
      </c>
      <c r="E402" s="24" t="s">
        <v>1388</v>
      </c>
      <c r="F402" s="12"/>
      <c r="G402" s="23" t="s">
        <v>317</v>
      </c>
      <c r="H402" s="14" t="n">
        <v>-0.906</v>
      </c>
      <c r="I402" s="15"/>
      <c r="J402" s="12"/>
      <c r="K402" s="9"/>
      <c r="L402" s="16" t="s">
        <v>51</v>
      </c>
      <c r="M402" s="17" t="s">
        <v>79</v>
      </c>
      <c r="N402" s="15"/>
      <c r="O402" s="16" t="s">
        <v>54</v>
      </c>
      <c r="P402" s="12" t="s">
        <v>890</v>
      </c>
      <c r="Q402" s="16"/>
      <c r="R402" s="18" t="s">
        <v>79</v>
      </c>
      <c r="S402" s="19"/>
      <c r="T402" s="12" t="str">
        <f aca="false">IF(R402="維持",J402,IF(R402="排除","無關新聞事件",IFERROR(INDEX(事件規則!$B$2:$B$53,MATCH(S402,事件規則!$A$2:$A$53,0)),"")))</f>
        <v>無關新聞事件</v>
      </c>
      <c r="U402" s="20" t="n">
        <f aca="false">IF(R402="維持",K402,IF(R402="排除",0,IFERROR(INDEX(事件規則!$C$2:$C$53,MATCH(S402,事件規則!$A$2:$A$53,0)),"")))</f>
        <v>0</v>
      </c>
      <c r="V402" s="21"/>
      <c r="W402" s="22"/>
      <c r="X402" s="10" t="str">
        <f aca="false">IF(AND(R402="修改",S402=""),"請選新事件代碼",IF(AND(R402&lt;&gt;"修改",S402&lt;&gt;""),"只有「修改」才需填代碼",""))</f>
        <v/>
      </c>
      <c r="Y402" s="21"/>
      <c r="Z402" s="22"/>
      <c r="AA402" s="23" t="s">
        <v>1389</v>
      </c>
      <c r="AB402" s="13"/>
    </row>
    <row r="403" customFormat="false" ht="29.85" hidden="false" customHeight="false" outlineLevel="0" collapsed="false">
      <c r="A403" s="16" t="n">
        <v>402</v>
      </c>
      <c r="B403" s="9" t="s">
        <v>45</v>
      </c>
      <c r="C403" s="9" t="s">
        <v>240</v>
      </c>
      <c r="D403" s="10" t="s">
        <v>241</v>
      </c>
      <c r="E403" s="24" t="s">
        <v>1390</v>
      </c>
      <c r="F403" s="12"/>
      <c r="G403" s="23" t="s">
        <v>292</v>
      </c>
      <c r="H403" s="14" t="n">
        <v>-0.906</v>
      </c>
      <c r="I403" s="15"/>
      <c r="J403" s="12"/>
      <c r="K403" s="9"/>
      <c r="L403" s="16" t="s">
        <v>51</v>
      </c>
      <c r="M403" s="17" t="s">
        <v>79</v>
      </c>
      <c r="N403" s="15"/>
      <c r="O403" s="16" t="s">
        <v>54</v>
      </c>
      <c r="P403" s="12" t="s">
        <v>890</v>
      </c>
      <c r="Q403" s="16"/>
      <c r="R403" s="18" t="s">
        <v>79</v>
      </c>
      <c r="S403" s="19"/>
      <c r="T403" s="12" t="str">
        <f aca="false">IF(R403="維持",J403,IF(R403="排除","無關新聞事件",IFERROR(INDEX(事件規則!$B$2:$B$53,MATCH(S403,事件規則!$A$2:$A$53,0)),"")))</f>
        <v>無關新聞事件</v>
      </c>
      <c r="U403" s="20" t="n">
        <f aca="false">IF(R403="維持",K403,IF(R403="排除",0,IFERROR(INDEX(事件規則!$C$2:$C$53,MATCH(S403,事件規則!$A$2:$A$53,0)),"")))</f>
        <v>0</v>
      </c>
      <c r="V403" s="21"/>
      <c r="W403" s="22"/>
      <c r="X403" s="10" t="str">
        <f aca="false">IF(AND(R403="修改",S403=""),"請選新事件代碼",IF(AND(R403&lt;&gt;"修改",S403&lt;&gt;""),"只有「修改」才需填代碼",""))</f>
        <v/>
      </c>
      <c r="Y403" s="21"/>
      <c r="Z403" s="22"/>
      <c r="AA403" s="23" t="s">
        <v>1391</v>
      </c>
      <c r="AB403" s="13"/>
    </row>
    <row r="404" customFormat="false" ht="29.85" hidden="false" customHeight="false" outlineLevel="0" collapsed="false">
      <c r="A404" s="16" t="n">
        <v>403</v>
      </c>
      <c r="B404" s="9" t="s">
        <v>331</v>
      </c>
      <c r="C404" s="9" t="s">
        <v>149</v>
      </c>
      <c r="D404" s="10" t="s">
        <v>150</v>
      </c>
      <c r="E404" s="24" t="s">
        <v>1392</v>
      </c>
      <c r="F404" s="12"/>
      <c r="G404" s="23" t="s">
        <v>1393</v>
      </c>
      <c r="H404" s="14" t="n">
        <v>-0.906</v>
      </c>
      <c r="I404" s="15"/>
      <c r="J404" s="12"/>
      <c r="K404" s="9"/>
      <c r="L404" s="16" t="s">
        <v>51</v>
      </c>
      <c r="M404" s="17" t="s">
        <v>79</v>
      </c>
      <c r="N404" s="15"/>
      <c r="O404" s="16" t="s">
        <v>54</v>
      </c>
      <c r="P404" s="12" t="s">
        <v>890</v>
      </c>
      <c r="Q404" s="16"/>
      <c r="R404" s="18" t="s">
        <v>79</v>
      </c>
      <c r="S404" s="19"/>
      <c r="T404" s="12" t="str">
        <f aca="false">IF(R404="維持",J404,IF(R404="排除","無關新聞事件",IFERROR(INDEX(事件規則!$B$2:$B$53,MATCH(S404,事件規則!$A$2:$A$53,0)),"")))</f>
        <v>無關新聞事件</v>
      </c>
      <c r="U404" s="20" t="n">
        <f aca="false">IF(R404="維持",K404,IF(R404="排除",0,IFERROR(INDEX(事件規則!$C$2:$C$53,MATCH(S404,事件規則!$A$2:$A$53,0)),"")))</f>
        <v>0</v>
      </c>
      <c r="V404" s="21"/>
      <c r="W404" s="22"/>
      <c r="X404" s="10" t="str">
        <f aca="false">IF(AND(R404="修改",S404=""),"請選新事件代碼",IF(AND(R404&lt;&gt;"修改",S404&lt;&gt;""),"只有「修改」才需填代碼",""))</f>
        <v/>
      </c>
      <c r="Y404" s="21"/>
      <c r="Z404" s="22"/>
      <c r="AA404" s="23" t="s">
        <v>1394</v>
      </c>
      <c r="AB404" s="13"/>
    </row>
    <row r="405" customFormat="false" ht="29.85" hidden="false" customHeight="false" outlineLevel="0" collapsed="false">
      <c r="A405" s="16" t="n">
        <v>404</v>
      </c>
      <c r="B405" s="9" t="s">
        <v>65</v>
      </c>
      <c r="C405" s="9" t="s">
        <v>564</v>
      </c>
      <c r="D405" s="10" t="s">
        <v>565</v>
      </c>
      <c r="E405" s="24" t="s">
        <v>1395</v>
      </c>
      <c r="F405" s="12"/>
      <c r="G405" s="23" t="s">
        <v>1396</v>
      </c>
      <c r="H405" s="14" t="n">
        <v>-0.906</v>
      </c>
      <c r="I405" s="15"/>
      <c r="J405" s="12"/>
      <c r="K405" s="9"/>
      <c r="L405" s="16" t="s">
        <v>51</v>
      </c>
      <c r="M405" s="17" t="s">
        <v>79</v>
      </c>
      <c r="N405" s="15"/>
      <c r="O405" s="16" t="s">
        <v>54</v>
      </c>
      <c r="P405" s="12" t="s">
        <v>890</v>
      </c>
      <c r="Q405" s="16"/>
      <c r="R405" s="18" t="s">
        <v>79</v>
      </c>
      <c r="S405" s="19"/>
      <c r="T405" s="12" t="str">
        <f aca="false">IF(R405="維持",J405,IF(R405="排除","無關新聞事件",IFERROR(INDEX(事件規則!$B$2:$B$53,MATCH(S405,事件規則!$A$2:$A$53,0)),"")))</f>
        <v>無關新聞事件</v>
      </c>
      <c r="U405" s="20" t="n">
        <f aca="false">IF(R405="維持",K405,IF(R405="排除",0,IFERROR(INDEX(事件規則!$C$2:$C$53,MATCH(S405,事件規則!$A$2:$A$53,0)),"")))</f>
        <v>0</v>
      </c>
      <c r="V405" s="21"/>
      <c r="W405" s="22"/>
      <c r="X405" s="10" t="str">
        <f aca="false">IF(AND(R405="修改",S405=""),"請選新事件代碼",IF(AND(R405&lt;&gt;"修改",S405&lt;&gt;""),"只有「修改」才需填代碼",""))</f>
        <v/>
      </c>
      <c r="Y405" s="21"/>
      <c r="Z405" s="22"/>
      <c r="AA405" s="23" t="s">
        <v>1397</v>
      </c>
      <c r="AB405" s="13"/>
    </row>
    <row r="406" customFormat="false" ht="29.85" hidden="false" customHeight="false" outlineLevel="0" collapsed="false">
      <c r="A406" s="16" t="n">
        <v>405</v>
      </c>
      <c r="B406" s="9" t="s">
        <v>45</v>
      </c>
      <c r="C406" s="9" t="s">
        <v>149</v>
      </c>
      <c r="D406" s="10" t="s">
        <v>150</v>
      </c>
      <c r="E406" s="24" t="s">
        <v>1398</v>
      </c>
      <c r="F406" s="12"/>
      <c r="G406" s="23" t="s">
        <v>301</v>
      </c>
      <c r="H406" s="14" t="n">
        <v>-0.906</v>
      </c>
      <c r="I406" s="15"/>
      <c r="J406" s="12"/>
      <c r="K406" s="9"/>
      <c r="L406" s="16" t="s">
        <v>51</v>
      </c>
      <c r="M406" s="17" t="s">
        <v>79</v>
      </c>
      <c r="N406" s="15"/>
      <c r="O406" s="16" t="s">
        <v>54</v>
      </c>
      <c r="P406" s="12" t="s">
        <v>890</v>
      </c>
      <c r="Q406" s="16"/>
      <c r="R406" s="18" t="s">
        <v>79</v>
      </c>
      <c r="S406" s="19"/>
      <c r="T406" s="12" t="str">
        <f aca="false">IF(R406="維持",J406,IF(R406="排除","無關新聞事件",IFERROR(INDEX(事件規則!$B$2:$B$53,MATCH(S406,事件規則!$A$2:$A$53,0)),"")))</f>
        <v>無關新聞事件</v>
      </c>
      <c r="U406" s="20" t="n">
        <f aca="false">IF(R406="維持",K406,IF(R406="排除",0,IFERROR(INDEX(事件規則!$C$2:$C$53,MATCH(S406,事件規則!$A$2:$A$53,0)),"")))</f>
        <v>0</v>
      </c>
      <c r="V406" s="21"/>
      <c r="W406" s="22"/>
      <c r="X406" s="10" t="str">
        <f aca="false">IF(AND(R406="修改",S406=""),"請選新事件代碼",IF(AND(R406&lt;&gt;"修改",S406&lt;&gt;""),"只有「修改」才需填代碼",""))</f>
        <v/>
      </c>
      <c r="Y406" s="21"/>
      <c r="Z406" s="22"/>
      <c r="AA406" s="23" t="s">
        <v>1399</v>
      </c>
      <c r="AB406" s="13"/>
    </row>
    <row r="407" customFormat="false" ht="29.85" hidden="false" customHeight="false" outlineLevel="0" collapsed="false">
      <c r="A407" s="16" t="n">
        <v>406</v>
      </c>
      <c r="B407" s="9" t="s">
        <v>331</v>
      </c>
      <c r="C407" s="9" t="s">
        <v>524</v>
      </c>
      <c r="D407" s="10" t="s">
        <v>525</v>
      </c>
      <c r="E407" s="24" t="s">
        <v>1400</v>
      </c>
      <c r="F407" s="12"/>
      <c r="G407" s="23" t="s">
        <v>1401</v>
      </c>
      <c r="H407" s="14" t="n">
        <v>-0.905</v>
      </c>
      <c r="I407" s="15"/>
      <c r="J407" s="12"/>
      <c r="K407" s="9"/>
      <c r="L407" s="16" t="s">
        <v>51</v>
      </c>
      <c r="M407" s="17" t="s">
        <v>79</v>
      </c>
      <c r="N407" s="15"/>
      <c r="O407" s="16" t="s">
        <v>54</v>
      </c>
      <c r="P407" s="12" t="s">
        <v>890</v>
      </c>
      <c r="Q407" s="16"/>
      <c r="R407" s="18" t="s">
        <v>79</v>
      </c>
      <c r="S407" s="19"/>
      <c r="T407" s="12" t="str">
        <f aca="false">IF(R407="維持",J407,IF(R407="排除","無關新聞事件",IFERROR(INDEX(事件規則!$B$2:$B$53,MATCH(S407,事件規則!$A$2:$A$53,0)),"")))</f>
        <v>無關新聞事件</v>
      </c>
      <c r="U407" s="20" t="n">
        <f aca="false">IF(R407="維持",K407,IF(R407="排除",0,IFERROR(INDEX(事件規則!$C$2:$C$53,MATCH(S407,事件規則!$A$2:$A$53,0)),"")))</f>
        <v>0</v>
      </c>
      <c r="V407" s="21"/>
      <c r="W407" s="22"/>
      <c r="X407" s="10" t="str">
        <f aca="false">IF(AND(R407="修改",S407=""),"請選新事件代碼",IF(AND(R407&lt;&gt;"修改",S407&lt;&gt;""),"只有「修改」才需填代碼",""))</f>
        <v/>
      </c>
      <c r="Y407" s="21"/>
      <c r="Z407" s="22"/>
      <c r="AA407" s="23" t="s">
        <v>1402</v>
      </c>
      <c r="AB407" s="13"/>
    </row>
    <row r="408" customFormat="false" ht="29.85" hidden="false" customHeight="false" outlineLevel="0" collapsed="false">
      <c r="A408" s="16" t="n">
        <v>407</v>
      </c>
      <c r="B408" s="9" t="s">
        <v>331</v>
      </c>
      <c r="C408" s="9" t="s">
        <v>1229</v>
      </c>
      <c r="D408" s="10" t="s">
        <v>1230</v>
      </c>
      <c r="E408" s="24" t="s">
        <v>1403</v>
      </c>
      <c r="F408" s="12"/>
      <c r="G408" s="23" t="s">
        <v>1404</v>
      </c>
      <c r="H408" s="14" t="n">
        <v>-0.905</v>
      </c>
      <c r="I408" s="15"/>
      <c r="J408" s="12"/>
      <c r="K408" s="9"/>
      <c r="L408" s="16" t="s">
        <v>51</v>
      </c>
      <c r="M408" s="17" t="s">
        <v>79</v>
      </c>
      <c r="N408" s="15"/>
      <c r="O408" s="16" t="s">
        <v>54</v>
      </c>
      <c r="P408" s="12" t="s">
        <v>890</v>
      </c>
      <c r="Q408" s="16"/>
      <c r="R408" s="18" t="s">
        <v>79</v>
      </c>
      <c r="S408" s="19"/>
      <c r="T408" s="12" t="str">
        <f aca="false">IF(R408="維持",J408,IF(R408="排除","無關新聞事件",IFERROR(INDEX(事件規則!$B$2:$B$53,MATCH(S408,事件規則!$A$2:$A$53,0)),"")))</f>
        <v>無關新聞事件</v>
      </c>
      <c r="U408" s="20" t="n">
        <f aca="false">IF(R408="維持",K408,IF(R408="排除",0,IFERROR(INDEX(事件規則!$C$2:$C$53,MATCH(S408,事件規則!$A$2:$A$53,0)),"")))</f>
        <v>0</v>
      </c>
      <c r="V408" s="21"/>
      <c r="W408" s="22"/>
      <c r="X408" s="10" t="str">
        <f aca="false">IF(AND(R408="修改",S408=""),"請選新事件代碼",IF(AND(R408&lt;&gt;"修改",S408&lt;&gt;""),"只有「修改」才需填代碼",""))</f>
        <v/>
      </c>
      <c r="Y408" s="21"/>
      <c r="Z408" s="22"/>
      <c r="AA408" s="23" t="s">
        <v>1405</v>
      </c>
      <c r="AB408" s="13"/>
    </row>
    <row r="409" customFormat="false" ht="29.85" hidden="false" customHeight="false" outlineLevel="0" collapsed="false">
      <c r="A409" s="16" t="n">
        <v>408</v>
      </c>
      <c r="B409" s="9" t="s">
        <v>65</v>
      </c>
      <c r="C409" s="9" t="s">
        <v>636</v>
      </c>
      <c r="D409" s="10" t="s">
        <v>637</v>
      </c>
      <c r="E409" s="24" t="s">
        <v>1406</v>
      </c>
      <c r="F409" s="12"/>
      <c r="G409" s="23" t="s">
        <v>999</v>
      </c>
      <c r="H409" s="14" t="n">
        <v>-0.905</v>
      </c>
      <c r="I409" s="15"/>
      <c r="J409" s="12"/>
      <c r="K409" s="9"/>
      <c r="L409" s="16" t="s">
        <v>51</v>
      </c>
      <c r="M409" s="17" t="s">
        <v>79</v>
      </c>
      <c r="N409" s="15"/>
      <c r="O409" s="16" t="s">
        <v>54</v>
      </c>
      <c r="P409" s="12" t="s">
        <v>890</v>
      </c>
      <c r="Q409" s="16"/>
      <c r="R409" s="18" t="s">
        <v>79</v>
      </c>
      <c r="S409" s="19"/>
      <c r="T409" s="12" t="str">
        <f aca="false">IF(R409="維持",J409,IF(R409="排除","無關新聞事件",IFERROR(INDEX(事件規則!$B$2:$B$53,MATCH(S409,事件規則!$A$2:$A$53,0)),"")))</f>
        <v>無關新聞事件</v>
      </c>
      <c r="U409" s="20" t="n">
        <f aca="false">IF(R409="維持",K409,IF(R409="排除",0,IFERROR(INDEX(事件規則!$C$2:$C$53,MATCH(S409,事件規則!$A$2:$A$53,0)),"")))</f>
        <v>0</v>
      </c>
      <c r="V409" s="21"/>
      <c r="W409" s="22"/>
      <c r="X409" s="10" t="str">
        <f aca="false">IF(AND(R409="修改",S409=""),"請選新事件代碼",IF(AND(R409&lt;&gt;"修改",S409&lt;&gt;""),"只有「修改」才需填代碼",""))</f>
        <v/>
      </c>
      <c r="Y409" s="21"/>
      <c r="Z409" s="22"/>
      <c r="AA409" s="23" t="s">
        <v>1407</v>
      </c>
      <c r="AB409" s="13"/>
    </row>
    <row r="410" customFormat="false" ht="29.85" hidden="false" customHeight="false" outlineLevel="0" collapsed="false">
      <c r="A410" s="16" t="n">
        <v>409</v>
      </c>
      <c r="B410" s="9" t="s">
        <v>65</v>
      </c>
      <c r="C410" s="9" t="s">
        <v>213</v>
      </c>
      <c r="D410" s="10" t="s">
        <v>214</v>
      </c>
      <c r="E410" s="24" t="s">
        <v>1408</v>
      </c>
      <c r="F410" s="12"/>
      <c r="G410" s="23" t="s">
        <v>999</v>
      </c>
      <c r="H410" s="14" t="n">
        <v>-0.905</v>
      </c>
      <c r="I410" s="15"/>
      <c r="J410" s="12"/>
      <c r="K410" s="9"/>
      <c r="L410" s="16" t="s">
        <v>51</v>
      </c>
      <c r="M410" s="17" t="s">
        <v>79</v>
      </c>
      <c r="N410" s="15"/>
      <c r="O410" s="16" t="s">
        <v>54</v>
      </c>
      <c r="P410" s="12" t="s">
        <v>890</v>
      </c>
      <c r="Q410" s="16"/>
      <c r="R410" s="18" t="s">
        <v>79</v>
      </c>
      <c r="S410" s="19"/>
      <c r="T410" s="12" t="str">
        <f aca="false">IF(R410="維持",J410,IF(R410="排除","無關新聞事件",IFERROR(INDEX(事件規則!$B$2:$B$53,MATCH(S410,事件規則!$A$2:$A$53,0)),"")))</f>
        <v>無關新聞事件</v>
      </c>
      <c r="U410" s="20" t="n">
        <f aca="false">IF(R410="維持",K410,IF(R410="排除",0,IFERROR(INDEX(事件規則!$C$2:$C$53,MATCH(S410,事件規則!$A$2:$A$53,0)),"")))</f>
        <v>0</v>
      </c>
      <c r="V410" s="21"/>
      <c r="W410" s="22"/>
      <c r="X410" s="10" t="str">
        <f aca="false">IF(AND(R410="修改",S410=""),"請選新事件代碼",IF(AND(R410&lt;&gt;"修改",S410&lt;&gt;""),"只有「修改」才需填代碼",""))</f>
        <v/>
      </c>
      <c r="Y410" s="21"/>
      <c r="Z410" s="22"/>
      <c r="AA410" s="23" t="s">
        <v>1409</v>
      </c>
      <c r="AB410" s="13"/>
    </row>
    <row r="411" customFormat="false" ht="29.85" hidden="false" customHeight="false" outlineLevel="0" collapsed="false">
      <c r="A411" s="16" t="n">
        <v>410</v>
      </c>
      <c r="B411" s="9" t="s">
        <v>386</v>
      </c>
      <c r="C411" s="9" t="s">
        <v>1302</v>
      </c>
      <c r="D411" s="10" t="s">
        <v>1303</v>
      </c>
      <c r="E411" s="24" t="s">
        <v>1410</v>
      </c>
      <c r="F411" s="12"/>
      <c r="G411" s="23" t="s">
        <v>335</v>
      </c>
      <c r="H411" s="14" t="n">
        <v>-0.905</v>
      </c>
      <c r="I411" s="15"/>
      <c r="J411" s="12"/>
      <c r="K411" s="9"/>
      <c r="L411" s="16" t="s">
        <v>51</v>
      </c>
      <c r="M411" s="17" t="s">
        <v>79</v>
      </c>
      <c r="N411" s="15"/>
      <c r="O411" s="16" t="s">
        <v>54</v>
      </c>
      <c r="P411" s="12" t="s">
        <v>890</v>
      </c>
      <c r="Q411" s="16"/>
      <c r="R411" s="18" t="s">
        <v>79</v>
      </c>
      <c r="S411" s="19"/>
      <c r="T411" s="12" t="str">
        <f aca="false">IF(R411="維持",J411,IF(R411="排除","無關新聞事件",IFERROR(INDEX(事件規則!$B$2:$B$53,MATCH(S411,事件規則!$A$2:$A$53,0)),"")))</f>
        <v>無關新聞事件</v>
      </c>
      <c r="U411" s="20" t="n">
        <f aca="false">IF(R411="維持",K411,IF(R411="排除",0,IFERROR(INDEX(事件規則!$C$2:$C$53,MATCH(S411,事件規則!$A$2:$A$53,0)),"")))</f>
        <v>0</v>
      </c>
      <c r="V411" s="21"/>
      <c r="W411" s="22"/>
      <c r="X411" s="10" t="str">
        <f aca="false">IF(AND(R411="修改",S411=""),"請選新事件代碼",IF(AND(R411&lt;&gt;"修改",S411&lt;&gt;""),"只有「修改」才需填代碼",""))</f>
        <v/>
      </c>
      <c r="Y411" s="21"/>
      <c r="Z411" s="22"/>
      <c r="AA411" s="23" t="s">
        <v>1411</v>
      </c>
      <c r="AB411" s="13"/>
    </row>
    <row r="412" customFormat="false" ht="29.85" hidden="false" customHeight="false" outlineLevel="0" collapsed="false">
      <c r="A412" s="16" t="n">
        <v>411</v>
      </c>
      <c r="B412" s="9" t="s">
        <v>65</v>
      </c>
      <c r="C412" s="9" t="s">
        <v>1412</v>
      </c>
      <c r="D412" s="10" t="s">
        <v>1413</v>
      </c>
      <c r="E412" s="24" t="s">
        <v>1414</v>
      </c>
      <c r="F412" s="12"/>
      <c r="G412" s="23" t="s">
        <v>999</v>
      </c>
      <c r="H412" s="14" t="n">
        <v>-0.904</v>
      </c>
      <c r="I412" s="15"/>
      <c r="J412" s="12"/>
      <c r="K412" s="9"/>
      <c r="L412" s="16" t="s">
        <v>51</v>
      </c>
      <c r="M412" s="17" t="s">
        <v>79</v>
      </c>
      <c r="N412" s="15"/>
      <c r="O412" s="16" t="s">
        <v>54</v>
      </c>
      <c r="P412" s="12" t="s">
        <v>890</v>
      </c>
      <c r="Q412" s="16"/>
      <c r="R412" s="18" t="s">
        <v>79</v>
      </c>
      <c r="S412" s="19"/>
      <c r="T412" s="12" t="str">
        <f aca="false">IF(R412="維持",J412,IF(R412="排除","無關新聞事件",IFERROR(INDEX(事件規則!$B$2:$B$53,MATCH(S412,事件規則!$A$2:$A$53,0)),"")))</f>
        <v>無關新聞事件</v>
      </c>
      <c r="U412" s="20" t="n">
        <f aca="false">IF(R412="維持",K412,IF(R412="排除",0,IFERROR(INDEX(事件規則!$C$2:$C$53,MATCH(S412,事件規則!$A$2:$A$53,0)),"")))</f>
        <v>0</v>
      </c>
      <c r="V412" s="21"/>
      <c r="W412" s="22"/>
      <c r="X412" s="10" t="str">
        <f aca="false">IF(AND(R412="修改",S412=""),"請選新事件代碼",IF(AND(R412&lt;&gt;"修改",S412&lt;&gt;""),"只有「修改」才需填代碼",""))</f>
        <v/>
      </c>
      <c r="Y412" s="21"/>
      <c r="Z412" s="22"/>
      <c r="AA412" s="23" t="s">
        <v>1415</v>
      </c>
      <c r="AB412" s="13"/>
    </row>
    <row r="413" customFormat="false" ht="29.85" hidden="false" customHeight="false" outlineLevel="0" collapsed="false">
      <c r="A413" s="16" t="n">
        <v>412</v>
      </c>
      <c r="B413" s="9" t="s">
        <v>331</v>
      </c>
      <c r="C413" s="9" t="s">
        <v>1118</v>
      </c>
      <c r="D413" s="10" t="s">
        <v>1119</v>
      </c>
      <c r="E413" s="24" t="s">
        <v>1416</v>
      </c>
      <c r="F413" s="12"/>
      <c r="G413" s="23" t="s">
        <v>1417</v>
      </c>
      <c r="H413" s="14" t="n">
        <v>-0.904</v>
      </c>
      <c r="I413" s="15"/>
      <c r="J413" s="12"/>
      <c r="K413" s="9"/>
      <c r="L413" s="16" t="s">
        <v>51</v>
      </c>
      <c r="M413" s="17" t="s">
        <v>79</v>
      </c>
      <c r="N413" s="15"/>
      <c r="O413" s="16" t="s">
        <v>54</v>
      </c>
      <c r="P413" s="12" t="s">
        <v>890</v>
      </c>
      <c r="Q413" s="16"/>
      <c r="R413" s="18" t="s">
        <v>79</v>
      </c>
      <c r="S413" s="19"/>
      <c r="T413" s="12" t="str">
        <f aca="false">IF(R413="維持",J413,IF(R413="排除","無關新聞事件",IFERROR(INDEX(事件規則!$B$2:$B$53,MATCH(S413,事件規則!$A$2:$A$53,0)),"")))</f>
        <v>無關新聞事件</v>
      </c>
      <c r="U413" s="20" t="n">
        <f aca="false">IF(R413="維持",K413,IF(R413="排除",0,IFERROR(INDEX(事件規則!$C$2:$C$53,MATCH(S413,事件規則!$A$2:$A$53,0)),"")))</f>
        <v>0</v>
      </c>
      <c r="V413" s="21"/>
      <c r="W413" s="22"/>
      <c r="X413" s="10" t="str">
        <f aca="false">IF(AND(R413="修改",S413=""),"請選新事件代碼",IF(AND(R413&lt;&gt;"修改",S413&lt;&gt;""),"只有「修改」才需填代碼",""))</f>
        <v/>
      </c>
      <c r="Y413" s="21"/>
      <c r="Z413" s="22"/>
      <c r="AA413" s="23" t="s">
        <v>1418</v>
      </c>
      <c r="AB413" s="13"/>
    </row>
    <row r="414" customFormat="false" ht="15" hidden="false" customHeight="false" outlineLevel="0" collapsed="false">
      <c r="A414" s="16" t="n">
        <v>413</v>
      </c>
      <c r="B414" s="9" t="s">
        <v>45</v>
      </c>
      <c r="C414" s="9" t="s">
        <v>353</v>
      </c>
      <c r="D414" s="10" t="s">
        <v>354</v>
      </c>
      <c r="E414" s="24" t="s">
        <v>1419</v>
      </c>
      <c r="F414" s="12"/>
      <c r="G414" s="23" t="s">
        <v>1420</v>
      </c>
      <c r="H414" s="14" t="n">
        <v>-0.903</v>
      </c>
      <c r="I414" s="15"/>
      <c r="J414" s="12"/>
      <c r="K414" s="9"/>
      <c r="L414" s="16" t="s">
        <v>51</v>
      </c>
      <c r="M414" s="17" t="s">
        <v>52</v>
      </c>
      <c r="N414" s="15" t="s">
        <v>357</v>
      </c>
      <c r="O414" s="16" t="s">
        <v>62</v>
      </c>
      <c r="P414" s="10" t="s">
        <v>1105</v>
      </c>
      <c r="Q414" s="16"/>
      <c r="R414" s="18" t="s">
        <v>52</v>
      </c>
      <c r="S414" s="19" t="s">
        <v>357</v>
      </c>
      <c r="T414" s="12" t="str">
        <f aca="false">IF(R414="維持",J414,IF(R414="排除","無關新聞事件",IFERROR(INDEX(事件規則!$B$2:$B$53,MATCH(S414,事件規則!$A$2:$A$53,0)),"")))</f>
        <v>資料外洩</v>
      </c>
      <c r="U414" s="20" t="n">
        <f aca="false">IF(R414="維持",K414,IF(R414="排除",0,IFERROR(INDEX(事件規則!$C$2:$C$53,MATCH(S414,事件規則!$A$2:$A$53,0)),"")))</f>
        <v>3</v>
      </c>
      <c r="V414" s="21"/>
      <c r="W414" s="22"/>
      <c r="X414" s="10" t="str">
        <f aca="false">IF(AND(R414="修改",S414=""),"請選新事件代碼",IF(AND(R414&lt;&gt;"修改",S414&lt;&gt;""),"只有「修改」才需填代碼",""))</f>
        <v/>
      </c>
      <c r="Y414" s="21"/>
      <c r="Z414" s="22"/>
      <c r="AA414" s="23" t="s">
        <v>1421</v>
      </c>
      <c r="AB414" s="13"/>
    </row>
    <row r="415" customFormat="false" ht="15" hidden="false" customHeight="false" outlineLevel="0" collapsed="false">
      <c r="A415" s="16" t="n">
        <v>414</v>
      </c>
      <c r="B415" s="9" t="s">
        <v>331</v>
      </c>
      <c r="C415" s="9" t="s">
        <v>1422</v>
      </c>
      <c r="D415" s="10" t="s">
        <v>1423</v>
      </c>
      <c r="E415" s="24" t="s">
        <v>1424</v>
      </c>
      <c r="F415" s="12"/>
      <c r="G415" s="23" t="s">
        <v>295</v>
      </c>
      <c r="H415" s="14" t="n">
        <v>-0.903</v>
      </c>
      <c r="I415" s="15"/>
      <c r="J415" s="12"/>
      <c r="K415" s="9"/>
      <c r="L415" s="16" t="s">
        <v>51</v>
      </c>
      <c r="M415" s="17" t="s">
        <v>52</v>
      </c>
      <c r="N415" s="15" t="s">
        <v>736</v>
      </c>
      <c r="O415" s="16" t="s">
        <v>54</v>
      </c>
      <c r="P415" s="10" t="s">
        <v>1425</v>
      </c>
      <c r="Q415" s="16"/>
      <c r="R415" s="18" t="s">
        <v>52</v>
      </c>
      <c r="S415" s="19" t="s">
        <v>736</v>
      </c>
      <c r="T415" s="12" t="str">
        <f aca="false">IF(R415="維持",J415,IF(R415="排除","無關新聞事件",IFERROR(INDEX(事件規則!$B$2:$B$53,MATCH(S415,事件規則!$A$2:$A$53,0)),"")))</f>
        <v>重大訴訟</v>
      </c>
      <c r="U415" s="20" t="n">
        <f aca="false">IF(R415="維持",K415,IF(R415="排除",0,IFERROR(INDEX(事件規則!$C$2:$C$53,MATCH(S415,事件規則!$A$2:$A$53,0)),"")))</f>
        <v>4</v>
      </c>
      <c r="V415" s="21"/>
      <c r="W415" s="22"/>
      <c r="X415" s="10" t="str">
        <f aca="false">IF(AND(R415="修改",S415=""),"請選新事件代碼",IF(AND(R415&lt;&gt;"修改",S415&lt;&gt;""),"只有「修改」才需填代碼",""))</f>
        <v/>
      </c>
      <c r="Y415" s="21"/>
      <c r="Z415" s="22"/>
      <c r="AA415" s="23" t="s">
        <v>1426</v>
      </c>
      <c r="AB415" s="13"/>
    </row>
    <row r="416" customFormat="false" ht="29.85" hidden="false" customHeight="false" outlineLevel="0" collapsed="false">
      <c r="A416" s="16" t="n">
        <v>415</v>
      </c>
      <c r="B416" s="9" t="s">
        <v>65</v>
      </c>
      <c r="C416" s="9" t="s">
        <v>1427</v>
      </c>
      <c r="D416" s="10" t="s">
        <v>1428</v>
      </c>
      <c r="E416" s="24" t="s">
        <v>1429</v>
      </c>
      <c r="F416" s="12"/>
      <c r="G416" s="23" t="s">
        <v>999</v>
      </c>
      <c r="H416" s="14" t="n">
        <v>-0.902</v>
      </c>
      <c r="I416" s="15"/>
      <c r="J416" s="12"/>
      <c r="K416" s="9"/>
      <c r="L416" s="16" t="s">
        <v>51</v>
      </c>
      <c r="M416" s="17" t="s">
        <v>79</v>
      </c>
      <c r="N416" s="15"/>
      <c r="O416" s="16" t="s">
        <v>54</v>
      </c>
      <c r="P416" s="12" t="s">
        <v>890</v>
      </c>
      <c r="Q416" s="16"/>
      <c r="R416" s="18" t="s">
        <v>79</v>
      </c>
      <c r="S416" s="19"/>
      <c r="T416" s="12" t="str">
        <f aca="false">IF(R416="維持",J416,IF(R416="排除","無關新聞事件",IFERROR(INDEX(事件規則!$B$2:$B$53,MATCH(S416,事件規則!$A$2:$A$53,0)),"")))</f>
        <v>無關新聞事件</v>
      </c>
      <c r="U416" s="20" t="n">
        <f aca="false">IF(R416="維持",K416,IF(R416="排除",0,IFERROR(INDEX(事件規則!$C$2:$C$53,MATCH(S416,事件規則!$A$2:$A$53,0)),"")))</f>
        <v>0</v>
      </c>
      <c r="V416" s="21"/>
      <c r="W416" s="22"/>
      <c r="X416" s="10" t="str">
        <f aca="false">IF(AND(R416="修改",S416=""),"請選新事件代碼",IF(AND(R416&lt;&gt;"修改",S416&lt;&gt;""),"只有「修改」才需填代碼",""))</f>
        <v/>
      </c>
      <c r="Y416" s="21"/>
      <c r="Z416" s="22"/>
      <c r="AA416" s="23" t="s">
        <v>1430</v>
      </c>
      <c r="AB416" s="13"/>
    </row>
    <row r="417" customFormat="false" ht="44" hidden="false" customHeight="false" outlineLevel="0" collapsed="false">
      <c r="A417" s="16" t="n">
        <v>416</v>
      </c>
      <c r="B417" s="9" t="s">
        <v>45</v>
      </c>
      <c r="C417" s="9" t="s">
        <v>1376</v>
      </c>
      <c r="D417" s="10" t="s">
        <v>1377</v>
      </c>
      <c r="E417" s="11" t="s">
        <v>1431</v>
      </c>
      <c r="F417" s="12" t="s">
        <v>1432</v>
      </c>
      <c r="G417" s="13" t="s">
        <v>50</v>
      </c>
      <c r="H417" s="14" t="n">
        <v>-0.902</v>
      </c>
      <c r="I417" s="15"/>
      <c r="J417" s="12"/>
      <c r="K417" s="9"/>
      <c r="L417" s="16" t="s">
        <v>51</v>
      </c>
      <c r="M417" s="17" t="s">
        <v>79</v>
      </c>
      <c r="N417" s="15"/>
      <c r="O417" s="16" t="s">
        <v>54</v>
      </c>
      <c r="P417" s="12" t="s">
        <v>890</v>
      </c>
      <c r="Q417" s="16"/>
      <c r="R417" s="18" t="s">
        <v>79</v>
      </c>
      <c r="S417" s="19"/>
      <c r="T417" s="12" t="str">
        <f aca="false">IF(R417="維持",J417,IF(R417="排除","無關新聞事件",IFERROR(INDEX(事件規則!$B$2:$B$53,MATCH(S417,事件規則!$A$2:$A$53,0)),"")))</f>
        <v>無關新聞事件</v>
      </c>
      <c r="U417" s="20" t="n">
        <f aca="false">IF(R417="維持",K417,IF(R417="排除",0,IFERROR(INDEX(事件規則!$C$2:$C$53,MATCH(S417,事件規則!$A$2:$A$53,0)),"")))</f>
        <v>0</v>
      </c>
      <c r="V417" s="21"/>
      <c r="W417" s="22"/>
      <c r="X417" s="10" t="str">
        <f aca="false">IF(AND(R417="修改",S417=""),"請選新事件代碼",IF(AND(R417&lt;&gt;"修改",S417&lt;&gt;""),"只有「修改」才需填代碼",""))</f>
        <v/>
      </c>
      <c r="Y417" s="21"/>
      <c r="Z417" s="22"/>
      <c r="AA417" s="23" t="s">
        <v>1433</v>
      </c>
      <c r="AB417" s="13"/>
    </row>
    <row r="418" customFormat="false" ht="29.85" hidden="false" customHeight="false" outlineLevel="0" collapsed="false">
      <c r="A418" s="16" t="n">
        <v>417</v>
      </c>
      <c r="B418" s="9" t="s">
        <v>65</v>
      </c>
      <c r="C418" s="9" t="s">
        <v>456</v>
      </c>
      <c r="D418" s="10" t="s">
        <v>457</v>
      </c>
      <c r="E418" s="24" t="s">
        <v>1434</v>
      </c>
      <c r="F418" s="12"/>
      <c r="G418" s="23" t="s">
        <v>1435</v>
      </c>
      <c r="H418" s="14" t="n">
        <v>-0.9</v>
      </c>
      <c r="I418" s="15"/>
      <c r="J418" s="12"/>
      <c r="K418" s="9"/>
      <c r="L418" s="16" t="s">
        <v>51</v>
      </c>
      <c r="M418" s="17" t="s">
        <v>79</v>
      </c>
      <c r="N418" s="15"/>
      <c r="O418" s="16" t="s">
        <v>54</v>
      </c>
      <c r="P418" s="12" t="s">
        <v>890</v>
      </c>
      <c r="Q418" s="16"/>
      <c r="R418" s="18" t="s">
        <v>79</v>
      </c>
      <c r="S418" s="19"/>
      <c r="T418" s="12" t="str">
        <f aca="false">IF(R418="維持",J418,IF(R418="排除","無關新聞事件",IFERROR(INDEX(事件規則!$B$2:$B$53,MATCH(S418,事件規則!$A$2:$A$53,0)),"")))</f>
        <v>無關新聞事件</v>
      </c>
      <c r="U418" s="20" t="n">
        <f aca="false">IF(R418="維持",K418,IF(R418="排除",0,IFERROR(INDEX(事件規則!$C$2:$C$53,MATCH(S418,事件規則!$A$2:$A$53,0)),"")))</f>
        <v>0</v>
      </c>
      <c r="V418" s="21"/>
      <c r="W418" s="22"/>
      <c r="X418" s="10" t="str">
        <f aca="false">IF(AND(R418="修改",S418=""),"請選新事件代碼",IF(AND(R418&lt;&gt;"修改",S418&lt;&gt;""),"只有「修改」才需填代碼",""))</f>
        <v/>
      </c>
      <c r="Y418" s="21"/>
      <c r="Z418" s="22"/>
      <c r="AA418" s="23" t="s">
        <v>1436</v>
      </c>
      <c r="AB418" s="13"/>
    </row>
    <row r="419" customFormat="false" ht="29.85" hidden="false" customHeight="false" outlineLevel="0" collapsed="false">
      <c r="A419" s="16" t="n">
        <v>418</v>
      </c>
      <c r="B419" s="9" t="s">
        <v>65</v>
      </c>
      <c r="C419" s="9" t="s">
        <v>1437</v>
      </c>
      <c r="D419" s="10" t="s">
        <v>1438</v>
      </c>
      <c r="E419" s="24" t="s">
        <v>1439</v>
      </c>
      <c r="F419" s="12"/>
      <c r="G419" s="23" t="s">
        <v>120</v>
      </c>
      <c r="H419" s="14" t="n">
        <v>-0.9</v>
      </c>
      <c r="I419" s="15"/>
      <c r="J419" s="12"/>
      <c r="K419" s="9"/>
      <c r="L419" s="16" t="s">
        <v>51</v>
      </c>
      <c r="M419" s="17" t="s">
        <v>79</v>
      </c>
      <c r="N419" s="15"/>
      <c r="O419" s="16" t="s">
        <v>54</v>
      </c>
      <c r="P419" s="12" t="s">
        <v>890</v>
      </c>
      <c r="Q419" s="16"/>
      <c r="R419" s="18" t="s">
        <v>79</v>
      </c>
      <c r="S419" s="19"/>
      <c r="T419" s="12" t="str">
        <f aca="false">IF(R419="維持",J419,IF(R419="排除","無關新聞事件",IFERROR(INDEX(事件規則!$B$2:$B$53,MATCH(S419,事件規則!$A$2:$A$53,0)),"")))</f>
        <v>無關新聞事件</v>
      </c>
      <c r="U419" s="20" t="n">
        <f aca="false">IF(R419="維持",K419,IF(R419="排除",0,IFERROR(INDEX(事件規則!$C$2:$C$53,MATCH(S419,事件規則!$A$2:$A$53,0)),"")))</f>
        <v>0</v>
      </c>
      <c r="V419" s="21"/>
      <c r="W419" s="22"/>
      <c r="X419" s="10" t="str">
        <f aca="false">IF(AND(R419="修改",S419=""),"請選新事件代碼",IF(AND(R419&lt;&gt;"修改",S419&lt;&gt;""),"只有「修改」才需填代碼",""))</f>
        <v/>
      </c>
      <c r="Y419" s="21"/>
      <c r="Z419" s="22"/>
      <c r="AA419" s="23" t="s">
        <v>1440</v>
      </c>
      <c r="AB419" s="13"/>
    </row>
    <row r="420" customFormat="false" ht="29.85" hidden="false" customHeight="false" outlineLevel="0" collapsed="false">
      <c r="A420" s="16" t="n">
        <v>419</v>
      </c>
      <c r="B420" s="9" t="s">
        <v>331</v>
      </c>
      <c r="C420" s="9" t="s">
        <v>1412</v>
      </c>
      <c r="D420" s="10" t="s">
        <v>1413</v>
      </c>
      <c r="E420" s="24" t="s">
        <v>1441</v>
      </c>
      <c r="F420" s="12"/>
      <c r="G420" s="23" t="s">
        <v>1442</v>
      </c>
      <c r="H420" s="14" t="n">
        <v>-0.9</v>
      </c>
      <c r="I420" s="15"/>
      <c r="J420" s="12"/>
      <c r="K420" s="9"/>
      <c r="L420" s="16" t="s">
        <v>51</v>
      </c>
      <c r="M420" s="17" t="s">
        <v>79</v>
      </c>
      <c r="N420" s="15"/>
      <c r="O420" s="16" t="s">
        <v>54</v>
      </c>
      <c r="P420" s="12" t="s">
        <v>890</v>
      </c>
      <c r="Q420" s="16"/>
      <c r="R420" s="18" t="s">
        <v>79</v>
      </c>
      <c r="S420" s="19"/>
      <c r="T420" s="12" t="str">
        <f aca="false">IF(R420="維持",J420,IF(R420="排除","無關新聞事件",IFERROR(INDEX(事件規則!$B$2:$B$53,MATCH(S420,事件規則!$A$2:$A$53,0)),"")))</f>
        <v>無關新聞事件</v>
      </c>
      <c r="U420" s="20" t="n">
        <f aca="false">IF(R420="維持",K420,IF(R420="排除",0,IFERROR(INDEX(事件規則!$C$2:$C$53,MATCH(S420,事件規則!$A$2:$A$53,0)),"")))</f>
        <v>0</v>
      </c>
      <c r="V420" s="21"/>
      <c r="W420" s="22"/>
      <c r="X420" s="10" t="str">
        <f aca="false">IF(AND(R420="修改",S420=""),"請選新事件代碼",IF(AND(R420&lt;&gt;"修改",S420&lt;&gt;""),"只有「修改」才需填代碼",""))</f>
        <v/>
      </c>
      <c r="Y420" s="21"/>
      <c r="Z420" s="22"/>
      <c r="AA420" s="23" t="s">
        <v>1443</v>
      </c>
      <c r="AB420" s="13"/>
    </row>
    <row r="421" customFormat="false" ht="29.85" hidden="false" customHeight="false" outlineLevel="0" collapsed="false">
      <c r="A421" s="16" t="n">
        <v>420</v>
      </c>
      <c r="B421" s="9" t="s">
        <v>45</v>
      </c>
      <c r="C421" s="9" t="s">
        <v>1444</v>
      </c>
      <c r="D421" s="10" t="s">
        <v>1445</v>
      </c>
      <c r="E421" s="24" t="s">
        <v>1446</v>
      </c>
      <c r="F421" s="12"/>
      <c r="G421" s="23" t="s">
        <v>1447</v>
      </c>
      <c r="H421" s="14" t="n">
        <v>-0.9</v>
      </c>
      <c r="I421" s="15"/>
      <c r="J421" s="12"/>
      <c r="K421" s="9"/>
      <c r="L421" s="16" t="s">
        <v>51</v>
      </c>
      <c r="M421" s="17" t="s">
        <v>79</v>
      </c>
      <c r="N421" s="15"/>
      <c r="O421" s="16" t="s">
        <v>54</v>
      </c>
      <c r="P421" s="12" t="s">
        <v>890</v>
      </c>
      <c r="Q421" s="16"/>
      <c r="R421" s="18" t="s">
        <v>79</v>
      </c>
      <c r="S421" s="19"/>
      <c r="T421" s="12" t="str">
        <f aca="false">IF(R421="維持",J421,IF(R421="排除","無關新聞事件",IFERROR(INDEX(事件規則!$B$2:$B$53,MATCH(S421,事件規則!$A$2:$A$53,0)),"")))</f>
        <v>無關新聞事件</v>
      </c>
      <c r="U421" s="20" t="n">
        <f aca="false">IF(R421="維持",K421,IF(R421="排除",0,IFERROR(INDEX(事件規則!$C$2:$C$53,MATCH(S421,事件規則!$A$2:$A$53,0)),"")))</f>
        <v>0</v>
      </c>
      <c r="V421" s="21"/>
      <c r="W421" s="22"/>
      <c r="X421" s="10" t="str">
        <f aca="false">IF(AND(R421="修改",S421=""),"請選新事件代碼",IF(AND(R421&lt;&gt;"修改",S421&lt;&gt;""),"只有「修改」才需填代碼",""))</f>
        <v/>
      </c>
      <c r="Y421" s="21"/>
      <c r="Z421" s="22"/>
      <c r="AA421" s="23" t="s">
        <v>1448</v>
      </c>
      <c r="AB421" s="13"/>
    </row>
    <row r="422" customFormat="false" ht="29.85" hidden="false" customHeight="false" outlineLevel="0" collapsed="false">
      <c r="A422" s="16" t="n">
        <v>421</v>
      </c>
      <c r="B422" s="9" t="s">
        <v>65</v>
      </c>
      <c r="C422" s="9" t="s">
        <v>569</v>
      </c>
      <c r="D422" s="10" t="s">
        <v>570</v>
      </c>
      <c r="E422" s="24" t="s">
        <v>1449</v>
      </c>
      <c r="F422" s="12"/>
      <c r="G422" s="23" t="s">
        <v>1450</v>
      </c>
      <c r="H422" s="14" t="n">
        <v>-0.899</v>
      </c>
      <c r="I422" s="15"/>
      <c r="J422" s="12"/>
      <c r="K422" s="9"/>
      <c r="L422" s="16" t="s">
        <v>51</v>
      </c>
      <c r="M422" s="17" t="s">
        <v>79</v>
      </c>
      <c r="N422" s="15"/>
      <c r="O422" s="16" t="s">
        <v>54</v>
      </c>
      <c r="P422" s="12" t="s">
        <v>890</v>
      </c>
      <c r="Q422" s="16"/>
      <c r="R422" s="18" t="s">
        <v>79</v>
      </c>
      <c r="S422" s="19"/>
      <c r="T422" s="12" t="str">
        <f aca="false">IF(R422="維持",J422,IF(R422="排除","無關新聞事件",IFERROR(INDEX(事件規則!$B$2:$B$53,MATCH(S422,事件規則!$A$2:$A$53,0)),"")))</f>
        <v>無關新聞事件</v>
      </c>
      <c r="U422" s="20" t="n">
        <f aca="false">IF(R422="維持",K422,IF(R422="排除",0,IFERROR(INDEX(事件規則!$C$2:$C$53,MATCH(S422,事件規則!$A$2:$A$53,0)),"")))</f>
        <v>0</v>
      </c>
      <c r="V422" s="21"/>
      <c r="W422" s="22"/>
      <c r="X422" s="10" t="str">
        <f aca="false">IF(AND(R422="修改",S422=""),"請選新事件代碼",IF(AND(R422&lt;&gt;"修改",S422&lt;&gt;""),"只有「修改」才需填代碼",""))</f>
        <v/>
      </c>
      <c r="Y422" s="21"/>
      <c r="Z422" s="22"/>
      <c r="AA422" s="23" t="s">
        <v>1451</v>
      </c>
      <c r="AB422" s="13"/>
    </row>
    <row r="423" customFormat="false" ht="29.85" hidden="false" customHeight="false" outlineLevel="0" collapsed="false">
      <c r="A423" s="16" t="n">
        <v>422</v>
      </c>
      <c r="B423" s="9" t="s">
        <v>331</v>
      </c>
      <c r="C423" s="9" t="s">
        <v>564</v>
      </c>
      <c r="D423" s="10" t="s">
        <v>565</v>
      </c>
      <c r="E423" s="24" t="s">
        <v>1452</v>
      </c>
      <c r="F423" s="12"/>
      <c r="G423" s="23" t="s">
        <v>1453</v>
      </c>
      <c r="H423" s="14" t="n">
        <v>-0.899</v>
      </c>
      <c r="I423" s="15"/>
      <c r="J423" s="12"/>
      <c r="K423" s="9"/>
      <c r="L423" s="16" t="s">
        <v>51</v>
      </c>
      <c r="M423" s="17" t="s">
        <v>79</v>
      </c>
      <c r="N423" s="15"/>
      <c r="O423" s="16" t="s">
        <v>54</v>
      </c>
      <c r="P423" s="12" t="s">
        <v>890</v>
      </c>
      <c r="Q423" s="16"/>
      <c r="R423" s="18" t="s">
        <v>79</v>
      </c>
      <c r="S423" s="19"/>
      <c r="T423" s="12" t="str">
        <f aca="false">IF(R423="維持",J423,IF(R423="排除","無關新聞事件",IFERROR(INDEX(事件規則!$B$2:$B$53,MATCH(S423,事件規則!$A$2:$A$53,0)),"")))</f>
        <v>無關新聞事件</v>
      </c>
      <c r="U423" s="20" t="n">
        <f aca="false">IF(R423="維持",K423,IF(R423="排除",0,IFERROR(INDEX(事件規則!$C$2:$C$53,MATCH(S423,事件規則!$A$2:$A$53,0)),"")))</f>
        <v>0</v>
      </c>
      <c r="V423" s="21"/>
      <c r="W423" s="22"/>
      <c r="X423" s="10" t="str">
        <f aca="false">IF(AND(R423="修改",S423=""),"請選新事件代碼",IF(AND(R423&lt;&gt;"修改",S423&lt;&gt;""),"只有「修改」才需填代碼",""))</f>
        <v/>
      </c>
      <c r="Y423" s="21"/>
      <c r="Z423" s="22"/>
      <c r="AA423" s="23" t="s">
        <v>1454</v>
      </c>
      <c r="AB423" s="13"/>
    </row>
    <row r="424" customFormat="false" ht="23.85" hidden="false" customHeight="false" outlineLevel="0" collapsed="false">
      <c r="A424" s="16" t="n">
        <v>423</v>
      </c>
      <c r="B424" s="9" t="s">
        <v>65</v>
      </c>
      <c r="C424" s="9" t="s">
        <v>798</v>
      </c>
      <c r="D424" s="10" t="s">
        <v>799</v>
      </c>
      <c r="E424" s="24" t="s">
        <v>1455</v>
      </c>
      <c r="F424" s="12"/>
      <c r="G424" s="23" t="s">
        <v>335</v>
      </c>
      <c r="H424" s="14" t="n">
        <v>-0.899</v>
      </c>
      <c r="I424" s="15"/>
      <c r="J424" s="12"/>
      <c r="K424" s="9"/>
      <c r="L424" s="16" t="s">
        <v>51</v>
      </c>
      <c r="M424" s="17" t="s">
        <v>52</v>
      </c>
      <c r="N424" s="15" t="s">
        <v>183</v>
      </c>
      <c r="O424" s="16" t="s">
        <v>105</v>
      </c>
      <c r="P424" s="10" t="s">
        <v>1456</v>
      </c>
      <c r="Q424" s="16"/>
      <c r="R424" s="18" t="s">
        <v>52</v>
      </c>
      <c r="S424" s="19" t="s">
        <v>183</v>
      </c>
      <c r="T424" s="12" t="str">
        <f aca="false">IF(R424="維持",J424,IF(R424="排除","無關新聞事件",IFERROR(INDEX(事件規則!$B$2:$B$53,MATCH(S424,事件規則!$A$2:$A$53,0)),"")))</f>
        <v>營運惡化</v>
      </c>
      <c r="U424" s="20" t="n">
        <f aca="false">IF(R424="維持",K424,IF(R424="排除",0,IFERROR(INDEX(事件規則!$C$2:$C$53,MATCH(S424,事件規則!$A$2:$A$53,0)),"")))</f>
        <v>3</v>
      </c>
      <c r="V424" s="21"/>
      <c r="W424" s="22"/>
      <c r="X424" s="10" t="str">
        <f aca="false">IF(AND(R424="修改",S424=""),"請選新事件代碼",IF(AND(R424&lt;&gt;"修改",S424&lt;&gt;""),"只有「修改」才需填代碼",""))</f>
        <v/>
      </c>
      <c r="Y424" s="21"/>
      <c r="Z424" s="22"/>
      <c r="AA424" s="23" t="s">
        <v>1457</v>
      </c>
      <c r="AB424" s="13"/>
    </row>
    <row r="425" customFormat="false" ht="29.85" hidden="false" customHeight="false" outlineLevel="0" collapsed="false">
      <c r="A425" s="16" t="n">
        <v>424</v>
      </c>
      <c r="B425" s="9" t="s">
        <v>65</v>
      </c>
      <c r="C425" s="9" t="s">
        <v>381</v>
      </c>
      <c r="D425" s="10" t="s">
        <v>382</v>
      </c>
      <c r="E425" s="24" t="s">
        <v>1458</v>
      </c>
      <c r="F425" s="12"/>
      <c r="G425" s="23" t="s">
        <v>1121</v>
      </c>
      <c r="H425" s="14" t="n">
        <v>-0.898</v>
      </c>
      <c r="I425" s="15"/>
      <c r="J425" s="12"/>
      <c r="K425" s="9"/>
      <c r="L425" s="16" t="s">
        <v>51</v>
      </c>
      <c r="M425" s="17" t="s">
        <v>79</v>
      </c>
      <c r="N425" s="15"/>
      <c r="O425" s="16" t="s">
        <v>54</v>
      </c>
      <c r="P425" s="12" t="s">
        <v>890</v>
      </c>
      <c r="Q425" s="16"/>
      <c r="R425" s="18" t="s">
        <v>79</v>
      </c>
      <c r="S425" s="19"/>
      <c r="T425" s="12" t="str">
        <f aca="false">IF(R425="維持",J425,IF(R425="排除","無關新聞事件",IFERROR(INDEX(事件規則!$B$2:$B$53,MATCH(S425,事件規則!$A$2:$A$53,0)),"")))</f>
        <v>無關新聞事件</v>
      </c>
      <c r="U425" s="20" t="n">
        <f aca="false">IF(R425="維持",K425,IF(R425="排除",0,IFERROR(INDEX(事件規則!$C$2:$C$53,MATCH(S425,事件規則!$A$2:$A$53,0)),"")))</f>
        <v>0</v>
      </c>
      <c r="V425" s="21"/>
      <c r="W425" s="22"/>
      <c r="X425" s="10" t="str">
        <f aca="false">IF(AND(R425="修改",S425=""),"請選新事件代碼",IF(AND(R425&lt;&gt;"修改",S425&lt;&gt;""),"只有「修改」才需填代碼",""))</f>
        <v/>
      </c>
      <c r="Y425" s="21"/>
      <c r="Z425" s="22"/>
      <c r="AA425" s="23" t="s">
        <v>1459</v>
      </c>
      <c r="AB425" s="13"/>
    </row>
    <row r="426" customFormat="false" ht="29.85" hidden="false" customHeight="false" outlineLevel="0" collapsed="false">
      <c r="A426" s="16" t="n">
        <v>425</v>
      </c>
      <c r="B426" s="9" t="s">
        <v>65</v>
      </c>
      <c r="C426" s="9" t="s">
        <v>1460</v>
      </c>
      <c r="D426" s="10" t="s">
        <v>1461</v>
      </c>
      <c r="E426" s="24" t="s">
        <v>1462</v>
      </c>
      <c r="F426" s="12"/>
      <c r="G426" s="23" t="s">
        <v>999</v>
      </c>
      <c r="H426" s="14" t="n">
        <v>-0.898</v>
      </c>
      <c r="I426" s="15"/>
      <c r="J426" s="12"/>
      <c r="K426" s="9"/>
      <c r="L426" s="16" t="s">
        <v>51</v>
      </c>
      <c r="M426" s="17" t="s">
        <v>79</v>
      </c>
      <c r="N426" s="15"/>
      <c r="O426" s="16" t="s">
        <v>54</v>
      </c>
      <c r="P426" s="12" t="s">
        <v>890</v>
      </c>
      <c r="Q426" s="16"/>
      <c r="R426" s="18" t="s">
        <v>79</v>
      </c>
      <c r="S426" s="19"/>
      <c r="T426" s="12" t="str">
        <f aca="false">IF(R426="維持",J426,IF(R426="排除","無關新聞事件",IFERROR(INDEX(事件規則!$B$2:$B$53,MATCH(S426,事件規則!$A$2:$A$53,0)),"")))</f>
        <v>無關新聞事件</v>
      </c>
      <c r="U426" s="20" t="n">
        <f aca="false">IF(R426="維持",K426,IF(R426="排除",0,IFERROR(INDEX(事件規則!$C$2:$C$53,MATCH(S426,事件規則!$A$2:$A$53,0)),"")))</f>
        <v>0</v>
      </c>
      <c r="V426" s="21"/>
      <c r="W426" s="22"/>
      <c r="X426" s="10" t="str">
        <f aca="false">IF(AND(R426="修改",S426=""),"請選新事件代碼",IF(AND(R426&lt;&gt;"修改",S426&lt;&gt;""),"只有「修改」才需填代碼",""))</f>
        <v/>
      </c>
      <c r="Y426" s="21"/>
      <c r="Z426" s="22"/>
      <c r="AA426" s="23" t="s">
        <v>1463</v>
      </c>
      <c r="AB426" s="13"/>
    </row>
    <row r="427" customFormat="false" ht="29.85" hidden="false" customHeight="false" outlineLevel="0" collapsed="false">
      <c r="A427" s="16" t="n">
        <v>426</v>
      </c>
      <c r="B427" s="9" t="s">
        <v>45</v>
      </c>
      <c r="C427" s="9" t="s">
        <v>456</v>
      </c>
      <c r="D427" s="10" t="s">
        <v>457</v>
      </c>
      <c r="E427" s="24" t="s">
        <v>1464</v>
      </c>
      <c r="F427" s="12"/>
      <c r="G427" s="23" t="s">
        <v>1465</v>
      </c>
      <c r="H427" s="14" t="n">
        <v>-0.898</v>
      </c>
      <c r="I427" s="15"/>
      <c r="J427" s="12"/>
      <c r="K427" s="9"/>
      <c r="L427" s="16" t="s">
        <v>51</v>
      </c>
      <c r="M427" s="17" t="s">
        <v>79</v>
      </c>
      <c r="N427" s="15"/>
      <c r="O427" s="16" t="s">
        <v>54</v>
      </c>
      <c r="P427" s="12" t="s">
        <v>890</v>
      </c>
      <c r="Q427" s="16"/>
      <c r="R427" s="18" t="s">
        <v>79</v>
      </c>
      <c r="S427" s="19"/>
      <c r="T427" s="12" t="str">
        <f aca="false">IF(R427="維持",J427,IF(R427="排除","無關新聞事件",IFERROR(INDEX(事件規則!$B$2:$B$53,MATCH(S427,事件規則!$A$2:$A$53,0)),"")))</f>
        <v>無關新聞事件</v>
      </c>
      <c r="U427" s="20" t="n">
        <f aca="false">IF(R427="維持",K427,IF(R427="排除",0,IFERROR(INDEX(事件規則!$C$2:$C$53,MATCH(S427,事件規則!$A$2:$A$53,0)),"")))</f>
        <v>0</v>
      </c>
      <c r="V427" s="21"/>
      <c r="W427" s="22"/>
      <c r="X427" s="10" t="str">
        <f aca="false">IF(AND(R427="修改",S427=""),"請選新事件代碼",IF(AND(R427&lt;&gt;"修改",S427&lt;&gt;""),"只有「修改」才需填代碼",""))</f>
        <v/>
      </c>
      <c r="Y427" s="21"/>
      <c r="Z427" s="22"/>
      <c r="AA427" s="23" t="s">
        <v>1466</v>
      </c>
      <c r="AB427" s="13"/>
    </row>
    <row r="428" customFormat="false" ht="29.85" hidden="false" customHeight="false" outlineLevel="0" collapsed="false">
      <c r="A428" s="16" t="n">
        <v>427</v>
      </c>
      <c r="B428" s="9" t="s">
        <v>386</v>
      </c>
      <c r="C428" s="9" t="s">
        <v>132</v>
      </c>
      <c r="D428" s="10" t="s">
        <v>133</v>
      </c>
      <c r="E428" s="24" t="s">
        <v>1467</v>
      </c>
      <c r="F428" s="12"/>
      <c r="G428" s="23" t="s">
        <v>1468</v>
      </c>
      <c r="H428" s="14" t="n">
        <v>-0.898</v>
      </c>
      <c r="I428" s="15"/>
      <c r="J428" s="12"/>
      <c r="K428" s="9"/>
      <c r="L428" s="16" t="s">
        <v>51</v>
      </c>
      <c r="M428" s="17" t="s">
        <v>79</v>
      </c>
      <c r="N428" s="15"/>
      <c r="O428" s="16" t="s">
        <v>54</v>
      </c>
      <c r="P428" s="12" t="s">
        <v>890</v>
      </c>
      <c r="Q428" s="16"/>
      <c r="R428" s="18" t="s">
        <v>79</v>
      </c>
      <c r="S428" s="19"/>
      <c r="T428" s="12" t="str">
        <f aca="false">IF(R428="維持",J428,IF(R428="排除","無關新聞事件",IFERROR(INDEX(事件規則!$B$2:$B$53,MATCH(S428,事件規則!$A$2:$A$53,0)),"")))</f>
        <v>無關新聞事件</v>
      </c>
      <c r="U428" s="20" t="n">
        <f aca="false">IF(R428="維持",K428,IF(R428="排除",0,IFERROR(INDEX(事件規則!$C$2:$C$53,MATCH(S428,事件規則!$A$2:$A$53,0)),"")))</f>
        <v>0</v>
      </c>
      <c r="V428" s="21"/>
      <c r="W428" s="22"/>
      <c r="X428" s="10" t="str">
        <f aca="false">IF(AND(R428="修改",S428=""),"請選新事件代碼",IF(AND(R428&lt;&gt;"修改",S428&lt;&gt;""),"只有「修改」才需填代碼",""))</f>
        <v/>
      </c>
      <c r="Y428" s="21"/>
      <c r="Z428" s="22"/>
      <c r="AA428" s="23" t="s">
        <v>1469</v>
      </c>
      <c r="AB428" s="13"/>
    </row>
    <row r="429" customFormat="false" ht="29.85" hidden="false" customHeight="false" outlineLevel="0" collapsed="false">
      <c r="A429" s="16" t="n">
        <v>428</v>
      </c>
      <c r="B429" s="9" t="s">
        <v>65</v>
      </c>
      <c r="C429" s="9" t="s">
        <v>1470</v>
      </c>
      <c r="D429" s="10" t="s">
        <v>1471</v>
      </c>
      <c r="E429" s="24" t="s">
        <v>1472</v>
      </c>
      <c r="F429" s="12"/>
      <c r="G429" s="23" t="s">
        <v>999</v>
      </c>
      <c r="H429" s="14" t="n">
        <v>-0.898</v>
      </c>
      <c r="I429" s="15"/>
      <c r="J429" s="12"/>
      <c r="K429" s="9"/>
      <c r="L429" s="16" t="s">
        <v>51</v>
      </c>
      <c r="M429" s="17" t="s">
        <v>79</v>
      </c>
      <c r="N429" s="15"/>
      <c r="O429" s="16" t="s">
        <v>54</v>
      </c>
      <c r="P429" s="12" t="s">
        <v>890</v>
      </c>
      <c r="Q429" s="16"/>
      <c r="R429" s="18" t="s">
        <v>79</v>
      </c>
      <c r="S429" s="19"/>
      <c r="T429" s="12" t="str">
        <f aca="false">IF(R429="維持",J429,IF(R429="排除","無關新聞事件",IFERROR(INDEX(事件規則!$B$2:$B$53,MATCH(S429,事件規則!$A$2:$A$53,0)),"")))</f>
        <v>無關新聞事件</v>
      </c>
      <c r="U429" s="20" t="n">
        <f aca="false">IF(R429="維持",K429,IF(R429="排除",0,IFERROR(INDEX(事件規則!$C$2:$C$53,MATCH(S429,事件規則!$A$2:$A$53,0)),"")))</f>
        <v>0</v>
      </c>
      <c r="V429" s="21"/>
      <c r="W429" s="22"/>
      <c r="X429" s="10" t="str">
        <f aca="false">IF(AND(R429="修改",S429=""),"請選新事件代碼",IF(AND(R429&lt;&gt;"修改",S429&lt;&gt;""),"只有「修改」才需填代碼",""))</f>
        <v/>
      </c>
      <c r="Y429" s="21"/>
      <c r="Z429" s="22"/>
      <c r="AA429" s="23" t="s">
        <v>1473</v>
      </c>
      <c r="AB429" s="13"/>
    </row>
    <row r="430" customFormat="false" ht="15" hidden="false" customHeight="false" outlineLevel="0" collapsed="false">
      <c r="A430" s="16" t="n">
        <v>429</v>
      </c>
      <c r="B430" s="9" t="s">
        <v>45</v>
      </c>
      <c r="C430" s="9" t="s">
        <v>102</v>
      </c>
      <c r="D430" s="10" t="s">
        <v>103</v>
      </c>
      <c r="E430" s="24" t="s">
        <v>1474</v>
      </c>
      <c r="F430" s="12"/>
      <c r="G430" s="23" t="s">
        <v>301</v>
      </c>
      <c r="H430" s="14" t="n">
        <v>-0.897</v>
      </c>
      <c r="I430" s="15"/>
      <c r="J430" s="12"/>
      <c r="K430" s="9"/>
      <c r="L430" s="16" t="s">
        <v>51</v>
      </c>
      <c r="M430" s="17" t="s">
        <v>52</v>
      </c>
      <c r="N430" s="15" t="s">
        <v>264</v>
      </c>
      <c r="O430" s="16" t="s">
        <v>62</v>
      </c>
      <c r="P430" s="10" t="s">
        <v>1475</v>
      </c>
      <c r="Q430" s="16"/>
      <c r="R430" s="18" t="s">
        <v>52</v>
      </c>
      <c r="S430" s="19" t="s">
        <v>264</v>
      </c>
      <c r="T430" s="12" t="str">
        <f aca="false">IF(R430="維持",J430,IF(R430="排除","無關新聞事件",IFERROR(INDEX(事件規則!$B$2:$B$53,MATCH(S430,事件規則!$A$2:$A$53,0)),"")))</f>
        <v>分析師降評</v>
      </c>
      <c r="U430" s="20" t="n">
        <f aca="false">IF(R430="維持",K430,IF(R430="排除",0,IFERROR(INDEX(事件規則!$C$2:$C$53,MATCH(S430,事件規則!$A$2:$A$53,0)),"")))</f>
        <v>2</v>
      </c>
      <c r="V430" s="21"/>
      <c r="W430" s="22"/>
      <c r="X430" s="10" t="str">
        <f aca="false">IF(AND(R430="修改",S430=""),"請選新事件代碼",IF(AND(R430&lt;&gt;"修改",S430&lt;&gt;""),"只有「修改」才需填代碼",""))</f>
        <v/>
      </c>
      <c r="Y430" s="21"/>
      <c r="Z430" s="22"/>
      <c r="AA430" s="23" t="s">
        <v>1476</v>
      </c>
      <c r="AB430" s="13"/>
    </row>
    <row r="431" customFormat="false" ht="29.85" hidden="false" customHeight="false" outlineLevel="0" collapsed="false">
      <c r="A431" s="16" t="n">
        <v>430</v>
      </c>
      <c r="B431" s="9" t="s">
        <v>65</v>
      </c>
      <c r="C431" s="9" t="s">
        <v>346</v>
      </c>
      <c r="D431" s="10" t="s">
        <v>347</v>
      </c>
      <c r="E431" s="24" t="s">
        <v>1477</v>
      </c>
      <c r="F431" s="12"/>
      <c r="G431" s="23" t="s">
        <v>1478</v>
      </c>
      <c r="H431" s="14" t="n">
        <v>-0.897</v>
      </c>
      <c r="I431" s="15"/>
      <c r="J431" s="12"/>
      <c r="K431" s="9"/>
      <c r="L431" s="16" t="s">
        <v>51</v>
      </c>
      <c r="M431" s="17" t="s">
        <v>79</v>
      </c>
      <c r="N431" s="15"/>
      <c r="O431" s="16" t="s">
        <v>54</v>
      </c>
      <c r="P431" s="12" t="s">
        <v>890</v>
      </c>
      <c r="Q431" s="16"/>
      <c r="R431" s="18" t="s">
        <v>79</v>
      </c>
      <c r="S431" s="19"/>
      <c r="T431" s="12" t="str">
        <f aca="false">IF(R431="維持",J431,IF(R431="排除","無關新聞事件",IFERROR(INDEX(事件規則!$B$2:$B$53,MATCH(S431,事件規則!$A$2:$A$53,0)),"")))</f>
        <v>無關新聞事件</v>
      </c>
      <c r="U431" s="20" t="n">
        <f aca="false">IF(R431="維持",K431,IF(R431="排除",0,IFERROR(INDEX(事件規則!$C$2:$C$53,MATCH(S431,事件規則!$A$2:$A$53,0)),"")))</f>
        <v>0</v>
      </c>
      <c r="V431" s="21"/>
      <c r="W431" s="22"/>
      <c r="X431" s="10" t="str">
        <f aca="false">IF(AND(R431="修改",S431=""),"請選新事件代碼",IF(AND(R431&lt;&gt;"修改",S431&lt;&gt;""),"只有「修改」才需填代碼",""))</f>
        <v/>
      </c>
      <c r="Y431" s="21"/>
      <c r="Z431" s="22"/>
      <c r="AA431" s="23" t="s">
        <v>1479</v>
      </c>
      <c r="AB431" s="13"/>
    </row>
    <row r="432" customFormat="false" ht="29.85" hidden="false" customHeight="false" outlineLevel="0" collapsed="false">
      <c r="A432" s="16" t="n">
        <v>431</v>
      </c>
      <c r="B432" s="9" t="s">
        <v>65</v>
      </c>
      <c r="C432" s="9" t="s">
        <v>1480</v>
      </c>
      <c r="D432" s="10" t="s">
        <v>1481</v>
      </c>
      <c r="E432" s="24" t="s">
        <v>1482</v>
      </c>
      <c r="F432" s="12"/>
      <c r="G432" s="23" t="s">
        <v>999</v>
      </c>
      <c r="H432" s="14" t="n">
        <v>-0.896</v>
      </c>
      <c r="I432" s="15"/>
      <c r="J432" s="12"/>
      <c r="K432" s="9"/>
      <c r="L432" s="16" t="s">
        <v>51</v>
      </c>
      <c r="M432" s="17" t="s">
        <v>79</v>
      </c>
      <c r="N432" s="15"/>
      <c r="O432" s="16" t="s">
        <v>54</v>
      </c>
      <c r="P432" s="12" t="s">
        <v>890</v>
      </c>
      <c r="Q432" s="16"/>
      <c r="R432" s="18" t="s">
        <v>79</v>
      </c>
      <c r="S432" s="19"/>
      <c r="T432" s="12" t="str">
        <f aca="false">IF(R432="維持",J432,IF(R432="排除","無關新聞事件",IFERROR(INDEX(事件規則!$B$2:$B$53,MATCH(S432,事件規則!$A$2:$A$53,0)),"")))</f>
        <v>無關新聞事件</v>
      </c>
      <c r="U432" s="20" t="n">
        <f aca="false">IF(R432="維持",K432,IF(R432="排除",0,IFERROR(INDEX(事件規則!$C$2:$C$53,MATCH(S432,事件規則!$A$2:$A$53,0)),"")))</f>
        <v>0</v>
      </c>
      <c r="V432" s="21"/>
      <c r="W432" s="22"/>
      <c r="X432" s="10" t="str">
        <f aca="false">IF(AND(R432="修改",S432=""),"請選新事件代碼",IF(AND(R432&lt;&gt;"修改",S432&lt;&gt;""),"只有「修改」才需填代碼",""))</f>
        <v/>
      </c>
      <c r="Y432" s="21"/>
      <c r="Z432" s="22"/>
      <c r="AA432" s="23" t="s">
        <v>1483</v>
      </c>
      <c r="AB432" s="13"/>
    </row>
    <row r="433" customFormat="false" ht="29.85" hidden="false" customHeight="false" outlineLevel="0" collapsed="false">
      <c r="A433" s="16" t="n">
        <v>432</v>
      </c>
      <c r="B433" s="9" t="s">
        <v>65</v>
      </c>
      <c r="C433" s="9" t="s">
        <v>102</v>
      </c>
      <c r="D433" s="10" t="s">
        <v>103</v>
      </c>
      <c r="E433" s="24" t="s">
        <v>1484</v>
      </c>
      <c r="F433" s="12"/>
      <c r="G433" s="23" t="s">
        <v>999</v>
      </c>
      <c r="H433" s="14" t="n">
        <v>-0.896</v>
      </c>
      <c r="I433" s="15"/>
      <c r="J433" s="12"/>
      <c r="K433" s="9"/>
      <c r="L433" s="16" t="s">
        <v>51</v>
      </c>
      <c r="M433" s="17" t="s">
        <v>79</v>
      </c>
      <c r="N433" s="15"/>
      <c r="O433" s="16" t="s">
        <v>54</v>
      </c>
      <c r="P433" s="12" t="s">
        <v>890</v>
      </c>
      <c r="Q433" s="16"/>
      <c r="R433" s="18" t="s">
        <v>79</v>
      </c>
      <c r="S433" s="19"/>
      <c r="T433" s="12" t="str">
        <f aca="false">IF(R433="維持",J433,IF(R433="排除","無關新聞事件",IFERROR(INDEX(事件規則!$B$2:$B$53,MATCH(S433,事件規則!$A$2:$A$53,0)),"")))</f>
        <v>無關新聞事件</v>
      </c>
      <c r="U433" s="20" t="n">
        <f aca="false">IF(R433="維持",K433,IF(R433="排除",0,IFERROR(INDEX(事件規則!$C$2:$C$53,MATCH(S433,事件規則!$A$2:$A$53,0)),"")))</f>
        <v>0</v>
      </c>
      <c r="V433" s="21"/>
      <c r="W433" s="22"/>
      <c r="X433" s="10" t="str">
        <f aca="false">IF(AND(R433="修改",S433=""),"請選新事件代碼",IF(AND(R433&lt;&gt;"修改",S433&lt;&gt;""),"只有「修改」才需填代碼",""))</f>
        <v/>
      </c>
      <c r="Y433" s="21"/>
      <c r="Z433" s="22"/>
      <c r="AA433" s="23" t="s">
        <v>1485</v>
      </c>
      <c r="AB433" s="13"/>
    </row>
    <row r="434" customFormat="false" ht="29.85" hidden="false" customHeight="false" outlineLevel="0" collapsed="false">
      <c r="A434" s="16" t="n">
        <v>433</v>
      </c>
      <c r="B434" s="9" t="s">
        <v>45</v>
      </c>
      <c r="C434" s="9" t="s">
        <v>1486</v>
      </c>
      <c r="D434" s="10" t="s">
        <v>1487</v>
      </c>
      <c r="E434" s="24" t="s">
        <v>1488</v>
      </c>
      <c r="F434" s="12"/>
      <c r="G434" s="23" t="s">
        <v>120</v>
      </c>
      <c r="H434" s="14" t="n">
        <v>-0.896</v>
      </c>
      <c r="I434" s="15"/>
      <c r="J434" s="12"/>
      <c r="K434" s="9"/>
      <c r="L434" s="16" t="s">
        <v>51</v>
      </c>
      <c r="M434" s="17" t="s">
        <v>79</v>
      </c>
      <c r="N434" s="15"/>
      <c r="O434" s="16" t="s">
        <v>54</v>
      </c>
      <c r="P434" s="12" t="s">
        <v>890</v>
      </c>
      <c r="Q434" s="16"/>
      <c r="R434" s="18" t="s">
        <v>79</v>
      </c>
      <c r="S434" s="19"/>
      <c r="T434" s="12" t="str">
        <f aca="false">IF(R434="維持",J434,IF(R434="排除","無關新聞事件",IFERROR(INDEX(事件規則!$B$2:$B$53,MATCH(S434,事件規則!$A$2:$A$53,0)),"")))</f>
        <v>無關新聞事件</v>
      </c>
      <c r="U434" s="20" t="n">
        <f aca="false">IF(R434="維持",K434,IF(R434="排除",0,IFERROR(INDEX(事件規則!$C$2:$C$53,MATCH(S434,事件規則!$A$2:$A$53,0)),"")))</f>
        <v>0</v>
      </c>
      <c r="V434" s="21"/>
      <c r="W434" s="22"/>
      <c r="X434" s="10" t="str">
        <f aca="false">IF(AND(R434="修改",S434=""),"請選新事件代碼",IF(AND(R434&lt;&gt;"修改",S434&lt;&gt;""),"只有「修改」才需填代碼",""))</f>
        <v/>
      </c>
      <c r="Y434" s="21"/>
      <c r="Z434" s="22"/>
      <c r="AA434" s="23" t="s">
        <v>1489</v>
      </c>
      <c r="AB434" s="13"/>
    </row>
    <row r="435" customFormat="false" ht="15" hidden="false" customHeight="false" outlineLevel="0" collapsed="false">
      <c r="A435" s="16" t="n">
        <v>434</v>
      </c>
      <c r="B435" s="9" t="s">
        <v>386</v>
      </c>
      <c r="C435" s="9" t="s">
        <v>1490</v>
      </c>
      <c r="D435" s="10" t="s">
        <v>1491</v>
      </c>
      <c r="E435" s="24" t="s">
        <v>1492</v>
      </c>
      <c r="F435" s="12"/>
      <c r="G435" s="23" t="s">
        <v>1493</v>
      </c>
      <c r="H435" s="14" t="n">
        <v>-0.895</v>
      </c>
      <c r="I435" s="15"/>
      <c r="J435" s="12"/>
      <c r="K435" s="9"/>
      <c r="L435" s="16" t="s">
        <v>51</v>
      </c>
      <c r="M435" s="17" t="s">
        <v>52</v>
      </c>
      <c r="N435" s="15" t="s">
        <v>667</v>
      </c>
      <c r="O435" s="16" t="s">
        <v>54</v>
      </c>
      <c r="P435" s="10" t="s">
        <v>1295</v>
      </c>
      <c r="Q435" s="16"/>
      <c r="R435" s="18" t="s">
        <v>52</v>
      </c>
      <c r="S435" s="19" t="s">
        <v>667</v>
      </c>
      <c r="T435" s="12" t="str">
        <f aca="false">IF(R435="維持",J435,IF(R435="排除","無關新聞事件",IFERROR(INDEX(事件規則!$B$2:$B$53,MATCH(S435,事件規則!$A$2:$A$53,0)),"")))</f>
        <v>重大產品瑕疵</v>
      </c>
      <c r="U435" s="20" t="n">
        <f aca="false">IF(R435="維持",K435,IF(R435="排除",0,IFERROR(INDEX(事件規則!$C$2:$C$53,MATCH(S435,事件規則!$A$2:$A$53,0)),"")))</f>
        <v>3</v>
      </c>
      <c r="V435" s="21"/>
      <c r="W435" s="22"/>
      <c r="X435" s="10" t="str">
        <f aca="false">IF(AND(R435="修改",S435=""),"請選新事件代碼",IF(AND(R435&lt;&gt;"修改",S435&lt;&gt;""),"只有「修改」才需填代碼",""))</f>
        <v/>
      </c>
      <c r="Y435" s="21"/>
      <c r="Z435" s="22"/>
      <c r="AA435" s="23" t="s">
        <v>1494</v>
      </c>
      <c r="AB435" s="13"/>
    </row>
    <row r="436" customFormat="false" ht="29.85" hidden="false" customHeight="false" outlineLevel="0" collapsed="false">
      <c r="A436" s="16" t="n">
        <v>435</v>
      </c>
      <c r="B436" s="9" t="s">
        <v>65</v>
      </c>
      <c r="C436" s="9" t="s">
        <v>739</v>
      </c>
      <c r="D436" s="10" t="s">
        <v>740</v>
      </c>
      <c r="E436" s="24" t="s">
        <v>1495</v>
      </c>
      <c r="F436" s="12"/>
      <c r="G436" s="23" t="s">
        <v>999</v>
      </c>
      <c r="H436" s="14" t="n">
        <v>-0.895</v>
      </c>
      <c r="I436" s="15"/>
      <c r="J436" s="12"/>
      <c r="K436" s="9"/>
      <c r="L436" s="16" t="s">
        <v>51</v>
      </c>
      <c r="M436" s="17" t="s">
        <v>79</v>
      </c>
      <c r="N436" s="15"/>
      <c r="O436" s="16" t="s">
        <v>54</v>
      </c>
      <c r="P436" s="12" t="s">
        <v>890</v>
      </c>
      <c r="Q436" s="16"/>
      <c r="R436" s="18" t="s">
        <v>79</v>
      </c>
      <c r="S436" s="19"/>
      <c r="T436" s="12" t="str">
        <f aca="false">IF(R436="維持",J436,IF(R436="排除","無關新聞事件",IFERROR(INDEX(事件規則!$B$2:$B$53,MATCH(S436,事件規則!$A$2:$A$53,0)),"")))</f>
        <v>無關新聞事件</v>
      </c>
      <c r="U436" s="20" t="n">
        <f aca="false">IF(R436="維持",K436,IF(R436="排除",0,IFERROR(INDEX(事件規則!$C$2:$C$53,MATCH(S436,事件規則!$A$2:$A$53,0)),"")))</f>
        <v>0</v>
      </c>
      <c r="V436" s="21"/>
      <c r="W436" s="22"/>
      <c r="X436" s="10" t="str">
        <f aca="false">IF(AND(R436="修改",S436=""),"請選新事件代碼",IF(AND(R436&lt;&gt;"修改",S436&lt;&gt;""),"只有「修改」才需填代碼",""))</f>
        <v/>
      </c>
      <c r="Y436" s="21"/>
      <c r="Z436" s="22"/>
      <c r="AA436" s="23" t="s">
        <v>1496</v>
      </c>
      <c r="AB436" s="13"/>
    </row>
    <row r="437" customFormat="false" ht="15" hidden="false" customHeight="false" outlineLevel="0" collapsed="false">
      <c r="A437" s="16" t="n">
        <v>436</v>
      </c>
      <c r="B437" s="9" t="s">
        <v>45</v>
      </c>
      <c r="C437" s="9" t="s">
        <v>88</v>
      </c>
      <c r="D437" s="10" t="s">
        <v>89</v>
      </c>
      <c r="E437" s="24" t="s">
        <v>1497</v>
      </c>
      <c r="F437" s="12"/>
      <c r="G437" s="23" t="s">
        <v>1498</v>
      </c>
      <c r="H437" s="14" t="n">
        <v>-0.895</v>
      </c>
      <c r="I437" s="15"/>
      <c r="J437" s="12"/>
      <c r="K437" s="9"/>
      <c r="L437" s="16" t="s">
        <v>51</v>
      </c>
      <c r="M437" s="17" t="s">
        <v>52</v>
      </c>
      <c r="N437" s="15" t="s">
        <v>53</v>
      </c>
      <c r="O437" s="16" t="s">
        <v>54</v>
      </c>
      <c r="P437" s="10" t="s">
        <v>926</v>
      </c>
      <c r="Q437" s="16"/>
      <c r="R437" s="18" t="s">
        <v>52</v>
      </c>
      <c r="S437" s="19" t="s">
        <v>53</v>
      </c>
      <c r="T437" s="12" t="str">
        <f aca="false">IF(R437="維持",J437,IF(R437="排除","無關新聞事件",IFERROR(INDEX(事件規則!$B$2:$B$53,MATCH(S437,事件規則!$A$2:$A$53,0)),"")))</f>
        <v>股價下跌</v>
      </c>
      <c r="U437" s="20" t="n">
        <f aca="false">IF(R437="維持",K437,IF(R437="排除",0,IFERROR(INDEX(事件規則!$C$2:$C$53,MATCH(S437,事件規則!$A$2:$A$53,0)),"")))</f>
        <v>1</v>
      </c>
      <c r="V437" s="21"/>
      <c r="W437" s="22"/>
      <c r="X437" s="10" t="str">
        <f aca="false">IF(AND(R437="修改",S437=""),"請選新事件代碼",IF(AND(R437&lt;&gt;"修改",S437&lt;&gt;""),"只有「修改」才需填代碼",""))</f>
        <v/>
      </c>
      <c r="Y437" s="21"/>
      <c r="Z437" s="22"/>
      <c r="AA437" s="23" t="s">
        <v>1499</v>
      </c>
      <c r="AB437" s="13"/>
    </row>
    <row r="438" customFormat="false" ht="29.85" hidden="false" customHeight="false" outlineLevel="0" collapsed="false">
      <c r="A438" s="16" t="n">
        <v>437</v>
      </c>
      <c r="B438" s="9" t="s">
        <v>331</v>
      </c>
      <c r="C438" s="9" t="s">
        <v>99</v>
      </c>
      <c r="D438" s="10" t="s">
        <v>100</v>
      </c>
      <c r="E438" s="24" t="s">
        <v>1500</v>
      </c>
      <c r="F438" s="12"/>
      <c r="G438" s="23" t="s">
        <v>120</v>
      </c>
      <c r="H438" s="14" t="n">
        <v>-0.894</v>
      </c>
      <c r="I438" s="15"/>
      <c r="J438" s="12"/>
      <c r="K438" s="9"/>
      <c r="L438" s="16" t="s">
        <v>51</v>
      </c>
      <c r="M438" s="17" t="s">
        <v>79</v>
      </c>
      <c r="N438" s="15"/>
      <c r="O438" s="16" t="s">
        <v>54</v>
      </c>
      <c r="P438" s="12" t="s">
        <v>890</v>
      </c>
      <c r="Q438" s="16"/>
      <c r="R438" s="18" t="s">
        <v>79</v>
      </c>
      <c r="S438" s="19"/>
      <c r="T438" s="12" t="str">
        <f aca="false">IF(R438="維持",J438,IF(R438="排除","無關新聞事件",IFERROR(INDEX(事件規則!$B$2:$B$53,MATCH(S438,事件規則!$A$2:$A$53,0)),"")))</f>
        <v>無關新聞事件</v>
      </c>
      <c r="U438" s="20" t="n">
        <f aca="false">IF(R438="維持",K438,IF(R438="排除",0,IFERROR(INDEX(事件規則!$C$2:$C$53,MATCH(S438,事件規則!$A$2:$A$53,0)),"")))</f>
        <v>0</v>
      </c>
      <c r="V438" s="21"/>
      <c r="W438" s="22"/>
      <c r="X438" s="10" t="str">
        <f aca="false">IF(AND(R438="修改",S438=""),"請選新事件代碼",IF(AND(R438&lt;&gt;"修改",S438&lt;&gt;""),"只有「修改」才需填代碼",""))</f>
        <v/>
      </c>
      <c r="Y438" s="21"/>
      <c r="Z438" s="22"/>
      <c r="AA438" s="23" t="s">
        <v>1501</v>
      </c>
      <c r="AB438" s="13"/>
    </row>
    <row r="439" customFormat="false" ht="29.85" hidden="false" customHeight="false" outlineLevel="0" collapsed="false">
      <c r="A439" s="16" t="n">
        <v>438</v>
      </c>
      <c r="B439" s="9" t="s">
        <v>65</v>
      </c>
      <c r="C439" s="9" t="s">
        <v>1502</v>
      </c>
      <c r="D439" s="10" t="s">
        <v>1503</v>
      </c>
      <c r="E439" s="24" t="s">
        <v>1504</v>
      </c>
      <c r="F439" s="12"/>
      <c r="G439" s="23" t="s">
        <v>292</v>
      </c>
      <c r="H439" s="14" t="n">
        <v>-0.894</v>
      </c>
      <c r="I439" s="15"/>
      <c r="J439" s="12"/>
      <c r="K439" s="9"/>
      <c r="L439" s="16" t="s">
        <v>51</v>
      </c>
      <c r="M439" s="17" t="s">
        <v>79</v>
      </c>
      <c r="N439" s="15"/>
      <c r="O439" s="16" t="s">
        <v>54</v>
      </c>
      <c r="P439" s="12" t="s">
        <v>890</v>
      </c>
      <c r="Q439" s="16"/>
      <c r="R439" s="18" t="s">
        <v>79</v>
      </c>
      <c r="S439" s="19"/>
      <c r="T439" s="12" t="str">
        <f aca="false">IF(R439="維持",J439,IF(R439="排除","無關新聞事件",IFERROR(INDEX(事件規則!$B$2:$B$53,MATCH(S439,事件規則!$A$2:$A$53,0)),"")))</f>
        <v>無關新聞事件</v>
      </c>
      <c r="U439" s="20" t="n">
        <f aca="false">IF(R439="維持",K439,IF(R439="排除",0,IFERROR(INDEX(事件規則!$C$2:$C$53,MATCH(S439,事件規則!$A$2:$A$53,0)),"")))</f>
        <v>0</v>
      </c>
      <c r="V439" s="21"/>
      <c r="W439" s="22"/>
      <c r="X439" s="10" t="str">
        <f aca="false">IF(AND(R439="修改",S439=""),"請選新事件代碼",IF(AND(R439&lt;&gt;"修改",S439&lt;&gt;""),"只有「修改」才需填代碼",""))</f>
        <v/>
      </c>
      <c r="Y439" s="21"/>
      <c r="Z439" s="22"/>
      <c r="AA439" s="23" t="s">
        <v>1505</v>
      </c>
      <c r="AB439" s="13"/>
    </row>
    <row r="440" customFormat="false" ht="29.85" hidden="false" customHeight="false" outlineLevel="0" collapsed="false">
      <c r="A440" s="16" t="n">
        <v>439</v>
      </c>
      <c r="B440" s="9" t="s">
        <v>65</v>
      </c>
      <c r="C440" s="9" t="s">
        <v>1506</v>
      </c>
      <c r="D440" s="10" t="s">
        <v>1507</v>
      </c>
      <c r="E440" s="24" t="s">
        <v>1508</v>
      </c>
      <c r="F440" s="12"/>
      <c r="G440" s="23" t="s">
        <v>152</v>
      </c>
      <c r="H440" s="14" t="n">
        <v>-0.894</v>
      </c>
      <c r="I440" s="15"/>
      <c r="J440" s="12"/>
      <c r="K440" s="9"/>
      <c r="L440" s="16" t="s">
        <v>51</v>
      </c>
      <c r="M440" s="17" t="s">
        <v>79</v>
      </c>
      <c r="N440" s="15"/>
      <c r="O440" s="16" t="s">
        <v>54</v>
      </c>
      <c r="P440" s="12" t="s">
        <v>890</v>
      </c>
      <c r="Q440" s="16"/>
      <c r="R440" s="18" t="s">
        <v>79</v>
      </c>
      <c r="S440" s="19"/>
      <c r="T440" s="12" t="str">
        <f aca="false">IF(R440="維持",J440,IF(R440="排除","無關新聞事件",IFERROR(INDEX(事件規則!$B$2:$B$53,MATCH(S440,事件規則!$A$2:$A$53,0)),"")))</f>
        <v>無關新聞事件</v>
      </c>
      <c r="U440" s="20" t="n">
        <f aca="false">IF(R440="維持",K440,IF(R440="排除",0,IFERROR(INDEX(事件規則!$C$2:$C$53,MATCH(S440,事件規則!$A$2:$A$53,0)),"")))</f>
        <v>0</v>
      </c>
      <c r="V440" s="21"/>
      <c r="W440" s="22"/>
      <c r="X440" s="10" t="str">
        <f aca="false">IF(AND(R440="修改",S440=""),"請選新事件代碼",IF(AND(R440&lt;&gt;"修改",S440&lt;&gt;""),"只有「修改」才需填代碼",""))</f>
        <v/>
      </c>
      <c r="Y440" s="21"/>
      <c r="Z440" s="22"/>
      <c r="AA440" s="23" t="s">
        <v>1509</v>
      </c>
      <c r="AB440" s="13"/>
    </row>
    <row r="441" customFormat="false" ht="29.85" hidden="false" customHeight="false" outlineLevel="0" collapsed="false">
      <c r="A441" s="16" t="n">
        <v>440</v>
      </c>
      <c r="B441" s="9" t="s">
        <v>65</v>
      </c>
      <c r="C441" s="9" t="s">
        <v>564</v>
      </c>
      <c r="D441" s="10" t="s">
        <v>565</v>
      </c>
      <c r="E441" s="24" t="s">
        <v>1510</v>
      </c>
      <c r="F441" s="12"/>
      <c r="G441" s="23" t="s">
        <v>349</v>
      </c>
      <c r="H441" s="14" t="n">
        <v>-0.894</v>
      </c>
      <c r="I441" s="15"/>
      <c r="J441" s="12"/>
      <c r="K441" s="9"/>
      <c r="L441" s="16" t="s">
        <v>51</v>
      </c>
      <c r="M441" s="17" t="s">
        <v>79</v>
      </c>
      <c r="N441" s="15"/>
      <c r="O441" s="16" t="s">
        <v>54</v>
      </c>
      <c r="P441" s="12" t="s">
        <v>890</v>
      </c>
      <c r="Q441" s="16"/>
      <c r="R441" s="18" t="s">
        <v>79</v>
      </c>
      <c r="S441" s="19"/>
      <c r="T441" s="12" t="str">
        <f aca="false">IF(R441="維持",J441,IF(R441="排除","無關新聞事件",IFERROR(INDEX(事件規則!$B$2:$B$53,MATCH(S441,事件規則!$A$2:$A$53,0)),"")))</f>
        <v>無關新聞事件</v>
      </c>
      <c r="U441" s="20" t="n">
        <f aca="false">IF(R441="維持",K441,IF(R441="排除",0,IFERROR(INDEX(事件規則!$C$2:$C$53,MATCH(S441,事件規則!$A$2:$A$53,0)),"")))</f>
        <v>0</v>
      </c>
      <c r="V441" s="21"/>
      <c r="W441" s="22"/>
      <c r="X441" s="10" t="str">
        <f aca="false">IF(AND(R441="修改",S441=""),"請選新事件代碼",IF(AND(R441&lt;&gt;"修改",S441&lt;&gt;""),"只有「修改」才需填代碼",""))</f>
        <v/>
      </c>
      <c r="Y441" s="21"/>
      <c r="Z441" s="22"/>
      <c r="AA441" s="23" t="s">
        <v>1511</v>
      </c>
      <c r="AB441" s="13"/>
    </row>
    <row r="442" customFormat="false" ht="29.85" hidden="false" customHeight="false" outlineLevel="0" collapsed="false">
      <c r="A442" s="16" t="n">
        <v>441</v>
      </c>
      <c r="B442" s="9" t="s">
        <v>386</v>
      </c>
      <c r="C442" s="9" t="s">
        <v>1118</v>
      </c>
      <c r="D442" s="10" t="s">
        <v>1119</v>
      </c>
      <c r="E442" s="24" t="s">
        <v>1512</v>
      </c>
      <c r="F442" s="12"/>
      <c r="G442" s="23" t="s">
        <v>335</v>
      </c>
      <c r="H442" s="14" t="n">
        <v>-0.893</v>
      </c>
      <c r="I442" s="15"/>
      <c r="J442" s="12"/>
      <c r="K442" s="9"/>
      <c r="L442" s="16" t="s">
        <v>51</v>
      </c>
      <c r="M442" s="17" t="s">
        <v>79</v>
      </c>
      <c r="N442" s="15"/>
      <c r="O442" s="16" t="s">
        <v>54</v>
      </c>
      <c r="P442" s="12" t="s">
        <v>890</v>
      </c>
      <c r="Q442" s="16"/>
      <c r="R442" s="18" t="s">
        <v>79</v>
      </c>
      <c r="S442" s="19"/>
      <c r="T442" s="12" t="str">
        <f aca="false">IF(R442="維持",J442,IF(R442="排除","無關新聞事件",IFERROR(INDEX(事件規則!$B$2:$B$53,MATCH(S442,事件規則!$A$2:$A$53,0)),"")))</f>
        <v>無關新聞事件</v>
      </c>
      <c r="U442" s="20" t="n">
        <f aca="false">IF(R442="維持",K442,IF(R442="排除",0,IFERROR(INDEX(事件規則!$C$2:$C$53,MATCH(S442,事件規則!$A$2:$A$53,0)),"")))</f>
        <v>0</v>
      </c>
      <c r="V442" s="21"/>
      <c r="W442" s="22"/>
      <c r="X442" s="10" t="str">
        <f aca="false">IF(AND(R442="修改",S442=""),"請選新事件代碼",IF(AND(R442&lt;&gt;"修改",S442&lt;&gt;""),"只有「修改」才需填代碼",""))</f>
        <v/>
      </c>
      <c r="Y442" s="21"/>
      <c r="Z442" s="22"/>
      <c r="AA442" s="23" t="s">
        <v>1513</v>
      </c>
      <c r="AB442" s="13"/>
    </row>
    <row r="443" customFormat="false" ht="29.85" hidden="false" customHeight="false" outlineLevel="0" collapsed="false">
      <c r="A443" s="16" t="n">
        <v>442</v>
      </c>
      <c r="B443" s="9" t="s">
        <v>65</v>
      </c>
      <c r="C443" s="9" t="s">
        <v>704</v>
      </c>
      <c r="D443" s="10" t="s">
        <v>705</v>
      </c>
      <c r="E443" s="24" t="s">
        <v>1514</v>
      </c>
      <c r="F443" s="12"/>
      <c r="G443" s="23" t="s">
        <v>999</v>
      </c>
      <c r="H443" s="14" t="n">
        <v>-0.892</v>
      </c>
      <c r="I443" s="15"/>
      <c r="J443" s="12"/>
      <c r="K443" s="9"/>
      <c r="L443" s="16" t="s">
        <v>51</v>
      </c>
      <c r="M443" s="17" t="s">
        <v>79</v>
      </c>
      <c r="N443" s="15"/>
      <c r="O443" s="16" t="s">
        <v>54</v>
      </c>
      <c r="P443" s="12" t="s">
        <v>890</v>
      </c>
      <c r="Q443" s="16"/>
      <c r="R443" s="18" t="s">
        <v>79</v>
      </c>
      <c r="S443" s="19"/>
      <c r="T443" s="12" t="str">
        <f aca="false">IF(R443="維持",J443,IF(R443="排除","無關新聞事件",IFERROR(INDEX(事件規則!$B$2:$B$53,MATCH(S443,事件規則!$A$2:$A$53,0)),"")))</f>
        <v>無關新聞事件</v>
      </c>
      <c r="U443" s="20" t="n">
        <f aca="false">IF(R443="維持",K443,IF(R443="排除",0,IFERROR(INDEX(事件規則!$C$2:$C$53,MATCH(S443,事件規則!$A$2:$A$53,0)),"")))</f>
        <v>0</v>
      </c>
      <c r="V443" s="21"/>
      <c r="W443" s="22"/>
      <c r="X443" s="10" t="str">
        <f aca="false">IF(AND(R443="修改",S443=""),"請選新事件代碼",IF(AND(R443&lt;&gt;"修改",S443&lt;&gt;""),"只有「修改」才需填代碼",""))</f>
        <v/>
      </c>
      <c r="Y443" s="21"/>
      <c r="Z443" s="22"/>
      <c r="AA443" s="23" t="s">
        <v>1515</v>
      </c>
      <c r="AB443" s="13"/>
    </row>
    <row r="444" customFormat="false" ht="29.85" hidden="false" customHeight="false" outlineLevel="0" collapsed="false">
      <c r="A444" s="16" t="n">
        <v>443</v>
      </c>
      <c r="B444" s="9" t="s">
        <v>45</v>
      </c>
      <c r="C444" s="9" t="s">
        <v>1437</v>
      </c>
      <c r="D444" s="10" t="s">
        <v>1438</v>
      </c>
      <c r="E444" s="24" t="s">
        <v>1516</v>
      </c>
      <c r="F444" s="12"/>
      <c r="G444" s="23" t="s">
        <v>421</v>
      </c>
      <c r="H444" s="14" t="n">
        <v>-0.892</v>
      </c>
      <c r="I444" s="15"/>
      <c r="J444" s="12"/>
      <c r="K444" s="9"/>
      <c r="L444" s="16" t="s">
        <v>51</v>
      </c>
      <c r="M444" s="17" t="s">
        <v>79</v>
      </c>
      <c r="N444" s="15"/>
      <c r="O444" s="16" t="s">
        <v>54</v>
      </c>
      <c r="P444" s="12" t="s">
        <v>890</v>
      </c>
      <c r="Q444" s="16"/>
      <c r="R444" s="18" t="s">
        <v>79</v>
      </c>
      <c r="S444" s="19"/>
      <c r="T444" s="12" t="str">
        <f aca="false">IF(R444="維持",J444,IF(R444="排除","無關新聞事件",IFERROR(INDEX(事件規則!$B$2:$B$53,MATCH(S444,事件規則!$A$2:$A$53,0)),"")))</f>
        <v>無關新聞事件</v>
      </c>
      <c r="U444" s="20" t="n">
        <f aca="false">IF(R444="維持",K444,IF(R444="排除",0,IFERROR(INDEX(事件規則!$C$2:$C$53,MATCH(S444,事件規則!$A$2:$A$53,0)),"")))</f>
        <v>0</v>
      </c>
      <c r="V444" s="21"/>
      <c r="W444" s="22"/>
      <c r="X444" s="10" t="str">
        <f aca="false">IF(AND(R444="修改",S444=""),"請選新事件代碼",IF(AND(R444&lt;&gt;"修改",S444&lt;&gt;""),"只有「修改」才需填代碼",""))</f>
        <v/>
      </c>
      <c r="Y444" s="21"/>
      <c r="Z444" s="22"/>
      <c r="AA444" s="23" t="s">
        <v>1517</v>
      </c>
      <c r="AB444" s="13"/>
    </row>
    <row r="445" customFormat="false" ht="29.85" hidden="false" customHeight="false" outlineLevel="0" collapsed="false">
      <c r="A445" s="16" t="n">
        <v>444</v>
      </c>
      <c r="B445" s="9" t="s">
        <v>65</v>
      </c>
      <c r="C445" s="9" t="s">
        <v>1518</v>
      </c>
      <c r="D445" s="10" t="s">
        <v>1519</v>
      </c>
      <c r="E445" s="24" t="s">
        <v>1520</v>
      </c>
      <c r="F445" s="12"/>
      <c r="G445" s="23" t="s">
        <v>999</v>
      </c>
      <c r="H445" s="14" t="n">
        <v>-0.892</v>
      </c>
      <c r="I445" s="15"/>
      <c r="J445" s="12"/>
      <c r="K445" s="9"/>
      <c r="L445" s="16" t="s">
        <v>51</v>
      </c>
      <c r="M445" s="17" t="s">
        <v>79</v>
      </c>
      <c r="N445" s="15"/>
      <c r="O445" s="16" t="s">
        <v>54</v>
      </c>
      <c r="P445" s="12" t="s">
        <v>890</v>
      </c>
      <c r="Q445" s="16"/>
      <c r="R445" s="18" t="s">
        <v>79</v>
      </c>
      <c r="S445" s="19"/>
      <c r="T445" s="12" t="str">
        <f aca="false">IF(R445="維持",J445,IF(R445="排除","無關新聞事件",IFERROR(INDEX(事件規則!$B$2:$B$53,MATCH(S445,事件規則!$A$2:$A$53,0)),"")))</f>
        <v>無關新聞事件</v>
      </c>
      <c r="U445" s="20" t="n">
        <f aca="false">IF(R445="維持",K445,IF(R445="排除",0,IFERROR(INDEX(事件規則!$C$2:$C$53,MATCH(S445,事件規則!$A$2:$A$53,0)),"")))</f>
        <v>0</v>
      </c>
      <c r="V445" s="21"/>
      <c r="W445" s="22"/>
      <c r="X445" s="10" t="str">
        <f aca="false">IF(AND(R445="修改",S445=""),"請選新事件代碼",IF(AND(R445&lt;&gt;"修改",S445&lt;&gt;""),"只有「修改」才需填代碼",""))</f>
        <v/>
      </c>
      <c r="Y445" s="21"/>
      <c r="Z445" s="22"/>
      <c r="AA445" s="23" t="s">
        <v>1521</v>
      </c>
      <c r="AB445" s="13"/>
    </row>
    <row r="446" customFormat="false" ht="29.85" hidden="false" customHeight="false" outlineLevel="0" collapsed="false">
      <c r="A446" s="16" t="n">
        <v>445</v>
      </c>
      <c r="B446" s="9" t="s">
        <v>65</v>
      </c>
      <c r="C446" s="9" t="s">
        <v>524</v>
      </c>
      <c r="D446" s="10" t="s">
        <v>525</v>
      </c>
      <c r="E446" s="24" t="s">
        <v>1522</v>
      </c>
      <c r="F446" s="12"/>
      <c r="G446" s="23" t="s">
        <v>1346</v>
      </c>
      <c r="H446" s="14" t="n">
        <v>-0.892</v>
      </c>
      <c r="I446" s="15"/>
      <c r="J446" s="12"/>
      <c r="K446" s="9"/>
      <c r="L446" s="16" t="s">
        <v>51</v>
      </c>
      <c r="M446" s="17" t="s">
        <v>79</v>
      </c>
      <c r="N446" s="15"/>
      <c r="O446" s="16" t="s">
        <v>54</v>
      </c>
      <c r="P446" s="12" t="s">
        <v>890</v>
      </c>
      <c r="Q446" s="16"/>
      <c r="R446" s="18" t="s">
        <v>79</v>
      </c>
      <c r="S446" s="19"/>
      <c r="T446" s="12" t="str">
        <f aca="false">IF(R446="維持",J446,IF(R446="排除","無關新聞事件",IFERROR(INDEX(事件規則!$B$2:$B$53,MATCH(S446,事件規則!$A$2:$A$53,0)),"")))</f>
        <v>無關新聞事件</v>
      </c>
      <c r="U446" s="20" t="n">
        <f aca="false">IF(R446="維持",K446,IF(R446="排除",0,IFERROR(INDEX(事件規則!$C$2:$C$53,MATCH(S446,事件規則!$A$2:$A$53,0)),"")))</f>
        <v>0</v>
      </c>
      <c r="V446" s="21"/>
      <c r="W446" s="22"/>
      <c r="X446" s="10" t="str">
        <f aca="false">IF(AND(R446="修改",S446=""),"請選新事件代碼",IF(AND(R446&lt;&gt;"修改",S446&lt;&gt;""),"只有「修改」才需填代碼",""))</f>
        <v/>
      </c>
      <c r="Y446" s="21"/>
      <c r="Z446" s="22"/>
      <c r="AA446" s="23" t="s">
        <v>1523</v>
      </c>
      <c r="AB446" s="13"/>
    </row>
    <row r="447" customFormat="false" ht="29.85" hidden="false" customHeight="false" outlineLevel="0" collapsed="false">
      <c r="A447" s="16" t="n">
        <v>446</v>
      </c>
      <c r="B447" s="9" t="s">
        <v>65</v>
      </c>
      <c r="C447" s="9" t="s">
        <v>168</v>
      </c>
      <c r="D447" s="10" t="s">
        <v>169</v>
      </c>
      <c r="E447" s="24" t="s">
        <v>1524</v>
      </c>
      <c r="F447" s="12"/>
      <c r="G447" s="23" t="s">
        <v>575</v>
      </c>
      <c r="H447" s="14" t="n">
        <v>-0.892</v>
      </c>
      <c r="I447" s="15"/>
      <c r="J447" s="12"/>
      <c r="K447" s="9"/>
      <c r="L447" s="16" t="s">
        <v>51</v>
      </c>
      <c r="M447" s="17" t="s">
        <v>79</v>
      </c>
      <c r="N447" s="15"/>
      <c r="O447" s="16" t="s">
        <v>54</v>
      </c>
      <c r="P447" s="12" t="s">
        <v>890</v>
      </c>
      <c r="Q447" s="16"/>
      <c r="R447" s="18" t="s">
        <v>79</v>
      </c>
      <c r="S447" s="19"/>
      <c r="T447" s="12" t="str">
        <f aca="false">IF(R447="維持",J447,IF(R447="排除","無關新聞事件",IFERROR(INDEX(事件規則!$B$2:$B$53,MATCH(S447,事件規則!$A$2:$A$53,0)),"")))</f>
        <v>無關新聞事件</v>
      </c>
      <c r="U447" s="20" t="n">
        <f aca="false">IF(R447="維持",K447,IF(R447="排除",0,IFERROR(INDEX(事件規則!$C$2:$C$53,MATCH(S447,事件規則!$A$2:$A$53,0)),"")))</f>
        <v>0</v>
      </c>
      <c r="V447" s="21"/>
      <c r="W447" s="22"/>
      <c r="X447" s="10" t="str">
        <f aca="false">IF(AND(R447="修改",S447=""),"請選新事件代碼",IF(AND(R447&lt;&gt;"修改",S447&lt;&gt;""),"只有「修改」才需填代碼",""))</f>
        <v/>
      </c>
      <c r="Y447" s="21"/>
      <c r="Z447" s="22"/>
      <c r="AA447" s="23" t="s">
        <v>1525</v>
      </c>
      <c r="AB447" s="13"/>
    </row>
    <row r="448" customFormat="false" ht="29.85" hidden="false" customHeight="false" outlineLevel="0" collapsed="false">
      <c r="A448" s="16" t="n">
        <v>447</v>
      </c>
      <c r="B448" s="9" t="s">
        <v>45</v>
      </c>
      <c r="C448" s="9" t="s">
        <v>1506</v>
      </c>
      <c r="D448" s="10" t="s">
        <v>1507</v>
      </c>
      <c r="E448" s="24" t="s">
        <v>1516</v>
      </c>
      <c r="F448" s="12"/>
      <c r="G448" s="23" t="s">
        <v>421</v>
      </c>
      <c r="H448" s="14" t="n">
        <v>-0.892</v>
      </c>
      <c r="I448" s="15"/>
      <c r="J448" s="12"/>
      <c r="K448" s="9"/>
      <c r="L448" s="16" t="s">
        <v>51</v>
      </c>
      <c r="M448" s="17" t="s">
        <v>79</v>
      </c>
      <c r="N448" s="15"/>
      <c r="O448" s="16" t="s">
        <v>54</v>
      </c>
      <c r="P448" s="12" t="s">
        <v>890</v>
      </c>
      <c r="Q448" s="16"/>
      <c r="R448" s="18" t="s">
        <v>79</v>
      </c>
      <c r="S448" s="19"/>
      <c r="T448" s="12" t="str">
        <f aca="false">IF(R448="維持",J448,IF(R448="排除","無關新聞事件",IFERROR(INDEX(事件規則!$B$2:$B$53,MATCH(S448,事件規則!$A$2:$A$53,0)),"")))</f>
        <v>無關新聞事件</v>
      </c>
      <c r="U448" s="20" t="n">
        <f aca="false">IF(R448="維持",K448,IF(R448="排除",0,IFERROR(INDEX(事件規則!$C$2:$C$53,MATCH(S448,事件規則!$A$2:$A$53,0)),"")))</f>
        <v>0</v>
      </c>
      <c r="V448" s="21"/>
      <c r="W448" s="22"/>
      <c r="X448" s="10" t="str">
        <f aca="false">IF(AND(R448="修改",S448=""),"請選新事件代碼",IF(AND(R448&lt;&gt;"修改",S448&lt;&gt;""),"只有「修改」才需填代碼",""))</f>
        <v/>
      </c>
      <c r="Y448" s="21"/>
      <c r="Z448" s="22"/>
      <c r="AA448" s="23" t="s">
        <v>1526</v>
      </c>
      <c r="AB448" s="13"/>
    </row>
    <row r="449" customFormat="false" ht="29.85" hidden="false" customHeight="false" outlineLevel="0" collapsed="false">
      <c r="A449" s="16" t="n">
        <v>448</v>
      </c>
      <c r="B449" s="9" t="s">
        <v>386</v>
      </c>
      <c r="C449" s="9" t="s">
        <v>1480</v>
      </c>
      <c r="D449" s="10" t="s">
        <v>1481</v>
      </c>
      <c r="E449" s="24" t="s">
        <v>1527</v>
      </c>
      <c r="F449" s="12"/>
      <c r="G449" s="23" t="s">
        <v>335</v>
      </c>
      <c r="H449" s="14" t="n">
        <v>-0.891</v>
      </c>
      <c r="I449" s="15"/>
      <c r="J449" s="12"/>
      <c r="K449" s="9"/>
      <c r="L449" s="16" t="s">
        <v>51</v>
      </c>
      <c r="M449" s="17" t="s">
        <v>79</v>
      </c>
      <c r="N449" s="15"/>
      <c r="O449" s="16" t="s">
        <v>54</v>
      </c>
      <c r="P449" s="12" t="s">
        <v>890</v>
      </c>
      <c r="Q449" s="16"/>
      <c r="R449" s="18" t="s">
        <v>79</v>
      </c>
      <c r="S449" s="19"/>
      <c r="T449" s="12" t="str">
        <f aca="false">IF(R449="維持",J449,IF(R449="排除","無關新聞事件",IFERROR(INDEX(事件規則!$B$2:$B$53,MATCH(S449,事件規則!$A$2:$A$53,0)),"")))</f>
        <v>無關新聞事件</v>
      </c>
      <c r="U449" s="20" t="n">
        <f aca="false">IF(R449="維持",K449,IF(R449="排除",0,IFERROR(INDEX(事件規則!$C$2:$C$53,MATCH(S449,事件規則!$A$2:$A$53,0)),"")))</f>
        <v>0</v>
      </c>
      <c r="V449" s="21"/>
      <c r="W449" s="22"/>
      <c r="X449" s="10" t="str">
        <f aca="false">IF(AND(R449="修改",S449=""),"請選新事件代碼",IF(AND(R449&lt;&gt;"修改",S449&lt;&gt;""),"只有「修改」才需填代碼",""))</f>
        <v/>
      </c>
      <c r="Y449" s="21"/>
      <c r="Z449" s="22"/>
      <c r="AA449" s="23" t="s">
        <v>1528</v>
      </c>
      <c r="AB449" s="13"/>
    </row>
    <row r="450" customFormat="false" ht="29.85" hidden="false" customHeight="false" outlineLevel="0" collapsed="false">
      <c r="A450" s="16" t="n">
        <v>449</v>
      </c>
      <c r="B450" s="9" t="s">
        <v>65</v>
      </c>
      <c r="C450" s="9" t="s">
        <v>564</v>
      </c>
      <c r="D450" s="10" t="s">
        <v>565</v>
      </c>
      <c r="E450" s="24" t="s">
        <v>1529</v>
      </c>
      <c r="F450" s="12"/>
      <c r="G450" s="23" t="s">
        <v>1530</v>
      </c>
      <c r="H450" s="14" t="n">
        <v>-0.891</v>
      </c>
      <c r="I450" s="15"/>
      <c r="J450" s="12"/>
      <c r="K450" s="9"/>
      <c r="L450" s="16" t="s">
        <v>51</v>
      </c>
      <c r="M450" s="17" t="s">
        <v>79</v>
      </c>
      <c r="N450" s="15"/>
      <c r="O450" s="16" t="s">
        <v>54</v>
      </c>
      <c r="P450" s="12" t="s">
        <v>890</v>
      </c>
      <c r="Q450" s="16"/>
      <c r="R450" s="18" t="s">
        <v>79</v>
      </c>
      <c r="S450" s="19"/>
      <c r="T450" s="12" t="str">
        <f aca="false">IF(R450="維持",J450,IF(R450="排除","無關新聞事件",IFERROR(INDEX(事件規則!$B$2:$B$53,MATCH(S450,事件規則!$A$2:$A$53,0)),"")))</f>
        <v>無關新聞事件</v>
      </c>
      <c r="U450" s="20" t="n">
        <f aca="false">IF(R450="維持",K450,IF(R450="排除",0,IFERROR(INDEX(事件規則!$C$2:$C$53,MATCH(S450,事件規則!$A$2:$A$53,0)),"")))</f>
        <v>0</v>
      </c>
      <c r="V450" s="21"/>
      <c r="W450" s="22"/>
      <c r="X450" s="10" t="str">
        <f aca="false">IF(AND(R450="修改",S450=""),"請選新事件代碼",IF(AND(R450&lt;&gt;"修改",S450&lt;&gt;""),"只有「修改」才需填代碼",""))</f>
        <v/>
      </c>
      <c r="Y450" s="21"/>
      <c r="Z450" s="22"/>
      <c r="AA450" s="23" t="s">
        <v>1531</v>
      </c>
      <c r="AB450" s="13"/>
    </row>
    <row r="451" customFormat="false" ht="29.85" hidden="false" customHeight="false" outlineLevel="0" collapsed="false">
      <c r="A451" s="16" t="n">
        <v>450</v>
      </c>
      <c r="B451" s="9" t="s">
        <v>331</v>
      </c>
      <c r="C451" s="9" t="s">
        <v>346</v>
      </c>
      <c r="D451" s="10" t="s">
        <v>347</v>
      </c>
      <c r="E451" s="24" t="s">
        <v>1532</v>
      </c>
      <c r="F451" s="12"/>
      <c r="G451" s="23" t="s">
        <v>199</v>
      </c>
      <c r="H451" s="14" t="n">
        <v>-0.891</v>
      </c>
      <c r="I451" s="15"/>
      <c r="J451" s="12"/>
      <c r="K451" s="9"/>
      <c r="L451" s="16" t="s">
        <v>51</v>
      </c>
      <c r="M451" s="17" t="s">
        <v>79</v>
      </c>
      <c r="N451" s="15"/>
      <c r="O451" s="16" t="s">
        <v>54</v>
      </c>
      <c r="P451" s="12" t="s">
        <v>890</v>
      </c>
      <c r="Q451" s="16"/>
      <c r="R451" s="18" t="s">
        <v>79</v>
      </c>
      <c r="S451" s="19"/>
      <c r="T451" s="12" t="str">
        <f aca="false">IF(R451="維持",J451,IF(R451="排除","無關新聞事件",IFERROR(INDEX(事件規則!$B$2:$B$53,MATCH(S451,事件規則!$A$2:$A$53,0)),"")))</f>
        <v>無關新聞事件</v>
      </c>
      <c r="U451" s="20" t="n">
        <f aca="false">IF(R451="維持",K451,IF(R451="排除",0,IFERROR(INDEX(事件規則!$C$2:$C$53,MATCH(S451,事件規則!$A$2:$A$53,0)),"")))</f>
        <v>0</v>
      </c>
      <c r="V451" s="21"/>
      <c r="W451" s="22"/>
      <c r="X451" s="10" t="str">
        <f aca="false">IF(AND(R451="修改",S451=""),"請選新事件代碼",IF(AND(R451&lt;&gt;"修改",S451&lt;&gt;""),"只有「修改」才需填代碼",""))</f>
        <v/>
      </c>
      <c r="Y451" s="21"/>
      <c r="Z451" s="22"/>
      <c r="AA451" s="23" t="s">
        <v>1533</v>
      </c>
      <c r="AB451" s="13"/>
    </row>
    <row r="452" customFormat="false" ht="29.85" hidden="false" customHeight="false" outlineLevel="0" collapsed="false">
      <c r="A452" s="16" t="n">
        <v>451</v>
      </c>
      <c r="B452" s="9" t="s">
        <v>45</v>
      </c>
      <c r="C452" s="9" t="s">
        <v>1534</v>
      </c>
      <c r="D452" s="10" t="s">
        <v>1535</v>
      </c>
      <c r="E452" s="24" t="s">
        <v>1536</v>
      </c>
      <c r="F452" s="12"/>
      <c r="G452" s="23" t="s">
        <v>1537</v>
      </c>
      <c r="H452" s="14" t="n">
        <v>-0.891</v>
      </c>
      <c r="I452" s="15"/>
      <c r="J452" s="12"/>
      <c r="K452" s="9"/>
      <c r="L452" s="16" t="s">
        <v>51</v>
      </c>
      <c r="M452" s="17" t="s">
        <v>79</v>
      </c>
      <c r="N452" s="15"/>
      <c r="O452" s="16" t="s">
        <v>54</v>
      </c>
      <c r="P452" s="12" t="s">
        <v>890</v>
      </c>
      <c r="Q452" s="16"/>
      <c r="R452" s="18" t="s">
        <v>79</v>
      </c>
      <c r="S452" s="19"/>
      <c r="T452" s="12" t="str">
        <f aca="false">IF(R452="維持",J452,IF(R452="排除","無關新聞事件",IFERROR(INDEX(事件規則!$B$2:$B$53,MATCH(S452,事件規則!$A$2:$A$53,0)),"")))</f>
        <v>無關新聞事件</v>
      </c>
      <c r="U452" s="20" t="n">
        <f aca="false">IF(R452="維持",K452,IF(R452="排除",0,IFERROR(INDEX(事件規則!$C$2:$C$53,MATCH(S452,事件規則!$A$2:$A$53,0)),"")))</f>
        <v>0</v>
      </c>
      <c r="V452" s="21"/>
      <c r="W452" s="22"/>
      <c r="X452" s="10" t="str">
        <f aca="false">IF(AND(R452="修改",S452=""),"請選新事件代碼",IF(AND(R452&lt;&gt;"修改",S452&lt;&gt;""),"只有「修改」才需填代碼",""))</f>
        <v/>
      </c>
      <c r="Y452" s="21"/>
      <c r="Z452" s="22"/>
      <c r="AA452" s="23" t="s">
        <v>1538</v>
      </c>
      <c r="AB452" s="13"/>
    </row>
    <row r="453" customFormat="false" ht="29.85" hidden="false" customHeight="false" outlineLevel="0" collapsed="false">
      <c r="A453" s="16" t="n">
        <v>452</v>
      </c>
      <c r="B453" s="9" t="s">
        <v>45</v>
      </c>
      <c r="C453" s="9" t="s">
        <v>57</v>
      </c>
      <c r="D453" s="10" t="s">
        <v>58</v>
      </c>
      <c r="E453" s="24" t="s">
        <v>1536</v>
      </c>
      <c r="F453" s="12"/>
      <c r="G453" s="23" t="s">
        <v>120</v>
      </c>
      <c r="H453" s="14" t="n">
        <v>-0.891</v>
      </c>
      <c r="I453" s="15"/>
      <c r="J453" s="12"/>
      <c r="K453" s="9"/>
      <c r="L453" s="16" t="s">
        <v>51</v>
      </c>
      <c r="M453" s="17" t="s">
        <v>79</v>
      </c>
      <c r="N453" s="15"/>
      <c r="O453" s="16" t="s">
        <v>54</v>
      </c>
      <c r="P453" s="12" t="s">
        <v>890</v>
      </c>
      <c r="Q453" s="16"/>
      <c r="R453" s="18" t="s">
        <v>79</v>
      </c>
      <c r="S453" s="19"/>
      <c r="T453" s="12" t="str">
        <f aca="false">IF(R453="維持",J453,IF(R453="排除","無關新聞事件",IFERROR(INDEX(事件規則!$B$2:$B$53,MATCH(S453,事件規則!$A$2:$A$53,0)),"")))</f>
        <v>無關新聞事件</v>
      </c>
      <c r="U453" s="20" t="n">
        <f aca="false">IF(R453="維持",K453,IF(R453="排除",0,IFERROR(INDEX(事件規則!$C$2:$C$53,MATCH(S453,事件規則!$A$2:$A$53,0)),"")))</f>
        <v>0</v>
      </c>
      <c r="V453" s="21"/>
      <c r="W453" s="22"/>
      <c r="X453" s="10" t="str">
        <f aca="false">IF(AND(R453="修改",S453=""),"請選新事件代碼",IF(AND(R453&lt;&gt;"修改",S453&lt;&gt;""),"只有「修改」才需填代碼",""))</f>
        <v/>
      </c>
      <c r="Y453" s="21"/>
      <c r="Z453" s="22"/>
      <c r="AA453" s="23" t="s">
        <v>1539</v>
      </c>
      <c r="AB453" s="13"/>
    </row>
    <row r="454" customFormat="false" ht="29.85" hidden="false" customHeight="false" outlineLevel="0" collapsed="false">
      <c r="A454" s="16" t="n">
        <v>453</v>
      </c>
      <c r="B454" s="9" t="s">
        <v>331</v>
      </c>
      <c r="C454" s="9" t="s">
        <v>564</v>
      </c>
      <c r="D454" s="10" t="s">
        <v>565</v>
      </c>
      <c r="E454" s="24" t="s">
        <v>1540</v>
      </c>
      <c r="F454" s="12"/>
      <c r="G454" s="23" t="s">
        <v>1541</v>
      </c>
      <c r="H454" s="14" t="n">
        <v>-0.891</v>
      </c>
      <c r="I454" s="15"/>
      <c r="J454" s="12"/>
      <c r="K454" s="9"/>
      <c r="L454" s="16" t="s">
        <v>51</v>
      </c>
      <c r="M454" s="17" t="s">
        <v>79</v>
      </c>
      <c r="N454" s="15"/>
      <c r="O454" s="16" t="s">
        <v>54</v>
      </c>
      <c r="P454" s="12" t="s">
        <v>890</v>
      </c>
      <c r="Q454" s="16"/>
      <c r="R454" s="18" t="s">
        <v>79</v>
      </c>
      <c r="S454" s="19"/>
      <c r="T454" s="12" t="str">
        <f aca="false">IF(R454="維持",J454,IF(R454="排除","無關新聞事件",IFERROR(INDEX(事件規則!$B$2:$B$53,MATCH(S454,事件規則!$A$2:$A$53,0)),"")))</f>
        <v>無關新聞事件</v>
      </c>
      <c r="U454" s="20" t="n">
        <f aca="false">IF(R454="維持",K454,IF(R454="排除",0,IFERROR(INDEX(事件規則!$C$2:$C$53,MATCH(S454,事件規則!$A$2:$A$53,0)),"")))</f>
        <v>0</v>
      </c>
      <c r="V454" s="21"/>
      <c r="W454" s="22"/>
      <c r="X454" s="10" t="str">
        <f aca="false">IF(AND(R454="修改",S454=""),"請選新事件代碼",IF(AND(R454&lt;&gt;"修改",S454&lt;&gt;""),"只有「修改」才需填代碼",""))</f>
        <v/>
      </c>
      <c r="Y454" s="21"/>
      <c r="Z454" s="22"/>
      <c r="AA454" s="23" t="s">
        <v>1542</v>
      </c>
      <c r="AB454" s="13"/>
    </row>
    <row r="455" customFormat="false" ht="23.85" hidden="false" customHeight="false" outlineLevel="0" collapsed="false">
      <c r="A455" s="16" t="n">
        <v>454</v>
      </c>
      <c r="B455" s="9" t="s">
        <v>331</v>
      </c>
      <c r="C455" s="9" t="s">
        <v>57</v>
      </c>
      <c r="D455" s="10" t="s">
        <v>58</v>
      </c>
      <c r="E455" s="24" t="s">
        <v>1543</v>
      </c>
      <c r="F455" s="12"/>
      <c r="G455" s="23" t="s">
        <v>1544</v>
      </c>
      <c r="H455" s="14" t="n">
        <v>-0.89</v>
      </c>
      <c r="I455" s="15"/>
      <c r="J455" s="12"/>
      <c r="K455" s="9"/>
      <c r="L455" s="16" t="s">
        <v>51</v>
      </c>
      <c r="M455" s="17" t="s">
        <v>52</v>
      </c>
      <c r="N455" s="15" t="s">
        <v>61</v>
      </c>
      <c r="O455" s="16" t="s">
        <v>62</v>
      </c>
      <c r="P455" s="12" t="s">
        <v>910</v>
      </c>
      <c r="Q455" s="16"/>
      <c r="R455" s="18" t="s">
        <v>52</v>
      </c>
      <c r="S455" s="19" t="s">
        <v>61</v>
      </c>
      <c r="T455" s="12" t="str">
        <f aca="false">IF(R455="維持",J455,IF(R455="排除","無關新聞事件",IFERROR(INDEX(事件規則!$B$2:$B$53,MATCH(S455,事件規則!$A$2:$A$53,0)),"")))</f>
        <v>裁員或人力縮減</v>
      </c>
      <c r="U455" s="20" t="n">
        <f aca="false">IF(R455="維持",K455,IF(R455="排除",0,IFERROR(INDEX(事件規則!$C$2:$C$53,MATCH(S455,事件規則!$A$2:$A$53,0)),"")))</f>
        <v>3</v>
      </c>
      <c r="V455" s="21"/>
      <c r="W455" s="22"/>
      <c r="X455" s="10" t="str">
        <f aca="false">IF(AND(R455="修改",S455=""),"請選新事件代碼",IF(AND(R455&lt;&gt;"修改",S455&lt;&gt;""),"只有「修改」才需填代碼",""))</f>
        <v/>
      </c>
      <c r="Y455" s="21"/>
      <c r="Z455" s="22"/>
      <c r="AA455" s="23" t="s">
        <v>1545</v>
      </c>
      <c r="AB455" s="13"/>
    </row>
    <row r="456" customFormat="false" ht="29.85" hidden="false" customHeight="false" outlineLevel="0" collapsed="false">
      <c r="A456" s="16" t="n">
        <v>455</v>
      </c>
      <c r="B456" s="9" t="s">
        <v>331</v>
      </c>
      <c r="C456" s="16"/>
      <c r="D456" s="10" t="s">
        <v>1546</v>
      </c>
      <c r="E456" s="11" t="s">
        <v>1547</v>
      </c>
      <c r="F456" s="12" t="s">
        <v>1547</v>
      </c>
      <c r="G456" s="23" t="s">
        <v>152</v>
      </c>
      <c r="H456" s="14" t="n">
        <v>-0.89</v>
      </c>
      <c r="I456" s="15"/>
      <c r="J456" s="12"/>
      <c r="K456" s="9"/>
      <c r="L456" s="16" t="s">
        <v>51</v>
      </c>
      <c r="M456" s="17" t="s">
        <v>79</v>
      </c>
      <c r="N456" s="15"/>
      <c r="O456" s="16" t="s">
        <v>54</v>
      </c>
      <c r="P456" s="12" t="s">
        <v>890</v>
      </c>
      <c r="Q456" s="16"/>
      <c r="R456" s="18" t="s">
        <v>79</v>
      </c>
      <c r="S456" s="19"/>
      <c r="T456" s="12" t="str">
        <f aca="false">IF(R456="維持",J456,IF(R456="排除","無關新聞事件",IFERROR(INDEX(事件規則!$B$2:$B$53,MATCH(S456,事件規則!$A$2:$A$53,0)),"")))</f>
        <v>無關新聞事件</v>
      </c>
      <c r="U456" s="20" t="n">
        <f aca="false">IF(R456="維持",K456,IF(R456="排除",0,IFERROR(INDEX(事件規則!$C$2:$C$53,MATCH(S456,事件規則!$A$2:$A$53,0)),"")))</f>
        <v>0</v>
      </c>
      <c r="V456" s="21"/>
      <c r="W456" s="22"/>
      <c r="X456" s="10" t="str">
        <f aca="false">IF(AND(R456="修改",S456=""),"請選新事件代碼",IF(AND(R456&lt;&gt;"修改",S456&lt;&gt;""),"只有「修改」才需填代碼",""))</f>
        <v/>
      </c>
      <c r="Y456" s="21"/>
      <c r="Z456" s="22"/>
      <c r="AA456" s="23" t="s">
        <v>1548</v>
      </c>
      <c r="AB456" s="13"/>
    </row>
    <row r="457" customFormat="false" ht="29.85" hidden="false" customHeight="false" outlineLevel="0" collapsed="false">
      <c r="A457" s="16" t="n">
        <v>456</v>
      </c>
      <c r="B457" s="9" t="s">
        <v>65</v>
      </c>
      <c r="C457" s="9" t="s">
        <v>1549</v>
      </c>
      <c r="D457" s="10" t="s">
        <v>1550</v>
      </c>
      <c r="E457" s="24" t="s">
        <v>1551</v>
      </c>
      <c r="F457" s="12"/>
      <c r="G457" s="23" t="s">
        <v>120</v>
      </c>
      <c r="H457" s="14" t="n">
        <v>-0.89</v>
      </c>
      <c r="I457" s="15"/>
      <c r="J457" s="12"/>
      <c r="K457" s="9"/>
      <c r="L457" s="16" t="s">
        <v>51</v>
      </c>
      <c r="M457" s="17" t="s">
        <v>79</v>
      </c>
      <c r="N457" s="15"/>
      <c r="O457" s="16" t="s">
        <v>54</v>
      </c>
      <c r="P457" s="12" t="s">
        <v>890</v>
      </c>
      <c r="Q457" s="16"/>
      <c r="R457" s="18" t="s">
        <v>79</v>
      </c>
      <c r="S457" s="19"/>
      <c r="T457" s="12" t="str">
        <f aca="false">IF(R457="維持",J457,IF(R457="排除","無關新聞事件",IFERROR(INDEX(事件規則!$B$2:$B$53,MATCH(S457,事件規則!$A$2:$A$53,0)),"")))</f>
        <v>無關新聞事件</v>
      </c>
      <c r="U457" s="20" t="n">
        <f aca="false">IF(R457="維持",K457,IF(R457="排除",0,IFERROR(INDEX(事件規則!$C$2:$C$53,MATCH(S457,事件規則!$A$2:$A$53,0)),"")))</f>
        <v>0</v>
      </c>
      <c r="V457" s="21"/>
      <c r="W457" s="22"/>
      <c r="X457" s="10" t="str">
        <f aca="false">IF(AND(R457="修改",S457=""),"請選新事件代碼",IF(AND(R457&lt;&gt;"修改",S457&lt;&gt;""),"只有「修改」才需填代碼",""))</f>
        <v/>
      </c>
      <c r="Y457" s="21"/>
      <c r="Z457" s="22"/>
      <c r="AA457" s="23" t="s">
        <v>1552</v>
      </c>
      <c r="AB457" s="13"/>
    </row>
    <row r="458" customFormat="false" ht="23.85" hidden="false" customHeight="false" outlineLevel="0" collapsed="false">
      <c r="A458" s="16" t="n">
        <v>457</v>
      </c>
      <c r="B458" s="9" t="s">
        <v>65</v>
      </c>
      <c r="C458" s="9" t="s">
        <v>57</v>
      </c>
      <c r="D458" s="10" t="s">
        <v>58</v>
      </c>
      <c r="E458" s="24" t="s">
        <v>1543</v>
      </c>
      <c r="F458" s="12"/>
      <c r="G458" s="23" t="s">
        <v>1553</v>
      </c>
      <c r="H458" s="14" t="n">
        <v>-0.89</v>
      </c>
      <c r="I458" s="15"/>
      <c r="J458" s="12"/>
      <c r="K458" s="9"/>
      <c r="L458" s="16" t="s">
        <v>51</v>
      </c>
      <c r="M458" s="17" t="s">
        <v>52</v>
      </c>
      <c r="N458" s="15" t="s">
        <v>61</v>
      </c>
      <c r="O458" s="16" t="s">
        <v>62</v>
      </c>
      <c r="P458" s="12" t="s">
        <v>910</v>
      </c>
      <c r="Q458" s="16"/>
      <c r="R458" s="18" t="s">
        <v>52</v>
      </c>
      <c r="S458" s="19" t="s">
        <v>61</v>
      </c>
      <c r="T458" s="12" t="str">
        <f aca="false">IF(R458="維持",J458,IF(R458="排除","無關新聞事件",IFERROR(INDEX(事件規則!$B$2:$B$53,MATCH(S458,事件規則!$A$2:$A$53,0)),"")))</f>
        <v>裁員或人力縮減</v>
      </c>
      <c r="U458" s="20" t="n">
        <f aca="false">IF(R458="維持",K458,IF(R458="排除",0,IFERROR(INDEX(事件規則!$C$2:$C$53,MATCH(S458,事件規則!$A$2:$A$53,0)),"")))</f>
        <v>3</v>
      </c>
      <c r="V458" s="21"/>
      <c r="W458" s="22"/>
      <c r="X458" s="10" t="str">
        <f aca="false">IF(AND(R458="修改",S458=""),"請選新事件代碼",IF(AND(R458&lt;&gt;"修改",S458&lt;&gt;""),"只有「修改」才需填代碼",""))</f>
        <v/>
      </c>
      <c r="Y458" s="21"/>
      <c r="Z458" s="22"/>
      <c r="AA458" s="23" t="s">
        <v>1554</v>
      </c>
      <c r="AB458" s="13"/>
    </row>
    <row r="459" customFormat="false" ht="29.85" hidden="false" customHeight="false" outlineLevel="0" collapsed="false">
      <c r="A459" s="16" t="n">
        <v>458</v>
      </c>
      <c r="B459" s="9" t="s">
        <v>45</v>
      </c>
      <c r="C459" s="9" t="s">
        <v>1555</v>
      </c>
      <c r="D459" s="10" t="s">
        <v>1556</v>
      </c>
      <c r="E459" s="24" t="s">
        <v>1557</v>
      </c>
      <c r="F459" s="12"/>
      <c r="G459" s="23" t="s">
        <v>335</v>
      </c>
      <c r="H459" s="14" t="n">
        <v>-0.889</v>
      </c>
      <c r="I459" s="15"/>
      <c r="J459" s="12"/>
      <c r="K459" s="9"/>
      <c r="L459" s="16" t="s">
        <v>51</v>
      </c>
      <c r="M459" s="17" t="s">
        <v>79</v>
      </c>
      <c r="N459" s="15"/>
      <c r="O459" s="16" t="s">
        <v>54</v>
      </c>
      <c r="P459" s="12" t="s">
        <v>890</v>
      </c>
      <c r="Q459" s="16"/>
      <c r="R459" s="18" t="s">
        <v>79</v>
      </c>
      <c r="S459" s="19"/>
      <c r="T459" s="12" t="str">
        <f aca="false">IF(R459="維持",J459,IF(R459="排除","無關新聞事件",IFERROR(INDEX(事件規則!$B$2:$B$53,MATCH(S459,事件規則!$A$2:$A$53,0)),"")))</f>
        <v>無關新聞事件</v>
      </c>
      <c r="U459" s="20" t="n">
        <f aca="false">IF(R459="維持",K459,IF(R459="排除",0,IFERROR(INDEX(事件規則!$C$2:$C$53,MATCH(S459,事件規則!$A$2:$A$53,0)),"")))</f>
        <v>0</v>
      </c>
      <c r="V459" s="21"/>
      <c r="W459" s="22"/>
      <c r="X459" s="10" t="str">
        <f aca="false">IF(AND(R459="修改",S459=""),"請選新事件代碼",IF(AND(R459&lt;&gt;"修改",S459&lt;&gt;""),"只有「修改」才需填代碼",""))</f>
        <v/>
      </c>
      <c r="Y459" s="21"/>
      <c r="Z459" s="22"/>
      <c r="AA459" s="23" t="s">
        <v>1558</v>
      </c>
      <c r="AB459" s="13"/>
    </row>
    <row r="460" customFormat="false" ht="29.85" hidden="false" customHeight="false" outlineLevel="0" collapsed="false">
      <c r="A460" s="16" t="n">
        <v>459</v>
      </c>
      <c r="B460" s="9" t="s">
        <v>65</v>
      </c>
      <c r="C460" s="9" t="s">
        <v>255</v>
      </c>
      <c r="D460" s="10" t="s">
        <v>256</v>
      </c>
      <c r="E460" s="24" t="s">
        <v>1559</v>
      </c>
      <c r="F460" s="12"/>
      <c r="G460" s="23" t="s">
        <v>999</v>
      </c>
      <c r="H460" s="14" t="n">
        <v>-0.889</v>
      </c>
      <c r="I460" s="15"/>
      <c r="J460" s="12"/>
      <c r="K460" s="9"/>
      <c r="L460" s="16" t="s">
        <v>51</v>
      </c>
      <c r="M460" s="17" t="s">
        <v>79</v>
      </c>
      <c r="N460" s="15"/>
      <c r="O460" s="16" t="s">
        <v>54</v>
      </c>
      <c r="P460" s="12" t="s">
        <v>890</v>
      </c>
      <c r="Q460" s="16"/>
      <c r="R460" s="18" t="s">
        <v>79</v>
      </c>
      <c r="S460" s="19"/>
      <c r="T460" s="12" t="str">
        <f aca="false">IF(R460="維持",J460,IF(R460="排除","無關新聞事件",IFERROR(INDEX(事件規則!$B$2:$B$53,MATCH(S460,事件規則!$A$2:$A$53,0)),"")))</f>
        <v>無關新聞事件</v>
      </c>
      <c r="U460" s="20" t="n">
        <f aca="false">IF(R460="維持",K460,IF(R460="排除",0,IFERROR(INDEX(事件規則!$C$2:$C$53,MATCH(S460,事件規則!$A$2:$A$53,0)),"")))</f>
        <v>0</v>
      </c>
      <c r="V460" s="21"/>
      <c r="W460" s="22"/>
      <c r="X460" s="10" t="str">
        <f aca="false">IF(AND(R460="修改",S460=""),"請選新事件代碼",IF(AND(R460&lt;&gt;"修改",S460&lt;&gt;""),"只有「修改」才需填代碼",""))</f>
        <v/>
      </c>
      <c r="Y460" s="21"/>
      <c r="Z460" s="22"/>
      <c r="AA460" s="23" t="s">
        <v>1560</v>
      </c>
      <c r="AB460" s="13"/>
    </row>
    <row r="461" customFormat="false" ht="29.85" hidden="false" customHeight="false" outlineLevel="0" collapsed="false">
      <c r="A461" s="16" t="n">
        <v>460</v>
      </c>
      <c r="B461" s="9" t="s">
        <v>65</v>
      </c>
      <c r="C461" s="9" t="s">
        <v>732</v>
      </c>
      <c r="D461" s="10" t="s">
        <v>732</v>
      </c>
      <c r="E461" s="24" t="s">
        <v>1561</v>
      </c>
      <c r="F461" s="12"/>
      <c r="G461" s="23" t="s">
        <v>224</v>
      </c>
      <c r="H461" s="14" t="n">
        <v>-0.889</v>
      </c>
      <c r="I461" s="15"/>
      <c r="J461" s="12"/>
      <c r="K461" s="9"/>
      <c r="L461" s="16" t="s">
        <v>51</v>
      </c>
      <c r="M461" s="17" t="s">
        <v>79</v>
      </c>
      <c r="N461" s="15"/>
      <c r="O461" s="16" t="s">
        <v>54</v>
      </c>
      <c r="P461" s="12" t="s">
        <v>890</v>
      </c>
      <c r="Q461" s="16"/>
      <c r="R461" s="18" t="s">
        <v>79</v>
      </c>
      <c r="S461" s="19"/>
      <c r="T461" s="12" t="str">
        <f aca="false">IF(R461="維持",J461,IF(R461="排除","無關新聞事件",IFERROR(INDEX(事件規則!$B$2:$B$53,MATCH(S461,事件規則!$A$2:$A$53,0)),"")))</f>
        <v>無關新聞事件</v>
      </c>
      <c r="U461" s="20" t="n">
        <f aca="false">IF(R461="維持",K461,IF(R461="排除",0,IFERROR(INDEX(事件規則!$C$2:$C$53,MATCH(S461,事件規則!$A$2:$A$53,0)),"")))</f>
        <v>0</v>
      </c>
      <c r="V461" s="21"/>
      <c r="W461" s="22"/>
      <c r="X461" s="10" t="str">
        <f aca="false">IF(AND(R461="修改",S461=""),"請選新事件代碼",IF(AND(R461&lt;&gt;"修改",S461&lt;&gt;""),"只有「修改」才需填代碼",""))</f>
        <v/>
      </c>
      <c r="Y461" s="21"/>
      <c r="Z461" s="22"/>
      <c r="AA461" s="23" t="s">
        <v>1562</v>
      </c>
      <c r="AB461" s="13"/>
    </row>
    <row r="462" customFormat="false" ht="29.85" hidden="false" customHeight="false" outlineLevel="0" collapsed="false">
      <c r="A462" s="16" t="n">
        <v>461</v>
      </c>
      <c r="B462" s="9" t="s">
        <v>331</v>
      </c>
      <c r="C462" s="9" t="s">
        <v>1001</v>
      </c>
      <c r="D462" s="10" t="s">
        <v>1002</v>
      </c>
      <c r="E462" s="24" t="s">
        <v>1563</v>
      </c>
      <c r="F462" s="12"/>
      <c r="G462" s="23" t="s">
        <v>501</v>
      </c>
      <c r="H462" s="14" t="n">
        <v>-0.888</v>
      </c>
      <c r="I462" s="15"/>
      <c r="J462" s="12"/>
      <c r="K462" s="9"/>
      <c r="L462" s="16" t="s">
        <v>51</v>
      </c>
      <c r="M462" s="17" t="s">
        <v>79</v>
      </c>
      <c r="N462" s="15"/>
      <c r="O462" s="16" t="s">
        <v>54</v>
      </c>
      <c r="P462" s="12" t="s">
        <v>890</v>
      </c>
      <c r="Q462" s="16"/>
      <c r="R462" s="18" t="s">
        <v>79</v>
      </c>
      <c r="S462" s="19"/>
      <c r="T462" s="12" t="str">
        <f aca="false">IF(R462="維持",J462,IF(R462="排除","無關新聞事件",IFERROR(INDEX(事件規則!$B$2:$B$53,MATCH(S462,事件規則!$A$2:$A$53,0)),"")))</f>
        <v>無關新聞事件</v>
      </c>
      <c r="U462" s="20" t="n">
        <f aca="false">IF(R462="維持",K462,IF(R462="排除",0,IFERROR(INDEX(事件規則!$C$2:$C$53,MATCH(S462,事件規則!$A$2:$A$53,0)),"")))</f>
        <v>0</v>
      </c>
      <c r="V462" s="21"/>
      <c r="W462" s="22"/>
      <c r="X462" s="10" t="str">
        <f aca="false">IF(AND(R462="修改",S462=""),"請選新事件代碼",IF(AND(R462&lt;&gt;"修改",S462&lt;&gt;""),"只有「修改」才需填代碼",""))</f>
        <v/>
      </c>
      <c r="Y462" s="21"/>
      <c r="Z462" s="22"/>
      <c r="AA462" s="23" t="s">
        <v>1564</v>
      </c>
      <c r="AB462" s="13"/>
    </row>
    <row r="463" customFormat="false" ht="29.85" hidden="false" customHeight="false" outlineLevel="0" collapsed="false">
      <c r="A463" s="16" t="n">
        <v>462</v>
      </c>
      <c r="B463" s="9" t="s">
        <v>65</v>
      </c>
      <c r="C463" s="9" t="s">
        <v>1565</v>
      </c>
      <c r="D463" s="10" t="s">
        <v>1566</v>
      </c>
      <c r="E463" s="24" t="s">
        <v>1567</v>
      </c>
      <c r="F463" s="12"/>
      <c r="G463" s="23" t="s">
        <v>999</v>
      </c>
      <c r="H463" s="14" t="n">
        <v>-0.887</v>
      </c>
      <c r="I463" s="15"/>
      <c r="J463" s="12"/>
      <c r="K463" s="9"/>
      <c r="L463" s="16" t="s">
        <v>51</v>
      </c>
      <c r="M463" s="17" t="s">
        <v>79</v>
      </c>
      <c r="N463" s="15"/>
      <c r="O463" s="16" t="s">
        <v>54</v>
      </c>
      <c r="P463" s="12" t="s">
        <v>890</v>
      </c>
      <c r="Q463" s="16"/>
      <c r="R463" s="18" t="s">
        <v>79</v>
      </c>
      <c r="S463" s="19"/>
      <c r="T463" s="12" t="str">
        <f aca="false">IF(R463="維持",J463,IF(R463="排除","無關新聞事件",IFERROR(INDEX(事件規則!$B$2:$B$53,MATCH(S463,事件規則!$A$2:$A$53,0)),"")))</f>
        <v>無關新聞事件</v>
      </c>
      <c r="U463" s="20" t="n">
        <f aca="false">IF(R463="維持",K463,IF(R463="排除",0,IFERROR(INDEX(事件規則!$C$2:$C$53,MATCH(S463,事件規則!$A$2:$A$53,0)),"")))</f>
        <v>0</v>
      </c>
      <c r="V463" s="21"/>
      <c r="W463" s="22"/>
      <c r="X463" s="10" t="str">
        <f aca="false">IF(AND(R463="修改",S463=""),"請選新事件代碼",IF(AND(R463&lt;&gt;"修改",S463&lt;&gt;""),"只有「修改」才需填代碼",""))</f>
        <v/>
      </c>
      <c r="Y463" s="21"/>
      <c r="Z463" s="22"/>
      <c r="AA463" s="23" t="s">
        <v>1568</v>
      </c>
      <c r="AB463" s="13"/>
    </row>
    <row r="464" customFormat="false" ht="29.85" hidden="false" customHeight="false" outlineLevel="0" collapsed="false">
      <c r="A464" s="16" t="n">
        <v>463</v>
      </c>
      <c r="B464" s="9" t="s">
        <v>45</v>
      </c>
      <c r="C464" s="9" t="s">
        <v>1110</v>
      </c>
      <c r="D464" s="10" t="s">
        <v>1111</v>
      </c>
      <c r="E464" s="24" t="s">
        <v>1569</v>
      </c>
      <c r="F464" s="12"/>
      <c r="G464" s="23" t="s">
        <v>1570</v>
      </c>
      <c r="H464" s="14" t="n">
        <v>-0.887</v>
      </c>
      <c r="I464" s="15"/>
      <c r="J464" s="12"/>
      <c r="K464" s="9"/>
      <c r="L464" s="16" t="s">
        <v>51</v>
      </c>
      <c r="M464" s="17" t="s">
        <v>79</v>
      </c>
      <c r="N464" s="15"/>
      <c r="O464" s="16" t="s">
        <v>54</v>
      </c>
      <c r="P464" s="12" t="s">
        <v>890</v>
      </c>
      <c r="Q464" s="16"/>
      <c r="R464" s="18" t="s">
        <v>79</v>
      </c>
      <c r="S464" s="19"/>
      <c r="T464" s="12" t="str">
        <f aca="false">IF(R464="維持",J464,IF(R464="排除","無關新聞事件",IFERROR(INDEX(事件規則!$B$2:$B$53,MATCH(S464,事件規則!$A$2:$A$53,0)),"")))</f>
        <v>無關新聞事件</v>
      </c>
      <c r="U464" s="20" t="n">
        <f aca="false">IF(R464="維持",K464,IF(R464="排除",0,IFERROR(INDEX(事件規則!$C$2:$C$53,MATCH(S464,事件規則!$A$2:$A$53,0)),"")))</f>
        <v>0</v>
      </c>
      <c r="V464" s="21"/>
      <c r="W464" s="22"/>
      <c r="X464" s="10" t="str">
        <f aca="false">IF(AND(R464="修改",S464=""),"請選新事件代碼",IF(AND(R464&lt;&gt;"修改",S464&lt;&gt;""),"只有「修改」才需填代碼",""))</f>
        <v/>
      </c>
      <c r="Y464" s="21"/>
      <c r="Z464" s="22"/>
      <c r="AA464" s="23" t="s">
        <v>1571</v>
      </c>
      <c r="AB464" s="13"/>
    </row>
    <row r="465" customFormat="false" ht="29.85" hidden="false" customHeight="false" outlineLevel="0" collapsed="false">
      <c r="A465" s="16" t="n">
        <v>464</v>
      </c>
      <c r="B465" s="9" t="s">
        <v>65</v>
      </c>
      <c r="C465" s="9" t="s">
        <v>46</v>
      </c>
      <c r="D465" s="10" t="s">
        <v>47</v>
      </c>
      <c r="E465" s="24" t="s">
        <v>1572</v>
      </c>
      <c r="F465" s="12"/>
      <c r="G465" s="23" t="s">
        <v>1573</v>
      </c>
      <c r="H465" s="14" t="n">
        <v>-0.887</v>
      </c>
      <c r="I465" s="15"/>
      <c r="J465" s="12"/>
      <c r="K465" s="9"/>
      <c r="L465" s="16" t="s">
        <v>51</v>
      </c>
      <c r="M465" s="17" t="s">
        <v>79</v>
      </c>
      <c r="N465" s="15"/>
      <c r="O465" s="16" t="s">
        <v>54</v>
      </c>
      <c r="P465" s="12" t="s">
        <v>890</v>
      </c>
      <c r="Q465" s="16"/>
      <c r="R465" s="18" t="s">
        <v>79</v>
      </c>
      <c r="S465" s="19"/>
      <c r="T465" s="12" t="str">
        <f aca="false">IF(R465="維持",J465,IF(R465="排除","無關新聞事件",IFERROR(INDEX(事件規則!$B$2:$B$53,MATCH(S465,事件規則!$A$2:$A$53,0)),"")))</f>
        <v>無關新聞事件</v>
      </c>
      <c r="U465" s="20" t="n">
        <f aca="false">IF(R465="維持",K465,IF(R465="排除",0,IFERROR(INDEX(事件規則!$C$2:$C$53,MATCH(S465,事件規則!$A$2:$A$53,0)),"")))</f>
        <v>0</v>
      </c>
      <c r="V465" s="21"/>
      <c r="W465" s="22"/>
      <c r="X465" s="10" t="str">
        <f aca="false">IF(AND(R465="修改",S465=""),"請選新事件代碼",IF(AND(R465&lt;&gt;"修改",S465&lt;&gt;""),"只有「修改」才需填代碼",""))</f>
        <v/>
      </c>
      <c r="Y465" s="21"/>
      <c r="Z465" s="22"/>
      <c r="AA465" s="23" t="s">
        <v>1574</v>
      </c>
      <c r="AB465" s="13"/>
    </row>
    <row r="466" customFormat="false" ht="29.85" hidden="false" customHeight="false" outlineLevel="0" collapsed="false">
      <c r="A466" s="16" t="n">
        <v>465</v>
      </c>
      <c r="B466" s="9" t="s">
        <v>65</v>
      </c>
      <c r="C466" s="9" t="s">
        <v>1575</v>
      </c>
      <c r="D466" s="10" t="s">
        <v>1576</v>
      </c>
      <c r="E466" s="24" t="s">
        <v>1577</v>
      </c>
      <c r="F466" s="12"/>
      <c r="G466" s="23" t="s">
        <v>999</v>
      </c>
      <c r="H466" s="14" t="n">
        <v>-0.887</v>
      </c>
      <c r="I466" s="15"/>
      <c r="J466" s="12"/>
      <c r="K466" s="9"/>
      <c r="L466" s="16" t="s">
        <v>51</v>
      </c>
      <c r="M466" s="17" t="s">
        <v>79</v>
      </c>
      <c r="N466" s="15"/>
      <c r="O466" s="16" t="s">
        <v>54</v>
      </c>
      <c r="P466" s="12" t="s">
        <v>890</v>
      </c>
      <c r="Q466" s="16"/>
      <c r="R466" s="18" t="s">
        <v>79</v>
      </c>
      <c r="S466" s="19"/>
      <c r="T466" s="12" t="str">
        <f aca="false">IF(R466="維持",J466,IF(R466="排除","無關新聞事件",IFERROR(INDEX(事件規則!$B$2:$B$53,MATCH(S466,事件規則!$A$2:$A$53,0)),"")))</f>
        <v>無關新聞事件</v>
      </c>
      <c r="U466" s="20" t="n">
        <f aca="false">IF(R466="維持",K466,IF(R466="排除",0,IFERROR(INDEX(事件規則!$C$2:$C$53,MATCH(S466,事件規則!$A$2:$A$53,0)),"")))</f>
        <v>0</v>
      </c>
      <c r="V466" s="21"/>
      <c r="W466" s="22"/>
      <c r="X466" s="10" t="str">
        <f aca="false">IF(AND(R466="修改",S466=""),"請選新事件代碼",IF(AND(R466&lt;&gt;"修改",S466&lt;&gt;""),"只有「修改」才需填代碼",""))</f>
        <v/>
      </c>
      <c r="Y466" s="21"/>
      <c r="Z466" s="22"/>
      <c r="AA466" s="23" t="s">
        <v>1578</v>
      </c>
      <c r="AB466" s="13"/>
    </row>
    <row r="467" customFormat="false" ht="29.85" hidden="false" customHeight="false" outlineLevel="0" collapsed="false">
      <c r="A467" s="16" t="n">
        <v>466</v>
      </c>
      <c r="B467" s="9" t="s">
        <v>331</v>
      </c>
      <c r="C467" s="9" t="s">
        <v>1579</v>
      </c>
      <c r="D467" s="10" t="s">
        <v>1580</v>
      </c>
      <c r="E467" s="24" t="s">
        <v>1581</v>
      </c>
      <c r="F467" s="12"/>
      <c r="G467" s="23" t="s">
        <v>1582</v>
      </c>
      <c r="H467" s="14" t="n">
        <v>-0.886</v>
      </c>
      <c r="I467" s="15"/>
      <c r="J467" s="12"/>
      <c r="K467" s="9"/>
      <c r="L467" s="16" t="s">
        <v>51</v>
      </c>
      <c r="M467" s="17" t="s">
        <v>79</v>
      </c>
      <c r="N467" s="15"/>
      <c r="O467" s="16" t="s">
        <v>54</v>
      </c>
      <c r="P467" s="12" t="s">
        <v>890</v>
      </c>
      <c r="Q467" s="16"/>
      <c r="R467" s="18" t="s">
        <v>79</v>
      </c>
      <c r="S467" s="19"/>
      <c r="T467" s="12" t="str">
        <f aca="false">IF(R467="維持",J467,IF(R467="排除","無關新聞事件",IFERROR(INDEX(事件規則!$B$2:$B$53,MATCH(S467,事件規則!$A$2:$A$53,0)),"")))</f>
        <v>無關新聞事件</v>
      </c>
      <c r="U467" s="20" t="n">
        <f aca="false">IF(R467="維持",K467,IF(R467="排除",0,IFERROR(INDEX(事件規則!$C$2:$C$53,MATCH(S467,事件規則!$A$2:$A$53,0)),"")))</f>
        <v>0</v>
      </c>
      <c r="V467" s="21"/>
      <c r="W467" s="22"/>
      <c r="X467" s="10" t="str">
        <f aca="false">IF(AND(R467="修改",S467=""),"請選新事件代碼",IF(AND(R467&lt;&gt;"修改",S467&lt;&gt;""),"只有「修改」才需填代碼",""))</f>
        <v/>
      </c>
      <c r="Y467" s="21"/>
      <c r="Z467" s="22"/>
      <c r="AA467" s="23" t="s">
        <v>1583</v>
      </c>
      <c r="AB467" s="13"/>
    </row>
    <row r="468" customFormat="false" ht="29.85" hidden="false" customHeight="false" outlineLevel="0" collapsed="false">
      <c r="A468" s="16" t="n">
        <v>467</v>
      </c>
      <c r="B468" s="9" t="s">
        <v>65</v>
      </c>
      <c r="C468" s="9" t="s">
        <v>456</v>
      </c>
      <c r="D468" s="10" t="s">
        <v>457</v>
      </c>
      <c r="E468" s="24" t="s">
        <v>1584</v>
      </c>
      <c r="F468" s="12"/>
      <c r="G468" s="23" t="s">
        <v>857</v>
      </c>
      <c r="H468" s="14" t="n">
        <v>-0.886</v>
      </c>
      <c r="I468" s="15"/>
      <c r="J468" s="12"/>
      <c r="K468" s="9"/>
      <c r="L468" s="16" t="s">
        <v>51</v>
      </c>
      <c r="M468" s="17" t="s">
        <v>79</v>
      </c>
      <c r="N468" s="15"/>
      <c r="O468" s="16" t="s">
        <v>54</v>
      </c>
      <c r="P468" s="12" t="s">
        <v>890</v>
      </c>
      <c r="Q468" s="16"/>
      <c r="R468" s="18" t="s">
        <v>79</v>
      </c>
      <c r="S468" s="19"/>
      <c r="T468" s="12" t="str">
        <f aca="false">IF(R468="維持",J468,IF(R468="排除","無關新聞事件",IFERROR(INDEX(事件規則!$B$2:$B$53,MATCH(S468,事件規則!$A$2:$A$53,0)),"")))</f>
        <v>無關新聞事件</v>
      </c>
      <c r="U468" s="20" t="n">
        <f aca="false">IF(R468="維持",K468,IF(R468="排除",0,IFERROR(INDEX(事件規則!$C$2:$C$53,MATCH(S468,事件規則!$A$2:$A$53,0)),"")))</f>
        <v>0</v>
      </c>
      <c r="V468" s="21"/>
      <c r="W468" s="22"/>
      <c r="X468" s="10" t="str">
        <f aca="false">IF(AND(R468="修改",S468=""),"請選新事件代碼",IF(AND(R468&lt;&gt;"修改",S468&lt;&gt;""),"只有「修改」才需填代碼",""))</f>
        <v/>
      </c>
      <c r="Y468" s="21"/>
      <c r="Z468" s="22"/>
      <c r="AA468" s="23" t="s">
        <v>1585</v>
      </c>
      <c r="AB468" s="13"/>
    </row>
    <row r="469" customFormat="false" ht="29.85" hidden="false" customHeight="false" outlineLevel="0" collapsed="false">
      <c r="A469" s="16" t="n">
        <v>468</v>
      </c>
      <c r="B469" s="9" t="s">
        <v>65</v>
      </c>
      <c r="C469" s="9" t="s">
        <v>1265</v>
      </c>
      <c r="D469" s="10" t="s">
        <v>1266</v>
      </c>
      <c r="E469" s="24" t="s">
        <v>1586</v>
      </c>
      <c r="F469" s="12"/>
      <c r="G469" s="23" t="s">
        <v>999</v>
      </c>
      <c r="H469" s="14" t="n">
        <v>-0.886</v>
      </c>
      <c r="I469" s="15"/>
      <c r="J469" s="12"/>
      <c r="K469" s="9"/>
      <c r="L469" s="16" t="s">
        <v>51</v>
      </c>
      <c r="M469" s="17" t="s">
        <v>79</v>
      </c>
      <c r="N469" s="15"/>
      <c r="O469" s="16" t="s">
        <v>54</v>
      </c>
      <c r="P469" s="12" t="s">
        <v>890</v>
      </c>
      <c r="Q469" s="16"/>
      <c r="R469" s="18" t="s">
        <v>79</v>
      </c>
      <c r="S469" s="19"/>
      <c r="T469" s="12" t="str">
        <f aca="false">IF(R469="維持",J469,IF(R469="排除","無關新聞事件",IFERROR(INDEX(事件規則!$B$2:$B$53,MATCH(S469,事件規則!$A$2:$A$53,0)),"")))</f>
        <v>無關新聞事件</v>
      </c>
      <c r="U469" s="20" t="n">
        <f aca="false">IF(R469="維持",K469,IF(R469="排除",0,IFERROR(INDEX(事件規則!$C$2:$C$53,MATCH(S469,事件規則!$A$2:$A$53,0)),"")))</f>
        <v>0</v>
      </c>
      <c r="V469" s="21"/>
      <c r="W469" s="22"/>
      <c r="X469" s="10" t="str">
        <f aca="false">IF(AND(R469="修改",S469=""),"請選新事件代碼",IF(AND(R469&lt;&gt;"修改",S469&lt;&gt;""),"只有「修改」才需填代碼",""))</f>
        <v/>
      </c>
      <c r="Y469" s="21"/>
      <c r="Z469" s="22"/>
      <c r="AA469" s="23" t="s">
        <v>1587</v>
      </c>
      <c r="AB469" s="13"/>
    </row>
    <row r="470" customFormat="false" ht="29.85" hidden="false" customHeight="false" outlineLevel="0" collapsed="false">
      <c r="A470" s="16" t="n">
        <v>469</v>
      </c>
      <c r="B470" s="9" t="s">
        <v>65</v>
      </c>
      <c r="C470" s="9" t="s">
        <v>240</v>
      </c>
      <c r="D470" s="10" t="s">
        <v>241</v>
      </c>
      <c r="E470" s="24" t="s">
        <v>1588</v>
      </c>
      <c r="F470" s="12"/>
      <c r="G470" s="23" t="s">
        <v>289</v>
      </c>
      <c r="H470" s="14" t="n">
        <v>-0.886</v>
      </c>
      <c r="I470" s="15"/>
      <c r="J470" s="12"/>
      <c r="K470" s="9"/>
      <c r="L470" s="16" t="s">
        <v>51</v>
      </c>
      <c r="M470" s="17" t="s">
        <v>79</v>
      </c>
      <c r="N470" s="15"/>
      <c r="O470" s="16" t="s">
        <v>54</v>
      </c>
      <c r="P470" s="12" t="s">
        <v>890</v>
      </c>
      <c r="Q470" s="16"/>
      <c r="R470" s="18" t="s">
        <v>79</v>
      </c>
      <c r="S470" s="19"/>
      <c r="T470" s="12" t="str">
        <f aca="false">IF(R470="維持",J470,IF(R470="排除","無關新聞事件",IFERROR(INDEX(事件規則!$B$2:$B$53,MATCH(S470,事件規則!$A$2:$A$53,0)),"")))</f>
        <v>無關新聞事件</v>
      </c>
      <c r="U470" s="20" t="n">
        <f aca="false">IF(R470="維持",K470,IF(R470="排除",0,IFERROR(INDEX(事件規則!$C$2:$C$53,MATCH(S470,事件規則!$A$2:$A$53,0)),"")))</f>
        <v>0</v>
      </c>
      <c r="V470" s="21"/>
      <c r="W470" s="22"/>
      <c r="X470" s="10" t="str">
        <f aca="false">IF(AND(R470="修改",S470=""),"請選新事件代碼",IF(AND(R470&lt;&gt;"修改",S470&lt;&gt;""),"只有「修改」才需填代碼",""))</f>
        <v/>
      </c>
      <c r="Y470" s="21"/>
      <c r="Z470" s="22"/>
      <c r="AA470" s="23" t="s">
        <v>1589</v>
      </c>
      <c r="AB470" s="13"/>
    </row>
    <row r="471" customFormat="false" ht="29.85" hidden="false" customHeight="false" outlineLevel="0" collapsed="false">
      <c r="A471" s="16" t="n">
        <v>470</v>
      </c>
      <c r="B471" s="9" t="s">
        <v>331</v>
      </c>
      <c r="C471" s="9" t="s">
        <v>1025</v>
      </c>
      <c r="D471" s="10" t="s">
        <v>1026</v>
      </c>
      <c r="E471" s="24" t="s">
        <v>1590</v>
      </c>
      <c r="F471" s="12"/>
      <c r="G471" s="23" t="s">
        <v>1591</v>
      </c>
      <c r="H471" s="14" t="n">
        <v>-0.886</v>
      </c>
      <c r="I471" s="15"/>
      <c r="J471" s="12"/>
      <c r="K471" s="9"/>
      <c r="L471" s="16" t="s">
        <v>51</v>
      </c>
      <c r="M471" s="17" t="s">
        <v>79</v>
      </c>
      <c r="N471" s="15"/>
      <c r="O471" s="16" t="s">
        <v>54</v>
      </c>
      <c r="P471" s="12" t="s">
        <v>890</v>
      </c>
      <c r="Q471" s="16"/>
      <c r="R471" s="18" t="s">
        <v>79</v>
      </c>
      <c r="S471" s="19"/>
      <c r="T471" s="12" t="str">
        <f aca="false">IF(R471="維持",J471,IF(R471="排除","無關新聞事件",IFERROR(INDEX(事件規則!$B$2:$B$53,MATCH(S471,事件規則!$A$2:$A$53,0)),"")))</f>
        <v>無關新聞事件</v>
      </c>
      <c r="U471" s="20" t="n">
        <f aca="false">IF(R471="維持",K471,IF(R471="排除",0,IFERROR(INDEX(事件規則!$C$2:$C$53,MATCH(S471,事件規則!$A$2:$A$53,0)),"")))</f>
        <v>0</v>
      </c>
      <c r="V471" s="21"/>
      <c r="W471" s="22"/>
      <c r="X471" s="10" t="str">
        <f aca="false">IF(AND(R471="修改",S471=""),"請選新事件代碼",IF(AND(R471&lt;&gt;"修改",S471&lt;&gt;""),"只有「修改」才需填代碼",""))</f>
        <v/>
      </c>
      <c r="Y471" s="21"/>
      <c r="Z471" s="22"/>
      <c r="AA471" s="23" t="s">
        <v>1592</v>
      </c>
      <c r="AB471" s="13"/>
    </row>
    <row r="472" customFormat="false" ht="29.85" hidden="false" customHeight="false" outlineLevel="0" collapsed="false">
      <c r="A472" s="16" t="n">
        <v>471</v>
      </c>
      <c r="B472" s="9" t="s">
        <v>65</v>
      </c>
      <c r="C472" s="9" t="s">
        <v>192</v>
      </c>
      <c r="D472" s="10" t="s">
        <v>193</v>
      </c>
      <c r="E472" s="24" t="s">
        <v>1593</v>
      </c>
      <c r="F472" s="12"/>
      <c r="G472" s="23" t="s">
        <v>335</v>
      </c>
      <c r="H472" s="14" t="n">
        <v>-0.885</v>
      </c>
      <c r="I472" s="15"/>
      <c r="J472" s="12"/>
      <c r="K472" s="9"/>
      <c r="L472" s="16" t="s">
        <v>51</v>
      </c>
      <c r="M472" s="17" t="s">
        <v>79</v>
      </c>
      <c r="N472" s="15"/>
      <c r="O472" s="16" t="s">
        <v>54</v>
      </c>
      <c r="P472" s="12" t="s">
        <v>890</v>
      </c>
      <c r="Q472" s="16"/>
      <c r="R472" s="18" t="s">
        <v>79</v>
      </c>
      <c r="S472" s="19"/>
      <c r="T472" s="12" t="str">
        <f aca="false">IF(R472="維持",J472,IF(R472="排除","無關新聞事件",IFERROR(INDEX(事件規則!$B$2:$B$53,MATCH(S472,事件規則!$A$2:$A$53,0)),"")))</f>
        <v>無關新聞事件</v>
      </c>
      <c r="U472" s="20" t="n">
        <f aca="false">IF(R472="維持",K472,IF(R472="排除",0,IFERROR(INDEX(事件規則!$C$2:$C$53,MATCH(S472,事件規則!$A$2:$A$53,0)),"")))</f>
        <v>0</v>
      </c>
      <c r="V472" s="21"/>
      <c r="W472" s="22"/>
      <c r="X472" s="10" t="str">
        <f aca="false">IF(AND(R472="修改",S472=""),"請選新事件代碼",IF(AND(R472&lt;&gt;"修改",S472&lt;&gt;""),"只有「修改」才需填代碼",""))</f>
        <v/>
      </c>
      <c r="Y472" s="21"/>
      <c r="Z472" s="22"/>
      <c r="AA472" s="23" t="s">
        <v>1594</v>
      </c>
      <c r="AB472" s="13"/>
    </row>
    <row r="473" customFormat="false" ht="29.85" hidden="false" customHeight="false" outlineLevel="0" collapsed="false">
      <c r="A473" s="16" t="n">
        <v>472</v>
      </c>
      <c r="B473" s="9" t="s">
        <v>65</v>
      </c>
      <c r="C473" s="9" t="s">
        <v>1595</v>
      </c>
      <c r="D473" s="10" t="s">
        <v>1596</v>
      </c>
      <c r="E473" s="24" t="s">
        <v>1597</v>
      </c>
      <c r="F473" s="12"/>
      <c r="G473" s="23" t="s">
        <v>999</v>
      </c>
      <c r="H473" s="14" t="n">
        <v>-0.885</v>
      </c>
      <c r="I473" s="15"/>
      <c r="J473" s="12"/>
      <c r="K473" s="9"/>
      <c r="L473" s="16" t="s">
        <v>51</v>
      </c>
      <c r="M473" s="17" t="s">
        <v>79</v>
      </c>
      <c r="N473" s="15"/>
      <c r="O473" s="16" t="s">
        <v>54</v>
      </c>
      <c r="P473" s="12" t="s">
        <v>890</v>
      </c>
      <c r="Q473" s="16"/>
      <c r="R473" s="18" t="s">
        <v>79</v>
      </c>
      <c r="S473" s="19"/>
      <c r="T473" s="12" t="str">
        <f aca="false">IF(R473="維持",J473,IF(R473="排除","無關新聞事件",IFERROR(INDEX(事件規則!$B$2:$B$53,MATCH(S473,事件規則!$A$2:$A$53,0)),"")))</f>
        <v>無關新聞事件</v>
      </c>
      <c r="U473" s="20" t="n">
        <f aca="false">IF(R473="維持",K473,IF(R473="排除",0,IFERROR(INDEX(事件規則!$C$2:$C$53,MATCH(S473,事件規則!$A$2:$A$53,0)),"")))</f>
        <v>0</v>
      </c>
      <c r="V473" s="21"/>
      <c r="W473" s="22"/>
      <c r="X473" s="10" t="str">
        <f aca="false">IF(AND(R473="修改",S473=""),"請選新事件代碼",IF(AND(R473&lt;&gt;"修改",S473&lt;&gt;""),"只有「修改」才需填代碼",""))</f>
        <v/>
      </c>
      <c r="Y473" s="21"/>
      <c r="Z473" s="22"/>
      <c r="AA473" s="23" t="s">
        <v>1598</v>
      </c>
      <c r="AB473" s="13"/>
    </row>
    <row r="474" customFormat="false" ht="29.85" hidden="false" customHeight="false" outlineLevel="0" collapsed="false">
      <c r="A474" s="16" t="n">
        <v>473</v>
      </c>
      <c r="B474" s="9" t="s">
        <v>65</v>
      </c>
      <c r="C474" s="9" t="s">
        <v>108</v>
      </c>
      <c r="D474" s="10" t="s">
        <v>109</v>
      </c>
      <c r="E474" s="24" t="s">
        <v>1599</v>
      </c>
      <c r="F474" s="12"/>
      <c r="G474" s="23" t="s">
        <v>67</v>
      </c>
      <c r="H474" s="14" t="n">
        <v>-0.885</v>
      </c>
      <c r="I474" s="15"/>
      <c r="J474" s="12"/>
      <c r="K474" s="9"/>
      <c r="L474" s="16" t="s">
        <v>51</v>
      </c>
      <c r="M474" s="17" t="s">
        <v>79</v>
      </c>
      <c r="N474" s="15"/>
      <c r="O474" s="16" t="s">
        <v>54</v>
      </c>
      <c r="P474" s="12" t="s">
        <v>890</v>
      </c>
      <c r="Q474" s="16"/>
      <c r="R474" s="18" t="s">
        <v>79</v>
      </c>
      <c r="S474" s="19"/>
      <c r="T474" s="12" t="str">
        <f aca="false">IF(R474="維持",J474,IF(R474="排除","無關新聞事件",IFERROR(INDEX(事件規則!$B$2:$B$53,MATCH(S474,事件規則!$A$2:$A$53,0)),"")))</f>
        <v>無關新聞事件</v>
      </c>
      <c r="U474" s="20" t="n">
        <f aca="false">IF(R474="維持",K474,IF(R474="排除",0,IFERROR(INDEX(事件規則!$C$2:$C$53,MATCH(S474,事件規則!$A$2:$A$53,0)),"")))</f>
        <v>0</v>
      </c>
      <c r="V474" s="21"/>
      <c r="W474" s="22"/>
      <c r="X474" s="10" t="str">
        <f aca="false">IF(AND(R474="修改",S474=""),"請選新事件代碼",IF(AND(R474&lt;&gt;"修改",S474&lt;&gt;""),"只有「修改」才需填代碼",""))</f>
        <v/>
      </c>
      <c r="Y474" s="21"/>
      <c r="Z474" s="22"/>
      <c r="AA474" s="23" t="s">
        <v>1600</v>
      </c>
      <c r="AB474" s="13"/>
    </row>
    <row r="475" customFormat="false" ht="29.85" hidden="false" customHeight="false" outlineLevel="0" collapsed="false">
      <c r="A475" s="16" t="n">
        <v>474</v>
      </c>
      <c r="B475" s="9" t="s">
        <v>386</v>
      </c>
      <c r="C475" s="9" t="s">
        <v>564</v>
      </c>
      <c r="D475" s="10" t="s">
        <v>565</v>
      </c>
      <c r="E475" s="24" t="s">
        <v>1601</v>
      </c>
      <c r="F475" s="12"/>
      <c r="G475" s="23" t="s">
        <v>1602</v>
      </c>
      <c r="H475" s="14" t="n">
        <v>-0.885</v>
      </c>
      <c r="I475" s="15"/>
      <c r="J475" s="12"/>
      <c r="K475" s="9"/>
      <c r="L475" s="16" t="s">
        <v>51</v>
      </c>
      <c r="M475" s="17" t="s">
        <v>79</v>
      </c>
      <c r="N475" s="15"/>
      <c r="O475" s="16" t="s">
        <v>54</v>
      </c>
      <c r="P475" s="12" t="s">
        <v>890</v>
      </c>
      <c r="Q475" s="16"/>
      <c r="R475" s="18" t="s">
        <v>79</v>
      </c>
      <c r="S475" s="19"/>
      <c r="T475" s="12" t="str">
        <f aca="false">IF(R475="維持",J475,IF(R475="排除","無關新聞事件",IFERROR(INDEX(事件規則!$B$2:$B$53,MATCH(S475,事件規則!$A$2:$A$53,0)),"")))</f>
        <v>無關新聞事件</v>
      </c>
      <c r="U475" s="20" t="n">
        <f aca="false">IF(R475="維持",K475,IF(R475="排除",0,IFERROR(INDEX(事件規則!$C$2:$C$53,MATCH(S475,事件規則!$A$2:$A$53,0)),"")))</f>
        <v>0</v>
      </c>
      <c r="V475" s="21"/>
      <c r="W475" s="22"/>
      <c r="X475" s="10" t="str">
        <f aca="false">IF(AND(R475="修改",S475=""),"請選新事件代碼",IF(AND(R475&lt;&gt;"修改",S475&lt;&gt;""),"只有「修改」才需填代碼",""))</f>
        <v/>
      </c>
      <c r="Y475" s="21"/>
      <c r="Z475" s="22"/>
      <c r="AA475" s="23" t="s">
        <v>1603</v>
      </c>
      <c r="AB475" s="13"/>
    </row>
    <row r="476" customFormat="false" ht="23.85" hidden="false" customHeight="false" outlineLevel="0" collapsed="false">
      <c r="A476" s="16" t="n">
        <v>475</v>
      </c>
      <c r="B476" s="9" t="s">
        <v>45</v>
      </c>
      <c r="C476" s="9" t="s">
        <v>246</v>
      </c>
      <c r="D476" s="10" t="s">
        <v>247</v>
      </c>
      <c r="E476" s="24" t="s">
        <v>1604</v>
      </c>
      <c r="F476" s="12"/>
      <c r="G476" s="23" t="s">
        <v>1605</v>
      </c>
      <c r="H476" s="14" t="n">
        <v>-0.884</v>
      </c>
      <c r="I476" s="15"/>
      <c r="J476" s="12"/>
      <c r="K476" s="9"/>
      <c r="L476" s="16" t="s">
        <v>51</v>
      </c>
      <c r="M476" s="17" t="s">
        <v>52</v>
      </c>
      <c r="N476" s="15" t="s">
        <v>746</v>
      </c>
      <c r="O476" s="16" t="s">
        <v>62</v>
      </c>
      <c r="P476" s="12" t="s">
        <v>906</v>
      </c>
      <c r="Q476" s="16"/>
      <c r="R476" s="18" t="s">
        <v>52</v>
      </c>
      <c r="S476" s="19" t="s">
        <v>746</v>
      </c>
      <c r="T476" s="12" t="str">
        <f aca="false">IF(R476="維持",J476,IF(R476="排除","無關新聞事件",IFERROR(INDEX(事件規則!$B$2:$B$53,MATCH(S476,事件規則!$A$2:$A$53,0)),"")))</f>
        <v>監管裁罰</v>
      </c>
      <c r="U476" s="20" t="n">
        <f aca="false">IF(R476="維持",K476,IF(R476="排除",0,IFERROR(INDEX(事件規則!$C$2:$C$53,MATCH(S476,事件規則!$A$2:$A$53,0)),"")))</f>
        <v>4</v>
      </c>
      <c r="V476" s="21"/>
      <c r="W476" s="22"/>
      <c r="X476" s="10" t="str">
        <f aca="false">IF(AND(R476="修改",S476=""),"請選新事件代碼",IF(AND(R476&lt;&gt;"修改",S476&lt;&gt;""),"只有「修改」才需填代碼",""))</f>
        <v/>
      </c>
      <c r="Y476" s="21"/>
      <c r="Z476" s="22"/>
      <c r="AA476" s="23" t="s">
        <v>1606</v>
      </c>
      <c r="AB476" s="13"/>
    </row>
    <row r="477" customFormat="false" ht="29.85" hidden="false" customHeight="false" outlineLevel="0" collapsed="false">
      <c r="A477" s="16" t="n">
        <v>476</v>
      </c>
      <c r="B477" s="9" t="s">
        <v>65</v>
      </c>
      <c r="C477" s="9" t="s">
        <v>341</v>
      </c>
      <c r="D477" s="10" t="s">
        <v>342</v>
      </c>
      <c r="E477" s="24" t="s">
        <v>1607</v>
      </c>
      <c r="F477" s="12"/>
      <c r="G477" s="23" t="s">
        <v>1608</v>
      </c>
      <c r="H477" s="14" t="n">
        <v>-0.883</v>
      </c>
      <c r="I477" s="15"/>
      <c r="J477" s="12"/>
      <c r="K477" s="9"/>
      <c r="L477" s="16" t="s">
        <v>51</v>
      </c>
      <c r="M477" s="17" t="s">
        <v>79</v>
      </c>
      <c r="N477" s="15"/>
      <c r="O477" s="16" t="s">
        <v>54</v>
      </c>
      <c r="P477" s="12" t="s">
        <v>890</v>
      </c>
      <c r="Q477" s="16"/>
      <c r="R477" s="18" t="s">
        <v>79</v>
      </c>
      <c r="S477" s="19"/>
      <c r="T477" s="12" t="str">
        <f aca="false">IF(R477="維持",J477,IF(R477="排除","無關新聞事件",IFERROR(INDEX(事件規則!$B$2:$B$53,MATCH(S477,事件規則!$A$2:$A$53,0)),"")))</f>
        <v>無關新聞事件</v>
      </c>
      <c r="U477" s="20" t="n">
        <f aca="false">IF(R477="維持",K477,IF(R477="排除",0,IFERROR(INDEX(事件規則!$C$2:$C$53,MATCH(S477,事件規則!$A$2:$A$53,0)),"")))</f>
        <v>0</v>
      </c>
      <c r="V477" s="21"/>
      <c r="W477" s="22"/>
      <c r="X477" s="10" t="str">
        <f aca="false">IF(AND(R477="修改",S477=""),"請選新事件代碼",IF(AND(R477&lt;&gt;"修改",S477&lt;&gt;""),"只有「修改」才需填代碼",""))</f>
        <v/>
      </c>
      <c r="Y477" s="21"/>
      <c r="Z477" s="22"/>
      <c r="AA477" s="23" t="s">
        <v>1609</v>
      </c>
      <c r="AB477" s="13"/>
    </row>
    <row r="478" customFormat="false" ht="29.85" hidden="false" customHeight="false" outlineLevel="0" collapsed="false">
      <c r="A478" s="16" t="n">
        <v>477</v>
      </c>
      <c r="B478" s="9" t="s">
        <v>65</v>
      </c>
      <c r="C478" s="9" t="s">
        <v>1610</v>
      </c>
      <c r="D478" s="10" t="s">
        <v>1611</v>
      </c>
      <c r="E478" s="24" t="s">
        <v>1612</v>
      </c>
      <c r="F478" s="12"/>
      <c r="G478" s="23" t="s">
        <v>1613</v>
      </c>
      <c r="H478" s="14" t="n">
        <v>-0.883</v>
      </c>
      <c r="I478" s="15"/>
      <c r="J478" s="12"/>
      <c r="K478" s="9"/>
      <c r="L478" s="16" t="s">
        <v>51</v>
      </c>
      <c r="M478" s="17" t="s">
        <v>79</v>
      </c>
      <c r="N478" s="15"/>
      <c r="O478" s="16" t="s">
        <v>54</v>
      </c>
      <c r="P478" s="12" t="s">
        <v>890</v>
      </c>
      <c r="Q478" s="16"/>
      <c r="R478" s="18" t="s">
        <v>79</v>
      </c>
      <c r="S478" s="19"/>
      <c r="T478" s="12" t="str">
        <f aca="false">IF(R478="維持",J478,IF(R478="排除","無關新聞事件",IFERROR(INDEX(事件規則!$B$2:$B$53,MATCH(S478,事件規則!$A$2:$A$53,0)),"")))</f>
        <v>無關新聞事件</v>
      </c>
      <c r="U478" s="20" t="n">
        <f aca="false">IF(R478="維持",K478,IF(R478="排除",0,IFERROR(INDEX(事件規則!$C$2:$C$53,MATCH(S478,事件規則!$A$2:$A$53,0)),"")))</f>
        <v>0</v>
      </c>
      <c r="V478" s="21"/>
      <c r="W478" s="22"/>
      <c r="X478" s="10" t="str">
        <f aca="false">IF(AND(R478="修改",S478=""),"請選新事件代碼",IF(AND(R478&lt;&gt;"修改",S478&lt;&gt;""),"只有「修改」才需填代碼",""))</f>
        <v/>
      </c>
      <c r="Y478" s="21"/>
      <c r="Z478" s="22"/>
      <c r="AA478" s="23" t="s">
        <v>1614</v>
      </c>
      <c r="AB478" s="13"/>
    </row>
    <row r="479" customFormat="false" ht="29.85" hidden="false" customHeight="false" outlineLevel="0" collapsed="false">
      <c r="A479" s="16" t="n">
        <v>478</v>
      </c>
      <c r="B479" s="9" t="s">
        <v>65</v>
      </c>
      <c r="C479" s="9" t="s">
        <v>1412</v>
      </c>
      <c r="D479" s="10" t="s">
        <v>1413</v>
      </c>
      <c r="E479" s="24" t="s">
        <v>1615</v>
      </c>
      <c r="F479" s="12"/>
      <c r="G479" s="23" t="s">
        <v>1616</v>
      </c>
      <c r="H479" s="14" t="n">
        <v>-0.882</v>
      </c>
      <c r="I479" s="15"/>
      <c r="J479" s="12"/>
      <c r="K479" s="9"/>
      <c r="L479" s="16" t="s">
        <v>51</v>
      </c>
      <c r="M479" s="17" t="s">
        <v>79</v>
      </c>
      <c r="N479" s="15"/>
      <c r="O479" s="16" t="s">
        <v>54</v>
      </c>
      <c r="P479" s="12" t="s">
        <v>890</v>
      </c>
      <c r="Q479" s="16"/>
      <c r="R479" s="18" t="s">
        <v>79</v>
      </c>
      <c r="S479" s="19"/>
      <c r="T479" s="12" t="str">
        <f aca="false">IF(R479="維持",J479,IF(R479="排除","無關新聞事件",IFERROR(INDEX(事件規則!$B$2:$B$53,MATCH(S479,事件規則!$A$2:$A$53,0)),"")))</f>
        <v>無關新聞事件</v>
      </c>
      <c r="U479" s="20" t="n">
        <f aca="false">IF(R479="維持",K479,IF(R479="排除",0,IFERROR(INDEX(事件規則!$C$2:$C$53,MATCH(S479,事件規則!$A$2:$A$53,0)),"")))</f>
        <v>0</v>
      </c>
      <c r="V479" s="21"/>
      <c r="W479" s="22"/>
      <c r="X479" s="10" t="str">
        <f aca="false">IF(AND(R479="修改",S479=""),"請選新事件代碼",IF(AND(R479&lt;&gt;"修改",S479&lt;&gt;""),"只有「修改」才需填代碼",""))</f>
        <v/>
      </c>
      <c r="Y479" s="21"/>
      <c r="Z479" s="22"/>
      <c r="AA479" s="23" t="s">
        <v>1617</v>
      </c>
      <c r="AB479" s="13"/>
    </row>
    <row r="480" customFormat="false" ht="29.85" hidden="false" customHeight="false" outlineLevel="0" collapsed="false">
      <c r="A480" s="16" t="n">
        <v>479</v>
      </c>
      <c r="B480" s="9" t="s">
        <v>65</v>
      </c>
      <c r="C480" s="16"/>
      <c r="D480" s="10" t="s">
        <v>555</v>
      </c>
      <c r="E480" s="11" t="s">
        <v>1618</v>
      </c>
      <c r="F480" s="12" t="s">
        <v>1618</v>
      </c>
      <c r="G480" s="23" t="s">
        <v>152</v>
      </c>
      <c r="H480" s="14" t="n">
        <v>-0.882</v>
      </c>
      <c r="I480" s="15"/>
      <c r="J480" s="12"/>
      <c r="K480" s="9"/>
      <c r="L480" s="16" t="s">
        <v>51</v>
      </c>
      <c r="M480" s="17" t="s">
        <v>52</v>
      </c>
      <c r="N480" s="15" t="s">
        <v>1619</v>
      </c>
      <c r="O480" s="16" t="s">
        <v>54</v>
      </c>
      <c r="P480" s="10" t="s">
        <v>1620</v>
      </c>
      <c r="Q480" s="16"/>
      <c r="R480" s="18" t="s">
        <v>52</v>
      </c>
      <c r="S480" s="19" t="s">
        <v>1619</v>
      </c>
      <c r="T480" s="12" t="str">
        <f aca="false">IF(R480="維持",J480,IF(R480="排除","無關新聞事件",IFERROR(INDEX(事件規則!$B$2:$B$53,MATCH(S480,事件規則!$A$2:$A$53,0)),"")))</f>
        <v>資安攻擊</v>
      </c>
      <c r="U480" s="20" t="n">
        <f aca="false">IF(R480="維持",K480,IF(R480="排除",0,IFERROR(INDEX(事件規則!$C$2:$C$53,MATCH(S480,事件規則!$A$2:$A$53,0)),"")))</f>
        <v>3</v>
      </c>
      <c r="V480" s="21"/>
      <c r="W480" s="22" t="s">
        <v>554</v>
      </c>
      <c r="X480" s="10" t="str">
        <f aca="false">IF(AND(R480="修改",S480=""),"請選新事件代碼",IF(AND(R480&lt;&gt;"修改",S480&lt;&gt;""),"只有「修改」才需填代碼",""))</f>
        <v/>
      </c>
      <c r="Y480" s="21"/>
      <c r="Z480" s="22"/>
      <c r="AA480" s="23" t="s">
        <v>1621</v>
      </c>
      <c r="AB480" s="13"/>
    </row>
    <row r="481" customFormat="false" ht="29.85" hidden="false" customHeight="false" outlineLevel="0" collapsed="false">
      <c r="A481" s="16" t="n">
        <v>480</v>
      </c>
      <c r="B481" s="9" t="s">
        <v>45</v>
      </c>
      <c r="C481" s="9" t="s">
        <v>732</v>
      </c>
      <c r="D481" s="10" t="s">
        <v>732</v>
      </c>
      <c r="E481" s="24" t="s">
        <v>1622</v>
      </c>
      <c r="F481" s="12"/>
      <c r="G481" s="23" t="s">
        <v>120</v>
      </c>
      <c r="H481" s="14" t="n">
        <v>-0.882</v>
      </c>
      <c r="I481" s="15"/>
      <c r="J481" s="12"/>
      <c r="K481" s="9"/>
      <c r="L481" s="16" t="s">
        <v>51</v>
      </c>
      <c r="M481" s="17" t="s">
        <v>79</v>
      </c>
      <c r="N481" s="15"/>
      <c r="O481" s="16" t="s">
        <v>54</v>
      </c>
      <c r="P481" s="12" t="s">
        <v>890</v>
      </c>
      <c r="Q481" s="16"/>
      <c r="R481" s="18" t="s">
        <v>79</v>
      </c>
      <c r="S481" s="19"/>
      <c r="T481" s="12" t="str">
        <f aca="false">IF(R481="維持",J481,IF(R481="排除","無關新聞事件",IFERROR(INDEX(事件規則!$B$2:$B$53,MATCH(S481,事件規則!$A$2:$A$53,0)),"")))</f>
        <v>無關新聞事件</v>
      </c>
      <c r="U481" s="20" t="n">
        <f aca="false">IF(R481="維持",K481,IF(R481="排除",0,IFERROR(INDEX(事件規則!$C$2:$C$53,MATCH(S481,事件規則!$A$2:$A$53,0)),"")))</f>
        <v>0</v>
      </c>
      <c r="V481" s="21"/>
      <c r="W481" s="22"/>
      <c r="X481" s="10" t="str">
        <f aca="false">IF(AND(R481="修改",S481=""),"請選新事件代碼",IF(AND(R481&lt;&gt;"修改",S481&lt;&gt;""),"只有「修改」才需填代碼",""))</f>
        <v/>
      </c>
      <c r="Y481" s="21"/>
      <c r="Z481" s="22"/>
      <c r="AA481" s="23" t="s">
        <v>1623</v>
      </c>
      <c r="AB481" s="13"/>
    </row>
    <row r="482" customFormat="false" ht="44" hidden="false" customHeight="false" outlineLevel="0" collapsed="false">
      <c r="A482" s="16" t="n">
        <v>481</v>
      </c>
      <c r="B482" s="9" t="s">
        <v>65</v>
      </c>
      <c r="C482" s="9" t="s">
        <v>456</v>
      </c>
      <c r="D482" s="10" t="s">
        <v>457</v>
      </c>
      <c r="E482" s="24" t="s">
        <v>1624</v>
      </c>
      <c r="F482" s="12"/>
      <c r="G482" s="23" t="s">
        <v>1537</v>
      </c>
      <c r="H482" s="14" t="n">
        <v>-0.881</v>
      </c>
      <c r="I482" s="15"/>
      <c r="J482" s="12"/>
      <c r="K482" s="9"/>
      <c r="L482" s="16" t="s">
        <v>51</v>
      </c>
      <c r="M482" s="17" t="s">
        <v>79</v>
      </c>
      <c r="N482" s="15"/>
      <c r="O482" s="16" t="s">
        <v>54</v>
      </c>
      <c r="P482" s="12" t="s">
        <v>1625</v>
      </c>
      <c r="Q482" s="16"/>
      <c r="R482" s="18" t="s">
        <v>79</v>
      </c>
      <c r="S482" s="19"/>
      <c r="T482" s="12" t="str">
        <f aca="false">IF(R482="維持",J482,IF(R482="排除","無關新聞事件",IFERROR(INDEX(事件規則!$B$2:$B$53,MATCH(S482,事件規則!$A$2:$A$53,0)),"")))</f>
        <v>無關新聞事件</v>
      </c>
      <c r="U482" s="20" t="n">
        <f aca="false">IF(R482="維持",K482,IF(R482="排除",0,IFERROR(INDEX(事件規則!$C$2:$C$53,MATCH(S482,事件規則!$A$2:$A$53,0)),"")))</f>
        <v>0</v>
      </c>
      <c r="V482" s="21"/>
      <c r="W482" s="22"/>
      <c r="X482" s="10" t="str">
        <f aca="false">IF(AND(R482="修改",S482=""),"請選新事件代碼",IF(AND(R482&lt;&gt;"修改",S482&lt;&gt;""),"只有「修改」才需填代碼",""))</f>
        <v/>
      </c>
      <c r="Y482" s="21"/>
      <c r="Z482" s="22"/>
      <c r="AA482" s="23" t="s">
        <v>1626</v>
      </c>
      <c r="AB482" s="13"/>
    </row>
    <row r="483" customFormat="false" ht="44" hidden="false" customHeight="false" outlineLevel="0" collapsed="false">
      <c r="A483" s="16" t="n">
        <v>482</v>
      </c>
      <c r="B483" s="9" t="s">
        <v>65</v>
      </c>
      <c r="C483" s="9" t="s">
        <v>1627</v>
      </c>
      <c r="D483" s="10" t="s">
        <v>1628</v>
      </c>
      <c r="E483" s="24" t="s">
        <v>1629</v>
      </c>
      <c r="F483" s="12"/>
      <c r="G483" s="23" t="s">
        <v>120</v>
      </c>
      <c r="H483" s="14" t="n">
        <v>-0.881</v>
      </c>
      <c r="I483" s="15"/>
      <c r="J483" s="12"/>
      <c r="K483" s="9"/>
      <c r="L483" s="16" t="s">
        <v>51</v>
      </c>
      <c r="M483" s="17" t="s">
        <v>79</v>
      </c>
      <c r="N483" s="15"/>
      <c r="O483" s="16" t="s">
        <v>54</v>
      </c>
      <c r="P483" s="12" t="s">
        <v>1625</v>
      </c>
      <c r="Q483" s="16"/>
      <c r="R483" s="18" t="s">
        <v>79</v>
      </c>
      <c r="S483" s="19"/>
      <c r="T483" s="12" t="str">
        <f aca="false">IF(R483="維持",J483,IF(R483="排除","無關新聞事件",IFERROR(INDEX(事件規則!$B$2:$B$53,MATCH(S483,事件規則!$A$2:$A$53,0)),"")))</f>
        <v>無關新聞事件</v>
      </c>
      <c r="U483" s="20" t="n">
        <f aca="false">IF(R483="維持",K483,IF(R483="排除",0,IFERROR(INDEX(事件規則!$C$2:$C$53,MATCH(S483,事件規則!$A$2:$A$53,0)),"")))</f>
        <v>0</v>
      </c>
      <c r="V483" s="21"/>
      <c r="W483" s="22"/>
      <c r="X483" s="10" t="str">
        <f aca="false">IF(AND(R483="修改",S483=""),"請選新事件代碼",IF(AND(R483&lt;&gt;"修改",S483&lt;&gt;""),"只有「修改」才需填代碼",""))</f>
        <v/>
      </c>
      <c r="Y483" s="21"/>
      <c r="Z483" s="22"/>
      <c r="AA483" s="23" t="s">
        <v>1630</v>
      </c>
      <c r="AB483" s="13"/>
    </row>
    <row r="484" customFormat="false" ht="44" hidden="false" customHeight="false" outlineLevel="0" collapsed="false">
      <c r="A484" s="16" t="n">
        <v>483</v>
      </c>
      <c r="B484" s="9" t="s">
        <v>65</v>
      </c>
      <c r="C484" s="9" t="s">
        <v>1631</v>
      </c>
      <c r="D484" s="10" t="s">
        <v>1632</v>
      </c>
      <c r="E484" s="24" t="s">
        <v>1633</v>
      </c>
      <c r="F484" s="12"/>
      <c r="G484" s="23" t="s">
        <v>999</v>
      </c>
      <c r="H484" s="14" t="n">
        <v>-0.881</v>
      </c>
      <c r="I484" s="15"/>
      <c r="J484" s="12"/>
      <c r="K484" s="9"/>
      <c r="L484" s="16" t="s">
        <v>51</v>
      </c>
      <c r="M484" s="17" t="s">
        <v>79</v>
      </c>
      <c r="N484" s="15"/>
      <c r="O484" s="16" t="s">
        <v>54</v>
      </c>
      <c r="P484" s="12" t="s">
        <v>1625</v>
      </c>
      <c r="Q484" s="16"/>
      <c r="R484" s="18" t="s">
        <v>79</v>
      </c>
      <c r="S484" s="19"/>
      <c r="T484" s="12" t="str">
        <f aca="false">IF(R484="維持",J484,IF(R484="排除","無關新聞事件",IFERROR(INDEX(事件規則!$B$2:$B$53,MATCH(S484,事件規則!$A$2:$A$53,0)),"")))</f>
        <v>無關新聞事件</v>
      </c>
      <c r="U484" s="20" t="n">
        <f aca="false">IF(R484="維持",K484,IF(R484="排除",0,IFERROR(INDEX(事件規則!$C$2:$C$53,MATCH(S484,事件規則!$A$2:$A$53,0)),"")))</f>
        <v>0</v>
      </c>
      <c r="V484" s="21"/>
      <c r="W484" s="22"/>
      <c r="X484" s="10" t="str">
        <f aca="false">IF(AND(R484="修改",S484=""),"請選新事件代碼",IF(AND(R484&lt;&gt;"修改",S484&lt;&gt;""),"只有「修改」才需填代碼",""))</f>
        <v/>
      </c>
      <c r="Y484" s="21"/>
      <c r="Z484" s="22"/>
      <c r="AA484" s="23" t="s">
        <v>1634</v>
      </c>
      <c r="AB484" s="13"/>
    </row>
    <row r="485" customFormat="false" ht="44" hidden="false" customHeight="false" outlineLevel="0" collapsed="false">
      <c r="A485" s="16" t="n">
        <v>484</v>
      </c>
      <c r="B485" s="9" t="s">
        <v>65</v>
      </c>
      <c r="C485" s="9" t="s">
        <v>282</v>
      </c>
      <c r="D485" s="10" t="s">
        <v>283</v>
      </c>
      <c r="E485" s="24" t="s">
        <v>1635</v>
      </c>
      <c r="F485" s="12"/>
      <c r="G485" s="23" t="s">
        <v>899</v>
      </c>
      <c r="H485" s="14" t="n">
        <v>-0.881</v>
      </c>
      <c r="I485" s="15"/>
      <c r="J485" s="12"/>
      <c r="K485" s="9"/>
      <c r="L485" s="16" t="s">
        <v>51</v>
      </c>
      <c r="M485" s="17" t="s">
        <v>79</v>
      </c>
      <c r="N485" s="15"/>
      <c r="O485" s="16" t="s">
        <v>54</v>
      </c>
      <c r="P485" s="12" t="s">
        <v>1625</v>
      </c>
      <c r="Q485" s="16"/>
      <c r="R485" s="18" t="s">
        <v>79</v>
      </c>
      <c r="S485" s="19"/>
      <c r="T485" s="12" t="str">
        <f aca="false">IF(R485="維持",J485,IF(R485="排除","無關新聞事件",IFERROR(INDEX(事件規則!$B$2:$B$53,MATCH(S485,事件規則!$A$2:$A$53,0)),"")))</f>
        <v>無關新聞事件</v>
      </c>
      <c r="U485" s="20" t="n">
        <f aca="false">IF(R485="維持",K485,IF(R485="排除",0,IFERROR(INDEX(事件規則!$C$2:$C$53,MATCH(S485,事件規則!$A$2:$A$53,0)),"")))</f>
        <v>0</v>
      </c>
      <c r="V485" s="21"/>
      <c r="W485" s="22"/>
      <c r="X485" s="10" t="str">
        <f aca="false">IF(AND(R485="修改",S485=""),"請選新事件代碼",IF(AND(R485&lt;&gt;"修改",S485&lt;&gt;""),"只有「修改」才需填代碼",""))</f>
        <v/>
      </c>
      <c r="Y485" s="21"/>
      <c r="Z485" s="22"/>
      <c r="AA485" s="23" t="s">
        <v>1636</v>
      </c>
      <c r="AB485" s="13"/>
    </row>
    <row r="486" customFormat="false" ht="44" hidden="false" customHeight="false" outlineLevel="0" collapsed="false">
      <c r="A486" s="16" t="n">
        <v>485</v>
      </c>
      <c r="B486" s="9" t="s">
        <v>331</v>
      </c>
      <c r="C486" s="9" t="s">
        <v>1025</v>
      </c>
      <c r="D486" s="10" t="s">
        <v>1026</v>
      </c>
      <c r="E486" s="24" t="s">
        <v>1637</v>
      </c>
      <c r="F486" s="12"/>
      <c r="G486" s="23" t="s">
        <v>1638</v>
      </c>
      <c r="H486" s="14" t="n">
        <v>-0.881</v>
      </c>
      <c r="I486" s="15"/>
      <c r="J486" s="12"/>
      <c r="K486" s="9"/>
      <c r="L486" s="16" t="s">
        <v>51</v>
      </c>
      <c r="M486" s="17" t="s">
        <v>79</v>
      </c>
      <c r="N486" s="15"/>
      <c r="O486" s="16" t="s">
        <v>54</v>
      </c>
      <c r="P486" s="12" t="s">
        <v>1625</v>
      </c>
      <c r="Q486" s="16"/>
      <c r="R486" s="18" t="s">
        <v>79</v>
      </c>
      <c r="S486" s="19"/>
      <c r="T486" s="12" t="str">
        <f aca="false">IF(R486="維持",J486,IF(R486="排除","無關新聞事件",IFERROR(INDEX(事件規則!$B$2:$B$53,MATCH(S486,事件規則!$A$2:$A$53,0)),"")))</f>
        <v>無關新聞事件</v>
      </c>
      <c r="U486" s="20" t="n">
        <f aca="false">IF(R486="維持",K486,IF(R486="排除",0,IFERROR(INDEX(事件規則!$C$2:$C$53,MATCH(S486,事件規則!$A$2:$A$53,0)),"")))</f>
        <v>0</v>
      </c>
      <c r="V486" s="21"/>
      <c r="W486" s="22"/>
      <c r="X486" s="10" t="str">
        <f aca="false">IF(AND(R486="修改",S486=""),"請選新事件代碼",IF(AND(R486&lt;&gt;"修改",S486&lt;&gt;""),"只有「修改」才需填代碼",""))</f>
        <v/>
      </c>
      <c r="Y486" s="21"/>
      <c r="Z486" s="22"/>
      <c r="AA486" s="23" t="s">
        <v>1639</v>
      </c>
      <c r="AB486" s="13"/>
    </row>
    <row r="487" customFormat="false" ht="44" hidden="false" customHeight="false" outlineLevel="0" collapsed="false">
      <c r="A487" s="16" t="n">
        <v>486</v>
      </c>
      <c r="B487" s="9" t="s">
        <v>65</v>
      </c>
      <c r="C487" s="9" t="s">
        <v>142</v>
      </c>
      <c r="D487" s="10" t="s">
        <v>143</v>
      </c>
      <c r="E487" s="24" t="s">
        <v>1640</v>
      </c>
      <c r="F487" s="12"/>
      <c r="G487" s="23" t="s">
        <v>120</v>
      </c>
      <c r="H487" s="14" t="n">
        <v>-0.88</v>
      </c>
      <c r="I487" s="15"/>
      <c r="J487" s="12"/>
      <c r="K487" s="9"/>
      <c r="L487" s="16" t="s">
        <v>51</v>
      </c>
      <c r="M487" s="17" t="s">
        <v>79</v>
      </c>
      <c r="N487" s="15"/>
      <c r="O487" s="16" t="s">
        <v>54</v>
      </c>
      <c r="P487" s="12" t="s">
        <v>1625</v>
      </c>
      <c r="Q487" s="16"/>
      <c r="R487" s="18" t="s">
        <v>79</v>
      </c>
      <c r="S487" s="19"/>
      <c r="T487" s="12" t="str">
        <f aca="false">IF(R487="維持",J487,IF(R487="排除","無關新聞事件",IFERROR(INDEX(事件規則!$B$2:$B$53,MATCH(S487,事件規則!$A$2:$A$53,0)),"")))</f>
        <v>無關新聞事件</v>
      </c>
      <c r="U487" s="20" t="n">
        <f aca="false">IF(R487="維持",K487,IF(R487="排除",0,IFERROR(INDEX(事件規則!$C$2:$C$53,MATCH(S487,事件規則!$A$2:$A$53,0)),"")))</f>
        <v>0</v>
      </c>
      <c r="V487" s="21"/>
      <c r="W487" s="22"/>
      <c r="X487" s="10" t="str">
        <f aca="false">IF(AND(R487="修改",S487=""),"請選新事件代碼",IF(AND(R487&lt;&gt;"修改",S487&lt;&gt;""),"只有「修改」才需填代碼",""))</f>
        <v/>
      </c>
      <c r="Y487" s="21"/>
      <c r="Z487" s="22"/>
      <c r="AA487" s="23" t="s">
        <v>1641</v>
      </c>
      <c r="AB487" s="13"/>
    </row>
    <row r="488" customFormat="false" ht="44" hidden="false" customHeight="false" outlineLevel="0" collapsed="false">
      <c r="A488" s="16" t="n">
        <v>487</v>
      </c>
      <c r="B488" s="9" t="s">
        <v>65</v>
      </c>
      <c r="C488" s="9" t="s">
        <v>1642</v>
      </c>
      <c r="D488" s="10" t="s">
        <v>1643</v>
      </c>
      <c r="E488" s="24" t="s">
        <v>1640</v>
      </c>
      <c r="F488" s="12"/>
      <c r="G488" s="23" t="s">
        <v>120</v>
      </c>
      <c r="H488" s="14" t="n">
        <v>-0.88</v>
      </c>
      <c r="I488" s="15"/>
      <c r="J488" s="12"/>
      <c r="K488" s="9"/>
      <c r="L488" s="16" t="s">
        <v>51</v>
      </c>
      <c r="M488" s="17" t="s">
        <v>79</v>
      </c>
      <c r="N488" s="15"/>
      <c r="O488" s="16" t="s">
        <v>54</v>
      </c>
      <c r="P488" s="12" t="s">
        <v>1625</v>
      </c>
      <c r="Q488" s="16"/>
      <c r="R488" s="18" t="s">
        <v>79</v>
      </c>
      <c r="S488" s="19"/>
      <c r="T488" s="12" t="str">
        <f aca="false">IF(R488="維持",J488,IF(R488="排除","無關新聞事件",IFERROR(INDEX(事件規則!$B$2:$B$53,MATCH(S488,事件規則!$A$2:$A$53,0)),"")))</f>
        <v>無關新聞事件</v>
      </c>
      <c r="U488" s="20" t="n">
        <f aca="false">IF(R488="維持",K488,IF(R488="排除",0,IFERROR(INDEX(事件規則!$C$2:$C$53,MATCH(S488,事件規則!$A$2:$A$53,0)),"")))</f>
        <v>0</v>
      </c>
      <c r="V488" s="21"/>
      <c r="W488" s="22"/>
      <c r="X488" s="10" t="str">
        <f aca="false">IF(AND(R488="修改",S488=""),"請選新事件代碼",IF(AND(R488&lt;&gt;"修改",S488&lt;&gt;""),"只有「修改」才需填代碼",""))</f>
        <v/>
      </c>
      <c r="Y488" s="21"/>
      <c r="Z488" s="22"/>
      <c r="AA488" s="23" t="s">
        <v>1644</v>
      </c>
      <c r="AB488" s="13"/>
    </row>
    <row r="489" customFormat="false" ht="44" hidden="false" customHeight="false" outlineLevel="0" collapsed="false">
      <c r="A489" s="16" t="n">
        <v>488</v>
      </c>
      <c r="B489" s="9" t="s">
        <v>386</v>
      </c>
      <c r="C489" s="9" t="s">
        <v>781</v>
      </c>
      <c r="D489" s="10" t="s">
        <v>782</v>
      </c>
      <c r="E489" s="24" t="s">
        <v>1645</v>
      </c>
      <c r="F489" s="12"/>
      <c r="G489" s="23" t="s">
        <v>779</v>
      </c>
      <c r="H489" s="14" t="n">
        <v>-0.88</v>
      </c>
      <c r="I489" s="15"/>
      <c r="J489" s="12"/>
      <c r="K489" s="9"/>
      <c r="L489" s="16" t="s">
        <v>51</v>
      </c>
      <c r="M489" s="17" t="s">
        <v>79</v>
      </c>
      <c r="N489" s="15"/>
      <c r="O489" s="16" t="s">
        <v>54</v>
      </c>
      <c r="P489" s="12" t="s">
        <v>1625</v>
      </c>
      <c r="Q489" s="16"/>
      <c r="R489" s="18" t="s">
        <v>79</v>
      </c>
      <c r="S489" s="19"/>
      <c r="T489" s="12" t="str">
        <f aca="false">IF(R489="維持",J489,IF(R489="排除","無關新聞事件",IFERROR(INDEX(事件規則!$B$2:$B$53,MATCH(S489,事件規則!$A$2:$A$53,0)),"")))</f>
        <v>無關新聞事件</v>
      </c>
      <c r="U489" s="20" t="n">
        <f aca="false">IF(R489="維持",K489,IF(R489="排除",0,IFERROR(INDEX(事件規則!$C$2:$C$53,MATCH(S489,事件規則!$A$2:$A$53,0)),"")))</f>
        <v>0</v>
      </c>
      <c r="V489" s="21"/>
      <c r="W489" s="22"/>
      <c r="X489" s="10" t="str">
        <f aca="false">IF(AND(R489="修改",S489=""),"請選新事件代碼",IF(AND(R489&lt;&gt;"修改",S489&lt;&gt;""),"只有「修改」才需填代碼",""))</f>
        <v/>
      </c>
      <c r="Y489" s="21"/>
      <c r="Z489" s="22"/>
      <c r="AA489" s="23" t="s">
        <v>1646</v>
      </c>
      <c r="AB489" s="13"/>
    </row>
    <row r="490" customFormat="false" ht="44" hidden="false" customHeight="false" outlineLevel="0" collapsed="false">
      <c r="A490" s="16" t="n">
        <v>489</v>
      </c>
      <c r="B490" s="9" t="s">
        <v>65</v>
      </c>
      <c r="C490" s="9" t="s">
        <v>564</v>
      </c>
      <c r="D490" s="10" t="s">
        <v>565</v>
      </c>
      <c r="E490" s="24" t="s">
        <v>1647</v>
      </c>
      <c r="F490" s="12"/>
      <c r="G490" s="23" t="s">
        <v>1648</v>
      </c>
      <c r="H490" s="14" t="n">
        <v>-0.879</v>
      </c>
      <c r="I490" s="15"/>
      <c r="J490" s="12"/>
      <c r="K490" s="9"/>
      <c r="L490" s="16" t="s">
        <v>51</v>
      </c>
      <c r="M490" s="17" t="s">
        <v>79</v>
      </c>
      <c r="N490" s="15"/>
      <c r="O490" s="16" t="s">
        <v>54</v>
      </c>
      <c r="P490" s="12" t="s">
        <v>1625</v>
      </c>
      <c r="Q490" s="16"/>
      <c r="R490" s="18" t="s">
        <v>79</v>
      </c>
      <c r="S490" s="19"/>
      <c r="T490" s="12" t="str">
        <f aca="false">IF(R490="維持",J490,IF(R490="排除","無關新聞事件",IFERROR(INDEX(事件規則!$B$2:$B$53,MATCH(S490,事件規則!$A$2:$A$53,0)),"")))</f>
        <v>無關新聞事件</v>
      </c>
      <c r="U490" s="20" t="n">
        <f aca="false">IF(R490="維持",K490,IF(R490="排除",0,IFERROR(INDEX(事件規則!$C$2:$C$53,MATCH(S490,事件規則!$A$2:$A$53,0)),"")))</f>
        <v>0</v>
      </c>
      <c r="V490" s="21"/>
      <c r="W490" s="22"/>
      <c r="X490" s="10" t="str">
        <f aca="false">IF(AND(R490="修改",S490=""),"請選新事件代碼",IF(AND(R490&lt;&gt;"修改",S490&lt;&gt;""),"只有「修改」才需填代碼",""))</f>
        <v/>
      </c>
      <c r="Y490" s="21"/>
      <c r="Z490" s="22"/>
      <c r="AA490" s="23" t="s">
        <v>1649</v>
      </c>
      <c r="AB490" s="13"/>
    </row>
    <row r="491" customFormat="false" ht="44" hidden="false" customHeight="false" outlineLevel="0" collapsed="false">
      <c r="A491" s="16" t="n">
        <v>490</v>
      </c>
      <c r="B491" s="9" t="s">
        <v>45</v>
      </c>
      <c r="C491" s="9" t="s">
        <v>1650</v>
      </c>
      <c r="D491" s="10" t="s">
        <v>1651</v>
      </c>
      <c r="E491" s="24" t="s">
        <v>1652</v>
      </c>
      <c r="F491" s="12"/>
      <c r="G491" s="23" t="s">
        <v>224</v>
      </c>
      <c r="H491" s="14" t="n">
        <v>-0.879</v>
      </c>
      <c r="I491" s="15"/>
      <c r="J491" s="12"/>
      <c r="K491" s="9"/>
      <c r="L491" s="16" t="s">
        <v>51</v>
      </c>
      <c r="M491" s="17" t="s">
        <v>79</v>
      </c>
      <c r="N491" s="15"/>
      <c r="O491" s="16" t="s">
        <v>54</v>
      </c>
      <c r="P491" s="12" t="s">
        <v>1625</v>
      </c>
      <c r="Q491" s="16"/>
      <c r="R491" s="18" t="s">
        <v>79</v>
      </c>
      <c r="S491" s="19"/>
      <c r="T491" s="12" t="str">
        <f aca="false">IF(R491="維持",J491,IF(R491="排除","無關新聞事件",IFERROR(INDEX(事件規則!$B$2:$B$53,MATCH(S491,事件規則!$A$2:$A$53,0)),"")))</f>
        <v>無關新聞事件</v>
      </c>
      <c r="U491" s="20" t="n">
        <f aca="false">IF(R491="維持",K491,IF(R491="排除",0,IFERROR(INDEX(事件規則!$C$2:$C$53,MATCH(S491,事件規則!$A$2:$A$53,0)),"")))</f>
        <v>0</v>
      </c>
      <c r="V491" s="21"/>
      <c r="W491" s="22"/>
      <c r="X491" s="10" t="str">
        <f aca="false">IF(AND(R491="修改",S491=""),"請選新事件代碼",IF(AND(R491&lt;&gt;"修改",S491&lt;&gt;""),"只有「修改」才需填代碼",""))</f>
        <v/>
      </c>
      <c r="Y491" s="21"/>
      <c r="Z491" s="22"/>
      <c r="AA491" s="23" t="s">
        <v>1653</v>
      </c>
      <c r="AB491" s="13"/>
    </row>
    <row r="492" customFormat="false" ht="44" hidden="false" customHeight="false" outlineLevel="0" collapsed="false">
      <c r="A492" s="16" t="n">
        <v>491</v>
      </c>
      <c r="B492" s="9" t="s">
        <v>65</v>
      </c>
      <c r="C492" s="9" t="s">
        <v>1654</v>
      </c>
      <c r="D492" s="10" t="s">
        <v>1655</v>
      </c>
      <c r="E492" s="24" t="s">
        <v>1656</v>
      </c>
      <c r="F492" s="12"/>
      <c r="G492" s="23" t="s">
        <v>224</v>
      </c>
      <c r="H492" s="14" t="n">
        <v>-0.879</v>
      </c>
      <c r="I492" s="15"/>
      <c r="J492" s="12"/>
      <c r="K492" s="9"/>
      <c r="L492" s="16" t="s">
        <v>51</v>
      </c>
      <c r="M492" s="17" t="s">
        <v>79</v>
      </c>
      <c r="N492" s="15"/>
      <c r="O492" s="16" t="s">
        <v>54</v>
      </c>
      <c r="P492" s="12" t="s">
        <v>1625</v>
      </c>
      <c r="Q492" s="16"/>
      <c r="R492" s="18" t="s">
        <v>79</v>
      </c>
      <c r="S492" s="19"/>
      <c r="T492" s="12" t="str">
        <f aca="false">IF(R492="維持",J492,IF(R492="排除","無關新聞事件",IFERROR(INDEX(事件規則!$B$2:$B$53,MATCH(S492,事件規則!$A$2:$A$53,0)),"")))</f>
        <v>無關新聞事件</v>
      </c>
      <c r="U492" s="20" t="n">
        <f aca="false">IF(R492="維持",K492,IF(R492="排除",0,IFERROR(INDEX(事件規則!$C$2:$C$53,MATCH(S492,事件規則!$A$2:$A$53,0)),"")))</f>
        <v>0</v>
      </c>
      <c r="V492" s="21"/>
      <c r="W492" s="22"/>
      <c r="X492" s="10" t="str">
        <f aca="false">IF(AND(R492="修改",S492=""),"請選新事件代碼",IF(AND(R492&lt;&gt;"修改",S492&lt;&gt;""),"只有「修改」才需填代碼",""))</f>
        <v/>
      </c>
      <c r="Y492" s="21"/>
      <c r="Z492" s="22"/>
      <c r="AA492" s="23" t="s">
        <v>1657</v>
      </c>
      <c r="AB492" s="13"/>
    </row>
    <row r="493" customFormat="false" ht="44" hidden="false" customHeight="false" outlineLevel="0" collapsed="false">
      <c r="A493" s="16" t="n">
        <v>492</v>
      </c>
      <c r="B493" s="9" t="s">
        <v>65</v>
      </c>
      <c r="C493" s="9" t="s">
        <v>564</v>
      </c>
      <c r="D493" s="10" t="s">
        <v>565</v>
      </c>
      <c r="E493" s="24" t="s">
        <v>1658</v>
      </c>
      <c r="F493" s="12"/>
      <c r="G493" s="23" t="s">
        <v>1659</v>
      </c>
      <c r="H493" s="14" t="n">
        <v>-0.878</v>
      </c>
      <c r="I493" s="15"/>
      <c r="J493" s="12"/>
      <c r="K493" s="9"/>
      <c r="L493" s="16" t="s">
        <v>51</v>
      </c>
      <c r="M493" s="17" t="s">
        <v>79</v>
      </c>
      <c r="N493" s="15"/>
      <c r="O493" s="16" t="s">
        <v>54</v>
      </c>
      <c r="P493" s="12" t="s">
        <v>1625</v>
      </c>
      <c r="Q493" s="16"/>
      <c r="R493" s="18" t="s">
        <v>79</v>
      </c>
      <c r="S493" s="19"/>
      <c r="T493" s="12" t="str">
        <f aca="false">IF(R493="維持",J493,IF(R493="排除","無關新聞事件",IFERROR(INDEX(事件規則!$B$2:$B$53,MATCH(S493,事件規則!$A$2:$A$53,0)),"")))</f>
        <v>無關新聞事件</v>
      </c>
      <c r="U493" s="20" t="n">
        <f aca="false">IF(R493="維持",K493,IF(R493="排除",0,IFERROR(INDEX(事件規則!$C$2:$C$53,MATCH(S493,事件規則!$A$2:$A$53,0)),"")))</f>
        <v>0</v>
      </c>
      <c r="V493" s="21"/>
      <c r="W493" s="22"/>
      <c r="X493" s="10" t="str">
        <f aca="false">IF(AND(R493="修改",S493=""),"請選新事件代碼",IF(AND(R493&lt;&gt;"修改",S493&lt;&gt;""),"只有「修改」才需填代碼",""))</f>
        <v/>
      </c>
      <c r="Y493" s="21"/>
      <c r="Z493" s="22"/>
      <c r="AA493" s="23" t="s">
        <v>1660</v>
      </c>
      <c r="AB493" s="13"/>
    </row>
    <row r="494" customFormat="false" ht="44" hidden="false" customHeight="false" outlineLevel="0" collapsed="false">
      <c r="A494" s="16" t="n">
        <v>493</v>
      </c>
      <c r="B494" s="9" t="s">
        <v>65</v>
      </c>
      <c r="C494" s="9" t="s">
        <v>569</v>
      </c>
      <c r="D494" s="10" t="s">
        <v>570</v>
      </c>
      <c r="E494" s="24" t="s">
        <v>1661</v>
      </c>
      <c r="F494" s="12"/>
      <c r="G494" s="23" t="s">
        <v>67</v>
      </c>
      <c r="H494" s="14" t="n">
        <v>-0.878</v>
      </c>
      <c r="I494" s="15"/>
      <c r="J494" s="12"/>
      <c r="K494" s="9"/>
      <c r="L494" s="16" t="s">
        <v>51</v>
      </c>
      <c r="M494" s="17" t="s">
        <v>79</v>
      </c>
      <c r="N494" s="15"/>
      <c r="O494" s="16" t="s">
        <v>54</v>
      </c>
      <c r="P494" s="12" t="s">
        <v>1625</v>
      </c>
      <c r="Q494" s="16"/>
      <c r="R494" s="18" t="s">
        <v>79</v>
      </c>
      <c r="S494" s="19"/>
      <c r="T494" s="12" t="str">
        <f aca="false">IF(R494="維持",J494,IF(R494="排除","無關新聞事件",IFERROR(INDEX(事件規則!$B$2:$B$53,MATCH(S494,事件規則!$A$2:$A$53,0)),"")))</f>
        <v>無關新聞事件</v>
      </c>
      <c r="U494" s="20" t="n">
        <f aca="false">IF(R494="維持",K494,IF(R494="排除",0,IFERROR(INDEX(事件規則!$C$2:$C$53,MATCH(S494,事件規則!$A$2:$A$53,0)),"")))</f>
        <v>0</v>
      </c>
      <c r="V494" s="21"/>
      <c r="W494" s="22"/>
      <c r="X494" s="10" t="str">
        <f aca="false">IF(AND(R494="修改",S494=""),"請選新事件代碼",IF(AND(R494&lt;&gt;"修改",S494&lt;&gt;""),"只有「修改」才需填代碼",""))</f>
        <v/>
      </c>
      <c r="Y494" s="21"/>
      <c r="Z494" s="22"/>
      <c r="AA494" s="23" t="s">
        <v>1662</v>
      </c>
      <c r="AB494" s="13"/>
    </row>
    <row r="495" customFormat="false" ht="44" hidden="false" customHeight="false" outlineLevel="0" collapsed="false">
      <c r="A495" s="16" t="n">
        <v>494</v>
      </c>
      <c r="B495" s="9" t="s">
        <v>331</v>
      </c>
      <c r="C495" s="9" t="s">
        <v>1025</v>
      </c>
      <c r="D495" s="10" t="s">
        <v>1026</v>
      </c>
      <c r="E495" s="24" t="s">
        <v>1663</v>
      </c>
      <c r="F495" s="12"/>
      <c r="G495" s="23" t="s">
        <v>1664</v>
      </c>
      <c r="H495" s="14" t="n">
        <v>-0.878</v>
      </c>
      <c r="I495" s="15"/>
      <c r="J495" s="12"/>
      <c r="K495" s="9"/>
      <c r="L495" s="16" t="s">
        <v>51</v>
      </c>
      <c r="M495" s="17" t="s">
        <v>79</v>
      </c>
      <c r="N495" s="15"/>
      <c r="O495" s="16" t="s">
        <v>54</v>
      </c>
      <c r="P495" s="12" t="s">
        <v>1625</v>
      </c>
      <c r="Q495" s="16"/>
      <c r="R495" s="18" t="s">
        <v>79</v>
      </c>
      <c r="S495" s="19"/>
      <c r="T495" s="12" t="str">
        <f aca="false">IF(R495="維持",J495,IF(R495="排除","無關新聞事件",IFERROR(INDEX(事件規則!$B$2:$B$53,MATCH(S495,事件規則!$A$2:$A$53,0)),"")))</f>
        <v>無關新聞事件</v>
      </c>
      <c r="U495" s="20" t="n">
        <f aca="false">IF(R495="維持",K495,IF(R495="排除",0,IFERROR(INDEX(事件規則!$C$2:$C$53,MATCH(S495,事件規則!$A$2:$A$53,0)),"")))</f>
        <v>0</v>
      </c>
      <c r="V495" s="21"/>
      <c r="W495" s="22"/>
      <c r="X495" s="10" t="str">
        <f aca="false">IF(AND(R495="修改",S495=""),"請選新事件代碼",IF(AND(R495&lt;&gt;"修改",S495&lt;&gt;""),"只有「修改」才需填代碼",""))</f>
        <v/>
      </c>
      <c r="Y495" s="21"/>
      <c r="Z495" s="22"/>
      <c r="AA495" s="23" t="s">
        <v>1665</v>
      </c>
      <c r="AB495" s="13"/>
    </row>
    <row r="496" customFormat="false" ht="44" hidden="false" customHeight="false" outlineLevel="0" collapsed="false">
      <c r="A496" s="16" t="n">
        <v>495</v>
      </c>
      <c r="B496" s="9" t="s">
        <v>65</v>
      </c>
      <c r="C496" s="9" t="s">
        <v>1158</v>
      </c>
      <c r="D496" s="10" t="s">
        <v>1159</v>
      </c>
      <c r="E496" s="24" t="s">
        <v>1666</v>
      </c>
      <c r="F496" s="12"/>
      <c r="G496" s="23" t="s">
        <v>999</v>
      </c>
      <c r="H496" s="14" t="n">
        <v>-0.878</v>
      </c>
      <c r="I496" s="15"/>
      <c r="J496" s="12"/>
      <c r="K496" s="9"/>
      <c r="L496" s="16" t="s">
        <v>51</v>
      </c>
      <c r="M496" s="17" t="s">
        <v>79</v>
      </c>
      <c r="N496" s="15"/>
      <c r="O496" s="16" t="s">
        <v>54</v>
      </c>
      <c r="P496" s="12" t="s">
        <v>1625</v>
      </c>
      <c r="Q496" s="16"/>
      <c r="R496" s="18" t="s">
        <v>79</v>
      </c>
      <c r="S496" s="19"/>
      <c r="T496" s="12" t="str">
        <f aca="false">IF(R496="維持",J496,IF(R496="排除","無關新聞事件",IFERROR(INDEX(事件規則!$B$2:$B$53,MATCH(S496,事件規則!$A$2:$A$53,0)),"")))</f>
        <v>無關新聞事件</v>
      </c>
      <c r="U496" s="20" t="n">
        <f aca="false">IF(R496="維持",K496,IF(R496="排除",0,IFERROR(INDEX(事件規則!$C$2:$C$53,MATCH(S496,事件規則!$A$2:$A$53,0)),"")))</f>
        <v>0</v>
      </c>
      <c r="V496" s="21"/>
      <c r="W496" s="22"/>
      <c r="X496" s="10" t="str">
        <f aca="false">IF(AND(R496="修改",S496=""),"請選新事件代碼",IF(AND(R496&lt;&gt;"修改",S496&lt;&gt;""),"只有「修改」才需填代碼",""))</f>
        <v/>
      </c>
      <c r="Y496" s="21"/>
      <c r="Z496" s="22"/>
      <c r="AA496" s="23" t="s">
        <v>1667</v>
      </c>
      <c r="AB496" s="13"/>
    </row>
    <row r="497" customFormat="false" ht="44" hidden="false" customHeight="false" outlineLevel="0" collapsed="false">
      <c r="A497" s="16" t="n">
        <v>496</v>
      </c>
      <c r="B497" s="9" t="s">
        <v>45</v>
      </c>
      <c r="C497" s="9" t="s">
        <v>1166</v>
      </c>
      <c r="D497" s="10" t="s">
        <v>1167</v>
      </c>
      <c r="E497" s="24" t="s">
        <v>1668</v>
      </c>
      <c r="F497" s="12"/>
      <c r="G497" s="23" t="s">
        <v>120</v>
      </c>
      <c r="H497" s="14" t="n">
        <v>-0.877</v>
      </c>
      <c r="I497" s="15"/>
      <c r="J497" s="12"/>
      <c r="K497" s="9"/>
      <c r="L497" s="16" t="s">
        <v>51</v>
      </c>
      <c r="M497" s="17" t="s">
        <v>79</v>
      </c>
      <c r="N497" s="15"/>
      <c r="O497" s="16" t="s">
        <v>54</v>
      </c>
      <c r="P497" s="12" t="s">
        <v>1625</v>
      </c>
      <c r="Q497" s="16"/>
      <c r="R497" s="18" t="s">
        <v>79</v>
      </c>
      <c r="S497" s="19"/>
      <c r="T497" s="12" t="str">
        <f aca="false">IF(R497="維持",J497,IF(R497="排除","無關新聞事件",IFERROR(INDEX(事件規則!$B$2:$B$53,MATCH(S497,事件規則!$A$2:$A$53,0)),"")))</f>
        <v>無關新聞事件</v>
      </c>
      <c r="U497" s="20" t="n">
        <f aca="false">IF(R497="維持",K497,IF(R497="排除",0,IFERROR(INDEX(事件規則!$C$2:$C$53,MATCH(S497,事件規則!$A$2:$A$53,0)),"")))</f>
        <v>0</v>
      </c>
      <c r="V497" s="21"/>
      <c r="W497" s="22"/>
      <c r="X497" s="10" t="str">
        <f aca="false">IF(AND(R497="修改",S497=""),"請選新事件代碼",IF(AND(R497&lt;&gt;"修改",S497&lt;&gt;""),"只有「修改」才需填代碼",""))</f>
        <v/>
      </c>
      <c r="Y497" s="21"/>
      <c r="Z497" s="22"/>
      <c r="AA497" s="23" t="s">
        <v>1669</v>
      </c>
      <c r="AB497" s="13"/>
    </row>
    <row r="498" customFormat="false" ht="44" hidden="false" customHeight="false" outlineLevel="0" collapsed="false">
      <c r="A498" s="16" t="n">
        <v>497</v>
      </c>
      <c r="B498" s="9" t="s">
        <v>65</v>
      </c>
      <c r="C498" s="16"/>
      <c r="D498" s="10" t="s">
        <v>1119</v>
      </c>
      <c r="E498" s="24" t="s">
        <v>1670</v>
      </c>
      <c r="F498" s="10" t="s">
        <v>1671</v>
      </c>
      <c r="G498" s="23" t="s">
        <v>152</v>
      </c>
      <c r="H498" s="14" t="n">
        <v>-0.877</v>
      </c>
      <c r="I498" s="15"/>
      <c r="J498" s="12"/>
      <c r="K498" s="9"/>
      <c r="L498" s="16" t="s">
        <v>51</v>
      </c>
      <c r="M498" s="17" t="s">
        <v>79</v>
      </c>
      <c r="N498" s="15"/>
      <c r="O498" s="16" t="s">
        <v>54</v>
      </c>
      <c r="P498" s="12" t="s">
        <v>1625</v>
      </c>
      <c r="Q498" s="16"/>
      <c r="R498" s="18" t="s">
        <v>79</v>
      </c>
      <c r="S498" s="19"/>
      <c r="T498" s="12" t="str">
        <f aca="false">IF(R498="維持",J498,IF(R498="排除","無關新聞事件",IFERROR(INDEX(事件規則!$B$2:$B$53,MATCH(S498,事件規則!$A$2:$A$53,0)),"")))</f>
        <v>無關新聞事件</v>
      </c>
      <c r="U498" s="20" t="n">
        <f aca="false">IF(R498="維持",K498,IF(R498="排除",0,IFERROR(INDEX(事件規則!$C$2:$C$53,MATCH(S498,事件規則!$A$2:$A$53,0)),"")))</f>
        <v>0</v>
      </c>
      <c r="V498" s="21"/>
      <c r="W498" s="22"/>
      <c r="X498" s="10" t="str">
        <f aca="false">IF(AND(R498="修改",S498=""),"請選新事件代碼",IF(AND(R498&lt;&gt;"修改",S498&lt;&gt;""),"只有「修改」才需填代碼",""))</f>
        <v/>
      </c>
      <c r="Y498" s="21"/>
      <c r="Z498" s="22"/>
      <c r="AA498" s="23" t="s">
        <v>1672</v>
      </c>
      <c r="AB498" s="13"/>
    </row>
    <row r="499" customFormat="false" ht="23.85" hidden="false" customHeight="false" outlineLevel="0" collapsed="false">
      <c r="A499" s="16" t="n">
        <v>498</v>
      </c>
      <c r="B499" s="9" t="s">
        <v>65</v>
      </c>
      <c r="C499" s="9" t="s">
        <v>1422</v>
      </c>
      <c r="D499" s="10" t="s">
        <v>1423</v>
      </c>
      <c r="E499" s="24" t="s">
        <v>1673</v>
      </c>
      <c r="F499" s="12"/>
      <c r="G499" s="23" t="s">
        <v>335</v>
      </c>
      <c r="H499" s="14" t="n">
        <v>-0.877</v>
      </c>
      <c r="I499" s="15"/>
      <c r="J499" s="12"/>
      <c r="K499" s="9"/>
      <c r="L499" s="16" t="s">
        <v>51</v>
      </c>
      <c r="M499" s="17" t="s">
        <v>52</v>
      </c>
      <c r="N499" s="15" t="s">
        <v>183</v>
      </c>
      <c r="O499" s="16" t="s">
        <v>54</v>
      </c>
      <c r="P499" s="10" t="s">
        <v>1674</v>
      </c>
      <c r="Q499" s="16"/>
      <c r="R499" s="18" t="s">
        <v>52</v>
      </c>
      <c r="S499" s="19" t="s">
        <v>183</v>
      </c>
      <c r="T499" s="12" t="str">
        <f aca="false">IF(R499="維持",J499,IF(R499="排除","無關新聞事件",IFERROR(INDEX(事件規則!$B$2:$B$53,MATCH(S499,事件規則!$A$2:$A$53,0)),"")))</f>
        <v>營運惡化</v>
      </c>
      <c r="U499" s="20" t="n">
        <f aca="false">IF(R499="維持",K499,IF(R499="排除",0,IFERROR(INDEX(事件規則!$C$2:$C$53,MATCH(S499,事件規則!$A$2:$A$53,0)),"")))</f>
        <v>3</v>
      </c>
      <c r="V499" s="21"/>
      <c r="W499" s="22"/>
      <c r="X499" s="10" t="str">
        <f aca="false">IF(AND(R499="修改",S499=""),"請選新事件代碼",IF(AND(R499&lt;&gt;"修改",S499&lt;&gt;""),"只有「修改」才需填代碼",""))</f>
        <v/>
      </c>
      <c r="Y499" s="21"/>
      <c r="Z499" s="22"/>
      <c r="AA499" s="23" t="s">
        <v>1675</v>
      </c>
      <c r="AB499" s="13"/>
    </row>
    <row r="500" customFormat="false" ht="44" hidden="false" customHeight="false" outlineLevel="0" collapsed="false">
      <c r="A500" s="16" t="n">
        <v>499</v>
      </c>
      <c r="B500" s="9" t="s">
        <v>65</v>
      </c>
      <c r="C500" s="9" t="s">
        <v>564</v>
      </c>
      <c r="D500" s="10" t="s">
        <v>565</v>
      </c>
      <c r="E500" s="24" t="s">
        <v>1676</v>
      </c>
      <c r="F500" s="12"/>
      <c r="G500" s="23" t="s">
        <v>1677</v>
      </c>
      <c r="H500" s="14" t="n">
        <v>-0.876</v>
      </c>
      <c r="I500" s="15"/>
      <c r="J500" s="12"/>
      <c r="K500" s="9"/>
      <c r="L500" s="16" t="s">
        <v>51</v>
      </c>
      <c r="M500" s="17" t="s">
        <v>79</v>
      </c>
      <c r="N500" s="15"/>
      <c r="O500" s="16" t="s">
        <v>54</v>
      </c>
      <c r="P500" s="12" t="s">
        <v>1625</v>
      </c>
      <c r="Q500" s="16"/>
      <c r="R500" s="18" t="s">
        <v>79</v>
      </c>
      <c r="S500" s="19"/>
      <c r="T500" s="12" t="str">
        <f aca="false">IF(R500="維持",J500,IF(R500="排除","無關新聞事件",IFERROR(INDEX(事件規則!$B$2:$B$53,MATCH(S500,事件規則!$A$2:$A$53,0)),"")))</f>
        <v>無關新聞事件</v>
      </c>
      <c r="U500" s="20" t="n">
        <f aca="false">IF(R500="維持",K500,IF(R500="排除",0,IFERROR(INDEX(事件規則!$C$2:$C$53,MATCH(S500,事件規則!$A$2:$A$53,0)),"")))</f>
        <v>0</v>
      </c>
      <c r="V500" s="21"/>
      <c r="W500" s="22"/>
      <c r="X500" s="10" t="str">
        <f aca="false">IF(AND(R500="修改",S500=""),"請選新事件代碼",IF(AND(R500&lt;&gt;"修改",S500&lt;&gt;""),"只有「修改」才需填代碼",""))</f>
        <v/>
      </c>
      <c r="Y500" s="21"/>
      <c r="Z500" s="22"/>
      <c r="AA500" s="23" t="s">
        <v>1678</v>
      </c>
      <c r="AB500" s="13"/>
    </row>
    <row r="501" customFormat="false" ht="44" hidden="false" customHeight="false" outlineLevel="0" collapsed="false">
      <c r="A501" s="16" t="n">
        <v>500</v>
      </c>
      <c r="B501" s="9" t="s">
        <v>386</v>
      </c>
      <c r="C501" s="9" t="s">
        <v>1679</v>
      </c>
      <c r="D501" s="10" t="s">
        <v>1680</v>
      </c>
      <c r="E501" s="24" t="s">
        <v>1681</v>
      </c>
      <c r="F501" s="12"/>
      <c r="G501" s="23" t="s">
        <v>335</v>
      </c>
      <c r="H501" s="14" t="n">
        <v>-0.875</v>
      </c>
      <c r="I501" s="15"/>
      <c r="J501" s="12"/>
      <c r="K501" s="9"/>
      <c r="L501" s="16" t="s">
        <v>51</v>
      </c>
      <c r="M501" s="17" t="s">
        <v>79</v>
      </c>
      <c r="N501" s="15"/>
      <c r="O501" s="16" t="s">
        <v>54</v>
      </c>
      <c r="P501" s="12" t="s">
        <v>1625</v>
      </c>
      <c r="Q501" s="16"/>
      <c r="R501" s="18" t="s">
        <v>79</v>
      </c>
      <c r="S501" s="19"/>
      <c r="T501" s="12" t="str">
        <f aca="false">IF(R501="維持",J501,IF(R501="排除","無關新聞事件",IFERROR(INDEX(事件規則!$B$2:$B$53,MATCH(S501,事件規則!$A$2:$A$53,0)),"")))</f>
        <v>無關新聞事件</v>
      </c>
      <c r="U501" s="20" t="n">
        <f aca="false">IF(R501="維持",K501,IF(R501="排除",0,IFERROR(INDEX(事件規則!$C$2:$C$53,MATCH(S501,事件規則!$A$2:$A$53,0)),"")))</f>
        <v>0</v>
      </c>
      <c r="V501" s="21"/>
      <c r="W501" s="22"/>
      <c r="X501" s="10" t="str">
        <f aca="false">IF(AND(R501="修改",S501=""),"請選新事件代碼",IF(AND(R501&lt;&gt;"修改",S501&lt;&gt;""),"只有「修改」才需填代碼",""))</f>
        <v/>
      </c>
      <c r="Y501" s="21"/>
      <c r="Z501" s="22"/>
      <c r="AA501" s="23" t="s">
        <v>1682</v>
      </c>
      <c r="AB501" s="13"/>
    </row>
    <row r="502" customFormat="false" ht="44" hidden="false" customHeight="false" outlineLevel="0" collapsed="false">
      <c r="A502" s="16" t="n">
        <v>501</v>
      </c>
      <c r="B502" s="9" t="s">
        <v>65</v>
      </c>
      <c r="C502" s="9" t="s">
        <v>240</v>
      </c>
      <c r="D502" s="10" t="s">
        <v>241</v>
      </c>
      <c r="E502" s="24" t="s">
        <v>1683</v>
      </c>
      <c r="F502" s="12"/>
      <c r="G502" s="23" t="s">
        <v>1040</v>
      </c>
      <c r="H502" s="14" t="n">
        <v>-0.875</v>
      </c>
      <c r="I502" s="15"/>
      <c r="J502" s="12"/>
      <c r="K502" s="9"/>
      <c r="L502" s="16" t="s">
        <v>51</v>
      </c>
      <c r="M502" s="17" t="s">
        <v>79</v>
      </c>
      <c r="N502" s="15"/>
      <c r="O502" s="16" t="s">
        <v>54</v>
      </c>
      <c r="P502" s="12" t="s">
        <v>1625</v>
      </c>
      <c r="Q502" s="16"/>
      <c r="R502" s="18" t="s">
        <v>79</v>
      </c>
      <c r="S502" s="19"/>
      <c r="T502" s="12" t="str">
        <f aca="false">IF(R502="維持",J502,IF(R502="排除","無關新聞事件",IFERROR(INDEX(事件規則!$B$2:$B$53,MATCH(S502,事件規則!$A$2:$A$53,0)),"")))</f>
        <v>無關新聞事件</v>
      </c>
      <c r="U502" s="20" t="n">
        <f aca="false">IF(R502="維持",K502,IF(R502="排除",0,IFERROR(INDEX(事件規則!$C$2:$C$53,MATCH(S502,事件規則!$A$2:$A$53,0)),"")))</f>
        <v>0</v>
      </c>
      <c r="V502" s="21"/>
      <c r="W502" s="22"/>
      <c r="X502" s="10" t="str">
        <f aca="false">IF(AND(R502="修改",S502=""),"請選新事件代碼",IF(AND(R502&lt;&gt;"修改",S502&lt;&gt;""),"只有「修改」才需填代碼",""))</f>
        <v/>
      </c>
      <c r="Y502" s="21"/>
      <c r="Z502" s="22"/>
      <c r="AA502" s="23" t="s">
        <v>1684</v>
      </c>
      <c r="AB502" s="13"/>
    </row>
    <row r="503" customFormat="false" ht="44" hidden="false" customHeight="false" outlineLevel="0" collapsed="false">
      <c r="A503" s="16" t="n">
        <v>502</v>
      </c>
      <c r="B503" s="9" t="s">
        <v>331</v>
      </c>
      <c r="C503" s="9" t="s">
        <v>99</v>
      </c>
      <c r="D503" s="10" t="s">
        <v>100</v>
      </c>
      <c r="E503" s="24" t="s">
        <v>1685</v>
      </c>
      <c r="F503" s="12"/>
      <c r="G503" s="23" t="s">
        <v>1686</v>
      </c>
      <c r="H503" s="14" t="n">
        <v>-0.875</v>
      </c>
      <c r="I503" s="15"/>
      <c r="J503" s="12"/>
      <c r="K503" s="9"/>
      <c r="L503" s="16" t="s">
        <v>51</v>
      </c>
      <c r="M503" s="17" t="s">
        <v>79</v>
      </c>
      <c r="N503" s="15"/>
      <c r="O503" s="16" t="s">
        <v>54</v>
      </c>
      <c r="P503" s="12" t="s">
        <v>1625</v>
      </c>
      <c r="Q503" s="16"/>
      <c r="R503" s="18" t="s">
        <v>79</v>
      </c>
      <c r="S503" s="19"/>
      <c r="T503" s="12" t="str">
        <f aca="false">IF(R503="維持",J503,IF(R503="排除","無關新聞事件",IFERROR(INDEX(事件規則!$B$2:$B$53,MATCH(S503,事件規則!$A$2:$A$53,0)),"")))</f>
        <v>無關新聞事件</v>
      </c>
      <c r="U503" s="20" t="n">
        <f aca="false">IF(R503="維持",K503,IF(R503="排除",0,IFERROR(INDEX(事件規則!$C$2:$C$53,MATCH(S503,事件規則!$A$2:$A$53,0)),"")))</f>
        <v>0</v>
      </c>
      <c r="V503" s="21"/>
      <c r="W503" s="22"/>
      <c r="X503" s="10" t="str">
        <f aca="false">IF(AND(R503="修改",S503=""),"請選新事件代碼",IF(AND(R503&lt;&gt;"修改",S503&lt;&gt;""),"只有「修改」才需填代碼",""))</f>
        <v/>
      </c>
      <c r="Y503" s="21"/>
      <c r="Z503" s="22"/>
      <c r="AA503" s="23" t="s">
        <v>1687</v>
      </c>
      <c r="AB503" s="13"/>
    </row>
    <row r="504" customFormat="false" ht="44" hidden="false" customHeight="false" outlineLevel="0" collapsed="false">
      <c r="A504" s="16" t="n">
        <v>503</v>
      </c>
      <c r="B504" s="9" t="s">
        <v>65</v>
      </c>
      <c r="C504" s="9" t="s">
        <v>879</v>
      </c>
      <c r="D504" s="10" t="s">
        <v>880</v>
      </c>
      <c r="E504" s="24" t="s">
        <v>1688</v>
      </c>
      <c r="F504" s="12"/>
      <c r="G504" s="23" t="s">
        <v>999</v>
      </c>
      <c r="H504" s="14" t="n">
        <v>-0.875</v>
      </c>
      <c r="I504" s="15"/>
      <c r="J504" s="12"/>
      <c r="K504" s="9"/>
      <c r="L504" s="16" t="s">
        <v>51</v>
      </c>
      <c r="M504" s="17" t="s">
        <v>79</v>
      </c>
      <c r="N504" s="15"/>
      <c r="O504" s="16" t="s">
        <v>54</v>
      </c>
      <c r="P504" s="12" t="s">
        <v>1625</v>
      </c>
      <c r="Q504" s="16"/>
      <c r="R504" s="18" t="s">
        <v>79</v>
      </c>
      <c r="S504" s="19"/>
      <c r="T504" s="12" t="str">
        <f aca="false">IF(R504="維持",J504,IF(R504="排除","無關新聞事件",IFERROR(INDEX(事件規則!$B$2:$B$53,MATCH(S504,事件規則!$A$2:$A$53,0)),"")))</f>
        <v>無關新聞事件</v>
      </c>
      <c r="U504" s="20" t="n">
        <f aca="false">IF(R504="維持",K504,IF(R504="排除",0,IFERROR(INDEX(事件規則!$C$2:$C$53,MATCH(S504,事件規則!$A$2:$A$53,0)),"")))</f>
        <v>0</v>
      </c>
      <c r="V504" s="21"/>
      <c r="W504" s="22"/>
      <c r="X504" s="10" t="str">
        <f aca="false">IF(AND(R504="修改",S504=""),"請選新事件代碼",IF(AND(R504&lt;&gt;"修改",S504&lt;&gt;""),"只有「修改」才需填代碼",""))</f>
        <v/>
      </c>
      <c r="Y504" s="21"/>
      <c r="Z504" s="22"/>
      <c r="AA504" s="23" t="s">
        <v>1689</v>
      </c>
      <c r="AB504" s="13"/>
    </row>
    <row r="505" customFormat="false" ht="44" hidden="false" customHeight="false" outlineLevel="0" collapsed="false">
      <c r="A505" s="16" t="n">
        <v>504</v>
      </c>
      <c r="B505" s="9" t="s">
        <v>331</v>
      </c>
      <c r="C505" s="9" t="s">
        <v>1690</v>
      </c>
      <c r="D505" s="10" t="s">
        <v>1691</v>
      </c>
      <c r="E505" s="24" t="s">
        <v>1692</v>
      </c>
      <c r="F505" s="12"/>
      <c r="G505" s="23" t="s">
        <v>1693</v>
      </c>
      <c r="H505" s="14" t="n">
        <v>-0.874</v>
      </c>
      <c r="I505" s="15"/>
      <c r="J505" s="12"/>
      <c r="K505" s="9"/>
      <c r="L505" s="16" t="s">
        <v>51</v>
      </c>
      <c r="M505" s="17" t="s">
        <v>79</v>
      </c>
      <c r="N505" s="15"/>
      <c r="O505" s="16" t="s">
        <v>54</v>
      </c>
      <c r="P505" s="12" t="s">
        <v>1625</v>
      </c>
      <c r="Q505" s="16"/>
      <c r="R505" s="18" t="s">
        <v>79</v>
      </c>
      <c r="S505" s="19"/>
      <c r="T505" s="12" t="str">
        <f aca="false">IF(R505="維持",J505,IF(R505="排除","無關新聞事件",IFERROR(INDEX(事件規則!$B$2:$B$53,MATCH(S505,事件規則!$A$2:$A$53,0)),"")))</f>
        <v>無關新聞事件</v>
      </c>
      <c r="U505" s="20" t="n">
        <f aca="false">IF(R505="維持",K505,IF(R505="排除",0,IFERROR(INDEX(事件規則!$C$2:$C$53,MATCH(S505,事件規則!$A$2:$A$53,0)),"")))</f>
        <v>0</v>
      </c>
      <c r="V505" s="21"/>
      <c r="W505" s="22"/>
      <c r="X505" s="10" t="str">
        <f aca="false">IF(AND(R505="修改",S505=""),"請選新事件代碼",IF(AND(R505&lt;&gt;"修改",S505&lt;&gt;""),"只有「修改」才需填代碼",""))</f>
        <v/>
      </c>
      <c r="Y505" s="21"/>
      <c r="Z505" s="22"/>
      <c r="AA505" s="23" t="s">
        <v>1694</v>
      </c>
      <c r="AB505" s="13"/>
    </row>
    <row r="506" customFormat="false" ht="44" hidden="false" customHeight="false" outlineLevel="0" collapsed="false">
      <c r="A506" s="16" t="n">
        <v>505</v>
      </c>
      <c r="B506" s="9" t="s">
        <v>65</v>
      </c>
      <c r="C506" s="9" t="s">
        <v>441</v>
      </c>
      <c r="D506" s="10" t="s">
        <v>442</v>
      </c>
      <c r="E506" s="24" t="s">
        <v>1695</v>
      </c>
      <c r="F506" s="12"/>
      <c r="G506" s="23" t="s">
        <v>999</v>
      </c>
      <c r="H506" s="14" t="n">
        <v>-0.874</v>
      </c>
      <c r="I506" s="15"/>
      <c r="J506" s="12"/>
      <c r="K506" s="9"/>
      <c r="L506" s="16" t="s">
        <v>51</v>
      </c>
      <c r="M506" s="17" t="s">
        <v>79</v>
      </c>
      <c r="N506" s="15"/>
      <c r="O506" s="16" t="s">
        <v>54</v>
      </c>
      <c r="P506" s="12" t="s">
        <v>1625</v>
      </c>
      <c r="Q506" s="16"/>
      <c r="R506" s="18" t="s">
        <v>79</v>
      </c>
      <c r="S506" s="19"/>
      <c r="T506" s="12" t="str">
        <f aca="false">IF(R506="維持",J506,IF(R506="排除","無關新聞事件",IFERROR(INDEX(事件規則!$B$2:$B$53,MATCH(S506,事件規則!$A$2:$A$53,0)),"")))</f>
        <v>無關新聞事件</v>
      </c>
      <c r="U506" s="20" t="n">
        <f aca="false">IF(R506="維持",K506,IF(R506="排除",0,IFERROR(INDEX(事件規則!$C$2:$C$53,MATCH(S506,事件規則!$A$2:$A$53,0)),"")))</f>
        <v>0</v>
      </c>
      <c r="V506" s="21"/>
      <c r="W506" s="22"/>
      <c r="X506" s="10" t="str">
        <f aca="false">IF(AND(R506="修改",S506=""),"請選新事件代碼",IF(AND(R506&lt;&gt;"修改",S506&lt;&gt;""),"只有「修改」才需填代碼",""))</f>
        <v/>
      </c>
      <c r="Y506" s="21"/>
      <c r="Z506" s="22"/>
      <c r="AA506" s="23" t="s">
        <v>1696</v>
      </c>
      <c r="AB506" s="13"/>
    </row>
    <row r="507" customFormat="false" ht="44" hidden="false" customHeight="false" outlineLevel="0" collapsed="false">
      <c r="A507" s="16" t="n">
        <v>506</v>
      </c>
      <c r="B507" s="9" t="s">
        <v>331</v>
      </c>
      <c r="C507" s="9" t="s">
        <v>564</v>
      </c>
      <c r="D507" s="10" t="s">
        <v>565</v>
      </c>
      <c r="E507" s="24" t="s">
        <v>1697</v>
      </c>
      <c r="F507" s="12"/>
      <c r="G507" s="23" t="s">
        <v>1698</v>
      </c>
      <c r="H507" s="14" t="n">
        <v>-0.874</v>
      </c>
      <c r="I507" s="15"/>
      <c r="J507" s="12"/>
      <c r="K507" s="9"/>
      <c r="L507" s="16" t="s">
        <v>51</v>
      </c>
      <c r="M507" s="17" t="s">
        <v>79</v>
      </c>
      <c r="N507" s="15"/>
      <c r="O507" s="16" t="s">
        <v>54</v>
      </c>
      <c r="P507" s="12" t="s">
        <v>1625</v>
      </c>
      <c r="Q507" s="16"/>
      <c r="R507" s="18" t="s">
        <v>79</v>
      </c>
      <c r="S507" s="19"/>
      <c r="T507" s="12" t="str">
        <f aca="false">IF(R507="維持",J507,IF(R507="排除","無關新聞事件",IFERROR(INDEX(事件規則!$B$2:$B$53,MATCH(S507,事件規則!$A$2:$A$53,0)),"")))</f>
        <v>無關新聞事件</v>
      </c>
      <c r="U507" s="20" t="n">
        <f aca="false">IF(R507="維持",K507,IF(R507="排除",0,IFERROR(INDEX(事件規則!$C$2:$C$53,MATCH(S507,事件規則!$A$2:$A$53,0)),"")))</f>
        <v>0</v>
      </c>
      <c r="V507" s="21"/>
      <c r="W507" s="22"/>
      <c r="X507" s="10" t="str">
        <f aca="false">IF(AND(R507="修改",S507=""),"請選新事件代碼",IF(AND(R507&lt;&gt;"修改",S507&lt;&gt;""),"只有「修改」才需填代碼",""))</f>
        <v/>
      </c>
      <c r="Y507" s="21"/>
      <c r="Z507" s="22"/>
      <c r="AA507" s="23" t="s">
        <v>1699</v>
      </c>
      <c r="AB507" s="13"/>
    </row>
    <row r="508" customFormat="false" ht="44" hidden="false" customHeight="false" outlineLevel="0" collapsed="false">
      <c r="A508" s="16" t="n">
        <v>507</v>
      </c>
      <c r="B508" s="9" t="s">
        <v>65</v>
      </c>
      <c r="C508" s="9" t="s">
        <v>246</v>
      </c>
      <c r="D508" s="10" t="s">
        <v>247</v>
      </c>
      <c r="E508" s="24" t="s">
        <v>1700</v>
      </c>
      <c r="F508" s="12"/>
      <c r="G508" s="23" t="s">
        <v>120</v>
      </c>
      <c r="H508" s="14" t="n">
        <v>-0.874</v>
      </c>
      <c r="I508" s="15"/>
      <c r="J508" s="12"/>
      <c r="K508" s="9"/>
      <c r="L508" s="16" t="s">
        <v>51</v>
      </c>
      <c r="M508" s="17" t="s">
        <v>79</v>
      </c>
      <c r="N508" s="15"/>
      <c r="O508" s="16" t="s">
        <v>54</v>
      </c>
      <c r="P508" s="12" t="s">
        <v>1625</v>
      </c>
      <c r="Q508" s="16"/>
      <c r="R508" s="18" t="s">
        <v>79</v>
      </c>
      <c r="S508" s="19"/>
      <c r="T508" s="12" t="str">
        <f aca="false">IF(R508="維持",J508,IF(R508="排除","無關新聞事件",IFERROR(INDEX(事件規則!$B$2:$B$53,MATCH(S508,事件規則!$A$2:$A$53,0)),"")))</f>
        <v>無關新聞事件</v>
      </c>
      <c r="U508" s="20" t="n">
        <f aca="false">IF(R508="維持",K508,IF(R508="排除",0,IFERROR(INDEX(事件規則!$C$2:$C$53,MATCH(S508,事件規則!$A$2:$A$53,0)),"")))</f>
        <v>0</v>
      </c>
      <c r="V508" s="21"/>
      <c r="W508" s="22"/>
      <c r="X508" s="10" t="str">
        <f aca="false">IF(AND(R508="修改",S508=""),"請選新事件代碼",IF(AND(R508&lt;&gt;"修改",S508&lt;&gt;""),"只有「修改」才需填代碼",""))</f>
        <v/>
      </c>
      <c r="Y508" s="21"/>
      <c r="Z508" s="22"/>
      <c r="AA508" s="23" t="s">
        <v>1701</v>
      </c>
      <c r="AB508" s="13"/>
    </row>
    <row r="509" customFormat="false" ht="44" hidden="false" customHeight="false" outlineLevel="0" collapsed="false">
      <c r="A509" s="16" t="n">
        <v>508</v>
      </c>
      <c r="B509" s="9" t="s">
        <v>65</v>
      </c>
      <c r="C509" s="9" t="s">
        <v>862</v>
      </c>
      <c r="D509" s="10" t="s">
        <v>863</v>
      </c>
      <c r="E509" s="24" t="s">
        <v>1702</v>
      </c>
      <c r="F509" s="12"/>
      <c r="G509" s="23" t="s">
        <v>1703</v>
      </c>
      <c r="H509" s="14" t="n">
        <v>-0.872</v>
      </c>
      <c r="I509" s="15"/>
      <c r="J509" s="12"/>
      <c r="K509" s="9"/>
      <c r="L509" s="16" t="s">
        <v>51</v>
      </c>
      <c r="M509" s="17" t="s">
        <v>79</v>
      </c>
      <c r="N509" s="15"/>
      <c r="O509" s="16" t="s">
        <v>54</v>
      </c>
      <c r="P509" s="12" t="s">
        <v>1625</v>
      </c>
      <c r="Q509" s="16"/>
      <c r="R509" s="18" t="s">
        <v>79</v>
      </c>
      <c r="S509" s="19"/>
      <c r="T509" s="12" t="str">
        <f aca="false">IF(R509="維持",J509,IF(R509="排除","無關新聞事件",IFERROR(INDEX(事件規則!$B$2:$B$53,MATCH(S509,事件規則!$A$2:$A$53,0)),"")))</f>
        <v>無關新聞事件</v>
      </c>
      <c r="U509" s="20" t="n">
        <f aca="false">IF(R509="維持",K509,IF(R509="排除",0,IFERROR(INDEX(事件規則!$C$2:$C$53,MATCH(S509,事件規則!$A$2:$A$53,0)),"")))</f>
        <v>0</v>
      </c>
      <c r="V509" s="21"/>
      <c r="W509" s="22"/>
      <c r="X509" s="10" t="str">
        <f aca="false">IF(AND(R509="修改",S509=""),"請選新事件代碼",IF(AND(R509&lt;&gt;"修改",S509&lt;&gt;""),"只有「修改」才需填代碼",""))</f>
        <v/>
      </c>
      <c r="Y509" s="21"/>
      <c r="Z509" s="22"/>
      <c r="AA509" s="23" t="s">
        <v>1704</v>
      </c>
      <c r="AB509" s="13"/>
    </row>
    <row r="510" customFormat="false" ht="44" hidden="false" customHeight="false" outlineLevel="0" collapsed="false">
      <c r="A510" s="16" t="n">
        <v>509</v>
      </c>
      <c r="B510" s="9" t="s">
        <v>65</v>
      </c>
      <c r="C510" s="9" t="s">
        <v>376</v>
      </c>
      <c r="D510" s="10" t="s">
        <v>377</v>
      </c>
      <c r="E510" s="24" t="s">
        <v>1705</v>
      </c>
      <c r="F510" s="12"/>
      <c r="G510" s="23" t="s">
        <v>999</v>
      </c>
      <c r="H510" s="14" t="n">
        <v>-0.872</v>
      </c>
      <c r="I510" s="15"/>
      <c r="J510" s="12"/>
      <c r="K510" s="9"/>
      <c r="L510" s="16" t="s">
        <v>51</v>
      </c>
      <c r="M510" s="17" t="s">
        <v>79</v>
      </c>
      <c r="N510" s="15"/>
      <c r="O510" s="16" t="s">
        <v>54</v>
      </c>
      <c r="P510" s="12" t="s">
        <v>1625</v>
      </c>
      <c r="Q510" s="16"/>
      <c r="R510" s="18" t="s">
        <v>79</v>
      </c>
      <c r="S510" s="19"/>
      <c r="T510" s="12" t="str">
        <f aca="false">IF(R510="維持",J510,IF(R510="排除","無關新聞事件",IFERROR(INDEX(事件規則!$B$2:$B$53,MATCH(S510,事件規則!$A$2:$A$53,0)),"")))</f>
        <v>無關新聞事件</v>
      </c>
      <c r="U510" s="20" t="n">
        <f aca="false">IF(R510="維持",K510,IF(R510="排除",0,IFERROR(INDEX(事件規則!$C$2:$C$53,MATCH(S510,事件規則!$A$2:$A$53,0)),"")))</f>
        <v>0</v>
      </c>
      <c r="V510" s="21"/>
      <c r="W510" s="22"/>
      <c r="X510" s="10" t="str">
        <f aca="false">IF(AND(R510="修改",S510=""),"請選新事件代碼",IF(AND(R510&lt;&gt;"修改",S510&lt;&gt;""),"只有「修改」才需填代碼",""))</f>
        <v/>
      </c>
      <c r="Y510" s="21"/>
      <c r="Z510" s="22"/>
      <c r="AA510" s="23" t="s">
        <v>1706</v>
      </c>
      <c r="AB510" s="13"/>
    </row>
    <row r="511" customFormat="false" ht="44" hidden="false" customHeight="false" outlineLevel="0" collapsed="false">
      <c r="A511" s="16" t="n">
        <v>510</v>
      </c>
      <c r="B511" s="9" t="s">
        <v>45</v>
      </c>
      <c r="C511" s="9" t="s">
        <v>441</v>
      </c>
      <c r="D511" s="10" t="s">
        <v>442</v>
      </c>
      <c r="E511" s="24" t="s">
        <v>1707</v>
      </c>
      <c r="F511" s="12"/>
      <c r="G511" s="23" t="s">
        <v>1205</v>
      </c>
      <c r="H511" s="14" t="n">
        <v>-0.871</v>
      </c>
      <c r="I511" s="15"/>
      <c r="J511" s="12"/>
      <c r="K511" s="9"/>
      <c r="L511" s="16" t="s">
        <v>51</v>
      </c>
      <c r="M511" s="17" t="s">
        <v>79</v>
      </c>
      <c r="N511" s="15"/>
      <c r="O511" s="16" t="s">
        <v>54</v>
      </c>
      <c r="P511" s="12" t="s">
        <v>1625</v>
      </c>
      <c r="Q511" s="16"/>
      <c r="R511" s="18" t="s">
        <v>79</v>
      </c>
      <c r="S511" s="19"/>
      <c r="T511" s="12" t="str">
        <f aca="false">IF(R511="維持",J511,IF(R511="排除","無關新聞事件",IFERROR(INDEX(事件規則!$B$2:$B$53,MATCH(S511,事件規則!$A$2:$A$53,0)),"")))</f>
        <v>無關新聞事件</v>
      </c>
      <c r="U511" s="20" t="n">
        <f aca="false">IF(R511="維持",K511,IF(R511="排除",0,IFERROR(INDEX(事件規則!$C$2:$C$53,MATCH(S511,事件規則!$A$2:$A$53,0)),"")))</f>
        <v>0</v>
      </c>
      <c r="V511" s="21"/>
      <c r="W511" s="22"/>
      <c r="X511" s="10" t="str">
        <f aca="false">IF(AND(R511="修改",S511=""),"請選新事件代碼",IF(AND(R511&lt;&gt;"修改",S511&lt;&gt;""),"只有「修改」才需填代碼",""))</f>
        <v/>
      </c>
      <c r="Y511" s="21"/>
      <c r="Z511" s="22"/>
      <c r="AA511" s="23" t="s">
        <v>1708</v>
      </c>
      <c r="AB511" s="13"/>
    </row>
    <row r="512" customFormat="false" ht="44" hidden="false" customHeight="false" outlineLevel="0" collapsed="false">
      <c r="A512" s="16" t="n">
        <v>511</v>
      </c>
      <c r="B512" s="9" t="s">
        <v>65</v>
      </c>
      <c r="C512" s="9" t="s">
        <v>1534</v>
      </c>
      <c r="D512" s="10" t="s">
        <v>1535</v>
      </c>
      <c r="E512" s="24" t="s">
        <v>1709</v>
      </c>
      <c r="F512" s="12"/>
      <c r="G512" s="23" t="s">
        <v>999</v>
      </c>
      <c r="H512" s="14" t="n">
        <v>-0.871</v>
      </c>
      <c r="I512" s="15"/>
      <c r="J512" s="12"/>
      <c r="K512" s="9"/>
      <c r="L512" s="16" t="s">
        <v>51</v>
      </c>
      <c r="M512" s="17" t="s">
        <v>79</v>
      </c>
      <c r="N512" s="15"/>
      <c r="O512" s="16" t="s">
        <v>54</v>
      </c>
      <c r="P512" s="12" t="s">
        <v>1625</v>
      </c>
      <c r="Q512" s="16"/>
      <c r="R512" s="18" t="s">
        <v>79</v>
      </c>
      <c r="S512" s="19"/>
      <c r="T512" s="12" t="str">
        <f aca="false">IF(R512="維持",J512,IF(R512="排除","無關新聞事件",IFERROR(INDEX(事件規則!$B$2:$B$53,MATCH(S512,事件規則!$A$2:$A$53,0)),"")))</f>
        <v>無關新聞事件</v>
      </c>
      <c r="U512" s="20" t="n">
        <f aca="false">IF(R512="維持",K512,IF(R512="排除",0,IFERROR(INDEX(事件規則!$C$2:$C$53,MATCH(S512,事件規則!$A$2:$A$53,0)),"")))</f>
        <v>0</v>
      </c>
      <c r="V512" s="21"/>
      <c r="W512" s="22"/>
      <c r="X512" s="10" t="str">
        <f aca="false">IF(AND(R512="修改",S512=""),"請選新事件代碼",IF(AND(R512&lt;&gt;"修改",S512&lt;&gt;""),"只有「修改」才需填代碼",""))</f>
        <v/>
      </c>
      <c r="Y512" s="21"/>
      <c r="Z512" s="22"/>
      <c r="AA512" s="23" t="s">
        <v>1710</v>
      </c>
      <c r="AB512" s="13"/>
    </row>
    <row r="513" customFormat="false" ht="44" hidden="false" customHeight="false" outlineLevel="0" collapsed="false">
      <c r="A513" s="16" t="n">
        <v>512</v>
      </c>
      <c r="B513" s="9" t="s">
        <v>65</v>
      </c>
      <c r="C513" s="9" t="s">
        <v>282</v>
      </c>
      <c r="D513" s="10" t="s">
        <v>283</v>
      </c>
      <c r="E513" s="24" t="s">
        <v>1711</v>
      </c>
      <c r="F513" s="12"/>
      <c r="G513" s="23" t="s">
        <v>999</v>
      </c>
      <c r="H513" s="14" t="n">
        <v>-0.871</v>
      </c>
      <c r="I513" s="15"/>
      <c r="J513" s="12"/>
      <c r="K513" s="9"/>
      <c r="L513" s="16" t="s">
        <v>51</v>
      </c>
      <c r="M513" s="17" t="s">
        <v>79</v>
      </c>
      <c r="N513" s="15"/>
      <c r="O513" s="16" t="s">
        <v>54</v>
      </c>
      <c r="P513" s="12" t="s">
        <v>1625</v>
      </c>
      <c r="Q513" s="16"/>
      <c r="R513" s="18" t="s">
        <v>79</v>
      </c>
      <c r="S513" s="19"/>
      <c r="T513" s="12" t="str">
        <f aca="false">IF(R513="維持",J513,IF(R513="排除","無關新聞事件",IFERROR(INDEX(事件規則!$B$2:$B$53,MATCH(S513,事件規則!$A$2:$A$53,0)),"")))</f>
        <v>無關新聞事件</v>
      </c>
      <c r="U513" s="20" t="n">
        <f aca="false">IF(R513="維持",K513,IF(R513="排除",0,IFERROR(INDEX(事件規則!$C$2:$C$53,MATCH(S513,事件規則!$A$2:$A$53,0)),"")))</f>
        <v>0</v>
      </c>
      <c r="V513" s="21"/>
      <c r="W513" s="22"/>
      <c r="X513" s="10" t="str">
        <f aca="false">IF(AND(R513="修改",S513=""),"請選新事件代碼",IF(AND(R513&lt;&gt;"修改",S513&lt;&gt;""),"只有「修改」才需填代碼",""))</f>
        <v/>
      </c>
      <c r="Y513" s="21"/>
      <c r="Z513" s="22"/>
      <c r="AA513" s="23" t="s">
        <v>1712</v>
      </c>
      <c r="AB513" s="13"/>
    </row>
    <row r="514" customFormat="false" ht="44" hidden="false" customHeight="false" outlineLevel="0" collapsed="false">
      <c r="A514" s="16" t="n">
        <v>513</v>
      </c>
      <c r="B514" s="9" t="s">
        <v>386</v>
      </c>
      <c r="C514" s="9" t="s">
        <v>1713</v>
      </c>
      <c r="D514" s="10" t="s">
        <v>1714</v>
      </c>
      <c r="E514" s="24" t="s">
        <v>1715</v>
      </c>
      <c r="F514" s="12"/>
      <c r="G514" s="23" t="s">
        <v>1716</v>
      </c>
      <c r="H514" s="14" t="n">
        <v>-0.871</v>
      </c>
      <c r="I514" s="15"/>
      <c r="J514" s="12"/>
      <c r="K514" s="9"/>
      <c r="L514" s="16" t="s">
        <v>51</v>
      </c>
      <c r="M514" s="17" t="s">
        <v>79</v>
      </c>
      <c r="N514" s="15"/>
      <c r="O514" s="16" t="s">
        <v>54</v>
      </c>
      <c r="P514" s="12" t="s">
        <v>1625</v>
      </c>
      <c r="Q514" s="16"/>
      <c r="R514" s="18" t="s">
        <v>79</v>
      </c>
      <c r="S514" s="19"/>
      <c r="T514" s="12" t="str">
        <f aca="false">IF(R514="維持",J514,IF(R514="排除","無關新聞事件",IFERROR(INDEX(事件規則!$B$2:$B$53,MATCH(S514,事件規則!$A$2:$A$53,0)),"")))</f>
        <v>無關新聞事件</v>
      </c>
      <c r="U514" s="20" t="n">
        <f aca="false">IF(R514="維持",K514,IF(R514="排除",0,IFERROR(INDEX(事件規則!$C$2:$C$53,MATCH(S514,事件規則!$A$2:$A$53,0)),"")))</f>
        <v>0</v>
      </c>
      <c r="V514" s="21"/>
      <c r="W514" s="22"/>
      <c r="X514" s="10" t="str">
        <f aca="false">IF(AND(R514="修改",S514=""),"請選新事件代碼",IF(AND(R514&lt;&gt;"修改",S514&lt;&gt;""),"只有「修改」才需填代碼",""))</f>
        <v/>
      </c>
      <c r="Y514" s="21"/>
      <c r="Z514" s="22"/>
      <c r="AA514" s="23" t="s">
        <v>1717</v>
      </c>
      <c r="AB514" s="13"/>
    </row>
    <row r="515" customFormat="false" ht="44" hidden="false" customHeight="false" outlineLevel="0" collapsed="false">
      <c r="A515" s="16" t="n">
        <v>514</v>
      </c>
      <c r="B515" s="9" t="s">
        <v>65</v>
      </c>
      <c r="C515" s="9" t="s">
        <v>1718</v>
      </c>
      <c r="D515" s="10" t="s">
        <v>1719</v>
      </c>
      <c r="E515" s="24" t="s">
        <v>1720</v>
      </c>
      <c r="F515" s="12"/>
      <c r="G515" s="23" t="s">
        <v>1537</v>
      </c>
      <c r="H515" s="14" t="n">
        <v>-0.87</v>
      </c>
      <c r="I515" s="15"/>
      <c r="J515" s="12"/>
      <c r="K515" s="9"/>
      <c r="L515" s="16" t="s">
        <v>51</v>
      </c>
      <c r="M515" s="17" t="s">
        <v>79</v>
      </c>
      <c r="N515" s="15"/>
      <c r="O515" s="16" t="s">
        <v>54</v>
      </c>
      <c r="P515" s="12" t="s">
        <v>1625</v>
      </c>
      <c r="Q515" s="16"/>
      <c r="R515" s="18" t="s">
        <v>79</v>
      </c>
      <c r="S515" s="19"/>
      <c r="T515" s="12" t="str">
        <f aca="false">IF(R515="維持",J515,IF(R515="排除","無關新聞事件",IFERROR(INDEX(事件規則!$B$2:$B$53,MATCH(S515,事件規則!$A$2:$A$53,0)),"")))</f>
        <v>無關新聞事件</v>
      </c>
      <c r="U515" s="20" t="n">
        <f aca="false">IF(R515="維持",K515,IF(R515="排除",0,IFERROR(INDEX(事件規則!$C$2:$C$53,MATCH(S515,事件規則!$A$2:$A$53,0)),"")))</f>
        <v>0</v>
      </c>
      <c r="V515" s="21"/>
      <c r="W515" s="22"/>
      <c r="X515" s="10" t="str">
        <f aca="false">IF(AND(R515="修改",S515=""),"請選新事件代碼",IF(AND(R515&lt;&gt;"修改",S515&lt;&gt;""),"只有「修改」才需填代碼",""))</f>
        <v/>
      </c>
      <c r="Y515" s="21"/>
      <c r="Z515" s="22"/>
      <c r="AA515" s="23" t="s">
        <v>1721</v>
      </c>
      <c r="AB515" s="13"/>
    </row>
    <row r="516" customFormat="false" ht="44" hidden="false" customHeight="false" outlineLevel="0" collapsed="false">
      <c r="A516" s="16" t="n">
        <v>515</v>
      </c>
      <c r="B516" s="9" t="s">
        <v>386</v>
      </c>
      <c r="C516" s="9" t="s">
        <v>1722</v>
      </c>
      <c r="D516" s="10" t="s">
        <v>1723</v>
      </c>
      <c r="E516" s="24" t="s">
        <v>1724</v>
      </c>
      <c r="F516" s="12"/>
      <c r="G516" s="23" t="s">
        <v>899</v>
      </c>
      <c r="H516" s="14" t="n">
        <v>-0.869</v>
      </c>
      <c r="I516" s="15"/>
      <c r="J516" s="12"/>
      <c r="K516" s="9"/>
      <c r="L516" s="16" t="s">
        <v>51</v>
      </c>
      <c r="M516" s="17" t="s">
        <v>79</v>
      </c>
      <c r="N516" s="15"/>
      <c r="O516" s="16" t="s">
        <v>54</v>
      </c>
      <c r="P516" s="12" t="s">
        <v>1625</v>
      </c>
      <c r="Q516" s="16"/>
      <c r="R516" s="18" t="s">
        <v>79</v>
      </c>
      <c r="S516" s="19"/>
      <c r="T516" s="12" t="str">
        <f aca="false">IF(R516="維持",J516,IF(R516="排除","無關新聞事件",IFERROR(INDEX(事件規則!$B$2:$B$53,MATCH(S516,事件規則!$A$2:$A$53,0)),"")))</f>
        <v>無關新聞事件</v>
      </c>
      <c r="U516" s="20" t="n">
        <f aca="false">IF(R516="維持",K516,IF(R516="排除",0,IFERROR(INDEX(事件規則!$C$2:$C$53,MATCH(S516,事件規則!$A$2:$A$53,0)),"")))</f>
        <v>0</v>
      </c>
      <c r="V516" s="21"/>
      <c r="W516" s="22"/>
      <c r="X516" s="10" t="str">
        <f aca="false">IF(AND(R516="修改",S516=""),"請選新事件代碼",IF(AND(R516&lt;&gt;"修改",S516&lt;&gt;""),"只有「修改」才需填代碼",""))</f>
        <v/>
      </c>
      <c r="Y516" s="21"/>
      <c r="Z516" s="22"/>
      <c r="AA516" s="23" t="s">
        <v>1725</v>
      </c>
      <c r="AB516" s="13"/>
    </row>
    <row r="517" customFormat="false" ht="44" hidden="false" customHeight="false" outlineLevel="0" collapsed="false">
      <c r="A517" s="16" t="n">
        <v>516</v>
      </c>
      <c r="B517" s="9" t="s">
        <v>386</v>
      </c>
      <c r="C517" s="9" t="s">
        <v>456</v>
      </c>
      <c r="D517" s="10" t="s">
        <v>457</v>
      </c>
      <c r="E517" s="24" t="s">
        <v>1726</v>
      </c>
      <c r="F517" s="12"/>
      <c r="G517" s="23" t="s">
        <v>1727</v>
      </c>
      <c r="H517" s="14" t="n">
        <v>-0.868</v>
      </c>
      <c r="I517" s="15"/>
      <c r="J517" s="12"/>
      <c r="K517" s="9"/>
      <c r="L517" s="16" t="s">
        <v>51</v>
      </c>
      <c r="M517" s="17" t="s">
        <v>79</v>
      </c>
      <c r="N517" s="15"/>
      <c r="O517" s="16" t="s">
        <v>54</v>
      </c>
      <c r="P517" s="12" t="s">
        <v>1625</v>
      </c>
      <c r="Q517" s="16"/>
      <c r="R517" s="18" t="s">
        <v>79</v>
      </c>
      <c r="S517" s="19"/>
      <c r="T517" s="12" t="str">
        <f aca="false">IF(R517="維持",J517,IF(R517="排除","無關新聞事件",IFERROR(INDEX(事件規則!$B$2:$B$53,MATCH(S517,事件規則!$A$2:$A$53,0)),"")))</f>
        <v>無關新聞事件</v>
      </c>
      <c r="U517" s="20" t="n">
        <f aca="false">IF(R517="維持",K517,IF(R517="排除",0,IFERROR(INDEX(事件規則!$C$2:$C$53,MATCH(S517,事件規則!$A$2:$A$53,0)),"")))</f>
        <v>0</v>
      </c>
      <c r="V517" s="21"/>
      <c r="W517" s="22"/>
      <c r="X517" s="10" t="str">
        <f aca="false">IF(AND(R517="修改",S517=""),"請選新事件代碼",IF(AND(R517&lt;&gt;"修改",S517&lt;&gt;""),"只有「修改」才需填代碼",""))</f>
        <v/>
      </c>
      <c r="Y517" s="21"/>
      <c r="Z517" s="22"/>
      <c r="AA517" s="23" t="s">
        <v>1728</v>
      </c>
      <c r="AB517" s="13"/>
    </row>
    <row r="518" customFormat="false" ht="44" hidden="false" customHeight="false" outlineLevel="0" collapsed="false">
      <c r="A518" s="16" t="n">
        <v>517</v>
      </c>
      <c r="B518" s="9" t="s">
        <v>65</v>
      </c>
      <c r="C518" s="9" t="s">
        <v>1229</v>
      </c>
      <c r="D518" s="10" t="s">
        <v>1230</v>
      </c>
      <c r="E518" s="24" t="s">
        <v>1729</v>
      </c>
      <c r="F518" s="12"/>
      <c r="G518" s="23" t="s">
        <v>1730</v>
      </c>
      <c r="H518" s="14" t="n">
        <v>-0.868</v>
      </c>
      <c r="I518" s="15"/>
      <c r="J518" s="12"/>
      <c r="K518" s="9"/>
      <c r="L518" s="16" t="s">
        <v>51</v>
      </c>
      <c r="M518" s="17" t="s">
        <v>79</v>
      </c>
      <c r="N518" s="15"/>
      <c r="O518" s="16" t="s">
        <v>54</v>
      </c>
      <c r="P518" s="12" t="s">
        <v>1625</v>
      </c>
      <c r="Q518" s="16"/>
      <c r="R518" s="18" t="s">
        <v>79</v>
      </c>
      <c r="S518" s="19"/>
      <c r="T518" s="12" t="str">
        <f aca="false">IF(R518="維持",J518,IF(R518="排除","無關新聞事件",IFERROR(INDEX(事件規則!$B$2:$B$53,MATCH(S518,事件規則!$A$2:$A$53,0)),"")))</f>
        <v>無關新聞事件</v>
      </c>
      <c r="U518" s="20" t="n">
        <f aca="false">IF(R518="維持",K518,IF(R518="排除",0,IFERROR(INDEX(事件規則!$C$2:$C$53,MATCH(S518,事件規則!$A$2:$A$53,0)),"")))</f>
        <v>0</v>
      </c>
      <c r="V518" s="21"/>
      <c r="W518" s="22"/>
      <c r="X518" s="10" t="str">
        <f aca="false">IF(AND(R518="修改",S518=""),"請選新事件代碼",IF(AND(R518&lt;&gt;"修改",S518&lt;&gt;""),"只有「修改」才需填代碼",""))</f>
        <v/>
      </c>
      <c r="Y518" s="21"/>
      <c r="Z518" s="22"/>
      <c r="AA518" s="23" t="s">
        <v>1731</v>
      </c>
      <c r="AB518" s="13"/>
    </row>
    <row r="519" customFormat="false" ht="44" hidden="false" customHeight="false" outlineLevel="0" collapsed="false">
      <c r="A519" s="16" t="n">
        <v>518</v>
      </c>
      <c r="B519" s="9" t="s">
        <v>45</v>
      </c>
      <c r="C519" s="9" t="s">
        <v>1064</v>
      </c>
      <c r="D519" s="10" t="s">
        <v>1065</v>
      </c>
      <c r="E519" s="24" t="s">
        <v>1732</v>
      </c>
      <c r="F519" s="12"/>
      <c r="G519" s="23" t="s">
        <v>1733</v>
      </c>
      <c r="H519" s="14" t="n">
        <v>-0.867</v>
      </c>
      <c r="I519" s="15"/>
      <c r="J519" s="12"/>
      <c r="K519" s="9"/>
      <c r="L519" s="16" t="s">
        <v>51</v>
      </c>
      <c r="M519" s="17" t="s">
        <v>79</v>
      </c>
      <c r="N519" s="15"/>
      <c r="O519" s="16" t="s">
        <v>54</v>
      </c>
      <c r="P519" s="12" t="s">
        <v>1625</v>
      </c>
      <c r="Q519" s="16"/>
      <c r="R519" s="18" t="s">
        <v>79</v>
      </c>
      <c r="S519" s="19"/>
      <c r="T519" s="12" t="str">
        <f aca="false">IF(R519="維持",J519,IF(R519="排除","無關新聞事件",IFERROR(INDEX(事件規則!$B$2:$B$53,MATCH(S519,事件規則!$A$2:$A$53,0)),"")))</f>
        <v>無關新聞事件</v>
      </c>
      <c r="U519" s="20" t="n">
        <f aca="false">IF(R519="維持",K519,IF(R519="排除",0,IFERROR(INDEX(事件規則!$C$2:$C$53,MATCH(S519,事件規則!$A$2:$A$53,0)),"")))</f>
        <v>0</v>
      </c>
      <c r="V519" s="21"/>
      <c r="W519" s="22"/>
      <c r="X519" s="10" t="str">
        <f aca="false">IF(AND(R519="修改",S519=""),"請選新事件代碼",IF(AND(R519&lt;&gt;"修改",S519&lt;&gt;""),"只有「修改」才需填代碼",""))</f>
        <v/>
      </c>
      <c r="Y519" s="21"/>
      <c r="Z519" s="22"/>
      <c r="AA519" s="23" t="s">
        <v>1734</v>
      </c>
      <c r="AB519" s="13"/>
    </row>
    <row r="520" customFormat="false" ht="44" hidden="false" customHeight="false" outlineLevel="0" collapsed="false">
      <c r="A520" s="16" t="n">
        <v>519</v>
      </c>
      <c r="B520" s="9" t="s">
        <v>45</v>
      </c>
      <c r="C520" s="9" t="s">
        <v>534</v>
      </c>
      <c r="D520" s="10" t="s">
        <v>535</v>
      </c>
      <c r="E520" s="24" t="s">
        <v>1735</v>
      </c>
      <c r="F520" s="12"/>
      <c r="G520" s="23" t="s">
        <v>1435</v>
      </c>
      <c r="H520" s="14" t="n">
        <v>-0.865</v>
      </c>
      <c r="I520" s="15"/>
      <c r="J520" s="12"/>
      <c r="K520" s="9"/>
      <c r="L520" s="16" t="s">
        <v>51</v>
      </c>
      <c r="M520" s="17" t="s">
        <v>79</v>
      </c>
      <c r="N520" s="15"/>
      <c r="O520" s="16" t="s">
        <v>54</v>
      </c>
      <c r="P520" s="12" t="s">
        <v>1625</v>
      </c>
      <c r="Q520" s="16"/>
      <c r="R520" s="18" t="s">
        <v>79</v>
      </c>
      <c r="S520" s="19"/>
      <c r="T520" s="12" t="str">
        <f aca="false">IF(R520="維持",J520,IF(R520="排除","無關新聞事件",IFERROR(INDEX(事件規則!$B$2:$B$53,MATCH(S520,事件規則!$A$2:$A$53,0)),"")))</f>
        <v>無關新聞事件</v>
      </c>
      <c r="U520" s="20" t="n">
        <f aca="false">IF(R520="維持",K520,IF(R520="排除",0,IFERROR(INDEX(事件規則!$C$2:$C$53,MATCH(S520,事件規則!$A$2:$A$53,0)),"")))</f>
        <v>0</v>
      </c>
      <c r="V520" s="21"/>
      <c r="W520" s="22"/>
      <c r="X520" s="10" t="str">
        <f aca="false">IF(AND(R520="修改",S520=""),"請選新事件代碼",IF(AND(R520&lt;&gt;"修改",S520&lt;&gt;""),"只有「修改」才需填代碼",""))</f>
        <v/>
      </c>
      <c r="Y520" s="21"/>
      <c r="Z520" s="22"/>
      <c r="AA520" s="23" t="s">
        <v>1736</v>
      </c>
      <c r="AB520" s="13"/>
    </row>
    <row r="521" customFormat="false" ht="44" hidden="false" customHeight="false" outlineLevel="0" collapsed="false">
      <c r="A521" s="16" t="n">
        <v>520</v>
      </c>
      <c r="B521" s="9" t="s">
        <v>65</v>
      </c>
      <c r="C521" s="9" t="s">
        <v>1737</v>
      </c>
      <c r="D521" s="10" t="s">
        <v>1738</v>
      </c>
      <c r="E521" s="24" t="s">
        <v>1739</v>
      </c>
      <c r="F521" s="12"/>
      <c r="G521" s="23" t="s">
        <v>999</v>
      </c>
      <c r="H521" s="14" t="n">
        <v>-0.865</v>
      </c>
      <c r="I521" s="15"/>
      <c r="J521" s="12"/>
      <c r="K521" s="9"/>
      <c r="L521" s="16" t="s">
        <v>51</v>
      </c>
      <c r="M521" s="17" t="s">
        <v>79</v>
      </c>
      <c r="N521" s="15"/>
      <c r="O521" s="16" t="s">
        <v>54</v>
      </c>
      <c r="P521" s="12" t="s">
        <v>1625</v>
      </c>
      <c r="Q521" s="16"/>
      <c r="R521" s="18" t="s">
        <v>79</v>
      </c>
      <c r="S521" s="19"/>
      <c r="T521" s="12" t="str">
        <f aca="false">IF(R521="維持",J521,IF(R521="排除","無關新聞事件",IFERROR(INDEX(事件規則!$B$2:$B$53,MATCH(S521,事件規則!$A$2:$A$53,0)),"")))</f>
        <v>無關新聞事件</v>
      </c>
      <c r="U521" s="20" t="n">
        <f aca="false">IF(R521="維持",K521,IF(R521="排除",0,IFERROR(INDEX(事件規則!$C$2:$C$53,MATCH(S521,事件規則!$A$2:$A$53,0)),"")))</f>
        <v>0</v>
      </c>
      <c r="V521" s="21"/>
      <c r="W521" s="22"/>
      <c r="X521" s="10" t="str">
        <f aca="false">IF(AND(R521="修改",S521=""),"請選新事件代碼",IF(AND(R521&lt;&gt;"修改",S521&lt;&gt;""),"只有「修改」才需填代碼",""))</f>
        <v/>
      </c>
      <c r="Y521" s="21"/>
      <c r="Z521" s="22"/>
      <c r="AA521" s="23" t="s">
        <v>1740</v>
      </c>
      <c r="AB521" s="13"/>
    </row>
    <row r="522" customFormat="false" ht="44" hidden="false" customHeight="false" outlineLevel="0" collapsed="false">
      <c r="A522" s="16" t="n">
        <v>521</v>
      </c>
      <c r="B522" s="9" t="s">
        <v>65</v>
      </c>
      <c r="C522" s="9" t="s">
        <v>862</v>
      </c>
      <c r="D522" s="10" t="s">
        <v>863</v>
      </c>
      <c r="E522" s="24" t="s">
        <v>1741</v>
      </c>
      <c r="F522" s="12"/>
      <c r="G522" s="23" t="s">
        <v>1742</v>
      </c>
      <c r="H522" s="14" t="n">
        <v>-0.864</v>
      </c>
      <c r="I522" s="15"/>
      <c r="J522" s="12"/>
      <c r="K522" s="9"/>
      <c r="L522" s="16" t="s">
        <v>51</v>
      </c>
      <c r="M522" s="17" t="s">
        <v>79</v>
      </c>
      <c r="N522" s="15"/>
      <c r="O522" s="16" t="s">
        <v>54</v>
      </c>
      <c r="P522" s="12" t="s">
        <v>1625</v>
      </c>
      <c r="Q522" s="16"/>
      <c r="R522" s="18" t="s">
        <v>79</v>
      </c>
      <c r="S522" s="19"/>
      <c r="T522" s="12" t="str">
        <f aca="false">IF(R522="維持",J522,IF(R522="排除","無關新聞事件",IFERROR(INDEX(事件規則!$B$2:$B$53,MATCH(S522,事件規則!$A$2:$A$53,0)),"")))</f>
        <v>無關新聞事件</v>
      </c>
      <c r="U522" s="20" t="n">
        <f aca="false">IF(R522="維持",K522,IF(R522="排除",0,IFERROR(INDEX(事件規則!$C$2:$C$53,MATCH(S522,事件規則!$A$2:$A$53,0)),"")))</f>
        <v>0</v>
      </c>
      <c r="V522" s="21"/>
      <c r="W522" s="22"/>
      <c r="X522" s="10" t="str">
        <f aca="false">IF(AND(R522="修改",S522=""),"請選新事件代碼",IF(AND(R522&lt;&gt;"修改",S522&lt;&gt;""),"只有「修改」才需填代碼",""))</f>
        <v/>
      </c>
      <c r="Y522" s="21"/>
      <c r="Z522" s="22"/>
      <c r="AA522" s="23" t="s">
        <v>1743</v>
      </c>
      <c r="AB522" s="13"/>
    </row>
    <row r="523" customFormat="false" ht="44" hidden="false" customHeight="false" outlineLevel="0" collapsed="false">
      <c r="A523" s="16" t="n">
        <v>522</v>
      </c>
      <c r="B523" s="9" t="s">
        <v>65</v>
      </c>
      <c r="C523" s="9" t="s">
        <v>267</v>
      </c>
      <c r="D523" s="10" t="s">
        <v>268</v>
      </c>
      <c r="E523" s="24" t="s">
        <v>1744</v>
      </c>
      <c r="F523" s="12"/>
      <c r="G523" s="23" t="s">
        <v>999</v>
      </c>
      <c r="H523" s="14" t="n">
        <v>-0.864</v>
      </c>
      <c r="I523" s="15"/>
      <c r="J523" s="12"/>
      <c r="K523" s="9"/>
      <c r="L523" s="16" t="s">
        <v>51</v>
      </c>
      <c r="M523" s="17" t="s">
        <v>79</v>
      </c>
      <c r="N523" s="15"/>
      <c r="O523" s="16" t="s">
        <v>54</v>
      </c>
      <c r="P523" s="12" t="s">
        <v>1625</v>
      </c>
      <c r="Q523" s="16"/>
      <c r="R523" s="18" t="s">
        <v>79</v>
      </c>
      <c r="S523" s="19"/>
      <c r="T523" s="12" t="str">
        <f aca="false">IF(R523="維持",J523,IF(R523="排除","無關新聞事件",IFERROR(INDEX(事件規則!$B$2:$B$53,MATCH(S523,事件規則!$A$2:$A$53,0)),"")))</f>
        <v>無關新聞事件</v>
      </c>
      <c r="U523" s="20" t="n">
        <f aca="false">IF(R523="維持",K523,IF(R523="排除",0,IFERROR(INDEX(事件規則!$C$2:$C$53,MATCH(S523,事件規則!$A$2:$A$53,0)),"")))</f>
        <v>0</v>
      </c>
      <c r="V523" s="21"/>
      <c r="W523" s="22"/>
      <c r="X523" s="10" t="str">
        <f aca="false">IF(AND(R523="修改",S523=""),"請選新事件代碼",IF(AND(R523&lt;&gt;"修改",S523&lt;&gt;""),"只有「修改」才需填代碼",""))</f>
        <v/>
      </c>
      <c r="Y523" s="21"/>
      <c r="Z523" s="22"/>
      <c r="AA523" s="23" t="s">
        <v>1745</v>
      </c>
      <c r="AB523" s="13"/>
    </row>
    <row r="524" customFormat="false" ht="44" hidden="false" customHeight="false" outlineLevel="0" collapsed="false">
      <c r="A524" s="16" t="n">
        <v>523</v>
      </c>
      <c r="B524" s="9" t="s">
        <v>65</v>
      </c>
      <c r="C524" s="9" t="s">
        <v>1190</v>
      </c>
      <c r="D524" s="10" t="s">
        <v>1191</v>
      </c>
      <c r="E524" s="24" t="s">
        <v>1746</v>
      </c>
      <c r="F524" s="12"/>
      <c r="G524" s="23" t="s">
        <v>335</v>
      </c>
      <c r="H524" s="14" t="n">
        <v>-0.864</v>
      </c>
      <c r="I524" s="15"/>
      <c r="J524" s="12"/>
      <c r="K524" s="9"/>
      <c r="L524" s="16" t="s">
        <v>51</v>
      </c>
      <c r="M524" s="17" t="s">
        <v>79</v>
      </c>
      <c r="N524" s="15"/>
      <c r="O524" s="16" t="s">
        <v>54</v>
      </c>
      <c r="P524" s="12" t="s">
        <v>1625</v>
      </c>
      <c r="Q524" s="16"/>
      <c r="R524" s="18" t="s">
        <v>79</v>
      </c>
      <c r="S524" s="19"/>
      <c r="T524" s="12" t="str">
        <f aca="false">IF(R524="維持",J524,IF(R524="排除","無關新聞事件",IFERROR(INDEX(事件規則!$B$2:$B$53,MATCH(S524,事件規則!$A$2:$A$53,0)),"")))</f>
        <v>無關新聞事件</v>
      </c>
      <c r="U524" s="20" t="n">
        <f aca="false">IF(R524="維持",K524,IF(R524="排除",0,IFERROR(INDEX(事件規則!$C$2:$C$53,MATCH(S524,事件規則!$A$2:$A$53,0)),"")))</f>
        <v>0</v>
      </c>
      <c r="V524" s="21"/>
      <c r="W524" s="22"/>
      <c r="X524" s="10" t="str">
        <f aca="false">IF(AND(R524="修改",S524=""),"請選新事件代碼",IF(AND(R524&lt;&gt;"修改",S524&lt;&gt;""),"只有「修改」才需填代碼",""))</f>
        <v/>
      </c>
      <c r="Y524" s="21"/>
      <c r="Z524" s="22"/>
      <c r="AA524" s="23" t="s">
        <v>1747</v>
      </c>
      <c r="AB524" s="13"/>
    </row>
    <row r="525" customFormat="false" ht="44" hidden="false" customHeight="false" outlineLevel="0" collapsed="false">
      <c r="A525" s="16" t="n">
        <v>524</v>
      </c>
      <c r="B525" s="9" t="s">
        <v>65</v>
      </c>
      <c r="C525" s="9" t="s">
        <v>410</v>
      </c>
      <c r="D525" s="10" t="s">
        <v>411</v>
      </c>
      <c r="E525" s="24" t="s">
        <v>1748</v>
      </c>
      <c r="F525" s="12"/>
      <c r="G525" s="23" t="s">
        <v>1749</v>
      </c>
      <c r="H525" s="14" t="n">
        <v>-0.864</v>
      </c>
      <c r="I525" s="15"/>
      <c r="J525" s="12"/>
      <c r="K525" s="9"/>
      <c r="L525" s="16" t="s">
        <v>51</v>
      </c>
      <c r="M525" s="17" t="s">
        <v>79</v>
      </c>
      <c r="N525" s="15"/>
      <c r="O525" s="16" t="s">
        <v>54</v>
      </c>
      <c r="P525" s="12" t="s">
        <v>1625</v>
      </c>
      <c r="Q525" s="16"/>
      <c r="R525" s="18" t="s">
        <v>79</v>
      </c>
      <c r="S525" s="19"/>
      <c r="T525" s="12" t="str">
        <f aca="false">IF(R525="維持",J525,IF(R525="排除","無關新聞事件",IFERROR(INDEX(事件規則!$B$2:$B$53,MATCH(S525,事件規則!$A$2:$A$53,0)),"")))</f>
        <v>無關新聞事件</v>
      </c>
      <c r="U525" s="20" t="n">
        <f aca="false">IF(R525="維持",K525,IF(R525="排除",0,IFERROR(INDEX(事件規則!$C$2:$C$53,MATCH(S525,事件規則!$A$2:$A$53,0)),"")))</f>
        <v>0</v>
      </c>
      <c r="V525" s="21"/>
      <c r="W525" s="22"/>
      <c r="X525" s="10" t="str">
        <f aca="false">IF(AND(R525="修改",S525=""),"請選新事件代碼",IF(AND(R525&lt;&gt;"修改",S525&lt;&gt;""),"只有「修改」才需填代碼",""))</f>
        <v/>
      </c>
      <c r="Y525" s="21"/>
      <c r="Z525" s="22"/>
      <c r="AA525" s="23" t="s">
        <v>1750</v>
      </c>
      <c r="AB525" s="13"/>
    </row>
    <row r="526" customFormat="false" ht="44" hidden="false" customHeight="false" outlineLevel="0" collapsed="false">
      <c r="A526" s="16" t="n">
        <v>525</v>
      </c>
      <c r="B526" s="9" t="s">
        <v>45</v>
      </c>
      <c r="C526" s="9" t="s">
        <v>564</v>
      </c>
      <c r="D526" s="10" t="s">
        <v>565</v>
      </c>
      <c r="E526" s="24" t="s">
        <v>1751</v>
      </c>
      <c r="F526" s="12"/>
      <c r="G526" s="23" t="s">
        <v>1752</v>
      </c>
      <c r="H526" s="14" t="n">
        <v>-0.862</v>
      </c>
      <c r="I526" s="15"/>
      <c r="J526" s="12"/>
      <c r="K526" s="9"/>
      <c r="L526" s="16" t="s">
        <v>51</v>
      </c>
      <c r="M526" s="17" t="s">
        <v>79</v>
      </c>
      <c r="N526" s="15"/>
      <c r="O526" s="16" t="s">
        <v>54</v>
      </c>
      <c r="P526" s="12" t="s">
        <v>1625</v>
      </c>
      <c r="Q526" s="16"/>
      <c r="R526" s="18" t="s">
        <v>79</v>
      </c>
      <c r="S526" s="19"/>
      <c r="T526" s="12" t="str">
        <f aca="false">IF(R526="維持",J526,IF(R526="排除","無關新聞事件",IFERROR(INDEX(事件規則!$B$2:$B$53,MATCH(S526,事件規則!$A$2:$A$53,0)),"")))</f>
        <v>無關新聞事件</v>
      </c>
      <c r="U526" s="20" t="n">
        <f aca="false">IF(R526="維持",K526,IF(R526="排除",0,IFERROR(INDEX(事件規則!$C$2:$C$53,MATCH(S526,事件規則!$A$2:$A$53,0)),"")))</f>
        <v>0</v>
      </c>
      <c r="V526" s="21"/>
      <c r="W526" s="22"/>
      <c r="X526" s="10" t="str">
        <f aca="false">IF(AND(R526="修改",S526=""),"請選新事件代碼",IF(AND(R526&lt;&gt;"修改",S526&lt;&gt;""),"只有「修改」才需填代碼",""))</f>
        <v/>
      </c>
      <c r="Y526" s="21"/>
      <c r="Z526" s="22"/>
      <c r="AA526" s="23" t="s">
        <v>1753</v>
      </c>
      <c r="AB526" s="13"/>
    </row>
    <row r="527" customFormat="false" ht="44" hidden="false" customHeight="false" outlineLevel="0" collapsed="false">
      <c r="A527" s="16" t="n">
        <v>526</v>
      </c>
      <c r="B527" s="9" t="s">
        <v>386</v>
      </c>
      <c r="C527" s="9" t="s">
        <v>768</v>
      </c>
      <c r="D527" s="10" t="s">
        <v>769</v>
      </c>
      <c r="E527" s="24" t="s">
        <v>1754</v>
      </c>
      <c r="F527" s="12"/>
      <c r="G527" s="23" t="s">
        <v>1755</v>
      </c>
      <c r="H527" s="14" t="n">
        <v>-0.862</v>
      </c>
      <c r="I527" s="15"/>
      <c r="J527" s="12"/>
      <c r="K527" s="9"/>
      <c r="L527" s="16" t="s">
        <v>51</v>
      </c>
      <c r="M527" s="17" t="s">
        <v>79</v>
      </c>
      <c r="N527" s="15"/>
      <c r="O527" s="16" t="s">
        <v>54</v>
      </c>
      <c r="P527" s="12" t="s">
        <v>1625</v>
      </c>
      <c r="Q527" s="16"/>
      <c r="R527" s="18" t="s">
        <v>79</v>
      </c>
      <c r="S527" s="19"/>
      <c r="T527" s="12" t="str">
        <f aca="false">IF(R527="維持",J527,IF(R527="排除","無關新聞事件",IFERROR(INDEX(事件規則!$B$2:$B$53,MATCH(S527,事件規則!$A$2:$A$53,0)),"")))</f>
        <v>無關新聞事件</v>
      </c>
      <c r="U527" s="20" t="n">
        <f aca="false">IF(R527="維持",K527,IF(R527="排除",0,IFERROR(INDEX(事件規則!$C$2:$C$53,MATCH(S527,事件規則!$A$2:$A$53,0)),"")))</f>
        <v>0</v>
      </c>
      <c r="V527" s="21"/>
      <c r="W527" s="22"/>
      <c r="X527" s="10" t="str">
        <f aca="false">IF(AND(R527="修改",S527=""),"請選新事件代碼",IF(AND(R527&lt;&gt;"修改",S527&lt;&gt;""),"只有「修改」才需填代碼",""))</f>
        <v/>
      </c>
      <c r="Y527" s="21"/>
      <c r="Z527" s="22"/>
      <c r="AA527" s="23" t="s">
        <v>1756</v>
      </c>
      <c r="AB527" s="13"/>
    </row>
    <row r="528" customFormat="false" ht="44" hidden="false" customHeight="false" outlineLevel="0" collapsed="false">
      <c r="A528" s="16" t="n">
        <v>527</v>
      </c>
      <c r="B528" s="9" t="s">
        <v>386</v>
      </c>
      <c r="C528" s="9" t="s">
        <v>854</v>
      </c>
      <c r="D528" s="10" t="s">
        <v>855</v>
      </c>
      <c r="E528" s="24" t="s">
        <v>1757</v>
      </c>
      <c r="F528" s="12"/>
      <c r="G528" s="23" t="s">
        <v>774</v>
      </c>
      <c r="H528" s="14" t="n">
        <v>-0.862</v>
      </c>
      <c r="I528" s="15"/>
      <c r="J528" s="12"/>
      <c r="K528" s="9"/>
      <c r="L528" s="16" t="s">
        <v>51</v>
      </c>
      <c r="M528" s="17" t="s">
        <v>79</v>
      </c>
      <c r="N528" s="15"/>
      <c r="O528" s="16" t="s">
        <v>54</v>
      </c>
      <c r="P528" s="12" t="s">
        <v>1625</v>
      </c>
      <c r="Q528" s="16"/>
      <c r="R528" s="18" t="s">
        <v>79</v>
      </c>
      <c r="S528" s="19"/>
      <c r="T528" s="12" t="str">
        <f aca="false">IF(R528="維持",J528,IF(R528="排除","無關新聞事件",IFERROR(INDEX(事件規則!$B$2:$B$53,MATCH(S528,事件規則!$A$2:$A$53,0)),"")))</f>
        <v>無關新聞事件</v>
      </c>
      <c r="U528" s="20" t="n">
        <f aca="false">IF(R528="維持",K528,IF(R528="排除",0,IFERROR(INDEX(事件規則!$C$2:$C$53,MATCH(S528,事件規則!$A$2:$A$53,0)),"")))</f>
        <v>0</v>
      </c>
      <c r="V528" s="21"/>
      <c r="W528" s="22"/>
      <c r="X528" s="10" t="str">
        <f aca="false">IF(AND(R528="修改",S528=""),"請選新事件代碼",IF(AND(R528&lt;&gt;"修改",S528&lt;&gt;""),"只有「修改」才需填代碼",""))</f>
        <v/>
      </c>
      <c r="Y528" s="21"/>
      <c r="Z528" s="22"/>
      <c r="AA528" s="23" t="s">
        <v>1758</v>
      </c>
      <c r="AB528" s="13"/>
    </row>
    <row r="529" customFormat="false" ht="44" hidden="false" customHeight="false" outlineLevel="0" collapsed="false">
      <c r="A529" s="16" t="n">
        <v>528</v>
      </c>
      <c r="B529" s="9" t="s">
        <v>65</v>
      </c>
      <c r="C529" s="9" t="s">
        <v>564</v>
      </c>
      <c r="D529" s="10" t="s">
        <v>565</v>
      </c>
      <c r="E529" s="24" t="s">
        <v>1759</v>
      </c>
      <c r="F529" s="12"/>
      <c r="G529" s="23" t="s">
        <v>1760</v>
      </c>
      <c r="H529" s="14" t="n">
        <v>-0.862</v>
      </c>
      <c r="I529" s="15"/>
      <c r="J529" s="12"/>
      <c r="K529" s="9"/>
      <c r="L529" s="16" t="s">
        <v>51</v>
      </c>
      <c r="M529" s="17" t="s">
        <v>79</v>
      </c>
      <c r="N529" s="15"/>
      <c r="O529" s="16" t="s">
        <v>54</v>
      </c>
      <c r="P529" s="12" t="s">
        <v>1625</v>
      </c>
      <c r="Q529" s="16"/>
      <c r="R529" s="18" t="s">
        <v>79</v>
      </c>
      <c r="S529" s="19"/>
      <c r="T529" s="12" t="str">
        <f aca="false">IF(R529="維持",J529,IF(R529="排除","無關新聞事件",IFERROR(INDEX(事件規則!$B$2:$B$53,MATCH(S529,事件規則!$A$2:$A$53,0)),"")))</f>
        <v>無關新聞事件</v>
      </c>
      <c r="U529" s="20" t="n">
        <f aca="false">IF(R529="維持",K529,IF(R529="排除",0,IFERROR(INDEX(事件規則!$C$2:$C$53,MATCH(S529,事件規則!$A$2:$A$53,0)),"")))</f>
        <v>0</v>
      </c>
      <c r="V529" s="21"/>
      <c r="W529" s="22"/>
      <c r="X529" s="10" t="str">
        <f aca="false">IF(AND(R529="修改",S529=""),"請選新事件代碼",IF(AND(R529&lt;&gt;"修改",S529&lt;&gt;""),"只有「修改」才需填代碼",""))</f>
        <v/>
      </c>
      <c r="Y529" s="21"/>
      <c r="Z529" s="22"/>
      <c r="AA529" s="23" t="s">
        <v>1761</v>
      </c>
      <c r="AB529" s="13"/>
    </row>
    <row r="530" customFormat="false" ht="15" hidden="false" customHeight="false" outlineLevel="0" collapsed="false">
      <c r="A530" s="16" t="n">
        <v>529</v>
      </c>
      <c r="B530" s="9" t="s">
        <v>65</v>
      </c>
      <c r="C530" s="9" t="s">
        <v>353</v>
      </c>
      <c r="D530" s="10" t="s">
        <v>354</v>
      </c>
      <c r="E530" s="24" t="s">
        <v>1762</v>
      </c>
      <c r="F530" s="12"/>
      <c r="G530" s="23" t="s">
        <v>1763</v>
      </c>
      <c r="H530" s="14" t="n">
        <v>-0.862</v>
      </c>
      <c r="I530" s="15"/>
      <c r="J530" s="12"/>
      <c r="K530" s="9"/>
      <c r="L530" s="16" t="s">
        <v>51</v>
      </c>
      <c r="M530" s="17" t="s">
        <v>52</v>
      </c>
      <c r="N530" s="15" t="s">
        <v>357</v>
      </c>
      <c r="O530" s="16" t="s">
        <v>62</v>
      </c>
      <c r="P530" s="10" t="s">
        <v>1764</v>
      </c>
      <c r="Q530" s="16"/>
      <c r="R530" s="18" t="s">
        <v>52</v>
      </c>
      <c r="S530" s="19" t="s">
        <v>357</v>
      </c>
      <c r="T530" s="12" t="str">
        <f aca="false">IF(R530="維持",J530,IF(R530="排除","無關新聞事件",IFERROR(INDEX(事件規則!$B$2:$B$53,MATCH(S530,事件規則!$A$2:$A$53,0)),"")))</f>
        <v>資料外洩</v>
      </c>
      <c r="U530" s="20" t="n">
        <f aca="false">IF(R530="維持",K530,IF(R530="排除",0,IFERROR(INDEX(事件規則!$C$2:$C$53,MATCH(S530,事件規則!$A$2:$A$53,0)),"")))</f>
        <v>3</v>
      </c>
      <c r="V530" s="21"/>
      <c r="W530" s="22"/>
      <c r="X530" s="10" t="str">
        <f aca="false">IF(AND(R530="修改",S530=""),"請選新事件代碼",IF(AND(R530&lt;&gt;"修改",S530&lt;&gt;""),"只有「修改」才需填代碼",""))</f>
        <v/>
      </c>
      <c r="Y530" s="21"/>
      <c r="Z530" s="22"/>
      <c r="AA530" s="23" t="s">
        <v>1765</v>
      </c>
      <c r="AB530" s="13"/>
    </row>
    <row r="531" customFormat="false" ht="44" hidden="false" customHeight="false" outlineLevel="0" collapsed="false">
      <c r="A531" s="16" t="n">
        <v>530</v>
      </c>
      <c r="B531" s="9" t="s">
        <v>331</v>
      </c>
      <c r="C531" s="9" t="s">
        <v>456</v>
      </c>
      <c r="D531" s="10" t="s">
        <v>457</v>
      </c>
      <c r="E531" s="24" t="s">
        <v>1766</v>
      </c>
      <c r="F531" s="12"/>
      <c r="G531" s="23" t="s">
        <v>1767</v>
      </c>
      <c r="H531" s="14" t="n">
        <v>-0.861</v>
      </c>
      <c r="I531" s="15"/>
      <c r="J531" s="12"/>
      <c r="K531" s="9"/>
      <c r="L531" s="16" t="s">
        <v>51</v>
      </c>
      <c r="M531" s="17" t="s">
        <v>79</v>
      </c>
      <c r="N531" s="15"/>
      <c r="O531" s="16" t="s">
        <v>54</v>
      </c>
      <c r="P531" s="12" t="s">
        <v>1625</v>
      </c>
      <c r="Q531" s="16"/>
      <c r="R531" s="18" t="s">
        <v>79</v>
      </c>
      <c r="S531" s="19"/>
      <c r="T531" s="12" t="str">
        <f aca="false">IF(R531="維持",J531,IF(R531="排除","無關新聞事件",IFERROR(INDEX(事件規則!$B$2:$B$53,MATCH(S531,事件規則!$A$2:$A$53,0)),"")))</f>
        <v>無關新聞事件</v>
      </c>
      <c r="U531" s="20" t="n">
        <f aca="false">IF(R531="維持",K531,IF(R531="排除",0,IFERROR(INDEX(事件規則!$C$2:$C$53,MATCH(S531,事件規則!$A$2:$A$53,0)),"")))</f>
        <v>0</v>
      </c>
      <c r="V531" s="21"/>
      <c r="W531" s="22"/>
      <c r="X531" s="10" t="str">
        <f aca="false">IF(AND(R531="修改",S531=""),"請選新事件代碼",IF(AND(R531&lt;&gt;"修改",S531&lt;&gt;""),"只有「修改」才需填代碼",""))</f>
        <v/>
      </c>
      <c r="Y531" s="21"/>
      <c r="Z531" s="22"/>
      <c r="AA531" s="23" t="s">
        <v>1768</v>
      </c>
      <c r="AB531" s="13"/>
    </row>
    <row r="532" customFormat="false" ht="15" hidden="false" customHeight="false" outlineLevel="0" collapsed="false">
      <c r="A532" s="16" t="n">
        <v>531</v>
      </c>
      <c r="B532" s="9" t="s">
        <v>65</v>
      </c>
      <c r="C532" s="9" t="s">
        <v>46</v>
      </c>
      <c r="D532" s="10" t="s">
        <v>47</v>
      </c>
      <c r="E532" s="24" t="s">
        <v>1769</v>
      </c>
      <c r="F532" s="12"/>
      <c r="G532" s="23" t="s">
        <v>329</v>
      </c>
      <c r="H532" s="14" t="n">
        <v>-0.861</v>
      </c>
      <c r="I532" s="15"/>
      <c r="J532" s="12"/>
      <c r="K532" s="9"/>
      <c r="L532" s="16" t="s">
        <v>51</v>
      </c>
      <c r="M532" s="17" t="s">
        <v>52</v>
      </c>
      <c r="N532" s="15" t="s">
        <v>53</v>
      </c>
      <c r="O532" s="16" t="s">
        <v>54</v>
      </c>
      <c r="P532" s="10" t="s">
        <v>926</v>
      </c>
      <c r="Q532" s="16"/>
      <c r="R532" s="18" t="s">
        <v>52</v>
      </c>
      <c r="S532" s="19" t="s">
        <v>53</v>
      </c>
      <c r="T532" s="12" t="str">
        <f aca="false">IF(R532="維持",J532,IF(R532="排除","無關新聞事件",IFERROR(INDEX(事件規則!$B$2:$B$53,MATCH(S532,事件規則!$A$2:$A$53,0)),"")))</f>
        <v>股價下跌</v>
      </c>
      <c r="U532" s="20" t="n">
        <f aca="false">IF(R532="維持",K532,IF(R532="排除",0,IFERROR(INDEX(事件規則!$C$2:$C$53,MATCH(S532,事件規則!$A$2:$A$53,0)),"")))</f>
        <v>1</v>
      </c>
      <c r="V532" s="21"/>
      <c r="W532" s="22"/>
      <c r="X532" s="10" t="str">
        <f aca="false">IF(AND(R532="修改",S532=""),"請選新事件代碼",IF(AND(R532&lt;&gt;"修改",S532&lt;&gt;""),"只有「修改」才需填代碼",""))</f>
        <v/>
      </c>
      <c r="Y532" s="21"/>
      <c r="Z532" s="22"/>
      <c r="AA532" s="23" t="s">
        <v>1770</v>
      </c>
      <c r="AB532" s="13"/>
    </row>
    <row r="533" customFormat="false" ht="44" hidden="false" customHeight="false" outlineLevel="0" collapsed="false">
      <c r="A533" s="16" t="n">
        <v>532</v>
      </c>
      <c r="B533" s="9" t="s">
        <v>65</v>
      </c>
      <c r="C533" s="9" t="s">
        <v>1325</v>
      </c>
      <c r="D533" s="10" t="s">
        <v>1326</v>
      </c>
      <c r="E533" s="24" t="s">
        <v>1771</v>
      </c>
      <c r="F533" s="12"/>
      <c r="G533" s="23" t="s">
        <v>631</v>
      </c>
      <c r="H533" s="14" t="n">
        <v>-0.861</v>
      </c>
      <c r="I533" s="15"/>
      <c r="J533" s="12"/>
      <c r="K533" s="9"/>
      <c r="L533" s="16" t="s">
        <v>51</v>
      </c>
      <c r="M533" s="17" t="s">
        <v>79</v>
      </c>
      <c r="N533" s="15"/>
      <c r="O533" s="16" t="s">
        <v>54</v>
      </c>
      <c r="P533" s="12" t="s">
        <v>1625</v>
      </c>
      <c r="Q533" s="16"/>
      <c r="R533" s="18" t="s">
        <v>79</v>
      </c>
      <c r="S533" s="19"/>
      <c r="T533" s="12" t="str">
        <f aca="false">IF(R533="維持",J533,IF(R533="排除","無關新聞事件",IFERROR(INDEX(事件規則!$B$2:$B$53,MATCH(S533,事件規則!$A$2:$A$53,0)),"")))</f>
        <v>無關新聞事件</v>
      </c>
      <c r="U533" s="20" t="n">
        <f aca="false">IF(R533="維持",K533,IF(R533="排除",0,IFERROR(INDEX(事件規則!$C$2:$C$53,MATCH(S533,事件規則!$A$2:$A$53,0)),"")))</f>
        <v>0</v>
      </c>
      <c r="V533" s="21"/>
      <c r="W533" s="22"/>
      <c r="X533" s="10" t="str">
        <f aca="false">IF(AND(R533="修改",S533=""),"請選新事件代碼",IF(AND(R533&lt;&gt;"修改",S533&lt;&gt;""),"只有「修改」才需填代碼",""))</f>
        <v/>
      </c>
      <c r="Y533" s="21"/>
      <c r="Z533" s="22"/>
      <c r="AA533" s="23" t="s">
        <v>1772</v>
      </c>
      <c r="AB533" s="13"/>
    </row>
    <row r="534" customFormat="false" ht="44" hidden="false" customHeight="false" outlineLevel="0" collapsed="false">
      <c r="A534" s="16" t="n">
        <v>533</v>
      </c>
      <c r="B534" s="9" t="s">
        <v>45</v>
      </c>
      <c r="C534" s="9" t="s">
        <v>149</v>
      </c>
      <c r="D534" s="10" t="s">
        <v>150</v>
      </c>
      <c r="E534" s="24" t="s">
        <v>1773</v>
      </c>
      <c r="F534" s="12"/>
      <c r="G534" s="23" t="s">
        <v>1774</v>
      </c>
      <c r="H534" s="14" t="n">
        <v>-0.861</v>
      </c>
      <c r="I534" s="15"/>
      <c r="J534" s="12"/>
      <c r="K534" s="9"/>
      <c r="L534" s="16" t="s">
        <v>51</v>
      </c>
      <c r="M534" s="17" t="s">
        <v>79</v>
      </c>
      <c r="N534" s="15"/>
      <c r="O534" s="16" t="s">
        <v>54</v>
      </c>
      <c r="P534" s="12" t="s">
        <v>1625</v>
      </c>
      <c r="Q534" s="16"/>
      <c r="R534" s="18" t="s">
        <v>79</v>
      </c>
      <c r="S534" s="19"/>
      <c r="T534" s="12" t="str">
        <f aca="false">IF(R534="維持",J534,IF(R534="排除","無關新聞事件",IFERROR(INDEX(事件規則!$B$2:$B$53,MATCH(S534,事件規則!$A$2:$A$53,0)),"")))</f>
        <v>無關新聞事件</v>
      </c>
      <c r="U534" s="20" t="n">
        <f aca="false">IF(R534="維持",K534,IF(R534="排除",0,IFERROR(INDEX(事件規則!$C$2:$C$53,MATCH(S534,事件規則!$A$2:$A$53,0)),"")))</f>
        <v>0</v>
      </c>
      <c r="V534" s="21"/>
      <c r="W534" s="22"/>
      <c r="X534" s="10" t="str">
        <f aca="false">IF(AND(R534="修改",S534=""),"請選新事件代碼",IF(AND(R534&lt;&gt;"修改",S534&lt;&gt;""),"只有「修改」才需填代碼",""))</f>
        <v/>
      </c>
      <c r="Y534" s="21"/>
      <c r="Z534" s="22"/>
      <c r="AA534" s="23" t="s">
        <v>1775</v>
      </c>
      <c r="AB534" s="13"/>
    </row>
    <row r="535" customFormat="false" ht="44" hidden="false" customHeight="false" outlineLevel="0" collapsed="false">
      <c r="A535" s="16" t="n">
        <v>534</v>
      </c>
      <c r="B535" s="9" t="s">
        <v>386</v>
      </c>
      <c r="C535" s="9" t="s">
        <v>142</v>
      </c>
      <c r="D535" s="10" t="s">
        <v>143</v>
      </c>
      <c r="E535" s="24" t="s">
        <v>1776</v>
      </c>
      <c r="F535" s="12"/>
      <c r="G535" s="23" t="s">
        <v>1777</v>
      </c>
      <c r="H535" s="14" t="n">
        <v>-0.86</v>
      </c>
      <c r="I535" s="15"/>
      <c r="J535" s="12"/>
      <c r="K535" s="9"/>
      <c r="L535" s="16" t="s">
        <v>51</v>
      </c>
      <c r="M535" s="17" t="s">
        <v>79</v>
      </c>
      <c r="N535" s="15"/>
      <c r="O535" s="16" t="s">
        <v>54</v>
      </c>
      <c r="P535" s="12" t="s">
        <v>1625</v>
      </c>
      <c r="Q535" s="16"/>
      <c r="R535" s="18" t="s">
        <v>79</v>
      </c>
      <c r="S535" s="19"/>
      <c r="T535" s="12" t="str">
        <f aca="false">IF(R535="維持",J535,IF(R535="排除","無關新聞事件",IFERROR(INDEX(事件規則!$B$2:$B$53,MATCH(S535,事件規則!$A$2:$A$53,0)),"")))</f>
        <v>無關新聞事件</v>
      </c>
      <c r="U535" s="20" t="n">
        <f aca="false">IF(R535="維持",K535,IF(R535="排除",0,IFERROR(INDEX(事件規則!$C$2:$C$53,MATCH(S535,事件規則!$A$2:$A$53,0)),"")))</f>
        <v>0</v>
      </c>
      <c r="V535" s="21"/>
      <c r="W535" s="22"/>
      <c r="X535" s="10" t="str">
        <f aca="false">IF(AND(R535="修改",S535=""),"請選新事件代碼",IF(AND(R535&lt;&gt;"修改",S535&lt;&gt;""),"只有「修改」才需填代碼",""))</f>
        <v/>
      </c>
      <c r="Y535" s="21"/>
      <c r="Z535" s="22"/>
      <c r="AA535" s="23" t="s">
        <v>1778</v>
      </c>
      <c r="AB535" s="13"/>
    </row>
    <row r="536" customFormat="false" ht="15" hidden="false" customHeight="false" outlineLevel="0" collapsed="false">
      <c r="A536" s="16" t="n">
        <v>535</v>
      </c>
      <c r="B536" s="9" t="s">
        <v>65</v>
      </c>
      <c r="C536" s="9" t="s">
        <v>1779</v>
      </c>
      <c r="D536" s="10" t="s">
        <v>1780</v>
      </c>
      <c r="E536" s="24" t="s">
        <v>1781</v>
      </c>
      <c r="F536" s="12"/>
      <c r="G536" s="23" t="s">
        <v>1782</v>
      </c>
      <c r="H536" s="14" t="n">
        <v>-0.859</v>
      </c>
      <c r="I536" s="15"/>
      <c r="J536" s="12"/>
      <c r="K536" s="9"/>
      <c r="L536" s="16" t="s">
        <v>51</v>
      </c>
      <c r="M536" s="17" t="s">
        <v>52</v>
      </c>
      <c r="N536" s="15" t="s">
        <v>736</v>
      </c>
      <c r="O536" s="16" t="s">
        <v>54</v>
      </c>
      <c r="P536" s="10" t="s">
        <v>1783</v>
      </c>
      <c r="Q536" s="16"/>
      <c r="R536" s="18" t="s">
        <v>52</v>
      </c>
      <c r="S536" s="19" t="s">
        <v>736</v>
      </c>
      <c r="T536" s="12" t="str">
        <f aca="false">IF(R536="維持",J536,IF(R536="排除","無關新聞事件",IFERROR(INDEX(事件規則!$B$2:$B$53,MATCH(S536,事件規則!$A$2:$A$53,0)),"")))</f>
        <v>重大訴訟</v>
      </c>
      <c r="U536" s="20" t="n">
        <f aca="false">IF(R536="維持",K536,IF(R536="排除",0,IFERROR(INDEX(事件規則!$C$2:$C$53,MATCH(S536,事件規則!$A$2:$A$53,0)),"")))</f>
        <v>4</v>
      </c>
      <c r="V536" s="21"/>
      <c r="W536" s="22"/>
      <c r="X536" s="10" t="str">
        <f aca="false">IF(AND(R536="修改",S536=""),"請選新事件代碼",IF(AND(R536&lt;&gt;"修改",S536&lt;&gt;""),"只有「修改」才需填代碼",""))</f>
        <v/>
      </c>
      <c r="Y536" s="21"/>
      <c r="Z536" s="22"/>
      <c r="AA536" s="23" t="s">
        <v>1784</v>
      </c>
      <c r="AB536" s="13"/>
    </row>
    <row r="537" customFormat="false" ht="44" hidden="false" customHeight="false" outlineLevel="0" collapsed="false">
      <c r="A537" s="16" t="n">
        <v>536</v>
      </c>
      <c r="B537" s="9" t="s">
        <v>65</v>
      </c>
      <c r="C537" s="9" t="s">
        <v>456</v>
      </c>
      <c r="D537" s="10" t="s">
        <v>457</v>
      </c>
      <c r="E537" s="24" t="s">
        <v>1785</v>
      </c>
      <c r="F537" s="12"/>
      <c r="G537" s="23" t="s">
        <v>1786</v>
      </c>
      <c r="H537" s="14" t="n">
        <v>-0.859</v>
      </c>
      <c r="I537" s="15"/>
      <c r="J537" s="12"/>
      <c r="K537" s="9"/>
      <c r="L537" s="16" t="s">
        <v>51</v>
      </c>
      <c r="M537" s="17" t="s">
        <v>79</v>
      </c>
      <c r="N537" s="15"/>
      <c r="O537" s="16" t="s">
        <v>54</v>
      </c>
      <c r="P537" s="12" t="s">
        <v>1625</v>
      </c>
      <c r="Q537" s="16"/>
      <c r="R537" s="18" t="s">
        <v>79</v>
      </c>
      <c r="S537" s="19"/>
      <c r="T537" s="12" t="str">
        <f aca="false">IF(R537="維持",J537,IF(R537="排除","無關新聞事件",IFERROR(INDEX(事件規則!$B$2:$B$53,MATCH(S537,事件規則!$A$2:$A$53,0)),"")))</f>
        <v>無關新聞事件</v>
      </c>
      <c r="U537" s="20" t="n">
        <f aca="false">IF(R537="維持",K537,IF(R537="排除",0,IFERROR(INDEX(事件規則!$C$2:$C$53,MATCH(S537,事件規則!$A$2:$A$53,0)),"")))</f>
        <v>0</v>
      </c>
      <c r="V537" s="21"/>
      <c r="W537" s="22"/>
      <c r="X537" s="10" t="str">
        <f aca="false">IF(AND(R537="修改",S537=""),"請選新事件代碼",IF(AND(R537&lt;&gt;"修改",S537&lt;&gt;""),"只有「修改」才需填代碼",""))</f>
        <v/>
      </c>
      <c r="Y537" s="21"/>
      <c r="Z537" s="22"/>
      <c r="AA537" s="23" t="s">
        <v>1787</v>
      </c>
      <c r="AB537" s="13"/>
    </row>
    <row r="538" customFormat="false" ht="44" hidden="false" customHeight="false" outlineLevel="0" collapsed="false">
      <c r="A538" s="16" t="n">
        <v>537</v>
      </c>
      <c r="B538" s="9" t="s">
        <v>65</v>
      </c>
      <c r="C538" s="9" t="s">
        <v>132</v>
      </c>
      <c r="D538" s="10" t="s">
        <v>133</v>
      </c>
      <c r="E538" s="24" t="s">
        <v>1788</v>
      </c>
      <c r="F538" s="12"/>
      <c r="G538" s="23" t="s">
        <v>1789</v>
      </c>
      <c r="H538" s="14" t="n">
        <v>-0.858</v>
      </c>
      <c r="I538" s="15"/>
      <c r="J538" s="12"/>
      <c r="K538" s="9"/>
      <c r="L538" s="16" t="s">
        <v>51</v>
      </c>
      <c r="M538" s="17" t="s">
        <v>79</v>
      </c>
      <c r="N538" s="15"/>
      <c r="O538" s="16" t="s">
        <v>54</v>
      </c>
      <c r="P538" s="12" t="s">
        <v>1625</v>
      </c>
      <c r="Q538" s="16"/>
      <c r="R538" s="18" t="s">
        <v>79</v>
      </c>
      <c r="S538" s="19"/>
      <c r="T538" s="12" t="str">
        <f aca="false">IF(R538="維持",J538,IF(R538="排除","無關新聞事件",IFERROR(INDEX(事件規則!$B$2:$B$53,MATCH(S538,事件規則!$A$2:$A$53,0)),"")))</f>
        <v>無關新聞事件</v>
      </c>
      <c r="U538" s="20" t="n">
        <f aca="false">IF(R538="維持",K538,IF(R538="排除",0,IFERROR(INDEX(事件規則!$C$2:$C$53,MATCH(S538,事件規則!$A$2:$A$53,0)),"")))</f>
        <v>0</v>
      </c>
      <c r="V538" s="21"/>
      <c r="W538" s="22"/>
      <c r="X538" s="10" t="str">
        <f aca="false">IF(AND(R538="修改",S538=""),"請選新事件代碼",IF(AND(R538&lt;&gt;"修改",S538&lt;&gt;""),"只有「修改」才需填代碼",""))</f>
        <v/>
      </c>
      <c r="Y538" s="21"/>
      <c r="Z538" s="22"/>
      <c r="AA538" s="23" t="s">
        <v>1790</v>
      </c>
      <c r="AB538" s="13"/>
    </row>
    <row r="539" customFormat="false" ht="44" hidden="false" customHeight="false" outlineLevel="0" collapsed="false">
      <c r="A539" s="16" t="n">
        <v>538</v>
      </c>
      <c r="B539" s="9" t="s">
        <v>331</v>
      </c>
      <c r="C539" s="9" t="s">
        <v>1025</v>
      </c>
      <c r="D539" s="10" t="s">
        <v>1026</v>
      </c>
      <c r="E539" s="24" t="s">
        <v>1791</v>
      </c>
      <c r="F539" s="12"/>
      <c r="G539" s="23" t="s">
        <v>1792</v>
      </c>
      <c r="H539" s="14" t="n">
        <v>-0.858</v>
      </c>
      <c r="I539" s="15"/>
      <c r="J539" s="12"/>
      <c r="K539" s="9"/>
      <c r="L539" s="16" t="s">
        <v>51</v>
      </c>
      <c r="M539" s="17" t="s">
        <v>79</v>
      </c>
      <c r="N539" s="15"/>
      <c r="O539" s="16" t="s">
        <v>54</v>
      </c>
      <c r="P539" s="12" t="s">
        <v>1625</v>
      </c>
      <c r="Q539" s="16"/>
      <c r="R539" s="18" t="s">
        <v>79</v>
      </c>
      <c r="S539" s="19"/>
      <c r="T539" s="12" t="str">
        <f aca="false">IF(R539="維持",J539,IF(R539="排除","無關新聞事件",IFERROR(INDEX(事件規則!$B$2:$B$53,MATCH(S539,事件規則!$A$2:$A$53,0)),"")))</f>
        <v>無關新聞事件</v>
      </c>
      <c r="U539" s="20" t="n">
        <f aca="false">IF(R539="維持",K539,IF(R539="排除",0,IFERROR(INDEX(事件規則!$C$2:$C$53,MATCH(S539,事件規則!$A$2:$A$53,0)),"")))</f>
        <v>0</v>
      </c>
      <c r="V539" s="21"/>
      <c r="W539" s="22"/>
      <c r="X539" s="10" t="str">
        <f aca="false">IF(AND(R539="修改",S539=""),"請選新事件代碼",IF(AND(R539&lt;&gt;"修改",S539&lt;&gt;""),"只有「修改」才需填代碼",""))</f>
        <v/>
      </c>
      <c r="Y539" s="21"/>
      <c r="Z539" s="22"/>
      <c r="AA539" s="23" t="s">
        <v>1793</v>
      </c>
      <c r="AB539" s="13"/>
    </row>
    <row r="540" customFormat="false" ht="44" hidden="false" customHeight="false" outlineLevel="0" collapsed="false">
      <c r="A540" s="16" t="n">
        <v>539</v>
      </c>
      <c r="B540" s="9" t="s">
        <v>65</v>
      </c>
      <c r="C540" s="16"/>
      <c r="D540" s="10" t="s">
        <v>70</v>
      </c>
      <c r="E540" s="11" t="s">
        <v>1794</v>
      </c>
      <c r="F540" s="12" t="s">
        <v>1794</v>
      </c>
      <c r="G540" s="23" t="s">
        <v>152</v>
      </c>
      <c r="H540" s="14" t="n">
        <v>-0.858</v>
      </c>
      <c r="I540" s="15"/>
      <c r="J540" s="12"/>
      <c r="K540" s="9"/>
      <c r="L540" s="16" t="s">
        <v>51</v>
      </c>
      <c r="M540" s="17" t="s">
        <v>79</v>
      </c>
      <c r="N540" s="15"/>
      <c r="O540" s="16" t="s">
        <v>54</v>
      </c>
      <c r="P540" s="12" t="s">
        <v>1625</v>
      </c>
      <c r="Q540" s="16"/>
      <c r="R540" s="18" t="s">
        <v>79</v>
      </c>
      <c r="S540" s="19"/>
      <c r="T540" s="12" t="str">
        <f aca="false">IF(R540="維持",J540,IF(R540="排除","無關新聞事件",IFERROR(INDEX(事件規則!$B$2:$B$53,MATCH(S540,事件規則!$A$2:$A$53,0)),"")))</f>
        <v>無關新聞事件</v>
      </c>
      <c r="U540" s="20" t="n">
        <f aca="false">IF(R540="維持",K540,IF(R540="排除",0,IFERROR(INDEX(事件規則!$C$2:$C$53,MATCH(S540,事件規則!$A$2:$A$53,0)),"")))</f>
        <v>0</v>
      </c>
      <c r="V540" s="21"/>
      <c r="W540" s="22"/>
      <c r="X540" s="10" t="str">
        <f aca="false">IF(AND(R540="修改",S540=""),"請選新事件代碼",IF(AND(R540&lt;&gt;"修改",S540&lt;&gt;""),"只有「修改」才需填代碼",""))</f>
        <v/>
      </c>
      <c r="Y540" s="21"/>
      <c r="Z540" s="22"/>
      <c r="AA540" s="23" t="s">
        <v>1795</v>
      </c>
      <c r="AB540" s="13"/>
    </row>
    <row r="541" customFormat="false" ht="44" hidden="false" customHeight="false" outlineLevel="0" collapsed="false">
      <c r="A541" s="16" t="n">
        <v>540</v>
      </c>
      <c r="B541" s="9" t="s">
        <v>65</v>
      </c>
      <c r="C541" s="9" t="s">
        <v>1796</v>
      </c>
      <c r="D541" s="10" t="s">
        <v>1797</v>
      </c>
      <c r="E541" s="24" t="s">
        <v>1798</v>
      </c>
      <c r="F541" s="12"/>
      <c r="G541" s="23" t="s">
        <v>999</v>
      </c>
      <c r="H541" s="14" t="n">
        <v>-0.857</v>
      </c>
      <c r="I541" s="15"/>
      <c r="J541" s="12"/>
      <c r="K541" s="9"/>
      <c r="L541" s="16" t="s">
        <v>51</v>
      </c>
      <c r="M541" s="17" t="s">
        <v>79</v>
      </c>
      <c r="N541" s="15"/>
      <c r="O541" s="16" t="s">
        <v>54</v>
      </c>
      <c r="P541" s="12" t="s">
        <v>1625</v>
      </c>
      <c r="Q541" s="16"/>
      <c r="R541" s="18" t="s">
        <v>79</v>
      </c>
      <c r="S541" s="19"/>
      <c r="T541" s="12" t="str">
        <f aca="false">IF(R541="維持",J541,IF(R541="排除","無關新聞事件",IFERROR(INDEX(事件規則!$B$2:$B$53,MATCH(S541,事件規則!$A$2:$A$53,0)),"")))</f>
        <v>無關新聞事件</v>
      </c>
      <c r="U541" s="20" t="n">
        <f aca="false">IF(R541="維持",K541,IF(R541="排除",0,IFERROR(INDEX(事件規則!$C$2:$C$53,MATCH(S541,事件規則!$A$2:$A$53,0)),"")))</f>
        <v>0</v>
      </c>
      <c r="V541" s="21"/>
      <c r="W541" s="22"/>
      <c r="X541" s="10" t="str">
        <f aca="false">IF(AND(R541="修改",S541=""),"請選新事件代碼",IF(AND(R541&lt;&gt;"修改",S541&lt;&gt;""),"只有「修改」才需填代碼",""))</f>
        <v/>
      </c>
      <c r="Y541" s="21"/>
      <c r="Z541" s="22"/>
      <c r="AA541" s="23" t="s">
        <v>1799</v>
      </c>
      <c r="AB541" s="13"/>
    </row>
    <row r="542" customFormat="false" ht="44" hidden="false" customHeight="false" outlineLevel="0" collapsed="false">
      <c r="A542" s="16" t="n">
        <v>541</v>
      </c>
      <c r="B542" s="9" t="s">
        <v>386</v>
      </c>
      <c r="C542" s="9" t="s">
        <v>1265</v>
      </c>
      <c r="D542" s="10" t="s">
        <v>1266</v>
      </c>
      <c r="E542" s="24" t="s">
        <v>1800</v>
      </c>
      <c r="F542" s="12"/>
      <c r="G542" s="23" t="s">
        <v>1801</v>
      </c>
      <c r="H542" s="14" t="n">
        <v>-0.857</v>
      </c>
      <c r="I542" s="15"/>
      <c r="J542" s="12"/>
      <c r="K542" s="9"/>
      <c r="L542" s="16" t="s">
        <v>51</v>
      </c>
      <c r="M542" s="17" t="s">
        <v>79</v>
      </c>
      <c r="N542" s="15"/>
      <c r="O542" s="16" t="s">
        <v>54</v>
      </c>
      <c r="P542" s="12" t="s">
        <v>1625</v>
      </c>
      <c r="Q542" s="16"/>
      <c r="R542" s="18" t="s">
        <v>79</v>
      </c>
      <c r="S542" s="19"/>
      <c r="T542" s="12" t="str">
        <f aca="false">IF(R542="維持",J542,IF(R542="排除","無關新聞事件",IFERROR(INDEX(事件規則!$B$2:$B$53,MATCH(S542,事件規則!$A$2:$A$53,0)),"")))</f>
        <v>無關新聞事件</v>
      </c>
      <c r="U542" s="20" t="n">
        <f aca="false">IF(R542="維持",K542,IF(R542="排除",0,IFERROR(INDEX(事件規則!$C$2:$C$53,MATCH(S542,事件規則!$A$2:$A$53,0)),"")))</f>
        <v>0</v>
      </c>
      <c r="V542" s="21"/>
      <c r="W542" s="22"/>
      <c r="X542" s="10" t="str">
        <f aca="false">IF(AND(R542="修改",S542=""),"請選新事件代碼",IF(AND(R542&lt;&gt;"修改",S542&lt;&gt;""),"只有「修改」才需填代碼",""))</f>
        <v/>
      </c>
      <c r="Y542" s="21"/>
      <c r="Z542" s="22"/>
      <c r="AA542" s="23" t="s">
        <v>1802</v>
      </c>
      <c r="AB542" s="13"/>
    </row>
    <row r="543" customFormat="false" ht="44" hidden="false" customHeight="false" outlineLevel="0" collapsed="false">
      <c r="A543" s="16" t="n">
        <v>542</v>
      </c>
      <c r="B543" s="9" t="s">
        <v>65</v>
      </c>
      <c r="C543" s="9" t="s">
        <v>99</v>
      </c>
      <c r="D543" s="10" t="s">
        <v>100</v>
      </c>
      <c r="E543" s="24" t="s">
        <v>1803</v>
      </c>
      <c r="F543" s="12"/>
      <c r="G543" s="23" t="s">
        <v>1804</v>
      </c>
      <c r="H543" s="14" t="n">
        <v>-0.855</v>
      </c>
      <c r="I543" s="15"/>
      <c r="J543" s="12"/>
      <c r="K543" s="9"/>
      <c r="L543" s="16" t="s">
        <v>51</v>
      </c>
      <c r="M543" s="17" t="s">
        <v>79</v>
      </c>
      <c r="N543" s="15"/>
      <c r="O543" s="16" t="s">
        <v>54</v>
      </c>
      <c r="P543" s="12" t="s">
        <v>1625</v>
      </c>
      <c r="Q543" s="16"/>
      <c r="R543" s="18" t="s">
        <v>79</v>
      </c>
      <c r="S543" s="19"/>
      <c r="T543" s="12" t="str">
        <f aca="false">IF(R543="維持",J543,IF(R543="排除","無關新聞事件",IFERROR(INDEX(事件規則!$B$2:$B$53,MATCH(S543,事件規則!$A$2:$A$53,0)),"")))</f>
        <v>無關新聞事件</v>
      </c>
      <c r="U543" s="20" t="n">
        <f aca="false">IF(R543="維持",K543,IF(R543="排除",0,IFERROR(INDEX(事件規則!$C$2:$C$53,MATCH(S543,事件規則!$A$2:$A$53,0)),"")))</f>
        <v>0</v>
      </c>
      <c r="V543" s="21"/>
      <c r="W543" s="22"/>
      <c r="X543" s="10" t="str">
        <f aca="false">IF(AND(R543="修改",S543=""),"請選新事件代碼",IF(AND(R543&lt;&gt;"修改",S543&lt;&gt;""),"只有「修改」才需填代碼",""))</f>
        <v/>
      </c>
      <c r="Y543" s="21"/>
      <c r="Z543" s="22"/>
      <c r="AA543" s="23" t="s">
        <v>1805</v>
      </c>
      <c r="AB543" s="13"/>
    </row>
    <row r="544" customFormat="false" ht="44" hidden="false" customHeight="false" outlineLevel="0" collapsed="false">
      <c r="A544" s="16" t="n">
        <v>543</v>
      </c>
      <c r="B544" s="9" t="s">
        <v>386</v>
      </c>
      <c r="C544" s="9" t="s">
        <v>346</v>
      </c>
      <c r="D544" s="10" t="s">
        <v>347</v>
      </c>
      <c r="E544" s="24" t="s">
        <v>1806</v>
      </c>
      <c r="F544" s="12"/>
      <c r="G544" s="23" t="s">
        <v>1807</v>
      </c>
      <c r="H544" s="14" t="n">
        <v>-0.855</v>
      </c>
      <c r="I544" s="15"/>
      <c r="J544" s="12"/>
      <c r="K544" s="9"/>
      <c r="L544" s="16" t="s">
        <v>51</v>
      </c>
      <c r="M544" s="17" t="s">
        <v>79</v>
      </c>
      <c r="N544" s="15"/>
      <c r="O544" s="16" t="s">
        <v>54</v>
      </c>
      <c r="P544" s="12" t="s">
        <v>1625</v>
      </c>
      <c r="Q544" s="16"/>
      <c r="R544" s="18" t="s">
        <v>79</v>
      </c>
      <c r="S544" s="19"/>
      <c r="T544" s="12" t="str">
        <f aca="false">IF(R544="維持",J544,IF(R544="排除","無關新聞事件",IFERROR(INDEX(事件規則!$B$2:$B$53,MATCH(S544,事件規則!$A$2:$A$53,0)),"")))</f>
        <v>無關新聞事件</v>
      </c>
      <c r="U544" s="20" t="n">
        <f aca="false">IF(R544="維持",K544,IF(R544="排除",0,IFERROR(INDEX(事件規則!$C$2:$C$53,MATCH(S544,事件規則!$A$2:$A$53,0)),"")))</f>
        <v>0</v>
      </c>
      <c r="V544" s="21"/>
      <c r="W544" s="22"/>
      <c r="X544" s="10" t="str">
        <f aca="false">IF(AND(R544="修改",S544=""),"請選新事件代碼",IF(AND(R544&lt;&gt;"修改",S544&lt;&gt;""),"只有「修改」才需填代碼",""))</f>
        <v/>
      </c>
      <c r="Y544" s="21"/>
      <c r="Z544" s="22"/>
      <c r="AA544" s="23" t="s">
        <v>1808</v>
      </c>
      <c r="AB544" s="13"/>
    </row>
    <row r="545" customFormat="false" ht="44" hidden="false" customHeight="false" outlineLevel="0" collapsed="false">
      <c r="A545" s="16" t="n">
        <v>544</v>
      </c>
      <c r="B545" s="9" t="s">
        <v>65</v>
      </c>
      <c r="C545" s="9" t="s">
        <v>1718</v>
      </c>
      <c r="D545" s="10" t="s">
        <v>1719</v>
      </c>
      <c r="E545" s="24" t="s">
        <v>1809</v>
      </c>
      <c r="F545" s="12"/>
      <c r="G545" s="23" t="s">
        <v>219</v>
      </c>
      <c r="H545" s="14" t="n">
        <v>-0.855</v>
      </c>
      <c r="I545" s="15"/>
      <c r="J545" s="12"/>
      <c r="K545" s="9"/>
      <c r="L545" s="16" t="s">
        <v>51</v>
      </c>
      <c r="M545" s="17" t="s">
        <v>79</v>
      </c>
      <c r="N545" s="15"/>
      <c r="O545" s="16" t="s">
        <v>54</v>
      </c>
      <c r="P545" s="12" t="s">
        <v>1625</v>
      </c>
      <c r="Q545" s="16"/>
      <c r="R545" s="18" t="s">
        <v>79</v>
      </c>
      <c r="S545" s="19"/>
      <c r="T545" s="12" t="str">
        <f aca="false">IF(R545="維持",J545,IF(R545="排除","無關新聞事件",IFERROR(INDEX(事件規則!$B$2:$B$53,MATCH(S545,事件規則!$A$2:$A$53,0)),"")))</f>
        <v>無關新聞事件</v>
      </c>
      <c r="U545" s="20" t="n">
        <f aca="false">IF(R545="維持",K545,IF(R545="排除",0,IFERROR(INDEX(事件規則!$C$2:$C$53,MATCH(S545,事件規則!$A$2:$A$53,0)),"")))</f>
        <v>0</v>
      </c>
      <c r="V545" s="21"/>
      <c r="W545" s="22"/>
      <c r="X545" s="10" t="str">
        <f aca="false">IF(AND(R545="修改",S545=""),"請選新事件代碼",IF(AND(R545&lt;&gt;"修改",S545&lt;&gt;""),"只有「修改」才需填代碼",""))</f>
        <v/>
      </c>
      <c r="Y545" s="21"/>
      <c r="Z545" s="22"/>
      <c r="AA545" s="23" t="s">
        <v>1810</v>
      </c>
      <c r="AB545" s="13"/>
    </row>
    <row r="546" customFormat="false" ht="44" hidden="false" customHeight="false" outlineLevel="0" collapsed="false">
      <c r="A546" s="16" t="n">
        <v>545</v>
      </c>
      <c r="B546" s="9" t="s">
        <v>45</v>
      </c>
      <c r="C546" s="9" t="s">
        <v>1811</v>
      </c>
      <c r="D546" s="10" t="s">
        <v>1812</v>
      </c>
      <c r="E546" s="24" t="s">
        <v>1813</v>
      </c>
      <c r="F546" s="12"/>
      <c r="G546" s="23" t="s">
        <v>120</v>
      </c>
      <c r="H546" s="14" t="n">
        <v>-0.854</v>
      </c>
      <c r="I546" s="15"/>
      <c r="J546" s="12"/>
      <c r="K546" s="9"/>
      <c r="L546" s="16" t="s">
        <v>51</v>
      </c>
      <c r="M546" s="17" t="s">
        <v>79</v>
      </c>
      <c r="N546" s="15"/>
      <c r="O546" s="16" t="s">
        <v>54</v>
      </c>
      <c r="P546" s="12" t="s">
        <v>1625</v>
      </c>
      <c r="Q546" s="16"/>
      <c r="R546" s="18" t="s">
        <v>79</v>
      </c>
      <c r="S546" s="19"/>
      <c r="T546" s="12" t="str">
        <f aca="false">IF(R546="維持",J546,IF(R546="排除","無關新聞事件",IFERROR(INDEX(事件規則!$B$2:$B$53,MATCH(S546,事件規則!$A$2:$A$53,0)),"")))</f>
        <v>無關新聞事件</v>
      </c>
      <c r="U546" s="20" t="n">
        <f aca="false">IF(R546="維持",K546,IF(R546="排除",0,IFERROR(INDEX(事件規則!$C$2:$C$53,MATCH(S546,事件規則!$A$2:$A$53,0)),"")))</f>
        <v>0</v>
      </c>
      <c r="V546" s="21"/>
      <c r="W546" s="22"/>
      <c r="X546" s="10" t="str">
        <f aca="false">IF(AND(R546="修改",S546=""),"請選新事件代碼",IF(AND(R546&lt;&gt;"修改",S546&lt;&gt;""),"只有「修改」才需填代碼",""))</f>
        <v/>
      </c>
      <c r="Y546" s="21"/>
      <c r="Z546" s="22"/>
      <c r="AA546" s="23" t="s">
        <v>1814</v>
      </c>
      <c r="AB546" s="13"/>
    </row>
    <row r="547" customFormat="false" ht="44" hidden="false" customHeight="false" outlineLevel="0" collapsed="false">
      <c r="A547" s="16" t="n">
        <v>546</v>
      </c>
      <c r="B547" s="9" t="s">
        <v>65</v>
      </c>
      <c r="C547" s="9" t="s">
        <v>192</v>
      </c>
      <c r="D547" s="10" t="s">
        <v>193</v>
      </c>
      <c r="E547" s="24" t="s">
        <v>1815</v>
      </c>
      <c r="F547" s="12"/>
      <c r="G547" s="23" t="s">
        <v>120</v>
      </c>
      <c r="H547" s="14" t="n">
        <v>-0.853</v>
      </c>
      <c r="I547" s="15"/>
      <c r="J547" s="12"/>
      <c r="K547" s="9"/>
      <c r="L547" s="16" t="s">
        <v>51</v>
      </c>
      <c r="M547" s="17" t="s">
        <v>79</v>
      </c>
      <c r="N547" s="15"/>
      <c r="O547" s="16" t="s">
        <v>54</v>
      </c>
      <c r="P547" s="12" t="s">
        <v>1625</v>
      </c>
      <c r="Q547" s="16"/>
      <c r="R547" s="18" t="s">
        <v>79</v>
      </c>
      <c r="S547" s="19"/>
      <c r="T547" s="12" t="str">
        <f aca="false">IF(R547="維持",J547,IF(R547="排除","無關新聞事件",IFERROR(INDEX(事件規則!$B$2:$B$53,MATCH(S547,事件規則!$A$2:$A$53,0)),"")))</f>
        <v>無關新聞事件</v>
      </c>
      <c r="U547" s="20" t="n">
        <f aca="false">IF(R547="維持",K547,IF(R547="排除",0,IFERROR(INDEX(事件規則!$C$2:$C$53,MATCH(S547,事件規則!$A$2:$A$53,0)),"")))</f>
        <v>0</v>
      </c>
      <c r="V547" s="21"/>
      <c r="W547" s="22"/>
      <c r="X547" s="10" t="str">
        <f aca="false">IF(AND(R547="修改",S547=""),"請選新事件代碼",IF(AND(R547&lt;&gt;"修改",S547&lt;&gt;""),"只有「修改」才需填代碼",""))</f>
        <v/>
      </c>
      <c r="Y547" s="21"/>
      <c r="Z547" s="22"/>
      <c r="AA547" s="23" t="s">
        <v>1816</v>
      </c>
      <c r="AB547" s="13"/>
    </row>
    <row r="548" customFormat="false" ht="44" hidden="false" customHeight="false" outlineLevel="0" collapsed="false">
      <c r="A548" s="16" t="n">
        <v>547</v>
      </c>
      <c r="B548" s="9" t="s">
        <v>386</v>
      </c>
      <c r="C548" s="9" t="s">
        <v>975</v>
      </c>
      <c r="D548" s="10" t="s">
        <v>976</v>
      </c>
      <c r="E548" s="24" t="s">
        <v>1817</v>
      </c>
      <c r="F548" s="12"/>
      <c r="G548" s="23" t="s">
        <v>1818</v>
      </c>
      <c r="H548" s="14" t="n">
        <v>-0.853</v>
      </c>
      <c r="I548" s="15"/>
      <c r="J548" s="12"/>
      <c r="K548" s="9"/>
      <c r="L548" s="16" t="s">
        <v>51</v>
      </c>
      <c r="M548" s="17" t="s">
        <v>79</v>
      </c>
      <c r="N548" s="15"/>
      <c r="O548" s="16" t="s">
        <v>54</v>
      </c>
      <c r="P548" s="12" t="s">
        <v>1625</v>
      </c>
      <c r="Q548" s="16"/>
      <c r="R548" s="18" t="s">
        <v>79</v>
      </c>
      <c r="S548" s="19"/>
      <c r="T548" s="12" t="str">
        <f aca="false">IF(R548="維持",J548,IF(R548="排除","無關新聞事件",IFERROR(INDEX(事件規則!$B$2:$B$53,MATCH(S548,事件規則!$A$2:$A$53,0)),"")))</f>
        <v>無關新聞事件</v>
      </c>
      <c r="U548" s="20" t="n">
        <f aca="false">IF(R548="維持",K548,IF(R548="排除",0,IFERROR(INDEX(事件規則!$C$2:$C$53,MATCH(S548,事件規則!$A$2:$A$53,0)),"")))</f>
        <v>0</v>
      </c>
      <c r="V548" s="21"/>
      <c r="W548" s="22"/>
      <c r="X548" s="10" t="str">
        <f aca="false">IF(AND(R548="修改",S548=""),"請選新事件代碼",IF(AND(R548&lt;&gt;"修改",S548&lt;&gt;""),"只有「修改」才需填代碼",""))</f>
        <v/>
      </c>
      <c r="Y548" s="21"/>
      <c r="Z548" s="22"/>
      <c r="AA548" s="23" t="s">
        <v>1819</v>
      </c>
      <c r="AB548" s="13"/>
    </row>
    <row r="549" customFormat="false" ht="44" hidden="false" customHeight="false" outlineLevel="0" collapsed="false">
      <c r="A549" s="16" t="n">
        <v>548</v>
      </c>
      <c r="B549" s="9" t="s">
        <v>386</v>
      </c>
      <c r="C549" s="9" t="s">
        <v>1427</v>
      </c>
      <c r="D549" s="10" t="s">
        <v>1428</v>
      </c>
      <c r="E549" s="24" t="s">
        <v>1820</v>
      </c>
      <c r="F549" s="12"/>
      <c r="G549" s="23" t="s">
        <v>1821</v>
      </c>
      <c r="H549" s="14" t="n">
        <v>-0.852</v>
      </c>
      <c r="I549" s="15"/>
      <c r="J549" s="12"/>
      <c r="K549" s="9"/>
      <c r="L549" s="16" t="s">
        <v>51</v>
      </c>
      <c r="M549" s="17" t="s">
        <v>79</v>
      </c>
      <c r="N549" s="15"/>
      <c r="O549" s="16" t="s">
        <v>54</v>
      </c>
      <c r="P549" s="12" t="s">
        <v>1625</v>
      </c>
      <c r="Q549" s="16"/>
      <c r="R549" s="18" t="s">
        <v>79</v>
      </c>
      <c r="S549" s="19"/>
      <c r="T549" s="12" t="str">
        <f aca="false">IF(R549="維持",J549,IF(R549="排除","無關新聞事件",IFERROR(INDEX(事件規則!$B$2:$B$53,MATCH(S549,事件規則!$A$2:$A$53,0)),"")))</f>
        <v>無關新聞事件</v>
      </c>
      <c r="U549" s="20" t="n">
        <f aca="false">IF(R549="維持",K549,IF(R549="排除",0,IFERROR(INDEX(事件規則!$C$2:$C$53,MATCH(S549,事件規則!$A$2:$A$53,0)),"")))</f>
        <v>0</v>
      </c>
      <c r="V549" s="21"/>
      <c r="W549" s="22"/>
      <c r="X549" s="10" t="str">
        <f aca="false">IF(AND(R549="修改",S549=""),"請選新事件代碼",IF(AND(R549&lt;&gt;"修改",S549&lt;&gt;""),"只有「修改」才需填代碼",""))</f>
        <v/>
      </c>
      <c r="Y549" s="21"/>
      <c r="Z549" s="22"/>
      <c r="AA549" s="23" t="s">
        <v>1822</v>
      </c>
      <c r="AB549" s="13"/>
    </row>
    <row r="550" customFormat="false" ht="29.85" hidden="false" customHeight="false" outlineLevel="0" collapsed="false">
      <c r="A550" s="16" t="n">
        <v>549</v>
      </c>
      <c r="B550" s="9" t="s">
        <v>45</v>
      </c>
      <c r="C550" s="9" t="s">
        <v>102</v>
      </c>
      <c r="D550" s="10" t="s">
        <v>103</v>
      </c>
      <c r="E550" s="24" t="s">
        <v>1823</v>
      </c>
      <c r="F550" s="12"/>
      <c r="G550" s="23" t="s">
        <v>152</v>
      </c>
      <c r="H550" s="14" t="n">
        <v>-0.851</v>
      </c>
      <c r="I550" s="15"/>
      <c r="J550" s="12"/>
      <c r="K550" s="9"/>
      <c r="L550" s="16" t="s">
        <v>51</v>
      </c>
      <c r="M550" s="17" t="s">
        <v>52</v>
      </c>
      <c r="N550" s="15" t="s">
        <v>264</v>
      </c>
      <c r="O550" s="16" t="s">
        <v>62</v>
      </c>
      <c r="P550" s="10" t="s">
        <v>1824</v>
      </c>
      <c r="Q550" s="16"/>
      <c r="R550" s="18" t="s">
        <v>52</v>
      </c>
      <c r="S550" s="19" t="s">
        <v>264</v>
      </c>
      <c r="T550" s="12" t="str">
        <f aca="false">IF(R550="維持",J550,IF(R550="排除","無關新聞事件",IFERROR(INDEX(事件規則!$B$2:$B$53,MATCH(S550,事件規則!$A$2:$A$53,0)),"")))</f>
        <v>分析師降評</v>
      </c>
      <c r="U550" s="20" t="n">
        <f aca="false">IF(R550="維持",K550,IF(R550="排除",0,IFERROR(INDEX(事件規則!$C$2:$C$53,MATCH(S550,事件規則!$A$2:$A$53,0)),"")))</f>
        <v>2</v>
      </c>
      <c r="V550" s="21"/>
      <c r="W550" s="22"/>
      <c r="X550" s="10" t="str">
        <f aca="false">IF(AND(R550="修改",S550=""),"請選新事件代碼",IF(AND(R550&lt;&gt;"修改",S550&lt;&gt;""),"只有「修改」才需填代碼",""))</f>
        <v/>
      </c>
      <c r="Y550" s="21"/>
      <c r="Z550" s="22"/>
      <c r="AA550" s="23" t="s">
        <v>1825</v>
      </c>
      <c r="AB550" s="13"/>
    </row>
    <row r="551" customFormat="false" ht="44" hidden="false" customHeight="false" outlineLevel="0" collapsed="false">
      <c r="A551" s="16" t="n">
        <v>550</v>
      </c>
      <c r="B551" s="9" t="s">
        <v>331</v>
      </c>
      <c r="C551" s="9" t="s">
        <v>1690</v>
      </c>
      <c r="D551" s="10" t="s">
        <v>1691</v>
      </c>
      <c r="E551" s="24" t="s">
        <v>1826</v>
      </c>
      <c r="F551" s="12"/>
      <c r="G551" s="23" t="s">
        <v>1827</v>
      </c>
      <c r="H551" s="14" t="n">
        <v>-0.851</v>
      </c>
      <c r="I551" s="15"/>
      <c r="J551" s="12"/>
      <c r="K551" s="9"/>
      <c r="L551" s="16" t="s">
        <v>51</v>
      </c>
      <c r="M551" s="17" t="s">
        <v>79</v>
      </c>
      <c r="N551" s="15"/>
      <c r="O551" s="16" t="s">
        <v>54</v>
      </c>
      <c r="P551" s="12" t="s">
        <v>1625</v>
      </c>
      <c r="Q551" s="16"/>
      <c r="R551" s="18" t="s">
        <v>79</v>
      </c>
      <c r="S551" s="19"/>
      <c r="T551" s="12" t="str">
        <f aca="false">IF(R551="維持",J551,IF(R551="排除","無關新聞事件",IFERROR(INDEX(事件規則!$B$2:$B$53,MATCH(S551,事件規則!$A$2:$A$53,0)),"")))</f>
        <v>無關新聞事件</v>
      </c>
      <c r="U551" s="20" t="n">
        <f aca="false">IF(R551="維持",K551,IF(R551="排除",0,IFERROR(INDEX(事件規則!$C$2:$C$53,MATCH(S551,事件規則!$A$2:$A$53,0)),"")))</f>
        <v>0</v>
      </c>
      <c r="V551" s="21"/>
      <c r="W551" s="22"/>
      <c r="X551" s="10" t="str">
        <f aca="false">IF(AND(R551="修改",S551=""),"請選新事件代碼",IF(AND(R551&lt;&gt;"修改",S551&lt;&gt;""),"只有「修改」才需填代碼",""))</f>
        <v/>
      </c>
      <c r="Y551" s="21"/>
      <c r="Z551" s="22"/>
      <c r="AA551" s="23" t="s">
        <v>1828</v>
      </c>
      <c r="AB551" s="13"/>
    </row>
    <row r="552" customFormat="false" ht="44" hidden="false" customHeight="false" outlineLevel="0" collapsed="false">
      <c r="A552" s="16" t="n">
        <v>551</v>
      </c>
      <c r="B552" s="9" t="s">
        <v>45</v>
      </c>
      <c r="C552" s="9" t="s">
        <v>1829</v>
      </c>
      <c r="D552" s="10" t="s">
        <v>1830</v>
      </c>
      <c r="E552" s="24" t="s">
        <v>1831</v>
      </c>
      <c r="F552" s="12"/>
      <c r="G552" s="23" t="s">
        <v>1832</v>
      </c>
      <c r="H552" s="14" t="n">
        <v>-0.851</v>
      </c>
      <c r="I552" s="15"/>
      <c r="J552" s="12"/>
      <c r="K552" s="9"/>
      <c r="L552" s="16" t="s">
        <v>51</v>
      </c>
      <c r="M552" s="17" t="s">
        <v>79</v>
      </c>
      <c r="N552" s="15"/>
      <c r="O552" s="16" t="s">
        <v>54</v>
      </c>
      <c r="P552" s="12" t="s">
        <v>1625</v>
      </c>
      <c r="Q552" s="16"/>
      <c r="R552" s="18" t="s">
        <v>79</v>
      </c>
      <c r="S552" s="19"/>
      <c r="T552" s="12" t="str">
        <f aca="false">IF(R552="維持",J552,IF(R552="排除","無關新聞事件",IFERROR(INDEX(事件規則!$B$2:$B$53,MATCH(S552,事件規則!$A$2:$A$53,0)),"")))</f>
        <v>無關新聞事件</v>
      </c>
      <c r="U552" s="20" t="n">
        <f aca="false">IF(R552="維持",K552,IF(R552="排除",0,IFERROR(INDEX(事件規則!$C$2:$C$53,MATCH(S552,事件規則!$A$2:$A$53,0)),"")))</f>
        <v>0</v>
      </c>
      <c r="V552" s="21"/>
      <c r="W552" s="22"/>
      <c r="X552" s="10" t="str">
        <f aca="false">IF(AND(R552="修改",S552=""),"請選新事件代碼",IF(AND(R552&lt;&gt;"修改",S552&lt;&gt;""),"只有「修改」才需填代碼",""))</f>
        <v/>
      </c>
      <c r="Y552" s="21"/>
      <c r="Z552" s="22"/>
      <c r="AA552" s="23" t="s">
        <v>1833</v>
      </c>
      <c r="AB552" s="13"/>
    </row>
    <row r="553" customFormat="false" ht="23.85" hidden="false" customHeight="false" outlineLevel="0" collapsed="false">
      <c r="A553" s="16" t="n">
        <v>552</v>
      </c>
      <c r="B553" s="9" t="s">
        <v>65</v>
      </c>
      <c r="C553" s="9" t="s">
        <v>57</v>
      </c>
      <c r="D553" s="10" t="s">
        <v>58</v>
      </c>
      <c r="E553" s="24" t="s">
        <v>1834</v>
      </c>
      <c r="F553" s="12"/>
      <c r="G553" s="23" t="s">
        <v>120</v>
      </c>
      <c r="H553" s="14" t="n">
        <v>-0.851</v>
      </c>
      <c r="I553" s="15"/>
      <c r="J553" s="12"/>
      <c r="K553" s="9"/>
      <c r="L553" s="16" t="s">
        <v>51</v>
      </c>
      <c r="M553" s="17" t="s">
        <v>52</v>
      </c>
      <c r="N553" s="15" t="s">
        <v>61</v>
      </c>
      <c r="O553" s="16" t="s">
        <v>62</v>
      </c>
      <c r="P553" s="12" t="s">
        <v>1835</v>
      </c>
      <c r="Q553" s="16"/>
      <c r="R553" s="18" t="s">
        <v>52</v>
      </c>
      <c r="S553" s="19" t="s">
        <v>61</v>
      </c>
      <c r="T553" s="12" t="str">
        <f aca="false">IF(R553="維持",J553,IF(R553="排除","無關新聞事件",IFERROR(INDEX(事件規則!$B$2:$B$53,MATCH(S553,事件規則!$A$2:$A$53,0)),"")))</f>
        <v>裁員或人力縮減</v>
      </c>
      <c r="U553" s="20" t="n">
        <f aca="false">IF(R553="維持",K553,IF(R553="排除",0,IFERROR(INDEX(事件規則!$C$2:$C$53,MATCH(S553,事件規則!$A$2:$A$53,0)),"")))</f>
        <v>3</v>
      </c>
      <c r="V553" s="21"/>
      <c r="W553" s="22"/>
      <c r="X553" s="10" t="str">
        <f aca="false">IF(AND(R553="修改",S553=""),"請選新事件代碼",IF(AND(R553&lt;&gt;"修改",S553&lt;&gt;""),"只有「修改」才需填代碼",""))</f>
        <v/>
      </c>
      <c r="Y553" s="21"/>
      <c r="Z553" s="22"/>
      <c r="AA553" s="23" t="s">
        <v>1836</v>
      </c>
      <c r="AB553" s="13"/>
    </row>
    <row r="554" customFormat="false" ht="44" hidden="false" customHeight="false" outlineLevel="0" collapsed="false">
      <c r="A554" s="16" t="n">
        <v>553</v>
      </c>
      <c r="B554" s="9" t="s">
        <v>45</v>
      </c>
      <c r="C554" s="9" t="s">
        <v>1064</v>
      </c>
      <c r="D554" s="10" t="s">
        <v>1065</v>
      </c>
      <c r="E554" s="24" t="s">
        <v>1837</v>
      </c>
      <c r="F554" s="12"/>
      <c r="G554" s="23" t="s">
        <v>1838</v>
      </c>
      <c r="H554" s="14" t="n">
        <v>-0.85</v>
      </c>
      <c r="I554" s="15"/>
      <c r="J554" s="12"/>
      <c r="K554" s="9"/>
      <c r="L554" s="16" t="s">
        <v>51</v>
      </c>
      <c r="M554" s="17" t="s">
        <v>79</v>
      </c>
      <c r="N554" s="15"/>
      <c r="O554" s="16" t="s">
        <v>54</v>
      </c>
      <c r="P554" s="12" t="s">
        <v>1625</v>
      </c>
      <c r="Q554" s="16"/>
      <c r="R554" s="18" t="s">
        <v>79</v>
      </c>
      <c r="S554" s="19"/>
      <c r="T554" s="12" t="str">
        <f aca="false">IF(R554="維持",J554,IF(R554="排除","無關新聞事件",IFERROR(INDEX(事件規則!$B$2:$B$53,MATCH(S554,事件規則!$A$2:$A$53,0)),"")))</f>
        <v>無關新聞事件</v>
      </c>
      <c r="U554" s="20" t="n">
        <f aca="false">IF(R554="維持",K554,IF(R554="排除",0,IFERROR(INDEX(事件規則!$C$2:$C$53,MATCH(S554,事件規則!$A$2:$A$53,0)),"")))</f>
        <v>0</v>
      </c>
      <c r="V554" s="21"/>
      <c r="W554" s="22"/>
      <c r="X554" s="10" t="str">
        <f aca="false">IF(AND(R554="修改",S554=""),"請選新事件代碼",IF(AND(R554&lt;&gt;"修改",S554&lt;&gt;""),"只有「修改」才需填代碼",""))</f>
        <v/>
      </c>
      <c r="Y554" s="21"/>
      <c r="Z554" s="22"/>
      <c r="AA554" s="23" t="s">
        <v>1839</v>
      </c>
      <c r="AB554" s="13"/>
    </row>
    <row r="555" customFormat="false" ht="44" hidden="false" customHeight="false" outlineLevel="0" collapsed="false">
      <c r="A555" s="16" t="n">
        <v>554</v>
      </c>
      <c r="B555" s="9" t="s">
        <v>45</v>
      </c>
      <c r="C555" s="9" t="s">
        <v>1506</v>
      </c>
      <c r="D555" s="10" t="s">
        <v>1507</v>
      </c>
      <c r="E555" s="24" t="s">
        <v>1837</v>
      </c>
      <c r="F555" s="12"/>
      <c r="G555" s="23" t="s">
        <v>1838</v>
      </c>
      <c r="H555" s="14" t="n">
        <v>-0.85</v>
      </c>
      <c r="I555" s="15"/>
      <c r="J555" s="12"/>
      <c r="K555" s="9"/>
      <c r="L555" s="16" t="s">
        <v>51</v>
      </c>
      <c r="M555" s="17" t="s">
        <v>79</v>
      </c>
      <c r="N555" s="15"/>
      <c r="O555" s="16" t="s">
        <v>54</v>
      </c>
      <c r="P555" s="12" t="s">
        <v>1625</v>
      </c>
      <c r="Q555" s="16"/>
      <c r="R555" s="18" t="s">
        <v>79</v>
      </c>
      <c r="S555" s="19"/>
      <c r="T555" s="12" t="str">
        <f aca="false">IF(R555="維持",J555,IF(R555="排除","無關新聞事件",IFERROR(INDEX(事件規則!$B$2:$B$53,MATCH(S555,事件規則!$A$2:$A$53,0)),"")))</f>
        <v>無關新聞事件</v>
      </c>
      <c r="U555" s="20" t="n">
        <f aca="false">IF(R555="維持",K555,IF(R555="排除",0,IFERROR(INDEX(事件規則!$C$2:$C$53,MATCH(S555,事件規則!$A$2:$A$53,0)),"")))</f>
        <v>0</v>
      </c>
      <c r="V555" s="21"/>
      <c r="W555" s="22"/>
      <c r="X555" s="10" t="str">
        <f aca="false">IF(AND(R555="修改",S555=""),"請選新事件代碼",IF(AND(R555&lt;&gt;"修改",S555&lt;&gt;""),"只有「修改」才需填代碼",""))</f>
        <v/>
      </c>
      <c r="Y555" s="21"/>
      <c r="Z555" s="22"/>
      <c r="AA555" s="23" t="s">
        <v>1840</v>
      </c>
      <c r="AB555" s="13"/>
    </row>
    <row r="556" customFormat="false" ht="44" hidden="false" customHeight="false" outlineLevel="0" collapsed="false">
      <c r="A556" s="16" t="n">
        <v>555</v>
      </c>
      <c r="B556" s="9" t="s">
        <v>45</v>
      </c>
      <c r="C556" s="9" t="s">
        <v>498</v>
      </c>
      <c r="D556" s="10" t="s">
        <v>499</v>
      </c>
      <c r="E556" s="24" t="s">
        <v>1841</v>
      </c>
      <c r="F556" s="12"/>
      <c r="G556" s="23" t="s">
        <v>1404</v>
      </c>
      <c r="H556" s="14" t="n">
        <v>-0.85</v>
      </c>
      <c r="I556" s="15"/>
      <c r="J556" s="12"/>
      <c r="K556" s="9"/>
      <c r="L556" s="16" t="s">
        <v>51</v>
      </c>
      <c r="M556" s="17" t="s">
        <v>79</v>
      </c>
      <c r="N556" s="15"/>
      <c r="O556" s="16" t="s">
        <v>54</v>
      </c>
      <c r="P556" s="12" t="s">
        <v>1625</v>
      </c>
      <c r="Q556" s="16"/>
      <c r="R556" s="18" t="s">
        <v>79</v>
      </c>
      <c r="S556" s="19"/>
      <c r="T556" s="12" t="str">
        <f aca="false">IF(R556="維持",J556,IF(R556="排除","無關新聞事件",IFERROR(INDEX(事件規則!$B$2:$B$53,MATCH(S556,事件規則!$A$2:$A$53,0)),"")))</f>
        <v>無關新聞事件</v>
      </c>
      <c r="U556" s="20" t="n">
        <f aca="false">IF(R556="維持",K556,IF(R556="排除",0,IFERROR(INDEX(事件規則!$C$2:$C$53,MATCH(S556,事件規則!$A$2:$A$53,0)),"")))</f>
        <v>0</v>
      </c>
      <c r="V556" s="21"/>
      <c r="W556" s="22"/>
      <c r="X556" s="10" t="str">
        <f aca="false">IF(AND(R556="修改",S556=""),"請選新事件代碼",IF(AND(R556&lt;&gt;"修改",S556&lt;&gt;""),"只有「修改」才需填代碼",""))</f>
        <v/>
      </c>
      <c r="Y556" s="21"/>
      <c r="Z556" s="22"/>
      <c r="AA556" s="23" t="s">
        <v>1842</v>
      </c>
      <c r="AB556" s="13"/>
    </row>
    <row r="557" customFormat="false" ht="44" hidden="false" customHeight="false" outlineLevel="0" collapsed="false">
      <c r="A557" s="16" t="n">
        <v>556</v>
      </c>
      <c r="B557" s="9" t="s">
        <v>65</v>
      </c>
      <c r="C557" s="9" t="s">
        <v>57</v>
      </c>
      <c r="D557" s="10" t="s">
        <v>58</v>
      </c>
      <c r="E557" s="24" t="s">
        <v>1843</v>
      </c>
      <c r="F557" s="12"/>
      <c r="G557" s="23" t="s">
        <v>1844</v>
      </c>
      <c r="H557" s="14" t="n">
        <v>-0.849</v>
      </c>
      <c r="I557" s="15"/>
      <c r="J557" s="12"/>
      <c r="K557" s="9"/>
      <c r="L557" s="16" t="s">
        <v>51</v>
      </c>
      <c r="M557" s="17" t="s">
        <v>79</v>
      </c>
      <c r="N557" s="15"/>
      <c r="O557" s="16" t="s">
        <v>54</v>
      </c>
      <c r="P557" s="12" t="s">
        <v>1625</v>
      </c>
      <c r="Q557" s="16"/>
      <c r="R557" s="18" t="s">
        <v>79</v>
      </c>
      <c r="S557" s="19"/>
      <c r="T557" s="12" t="str">
        <f aca="false">IF(R557="維持",J557,IF(R557="排除","無關新聞事件",IFERROR(INDEX(事件規則!$B$2:$B$53,MATCH(S557,事件規則!$A$2:$A$53,0)),"")))</f>
        <v>無關新聞事件</v>
      </c>
      <c r="U557" s="20" t="n">
        <f aca="false">IF(R557="維持",K557,IF(R557="排除",0,IFERROR(INDEX(事件規則!$C$2:$C$53,MATCH(S557,事件規則!$A$2:$A$53,0)),"")))</f>
        <v>0</v>
      </c>
      <c r="V557" s="21"/>
      <c r="W557" s="22"/>
      <c r="X557" s="10" t="str">
        <f aca="false">IF(AND(R557="修改",S557=""),"請選新事件代碼",IF(AND(R557&lt;&gt;"修改",S557&lt;&gt;""),"只有「修改」才需填代碼",""))</f>
        <v/>
      </c>
      <c r="Y557" s="21"/>
      <c r="Z557" s="22"/>
      <c r="AA557" s="23" t="s">
        <v>1845</v>
      </c>
      <c r="AB557" s="13"/>
    </row>
    <row r="558" customFormat="false" ht="44" hidden="false" customHeight="false" outlineLevel="0" collapsed="false">
      <c r="A558" s="16" t="n">
        <v>557</v>
      </c>
      <c r="B558" s="9" t="s">
        <v>331</v>
      </c>
      <c r="C558" s="9" t="s">
        <v>1713</v>
      </c>
      <c r="D558" s="10" t="s">
        <v>1714</v>
      </c>
      <c r="E558" s="24" t="s">
        <v>1846</v>
      </c>
      <c r="F558" s="12"/>
      <c r="G558" s="23" t="s">
        <v>1847</v>
      </c>
      <c r="H558" s="14" t="n">
        <v>-0.849</v>
      </c>
      <c r="I558" s="15"/>
      <c r="J558" s="12"/>
      <c r="K558" s="9"/>
      <c r="L558" s="16" t="s">
        <v>51</v>
      </c>
      <c r="M558" s="17" t="s">
        <v>79</v>
      </c>
      <c r="N558" s="15"/>
      <c r="O558" s="16" t="s">
        <v>54</v>
      </c>
      <c r="P558" s="12" t="s">
        <v>1625</v>
      </c>
      <c r="Q558" s="16"/>
      <c r="R558" s="18" t="s">
        <v>79</v>
      </c>
      <c r="S558" s="19"/>
      <c r="T558" s="12" t="str">
        <f aca="false">IF(R558="維持",J558,IF(R558="排除","無關新聞事件",IFERROR(INDEX(事件規則!$B$2:$B$53,MATCH(S558,事件規則!$A$2:$A$53,0)),"")))</f>
        <v>無關新聞事件</v>
      </c>
      <c r="U558" s="20" t="n">
        <f aca="false">IF(R558="維持",K558,IF(R558="排除",0,IFERROR(INDEX(事件規則!$C$2:$C$53,MATCH(S558,事件規則!$A$2:$A$53,0)),"")))</f>
        <v>0</v>
      </c>
      <c r="V558" s="21"/>
      <c r="W558" s="22"/>
      <c r="X558" s="10" t="str">
        <f aca="false">IF(AND(R558="修改",S558=""),"請選新事件代碼",IF(AND(R558&lt;&gt;"修改",S558&lt;&gt;""),"只有「修改」才需填代碼",""))</f>
        <v/>
      </c>
      <c r="Y558" s="21"/>
      <c r="Z558" s="22"/>
      <c r="AA558" s="23" t="s">
        <v>1848</v>
      </c>
      <c r="AB558" s="13"/>
    </row>
    <row r="559" customFormat="false" ht="15" hidden="false" customHeight="false" outlineLevel="0" collapsed="false">
      <c r="A559" s="16" t="n">
        <v>558</v>
      </c>
      <c r="B559" s="9" t="s">
        <v>331</v>
      </c>
      <c r="C559" s="9" t="s">
        <v>456</v>
      </c>
      <c r="D559" s="10" t="s">
        <v>457</v>
      </c>
      <c r="E559" s="24" t="s">
        <v>1849</v>
      </c>
      <c r="F559" s="12"/>
      <c r="G559" s="23" t="s">
        <v>1850</v>
      </c>
      <c r="H559" s="14" t="n">
        <v>-0.849</v>
      </c>
      <c r="I559" s="15"/>
      <c r="J559" s="12"/>
      <c r="K559" s="9"/>
      <c r="L559" s="16" t="s">
        <v>51</v>
      </c>
      <c r="M559" s="17" t="s">
        <v>52</v>
      </c>
      <c r="N559" s="15" t="s">
        <v>736</v>
      </c>
      <c r="O559" s="16" t="s">
        <v>54</v>
      </c>
      <c r="P559" s="10" t="s">
        <v>1851</v>
      </c>
      <c r="Q559" s="16"/>
      <c r="R559" s="18" t="s">
        <v>52</v>
      </c>
      <c r="S559" s="19" t="s">
        <v>736</v>
      </c>
      <c r="T559" s="12" t="str">
        <f aca="false">IF(R559="維持",J559,IF(R559="排除","無關新聞事件",IFERROR(INDEX(事件規則!$B$2:$B$53,MATCH(S559,事件規則!$A$2:$A$53,0)),"")))</f>
        <v>重大訴訟</v>
      </c>
      <c r="U559" s="20" t="n">
        <f aca="false">IF(R559="維持",K559,IF(R559="排除",0,IFERROR(INDEX(事件規則!$C$2:$C$53,MATCH(S559,事件規則!$A$2:$A$53,0)),"")))</f>
        <v>4</v>
      </c>
      <c r="V559" s="21"/>
      <c r="W559" s="22"/>
      <c r="X559" s="10" t="str">
        <f aca="false">IF(AND(R559="修改",S559=""),"請選新事件代碼",IF(AND(R559&lt;&gt;"修改",S559&lt;&gt;""),"只有「修改」才需填代碼",""))</f>
        <v/>
      </c>
      <c r="Y559" s="21"/>
      <c r="Z559" s="22"/>
      <c r="AA559" s="23" t="s">
        <v>1852</v>
      </c>
      <c r="AB559" s="13"/>
    </row>
    <row r="560" customFormat="false" ht="44" hidden="false" customHeight="false" outlineLevel="0" collapsed="false">
      <c r="A560" s="16" t="n">
        <v>559</v>
      </c>
      <c r="B560" s="9" t="s">
        <v>45</v>
      </c>
      <c r="C560" s="9" t="s">
        <v>1437</v>
      </c>
      <c r="D560" s="10" t="s">
        <v>1438</v>
      </c>
      <c r="E560" s="24" t="s">
        <v>1853</v>
      </c>
      <c r="F560" s="12"/>
      <c r="G560" s="23" t="s">
        <v>317</v>
      </c>
      <c r="H560" s="14" t="n">
        <v>-0.848</v>
      </c>
      <c r="I560" s="15"/>
      <c r="J560" s="12"/>
      <c r="K560" s="9"/>
      <c r="L560" s="16" t="s">
        <v>51</v>
      </c>
      <c r="M560" s="17" t="s">
        <v>79</v>
      </c>
      <c r="N560" s="15"/>
      <c r="O560" s="16" t="s">
        <v>54</v>
      </c>
      <c r="P560" s="12" t="s">
        <v>1625</v>
      </c>
      <c r="Q560" s="16"/>
      <c r="R560" s="18" t="s">
        <v>79</v>
      </c>
      <c r="S560" s="19"/>
      <c r="T560" s="12" t="str">
        <f aca="false">IF(R560="維持",J560,IF(R560="排除","無關新聞事件",IFERROR(INDEX(事件規則!$B$2:$B$53,MATCH(S560,事件規則!$A$2:$A$53,0)),"")))</f>
        <v>無關新聞事件</v>
      </c>
      <c r="U560" s="20" t="n">
        <f aca="false">IF(R560="維持",K560,IF(R560="排除",0,IFERROR(INDEX(事件規則!$C$2:$C$53,MATCH(S560,事件規則!$A$2:$A$53,0)),"")))</f>
        <v>0</v>
      </c>
      <c r="V560" s="21"/>
      <c r="W560" s="22"/>
      <c r="X560" s="10" t="str">
        <f aca="false">IF(AND(R560="修改",S560=""),"請選新事件代碼",IF(AND(R560&lt;&gt;"修改",S560&lt;&gt;""),"只有「修改」才需填代碼",""))</f>
        <v/>
      </c>
      <c r="Y560" s="21"/>
      <c r="Z560" s="22"/>
      <c r="AA560" s="23" t="s">
        <v>1854</v>
      </c>
      <c r="AB560" s="13"/>
    </row>
    <row r="561" customFormat="false" ht="44" hidden="false" customHeight="false" outlineLevel="0" collapsed="false">
      <c r="A561" s="16" t="n">
        <v>560</v>
      </c>
      <c r="B561" s="9" t="s">
        <v>65</v>
      </c>
      <c r="C561" s="9" t="s">
        <v>142</v>
      </c>
      <c r="D561" s="10" t="s">
        <v>143</v>
      </c>
      <c r="E561" s="24" t="s">
        <v>1855</v>
      </c>
      <c r="F561" s="12"/>
      <c r="G561" s="23" t="s">
        <v>120</v>
      </c>
      <c r="H561" s="14" t="n">
        <v>-0.848</v>
      </c>
      <c r="I561" s="15"/>
      <c r="J561" s="12"/>
      <c r="K561" s="9"/>
      <c r="L561" s="16" t="s">
        <v>51</v>
      </c>
      <c r="M561" s="17" t="s">
        <v>79</v>
      </c>
      <c r="N561" s="15"/>
      <c r="O561" s="16" t="s">
        <v>54</v>
      </c>
      <c r="P561" s="12" t="s">
        <v>1625</v>
      </c>
      <c r="Q561" s="16"/>
      <c r="R561" s="18" t="s">
        <v>79</v>
      </c>
      <c r="S561" s="19"/>
      <c r="T561" s="12" t="str">
        <f aca="false">IF(R561="維持",J561,IF(R561="排除","無關新聞事件",IFERROR(INDEX(事件規則!$B$2:$B$53,MATCH(S561,事件規則!$A$2:$A$53,0)),"")))</f>
        <v>無關新聞事件</v>
      </c>
      <c r="U561" s="20" t="n">
        <f aca="false">IF(R561="維持",K561,IF(R561="排除",0,IFERROR(INDEX(事件規則!$C$2:$C$53,MATCH(S561,事件規則!$A$2:$A$53,0)),"")))</f>
        <v>0</v>
      </c>
      <c r="V561" s="21"/>
      <c r="W561" s="22"/>
      <c r="X561" s="10" t="str">
        <f aca="false">IF(AND(R561="修改",S561=""),"請選新事件代碼",IF(AND(R561&lt;&gt;"修改",S561&lt;&gt;""),"只有「修改」才需填代碼",""))</f>
        <v/>
      </c>
      <c r="Y561" s="21"/>
      <c r="Z561" s="22"/>
      <c r="AA561" s="23" t="s">
        <v>1856</v>
      </c>
      <c r="AB561" s="13"/>
    </row>
    <row r="562" customFormat="false" ht="23.85" hidden="false" customHeight="false" outlineLevel="0" collapsed="false">
      <c r="A562" s="16" t="n">
        <v>561</v>
      </c>
      <c r="B562" s="9" t="s">
        <v>65</v>
      </c>
      <c r="C562" s="9" t="s">
        <v>142</v>
      </c>
      <c r="D562" s="10" t="s">
        <v>143</v>
      </c>
      <c r="E562" s="24" t="s">
        <v>1857</v>
      </c>
      <c r="F562" s="12"/>
      <c r="G562" s="23" t="s">
        <v>1023</v>
      </c>
      <c r="H562" s="14" t="n">
        <v>-0.847</v>
      </c>
      <c r="I562" s="15"/>
      <c r="J562" s="12"/>
      <c r="K562" s="9"/>
      <c r="L562" s="16" t="s">
        <v>51</v>
      </c>
      <c r="M562" s="17" t="s">
        <v>52</v>
      </c>
      <c r="N562" s="15" t="s">
        <v>61</v>
      </c>
      <c r="O562" s="16" t="s">
        <v>54</v>
      </c>
      <c r="P562" s="10" t="s">
        <v>1858</v>
      </c>
      <c r="Q562" s="16"/>
      <c r="R562" s="18" t="s">
        <v>52</v>
      </c>
      <c r="S562" s="19" t="s">
        <v>61</v>
      </c>
      <c r="T562" s="12" t="str">
        <f aca="false">IF(R562="維持",J562,IF(R562="排除","無關新聞事件",IFERROR(INDEX(事件規則!$B$2:$B$53,MATCH(S562,事件規則!$A$2:$A$53,0)),"")))</f>
        <v>裁員或人力縮減</v>
      </c>
      <c r="U562" s="20" t="n">
        <f aca="false">IF(R562="維持",K562,IF(R562="排除",0,IFERROR(INDEX(事件規則!$C$2:$C$53,MATCH(S562,事件規則!$A$2:$A$53,0)),"")))</f>
        <v>3</v>
      </c>
      <c r="V562" s="21"/>
      <c r="W562" s="22"/>
      <c r="X562" s="10" t="str">
        <f aca="false">IF(AND(R562="修改",S562=""),"請選新事件代碼",IF(AND(R562&lt;&gt;"修改",S562&lt;&gt;""),"只有「修改」才需填代碼",""))</f>
        <v/>
      </c>
      <c r="Y562" s="21"/>
      <c r="Z562" s="22"/>
      <c r="AA562" s="23" t="s">
        <v>1859</v>
      </c>
      <c r="AB562" s="13"/>
    </row>
    <row r="563" customFormat="false" ht="44" hidden="false" customHeight="false" outlineLevel="0" collapsed="false">
      <c r="A563" s="16" t="n">
        <v>562</v>
      </c>
      <c r="B563" s="9" t="s">
        <v>45</v>
      </c>
      <c r="C563" s="9" t="s">
        <v>240</v>
      </c>
      <c r="D563" s="10" t="s">
        <v>241</v>
      </c>
      <c r="E563" s="24" t="s">
        <v>1860</v>
      </c>
      <c r="F563" s="12"/>
      <c r="G563" s="13" t="s">
        <v>1861</v>
      </c>
      <c r="H563" s="14" t="n">
        <v>-0.847</v>
      </c>
      <c r="I563" s="15"/>
      <c r="J563" s="12"/>
      <c r="K563" s="9"/>
      <c r="L563" s="16" t="s">
        <v>51</v>
      </c>
      <c r="M563" s="17" t="s">
        <v>79</v>
      </c>
      <c r="N563" s="15"/>
      <c r="O563" s="16" t="s">
        <v>54</v>
      </c>
      <c r="P563" s="12" t="s">
        <v>1625</v>
      </c>
      <c r="Q563" s="16"/>
      <c r="R563" s="18" t="s">
        <v>79</v>
      </c>
      <c r="S563" s="19"/>
      <c r="T563" s="12" t="str">
        <f aca="false">IF(R563="維持",J563,IF(R563="排除","無關新聞事件",IFERROR(INDEX(事件規則!$B$2:$B$53,MATCH(S563,事件規則!$A$2:$A$53,0)),"")))</f>
        <v>無關新聞事件</v>
      </c>
      <c r="U563" s="20" t="n">
        <f aca="false">IF(R563="維持",K563,IF(R563="排除",0,IFERROR(INDEX(事件規則!$C$2:$C$53,MATCH(S563,事件規則!$A$2:$A$53,0)),"")))</f>
        <v>0</v>
      </c>
      <c r="V563" s="21"/>
      <c r="W563" s="22"/>
      <c r="X563" s="10" t="str">
        <f aca="false">IF(AND(R563="修改",S563=""),"請選新事件代碼",IF(AND(R563&lt;&gt;"修改",S563&lt;&gt;""),"只有「修改」才需填代碼",""))</f>
        <v/>
      </c>
      <c r="Y563" s="21"/>
      <c r="Z563" s="22"/>
      <c r="AA563" s="23" t="s">
        <v>1862</v>
      </c>
      <c r="AB563" s="13"/>
    </row>
    <row r="564" customFormat="false" ht="44" hidden="false" customHeight="false" outlineLevel="0" collapsed="false">
      <c r="A564" s="16" t="n">
        <v>563</v>
      </c>
      <c r="B564" s="9" t="s">
        <v>331</v>
      </c>
      <c r="C564" s="9" t="s">
        <v>1642</v>
      </c>
      <c r="D564" s="10" t="s">
        <v>1643</v>
      </c>
      <c r="E564" s="24" t="s">
        <v>1863</v>
      </c>
      <c r="F564" s="12"/>
      <c r="G564" s="23" t="s">
        <v>1341</v>
      </c>
      <c r="H564" s="14" t="n">
        <v>-0.847</v>
      </c>
      <c r="I564" s="15"/>
      <c r="J564" s="12"/>
      <c r="K564" s="9"/>
      <c r="L564" s="16" t="s">
        <v>51</v>
      </c>
      <c r="M564" s="17" t="s">
        <v>79</v>
      </c>
      <c r="N564" s="15"/>
      <c r="O564" s="16" t="s">
        <v>54</v>
      </c>
      <c r="P564" s="12" t="s">
        <v>1625</v>
      </c>
      <c r="Q564" s="16"/>
      <c r="R564" s="18" t="s">
        <v>79</v>
      </c>
      <c r="S564" s="19"/>
      <c r="T564" s="12" t="str">
        <f aca="false">IF(R564="維持",J564,IF(R564="排除","無關新聞事件",IFERROR(INDEX(事件規則!$B$2:$B$53,MATCH(S564,事件規則!$A$2:$A$53,0)),"")))</f>
        <v>無關新聞事件</v>
      </c>
      <c r="U564" s="20" t="n">
        <f aca="false">IF(R564="維持",K564,IF(R564="排除",0,IFERROR(INDEX(事件規則!$C$2:$C$53,MATCH(S564,事件規則!$A$2:$A$53,0)),"")))</f>
        <v>0</v>
      </c>
      <c r="V564" s="21"/>
      <c r="W564" s="22"/>
      <c r="X564" s="10" t="str">
        <f aca="false">IF(AND(R564="修改",S564=""),"請選新事件代碼",IF(AND(R564&lt;&gt;"修改",S564&lt;&gt;""),"只有「修改」才需填代碼",""))</f>
        <v/>
      </c>
      <c r="Y564" s="21"/>
      <c r="Z564" s="22"/>
      <c r="AA564" s="23" t="s">
        <v>1864</v>
      </c>
      <c r="AB564" s="13"/>
    </row>
    <row r="565" customFormat="false" ht="44" hidden="false" customHeight="false" outlineLevel="0" collapsed="false">
      <c r="A565" s="16" t="n">
        <v>564</v>
      </c>
      <c r="B565" s="9" t="s">
        <v>65</v>
      </c>
      <c r="C565" s="9" t="s">
        <v>739</v>
      </c>
      <c r="D565" s="10" t="s">
        <v>740</v>
      </c>
      <c r="E565" s="24" t="s">
        <v>1865</v>
      </c>
      <c r="F565" s="12"/>
      <c r="G565" s="23" t="s">
        <v>1866</v>
      </c>
      <c r="H565" s="14" t="n">
        <v>-0.846</v>
      </c>
      <c r="I565" s="15"/>
      <c r="J565" s="12"/>
      <c r="K565" s="9"/>
      <c r="L565" s="16" t="s">
        <v>51</v>
      </c>
      <c r="M565" s="17" t="s">
        <v>79</v>
      </c>
      <c r="N565" s="15"/>
      <c r="O565" s="16" t="s">
        <v>54</v>
      </c>
      <c r="P565" s="12" t="s">
        <v>1625</v>
      </c>
      <c r="Q565" s="16"/>
      <c r="R565" s="18" t="s">
        <v>79</v>
      </c>
      <c r="S565" s="19"/>
      <c r="T565" s="12" t="str">
        <f aca="false">IF(R565="維持",J565,IF(R565="排除","無關新聞事件",IFERROR(INDEX(事件規則!$B$2:$B$53,MATCH(S565,事件規則!$A$2:$A$53,0)),"")))</f>
        <v>無關新聞事件</v>
      </c>
      <c r="U565" s="20" t="n">
        <f aca="false">IF(R565="維持",K565,IF(R565="排除",0,IFERROR(INDEX(事件規則!$C$2:$C$53,MATCH(S565,事件規則!$A$2:$A$53,0)),"")))</f>
        <v>0</v>
      </c>
      <c r="V565" s="21"/>
      <c r="W565" s="22"/>
      <c r="X565" s="10" t="str">
        <f aca="false">IF(AND(R565="修改",S565=""),"請選新事件代碼",IF(AND(R565&lt;&gt;"修改",S565&lt;&gt;""),"只有「修改」才需填代碼",""))</f>
        <v/>
      </c>
      <c r="Y565" s="21"/>
      <c r="Z565" s="22"/>
      <c r="AA565" s="23" t="s">
        <v>1867</v>
      </c>
      <c r="AB565" s="13"/>
    </row>
    <row r="566" customFormat="false" ht="44" hidden="false" customHeight="false" outlineLevel="0" collapsed="false">
      <c r="A566" s="16" t="n">
        <v>565</v>
      </c>
      <c r="B566" s="9" t="s">
        <v>45</v>
      </c>
      <c r="C566" s="9" t="s">
        <v>732</v>
      </c>
      <c r="D566" s="10" t="s">
        <v>732</v>
      </c>
      <c r="E566" s="24" t="s">
        <v>1868</v>
      </c>
      <c r="F566" s="12"/>
      <c r="G566" s="23" t="s">
        <v>504</v>
      </c>
      <c r="H566" s="14" t="n">
        <v>-0.846</v>
      </c>
      <c r="I566" s="15"/>
      <c r="J566" s="12"/>
      <c r="K566" s="9"/>
      <c r="L566" s="16" t="s">
        <v>51</v>
      </c>
      <c r="M566" s="17" t="s">
        <v>79</v>
      </c>
      <c r="N566" s="15"/>
      <c r="O566" s="16" t="s">
        <v>54</v>
      </c>
      <c r="P566" s="12" t="s">
        <v>1625</v>
      </c>
      <c r="Q566" s="16"/>
      <c r="R566" s="18" t="s">
        <v>79</v>
      </c>
      <c r="S566" s="19"/>
      <c r="T566" s="12" t="str">
        <f aca="false">IF(R566="維持",J566,IF(R566="排除","無關新聞事件",IFERROR(INDEX(事件規則!$B$2:$B$53,MATCH(S566,事件規則!$A$2:$A$53,0)),"")))</f>
        <v>無關新聞事件</v>
      </c>
      <c r="U566" s="20" t="n">
        <f aca="false">IF(R566="維持",K566,IF(R566="排除",0,IFERROR(INDEX(事件規則!$C$2:$C$53,MATCH(S566,事件規則!$A$2:$A$53,0)),"")))</f>
        <v>0</v>
      </c>
      <c r="V566" s="21"/>
      <c r="W566" s="22"/>
      <c r="X566" s="10" t="str">
        <f aca="false">IF(AND(R566="修改",S566=""),"請選新事件代碼",IF(AND(R566&lt;&gt;"修改",S566&lt;&gt;""),"只有「修改」才需填代碼",""))</f>
        <v/>
      </c>
      <c r="Y566" s="21"/>
      <c r="Z566" s="22"/>
      <c r="AA566" s="23" t="s">
        <v>1869</v>
      </c>
      <c r="AB566" s="13"/>
    </row>
    <row r="567" customFormat="false" ht="44" hidden="false" customHeight="false" outlineLevel="0" collapsed="false">
      <c r="A567" s="16" t="n">
        <v>566</v>
      </c>
      <c r="B567" s="9" t="s">
        <v>65</v>
      </c>
      <c r="C567" s="9" t="s">
        <v>1229</v>
      </c>
      <c r="D567" s="10" t="s">
        <v>1230</v>
      </c>
      <c r="E567" s="24" t="s">
        <v>1870</v>
      </c>
      <c r="F567" s="12"/>
      <c r="G567" s="23" t="s">
        <v>771</v>
      </c>
      <c r="H567" s="14" t="n">
        <v>-0.845</v>
      </c>
      <c r="I567" s="15"/>
      <c r="J567" s="12"/>
      <c r="K567" s="9"/>
      <c r="L567" s="16" t="s">
        <v>51</v>
      </c>
      <c r="M567" s="17" t="s">
        <v>79</v>
      </c>
      <c r="N567" s="15"/>
      <c r="O567" s="16" t="s">
        <v>54</v>
      </c>
      <c r="P567" s="12" t="s">
        <v>1625</v>
      </c>
      <c r="Q567" s="16"/>
      <c r="R567" s="18" t="s">
        <v>79</v>
      </c>
      <c r="S567" s="19"/>
      <c r="T567" s="12" t="str">
        <f aca="false">IF(R567="維持",J567,IF(R567="排除","無關新聞事件",IFERROR(INDEX(事件規則!$B$2:$B$53,MATCH(S567,事件規則!$A$2:$A$53,0)),"")))</f>
        <v>無關新聞事件</v>
      </c>
      <c r="U567" s="20" t="n">
        <f aca="false">IF(R567="維持",K567,IF(R567="排除",0,IFERROR(INDEX(事件規則!$C$2:$C$53,MATCH(S567,事件規則!$A$2:$A$53,0)),"")))</f>
        <v>0</v>
      </c>
      <c r="V567" s="21"/>
      <c r="W567" s="22"/>
      <c r="X567" s="10" t="str">
        <f aca="false">IF(AND(R567="修改",S567=""),"請選新事件代碼",IF(AND(R567&lt;&gt;"修改",S567&lt;&gt;""),"只有「修改」才需填代碼",""))</f>
        <v/>
      </c>
      <c r="Y567" s="21"/>
      <c r="Z567" s="22"/>
      <c r="AA567" s="23" t="s">
        <v>1871</v>
      </c>
      <c r="AB567" s="13"/>
    </row>
    <row r="568" customFormat="false" ht="15" hidden="false" customHeight="false" outlineLevel="0" collapsed="false">
      <c r="A568" s="16" t="n">
        <v>567</v>
      </c>
      <c r="B568" s="9" t="s">
        <v>65</v>
      </c>
      <c r="C568" s="9" t="s">
        <v>46</v>
      </c>
      <c r="D568" s="10" t="s">
        <v>47</v>
      </c>
      <c r="E568" s="24" t="s">
        <v>1872</v>
      </c>
      <c r="F568" s="12"/>
      <c r="G568" s="23" t="s">
        <v>120</v>
      </c>
      <c r="H568" s="14" t="n">
        <v>-0.845</v>
      </c>
      <c r="I568" s="15"/>
      <c r="J568" s="12"/>
      <c r="K568" s="9"/>
      <c r="L568" s="16" t="s">
        <v>51</v>
      </c>
      <c r="M568" s="17" t="s">
        <v>52</v>
      </c>
      <c r="N568" s="15" t="s">
        <v>53</v>
      </c>
      <c r="O568" s="16" t="s">
        <v>54</v>
      </c>
      <c r="P568" s="10" t="s">
        <v>926</v>
      </c>
      <c r="Q568" s="16"/>
      <c r="R568" s="18" t="s">
        <v>52</v>
      </c>
      <c r="S568" s="19" t="s">
        <v>53</v>
      </c>
      <c r="T568" s="12" t="str">
        <f aca="false">IF(R568="維持",J568,IF(R568="排除","無關新聞事件",IFERROR(INDEX(事件規則!$B$2:$B$53,MATCH(S568,事件規則!$A$2:$A$53,0)),"")))</f>
        <v>股價下跌</v>
      </c>
      <c r="U568" s="20" t="n">
        <f aca="false">IF(R568="維持",K568,IF(R568="排除",0,IFERROR(INDEX(事件規則!$C$2:$C$53,MATCH(S568,事件規則!$A$2:$A$53,0)),"")))</f>
        <v>1</v>
      </c>
      <c r="V568" s="21"/>
      <c r="W568" s="22"/>
      <c r="X568" s="10" t="str">
        <f aca="false">IF(AND(R568="修改",S568=""),"請選新事件代碼",IF(AND(R568&lt;&gt;"修改",S568&lt;&gt;""),"只有「修改」才需填代碼",""))</f>
        <v/>
      </c>
      <c r="Y568" s="21"/>
      <c r="Z568" s="22"/>
      <c r="AA568" s="23" t="s">
        <v>1873</v>
      </c>
      <c r="AB568" s="13"/>
    </row>
    <row r="569" customFormat="false" ht="44" hidden="false" customHeight="false" outlineLevel="0" collapsed="false">
      <c r="A569" s="16" t="n">
        <v>568</v>
      </c>
      <c r="B569" s="9" t="s">
        <v>45</v>
      </c>
      <c r="C569" s="16"/>
      <c r="D569" s="10" t="s">
        <v>157</v>
      </c>
      <c r="E569" s="11" t="s">
        <v>1874</v>
      </c>
      <c r="F569" s="12" t="s">
        <v>1875</v>
      </c>
      <c r="G569" s="23" t="s">
        <v>152</v>
      </c>
      <c r="H569" s="14" t="n">
        <v>-0.845</v>
      </c>
      <c r="I569" s="15"/>
      <c r="J569" s="12"/>
      <c r="K569" s="9"/>
      <c r="L569" s="16" t="s">
        <v>51</v>
      </c>
      <c r="M569" s="17" t="s">
        <v>79</v>
      </c>
      <c r="N569" s="15"/>
      <c r="O569" s="16" t="s">
        <v>54</v>
      </c>
      <c r="P569" s="12" t="s">
        <v>1625</v>
      </c>
      <c r="Q569" s="16"/>
      <c r="R569" s="18" t="s">
        <v>79</v>
      </c>
      <c r="S569" s="19"/>
      <c r="T569" s="12" t="str">
        <f aca="false">IF(R569="維持",J569,IF(R569="排除","無關新聞事件",IFERROR(INDEX(事件規則!$B$2:$B$53,MATCH(S569,事件規則!$A$2:$A$53,0)),"")))</f>
        <v>無關新聞事件</v>
      </c>
      <c r="U569" s="20" t="n">
        <f aca="false">IF(R569="維持",K569,IF(R569="排除",0,IFERROR(INDEX(事件規則!$C$2:$C$53,MATCH(S569,事件規則!$A$2:$A$53,0)),"")))</f>
        <v>0</v>
      </c>
      <c r="V569" s="21"/>
      <c r="W569" s="22"/>
      <c r="X569" s="10" t="str">
        <f aca="false">IF(AND(R569="修改",S569=""),"請選新事件代碼",IF(AND(R569&lt;&gt;"修改",S569&lt;&gt;""),"只有「修改」才需填代碼",""))</f>
        <v/>
      </c>
      <c r="Y569" s="21"/>
      <c r="Z569" s="22"/>
      <c r="AA569" s="23" t="s">
        <v>1876</v>
      </c>
      <c r="AB569" s="13"/>
    </row>
    <row r="570" customFormat="false" ht="44" hidden="false" customHeight="false" outlineLevel="0" collapsed="false">
      <c r="A570" s="16" t="n">
        <v>569</v>
      </c>
      <c r="B570" s="9" t="s">
        <v>45</v>
      </c>
      <c r="C570" s="16"/>
      <c r="D570" s="10" t="s">
        <v>570</v>
      </c>
      <c r="E570" s="11" t="s">
        <v>1874</v>
      </c>
      <c r="F570" s="12" t="s">
        <v>1875</v>
      </c>
      <c r="G570" s="23" t="s">
        <v>152</v>
      </c>
      <c r="H570" s="14" t="n">
        <v>-0.845</v>
      </c>
      <c r="I570" s="15"/>
      <c r="J570" s="12"/>
      <c r="K570" s="9"/>
      <c r="L570" s="16" t="s">
        <v>51</v>
      </c>
      <c r="M570" s="17" t="s">
        <v>79</v>
      </c>
      <c r="N570" s="15"/>
      <c r="O570" s="16" t="s">
        <v>54</v>
      </c>
      <c r="P570" s="12" t="s">
        <v>1625</v>
      </c>
      <c r="Q570" s="16"/>
      <c r="R570" s="18" t="s">
        <v>79</v>
      </c>
      <c r="S570" s="19"/>
      <c r="T570" s="12" t="str">
        <f aca="false">IF(R570="維持",J570,IF(R570="排除","無關新聞事件",IFERROR(INDEX(事件規則!$B$2:$B$53,MATCH(S570,事件規則!$A$2:$A$53,0)),"")))</f>
        <v>無關新聞事件</v>
      </c>
      <c r="U570" s="20" t="n">
        <f aca="false">IF(R570="維持",K570,IF(R570="排除",0,IFERROR(INDEX(事件規則!$C$2:$C$53,MATCH(S570,事件規則!$A$2:$A$53,0)),"")))</f>
        <v>0</v>
      </c>
      <c r="V570" s="21"/>
      <c r="W570" s="22"/>
      <c r="X570" s="10" t="str">
        <f aca="false">IF(AND(R570="修改",S570=""),"請選新事件代碼",IF(AND(R570&lt;&gt;"修改",S570&lt;&gt;""),"只有「修改」才需填代碼",""))</f>
        <v/>
      </c>
      <c r="Y570" s="21"/>
      <c r="Z570" s="22"/>
      <c r="AA570" s="23" t="s">
        <v>1877</v>
      </c>
      <c r="AB570" s="13"/>
    </row>
    <row r="571" customFormat="false" ht="44" hidden="false" customHeight="false" outlineLevel="0" collapsed="false">
      <c r="A571" s="16" t="n">
        <v>570</v>
      </c>
      <c r="B571" s="9" t="s">
        <v>65</v>
      </c>
      <c r="C571" s="9" t="s">
        <v>1878</v>
      </c>
      <c r="D571" s="10" t="s">
        <v>1879</v>
      </c>
      <c r="E571" s="24" t="s">
        <v>1880</v>
      </c>
      <c r="F571" s="12"/>
      <c r="G571" s="23" t="s">
        <v>779</v>
      </c>
      <c r="H571" s="14" t="n">
        <v>-0.844</v>
      </c>
      <c r="I571" s="15"/>
      <c r="J571" s="12"/>
      <c r="K571" s="9"/>
      <c r="L571" s="16" t="s">
        <v>51</v>
      </c>
      <c r="M571" s="17" t="s">
        <v>79</v>
      </c>
      <c r="N571" s="15"/>
      <c r="O571" s="16" t="s">
        <v>54</v>
      </c>
      <c r="P571" s="12" t="s">
        <v>1625</v>
      </c>
      <c r="Q571" s="16"/>
      <c r="R571" s="18" t="s">
        <v>79</v>
      </c>
      <c r="S571" s="19"/>
      <c r="T571" s="12" t="str">
        <f aca="false">IF(R571="維持",J571,IF(R571="排除","無關新聞事件",IFERROR(INDEX(事件規則!$B$2:$B$53,MATCH(S571,事件規則!$A$2:$A$53,0)),"")))</f>
        <v>無關新聞事件</v>
      </c>
      <c r="U571" s="20" t="n">
        <f aca="false">IF(R571="維持",K571,IF(R571="排除",0,IFERROR(INDEX(事件規則!$C$2:$C$53,MATCH(S571,事件規則!$A$2:$A$53,0)),"")))</f>
        <v>0</v>
      </c>
      <c r="V571" s="21"/>
      <c r="W571" s="22"/>
      <c r="X571" s="10" t="str">
        <f aca="false">IF(AND(R571="修改",S571=""),"請選新事件代碼",IF(AND(R571&lt;&gt;"修改",S571&lt;&gt;""),"只有「修改」才需填代碼",""))</f>
        <v/>
      </c>
      <c r="Y571" s="21"/>
      <c r="Z571" s="22"/>
      <c r="AA571" s="23" t="s">
        <v>1881</v>
      </c>
      <c r="AB571" s="13"/>
    </row>
    <row r="572" customFormat="false" ht="44" hidden="false" customHeight="false" outlineLevel="0" collapsed="false">
      <c r="A572" s="16" t="n">
        <v>571</v>
      </c>
      <c r="B572" s="9" t="s">
        <v>65</v>
      </c>
      <c r="C572" s="9" t="s">
        <v>1882</v>
      </c>
      <c r="D572" s="10" t="s">
        <v>1883</v>
      </c>
      <c r="E572" s="24" t="s">
        <v>1884</v>
      </c>
      <c r="F572" s="12"/>
      <c r="G572" s="23" t="s">
        <v>258</v>
      </c>
      <c r="H572" s="14" t="n">
        <v>-0.844</v>
      </c>
      <c r="I572" s="15"/>
      <c r="J572" s="12"/>
      <c r="K572" s="9"/>
      <c r="L572" s="16" t="s">
        <v>51</v>
      </c>
      <c r="M572" s="17" t="s">
        <v>79</v>
      </c>
      <c r="N572" s="15"/>
      <c r="O572" s="16" t="s">
        <v>54</v>
      </c>
      <c r="P572" s="12" t="s">
        <v>1625</v>
      </c>
      <c r="Q572" s="16"/>
      <c r="R572" s="18" t="s">
        <v>79</v>
      </c>
      <c r="S572" s="19"/>
      <c r="T572" s="12" t="str">
        <f aca="false">IF(R572="維持",J572,IF(R572="排除","無關新聞事件",IFERROR(INDEX(事件規則!$B$2:$B$53,MATCH(S572,事件規則!$A$2:$A$53,0)),"")))</f>
        <v>無關新聞事件</v>
      </c>
      <c r="U572" s="20" t="n">
        <f aca="false">IF(R572="維持",K572,IF(R572="排除",0,IFERROR(INDEX(事件規則!$C$2:$C$53,MATCH(S572,事件規則!$A$2:$A$53,0)),"")))</f>
        <v>0</v>
      </c>
      <c r="V572" s="21"/>
      <c r="W572" s="22"/>
      <c r="X572" s="10" t="str">
        <f aca="false">IF(AND(R572="修改",S572=""),"請選新事件代碼",IF(AND(R572&lt;&gt;"修改",S572&lt;&gt;""),"只有「修改」才需填代碼",""))</f>
        <v/>
      </c>
      <c r="Y572" s="21"/>
      <c r="Z572" s="22"/>
      <c r="AA572" s="23" t="s">
        <v>1885</v>
      </c>
      <c r="AB572" s="13"/>
    </row>
    <row r="573" customFormat="false" ht="44" hidden="false" customHeight="false" outlineLevel="0" collapsed="false">
      <c r="A573" s="16" t="n">
        <v>572</v>
      </c>
      <c r="B573" s="9" t="s">
        <v>386</v>
      </c>
      <c r="C573" s="9" t="s">
        <v>1878</v>
      </c>
      <c r="D573" s="10" t="s">
        <v>1879</v>
      </c>
      <c r="E573" s="24" t="s">
        <v>1886</v>
      </c>
      <c r="F573" s="12"/>
      <c r="G573" s="23" t="s">
        <v>779</v>
      </c>
      <c r="H573" s="14" t="n">
        <v>-0.842</v>
      </c>
      <c r="I573" s="15"/>
      <c r="J573" s="12"/>
      <c r="K573" s="9"/>
      <c r="L573" s="16" t="s">
        <v>51</v>
      </c>
      <c r="M573" s="17" t="s">
        <v>79</v>
      </c>
      <c r="N573" s="15"/>
      <c r="O573" s="16" t="s">
        <v>54</v>
      </c>
      <c r="P573" s="12" t="s">
        <v>1625</v>
      </c>
      <c r="Q573" s="16"/>
      <c r="R573" s="18" t="s">
        <v>79</v>
      </c>
      <c r="S573" s="19"/>
      <c r="T573" s="12" t="str">
        <f aca="false">IF(R573="維持",J573,IF(R573="排除","無關新聞事件",IFERROR(INDEX(事件規則!$B$2:$B$53,MATCH(S573,事件規則!$A$2:$A$53,0)),"")))</f>
        <v>無關新聞事件</v>
      </c>
      <c r="U573" s="20" t="n">
        <f aca="false">IF(R573="維持",K573,IF(R573="排除",0,IFERROR(INDEX(事件規則!$C$2:$C$53,MATCH(S573,事件規則!$A$2:$A$53,0)),"")))</f>
        <v>0</v>
      </c>
      <c r="V573" s="21"/>
      <c r="W573" s="22"/>
      <c r="X573" s="10" t="str">
        <f aca="false">IF(AND(R573="修改",S573=""),"請選新事件代碼",IF(AND(R573&lt;&gt;"修改",S573&lt;&gt;""),"只有「修改」才需填代碼",""))</f>
        <v/>
      </c>
      <c r="Y573" s="21"/>
      <c r="Z573" s="22"/>
      <c r="AA573" s="23" t="s">
        <v>1887</v>
      </c>
      <c r="AB573" s="13"/>
    </row>
    <row r="574" customFormat="false" ht="23.85" hidden="false" customHeight="false" outlineLevel="0" collapsed="false">
      <c r="A574" s="16" t="n">
        <v>573</v>
      </c>
      <c r="B574" s="9" t="s">
        <v>65</v>
      </c>
      <c r="C574" s="9" t="s">
        <v>57</v>
      </c>
      <c r="D574" s="10" t="s">
        <v>58</v>
      </c>
      <c r="E574" s="24" t="s">
        <v>1888</v>
      </c>
      <c r="F574" s="12"/>
      <c r="G574" s="23" t="s">
        <v>939</v>
      </c>
      <c r="H574" s="14" t="n">
        <v>-0.841</v>
      </c>
      <c r="I574" s="15"/>
      <c r="J574" s="12"/>
      <c r="K574" s="9"/>
      <c r="L574" s="16" t="s">
        <v>51</v>
      </c>
      <c r="M574" s="17" t="s">
        <v>52</v>
      </c>
      <c r="N574" s="15" t="s">
        <v>61</v>
      </c>
      <c r="O574" s="16" t="s">
        <v>62</v>
      </c>
      <c r="P574" s="12" t="s">
        <v>1835</v>
      </c>
      <c r="Q574" s="16"/>
      <c r="R574" s="18" t="s">
        <v>52</v>
      </c>
      <c r="S574" s="19" t="s">
        <v>61</v>
      </c>
      <c r="T574" s="12" t="str">
        <f aca="false">IF(R574="維持",J574,IF(R574="排除","無關新聞事件",IFERROR(INDEX(事件規則!$B$2:$B$53,MATCH(S574,事件規則!$A$2:$A$53,0)),"")))</f>
        <v>裁員或人力縮減</v>
      </c>
      <c r="U574" s="20" t="n">
        <f aca="false">IF(R574="維持",K574,IF(R574="排除",0,IFERROR(INDEX(事件規則!$C$2:$C$53,MATCH(S574,事件規則!$A$2:$A$53,0)),"")))</f>
        <v>3</v>
      </c>
      <c r="V574" s="21"/>
      <c r="W574" s="22"/>
      <c r="X574" s="10" t="str">
        <f aca="false">IF(AND(R574="修改",S574=""),"請選新事件代碼",IF(AND(R574&lt;&gt;"修改",S574&lt;&gt;""),"只有「修改」才需填代碼",""))</f>
        <v/>
      </c>
      <c r="Y574" s="21"/>
      <c r="Z574" s="22"/>
      <c r="AA574" s="23" t="s">
        <v>1889</v>
      </c>
      <c r="AB574" s="13"/>
    </row>
    <row r="575" customFormat="false" ht="44" hidden="false" customHeight="false" outlineLevel="0" collapsed="false">
      <c r="A575" s="16" t="n">
        <v>574</v>
      </c>
      <c r="B575" s="9" t="s">
        <v>45</v>
      </c>
      <c r="C575" s="9" t="s">
        <v>441</v>
      </c>
      <c r="D575" s="10" t="s">
        <v>442</v>
      </c>
      <c r="E575" s="24" t="s">
        <v>1890</v>
      </c>
      <c r="F575" s="12"/>
      <c r="G575" s="23" t="s">
        <v>1891</v>
      </c>
      <c r="H575" s="14" t="n">
        <v>-0.84</v>
      </c>
      <c r="I575" s="15"/>
      <c r="J575" s="12"/>
      <c r="K575" s="9"/>
      <c r="L575" s="16" t="s">
        <v>51</v>
      </c>
      <c r="M575" s="17" t="s">
        <v>79</v>
      </c>
      <c r="N575" s="15"/>
      <c r="O575" s="16" t="s">
        <v>54</v>
      </c>
      <c r="P575" s="12" t="s">
        <v>1625</v>
      </c>
      <c r="Q575" s="16"/>
      <c r="R575" s="18" t="s">
        <v>79</v>
      </c>
      <c r="S575" s="19"/>
      <c r="T575" s="12" t="str">
        <f aca="false">IF(R575="維持",J575,IF(R575="排除","無關新聞事件",IFERROR(INDEX(事件規則!$B$2:$B$53,MATCH(S575,事件規則!$A$2:$A$53,0)),"")))</f>
        <v>無關新聞事件</v>
      </c>
      <c r="U575" s="20" t="n">
        <f aca="false">IF(R575="維持",K575,IF(R575="排除",0,IFERROR(INDEX(事件規則!$C$2:$C$53,MATCH(S575,事件規則!$A$2:$A$53,0)),"")))</f>
        <v>0</v>
      </c>
      <c r="V575" s="21"/>
      <c r="W575" s="22"/>
      <c r="X575" s="10" t="str">
        <f aca="false">IF(AND(R575="修改",S575=""),"請選新事件代碼",IF(AND(R575&lt;&gt;"修改",S575&lt;&gt;""),"只有「修改」才需填代碼",""))</f>
        <v/>
      </c>
      <c r="Y575" s="21"/>
      <c r="Z575" s="22"/>
      <c r="AA575" s="23" t="s">
        <v>1892</v>
      </c>
      <c r="AB575" s="13"/>
    </row>
    <row r="576" customFormat="false" ht="44" hidden="false" customHeight="false" outlineLevel="0" collapsed="false">
      <c r="A576" s="16" t="n">
        <v>575</v>
      </c>
      <c r="B576" s="9" t="s">
        <v>331</v>
      </c>
      <c r="C576" s="9" t="s">
        <v>156</v>
      </c>
      <c r="D576" s="10" t="s">
        <v>157</v>
      </c>
      <c r="E576" s="24" t="s">
        <v>1893</v>
      </c>
      <c r="F576" s="12"/>
      <c r="G576" s="23" t="s">
        <v>199</v>
      </c>
      <c r="H576" s="14" t="n">
        <v>-0.84</v>
      </c>
      <c r="I576" s="15"/>
      <c r="J576" s="12"/>
      <c r="K576" s="9"/>
      <c r="L576" s="16" t="s">
        <v>51</v>
      </c>
      <c r="M576" s="17" t="s">
        <v>79</v>
      </c>
      <c r="N576" s="15"/>
      <c r="O576" s="16" t="s">
        <v>54</v>
      </c>
      <c r="P576" s="12" t="s">
        <v>1625</v>
      </c>
      <c r="Q576" s="16"/>
      <c r="R576" s="18" t="s">
        <v>79</v>
      </c>
      <c r="S576" s="19"/>
      <c r="T576" s="12" t="str">
        <f aca="false">IF(R576="維持",J576,IF(R576="排除","無關新聞事件",IFERROR(INDEX(事件規則!$B$2:$B$53,MATCH(S576,事件規則!$A$2:$A$53,0)),"")))</f>
        <v>無關新聞事件</v>
      </c>
      <c r="U576" s="20" t="n">
        <f aca="false">IF(R576="維持",K576,IF(R576="排除",0,IFERROR(INDEX(事件規則!$C$2:$C$53,MATCH(S576,事件規則!$A$2:$A$53,0)),"")))</f>
        <v>0</v>
      </c>
      <c r="V576" s="21"/>
      <c r="W576" s="22"/>
      <c r="X576" s="10" t="str">
        <f aca="false">IF(AND(R576="修改",S576=""),"請選新事件代碼",IF(AND(R576&lt;&gt;"修改",S576&lt;&gt;""),"只有「修改」才需填代碼",""))</f>
        <v/>
      </c>
      <c r="Y576" s="21"/>
      <c r="Z576" s="22"/>
      <c r="AA576" s="23" t="s">
        <v>1894</v>
      </c>
      <c r="AB576" s="13"/>
    </row>
    <row r="577" customFormat="false" ht="44" hidden="false" customHeight="false" outlineLevel="0" collapsed="false">
      <c r="A577" s="16" t="n">
        <v>576</v>
      </c>
      <c r="B577" s="9" t="s">
        <v>65</v>
      </c>
      <c r="C577" s="9" t="s">
        <v>132</v>
      </c>
      <c r="D577" s="10" t="s">
        <v>133</v>
      </c>
      <c r="E577" s="24" t="s">
        <v>1895</v>
      </c>
      <c r="F577" s="12"/>
      <c r="G577" s="23" t="s">
        <v>1896</v>
      </c>
      <c r="H577" s="14" t="n">
        <v>-0.84</v>
      </c>
      <c r="I577" s="15"/>
      <c r="J577" s="12"/>
      <c r="K577" s="9"/>
      <c r="L577" s="16" t="s">
        <v>51</v>
      </c>
      <c r="M577" s="17" t="s">
        <v>79</v>
      </c>
      <c r="N577" s="15"/>
      <c r="O577" s="16" t="s">
        <v>54</v>
      </c>
      <c r="P577" s="12" t="s">
        <v>1625</v>
      </c>
      <c r="Q577" s="16"/>
      <c r="R577" s="18" t="s">
        <v>79</v>
      </c>
      <c r="S577" s="19"/>
      <c r="T577" s="12" t="str">
        <f aca="false">IF(R577="維持",J577,IF(R577="排除","無關新聞事件",IFERROR(INDEX(事件規則!$B$2:$B$53,MATCH(S577,事件規則!$A$2:$A$53,0)),"")))</f>
        <v>無關新聞事件</v>
      </c>
      <c r="U577" s="20" t="n">
        <f aca="false">IF(R577="維持",K577,IF(R577="排除",0,IFERROR(INDEX(事件規則!$C$2:$C$53,MATCH(S577,事件規則!$A$2:$A$53,0)),"")))</f>
        <v>0</v>
      </c>
      <c r="V577" s="21"/>
      <c r="W577" s="22"/>
      <c r="X577" s="10" t="str">
        <f aca="false">IF(AND(R577="修改",S577=""),"請選新事件代碼",IF(AND(R577&lt;&gt;"修改",S577&lt;&gt;""),"只有「修改」才需填代碼",""))</f>
        <v/>
      </c>
      <c r="Y577" s="21"/>
      <c r="Z577" s="22"/>
      <c r="AA577" s="23" t="s">
        <v>1897</v>
      </c>
      <c r="AB577" s="13"/>
    </row>
    <row r="578" customFormat="false" ht="44" hidden="false" customHeight="false" outlineLevel="0" collapsed="false">
      <c r="A578" s="16" t="n">
        <v>577</v>
      </c>
      <c r="B578" s="9" t="s">
        <v>65</v>
      </c>
      <c r="C578" s="9" t="s">
        <v>1898</v>
      </c>
      <c r="D578" s="10" t="s">
        <v>1899</v>
      </c>
      <c r="E578" s="24" t="s">
        <v>1900</v>
      </c>
      <c r="F578" s="12"/>
      <c r="G578" s="23" t="s">
        <v>779</v>
      </c>
      <c r="H578" s="14" t="n">
        <v>-0.839</v>
      </c>
      <c r="I578" s="15"/>
      <c r="J578" s="12"/>
      <c r="K578" s="9"/>
      <c r="L578" s="16" t="s">
        <v>51</v>
      </c>
      <c r="M578" s="17" t="s">
        <v>79</v>
      </c>
      <c r="N578" s="15"/>
      <c r="O578" s="16" t="s">
        <v>54</v>
      </c>
      <c r="P578" s="12" t="s">
        <v>1625</v>
      </c>
      <c r="Q578" s="16"/>
      <c r="R578" s="18" t="s">
        <v>79</v>
      </c>
      <c r="S578" s="19"/>
      <c r="T578" s="12" t="str">
        <f aca="false">IF(R578="維持",J578,IF(R578="排除","無關新聞事件",IFERROR(INDEX(事件規則!$B$2:$B$53,MATCH(S578,事件規則!$A$2:$A$53,0)),"")))</f>
        <v>無關新聞事件</v>
      </c>
      <c r="U578" s="20" t="n">
        <f aca="false">IF(R578="維持",K578,IF(R578="排除",0,IFERROR(INDEX(事件規則!$C$2:$C$53,MATCH(S578,事件規則!$A$2:$A$53,0)),"")))</f>
        <v>0</v>
      </c>
      <c r="V578" s="21"/>
      <c r="W578" s="22"/>
      <c r="X578" s="10" t="str">
        <f aca="false">IF(AND(R578="修改",S578=""),"請選新事件代碼",IF(AND(R578&lt;&gt;"修改",S578&lt;&gt;""),"只有「修改」才需填代碼",""))</f>
        <v/>
      </c>
      <c r="Y578" s="21"/>
      <c r="Z578" s="22"/>
      <c r="AA578" s="23" t="s">
        <v>1901</v>
      </c>
      <c r="AB578" s="13"/>
    </row>
    <row r="579" customFormat="false" ht="44" hidden="false" customHeight="false" outlineLevel="0" collapsed="false">
      <c r="A579" s="16" t="n">
        <v>578</v>
      </c>
      <c r="B579" s="9" t="s">
        <v>65</v>
      </c>
      <c r="C579" s="9" t="s">
        <v>132</v>
      </c>
      <c r="D579" s="10" t="s">
        <v>133</v>
      </c>
      <c r="E579" s="24" t="s">
        <v>1902</v>
      </c>
      <c r="F579" s="12"/>
      <c r="G579" s="23" t="s">
        <v>1903</v>
      </c>
      <c r="H579" s="14" t="n">
        <v>-0.839</v>
      </c>
      <c r="I579" s="15"/>
      <c r="J579" s="12"/>
      <c r="K579" s="9"/>
      <c r="L579" s="16" t="s">
        <v>51</v>
      </c>
      <c r="M579" s="17" t="s">
        <v>79</v>
      </c>
      <c r="N579" s="15"/>
      <c r="O579" s="16" t="s">
        <v>54</v>
      </c>
      <c r="P579" s="12" t="s">
        <v>1625</v>
      </c>
      <c r="Q579" s="16"/>
      <c r="R579" s="18" t="s">
        <v>79</v>
      </c>
      <c r="S579" s="19"/>
      <c r="T579" s="12" t="str">
        <f aca="false">IF(R579="維持",J579,IF(R579="排除","無關新聞事件",IFERROR(INDEX(事件規則!$B$2:$B$53,MATCH(S579,事件規則!$A$2:$A$53,0)),"")))</f>
        <v>無關新聞事件</v>
      </c>
      <c r="U579" s="20" t="n">
        <f aca="false">IF(R579="維持",K579,IF(R579="排除",0,IFERROR(INDEX(事件規則!$C$2:$C$53,MATCH(S579,事件規則!$A$2:$A$53,0)),"")))</f>
        <v>0</v>
      </c>
      <c r="V579" s="21"/>
      <c r="W579" s="22"/>
      <c r="X579" s="10" t="str">
        <f aca="false">IF(AND(R579="修改",S579=""),"請選新事件代碼",IF(AND(R579&lt;&gt;"修改",S579&lt;&gt;""),"只有「修改」才需填代碼",""))</f>
        <v/>
      </c>
      <c r="Y579" s="21"/>
      <c r="Z579" s="22"/>
      <c r="AA579" s="23" t="s">
        <v>1904</v>
      </c>
      <c r="AB579" s="13"/>
    </row>
    <row r="580" customFormat="false" ht="44" hidden="false" customHeight="false" outlineLevel="0" collapsed="false">
      <c r="A580" s="16" t="n">
        <v>579</v>
      </c>
      <c r="B580" s="9" t="s">
        <v>331</v>
      </c>
      <c r="C580" s="9" t="s">
        <v>1905</v>
      </c>
      <c r="D580" s="10" t="s">
        <v>1906</v>
      </c>
      <c r="E580" s="24" t="s">
        <v>1907</v>
      </c>
      <c r="F580" s="12"/>
      <c r="G580" s="23" t="s">
        <v>504</v>
      </c>
      <c r="H580" s="14" t="n">
        <v>-0.838</v>
      </c>
      <c r="I580" s="15"/>
      <c r="J580" s="12"/>
      <c r="K580" s="9"/>
      <c r="L580" s="16" t="s">
        <v>51</v>
      </c>
      <c r="M580" s="17" t="s">
        <v>79</v>
      </c>
      <c r="N580" s="15"/>
      <c r="O580" s="16" t="s">
        <v>54</v>
      </c>
      <c r="P580" s="12" t="s">
        <v>1625</v>
      </c>
      <c r="Q580" s="16"/>
      <c r="R580" s="18" t="s">
        <v>79</v>
      </c>
      <c r="S580" s="19"/>
      <c r="T580" s="12" t="str">
        <f aca="false">IF(R580="維持",J580,IF(R580="排除","無關新聞事件",IFERROR(INDEX(事件規則!$B$2:$B$53,MATCH(S580,事件規則!$A$2:$A$53,0)),"")))</f>
        <v>無關新聞事件</v>
      </c>
      <c r="U580" s="20" t="n">
        <f aca="false">IF(R580="維持",K580,IF(R580="排除",0,IFERROR(INDEX(事件規則!$C$2:$C$53,MATCH(S580,事件規則!$A$2:$A$53,0)),"")))</f>
        <v>0</v>
      </c>
      <c r="V580" s="21"/>
      <c r="W580" s="22"/>
      <c r="X580" s="10" t="str">
        <f aca="false">IF(AND(R580="修改",S580=""),"請選新事件代碼",IF(AND(R580&lt;&gt;"修改",S580&lt;&gt;""),"只有「修改」才需填代碼",""))</f>
        <v/>
      </c>
      <c r="Y580" s="21"/>
      <c r="Z580" s="22"/>
      <c r="AA580" s="23" t="s">
        <v>1908</v>
      </c>
      <c r="AB580" s="13"/>
    </row>
    <row r="581" customFormat="false" ht="44" hidden="false" customHeight="false" outlineLevel="0" collapsed="false">
      <c r="A581" s="16" t="n">
        <v>580</v>
      </c>
      <c r="B581" s="9" t="s">
        <v>331</v>
      </c>
      <c r="C581" s="9" t="s">
        <v>564</v>
      </c>
      <c r="D581" s="10" t="s">
        <v>565</v>
      </c>
      <c r="E581" s="24" t="s">
        <v>1909</v>
      </c>
      <c r="F581" s="12"/>
      <c r="G581" s="23" t="s">
        <v>1910</v>
      </c>
      <c r="H581" s="14" t="n">
        <v>-0.837</v>
      </c>
      <c r="I581" s="15"/>
      <c r="J581" s="12"/>
      <c r="K581" s="9"/>
      <c r="L581" s="16" t="s">
        <v>51</v>
      </c>
      <c r="M581" s="17" t="s">
        <v>79</v>
      </c>
      <c r="N581" s="15"/>
      <c r="O581" s="16" t="s">
        <v>54</v>
      </c>
      <c r="P581" s="12" t="s">
        <v>1625</v>
      </c>
      <c r="Q581" s="16"/>
      <c r="R581" s="18" t="s">
        <v>79</v>
      </c>
      <c r="S581" s="19"/>
      <c r="T581" s="12" t="str">
        <f aca="false">IF(R581="維持",J581,IF(R581="排除","無關新聞事件",IFERROR(INDEX(事件規則!$B$2:$B$53,MATCH(S581,事件規則!$A$2:$A$53,0)),"")))</f>
        <v>無關新聞事件</v>
      </c>
      <c r="U581" s="20" t="n">
        <f aca="false">IF(R581="維持",K581,IF(R581="排除",0,IFERROR(INDEX(事件規則!$C$2:$C$53,MATCH(S581,事件規則!$A$2:$A$53,0)),"")))</f>
        <v>0</v>
      </c>
      <c r="V581" s="21"/>
      <c r="W581" s="22"/>
      <c r="X581" s="10" t="str">
        <f aca="false">IF(AND(R581="修改",S581=""),"請選新事件代碼",IF(AND(R581&lt;&gt;"修改",S581&lt;&gt;""),"只有「修改」才需填代碼",""))</f>
        <v/>
      </c>
      <c r="Y581" s="21"/>
      <c r="Z581" s="22"/>
      <c r="AA581" s="23" t="s">
        <v>1911</v>
      </c>
      <c r="AB581" s="13"/>
    </row>
    <row r="582" customFormat="false" ht="44" hidden="false" customHeight="false" outlineLevel="0" collapsed="false">
      <c r="A582" s="16" t="n">
        <v>581</v>
      </c>
      <c r="B582" s="9" t="s">
        <v>65</v>
      </c>
      <c r="C582" s="9" t="s">
        <v>822</v>
      </c>
      <c r="D582" s="10" t="s">
        <v>823</v>
      </c>
      <c r="E582" s="24" t="s">
        <v>1912</v>
      </c>
      <c r="F582" s="12"/>
      <c r="G582" s="23" t="s">
        <v>147</v>
      </c>
      <c r="H582" s="14" t="n">
        <v>-0.836</v>
      </c>
      <c r="I582" s="15"/>
      <c r="J582" s="12"/>
      <c r="K582" s="9"/>
      <c r="L582" s="16" t="s">
        <v>51</v>
      </c>
      <c r="M582" s="17" t="s">
        <v>79</v>
      </c>
      <c r="N582" s="15"/>
      <c r="O582" s="16" t="s">
        <v>54</v>
      </c>
      <c r="P582" s="12" t="s">
        <v>1625</v>
      </c>
      <c r="Q582" s="16"/>
      <c r="R582" s="18" t="s">
        <v>79</v>
      </c>
      <c r="S582" s="19"/>
      <c r="T582" s="12" t="str">
        <f aca="false">IF(R582="維持",J582,IF(R582="排除","無關新聞事件",IFERROR(INDEX(事件規則!$B$2:$B$53,MATCH(S582,事件規則!$A$2:$A$53,0)),"")))</f>
        <v>無關新聞事件</v>
      </c>
      <c r="U582" s="20" t="n">
        <f aca="false">IF(R582="維持",K582,IF(R582="排除",0,IFERROR(INDEX(事件規則!$C$2:$C$53,MATCH(S582,事件規則!$A$2:$A$53,0)),"")))</f>
        <v>0</v>
      </c>
      <c r="V582" s="21"/>
      <c r="W582" s="22"/>
      <c r="X582" s="10" t="str">
        <f aca="false">IF(AND(R582="修改",S582=""),"請選新事件代碼",IF(AND(R582&lt;&gt;"修改",S582&lt;&gt;""),"只有「修改」才需填代碼",""))</f>
        <v/>
      </c>
      <c r="Y582" s="21"/>
      <c r="Z582" s="22"/>
      <c r="AA582" s="23" t="s">
        <v>1913</v>
      </c>
      <c r="AB582" s="13"/>
    </row>
    <row r="583" customFormat="false" ht="44" hidden="false" customHeight="false" outlineLevel="0" collapsed="false">
      <c r="A583" s="16" t="n">
        <v>582</v>
      </c>
      <c r="B583" s="9" t="s">
        <v>45</v>
      </c>
      <c r="C583" s="9" t="s">
        <v>975</v>
      </c>
      <c r="D583" s="10" t="s">
        <v>976</v>
      </c>
      <c r="E583" s="24" t="s">
        <v>1914</v>
      </c>
      <c r="F583" s="12"/>
      <c r="G583" s="23" t="s">
        <v>1915</v>
      </c>
      <c r="H583" s="14" t="n">
        <v>-0.836</v>
      </c>
      <c r="I583" s="15"/>
      <c r="J583" s="12"/>
      <c r="K583" s="9"/>
      <c r="L583" s="16" t="s">
        <v>51</v>
      </c>
      <c r="M583" s="17" t="s">
        <v>79</v>
      </c>
      <c r="N583" s="15"/>
      <c r="O583" s="16" t="s">
        <v>54</v>
      </c>
      <c r="P583" s="12" t="s">
        <v>1625</v>
      </c>
      <c r="Q583" s="16"/>
      <c r="R583" s="18" t="s">
        <v>79</v>
      </c>
      <c r="S583" s="19"/>
      <c r="T583" s="12" t="str">
        <f aca="false">IF(R583="維持",J583,IF(R583="排除","無關新聞事件",IFERROR(INDEX(事件規則!$B$2:$B$53,MATCH(S583,事件規則!$A$2:$A$53,0)),"")))</f>
        <v>無關新聞事件</v>
      </c>
      <c r="U583" s="20" t="n">
        <f aca="false">IF(R583="維持",K583,IF(R583="排除",0,IFERROR(INDEX(事件規則!$C$2:$C$53,MATCH(S583,事件規則!$A$2:$A$53,0)),"")))</f>
        <v>0</v>
      </c>
      <c r="V583" s="21"/>
      <c r="W583" s="22"/>
      <c r="X583" s="10" t="str">
        <f aca="false">IF(AND(R583="修改",S583=""),"請選新事件代碼",IF(AND(R583&lt;&gt;"修改",S583&lt;&gt;""),"只有「修改」才需填代碼",""))</f>
        <v/>
      </c>
      <c r="Y583" s="21"/>
      <c r="Z583" s="22"/>
      <c r="AA583" s="23" t="s">
        <v>1916</v>
      </c>
      <c r="AB583" s="13"/>
    </row>
    <row r="584" customFormat="false" ht="44" hidden="false" customHeight="false" outlineLevel="0" collapsed="false">
      <c r="A584" s="16" t="n">
        <v>583</v>
      </c>
      <c r="B584" s="9" t="s">
        <v>331</v>
      </c>
      <c r="C584" s="9" t="s">
        <v>1575</v>
      </c>
      <c r="D584" s="10" t="s">
        <v>1576</v>
      </c>
      <c r="E584" s="24" t="s">
        <v>1917</v>
      </c>
      <c r="F584" s="12"/>
      <c r="G584" s="23" t="s">
        <v>120</v>
      </c>
      <c r="H584" s="14" t="n">
        <v>-0.834</v>
      </c>
      <c r="I584" s="15"/>
      <c r="J584" s="12"/>
      <c r="K584" s="9"/>
      <c r="L584" s="16" t="s">
        <v>51</v>
      </c>
      <c r="M584" s="17" t="s">
        <v>79</v>
      </c>
      <c r="N584" s="15"/>
      <c r="O584" s="16" t="s">
        <v>54</v>
      </c>
      <c r="P584" s="12" t="s">
        <v>1625</v>
      </c>
      <c r="Q584" s="16"/>
      <c r="R584" s="18" t="s">
        <v>79</v>
      </c>
      <c r="S584" s="19"/>
      <c r="T584" s="12" t="str">
        <f aca="false">IF(R584="維持",J584,IF(R584="排除","無關新聞事件",IFERROR(INDEX(事件規則!$B$2:$B$53,MATCH(S584,事件規則!$A$2:$A$53,0)),"")))</f>
        <v>無關新聞事件</v>
      </c>
      <c r="U584" s="20" t="n">
        <f aca="false">IF(R584="維持",K584,IF(R584="排除",0,IFERROR(INDEX(事件規則!$C$2:$C$53,MATCH(S584,事件規則!$A$2:$A$53,0)),"")))</f>
        <v>0</v>
      </c>
      <c r="V584" s="21"/>
      <c r="W584" s="22"/>
      <c r="X584" s="10" t="str">
        <f aca="false">IF(AND(R584="修改",S584=""),"請選新事件代碼",IF(AND(R584&lt;&gt;"修改",S584&lt;&gt;""),"只有「修改」才需填代碼",""))</f>
        <v/>
      </c>
      <c r="Y584" s="21"/>
      <c r="Z584" s="22"/>
      <c r="AA584" s="23" t="s">
        <v>1918</v>
      </c>
      <c r="AB584" s="13"/>
    </row>
    <row r="585" customFormat="false" ht="44" hidden="false" customHeight="false" outlineLevel="0" collapsed="false">
      <c r="A585" s="16" t="n">
        <v>584</v>
      </c>
      <c r="B585" s="9" t="s">
        <v>65</v>
      </c>
      <c r="C585" s="9" t="s">
        <v>132</v>
      </c>
      <c r="D585" s="10" t="s">
        <v>133</v>
      </c>
      <c r="E585" s="24" t="s">
        <v>1919</v>
      </c>
      <c r="F585" s="12"/>
      <c r="G585" s="23" t="s">
        <v>147</v>
      </c>
      <c r="H585" s="14" t="n">
        <v>-0.834</v>
      </c>
      <c r="I585" s="15"/>
      <c r="J585" s="12"/>
      <c r="K585" s="9"/>
      <c r="L585" s="16" t="s">
        <v>51</v>
      </c>
      <c r="M585" s="17" t="s">
        <v>79</v>
      </c>
      <c r="N585" s="15"/>
      <c r="O585" s="16" t="s">
        <v>54</v>
      </c>
      <c r="P585" s="12" t="s">
        <v>1625</v>
      </c>
      <c r="Q585" s="16"/>
      <c r="R585" s="18" t="s">
        <v>79</v>
      </c>
      <c r="S585" s="19"/>
      <c r="T585" s="12" t="str">
        <f aca="false">IF(R585="維持",J585,IF(R585="排除","無關新聞事件",IFERROR(INDEX(事件規則!$B$2:$B$53,MATCH(S585,事件規則!$A$2:$A$53,0)),"")))</f>
        <v>無關新聞事件</v>
      </c>
      <c r="U585" s="20" t="n">
        <f aca="false">IF(R585="維持",K585,IF(R585="排除",0,IFERROR(INDEX(事件規則!$C$2:$C$53,MATCH(S585,事件規則!$A$2:$A$53,0)),"")))</f>
        <v>0</v>
      </c>
      <c r="V585" s="21"/>
      <c r="W585" s="22"/>
      <c r="X585" s="10" t="str">
        <f aca="false">IF(AND(R585="修改",S585=""),"請選新事件代碼",IF(AND(R585&lt;&gt;"修改",S585&lt;&gt;""),"只有「修改」才需填代碼",""))</f>
        <v/>
      </c>
      <c r="Y585" s="21"/>
      <c r="Z585" s="22"/>
      <c r="AA585" s="23" t="s">
        <v>1920</v>
      </c>
      <c r="AB585" s="13"/>
    </row>
    <row r="586" customFormat="false" ht="44" hidden="false" customHeight="false" outlineLevel="0" collapsed="false">
      <c r="A586" s="16" t="n">
        <v>585</v>
      </c>
      <c r="B586" s="9" t="s">
        <v>65</v>
      </c>
      <c r="C586" s="9" t="s">
        <v>456</v>
      </c>
      <c r="D586" s="10" t="s">
        <v>457</v>
      </c>
      <c r="E586" s="24" t="s">
        <v>1921</v>
      </c>
      <c r="F586" s="12"/>
      <c r="G586" s="23" t="s">
        <v>1922</v>
      </c>
      <c r="H586" s="14" t="n">
        <v>-0.832</v>
      </c>
      <c r="I586" s="15"/>
      <c r="J586" s="12"/>
      <c r="K586" s="9"/>
      <c r="L586" s="16" t="s">
        <v>51</v>
      </c>
      <c r="M586" s="17" t="s">
        <v>79</v>
      </c>
      <c r="N586" s="15"/>
      <c r="O586" s="16" t="s">
        <v>54</v>
      </c>
      <c r="P586" s="12" t="s">
        <v>1625</v>
      </c>
      <c r="Q586" s="16"/>
      <c r="R586" s="18" t="s">
        <v>79</v>
      </c>
      <c r="S586" s="19"/>
      <c r="T586" s="12" t="str">
        <f aca="false">IF(R586="維持",J586,IF(R586="排除","無關新聞事件",IFERROR(INDEX(事件規則!$B$2:$B$53,MATCH(S586,事件規則!$A$2:$A$53,0)),"")))</f>
        <v>無關新聞事件</v>
      </c>
      <c r="U586" s="20" t="n">
        <f aca="false">IF(R586="維持",K586,IF(R586="排除",0,IFERROR(INDEX(事件規則!$C$2:$C$53,MATCH(S586,事件規則!$A$2:$A$53,0)),"")))</f>
        <v>0</v>
      </c>
      <c r="V586" s="21"/>
      <c r="W586" s="22"/>
      <c r="X586" s="10" t="str">
        <f aca="false">IF(AND(R586="修改",S586=""),"請選新事件代碼",IF(AND(R586&lt;&gt;"修改",S586&lt;&gt;""),"只有「修改」才需填代碼",""))</f>
        <v/>
      </c>
      <c r="Y586" s="21"/>
      <c r="Z586" s="22"/>
      <c r="AA586" s="23" t="s">
        <v>1923</v>
      </c>
      <c r="AB586" s="13"/>
    </row>
    <row r="587" customFormat="false" ht="44" hidden="false" customHeight="false" outlineLevel="0" collapsed="false">
      <c r="A587" s="16" t="n">
        <v>586</v>
      </c>
      <c r="B587" s="9" t="s">
        <v>65</v>
      </c>
      <c r="C587" s="9" t="s">
        <v>1796</v>
      </c>
      <c r="D587" s="10" t="s">
        <v>1797</v>
      </c>
      <c r="E587" s="24" t="s">
        <v>1924</v>
      </c>
      <c r="F587" s="12"/>
      <c r="G587" s="23" t="s">
        <v>120</v>
      </c>
      <c r="H587" s="14" t="n">
        <v>-0.83</v>
      </c>
      <c r="I587" s="15"/>
      <c r="J587" s="12"/>
      <c r="K587" s="9"/>
      <c r="L587" s="16" t="s">
        <v>51</v>
      </c>
      <c r="M587" s="17" t="s">
        <v>79</v>
      </c>
      <c r="N587" s="15"/>
      <c r="O587" s="16" t="s">
        <v>54</v>
      </c>
      <c r="P587" s="12" t="s">
        <v>1625</v>
      </c>
      <c r="Q587" s="16"/>
      <c r="R587" s="18" t="s">
        <v>79</v>
      </c>
      <c r="S587" s="19"/>
      <c r="T587" s="12" t="str">
        <f aca="false">IF(R587="維持",J587,IF(R587="排除","無關新聞事件",IFERROR(INDEX(事件規則!$B$2:$B$53,MATCH(S587,事件規則!$A$2:$A$53,0)),"")))</f>
        <v>無關新聞事件</v>
      </c>
      <c r="U587" s="20" t="n">
        <f aca="false">IF(R587="維持",K587,IF(R587="排除",0,IFERROR(INDEX(事件規則!$C$2:$C$53,MATCH(S587,事件規則!$A$2:$A$53,0)),"")))</f>
        <v>0</v>
      </c>
      <c r="V587" s="21"/>
      <c r="W587" s="22"/>
      <c r="X587" s="10" t="str">
        <f aca="false">IF(AND(R587="修改",S587=""),"請選新事件代碼",IF(AND(R587&lt;&gt;"修改",S587&lt;&gt;""),"只有「修改」才需填代碼",""))</f>
        <v/>
      </c>
      <c r="Y587" s="21"/>
      <c r="Z587" s="22"/>
      <c r="AA587" s="23" t="s">
        <v>1925</v>
      </c>
      <c r="AB587" s="13"/>
    </row>
    <row r="588" customFormat="false" ht="44" hidden="false" customHeight="false" outlineLevel="0" collapsed="false">
      <c r="A588" s="16" t="n">
        <v>587</v>
      </c>
      <c r="B588" s="9" t="s">
        <v>331</v>
      </c>
      <c r="C588" s="9" t="s">
        <v>1926</v>
      </c>
      <c r="D588" s="10" t="s">
        <v>1927</v>
      </c>
      <c r="E588" s="24" t="s">
        <v>1928</v>
      </c>
      <c r="F588" s="12"/>
      <c r="G588" s="23" t="s">
        <v>335</v>
      </c>
      <c r="H588" s="14" t="n">
        <v>-0.828</v>
      </c>
      <c r="I588" s="15"/>
      <c r="J588" s="12"/>
      <c r="K588" s="9"/>
      <c r="L588" s="16" t="s">
        <v>51</v>
      </c>
      <c r="M588" s="17" t="s">
        <v>79</v>
      </c>
      <c r="N588" s="15"/>
      <c r="O588" s="16" t="s">
        <v>54</v>
      </c>
      <c r="P588" s="12" t="s">
        <v>1625</v>
      </c>
      <c r="Q588" s="16"/>
      <c r="R588" s="18" t="s">
        <v>79</v>
      </c>
      <c r="S588" s="19"/>
      <c r="T588" s="12" t="str">
        <f aca="false">IF(R588="維持",J588,IF(R588="排除","無關新聞事件",IFERROR(INDEX(事件規則!$B$2:$B$53,MATCH(S588,事件規則!$A$2:$A$53,0)),"")))</f>
        <v>無關新聞事件</v>
      </c>
      <c r="U588" s="20" t="n">
        <f aca="false">IF(R588="維持",K588,IF(R588="排除",0,IFERROR(INDEX(事件規則!$C$2:$C$53,MATCH(S588,事件規則!$A$2:$A$53,0)),"")))</f>
        <v>0</v>
      </c>
      <c r="V588" s="21"/>
      <c r="W588" s="22"/>
      <c r="X588" s="10" t="str">
        <f aca="false">IF(AND(R588="修改",S588=""),"請選新事件代碼",IF(AND(R588&lt;&gt;"修改",S588&lt;&gt;""),"只有「修改」才需填代碼",""))</f>
        <v/>
      </c>
      <c r="Y588" s="21"/>
      <c r="Z588" s="22"/>
      <c r="AA588" s="23" t="s">
        <v>1929</v>
      </c>
      <c r="AB588" s="13"/>
    </row>
    <row r="589" customFormat="false" ht="23.85" hidden="false" customHeight="false" outlineLevel="0" collapsed="false">
      <c r="A589" s="16" t="n">
        <v>588</v>
      </c>
      <c r="B589" s="9" t="s">
        <v>45</v>
      </c>
      <c r="C589" s="9" t="s">
        <v>1930</v>
      </c>
      <c r="D589" s="10" t="s">
        <v>1931</v>
      </c>
      <c r="E589" s="24" t="s">
        <v>1932</v>
      </c>
      <c r="F589" s="12"/>
      <c r="G589" s="23" t="s">
        <v>1933</v>
      </c>
      <c r="H589" s="14" t="n">
        <v>-0.827</v>
      </c>
      <c r="I589" s="15"/>
      <c r="J589" s="12"/>
      <c r="K589" s="9"/>
      <c r="L589" s="16" t="s">
        <v>51</v>
      </c>
      <c r="M589" s="17" t="s">
        <v>52</v>
      </c>
      <c r="N589" s="15" t="s">
        <v>667</v>
      </c>
      <c r="O589" s="16" t="s">
        <v>54</v>
      </c>
      <c r="P589" s="10" t="s">
        <v>1934</v>
      </c>
      <c r="Q589" s="16"/>
      <c r="R589" s="18" t="s">
        <v>52</v>
      </c>
      <c r="S589" s="19" t="s">
        <v>667</v>
      </c>
      <c r="T589" s="12" t="str">
        <f aca="false">IF(R589="維持",J589,IF(R589="排除","無關新聞事件",IFERROR(INDEX(事件規則!$B$2:$B$53,MATCH(S589,事件規則!$A$2:$A$53,0)),"")))</f>
        <v>重大產品瑕疵</v>
      </c>
      <c r="U589" s="20" t="n">
        <f aca="false">IF(R589="維持",K589,IF(R589="排除",0,IFERROR(INDEX(事件規則!$C$2:$C$53,MATCH(S589,事件規則!$A$2:$A$53,0)),"")))</f>
        <v>3</v>
      </c>
      <c r="V589" s="21" t="s">
        <v>1935</v>
      </c>
      <c r="W589" s="22" t="s">
        <v>1291</v>
      </c>
      <c r="X589" s="10" t="str">
        <f aca="false">IF(AND(R589="修改",S589=""),"請選新事件代碼",IF(AND(R589&lt;&gt;"修改",S589&lt;&gt;""),"只有「修改」才需填代碼",""))</f>
        <v/>
      </c>
      <c r="Y589" s="21"/>
      <c r="Z589" s="22"/>
      <c r="AA589" s="23" t="s">
        <v>1936</v>
      </c>
      <c r="AB589" s="13"/>
    </row>
    <row r="590" customFormat="false" ht="23.85" hidden="false" customHeight="false" outlineLevel="0" collapsed="false">
      <c r="A590" s="16" t="n">
        <v>589</v>
      </c>
      <c r="B590" s="9" t="s">
        <v>65</v>
      </c>
      <c r="C590" s="9" t="s">
        <v>398</v>
      </c>
      <c r="D590" s="10" t="s">
        <v>399</v>
      </c>
      <c r="E590" s="24" t="s">
        <v>1937</v>
      </c>
      <c r="F590" s="12"/>
      <c r="G590" s="23" t="s">
        <v>1271</v>
      </c>
      <c r="H590" s="14" t="n">
        <v>-0.827</v>
      </c>
      <c r="I590" s="15"/>
      <c r="J590" s="12"/>
      <c r="K590" s="9"/>
      <c r="L590" s="16" t="s">
        <v>51</v>
      </c>
      <c r="M590" s="17" t="s">
        <v>52</v>
      </c>
      <c r="N590" s="15" t="s">
        <v>699</v>
      </c>
      <c r="O590" s="16" t="s">
        <v>62</v>
      </c>
      <c r="P590" s="10" t="s">
        <v>1938</v>
      </c>
      <c r="Q590" s="16"/>
      <c r="R590" s="18" t="s">
        <v>52</v>
      </c>
      <c r="S590" s="19" t="s">
        <v>699</v>
      </c>
      <c r="T590" s="12" t="str">
        <f aca="false">IF(R590="維持",J590,IF(R590="排除","無關新聞事件",IFERROR(INDEX(事件規則!$B$2:$B$53,MATCH(S590,事件規則!$A$2:$A$53,0)),"")))</f>
        <v>產品或服務終止</v>
      </c>
      <c r="U590" s="20" t="n">
        <f aca="false">IF(R590="維持",K590,IF(R590="排除",0,IFERROR(INDEX(事件規則!$C$2:$C$53,MATCH(S590,事件規則!$A$2:$A$53,0)),"")))</f>
        <v>2</v>
      </c>
      <c r="V590" s="21"/>
      <c r="W590" s="22"/>
      <c r="X590" s="10" t="str">
        <f aca="false">IF(AND(R590="修改",S590=""),"請選新事件代碼",IF(AND(R590&lt;&gt;"修改",S590&lt;&gt;""),"只有「修改」才需填代碼",""))</f>
        <v/>
      </c>
      <c r="Y590" s="21"/>
      <c r="Z590" s="22"/>
      <c r="AA590" s="23" t="s">
        <v>1939</v>
      </c>
      <c r="AB590" s="13"/>
    </row>
    <row r="591" customFormat="false" ht="44" hidden="false" customHeight="false" outlineLevel="0" collapsed="false">
      <c r="A591" s="16" t="n">
        <v>590</v>
      </c>
      <c r="B591" s="9" t="s">
        <v>331</v>
      </c>
      <c r="C591" s="9" t="s">
        <v>142</v>
      </c>
      <c r="D591" s="10" t="s">
        <v>143</v>
      </c>
      <c r="E591" s="24" t="s">
        <v>1940</v>
      </c>
      <c r="F591" s="12"/>
      <c r="G591" s="23" t="s">
        <v>1941</v>
      </c>
      <c r="H591" s="14" t="n">
        <v>-0.823</v>
      </c>
      <c r="I591" s="15"/>
      <c r="J591" s="12"/>
      <c r="K591" s="9"/>
      <c r="L591" s="16" t="s">
        <v>51</v>
      </c>
      <c r="M591" s="17" t="s">
        <v>79</v>
      </c>
      <c r="N591" s="15"/>
      <c r="O591" s="16" t="s">
        <v>54</v>
      </c>
      <c r="P591" s="12" t="s">
        <v>1625</v>
      </c>
      <c r="Q591" s="16"/>
      <c r="R591" s="18" t="s">
        <v>79</v>
      </c>
      <c r="S591" s="19"/>
      <c r="T591" s="12" t="str">
        <f aca="false">IF(R591="維持",J591,IF(R591="排除","無關新聞事件",IFERROR(INDEX(事件規則!$B$2:$B$53,MATCH(S591,事件規則!$A$2:$A$53,0)),"")))</f>
        <v>無關新聞事件</v>
      </c>
      <c r="U591" s="20" t="n">
        <f aca="false">IF(R591="維持",K591,IF(R591="排除",0,IFERROR(INDEX(事件規則!$C$2:$C$53,MATCH(S591,事件規則!$A$2:$A$53,0)),"")))</f>
        <v>0</v>
      </c>
      <c r="V591" s="21"/>
      <c r="W591" s="22"/>
      <c r="X591" s="10" t="str">
        <f aca="false">IF(AND(R591="修改",S591=""),"請選新事件代碼",IF(AND(R591&lt;&gt;"修改",S591&lt;&gt;""),"只有「修改」才需填代碼",""))</f>
        <v/>
      </c>
      <c r="Y591" s="21"/>
      <c r="Z591" s="22"/>
      <c r="AA591" s="23" t="s">
        <v>1942</v>
      </c>
      <c r="AB591" s="13"/>
    </row>
    <row r="592" customFormat="false" ht="44" hidden="false" customHeight="false" outlineLevel="0" collapsed="false">
      <c r="A592" s="16" t="n">
        <v>591</v>
      </c>
      <c r="B592" s="9" t="s">
        <v>386</v>
      </c>
      <c r="C592" s="9" t="s">
        <v>449</v>
      </c>
      <c r="D592" s="10" t="s">
        <v>450</v>
      </c>
      <c r="E592" s="24" t="s">
        <v>1943</v>
      </c>
      <c r="F592" s="12"/>
      <c r="G592" s="23" t="s">
        <v>120</v>
      </c>
      <c r="H592" s="14" t="n">
        <v>-0.822</v>
      </c>
      <c r="I592" s="15"/>
      <c r="J592" s="12"/>
      <c r="K592" s="9"/>
      <c r="L592" s="16" t="s">
        <v>51</v>
      </c>
      <c r="M592" s="17" t="s">
        <v>79</v>
      </c>
      <c r="N592" s="15"/>
      <c r="O592" s="16" t="s">
        <v>54</v>
      </c>
      <c r="P592" s="12" t="s">
        <v>1625</v>
      </c>
      <c r="Q592" s="16"/>
      <c r="R592" s="18" t="s">
        <v>79</v>
      </c>
      <c r="S592" s="19"/>
      <c r="T592" s="12" t="str">
        <f aca="false">IF(R592="維持",J592,IF(R592="排除","無關新聞事件",IFERROR(INDEX(事件規則!$B$2:$B$53,MATCH(S592,事件規則!$A$2:$A$53,0)),"")))</f>
        <v>無關新聞事件</v>
      </c>
      <c r="U592" s="20" t="n">
        <f aca="false">IF(R592="維持",K592,IF(R592="排除",0,IFERROR(INDEX(事件規則!$C$2:$C$53,MATCH(S592,事件規則!$A$2:$A$53,0)),"")))</f>
        <v>0</v>
      </c>
      <c r="V592" s="21"/>
      <c r="W592" s="22"/>
      <c r="X592" s="10" t="str">
        <f aca="false">IF(AND(R592="修改",S592=""),"請選新事件代碼",IF(AND(R592&lt;&gt;"修改",S592&lt;&gt;""),"只有「修改」才需填代碼",""))</f>
        <v/>
      </c>
      <c r="Y592" s="21"/>
      <c r="Z592" s="22"/>
      <c r="AA592" s="23" t="s">
        <v>1944</v>
      </c>
      <c r="AB592" s="13"/>
    </row>
    <row r="593" customFormat="false" ht="44" hidden="false" customHeight="false" outlineLevel="0" collapsed="false">
      <c r="A593" s="16" t="n">
        <v>592</v>
      </c>
      <c r="B593" s="9" t="s">
        <v>45</v>
      </c>
      <c r="C593" s="9" t="s">
        <v>1945</v>
      </c>
      <c r="D593" s="10" t="s">
        <v>1946</v>
      </c>
      <c r="E593" s="24" t="s">
        <v>1947</v>
      </c>
      <c r="F593" s="12"/>
      <c r="G593" s="23" t="s">
        <v>292</v>
      </c>
      <c r="H593" s="14" t="n">
        <v>-0.821</v>
      </c>
      <c r="I593" s="15"/>
      <c r="J593" s="12"/>
      <c r="K593" s="9"/>
      <c r="L593" s="16" t="s">
        <v>51</v>
      </c>
      <c r="M593" s="17" t="s">
        <v>79</v>
      </c>
      <c r="N593" s="15"/>
      <c r="O593" s="16" t="s">
        <v>54</v>
      </c>
      <c r="P593" s="12" t="s">
        <v>1625</v>
      </c>
      <c r="Q593" s="16"/>
      <c r="R593" s="18" t="s">
        <v>79</v>
      </c>
      <c r="S593" s="19"/>
      <c r="T593" s="12" t="str">
        <f aca="false">IF(R593="維持",J593,IF(R593="排除","無關新聞事件",IFERROR(INDEX(事件規則!$B$2:$B$53,MATCH(S593,事件規則!$A$2:$A$53,0)),"")))</f>
        <v>無關新聞事件</v>
      </c>
      <c r="U593" s="20" t="n">
        <f aca="false">IF(R593="維持",K593,IF(R593="排除",0,IFERROR(INDEX(事件規則!$C$2:$C$53,MATCH(S593,事件規則!$A$2:$A$53,0)),"")))</f>
        <v>0</v>
      </c>
      <c r="V593" s="21"/>
      <c r="W593" s="22"/>
      <c r="X593" s="10" t="str">
        <f aca="false">IF(AND(R593="修改",S593=""),"請選新事件代碼",IF(AND(R593&lt;&gt;"修改",S593&lt;&gt;""),"只有「修改」才需填代碼",""))</f>
        <v/>
      </c>
      <c r="Y593" s="21"/>
      <c r="Z593" s="22"/>
      <c r="AA593" s="23" t="s">
        <v>1948</v>
      </c>
      <c r="AB593" s="13"/>
    </row>
    <row r="594" customFormat="false" ht="44" hidden="false" customHeight="false" outlineLevel="0" collapsed="false">
      <c r="A594" s="16" t="n">
        <v>593</v>
      </c>
      <c r="B594" s="9" t="s">
        <v>331</v>
      </c>
      <c r="C594" s="9" t="s">
        <v>498</v>
      </c>
      <c r="D594" s="10" t="s">
        <v>499</v>
      </c>
      <c r="E594" s="24" t="s">
        <v>1949</v>
      </c>
      <c r="F594" s="12"/>
      <c r="G594" s="23" t="s">
        <v>224</v>
      </c>
      <c r="H594" s="14" t="n">
        <v>-0.821</v>
      </c>
      <c r="I594" s="15"/>
      <c r="J594" s="12"/>
      <c r="K594" s="9"/>
      <c r="L594" s="16" t="s">
        <v>51</v>
      </c>
      <c r="M594" s="17" t="s">
        <v>79</v>
      </c>
      <c r="N594" s="15"/>
      <c r="O594" s="16" t="s">
        <v>54</v>
      </c>
      <c r="P594" s="12" t="s">
        <v>1625</v>
      </c>
      <c r="Q594" s="16"/>
      <c r="R594" s="18" t="s">
        <v>79</v>
      </c>
      <c r="S594" s="19"/>
      <c r="T594" s="12" t="str">
        <f aca="false">IF(R594="維持",J594,IF(R594="排除","無關新聞事件",IFERROR(INDEX(事件規則!$B$2:$B$53,MATCH(S594,事件規則!$A$2:$A$53,0)),"")))</f>
        <v>無關新聞事件</v>
      </c>
      <c r="U594" s="20" t="n">
        <f aca="false">IF(R594="維持",K594,IF(R594="排除",0,IFERROR(INDEX(事件規則!$C$2:$C$53,MATCH(S594,事件規則!$A$2:$A$53,0)),"")))</f>
        <v>0</v>
      </c>
      <c r="V594" s="21"/>
      <c r="W594" s="22"/>
      <c r="X594" s="10" t="str">
        <f aca="false">IF(AND(R594="修改",S594=""),"請選新事件代碼",IF(AND(R594&lt;&gt;"修改",S594&lt;&gt;""),"只有「修改」才需填代碼",""))</f>
        <v/>
      </c>
      <c r="Y594" s="21"/>
      <c r="Z594" s="22"/>
      <c r="AA594" s="23" t="s">
        <v>1950</v>
      </c>
      <c r="AB594" s="13"/>
    </row>
    <row r="595" customFormat="false" ht="15" hidden="false" customHeight="false" outlineLevel="0" collapsed="false">
      <c r="A595" s="16" t="n">
        <v>594</v>
      </c>
      <c r="B595" s="9" t="s">
        <v>65</v>
      </c>
      <c r="C595" s="9" t="s">
        <v>1575</v>
      </c>
      <c r="D595" s="10" t="s">
        <v>1576</v>
      </c>
      <c r="E595" s="24" t="s">
        <v>1951</v>
      </c>
      <c r="F595" s="12"/>
      <c r="G595" s="23" t="s">
        <v>698</v>
      </c>
      <c r="H595" s="14" t="n">
        <v>-0.821</v>
      </c>
      <c r="I595" s="15"/>
      <c r="J595" s="12"/>
      <c r="K595" s="9"/>
      <c r="L595" s="16" t="s">
        <v>51</v>
      </c>
      <c r="M595" s="17" t="s">
        <v>52</v>
      </c>
      <c r="N595" s="15" t="s">
        <v>667</v>
      </c>
      <c r="O595" s="16" t="s">
        <v>105</v>
      </c>
      <c r="P595" s="10" t="s">
        <v>1952</v>
      </c>
      <c r="Q595" s="16" t="s">
        <v>416</v>
      </c>
      <c r="R595" s="18" t="s">
        <v>52</v>
      </c>
      <c r="S595" s="19" t="s">
        <v>667</v>
      </c>
      <c r="T595" s="12" t="str">
        <f aca="false">IF(R595="維持",J595,IF(R595="排除","無關新聞事件",IFERROR(INDEX(事件規則!$B$2:$B$53,MATCH(S595,事件規則!$A$2:$A$53,0)),"")))</f>
        <v>重大產品瑕疵</v>
      </c>
      <c r="U595" s="20" t="n">
        <f aca="false">IF(R595="維持",K595,IF(R595="排除",0,IFERROR(INDEX(事件規則!$C$2:$C$53,MATCH(S595,事件規則!$A$2:$A$53,0)),"")))</f>
        <v>3</v>
      </c>
      <c r="V595" s="21"/>
      <c r="W595" s="22"/>
      <c r="X595" s="10" t="str">
        <f aca="false">IF(AND(R595="修改",S595=""),"請選新事件代碼",IF(AND(R595&lt;&gt;"修改",S595&lt;&gt;""),"只有「修改」才需填代碼",""))</f>
        <v/>
      </c>
      <c r="Y595" s="21"/>
      <c r="Z595" s="22"/>
      <c r="AA595" s="23" t="s">
        <v>1953</v>
      </c>
      <c r="AB595" s="13"/>
    </row>
    <row r="596" customFormat="false" ht="15" hidden="false" customHeight="false" outlineLevel="0" collapsed="false">
      <c r="A596" s="16" t="n">
        <v>595</v>
      </c>
      <c r="B596" s="9" t="s">
        <v>65</v>
      </c>
      <c r="C596" s="9" t="s">
        <v>149</v>
      </c>
      <c r="D596" s="10" t="s">
        <v>150</v>
      </c>
      <c r="E596" s="24" t="s">
        <v>1954</v>
      </c>
      <c r="F596" s="12"/>
      <c r="G596" s="23" t="s">
        <v>1955</v>
      </c>
      <c r="H596" s="14" t="n">
        <v>-0.82</v>
      </c>
      <c r="I596" s="15"/>
      <c r="J596" s="12"/>
      <c r="K596" s="9"/>
      <c r="L596" s="16" t="s">
        <v>51</v>
      </c>
      <c r="M596" s="17" t="s">
        <v>52</v>
      </c>
      <c r="N596" s="15" t="s">
        <v>53</v>
      </c>
      <c r="O596" s="16" t="s">
        <v>54</v>
      </c>
      <c r="P596" s="10" t="s">
        <v>926</v>
      </c>
      <c r="Q596" s="16"/>
      <c r="R596" s="18" t="s">
        <v>52</v>
      </c>
      <c r="S596" s="19" t="s">
        <v>53</v>
      </c>
      <c r="T596" s="12" t="str">
        <f aca="false">IF(R596="維持",J596,IF(R596="排除","無關新聞事件",IFERROR(INDEX(事件規則!$B$2:$B$53,MATCH(S596,事件規則!$A$2:$A$53,0)),"")))</f>
        <v>股價下跌</v>
      </c>
      <c r="U596" s="20" t="n">
        <f aca="false">IF(R596="維持",K596,IF(R596="排除",0,IFERROR(INDEX(事件規則!$C$2:$C$53,MATCH(S596,事件規則!$A$2:$A$53,0)),"")))</f>
        <v>1</v>
      </c>
      <c r="V596" s="21"/>
      <c r="W596" s="22"/>
      <c r="X596" s="10" t="str">
        <f aca="false">IF(AND(R596="修改",S596=""),"請選新事件代碼",IF(AND(R596&lt;&gt;"修改",S596&lt;&gt;""),"只有「修改」才需填代碼",""))</f>
        <v/>
      </c>
      <c r="Y596" s="21"/>
      <c r="Z596" s="22"/>
      <c r="AA596" s="23" t="s">
        <v>1956</v>
      </c>
      <c r="AB596" s="13"/>
    </row>
    <row r="597" customFormat="false" ht="44" hidden="false" customHeight="false" outlineLevel="0" collapsed="false">
      <c r="A597" s="16" t="n">
        <v>596</v>
      </c>
      <c r="B597" s="9" t="s">
        <v>331</v>
      </c>
      <c r="C597" s="9" t="s">
        <v>456</v>
      </c>
      <c r="D597" s="10" t="s">
        <v>457</v>
      </c>
      <c r="E597" s="24" t="s">
        <v>1957</v>
      </c>
      <c r="F597" s="12"/>
      <c r="G597" s="23" t="s">
        <v>1958</v>
      </c>
      <c r="H597" s="14" t="n">
        <v>-0.819</v>
      </c>
      <c r="I597" s="15"/>
      <c r="J597" s="12"/>
      <c r="K597" s="9"/>
      <c r="L597" s="16" t="s">
        <v>51</v>
      </c>
      <c r="M597" s="17" t="s">
        <v>79</v>
      </c>
      <c r="N597" s="15"/>
      <c r="O597" s="16" t="s">
        <v>54</v>
      </c>
      <c r="P597" s="12" t="s">
        <v>1625</v>
      </c>
      <c r="Q597" s="16"/>
      <c r="R597" s="18" t="s">
        <v>79</v>
      </c>
      <c r="S597" s="19"/>
      <c r="T597" s="12" t="str">
        <f aca="false">IF(R597="維持",J597,IF(R597="排除","無關新聞事件",IFERROR(INDEX(事件規則!$B$2:$B$53,MATCH(S597,事件規則!$A$2:$A$53,0)),"")))</f>
        <v>無關新聞事件</v>
      </c>
      <c r="U597" s="20" t="n">
        <f aca="false">IF(R597="維持",K597,IF(R597="排除",0,IFERROR(INDEX(事件規則!$C$2:$C$53,MATCH(S597,事件規則!$A$2:$A$53,0)),"")))</f>
        <v>0</v>
      </c>
      <c r="V597" s="21"/>
      <c r="W597" s="22"/>
      <c r="X597" s="10" t="str">
        <f aca="false">IF(AND(R597="修改",S597=""),"請選新事件代碼",IF(AND(R597&lt;&gt;"修改",S597&lt;&gt;""),"只有「修改」才需填代碼",""))</f>
        <v/>
      </c>
      <c r="Y597" s="21"/>
      <c r="Z597" s="22"/>
      <c r="AA597" s="23" t="s">
        <v>1959</v>
      </c>
      <c r="AB597" s="13"/>
    </row>
    <row r="598" customFormat="false" ht="23.85" hidden="false" customHeight="false" outlineLevel="0" collapsed="false">
      <c r="A598" s="16" t="n">
        <v>597</v>
      </c>
      <c r="B598" s="9" t="s">
        <v>65</v>
      </c>
      <c r="C598" s="9" t="s">
        <v>57</v>
      </c>
      <c r="D598" s="10" t="s">
        <v>58</v>
      </c>
      <c r="E598" s="24" t="s">
        <v>1960</v>
      </c>
      <c r="F598" s="12"/>
      <c r="G598" s="23" t="s">
        <v>1961</v>
      </c>
      <c r="H598" s="14" t="n">
        <v>-0.818</v>
      </c>
      <c r="I598" s="15"/>
      <c r="J598" s="12"/>
      <c r="K598" s="9"/>
      <c r="L598" s="16" t="s">
        <v>51</v>
      </c>
      <c r="M598" s="17" t="s">
        <v>52</v>
      </c>
      <c r="N598" s="15" t="s">
        <v>61</v>
      </c>
      <c r="O598" s="16" t="s">
        <v>62</v>
      </c>
      <c r="P598" s="12" t="s">
        <v>1835</v>
      </c>
      <c r="Q598" s="16"/>
      <c r="R598" s="18" t="s">
        <v>52</v>
      </c>
      <c r="S598" s="19" t="s">
        <v>61</v>
      </c>
      <c r="T598" s="12" t="str">
        <f aca="false">IF(R598="維持",J598,IF(R598="排除","無關新聞事件",IFERROR(INDEX(事件規則!$B$2:$B$53,MATCH(S598,事件規則!$A$2:$A$53,0)),"")))</f>
        <v>裁員或人力縮減</v>
      </c>
      <c r="U598" s="20" t="n">
        <f aca="false">IF(R598="維持",K598,IF(R598="排除",0,IFERROR(INDEX(事件規則!$C$2:$C$53,MATCH(S598,事件規則!$A$2:$A$53,0)),"")))</f>
        <v>3</v>
      </c>
      <c r="V598" s="21"/>
      <c r="W598" s="22"/>
      <c r="X598" s="10" t="str">
        <f aca="false">IF(AND(R598="修改",S598=""),"請選新事件代碼",IF(AND(R598&lt;&gt;"修改",S598&lt;&gt;""),"只有「修改」才需填代碼",""))</f>
        <v/>
      </c>
      <c r="Y598" s="21"/>
      <c r="Z598" s="22"/>
      <c r="AA598" s="23" t="s">
        <v>1962</v>
      </c>
      <c r="AB598" s="13"/>
    </row>
    <row r="599" customFormat="false" ht="44" hidden="false" customHeight="false" outlineLevel="0" collapsed="false">
      <c r="A599" s="16" t="n">
        <v>598</v>
      </c>
      <c r="B599" s="9" t="s">
        <v>65</v>
      </c>
      <c r="C599" s="9" t="s">
        <v>1265</v>
      </c>
      <c r="D599" s="10" t="s">
        <v>1266</v>
      </c>
      <c r="E599" s="24" t="s">
        <v>1963</v>
      </c>
      <c r="F599" s="12"/>
      <c r="G599" s="23" t="s">
        <v>295</v>
      </c>
      <c r="H599" s="14" t="n">
        <v>-0.817</v>
      </c>
      <c r="I599" s="15"/>
      <c r="J599" s="12"/>
      <c r="K599" s="9"/>
      <c r="L599" s="16" t="s">
        <v>51</v>
      </c>
      <c r="M599" s="17" t="s">
        <v>79</v>
      </c>
      <c r="N599" s="15"/>
      <c r="O599" s="16" t="s">
        <v>54</v>
      </c>
      <c r="P599" s="12" t="s">
        <v>1625</v>
      </c>
      <c r="Q599" s="16"/>
      <c r="R599" s="18" t="s">
        <v>79</v>
      </c>
      <c r="S599" s="19"/>
      <c r="T599" s="12" t="str">
        <f aca="false">IF(R599="維持",J599,IF(R599="排除","無關新聞事件",IFERROR(INDEX(事件規則!$B$2:$B$53,MATCH(S599,事件規則!$A$2:$A$53,0)),"")))</f>
        <v>無關新聞事件</v>
      </c>
      <c r="U599" s="20" t="n">
        <f aca="false">IF(R599="維持",K599,IF(R599="排除",0,IFERROR(INDEX(事件規則!$C$2:$C$53,MATCH(S599,事件規則!$A$2:$A$53,0)),"")))</f>
        <v>0</v>
      </c>
      <c r="V599" s="21"/>
      <c r="W599" s="22"/>
      <c r="X599" s="10" t="str">
        <f aca="false">IF(AND(R599="修改",S599=""),"請選新事件代碼",IF(AND(R599&lt;&gt;"修改",S599&lt;&gt;""),"只有「修改」才需填代碼",""))</f>
        <v/>
      </c>
      <c r="Y599" s="21"/>
      <c r="Z599" s="22"/>
      <c r="AA599" s="23" t="s">
        <v>1964</v>
      </c>
      <c r="AB599" s="13"/>
    </row>
    <row r="600" customFormat="false" ht="44" hidden="false" customHeight="false" outlineLevel="0" collapsed="false">
      <c r="A600" s="16" t="n">
        <v>599</v>
      </c>
      <c r="B600" s="9" t="s">
        <v>65</v>
      </c>
      <c r="C600" s="9" t="s">
        <v>132</v>
      </c>
      <c r="D600" s="10" t="s">
        <v>133</v>
      </c>
      <c r="E600" s="24" t="s">
        <v>1965</v>
      </c>
      <c r="F600" s="12"/>
      <c r="G600" s="23" t="s">
        <v>1966</v>
      </c>
      <c r="H600" s="14" t="n">
        <v>-0.817</v>
      </c>
      <c r="I600" s="15"/>
      <c r="J600" s="12"/>
      <c r="K600" s="9"/>
      <c r="L600" s="16" t="s">
        <v>51</v>
      </c>
      <c r="M600" s="17" t="s">
        <v>79</v>
      </c>
      <c r="N600" s="15"/>
      <c r="O600" s="16" t="s">
        <v>54</v>
      </c>
      <c r="P600" s="12" t="s">
        <v>1625</v>
      </c>
      <c r="Q600" s="16"/>
      <c r="R600" s="18" t="s">
        <v>79</v>
      </c>
      <c r="S600" s="19"/>
      <c r="T600" s="12" t="str">
        <f aca="false">IF(R600="維持",J600,IF(R600="排除","無關新聞事件",IFERROR(INDEX(事件規則!$B$2:$B$53,MATCH(S600,事件規則!$A$2:$A$53,0)),"")))</f>
        <v>無關新聞事件</v>
      </c>
      <c r="U600" s="20" t="n">
        <f aca="false">IF(R600="維持",K600,IF(R600="排除",0,IFERROR(INDEX(事件規則!$C$2:$C$53,MATCH(S600,事件規則!$A$2:$A$53,0)),"")))</f>
        <v>0</v>
      </c>
      <c r="V600" s="21"/>
      <c r="W600" s="22"/>
      <c r="X600" s="10" t="str">
        <f aca="false">IF(AND(R600="修改",S600=""),"請選新事件代碼",IF(AND(R600&lt;&gt;"修改",S600&lt;&gt;""),"只有「修改」才需填代碼",""))</f>
        <v/>
      </c>
      <c r="Y600" s="21"/>
      <c r="Z600" s="22"/>
      <c r="AA600" s="23" t="s">
        <v>1967</v>
      </c>
      <c r="AB600" s="13"/>
    </row>
    <row r="601" customFormat="false" ht="44" hidden="false" customHeight="false" outlineLevel="0" collapsed="false">
      <c r="A601" s="16" t="n">
        <v>600</v>
      </c>
      <c r="B601" s="9" t="s">
        <v>331</v>
      </c>
      <c r="C601" s="9" t="s">
        <v>132</v>
      </c>
      <c r="D601" s="10" t="s">
        <v>133</v>
      </c>
      <c r="E601" s="24" t="s">
        <v>1965</v>
      </c>
      <c r="F601" s="12"/>
      <c r="G601" s="23" t="s">
        <v>1968</v>
      </c>
      <c r="H601" s="14" t="n">
        <v>-0.817</v>
      </c>
      <c r="I601" s="15"/>
      <c r="J601" s="12"/>
      <c r="K601" s="9"/>
      <c r="L601" s="16" t="s">
        <v>51</v>
      </c>
      <c r="M601" s="17" t="s">
        <v>79</v>
      </c>
      <c r="N601" s="15"/>
      <c r="O601" s="16" t="s">
        <v>54</v>
      </c>
      <c r="P601" s="12" t="s">
        <v>1625</v>
      </c>
      <c r="Q601" s="16"/>
      <c r="R601" s="18" t="s">
        <v>79</v>
      </c>
      <c r="S601" s="19"/>
      <c r="T601" s="12" t="str">
        <f aca="false">IF(R601="維持",J601,IF(R601="排除","無關新聞事件",IFERROR(INDEX(事件規則!$B$2:$B$53,MATCH(S601,事件規則!$A$2:$A$53,0)),"")))</f>
        <v>無關新聞事件</v>
      </c>
      <c r="U601" s="20" t="n">
        <f aca="false">IF(R601="維持",K601,IF(R601="排除",0,IFERROR(INDEX(事件規則!$C$2:$C$53,MATCH(S601,事件規則!$A$2:$A$53,0)),"")))</f>
        <v>0</v>
      </c>
      <c r="V601" s="21"/>
      <c r="W601" s="22"/>
      <c r="X601" s="10" t="str">
        <f aca="false">IF(AND(R601="修改",S601=""),"請選新事件代碼",IF(AND(R601&lt;&gt;"修改",S601&lt;&gt;""),"只有「修改」才需填代碼",""))</f>
        <v/>
      </c>
      <c r="Y601" s="21"/>
      <c r="Z601" s="22"/>
      <c r="AA601" s="23" t="s">
        <v>1969</v>
      </c>
      <c r="AB601" s="13"/>
    </row>
    <row r="602" customFormat="false" ht="15" hidden="false" customHeight="false" outlineLevel="0" collapsed="false">
      <c r="A602" s="16" t="n">
        <v>601</v>
      </c>
      <c r="B602" s="9" t="s">
        <v>45</v>
      </c>
      <c r="C602" s="9" t="s">
        <v>1970</v>
      </c>
      <c r="D602" s="10" t="s">
        <v>1971</v>
      </c>
      <c r="E602" s="24" t="s">
        <v>1972</v>
      </c>
      <c r="F602" s="12"/>
      <c r="G602" s="23" t="s">
        <v>120</v>
      </c>
      <c r="H602" s="14" t="n">
        <v>-0.816</v>
      </c>
      <c r="I602" s="15"/>
      <c r="J602" s="12"/>
      <c r="K602" s="9"/>
      <c r="L602" s="16" t="s">
        <v>51</v>
      </c>
      <c r="M602" s="17" t="s">
        <v>52</v>
      </c>
      <c r="N602" s="15" t="s">
        <v>53</v>
      </c>
      <c r="O602" s="16" t="s">
        <v>54</v>
      </c>
      <c r="P602" s="10" t="s">
        <v>1973</v>
      </c>
      <c r="Q602" s="16"/>
      <c r="R602" s="18" t="s">
        <v>52</v>
      </c>
      <c r="S602" s="19" t="s">
        <v>53</v>
      </c>
      <c r="T602" s="12" t="str">
        <f aca="false">IF(R602="維持",J602,IF(R602="排除","無關新聞事件",IFERROR(INDEX(事件規則!$B$2:$B$53,MATCH(S602,事件規則!$A$2:$A$53,0)),"")))</f>
        <v>股價下跌</v>
      </c>
      <c r="U602" s="20" t="n">
        <f aca="false">IF(R602="維持",K602,IF(R602="排除",0,IFERROR(INDEX(事件規則!$C$2:$C$53,MATCH(S602,事件規則!$A$2:$A$53,0)),"")))</f>
        <v>1</v>
      </c>
      <c r="V602" s="21"/>
      <c r="W602" s="22"/>
      <c r="X602" s="10" t="str">
        <f aca="false">IF(AND(R602="修改",S602=""),"請選新事件代碼",IF(AND(R602&lt;&gt;"修改",S602&lt;&gt;""),"只有「修改」才需填代碼",""))</f>
        <v/>
      </c>
      <c r="Y602" s="21"/>
      <c r="Z602" s="22"/>
      <c r="AA602" s="23" t="s">
        <v>1974</v>
      </c>
      <c r="AB602" s="13"/>
    </row>
    <row r="603" customFormat="false" ht="44" hidden="false" customHeight="false" outlineLevel="0" collapsed="false">
      <c r="A603" s="16" t="n">
        <v>602</v>
      </c>
      <c r="B603" s="9" t="s">
        <v>65</v>
      </c>
      <c r="C603" s="9" t="s">
        <v>1642</v>
      </c>
      <c r="D603" s="10" t="s">
        <v>1643</v>
      </c>
      <c r="E603" s="24" t="s">
        <v>1975</v>
      </c>
      <c r="F603" s="12"/>
      <c r="G603" s="23" t="s">
        <v>120</v>
      </c>
      <c r="H603" s="14" t="n">
        <v>-0.816</v>
      </c>
      <c r="I603" s="15"/>
      <c r="J603" s="12"/>
      <c r="K603" s="9"/>
      <c r="L603" s="16" t="s">
        <v>51</v>
      </c>
      <c r="M603" s="17" t="s">
        <v>79</v>
      </c>
      <c r="N603" s="15"/>
      <c r="O603" s="16" t="s">
        <v>54</v>
      </c>
      <c r="P603" s="12" t="s">
        <v>1625</v>
      </c>
      <c r="Q603" s="16"/>
      <c r="R603" s="18" t="s">
        <v>79</v>
      </c>
      <c r="S603" s="19"/>
      <c r="T603" s="12" t="str">
        <f aca="false">IF(R603="維持",J603,IF(R603="排除","無關新聞事件",IFERROR(INDEX(事件規則!$B$2:$B$53,MATCH(S603,事件規則!$A$2:$A$53,0)),"")))</f>
        <v>無關新聞事件</v>
      </c>
      <c r="U603" s="20" t="n">
        <f aca="false">IF(R603="維持",K603,IF(R603="排除",0,IFERROR(INDEX(事件規則!$C$2:$C$53,MATCH(S603,事件規則!$A$2:$A$53,0)),"")))</f>
        <v>0</v>
      </c>
      <c r="V603" s="21"/>
      <c r="W603" s="22"/>
      <c r="X603" s="10" t="str">
        <f aca="false">IF(AND(R603="修改",S603=""),"請選新事件代碼",IF(AND(R603&lt;&gt;"修改",S603&lt;&gt;""),"只有「修改」才需填代碼",""))</f>
        <v/>
      </c>
      <c r="Y603" s="21"/>
      <c r="Z603" s="22"/>
      <c r="AA603" s="23" t="s">
        <v>1976</v>
      </c>
      <c r="AB603" s="13"/>
    </row>
    <row r="604" customFormat="false" ht="44" hidden="false" customHeight="false" outlineLevel="0" collapsed="false">
      <c r="A604" s="16" t="n">
        <v>603</v>
      </c>
      <c r="B604" s="9" t="s">
        <v>45</v>
      </c>
      <c r="C604" s="9" t="s">
        <v>341</v>
      </c>
      <c r="D604" s="10" t="s">
        <v>342</v>
      </c>
      <c r="E604" s="24" t="s">
        <v>1977</v>
      </c>
      <c r="F604" s="12"/>
      <c r="G604" s="23" t="s">
        <v>329</v>
      </c>
      <c r="H604" s="14" t="n">
        <v>-0.816</v>
      </c>
      <c r="I604" s="15"/>
      <c r="J604" s="12"/>
      <c r="K604" s="9"/>
      <c r="L604" s="16" t="s">
        <v>51</v>
      </c>
      <c r="M604" s="17" t="s">
        <v>79</v>
      </c>
      <c r="N604" s="15"/>
      <c r="O604" s="16" t="s">
        <v>54</v>
      </c>
      <c r="P604" s="12" t="s">
        <v>1625</v>
      </c>
      <c r="Q604" s="16"/>
      <c r="R604" s="18" t="s">
        <v>79</v>
      </c>
      <c r="S604" s="19"/>
      <c r="T604" s="12" t="str">
        <f aca="false">IF(R604="維持",J604,IF(R604="排除","無關新聞事件",IFERROR(INDEX(事件規則!$B$2:$B$53,MATCH(S604,事件規則!$A$2:$A$53,0)),"")))</f>
        <v>無關新聞事件</v>
      </c>
      <c r="U604" s="20" t="n">
        <f aca="false">IF(R604="維持",K604,IF(R604="排除",0,IFERROR(INDEX(事件規則!$C$2:$C$53,MATCH(S604,事件規則!$A$2:$A$53,0)),"")))</f>
        <v>0</v>
      </c>
      <c r="V604" s="21"/>
      <c r="W604" s="22"/>
      <c r="X604" s="10" t="str">
        <f aca="false">IF(AND(R604="修改",S604=""),"請選新事件代碼",IF(AND(R604&lt;&gt;"修改",S604&lt;&gt;""),"只有「修改」才需填代碼",""))</f>
        <v/>
      </c>
      <c r="Y604" s="21"/>
      <c r="Z604" s="22"/>
      <c r="AA604" s="23" t="s">
        <v>1978</v>
      </c>
      <c r="AB604" s="13"/>
    </row>
    <row r="605" customFormat="false" ht="44" hidden="false" customHeight="false" outlineLevel="0" collapsed="false">
      <c r="A605" s="16" t="n">
        <v>604</v>
      </c>
      <c r="B605" s="9" t="s">
        <v>65</v>
      </c>
      <c r="C605" s="9" t="s">
        <v>255</v>
      </c>
      <c r="D605" s="10" t="s">
        <v>256</v>
      </c>
      <c r="E605" s="24" t="s">
        <v>1979</v>
      </c>
      <c r="F605" s="12"/>
      <c r="G605" s="23" t="s">
        <v>1980</v>
      </c>
      <c r="H605" s="14" t="n">
        <v>-0.813</v>
      </c>
      <c r="I605" s="15"/>
      <c r="J605" s="12"/>
      <c r="K605" s="9"/>
      <c r="L605" s="16" t="s">
        <v>51</v>
      </c>
      <c r="M605" s="17" t="s">
        <v>79</v>
      </c>
      <c r="N605" s="15"/>
      <c r="O605" s="16" t="s">
        <v>54</v>
      </c>
      <c r="P605" s="12" t="s">
        <v>1625</v>
      </c>
      <c r="Q605" s="16"/>
      <c r="R605" s="18" t="s">
        <v>79</v>
      </c>
      <c r="S605" s="19"/>
      <c r="T605" s="12" t="str">
        <f aca="false">IF(R605="維持",J605,IF(R605="排除","無關新聞事件",IFERROR(INDEX(事件規則!$B$2:$B$53,MATCH(S605,事件規則!$A$2:$A$53,0)),"")))</f>
        <v>無關新聞事件</v>
      </c>
      <c r="U605" s="20" t="n">
        <f aca="false">IF(R605="維持",K605,IF(R605="排除",0,IFERROR(INDEX(事件規則!$C$2:$C$53,MATCH(S605,事件規則!$A$2:$A$53,0)),"")))</f>
        <v>0</v>
      </c>
      <c r="V605" s="21"/>
      <c r="W605" s="22"/>
      <c r="X605" s="10" t="str">
        <f aca="false">IF(AND(R605="修改",S605=""),"請選新事件代碼",IF(AND(R605&lt;&gt;"修改",S605&lt;&gt;""),"只有「修改」才需填代碼",""))</f>
        <v/>
      </c>
      <c r="Y605" s="21"/>
      <c r="Z605" s="22"/>
      <c r="AA605" s="23" t="s">
        <v>1981</v>
      </c>
      <c r="AB605" s="13"/>
    </row>
    <row r="606" customFormat="false" ht="44" hidden="false" customHeight="false" outlineLevel="0" collapsed="false">
      <c r="A606" s="16" t="n">
        <v>605</v>
      </c>
      <c r="B606" s="9" t="s">
        <v>65</v>
      </c>
      <c r="C606" s="9" t="s">
        <v>564</v>
      </c>
      <c r="D606" s="10" t="s">
        <v>565</v>
      </c>
      <c r="E606" s="24" t="s">
        <v>1982</v>
      </c>
      <c r="F606" s="12"/>
      <c r="G606" s="23" t="s">
        <v>745</v>
      </c>
      <c r="H606" s="14" t="n">
        <v>-0.813</v>
      </c>
      <c r="I606" s="15"/>
      <c r="J606" s="12"/>
      <c r="K606" s="9"/>
      <c r="L606" s="16" t="s">
        <v>51</v>
      </c>
      <c r="M606" s="17" t="s">
        <v>79</v>
      </c>
      <c r="N606" s="15"/>
      <c r="O606" s="16" t="s">
        <v>54</v>
      </c>
      <c r="P606" s="12" t="s">
        <v>1625</v>
      </c>
      <c r="Q606" s="16"/>
      <c r="R606" s="18" t="s">
        <v>79</v>
      </c>
      <c r="S606" s="19"/>
      <c r="T606" s="12" t="str">
        <f aca="false">IF(R606="維持",J606,IF(R606="排除","無關新聞事件",IFERROR(INDEX(事件規則!$B$2:$B$53,MATCH(S606,事件規則!$A$2:$A$53,0)),"")))</f>
        <v>無關新聞事件</v>
      </c>
      <c r="U606" s="20" t="n">
        <f aca="false">IF(R606="維持",K606,IF(R606="排除",0,IFERROR(INDEX(事件規則!$C$2:$C$53,MATCH(S606,事件規則!$A$2:$A$53,0)),"")))</f>
        <v>0</v>
      </c>
      <c r="V606" s="21"/>
      <c r="W606" s="22"/>
      <c r="X606" s="10" t="str">
        <f aca="false">IF(AND(R606="修改",S606=""),"請選新事件代碼",IF(AND(R606&lt;&gt;"修改",S606&lt;&gt;""),"只有「修改」才需填代碼",""))</f>
        <v/>
      </c>
      <c r="Y606" s="21"/>
      <c r="Z606" s="22"/>
      <c r="AA606" s="23" t="s">
        <v>1983</v>
      </c>
      <c r="AB606" s="13"/>
    </row>
    <row r="607" customFormat="false" ht="15" hidden="false" customHeight="false" outlineLevel="0" collapsed="false">
      <c r="A607" s="16" t="n">
        <v>606</v>
      </c>
      <c r="B607" s="9" t="s">
        <v>65</v>
      </c>
      <c r="C607" s="9" t="s">
        <v>1579</v>
      </c>
      <c r="D607" s="10" t="s">
        <v>1580</v>
      </c>
      <c r="E607" s="24" t="s">
        <v>1984</v>
      </c>
      <c r="F607" s="12"/>
      <c r="G607" s="23" t="s">
        <v>1985</v>
      </c>
      <c r="H607" s="14" t="n">
        <v>-0.813</v>
      </c>
      <c r="I607" s="15"/>
      <c r="J607" s="12"/>
      <c r="K607" s="9"/>
      <c r="L607" s="16" t="s">
        <v>51</v>
      </c>
      <c r="M607" s="17" t="s">
        <v>52</v>
      </c>
      <c r="N607" s="15" t="s">
        <v>736</v>
      </c>
      <c r="O607" s="16" t="s">
        <v>54</v>
      </c>
      <c r="P607" s="12" t="s">
        <v>1986</v>
      </c>
      <c r="Q607" s="16"/>
      <c r="R607" s="18" t="s">
        <v>52</v>
      </c>
      <c r="S607" s="19" t="s">
        <v>736</v>
      </c>
      <c r="T607" s="12" t="str">
        <f aca="false">IF(R607="維持",J607,IF(R607="排除","無關新聞事件",IFERROR(INDEX(事件規則!$B$2:$B$53,MATCH(S607,事件規則!$A$2:$A$53,0)),"")))</f>
        <v>重大訴訟</v>
      </c>
      <c r="U607" s="20" t="n">
        <f aca="false">IF(R607="維持",K607,IF(R607="排除",0,IFERROR(INDEX(事件規則!$C$2:$C$53,MATCH(S607,事件規則!$A$2:$A$53,0)),"")))</f>
        <v>4</v>
      </c>
      <c r="V607" s="21"/>
      <c r="W607" s="22"/>
      <c r="X607" s="10" t="str">
        <f aca="false">IF(AND(R607="修改",S607=""),"請選新事件代碼",IF(AND(R607&lt;&gt;"修改",S607&lt;&gt;""),"只有「修改」才需填代碼",""))</f>
        <v/>
      </c>
      <c r="Y607" s="21"/>
      <c r="Z607" s="22"/>
      <c r="AA607" s="23" t="s">
        <v>1987</v>
      </c>
      <c r="AB607" s="13"/>
    </row>
    <row r="608" customFormat="false" ht="44" hidden="false" customHeight="false" outlineLevel="0" collapsed="false">
      <c r="A608" s="16" t="n">
        <v>607</v>
      </c>
      <c r="B608" s="9" t="s">
        <v>331</v>
      </c>
      <c r="C608" s="9" t="s">
        <v>346</v>
      </c>
      <c r="D608" s="10" t="s">
        <v>347</v>
      </c>
      <c r="E608" s="24" t="s">
        <v>1988</v>
      </c>
      <c r="F608" s="12"/>
      <c r="G608" s="23" t="s">
        <v>666</v>
      </c>
      <c r="H608" s="14" t="n">
        <v>-0.812</v>
      </c>
      <c r="I608" s="15"/>
      <c r="J608" s="12"/>
      <c r="K608" s="9"/>
      <c r="L608" s="16" t="s">
        <v>51</v>
      </c>
      <c r="M608" s="17" t="s">
        <v>79</v>
      </c>
      <c r="N608" s="15"/>
      <c r="O608" s="16" t="s">
        <v>54</v>
      </c>
      <c r="P608" s="12" t="s">
        <v>1625</v>
      </c>
      <c r="Q608" s="16"/>
      <c r="R608" s="18" t="s">
        <v>79</v>
      </c>
      <c r="S608" s="19"/>
      <c r="T608" s="12" t="str">
        <f aca="false">IF(R608="維持",J608,IF(R608="排除","無關新聞事件",IFERROR(INDEX(事件規則!$B$2:$B$53,MATCH(S608,事件規則!$A$2:$A$53,0)),"")))</f>
        <v>無關新聞事件</v>
      </c>
      <c r="U608" s="20" t="n">
        <f aca="false">IF(R608="維持",K608,IF(R608="排除",0,IFERROR(INDEX(事件規則!$C$2:$C$53,MATCH(S608,事件規則!$A$2:$A$53,0)),"")))</f>
        <v>0</v>
      </c>
      <c r="V608" s="21"/>
      <c r="W608" s="22"/>
      <c r="X608" s="10" t="str">
        <f aca="false">IF(AND(R608="修改",S608=""),"請選新事件代碼",IF(AND(R608&lt;&gt;"修改",S608&lt;&gt;""),"只有「修改」才需填代碼",""))</f>
        <v/>
      </c>
      <c r="Y608" s="21"/>
      <c r="Z608" s="22"/>
      <c r="AA608" s="23" t="s">
        <v>1989</v>
      </c>
      <c r="AB608" s="13"/>
    </row>
    <row r="609" customFormat="false" ht="44" hidden="false" customHeight="false" outlineLevel="0" collapsed="false">
      <c r="A609" s="16" t="n">
        <v>608</v>
      </c>
      <c r="B609" s="9" t="s">
        <v>65</v>
      </c>
      <c r="C609" s="9" t="s">
        <v>1229</v>
      </c>
      <c r="D609" s="10" t="s">
        <v>1230</v>
      </c>
      <c r="E609" s="24" t="s">
        <v>1990</v>
      </c>
      <c r="F609" s="12"/>
      <c r="G609" s="23" t="s">
        <v>1991</v>
      </c>
      <c r="H609" s="14" t="n">
        <v>-0.811</v>
      </c>
      <c r="I609" s="15"/>
      <c r="J609" s="12"/>
      <c r="K609" s="9"/>
      <c r="L609" s="16" t="s">
        <v>51</v>
      </c>
      <c r="M609" s="17" t="s">
        <v>79</v>
      </c>
      <c r="N609" s="15"/>
      <c r="O609" s="16" t="s">
        <v>54</v>
      </c>
      <c r="P609" s="12" t="s">
        <v>1625</v>
      </c>
      <c r="Q609" s="16"/>
      <c r="R609" s="18" t="s">
        <v>79</v>
      </c>
      <c r="S609" s="19"/>
      <c r="T609" s="12" t="str">
        <f aca="false">IF(R609="維持",J609,IF(R609="排除","無關新聞事件",IFERROR(INDEX(事件規則!$B$2:$B$53,MATCH(S609,事件規則!$A$2:$A$53,0)),"")))</f>
        <v>無關新聞事件</v>
      </c>
      <c r="U609" s="20" t="n">
        <f aca="false">IF(R609="維持",K609,IF(R609="排除",0,IFERROR(INDEX(事件規則!$C$2:$C$53,MATCH(S609,事件規則!$A$2:$A$53,0)),"")))</f>
        <v>0</v>
      </c>
      <c r="V609" s="21"/>
      <c r="W609" s="22"/>
      <c r="X609" s="10" t="str">
        <f aca="false">IF(AND(R609="修改",S609=""),"請選新事件代碼",IF(AND(R609&lt;&gt;"修改",S609&lt;&gt;""),"只有「修改」才需填代碼",""))</f>
        <v/>
      </c>
      <c r="Y609" s="21"/>
      <c r="Z609" s="22"/>
      <c r="AA609" s="23" t="s">
        <v>1992</v>
      </c>
      <c r="AB609" s="13"/>
    </row>
    <row r="610" customFormat="false" ht="44" hidden="false" customHeight="false" outlineLevel="0" collapsed="false">
      <c r="A610" s="16" t="n">
        <v>609</v>
      </c>
      <c r="B610" s="9" t="s">
        <v>386</v>
      </c>
      <c r="C610" s="9" t="s">
        <v>564</v>
      </c>
      <c r="D610" s="10" t="s">
        <v>565</v>
      </c>
      <c r="E610" s="24" t="s">
        <v>1993</v>
      </c>
      <c r="F610" s="12"/>
      <c r="G610" s="23" t="s">
        <v>774</v>
      </c>
      <c r="H610" s="14" t="n">
        <v>-0.811</v>
      </c>
      <c r="I610" s="15"/>
      <c r="J610" s="12"/>
      <c r="K610" s="9"/>
      <c r="L610" s="16" t="s">
        <v>51</v>
      </c>
      <c r="M610" s="17" t="s">
        <v>79</v>
      </c>
      <c r="N610" s="15"/>
      <c r="O610" s="16" t="s">
        <v>54</v>
      </c>
      <c r="P610" s="12" t="s">
        <v>1625</v>
      </c>
      <c r="Q610" s="16"/>
      <c r="R610" s="18" t="s">
        <v>79</v>
      </c>
      <c r="S610" s="19"/>
      <c r="T610" s="12" t="str">
        <f aca="false">IF(R610="維持",J610,IF(R610="排除","無關新聞事件",IFERROR(INDEX(事件規則!$B$2:$B$53,MATCH(S610,事件規則!$A$2:$A$53,0)),"")))</f>
        <v>無關新聞事件</v>
      </c>
      <c r="U610" s="20" t="n">
        <f aca="false">IF(R610="維持",K610,IF(R610="排除",0,IFERROR(INDEX(事件規則!$C$2:$C$53,MATCH(S610,事件規則!$A$2:$A$53,0)),"")))</f>
        <v>0</v>
      </c>
      <c r="V610" s="21"/>
      <c r="W610" s="22"/>
      <c r="X610" s="10" t="str">
        <f aca="false">IF(AND(R610="修改",S610=""),"請選新事件代碼",IF(AND(R610&lt;&gt;"修改",S610&lt;&gt;""),"只有「修改」才需填代碼",""))</f>
        <v/>
      </c>
      <c r="Y610" s="21"/>
      <c r="Z610" s="22"/>
      <c r="AA610" s="23" t="s">
        <v>1994</v>
      </c>
      <c r="AB610" s="13"/>
    </row>
    <row r="611" customFormat="false" ht="44" hidden="false" customHeight="false" outlineLevel="0" collapsed="false">
      <c r="A611" s="16" t="n">
        <v>610</v>
      </c>
      <c r="B611" s="9" t="s">
        <v>386</v>
      </c>
      <c r="C611" s="9" t="s">
        <v>314</v>
      </c>
      <c r="D611" s="10" t="s">
        <v>315</v>
      </c>
      <c r="E611" s="24" t="s">
        <v>1995</v>
      </c>
      <c r="F611" s="12"/>
      <c r="G611" s="23" t="s">
        <v>779</v>
      </c>
      <c r="H611" s="14" t="n">
        <v>-0.811</v>
      </c>
      <c r="I611" s="15"/>
      <c r="J611" s="12"/>
      <c r="K611" s="9"/>
      <c r="L611" s="16" t="s">
        <v>51</v>
      </c>
      <c r="M611" s="17" t="s">
        <v>79</v>
      </c>
      <c r="N611" s="15"/>
      <c r="O611" s="16" t="s">
        <v>54</v>
      </c>
      <c r="P611" s="12" t="s">
        <v>1625</v>
      </c>
      <c r="Q611" s="16"/>
      <c r="R611" s="18" t="s">
        <v>79</v>
      </c>
      <c r="S611" s="19"/>
      <c r="T611" s="12" t="str">
        <f aca="false">IF(R611="維持",J611,IF(R611="排除","無關新聞事件",IFERROR(INDEX(事件規則!$B$2:$B$53,MATCH(S611,事件規則!$A$2:$A$53,0)),"")))</f>
        <v>無關新聞事件</v>
      </c>
      <c r="U611" s="20" t="n">
        <f aca="false">IF(R611="維持",K611,IF(R611="排除",0,IFERROR(INDEX(事件規則!$C$2:$C$53,MATCH(S611,事件規則!$A$2:$A$53,0)),"")))</f>
        <v>0</v>
      </c>
      <c r="V611" s="21"/>
      <c r="W611" s="22"/>
      <c r="X611" s="10" t="str">
        <f aca="false">IF(AND(R611="修改",S611=""),"請選新事件代碼",IF(AND(R611&lt;&gt;"修改",S611&lt;&gt;""),"只有「修改」才需填代碼",""))</f>
        <v/>
      </c>
      <c r="Y611" s="21"/>
      <c r="Z611" s="22"/>
      <c r="AA611" s="23" t="s">
        <v>1996</v>
      </c>
      <c r="AB611" s="13"/>
    </row>
    <row r="612" customFormat="false" ht="44" hidden="false" customHeight="false" outlineLevel="0" collapsed="false">
      <c r="A612" s="16" t="n">
        <v>611</v>
      </c>
      <c r="B612" s="9" t="s">
        <v>65</v>
      </c>
      <c r="C612" s="9" t="s">
        <v>1325</v>
      </c>
      <c r="D612" s="10" t="s">
        <v>1326</v>
      </c>
      <c r="E612" s="24" t="s">
        <v>1997</v>
      </c>
      <c r="F612" s="12"/>
      <c r="G612" s="23" t="s">
        <v>1998</v>
      </c>
      <c r="H612" s="14" t="n">
        <v>-0.811</v>
      </c>
      <c r="I612" s="15"/>
      <c r="J612" s="12"/>
      <c r="K612" s="9"/>
      <c r="L612" s="16" t="s">
        <v>51</v>
      </c>
      <c r="M612" s="17" t="s">
        <v>79</v>
      </c>
      <c r="N612" s="15"/>
      <c r="O612" s="16" t="s">
        <v>54</v>
      </c>
      <c r="P612" s="12" t="s">
        <v>1625</v>
      </c>
      <c r="Q612" s="16"/>
      <c r="R612" s="18" t="s">
        <v>79</v>
      </c>
      <c r="S612" s="19"/>
      <c r="T612" s="12" t="str">
        <f aca="false">IF(R612="維持",J612,IF(R612="排除","無關新聞事件",IFERROR(INDEX(事件規則!$B$2:$B$53,MATCH(S612,事件規則!$A$2:$A$53,0)),"")))</f>
        <v>無關新聞事件</v>
      </c>
      <c r="U612" s="20" t="n">
        <f aca="false">IF(R612="維持",K612,IF(R612="排除",0,IFERROR(INDEX(事件規則!$C$2:$C$53,MATCH(S612,事件規則!$A$2:$A$53,0)),"")))</f>
        <v>0</v>
      </c>
      <c r="V612" s="21"/>
      <c r="W612" s="22"/>
      <c r="X612" s="10" t="str">
        <f aca="false">IF(AND(R612="修改",S612=""),"請選新事件代碼",IF(AND(R612&lt;&gt;"修改",S612&lt;&gt;""),"只有「修改」才需填代碼",""))</f>
        <v/>
      </c>
      <c r="Y612" s="21"/>
      <c r="Z612" s="22"/>
      <c r="AA612" s="23" t="s">
        <v>1999</v>
      </c>
      <c r="AB612" s="13"/>
    </row>
    <row r="613" customFormat="false" ht="44" hidden="false" customHeight="false" outlineLevel="0" collapsed="false">
      <c r="A613" s="16" t="n">
        <v>612</v>
      </c>
      <c r="B613" s="9" t="s">
        <v>386</v>
      </c>
      <c r="C613" s="9" t="s">
        <v>142</v>
      </c>
      <c r="D613" s="10" t="s">
        <v>143</v>
      </c>
      <c r="E613" s="24" t="s">
        <v>1993</v>
      </c>
      <c r="F613" s="12"/>
      <c r="G613" s="23" t="s">
        <v>774</v>
      </c>
      <c r="H613" s="14" t="n">
        <v>-0.811</v>
      </c>
      <c r="I613" s="15"/>
      <c r="J613" s="12"/>
      <c r="K613" s="9"/>
      <c r="L613" s="16" t="s">
        <v>51</v>
      </c>
      <c r="M613" s="17" t="s">
        <v>79</v>
      </c>
      <c r="N613" s="15"/>
      <c r="O613" s="16" t="s">
        <v>54</v>
      </c>
      <c r="P613" s="12" t="s">
        <v>1625</v>
      </c>
      <c r="Q613" s="16"/>
      <c r="R613" s="18" t="s">
        <v>79</v>
      </c>
      <c r="S613" s="19"/>
      <c r="T613" s="12" t="str">
        <f aca="false">IF(R613="維持",J613,IF(R613="排除","無關新聞事件",IFERROR(INDEX(事件規則!$B$2:$B$53,MATCH(S613,事件規則!$A$2:$A$53,0)),"")))</f>
        <v>無關新聞事件</v>
      </c>
      <c r="U613" s="20" t="n">
        <f aca="false">IF(R613="維持",K613,IF(R613="排除",0,IFERROR(INDEX(事件規則!$C$2:$C$53,MATCH(S613,事件規則!$A$2:$A$53,0)),"")))</f>
        <v>0</v>
      </c>
      <c r="V613" s="21"/>
      <c r="W613" s="22"/>
      <c r="X613" s="10" t="str">
        <f aca="false">IF(AND(R613="修改",S613=""),"請選新事件代碼",IF(AND(R613&lt;&gt;"修改",S613&lt;&gt;""),"只有「修改」才需填代碼",""))</f>
        <v/>
      </c>
      <c r="Y613" s="21"/>
      <c r="Z613" s="22"/>
      <c r="AA613" s="23" t="s">
        <v>2000</v>
      </c>
      <c r="AB613" s="13"/>
    </row>
    <row r="614" customFormat="false" ht="15" hidden="false" customHeight="false" outlineLevel="0" collapsed="false">
      <c r="A614" s="16" t="n">
        <v>613</v>
      </c>
      <c r="B614" s="9" t="s">
        <v>45</v>
      </c>
      <c r="C614" s="9" t="s">
        <v>149</v>
      </c>
      <c r="D614" s="10" t="s">
        <v>150</v>
      </c>
      <c r="E614" s="24" t="s">
        <v>2001</v>
      </c>
      <c r="F614" s="12"/>
      <c r="G614" s="23" t="s">
        <v>301</v>
      </c>
      <c r="H614" s="14" t="n">
        <v>-0.811</v>
      </c>
      <c r="I614" s="15"/>
      <c r="J614" s="12"/>
      <c r="K614" s="9"/>
      <c r="L614" s="16" t="s">
        <v>51</v>
      </c>
      <c r="M614" s="17" t="s">
        <v>52</v>
      </c>
      <c r="N614" s="15" t="s">
        <v>53</v>
      </c>
      <c r="O614" s="16" t="s">
        <v>54</v>
      </c>
      <c r="P614" s="10" t="s">
        <v>926</v>
      </c>
      <c r="Q614" s="16"/>
      <c r="R614" s="18" t="s">
        <v>52</v>
      </c>
      <c r="S614" s="19" t="s">
        <v>53</v>
      </c>
      <c r="T614" s="12" t="str">
        <f aca="false">IF(R614="維持",J614,IF(R614="排除","無關新聞事件",IFERROR(INDEX(事件規則!$B$2:$B$53,MATCH(S614,事件規則!$A$2:$A$53,0)),"")))</f>
        <v>股價下跌</v>
      </c>
      <c r="U614" s="20" t="n">
        <f aca="false">IF(R614="維持",K614,IF(R614="排除",0,IFERROR(INDEX(事件規則!$C$2:$C$53,MATCH(S614,事件規則!$A$2:$A$53,0)),"")))</f>
        <v>1</v>
      </c>
      <c r="V614" s="21"/>
      <c r="W614" s="22"/>
      <c r="X614" s="10" t="str">
        <f aca="false">IF(AND(R614="修改",S614=""),"請選新事件代碼",IF(AND(R614&lt;&gt;"修改",S614&lt;&gt;""),"只有「修改」才需填代碼",""))</f>
        <v/>
      </c>
      <c r="Y614" s="21"/>
      <c r="Z614" s="22"/>
      <c r="AA614" s="23" t="s">
        <v>2002</v>
      </c>
      <c r="AB614" s="13"/>
    </row>
    <row r="615" customFormat="false" ht="44" hidden="false" customHeight="false" outlineLevel="0" collapsed="false">
      <c r="A615" s="16" t="n">
        <v>614</v>
      </c>
      <c r="B615" s="9" t="s">
        <v>331</v>
      </c>
      <c r="C615" s="9" t="s">
        <v>768</v>
      </c>
      <c r="D615" s="10" t="s">
        <v>769</v>
      </c>
      <c r="E615" s="24" t="s">
        <v>2003</v>
      </c>
      <c r="F615" s="12"/>
      <c r="G615" s="23" t="s">
        <v>2004</v>
      </c>
      <c r="H615" s="14" t="n">
        <v>-0.809</v>
      </c>
      <c r="I615" s="15"/>
      <c r="J615" s="12"/>
      <c r="K615" s="9"/>
      <c r="L615" s="16" t="s">
        <v>51</v>
      </c>
      <c r="M615" s="17" t="s">
        <v>79</v>
      </c>
      <c r="N615" s="15"/>
      <c r="O615" s="16" t="s">
        <v>54</v>
      </c>
      <c r="P615" s="12" t="s">
        <v>1625</v>
      </c>
      <c r="Q615" s="16"/>
      <c r="R615" s="18" t="s">
        <v>79</v>
      </c>
      <c r="S615" s="19"/>
      <c r="T615" s="12" t="str">
        <f aca="false">IF(R615="維持",J615,IF(R615="排除","無關新聞事件",IFERROR(INDEX(事件規則!$B$2:$B$53,MATCH(S615,事件規則!$A$2:$A$53,0)),"")))</f>
        <v>無關新聞事件</v>
      </c>
      <c r="U615" s="20" t="n">
        <f aca="false">IF(R615="維持",K615,IF(R615="排除",0,IFERROR(INDEX(事件規則!$C$2:$C$53,MATCH(S615,事件規則!$A$2:$A$53,0)),"")))</f>
        <v>0</v>
      </c>
      <c r="V615" s="21"/>
      <c r="W615" s="22"/>
      <c r="X615" s="10" t="str">
        <f aca="false">IF(AND(R615="修改",S615=""),"請選新事件代碼",IF(AND(R615&lt;&gt;"修改",S615&lt;&gt;""),"只有「修改」才需填代碼",""))</f>
        <v/>
      </c>
      <c r="Y615" s="21"/>
      <c r="Z615" s="22"/>
      <c r="AA615" s="23" t="s">
        <v>2005</v>
      </c>
      <c r="AB615" s="13"/>
    </row>
    <row r="616" customFormat="false" ht="44" hidden="false" customHeight="false" outlineLevel="0" collapsed="false">
      <c r="A616" s="16" t="n">
        <v>615</v>
      </c>
      <c r="B616" s="9" t="s">
        <v>65</v>
      </c>
      <c r="C616" s="9" t="s">
        <v>564</v>
      </c>
      <c r="D616" s="10" t="s">
        <v>565</v>
      </c>
      <c r="E616" s="24" t="s">
        <v>2006</v>
      </c>
      <c r="F616" s="12"/>
      <c r="G616" s="23" t="s">
        <v>771</v>
      </c>
      <c r="H616" s="14" t="n">
        <v>-0.809</v>
      </c>
      <c r="I616" s="15"/>
      <c r="J616" s="12"/>
      <c r="K616" s="9"/>
      <c r="L616" s="16" t="s">
        <v>51</v>
      </c>
      <c r="M616" s="17" t="s">
        <v>79</v>
      </c>
      <c r="N616" s="15"/>
      <c r="O616" s="16" t="s">
        <v>54</v>
      </c>
      <c r="P616" s="12" t="s">
        <v>1625</v>
      </c>
      <c r="Q616" s="16"/>
      <c r="R616" s="18" t="s">
        <v>79</v>
      </c>
      <c r="S616" s="19"/>
      <c r="T616" s="12" t="str">
        <f aca="false">IF(R616="維持",J616,IF(R616="排除","無關新聞事件",IFERROR(INDEX(事件規則!$B$2:$B$53,MATCH(S616,事件規則!$A$2:$A$53,0)),"")))</f>
        <v>無關新聞事件</v>
      </c>
      <c r="U616" s="20" t="n">
        <f aca="false">IF(R616="維持",K616,IF(R616="排除",0,IFERROR(INDEX(事件規則!$C$2:$C$53,MATCH(S616,事件規則!$A$2:$A$53,0)),"")))</f>
        <v>0</v>
      </c>
      <c r="V616" s="21"/>
      <c r="W616" s="22"/>
      <c r="X616" s="10" t="str">
        <f aca="false">IF(AND(R616="修改",S616=""),"請選新事件代碼",IF(AND(R616&lt;&gt;"修改",S616&lt;&gt;""),"只有「修改」才需填代碼",""))</f>
        <v/>
      </c>
      <c r="Y616" s="21"/>
      <c r="Z616" s="22"/>
      <c r="AA616" s="23" t="s">
        <v>2007</v>
      </c>
      <c r="AB616" s="13"/>
    </row>
    <row r="617" customFormat="false" ht="44" hidden="false" customHeight="false" outlineLevel="0" collapsed="false">
      <c r="A617" s="16" t="n">
        <v>616</v>
      </c>
      <c r="B617" s="9" t="s">
        <v>65</v>
      </c>
      <c r="C617" s="9" t="s">
        <v>564</v>
      </c>
      <c r="D617" s="10" t="s">
        <v>565</v>
      </c>
      <c r="E617" s="24" t="s">
        <v>2008</v>
      </c>
      <c r="F617" s="12"/>
      <c r="G617" s="23" t="s">
        <v>771</v>
      </c>
      <c r="H617" s="14" t="n">
        <v>-0.809</v>
      </c>
      <c r="I617" s="15"/>
      <c r="J617" s="12"/>
      <c r="K617" s="9"/>
      <c r="L617" s="16" t="s">
        <v>51</v>
      </c>
      <c r="M617" s="17" t="s">
        <v>79</v>
      </c>
      <c r="N617" s="15"/>
      <c r="O617" s="16" t="s">
        <v>54</v>
      </c>
      <c r="P617" s="12" t="s">
        <v>1625</v>
      </c>
      <c r="Q617" s="16"/>
      <c r="R617" s="18" t="s">
        <v>79</v>
      </c>
      <c r="S617" s="19"/>
      <c r="T617" s="12" t="str">
        <f aca="false">IF(R617="維持",J617,IF(R617="排除","無關新聞事件",IFERROR(INDEX(事件規則!$B$2:$B$53,MATCH(S617,事件規則!$A$2:$A$53,0)),"")))</f>
        <v>無關新聞事件</v>
      </c>
      <c r="U617" s="20" t="n">
        <f aca="false">IF(R617="維持",K617,IF(R617="排除",0,IFERROR(INDEX(事件規則!$C$2:$C$53,MATCH(S617,事件規則!$A$2:$A$53,0)),"")))</f>
        <v>0</v>
      </c>
      <c r="V617" s="21"/>
      <c r="W617" s="22"/>
      <c r="X617" s="10" t="str">
        <f aca="false">IF(AND(R617="修改",S617=""),"請選新事件代碼",IF(AND(R617&lt;&gt;"修改",S617&lt;&gt;""),"只有「修改」才需填代碼",""))</f>
        <v/>
      </c>
      <c r="Y617" s="21"/>
      <c r="Z617" s="22"/>
      <c r="AA617" s="23" t="s">
        <v>2009</v>
      </c>
      <c r="AB617" s="13"/>
    </row>
    <row r="618" customFormat="false" ht="44" hidden="false" customHeight="false" outlineLevel="0" collapsed="false">
      <c r="A618" s="16" t="n">
        <v>617</v>
      </c>
      <c r="B618" s="9" t="s">
        <v>45</v>
      </c>
      <c r="C618" s="9" t="s">
        <v>1690</v>
      </c>
      <c r="D618" s="10" t="s">
        <v>1691</v>
      </c>
      <c r="E618" s="24" t="s">
        <v>2010</v>
      </c>
      <c r="F618" s="12"/>
      <c r="G618" s="23" t="s">
        <v>815</v>
      </c>
      <c r="H618" s="14" t="n">
        <v>-0.807</v>
      </c>
      <c r="I618" s="15"/>
      <c r="J618" s="12"/>
      <c r="K618" s="9"/>
      <c r="L618" s="16" t="s">
        <v>51</v>
      </c>
      <c r="M618" s="17" t="s">
        <v>79</v>
      </c>
      <c r="N618" s="15"/>
      <c r="O618" s="16" t="s">
        <v>54</v>
      </c>
      <c r="P618" s="12" t="s">
        <v>1625</v>
      </c>
      <c r="Q618" s="16"/>
      <c r="R618" s="18" t="s">
        <v>79</v>
      </c>
      <c r="S618" s="19"/>
      <c r="T618" s="12" t="str">
        <f aca="false">IF(R618="維持",J618,IF(R618="排除","無關新聞事件",IFERROR(INDEX(事件規則!$B$2:$B$53,MATCH(S618,事件規則!$A$2:$A$53,0)),"")))</f>
        <v>無關新聞事件</v>
      </c>
      <c r="U618" s="20" t="n">
        <f aca="false">IF(R618="維持",K618,IF(R618="排除",0,IFERROR(INDEX(事件規則!$C$2:$C$53,MATCH(S618,事件規則!$A$2:$A$53,0)),"")))</f>
        <v>0</v>
      </c>
      <c r="V618" s="21"/>
      <c r="W618" s="22"/>
      <c r="X618" s="10" t="str">
        <f aca="false">IF(AND(R618="修改",S618=""),"請選新事件代碼",IF(AND(R618&lt;&gt;"修改",S618&lt;&gt;""),"只有「修改」才需填代碼",""))</f>
        <v/>
      </c>
      <c r="Y618" s="21"/>
      <c r="Z618" s="22"/>
      <c r="AA618" s="23" t="s">
        <v>2011</v>
      </c>
      <c r="AB618" s="13"/>
    </row>
    <row r="619" customFormat="false" ht="23.85" hidden="false" customHeight="false" outlineLevel="0" collapsed="false">
      <c r="A619" s="16" t="n">
        <v>618</v>
      </c>
      <c r="B619" s="9" t="s">
        <v>65</v>
      </c>
      <c r="C619" s="9" t="s">
        <v>142</v>
      </c>
      <c r="D619" s="10" t="s">
        <v>143</v>
      </c>
      <c r="E619" s="24" t="s">
        <v>2012</v>
      </c>
      <c r="F619" s="12"/>
      <c r="G619" s="23" t="s">
        <v>421</v>
      </c>
      <c r="H619" s="14" t="n">
        <v>-0.807</v>
      </c>
      <c r="I619" s="15"/>
      <c r="J619" s="12"/>
      <c r="K619" s="9"/>
      <c r="L619" s="16" t="s">
        <v>51</v>
      </c>
      <c r="M619" s="17" t="s">
        <v>52</v>
      </c>
      <c r="N619" s="15" t="s">
        <v>61</v>
      </c>
      <c r="O619" s="16" t="s">
        <v>54</v>
      </c>
      <c r="P619" s="10" t="s">
        <v>1858</v>
      </c>
      <c r="Q619" s="16"/>
      <c r="R619" s="18" t="s">
        <v>52</v>
      </c>
      <c r="S619" s="19" t="s">
        <v>61</v>
      </c>
      <c r="T619" s="12" t="str">
        <f aca="false">IF(R619="維持",J619,IF(R619="排除","無關新聞事件",IFERROR(INDEX(事件規則!$B$2:$B$53,MATCH(S619,事件規則!$A$2:$A$53,0)),"")))</f>
        <v>裁員或人力縮減</v>
      </c>
      <c r="U619" s="20" t="n">
        <f aca="false">IF(R619="維持",K619,IF(R619="排除",0,IFERROR(INDEX(事件規則!$C$2:$C$53,MATCH(S619,事件規則!$A$2:$A$53,0)),"")))</f>
        <v>3</v>
      </c>
      <c r="V619" s="21"/>
      <c r="W619" s="22"/>
      <c r="X619" s="10" t="str">
        <f aca="false">IF(AND(R619="修改",S619=""),"請選新事件代碼",IF(AND(R619&lt;&gt;"修改",S619&lt;&gt;""),"只有「修改」才需填代碼",""))</f>
        <v/>
      </c>
      <c r="Y619" s="21"/>
      <c r="Z619" s="22"/>
      <c r="AA619" s="23" t="s">
        <v>2013</v>
      </c>
      <c r="AB619" s="13"/>
    </row>
    <row r="620" customFormat="false" ht="44" hidden="false" customHeight="false" outlineLevel="0" collapsed="false">
      <c r="A620" s="16" t="n">
        <v>619</v>
      </c>
      <c r="B620" s="9" t="s">
        <v>45</v>
      </c>
      <c r="C620" s="9" t="s">
        <v>57</v>
      </c>
      <c r="D620" s="10" t="s">
        <v>58</v>
      </c>
      <c r="E620" s="24" t="s">
        <v>2014</v>
      </c>
      <c r="F620" s="12"/>
      <c r="G620" s="23" t="s">
        <v>292</v>
      </c>
      <c r="H620" s="14" t="n">
        <v>-0.806</v>
      </c>
      <c r="I620" s="15"/>
      <c r="J620" s="12"/>
      <c r="K620" s="9"/>
      <c r="L620" s="16" t="s">
        <v>51</v>
      </c>
      <c r="M620" s="17" t="s">
        <v>79</v>
      </c>
      <c r="N620" s="15"/>
      <c r="O620" s="16" t="s">
        <v>54</v>
      </c>
      <c r="P620" s="12" t="s">
        <v>1625</v>
      </c>
      <c r="Q620" s="16"/>
      <c r="R620" s="18" t="s">
        <v>79</v>
      </c>
      <c r="S620" s="19"/>
      <c r="T620" s="12" t="str">
        <f aca="false">IF(R620="維持",J620,IF(R620="排除","無關新聞事件",IFERROR(INDEX(事件規則!$B$2:$B$53,MATCH(S620,事件規則!$A$2:$A$53,0)),"")))</f>
        <v>無關新聞事件</v>
      </c>
      <c r="U620" s="20" t="n">
        <f aca="false">IF(R620="維持",K620,IF(R620="排除",0,IFERROR(INDEX(事件規則!$C$2:$C$53,MATCH(S620,事件規則!$A$2:$A$53,0)),"")))</f>
        <v>0</v>
      </c>
      <c r="V620" s="21"/>
      <c r="W620" s="22"/>
      <c r="X620" s="10" t="str">
        <f aca="false">IF(AND(R620="修改",S620=""),"請選新事件代碼",IF(AND(R620&lt;&gt;"修改",S620&lt;&gt;""),"只有「修改」才需填代碼",""))</f>
        <v/>
      </c>
      <c r="Y620" s="21"/>
      <c r="Z620" s="22"/>
      <c r="AA620" s="23" t="s">
        <v>2015</v>
      </c>
      <c r="AB620" s="13"/>
    </row>
    <row r="621" customFormat="false" ht="44" hidden="false" customHeight="false" outlineLevel="0" collapsed="false">
      <c r="A621" s="16" t="n">
        <v>620</v>
      </c>
      <c r="B621" s="9" t="s">
        <v>65</v>
      </c>
      <c r="C621" s="9" t="s">
        <v>1437</v>
      </c>
      <c r="D621" s="10" t="s">
        <v>1438</v>
      </c>
      <c r="E621" s="24" t="s">
        <v>2016</v>
      </c>
      <c r="F621" s="12"/>
      <c r="G621" s="23" t="s">
        <v>2017</v>
      </c>
      <c r="H621" s="14" t="n">
        <v>-0.806</v>
      </c>
      <c r="I621" s="15"/>
      <c r="J621" s="12"/>
      <c r="K621" s="9"/>
      <c r="L621" s="16" t="s">
        <v>51</v>
      </c>
      <c r="M621" s="17" t="s">
        <v>79</v>
      </c>
      <c r="N621" s="15"/>
      <c r="O621" s="16" t="s">
        <v>54</v>
      </c>
      <c r="P621" s="12" t="s">
        <v>1625</v>
      </c>
      <c r="Q621" s="16"/>
      <c r="R621" s="18" t="s">
        <v>79</v>
      </c>
      <c r="S621" s="19"/>
      <c r="T621" s="12" t="str">
        <f aca="false">IF(R621="維持",J621,IF(R621="排除","無關新聞事件",IFERROR(INDEX(事件規則!$B$2:$B$53,MATCH(S621,事件規則!$A$2:$A$53,0)),"")))</f>
        <v>無關新聞事件</v>
      </c>
      <c r="U621" s="20" t="n">
        <f aca="false">IF(R621="維持",K621,IF(R621="排除",0,IFERROR(INDEX(事件規則!$C$2:$C$53,MATCH(S621,事件規則!$A$2:$A$53,0)),"")))</f>
        <v>0</v>
      </c>
      <c r="V621" s="21"/>
      <c r="W621" s="22"/>
      <c r="X621" s="10" t="str">
        <f aca="false">IF(AND(R621="修改",S621=""),"請選新事件代碼",IF(AND(R621&lt;&gt;"修改",S621&lt;&gt;""),"只有「修改」才需填代碼",""))</f>
        <v/>
      </c>
      <c r="Y621" s="21"/>
      <c r="Z621" s="22"/>
      <c r="AA621" s="23" t="s">
        <v>2018</v>
      </c>
      <c r="AB621" s="13"/>
    </row>
    <row r="622" customFormat="false" ht="23.85" hidden="false" customHeight="false" outlineLevel="0" collapsed="false">
      <c r="A622" s="16" t="n">
        <v>621</v>
      </c>
      <c r="B622" s="9" t="s">
        <v>386</v>
      </c>
      <c r="C622" s="9" t="s">
        <v>781</v>
      </c>
      <c r="D622" s="10" t="s">
        <v>782</v>
      </c>
      <c r="E622" s="24" t="s">
        <v>2019</v>
      </c>
      <c r="F622" s="12"/>
      <c r="G622" s="23" t="s">
        <v>939</v>
      </c>
      <c r="H622" s="14" t="n">
        <v>-0.806</v>
      </c>
      <c r="I622" s="15"/>
      <c r="J622" s="12"/>
      <c r="K622" s="9"/>
      <c r="L622" s="16" t="s">
        <v>51</v>
      </c>
      <c r="M622" s="17" t="s">
        <v>52</v>
      </c>
      <c r="N622" s="15" t="s">
        <v>61</v>
      </c>
      <c r="O622" s="16" t="s">
        <v>62</v>
      </c>
      <c r="P622" s="10" t="s">
        <v>2020</v>
      </c>
      <c r="Q622" s="16"/>
      <c r="R622" s="18" t="s">
        <v>52</v>
      </c>
      <c r="S622" s="19" t="s">
        <v>61</v>
      </c>
      <c r="T622" s="12" t="str">
        <f aca="false">IF(R622="維持",J622,IF(R622="排除","無關新聞事件",IFERROR(INDEX(事件規則!$B$2:$B$53,MATCH(S622,事件規則!$A$2:$A$53,0)),"")))</f>
        <v>裁員或人力縮減</v>
      </c>
      <c r="U622" s="20" t="n">
        <f aca="false">IF(R622="維持",K622,IF(R622="排除",0,IFERROR(INDEX(事件規則!$C$2:$C$53,MATCH(S622,事件規則!$A$2:$A$53,0)),"")))</f>
        <v>3</v>
      </c>
      <c r="V622" s="21"/>
      <c r="W622" s="22"/>
      <c r="X622" s="10" t="str">
        <f aca="false">IF(AND(R622="修改",S622=""),"請選新事件代碼",IF(AND(R622&lt;&gt;"修改",S622&lt;&gt;""),"只有「修改」才需填代碼",""))</f>
        <v/>
      </c>
      <c r="Y622" s="21"/>
      <c r="Z622" s="22"/>
      <c r="AA622" s="23" t="s">
        <v>2021</v>
      </c>
      <c r="AB622" s="13"/>
    </row>
    <row r="623" customFormat="false" ht="44" hidden="false" customHeight="false" outlineLevel="0" collapsed="false">
      <c r="A623" s="16" t="n">
        <v>622</v>
      </c>
      <c r="B623" s="9" t="s">
        <v>65</v>
      </c>
      <c r="C623" s="9" t="s">
        <v>1506</v>
      </c>
      <c r="D623" s="10" t="s">
        <v>1507</v>
      </c>
      <c r="E623" s="24" t="s">
        <v>2016</v>
      </c>
      <c r="F623" s="12"/>
      <c r="G623" s="23" t="s">
        <v>2017</v>
      </c>
      <c r="H623" s="14" t="n">
        <v>-0.806</v>
      </c>
      <c r="I623" s="15"/>
      <c r="J623" s="12"/>
      <c r="K623" s="9"/>
      <c r="L623" s="16" t="s">
        <v>51</v>
      </c>
      <c r="M623" s="17" t="s">
        <v>79</v>
      </c>
      <c r="N623" s="15"/>
      <c r="O623" s="16" t="s">
        <v>54</v>
      </c>
      <c r="P623" s="12" t="s">
        <v>1625</v>
      </c>
      <c r="Q623" s="16"/>
      <c r="R623" s="18" t="s">
        <v>79</v>
      </c>
      <c r="S623" s="19"/>
      <c r="T623" s="12" t="str">
        <f aca="false">IF(R623="維持",J623,IF(R623="排除","無關新聞事件",IFERROR(INDEX(事件規則!$B$2:$B$53,MATCH(S623,事件規則!$A$2:$A$53,0)),"")))</f>
        <v>無關新聞事件</v>
      </c>
      <c r="U623" s="20" t="n">
        <f aca="false">IF(R623="維持",K623,IF(R623="排除",0,IFERROR(INDEX(事件規則!$C$2:$C$53,MATCH(S623,事件規則!$A$2:$A$53,0)),"")))</f>
        <v>0</v>
      </c>
      <c r="V623" s="21"/>
      <c r="W623" s="22"/>
      <c r="X623" s="10" t="str">
        <f aca="false">IF(AND(R623="修改",S623=""),"請選新事件代碼",IF(AND(R623&lt;&gt;"修改",S623&lt;&gt;""),"只有「修改」才需填代碼",""))</f>
        <v/>
      </c>
      <c r="Y623" s="21"/>
      <c r="Z623" s="22"/>
      <c r="AA623" s="23" t="s">
        <v>2022</v>
      </c>
      <c r="AB623" s="13"/>
    </row>
    <row r="624" customFormat="false" ht="44" hidden="false" customHeight="false" outlineLevel="0" collapsed="false">
      <c r="A624" s="16" t="n">
        <v>623</v>
      </c>
      <c r="B624" s="9" t="s">
        <v>45</v>
      </c>
      <c r="C624" s="9" t="s">
        <v>441</v>
      </c>
      <c r="D624" s="10" t="s">
        <v>442</v>
      </c>
      <c r="E624" s="24" t="s">
        <v>2023</v>
      </c>
      <c r="F624" s="12"/>
      <c r="G624" s="23" t="s">
        <v>152</v>
      </c>
      <c r="H624" s="14" t="n">
        <v>-0.805</v>
      </c>
      <c r="I624" s="15"/>
      <c r="J624" s="12"/>
      <c r="K624" s="9"/>
      <c r="L624" s="16" t="s">
        <v>51</v>
      </c>
      <c r="M624" s="17" t="s">
        <v>79</v>
      </c>
      <c r="N624" s="15"/>
      <c r="O624" s="16" t="s">
        <v>54</v>
      </c>
      <c r="P624" s="12" t="s">
        <v>1625</v>
      </c>
      <c r="Q624" s="16"/>
      <c r="R624" s="18" t="s">
        <v>79</v>
      </c>
      <c r="S624" s="19"/>
      <c r="T624" s="12" t="str">
        <f aca="false">IF(R624="維持",J624,IF(R624="排除","無關新聞事件",IFERROR(INDEX(事件規則!$B$2:$B$53,MATCH(S624,事件規則!$A$2:$A$53,0)),"")))</f>
        <v>無關新聞事件</v>
      </c>
      <c r="U624" s="20" t="n">
        <f aca="false">IF(R624="維持",K624,IF(R624="排除",0,IFERROR(INDEX(事件規則!$C$2:$C$53,MATCH(S624,事件規則!$A$2:$A$53,0)),"")))</f>
        <v>0</v>
      </c>
      <c r="V624" s="21"/>
      <c r="W624" s="22"/>
      <c r="X624" s="10" t="str">
        <f aca="false">IF(AND(R624="修改",S624=""),"請選新事件代碼",IF(AND(R624&lt;&gt;"修改",S624&lt;&gt;""),"只有「修改」才需填代碼",""))</f>
        <v/>
      </c>
      <c r="Y624" s="21"/>
      <c r="Z624" s="22"/>
      <c r="AA624" s="23" t="s">
        <v>2024</v>
      </c>
      <c r="AB624" s="13"/>
    </row>
    <row r="625" customFormat="false" ht="44" hidden="false" customHeight="false" outlineLevel="0" collapsed="false">
      <c r="A625" s="16" t="n">
        <v>624</v>
      </c>
      <c r="B625" s="9" t="s">
        <v>65</v>
      </c>
      <c r="C625" s="9" t="s">
        <v>768</v>
      </c>
      <c r="D625" s="10" t="s">
        <v>769</v>
      </c>
      <c r="E625" s="24" t="s">
        <v>2025</v>
      </c>
      <c r="F625" s="12"/>
      <c r="G625" s="23" t="s">
        <v>2026</v>
      </c>
      <c r="H625" s="14" t="n">
        <v>-0.805</v>
      </c>
      <c r="I625" s="15"/>
      <c r="J625" s="12"/>
      <c r="K625" s="9"/>
      <c r="L625" s="16" t="s">
        <v>51</v>
      </c>
      <c r="M625" s="17" t="s">
        <v>79</v>
      </c>
      <c r="N625" s="15"/>
      <c r="O625" s="16" t="s">
        <v>54</v>
      </c>
      <c r="P625" s="12" t="s">
        <v>1625</v>
      </c>
      <c r="Q625" s="16"/>
      <c r="R625" s="18" t="s">
        <v>79</v>
      </c>
      <c r="S625" s="19"/>
      <c r="T625" s="12" t="str">
        <f aca="false">IF(R625="維持",J625,IF(R625="排除","無關新聞事件",IFERROR(INDEX(事件規則!$B$2:$B$53,MATCH(S625,事件規則!$A$2:$A$53,0)),"")))</f>
        <v>無關新聞事件</v>
      </c>
      <c r="U625" s="20" t="n">
        <f aca="false">IF(R625="維持",K625,IF(R625="排除",0,IFERROR(INDEX(事件規則!$C$2:$C$53,MATCH(S625,事件規則!$A$2:$A$53,0)),"")))</f>
        <v>0</v>
      </c>
      <c r="V625" s="21"/>
      <c r="W625" s="22"/>
      <c r="X625" s="10" t="str">
        <f aca="false">IF(AND(R625="修改",S625=""),"請選新事件代碼",IF(AND(R625&lt;&gt;"修改",S625&lt;&gt;""),"只有「修改」才需填代碼",""))</f>
        <v/>
      </c>
      <c r="Y625" s="21"/>
      <c r="Z625" s="22"/>
      <c r="AA625" s="23" t="s">
        <v>2027</v>
      </c>
      <c r="AB625" s="13"/>
    </row>
    <row r="626" customFormat="false" ht="44" hidden="false" customHeight="false" outlineLevel="0" collapsed="false">
      <c r="A626" s="16" t="n">
        <v>625</v>
      </c>
      <c r="B626" s="9" t="s">
        <v>45</v>
      </c>
      <c r="C626" s="9" t="s">
        <v>57</v>
      </c>
      <c r="D626" s="10" t="s">
        <v>58</v>
      </c>
      <c r="E626" s="24" t="s">
        <v>2028</v>
      </c>
      <c r="F626" s="12"/>
      <c r="G626" s="23" t="s">
        <v>78</v>
      </c>
      <c r="H626" s="14" t="n">
        <v>-0.804</v>
      </c>
      <c r="I626" s="15"/>
      <c r="J626" s="12"/>
      <c r="K626" s="9"/>
      <c r="L626" s="16" t="s">
        <v>51</v>
      </c>
      <c r="M626" s="17" t="s">
        <v>79</v>
      </c>
      <c r="N626" s="15"/>
      <c r="O626" s="16" t="s">
        <v>54</v>
      </c>
      <c r="P626" s="12" t="s">
        <v>1625</v>
      </c>
      <c r="Q626" s="16"/>
      <c r="R626" s="18" t="s">
        <v>79</v>
      </c>
      <c r="S626" s="19"/>
      <c r="T626" s="12" t="str">
        <f aca="false">IF(R626="維持",J626,IF(R626="排除","無關新聞事件",IFERROR(INDEX(事件規則!$B$2:$B$53,MATCH(S626,事件規則!$A$2:$A$53,0)),"")))</f>
        <v>無關新聞事件</v>
      </c>
      <c r="U626" s="20" t="n">
        <f aca="false">IF(R626="維持",K626,IF(R626="排除",0,IFERROR(INDEX(事件規則!$C$2:$C$53,MATCH(S626,事件規則!$A$2:$A$53,0)),"")))</f>
        <v>0</v>
      </c>
      <c r="V626" s="21"/>
      <c r="W626" s="22"/>
      <c r="X626" s="10" t="str">
        <f aca="false">IF(AND(R626="修改",S626=""),"請選新事件代碼",IF(AND(R626&lt;&gt;"修改",S626&lt;&gt;""),"只有「修改」才需填代碼",""))</f>
        <v/>
      </c>
      <c r="Y626" s="21"/>
      <c r="Z626" s="22"/>
      <c r="AA626" s="23" t="s">
        <v>2029</v>
      </c>
      <c r="AB626" s="13"/>
    </row>
    <row r="627" customFormat="false" ht="44" hidden="false" customHeight="false" outlineLevel="0" collapsed="false">
      <c r="A627" s="16" t="n">
        <v>626</v>
      </c>
      <c r="B627" s="9" t="s">
        <v>45</v>
      </c>
      <c r="C627" s="9" t="s">
        <v>1565</v>
      </c>
      <c r="D627" s="10" t="s">
        <v>1566</v>
      </c>
      <c r="E627" s="24" t="s">
        <v>2030</v>
      </c>
      <c r="F627" s="12"/>
      <c r="G627" s="23" t="s">
        <v>120</v>
      </c>
      <c r="H627" s="14" t="n">
        <v>-0.804</v>
      </c>
      <c r="I627" s="15"/>
      <c r="J627" s="12"/>
      <c r="K627" s="9"/>
      <c r="L627" s="16" t="s">
        <v>51</v>
      </c>
      <c r="M627" s="17" t="s">
        <v>79</v>
      </c>
      <c r="N627" s="15"/>
      <c r="O627" s="16" t="s">
        <v>54</v>
      </c>
      <c r="P627" s="12" t="s">
        <v>1625</v>
      </c>
      <c r="Q627" s="16"/>
      <c r="R627" s="18" t="s">
        <v>79</v>
      </c>
      <c r="S627" s="19"/>
      <c r="T627" s="12" t="str">
        <f aca="false">IF(R627="維持",J627,IF(R627="排除","無關新聞事件",IFERROR(INDEX(事件規則!$B$2:$B$53,MATCH(S627,事件規則!$A$2:$A$53,0)),"")))</f>
        <v>無關新聞事件</v>
      </c>
      <c r="U627" s="20" t="n">
        <f aca="false">IF(R627="維持",K627,IF(R627="排除",0,IFERROR(INDEX(事件規則!$C$2:$C$53,MATCH(S627,事件規則!$A$2:$A$53,0)),"")))</f>
        <v>0</v>
      </c>
      <c r="V627" s="21"/>
      <c r="W627" s="22"/>
      <c r="X627" s="10" t="str">
        <f aca="false">IF(AND(R627="修改",S627=""),"請選新事件代碼",IF(AND(R627&lt;&gt;"修改",S627&lt;&gt;""),"只有「修改」才需填代碼",""))</f>
        <v/>
      </c>
      <c r="Y627" s="21"/>
      <c r="Z627" s="22"/>
      <c r="AA627" s="23" t="s">
        <v>2031</v>
      </c>
      <c r="AB627" s="13"/>
    </row>
    <row r="628" customFormat="false" ht="44" hidden="false" customHeight="false" outlineLevel="0" collapsed="false">
      <c r="A628" s="16" t="n">
        <v>627</v>
      </c>
      <c r="B628" s="9" t="s">
        <v>386</v>
      </c>
      <c r="C628" s="9" t="s">
        <v>1118</v>
      </c>
      <c r="D628" s="10" t="s">
        <v>1119</v>
      </c>
      <c r="E628" s="24" t="s">
        <v>2032</v>
      </c>
      <c r="F628" s="12"/>
      <c r="G628" s="23" t="s">
        <v>784</v>
      </c>
      <c r="H628" s="14" t="n">
        <v>-0.803</v>
      </c>
      <c r="I628" s="15"/>
      <c r="J628" s="12"/>
      <c r="K628" s="9"/>
      <c r="L628" s="16" t="s">
        <v>51</v>
      </c>
      <c r="M628" s="17" t="s">
        <v>79</v>
      </c>
      <c r="N628" s="15"/>
      <c r="O628" s="16" t="s">
        <v>54</v>
      </c>
      <c r="P628" s="12" t="s">
        <v>1625</v>
      </c>
      <c r="Q628" s="16"/>
      <c r="R628" s="18" t="s">
        <v>79</v>
      </c>
      <c r="S628" s="19"/>
      <c r="T628" s="12" t="str">
        <f aca="false">IF(R628="維持",J628,IF(R628="排除","無關新聞事件",IFERROR(INDEX(事件規則!$B$2:$B$53,MATCH(S628,事件規則!$A$2:$A$53,0)),"")))</f>
        <v>無關新聞事件</v>
      </c>
      <c r="U628" s="20" t="n">
        <f aca="false">IF(R628="維持",K628,IF(R628="排除",0,IFERROR(INDEX(事件規則!$C$2:$C$53,MATCH(S628,事件規則!$A$2:$A$53,0)),"")))</f>
        <v>0</v>
      </c>
      <c r="V628" s="21"/>
      <c r="W628" s="22"/>
      <c r="X628" s="10" t="str">
        <f aca="false">IF(AND(R628="修改",S628=""),"請選新事件代碼",IF(AND(R628&lt;&gt;"修改",S628&lt;&gt;""),"只有「修改」才需填代碼",""))</f>
        <v/>
      </c>
      <c r="Y628" s="21"/>
      <c r="Z628" s="22"/>
      <c r="AA628" s="23" t="s">
        <v>2033</v>
      </c>
      <c r="AB628" s="13"/>
    </row>
    <row r="629" customFormat="false" ht="44" hidden="false" customHeight="false" outlineLevel="0" collapsed="false">
      <c r="A629" s="16" t="n">
        <v>628</v>
      </c>
      <c r="B629" s="9" t="s">
        <v>65</v>
      </c>
      <c r="C629" s="9" t="s">
        <v>132</v>
      </c>
      <c r="D629" s="10" t="s">
        <v>133</v>
      </c>
      <c r="E629" s="24" t="s">
        <v>2034</v>
      </c>
      <c r="F629" s="12"/>
      <c r="G629" s="23" t="s">
        <v>2035</v>
      </c>
      <c r="H629" s="14" t="n">
        <v>-0.802</v>
      </c>
      <c r="I629" s="15"/>
      <c r="J629" s="12"/>
      <c r="K629" s="9"/>
      <c r="L629" s="16" t="s">
        <v>51</v>
      </c>
      <c r="M629" s="17" t="s">
        <v>79</v>
      </c>
      <c r="N629" s="15"/>
      <c r="O629" s="16" t="s">
        <v>54</v>
      </c>
      <c r="P629" s="12" t="s">
        <v>1625</v>
      </c>
      <c r="Q629" s="16"/>
      <c r="R629" s="18" t="s">
        <v>79</v>
      </c>
      <c r="S629" s="19"/>
      <c r="T629" s="12" t="str">
        <f aca="false">IF(R629="維持",J629,IF(R629="排除","無關新聞事件",IFERROR(INDEX(事件規則!$B$2:$B$53,MATCH(S629,事件規則!$A$2:$A$53,0)),"")))</f>
        <v>無關新聞事件</v>
      </c>
      <c r="U629" s="20" t="n">
        <f aca="false">IF(R629="維持",K629,IF(R629="排除",0,IFERROR(INDEX(事件規則!$C$2:$C$53,MATCH(S629,事件規則!$A$2:$A$53,0)),"")))</f>
        <v>0</v>
      </c>
      <c r="V629" s="21"/>
      <c r="W629" s="22"/>
      <c r="X629" s="10" t="str">
        <f aca="false">IF(AND(R629="修改",S629=""),"請選新事件代碼",IF(AND(R629&lt;&gt;"修改",S629&lt;&gt;""),"只有「修改」才需填代碼",""))</f>
        <v/>
      </c>
      <c r="Y629" s="21"/>
      <c r="Z629" s="22"/>
      <c r="AA629" s="23" t="s">
        <v>2036</v>
      </c>
      <c r="AB629" s="13"/>
    </row>
    <row r="630" customFormat="false" ht="44" hidden="false" customHeight="false" outlineLevel="0" collapsed="false">
      <c r="A630" s="16" t="n">
        <v>629</v>
      </c>
      <c r="B630" s="9" t="s">
        <v>45</v>
      </c>
      <c r="C630" s="9" t="s">
        <v>554</v>
      </c>
      <c r="D630" s="10" t="s">
        <v>555</v>
      </c>
      <c r="E630" s="24" t="s">
        <v>2037</v>
      </c>
      <c r="F630" s="12"/>
      <c r="G630" s="23" t="s">
        <v>1188</v>
      </c>
      <c r="H630" s="14" t="n">
        <v>-0.801</v>
      </c>
      <c r="I630" s="15"/>
      <c r="J630" s="12"/>
      <c r="K630" s="9"/>
      <c r="L630" s="16" t="s">
        <v>51</v>
      </c>
      <c r="M630" s="17" t="s">
        <v>79</v>
      </c>
      <c r="N630" s="15"/>
      <c r="O630" s="16" t="s">
        <v>54</v>
      </c>
      <c r="P630" s="12" t="s">
        <v>1625</v>
      </c>
      <c r="Q630" s="16"/>
      <c r="R630" s="18" t="s">
        <v>79</v>
      </c>
      <c r="S630" s="19"/>
      <c r="T630" s="12" t="str">
        <f aca="false">IF(R630="維持",J630,IF(R630="排除","無關新聞事件",IFERROR(INDEX(事件規則!$B$2:$B$53,MATCH(S630,事件規則!$A$2:$A$53,0)),"")))</f>
        <v>無關新聞事件</v>
      </c>
      <c r="U630" s="20" t="n">
        <f aca="false">IF(R630="維持",K630,IF(R630="排除",0,IFERROR(INDEX(事件規則!$C$2:$C$53,MATCH(S630,事件規則!$A$2:$A$53,0)),"")))</f>
        <v>0</v>
      </c>
      <c r="V630" s="21"/>
      <c r="W630" s="22"/>
      <c r="X630" s="10" t="str">
        <f aca="false">IF(AND(R630="修改",S630=""),"請選新事件代碼",IF(AND(R630&lt;&gt;"修改",S630&lt;&gt;""),"只有「修改」才需填代碼",""))</f>
        <v/>
      </c>
      <c r="Y630" s="21"/>
      <c r="Z630" s="22"/>
      <c r="AA630" s="23" t="s">
        <v>2038</v>
      </c>
      <c r="AB630" s="13"/>
    </row>
    <row r="631" customFormat="false" ht="44" hidden="false" customHeight="false" outlineLevel="0" collapsed="false">
      <c r="A631" s="16" t="n">
        <v>630</v>
      </c>
      <c r="B631" s="9" t="s">
        <v>65</v>
      </c>
      <c r="C631" s="9" t="s">
        <v>282</v>
      </c>
      <c r="D631" s="10" t="s">
        <v>283</v>
      </c>
      <c r="E631" s="24" t="s">
        <v>2039</v>
      </c>
      <c r="F631" s="12"/>
      <c r="G631" s="23" t="s">
        <v>152</v>
      </c>
      <c r="H631" s="14" t="n">
        <v>-0.8</v>
      </c>
      <c r="I631" s="15"/>
      <c r="J631" s="12"/>
      <c r="K631" s="9"/>
      <c r="L631" s="16" t="s">
        <v>51</v>
      </c>
      <c r="M631" s="17" t="s">
        <v>79</v>
      </c>
      <c r="N631" s="15"/>
      <c r="O631" s="16" t="s">
        <v>54</v>
      </c>
      <c r="P631" s="12" t="s">
        <v>1625</v>
      </c>
      <c r="Q631" s="16"/>
      <c r="R631" s="18" t="s">
        <v>79</v>
      </c>
      <c r="S631" s="19"/>
      <c r="T631" s="12" t="str">
        <f aca="false">IF(R631="維持",J631,IF(R631="排除","無關新聞事件",IFERROR(INDEX(事件規則!$B$2:$B$53,MATCH(S631,事件規則!$A$2:$A$53,0)),"")))</f>
        <v>無關新聞事件</v>
      </c>
      <c r="U631" s="20" t="n">
        <f aca="false">IF(R631="維持",K631,IF(R631="排除",0,IFERROR(INDEX(事件規則!$C$2:$C$53,MATCH(S631,事件規則!$A$2:$A$53,0)),"")))</f>
        <v>0</v>
      </c>
      <c r="V631" s="21"/>
      <c r="W631" s="22"/>
      <c r="X631" s="10" t="str">
        <f aca="false">IF(AND(R631="修改",S631=""),"請選新事件代碼",IF(AND(R631&lt;&gt;"修改",S631&lt;&gt;""),"只有「修改」才需填代碼",""))</f>
        <v/>
      </c>
      <c r="Y631" s="21"/>
      <c r="Z631" s="22"/>
      <c r="AA631" s="23" t="s">
        <v>2040</v>
      </c>
      <c r="AB631" s="13"/>
    </row>
    <row r="632" customFormat="false" ht="44" hidden="false" customHeight="false" outlineLevel="0" collapsed="false">
      <c r="A632" s="16" t="n">
        <v>631</v>
      </c>
      <c r="B632" s="9" t="s">
        <v>386</v>
      </c>
      <c r="C632" s="9" t="s">
        <v>99</v>
      </c>
      <c r="D632" s="10" t="s">
        <v>100</v>
      </c>
      <c r="E632" s="24" t="s">
        <v>2041</v>
      </c>
      <c r="F632" s="12"/>
      <c r="G632" s="23" t="s">
        <v>83</v>
      </c>
      <c r="H632" s="14" t="n">
        <v>-0.8</v>
      </c>
      <c r="I632" s="15"/>
      <c r="J632" s="12"/>
      <c r="K632" s="9"/>
      <c r="L632" s="16" t="s">
        <v>51</v>
      </c>
      <c r="M632" s="17" t="s">
        <v>79</v>
      </c>
      <c r="N632" s="15"/>
      <c r="O632" s="16" t="s">
        <v>54</v>
      </c>
      <c r="P632" s="12" t="s">
        <v>1625</v>
      </c>
      <c r="Q632" s="16"/>
      <c r="R632" s="18" t="s">
        <v>79</v>
      </c>
      <c r="S632" s="19"/>
      <c r="T632" s="12" t="str">
        <f aca="false">IF(R632="維持",J632,IF(R632="排除","無關新聞事件",IFERROR(INDEX(事件規則!$B$2:$B$53,MATCH(S632,事件規則!$A$2:$A$53,0)),"")))</f>
        <v>無關新聞事件</v>
      </c>
      <c r="U632" s="20" t="n">
        <f aca="false">IF(R632="維持",K632,IF(R632="排除",0,IFERROR(INDEX(事件規則!$C$2:$C$53,MATCH(S632,事件規則!$A$2:$A$53,0)),"")))</f>
        <v>0</v>
      </c>
      <c r="V632" s="21"/>
      <c r="W632" s="22"/>
      <c r="X632" s="10" t="str">
        <f aca="false">IF(AND(R632="修改",S632=""),"請選新事件代碼",IF(AND(R632&lt;&gt;"修改",S632&lt;&gt;""),"只有「修改」才需填代碼",""))</f>
        <v/>
      </c>
      <c r="Y632" s="21"/>
      <c r="Z632" s="22"/>
      <c r="AA632" s="23" t="s">
        <v>2042</v>
      </c>
      <c r="AB632" s="13"/>
    </row>
    <row r="633" customFormat="false" ht="44" hidden="false" customHeight="false" outlineLevel="0" collapsed="false">
      <c r="A633" s="16" t="n">
        <v>632</v>
      </c>
      <c r="B633" s="9" t="s">
        <v>65</v>
      </c>
      <c r="C633" s="9" t="s">
        <v>142</v>
      </c>
      <c r="D633" s="10" t="s">
        <v>143</v>
      </c>
      <c r="E633" s="24" t="s">
        <v>2043</v>
      </c>
      <c r="F633" s="12"/>
      <c r="G633" s="23" t="s">
        <v>674</v>
      </c>
      <c r="H633" s="14" t="n">
        <v>-0.8</v>
      </c>
      <c r="I633" s="15"/>
      <c r="J633" s="12"/>
      <c r="K633" s="9"/>
      <c r="L633" s="16" t="s">
        <v>51</v>
      </c>
      <c r="M633" s="17" t="s">
        <v>79</v>
      </c>
      <c r="N633" s="15"/>
      <c r="O633" s="16" t="s">
        <v>54</v>
      </c>
      <c r="P633" s="12" t="s">
        <v>1625</v>
      </c>
      <c r="Q633" s="16"/>
      <c r="R633" s="18" t="s">
        <v>79</v>
      </c>
      <c r="S633" s="19"/>
      <c r="T633" s="12" t="str">
        <f aca="false">IF(R633="維持",J633,IF(R633="排除","無關新聞事件",IFERROR(INDEX(事件規則!$B$2:$B$53,MATCH(S633,事件規則!$A$2:$A$53,0)),"")))</f>
        <v>無關新聞事件</v>
      </c>
      <c r="U633" s="20" t="n">
        <f aca="false">IF(R633="維持",K633,IF(R633="排除",0,IFERROR(INDEX(事件規則!$C$2:$C$53,MATCH(S633,事件規則!$A$2:$A$53,0)),"")))</f>
        <v>0</v>
      </c>
      <c r="V633" s="21"/>
      <c r="W633" s="22"/>
      <c r="X633" s="10" t="str">
        <f aca="false">IF(AND(R633="修改",S633=""),"請選新事件代碼",IF(AND(R633&lt;&gt;"修改",S633&lt;&gt;""),"只有「修改」才需填代碼",""))</f>
        <v/>
      </c>
      <c r="Y633" s="21"/>
      <c r="Z633" s="22"/>
      <c r="AA633" s="23" t="s">
        <v>2044</v>
      </c>
      <c r="AB633" s="13"/>
    </row>
    <row r="634" customFormat="false" ht="44" hidden="false" customHeight="false" outlineLevel="0" collapsed="false">
      <c r="A634" s="16" t="n">
        <v>633</v>
      </c>
      <c r="B634" s="9" t="s">
        <v>45</v>
      </c>
      <c r="C634" s="9" t="s">
        <v>1610</v>
      </c>
      <c r="D634" s="10" t="s">
        <v>1611</v>
      </c>
      <c r="E634" s="24" t="s">
        <v>2045</v>
      </c>
      <c r="F634" s="12"/>
      <c r="G634" s="23" t="s">
        <v>335</v>
      </c>
      <c r="H634" s="14" t="n">
        <v>-0.799</v>
      </c>
      <c r="I634" s="15"/>
      <c r="J634" s="12"/>
      <c r="K634" s="9"/>
      <c r="L634" s="16" t="s">
        <v>51</v>
      </c>
      <c r="M634" s="17" t="s">
        <v>79</v>
      </c>
      <c r="N634" s="15"/>
      <c r="O634" s="16" t="s">
        <v>54</v>
      </c>
      <c r="P634" s="12" t="s">
        <v>1625</v>
      </c>
      <c r="Q634" s="16"/>
      <c r="R634" s="18" t="s">
        <v>79</v>
      </c>
      <c r="S634" s="19"/>
      <c r="T634" s="12" t="str">
        <f aca="false">IF(R634="維持",J634,IF(R634="排除","無關新聞事件",IFERROR(INDEX(事件規則!$B$2:$B$53,MATCH(S634,事件規則!$A$2:$A$53,0)),"")))</f>
        <v>無關新聞事件</v>
      </c>
      <c r="U634" s="20" t="n">
        <f aca="false">IF(R634="維持",K634,IF(R634="排除",0,IFERROR(INDEX(事件規則!$C$2:$C$53,MATCH(S634,事件規則!$A$2:$A$53,0)),"")))</f>
        <v>0</v>
      </c>
      <c r="V634" s="21"/>
      <c r="W634" s="22"/>
      <c r="X634" s="10" t="str">
        <f aca="false">IF(AND(R634="修改",S634=""),"請選新事件代碼",IF(AND(R634&lt;&gt;"修改",S634&lt;&gt;""),"只有「修改」才需填代碼",""))</f>
        <v/>
      </c>
      <c r="Y634" s="21"/>
      <c r="Z634" s="22"/>
      <c r="AA634" s="23" t="s">
        <v>2046</v>
      </c>
      <c r="AB634" s="13"/>
    </row>
    <row r="635" customFormat="false" ht="44" hidden="false" customHeight="false" outlineLevel="0" collapsed="false">
      <c r="A635" s="16" t="n">
        <v>634</v>
      </c>
      <c r="B635" s="9" t="s">
        <v>65</v>
      </c>
      <c r="C635" s="9" t="s">
        <v>2047</v>
      </c>
      <c r="D635" s="10" t="s">
        <v>2048</v>
      </c>
      <c r="E635" s="24" t="s">
        <v>2049</v>
      </c>
      <c r="F635" s="12"/>
      <c r="G635" s="23" t="s">
        <v>999</v>
      </c>
      <c r="H635" s="14" t="n">
        <v>-0.799</v>
      </c>
      <c r="I635" s="15"/>
      <c r="J635" s="12"/>
      <c r="K635" s="9"/>
      <c r="L635" s="16" t="s">
        <v>51</v>
      </c>
      <c r="M635" s="17" t="s">
        <v>79</v>
      </c>
      <c r="N635" s="15"/>
      <c r="O635" s="16" t="s">
        <v>54</v>
      </c>
      <c r="P635" s="12" t="s">
        <v>1625</v>
      </c>
      <c r="Q635" s="16"/>
      <c r="R635" s="18" t="s">
        <v>79</v>
      </c>
      <c r="S635" s="19"/>
      <c r="T635" s="12" t="str">
        <f aca="false">IF(R635="維持",J635,IF(R635="排除","無關新聞事件",IFERROR(INDEX(事件規則!$B$2:$B$53,MATCH(S635,事件規則!$A$2:$A$53,0)),"")))</f>
        <v>無關新聞事件</v>
      </c>
      <c r="U635" s="20" t="n">
        <f aca="false">IF(R635="維持",K635,IF(R635="排除",0,IFERROR(INDEX(事件規則!$C$2:$C$53,MATCH(S635,事件規則!$A$2:$A$53,0)),"")))</f>
        <v>0</v>
      </c>
      <c r="V635" s="21"/>
      <c r="W635" s="22"/>
      <c r="X635" s="10" t="str">
        <f aca="false">IF(AND(R635="修改",S635=""),"請選新事件代碼",IF(AND(R635&lt;&gt;"修改",S635&lt;&gt;""),"只有「修改」才需填代碼",""))</f>
        <v/>
      </c>
      <c r="Y635" s="21"/>
      <c r="Z635" s="22"/>
      <c r="AA635" s="23" t="s">
        <v>2050</v>
      </c>
      <c r="AB635" s="13"/>
    </row>
    <row r="636" customFormat="false" ht="23.85" hidden="false" customHeight="false" outlineLevel="0" collapsed="false">
      <c r="A636" s="16" t="n">
        <v>635</v>
      </c>
      <c r="B636" s="9" t="s">
        <v>331</v>
      </c>
      <c r="C636" s="9" t="s">
        <v>1037</v>
      </c>
      <c r="D636" s="10" t="s">
        <v>1038</v>
      </c>
      <c r="E636" s="24" t="s">
        <v>2051</v>
      </c>
      <c r="F636" s="12"/>
      <c r="G636" s="23" t="s">
        <v>2052</v>
      </c>
      <c r="H636" s="14" t="n">
        <v>-0.798</v>
      </c>
      <c r="I636" s="15"/>
      <c r="J636" s="12"/>
      <c r="K636" s="9"/>
      <c r="L636" s="16" t="s">
        <v>51</v>
      </c>
      <c r="M636" s="17" t="s">
        <v>52</v>
      </c>
      <c r="N636" s="15" t="s">
        <v>414</v>
      </c>
      <c r="O636" s="16" t="s">
        <v>105</v>
      </c>
      <c r="P636" s="10" t="s">
        <v>2053</v>
      </c>
      <c r="Q636" s="16" t="s">
        <v>416</v>
      </c>
      <c r="R636" s="18" t="s">
        <v>52</v>
      </c>
      <c r="S636" s="19" t="s">
        <v>414</v>
      </c>
      <c r="T636" s="12" t="str">
        <f aca="false">IF(R636="維持",J636,IF(R636="排除","無關新聞事件",IFERROR(INDEX(事件規則!$B$2:$B$53,MATCH(S636,事件規則!$A$2:$A$53,0)),"")))</f>
        <v>重大環境事故</v>
      </c>
      <c r="U636" s="20" t="n">
        <f aca="false">IF(R636="維持",K636,IF(R636="排除",0,IFERROR(INDEX(事件規則!$C$2:$C$53,MATCH(S636,事件規則!$A$2:$A$53,0)),"")))</f>
        <v>4</v>
      </c>
      <c r="V636" s="21"/>
      <c r="W636" s="22"/>
      <c r="X636" s="10" t="str">
        <f aca="false">IF(AND(R636="修改",S636=""),"請選新事件代碼",IF(AND(R636&lt;&gt;"修改",S636&lt;&gt;""),"只有「修改」才需填代碼",""))</f>
        <v/>
      </c>
      <c r="Y636" s="21"/>
      <c r="Z636" s="22"/>
      <c r="AA636" s="23" t="s">
        <v>2054</v>
      </c>
      <c r="AB636" s="13"/>
    </row>
    <row r="637" customFormat="false" ht="44" hidden="false" customHeight="false" outlineLevel="0" collapsed="false">
      <c r="A637" s="16" t="n">
        <v>636</v>
      </c>
      <c r="B637" s="9" t="s">
        <v>45</v>
      </c>
      <c r="C637" s="9" t="s">
        <v>202</v>
      </c>
      <c r="D637" s="10" t="s">
        <v>203</v>
      </c>
      <c r="E637" s="24" t="s">
        <v>2055</v>
      </c>
      <c r="F637" s="12"/>
      <c r="G637" s="23" t="s">
        <v>2056</v>
      </c>
      <c r="H637" s="14" t="n">
        <v>-0.797</v>
      </c>
      <c r="I637" s="15"/>
      <c r="J637" s="12"/>
      <c r="K637" s="9"/>
      <c r="L637" s="16" t="s">
        <v>51</v>
      </c>
      <c r="M637" s="17" t="s">
        <v>79</v>
      </c>
      <c r="N637" s="15"/>
      <c r="O637" s="16" t="s">
        <v>54</v>
      </c>
      <c r="P637" s="12" t="s">
        <v>1625</v>
      </c>
      <c r="Q637" s="16"/>
      <c r="R637" s="18" t="s">
        <v>79</v>
      </c>
      <c r="S637" s="19"/>
      <c r="T637" s="12" t="str">
        <f aca="false">IF(R637="維持",J637,IF(R637="排除","無關新聞事件",IFERROR(INDEX(事件規則!$B$2:$B$53,MATCH(S637,事件規則!$A$2:$A$53,0)),"")))</f>
        <v>無關新聞事件</v>
      </c>
      <c r="U637" s="20" t="n">
        <f aca="false">IF(R637="維持",K637,IF(R637="排除",0,IFERROR(INDEX(事件規則!$C$2:$C$53,MATCH(S637,事件規則!$A$2:$A$53,0)),"")))</f>
        <v>0</v>
      </c>
      <c r="V637" s="21"/>
      <c r="W637" s="22"/>
      <c r="X637" s="10" t="str">
        <f aca="false">IF(AND(R637="修改",S637=""),"請選新事件代碼",IF(AND(R637&lt;&gt;"修改",S637&lt;&gt;""),"只有「修改」才需填代碼",""))</f>
        <v/>
      </c>
      <c r="Y637" s="21"/>
      <c r="Z637" s="22"/>
      <c r="AA637" s="23" t="s">
        <v>2057</v>
      </c>
      <c r="AB637" s="13"/>
    </row>
    <row r="638" customFormat="false" ht="44" hidden="false" customHeight="false" outlineLevel="0" collapsed="false">
      <c r="A638" s="16" t="n">
        <v>637</v>
      </c>
      <c r="B638" s="9" t="s">
        <v>65</v>
      </c>
      <c r="C638" s="9" t="s">
        <v>2058</v>
      </c>
      <c r="D638" s="10" t="s">
        <v>2059</v>
      </c>
      <c r="E638" s="24" t="s">
        <v>2060</v>
      </c>
      <c r="F638" s="12"/>
      <c r="G638" s="23" t="s">
        <v>2061</v>
      </c>
      <c r="H638" s="14" t="n">
        <v>-0.797</v>
      </c>
      <c r="I638" s="15"/>
      <c r="J638" s="12"/>
      <c r="K638" s="9"/>
      <c r="L638" s="16" t="s">
        <v>51</v>
      </c>
      <c r="M638" s="17" t="s">
        <v>79</v>
      </c>
      <c r="N638" s="15"/>
      <c r="O638" s="16" t="s">
        <v>54</v>
      </c>
      <c r="P638" s="12" t="s">
        <v>1625</v>
      </c>
      <c r="Q638" s="16"/>
      <c r="R638" s="18" t="s">
        <v>79</v>
      </c>
      <c r="S638" s="19"/>
      <c r="T638" s="12" t="str">
        <f aca="false">IF(R638="維持",J638,IF(R638="排除","無關新聞事件",IFERROR(INDEX(事件規則!$B$2:$B$53,MATCH(S638,事件規則!$A$2:$A$53,0)),"")))</f>
        <v>無關新聞事件</v>
      </c>
      <c r="U638" s="20" t="n">
        <f aca="false">IF(R638="維持",K638,IF(R638="排除",0,IFERROR(INDEX(事件規則!$C$2:$C$53,MATCH(S638,事件規則!$A$2:$A$53,0)),"")))</f>
        <v>0</v>
      </c>
      <c r="V638" s="21"/>
      <c r="W638" s="22"/>
      <c r="X638" s="10" t="str">
        <f aca="false">IF(AND(R638="修改",S638=""),"請選新事件代碼",IF(AND(R638&lt;&gt;"修改",S638&lt;&gt;""),"只有「修改」才需填代碼",""))</f>
        <v/>
      </c>
      <c r="Y638" s="21"/>
      <c r="Z638" s="22"/>
      <c r="AA638" s="23" t="s">
        <v>2062</v>
      </c>
      <c r="AB638" s="13"/>
    </row>
    <row r="639" customFormat="false" ht="44" hidden="false" customHeight="false" outlineLevel="0" collapsed="false">
      <c r="A639" s="16" t="n">
        <v>638</v>
      </c>
      <c r="B639" s="9" t="s">
        <v>331</v>
      </c>
      <c r="C639" s="9" t="s">
        <v>2063</v>
      </c>
      <c r="D639" s="10" t="s">
        <v>2064</v>
      </c>
      <c r="E639" s="24" t="s">
        <v>2065</v>
      </c>
      <c r="F639" s="12"/>
      <c r="G639" s="23" t="s">
        <v>224</v>
      </c>
      <c r="H639" s="14" t="n">
        <v>-0.796</v>
      </c>
      <c r="I639" s="15"/>
      <c r="J639" s="12"/>
      <c r="K639" s="9"/>
      <c r="L639" s="16" t="s">
        <v>51</v>
      </c>
      <c r="M639" s="17" t="s">
        <v>79</v>
      </c>
      <c r="N639" s="15"/>
      <c r="O639" s="16" t="s">
        <v>54</v>
      </c>
      <c r="P639" s="12" t="s">
        <v>1625</v>
      </c>
      <c r="Q639" s="16"/>
      <c r="R639" s="18" t="s">
        <v>79</v>
      </c>
      <c r="S639" s="19"/>
      <c r="T639" s="12" t="str">
        <f aca="false">IF(R639="維持",J639,IF(R639="排除","無關新聞事件",IFERROR(INDEX(事件規則!$B$2:$B$53,MATCH(S639,事件規則!$A$2:$A$53,0)),"")))</f>
        <v>無關新聞事件</v>
      </c>
      <c r="U639" s="20" t="n">
        <f aca="false">IF(R639="維持",K639,IF(R639="排除",0,IFERROR(INDEX(事件規則!$C$2:$C$53,MATCH(S639,事件規則!$A$2:$A$53,0)),"")))</f>
        <v>0</v>
      </c>
      <c r="V639" s="21"/>
      <c r="W639" s="22"/>
      <c r="X639" s="10" t="str">
        <f aca="false">IF(AND(R639="修改",S639=""),"請選新事件代碼",IF(AND(R639&lt;&gt;"修改",S639&lt;&gt;""),"只有「修改」才需填代碼",""))</f>
        <v/>
      </c>
      <c r="Y639" s="21"/>
      <c r="Z639" s="22"/>
      <c r="AA639" s="23" t="s">
        <v>2066</v>
      </c>
      <c r="AB639" s="13"/>
    </row>
    <row r="640" customFormat="false" ht="44" hidden="false" customHeight="false" outlineLevel="0" collapsed="false">
      <c r="A640" s="16" t="n">
        <v>639</v>
      </c>
      <c r="B640" s="9" t="s">
        <v>331</v>
      </c>
      <c r="C640" s="9" t="s">
        <v>524</v>
      </c>
      <c r="D640" s="10" t="s">
        <v>525</v>
      </c>
      <c r="E640" s="24" t="s">
        <v>2067</v>
      </c>
      <c r="F640" s="12"/>
      <c r="G640" s="23" t="s">
        <v>2068</v>
      </c>
      <c r="H640" s="14" t="n">
        <v>-0.795</v>
      </c>
      <c r="I640" s="15"/>
      <c r="J640" s="12"/>
      <c r="K640" s="9"/>
      <c r="L640" s="16" t="s">
        <v>51</v>
      </c>
      <c r="M640" s="17" t="s">
        <v>79</v>
      </c>
      <c r="N640" s="15"/>
      <c r="O640" s="16" t="s">
        <v>54</v>
      </c>
      <c r="P640" s="12" t="s">
        <v>1625</v>
      </c>
      <c r="Q640" s="16"/>
      <c r="R640" s="18" t="s">
        <v>79</v>
      </c>
      <c r="S640" s="19"/>
      <c r="T640" s="12" t="str">
        <f aca="false">IF(R640="維持",J640,IF(R640="排除","無關新聞事件",IFERROR(INDEX(事件規則!$B$2:$B$53,MATCH(S640,事件規則!$A$2:$A$53,0)),"")))</f>
        <v>無關新聞事件</v>
      </c>
      <c r="U640" s="20" t="n">
        <f aca="false">IF(R640="維持",K640,IF(R640="排除",0,IFERROR(INDEX(事件規則!$C$2:$C$53,MATCH(S640,事件規則!$A$2:$A$53,0)),"")))</f>
        <v>0</v>
      </c>
      <c r="V640" s="21"/>
      <c r="W640" s="22"/>
      <c r="X640" s="10" t="str">
        <f aca="false">IF(AND(R640="修改",S640=""),"請選新事件代碼",IF(AND(R640&lt;&gt;"修改",S640&lt;&gt;""),"只有「修改」才需填代碼",""))</f>
        <v/>
      </c>
      <c r="Y640" s="21"/>
      <c r="Z640" s="22"/>
      <c r="AA640" s="23" t="s">
        <v>2069</v>
      </c>
      <c r="AB640" s="13"/>
    </row>
    <row r="641" customFormat="false" ht="44" hidden="false" customHeight="false" outlineLevel="0" collapsed="false">
      <c r="A641" s="16" t="n">
        <v>640</v>
      </c>
      <c r="B641" s="9" t="s">
        <v>331</v>
      </c>
      <c r="C641" s="9" t="s">
        <v>645</v>
      </c>
      <c r="D641" s="10" t="s">
        <v>646</v>
      </c>
      <c r="E641" s="24" t="s">
        <v>2067</v>
      </c>
      <c r="F641" s="12"/>
      <c r="G641" s="23" t="s">
        <v>2068</v>
      </c>
      <c r="H641" s="14" t="n">
        <v>-0.795</v>
      </c>
      <c r="I641" s="15"/>
      <c r="J641" s="12"/>
      <c r="K641" s="9"/>
      <c r="L641" s="16" t="s">
        <v>51</v>
      </c>
      <c r="M641" s="17" t="s">
        <v>79</v>
      </c>
      <c r="N641" s="15"/>
      <c r="O641" s="16" t="s">
        <v>54</v>
      </c>
      <c r="P641" s="12" t="s">
        <v>1625</v>
      </c>
      <c r="Q641" s="16"/>
      <c r="R641" s="18" t="s">
        <v>79</v>
      </c>
      <c r="S641" s="19"/>
      <c r="T641" s="12" t="str">
        <f aca="false">IF(R641="維持",J641,IF(R641="排除","無關新聞事件",IFERROR(INDEX(事件規則!$B$2:$B$53,MATCH(S641,事件規則!$A$2:$A$53,0)),"")))</f>
        <v>無關新聞事件</v>
      </c>
      <c r="U641" s="20" t="n">
        <f aca="false">IF(R641="維持",K641,IF(R641="排除",0,IFERROR(INDEX(事件規則!$C$2:$C$53,MATCH(S641,事件規則!$A$2:$A$53,0)),"")))</f>
        <v>0</v>
      </c>
      <c r="V641" s="21"/>
      <c r="W641" s="22"/>
      <c r="X641" s="10" t="str">
        <f aca="false">IF(AND(R641="修改",S641=""),"請選新事件代碼",IF(AND(R641&lt;&gt;"修改",S641&lt;&gt;""),"只有「修改」才需填代碼",""))</f>
        <v/>
      </c>
      <c r="Y641" s="21"/>
      <c r="Z641" s="22"/>
      <c r="AA641" s="23" t="s">
        <v>2070</v>
      </c>
      <c r="AB641" s="13"/>
    </row>
    <row r="642" customFormat="false" ht="44" hidden="false" customHeight="false" outlineLevel="0" collapsed="false">
      <c r="A642" s="16" t="n">
        <v>641</v>
      </c>
      <c r="B642" s="9" t="s">
        <v>65</v>
      </c>
      <c r="C642" s="9" t="s">
        <v>564</v>
      </c>
      <c r="D642" s="10" t="s">
        <v>565</v>
      </c>
      <c r="E642" s="24" t="s">
        <v>2071</v>
      </c>
      <c r="F642" s="12"/>
      <c r="G642" s="23" t="s">
        <v>2072</v>
      </c>
      <c r="H642" s="14" t="n">
        <v>-0.794</v>
      </c>
      <c r="I642" s="15"/>
      <c r="J642" s="12"/>
      <c r="K642" s="9"/>
      <c r="L642" s="16" t="s">
        <v>51</v>
      </c>
      <c r="M642" s="17" t="s">
        <v>79</v>
      </c>
      <c r="N642" s="15"/>
      <c r="O642" s="16" t="s">
        <v>54</v>
      </c>
      <c r="P642" s="12" t="s">
        <v>1625</v>
      </c>
      <c r="Q642" s="16"/>
      <c r="R642" s="18" t="s">
        <v>79</v>
      </c>
      <c r="S642" s="19"/>
      <c r="T642" s="12" t="str">
        <f aca="false">IF(R642="維持",J642,IF(R642="排除","無關新聞事件",IFERROR(INDEX(事件規則!$B$2:$B$53,MATCH(S642,事件規則!$A$2:$A$53,0)),"")))</f>
        <v>無關新聞事件</v>
      </c>
      <c r="U642" s="20" t="n">
        <f aca="false">IF(R642="維持",K642,IF(R642="排除",0,IFERROR(INDEX(事件規則!$C$2:$C$53,MATCH(S642,事件規則!$A$2:$A$53,0)),"")))</f>
        <v>0</v>
      </c>
      <c r="V642" s="21"/>
      <c r="W642" s="22"/>
      <c r="X642" s="10" t="str">
        <f aca="false">IF(AND(R642="修改",S642=""),"請選新事件代碼",IF(AND(R642&lt;&gt;"修改",S642&lt;&gt;""),"只有「修改」才需填代碼",""))</f>
        <v/>
      </c>
      <c r="Y642" s="21"/>
      <c r="Z642" s="22"/>
      <c r="AA642" s="23" t="s">
        <v>2073</v>
      </c>
      <c r="AB642" s="13"/>
    </row>
    <row r="643" customFormat="false" ht="44" hidden="false" customHeight="false" outlineLevel="0" collapsed="false">
      <c r="A643" s="16" t="n">
        <v>642</v>
      </c>
      <c r="B643" s="9" t="s">
        <v>65</v>
      </c>
      <c r="C643" s="9" t="s">
        <v>569</v>
      </c>
      <c r="D643" s="10" t="s">
        <v>570</v>
      </c>
      <c r="E643" s="24" t="s">
        <v>2074</v>
      </c>
      <c r="F643" s="12"/>
      <c r="G643" s="23" t="s">
        <v>219</v>
      </c>
      <c r="H643" s="14" t="n">
        <v>-0.794</v>
      </c>
      <c r="I643" s="15"/>
      <c r="J643" s="12"/>
      <c r="K643" s="9"/>
      <c r="L643" s="16" t="s">
        <v>51</v>
      </c>
      <c r="M643" s="17" t="s">
        <v>79</v>
      </c>
      <c r="N643" s="15"/>
      <c r="O643" s="16" t="s">
        <v>54</v>
      </c>
      <c r="P643" s="12" t="s">
        <v>1625</v>
      </c>
      <c r="Q643" s="16"/>
      <c r="R643" s="18" t="s">
        <v>79</v>
      </c>
      <c r="S643" s="19"/>
      <c r="T643" s="12" t="str">
        <f aca="false">IF(R643="維持",J643,IF(R643="排除","無關新聞事件",IFERROR(INDEX(事件規則!$B$2:$B$53,MATCH(S643,事件規則!$A$2:$A$53,0)),"")))</f>
        <v>無關新聞事件</v>
      </c>
      <c r="U643" s="20" t="n">
        <f aca="false">IF(R643="維持",K643,IF(R643="排除",0,IFERROR(INDEX(事件規則!$C$2:$C$53,MATCH(S643,事件規則!$A$2:$A$53,0)),"")))</f>
        <v>0</v>
      </c>
      <c r="V643" s="21"/>
      <c r="W643" s="22"/>
      <c r="X643" s="10" t="str">
        <f aca="false">IF(AND(R643="修改",S643=""),"請選新事件代碼",IF(AND(R643&lt;&gt;"修改",S643&lt;&gt;""),"只有「修改」才需填代碼",""))</f>
        <v/>
      </c>
      <c r="Y643" s="21"/>
      <c r="Z643" s="22"/>
      <c r="AA643" s="23" t="s">
        <v>2075</v>
      </c>
      <c r="AB643" s="13"/>
    </row>
    <row r="644" customFormat="false" ht="44" hidden="false" customHeight="false" outlineLevel="0" collapsed="false">
      <c r="A644" s="16" t="n">
        <v>643</v>
      </c>
      <c r="B644" s="9" t="s">
        <v>386</v>
      </c>
      <c r="C644" s="9" t="s">
        <v>564</v>
      </c>
      <c r="D644" s="10" t="s">
        <v>565</v>
      </c>
      <c r="E644" s="24" t="s">
        <v>2076</v>
      </c>
      <c r="F644" s="12"/>
      <c r="G644" s="23" t="s">
        <v>2077</v>
      </c>
      <c r="H644" s="14" t="n">
        <v>-0.794</v>
      </c>
      <c r="I644" s="15"/>
      <c r="J644" s="12"/>
      <c r="K644" s="9"/>
      <c r="L644" s="16" t="s">
        <v>51</v>
      </c>
      <c r="M644" s="17" t="s">
        <v>79</v>
      </c>
      <c r="N644" s="15"/>
      <c r="O644" s="16" t="s">
        <v>54</v>
      </c>
      <c r="P644" s="12" t="s">
        <v>1625</v>
      </c>
      <c r="Q644" s="16"/>
      <c r="R644" s="18" t="s">
        <v>79</v>
      </c>
      <c r="S644" s="19"/>
      <c r="T644" s="12" t="str">
        <f aca="false">IF(R644="維持",J644,IF(R644="排除","無關新聞事件",IFERROR(INDEX(事件規則!$B$2:$B$53,MATCH(S644,事件規則!$A$2:$A$53,0)),"")))</f>
        <v>無關新聞事件</v>
      </c>
      <c r="U644" s="20" t="n">
        <f aca="false">IF(R644="維持",K644,IF(R644="排除",0,IFERROR(INDEX(事件規則!$C$2:$C$53,MATCH(S644,事件規則!$A$2:$A$53,0)),"")))</f>
        <v>0</v>
      </c>
      <c r="V644" s="21"/>
      <c r="W644" s="22"/>
      <c r="X644" s="10" t="str">
        <f aca="false">IF(AND(R644="修改",S644=""),"請選新事件代碼",IF(AND(R644&lt;&gt;"修改",S644&lt;&gt;""),"只有「修改」才需填代碼",""))</f>
        <v/>
      </c>
      <c r="Y644" s="21"/>
      <c r="Z644" s="22"/>
      <c r="AA644" s="23" t="s">
        <v>2078</v>
      </c>
      <c r="AB644" s="13"/>
    </row>
    <row r="645" customFormat="false" ht="44" hidden="false" customHeight="false" outlineLevel="0" collapsed="false">
      <c r="A645" s="16" t="n">
        <v>644</v>
      </c>
      <c r="B645" s="9" t="s">
        <v>65</v>
      </c>
      <c r="C645" s="9" t="s">
        <v>240</v>
      </c>
      <c r="D645" s="10" t="s">
        <v>241</v>
      </c>
      <c r="E645" s="24" t="s">
        <v>2079</v>
      </c>
      <c r="F645" s="12"/>
      <c r="G645" s="23" t="s">
        <v>2080</v>
      </c>
      <c r="H645" s="14" t="n">
        <v>-0.793</v>
      </c>
      <c r="I645" s="15"/>
      <c r="J645" s="12"/>
      <c r="K645" s="9"/>
      <c r="L645" s="16" t="s">
        <v>51</v>
      </c>
      <c r="M645" s="17" t="s">
        <v>79</v>
      </c>
      <c r="N645" s="15"/>
      <c r="O645" s="16" t="s">
        <v>54</v>
      </c>
      <c r="P645" s="12" t="s">
        <v>1625</v>
      </c>
      <c r="Q645" s="16"/>
      <c r="R645" s="18" t="s">
        <v>79</v>
      </c>
      <c r="S645" s="19"/>
      <c r="T645" s="12" t="str">
        <f aca="false">IF(R645="維持",J645,IF(R645="排除","無關新聞事件",IFERROR(INDEX(事件規則!$B$2:$B$53,MATCH(S645,事件規則!$A$2:$A$53,0)),"")))</f>
        <v>無關新聞事件</v>
      </c>
      <c r="U645" s="20" t="n">
        <f aca="false">IF(R645="維持",K645,IF(R645="排除",0,IFERROR(INDEX(事件規則!$C$2:$C$53,MATCH(S645,事件規則!$A$2:$A$53,0)),"")))</f>
        <v>0</v>
      </c>
      <c r="V645" s="21"/>
      <c r="W645" s="22"/>
      <c r="X645" s="10" t="str">
        <f aca="false">IF(AND(R645="修改",S645=""),"請選新事件代碼",IF(AND(R645&lt;&gt;"修改",S645&lt;&gt;""),"只有「修改」才需填代碼",""))</f>
        <v/>
      </c>
      <c r="Y645" s="21"/>
      <c r="Z645" s="22"/>
      <c r="AA645" s="23" t="s">
        <v>2081</v>
      </c>
      <c r="AB645" s="13"/>
    </row>
    <row r="646" customFormat="false" ht="44" hidden="false" customHeight="false" outlineLevel="0" collapsed="false">
      <c r="A646" s="16" t="n">
        <v>645</v>
      </c>
      <c r="B646" s="9" t="s">
        <v>65</v>
      </c>
      <c r="C646" s="9" t="s">
        <v>542</v>
      </c>
      <c r="D646" s="10" t="s">
        <v>543</v>
      </c>
      <c r="E646" s="24" t="s">
        <v>2082</v>
      </c>
      <c r="F646" s="12"/>
      <c r="G646" s="23" t="s">
        <v>295</v>
      </c>
      <c r="H646" s="14" t="n">
        <v>-0.792</v>
      </c>
      <c r="I646" s="15"/>
      <c r="J646" s="12"/>
      <c r="K646" s="9"/>
      <c r="L646" s="16" t="s">
        <v>51</v>
      </c>
      <c r="M646" s="17" t="s">
        <v>79</v>
      </c>
      <c r="N646" s="15"/>
      <c r="O646" s="16" t="s">
        <v>54</v>
      </c>
      <c r="P646" s="12" t="s">
        <v>1625</v>
      </c>
      <c r="Q646" s="16"/>
      <c r="R646" s="18" t="s">
        <v>79</v>
      </c>
      <c r="S646" s="19"/>
      <c r="T646" s="12" t="str">
        <f aca="false">IF(R646="維持",J646,IF(R646="排除","無關新聞事件",IFERROR(INDEX(事件規則!$B$2:$B$53,MATCH(S646,事件規則!$A$2:$A$53,0)),"")))</f>
        <v>無關新聞事件</v>
      </c>
      <c r="U646" s="20" t="n">
        <f aca="false">IF(R646="維持",K646,IF(R646="排除",0,IFERROR(INDEX(事件規則!$C$2:$C$53,MATCH(S646,事件規則!$A$2:$A$53,0)),"")))</f>
        <v>0</v>
      </c>
      <c r="V646" s="21"/>
      <c r="W646" s="22"/>
      <c r="X646" s="10" t="str">
        <f aca="false">IF(AND(R646="修改",S646=""),"請選新事件代碼",IF(AND(R646&lt;&gt;"修改",S646&lt;&gt;""),"只有「修改」才需填代碼",""))</f>
        <v/>
      </c>
      <c r="Y646" s="21"/>
      <c r="Z646" s="22"/>
      <c r="AA646" s="23" t="s">
        <v>2083</v>
      </c>
      <c r="AB646" s="13"/>
    </row>
    <row r="647" customFormat="false" ht="44" hidden="false" customHeight="false" outlineLevel="0" collapsed="false">
      <c r="A647" s="16" t="n">
        <v>646</v>
      </c>
      <c r="B647" s="9" t="s">
        <v>331</v>
      </c>
      <c r="C647" s="9" t="s">
        <v>564</v>
      </c>
      <c r="D647" s="10" t="s">
        <v>565</v>
      </c>
      <c r="E647" s="24" t="s">
        <v>2084</v>
      </c>
      <c r="F647" s="12"/>
      <c r="G647" s="23" t="s">
        <v>2085</v>
      </c>
      <c r="H647" s="14" t="n">
        <v>-0.792</v>
      </c>
      <c r="I647" s="15"/>
      <c r="J647" s="12"/>
      <c r="K647" s="9"/>
      <c r="L647" s="16" t="s">
        <v>51</v>
      </c>
      <c r="M647" s="17" t="s">
        <v>79</v>
      </c>
      <c r="N647" s="15"/>
      <c r="O647" s="16" t="s">
        <v>54</v>
      </c>
      <c r="P647" s="12" t="s">
        <v>1625</v>
      </c>
      <c r="Q647" s="16"/>
      <c r="R647" s="18" t="s">
        <v>79</v>
      </c>
      <c r="S647" s="19"/>
      <c r="T647" s="12" t="str">
        <f aca="false">IF(R647="維持",J647,IF(R647="排除","無關新聞事件",IFERROR(INDEX(事件規則!$B$2:$B$53,MATCH(S647,事件規則!$A$2:$A$53,0)),"")))</f>
        <v>無關新聞事件</v>
      </c>
      <c r="U647" s="20" t="n">
        <f aca="false">IF(R647="維持",K647,IF(R647="排除",0,IFERROR(INDEX(事件規則!$C$2:$C$53,MATCH(S647,事件規則!$A$2:$A$53,0)),"")))</f>
        <v>0</v>
      </c>
      <c r="V647" s="21"/>
      <c r="W647" s="22"/>
      <c r="X647" s="10" t="str">
        <f aca="false">IF(AND(R647="修改",S647=""),"請選新事件代碼",IF(AND(R647&lt;&gt;"修改",S647&lt;&gt;""),"只有「修改」才需填代碼",""))</f>
        <v/>
      </c>
      <c r="Y647" s="21"/>
      <c r="Z647" s="22"/>
      <c r="AA647" s="23" t="s">
        <v>2086</v>
      </c>
      <c r="AB647" s="13"/>
    </row>
    <row r="648" customFormat="false" ht="44" hidden="false" customHeight="false" outlineLevel="0" collapsed="false">
      <c r="A648" s="16" t="n">
        <v>647</v>
      </c>
      <c r="B648" s="9" t="s">
        <v>65</v>
      </c>
      <c r="C648" s="9" t="s">
        <v>564</v>
      </c>
      <c r="D648" s="10" t="s">
        <v>565</v>
      </c>
      <c r="E648" s="24" t="s">
        <v>2087</v>
      </c>
      <c r="F648" s="12"/>
      <c r="G648" s="23" t="s">
        <v>2088</v>
      </c>
      <c r="H648" s="14" t="n">
        <v>-0.791</v>
      </c>
      <c r="I648" s="15"/>
      <c r="J648" s="12"/>
      <c r="K648" s="9"/>
      <c r="L648" s="16" t="s">
        <v>51</v>
      </c>
      <c r="M648" s="17" t="s">
        <v>79</v>
      </c>
      <c r="N648" s="15"/>
      <c r="O648" s="16" t="s">
        <v>54</v>
      </c>
      <c r="P648" s="12" t="s">
        <v>1625</v>
      </c>
      <c r="Q648" s="16"/>
      <c r="R648" s="18" t="s">
        <v>79</v>
      </c>
      <c r="S648" s="19"/>
      <c r="T648" s="12" t="str">
        <f aca="false">IF(R648="維持",J648,IF(R648="排除","無關新聞事件",IFERROR(INDEX(事件規則!$B$2:$B$53,MATCH(S648,事件規則!$A$2:$A$53,0)),"")))</f>
        <v>無關新聞事件</v>
      </c>
      <c r="U648" s="20" t="n">
        <f aca="false">IF(R648="維持",K648,IF(R648="排除",0,IFERROR(INDEX(事件規則!$C$2:$C$53,MATCH(S648,事件規則!$A$2:$A$53,0)),"")))</f>
        <v>0</v>
      </c>
      <c r="V648" s="21"/>
      <c r="W648" s="22"/>
      <c r="X648" s="10" t="str">
        <f aca="false">IF(AND(R648="修改",S648=""),"請選新事件代碼",IF(AND(R648&lt;&gt;"修改",S648&lt;&gt;""),"只有「修改」才需填代碼",""))</f>
        <v/>
      </c>
      <c r="Y648" s="21"/>
      <c r="Z648" s="22"/>
      <c r="AA648" s="23" t="s">
        <v>2089</v>
      </c>
      <c r="AB648" s="13"/>
    </row>
    <row r="649" customFormat="false" ht="44" hidden="false" customHeight="false" outlineLevel="0" collapsed="false">
      <c r="A649" s="16" t="n">
        <v>648</v>
      </c>
      <c r="B649" s="9" t="s">
        <v>45</v>
      </c>
      <c r="C649" s="9" t="s">
        <v>569</v>
      </c>
      <c r="D649" s="10" t="s">
        <v>570</v>
      </c>
      <c r="E649" s="24" t="s">
        <v>2090</v>
      </c>
      <c r="F649" s="12"/>
      <c r="G649" s="23" t="s">
        <v>120</v>
      </c>
      <c r="H649" s="14" t="n">
        <v>-0.791</v>
      </c>
      <c r="I649" s="15"/>
      <c r="J649" s="12"/>
      <c r="K649" s="9"/>
      <c r="L649" s="16" t="s">
        <v>51</v>
      </c>
      <c r="M649" s="17" t="s">
        <v>79</v>
      </c>
      <c r="N649" s="15"/>
      <c r="O649" s="16" t="s">
        <v>54</v>
      </c>
      <c r="P649" s="12" t="s">
        <v>1625</v>
      </c>
      <c r="Q649" s="16"/>
      <c r="R649" s="18" t="s">
        <v>79</v>
      </c>
      <c r="S649" s="19"/>
      <c r="T649" s="12" t="str">
        <f aca="false">IF(R649="維持",J649,IF(R649="排除","無關新聞事件",IFERROR(INDEX(事件規則!$B$2:$B$53,MATCH(S649,事件規則!$A$2:$A$53,0)),"")))</f>
        <v>無關新聞事件</v>
      </c>
      <c r="U649" s="20" t="n">
        <f aca="false">IF(R649="維持",K649,IF(R649="排除",0,IFERROR(INDEX(事件規則!$C$2:$C$53,MATCH(S649,事件規則!$A$2:$A$53,0)),"")))</f>
        <v>0</v>
      </c>
      <c r="V649" s="21"/>
      <c r="W649" s="22"/>
      <c r="X649" s="10" t="str">
        <f aca="false">IF(AND(R649="修改",S649=""),"請選新事件代碼",IF(AND(R649&lt;&gt;"修改",S649&lt;&gt;""),"只有「修改」才需填代碼",""))</f>
        <v/>
      </c>
      <c r="Y649" s="21"/>
      <c r="Z649" s="22"/>
      <c r="AA649" s="23" t="s">
        <v>2091</v>
      </c>
      <c r="AB649" s="13"/>
    </row>
    <row r="650" customFormat="false" ht="44" hidden="false" customHeight="false" outlineLevel="0" collapsed="false">
      <c r="A650" s="16" t="n">
        <v>649</v>
      </c>
      <c r="B650" s="9" t="s">
        <v>65</v>
      </c>
      <c r="C650" s="9" t="s">
        <v>1064</v>
      </c>
      <c r="D650" s="10" t="s">
        <v>1065</v>
      </c>
      <c r="E650" s="24" t="s">
        <v>2092</v>
      </c>
      <c r="F650" s="12"/>
      <c r="G650" s="23" t="s">
        <v>2093</v>
      </c>
      <c r="H650" s="14" t="n">
        <v>-0.791</v>
      </c>
      <c r="I650" s="15"/>
      <c r="J650" s="12"/>
      <c r="K650" s="9"/>
      <c r="L650" s="16" t="s">
        <v>51</v>
      </c>
      <c r="M650" s="17" t="s">
        <v>79</v>
      </c>
      <c r="N650" s="15"/>
      <c r="O650" s="16" t="s">
        <v>54</v>
      </c>
      <c r="P650" s="12" t="s">
        <v>1625</v>
      </c>
      <c r="Q650" s="16"/>
      <c r="R650" s="18" t="s">
        <v>79</v>
      </c>
      <c r="S650" s="19"/>
      <c r="T650" s="12" t="str">
        <f aca="false">IF(R650="維持",J650,IF(R650="排除","無關新聞事件",IFERROR(INDEX(事件規則!$B$2:$B$53,MATCH(S650,事件規則!$A$2:$A$53,0)),"")))</f>
        <v>無關新聞事件</v>
      </c>
      <c r="U650" s="20" t="n">
        <f aca="false">IF(R650="維持",K650,IF(R650="排除",0,IFERROR(INDEX(事件規則!$C$2:$C$53,MATCH(S650,事件規則!$A$2:$A$53,0)),"")))</f>
        <v>0</v>
      </c>
      <c r="V650" s="21"/>
      <c r="W650" s="22"/>
      <c r="X650" s="10" t="str">
        <f aca="false">IF(AND(R650="修改",S650=""),"請選新事件代碼",IF(AND(R650&lt;&gt;"修改",S650&lt;&gt;""),"只有「修改」才需填代碼",""))</f>
        <v/>
      </c>
      <c r="Y650" s="21"/>
      <c r="Z650" s="22"/>
      <c r="AA650" s="23" t="s">
        <v>2094</v>
      </c>
      <c r="AB650" s="13"/>
    </row>
    <row r="651" customFormat="false" ht="44" hidden="false" customHeight="false" outlineLevel="0" collapsed="false">
      <c r="A651" s="16" t="n">
        <v>650</v>
      </c>
      <c r="B651" s="9" t="s">
        <v>331</v>
      </c>
      <c r="C651" s="9" t="s">
        <v>132</v>
      </c>
      <c r="D651" s="10" t="s">
        <v>133</v>
      </c>
      <c r="E651" s="24" t="s">
        <v>2095</v>
      </c>
      <c r="F651" s="12"/>
      <c r="G651" s="23" t="s">
        <v>674</v>
      </c>
      <c r="H651" s="14" t="n">
        <v>-0.79</v>
      </c>
      <c r="I651" s="15"/>
      <c r="J651" s="12"/>
      <c r="K651" s="9"/>
      <c r="L651" s="16" t="s">
        <v>51</v>
      </c>
      <c r="M651" s="17" t="s">
        <v>79</v>
      </c>
      <c r="N651" s="15"/>
      <c r="O651" s="16" t="s">
        <v>54</v>
      </c>
      <c r="P651" s="12" t="s">
        <v>1625</v>
      </c>
      <c r="Q651" s="16"/>
      <c r="R651" s="18" t="s">
        <v>79</v>
      </c>
      <c r="S651" s="19"/>
      <c r="T651" s="12" t="str">
        <f aca="false">IF(R651="維持",J651,IF(R651="排除","無關新聞事件",IFERROR(INDEX(事件規則!$B$2:$B$53,MATCH(S651,事件規則!$A$2:$A$53,0)),"")))</f>
        <v>無關新聞事件</v>
      </c>
      <c r="U651" s="20" t="n">
        <f aca="false">IF(R651="維持",K651,IF(R651="排除",0,IFERROR(INDEX(事件規則!$C$2:$C$53,MATCH(S651,事件規則!$A$2:$A$53,0)),"")))</f>
        <v>0</v>
      </c>
      <c r="V651" s="21"/>
      <c r="W651" s="22"/>
      <c r="X651" s="10" t="str">
        <f aca="false">IF(AND(R651="修改",S651=""),"請選新事件代碼",IF(AND(R651&lt;&gt;"修改",S651&lt;&gt;""),"只有「修改」才需填代碼",""))</f>
        <v/>
      </c>
      <c r="Y651" s="21"/>
      <c r="Z651" s="22"/>
      <c r="AA651" s="23" t="s">
        <v>2096</v>
      </c>
      <c r="AB651" s="13"/>
    </row>
    <row r="652" customFormat="false" ht="44" hidden="false" customHeight="false" outlineLevel="0" collapsed="false">
      <c r="A652" s="16" t="n">
        <v>651</v>
      </c>
      <c r="B652" s="9" t="s">
        <v>65</v>
      </c>
      <c r="C652" s="9" t="s">
        <v>564</v>
      </c>
      <c r="D652" s="10" t="s">
        <v>565</v>
      </c>
      <c r="E652" s="24" t="s">
        <v>2097</v>
      </c>
      <c r="F652" s="12"/>
      <c r="G652" s="23" t="s">
        <v>2098</v>
      </c>
      <c r="H652" s="14" t="n">
        <v>-0.79</v>
      </c>
      <c r="I652" s="15"/>
      <c r="J652" s="12"/>
      <c r="K652" s="9"/>
      <c r="L652" s="16" t="s">
        <v>51</v>
      </c>
      <c r="M652" s="17" t="s">
        <v>79</v>
      </c>
      <c r="N652" s="15"/>
      <c r="O652" s="16" t="s">
        <v>54</v>
      </c>
      <c r="P652" s="12" t="s">
        <v>1625</v>
      </c>
      <c r="Q652" s="16"/>
      <c r="R652" s="18" t="s">
        <v>79</v>
      </c>
      <c r="S652" s="19"/>
      <c r="T652" s="12" t="str">
        <f aca="false">IF(R652="維持",J652,IF(R652="排除","無關新聞事件",IFERROR(INDEX(事件規則!$B$2:$B$53,MATCH(S652,事件規則!$A$2:$A$53,0)),"")))</f>
        <v>無關新聞事件</v>
      </c>
      <c r="U652" s="20" t="n">
        <f aca="false">IF(R652="維持",K652,IF(R652="排除",0,IFERROR(INDEX(事件規則!$C$2:$C$53,MATCH(S652,事件規則!$A$2:$A$53,0)),"")))</f>
        <v>0</v>
      </c>
      <c r="V652" s="21"/>
      <c r="W652" s="22"/>
      <c r="X652" s="10" t="str">
        <f aca="false">IF(AND(R652="修改",S652=""),"請選新事件代碼",IF(AND(R652&lt;&gt;"修改",S652&lt;&gt;""),"只有「修改」才需填代碼",""))</f>
        <v/>
      </c>
      <c r="Y652" s="21"/>
      <c r="Z652" s="22"/>
      <c r="AA652" s="23" t="s">
        <v>2099</v>
      </c>
      <c r="AB652" s="13"/>
    </row>
    <row r="653" customFormat="false" ht="44" hidden="false" customHeight="false" outlineLevel="0" collapsed="false">
      <c r="A653" s="16" t="n">
        <v>652</v>
      </c>
      <c r="B653" s="9" t="s">
        <v>65</v>
      </c>
      <c r="C653" s="9" t="s">
        <v>2100</v>
      </c>
      <c r="D653" s="10" t="s">
        <v>2101</v>
      </c>
      <c r="E653" s="24" t="s">
        <v>2102</v>
      </c>
      <c r="F653" s="12"/>
      <c r="G653" s="23" t="s">
        <v>999</v>
      </c>
      <c r="H653" s="14" t="n">
        <v>-0.79</v>
      </c>
      <c r="I653" s="15"/>
      <c r="J653" s="12"/>
      <c r="K653" s="9"/>
      <c r="L653" s="16" t="s">
        <v>51</v>
      </c>
      <c r="M653" s="17" t="s">
        <v>79</v>
      </c>
      <c r="N653" s="15"/>
      <c r="O653" s="16" t="s">
        <v>54</v>
      </c>
      <c r="P653" s="12" t="s">
        <v>1625</v>
      </c>
      <c r="Q653" s="16"/>
      <c r="R653" s="18" t="s">
        <v>79</v>
      </c>
      <c r="S653" s="19"/>
      <c r="T653" s="12" t="str">
        <f aca="false">IF(R653="維持",J653,IF(R653="排除","無關新聞事件",IFERROR(INDEX(事件規則!$B$2:$B$53,MATCH(S653,事件規則!$A$2:$A$53,0)),"")))</f>
        <v>無關新聞事件</v>
      </c>
      <c r="U653" s="20" t="n">
        <f aca="false">IF(R653="維持",K653,IF(R653="排除",0,IFERROR(INDEX(事件規則!$C$2:$C$53,MATCH(S653,事件規則!$A$2:$A$53,0)),"")))</f>
        <v>0</v>
      </c>
      <c r="V653" s="21"/>
      <c r="W653" s="22"/>
      <c r="X653" s="10" t="str">
        <f aca="false">IF(AND(R653="修改",S653=""),"請選新事件代碼",IF(AND(R653&lt;&gt;"修改",S653&lt;&gt;""),"只有「修改」才需填代碼",""))</f>
        <v/>
      </c>
      <c r="Y653" s="21"/>
      <c r="Z653" s="22"/>
      <c r="AA653" s="23" t="s">
        <v>2103</v>
      </c>
      <c r="AB653" s="13"/>
    </row>
    <row r="654" customFormat="false" ht="44" hidden="false" customHeight="false" outlineLevel="0" collapsed="false">
      <c r="A654" s="16" t="n">
        <v>653</v>
      </c>
      <c r="B654" s="9" t="s">
        <v>331</v>
      </c>
      <c r="C654" s="9" t="s">
        <v>1001</v>
      </c>
      <c r="D654" s="10" t="s">
        <v>1002</v>
      </c>
      <c r="E654" s="24" t="s">
        <v>2104</v>
      </c>
      <c r="F654" s="12"/>
      <c r="G654" s="23" t="s">
        <v>2105</v>
      </c>
      <c r="H654" s="14" t="n">
        <v>-0.789</v>
      </c>
      <c r="I654" s="15"/>
      <c r="J654" s="12"/>
      <c r="K654" s="9"/>
      <c r="L654" s="16" t="s">
        <v>51</v>
      </c>
      <c r="M654" s="17" t="s">
        <v>79</v>
      </c>
      <c r="N654" s="15"/>
      <c r="O654" s="16" t="s">
        <v>54</v>
      </c>
      <c r="P654" s="12" t="s">
        <v>1625</v>
      </c>
      <c r="Q654" s="16"/>
      <c r="R654" s="18" t="s">
        <v>79</v>
      </c>
      <c r="S654" s="19"/>
      <c r="T654" s="12" t="str">
        <f aca="false">IF(R654="維持",J654,IF(R654="排除","無關新聞事件",IFERROR(INDEX(事件規則!$B$2:$B$53,MATCH(S654,事件規則!$A$2:$A$53,0)),"")))</f>
        <v>無關新聞事件</v>
      </c>
      <c r="U654" s="20" t="n">
        <f aca="false">IF(R654="維持",K654,IF(R654="排除",0,IFERROR(INDEX(事件規則!$C$2:$C$53,MATCH(S654,事件規則!$A$2:$A$53,0)),"")))</f>
        <v>0</v>
      </c>
      <c r="V654" s="21"/>
      <c r="W654" s="22"/>
      <c r="X654" s="10" t="str">
        <f aca="false">IF(AND(R654="修改",S654=""),"請選新事件代碼",IF(AND(R654&lt;&gt;"修改",S654&lt;&gt;""),"只有「修改」才需填代碼",""))</f>
        <v/>
      </c>
      <c r="Y654" s="21"/>
      <c r="Z654" s="22"/>
      <c r="AA654" s="23" t="s">
        <v>2106</v>
      </c>
      <c r="AB654" s="13"/>
    </row>
    <row r="655" customFormat="false" ht="44" hidden="false" customHeight="false" outlineLevel="0" collapsed="false">
      <c r="A655" s="16" t="n">
        <v>654</v>
      </c>
      <c r="B655" s="9" t="s">
        <v>65</v>
      </c>
      <c r="C655" s="9" t="s">
        <v>564</v>
      </c>
      <c r="D655" s="10" t="s">
        <v>565</v>
      </c>
      <c r="E655" s="24" t="s">
        <v>2107</v>
      </c>
      <c r="F655" s="12"/>
      <c r="G655" s="23" t="s">
        <v>2108</v>
      </c>
      <c r="H655" s="14" t="n">
        <v>-0.789</v>
      </c>
      <c r="I655" s="15"/>
      <c r="J655" s="12"/>
      <c r="K655" s="9"/>
      <c r="L655" s="16" t="s">
        <v>51</v>
      </c>
      <c r="M655" s="17" t="s">
        <v>79</v>
      </c>
      <c r="N655" s="15"/>
      <c r="O655" s="16" t="s">
        <v>54</v>
      </c>
      <c r="P655" s="12" t="s">
        <v>1625</v>
      </c>
      <c r="Q655" s="16"/>
      <c r="R655" s="18" t="s">
        <v>79</v>
      </c>
      <c r="S655" s="19"/>
      <c r="T655" s="12" t="str">
        <f aca="false">IF(R655="維持",J655,IF(R655="排除","無關新聞事件",IFERROR(INDEX(事件規則!$B$2:$B$53,MATCH(S655,事件規則!$A$2:$A$53,0)),"")))</f>
        <v>無關新聞事件</v>
      </c>
      <c r="U655" s="20" t="n">
        <f aca="false">IF(R655="維持",K655,IF(R655="排除",0,IFERROR(INDEX(事件規則!$C$2:$C$53,MATCH(S655,事件規則!$A$2:$A$53,0)),"")))</f>
        <v>0</v>
      </c>
      <c r="V655" s="21"/>
      <c r="W655" s="22"/>
      <c r="X655" s="10" t="str">
        <f aca="false">IF(AND(R655="修改",S655=""),"請選新事件代碼",IF(AND(R655&lt;&gt;"修改",S655&lt;&gt;""),"只有「修改」才需填代碼",""))</f>
        <v/>
      </c>
      <c r="Y655" s="21"/>
      <c r="Z655" s="22"/>
      <c r="AA655" s="23" t="s">
        <v>2109</v>
      </c>
      <c r="AB655" s="13"/>
    </row>
    <row r="656" customFormat="false" ht="44" hidden="false" customHeight="false" outlineLevel="0" collapsed="false">
      <c r="A656" s="16" t="n">
        <v>655</v>
      </c>
      <c r="B656" s="9" t="s">
        <v>331</v>
      </c>
      <c r="C656" s="9" t="s">
        <v>108</v>
      </c>
      <c r="D656" s="10" t="s">
        <v>109</v>
      </c>
      <c r="E656" s="24" t="s">
        <v>2104</v>
      </c>
      <c r="F656" s="12"/>
      <c r="G656" s="23" t="s">
        <v>2105</v>
      </c>
      <c r="H656" s="14" t="n">
        <v>-0.789</v>
      </c>
      <c r="I656" s="15"/>
      <c r="J656" s="12"/>
      <c r="K656" s="9"/>
      <c r="L656" s="16" t="s">
        <v>51</v>
      </c>
      <c r="M656" s="17" t="s">
        <v>79</v>
      </c>
      <c r="N656" s="15"/>
      <c r="O656" s="16" t="s">
        <v>54</v>
      </c>
      <c r="P656" s="12" t="s">
        <v>1625</v>
      </c>
      <c r="Q656" s="16"/>
      <c r="R656" s="18" t="s">
        <v>79</v>
      </c>
      <c r="S656" s="19"/>
      <c r="T656" s="12" t="str">
        <f aca="false">IF(R656="維持",J656,IF(R656="排除","無關新聞事件",IFERROR(INDEX(事件規則!$B$2:$B$53,MATCH(S656,事件規則!$A$2:$A$53,0)),"")))</f>
        <v>無關新聞事件</v>
      </c>
      <c r="U656" s="20" t="n">
        <f aca="false">IF(R656="維持",K656,IF(R656="排除",0,IFERROR(INDEX(事件規則!$C$2:$C$53,MATCH(S656,事件規則!$A$2:$A$53,0)),"")))</f>
        <v>0</v>
      </c>
      <c r="V656" s="21"/>
      <c r="W656" s="22"/>
      <c r="X656" s="10" t="str">
        <f aca="false">IF(AND(R656="修改",S656=""),"請選新事件代碼",IF(AND(R656&lt;&gt;"修改",S656&lt;&gt;""),"只有「修改」才需填代碼",""))</f>
        <v/>
      </c>
      <c r="Y656" s="21"/>
      <c r="Z656" s="22"/>
      <c r="AA656" s="23" t="s">
        <v>2110</v>
      </c>
      <c r="AB656" s="13"/>
    </row>
    <row r="657" customFormat="false" ht="44" hidden="false" customHeight="false" outlineLevel="0" collapsed="false">
      <c r="A657" s="16" t="n">
        <v>656</v>
      </c>
      <c r="B657" s="9" t="s">
        <v>65</v>
      </c>
      <c r="C657" s="9" t="s">
        <v>2111</v>
      </c>
      <c r="D657" s="10" t="s">
        <v>2112</v>
      </c>
      <c r="E657" s="24" t="s">
        <v>2113</v>
      </c>
      <c r="F657" s="12"/>
      <c r="G657" s="23" t="s">
        <v>120</v>
      </c>
      <c r="H657" s="14" t="n">
        <v>-0.789</v>
      </c>
      <c r="I657" s="15"/>
      <c r="J657" s="12"/>
      <c r="K657" s="9"/>
      <c r="L657" s="16" t="s">
        <v>51</v>
      </c>
      <c r="M657" s="17" t="s">
        <v>79</v>
      </c>
      <c r="N657" s="15"/>
      <c r="O657" s="16" t="s">
        <v>54</v>
      </c>
      <c r="P657" s="12" t="s">
        <v>1625</v>
      </c>
      <c r="Q657" s="16"/>
      <c r="R657" s="18" t="s">
        <v>79</v>
      </c>
      <c r="S657" s="19"/>
      <c r="T657" s="12" t="str">
        <f aca="false">IF(R657="維持",J657,IF(R657="排除","無關新聞事件",IFERROR(INDEX(事件規則!$B$2:$B$53,MATCH(S657,事件規則!$A$2:$A$53,0)),"")))</f>
        <v>無關新聞事件</v>
      </c>
      <c r="U657" s="20" t="n">
        <f aca="false">IF(R657="維持",K657,IF(R657="排除",0,IFERROR(INDEX(事件規則!$C$2:$C$53,MATCH(S657,事件規則!$A$2:$A$53,0)),"")))</f>
        <v>0</v>
      </c>
      <c r="V657" s="21"/>
      <c r="W657" s="22"/>
      <c r="X657" s="10" t="str">
        <f aca="false">IF(AND(R657="修改",S657=""),"請選新事件代碼",IF(AND(R657&lt;&gt;"修改",S657&lt;&gt;""),"只有「修改」才需填代碼",""))</f>
        <v/>
      </c>
      <c r="Y657" s="21"/>
      <c r="Z657" s="22"/>
      <c r="AA657" s="23" t="s">
        <v>2114</v>
      </c>
      <c r="AB657" s="13"/>
    </row>
    <row r="658" customFormat="false" ht="44" hidden="false" customHeight="false" outlineLevel="0" collapsed="false">
      <c r="A658" s="16" t="n">
        <v>657</v>
      </c>
      <c r="B658" s="9" t="s">
        <v>331</v>
      </c>
      <c r="C658" s="9" t="s">
        <v>1001</v>
      </c>
      <c r="D658" s="10" t="s">
        <v>1002</v>
      </c>
      <c r="E658" s="24" t="s">
        <v>2115</v>
      </c>
      <c r="F658" s="12"/>
      <c r="G658" s="23" t="s">
        <v>421</v>
      </c>
      <c r="H658" s="14" t="n">
        <v>-0.787</v>
      </c>
      <c r="I658" s="15"/>
      <c r="J658" s="12"/>
      <c r="K658" s="9"/>
      <c r="L658" s="16" t="s">
        <v>51</v>
      </c>
      <c r="M658" s="17" t="s">
        <v>79</v>
      </c>
      <c r="N658" s="15"/>
      <c r="O658" s="16" t="s">
        <v>54</v>
      </c>
      <c r="P658" s="12" t="s">
        <v>1625</v>
      </c>
      <c r="Q658" s="16"/>
      <c r="R658" s="18" t="s">
        <v>79</v>
      </c>
      <c r="S658" s="19"/>
      <c r="T658" s="12" t="str">
        <f aca="false">IF(R658="維持",J658,IF(R658="排除","無關新聞事件",IFERROR(INDEX(事件規則!$B$2:$B$53,MATCH(S658,事件規則!$A$2:$A$53,0)),"")))</f>
        <v>無關新聞事件</v>
      </c>
      <c r="U658" s="20" t="n">
        <f aca="false">IF(R658="維持",K658,IF(R658="排除",0,IFERROR(INDEX(事件規則!$C$2:$C$53,MATCH(S658,事件規則!$A$2:$A$53,0)),"")))</f>
        <v>0</v>
      </c>
      <c r="V658" s="21"/>
      <c r="W658" s="22"/>
      <c r="X658" s="10" t="str">
        <f aca="false">IF(AND(R658="修改",S658=""),"請選新事件代碼",IF(AND(R658&lt;&gt;"修改",S658&lt;&gt;""),"只有「修改」才需填代碼",""))</f>
        <v/>
      </c>
      <c r="Y658" s="21"/>
      <c r="Z658" s="22"/>
      <c r="AA658" s="23" t="s">
        <v>2116</v>
      </c>
      <c r="AB658" s="13"/>
    </row>
    <row r="659" customFormat="false" ht="44" hidden="false" customHeight="false" outlineLevel="0" collapsed="false">
      <c r="A659" s="16" t="n">
        <v>658</v>
      </c>
      <c r="B659" s="9" t="s">
        <v>65</v>
      </c>
      <c r="C659" s="9" t="s">
        <v>569</v>
      </c>
      <c r="D659" s="10" t="s">
        <v>570</v>
      </c>
      <c r="E659" s="24" t="s">
        <v>2117</v>
      </c>
      <c r="F659" s="12"/>
      <c r="G659" s="23" t="s">
        <v>421</v>
      </c>
      <c r="H659" s="14" t="n">
        <v>-0.787</v>
      </c>
      <c r="I659" s="15"/>
      <c r="J659" s="12"/>
      <c r="K659" s="9"/>
      <c r="L659" s="16" t="s">
        <v>51</v>
      </c>
      <c r="M659" s="17" t="s">
        <v>79</v>
      </c>
      <c r="N659" s="15"/>
      <c r="O659" s="16" t="s">
        <v>54</v>
      </c>
      <c r="P659" s="12" t="s">
        <v>1625</v>
      </c>
      <c r="Q659" s="16"/>
      <c r="R659" s="18" t="s">
        <v>79</v>
      </c>
      <c r="S659" s="19"/>
      <c r="T659" s="12" t="str">
        <f aca="false">IF(R659="維持",J659,IF(R659="排除","無關新聞事件",IFERROR(INDEX(事件規則!$B$2:$B$53,MATCH(S659,事件規則!$A$2:$A$53,0)),"")))</f>
        <v>無關新聞事件</v>
      </c>
      <c r="U659" s="20" t="n">
        <f aca="false">IF(R659="維持",K659,IF(R659="排除",0,IFERROR(INDEX(事件規則!$C$2:$C$53,MATCH(S659,事件規則!$A$2:$A$53,0)),"")))</f>
        <v>0</v>
      </c>
      <c r="V659" s="21"/>
      <c r="W659" s="22"/>
      <c r="X659" s="10" t="str">
        <f aca="false">IF(AND(R659="修改",S659=""),"請選新事件代碼",IF(AND(R659&lt;&gt;"修改",S659&lt;&gt;""),"只有「修改」才需填代碼",""))</f>
        <v/>
      </c>
      <c r="Y659" s="21"/>
      <c r="Z659" s="22"/>
      <c r="AA659" s="23" t="s">
        <v>2118</v>
      </c>
      <c r="AB659" s="13"/>
    </row>
    <row r="660" customFormat="false" ht="44" hidden="false" customHeight="false" outlineLevel="0" collapsed="false">
      <c r="A660" s="16" t="n">
        <v>659</v>
      </c>
      <c r="B660" s="9" t="s">
        <v>45</v>
      </c>
      <c r="C660" s="9" t="s">
        <v>2119</v>
      </c>
      <c r="D660" s="10" t="s">
        <v>2120</v>
      </c>
      <c r="E660" s="24" t="s">
        <v>2121</v>
      </c>
      <c r="F660" s="12"/>
      <c r="G660" s="23" t="s">
        <v>2122</v>
      </c>
      <c r="H660" s="14" t="n">
        <v>-0.785</v>
      </c>
      <c r="I660" s="15"/>
      <c r="J660" s="12"/>
      <c r="K660" s="9"/>
      <c r="L660" s="16" t="s">
        <v>51</v>
      </c>
      <c r="M660" s="17" t="s">
        <v>79</v>
      </c>
      <c r="N660" s="15"/>
      <c r="O660" s="16" t="s">
        <v>54</v>
      </c>
      <c r="P660" s="12" t="s">
        <v>1625</v>
      </c>
      <c r="Q660" s="16"/>
      <c r="R660" s="18" t="s">
        <v>79</v>
      </c>
      <c r="S660" s="19"/>
      <c r="T660" s="12" t="str">
        <f aca="false">IF(R660="維持",J660,IF(R660="排除","無關新聞事件",IFERROR(INDEX(事件規則!$B$2:$B$53,MATCH(S660,事件規則!$A$2:$A$53,0)),"")))</f>
        <v>無關新聞事件</v>
      </c>
      <c r="U660" s="20" t="n">
        <f aca="false">IF(R660="維持",K660,IF(R660="排除",0,IFERROR(INDEX(事件規則!$C$2:$C$53,MATCH(S660,事件規則!$A$2:$A$53,0)),"")))</f>
        <v>0</v>
      </c>
      <c r="V660" s="21"/>
      <c r="W660" s="22"/>
      <c r="X660" s="10" t="str">
        <f aca="false">IF(AND(R660="修改",S660=""),"請選新事件代碼",IF(AND(R660&lt;&gt;"修改",S660&lt;&gt;""),"只有「修改」才需填代碼",""))</f>
        <v/>
      </c>
      <c r="Y660" s="21"/>
      <c r="Z660" s="22"/>
      <c r="AA660" s="23" t="s">
        <v>2123</v>
      </c>
      <c r="AB660" s="13"/>
    </row>
    <row r="661" customFormat="false" ht="44" hidden="false" customHeight="false" outlineLevel="0" collapsed="false">
      <c r="A661" s="16" t="n">
        <v>660</v>
      </c>
      <c r="B661" s="9" t="s">
        <v>331</v>
      </c>
      <c r="C661" s="9" t="s">
        <v>2124</v>
      </c>
      <c r="D661" s="10" t="s">
        <v>2125</v>
      </c>
      <c r="E661" s="24" t="s">
        <v>2126</v>
      </c>
      <c r="F661" s="12"/>
      <c r="G661" s="23" t="s">
        <v>120</v>
      </c>
      <c r="H661" s="14" t="n">
        <v>-0.784</v>
      </c>
      <c r="I661" s="15"/>
      <c r="J661" s="12"/>
      <c r="K661" s="9"/>
      <c r="L661" s="16" t="s">
        <v>51</v>
      </c>
      <c r="M661" s="17" t="s">
        <v>79</v>
      </c>
      <c r="N661" s="15"/>
      <c r="O661" s="16" t="s">
        <v>54</v>
      </c>
      <c r="P661" s="12" t="s">
        <v>1625</v>
      </c>
      <c r="Q661" s="16"/>
      <c r="R661" s="18" t="s">
        <v>79</v>
      </c>
      <c r="S661" s="19"/>
      <c r="T661" s="12" t="str">
        <f aca="false">IF(R661="維持",J661,IF(R661="排除","無關新聞事件",IFERROR(INDEX(事件規則!$B$2:$B$53,MATCH(S661,事件規則!$A$2:$A$53,0)),"")))</f>
        <v>無關新聞事件</v>
      </c>
      <c r="U661" s="20" t="n">
        <f aca="false">IF(R661="維持",K661,IF(R661="排除",0,IFERROR(INDEX(事件規則!$C$2:$C$53,MATCH(S661,事件規則!$A$2:$A$53,0)),"")))</f>
        <v>0</v>
      </c>
      <c r="V661" s="21"/>
      <c r="W661" s="22"/>
      <c r="X661" s="10" t="str">
        <f aca="false">IF(AND(R661="修改",S661=""),"請選新事件代碼",IF(AND(R661&lt;&gt;"修改",S661&lt;&gt;""),"只有「修改」才需填代碼",""))</f>
        <v/>
      </c>
      <c r="Y661" s="21"/>
      <c r="Z661" s="22"/>
      <c r="AA661" s="23" t="s">
        <v>2127</v>
      </c>
      <c r="AB661" s="13"/>
    </row>
    <row r="662" customFormat="false" ht="29.85" hidden="false" customHeight="false" outlineLevel="0" collapsed="false">
      <c r="A662" s="16" t="n">
        <v>661</v>
      </c>
      <c r="B662" s="9" t="s">
        <v>45</v>
      </c>
      <c r="C662" s="9" t="s">
        <v>282</v>
      </c>
      <c r="D662" s="10" t="s">
        <v>283</v>
      </c>
      <c r="E662" s="24" t="s">
        <v>2128</v>
      </c>
      <c r="F662" s="12"/>
      <c r="G662" s="23" t="s">
        <v>292</v>
      </c>
      <c r="H662" s="14" t="n">
        <v>-0.782</v>
      </c>
      <c r="I662" s="15"/>
      <c r="J662" s="12"/>
      <c r="K662" s="9"/>
      <c r="L662" s="16" t="s">
        <v>51</v>
      </c>
      <c r="M662" s="17" t="s">
        <v>52</v>
      </c>
      <c r="N662" s="15" t="s">
        <v>264</v>
      </c>
      <c r="O662" s="16" t="s">
        <v>62</v>
      </c>
      <c r="P662" s="10" t="s">
        <v>1824</v>
      </c>
      <c r="Q662" s="16"/>
      <c r="R662" s="18" t="s">
        <v>52</v>
      </c>
      <c r="S662" s="19" t="s">
        <v>264</v>
      </c>
      <c r="T662" s="12" t="str">
        <f aca="false">IF(R662="維持",J662,IF(R662="排除","無關新聞事件",IFERROR(INDEX(事件規則!$B$2:$B$53,MATCH(S662,事件規則!$A$2:$A$53,0)),"")))</f>
        <v>分析師降評</v>
      </c>
      <c r="U662" s="20" t="n">
        <f aca="false">IF(R662="維持",K662,IF(R662="排除",0,IFERROR(INDEX(事件規則!$C$2:$C$53,MATCH(S662,事件規則!$A$2:$A$53,0)),"")))</f>
        <v>2</v>
      </c>
      <c r="V662" s="21"/>
      <c r="W662" s="22"/>
      <c r="X662" s="10" t="str">
        <f aca="false">IF(AND(R662="修改",S662=""),"請選新事件代碼",IF(AND(R662&lt;&gt;"修改",S662&lt;&gt;""),"只有「修改」才需填代碼",""))</f>
        <v/>
      </c>
      <c r="Y662" s="21"/>
      <c r="Z662" s="22"/>
      <c r="AA662" s="23" t="s">
        <v>2129</v>
      </c>
      <c r="AB662" s="13"/>
    </row>
    <row r="663" customFormat="false" ht="44" hidden="false" customHeight="false" outlineLevel="0" collapsed="false">
      <c r="A663" s="16" t="n">
        <v>662</v>
      </c>
      <c r="B663" s="9" t="s">
        <v>65</v>
      </c>
      <c r="C663" s="9" t="s">
        <v>267</v>
      </c>
      <c r="D663" s="10" t="s">
        <v>268</v>
      </c>
      <c r="E663" s="24" t="s">
        <v>2130</v>
      </c>
      <c r="F663" s="12"/>
      <c r="G663" s="23" t="s">
        <v>2131</v>
      </c>
      <c r="H663" s="14" t="n">
        <v>-0.781</v>
      </c>
      <c r="I663" s="15"/>
      <c r="J663" s="12"/>
      <c r="K663" s="9"/>
      <c r="L663" s="16" t="s">
        <v>51</v>
      </c>
      <c r="M663" s="17" t="s">
        <v>79</v>
      </c>
      <c r="N663" s="15"/>
      <c r="O663" s="16" t="s">
        <v>54</v>
      </c>
      <c r="P663" s="12" t="s">
        <v>1625</v>
      </c>
      <c r="Q663" s="16"/>
      <c r="R663" s="18" t="s">
        <v>79</v>
      </c>
      <c r="S663" s="19"/>
      <c r="T663" s="12" t="str">
        <f aca="false">IF(R663="維持",J663,IF(R663="排除","無關新聞事件",IFERROR(INDEX(事件規則!$B$2:$B$53,MATCH(S663,事件規則!$A$2:$A$53,0)),"")))</f>
        <v>無關新聞事件</v>
      </c>
      <c r="U663" s="20" t="n">
        <f aca="false">IF(R663="維持",K663,IF(R663="排除",0,IFERROR(INDEX(事件規則!$C$2:$C$53,MATCH(S663,事件規則!$A$2:$A$53,0)),"")))</f>
        <v>0</v>
      </c>
      <c r="V663" s="21"/>
      <c r="W663" s="22"/>
      <c r="X663" s="10" t="str">
        <f aca="false">IF(AND(R663="修改",S663=""),"請選新事件代碼",IF(AND(R663&lt;&gt;"修改",S663&lt;&gt;""),"只有「修改」才需填代碼",""))</f>
        <v/>
      </c>
      <c r="Y663" s="21"/>
      <c r="Z663" s="22"/>
      <c r="AA663" s="23" t="s">
        <v>2132</v>
      </c>
      <c r="AB663" s="13"/>
    </row>
    <row r="664" customFormat="false" ht="44" hidden="false" customHeight="false" outlineLevel="0" collapsed="false">
      <c r="A664" s="16" t="n">
        <v>663</v>
      </c>
      <c r="B664" s="9" t="s">
        <v>386</v>
      </c>
      <c r="C664" s="9" t="s">
        <v>1025</v>
      </c>
      <c r="D664" s="10" t="s">
        <v>1026</v>
      </c>
      <c r="E664" s="24" t="s">
        <v>2133</v>
      </c>
      <c r="F664" s="12"/>
      <c r="G664" s="23" t="s">
        <v>2134</v>
      </c>
      <c r="H664" s="14" t="n">
        <v>-0.777</v>
      </c>
      <c r="I664" s="15"/>
      <c r="J664" s="12"/>
      <c r="K664" s="9"/>
      <c r="L664" s="16" t="s">
        <v>51</v>
      </c>
      <c r="M664" s="17" t="s">
        <v>79</v>
      </c>
      <c r="N664" s="15"/>
      <c r="O664" s="16" t="s">
        <v>54</v>
      </c>
      <c r="P664" s="12" t="s">
        <v>1625</v>
      </c>
      <c r="Q664" s="16"/>
      <c r="R664" s="18" t="s">
        <v>79</v>
      </c>
      <c r="S664" s="19"/>
      <c r="T664" s="12" t="str">
        <f aca="false">IF(R664="維持",J664,IF(R664="排除","無關新聞事件",IFERROR(INDEX(事件規則!$B$2:$B$53,MATCH(S664,事件規則!$A$2:$A$53,0)),"")))</f>
        <v>無關新聞事件</v>
      </c>
      <c r="U664" s="20" t="n">
        <f aca="false">IF(R664="維持",K664,IF(R664="排除",0,IFERROR(INDEX(事件規則!$C$2:$C$53,MATCH(S664,事件規則!$A$2:$A$53,0)),"")))</f>
        <v>0</v>
      </c>
      <c r="V664" s="21"/>
      <c r="W664" s="22"/>
      <c r="X664" s="10" t="str">
        <f aca="false">IF(AND(R664="修改",S664=""),"請選新事件代碼",IF(AND(R664&lt;&gt;"修改",S664&lt;&gt;""),"只有「修改」才需填代碼",""))</f>
        <v/>
      </c>
      <c r="Y664" s="21"/>
      <c r="Z664" s="22"/>
      <c r="AA664" s="23" t="s">
        <v>2135</v>
      </c>
      <c r="AB664" s="13"/>
    </row>
    <row r="665" customFormat="false" ht="44" hidden="false" customHeight="false" outlineLevel="0" collapsed="false">
      <c r="A665" s="16" t="n">
        <v>664</v>
      </c>
      <c r="B665" s="9" t="s">
        <v>65</v>
      </c>
      <c r="C665" s="9" t="s">
        <v>2136</v>
      </c>
      <c r="D665" s="10" t="s">
        <v>2137</v>
      </c>
      <c r="E665" s="24" t="s">
        <v>2138</v>
      </c>
      <c r="F665" s="12"/>
      <c r="G665" s="23" t="s">
        <v>396</v>
      </c>
      <c r="H665" s="14" t="n">
        <v>-0.775</v>
      </c>
      <c r="I665" s="15"/>
      <c r="J665" s="12"/>
      <c r="K665" s="9"/>
      <c r="L665" s="16" t="s">
        <v>51</v>
      </c>
      <c r="M665" s="17" t="s">
        <v>79</v>
      </c>
      <c r="N665" s="15"/>
      <c r="O665" s="16" t="s">
        <v>54</v>
      </c>
      <c r="P665" s="12" t="s">
        <v>1625</v>
      </c>
      <c r="Q665" s="16"/>
      <c r="R665" s="18" t="s">
        <v>79</v>
      </c>
      <c r="S665" s="19"/>
      <c r="T665" s="12" t="str">
        <f aca="false">IF(R665="維持",J665,IF(R665="排除","無關新聞事件",IFERROR(INDEX(事件規則!$B$2:$B$53,MATCH(S665,事件規則!$A$2:$A$53,0)),"")))</f>
        <v>無關新聞事件</v>
      </c>
      <c r="U665" s="20" t="n">
        <f aca="false">IF(R665="維持",K665,IF(R665="排除",0,IFERROR(INDEX(事件規則!$C$2:$C$53,MATCH(S665,事件規則!$A$2:$A$53,0)),"")))</f>
        <v>0</v>
      </c>
      <c r="V665" s="21"/>
      <c r="W665" s="22"/>
      <c r="X665" s="10" t="str">
        <f aca="false">IF(AND(R665="修改",S665=""),"請選新事件代碼",IF(AND(R665&lt;&gt;"修改",S665&lt;&gt;""),"只有「修改」才需填代碼",""))</f>
        <v/>
      </c>
      <c r="Y665" s="21"/>
      <c r="Z665" s="22"/>
      <c r="AA665" s="23" t="s">
        <v>2139</v>
      </c>
      <c r="AB665" s="13"/>
    </row>
    <row r="666" customFormat="false" ht="44" hidden="false" customHeight="false" outlineLevel="0" collapsed="false">
      <c r="A666" s="16" t="n">
        <v>665</v>
      </c>
      <c r="B666" s="9" t="s">
        <v>331</v>
      </c>
      <c r="C666" s="9" t="s">
        <v>99</v>
      </c>
      <c r="D666" s="10" t="s">
        <v>100</v>
      </c>
      <c r="E666" s="24" t="s">
        <v>2140</v>
      </c>
      <c r="F666" s="12"/>
      <c r="G666" s="23" t="s">
        <v>1804</v>
      </c>
      <c r="H666" s="14" t="n">
        <v>-0.775</v>
      </c>
      <c r="I666" s="15"/>
      <c r="J666" s="12"/>
      <c r="K666" s="9"/>
      <c r="L666" s="16" t="s">
        <v>51</v>
      </c>
      <c r="M666" s="17" t="s">
        <v>79</v>
      </c>
      <c r="N666" s="15"/>
      <c r="O666" s="16" t="s">
        <v>54</v>
      </c>
      <c r="P666" s="12" t="s">
        <v>1625</v>
      </c>
      <c r="Q666" s="16"/>
      <c r="R666" s="18" t="s">
        <v>79</v>
      </c>
      <c r="S666" s="19"/>
      <c r="T666" s="12" t="str">
        <f aca="false">IF(R666="維持",J666,IF(R666="排除","無關新聞事件",IFERROR(INDEX(事件規則!$B$2:$B$53,MATCH(S666,事件規則!$A$2:$A$53,0)),"")))</f>
        <v>無關新聞事件</v>
      </c>
      <c r="U666" s="20" t="n">
        <f aca="false">IF(R666="維持",K666,IF(R666="排除",0,IFERROR(INDEX(事件規則!$C$2:$C$53,MATCH(S666,事件規則!$A$2:$A$53,0)),"")))</f>
        <v>0</v>
      </c>
      <c r="V666" s="21"/>
      <c r="W666" s="22"/>
      <c r="X666" s="10" t="str">
        <f aca="false">IF(AND(R666="修改",S666=""),"請選新事件代碼",IF(AND(R666&lt;&gt;"修改",S666&lt;&gt;""),"只有「修改」才需填代碼",""))</f>
        <v/>
      </c>
      <c r="Y666" s="21"/>
      <c r="Z666" s="22"/>
      <c r="AA666" s="23" t="s">
        <v>2141</v>
      </c>
      <c r="AB666" s="13"/>
    </row>
    <row r="667" customFormat="false" ht="44" hidden="false" customHeight="false" outlineLevel="0" collapsed="false">
      <c r="A667" s="16" t="n">
        <v>666</v>
      </c>
      <c r="B667" s="9" t="s">
        <v>331</v>
      </c>
      <c r="C667" s="9" t="s">
        <v>2142</v>
      </c>
      <c r="D667" s="10" t="s">
        <v>2143</v>
      </c>
      <c r="E667" s="24" t="s">
        <v>2144</v>
      </c>
      <c r="F667" s="12"/>
      <c r="G667" s="23" t="s">
        <v>335</v>
      </c>
      <c r="H667" s="14" t="n">
        <v>-0.774</v>
      </c>
      <c r="I667" s="15"/>
      <c r="J667" s="12"/>
      <c r="K667" s="9"/>
      <c r="L667" s="16" t="s">
        <v>51</v>
      </c>
      <c r="M667" s="17" t="s">
        <v>79</v>
      </c>
      <c r="N667" s="15"/>
      <c r="O667" s="16" t="s">
        <v>54</v>
      </c>
      <c r="P667" s="12" t="s">
        <v>1625</v>
      </c>
      <c r="Q667" s="16"/>
      <c r="R667" s="18" t="s">
        <v>79</v>
      </c>
      <c r="S667" s="19"/>
      <c r="T667" s="12" t="str">
        <f aca="false">IF(R667="維持",J667,IF(R667="排除","無關新聞事件",IFERROR(INDEX(事件規則!$B$2:$B$53,MATCH(S667,事件規則!$A$2:$A$53,0)),"")))</f>
        <v>無關新聞事件</v>
      </c>
      <c r="U667" s="20" t="n">
        <f aca="false">IF(R667="維持",K667,IF(R667="排除",0,IFERROR(INDEX(事件規則!$C$2:$C$53,MATCH(S667,事件規則!$A$2:$A$53,0)),"")))</f>
        <v>0</v>
      </c>
      <c r="V667" s="21"/>
      <c r="W667" s="22"/>
      <c r="X667" s="10" t="str">
        <f aca="false">IF(AND(R667="修改",S667=""),"請選新事件代碼",IF(AND(R667&lt;&gt;"修改",S667&lt;&gt;""),"只有「修改」才需填代碼",""))</f>
        <v/>
      </c>
      <c r="Y667" s="21"/>
      <c r="Z667" s="22"/>
      <c r="AA667" s="23" t="s">
        <v>2145</v>
      </c>
      <c r="AB667" s="13"/>
    </row>
    <row r="668" customFormat="false" ht="44" hidden="false" customHeight="false" outlineLevel="0" collapsed="false">
      <c r="A668" s="16" t="n">
        <v>667</v>
      </c>
      <c r="B668" s="9" t="s">
        <v>386</v>
      </c>
      <c r="C668" s="9" t="s">
        <v>368</v>
      </c>
      <c r="D668" s="10" t="s">
        <v>369</v>
      </c>
      <c r="E668" s="24" t="s">
        <v>2146</v>
      </c>
      <c r="F668" s="12"/>
      <c r="G668" s="23" t="s">
        <v>335</v>
      </c>
      <c r="H668" s="14" t="n">
        <v>-0.774</v>
      </c>
      <c r="I668" s="15"/>
      <c r="J668" s="12"/>
      <c r="K668" s="9"/>
      <c r="L668" s="16" t="s">
        <v>51</v>
      </c>
      <c r="M668" s="17" t="s">
        <v>79</v>
      </c>
      <c r="N668" s="15"/>
      <c r="O668" s="16" t="s">
        <v>54</v>
      </c>
      <c r="P668" s="12" t="s">
        <v>1625</v>
      </c>
      <c r="Q668" s="16"/>
      <c r="R668" s="18" t="s">
        <v>79</v>
      </c>
      <c r="S668" s="19"/>
      <c r="T668" s="12" t="str">
        <f aca="false">IF(R668="維持",J668,IF(R668="排除","無關新聞事件",IFERROR(INDEX(事件規則!$B$2:$B$53,MATCH(S668,事件規則!$A$2:$A$53,0)),"")))</f>
        <v>無關新聞事件</v>
      </c>
      <c r="U668" s="20" t="n">
        <f aca="false">IF(R668="維持",K668,IF(R668="排除",0,IFERROR(INDEX(事件規則!$C$2:$C$53,MATCH(S668,事件規則!$A$2:$A$53,0)),"")))</f>
        <v>0</v>
      </c>
      <c r="V668" s="21"/>
      <c r="W668" s="22"/>
      <c r="X668" s="10" t="str">
        <f aca="false">IF(AND(R668="修改",S668=""),"請選新事件代碼",IF(AND(R668&lt;&gt;"修改",S668&lt;&gt;""),"只有「修改」才需填代碼",""))</f>
        <v/>
      </c>
      <c r="Y668" s="21"/>
      <c r="Z668" s="22"/>
      <c r="AA668" s="23" t="s">
        <v>2147</v>
      </c>
      <c r="AB668" s="13"/>
    </row>
    <row r="669" customFormat="false" ht="44" hidden="false" customHeight="false" outlineLevel="0" collapsed="false">
      <c r="A669" s="16" t="n">
        <v>668</v>
      </c>
      <c r="B669" s="9" t="s">
        <v>45</v>
      </c>
      <c r="C669" s="16"/>
      <c r="D669" s="10" t="s">
        <v>2148</v>
      </c>
      <c r="E669" s="11" t="s">
        <v>2149</v>
      </c>
      <c r="F669" s="12" t="s">
        <v>2150</v>
      </c>
      <c r="G669" s="23" t="s">
        <v>152</v>
      </c>
      <c r="H669" s="14" t="n">
        <v>-0.773</v>
      </c>
      <c r="I669" s="15"/>
      <c r="J669" s="12"/>
      <c r="K669" s="9"/>
      <c r="L669" s="16" t="s">
        <v>51</v>
      </c>
      <c r="M669" s="17" t="s">
        <v>79</v>
      </c>
      <c r="N669" s="15"/>
      <c r="O669" s="16" t="s">
        <v>54</v>
      </c>
      <c r="P669" s="12" t="s">
        <v>1625</v>
      </c>
      <c r="Q669" s="16"/>
      <c r="R669" s="18" t="s">
        <v>79</v>
      </c>
      <c r="S669" s="19"/>
      <c r="T669" s="12" t="str">
        <f aca="false">IF(R669="維持",J669,IF(R669="排除","無關新聞事件",IFERROR(INDEX(事件規則!$B$2:$B$53,MATCH(S669,事件規則!$A$2:$A$53,0)),"")))</f>
        <v>無關新聞事件</v>
      </c>
      <c r="U669" s="20" t="n">
        <f aca="false">IF(R669="維持",K669,IF(R669="排除",0,IFERROR(INDEX(事件規則!$C$2:$C$53,MATCH(S669,事件規則!$A$2:$A$53,0)),"")))</f>
        <v>0</v>
      </c>
      <c r="V669" s="21"/>
      <c r="W669" s="22"/>
      <c r="X669" s="10" t="str">
        <f aca="false">IF(AND(R669="修改",S669=""),"請選新事件代碼",IF(AND(R669&lt;&gt;"修改",S669&lt;&gt;""),"只有「修改」才需填代碼",""))</f>
        <v/>
      </c>
      <c r="Y669" s="21"/>
      <c r="Z669" s="22"/>
      <c r="AA669" s="23" t="s">
        <v>2151</v>
      </c>
      <c r="AB669" s="13"/>
    </row>
    <row r="670" customFormat="false" ht="44" hidden="false" customHeight="false" outlineLevel="0" collapsed="false">
      <c r="A670" s="16" t="n">
        <v>669</v>
      </c>
      <c r="B670" s="9" t="s">
        <v>65</v>
      </c>
      <c r="C670" s="9" t="s">
        <v>704</v>
      </c>
      <c r="D670" s="10" t="s">
        <v>705</v>
      </c>
      <c r="E670" s="24" t="s">
        <v>2152</v>
      </c>
      <c r="F670" s="12"/>
      <c r="G670" s="23" t="s">
        <v>2153</v>
      </c>
      <c r="H670" s="14" t="n">
        <v>-0.771</v>
      </c>
      <c r="I670" s="15"/>
      <c r="J670" s="12"/>
      <c r="K670" s="9"/>
      <c r="L670" s="16" t="s">
        <v>51</v>
      </c>
      <c r="M670" s="17" t="s">
        <v>79</v>
      </c>
      <c r="N670" s="15"/>
      <c r="O670" s="16" t="s">
        <v>54</v>
      </c>
      <c r="P670" s="12" t="s">
        <v>1625</v>
      </c>
      <c r="Q670" s="16"/>
      <c r="R670" s="18" t="s">
        <v>79</v>
      </c>
      <c r="S670" s="19"/>
      <c r="T670" s="12" t="str">
        <f aca="false">IF(R670="維持",J670,IF(R670="排除","無關新聞事件",IFERROR(INDEX(事件規則!$B$2:$B$53,MATCH(S670,事件規則!$A$2:$A$53,0)),"")))</f>
        <v>無關新聞事件</v>
      </c>
      <c r="U670" s="20" t="n">
        <f aca="false">IF(R670="維持",K670,IF(R670="排除",0,IFERROR(INDEX(事件規則!$C$2:$C$53,MATCH(S670,事件規則!$A$2:$A$53,0)),"")))</f>
        <v>0</v>
      </c>
      <c r="V670" s="21"/>
      <c r="W670" s="22"/>
      <c r="X670" s="10" t="str">
        <f aca="false">IF(AND(R670="修改",S670=""),"請選新事件代碼",IF(AND(R670&lt;&gt;"修改",S670&lt;&gt;""),"只有「修改」才需填代碼",""))</f>
        <v/>
      </c>
      <c r="Y670" s="21"/>
      <c r="Z670" s="22"/>
      <c r="AA670" s="23" t="s">
        <v>2154</v>
      </c>
      <c r="AB670" s="13"/>
    </row>
    <row r="671" customFormat="false" ht="44" hidden="false" customHeight="false" outlineLevel="0" collapsed="false">
      <c r="A671" s="16" t="n">
        <v>670</v>
      </c>
      <c r="B671" s="9" t="s">
        <v>65</v>
      </c>
      <c r="C671" s="9" t="s">
        <v>645</v>
      </c>
      <c r="D671" s="10" t="s">
        <v>646</v>
      </c>
      <c r="E671" s="24" t="s">
        <v>2155</v>
      </c>
      <c r="F671" s="12"/>
      <c r="G671" s="23" t="s">
        <v>1498</v>
      </c>
      <c r="H671" s="14" t="n">
        <v>-0.77</v>
      </c>
      <c r="I671" s="15"/>
      <c r="J671" s="12"/>
      <c r="K671" s="9"/>
      <c r="L671" s="16" t="s">
        <v>51</v>
      </c>
      <c r="M671" s="17" t="s">
        <v>79</v>
      </c>
      <c r="N671" s="15"/>
      <c r="O671" s="16" t="s">
        <v>54</v>
      </c>
      <c r="P671" s="12" t="s">
        <v>1625</v>
      </c>
      <c r="Q671" s="16"/>
      <c r="R671" s="18" t="s">
        <v>79</v>
      </c>
      <c r="S671" s="19"/>
      <c r="T671" s="12" t="str">
        <f aca="false">IF(R671="維持",J671,IF(R671="排除","無關新聞事件",IFERROR(INDEX(事件規則!$B$2:$B$53,MATCH(S671,事件規則!$A$2:$A$53,0)),"")))</f>
        <v>無關新聞事件</v>
      </c>
      <c r="U671" s="20" t="n">
        <f aca="false">IF(R671="維持",K671,IF(R671="排除",0,IFERROR(INDEX(事件規則!$C$2:$C$53,MATCH(S671,事件規則!$A$2:$A$53,0)),"")))</f>
        <v>0</v>
      </c>
      <c r="V671" s="21"/>
      <c r="W671" s="22"/>
      <c r="X671" s="10" t="str">
        <f aca="false">IF(AND(R671="修改",S671=""),"請選新事件代碼",IF(AND(R671&lt;&gt;"修改",S671&lt;&gt;""),"只有「修改」才需填代碼",""))</f>
        <v/>
      </c>
      <c r="Y671" s="21"/>
      <c r="Z671" s="22"/>
      <c r="AA671" s="23" t="s">
        <v>2156</v>
      </c>
      <c r="AB671" s="13"/>
    </row>
    <row r="672" customFormat="false" ht="44" hidden="false" customHeight="false" outlineLevel="0" collapsed="false">
      <c r="A672" s="16" t="n">
        <v>671</v>
      </c>
      <c r="B672" s="9" t="s">
        <v>65</v>
      </c>
      <c r="C672" s="9" t="s">
        <v>332</v>
      </c>
      <c r="D672" s="10" t="s">
        <v>333</v>
      </c>
      <c r="E672" s="24" t="s">
        <v>2157</v>
      </c>
      <c r="F672" s="12"/>
      <c r="G672" s="23" t="s">
        <v>147</v>
      </c>
      <c r="H672" s="14" t="n">
        <v>-0.769</v>
      </c>
      <c r="I672" s="15"/>
      <c r="J672" s="12"/>
      <c r="K672" s="9"/>
      <c r="L672" s="16" t="s">
        <v>51</v>
      </c>
      <c r="M672" s="17" t="s">
        <v>79</v>
      </c>
      <c r="N672" s="15"/>
      <c r="O672" s="16" t="s">
        <v>54</v>
      </c>
      <c r="P672" s="12" t="s">
        <v>1625</v>
      </c>
      <c r="Q672" s="16"/>
      <c r="R672" s="18" t="s">
        <v>79</v>
      </c>
      <c r="S672" s="19"/>
      <c r="T672" s="12" t="str">
        <f aca="false">IF(R672="維持",J672,IF(R672="排除","無關新聞事件",IFERROR(INDEX(事件規則!$B$2:$B$53,MATCH(S672,事件規則!$A$2:$A$53,0)),"")))</f>
        <v>無關新聞事件</v>
      </c>
      <c r="U672" s="20" t="n">
        <f aca="false">IF(R672="維持",K672,IF(R672="排除",0,IFERROR(INDEX(事件規則!$C$2:$C$53,MATCH(S672,事件規則!$A$2:$A$53,0)),"")))</f>
        <v>0</v>
      </c>
      <c r="V672" s="21"/>
      <c r="W672" s="22"/>
      <c r="X672" s="10" t="str">
        <f aca="false">IF(AND(R672="修改",S672=""),"請選新事件代碼",IF(AND(R672&lt;&gt;"修改",S672&lt;&gt;""),"只有「修改」才需填代碼",""))</f>
        <v/>
      </c>
      <c r="Y672" s="21"/>
      <c r="Z672" s="22"/>
      <c r="AA672" s="23" t="s">
        <v>2158</v>
      </c>
      <c r="AB672" s="13"/>
    </row>
    <row r="673" customFormat="false" ht="44" hidden="false" customHeight="false" outlineLevel="0" collapsed="false">
      <c r="A673" s="16" t="n">
        <v>672</v>
      </c>
      <c r="B673" s="9" t="s">
        <v>65</v>
      </c>
      <c r="C673" s="9" t="s">
        <v>2159</v>
      </c>
      <c r="D673" s="10" t="s">
        <v>2160</v>
      </c>
      <c r="E673" s="24" t="s">
        <v>2161</v>
      </c>
      <c r="F673" s="12"/>
      <c r="G673" s="23" t="s">
        <v>1468</v>
      </c>
      <c r="H673" s="14" t="n">
        <v>-0.768</v>
      </c>
      <c r="I673" s="15"/>
      <c r="J673" s="12"/>
      <c r="K673" s="9"/>
      <c r="L673" s="16" t="s">
        <v>51</v>
      </c>
      <c r="M673" s="17" t="s">
        <v>79</v>
      </c>
      <c r="N673" s="15"/>
      <c r="O673" s="16" t="s">
        <v>54</v>
      </c>
      <c r="P673" s="12" t="s">
        <v>1625</v>
      </c>
      <c r="Q673" s="16"/>
      <c r="R673" s="18" t="s">
        <v>79</v>
      </c>
      <c r="S673" s="19"/>
      <c r="T673" s="12" t="str">
        <f aca="false">IF(R673="維持",J673,IF(R673="排除","無關新聞事件",IFERROR(INDEX(事件規則!$B$2:$B$53,MATCH(S673,事件規則!$A$2:$A$53,0)),"")))</f>
        <v>無關新聞事件</v>
      </c>
      <c r="U673" s="20" t="n">
        <f aca="false">IF(R673="維持",K673,IF(R673="排除",0,IFERROR(INDEX(事件規則!$C$2:$C$53,MATCH(S673,事件規則!$A$2:$A$53,0)),"")))</f>
        <v>0</v>
      </c>
      <c r="V673" s="21"/>
      <c r="W673" s="22"/>
      <c r="X673" s="10" t="str">
        <f aca="false">IF(AND(R673="修改",S673=""),"請選新事件代碼",IF(AND(R673&lt;&gt;"修改",S673&lt;&gt;""),"只有「修改」才需填代碼",""))</f>
        <v/>
      </c>
      <c r="Y673" s="21"/>
      <c r="Z673" s="22"/>
      <c r="AA673" s="23" t="s">
        <v>2162</v>
      </c>
      <c r="AB673" s="13"/>
    </row>
    <row r="674" customFormat="false" ht="44" hidden="false" customHeight="false" outlineLevel="0" collapsed="false">
      <c r="A674" s="16" t="n">
        <v>673</v>
      </c>
      <c r="B674" s="9" t="s">
        <v>45</v>
      </c>
      <c r="C674" s="9" t="s">
        <v>2163</v>
      </c>
      <c r="D674" s="10" t="s">
        <v>2164</v>
      </c>
      <c r="E674" s="24" t="s">
        <v>2165</v>
      </c>
      <c r="F674" s="12"/>
      <c r="G674" s="23" t="s">
        <v>335</v>
      </c>
      <c r="H674" s="14" t="n">
        <v>-0.768</v>
      </c>
      <c r="I674" s="15"/>
      <c r="J674" s="12"/>
      <c r="K674" s="9"/>
      <c r="L674" s="16" t="s">
        <v>51</v>
      </c>
      <c r="M674" s="17" t="s">
        <v>79</v>
      </c>
      <c r="N674" s="15"/>
      <c r="O674" s="16" t="s">
        <v>54</v>
      </c>
      <c r="P674" s="12" t="s">
        <v>1625</v>
      </c>
      <c r="Q674" s="16"/>
      <c r="R674" s="18" t="s">
        <v>79</v>
      </c>
      <c r="S674" s="19"/>
      <c r="T674" s="12" t="str">
        <f aca="false">IF(R674="維持",J674,IF(R674="排除","無關新聞事件",IFERROR(INDEX(事件規則!$B$2:$B$53,MATCH(S674,事件規則!$A$2:$A$53,0)),"")))</f>
        <v>無關新聞事件</v>
      </c>
      <c r="U674" s="20" t="n">
        <f aca="false">IF(R674="維持",K674,IF(R674="排除",0,IFERROR(INDEX(事件規則!$C$2:$C$53,MATCH(S674,事件規則!$A$2:$A$53,0)),"")))</f>
        <v>0</v>
      </c>
      <c r="V674" s="21"/>
      <c r="W674" s="22"/>
      <c r="X674" s="10" t="str">
        <f aca="false">IF(AND(R674="修改",S674=""),"請選新事件代碼",IF(AND(R674&lt;&gt;"修改",S674&lt;&gt;""),"只有「修改」才需填代碼",""))</f>
        <v/>
      </c>
      <c r="Y674" s="21"/>
      <c r="Z674" s="22"/>
      <c r="AA674" s="23" t="s">
        <v>2166</v>
      </c>
      <c r="AB674" s="13"/>
    </row>
    <row r="675" customFormat="false" ht="44" hidden="false" customHeight="false" outlineLevel="0" collapsed="false">
      <c r="A675" s="16" t="n">
        <v>674</v>
      </c>
      <c r="B675" s="9" t="s">
        <v>65</v>
      </c>
      <c r="C675" s="9" t="s">
        <v>1291</v>
      </c>
      <c r="D675" s="10" t="s">
        <v>1292</v>
      </c>
      <c r="E675" s="24" t="s">
        <v>2167</v>
      </c>
      <c r="F675" s="12"/>
      <c r="G675" s="23" t="s">
        <v>216</v>
      </c>
      <c r="H675" s="14" t="n">
        <v>-0.768</v>
      </c>
      <c r="I675" s="15"/>
      <c r="J675" s="12"/>
      <c r="K675" s="9"/>
      <c r="L675" s="16" t="s">
        <v>51</v>
      </c>
      <c r="M675" s="17" t="s">
        <v>79</v>
      </c>
      <c r="N675" s="15"/>
      <c r="O675" s="16" t="s">
        <v>54</v>
      </c>
      <c r="P675" s="12" t="s">
        <v>1625</v>
      </c>
      <c r="Q675" s="16"/>
      <c r="R675" s="18" t="s">
        <v>79</v>
      </c>
      <c r="S675" s="19"/>
      <c r="T675" s="12" t="str">
        <f aca="false">IF(R675="維持",J675,IF(R675="排除","無關新聞事件",IFERROR(INDEX(事件規則!$B$2:$B$53,MATCH(S675,事件規則!$A$2:$A$53,0)),"")))</f>
        <v>無關新聞事件</v>
      </c>
      <c r="U675" s="20" t="n">
        <f aca="false">IF(R675="維持",K675,IF(R675="排除",0,IFERROR(INDEX(事件規則!$C$2:$C$53,MATCH(S675,事件規則!$A$2:$A$53,0)),"")))</f>
        <v>0</v>
      </c>
      <c r="V675" s="21"/>
      <c r="W675" s="22"/>
      <c r="X675" s="10" t="str">
        <f aca="false">IF(AND(R675="修改",S675=""),"請選新事件代碼",IF(AND(R675&lt;&gt;"修改",S675&lt;&gt;""),"只有「修改」才需填代碼",""))</f>
        <v/>
      </c>
      <c r="Y675" s="21"/>
      <c r="Z675" s="22"/>
      <c r="AA675" s="23" t="s">
        <v>2168</v>
      </c>
      <c r="AB675" s="13"/>
    </row>
    <row r="676" customFormat="false" ht="44" hidden="false" customHeight="false" outlineLevel="0" collapsed="false">
      <c r="A676" s="16" t="n">
        <v>675</v>
      </c>
      <c r="B676" s="9" t="s">
        <v>65</v>
      </c>
      <c r="C676" s="9" t="s">
        <v>132</v>
      </c>
      <c r="D676" s="10" t="s">
        <v>133</v>
      </c>
      <c r="E676" s="24" t="s">
        <v>2169</v>
      </c>
      <c r="F676" s="12"/>
      <c r="G676" s="23" t="s">
        <v>1749</v>
      </c>
      <c r="H676" s="14" t="n">
        <v>-0.767</v>
      </c>
      <c r="I676" s="15"/>
      <c r="J676" s="12"/>
      <c r="K676" s="9"/>
      <c r="L676" s="16" t="s">
        <v>51</v>
      </c>
      <c r="M676" s="17" t="s">
        <v>79</v>
      </c>
      <c r="N676" s="15"/>
      <c r="O676" s="16" t="s">
        <v>54</v>
      </c>
      <c r="P676" s="12" t="s">
        <v>1625</v>
      </c>
      <c r="Q676" s="16"/>
      <c r="R676" s="18" t="s">
        <v>79</v>
      </c>
      <c r="S676" s="19"/>
      <c r="T676" s="12" t="str">
        <f aca="false">IF(R676="維持",J676,IF(R676="排除","無關新聞事件",IFERROR(INDEX(事件規則!$B$2:$B$53,MATCH(S676,事件規則!$A$2:$A$53,0)),"")))</f>
        <v>無關新聞事件</v>
      </c>
      <c r="U676" s="20" t="n">
        <f aca="false">IF(R676="維持",K676,IF(R676="排除",0,IFERROR(INDEX(事件規則!$C$2:$C$53,MATCH(S676,事件規則!$A$2:$A$53,0)),"")))</f>
        <v>0</v>
      </c>
      <c r="V676" s="21"/>
      <c r="W676" s="22"/>
      <c r="X676" s="10" t="str">
        <f aca="false">IF(AND(R676="修改",S676=""),"請選新事件代碼",IF(AND(R676&lt;&gt;"修改",S676&lt;&gt;""),"只有「修改」才需填代碼",""))</f>
        <v/>
      </c>
      <c r="Y676" s="21"/>
      <c r="Z676" s="22"/>
      <c r="AA676" s="23" t="s">
        <v>2170</v>
      </c>
      <c r="AB676" s="13"/>
    </row>
    <row r="677" customFormat="false" ht="44" hidden="false" customHeight="false" outlineLevel="0" collapsed="false">
      <c r="A677" s="16" t="n">
        <v>676</v>
      </c>
      <c r="B677" s="9" t="s">
        <v>45</v>
      </c>
      <c r="C677" s="9" t="s">
        <v>1650</v>
      </c>
      <c r="D677" s="10" t="s">
        <v>1651</v>
      </c>
      <c r="E677" s="24" t="s">
        <v>2171</v>
      </c>
      <c r="F677" s="12"/>
      <c r="G677" s="23" t="s">
        <v>1498</v>
      </c>
      <c r="H677" s="14" t="n">
        <v>-0.767</v>
      </c>
      <c r="I677" s="15"/>
      <c r="J677" s="12"/>
      <c r="K677" s="9"/>
      <c r="L677" s="16" t="s">
        <v>51</v>
      </c>
      <c r="M677" s="17" t="s">
        <v>79</v>
      </c>
      <c r="N677" s="15"/>
      <c r="O677" s="16" t="s">
        <v>54</v>
      </c>
      <c r="P677" s="12" t="s">
        <v>1625</v>
      </c>
      <c r="Q677" s="16"/>
      <c r="R677" s="18" t="s">
        <v>79</v>
      </c>
      <c r="S677" s="19"/>
      <c r="T677" s="12" t="str">
        <f aca="false">IF(R677="維持",J677,IF(R677="排除","無關新聞事件",IFERROR(INDEX(事件規則!$B$2:$B$53,MATCH(S677,事件規則!$A$2:$A$53,0)),"")))</f>
        <v>無關新聞事件</v>
      </c>
      <c r="U677" s="20" t="n">
        <f aca="false">IF(R677="維持",K677,IF(R677="排除",0,IFERROR(INDEX(事件規則!$C$2:$C$53,MATCH(S677,事件規則!$A$2:$A$53,0)),"")))</f>
        <v>0</v>
      </c>
      <c r="V677" s="21"/>
      <c r="W677" s="22"/>
      <c r="X677" s="10" t="str">
        <f aca="false">IF(AND(R677="修改",S677=""),"請選新事件代碼",IF(AND(R677&lt;&gt;"修改",S677&lt;&gt;""),"只有「修改」才需填代碼",""))</f>
        <v/>
      </c>
      <c r="Y677" s="21"/>
      <c r="Z677" s="22"/>
      <c r="AA677" s="23" t="s">
        <v>2172</v>
      </c>
      <c r="AB677" s="13"/>
    </row>
    <row r="678" customFormat="false" ht="44" hidden="false" customHeight="false" outlineLevel="0" collapsed="false">
      <c r="A678" s="16" t="n">
        <v>677</v>
      </c>
      <c r="B678" s="9" t="s">
        <v>45</v>
      </c>
      <c r="C678" s="9" t="s">
        <v>1779</v>
      </c>
      <c r="D678" s="10" t="s">
        <v>1780</v>
      </c>
      <c r="E678" s="24" t="s">
        <v>2173</v>
      </c>
      <c r="F678" s="12"/>
      <c r="G678" s="23" t="s">
        <v>575</v>
      </c>
      <c r="H678" s="14" t="n">
        <v>-0.765</v>
      </c>
      <c r="I678" s="15"/>
      <c r="J678" s="12"/>
      <c r="K678" s="9"/>
      <c r="L678" s="16" t="s">
        <v>51</v>
      </c>
      <c r="M678" s="17" t="s">
        <v>79</v>
      </c>
      <c r="N678" s="15"/>
      <c r="O678" s="16" t="s">
        <v>54</v>
      </c>
      <c r="P678" s="12" t="s">
        <v>1625</v>
      </c>
      <c r="Q678" s="16"/>
      <c r="R678" s="18" t="s">
        <v>79</v>
      </c>
      <c r="S678" s="19"/>
      <c r="T678" s="12" t="str">
        <f aca="false">IF(R678="維持",J678,IF(R678="排除","無關新聞事件",IFERROR(INDEX(事件規則!$B$2:$B$53,MATCH(S678,事件規則!$A$2:$A$53,0)),"")))</f>
        <v>無關新聞事件</v>
      </c>
      <c r="U678" s="20" t="n">
        <f aca="false">IF(R678="維持",K678,IF(R678="排除",0,IFERROR(INDEX(事件規則!$C$2:$C$53,MATCH(S678,事件規則!$A$2:$A$53,0)),"")))</f>
        <v>0</v>
      </c>
      <c r="V678" s="21"/>
      <c r="W678" s="22"/>
      <c r="X678" s="10" t="str">
        <f aca="false">IF(AND(R678="修改",S678=""),"請選新事件代碼",IF(AND(R678&lt;&gt;"修改",S678&lt;&gt;""),"只有「修改」才需填代碼",""))</f>
        <v/>
      </c>
      <c r="Y678" s="21"/>
      <c r="Z678" s="22"/>
      <c r="AA678" s="23" t="s">
        <v>2174</v>
      </c>
      <c r="AB678" s="13"/>
    </row>
    <row r="679" customFormat="false" ht="44" hidden="false" customHeight="false" outlineLevel="0" collapsed="false">
      <c r="A679" s="16" t="n">
        <v>678</v>
      </c>
      <c r="B679" s="9" t="s">
        <v>65</v>
      </c>
      <c r="C679" s="9" t="s">
        <v>456</v>
      </c>
      <c r="D679" s="10" t="s">
        <v>457</v>
      </c>
      <c r="E679" s="24" t="s">
        <v>2175</v>
      </c>
      <c r="F679" s="12"/>
      <c r="G679" s="23" t="s">
        <v>2176</v>
      </c>
      <c r="H679" s="14" t="n">
        <v>-0.765</v>
      </c>
      <c r="I679" s="15"/>
      <c r="J679" s="12"/>
      <c r="K679" s="9"/>
      <c r="L679" s="16" t="s">
        <v>51</v>
      </c>
      <c r="M679" s="17" t="s">
        <v>79</v>
      </c>
      <c r="N679" s="15"/>
      <c r="O679" s="16" t="s">
        <v>54</v>
      </c>
      <c r="P679" s="12" t="s">
        <v>1625</v>
      </c>
      <c r="Q679" s="16"/>
      <c r="R679" s="18" t="s">
        <v>79</v>
      </c>
      <c r="S679" s="19"/>
      <c r="T679" s="12" t="str">
        <f aca="false">IF(R679="維持",J679,IF(R679="排除","無關新聞事件",IFERROR(INDEX(事件規則!$B$2:$B$53,MATCH(S679,事件規則!$A$2:$A$53,0)),"")))</f>
        <v>無關新聞事件</v>
      </c>
      <c r="U679" s="20" t="n">
        <f aca="false">IF(R679="維持",K679,IF(R679="排除",0,IFERROR(INDEX(事件規則!$C$2:$C$53,MATCH(S679,事件規則!$A$2:$A$53,0)),"")))</f>
        <v>0</v>
      </c>
      <c r="V679" s="21"/>
      <c r="W679" s="22"/>
      <c r="X679" s="10" t="str">
        <f aca="false">IF(AND(R679="修改",S679=""),"請選新事件代碼",IF(AND(R679&lt;&gt;"修改",S679&lt;&gt;""),"只有「修改」才需填代碼",""))</f>
        <v/>
      </c>
      <c r="Y679" s="21"/>
      <c r="Z679" s="22"/>
      <c r="AA679" s="23" t="s">
        <v>2177</v>
      </c>
      <c r="AB679" s="13"/>
    </row>
    <row r="680" customFormat="false" ht="44" hidden="false" customHeight="false" outlineLevel="0" collapsed="false">
      <c r="A680" s="16" t="n">
        <v>679</v>
      </c>
      <c r="B680" s="9" t="s">
        <v>331</v>
      </c>
      <c r="C680" s="9" t="s">
        <v>99</v>
      </c>
      <c r="D680" s="10" t="s">
        <v>100</v>
      </c>
      <c r="E680" s="24" t="s">
        <v>2178</v>
      </c>
      <c r="F680" s="12"/>
      <c r="G680" s="23" t="s">
        <v>490</v>
      </c>
      <c r="H680" s="14" t="n">
        <v>-0.763</v>
      </c>
      <c r="I680" s="15"/>
      <c r="J680" s="12"/>
      <c r="K680" s="9"/>
      <c r="L680" s="16" t="s">
        <v>51</v>
      </c>
      <c r="M680" s="17" t="s">
        <v>79</v>
      </c>
      <c r="N680" s="15"/>
      <c r="O680" s="16" t="s">
        <v>54</v>
      </c>
      <c r="P680" s="12" t="s">
        <v>1625</v>
      </c>
      <c r="Q680" s="16"/>
      <c r="R680" s="18" t="s">
        <v>79</v>
      </c>
      <c r="S680" s="19"/>
      <c r="T680" s="12" t="str">
        <f aca="false">IF(R680="維持",J680,IF(R680="排除","無關新聞事件",IFERROR(INDEX(事件規則!$B$2:$B$53,MATCH(S680,事件規則!$A$2:$A$53,0)),"")))</f>
        <v>無關新聞事件</v>
      </c>
      <c r="U680" s="20" t="n">
        <f aca="false">IF(R680="維持",K680,IF(R680="排除",0,IFERROR(INDEX(事件規則!$C$2:$C$53,MATCH(S680,事件規則!$A$2:$A$53,0)),"")))</f>
        <v>0</v>
      </c>
      <c r="V680" s="21"/>
      <c r="W680" s="22"/>
      <c r="X680" s="10" t="str">
        <f aca="false">IF(AND(R680="修改",S680=""),"請選新事件代碼",IF(AND(R680&lt;&gt;"修改",S680&lt;&gt;""),"只有「修改」才需填代碼",""))</f>
        <v/>
      </c>
      <c r="Y680" s="21"/>
      <c r="Z680" s="22"/>
      <c r="AA680" s="23" t="s">
        <v>2179</v>
      </c>
      <c r="AB680" s="13"/>
    </row>
    <row r="681" customFormat="false" ht="44" hidden="false" customHeight="false" outlineLevel="0" collapsed="false">
      <c r="A681" s="16" t="n">
        <v>680</v>
      </c>
      <c r="B681" s="9" t="s">
        <v>65</v>
      </c>
      <c r="C681" s="9" t="s">
        <v>564</v>
      </c>
      <c r="D681" s="10" t="s">
        <v>565</v>
      </c>
      <c r="E681" s="24" t="s">
        <v>2180</v>
      </c>
      <c r="F681" s="12"/>
      <c r="G681" s="23" t="s">
        <v>2098</v>
      </c>
      <c r="H681" s="14" t="n">
        <v>-0.763</v>
      </c>
      <c r="I681" s="15"/>
      <c r="J681" s="12"/>
      <c r="K681" s="9"/>
      <c r="L681" s="16" t="s">
        <v>51</v>
      </c>
      <c r="M681" s="17" t="s">
        <v>79</v>
      </c>
      <c r="N681" s="15"/>
      <c r="O681" s="16" t="s">
        <v>54</v>
      </c>
      <c r="P681" s="12" t="s">
        <v>1625</v>
      </c>
      <c r="Q681" s="16"/>
      <c r="R681" s="18" t="s">
        <v>79</v>
      </c>
      <c r="S681" s="19"/>
      <c r="T681" s="12" t="str">
        <f aca="false">IF(R681="維持",J681,IF(R681="排除","無關新聞事件",IFERROR(INDEX(事件規則!$B$2:$B$53,MATCH(S681,事件規則!$A$2:$A$53,0)),"")))</f>
        <v>無關新聞事件</v>
      </c>
      <c r="U681" s="20" t="n">
        <f aca="false">IF(R681="維持",K681,IF(R681="排除",0,IFERROR(INDEX(事件規則!$C$2:$C$53,MATCH(S681,事件規則!$A$2:$A$53,0)),"")))</f>
        <v>0</v>
      </c>
      <c r="V681" s="21"/>
      <c r="W681" s="22"/>
      <c r="X681" s="10" t="str">
        <f aca="false">IF(AND(R681="修改",S681=""),"請選新事件代碼",IF(AND(R681&lt;&gt;"修改",S681&lt;&gt;""),"只有「修改」才需填代碼",""))</f>
        <v/>
      </c>
      <c r="Y681" s="21"/>
      <c r="Z681" s="22"/>
      <c r="AA681" s="23" t="s">
        <v>2181</v>
      </c>
      <c r="AB681" s="13"/>
    </row>
    <row r="682" customFormat="false" ht="44" hidden="false" customHeight="false" outlineLevel="0" collapsed="false">
      <c r="A682" s="16" t="n">
        <v>681</v>
      </c>
      <c r="B682" s="9" t="s">
        <v>331</v>
      </c>
      <c r="C682" s="9" t="s">
        <v>441</v>
      </c>
      <c r="D682" s="10" t="s">
        <v>442</v>
      </c>
      <c r="E682" s="24" t="s">
        <v>2182</v>
      </c>
      <c r="F682" s="12"/>
      <c r="G682" s="23" t="s">
        <v>335</v>
      </c>
      <c r="H682" s="14" t="n">
        <v>-0.762</v>
      </c>
      <c r="I682" s="15"/>
      <c r="J682" s="12"/>
      <c r="K682" s="9"/>
      <c r="L682" s="16" t="s">
        <v>51</v>
      </c>
      <c r="M682" s="17" t="s">
        <v>79</v>
      </c>
      <c r="N682" s="15"/>
      <c r="O682" s="16" t="s">
        <v>54</v>
      </c>
      <c r="P682" s="12" t="s">
        <v>1625</v>
      </c>
      <c r="Q682" s="16"/>
      <c r="R682" s="18" t="s">
        <v>79</v>
      </c>
      <c r="S682" s="19"/>
      <c r="T682" s="12" t="str">
        <f aca="false">IF(R682="維持",J682,IF(R682="排除","無關新聞事件",IFERROR(INDEX(事件規則!$B$2:$B$53,MATCH(S682,事件規則!$A$2:$A$53,0)),"")))</f>
        <v>無關新聞事件</v>
      </c>
      <c r="U682" s="20" t="n">
        <f aca="false">IF(R682="維持",K682,IF(R682="排除",0,IFERROR(INDEX(事件規則!$C$2:$C$53,MATCH(S682,事件規則!$A$2:$A$53,0)),"")))</f>
        <v>0</v>
      </c>
      <c r="V682" s="21"/>
      <c r="W682" s="22"/>
      <c r="X682" s="10" t="str">
        <f aca="false">IF(AND(R682="修改",S682=""),"請選新事件代碼",IF(AND(R682&lt;&gt;"修改",S682&lt;&gt;""),"只有「修改」才需填代碼",""))</f>
        <v/>
      </c>
      <c r="Y682" s="21"/>
      <c r="Z682" s="22"/>
      <c r="AA682" s="23" t="s">
        <v>2183</v>
      </c>
      <c r="AB682" s="13"/>
    </row>
    <row r="683" customFormat="false" ht="44" hidden="false" customHeight="false" outlineLevel="0" collapsed="false">
      <c r="A683" s="16" t="n">
        <v>682</v>
      </c>
      <c r="B683" s="9" t="s">
        <v>331</v>
      </c>
      <c r="C683" s="9" t="s">
        <v>524</v>
      </c>
      <c r="D683" s="10" t="s">
        <v>525</v>
      </c>
      <c r="E683" s="24" t="s">
        <v>2184</v>
      </c>
      <c r="F683" s="12"/>
      <c r="G683" s="23" t="s">
        <v>2185</v>
      </c>
      <c r="H683" s="14" t="n">
        <v>-0.762</v>
      </c>
      <c r="I683" s="15"/>
      <c r="J683" s="12"/>
      <c r="K683" s="9"/>
      <c r="L683" s="16" t="s">
        <v>51</v>
      </c>
      <c r="M683" s="17" t="s">
        <v>79</v>
      </c>
      <c r="N683" s="15"/>
      <c r="O683" s="16" t="s">
        <v>54</v>
      </c>
      <c r="P683" s="12" t="s">
        <v>1625</v>
      </c>
      <c r="Q683" s="16"/>
      <c r="R683" s="18" t="s">
        <v>79</v>
      </c>
      <c r="S683" s="19"/>
      <c r="T683" s="12" t="str">
        <f aca="false">IF(R683="維持",J683,IF(R683="排除","無關新聞事件",IFERROR(INDEX(事件規則!$B$2:$B$53,MATCH(S683,事件規則!$A$2:$A$53,0)),"")))</f>
        <v>無關新聞事件</v>
      </c>
      <c r="U683" s="20" t="n">
        <f aca="false">IF(R683="維持",K683,IF(R683="排除",0,IFERROR(INDEX(事件規則!$C$2:$C$53,MATCH(S683,事件規則!$A$2:$A$53,0)),"")))</f>
        <v>0</v>
      </c>
      <c r="V683" s="21"/>
      <c r="W683" s="22"/>
      <c r="X683" s="10" t="str">
        <f aca="false">IF(AND(R683="修改",S683=""),"請選新事件代碼",IF(AND(R683&lt;&gt;"修改",S683&lt;&gt;""),"只有「修改」才需填代碼",""))</f>
        <v/>
      </c>
      <c r="Y683" s="21"/>
      <c r="Z683" s="22"/>
      <c r="AA683" s="23" t="s">
        <v>2186</v>
      </c>
      <c r="AB683" s="13"/>
    </row>
    <row r="684" customFormat="false" ht="44" hidden="false" customHeight="false" outlineLevel="0" collapsed="false">
      <c r="A684" s="16" t="n">
        <v>683</v>
      </c>
      <c r="B684" s="9" t="s">
        <v>386</v>
      </c>
      <c r="C684" s="9" t="s">
        <v>564</v>
      </c>
      <c r="D684" s="10" t="s">
        <v>565</v>
      </c>
      <c r="E684" s="24" t="s">
        <v>2187</v>
      </c>
      <c r="F684" s="12"/>
      <c r="G684" s="23" t="s">
        <v>2188</v>
      </c>
      <c r="H684" s="14" t="n">
        <v>-0.76</v>
      </c>
      <c r="I684" s="15"/>
      <c r="J684" s="12"/>
      <c r="K684" s="9"/>
      <c r="L684" s="16" t="s">
        <v>51</v>
      </c>
      <c r="M684" s="17" t="s">
        <v>79</v>
      </c>
      <c r="N684" s="15"/>
      <c r="O684" s="16" t="s">
        <v>54</v>
      </c>
      <c r="P684" s="12" t="s">
        <v>1625</v>
      </c>
      <c r="Q684" s="16"/>
      <c r="R684" s="18" t="s">
        <v>79</v>
      </c>
      <c r="S684" s="19"/>
      <c r="T684" s="12" t="str">
        <f aca="false">IF(R684="維持",J684,IF(R684="排除","無關新聞事件",IFERROR(INDEX(事件規則!$B$2:$B$53,MATCH(S684,事件規則!$A$2:$A$53,0)),"")))</f>
        <v>無關新聞事件</v>
      </c>
      <c r="U684" s="20" t="n">
        <f aca="false">IF(R684="維持",K684,IF(R684="排除",0,IFERROR(INDEX(事件規則!$C$2:$C$53,MATCH(S684,事件規則!$A$2:$A$53,0)),"")))</f>
        <v>0</v>
      </c>
      <c r="V684" s="21"/>
      <c r="W684" s="22"/>
      <c r="X684" s="10" t="str">
        <f aca="false">IF(AND(R684="修改",S684=""),"請選新事件代碼",IF(AND(R684&lt;&gt;"修改",S684&lt;&gt;""),"只有「修改」才需填代碼",""))</f>
        <v/>
      </c>
      <c r="Y684" s="21"/>
      <c r="Z684" s="22"/>
      <c r="AA684" s="23" t="s">
        <v>2189</v>
      </c>
      <c r="AB684" s="13"/>
    </row>
    <row r="685" customFormat="false" ht="44" hidden="false" customHeight="false" outlineLevel="0" collapsed="false">
      <c r="A685" s="16" t="n">
        <v>684</v>
      </c>
      <c r="B685" s="9" t="s">
        <v>331</v>
      </c>
      <c r="C685" s="9" t="s">
        <v>1064</v>
      </c>
      <c r="D685" s="10" t="s">
        <v>1065</v>
      </c>
      <c r="E685" s="24" t="s">
        <v>2190</v>
      </c>
      <c r="F685" s="12"/>
      <c r="G685" s="23" t="s">
        <v>2191</v>
      </c>
      <c r="H685" s="14" t="n">
        <v>-0.76</v>
      </c>
      <c r="I685" s="15"/>
      <c r="J685" s="12"/>
      <c r="K685" s="9"/>
      <c r="L685" s="16" t="s">
        <v>51</v>
      </c>
      <c r="M685" s="17" t="s">
        <v>79</v>
      </c>
      <c r="N685" s="15"/>
      <c r="O685" s="16" t="s">
        <v>54</v>
      </c>
      <c r="P685" s="12" t="s">
        <v>1625</v>
      </c>
      <c r="Q685" s="16"/>
      <c r="R685" s="18" t="s">
        <v>79</v>
      </c>
      <c r="S685" s="19"/>
      <c r="T685" s="12" t="str">
        <f aca="false">IF(R685="維持",J685,IF(R685="排除","無關新聞事件",IFERROR(INDEX(事件規則!$B$2:$B$53,MATCH(S685,事件規則!$A$2:$A$53,0)),"")))</f>
        <v>無關新聞事件</v>
      </c>
      <c r="U685" s="20" t="n">
        <f aca="false">IF(R685="維持",K685,IF(R685="排除",0,IFERROR(INDEX(事件規則!$C$2:$C$53,MATCH(S685,事件規則!$A$2:$A$53,0)),"")))</f>
        <v>0</v>
      </c>
      <c r="V685" s="21"/>
      <c r="W685" s="22"/>
      <c r="X685" s="10" t="str">
        <f aca="false">IF(AND(R685="修改",S685=""),"請選新事件代碼",IF(AND(R685&lt;&gt;"修改",S685&lt;&gt;""),"只有「修改」才需填代碼",""))</f>
        <v/>
      </c>
      <c r="Y685" s="21"/>
      <c r="Z685" s="22"/>
      <c r="AA685" s="23" t="s">
        <v>2192</v>
      </c>
      <c r="AB685" s="13"/>
    </row>
    <row r="686" customFormat="false" ht="44" hidden="false" customHeight="false" outlineLevel="0" collapsed="false">
      <c r="A686" s="16" t="n">
        <v>685</v>
      </c>
      <c r="B686" s="9" t="s">
        <v>386</v>
      </c>
      <c r="C686" s="9" t="s">
        <v>618</v>
      </c>
      <c r="D686" s="10" t="s">
        <v>619</v>
      </c>
      <c r="E686" s="24" t="s">
        <v>2193</v>
      </c>
      <c r="F686" s="12"/>
      <c r="G686" s="23" t="s">
        <v>335</v>
      </c>
      <c r="H686" s="14" t="n">
        <v>-0.76</v>
      </c>
      <c r="I686" s="15"/>
      <c r="J686" s="12"/>
      <c r="K686" s="9"/>
      <c r="L686" s="16" t="s">
        <v>51</v>
      </c>
      <c r="M686" s="17" t="s">
        <v>79</v>
      </c>
      <c r="N686" s="15"/>
      <c r="O686" s="16" t="s">
        <v>54</v>
      </c>
      <c r="P686" s="12" t="s">
        <v>1625</v>
      </c>
      <c r="Q686" s="16"/>
      <c r="R686" s="18" t="s">
        <v>79</v>
      </c>
      <c r="S686" s="19"/>
      <c r="T686" s="12" t="str">
        <f aca="false">IF(R686="維持",J686,IF(R686="排除","無關新聞事件",IFERROR(INDEX(事件規則!$B$2:$B$53,MATCH(S686,事件規則!$A$2:$A$53,0)),"")))</f>
        <v>無關新聞事件</v>
      </c>
      <c r="U686" s="20" t="n">
        <f aca="false">IF(R686="維持",K686,IF(R686="排除",0,IFERROR(INDEX(事件規則!$C$2:$C$53,MATCH(S686,事件規則!$A$2:$A$53,0)),"")))</f>
        <v>0</v>
      </c>
      <c r="V686" s="21"/>
      <c r="W686" s="22"/>
      <c r="X686" s="10" t="str">
        <f aca="false">IF(AND(R686="修改",S686=""),"請選新事件代碼",IF(AND(R686&lt;&gt;"修改",S686&lt;&gt;""),"只有「修改」才需填代碼",""))</f>
        <v/>
      </c>
      <c r="Y686" s="21"/>
      <c r="Z686" s="22"/>
      <c r="AA686" s="23" t="s">
        <v>2194</v>
      </c>
      <c r="AB686" s="13"/>
    </row>
    <row r="687" customFormat="false" ht="44" hidden="false" customHeight="false" outlineLevel="0" collapsed="false">
      <c r="A687" s="16" t="n">
        <v>686</v>
      </c>
      <c r="B687" s="9" t="s">
        <v>45</v>
      </c>
      <c r="C687" s="9" t="s">
        <v>1926</v>
      </c>
      <c r="D687" s="10" t="s">
        <v>1927</v>
      </c>
      <c r="E687" s="24" t="s">
        <v>2195</v>
      </c>
      <c r="F687" s="12"/>
      <c r="G687" s="23" t="s">
        <v>292</v>
      </c>
      <c r="H687" s="14" t="n">
        <v>-0.76</v>
      </c>
      <c r="I687" s="15"/>
      <c r="J687" s="12"/>
      <c r="K687" s="9"/>
      <c r="L687" s="16" t="s">
        <v>51</v>
      </c>
      <c r="M687" s="17" t="s">
        <v>79</v>
      </c>
      <c r="N687" s="15"/>
      <c r="O687" s="16" t="s">
        <v>54</v>
      </c>
      <c r="P687" s="12" t="s">
        <v>1625</v>
      </c>
      <c r="Q687" s="16"/>
      <c r="R687" s="18" t="s">
        <v>79</v>
      </c>
      <c r="S687" s="19"/>
      <c r="T687" s="12" t="str">
        <f aca="false">IF(R687="維持",J687,IF(R687="排除","無關新聞事件",IFERROR(INDEX(事件規則!$B$2:$B$53,MATCH(S687,事件規則!$A$2:$A$53,0)),"")))</f>
        <v>無關新聞事件</v>
      </c>
      <c r="U687" s="20" t="n">
        <f aca="false">IF(R687="維持",K687,IF(R687="排除",0,IFERROR(INDEX(事件規則!$C$2:$C$53,MATCH(S687,事件規則!$A$2:$A$53,0)),"")))</f>
        <v>0</v>
      </c>
      <c r="V687" s="21"/>
      <c r="W687" s="22"/>
      <c r="X687" s="10" t="str">
        <f aca="false">IF(AND(R687="修改",S687=""),"請選新事件代碼",IF(AND(R687&lt;&gt;"修改",S687&lt;&gt;""),"只有「修改」才需填代碼",""))</f>
        <v/>
      </c>
      <c r="Y687" s="21"/>
      <c r="Z687" s="22"/>
      <c r="AA687" s="23" t="s">
        <v>2196</v>
      </c>
      <c r="AB687" s="13"/>
    </row>
    <row r="688" customFormat="false" ht="44" hidden="false" customHeight="false" outlineLevel="0" collapsed="false">
      <c r="A688" s="16" t="n">
        <v>687</v>
      </c>
      <c r="B688" s="9" t="s">
        <v>65</v>
      </c>
      <c r="C688" s="9" t="s">
        <v>564</v>
      </c>
      <c r="D688" s="10" t="s">
        <v>565</v>
      </c>
      <c r="E688" s="24" t="s">
        <v>2197</v>
      </c>
      <c r="F688" s="12"/>
      <c r="G688" s="23" t="s">
        <v>2198</v>
      </c>
      <c r="H688" s="14" t="n">
        <v>-0.759</v>
      </c>
      <c r="I688" s="15"/>
      <c r="J688" s="12"/>
      <c r="K688" s="9"/>
      <c r="L688" s="16" t="s">
        <v>51</v>
      </c>
      <c r="M688" s="17" t="s">
        <v>79</v>
      </c>
      <c r="N688" s="15"/>
      <c r="O688" s="16" t="s">
        <v>54</v>
      </c>
      <c r="P688" s="12" t="s">
        <v>1625</v>
      </c>
      <c r="Q688" s="16"/>
      <c r="R688" s="18" t="s">
        <v>79</v>
      </c>
      <c r="S688" s="19"/>
      <c r="T688" s="12" t="str">
        <f aca="false">IF(R688="維持",J688,IF(R688="排除","無關新聞事件",IFERROR(INDEX(事件規則!$B$2:$B$53,MATCH(S688,事件規則!$A$2:$A$53,0)),"")))</f>
        <v>無關新聞事件</v>
      </c>
      <c r="U688" s="20" t="n">
        <f aca="false">IF(R688="維持",K688,IF(R688="排除",0,IFERROR(INDEX(事件規則!$C$2:$C$53,MATCH(S688,事件規則!$A$2:$A$53,0)),"")))</f>
        <v>0</v>
      </c>
      <c r="V688" s="21"/>
      <c r="W688" s="22"/>
      <c r="X688" s="10" t="str">
        <f aca="false">IF(AND(R688="修改",S688=""),"請選新事件代碼",IF(AND(R688&lt;&gt;"修改",S688&lt;&gt;""),"只有「修改」才需填代碼",""))</f>
        <v/>
      </c>
      <c r="Y688" s="21"/>
      <c r="Z688" s="22"/>
      <c r="AA688" s="23" t="s">
        <v>2199</v>
      </c>
      <c r="AB688" s="13"/>
    </row>
    <row r="689" customFormat="false" ht="44" hidden="false" customHeight="false" outlineLevel="0" collapsed="false">
      <c r="A689" s="16" t="n">
        <v>688</v>
      </c>
      <c r="B689" s="9" t="s">
        <v>331</v>
      </c>
      <c r="C689" s="9" t="s">
        <v>99</v>
      </c>
      <c r="D689" s="10" t="s">
        <v>100</v>
      </c>
      <c r="E689" s="24" t="s">
        <v>2200</v>
      </c>
      <c r="F689" s="12"/>
      <c r="G689" s="23" t="s">
        <v>1686</v>
      </c>
      <c r="H689" s="14" t="n">
        <v>-0.758</v>
      </c>
      <c r="I689" s="15"/>
      <c r="J689" s="12"/>
      <c r="K689" s="9"/>
      <c r="L689" s="16" t="s">
        <v>51</v>
      </c>
      <c r="M689" s="17" t="s">
        <v>79</v>
      </c>
      <c r="N689" s="15"/>
      <c r="O689" s="16" t="s">
        <v>54</v>
      </c>
      <c r="P689" s="12" t="s">
        <v>1625</v>
      </c>
      <c r="Q689" s="16"/>
      <c r="R689" s="18" t="s">
        <v>79</v>
      </c>
      <c r="S689" s="19"/>
      <c r="T689" s="12" t="str">
        <f aca="false">IF(R689="維持",J689,IF(R689="排除","無關新聞事件",IFERROR(INDEX(事件規則!$B$2:$B$53,MATCH(S689,事件規則!$A$2:$A$53,0)),"")))</f>
        <v>無關新聞事件</v>
      </c>
      <c r="U689" s="20" t="n">
        <f aca="false">IF(R689="維持",K689,IF(R689="排除",0,IFERROR(INDEX(事件規則!$C$2:$C$53,MATCH(S689,事件規則!$A$2:$A$53,0)),"")))</f>
        <v>0</v>
      </c>
      <c r="V689" s="21"/>
      <c r="W689" s="22"/>
      <c r="X689" s="10" t="str">
        <f aca="false">IF(AND(R689="修改",S689=""),"請選新事件代碼",IF(AND(R689&lt;&gt;"修改",S689&lt;&gt;""),"只有「修改」才需填代碼",""))</f>
        <v/>
      </c>
      <c r="Y689" s="21"/>
      <c r="Z689" s="22"/>
      <c r="AA689" s="23" t="s">
        <v>2201</v>
      </c>
      <c r="AB689" s="13"/>
    </row>
    <row r="690" customFormat="false" ht="44" hidden="false" customHeight="false" outlineLevel="0" collapsed="false">
      <c r="A690" s="16" t="n">
        <v>689</v>
      </c>
      <c r="B690" s="9" t="s">
        <v>65</v>
      </c>
      <c r="C690" s="9" t="s">
        <v>2202</v>
      </c>
      <c r="D690" s="10" t="s">
        <v>2203</v>
      </c>
      <c r="E690" s="24" t="s">
        <v>2204</v>
      </c>
      <c r="F690" s="12"/>
      <c r="G690" s="23" t="s">
        <v>1537</v>
      </c>
      <c r="H690" s="14" t="n">
        <v>-0.756</v>
      </c>
      <c r="I690" s="15"/>
      <c r="J690" s="12"/>
      <c r="K690" s="9"/>
      <c r="L690" s="16" t="s">
        <v>51</v>
      </c>
      <c r="M690" s="17" t="s">
        <v>79</v>
      </c>
      <c r="N690" s="15"/>
      <c r="O690" s="16" t="s">
        <v>54</v>
      </c>
      <c r="P690" s="12" t="s">
        <v>1625</v>
      </c>
      <c r="Q690" s="16"/>
      <c r="R690" s="18" t="s">
        <v>79</v>
      </c>
      <c r="S690" s="19"/>
      <c r="T690" s="12" t="str">
        <f aca="false">IF(R690="維持",J690,IF(R690="排除","無關新聞事件",IFERROR(INDEX(事件規則!$B$2:$B$53,MATCH(S690,事件規則!$A$2:$A$53,0)),"")))</f>
        <v>無關新聞事件</v>
      </c>
      <c r="U690" s="20" t="n">
        <f aca="false">IF(R690="維持",K690,IF(R690="排除",0,IFERROR(INDEX(事件規則!$C$2:$C$53,MATCH(S690,事件規則!$A$2:$A$53,0)),"")))</f>
        <v>0</v>
      </c>
      <c r="V690" s="21"/>
      <c r="W690" s="22"/>
      <c r="X690" s="10" t="str">
        <f aca="false">IF(AND(R690="修改",S690=""),"請選新事件代碼",IF(AND(R690&lt;&gt;"修改",S690&lt;&gt;""),"只有「修改」才需填代碼",""))</f>
        <v/>
      </c>
      <c r="Y690" s="21"/>
      <c r="Z690" s="22"/>
      <c r="AA690" s="23" t="s">
        <v>2205</v>
      </c>
      <c r="AB690" s="13"/>
    </row>
    <row r="691" customFormat="false" ht="44" hidden="false" customHeight="false" outlineLevel="0" collapsed="false">
      <c r="A691" s="16" t="n">
        <v>690</v>
      </c>
      <c r="B691" s="9" t="s">
        <v>65</v>
      </c>
      <c r="C691" s="9" t="s">
        <v>854</v>
      </c>
      <c r="D691" s="10" t="s">
        <v>855</v>
      </c>
      <c r="E691" s="24" t="s">
        <v>2206</v>
      </c>
      <c r="F691" s="12"/>
      <c r="G691" s="23" t="s">
        <v>2207</v>
      </c>
      <c r="H691" s="14" t="n">
        <v>-0.756</v>
      </c>
      <c r="I691" s="15"/>
      <c r="J691" s="12"/>
      <c r="K691" s="9"/>
      <c r="L691" s="16" t="s">
        <v>51</v>
      </c>
      <c r="M691" s="17" t="s">
        <v>79</v>
      </c>
      <c r="N691" s="15"/>
      <c r="O691" s="16" t="s">
        <v>54</v>
      </c>
      <c r="P691" s="12" t="s">
        <v>1625</v>
      </c>
      <c r="Q691" s="16"/>
      <c r="R691" s="18" t="s">
        <v>79</v>
      </c>
      <c r="S691" s="19"/>
      <c r="T691" s="12" t="str">
        <f aca="false">IF(R691="維持",J691,IF(R691="排除","無關新聞事件",IFERROR(INDEX(事件規則!$B$2:$B$53,MATCH(S691,事件規則!$A$2:$A$53,0)),"")))</f>
        <v>無關新聞事件</v>
      </c>
      <c r="U691" s="20" t="n">
        <f aca="false">IF(R691="維持",K691,IF(R691="排除",0,IFERROR(INDEX(事件規則!$C$2:$C$53,MATCH(S691,事件規則!$A$2:$A$53,0)),"")))</f>
        <v>0</v>
      </c>
      <c r="V691" s="21"/>
      <c r="W691" s="22"/>
      <c r="X691" s="10" t="str">
        <f aca="false">IF(AND(R691="修改",S691=""),"請選新事件代碼",IF(AND(R691&lt;&gt;"修改",S691&lt;&gt;""),"只有「修改」才需填代碼",""))</f>
        <v/>
      </c>
      <c r="Y691" s="21"/>
      <c r="Z691" s="22"/>
      <c r="AA691" s="23" t="s">
        <v>2208</v>
      </c>
      <c r="AB691" s="13"/>
    </row>
    <row r="692" customFormat="false" ht="15" hidden="false" customHeight="false" outlineLevel="0" collapsed="false">
      <c r="A692" s="16" t="n">
        <v>691</v>
      </c>
      <c r="B692" s="9" t="s">
        <v>45</v>
      </c>
      <c r="C692" s="9" t="s">
        <v>353</v>
      </c>
      <c r="D692" s="10" t="s">
        <v>354</v>
      </c>
      <c r="E692" s="24" t="s">
        <v>2209</v>
      </c>
      <c r="F692" s="12"/>
      <c r="G692" s="23" t="s">
        <v>2210</v>
      </c>
      <c r="H692" s="14" t="n">
        <v>-0.755</v>
      </c>
      <c r="I692" s="15"/>
      <c r="J692" s="12"/>
      <c r="K692" s="9"/>
      <c r="L692" s="16" t="s">
        <v>51</v>
      </c>
      <c r="M692" s="17" t="s">
        <v>52</v>
      </c>
      <c r="N692" s="15" t="s">
        <v>357</v>
      </c>
      <c r="O692" s="16" t="s">
        <v>62</v>
      </c>
      <c r="P692" s="10" t="s">
        <v>1764</v>
      </c>
      <c r="Q692" s="16"/>
      <c r="R692" s="18" t="s">
        <v>52</v>
      </c>
      <c r="S692" s="19" t="s">
        <v>357</v>
      </c>
      <c r="T692" s="12" t="str">
        <f aca="false">IF(R692="維持",J692,IF(R692="排除","無關新聞事件",IFERROR(INDEX(事件規則!$B$2:$B$53,MATCH(S692,事件規則!$A$2:$A$53,0)),"")))</f>
        <v>資料外洩</v>
      </c>
      <c r="U692" s="20" t="n">
        <f aca="false">IF(R692="維持",K692,IF(R692="排除",0,IFERROR(INDEX(事件規則!$C$2:$C$53,MATCH(S692,事件規則!$A$2:$A$53,0)),"")))</f>
        <v>3</v>
      </c>
      <c r="V692" s="21"/>
      <c r="W692" s="22"/>
      <c r="X692" s="10" t="str">
        <f aca="false">IF(AND(R692="修改",S692=""),"請選新事件代碼",IF(AND(R692&lt;&gt;"修改",S692&lt;&gt;""),"只有「修改」才需填代碼",""))</f>
        <v/>
      </c>
      <c r="Y692" s="21"/>
      <c r="Z692" s="22"/>
      <c r="AA692" s="23" t="s">
        <v>2211</v>
      </c>
      <c r="AB692" s="13"/>
    </row>
    <row r="693" customFormat="false" ht="15" hidden="false" customHeight="false" outlineLevel="0" collapsed="false">
      <c r="A693" s="16" t="n">
        <v>692</v>
      </c>
      <c r="B693" s="9" t="s">
        <v>45</v>
      </c>
      <c r="C693" s="9" t="s">
        <v>353</v>
      </c>
      <c r="D693" s="10" t="s">
        <v>354</v>
      </c>
      <c r="E693" s="24" t="s">
        <v>2212</v>
      </c>
      <c r="F693" s="12"/>
      <c r="G693" s="23" t="s">
        <v>1124</v>
      </c>
      <c r="H693" s="14" t="n">
        <v>-0.755</v>
      </c>
      <c r="I693" s="15"/>
      <c r="J693" s="12"/>
      <c r="K693" s="9"/>
      <c r="L693" s="16" t="s">
        <v>51</v>
      </c>
      <c r="M693" s="17" t="s">
        <v>52</v>
      </c>
      <c r="N693" s="15" t="s">
        <v>357</v>
      </c>
      <c r="O693" s="16" t="s">
        <v>62</v>
      </c>
      <c r="P693" s="10" t="s">
        <v>1764</v>
      </c>
      <c r="Q693" s="16"/>
      <c r="R693" s="18" t="s">
        <v>52</v>
      </c>
      <c r="S693" s="19" t="s">
        <v>357</v>
      </c>
      <c r="T693" s="12" t="str">
        <f aca="false">IF(R693="維持",J693,IF(R693="排除","無關新聞事件",IFERROR(INDEX(事件規則!$B$2:$B$53,MATCH(S693,事件規則!$A$2:$A$53,0)),"")))</f>
        <v>資料外洩</v>
      </c>
      <c r="U693" s="20" t="n">
        <f aca="false">IF(R693="維持",K693,IF(R693="排除",0,IFERROR(INDEX(事件規則!$C$2:$C$53,MATCH(S693,事件規則!$A$2:$A$53,0)),"")))</f>
        <v>3</v>
      </c>
      <c r="V693" s="21"/>
      <c r="W693" s="22"/>
      <c r="X693" s="10" t="str">
        <f aca="false">IF(AND(R693="修改",S693=""),"請選新事件代碼",IF(AND(R693&lt;&gt;"修改",S693&lt;&gt;""),"只有「修改」才需填代碼",""))</f>
        <v/>
      </c>
      <c r="Y693" s="21"/>
      <c r="Z693" s="22"/>
      <c r="AA693" s="23" t="s">
        <v>2213</v>
      </c>
      <c r="AB693" s="13"/>
    </row>
    <row r="694" customFormat="false" ht="44" hidden="false" customHeight="false" outlineLevel="0" collapsed="false">
      <c r="A694" s="16" t="n">
        <v>693</v>
      </c>
      <c r="B694" s="9" t="s">
        <v>45</v>
      </c>
      <c r="C694" s="9" t="s">
        <v>1001</v>
      </c>
      <c r="D694" s="10" t="s">
        <v>1002</v>
      </c>
      <c r="E694" s="24" t="s">
        <v>2214</v>
      </c>
      <c r="F694" s="12"/>
      <c r="G694" s="23" t="s">
        <v>1537</v>
      </c>
      <c r="H694" s="14" t="n">
        <v>-0.755</v>
      </c>
      <c r="I694" s="15"/>
      <c r="J694" s="12"/>
      <c r="K694" s="9"/>
      <c r="L694" s="16" t="s">
        <v>51</v>
      </c>
      <c r="M694" s="17" t="s">
        <v>79</v>
      </c>
      <c r="N694" s="15"/>
      <c r="O694" s="16" t="s">
        <v>54</v>
      </c>
      <c r="P694" s="12" t="s">
        <v>1625</v>
      </c>
      <c r="Q694" s="16"/>
      <c r="R694" s="18" t="s">
        <v>79</v>
      </c>
      <c r="S694" s="19"/>
      <c r="T694" s="12" t="str">
        <f aca="false">IF(R694="維持",J694,IF(R694="排除","無關新聞事件",IFERROR(INDEX(事件規則!$B$2:$B$53,MATCH(S694,事件規則!$A$2:$A$53,0)),"")))</f>
        <v>無關新聞事件</v>
      </c>
      <c r="U694" s="20" t="n">
        <f aca="false">IF(R694="維持",K694,IF(R694="排除",0,IFERROR(INDEX(事件規則!$C$2:$C$53,MATCH(S694,事件規則!$A$2:$A$53,0)),"")))</f>
        <v>0</v>
      </c>
      <c r="V694" s="21"/>
      <c r="W694" s="22"/>
      <c r="X694" s="10" t="str">
        <f aca="false">IF(AND(R694="修改",S694=""),"請選新事件代碼",IF(AND(R694&lt;&gt;"修改",S694&lt;&gt;""),"只有「修改」才需填代碼",""))</f>
        <v/>
      </c>
      <c r="Y694" s="21"/>
      <c r="Z694" s="22"/>
      <c r="AA694" s="23" t="s">
        <v>2215</v>
      </c>
      <c r="AB694" s="13"/>
    </row>
    <row r="695" customFormat="false" ht="44" hidden="false" customHeight="false" outlineLevel="0" collapsed="false">
      <c r="A695" s="16" t="n">
        <v>694</v>
      </c>
      <c r="B695" s="9" t="s">
        <v>331</v>
      </c>
      <c r="C695" s="9" t="s">
        <v>2216</v>
      </c>
      <c r="D695" s="10" t="s">
        <v>2217</v>
      </c>
      <c r="E695" s="24" t="s">
        <v>2218</v>
      </c>
      <c r="F695" s="12"/>
      <c r="G695" s="23" t="s">
        <v>335</v>
      </c>
      <c r="H695" s="14" t="n">
        <v>-0.755</v>
      </c>
      <c r="I695" s="15"/>
      <c r="J695" s="12"/>
      <c r="K695" s="9"/>
      <c r="L695" s="16" t="s">
        <v>51</v>
      </c>
      <c r="M695" s="17" t="s">
        <v>79</v>
      </c>
      <c r="N695" s="15"/>
      <c r="O695" s="16" t="s">
        <v>54</v>
      </c>
      <c r="P695" s="12" t="s">
        <v>1625</v>
      </c>
      <c r="Q695" s="16"/>
      <c r="R695" s="18" t="s">
        <v>79</v>
      </c>
      <c r="S695" s="19"/>
      <c r="T695" s="12" t="str">
        <f aca="false">IF(R695="維持",J695,IF(R695="排除","無關新聞事件",IFERROR(INDEX(事件規則!$B$2:$B$53,MATCH(S695,事件規則!$A$2:$A$53,0)),"")))</f>
        <v>無關新聞事件</v>
      </c>
      <c r="U695" s="20" t="n">
        <f aca="false">IF(R695="維持",K695,IF(R695="排除",0,IFERROR(INDEX(事件規則!$C$2:$C$53,MATCH(S695,事件規則!$A$2:$A$53,0)),"")))</f>
        <v>0</v>
      </c>
      <c r="V695" s="21"/>
      <c r="W695" s="22"/>
      <c r="X695" s="10" t="str">
        <f aca="false">IF(AND(R695="修改",S695=""),"請選新事件代碼",IF(AND(R695&lt;&gt;"修改",S695&lt;&gt;""),"只有「修改」才需填代碼",""))</f>
        <v/>
      </c>
      <c r="Y695" s="21"/>
      <c r="Z695" s="22"/>
      <c r="AA695" s="23" t="s">
        <v>2219</v>
      </c>
      <c r="AB695" s="13"/>
    </row>
    <row r="696" customFormat="false" ht="23.85" hidden="false" customHeight="false" outlineLevel="0" collapsed="false">
      <c r="A696" s="16" t="n">
        <v>695</v>
      </c>
      <c r="B696" s="9" t="s">
        <v>331</v>
      </c>
      <c r="C696" s="9" t="s">
        <v>57</v>
      </c>
      <c r="D696" s="10" t="s">
        <v>58</v>
      </c>
      <c r="E696" s="24" t="s">
        <v>2220</v>
      </c>
      <c r="F696" s="12"/>
      <c r="G696" s="23" t="s">
        <v>626</v>
      </c>
      <c r="H696" s="14" t="n">
        <v>-0.752</v>
      </c>
      <c r="I696" s="15"/>
      <c r="J696" s="12"/>
      <c r="K696" s="9"/>
      <c r="L696" s="16" t="s">
        <v>51</v>
      </c>
      <c r="M696" s="17" t="s">
        <v>52</v>
      </c>
      <c r="N696" s="15" t="s">
        <v>746</v>
      </c>
      <c r="O696" s="16" t="s">
        <v>62</v>
      </c>
      <c r="P696" s="12" t="s">
        <v>2221</v>
      </c>
      <c r="Q696" s="16"/>
      <c r="R696" s="18" t="s">
        <v>52</v>
      </c>
      <c r="S696" s="19" t="s">
        <v>746</v>
      </c>
      <c r="T696" s="12" t="str">
        <f aca="false">IF(R696="維持",J696,IF(R696="排除","無關新聞事件",IFERROR(INDEX(事件規則!$B$2:$B$53,MATCH(S696,事件規則!$A$2:$A$53,0)),"")))</f>
        <v>監管裁罰</v>
      </c>
      <c r="U696" s="20" t="n">
        <f aca="false">IF(R696="維持",K696,IF(R696="排除",0,IFERROR(INDEX(事件規則!$C$2:$C$53,MATCH(S696,事件規則!$A$2:$A$53,0)),"")))</f>
        <v>4</v>
      </c>
      <c r="V696" s="21"/>
      <c r="W696" s="22"/>
      <c r="X696" s="10" t="str">
        <f aca="false">IF(AND(R696="修改",S696=""),"請選新事件代碼",IF(AND(R696&lt;&gt;"修改",S696&lt;&gt;""),"只有「修改」才需填代碼",""))</f>
        <v/>
      </c>
      <c r="Y696" s="21"/>
      <c r="Z696" s="22"/>
      <c r="AA696" s="23" t="s">
        <v>2222</v>
      </c>
      <c r="AB696" s="13"/>
    </row>
    <row r="697" customFormat="false" ht="44" hidden="false" customHeight="false" outlineLevel="0" collapsed="false">
      <c r="A697" s="16" t="n">
        <v>696</v>
      </c>
      <c r="B697" s="9" t="s">
        <v>45</v>
      </c>
      <c r="C697" s="9" t="s">
        <v>2159</v>
      </c>
      <c r="D697" s="10" t="s">
        <v>2160</v>
      </c>
      <c r="E697" s="24" t="s">
        <v>2223</v>
      </c>
      <c r="F697" s="12"/>
      <c r="G697" s="23" t="s">
        <v>2224</v>
      </c>
      <c r="H697" s="14" t="n">
        <v>-0.751</v>
      </c>
      <c r="I697" s="15"/>
      <c r="J697" s="12"/>
      <c r="K697" s="9"/>
      <c r="L697" s="16" t="s">
        <v>51</v>
      </c>
      <c r="M697" s="17" t="s">
        <v>79</v>
      </c>
      <c r="N697" s="15"/>
      <c r="O697" s="16" t="s">
        <v>54</v>
      </c>
      <c r="P697" s="12" t="s">
        <v>1625</v>
      </c>
      <c r="Q697" s="16"/>
      <c r="R697" s="18" t="s">
        <v>79</v>
      </c>
      <c r="S697" s="19"/>
      <c r="T697" s="12" t="str">
        <f aca="false">IF(R697="維持",J697,IF(R697="排除","無關新聞事件",IFERROR(INDEX(事件規則!$B$2:$B$53,MATCH(S697,事件規則!$A$2:$A$53,0)),"")))</f>
        <v>無關新聞事件</v>
      </c>
      <c r="U697" s="20" t="n">
        <f aca="false">IF(R697="維持",K697,IF(R697="排除",0,IFERROR(INDEX(事件規則!$C$2:$C$53,MATCH(S697,事件規則!$A$2:$A$53,0)),"")))</f>
        <v>0</v>
      </c>
      <c r="V697" s="21"/>
      <c r="W697" s="22"/>
      <c r="X697" s="10" t="str">
        <f aca="false">IF(AND(R697="修改",S697=""),"請選新事件代碼",IF(AND(R697&lt;&gt;"修改",S697&lt;&gt;""),"只有「修改」才需填代碼",""))</f>
        <v/>
      </c>
      <c r="Y697" s="21"/>
      <c r="Z697" s="22"/>
      <c r="AA697" s="23" t="s">
        <v>2225</v>
      </c>
      <c r="AB697" s="13"/>
    </row>
    <row r="698" customFormat="false" ht="44" hidden="false" customHeight="false" outlineLevel="0" collapsed="false">
      <c r="A698" s="16" t="n">
        <v>697</v>
      </c>
      <c r="B698" s="9" t="s">
        <v>45</v>
      </c>
      <c r="C698" s="9" t="s">
        <v>108</v>
      </c>
      <c r="D698" s="10" t="s">
        <v>109</v>
      </c>
      <c r="E698" s="24" t="s">
        <v>2226</v>
      </c>
      <c r="F698" s="12"/>
      <c r="G698" s="23" t="s">
        <v>152</v>
      </c>
      <c r="H698" s="14" t="n">
        <v>-0.749</v>
      </c>
      <c r="I698" s="15"/>
      <c r="J698" s="12"/>
      <c r="K698" s="9"/>
      <c r="L698" s="16" t="s">
        <v>51</v>
      </c>
      <c r="M698" s="17" t="s">
        <v>79</v>
      </c>
      <c r="N698" s="15"/>
      <c r="O698" s="16" t="s">
        <v>54</v>
      </c>
      <c r="P698" s="12" t="s">
        <v>1625</v>
      </c>
      <c r="Q698" s="16"/>
      <c r="R698" s="18" t="s">
        <v>79</v>
      </c>
      <c r="S698" s="19"/>
      <c r="T698" s="12" t="str">
        <f aca="false">IF(R698="維持",J698,IF(R698="排除","無關新聞事件",IFERROR(INDEX(事件規則!$B$2:$B$53,MATCH(S698,事件規則!$A$2:$A$53,0)),"")))</f>
        <v>無關新聞事件</v>
      </c>
      <c r="U698" s="20" t="n">
        <f aca="false">IF(R698="維持",K698,IF(R698="排除",0,IFERROR(INDEX(事件規則!$C$2:$C$53,MATCH(S698,事件規則!$A$2:$A$53,0)),"")))</f>
        <v>0</v>
      </c>
      <c r="V698" s="21"/>
      <c r="W698" s="22"/>
      <c r="X698" s="10" t="str">
        <f aca="false">IF(AND(R698="修改",S698=""),"請選新事件代碼",IF(AND(R698&lt;&gt;"修改",S698&lt;&gt;""),"只有「修改」才需填代碼",""))</f>
        <v/>
      </c>
      <c r="Y698" s="21"/>
      <c r="Z698" s="22"/>
      <c r="AA698" s="23" t="s">
        <v>2227</v>
      </c>
      <c r="AB698" s="13"/>
    </row>
    <row r="699" customFormat="false" ht="44" hidden="false" customHeight="false" outlineLevel="0" collapsed="false">
      <c r="A699" s="16" t="n">
        <v>698</v>
      </c>
      <c r="B699" s="9" t="s">
        <v>45</v>
      </c>
      <c r="C699" s="9" t="s">
        <v>1325</v>
      </c>
      <c r="D699" s="10" t="s">
        <v>1326</v>
      </c>
      <c r="E699" s="24" t="s">
        <v>2228</v>
      </c>
      <c r="F699" s="12"/>
      <c r="G699" s="23" t="s">
        <v>2229</v>
      </c>
      <c r="H699" s="14" t="n">
        <v>-0.746</v>
      </c>
      <c r="I699" s="15"/>
      <c r="J699" s="12"/>
      <c r="K699" s="9"/>
      <c r="L699" s="16" t="s">
        <v>51</v>
      </c>
      <c r="M699" s="17" t="s">
        <v>79</v>
      </c>
      <c r="N699" s="15"/>
      <c r="O699" s="16" t="s">
        <v>54</v>
      </c>
      <c r="P699" s="12" t="s">
        <v>1625</v>
      </c>
      <c r="Q699" s="16"/>
      <c r="R699" s="18" t="s">
        <v>79</v>
      </c>
      <c r="S699" s="19"/>
      <c r="T699" s="12" t="str">
        <f aca="false">IF(R699="維持",J699,IF(R699="排除","無關新聞事件",IFERROR(INDEX(事件規則!$B$2:$B$53,MATCH(S699,事件規則!$A$2:$A$53,0)),"")))</f>
        <v>無關新聞事件</v>
      </c>
      <c r="U699" s="20" t="n">
        <f aca="false">IF(R699="維持",K699,IF(R699="排除",0,IFERROR(INDEX(事件規則!$C$2:$C$53,MATCH(S699,事件規則!$A$2:$A$53,0)),"")))</f>
        <v>0</v>
      </c>
      <c r="V699" s="21"/>
      <c r="W699" s="22"/>
      <c r="X699" s="10" t="str">
        <f aca="false">IF(AND(R699="修改",S699=""),"請選新事件代碼",IF(AND(R699&lt;&gt;"修改",S699&lt;&gt;""),"只有「修改」才需填代碼",""))</f>
        <v/>
      </c>
      <c r="Y699" s="21"/>
      <c r="Z699" s="22"/>
      <c r="AA699" s="23" t="s">
        <v>2230</v>
      </c>
      <c r="AB699" s="13"/>
    </row>
    <row r="700" customFormat="false" ht="44" hidden="false" customHeight="false" outlineLevel="0" collapsed="false">
      <c r="A700" s="16" t="n">
        <v>699</v>
      </c>
      <c r="B700" s="9" t="s">
        <v>45</v>
      </c>
      <c r="C700" s="16"/>
      <c r="D700" s="10" t="s">
        <v>570</v>
      </c>
      <c r="E700" s="11" t="s">
        <v>2231</v>
      </c>
      <c r="F700" s="12" t="s">
        <v>2232</v>
      </c>
      <c r="G700" s="23" t="s">
        <v>152</v>
      </c>
      <c r="H700" s="14" t="n">
        <v>-0.745</v>
      </c>
      <c r="I700" s="15"/>
      <c r="J700" s="12"/>
      <c r="K700" s="9"/>
      <c r="L700" s="16" t="s">
        <v>51</v>
      </c>
      <c r="M700" s="17" t="s">
        <v>79</v>
      </c>
      <c r="N700" s="15"/>
      <c r="O700" s="16" t="s">
        <v>54</v>
      </c>
      <c r="P700" s="12" t="s">
        <v>1625</v>
      </c>
      <c r="Q700" s="16"/>
      <c r="R700" s="18" t="s">
        <v>79</v>
      </c>
      <c r="S700" s="19"/>
      <c r="T700" s="12" t="str">
        <f aca="false">IF(R700="維持",J700,IF(R700="排除","無關新聞事件",IFERROR(INDEX(事件規則!$B$2:$B$53,MATCH(S700,事件規則!$A$2:$A$53,0)),"")))</f>
        <v>無關新聞事件</v>
      </c>
      <c r="U700" s="20" t="n">
        <f aca="false">IF(R700="維持",K700,IF(R700="排除",0,IFERROR(INDEX(事件規則!$C$2:$C$53,MATCH(S700,事件規則!$A$2:$A$53,0)),"")))</f>
        <v>0</v>
      </c>
      <c r="V700" s="21"/>
      <c r="W700" s="22"/>
      <c r="X700" s="10" t="str">
        <f aca="false">IF(AND(R700="修改",S700=""),"請選新事件代碼",IF(AND(R700&lt;&gt;"修改",S700&lt;&gt;""),"只有「修改」才需填代碼",""))</f>
        <v/>
      </c>
      <c r="Y700" s="21"/>
      <c r="Z700" s="22"/>
      <c r="AA700" s="23" t="s">
        <v>2233</v>
      </c>
      <c r="AB700" s="13"/>
    </row>
    <row r="701" customFormat="false" ht="44" hidden="false" customHeight="false" outlineLevel="0" collapsed="false">
      <c r="A701" s="16" t="n">
        <v>700</v>
      </c>
      <c r="B701" s="9" t="s">
        <v>65</v>
      </c>
      <c r="C701" s="9" t="s">
        <v>99</v>
      </c>
      <c r="D701" s="10" t="s">
        <v>100</v>
      </c>
      <c r="E701" s="24" t="s">
        <v>2234</v>
      </c>
      <c r="F701" s="12"/>
      <c r="G701" s="23" t="s">
        <v>2235</v>
      </c>
      <c r="H701" s="14" t="n">
        <v>-0.744</v>
      </c>
      <c r="I701" s="15"/>
      <c r="J701" s="12"/>
      <c r="K701" s="9"/>
      <c r="L701" s="16" t="s">
        <v>51</v>
      </c>
      <c r="M701" s="17" t="s">
        <v>79</v>
      </c>
      <c r="N701" s="15"/>
      <c r="O701" s="16" t="s">
        <v>54</v>
      </c>
      <c r="P701" s="12" t="s">
        <v>1625</v>
      </c>
      <c r="Q701" s="16"/>
      <c r="R701" s="18" t="s">
        <v>79</v>
      </c>
      <c r="S701" s="19"/>
      <c r="T701" s="12" t="str">
        <f aca="false">IF(R701="維持",J701,IF(R701="排除","無關新聞事件",IFERROR(INDEX(事件規則!$B$2:$B$53,MATCH(S701,事件規則!$A$2:$A$53,0)),"")))</f>
        <v>無關新聞事件</v>
      </c>
      <c r="U701" s="20" t="n">
        <f aca="false">IF(R701="維持",K701,IF(R701="排除",0,IFERROR(INDEX(事件規則!$C$2:$C$53,MATCH(S701,事件規則!$A$2:$A$53,0)),"")))</f>
        <v>0</v>
      </c>
      <c r="V701" s="21"/>
      <c r="W701" s="22"/>
      <c r="X701" s="10" t="str">
        <f aca="false">IF(AND(R701="修改",S701=""),"請選新事件代碼",IF(AND(R701&lt;&gt;"修改",S701&lt;&gt;""),"只有「修改」才需填代碼",""))</f>
        <v/>
      </c>
      <c r="Y701" s="21"/>
      <c r="Z701" s="22"/>
      <c r="AA701" s="23" t="s">
        <v>2236</v>
      </c>
      <c r="AB701" s="13"/>
    </row>
    <row r="702" customFormat="false" ht="44" hidden="false" customHeight="false" outlineLevel="0" collapsed="false">
      <c r="A702" s="16" t="n">
        <v>701</v>
      </c>
      <c r="B702" s="9" t="s">
        <v>45</v>
      </c>
      <c r="C702" s="9" t="s">
        <v>1898</v>
      </c>
      <c r="D702" s="10" t="s">
        <v>1899</v>
      </c>
      <c r="E702" s="24" t="s">
        <v>2237</v>
      </c>
      <c r="F702" s="12"/>
      <c r="G702" s="23" t="s">
        <v>317</v>
      </c>
      <c r="H702" s="14" t="n">
        <v>-0.742</v>
      </c>
      <c r="I702" s="15"/>
      <c r="J702" s="12"/>
      <c r="K702" s="9"/>
      <c r="L702" s="16" t="s">
        <v>51</v>
      </c>
      <c r="M702" s="17" t="s">
        <v>79</v>
      </c>
      <c r="N702" s="15"/>
      <c r="O702" s="16" t="s">
        <v>54</v>
      </c>
      <c r="P702" s="12" t="s">
        <v>1625</v>
      </c>
      <c r="Q702" s="16"/>
      <c r="R702" s="18" t="s">
        <v>79</v>
      </c>
      <c r="S702" s="19"/>
      <c r="T702" s="12" t="str">
        <f aca="false">IF(R702="維持",J702,IF(R702="排除","無關新聞事件",IFERROR(INDEX(事件規則!$B$2:$B$53,MATCH(S702,事件規則!$A$2:$A$53,0)),"")))</f>
        <v>無關新聞事件</v>
      </c>
      <c r="U702" s="20" t="n">
        <f aca="false">IF(R702="維持",K702,IF(R702="排除",0,IFERROR(INDEX(事件規則!$C$2:$C$53,MATCH(S702,事件規則!$A$2:$A$53,0)),"")))</f>
        <v>0</v>
      </c>
      <c r="V702" s="21"/>
      <c r="W702" s="22"/>
      <c r="X702" s="10" t="str">
        <f aca="false">IF(AND(R702="修改",S702=""),"請選新事件代碼",IF(AND(R702&lt;&gt;"修改",S702&lt;&gt;""),"只有「修改」才需填代碼",""))</f>
        <v/>
      </c>
      <c r="Y702" s="21"/>
      <c r="Z702" s="22"/>
      <c r="AA702" s="23" t="s">
        <v>2238</v>
      </c>
      <c r="AB702" s="13"/>
    </row>
    <row r="703" customFormat="false" ht="44" hidden="false" customHeight="false" outlineLevel="0" collapsed="false">
      <c r="A703" s="16" t="n">
        <v>702</v>
      </c>
      <c r="B703" s="9" t="s">
        <v>65</v>
      </c>
      <c r="C703" s="9" t="s">
        <v>564</v>
      </c>
      <c r="D703" s="10" t="s">
        <v>565</v>
      </c>
      <c r="E703" s="24" t="s">
        <v>2239</v>
      </c>
      <c r="F703" s="12"/>
      <c r="G703" s="23" t="s">
        <v>2240</v>
      </c>
      <c r="H703" s="14" t="n">
        <v>-0.741</v>
      </c>
      <c r="I703" s="15"/>
      <c r="J703" s="12"/>
      <c r="K703" s="9"/>
      <c r="L703" s="16" t="s">
        <v>51</v>
      </c>
      <c r="M703" s="17" t="s">
        <v>79</v>
      </c>
      <c r="N703" s="15"/>
      <c r="O703" s="16" t="s">
        <v>54</v>
      </c>
      <c r="P703" s="12" t="s">
        <v>1625</v>
      </c>
      <c r="Q703" s="16"/>
      <c r="R703" s="18" t="s">
        <v>79</v>
      </c>
      <c r="S703" s="19"/>
      <c r="T703" s="12" t="str">
        <f aca="false">IF(R703="維持",J703,IF(R703="排除","無關新聞事件",IFERROR(INDEX(事件規則!$B$2:$B$53,MATCH(S703,事件規則!$A$2:$A$53,0)),"")))</f>
        <v>無關新聞事件</v>
      </c>
      <c r="U703" s="20" t="n">
        <f aca="false">IF(R703="維持",K703,IF(R703="排除",0,IFERROR(INDEX(事件規則!$C$2:$C$53,MATCH(S703,事件規則!$A$2:$A$53,0)),"")))</f>
        <v>0</v>
      </c>
      <c r="V703" s="21"/>
      <c r="W703" s="22"/>
      <c r="X703" s="10" t="str">
        <f aca="false">IF(AND(R703="修改",S703=""),"請選新事件代碼",IF(AND(R703&lt;&gt;"修改",S703&lt;&gt;""),"只有「修改」才需填代碼",""))</f>
        <v/>
      </c>
      <c r="Y703" s="21"/>
      <c r="Z703" s="22"/>
      <c r="AA703" s="23" t="s">
        <v>2241</v>
      </c>
      <c r="AB703" s="13"/>
    </row>
    <row r="704" customFormat="false" ht="44" hidden="false" customHeight="false" outlineLevel="0" collapsed="false">
      <c r="A704" s="16" t="n">
        <v>703</v>
      </c>
      <c r="B704" s="9" t="s">
        <v>65</v>
      </c>
      <c r="C704" s="9" t="s">
        <v>2242</v>
      </c>
      <c r="D704" s="10" t="s">
        <v>2243</v>
      </c>
      <c r="E704" s="24" t="s">
        <v>2244</v>
      </c>
      <c r="F704" s="12"/>
      <c r="G704" s="23" t="s">
        <v>83</v>
      </c>
      <c r="H704" s="14" t="n">
        <v>-0.741</v>
      </c>
      <c r="I704" s="15"/>
      <c r="J704" s="12"/>
      <c r="K704" s="9"/>
      <c r="L704" s="16" t="s">
        <v>51</v>
      </c>
      <c r="M704" s="17" t="s">
        <v>79</v>
      </c>
      <c r="N704" s="15"/>
      <c r="O704" s="16" t="s">
        <v>54</v>
      </c>
      <c r="P704" s="12" t="s">
        <v>1625</v>
      </c>
      <c r="Q704" s="16"/>
      <c r="R704" s="18" t="s">
        <v>79</v>
      </c>
      <c r="S704" s="19"/>
      <c r="T704" s="12" t="str">
        <f aca="false">IF(R704="維持",J704,IF(R704="排除","無關新聞事件",IFERROR(INDEX(事件規則!$B$2:$B$53,MATCH(S704,事件規則!$A$2:$A$53,0)),"")))</f>
        <v>無關新聞事件</v>
      </c>
      <c r="U704" s="20" t="n">
        <f aca="false">IF(R704="維持",K704,IF(R704="排除",0,IFERROR(INDEX(事件規則!$C$2:$C$53,MATCH(S704,事件規則!$A$2:$A$53,0)),"")))</f>
        <v>0</v>
      </c>
      <c r="V704" s="21"/>
      <c r="W704" s="22"/>
      <c r="X704" s="10" t="str">
        <f aca="false">IF(AND(R704="修改",S704=""),"請選新事件代碼",IF(AND(R704&lt;&gt;"修改",S704&lt;&gt;""),"只有「修改」才需填代碼",""))</f>
        <v/>
      </c>
      <c r="Y704" s="21"/>
      <c r="Z704" s="22"/>
      <c r="AA704" s="23" t="s">
        <v>2245</v>
      </c>
      <c r="AB704" s="13"/>
    </row>
    <row r="705" customFormat="false" ht="44" hidden="false" customHeight="false" outlineLevel="0" collapsed="false">
      <c r="A705" s="16" t="n">
        <v>704</v>
      </c>
      <c r="B705" s="9" t="s">
        <v>331</v>
      </c>
      <c r="C705" s="9" t="s">
        <v>645</v>
      </c>
      <c r="D705" s="10" t="s">
        <v>646</v>
      </c>
      <c r="E705" s="24" t="s">
        <v>2246</v>
      </c>
      <c r="F705" s="12"/>
      <c r="G705" s="23" t="s">
        <v>2247</v>
      </c>
      <c r="H705" s="14" t="n">
        <v>-0.739</v>
      </c>
      <c r="I705" s="15"/>
      <c r="J705" s="12"/>
      <c r="K705" s="9"/>
      <c r="L705" s="16" t="s">
        <v>51</v>
      </c>
      <c r="M705" s="17" t="s">
        <v>79</v>
      </c>
      <c r="N705" s="15"/>
      <c r="O705" s="16" t="s">
        <v>54</v>
      </c>
      <c r="P705" s="12" t="s">
        <v>1625</v>
      </c>
      <c r="Q705" s="16"/>
      <c r="R705" s="18" t="s">
        <v>79</v>
      </c>
      <c r="S705" s="19"/>
      <c r="T705" s="12" t="str">
        <f aca="false">IF(R705="維持",J705,IF(R705="排除","無關新聞事件",IFERROR(INDEX(事件規則!$B$2:$B$53,MATCH(S705,事件規則!$A$2:$A$53,0)),"")))</f>
        <v>無關新聞事件</v>
      </c>
      <c r="U705" s="20" t="n">
        <f aca="false">IF(R705="維持",K705,IF(R705="排除",0,IFERROR(INDEX(事件規則!$C$2:$C$53,MATCH(S705,事件規則!$A$2:$A$53,0)),"")))</f>
        <v>0</v>
      </c>
      <c r="V705" s="21"/>
      <c r="W705" s="22"/>
      <c r="X705" s="10" t="str">
        <f aca="false">IF(AND(R705="修改",S705=""),"請選新事件代碼",IF(AND(R705&lt;&gt;"修改",S705&lt;&gt;""),"只有「修改」才需填代碼",""))</f>
        <v/>
      </c>
      <c r="Y705" s="21"/>
      <c r="Z705" s="22"/>
      <c r="AA705" s="23" t="s">
        <v>2248</v>
      </c>
      <c r="AB705" s="13"/>
    </row>
    <row r="706" customFormat="false" ht="44" hidden="false" customHeight="false" outlineLevel="0" collapsed="false">
      <c r="A706" s="16" t="n">
        <v>705</v>
      </c>
      <c r="B706" s="9" t="s">
        <v>65</v>
      </c>
      <c r="C706" s="9" t="s">
        <v>240</v>
      </c>
      <c r="D706" s="10" t="s">
        <v>241</v>
      </c>
      <c r="E706" s="24" t="s">
        <v>2249</v>
      </c>
      <c r="F706" s="12"/>
      <c r="G706" s="23" t="s">
        <v>2250</v>
      </c>
      <c r="H706" s="14" t="n">
        <v>-0.738</v>
      </c>
      <c r="I706" s="15"/>
      <c r="J706" s="12"/>
      <c r="K706" s="9"/>
      <c r="L706" s="16" t="s">
        <v>51</v>
      </c>
      <c r="M706" s="17" t="s">
        <v>79</v>
      </c>
      <c r="N706" s="15"/>
      <c r="O706" s="16" t="s">
        <v>54</v>
      </c>
      <c r="P706" s="12" t="s">
        <v>1625</v>
      </c>
      <c r="Q706" s="16"/>
      <c r="R706" s="18" t="s">
        <v>79</v>
      </c>
      <c r="S706" s="19"/>
      <c r="T706" s="12" t="str">
        <f aca="false">IF(R706="維持",J706,IF(R706="排除","無關新聞事件",IFERROR(INDEX(事件規則!$B$2:$B$53,MATCH(S706,事件規則!$A$2:$A$53,0)),"")))</f>
        <v>無關新聞事件</v>
      </c>
      <c r="U706" s="20" t="n">
        <f aca="false">IF(R706="維持",K706,IF(R706="排除",0,IFERROR(INDEX(事件規則!$C$2:$C$53,MATCH(S706,事件規則!$A$2:$A$53,0)),"")))</f>
        <v>0</v>
      </c>
      <c r="V706" s="21"/>
      <c r="W706" s="22"/>
      <c r="X706" s="10" t="str">
        <f aca="false">IF(AND(R706="修改",S706=""),"請選新事件代碼",IF(AND(R706&lt;&gt;"修改",S706&lt;&gt;""),"只有「修改」才需填代碼",""))</f>
        <v/>
      </c>
      <c r="Y706" s="21"/>
      <c r="Z706" s="22"/>
      <c r="AA706" s="23" t="s">
        <v>2251</v>
      </c>
      <c r="AB706" s="13"/>
    </row>
    <row r="707" customFormat="false" ht="44" hidden="false" customHeight="false" outlineLevel="0" collapsed="false">
      <c r="A707" s="16" t="n">
        <v>706</v>
      </c>
      <c r="B707" s="9" t="s">
        <v>45</v>
      </c>
      <c r="C707" s="9" t="s">
        <v>1926</v>
      </c>
      <c r="D707" s="10" t="s">
        <v>1927</v>
      </c>
      <c r="E707" s="24" t="s">
        <v>2252</v>
      </c>
      <c r="F707" s="12"/>
      <c r="G707" s="23" t="s">
        <v>224</v>
      </c>
      <c r="H707" s="14" t="n">
        <v>-0.738</v>
      </c>
      <c r="I707" s="15"/>
      <c r="J707" s="12"/>
      <c r="K707" s="9"/>
      <c r="L707" s="16" t="s">
        <v>51</v>
      </c>
      <c r="M707" s="17" t="s">
        <v>79</v>
      </c>
      <c r="N707" s="15"/>
      <c r="O707" s="16" t="s">
        <v>54</v>
      </c>
      <c r="P707" s="12" t="s">
        <v>1625</v>
      </c>
      <c r="Q707" s="16"/>
      <c r="R707" s="18" t="s">
        <v>79</v>
      </c>
      <c r="S707" s="19"/>
      <c r="T707" s="12" t="str">
        <f aca="false">IF(R707="維持",J707,IF(R707="排除","無關新聞事件",IFERROR(INDEX(事件規則!$B$2:$B$53,MATCH(S707,事件規則!$A$2:$A$53,0)),"")))</f>
        <v>無關新聞事件</v>
      </c>
      <c r="U707" s="20" t="n">
        <f aca="false">IF(R707="維持",K707,IF(R707="排除",0,IFERROR(INDEX(事件規則!$C$2:$C$53,MATCH(S707,事件規則!$A$2:$A$53,0)),"")))</f>
        <v>0</v>
      </c>
      <c r="V707" s="21"/>
      <c r="W707" s="22"/>
      <c r="X707" s="10" t="str">
        <f aca="false">IF(AND(R707="修改",S707=""),"請選新事件代碼",IF(AND(R707&lt;&gt;"修改",S707&lt;&gt;""),"只有「修改」才需填代碼",""))</f>
        <v/>
      </c>
      <c r="Y707" s="21"/>
      <c r="Z707" s="22"/>
      <c r="AA707" s="23" t="s">
        <v>2253</v>
      </c>
      <c r="AB707" s="13"/>
    </row>
    <row r="708" customFormat="false" ht="44" hidden="false" customHeight="false" outlineLevel="0" collapsed="false">
      <c r="A708" s="16" t="n">
        <v>707</v>
      </c>
      <c r="B708" s="9" t="s">
        <v>65</v>
      </c>
      <c r="C708" s="9" t="s">
        <v>108</v>
      </c>
      <c r="D708" s="10" t="s">
        <v>109</v>
      </c>
      <c r="E708" s="24" t="s">
        <v>2254</v>
      </c>
      <c r="F708" s="12"/>
      <c r="G708" s="23" t="s">
        <v>152</v>
      </c>
      <c r="H708" s="14" t="n">
        <v>-0.738</v>
      </c>
      <c r="I708" s="15"/>
      <c r="J708" s="12"/>
      <c r="K708" s="9"/>
      <c r="L708" s="16" t="s">
        <v>51</v>
      </c>
      <c r="M708" s="17" t="s">
        <v>79</v>
      </c>
      <c r="N708" s="15"/>
      <c r="O708" s="16" t="s">
        <v>54</v>
      </c>
      <c r="P708" s="12" t="s">
        <v>1625</v>
      </c>
      <c r="Q708" s="16"/>
      <c r="R708" s="18" t="s">
        <v>79</v>
      </c>
      <c r="S708" s="19"/>
      <c r="T708" s="12" t="str">
        <f aca="false">IF(R708="維持",J708,IF(R708="排除","無關新聞事件",IFERROR(INDEX(事件規則!$B$2:$B$53,MATCH(S708,事件規則!$A$2:$A$53,0)),"")))</f>
        <v>無關新聞事件</v>
      </c>
      <c r="U708" s="20" t="n">
        <f aca="false">IF(R708="維持",K708,IF(R708="排除",0,IFERROR(INDEX(事件規則!$C$2:$C$53,MATCH(S708,事件規則!$A$2:$A$53,0)),"")))</f>
        <v>0</v>
      </c>
      <c r="V708" s="21"/>
      <c r="W708" s="22"/>
      <c r="X708" s="10" t="str">
        <f aca="false">IF(AND(R708="修改",S708=""),"請選新事件代碼",IF(AND(R708&lt;&gt;"修改",S708&lt;&gt;""),"只有「修改」才需填代碼",""))</f>
        <v/>
      </c>
      <c r="Y708" s="21"/>
      <c r="Z708" s="22"/>
      <c r="AA708" s="23" t="s">
        <v>2255</v>
      </c>
      <c r="AB708" s="13"/>
    </row>
    <row r="709" customFormat="false" ht="44" hidden="false" customHeight="false" outlineLevel="0" collapsed="false">
      <c r="A709" s="16" t="n">
        <v>708</v>
      </c>
      <c r="B709" s="9" t="s">
        <v>386</v>
      </c>
      <c r="C709" s="9" t="s">
        <v>2256</v>
      </c>
      <c r="D709" s="10" t="s">
        <v>2148</v>
      </c>
      <c r="E709" s="24" t="s">
        <v>2257</v>
      </c>
      <c r="F709" s="12"/>
      <c r="G709" s="23" t="s">
        <v>784</v>
      </c>
      <c r="H709" s="14" t="n">
        <v>-0.736</v>
      </c>
      <c r="I709" s="15"/>
      <c r="J709" s="12"/>
      <c r="K709" s="9"/>
      <c r="L709" s="16" t="s">
        <v>51</v>
      </c>
      <c r="M709" s="17" t="s">
        <v>79</v>
      </c>
      <c r="N709" s="15"/>
      <c r="O709" s="16" t="s">
        <v>54</v>
      </c>
      <c r="P709" s="12" t="s">
        <v>1625</v>
      </c>
      <c r="Q709" s="16"/>
      <c r="R709" s="18" t="s">
        <v>79</v>
      </c>
      <c r="S709" s="19"/>
      <c r="T709" s="12" t="str">
        <f aca="false">IF(R709="維持",J709,IF(R709="排除","無關新聞事件",IFERROR(INDEX(事件規則!$B$2:$B$53,MATCH(S709,事件規則!$A$2:$A$53,0)),"")))</f>
        <v>無關新聞事件</v>
      </c>
      <c r="U709" s="20" t="n">
        <f aca="false">IF(R709="維持",K709,IF(R709="排除",0,IFERROR(INDEX(事件規則!$C$2:$C$53,MATCH(S709,事件規則!$A$2:$A$53,0)),"")))</f>
        <v>0</v>
      </c>
      <c r="V709" s="21"/>
      <c r="W709" s="22"/>
      <c r="X709" s="10" t="str">
        <f aca="false">IF(AND(R709="修改",S709=""),"請選新事件代碼",IF(AND(R709&lt;&gt;"修改",S709&lt;&gt;""),"只有「修改」才需填代碼",""))</f>
        <v/>
      </c>
      <c r="Y709" s="21"/>
      <c r="Z709" s="22"/>
      <c r="AA709" s="23" t="s">
        <v>2258</v>
      </c>
      <c r="AB709" s="13"/>
    </row>
    <row r="710" customFormat="false" ht="44" hidden="false" customHeight="false" outlineLevel="0" collapsed="false">
      <c r="A710" s="16" t="n">
        <v>709</v>
      </c>
      <c r="B710" s="9" t="s">
        <v>331</v>
      </c>
      <c r="C710" s="9" t="s">
        <v>594</v>
      </c>
      <c r="D710" s="10" t="s">
        <v>595</v>
      </c>
      <c r="E710" s="24" t="s">
        <v>2259</v>
      </c>
      <c r="F710" s="12"/>
      <c r="G710" s="23" t="s">
        <v>2260</v>
      </c>
      <c r="H710" s="14" t="n">
        <v>-0.736</v>
      </c>
      <c r="I710" s="15"/>
      <c r="J710" s="12"/>
      <c r="K710" s="9"/>
      <c r="L710" s="16" t="s">
        <v>51</v>
      </c>
      <c r="M710" s="17" t="s">
        <v>79</v>
      </c>
      <c r="N710" s="15"/>
      <c r="O710" s="16" t="s">
        <v>54</v>
      </c>
      <c r="P710" s="12" t="s">
        <v>1625</v>
      </c>
      <c r="Q710" s="16"/>
      <c r="R710" s="18" t="s">
        <v>79</v>
      </c>
      <c r="S710" s="19"/>
      <c r="T710" s="12" t="str">
        <f aca="false">IF(R710="維持",J710,IF(R710="排除","無關新聞事件",IFERROR(INDEX(事件規則!$B$2:$B$53,MATCH(S710,事件規則!$A$2:$A$53,0)),"")))</f>
        <v>無關新聞事件</v>
      </c>
      <c r="U710" s="20" t="n">
        <f aca="false">IF(R710="維持",K710,IF(R710="排除",0,IFERROR(INDEX(事件規則!$C$2:$C$53,MATCH(S710,事件規則!$A$2:$A$53,0)),"")))</f>
        <v>0</v>
      </c>
      <c r="V710" s="21"/>
      <c r="W710" s="22"/>
      <c r="X710" s="10" t="str">
        <f aca="false">IF(AND(R710="修改",S710=""),"請選新事件代碼",IF(AND(R710&lt;&gt;"修改",S710&lt;&gt;""),"只有「修改」才需填代碼",""))</f>
        <v/>
      </c>
      <c r="Y710" s="21"/>
      <c r="Z710" s="22"/>
      <c r="AA710" s="23" t="s">
        <v>2261</v>
      </c>
      <c r="AB710" s="13"/>
    </row>
    <row r="711" customFormat="false" ht="44" hidden="false" customHeight="false" outlineLevel="0" collapsed="false">
      <c r="A711" s="16" t="n">
        <v>710</v>
      </c>
      <c r="B711" s="9" t="s">
        <v>65</v>
      </c>
      <c r="C711" s="9" t="s">
        <v>2262</v>
      </c>
      <c r="D711" s="10" t="s">
        <v>2263</v>
      </c>
      <c r="E711" s="24" t="s">
        <v>2264</v>
      </c>
      <c r="F711" s="12"/>
      <c r="G711" s="23" t="s">
        <v>335</v>
      </c>
      <c r="H711" s="14" t="n">
        <v>-0.735</v>
      </c>
      <c r="I711" s="15"/>
      <c r="J711" s="12"/>
      <c r="K711" s="9"/>
      <c r="L711" s="16" t="s">
        <v>51</v>
      </c>
      <c r="M711" s="17" t="s">
        <v>79</v>
      </c>
      <c r="N711" s="15"/>
      <c r="O711" s="16" t="s">
        <v>54</v>
      </c>
      <c r="P711" s="12" t="s">
        <v>1625</v>
      </c>
      <c r="Q711" s="16"/>
      <c r="R711" s="18" t="s">
        <v>79</v>
      </c>
      <c r="S711" s="19"/>
      <c r="T711" s="12" t="str">
        <f aca="false">IF(R711="維持",J711,IF(R711="排除","無關新聞事件",IFERROR(INDEX(事件規則!$B$2:$B$53,MATCH(S711,事件規則!$A$2:$A$53,0)),"")))</f>
        <v>無關新聞事件</v>
      </c>
      <c r="U711" s="20" t="n">
        <f aca="false">IF(R711="維持",K711,IF(R711="排除",0,IFERROR(INDEX(事件規則!$C$2:$C$53,MATCH(S711,事件規則!$A$2:$A$53,0)),"")))</f>
        <v>0</v>
      </c>
      <c r="V711" s="21"/>
      <c r="W711" s="22"/>
      <c r="X711" s="10" t="str">
        <f aca="false">IF(AND(R711="修改",S711=""),"請選新事件代碼",IF(AND(R711&lt;&gt;"修改",S711&lt;&gt;""),"只有「修改」才需填代碼",""))</f>
        <v/>
      </c>
      <c r="Y711" s="21"/>
      <c r="Z711" s="22"/>
      <c r="AA711" s="23" t="s">
        <v>2265</v>
      </c>
      <c r="AB711" s="13"/>
    </row>
    <row r="712" customFormat="false" ht="44" hidden="false" customHeight="false" outlineLevel="0" collapsed="false">
      <c r="A712" s="16" t="n">
        <v>711</v>
      </c>
      <c r="B712" s="9" t="s">
        <v>331</v>
      </c>
      <c r="C712" s="9" t="s">
        <v>93</v>
      </c>
      <c r="D712" s="10" t="s">
        <v>94</v>
      </c>
      <c r="E712" s="24" t="s">
        <v>2266</v>
      </c>
      <c r="F712" s="12"/>
      <c r="G712" s="23" t="s">
        <v>224</v>
      </c>
      <c r="H712" s="14" t="n">
        <v>-0.734</v>
      </c>
      <c r="I712" s="15"/>
      <c r="J712" s="12"/>
      <c r="K712" s="9"/>
      <c r="L712" s="16" t="s">
        <v>51</v>
      </c>
      <c r="M712" s="17" t="s">
        <v>79</v>
      </c>
      <c r="N712" s="15"/>
      <c r="O712" s="16" t="s">
        <v>54</v>
      </c>
      <c r="P712" s="12" t="s">
        <v>2267</v>
      </c>
      <c r="Q712" s="16"/>
      <c r="R712" s="18" t="s">
        <v>79</v>
      </c>
      <c r="S712" s="19"/>
      <c r="T712" s="12" t="str">
        <f aca="false">IF(R712="維持",J712,IF(R712="排除","無關新聞事件",IFERROR(INDEX(事件規則!$B$2:$B$53,MATCH(S712,事件規則!$A$2:$A$53,0)),"")))</f>
        <v>無關新聞事件</v>
      </c>
      <c r="U712" s="20" t="n">
        <f aca="false">IF(R712="維持",K712,IF(R712="排除",0,IFERROR(INDEX(事件規則!$C$2:$C$53,MATCH(S712,事件規則!$A$2:$A$53,0)),"")))</f>
        <v>0</v>
      </c>
      <c r="V712" s="21"/>
      <c r="W712" s="22"/>
      <c r="X712" s="10" t="str">
        <f aca="false">IF(AND(R712="修改",S712=""),"請選新事件代碼",IF(AND(R712&lt;&gt;"修改",S712&lt;&gt;""),"只有「修改」才需填代碼",""))</f>
        <v/>
      </c>
      <c r="Y712" s="21"/>
      <c r="Z712" s="22"/>
      <c r="AA712" s="23" t="s">
        <v>2268</v>
      </c>
      <c r="AB712" s="13"/>
    </row>
    <row r="713" customFormat="false" ht="44" hidden="false" customHeight="false" outlineLevel="0" collapsed="false">
      <c r="A713" s="16" t="n">
        <v>712</v>
      </c>
      <c r="B713" s="9" t="s">
        <v>45</v>
      </c>
      <c r="C713" s="9" t="s">
        <v>739</v>
      </c>
      <c r="D713" s="10" t="s">
        <v>740</v>
      </c>
      <c r="E713" s="24" t="s">
        <v>2269</v>
      </c>
      <c r="F713" s="12"/>
      <c r="G713" s="23" t="s">
        <v>2270</v>
      </c>
      <c r="H713" s="14" t="n">
        <v>-0.734</v>
      </c>
      <c r="I713" s="15"/>
      <c r="J713" s="12"/>
      <c r="K713" s="9"/>
      <c r="L713" s="16" t="s">
        <v>51</v>
      </c>
      <c r="M713" s="17" t="s">
        <v>79</v>
      </c>
      <c r="N713" s="15"/>
      <c r="O713" s="16" t="s">
        <v>54</v>
      </c>
      <c r="P713" s="12" t="s">
        <v>2267</v>
      </c>
      <c r="Q713" s="16"/>
      <c r="R713" s="18" t="s">
        <v>79</v>
      </c>
      <c r="S713" s="19"/>
      <c r="T713" s="12" t="str">
        <f aca="false">IF(R713="維持",J713,IF(R713="排除","無關新聞事件",IFERROR(INDEX(事件規則!$B$2:$B$53,MATCH(S713,事件規則!$A$2:$A$53,0)),"")))</f>
        <v>無關新聞事件</v>
      </c>
      <c r="U713" s="20" t="n">
        <f aca="false">IF(R713="維持",K713,IF(R713="排除",0,IFERROR(INDEX(事件規則!$C$2:$C$53,MATCH(S713,事件規則!$A$2:$A$53,0)),"")))</f>
        <v>0</v>
      </c>
      <c r="V713" s="21"/>
      <c r="W713" s="22"/>
      <c r="X713" s="10" t="str">
        <f aca="false">IF(AND(R713="修改",S713=""),"請選新事件代碼",IF(AND(R713&lt;&gt;"修改",S713&lt;&gt;""),"只有「修改」才需填代碼",""))</f>
        <v/>
      </c>
      <c r="Y713" s="21"/>
      <c r="Z713" s="22"/>
      <c r="AA713" s="23" t="s">
        <v>2271</v>
      </c>
      <c r="AB713" s="13"/>
    </row>
    <row r="714" customFormat="false" ht="44" hidden="false" customHeight="false" outlineLevel="0" collapsed="false">
      <c r="A714" s="16" t="n">
        <v>713</v>
      </c>
      <c r="B714" s="9" t="s">
        <v>386</v>
      </c>
      <c r="C714" s="9" t="s">
        <v>826</v>
      </c>
      <c r="D714" s="10" t="s">
        <v>827</v>
      </c>
      <c r="E714" s="24" t="s">
        <v>2272</v>
      </c>
      <c r="F714" s="12"/>
      <c r="G714" s="23" t="s">
        <v>2273</v>
      </c>
      <c r="H714" s="14" t="n">
        <v>-0.733</v>
      </c>
      <c r="I714" s="15"/>
      <c r="J714" s="12"/>
      <c r="K714" s="9"/>
      <c r="L714" s="16" t="s">
        <v>51</v>
      </c>
      <c r="M714" s="17" t="s">
        <v>79</v>
      </c>
      <c r="N714" s="15"/>
      <c r="O714" s="16" t="s">
        <v>54</v>
      </c>
      <c r="P714" s="12" t="s">
        <v>2267</v>
      </c>
      <c r="Q714" s="16"/>
      <c r="R714" s="18" t="s">
        <v>79</v>
      </c>
      <c r="S714" s="19"/>
      <c r="T714" s="12" t="str">
        <f aca="false">IF(R714="維持",J714,IF(R714="排除","無關新聞事件",IFERROR(INDEX(事件規則!$B$2:$B$53,MATCH(S714,事件規則!$A$2:$A$53,0)),"")))</f>
        <v>無關新聞事件</v>
      </c>
      <c r="U714" s="20" t="n">
        <f aca="false">IF(R714="維持",K714,IF(R714="排除",0,IFERROR(INDEX(事件規則!$C$2:$C$53,MATCH(S714,事件規則!$A$2:$A$53,0)),"")))</f>
        <v>0</v>
      </c>
      <c r="V714" s="21"/>
      <c r="W714" s="22"/>
      <c r="X714" s="10" t="str">
        <f aca="false">IF(AND(R714="修改",S714=""),"請選新事件代碼",IF(AND(R714&lt;&gt;"修改",S714&lt;&gt;""),"只有「修改」才需填代碼",""))</f>
        <v/>
      </c>
      <c r="Y714" s="21"/>
      <c r="Z714" s="22"/>
      <c r="AA714" s="23" t="s">
        <v>2274</v>
      </c>
      <c r="AB714" s="13"/>
    </row>
    <row r="715" customFormat="false" ht="44" hidden="false" customHeight="false" outlineLevel="0" collapsed="false">
      <c r="A715" s="16" t="n">
        <v>714</v>
      </c>
      <c r="B715" s="9" t="s">
        <v>65</v>
      </c>
      <c r="C715" s="9" t="s">
        <v>1325</v>
      </c>
      <c r="D715" s="10" t="s">
        <v>1326</v>
      </c>
      <c r="E715" s="24" t="s">
        <v>2275</v>
      </c>
      <c r="F715" s="12"/>
      <c r="G715" s="23" t="s">
        <v>771</v>
      </c>
      <c r="H715" s="14" t="n">
        <v>-0.733</v>
      </c>
      <c r="I715" s="15"/>
      <c r="J715" s="12"/>
      <c r="K715" s="9"/>
      <c r="L715" s="16" t="s">
        <v>51</v>
      </c>
      <c r="M715" s="17" t="s">
        <v>79</v>
      </c>
      <c r="N715" s="15"/>
      <c r="O715" s="16" t="s">
        <v>54</v>
      </c>
      <c r="P715" s="12" t="s">
        <v>2267</v>
      </c>
      <c r="Q715" s="16"/>
      <c r="R715" s="18" t="s">
        <v>79</v>
      </c>
      <c r="S715" s="19"/>
      <c r="T715" s="12" t="str">
        <f aca="false">IF(R715="維持",J715,IF(R715="排除","無關新聞事件",IFERROR(INDEX(事件規則!$B$2:$B$53,MATCH(S715,事件規則!$A$2:$A$53,0)),"")))</f>
        <v>無關新聞事件</v>
      </c>
      <c r="U715" s="20" t="n">
        <f aca="false">IF(R715="維持",K715,IF(R715="排除",0,IFERROR(INDEX(事件規則!$C$2:$C$53,MATCH(S715,事件規則!$A$2:$A$53,0)),"")))</f>
        <v>0</v>
      </c>
      <c r="V715" s="21"/>
      <c r="W715" s="22"/>
      <c r="X715" s="10" t="str">
        <f aca="false">IF(AND(R715="修改",S715=""),"請選新事件代碼",IF(AND(R715&lt;&gt;"修改",S715&lt;&gt;""),"只有「修改」才需填代碼",""))</f>
        <v/>
      </c>
      <c r="Y715" s="21"/>
      <c r="Z715" s="22"/>
      <c r="AA715" s="23" t="s">
        <v>2276</v>
      </c>
      <c r="AB715" s="13"/>
    </row>
    <row r="716" customFormat="false" ht="44" hidden="false" customHeight="false" outlineLevel="0" collapsed="false">
      <c r="A716" s="16" t="n">
        <v>715</v>
      </c>
      <c r="B716" s="9" t="s">
        <v>331</v>
      </c>
      <c r="C716" s="9" t="s">
        <v>594</v>
      </c>
      <c r="D716" s="10" t="s">
        <v>595</v>
      </c>
      <c r="E716" s="24" t="s">
        <v>2277</v>
      </c>
      <c r="F716" s="12"/>
      <c r="G716" s="23" t="s">
        <v>2278</v>
      </c>
      <c r="H716" s="14" t="n">
        <v>-0.731</v>
      </c>
      <c r="I716" s="15"/>
      <c r="J716" s="12"/>
      <c r="K716" s="9"/>
      <c r="L716" s="16" t="s">
        <v>51</v>
      </c>
      <c r="M716" s="17" t="s">
        <v>79</v>
      </c>
      <c r="N716" s="15"/>
      <c r="O716" s="16" t="s">
        <v>54</v>
      </c>
      <c r="P716" s="12" t="s">
        <v>2267</v>
      </c>
      <c r="Q716" s="16"/>
      <c r="R716" s="18" t="s">
        <v>79</v>
      </c>
      <c r="S716" s="19"/>
      <c r="T716" s="12" t="str">
        <f aca="false">IF(R716="維持",J716,IF(R716="排除","無關新聞事件",IFERROR(INDEX(事件規則!$B$2:$B$53,MATCH(S716,事件規則!$A$2:$A$53,0)),"")))</f>
        <v>無關新聞事件</v>
      </c>
      <c r="U716" s="20" t="n">
        <f aca="false">IF(R716="維持",K716,IF(R716="排除",0,IFERROR(INDEX(事件規則!$C$2:$C$53,MATCH(S716,事件規則!$A$2:$A$53,0)),"")))</f>
        <v>0</v>
      </c>
      <c r="V716" s="21"/>
      <c r="W716" s="22"/>
      <c r="X716" s="10" t="str">
        <f aca="false">IF(AND(R716="修改",S716=""),"請選新事件代碼",IF(AND(R716&lt;&gt;"修改",S716&lt;&gt;""),"只有「修改」才需填代碼",""))</f>
        <v/>
      </c>
      <c r="Y716" s="21"/>
      <c r="Z716" s="22"/>
      <c r="AA716" s="23" t="s">
        <v>2279</v>
      </c>
      <c r="AB716" s="13"/>
    </row>
    <row r="717" customFormat="false" ht="44" hidden="false" customHeight="false" outlineLevel="0" collapsed="false">
      <c r="A717" s="16" t="n">
        <v>716</v>
      </c>
      <c r="B717" s="9" t="s">
        <v>331</v>
      </c>
      <c r="C717" s="9" t="s">
        <v>99</v>
      </c>
      <c r="D717" s="10" t="s">
        <v>100</v>
      </c>
      <c r="E717" s="24" t="s">
        <v>2280</v>
      </c>
      <c r="F717" s="12"/>
      <c r="G717" s="23" t="s">
        <v>324</v>
      </c>
      <c r="H717" s="14" t="n">
        <v>-0.731</v>
      </c>
      <c r="I717" s="15"/>
      <c r="J717" s="12"/>
      <c r="K717" s="9"/>
      <c r="L717" s="16" t="s">
        <v>51</v>
      </c>
      <c r="M717" s="17" t="s">
        <v>79</v>
      </c>
      <c r="N717" s="15"/>
      <c r="O717" s="16" t="s">
        <v>54</v>
      </c>
      <c r="P717" s="12" t="s">
        <v>2267</v>
      </c>
      <c r="Q717" s="16"/>
      <c r="R717" s="18" t="s">
        <v>79</v>
      </c>
      <c r="S717" s="19"/>
      <c r="T717" s="12" t="str">
        <f aca="false">IF(R717="維持",J717,IF(R717="排除","無關新聞事件",IFERROR(INDEX(事件規則!$B$2:$B$53,MATCH(S717,事件規則!$A$2:$A$53,0)),"")))</f>
        <v>無關新聞事件</v>
      </c>
      <c r="U717" s="20" t="n">
        <f aca="false">IF(R717="維持",K717,IF(R717="排除",0,IFERROR(INDEX(事件規則!$C$2:$C$53,MATCH(S717,事件規則!$A$2:$A$53,0)),"")))</f>
        <v>0</v>
      </c>
      <c r="V717" s="21"/>
      <c r="W717" s="22"/>
      <c r="X717" s="10" t="str">
        <f aca="false">IF(AND(R717="修改",S717=""),"請選新事件代碼",IF(AND(R717&lt;&gt;"修改",S717&lt;&gt;""),"只有「修改」才需填代碼",""))</f>
        <v/>
      </c>
      <c r="Y717" s="21"/>
      <c r="Z717" s="22"/>
      <c r="AA717" s="23" t="s">
        <v>2281</v>
      </c>
      <c r="AB717" s="13"/>
    </row>
    <row r="718" customFormat="false" ht="44" hidden="false" customHeight="false" outlineLevel="0" collapsed="false">
      <c r="A718" s="16" t="n">
        <v>717</v>
      </c>
      <c r="B718" s="9" t="s">
        <v>65</v>
      </c>
      <c r="C718" s="9" t="s">
        <v>862</v>
      </c>
      <c r="D718" s="10" t="s">
        <v>863</v>
      </c>
      <c r="E718" s="24" t="s">
        <v>2282</v>
      </c>
      <c r="F718" s="12"/>
      <c r="G718" s="23" t="s">
        <v>1703</v>
      </c>
      <c r="H718" s="14" t="n">
        <v>-0.73</v>
      </c>
      <c r="I718" s="15"/>
      <c r="J718" s="12"/>
      <c r="K718" s="9"/>
      <c r="L718" s="16" t="s">
        <v>51</v>
      </c>
      <c r="M718" s="17" t="s">
        <v>79</v>
      </c>
      <c r="N718" s="15"/>
      <c r="O718" s="16" t="s">
        <v>54</v>
      </c>
      <c r="P718" s="12" t="s">
        <v>2267</v>
      </c>
      <c r="Q718" s="16"/>
      <c r="R718" s="18" t="s">
        <v>79</v>
      </c>
      <c r="S718" s="19"/>
      <c r="T718" s="12" t="str">
        <f aca="false">IF(R718="維持",J718,IF(R718="排除","無關新聞事件",IFERROR(INDEX(事件規則!$B$2:$B$53,MATCH(S718,事件規則!$A$2:$A$53,0)),"")))</f>
        <v>無關新聞事件</v>
      </c>
      <c r="U718" s="20" t="n">
        <f aca="false">IF(R718="維持",K718,IF(R718="排除",0,IFERROR(INDEX(事件規則!$C$2:$C$53,MATCH(S718,事件規則!$A$2:$A$53,0)),"")))</f>
        <v>0</v>
      </c>
      <c r="V718" s="21"/>
      <c r="W718" s="22"/>
      <c r="X718" s="10" t="str">
        <f aca="false">IF(AND(R718="修改",S718=""),"請選新事件代碼",IF(AND(R718&lt;&gt;"修改",S718&lt;&gt;""),"只有「修改」才需填代碼",""))</f>
        <v/>
      </c>
      <c r="Y718" s="21"/>
      <c r="Z718" s="22"/>
      <c r="AA718" s="23" t="s">
        <v>2283</v>
      </c>
      <c r="AB718" s="13"/>
    </row>
    <row r="719" customFormat="false" ht="44" hidden="false" customHeight="false" outlineLevel="0" collapsed="false">
      <c r="A719" s="16" t="n">
        <v>718</v>
      </c>
      <c r="B719" s="9" t="s">
        <v>386</v>
      </c>
      <c r="C719" s="9" t="s">
        <v>564</v>
      </c>
      <c r="D719" s="10" t="s">
        <v>565</v>
      </c>
      <c r="E719" s="24" t="s">
        <v>2284</v>
      </c>
      <c r="F719" s="12"/>
      <c r="G719" s="23" t="s">
        <v>2285</v>
      </c>
      <c r="H719" s="14" t="n">
        <v>-0.73</v>
      </c>
      <c r="I719" s="15"/>
      <c r="J719" s="12"/>
      <c r="K719" s="9"/>
      <c r="L719" s="16" t="s">
        <v>51</v>
      </c>
      <c r="M719" s="17" t="s">
        <v>79</v>
      </c>
      <c r="N719" s="15"/>
      <c r="O719" s="16" t="s">
        <v>54</v>
      </c>
      <c r="P719" s="12" t="s">
        <v>2267</v>
      </c>
      <c r="Q719" s="16"/>
      <c r="R719" s="18" t="s">
        <v>79</v>
      </c>
      <c r="S719" s="19"/>
      <c r="T719" s="12" t="str">
        <f aca="false">IF(R719="維持",J719,IF(R719="排除","無關新聞事件",IFERROR(INDEX(事件規則!$B$2:$B$53,MATCH(S719,事件規則!$A$2:$A$53,0)),"")))</f>
        <v>無關新聞事件</v>
      </c>
      <c r="U719" s="20" t="n">
        <f aca="false">IF(R719="維持",K719,IF(R719="排除",0,IFERROR(INDEX(事件規則!$C$2:$C$53,MATCH(S719,事件規則!$A$2:$A$53,0)),"")))</f>
        <v>0</v>
      </c>
      <c r="V719" s="21"/>
      <c r="W719" s="22"/>
      <c r="X719" s="10" t="str">
        <f aca="false">IF(AND(R719="修改",S719=""),"請選新事件代碼",IF(AND(R719&lt;&gt;"修改",S719&lt;&gt;""),"只有「修改」才需填代碼",""))</f>
        <v/>
      </c>
      <c r="Y719" s="21"/>
      <c r="Z719" s="22"/>
      <c r="AA719" s="23" t="s">
        <v>2286</v>
      </c>
      <c r="AB719" s="13"/>
    </row>
    <row r="720" customFormat="false" ht="44" hidden="false" customHeight="false" outlineLevel="0" collapsed="false">
      <c r="A720" s="16" t="n">
        <v>719</v>
      </c>
      <c r="B720" s="9" t="s">
        <v>386</v>
      </c>
      <c r="C720" s="9" t="s">
        <v>1506</v>
      </c>
      <c r="D720" s="10" t="s">
        <v>1507</v>
      </c>
      <c r="E720" s="24" t="s">
        <v>2287</v>
      </c>
      <c r="F720" s="12"/>
      <c r="G720" s="23" t="s">
        <v>120</v>
      </c>
      <c r="H720" s="14" t="n">
        <v>-0.726</v>
      </c>
      <c r="I720" s="15"/>
      <c r="J720" s="12"/>
      <c r="K720" s="9"/>
      <c r="L720" s="16" t="s">
        <v>51</v>
      </c>
      <c r="M720" s="17" t="s">
        <v>79</v>
      </c>
      <c r="N720" s="15"/>
      <c r="O720" s="16" t="s">
        <v>54</v>
      </c>
      <c r="P720" s="12" t="s">
        <v>2267</v>
      </c>
      <c r="Q720" s="16"/>
      <c r="R720" s="18" t="s">
        <v>79</v>
      </c>
      <c r="S720" s="19"/>
      <c r="T720" s="12" t="str">
        <f aca="false">IF(R720="維持",J720,IF(R720="排除","無關新聞事件",IFERROR(INDEX(事件規則!$B$2:$B$53,MATCH(S720,事件規則!$A$2:$A$53,0)),"")))</f>
        <v>無關新聞事件</v>
      </c>
      <c r="U720" s="20" t="n">
        <f aca="false">IF(R720="維持",K720,IF(R720="排除",0,IFERROR(INDEX(事件規則!$C$2:$C$53,MATCH(S720,事件規則!$A$2:$A$53,0)),"")))</f>
        <v>0</v>
      </c>
      <c r="V720" s="21"/>
      <c r="W720" s="22"/>
      <c r="X720" s="10" t="str">
        <f aca="false">IF(AND(R720="修改",S720=""),"請選新事件代碼",IF(AND(R720&lt;&gt;"修改",S720&lt;&gt;""),"只有「修改」才需填代碼",""))</f>
        <v/>
      </c>
      <c r="Y720" s="21"/>
      <c r="Z720" s="22"/>
      <c r="AA720" s="23" t="s">
        <v>2288</v>
      </c>
      <c r="AB720" s="13"/>
    </row>
    <row r="721" customFormat="false" ht="44" hidden="false" customHeight="false" outlineLevel="0" collapsed="false">
      <c r="A721" s="16" t="n">
        <v>720</v>
      </c>
      <c r="B721" s="9" t="s">
        <v>386</v>
      </c>
      <c r="C721" s="9" t="s">
        <v>2289</v>
      </c>
      <c r="D721" s="10" t="s">
        <v>2290</v>
      </c>
      <c r="E721" s="24" t="s">
        <v>2287</v>
      </c>
      <c r="F721" s="12"/>
      <c r="G721" s="23" t="s">
        <v>120</v>
      </c>
      <c r="H721" s="14" t="n">
        <v>-0.726</v>
      </c>
      <c r="I721" s="15"/>
      <c r="J721" s="12"/>
      <c r="K721" s="9"/>
      <c r="L721" s="16" t="s">
        <v>51</v>
      </c>
      <c r="M721" s="17" t="s">
        <v>79</v>
      </c>
      <c r="N721" s="15"/>
      <c r="O721" s="16" t="s">
        <v>54</v>
      </c>
      <c r="P721" s="12" t="s">
        <v>2267</v>
      </c>
      <c r="Q721" s="16"/>
      <c r="R721" s="18" t="s">
        <v>79</v>
      </c>
      <c r="S721" s="19"/>
      <c r="T721" s="12" t="str">
        <f aca="false">IF(R721="維持",J721,IF(R721="排除","無關新聞事件",IFERROR(INDEX(事件規則!$B$2:$B$53,MATCH(S721,事件規則!$A$2:$A$53,0)),"")))</f>
        <v>無關新聞事件</v>
      </c>
      <c r="U721" s="20" t="n">
        <f aca="false">IF(R721="維持",K721,IF(R721="排除",0,IFERROR(INDEX(事件規則!$C$2:$C$53,MATCH(S721,事件規則!$A$2:$A$53,0)),"")))</f>
        <v>0</v>
      </c>
      <c r="V721" s="21"/>
      <c r="W721" s="22"/>
      <c r="X721" s="10" t="str">
        <f aca="false">IF(AND(R721="修改",S721=""),"請選新事件代碼",IF(AND(R721&lt;&gt;"修改",S721&lt;&gt;""),"只有「修改」才需填代碼",""))</f>
        <v/>
      </c>
      <c r="Y721" s="21"/>
      <c r="Z721" s="22"/>
      <c r="AA721" s="23" t="s">
        <v>2291</v>
      </c>
      <c r="AB721" s="13"/>
    </row>
    <row r="722" customFormat="false" ht="44" hidden="false" customHeight="false" outlineLevel="0" collapsed="false">
      <c r="A722" s="16" t="n">
        <v>721</v>
      </c>
      <c r="B722" s="9" t="s">
        <v>386</v>
      </c>
      <c r="C722" s="9" t="s">
        <v>1437</v>
      </c>
      <c r="D722" s="10" t="s">
        <v>1438</v>
      </c>
      <c r="E722" s="24" t="s">
        <v>2287</v>
      </c>
      <c r="F722" s="12"/>
      <c r="G722" s="23" t="s">
        <v>120</v>
      </c>
      <c r="H722" s="14" t="n">
        <v>-0.726</v>
      </c>
      <c r="I722" s="15"/>
      <c r="J722" s="12"/>
      <c r="K722" s="9"/>
      <c r="L722" s="16" t="s">
        <v>51</v>
      </c>
      <c r="M722" s="17" t="s">
        <v>79</v>
      </c>
      <c r="N722" s="15"/>
      <c r="O722" s="16" t="s">
        <v>54</v>
      </c>
      <c r="P722" s="12" t="s">
        <v>2267</v>
      </c>
      <c r="Q722" s="16"/>
      <c r="R722" s="18" t="s">
        <v>79</v>
      </c>
      <c r="S722" s="19"/>
      <c r="T722" s="12" t="str">
        <f aca="false">IF(R722="維持",J722,IF(R722="排除","無關新聞事件",IFERROR(INDEX(事件規則!$B$2:$B$53,MATCH(S722,事件規則!$A$2:$A$53,0)),"")))</f>
        <v>無關新聞事件</v>
      </c>
      <c r="U722" s="20" t="n">
        <f aca="false">IF(R722="維持",K722,IF(R722="排除",0,IFERROR(INDEX(事件規則!$C$2:$C$53,MATCH(S722,事件規則!$A$2:$A$53,0)),"")))</f>
        <v>0</v>
      </c>
      <c r="V722" s="21"/>
      <c r="W722" s="22"/>
      <c r="X722" s="10" t="str">
        <f aca="false">IF(AND(R722="修改",S722=""),"請選新事件代碼",IF(AND(R722&lt;&gt;"修改",S722&lt;&gt;""),"只有「修改」才需填代碼",""))</f>
        <v/>
      </c>
      <c r="Y722" s="21"/>
      <c r="Z722" s="22"/>
      <c r="AA722" s="23" t="s">
        <v>2292</v>
      </c>
      <c r="AB722" s="13"/>
    </row>
    <row r="723" customFormat="false" ht="44" hidden="false" customHeight="false" outlineLevel="0" collapsed="false">
      <c r="A723" s="16" t="n">
        <v>722</v>
      </c>
      <c r="B723" s="9" t="s">
        <v>331</v>
      </c>
      <c r="C723" s="9" t="s">
        <v>645</v>
      </c>
      <c r="D723" s="10" t="s">
        <v>646</v>
      </c>
      <c r="E723" s="24" t="s">
        <v>2293</v>
      </c>
      <c r="F723" s="12"/>
      <c r="G723" s="23" t="s">
        <v>2294</v>
      </c>
      <c r="H723" s="14" t="n">
        <v>-0.726</v>
      </c>
      <c r="I723" s="15"/>
      <c r="J723" s="12"/>
      <c r="K723" s="9"/>
      <c r="L723" s="16" t="s">
        <v>51</v>
      </c>
      <c r="M723" s="17" t="s">
        <v>79</v>
      </c>
      <c r="N723" s="15"/>
      <c r="O723" s="16" t="s">
        <v>54</v>
      </c>
      <c r="P723" s="12" t="s">
        <v>2267</v>
      </c>
      <c r="Q723" s="16"/>
      <c r="R723" s="18" t="s">
        <v>79</v>
      </c>
      <c r="S723" s="19"/>
      <c r="T723" s="12" t="str">
        <f aca="false">IF(R723="維持",J723,IF(R723="排除","無關新聞事件",IFERROR(INDEX(事件規則!$B$2:$B$53,MATCH(S723,事件規則!$A$2:$A$53,0)),"")))</f>
        <v>無關新聞事件</v>
      </c>
      <c r="U723" s="20" t="n">
        <f aca="false">IF(R723="維持",K723,IF(R723="排除",0,IFERROR(INDEX(事件規則!$C$2:$C$53,MATCH(S723,事件規則!$A$2:$A$53,0)),"")))</f>
        <v>0</v>
      </c>
      <c r="V723" s="21"/>
      <c r="W723" s="22"/>
      <c r="X723" s="10" t="str">
        <f aca="false">IF(AND(R723="修改",S723=""),"請選新事件代碼",IF(AND(R723&lt;&gt;"修改",S723&lt;&gt;""),"只有「修改」才需填代碼",""))</f>
        <v/>
      </c>
      <c r="Y723" s="21"/>
      <c r="Z723" s="22"/>
      <c r="AA723" s="23" t="s">
        <v>2295</v>
      </c>
      <c r="AB723" s="13"/>
    </row>
    <row r="724" customFormat="false" ht="44" hidden="false" customHeight="false" outlineLevel="0" collapsed="false">
      <c r="A724" s="16" t="n">
        <v>723</v>
      </c>
      <c r="B724" s="9" t="s">
        <v>65</v>
      </c>
      <c r="C724" s="9" t="s">
        <v>99</v>
      </c>
      <c r="D724" s="10" t="s">
        <v>100</v>
      </c>
      <c r="E724" s="24" t="s">
        <v>2296</v>
      </c>
      <c r="F724" s="12"/>
      <c r="G724" s="23" t="s">
        <v>120</v>
      </c>
      <c r="H724" s="14" t="n">
        <v>-0.725</v>
      </c>
      <c r="I724" s="15"/>
      <c r="J724" s="12"/>
      <c r="K724" s="9"/>
      <c r="L724" s="16" t="s">
        <v>51</v>
      </c>
      <c r="M724" s="17" t="s">
        <v>79</v>
      </c>
      <c r="N724" s="15"/>
      <c r="O724" s="16" t="s">
        <v>54</v>
      </c>
      <c r="P724" s="12" t="s">
        <v>2267</v>
      </c>
      <c r="Q724" s="16"/>
      <c r="R724" s="18" t="s">
        <v>79</v>
      </c>
      <c r="S724" s="19"/>
      <c r="T724" s="12" t="str">
        <f aca="false">IF(R724="維持",J724,IF(R724="排除","無關新聞事件",IFERROR(INDEX(事件規則!$B$2:$B$53,MATCH(S724,事件規則!$A$2:$A$53,0)),"")))</f>
        <v>無關新聞事件</v>
      </c>
      <c r="U724" s="20" t="n">
        <f aca="false">IF(R724="維持",K724,IF(R724="排除",0,IFERROR(INDEX(事件規則!$C$2:$C$53,MATCH(S724,事件規則!$A$2:$A$53,0)),"")))</f>
        <v>0</v>
      </c>
      <c r="V724" s="21"/>
      <c r="W724" s="22"/>
      <c r="X724" s="10" t="str">
        <f aca="false">IF(AND(R724="修改",S724=""),"請選新事件代碼",IF(AND(R724&lt;&gt;"修改",S724&lt;&gt;""),"只有「修改」才需填代碼",""))</f>
        <v/>
      </c>
      <c r="Y724" s="21"/>
      <c r="Z724" s="22"/>
      <c r="AA724" s="23" t="s">
        <v>2297</v>
      </c>
      <c r="AB724" s="13"/>
    </row>
    <row r="725" customFormat="false" ht="44" hidden="false" customHeight="false" outlineLevel="0" collapsed="false">
      <c r="A725" s="16" t="n">
        <v>724</v>
      </c>
      <c r="B725" s="9" t="s">
        <v>331</v>
      </c>
      <c r="C725" s="9" t="s">
        <v>2298</v>
      </c>
      <c r="D725" s="10" t="s">
        <v>2299</v>
      </c>
      <c r="E725" s="24" t="s">
        <v>2300</v>
      </c>
      <c r="F725" s="12"/>
      <c r="G725" s="23" t="s">
        <v>2301</v>
      </c>
      <c r="H725" s="14" t="n">
        <v>-0.725</v>
      </c>
      <c r="I725" s="15"/>
      <c r="J725" s="12"/>
      <c r="K725" s="9"/>
      <c r="L725" s="16" t="s">
        <v>51</v>
      </c>
      <c r="M725" s="17" t="s">
        <v>79</v>
      </c>
      <c r="N725" s="15"/>
      <c r="O725" s="16" t="s">
        <v>54</v>
      </c>
      <c r="P725" s="12" t="s">
        <v>2267</v>
      </c>
      <c r="Q725" s="16"/>
      <c r="R725" s="18" t="s">
        <v>79</v>
      </c>
      <c r="S725" s="19"/>
      <c r="T725" s="12" t="str">
        <f aca="false">IF(R725="維持",J725,IF(R725="排除","無關新聞事件",IFERROR(INDEX(事件規則!$B$2:$B$53,MATCH(S725,事件規則!$A$2:$A$53,0)),"")))</f>
        <v>無關新聞事件</v>
      </c>
      <c r="U725" s="20" t="n">
        <f aca="false">IF(R725="維持",K725,IF(R725="排除",0,IFERROR(INDEX(事件規則!$C$2:$C$53,MATCH(S725,事件規則!$A$2:$A$53,0)),"")))</f>
        <v>0</v>
      </c>
      <c r="V725" s="21"/>
      <c r="W725" s="22"/>
      <c r="X725" s="10" t="str">
        <f aca="false">IF(AND(R725="修改",S725=""),"請選新事件代碼",IF(AND(R725&lt;&gt;"修改",S725&lt;&gt;""),"只有「修改」才需填代碼",""))</f>
        <v/>
      </c>
      <c r="Y725" s="21"/>
      <c r="Z725" s="22"/>
      <c r="AA725" s="23" t="s">
        <v>2302</v>
      </c>
      <c r="AB725" s="13"/>
    </row>
    <row r="726" customFormat="false" ht="44" hidden="false" customHeight="false" outlineLevel="0" collapsed="false">
      <c r="A726" s="16" t="n">
        <v>725</v>
      </c>
      <c r="B726" s="9" t="s">
        <v>65</v>
      </c>
      <c r="C726" s="9" t="s">
        <v>1506</v>
      </c>
      <c r="D726" s="10" t="s">
        <v>1507</v>
      </c>
      <c r="E726" s="24" t="s">
        <v>2303</v>
      </c>
      <c r="F726" s="12"/>
      <c r="G726" s="23" t="s">
        <v>2304</v>
      </c>
      <c r="H726" s="14" t="n">
        <v>-0.724</v>
      </c>
      <c r="I726" s="15"/>
      <c r="J726" s="12"/>
      <c r="K726" s="9"/>
      <c r="L726" s="16" t="s">
        <v>51</v>
      </c>
      <c r="M726" s="17" t="s">
        <v>79</v>
      </c>
      <c r="N726" s="15"/>
      <c r="O726" s="16" t="s">
        <v>54</v>
      </c>
      <c r="P726" s="12" t="s">
        <v>2267</v>
      </c>
      <c r="Q726" s="16"/>
      <c r="R726" s="18" t="s">
        <v>79</v>
      </c>
      <c r="S726" s="19"/>
      <c r="T726" s="12" t="str">
        <f aca="false">IF(R726="維持",J726,IF(R726="排除","無關新聞事件",IFERROR(INDEX(事件規則!$B$2:$B$53,MATCH(S726,事件規則!$A$2:$A$53,0)),"")))</f>
        <v>無關新聞事件</v>
      </c>
      <c r="U726" s="20" t="n">
        <f aca="false">IF(R726="維持",K726,IF(R726="排除",0,IFERROR(INDEX(事件規則!$C$2:$C$53,MATCH(S726,事件規則!$A$2:$A$53,0)),"")))</f>
        <v>0</v>
      </c>
      <c r="V726" s="21"/>
      <c r="W726" s="22"/>
      <c r="X726" s="10" t="str">
        <f aca="false">IF(AND(R726="修改",S726=""),"請選新事件代碼",IF(AND(R726&lt;&gt;"修改",S726&lt;&gt;""),"只有「修改」才需填代碼",""))</f>
        <v/>
      </c>
      <c r="Y726" s="21"/>
      <c r="Z726" s="22"/>
      <c r="AA726" s="23" t="s">
        <v>2305</v>
      </c>
      <c r="AB726" s="13"/>
    </row>
    <row r="727" customFormat="false" ht="44" hidden="false" customHeight="false" outlineLevel="0" collapsed="false">
      <c r="A727" s="16" t="n">
        <v>726</v>
      </c>
      <c r="B727" s="9" t="s">
        <v>65</v>
      </c>
      <c r="C727" s="9" t="s">
        <v>2289</v>
      </c>
      <c r="D727" s="10" t="s">
        <v>2290</v>
      </c>
      <c r="E727" s="24" t="s">
        <v>2303</v>
      </c>
      <c r="F727" s="12"/>
      <c r="G727" s="23" t="s">
        <v>2304</v>
      </c>
      <c r="H727" s="14" t="n">
        <v>-0.724</v>
      </c>
      <c r="I727" s="15"/>
      <c r="J727" s="12"/>
      <c r="K727" s="9"/>
      <c r="L727" s="16" t="s">
        <v>51</v>
      </c>
      <c r="M727" s="17" t="s">
        <v>79</v>
      </c>
      <c r="N727" s="15"/>
      <c r="O727" s="16" t="s">
        <v>54</v>
      </c>
      <c r="P727" s="12" t="s">
        <v>2267</v>
      </c>
      <c r="Q727" s="16"/>
      <c r="R727" s="18" t="s">
        <v>79</v>
      </c>
      <c r="S727" s="19"/>
      <c r="T727" s="12" t="str">
        <f aca="false">IF(R727="維持",J727,IF(R727="排除","無關新聞事件",IFERROR(INDEX(事件規則!$B$2:$B$53,MATCH(S727,事件規則!$A$2:$A$53,0)),"")))</f>
        <v>無關新聞事件</v>
      </c>
      <c r="U727" s="20" t="n">
        <f aca="false">IF(R727="維持",K727,IF(R727="排除",0,IFERROR(INDEX(事件規則!$C$2:$C$53,MATCH(S727,事件規則!$A$2:$A$53,0)),"")))</f>
        <v>0</v>
      </c>
      <c r="V727" s="21"/>
      <c r="W727" s="22"/>
      <c r="X727" s="10" t="str">
        <f aca="false">IF(AND(R727="修改",S727=""),"請選新事件代碼",IF(AND(R727&lt;&gt;"修改",S727&lt;&gt;""),"只有「修改」才需填代碼",""))</f>
        <v/>
      </c>
      <c r="Y727" s="21"/>
      <c r="Z727" s="22"/>
      <c r="AA727" s="23" t="s">
        <v>2306</v>
      </c>
      <c r="AB727" s="13"/>
    </row>
    <row r="728" customFormat="false" ht="44" hidden="false" customHeight="false" outlineLevel="0" collapsed="false">
      <c r="A728" s="16" t="n">
        <v>727</v>
      </c>
      <c r="B728" s="9" t="s">
        <v>331</v>
      </c>
      <c r="C728" s="9" t="s">
        <v>564</v>
      </c>
      <c r="D728" s="10" t="s">
        <v>565</v>
      </c>
      <c r="E728" s="24" t="s">
        <v>2307</v>
      </c>
      <c r="F728" s="12"/>
      <c r="G728" s="23" t="s">
        <v>2308</v>
      </c>
      <c r="H728" s="14" t="n">
        <v>-0.724</v>
      </c>
      <c r="I728" s="15"/>
      <c r="J728" s="12"/>
      <c r="K728" s="9"/>
      <c r="L728" s="16" t="s">
        <v>51</v>
      </c>
      <c r="M728" s="17" t="s">
        <v>79</v>
      </c>
      <c r="N728" s="15"/>
      <c r="O728" s="16" t="s">
        <v>54</v>
      </c>
      <c r="P728" s="12" t="s">
        <v>2267</v>
      </c>
      <c r="Q728" s="16"/>
      <c r="R728" s="18" t="s">
        <v>79</v>
      </c>
      <c r="S728" s="19"/>
      <c r="T728" s="12" t="str">
        <f aca="false">IF(R728="維持",J728,IF(R728="排除","無關新聞事件",IFERROR(INDEX(事件規則!$B$2:$B$53,MATCH(S728,事件規則!$A$2:$A$53,0)),"")))</f>
        <v>無關新聞事件</v>
      </c>
      <c r="U728" s="20" t="n">
        <f aca="false">IF(R728="維持",K728,IF(R728="排除",0,IFERROR(INDEX(事件規則!$C$2:$C$53,MATCH(S728,事件規則!$A$2:$A$53,0)),"")))</f>
        <v>0</v>
      </c>
      <c r="V728" s="21"/>
      <c r="W728" s="22"/>
      <c r="X728" s="10" t="str">
        <f aca="false">IF(AND(R728="修改",S728=""),"請選新事件代碼",IF(AND(R728&lt;&gt;"修改",S728&lt;&gt;""),"只有「修改」才需填代碼",""))</f>
        <v/>
      </c>
      <c r="Y728" s="21"/>
      <c r="Z728" s="22"/>
      <c r="AA728" s="23" t="s">
        <v>2309</v>
      </c>
      <c r="AB728" s="13"/>
    </row>
    <row r="729" customFormat="false" ht="44" hidden="false" customHeight="false" outlineLevel="0" collapsed="false">
      <c r="A729" s="16" t="n">
        <v>728</v>
      </c>
      <c r="B729" s="9" t="s">
        <v>386</v>
      </c>
      <c r="C729" s="9" t="s">
        <v>441</v>
      </c>
      <c r="D729" s="10" t="s">
        <v>442</v>
      </c>
      <c r="E729" s="24" t="s">
        <v>2310</v>
      </c>
      <c r="F729" s="12"/>
      <c r="G729" s="23" t="s">
        <v>2311</v>
      </c>
      <c r="H729" s="14" t="n">
        <v>-0.724</v>
      </c>
      <c r="I729" s="15"/>
      <c r="J729" s="12"/>
      <c r="K729" s="9"/>
      <c r="L729" s="16" t="s">
        <v>51</v>
      </c>
      <c r="M729" s="17" t="s">
        <v>79</v>
      </c>
      <c r="N729" s="15"/>
      <c r="O729" s="16" t="s">
        <v>54</v>
      </c>
      <c r="P729" s="12" t="s">
        <v>2267</v>
      </c>
      <c r="Q729" s="16"/>
      <c r="R729" s="18" t="s">
        <v>79</v>
      </c>
      <c r="S729" s="19"/>
      <c r="T729" s="12" t="str">
        <f aca="false">IF(R729="維持",J729,IF(R729="排除","無關新聞事件",IFERROR(INDEX(事件規則!$B$2:$B$53,MATCH(S729,事件規則!$A$2:$A$53,0)),"")))</f>
        <v>無關新聞事件</v>
      </c>
      <c r="U729" s="20" t="n">
        <f aca="false">IF(R729="維持",K729,IF(R729="排除",0,IFERROR(INDEX(事件規則!$C$2:$C$53,MATCH(S729,事件規則!$A$2:$A$53,0)),"")))</f>
        <v>0</v>
      </c>
      <c r="V729" s="21"/>
      <c r="W729" s="22"/>
      <c r="X729" s="10" t="str">
        <f aca="false">IF(AND(R729="修改",S729=""),"請選新事件代碼",IF(AND(R729&lt;&gt;"修改",S729&lt;&gt;""),"只有「修改」才需填代碼",""))</f>
        <v/>
      </c>
      <c r="Y729" s="21"/>
      <c r="Z729" s="22"/>
      <c r="AA729" s="23" t="s">
        <v>2312</v>
      </c>
      <c r="AB729" s="13"/>
    </row>
    <row r="730" customFormat="false" ht="44" hidden="false" customHeight="false" outlineLevel="0" collapsed="false">
      <c r="A730" s="16" t="n">
        <v>729</v>
      </c>
      <c r="B730" s="9" t="s">
        <v>65</v>
      </c>
      <c r="C730" s="9" t="s">
        <v>1506</v>
      </c>
      <c r="D730" s="10" t="s">
        <v>1507</v>
      </c>
      <c r="E730" s="24" t="s">
        <v>2313</v>
      </c>
      <c r="F730" s="12"/>
      <c r="G730" s="23" t="s">
        <v>2314</v>
      </c>
      <c r="H730" s="14" t="n">
        <v>-0.723</v>
      </c>
      <c r="I730" s="15"/>
      <c r="J730" s="12"/>
      <c r="K730" s="9"/>
      <c r="L730" s="16" t="s">
        <v>51</v>
      </c>
      <c r="M730" s="17" t="s">
        <v>79</v>
      </c>
      <c r="N730" s="15"/>
      <c r="O730" s="16" t="s">
        <v>54</v>
      </c>
      <c r="P730" s="12" t="s">
        <v>2267</v>
      </c>
      <c r="Q730" s="16"/>
      <c r="R730" s="18" t="s">
        <v>79</v>
      </c>
      <c r="S730" s="19"/>
      <c r="T730" s="12" t="str">
        <f aca="false">IF(R730="維持",J730,IF(R730="排除","無關新聞事件",IFERROR(INDEX(事件規則!$B$2:$B$53,MATCH(S730,事件規則!$A$2:$A$53,0)),"")))</f>
        <v>無關新聞事件</v>
      </c>
      <c r="U730" s="20" t="n">
        <f aca="false">IF(R730="維持",K730,IF(R730="排除",0,IFERROR(INDEX(事件規則!$C$2:$C$53,MATCH(S730,事件規則!$A$2:$A$53,0)),"")))</f>
        <v>0</v>
      </c>
      <c r="V730" s="21"/>
      <c r="W730" s="22"/>
      <c r="X730" s="10" t="str">
        <f aca="false">IF(AND(R730="修改",S730=""),"請選新事件代碼",IF(AND(R730&lt;&gt;"修改",S730&lt;&gt;""),"只有「修改」才需填代碼",""))</f>
        <v/>
      </c>
      <c r="Y730" s="21"/>
      <c r="Z730" s="22"/>
      <c r="AA730" s="23" t="s">
        <v>2315</v>
      </c>
      <c r="AB730" s="13"/>
    </row>
    <row r="731" customFormat="false" ht="44" hidden="false" customHeight="false" outlineLevel="0" collapsed="false">
      <c r="A731" s="16" t="n">
        <v>730</v>
      </c>
      <c r="B731" s="9" t="s">
        <v>386</v>
      </c>
      <c r="C731" s="9" t="s">
        <v>564</v>
      </c>
      <c r="D731" s="10" t="s">
        <v>565</v>
      </c>
      <c r="E731" s="24" t="s">
        <v>2316</v>
      </c>
      <c r="F731" s="12"/>
      <c r="G731" s="23" t="s">
        <v>2317</v>
      </c>
      <c r="H731" s="14" t="n">
        <v>-0.721</v>
      </c>
      <c r="I731" s="15"/>
      <c r="J731" s="12"/>
      <c r="K731" s="9"/>
      <c r="L731" s="16" t="s">
        <v>51</v>
      </c>
      <c r="M731" s="17" t="s">
        <v>79</v>
      </c>
      <c r="N731" s="15"/>
      <c r="O731" s="16" t="s">
        <v>54</v>
      </c>
      <c r="P731" s="12" t="s">
        <v>2267</v>
      </c>
      <c r="Q731" s="16"/>
      <c r="R731" s="18" t="s">
        <v>79</v>
      </c>
      <c r="S731" s="19"/>
      <c r="T731" s="12" t="str">
        <f aca="false">IF(R731="維持",J731,IF(R731="排除","無關新聞事件",IFERROR(INDEX(事件規則!$B$2:$B$53,MATCH(S731,事件規則!$A$2:$A$53,0)),"")))</f>
        <v>無關新聞事件</v>
      </c>
      <c r="U731" s="20" t="n">
        <f aca="false">IF(R731="維持",K731,IF(R731="排除",0,IFERROR(INDEX(事件規則!$C$2:$C$53,MATCH(S731,事件規則!$A$2:$A$53,0)),"")))</f>
        <v>0</v>
      </c>
      <c r="V731" s="21"/>
      <c r="W731" s="22"/>
      <c r="X731" s="10" t="str">
        <f aca="false">IF(AND(R731="修改",S731=""),"請選新事件代碼",IF(AND(R731&lt;&gt;"修改",S731&lt;&gt;""),"只有「修改」才需填代碼",""))</f>
        <v/>
      </c>
      <c r="Y731" s="21"/>
      <c r="Z731" s="22"/>
      <c r="AA731" s="23" t="s">
        <v>2318</v>
      </c>
      <c r="AB731" s="13"/>
    </row>
    <row r="732" customFormat="false" ht="44" hidden="false" customHeight="false" outlineLevel="0" collapsed="false">
      <c r="A732" s="16" t="n">
        <v>731</v>
      </c>
      <c r="B732" s="9" t="s">
        <v>331</v>
      </c>
      <c r="C732" s="9" t="s">
        <v>156</v>
      </c>
      <c r="D732" s="10" t="s">
        <v>157</v>
      </c>
      <c r="E732" s="24" t="s">
        <v>2319</v>
      </c>
      <c r="F732" s="12"/>
      <c r="G732" s="23" t="s">
        <v>335</v>
      </c>
      <c r="H732" s="14" t="n">
        <v>-0.719</v>
      </c>
      <c r="I732" s="15"/>
      <c r="J732" s="12"/>
      <c r="K732" s="9"/>
      <c r="L732" s="16" t="s">
        <v>51</v>
      </c>
      <c r="M732" s="17" t="s">
        <v>79</v>
      </c>
      <c r="N732" s="15"/>
      <c r="O732" s="16" t="s">
        <v>54</v>
      </c>
      <c r="P732" s="12" t="s">
        <v>2267</v>
      </c>
      <c r="Q732" s="16"/>
      <c r="R732" s="18" t="s">
        <v>79</v>
      </c>
      <c r="S732" s="19"/>
      <c r="T732" s="12" t="str">
        <f aca="false">IF(R732="維持",J732,IF(R732="排除","無關新聞事件",IFERROR(INDEX(事件規則!$B$2:$B$53,MATCH(S732,事件規則!$A$2:$A$53,0)),"")))</f>
        <v>無關新聞事件</v>
      </c>
      <c r="U732" s="20" t="n">
        <f aca="false">IF(R732="維持",K732,IF(R732="排除",0,IFERROR(INDEX(事件規則!$C$2:$C$53,MATCH(S732,事件規則!$A$2:$A$53,0)),"")))</f>
        <v>0</v>
      </c>
      <c r="V732" s="21"/>
      <c r="W732" s="22"/>
      <c r="X732" s="10" t="str">
        <f aca="false">IF(AND(R732="修改",S732=""),"請選新事件代碼",IF(AND(R732&lt;&gt;"修改",S732&lt;&gt;""),"只有「修改」才需填代碼",""))</f>
        <v/>
      </c>
      <c r="Y732" s="21"/>
      <c r="Z732" s="22"/>
      <c r="AA732" s="23" t="s">
        <v>2320</v>
      </c>
      <c r="AB732" s="13"/>
    </row>
    <row r="733" customFormat="false" ht="44" hidden="false" customHeight="false" outlineLevel="0" collapsed="false">
      <c r="A733" s="16" t="n">
        <v>732</v>
      </c>
      <c r="B733" s="9" t="s">
        <v>65</v>
      </c>
      <c r="C733" s="9" t="s">
        <v>1064</v>
      </c>
      <c r="D733" s="10" t="s">
        <v>1065</v>
      </c>
      <c r="E733" s="24" t="s">
        <v>2321</v>
      </c>
      <c r="F733" s="12"/>
      <c r="G733" s="23" t="s">
        <v>2322</v>
      </c>
      <c r="H733" s="14" t="n">
        <v>-0.718</v>
      </c>
      <c r="I733" s="15"/>
      <c r="J733" s="12"/>
      <c r="K733" s="9"/>
      <c r="L733" s="16" t="s">
        <v>51</v>
      </c>
      <c r="M733" s="17" t="s">
        <v>79</v>
      </c>
      <c r="N733" s="15"/>
      <c r="O733" s="16" t="s">
        <v>54</v>
      </c>
      <c r="P733" s="12" t="s">
        <v>2267</v>
      </c>
      <c r="Q733" s="16"/>
      <c r="R733" s="18" t="s">
        <v>79</v>
      </c>
      <c r="S733" s="19"/>
      <c r="T733" s="12" t="str">
        <f aca="false">IF(R733="維持",J733,IF(R733="排除","無關新聞事件",IFERROR(INDEX(事件規則!$B$2:$B$53,MATCH(S733,事件規則!$A$2:$A$53,0)),"")))</f>
        <v>無關新聞事件</v>
      </c>
      <c r="U733" s="20" t="n">
        <f aca="false">IF(R733="維持",K733,IF(R733="排除",0,IFERROR(INDEX(事件規則!$C$2:$C$53,MATCH(S733,事件規則!$A$2:$A$53,0)),"")))</f>
        <v>0</v>
      </c>
      <c r="V733" s="21"/>
      <c r="W733" s="22"/>
      <c r="X733" s="10" t="str">
        <f aca="false">IF(AND(R733="修改",S733=""),"請選新事件代碼",IF(AND(R733&lt;&gt;"修改",S733&lt;&gt;""),"只有「修改」才需填代碼",""))</f>
        <v/>
      </c>
      <c r="Y733" s="21"/>
      <c r="Z733" s="22"/>
      <c r="AA733" s="23" t="s">
        <v>2323</v>
      </c>
      <c r="AB733" s="13"/>
    </row>
    <row r="734" customFormat="false" ht="44" hidden="false" customHeight="false" outlineLevel="0" collapsed="false">
      <c r="A734" s="16" t="n">
        <v>733</v>
      </c>
      <c r="B734" s="9" t="s">
        <v>331</v>
      </c>
      <c r="C734" s="9" t="s">
        <v>1713</v>
      </c>
      <c r="D734" s="10" t="s">
        <v>1714</v>
      </c>
      <c r="E734" s="24" t="s">
        <v>2324</v>
      </c>
      <c r="F734" s="12"/>
      <c r="G734" s="23" t="s">
        <v>2325</v>
      </c>
      <c r="H734" s="14" t="n">
        <v>-0.718</v>
      </c>
      <c r="I734" s="15"/>
      <c r="J734" s="12"/>
      <c r="K734" s="9"/>
      <c r="L734" s="16" t="s">
        <v>51</v>
      </c>
      <c r="M734" s="17" t="s">
        <v>79</v>
      </c>
      <c r="N734" s="15"/>
      <c r="O734" s="16" t="s">
        <v>54</v>
      </c>
      <c r="P734" s="12" t="s">
        <v>2267</v>
      </c>
      <c r="Q734" s="16"/>
      <c r="R734" s="18" t="s">
        <v>79</v>
      </c>
      <c r="S734" s="19"/>
      <c r="T734" s="12" t="str">
        <f aca="false">IF(R734="維持",J734,IF(R734="排除","無關新聞事件",IFERROR(INDEX(事件規則!$B$2:$B$53,MATCH(S734,事件規則!$A$2:$A$53,0)),"")))</f>
        <v>無關新聞事件</v>
      </c>
      <c r="U734" s="20" t="n">
        <f aca="false">IF(R734="維持",K734,IF(R734="排除",0,IFERROR(INDEX(事件規則!$C$2:$C$53,MATCH(S734,事件規則!$A$2:$A$53,0)),"")))</f>
        <v>0</v>
      </c>
      <c r="V734" s="21"/>
      <c r="W734" s="22"/>
      <c r="X734" s="10" t="str">
        <f aca="false">IF(AND(R734="修改",S734=""),"請選新事件代碼",IF(AND(R734&lt;&gt;"修改",S734&lt;&gt;""),"只有「修改」才需填代碼",""))</f>
        <v/>
      </c>
      <c r="Y734" s="21"/>
      <c r="Z734" s="22"/>
      <c r="AA734" s="23" t="s">
        <v>2326</v>
      </c>
      <c r="AB734" s="13"/>
    </row>
    <row r="735" customFormat="false" ht="44" hidden="false" customHeight="false" outlineLevel="0" collapsed="false">
      <c r="A735" s="16" t="n">
        <v>734</v>
      </c>
      <c r="B735" s="9" t="s">
        <v>65</v>
      </c>
      <c r="C735" s="9" t="s">
        <v>768</v>
      </c>
      <c r="D735" s="10" t="s">
        <v>769</v>
      </c>
      <c r="E735" s="24" t="s">
        <v>2327</v>
      </c>
      <c r="F735" s="12"/>
      <c r="G735" s="23" t="s">
        <v>2026</v>
      </c>
      <c r="H735" s="14" t="n">
        <v>-0.715</v>
      </c>
      <c r="I735" s="15"/>
      <c r="J735" s="12"/>
      <c r="K735" s="9"/>
      <c r="L735" s="16" t="s">
        <v>51</v>
      </c>
      <c r="M735" s="17" t="s">
        <v>79</v>
      </c>
      <c r="N735" s="15"/>
      <c r="O735" s="16" t="s">
        <v>54</v>
      </c>
      <c r="P735" s="12" t="s">
        <v>2267</v>
      </c>
      <c r="Q735" s="16"/>
      <c r="R735" s="18" t="s">
        <v>79</v>
      </c>
      <c r="S735" s="19"/>
      <c r="T735" s="12" t="str">
        <f aca="false">IF(R735="維持",J735,IF(R735="排除","無關新聞事件",IFERROR(INDEX(事件規則!$B$2:$B$53,MATCH(S735,事件規則!$A$2:$A$53,0)),"")))</f>
        <v>無關新聞事件</v>
      </c>
      <c r="U735" s="20" t="n">
        <f aca="false">IF(R735="維持",K735,IF(R735="排除",0,IFERROR(INDEX(事件規則!$C$2:$C$53,MATCH(S735,事件規則!$A$2:$A$53,0)),"")))</f>
        <v>0</v>
      </c>
      <c r="V735" s="21"/>
      <c r="W735" s="22"/>
      <c r="X735" s="10" t="str">
        <f aca="false">IF(AND(R735="修改",S735=""),"請選新事件代碼",IF(AND(R735&lt;&gt;"修改",S735&lt;&gt;""),"只有「修改」才需填代碼",""))</f>
        <v/>
      </c>
      <c r="Y735" s="21"/>
      <c r="Z735" s="22"/>
      <c r="AA735" s="23" t="s">
        <v>2328</v>
      </c>
      <c r="AB735" s="13"/>
    </row>
    <row r="736" customFormat="false" ht="44" hidden="false" customHeight="false" outlineLevel="0" collapsed="false">
      <c r="A736" s="16" t="n">
        <v>735</v>
      </c>
      <c r="B736" s="9" t="s">
        <v>386</v>
      </c>
      <c r="C736" s="9" t="s">
        <v>2329</v>
      </c>
      <c r="D736" s="10" t="s">
        <v>2330</v>
      </c>
      <c r="E736" s="24" t="s">
        <v>2331</v>
      </c>
      <c r="F736" s="12"/>
      <c r="G736" s="23" t="s">
        <v>120</v>
      </c>
      <c r="H736" s="14" t="n">
        <v>-0.715</v>
      </c>
      <c r="I736" s="15"/>
      <c r="J736" s="12"/>
      <c r="K736" s="9"/>
      <c r="L736" s="16" t="s">
        <v>51</v>
      </c>
      <c r="M736" s="17" t="s">
        <v>79</v>
      </c>
      <c r="N736" s="15"/>
      <c r="O736" s="16" t="s">
        <v>54</v>
      </c>
      <c r="P736" s="12" t="s">
        <v>2267</v>
      </c>
      <c r="Q736" s="16"/>
      <c r="R736" s="18" t="s">
        <v>79</v>
      </c>
      <c r="S736" s="19"/>
      <c r="T736" s="12" t="str">
        <f aca="false">IF(R736="維持",J736,IF(R736="排除","無關新聞事件",IFERROR(INDEX(事件規則!$B$2:$B$53,MATCH(S736,事件規則!$A$2:$A$53,0)),"")))</f>
        <v>無關新聞事件</v>
      </c>
      <c r="U736" s="20" t="n">
        <f aca="false">IF(R736="維持",K736,IF(R736="排除",0,IFERROR(INDEX(事件規則!$C$2:$C$53,MATCH(S736,事件規則!$A$2:$A$53,0)),"")))</f>
        <v>0</v>
      </c>
      <c r="V736" s="21"/>
      <c r="W736" s="22"/>
      <c r="X736" s="10" t="str">
        <f aca="false">IF(AND(R736="修改",S736=""),"請選新事件代碼",IF(AND(R736&lt;&gt;"修改",S736&lt;&gt;""),"只有「修改」才需填代碼",""))</f>
        <v/>
      </c>
      <c r="Y736" s="21"/>
      <c r="Z736" s="22"/>
      <c r="AA736" s="23" t="s">
        <v>2332</v>
      </c>
      <c r="AB736" s="13"/>
    </row>
    <row r="737" customFormat="false" ht="44" hidden="false" customHeight="false" outlineLevel="0" collapsed="false">
      <c r="A737" s="16" t="n">
        <v>736</v>
      </c>
      <c r="B737" s="9" t="s">
        <v>65</v>
      </c>
      <c r="C737" s="9" t="s">
        <v>922</v>
      </c>
      <c r="D737" s="10" t="s">
        <v>923</v>
      </c>
      <c r="E737" s="24" t="s">
        <v>2333</v>
      </c>
      <c r="F737" s="12"/>
      <c r="G737" s="23" t="s">
        <v>501</v>
      </c>
      <c r="H737" s="14" t="n">
        <v>-0.714</v>
      </c>
      <c r="I737" s="15"/>
      <c r="J737" s="12"/>
      <c r="K737" s="9"/>
      <c r="L737" s="16" t="s">
        <v>51</v>
      </c>
      <c r="M737" s="17" t="s">
        <v>79</v>
      </c>
      <c r="N737" s="15"/>
      <c r="O737" s="16" t="s">
        <v>54</v>
      </c>
      <c r="P737" s="12" t="s">
        <v>2267</v>
      </c>
      <c r="Q737" s="16"/>
      <c r="R737" s="18" t="s">
        <v>79</v>
      </c>
      <c r="S737" s="19"/>
      <c r="T737" s="12" t="str">
        <f aca="false">IF(R737="維持",J737,IF(R737="排除","無關新聞事件",IFERROR(INDEX(事件規則!$B$2:$B$53,MATCH(S737,事件規則!$A$2:$A$53,0)),"")))</f>
        <v>無關新聞事件</v>
      </c>
      <c r="U737" s="20" t="n">
        <f aca="false">IF(R737="維持",K737,IF(R737="排除",0,IFERROR(INDEX(事件規則!$C$2:$C$53,MATCH(S737,事件規則!$A$2:$A$53,0)),"")))</f>
        <v>0</v>
      </c>
      <c r="V737" s="21"/>
      <c r="W737" s="22"/>
      <c r="X737" s="10" t="str">
        <f aca="false">IF(AND(R737="修改",S737=""),"請選新事件代碼",IF(AND(R737&lt;&gt;"修改",S737&lt;&gt;""),"只有「修改」才需填代碼",""))</f>
        <v/>
      </c>
      <c r="Y737" s="21"/>
      <c r="Z737" s="22"/>
      <c r="AA737" s="23" t="s">
        <v>2334</v>
      </c>
      <c r="AB737" s="13"/>
    </row>
    <row r="738" customFormat="false" ht="44" hidden="false" customHeight="false" outlineLevel="0" collapsed="false">
      <c r="A738" s="16" t="n">
        <v>737</v>
      </c>
      <c r="B738" s="9" t="s">
        <v>65</v>
      </c>
      <c r="C738" s="9" t="s">
        <v>2335</v>
      </c>
      <c r="D738" s="10" t="s">
        <v>2336</v>
      </c>
      <c r="E738" s="24" t="s">
        <v>2337</v>
      </c>
      <c r="F738" s="12"/>
      <c r="G738" s="23" t="s">
        <v>999</v>
      </c>
      <c r="H738" s="14" t="n">
        <v>-0.713</v>
      </c>
      <c r="I738" s="15"/>
      <c r="J738" s="12"/>
      <c r="K738" s="9"/>
      <c r="L738" s="16" t="s">
        <v>51</v>
      </c>
      <c r="M738" s="17" t="s">
        <v>79</v>
      </c>
      <c r="N738" s="15"/>
      <c r="O738" s="16" t="s">
        <v>54</v>
      </c>
      <c r="P738" s="12" t="s">
        <v>2267</v>
      </c>
      <c r="Q738" s="16"/>
      <c r="R738" s="18" t="s">
        <v>79</v>
      </c>
      <c r="S738" s="19"/>
      <c r="T738" s="12" t="str">
        <f aca="false">IF(R738="維持",J738,IF(R738="排除","無關新聞事件",IFERROR(INDEX(事件規則!$B$2:$B$53,MATCH(S738,事件規則!$A$2:$A$53,0)),"")))</f>
        <v>無關新聞事件</v>
      </c>
      <c r="U738" s="20" t="n">
        <f aca="false">IF(R738="維持",K738,IF(R738="排除",0,IFERROR(INDEX(事件規則!$C$2:$C$53,MATCH(S738,事件規則!$A$2:$A$53,0)),"")))</f>
        <v>0</v>
      </c>
      <c r="V738" s="21"/>
      <c r="W738" s="22"/>
      <c r="X738" s="10" t="str">
        <f aca="false">IF(AND(R738="修改",S738=""),"請選新事件代碼",IF(AND(R738&lt;&gt;"修改",S738&lt;&gt;""),"只有「修改」才需填代碼",""))</f>
        <v/>
      </c>
      <c r="Y738" s="21"/>
      <c r="Z738" s="22"/>
      <c r="AA738" s="23" t="s">
        <v>2338</v>
      </c>
      <c r="AB738" s="13"/>
    </row>
    <row r="739" customFormat="false" ht="44" hidden="false" customHeight="false" outlineLevel="0" collapsed="false">
      <c r="A739" s="16" t="n">
        <v>738</v>
      </c>
      <c r="B739" s="9" t="s">
        <v>331</v>
      </c>
      <c r="C739" s="9" t="s">
        <v>75</v>
      </c>
      <c r="D739" s="10" t="s">
        <v>76</v>
      </c>
      <c r="E739" s="24" t="s">
        <v>2339</v>
      </c>
      <c r="F739" s="12"/>
      <c r="G739" s="23" t="s">
        <v>224</v>
      </c>
      <c r="H739" s="14" t="n">
        <v>-0.713</v>
      </c>
      <c r="I739" s="15"/>
      <c r="J739" s="12"/>
      <c r="K739" s="9"/>
      <c r="L739" s="16" t="s">
        <v>51</v>
      </c>
      <c r="M739" s="17" t="s">
        <v>79</v>
      </c>
      <c r="N739" s="15"/>
      <c r="O739" s="16" t="s">
        <v>54</v>
      </c>
      <c r="P739" s="12" t="s">
        <v>2267</v>
      </c>
      <c r="Q739" s="16"/>
      <c r="R739" s="18" t="s">
        <v>79</v>
      </c>
      <c r="S739" s="19"/>
      <c r="T739" s="12" t="str">
        <f aca="false">IF(R739="維持",J739,IF(R739="排除","無關新聞事件",IFERROR(INDEX(事件規則!$B$2:$B$53,MATCH(S739,事件規則!$A$2:$A$53,0)),"")))</f>
        <v>無關新聞事件</v>
      </c>
      <c r="U739" s="20" t="n">
        <f aca="false">IF(R739="維持",K739,IF(R739="排除",0,IFERROR(INDEX(事件規則!$C$2:$C$53,MATCH(S739,事件規則!$A$2:$A$53,0)),"")))</f>
        <v>0</v>
      </c>
      <c r="V739" s="21"/>
      <c r="W739" s="22"/>
      <c r="X739" s="10" t="str">
        <f aca="false">IF(AND(R739="修改",S739=""),"請選新事件代碼",IF(AND(R739&lt;&gt;"修改",S739&lt;&gt;""),"只有「修改」才需填代碼",""))</f>
        <v/>
      </c>
      <c r="Y739" s="21"/>
      <c r="Z739" s="22"/>
      <c r="AA739" s="23" t="s">
        <v>2340</v>
      </c>
      <c r="AB739" s="13"/>
    </row>
    <row r="740" customFormat="false" ht="44" hidden="false" customHeight="false" outlineLevel="0" collapsed="false">
      <c r="A740" s="16" t="n">
        <v>739</v>
      </c>
      <c r="B740" s="9" t="s">
        <v>45</v>
      </c>
      <c r="C740" s="9" t="s">
        <v>534</v>
      </c>
      <c r="D740" s="10" t="s">
        <v>535</v>
      </c>
      <c r="E740" s="24" t="s">
        <v>2341</v>
      </c>
      <c r="F740" s="12"/>
      <c r="G740" s="23" t="s">
        <v>224</v>
      </c>
      <c r="H740" s="14" t="n">
        <v>-0.711</v>
      </c>
      <c r="I740" s="15"/>
      <c r="J740" s="12"/>
      <c r="K740" s="9"/>
      <c r="L740" s="16" t="s">
        <v>51</v>
      </c>
      <c r="M740" s="17" t="s">
        <v>79</v>
      </c>
      <c r="N740" s="15"/>
      <c r="O740" s="16" t="s">
        <v>54</v>
      </c>
      <c r="P740" s="12" t="s">
        <v>2267</v>
      </c>
      <c r="Q740" s="16"/>
      <c r="R740" s="18" t="s">
        <v>79</v>
      </c>
      <c r="S740" s="19"/>
      <c r="T740" s="12" t="str">
        <f aca="false">IF(R740="維持",J740,IF(R740="排除","無關新聞事件",IFERROR(INDEX(事件規則!$B$2:$B$53,MATCH(S740,事件規則!$A$2:$A$53,0)),"")))</f>
        <v>無關新聞事件</v>
      </c>
      <c r="U740" s="20" t="n">
        <f aca="false">IF(R740="維持",K740,IF(R740="排除",0,IFERROR(INDEX(事件規則!$C$2:$C$53,MATCH(S740,事件規則!$A$2:$A$53,0)),"")))</f>
        <v>0</v>
      </c>
      <c r="V740" s="21"/>
      <c r="W740" s="22"/>
      <c r="X740" s="10" t="str">
        <f aca="false">IF(AND(R740="修改",S740=""),"請選新事件代碼",IF(AND(R740&lt;&gt;"修改",S740&lt;&gt;""),"只有「修改」才需填代碼",""))</f>
        <v/>
      </c>
      <c r="Y740" s="21"/>
      <c r="Z740" s="22"/>
      <c r="AA740" s="23" t="s">
        <v>2342</v>
      </c>
      <c r="AB740" s="13"/>
    </row>
    <row r="741" customFormat="false" ht="44" hidden="false" customHeight="false" outlineLevel="0" collapsed="false">
      <c r="A741" s="16" t="n">
        <v>740</v>
      </c>
      <c r="B741" s="9" t="s">
        <v>386</v>
      </c>
      <c r="C741" s="9" t="s">
        <v>2343</v>
      </c>
      <c r="D741" s="10" t="s">
        <v>2344</v>
      </c>
      <c r="E741" s="24" t="s">
        <v>2345</v>
      </c>
      <c r="F741" s="12"/>
      <c r="G741" s="23" t="s">
        <v>1537</v>
      </c>
      <c r="H741" s="14" t="n">
        <v>-0.71</v>
      </c>
      <c r="I741" s="15"/>
      <c r="J741" s="12"/>
      <c r="K741" s="9"/>
      <c r="L741" s="16" t="s">
        <v>51</v>
      </c>
      <c r="M741" s="17" t="s">
        <v>79</v>
      </c>
      <c r="N741" s="15"/>
      <c r="O741" s="16" t="s">
        <v>54</v>
      </c>
      <c r="P741" s="12" t="s">
        <v>2267</v>
      </c>
      <c r="Q741" s="16"/>
      <c r="R741" s="18" t="s">
        <v>79</v>
      </c>
      <c r="S741" s="19"/>
      <c r="T741" s="12" t="str">
        <f aca="false">IF(R741="維持",J741,IF(R741="排除","無關新聞事件",IFERROR(INDEX(事件規則!$B$2:$B$53,MATCH(S741,事件規則!$A$2:$A$53,0)),"")))</f>
        <v>無關新聞事件</v>
      </c>
      <c r="U741" s="20" t="n">
        <f aca="false">IF(R741="維持",K741,IF(R741="排除",0,IFERROR(INDEX(事件規則!$C$2:$C$53,MATCH(S741,事件規則!$A$2:$A$53,0)),"")))</f>
        <v>0</v>
      </c>
      <c r="V741" s="21"/>
      <c r="W741" s="22"/>
      <c r="X741" s="10" t="str">
        <f aca="false">IF(AND(R741="修改",S741=""),"請選新事件代碼",IF(AND(R741&lt;&gt;"修改",S741&lt;&gt;""),"只有「修改」才需填代碼",""))</f>
        <v/>
      </c>
      <c r="Y741" s="21"/>
      <c r="Z741" s="22"/>
      <c r="AA741" s="23" t="s">
        <v>2346</v>
      </c>
      <c r="AB741" s="13"/>
    </row>
    <row r="742" customFormat="false" ht="44" hidden="false" customHeight="false" outlineLevel="0" collapsed="false">
      <c r="A742" s="16" t="n">
        <v>741</v>
      </c>
      <c r="B742" s="9" t="s">
        <v>65</v>
      </c>
      <c r="C742" s="9" t="s">
        <v>862</v>
      </c>
      <c r="D742" s="10" t="s">
        <v>863</v>
      </c>
      <c r="E742" s="24" t="s">
        <v>2347</v>
      </c>
      <c r="F742" s="12"/>
      <c r="G742" s="23" t="s">
        <v>2348</v>
      </c>
      <c r="H742" s="14" t="n">
        <v>-0.71</v>
      </c>
      <c r="I742" s="15"/>
      <c r="J742" s="12"/>
      <c r="K742" s="9"/>
      <c r="L742" s="16" t="s">
        <v>51</v>
      </c>
      <c r="M742" s="17" t="s">
        <v>79</v>
      </c>
      <c r="N742" s="15"/>
      <c r="O742" s="16" t="s">
        <v>54</v>
      </c>
      <c r="P742" s="12" t="s">
        <v>2267</v>
      </c>
      <c r="Q742" s="16"/>
      <c r="R742" s="18" t="s">
        <v>79</v>
      </c>
      <c r="S742" s="19"/>
      <c r="T742" s="12" t="str">
        <f aca="false">IF(R742="維持",J742,IF(R742="排除","無關新聞事件",IFERROR(INDEX(事件規則!$B$2:$B$53,MATCH(S742,事件規則!$A$2:$A$53,0)),"")))</f>
        <v>無關新聞事件</v>
      </c>
      <c r="U742" s="20" t="n">
        <f aca="false">IF(R742="維持",K742,IF(R742="排除",0,IFERROR(INDEX(事件規則!$C$2:$C$53,MATCH(S742,事件規則!$A$2:$A$53,0)),"")))</f>
        <v>0</v>
      </c>
      <c r="V742" s="21"/>
      <c r="W742" s="22"/>
      <c r="X742" s="10" t="str">
        <f aca="false">IF(AND(R742="修改",S742=""),"請選新事件代碼",IF(AND(R742&lt;&gt;"修改",S742&lt;&gt;""),"只有「修改」才需填代碼",""))</f>
        <v/>
      </c>
      <c r="Y742" s="21"/>
      <c r="Z742" s="22"/>
      <c r="AA742" s="23" t="s">
        <v>2349</v>
      </c>
      <c r="AB742" s="13"/>
    </row>
    <row r="743" customFormat="false" ht="44" hidden="false" customHeight="false" outlineLevel="0" collapsed="false">
      <c r="A743" s="16" t="n">
        <v>742</v>
      </c>
      <c r="B743" s="9" t="s">
        <v>65</v>
      </c>
      <c r="C743" s="9" t="s">
        <v>108</v>
      </c>
      <c r="D743" s="10" t="s">
        <v>109</v>
      </c>
      <c r="E743" s="24" t="s">
        <v>2350</v>
      </c>
      <c r="F743" s="12"/>
      <c r="G743" s="23" t="s">
        <v>2351</v>
      </c>
      <c r="H743" s="14" t="n">
        <v>-0.709</v>
      </c>
      <c r="I743" s="15"/>
      <c r="J743" s="12"/>
      <c r="K743" s="9"/>
      <c r="L743" s="16" t="s">
        <v>51</v>
      </c>
      <c r="M743" s="17" t="s">
        <v>79</v>
      </c>
      <c r="N743" s="15"/>
      <c r="O743" s="16" t="s">
        <v>54</v>
      </c>
      <c r="P743" s="12" t="s">
        <v>2267</v>
      </c>
      <c r="Q743" s="16"/>
      <c r="R743" s="18" t="s">
        <v>79</v>
      </c>
      <c r="S743" s="19"/>
      <c r="T743" s="12" t="str">
        <f aca="false">IF(R743="維持",J743,IF(R743="排除","無關新聞事件",IFERROR(INDEX(事件規則!$B$2:$B$53,MATCH(S743,事件規則!$A$2:$A$53,0)),"")))</f>
        <v>無關新聞事件</v>
      </c>
      <c r="U743" s="20" t="n">
        <f aca="false">IF(R743="維持",K743,IF(R743="排除",0,IFERROR(INDEX(事件規則!$C$2:$C$53,MATCH(S743,事件規則!$A$2:$A$53,0)),"")))</f>
        <v>0</v>
      </c>
      <c r="V743" s="21"/>
      <c r="W743" s="22"/>
      <c r="X743" s="10" t="str">
        <f aca="false">IF(AND(R743="修改",S743=""),"請選新事件代碼",IF(AND(R743&lt;&gt;"修改",S743&lt;&gt;""),"只有「修改」才需填代碼",""))</f>
        <v/>
      </c>
      <c r="Y743" s="21"/>
      <c r="Z743" s="22"/>
      <c r="AA743" s="23" t="s">
        <v>2352</v>
      </c>
      <c r="AB743" s="13"/>
    </row>
    <row r="744" customFormat="false" ht="44" hidden="false" customHeight="false" outlineLevel="0" collapsed="false">
      <c r="A744" s="16" t="n">
        <v>743</v>
      </c>
      <c r="B744" s="9" t="s">
        <v>65</v>
      </c>
      <c r="C744" s="9" t="s">
        <v>594</v>
      </c>
      <c r="D744" s="10" t="s">
        <v>595</v>
      </c>
      <c r="E744" s="24" t="s">
        <v>2353</v>
      </c>
      <c r="F744" s="12"/>
      <c r="G744" s="23" t="s">
        <v>2354</v>
      </c>
      <c r="H744" s="14" t="n">
        <v>-0.708</v>
      </c>
      <c r="I744" s="15"/>
      <c r="J744" s="12"/>
      <c r="K744" s="9"/>
      <c r="L744" s="16" t="s">
        <v>51</v>
      </c>
      <c r="M744" s="17" t="s">
        <v>79</v>
      </c>
      <c r="N744" s="15"/>
      <c r="O744" s="16" t="s">
        <v>54</v>
      </c>
      <c r="P744" s="12" t="s">
        <v>2267</v>
      </c>
      <c r="Q744" s="16"/>
      <c r="R744" s="18" t="s">
        <v>79</v>
      </c>
      <c r="S744" s="19"/>
      <c r="T744" s="12" t="str">
        <f aca="false">IF(R744="維持",J744,IF(R744="排除","無關新聞事件",IFERROR(INDEX(事件規則!$B$2:$B$53,MATCH(S744,事件規則!$A$2:$A$53,0)),"")))</f>
        <v>無關新聞事件</v>
      </c>
      <c r="U744" s="20" t="n">
        <f aca="false">IF(R744="維持",K744,IF(R744="排除",0,IFERROR(INDEX(事件規則!$C$2:$C$53,MATCH(S744,事件規則!$A$2:$A$53,0)),"")))</f>
        <v>0</v>
      </c>
      <c r="V744" s="21"/>
      <c r="W744" s="22"/>
      <c r="X744" s="10" t="str">
        <f aca="false">IF(AND(R744="修改",S744=""),"請選新事件代碼",IF(AND(R744&lt;&gt;"修改",S744&lt;&gt;""),"只有「修改」才需填代碼",""))</f>
        <v/>
      </c>
      <c r="Y744" s="21"/>
      <c r="Z744" s="22"/>
      <c r="AA744" s="23" t="s">
        <v>2355</v>
      </c>
      <c r="AB744" s="13"/>
    </row>
    <row r="745" customFormat="false" ht="44" hidden="false" customHeight="false" outlineLevel="0" collapsed="false">
      <c r="A745" s="16" t="n">
        <v>744</v>
      </c>
      <c r="B745" s="9" t="s">
        <v>65</v>
      </c>
      <c r="C745" s="9" t="s">
        <v>1565</v>
      </c>
      <c r="D745" s="10" t="s">
        <v>1566</v>
      </c>
      <c r="E745" s="24" t="s">
        <v>2356</v>
      </c>
      <c r="F745" s="12"/>
      <c r="G745" s="23" t="s">
        <v>152</v>
      </c>
      <c r="H745" s="14" t="n">
        <v>-0.707</v>
      </c>
      <c r="I745" s="15"/>
      <c r="J745" s="12"/>
      <c r="K745" s="9"/>
      <c r="L745" s="16" t="s">
        <v>51</v>
      </c>
      <c r="M745" s="17" t="s">
        <v>79</v>
      </c>
      <c r="N745" s="15"/>
      <c r="O745" s="16" t="s">
        <v>54</v>
      </c>
      <c r="P745" s="12" t="s">
        <v>2267</v>
      </c>
      <c r="Q745" s="16"/>
      <c r="R745" s="18" t="s">
        <v>79</v>
      </c>
      <c r="S745" s="19"/>
      <c r="T745" s="12" t="str">
        <f aca="false">IF(R745="維持",J745,IF(R745="排除","無關新聞事件",IFERROR(INDEX(事件規則!$B$2:$B$53,MATCH(S745,事件規則!$A$2:$A$53,0)),"")))</f>
        <v>無關新聞事件</v>
      </c>
      <c r="U745" s="20" t="n">
        <f aca="false">IF(R745="維持",K745,IF(R745="排除",0,IFERROR(INDEX(事件規則!$C$2:$C$53,MATCH(S745,事件規則!$A$2:$A$53,0)),"")))</f>
        <v>0</v>
      </c>
      <c r="V745" s="21"/>
      <c r="W745" s="22"/>
      <c r="X745" s="10" t="str">
        <f aca="false">IF(AND(R745="修改",S745=""),"請選新事件代碼",IF(AND(R745&lt;&gt;"修改",S745&lt;&gt;""),"只有「修改」才需填代碼",""))</f>
        <v/>
      </c>
      <c r="Y745" s="21"/>
      <c r="Z745" s="22"/>
      <c r="AA745" s="23" t="s">
        <v>2357</v>
      </c>
      <c r="AB745" s="13"/>
    </row>
    <row r="746" customFormat="false" ht="44" hidden="false" customHeight="false" outlineLevel="0" collapsed="false">
      <c r="A746" s="16" t="n">
        <v>745</v>
      </c>
      <c r="B746" s="9" t="s">
        <v>45</v>
      </c>
      <c r="C746" s="9" t="s">
        <v>108</v>
      </c>
      <c r="D746" s="10" t="s">
        <v>109</v>
      </c>
      <c r="E746" s="24" t="s">
        <v>2358</v>
      </c>
      <c r="F746" s="12"/>
      <c r="G746" s="23" t="s">
        <v>152</v>
      </c>
      <c r="H746" s="14" t="n">
        <v>-0.707</v>
      </c>
      <c r="I746" s="15"/>
      <c r="J746" s="12"/>
      <c r="K746" s="9"/>
      <c r="L746" s="16" t="s">
        <v>51</v>
      </c>
      <c r="M746" s="17" t="s">
        <v>79</v>
      </c>
      <c r="N746" s="15"/>
      <c r="O746" s="16" t="s">
        <v>54</v>
      </c>
      <c r="P746" s="12" t="s">
        <v>2267</v>
      </c>
      <c r="Q746" s="16"/>
      <c r="R746" s="18" t="s">
        <v>79</v>
      </c>
      <c r="S746" s="19"/>
      <c r="T746" s="12" t="str">
        <f aca="false">IF(R746="維持",J746,IF(R746="排除","無關新聞事件",IFERROR(INDEX(事件規則!$B$2:$B$53,MATCH(S746,事件規則!$A$2:$A$53,0)),"")))</f>
        <v>無關新聞事件</v>
      </c>
      <c r="U746" s="20" t="n">
        <f aca="false">IF(R746="維持",K746,IF(R746="排除",0,IFERROR(INDEX(事件規則!$C$2:$C$53,MATCH(S746,事件規則!$A$2:$A$53,0)),"")))</f>
        <v>0</v>
      </c>
      <c r="V746" s="21"/>
      <c r="W746" s="22"/>
      <c r="X746" s="10" t="str">
        <f aca="false">IF(AND(R746="修改",S746=""),"請選新事件代碼",IF(AND(R746&lt;&gt;"修改",S746&lt;&gt;""),"只有「修改」才需填代碼",""))</f>
        <v/>
      </c>
      <c r="Y746" s="21"/>
      <c r="Z746" s="22"/>
      <c r="AA746" s="23" t="s">
        <v>2359</v>
      </c>
      <c r="AB746" s="13"/>
    </row>
    <row r="747" customFormat="false" ht="44" hidden="false" customHeight="false" outlineLevel="0" collapsed="false">
      <c r="A747" s="16" t="n">
        <v>746</v>
      </c>
      <c r="B747" s="9" t="s">
        <v>65</v>
      </c>
      <c r="C747" s="9" t="s">
        <v>179</v>
      </c>
      <c r="D747" s="10" t="s">
        <v>180</v>
      </c>
      <c r="E747" s="24" t="s">
        <v>2360</v>
      </c>
      <c r="F747" s="12"/>
      <c r="G747" s="23" t="s">
        <v>899</v>
      </c>
      <c r="H747" s="14" t="n">
        <v>-0.707</v>
      </c>
      <c r="I747" s="15"/>
      <c r="J747" s="12"/>
      <c r="K747" s="9"/>
      <c r="L747" s="16" t="s">
        <v>51</v>
      </c>
      <c r="M747" s="17" t="s">
        <v>79</v>
      </c>
      <c r="N747" s="15"/>
      <c r="O747" s="16" t="s">
        <v>54</v>
      </c>
      <c r="P747" s="12" t="s">
        <v>2267</v>
      </c>
      <c r="Q747" s="16"/>
      <c r="R747" s="18" t="s">
        <v>79</v>
      </c>
      <c r="S747" s="19"/>
      <c r="T747" s="12" t="str">
        <f aca="false">IF(R747="維持",J747,IF(R747="排除","無關新聞事件",IFERROR(INDEX(事件規則!$B$2:$B$53,MATCH(S747,事件規則!$A$2:$A$53,0)),"")))</f>
        <v>無關新聞事件</v>
      </c>
      <c r="U747" s="20" t="n">
        <f aca="false">IF(R747="維持",K747,IF(R747="排除",0,IFERROR(INDEX(事件規則!$C$2:$C$53,MATCH(S747,事件規則!$A$2:$A$53,0)),"")))</f>
        <v>0</v>
      </c>
      <c r="V747" s="21"/>
      <c r="W747" s="22"/>
      <c r="X747" s="10" t="str">
        <f aca="false">IF(AND(R747="修改",S747=""),"請選新事件代碼",IF(AND(R747&lt;&gt;"修改",S747&lt;&gt;""),"只有「修改」才需填代碼",""))</f>
        <v/>
      </c>
      <c r="Y747" s="21"/>
      <c r="Z747" s="22"/>
      <c r="AA747" s="23" t="s">
        <v>2361</v>
      </c>
      <c r="AB747" s="13"/>
    </row>
    <row r="748" customFormat="false" ht="44" hidden="false" customHeight="false" outlineLevel="0" collapsed="false">
      <c r="A748" s="16" t="n">
        <v>747</v>
      </c>
      <c r="B748" s="9" t="s">
        <v>45</v>
      </c>
      <c r="C748" s="9" t="s">
        <v>246</v>
      </c>
      <c r="D748" s="10" t="s">
        <v>247</v>
      </c>
      <c r="E748" s="24" t="s">
        <v>2362</v>
      </c>
      <c r="F748" s="12"/>
      <c r="G748" s="23" t="s">
        <v>2363</v>
      </c>
      <c r="H748" s="14" t="n">
        <v>-0.706</v>
      </c>
      <c r="I748" s="15"/>
      <c r="J748" s="12"/>
      <c r="K748" s="9"/>
      <c r="L748" s="16" t="s">
        <v>51</v>
      </c>
      <c r="M748" s="17" t="s">
        <v>79</v>
      </c>
      <c r="N748" s="15"/>
      <c r="O748" s="16" t="s">
        <v>54</v>
      </c>
      <c r="P748" s="12" t="s">
        <v>2267</v>
      </c>
      <c r="Q748" s="16"/>
      <c r="R748" s="18" t="s">
        <v>79</v>
      </c>
      <c r="S748" s="19"/>
      <c r="T748" s="12" t="str">
        <f aca="false">IF(R748="維持",J748,IF(R748="排除","無關新聞事件",IFERROR(INDEX(事件規則!$B$2:$B$53,MATCH(S748,事件規則!$A$2:$A$53,0)),"")))</f>
        <v>無關新聞事件</v>
      </c>
      <c r="U748" s="20" t="n">
        <f aca="false">IF(R748="維持",K748,IF(R748="排除",0,IFERROR(INDEX(事件規則!$C$2:$C$53,MATCH(S748,事件規則!$A$2:$A$53,0)),"")))</f>
        <v>0</v>
      </c>
      <c r="V748" s="21"/>
      <c r="W748" s="22"/>
      <c r="X748" s="10" t="str">
        <f aca="false">IF(AND(R748="修改",S748=""),"請選新事件代碼",IF(AND(R748&lt;&gt;"修改",S748&lt;&gt;""),"只有「修改」才需填代碼",""))</f>
        <v/>
      </c>
      <c r="Y748" s="21"/>
      <c r="Z748" s="22"/>
      <c r="AA748" s="23" t="s">
        <v>2364</v>
      </c>
      <c r="AB748" s="13"/>
    </row>
    <row r="749" customFormat="false" ht="44" hidden="false" customHeight="false" outlineLevel="0" collapsed="false">
      <c r="A749" s="16" t="n">
        <v>748</v>
      </c>
      <c r="B749" s="9" t="s">
        <v>45</v>
      </c>
      <c r="C749" s="9" t="s">
        <v>1207</v>
      </c>
      <c r="D749" s="10" t="s">
        <v>1208</v>
      </c>
      <c r="E749" s="24" t="s">
        <v>2365</v>
      </c>
      <c r="F749" s="12"/>
      <c r="G749" s="23" t="s">
        <v>224</v>
      </c>
      <c r="H749" s="14" t="n">
        <v>-0.705</v>
      </c>
      <c r="I749" s="15"/>
      <c r="J749" s="12"/>
      <c r="K749" s="9"/>
      <c r="L749" s="16" t="s">
        <v>51</v>
      </c>
      <c r="M749" s="17" t="s">
        <v>79</v>
      </c>
      <c r="N749" s="15"/>
      <c r="O749" s="16" t="s">
        <v>54</v>
      </c>
      <c r="P749" s="12" t="s">
        <v>2267</v>
      </c>
      <c r="Q749" s="16"/>
      <c r="R749" s="18" t="s">
        <v>79</v>
      </c>
      <c r="S749" s="19"/>
      <c r="T749" s="12" t="str">
        <f aca="false">IF(R749="維持",J749,IF(R749="排除","無關新聞事件",IFERROR(INDEX(事件規則!$B$2:$B$53,MATCH(S749,事件規則!$A$2:$A$53,0)),"")))</f>
        <v>無關新聞事件</v>
      </c>
      <c r="U749" s="20" t="n">
        <f aca="false">IF(R749="維持",K749,IF(R749="排除",0,IFERROR(INDEX(事件規則!$C$2:$C$53,MATCH(S749,事件規則!$A$2:$A$53,0)),"")))</f>
        <v>0</v>
      </c>
      <c r="V749" s="21"/>
      <c r="W749" s="22"/>
      <c r="X749" s="10" t="str">
        <f aca="false">IF(AND(R749="修改",S749=""),"請選新事件代碼",IF(AND(R749&lt;&gt;"修改",S749&lt;&gt;""),"只有「修改」才需填代碼",""))</f>
        <v/>
      </c>
      <c r="Y749" s="21"/>
      <c r="Z749" s="22"/>
      <c r="AA749" s="23" t="s">
        <v>2366</v>
      </c>
      <c r="AB749" s="13"/>
    </row>
    <row r="750" customFormat="false" ht="44" hidden="false" customHeight="false" outlineLevel="0" collapsed="false">
      <c r="A750" s="16" t="n">
        <v>749</v>
      </c>
      <c r="B750" s="9" t="s">
        <v>65</v>
      </c>
      <c r="C750" s="9" t="s">
        <v>768</v>
      </c>
      <c r="D750" s="10" t="s">
        <v>769</v>
      </c>
      <c r="E750" s="24" t="s">
        <v>2367</v>
      </c>
      <c r="F750" s="12"/>
      <c r="G750" s="23" t="s">
        <v>2368</v>
      </c>
      <c r="H750" s="14" t="n">
        <v>-0.705</v>
      </c>
      <c r="I750" s="15"/>
      <c r="J750" s="12"/>
      <c r="K750" s="9"/>
      <c r="L750" s="16" t="s">
        <v>51</v>
      </c>
      <c r="M750" s="17" t="s">
        <v>79</v>
      </c>
      <c r="N750" s="15"/>
      <c r="O750" s="16" t="s">
        <v>54</v>
      </c>
      <c r="P750" s="12" t="s">
        <v>2267</v>
      </c>
      <c r="Q750" s="16"/>
      <c r="R750" s="18" t="s">
        <v>79</v>
      </c>
      <c r="S750" s="19"/>
      <c r="T750" s="12" t="str">
        <f aca="false">IF(R750="維持",J750,IF(R750="排除","無關新聞事件",IFERROR(INDEX(事件規則!$B$2:$B$53,MATCH(S750,事件規則!$A$2:$A$53,0)),"")))</f>
        <v>無關新聞事件</v>
      </c>
      <c r="U750" s="20" t="n">
        <f aca="false">IF(R750="維持",K750,IF(R750="排除",0,IFERROR(INDEX(事件規則!$C$2:$C$53,MATCH(S750,事件規則!$A$2:$A$53,0)),"")))</f>
        <v>0</v>
      </c>
      <c r="V750" s="21"/>
      <c r="W750" s="22"/>
      <c r="X750" s="10" t="str">
        <f aca="false">IF(AND(R750="修改",S750=""),"請選新事件代碼",IF(AND(R750&lt;&gt;"修改",S750&lt;&gt;""),"只有「修改」才需填代碼",""))</f>
        <v/>
      </c>
      <c r="Y750" s="21"/>
      <c r="Z750" s="22"/>
      <c r="AA750" s="23" t="s">
        <v>2369</v>
      </c>
      <c r="AB750" s="13"/>
    </row>
    <row r="751" customFormat="false" ht="44" hidden="false" customHeight="false" outlineLevel="0" collapsed="false">
      <c r="A751" s="16" t="n">
        <v>750</v>
      </c>
      <c r="B751" s="9" t="s">
        <v>45</v>
      </c>
      <c r="C751" s="9" t="s">
        <v>2370</v>
      </c>
      <c r="D751" s="10" t="s">
        <v>2371</v>
      </c>
      <c r="E751" s="24" t="s">
        <v>2372</v>
      </c>
      <c r="F751" s="12"/>
      <c r="G751" s="23" t="s">
        <v>2373</v>
      </c>
      <c r="H751" s="14" t="n">
        <v>-0.705</v>
      </c>
      <c r="I751" s="15"/>
      <c r="J751" s="12"/>
      <c r="K751" s="9"/>
      <c r="L751" s="16" t="s">
        <v>51</v>
      </c>
      <c r="M751" s="17" t="s">
        <v>79</v>
      </c>
      <c r="N751" s="15"/>
      <c r="O751" s="16" t="s">
        <v>54</v>
      </c>
      <c r="P751" s="12" t="s">
        <v>2267</v>
      </c>
      <c r="Q751" s="16"/>
      <c r="R751" s="18" t="s">
        <v>79</v>
      </c>
      <c r="S751" s="19"/>
      <c r="T751" s="12" t="str">
        <f aca="false">IF(R751="維持",J751,IF(R751="排除","無關新聞事件",IFERROR(INDEX(事件規則!$B$2:$B$53,MATCH(S751,事件規則!$A$2:$A$53,0)),"")))</f>
        <v>無關新聞事件</v>
      </c>
      <c r="U751" s="20" t="n">
        <f aca="false">IF(R751="維持",K751,IF(R751="排除",0,IFERROR(INDEX(事件規則!$C$2:$C$53,MATCH(S751,事件規則!$A$2:$A$53,0)),"")))</f>
        <v>0</v>
      </c>
      <c r="V751" s="21"/>
      <c r="W751" s="22"/>
      <c r="X751" s="10" t="str">
        <f aca="false">IF(AND(R751="修改",S751=""),"請選新事件代碼",IF(AND(R751&lt;&gt;"修改",S751&lt;&gt;""),"只有「修改」才需填代碼",""))</f>
        <v/>
      </c>
      <c r="Y751" s="21"/>
      <c r="Z751" s="22"/>
      <c r="AA751" s="23" t="s">
        <v>2374</v>
      </c>
      <c r="AB751" s="13"/>
    </row>
    <row r="752" customFormat="false" ht="44" hidden="false" customHeight="false" outlineLevel="0" collapsed="false">
      <c r="A752" s="16" t="n">
        <v>751</v>
      </c>
      <c r="B752" s="9" t="s">
        <v>65</v>
      </c>
      <c r="C752" s="9" t="s">
        <v>594</v>
      </c>
      <c r="D752" s="10" t="s">
        <v>595</v>
      </c>
      <c r="E752" s="24" t="s">
        <v>2375</v>
      </c>
      <c r="F752" s="12"/>
      <c r="G752" s="23" t="s">
        <v>2376</v>
      </c>
      <c r="H752" s="14" t="n">
        <v>-0.704</v>
      </c>
      <c r="I752" s="15"/>
      <c r="J752" s="12"/>
      <c r="K752" s="9"/>
      <c r="L752" s="16" t="s">
        <v>51</v>
      </c>
      <c r="M752" s="17" t="s">
        <v>79</v>
      </c>
      <c r="N752" s="15"/>
      <c r="O752" s="16" t="s">
        <v>54</v>
      </c>
      <c r="P752" s="12" t="s">
        <v>2267</v>
      </c>
      <c r="Q752" s="16"/>
      <c r="R752" s="18" t="s">
        <v>79</v>
      </c>
      <c r="S752" s="19"/>
      <c r="T752" s="12" t="str">
        <f aca="false">IF(R752="維持",J752,IF(R752="排除","無關新聞事件",IFERROR(INDEX(事件規則!$B$2:$B$53,MATCH(S752,事件規則!$A$2:$A$53,0)),"")))</f>
        <v>無關新聞事件</v>
      </c>
      <c r="U752" s="20" t="n">
        <f aca="false">IF(R752="維持",K752,IF(R752="排除",0,IFERROR(INDEX(事件規則!$C$2:$C$53,MATCH(S752,事件規則!$A$2:$A$53,0)),"")))</f>
        <v>0</v>
      </c>
      <c r="V752" s="21"/>
      <c r="W752" s="22"/>
      <c r="X752" s="10" t="str">
        <f aca="false">IF(AND(R752="修改",S752=""),"請選新事件代碼",IF(AND(R752&lt;&gt;"修改",S752&lt;&gt;""),"只有「修改」才需填代碼",""))</f>
        <v/>
      </c>
      <c r="Y752" s="21"/>
      <c r="Z752" s="22"/>
      <c r="AA752" s="23" t="s">
        <v>2377</v>
      </c>
      <c r="AB752" s="13"/>
    </row>
    <row r="753" customFormat="false" ht="44" hidden="false" customHeight="false" outlineLevel="0" collapsed="false">
      <c r="A753" s="16" t="n">
        <v>752</v>
      </c>
      <c r="B753" s="9" t="s">
        <v>65</v>
      </c>
      <c r="C753" s="9" t="s">
        <v>854</v>
      </c>
      <c r="D753" s="10" t="s">
        <v>855</v>
      </c>
      <c r="E753" s="24" t="s">
        <v>2375</v>
      </c>
      <c r="F753" s="12"/>
      <c r="G753" s="23" t="s">
        <v>2376</v>
      </c>
      <c r="H753" s="14" t="n">
        <v>-0.704</v>
      </c>
      <c r="I753" s="15"/>
      <c r="J753" s="12"/>
      <c r="K753" s="9"/>
      <c r="L753" s="16" t="s">
        <v>51</v>
      </c>
      <c r="M753" s="17" t="s">
        <v>79</v>
      </c>
      <c r="N753" s="15"/>
      <c r="O753" s="16" t="s">
        <v>54</v>
      </c>
      <c r="P753" s="12" t="s">
        <v>2267</v>
      </c>
      <c r="Q753" s="16"/>
      <c r="R753" s="18" t="s">
        <v>79</v>
      </c>
      <c r="S753" s="19"/>
      <c r="T753" s="12" t="str">
        <f aca="false">IF(R753="維持",J753,IF(R753="排除","無關新聞事件",IFERROR(INDEX(事件規則!$B$2:$B$53,MATCH(S753,事件規則!$A$2:$A$53,0)),"")))</f>
        <v>無關新聞事件</v>
      </c>
      <c r="U753" s="20" t="n">
        <f aca="false">IF(R753="維持",K753,IF(R753="排除",0,IFERROR(INDEX(事件規則!$C$2:$C$53,MATCH(S753,事件規則!$A$2:$A$53,0)),"")))</f>
        <v>0</v>
      </c>
      <c r="V753" s="21"/>
      <c r="W753" s="22"/>
      <c r="X753" s="10" t="str">
        <f aca="false">IF(AND(R753="修改",S753=""),"請選新事件代碼",IF(AND(R753&lt;&gt;"修改",S753&lt;&gt;""),"只有「修改」才需填代碼",""))</f>
        <v/>
      </c>
      <c r="Y753" s="21"/>
      <c r="Z753" s="22"/>
      <c r="AA753" s="23" t="s">
        <v>2378</v>
      </c>
      <c r="AB753" s="13"/>
    </row>
    <row r="754" customFormat="false" ht="44" hidden="false" customHeight="false" outlineLevel="0" collapsed="false">
      <c r="A754" s="16" t="n">
        <v>753</v>
      </c>
      <c r="B754" s="9" t="s">
        <v>65</v>
      </c>
      <c r="C754" s="9" t="s">
        <v>1302</v>
      </c>
      <c r="D754" s="10" t="s">
        <v>1303</v>
      </c>
      <c r="E754" s="24" t="s">
        <v>2379</v>
      </c>
      <c r="F754" s="12"/>
      <c r="G754" s="23" t="s">
        <v>2380</v>
      </c>
      <c r="H754" s="14" t="n">
        <v>-0.703</v>
      </c>
      <c r="I754" s="15"/>
      <c r="J754" s="12"/>
      <c r="K754" s="9"/>
      <c r="L754" s="16" t="s">
        <v>51</v>
      </c>
      <c r="M754" s="17" t="s">
        <v>79</v>
      </c>
      <c r="N754" s="15"/>
      <c r="O754" s="16" t="s">
        <v>54</v>
      </c>
      <c r="P754" s="12" t="s">
        <v>2267</v>
      </c>
      <c r="Q754" s="16"/>
      <c r="R754" s="18" t="s">
        <v>79</v>
      </c>
      <c r="S754" s="19"/>
      <c r="T754" s="12" t="str">
        <f aca="false">IF(R754="維持",J754,IF(R754="排除","無關新聞事件",IFERROR(INDEX(事件規則!$B$2:$B$53,MATCH(S754,事件規則!$A$2:$A$53,0)),"")))</f>
        <v>無關新聞事件</v>
      </c>
      <c r="U754" s="20" t="n">
        <f aca="false">IF(R754="維持",K754,IF(R754="排除",0,IFERROR(INDEX(事件規則!$C$2:$C$53,MATCH(S754,事件規則!$A$2:$A$53,0)),"")))</f>
        <v>0</v>
      </c>
      <c r="V754" s="21"/>
      <c r="W754" s="22"/>
      <c r="X754" s="10" t="str">
        <f aca="false">IF(AND(R754="修改",S754=""),"請選新事件代碼",IF(AND(R754&lt;&gt;"修改",S754&lt;&gt;""),"只有「修改」才需填代碼",""))</f>
        <v/>
      </c>
      <c r="Y754" s="21"/>
      <c r="Z754" s="22"/>
      <c r="AA754" s="23" t="s">
        <v>2381</v>
      </c>
      <c r="AB754" s="13"/>
    </row>
    <row r="755" customFormat="false" ht="44" hidden="false" customHeight="false" outlineLevel="0" collapsed="false">
      <c r="A755" s="16" t="n">
        <v>754</v>
      </c>
      <c r="B755" s="9" t="s">
        <v>331</v>
      </c>
      <c r="C755" s="9" t="s">
        <v>2058</v>
      </c>
      <c r="D755" s="10" t="s">
        <v>2059</v>
      </c>
      <c r="E755" s="24" t="s">
        <v>2382</v>
      </c>
      <c r="F755" s="12"/>
      <c r="G755" s="23" t="s">
        <v>2383</v>
      </c>
      <c r="H755" s="14" t="n">
        <v>-0.702</v>
      </c>
      <c r="I755" s="15"/>
      <c r="J755" s="12"/>
      <c r="K755" s="9"/>
      <c r="L755" s="16" t="s">
        <v>51</v>
      </c>
      <c r="M755" s="17" t="s">
        <v>79</v>
      </c>
      <c r="N755" s="15"/>
      <c r="O755" s="16" t="s">
        <v>54</v>
      </c>
      <c r="P755" s="12" t="s">
        <v>2267</v>
      </c>
      <c r="Q755" s="16"/>
      <c r="R755" s="18" t="s">
        <v>79</v>
      </c>
      <c r="S755" s="19"/>
      <c r="T755" s="12" t="str">
        <f aca="false">IF(R755="維持",J755,IF(R755="排除","無關新聞事件",IFERROR(INDEX(事件規則!$B$2:$B$53,MATCH(S755,事件規則!$A$2:$A$53,0)),"")))</f>
        <v>無關新聞事件</v>
      </c>
      <c r="U755" s="20" t="n">
        <f aca="false">IF(R755="維持",K755,IF(R755="排除",0,IFERROR(INDEX(事件規則!$C$2:$C$53,MATCH(S755,事件規則!$A$2:$A$53,0)),"")))</f>
        <v>0</v>
      </c>
      <c r="V755" s="21"/>
      <c r="W755" s="22"/>
      <c r="X755" s="10" t="str">
        <f aca="false">IF(AND(R755="修改",S755=""),"請選新事件代碼",IF(AND(R755&lt;&gt;"修改",S755&lt;&gt;""),"只有「修改」才需填代碼",""))</f>
        <v/>
      </c>
      <c r="Y755" s="21"/>
      <c r="Z755" s="22"/>
      <c r="AA755" s="23" t="s">
        <v>2384</v>
      </c>
      <c r="AB755" s="13"/>
    </row>
    <row r="756" customFormat="false" ht="44" hidden="false" customHeight="false" outlineLevel="0" collapsed="false">
      <c r="A756" s="16" t="n">
        <v>755</v>
      </c>
      <c r="B756" s="9" t="s">
        <v>331</v>
      </c>
      <c r="C756" s="9" t="s">
        <v>132</v>
      </c>
      <c r="D756" s="10" t="s">
        <v>133</v>
      </c>
      <c r="E756" s="24" t="s">
        <v>2385</v>
      </c>
      <c r="F756" s="12"/>
      <c r="G756" s="23" t="s">
        <v>1749</v>
      </c>
      <c r="H756" s="14" t="n">
        <v>-0.702</v>
      </c>
      <c r="I756" s="15"/>
      <c r="J756" s="12"/>
      <c r="K756" s="9"/>
      <c r="L756" s="16" t="s">
        <v>51</v>
      </c>
      <c r="M756" s="17" t="s">
        <v>79</v>
      </c>
      <c r="N756" s="15"/>
      <c r="O756" s="16" t="s">
        <v>54</v>
      </c>
      <c r="P756" s="12" t="s">
        <v>2267</v>
      </c>
      <c r="Q756" s="16"/>
      <c r="R756" s="18" t="s">
        <v>79</v>
      </c>
      <c r="S756" s="19"/>
      <c r="T756" s="12" t="str">
        <f aca="false">IF(R756="維持",J756,IF(R756="排除","無關新聞事件",IFERROR(INDEX(事件規則!$B$2:$B$53,MATCH(S756,事件規則!$A$2:$A$53,0)),"")))</f>
        <v>無關新聞事件</v>
      </c>
      <c r="U756" s="20" t="n">
        <f aca="false">IF(R756="維持",K756,IF(R756="排除",0,IFERROR(INDEX(事件規則!$C$2:$C$53,MATCH(S756,事件規則!$A$2:$A$53,0)),"")))</f>
        <v>0</v>
      </c>
      <c r="V756" s="21"/>
      <c r="W756" s="22"/>
      <c r="X756" s="10" t="str">
        <f aca="false">IF(AND(R756="修改",S756=""),"請選新事件代碼",IF(AND(R756&lt;&gt;"修改",S756&lt;&gt;""),"只有「修改」才需填代碼",""))</f>
        <v/>
      </c>
      <c r="Y756" s="21"/>
      <c r="Z756" s="22"/>
      <c r="AA756" s="23" t="s">
        <v>2386</v>
      </c>
      <c r="AB756" s="13"/>
    </row>
    <row r="757" customFormat="false" ht="44" hidden="false" customHeight="false" outlineLevel="0" collapsed="false">
      <c r="A757" s="16" t="n">
        <v>756</v>
      </c>
      <c r="B757" s="9" t="s">
        <v>65</v>
      </c>
      <c r="C757" s="9" t="s">
        <v>132</v>
      </c>
      <c r="D757" s="10" t="s">
        <v>133</v>
      </c>
      <c r="E757" s="24" t="s">
        <v>2385</v>
      </c>
      <c r="F757" s="12"/>
      <c r="G757" s="23" t="s">
        <v>1749</v>
      </c>
      <c r="H757" s="14" t="n">
        <v>-0.702</v>
      </c>
      <c r="I757" s="15"/>
      <c r="J757" s="12"/>
      <c r="K757" s="9"/>
      <c r="L757" s="16" t="s">
        <v>51</v>
      </c>
      <c r="M757" s="17" t="s">
        <v>79</v>
      </c>
      <c r="N757" s="15"/>
      <c r="O757" s="16" t="s">
        <v>54</v>
      </c>
      <c r="P757" s="12" t="s">
        <v>2267</v>
      </c>
      <c r="Q757" s="16"/>
      <c r="R757" s="18" t="s">
        <v>79</v>
      </c>
      <c r="S757" s="19"/>
      <c r="T757" s="12" t="str">
        <f aca="false">IF(R757="維持",J757,IF(R757="排除","無關新聞事件",IFERROR(INDEX(事件規則!$B$2:$B$53,MATCH(S757,事件規則!$A$2:$A$53,0)),"")))</f>
        <v>無關新聞事件</v>
      </c>
      <c r="U757" s="20" t="n">
        <f aca="false">IF(R757="維持",K757,IF(R757="排除",0,IFERROR(INDEX(事件規則!$C$2:$C$53,MATCH(S757,事件規則!$A$2:$A$53,0)),"")))</f>
        <v>0</v>
      </c>
      <c r="V757" s="21"/>
      <c r="W757" s="22"/>
      <c r="X757" s="10" t="str">
        <f aca="false">IF(AND(R757="修改",S757=""),"請選新事件代碼",IF(AND(R757&lt;&gt;"修改",S757&lt;&gt;""),"只有「修改」才需填代碼",""))</f>
        <v/>
      </c>
      <c r="Y757" s="21"/>
      <c r="Z757" s="22"/>
      <c r="AA757" s="23" t="s">
        <v>2386</v>
      </c>
      <c r="AB757" s="13"/>
    </row>
    <row r="758" customFormat="false" ht="44" hidden="false" customHeight="false" outlineLevel="0" collapsed="false">
      <c r="A758" s="16" t="n">
        <v>757</v>
      </c>
      <c r="B758" s="9" t="s">
        <v>386</v>
      </c>
      <c r="C758" s="9" t="s">
        <v>137</v>
      </c>
      <c r="D758" s="10" t="s">
        <v>138</v>
      </c>
      <c r="E758" s="24" t="s">
        <v>2387</v>
      </c>
      <c r="F758" s="12"/>
      <c r="G758" s="23" t="s">
        <v>1183</v>
      </c>
      <c r="H758" s="14" t="n">
        <v>-0.702</v>
      </c>
      <c r="I758" s="15"/>
      <c r="J758" s="12"/>
      <c r="K758" s="9"/>
      <c r="L758" s="16" t="s">
        <v>51</v>
      </c>
      <c r="M758" s="17" t="s">
        <v>79</v>
      </c>
      <c r="N758" s="15"/>
      <c r="O758" s="16" t="s">
        <v>54</v>
      </c>
      <c r="P758" s="12" t="s">
        <v>2267</v>
      </c>
      <c r="Q758" s="16"/>
      <c r="R758" s="18" t="s">
        <v>79</v>
      </c>
      <c r="S758" s="19"/>
      <c r="T758" s="12" t="str">
        <f aca="false">IF(R758="維持",J758,IF(R758="排除","無關新聞事件",IFERROR(INDEX(事件規則!$B$2:$B$53,MATCH(S758,事件規則!$A$2:$A$53,0)),"")))</f>
        <v>無關新聞事件</v>
      </c>
      <c r="U758" s="20" t="n">
        <f aca="false">IF(R758="維持",K758,IF(R758="排除",0,IFERROR(INDEX(事件規則!$C$2:$C$53,MATCH(S758,事件規則!$A$2:$A$53,0)),"")))</f>
        <v>0</v>
      </c>
      <c r="V758" s="21"/>
      <c r="W758" s="22"/>
      <c r="X758" s="10" t="str">
        <f aca="false">IF(AND(R758="修改",S758=""),"請選新事件代碼",IF(AND(R758&lt;&gt;"修改",S758&lt;&gt;""),"只有「修改」才需填代碼",""))</f>
        <v/>
      </c>
      <c r="Y758" s="21"/>
      <c r="Z758" s="22"/>
      <c r="AA758" s="23" t="s">
        <v>2388</v>
      </c>
      <c r="AB758" s="13"/>
    </row>
    <row r="759" customFormat="false" ht="44" hidden="false" customHeight="false" outlineLevel="0" collapsed="false">
      <c r="A759" s="16" t="n">
        <v>758</v>
      </c>
      <c r="B759" s="9" t="s">
        <v>331</v>
      </c>
      <c r="C759" s="9" t="s">
        <v>1118</v>
      </c>
      <c r="D759" s="10" t="s">
        <v>1119</v>
      </c>
      <c r="E759" s="24" t="s">
        <v>2389</v>
      </c>
      <c r="F759" s="12"/>
      <c r="G759" s="23" t="s">
        <v>224</v>
      </c>
      <c r="H759" s="14" t="n">
        <v>-0.701</v>
      </c>
      <c r="I759" s="15"/>
      <c r="J759" s="12"/>
      <c r="K759" s="9"/>
      <c r="L759" s="16" t="s">
        <v>51</v>
      </c>
      <c r="M759" s="17" t="s">
        <v>79</v>
      </c>
      <c r="N759" s="15"/>
      <c r="O759" s="16" t="s">
        <v>54</v>
      </c>
      <c r="P759" s="12" t="s">
        <v>2267</v>
      </c>
      <c r="Q759" s="16"/>
      <c r="R759" s="18" t="s">
        <v>79</v>
      </c>
      <c r="S759" s="19"/>
      <c r="T759" s="12" t="str">
        <f aca="false">IF(R759="維持",J759,IF(R759="排除","無關新聞事件",IFERROR(INDEX(事件規則!$B$2:$B$53,MATCH(S759,事件規則!$A$2:$A$53,0)),"")))</f>
        <v>無關新聞事件</v>
      </c>
      <c r="U759" s="20" t="n">
        <f aca="false">IF(R759="維持",K759,IF(R759="排除",0,IFERROR(INDEX(事件規則!$C$2:$C$53,MATCH(S759,事件規則!$A$2:$A$53,0)),"")))</f>
        <v>0</v>
      </c>
      <c r="V759" s="21"/>
      <c r="W759" s="22"/>
      <c r="X759" s="10" t="str">
        <f aca="false">IF(AND(R759="修改",S759=""),"請選新事件代碼",IF(AND(R759&lt;&gt;"修改",S759&lt;&gt;""),"只有「修改」才需填代碼",""))</f>
        <v/>
      </c>
      <c r="Y759" s="21"/>
      <c r="Z759" s="22"/>
      <c r="AA759" s="23" t="s">
        <v>2390</v>
      </c>
      <c r="AB759" s="13"/>
    </row>
    <row r="760" customFormat="false" ht="15" hidden="false" customHeight="false" outlineLevel="0" collapsed="false">
      <c r="A760" s="16" t="n">
        <v>759</v>
      </c>
      <c r="B760" s="9" t="s">
        <v>45</v>
      </c>
      <c r="C760" s="9" t="s">
        <v>102</v>
      </c>
      <c r="D760" s="10" t="s">
        <v>103</v>
      </c>
      <c r="E760" s="24" t="s">
        <v>2391</v>
      </c>
      <c r="F760" s="12"/>
      <c r="G760" s="23" t="s">
        <v>292</v>
      </c>
      <c r="H760" s="14" t="n">
        <v>-0.7</v>
      </c>
      <c r="I760" s="15"/>
      <c r="J760" s="12"/>
      <c r="K760" s="9"/>
      <c r="L760" s="16" t="s">
        <v>51</v>
      </c>
      <c r="M760" s="17" t="s">
        <v>52</v>
      </c>
      <c r="N760" s="15" t="s">
        <v>264</v>
      </c>
      <c r="O760" s="16" t="s">
        <v>62</v>
      </c>
      <c r="P760" s="10" t="s">
        <v>2392</v>
      </c>
      <c r="Q760" s="16"/>
      <c r="R760" s="18" t="s">
        <v>52</v>
      </c>
      <c r="S760" s="19" t="s">
        <v>264</v>
      </c>
      <c r="T760" s="12" t="str">
        <f aca="false">IF(R760="維持",J760,IF(R760="排除","無關新聞事件",IFERROR(INDEX(事件規則!$B$2:$B$53,MATCH(S760,事件規則!$A$2:$A$53,0)),"")))</f>
        <v>分析師降評</v>
      </c>
      <c r="U760" s="20" t="n">
        <f aca="false">IF(R760="維持",K760,IF(R760="排除",0,IFERROR(INDEX(事件規則!$C$2:$C$53,MATCH(S760,事件規則!$A$2:$A$53,0)),"")))</f>
        <v>2</v>
      </c>
      <c r="V760" s="21"/>
      <c r="W760" s="22"/>
      <c r="X760" s="10" t="str">
        <f aca="false">IF(AND(R760="修改",S760=""),"請選新事件代碼",IF(AND(R760&lt;&gt;"修改",S760&lt;&gt;""),"只有「修改」才需填代碼",""))</f>
        <v/>
      </c>
      <c r="Y760" s="21"/>
      <c r="Z760" s="22"/>
      <c r="AA760" s="23" t="s">
        <v>2393</v>
      </c>
      <c r="AB760" s="13"/>
    </row>
    <row r="761" customFormat="false" ht="44" hidden="false" customHeight="false" outlineLevel="0" collapsed="false">
      <c r="A761" s="16" t="n">
        <v>760</v>
      </c>
      <c r="B761" s="9" t="s">
        <v>386</v>
      </c>
      <c r="C761" s="9" t="s">
        <v>524</v>
      </c>
      <c r="D761" s="10" t="s">
        <v>525</v>
      </c>
      <c r="E761" s="24" t="s">
        <v>2394</v>
      </c>
      <c r="F761" s="12"/>
      <c r="G761" s="23" t="s">
        <v>2395</v>
      </c>
      <c r="H761" s="14" t="n">
        <v>-0.7</v>
      </c>
      <c r="I761" s="15"/>
      <c r="J761" s="12"/>
      <c r="K761" s="9"/>
      <c r="L761" s="16" t="s">
        <v>51</v>
      </c>
      <c r="M761" s="17" t="s">
        <v>79</v>
      </c>
      <c r="N761" s="15"/>
      <c r="O761" s="16" t="s">
        <v>54</v>
      </c>
      <c r="P761" s="12" t="s">
        <v>2267</v>
      </c>
      <c r="Q761" s="16"/>
      <c r="R761" s="18" t="s">
        <v>79</v>
      </c>
      <c r="S761" s="19"/>
      <c r="T761" s="12" t="str">
        <f aca="false">IF(R761="維持",J761,IF(R761="排除","無關新聞事件",IFERROR(INDEX(事件規則!$B$2:$B$53,MATCH(S761,事件規則!$A$2:$A$53,0)),"")))</f>
        <v>無關新聞事件</v>
      </c>
      <c r="U761" s="20" t="n">
        <f aca="false">IF(R761="維持",K761,IF(R761="排除",0,IFERROR(INDEX(事件規則!$C$2:$C$53,MATCH(S761,事件規則!$A$2:$A$53,0)),"")))</f>
        <v>0</v>
      </c>
      <c r="V761" s="21"/>
      <c r="W761" s="22"/>
      <c r="X761" s="10" t="str">
        <f aca="false">IF(AND(R761="修改",S761=""),"請選新事件代碼",IF(AND(R761&lt;&gt;"修改",S761&lt;&gt;""),"只有「修改」才需填代碼",""))</f>
        <v/>
      </c>
      <c r="Y761" s="21"/>
      <c r="Z761" s="22"/>
      <c r="AA761" s="23" t="s">
        <v>2396</v>
      </c>
      <c r="AB761" s="13"/>
    </row>
    <row r="762" customFormat="false" ht="15" hidden="false" customHeight="false" outlineLevel="0" collapsed="false">
      <c r="A762" s="16" t="n">
        <v>761</v>
      </c>
      <c r="B762" s="9" t="s">
        <v>331</v>
      </c>
      <c r="C762" s="9" t="s">
        <v>618</v>
      </c>
      <c r="D762" s="10" t="s">
        <v>619</v>
      </c>
      <c r="E762" s="24" t="s">
        <v>2397</v>
      </c>
      <c r="F762" s="12"/>
      <c r="G762" s="23" t="s">
        <v>626</v>
      </c>
      <c r="H762" s="14" t="n">
        <v>-0.699</v>
      </c>
      <c r="I762" s="15"/>
      <c r="J762" s="12"/>
      <c r="K762" s="9"/>
      <c r="L762" s="16" t="s">
        <v>51</v>
      </c>
      <c r="M762" s="17" t="s">
        <v>52</v>
      </c>
      <c r="N762" s="15" t="s">
        <v>736</v>
      </c>
      <c r="O762" s="16" t="s">
        <v>54</v>
      </c>
      <c r="P762" s="12" t="s">
        <v>2398</v>
      </c>
      <c r="Q762" s="16"/>
      <c r="R762" s="18" t="s">
        <v>52</v>
      </c>
      <c r="S762" s="19" t="s">
        <v>736</v>
      </c>
      <c r="T762" s="12" t="str">
        <f aca="false">IF(R762="維持",J762,IF(R762="排除","無關新聞事件",IFERROR(INDEX(事件規則!$B$2:$B$53,MATCH(S762,事件規則!$A$2:$A$53,0)),"")))</f>
        <v>重大訴訟</v>
      </c>
      <c r="U762" s="20" t="n">
        <f aca="false">IF(R762="維持",K762,IF(R762="排除",0,IFERROR(INDEX(事件規則!$C$2:$C$53,MATCH(S762,事件規則!$A$2:$A$53,0)),"")))</f>
        <v>4</v>
      </c>
      <c r="V762" s="21"/>
      <c r="W762" s="22"/>
      <c r="X762" s="10" t="str">
        <f aca="false">IF(AND(R762="修改",S762=""),"請選新事件代碼",IF(AND(R762&lt;&gt;"修改",S762&lt;&gt;""),"只有「修改」才需填代碼",""))</f>
        <v/>
      </c>
      <c r="Y762" s="21"/>
      <c r="Z762" s="22"/>
      <c r="AA762" s="23" t="s">
        <v>2399</v>
      </c>
      <c r="AB762" s="13"/>
    </row>
    <row r="763" customFormat="false" ht="44" hidden="false" customHeight="false" outlineLevel="0" collapsed="false">
      <c r="A763" s="16" t="n">
        <v>762</v>
      </c>
      <c r="B763" s="9" t="s">
        <v>65</v>
      </c>
      <c r="C763" s="9" t="s">
        <v>534</v>
      </c>
      <c r="D763" s="10" t="s">
        <v>535</v>
      </c>
      <c r="E763" s="24" t="s">
        <v>2400</v>
      </c>
      <c r="F763" s="12"/>
      <c r="G763" s="23" t="s">
        <v>721</v>
      </c>
      <c r="H763" s="14" t="n">
        <v>-0.699</v>
      </c>
      <c r="I763" s="15"/>
      <c r="J763" s="12"/>
      <c r="K763" s="9"/>
      <c r="L763" s="16" t="s">
        <v>51</v>
      </c>
      <c r="M763" s="17" t="s">
        <v>79</v>
      </c>
      <c r="N763" s="15"/>
      <c r="O763" s="16" t="s">
        <v>54</v>
      </c>
      <c r="P763" s="12" t="s">
        <v>2267</v>
      </c>
      <c r="Q763" s="16"/>
      <c r="R763" s="18" t="s">
        <v>79</v>
      </c>
      <c r="S763" s="19"/>
      <c r="T763" s="12" t="str">
        <f aca="false">IF(R763="維持",J763,IF(R763="排除","無關新聞事件",IFERROR(INDEX(事件規則!$B$2:$B$53,MATCH(S763,事件規則!$A$2:$A$53,0)),"")))</f>
        <v>無關新聞事件</v>
      </c>
      <c r="U763" s="20" t="n">
        <f aca="false">IF(R763="維持",K763,IF(R763="排除",0,IFERROR(INDEX(事件規則!$C$2:$C$53,MATCH(S763,事件規則!$A$2:$A$53,0)),"")))</f>
        <v>0</v>
      </c>
      <c r="V763" s="21"/>
      <c r="W763" s="22"/>
      <c r="X763" s="10" t="str">
        <f aca="false">IF(AND(R763="修改",S763=""),"請選新事件代碼",IF(AND(R763&lt;&gt;"修改",S763&lt;&gt;""),"只有「修改」才需填代碼",""))</f>
        <v/>
      </c>
      <c r="Y763" s="21"/>
      <c r="Z763" s="22"/>
      <c r="AA763" s="23" t="s">
        <v>2401</v>
      </c>
      <c r="AB763" s="13"/>
    </row>
    <row r="764" customFormat="false" ht="44" hidden="false" customHeight="false" outlineLevel="0" collapsed="false">
      <c r="A764" s="16" t="n">
        <v>763</v>
      </c>
      <c r="B764" s="9" t="s">
        <v>65</v>
      </c>
      <c r="C764" s="9" t="s">
        <v>1158</v>
      </c>
      <c r="D764" s="10" t="s">
        <v>1159</v>
      </c>
      <c r="E764" s="24" t="s">
        <v>2402</v>
      </c>
      <c r="F764" s="12"/>
      <c r="G764" s="23" t="s">
        <v>120</v>
      </c>
      <c r="H764" s="14" t="n">
        <v>-0.699</v>
      </c>
      <c r="I764" s="15"/>
      <c r="J764" s="12"/>
      <c r="K764" s="9"/>
      <c r="L764" s="16" t="s">
        <v>51</v>
      </c>
      <c r="M764" s="17" t="s">
        <v>79</v>
      </c>
      <c r="N764" s="15"/>
      <c r="O764" s="16" t="s">
        <v>54</v>
      </c>
      <c r="P764" s="12" t="s">
        <v>2267</v>
      </c>
      <c r="Q764" s="16"/>
      <c r="R764" s="18" t="s">
        <v>79</v>
      </c>
      <c r="S764" s="19"/>
      <c r="T764" s="12" t="str">
        <f aca="false">IF(R764="維持",J764,IF(R764="排除","無關新聞事件",IFERROR(INDEX(事件規則!$B$2:$B$53,MATCH(S764,事件規則!$A$2:$A$53,0)),"")))</f>
        <v>無關新聞事件</v>
      </c>
      <c r="U764" s="20" t="n">
        <f aca="false">IF(R764="維持",K764,IF(R764="排除",0,IFERROR(INDEX(事件規則!$C$2:$C$53,MATCH(S764,事件規則!$A$2:$A$53,0)),"")))</f>
        <v>0</v>
      </c>
      <c r="V764" s="21"/>
      <c r="W764" s="22"/>
      <c r="X764" s="10" t="str">
        <f aca="false">IF(AND(R764="修改",S764=""),"請選新事件代碼",IF(AND(R764&lt;&gt;"修改",S764&lt;&gt;""),"只有「修改」才需填代碼",""))</f>
        <v/>
      </c>
      <c r="Y764" s="21"/>
      <c r="Z764" s="22"/>
      <c r="AA764" s="23" t="s">
        <v>2403</v>
      </c>
      <c r="AB764" s="13"/>
    </row>
    <row r="765" customFormat="false" ht="44" hidden="false" customHeight="false" outlineLevel="0" collapsed="false">
      <c r="A765" s="16" t="n">
        <v>764</v>
      </c>
      <c r="B765" s="9" t="s">
        <v>65</v>
      </c>
      <c r="C765" s="9" t="s">
        <v>645</v>
      </c>
      <c r="D765" s="10" t="s">
        <v>646</v>
      </c>
      <c r="E765" s="24" t="s">
        <v>2404</v>
      </c>
      <c r="F765" s="12"/>
      <c r="G765" s="23" t="s">
        <v>2405</v>
      </c>
      <c r="H765" s="14" t="n">
        <v>-0.699</v>
      </c>
      <c r="I765" s="15"/>
      <c r="J765" s="12"/>
      <c r="K765" s="9"/>
      <c r="L765" s="16" t="s">
        <v>51</v>
      </c>
      <c r="M765" s="17" t="s">
        <v>79</v>
      </c>
      <c r="N765" s="15"/>
      <c r="O765" s="16" t="s">
        <v>54</v>
      </c>
      <c r="P765" s="12" t="s">
        <v>2267</v>
      </c>
      <c r="Q765" s="16"/>
      <c r="R765" s="18" t="s">
        <v>79</v>
      </c>
      <c r="S765" s="19"/>
      <c r="T765" s="12" t="str">
        <f aca="false">IF(R765="維持",J765,IF(R765="排除","無關新聞事件",IFERROR(INDEX(事件規則!$B$2:$B$53,MATCH(S765,事件規則!$A$2:$A$53,0)),"")))</f>
        <v>無關新聞事件</v>
      </c>
      <c r="U765" s="20" t="n">
        <f aca="false">IF(R765="維持",K765,IF(R765="排除",0,IFERROR(INDEX(事件規則!$C$2:$C$53,MATCH(S765,事件規則!$A$2:$A$53,0)),"")))</f>
        <v>0</v>
      </c>
      <c r="V765" s="21"/>
      <c r="W765" s="22"/>
      <c r="X765" s="10" t="str">
        <f aca="false">IF(AND(R765="修改",S765=""),"請選新事件代碼",IF(AND(R765&lt;&gt;"修改",S765&lt;&gt;""),"只有「修改」才需填代碼",""))</f>
        <v/>
      </c>
      <c r="Y765" s="21"/>
      <c r="Z765" s="22"/>
      <c r="AA765" s="23" t="s">
        <v>2406</v>
      </c>
      <c r="AB765" s="13"/>
    </row>
    <row r="766" customFormat="false" ht="15" hidden="false" customHeight="false" outlineLevel="0" collapsed="false">
      <c r="A766" s="16" t="n">
        <v>765</v>
      </c>
      <c r="B766" s="9" t="s">
        <v>45</v>
      </c>
      <c r="C766" s="9" t="s">
        <v>353</v>
      </c>
      <c r="D766" s="10" t="s">
        <v>354</v>
      </c>
      <c r="E766" s="24" t="s">
        <v>2407</v>
      </c>
      <c r="F766" s="12"/>
      <c r="G766" s="23" t="s">
        <v>2408</v>
      </c>
      <c r="H766" s="14" t="n">
        <v>-0.698</v>
      </c>
      <c r="I766" s="15"/>
      <c r="J766" s="12"/>
      <c r="K766" s="9"/>
      <c r="L766" s="16" t="s">
        <v>51</v>
      </c>
      <c r="M766" s="17" t="s">
        <v>52</v>
      </c>
      <c r="N766" s="15" t="s">
        <v>357</v>
      </c>
      <c r="O766" s="16" t="s">
        <v>62</v>
      </c>
      <c r="P766" s="10" t="s">
        <v>2409</v>
      </c>
      <c r="Q766" s="16"/>
      <c r="R766" s="18" t="s">
        <v>52</v>
      </c>
      <c r="S766" s="19" t="s">
        <v>357</v>
      </c>
      <c r="T766" s="12" t="str">
        <f aca="false">IF(R766="維持",J766,IF(R766="排除","無關新聞事件",IFERROR(INDEX(事件規則!$B$2:$B$53,MATCH(S766,事件規則!$A$2:$A$53,0)),"")))</f>
        <v>資料外洩</v>
      </c>
      <c r="U766" s="20" t="n">
        <f aca="false">IF(R766="維持",K766,IF(R766="排除",0,IFERROR(INDEX(事件規則!$C$2:$C$53,MATCH(S766,事件規則!$A$2:$A$53,0)),"")))</f>
        <v>3</v>
      </c>
      <c r="V766" s="21"/>
      <c r="W766" s="22"/>
      <c r="X766" s="10" t="str">
        <f aca="false">IF(AND(R766="修改",S766=""),"請選新事件代碼",IF(AND(R766&lt;&gt;"修改",S766&lt;&gt;""),"只有「修改」才需填代碼",""))</f>
        <v/>
      </c>
      <c r="Y766" s="21"/>
      <c r="Z766" s="22"/>
      <c r="AA766" s="23" t="s">
        <v>2410</v>
      </c>
      <c r="AB766" s="13"/>
    </row>
    <row r="767" customFormat="false" ht="44" hidden="false" customHeight="false" outlineLevel="0" collapsed="false">
      <c r="A767" s="16" t="n">
        <v>766</v>
      </c>
      <c r="B767" s="9" t="s">
        <v>65</v>
      </c>
      <c r="C767" s="9" t="s">
        <v>2411</v>
      </c>
      <c r="D767" s="10" t="s">
        <v>2412</v>
      </c>
      <c r="E767" s="24" t="s">
        <v>2413</v>
      </c>
      <c r="F767" s="12"/>
      <c r="G767" s="23" t="s">
        <v>501</v>
      </c>
      <c r="H767" s="14" t="n">
        <v>-0.698</v>
      </c>
      <c r="I767" s="15"/>
      <c r="J767" s="12"/>
      <c r="K767" s="9"/>
      <c r="L767" s="16" t="s">
        <v>51</v>
      </c>
      <c r="M767" s="17" t="s">
        <v>79</v>
      </c>
      <c r="N767" s="15"/>
      <c r="O767" s="16" t="s">
        <v>54</v>
      </c>
      <c r="P767" s="12" t="s">
        <v>2267</v>
      </c>
      <c r="Q767" s="16"/>
      <c r="R767" s="18" t="s">
        <v>79</v>
      </c>
      <c r="S767" s="19"/>
      <c r="T767" s="12" t="str">
        <f aca="false">IF(R767="維持",J767,IF(R767="排除","無關新聞事件",IFERROR(INDEX(事件規則!$B$2:$B$53,MATCH(S767,事件規則!$A$2:$A$53,0)),"")))</f>
        <v>無關新聞事件</v>
      </c>
      <c r="U767" s="20" t="n">
        <f aca="false">IF(R767="維持",K767,IF(R767="排除",0,IFERROR(INDEX(事件規則!$C$2:$C$53,MATCH(S767,事件規則!$A$2:$A$53,0)),"")))</f>
        <v>0</v>
      </c>
      <c r="V767" s="21"/>
      <c r="W767" s="22"/>
      <c r="X767" s="10" t="str">
        <f aca="false">IF(AND(R767="修改",S767=""),"請選新事件代碼",IF(AND(R767&lt;&gt;"修改",S767&lt;&gt;""),"只有「修改」才需填代碼",""))</f>
        <v/>
      </c>
      <c r="Y767" s="21"/>
      <c r="Z767" s="22"/>
      <c r="AA767" s="23" t="s">
        <v>2414</v>
      </c>
      <c r="AB767" s="13"/>
    </row>
    <row r="768" customFormat="false" ht="44" hidden="false" customHeight="false" outlineLevel="0" collapsed="false">
      <c r="A768" s="16" t="n">
        <v>767</v>
      </c>
      <c r="B768" s="9" t="s">
        <v>65</v>
      </c>
      <c r="C768" s="9" t="s">
        <v>108</v>
      </c>
      <c r="D768" s="10" t="s">
        <v>109</v>
      </c>
      <c r="E768" s="24" t="s">
        <v>2415</v>
      </c>
      <c r="F768" s="12"/>
      <c r="G768" s="23" t="s">
        <v>501</v>
      </c>
      <c r="H768" s="14" t="n">
        <v>-0.697</v>
      </c>
      <c r="I768" s="15"/>
      <c r="J768" s="12"/>
      <c r="K768" s="9"/>
      <c r="L768" s="16" t="s">
        <v>51</v>
      </c>
      <c r="M768" s="17" t="s">
        <v>79</v>
      </c>
      <c r="N768" s="15"/>
      <c r="O768" s="16" t="s">
        <v>54</v>
      </c>
      <c r="P768" s="12" t="s">
        <v>2267</v>
      </c>
      <c r="Q768" s="16"/>
      <c r="R768" s="18" t="s">
        <v>79</v>
      </c>
      <c r="S768" s="19"/>
      <c r="T768" s="12" t="str">
        <f aca="false">IF(R768="維持",J768,IF(R768="排除","無關新聞事件",IFERROR(INDEX(事件規則!$B$2:$B$53,MATCH(S768,事件規則!$A$2:$A$53,0)),"")))</f>
        <v>無關新聞事件</v>
      </c>
      <c r="U768" s="20" t="n">
        <f aca="false">IF(R768="維持",K768,IF(R768="排除",0,IFERROR(INDEX(事件規則!$C$2:$C$53,MATCH(S768,事件規則!$A$2:$A$53,0)),"")))</f>
        <v>0</v>
      </c>
      <c r="V768" s="21"/>
      <c r="W768" s="22"/>
      <c r="X768" s="10" t="str">
        <f aca="false">IF(AND(R768="修改",S768=""),"請選新事件代碼",IF(AND(R768&lt;&gt;"修改",S768&lt;&gt;""),"只有「修改」才需填代碼",""))</f>
        <v/>
      </c>
      <c r="Y768" s="21"/>
      <c r="Z768" s="22"/>
      <c r="AA768" s="23" t="s">
        <v>2416</v>
      </c>
      <c r="AB768" s="13"/>
    </row>
    <row r="769" customFormat="false" ht="44" hidden="false" customHeight="false" outlineLevel="0" collapsed="false">
      <c r="A769" s="16" t="n">
        <v>768</v>
      </c>
      <c r="B769" s="9" t="s">
        <v>331</v>
      </c>
      <c r="C769" s="9" t="s">
        <v>142</v>
      </c>
      <c r="D769" s="10" t="s">
        <v>143</v>
      </c>
      <c r="E769" s="24" t="s">
        <v>2417</v>
      </c>
      <c r="F769" s="12"/>
      <c r="G769" s="23" t="s">
        <v>575</v>
      </c>
      <c r="H769" s="14" t="n">
        <v>-0.697</v>
      </c>
      <c r="I769" s="15"/>
      <c r="J769" s="12"/>
      <c r="K769" s="9"/>
      <c r="L769" s="16" t="s">
        <v>51</v>
      </c>
      <c r="M769" s="17" t="s">
        <v>79</v>
      </c>
      <c r="N769" s="15"/>
      <c r="O769" s="16" t="s">
        <v>54</v>
      </c>
      <c r="P769" s="12" t="s">
        <v>2267</v>
      </c>
      <c r="Q769" s="16"/>
      <c r="R769" s="18" t="s">
        <v>79</v>
      </c>
      <c r="S769" s="19"/>
      <c r="T769" s="12" t="str">
        <f aca="false">IF(R769="維持",J769,IF(R769="排除","無關新聞事件",IFERROR(INDEX(事件規則!$B$2:$B$53,MATCH(S769,事件規則!$A$2:$A$53,0)),"")))</f>
        <v>無關新聞事件</v>
      </c>
      <c r="U769" s="20" t="n">
        <f aca="false">IF(R769="維持",K769,IF(R769="排除",0,IFERROR(INDEX(事件規則!$C$2:$C$53,MATCH(S769,事件規則!$A$2:$A$53,0)),"")))</f>
        <v>0</v>
      </c>
      <c r="V769" s="21"/>
      <c r="W769" s="22"/>
      <c r="X769" s="10" t="str">
        <f aca="false">IF(AND(R769="修改",S769=""),"請選新事件代碼",IF(AND(R769&lt;&gt;"修改",S769&lt;&gt;""),"只有「修改」才需填代碼",""))</f>
        <v/>
      </c>
      <c r="Y769" s="21"/>
      <c r="Z769" s="22"/>
      <c r="AA769" s="23" t="s">
        <v>2418</v>
      </c>
      <c r="AB769" s="13"/>
    </row>
    <row r="770" customFormat="false" ht="44" hidden="false" customHeight="false" outlineLevel="0" collapsed="false">
      <c r="A770" s="16" t="n">
        <v>769</v>
      </c>
      <c r="B770" s="9" t="s">
        <v>45</v>
      </c>
      <c r="C770" s="9" t="s">
        <v>1444</v>
      </c>
      <c r="D770" s="10" t="s">
        <v>1445</v>
      </c>
      <c r="E770" s="24" t="s">
        <v>2419</v>
      </c>
      <c r="F770" s="12"/>
      <c r="G770" s="23" t="s">
        <v>2420</v>
      </c>
      <c r="H770" s="14" t="n">
        <v>-0.697</v>
      </c>
      <c r="I770" s="15"/>
      <c r="J770" s="12"/>
      <c r="K770" s="9"/>
      <c r="L770" s="16" t="s">
        <v>51</v>
      </c>
      <c r="M770" s="17" t="s">
        <v>79</v>
      </c>
      <c r="N770" s="15"/>
      <c r="O770" s="16" t="s">
        <v>54</v>
      </c>
      <c r="P770" s="12" t="s">
        <v>2267</v>
      </c>
      <c r="Q770" s="16"/>
      <c r="R770" s="18" t="s">
        <v>79</v>
      </c>
      <c r="S770" s="19"/>
      <c r="T770" s="12" t="str">
        <f aca="false">IF(R770="維持",J770,IF(R770="排除","無關新聞事件",IFERROR(INDEX(事件規則!$B$2:$B$53,MATCH(S770,事件規則!$A$2:$A$53,0)),"")))</f>
        <v>無關新聞事件</v>
      </c>
      <c r="U770" s="20" t="n">
        <f aca="false">IF(R770="維持",K770,IF(R770="排除",0,IFERROR(INDEX(事件規則!$C$2:$C$53,MATCH(S770,事件規則!$A$2:$A$53,0)),"")))</f>
        <v>0</v>
      </c>
      <c r="V770" s="21"/>
      <c r="W770" s="22"/>
      <c r="X770" s="10" t="str">
        <f aca="false">IF(AND(R770="修改",S770=""),"請選新事件代碼",IF(AND(R770&lt;&gt;"修改",S770&lt;&gt;""),"只有「修改」才需填代碼",""))</f>
        <v/>
      </c>
      <c r="Y770" s="21"/>
      <c r="Z770" s="22"/>
      <c r="AA770" s="23" t="s">
        <v>2421</v>
      </c>
      <c r="AB770" s="13"/>
    </row>
    <row r="771" customFormat="false" ht="44" hidden="false" customHeight="false" outlineLevel="0" collapsed="false">
      <c r="A771" s="16" t="n">
        <v>770</v>
      </c>
      <c r="B771" s="9" t="s">
        <v>45</v>
      </c>
      <c r="C771" s="9" t="s">
        <v>1207</v>
      </c>
      <c r="D771" s="10" t="s">
        <v>1208</v>
      </c>
      <c r="E771" s="24" t="s">
        <v>2422</v>
      </c>
      <c r="F771" s="12"/>
      <c r="G771" s="23" t="s">
        <v>1498</v>
      </c>
      <c r="H771" s="14" t="n">
        <v>-0.696</v>
      </c>
      <c r="I771" s="15"/>
      <c r="J771" s="12"/>
      <c r="K771" s="9"/>
      <c r="L771" s="16" t="s">
        <v>51</v>
      </c>
      <c r="M771" s="17" t="s">
        <v>79</v>
      </c>
      <c r="N771" s="15"/>
      <c r="O771" s="16" t="s">
        <v>54</v>
      </c>
      <c r="P771" s="12" t="s">
        <v>2267</v>
      </c>
      <c r="Q771" s="16"/>
      <c r="R771" s="18" t="s">
        <v>79</v>
      </c>
      <c r="S771" s="19"/>
      <c r="T771" s="12" t="str">
        <f aca="false">IF(R771="維持",J771,IF(R771="排除","無關新聞事件",IFERROR(INDEX(事件規則!$B$2:$B$53,MATCH(S771,事件規則!$A$2:$A$53,0)),"")))</f>
        <v>無關新聞事件</v>
      </c>
      <c r="U771" s="20" t="n">
        <f aca="false">IF(R771="維持",K771,IF(R771="排除",0,IFERROR(INDEX(事件規則!$C$2:$C$53,MATCH(S771,事件規則!$A$2:$A$53,0)),"")))</f>
        <v>0</v>
      </c>
      <c r="V771" s="21"/>
      <c r="W771" s="22"/>
      <c r="X771" s="10" t="str">
        <f aca="false">IF(AND(R771="修改",S771=""),"請選新事件代碼",IF(AND(R771&lt;&gt;"修改",S771&lt;&gt;""),"只有「修改」才需填代碼",""))</f>
        <v/>
      </c>
      <c r="Y771" s="21"/>
      <c r="Z771" s="22"/>
      <c r="AA771" s="23" t="s">
        <v>2423</v>
      </c>
      <c r="AB771" s="13"/>
    </row>
    <row r="772" customFormat="false" ht="44" hidden="false" customHeight="false" outlineLevel="0" collapsed="false">
      <c r="A772" s="16" t="n">
        <v>771</v>
      </c>
      <c r="B772" s="9" t="s">
        <v>65</v>
      </c>
      <c r="C772" s="9" t="s">
        <v>179</v>
      </c>
      <c r="D772" s="10" t="s">
        <v>180</v>
      </c>
      <c r="E772" s="24" t="s">
        <v>2424</v>
      </c>
      <c r="F772" s="12"/>
      <c r="G772" s="23" t="s">
        <v>120</v>
      </c>
      <c r="H772" s="14" t="n">
        <v>-0.696</v>
      </c>
      <c r="I772" s="15"/>
      <c r="J772" s="12"/>
      <c r="K772" s="9"/>
      <c r="L772" s="16" t="s">
        <v>51</v>
      </c>
      <c r="M772" s="17" t="s">
        <v>79</v>
      </c>
      <c r="N772" s="15"/>
      <c r="O772" s="16" t="s">
        <v>54</v>
      </c>
      <c r="P772" s="12" t="s">
        <v>2267</v>
      </c>
      <c r="Q772" s="16"/>
      <c r="R772" s="18" t="s">
        <v>79</v>
      </c>
      <c r="S772" s="19"/>
      <c r="T772" s="12" t="str">
        <f aca="false">IF(R772="維持",J772,IF(R772="排除","無關新聞事件",IFERROR(INDEX(事件規則!$B$2:$B$53,MATCH(S772,事件規則!$A$2:$A$53,0)),"")))</f>
        <v>無關新聞事件</v>
      </c>
      <c r="U772" s="20" t="n">
        <f aca="false">IF(R772="維持",K772,IF(R772="排除",0,IFERROR(INDEX(事件規則!$C$2:$C$53,MATCH(S772,事件規則!$A$2:$A$53,0)),"")))</f>
        <v>0</v>
      </c>
      <c r="V772" s="21"/>
      <c r="W772" s="22"/>
      <c r="X772" s="10" t="str">
        <f aca="false">IF(AND(R772="修改",S772=""),"請選新事件代碼",IF(AND(R772&lt;&gt;"修改",S772&lt;&gt;""),"只有「修改」才需填代碼",""))</f>
        <v/>
      </c>
      <c r="Y772" s="21"/>
      <c r="Z772" s="22"/>
      <c r="AA772" s="23" t="s">
        <v>2425</v>
      </c>
      <c r="AB772" s="13"/>
    </row>
    <row r="773" customFormat="false" ht="44" hidden="false" customHeight="false" outlineLevel="0" collapsed="false">
      <c r="A773" s="16" t="n">
        <v>772</v>
      </c>
      <c r="B773" s="9" t="s">
        <v>65</v>
      </c>
      <c r="C773" s="9" t="s">
        <v>943</v>
      </c>
      <c r="D773" s="10" t="s">
        <v>944</v>
      </c>
      <c r="E773" s="24" t="s">
        <v>2426</v>
      </c>
      <c r="F773" s="12"/>
      <c r="G773" s="23" t="s">
        <v>2427</v>
      </c>
      <c r="H773" s="14" t="n">
        <v>-0.696</v>
      </c>
      <c r="I773" s="15"/>
      <c r="J773" s="12"/>
      <c r="K773" s="9"/>
      <c r="L773" s="16" t="s">
        <v>51</v>
      </c>
      <c r="M773" s="17" t="s">
        <v>79</v>
      </c>
      <c r="N773" s="15"/>
      <c r="O773" s="16" t="s">
        <v>54</v>
      </c>
      <c r="P773" s="12" t="s">
        <v>2267</v>
      </c>
      <c r="Q773" s="16"/>
      <c r="R773" s="18" t="s">
        <v>79</v>
      </c>
      <c r="S773" s="19"/>
      <c r="T773" s="12" t="str">
        <f aca="false">IF(R773="維持",J773,IF(R773="排除","無關新聞事件",IFERROR(INDEX(事件規則!$B$2:$B$53,MATCH(S773,事件規則!$A$2:$A$53,0)),"")))</f>
        <v>無關新聞事件</v>
      </c>
      <c r="U773" s="20" t="n">
        <f aca="false">IF(R773="維持",K773,IF(R773="排除",0,IFERROR(INDEX(事件規則!$C$2:$C$53,MATCH(S773,事件規則!$A$2:$A$53,0)),"")))</f>
        <v>0</v>
      </c>
      <c r="V773" s="21"/>
      <c r="W773" s="22"/>
      <c r="X773" s="10" t="str">
        <f aca="false">IF(AND(R773="修改",S773=""),"請選新事件代碼",IF(AND(R773&lt;&gt;"修改",S773&lt;&gt;""),"只有「修改」才需填代碼",""))</f>
        <v/>
      </c>
      <c r="Y773" s="21"/>
      <c r="Z773" s="22"/>
      <c r="AA773" s="23" t="s">
        <v>2428</v>
      </c>
      <c r="AB773" s="13"/>
    </row>
    <row r="774" customFormat="false" ht="44" hidden="false" customHeight="false" outlineLevel="0" collapsed="false">
      <c r="A774" s="16" t="n">
        <v>773</v>
      </c>
      <c r="B774" s="9" t="s">
        <v>45</v>
      </c>
      <c r="C774" s="9" t="s">
        <v>1437</v>
      </c>
      <c r="D774" s="10" t="s">
        <v>1438</v>
      </c>
      <c r="E774" s="24" t="s">
        <v>2429</v>
      </c>
      <c r="F774" s="12"/>
      <c r="G774" s="23" t="s">
        <v>779</v>
      </c>
      <c r="H774" s="14" t="n">
        <v>-0.694</v>
      </c>
      <c r="I774" s="15"/>
      <c r="J774" s="12"/>
      <c r="K774" s="9"/>
      <c r="L774" s="16" t="s">
        <v>51</v>
      </c>
      <c r="M774" s="17" t="s">
        <v>79</v>
      </c>
      <c r="N774" s="15"/>
      <c r="O774" s="16" t="s">
        <v>54</v>
      </c>
      <c r="P774" s="12" t="s">
        <v>2267</v>
      </c>
      <c r="Q774" s="16"/>
      <c r="R774" s="18" t="s">
        <v>79</v>
      </c>
      <c r="S774" s="19"/>
      <c r="T774" s="12" t="str">
        <f aca="false">IF(R774="維持",J774,IF(R774="排除","無關新聞事件",IFERROR(INDEX(事件規則!$B$2:$B$53,MATCH(S774,事件規則!$A$2:$A$53,0)),"")))</f>
        <v>無關新聞事件</v>
      </c>
      <c r="U774" s="20" t="n">
        <f aca="false">IF(R774="維持",K774,IF(R774="排除",0,IFERROR(INDEX(事件規則!$C$2:$C$53,MATCH(S774,事件規則!$A$2:$A$53,0)),"")))</f>
        <v>0</v>
      </c>
      <c r="V774" s="21"/>
      <c r="W774" s="22"/>
      <c r="X774" s="10" t="str">
        <f aca="false">IF(AND(R774="修改",S774=""),"請選新事件代碼",IF(AND(R774&lt;&gt;"修改",S774&lt;&gt;""),"只有「修改」才需填代碼",""))</f>
        <v/>
      </c>
      <c r="Y774" s="21"/>
      <c r="Z774" s="22"/>
      <c r="AA774" s="23" t="s">
        <v>2430</v>
      </c>
      <c r="AB774" s="13"/>
    </row>
    <row r="775" customFormat="false" ht="44" hidden="false" customHeight="false" outlineLevel="0" collapsed="false">
      <c r="A775" s="16" t="n">
        <v>774</v>
      </c>
      <c r="B775" s="9" t="s">
        <v>331</v>
      </c>
      <c r="C775" s="9" t="s">
        <v>645</v>
      </c>
      <c r="D775" s="10" t="s">
        <v>646</v>
      </c>
      <c r="E775" s="24" t="s">
        <v>2431</v>
      </c>
      <c r="F775" s="12"/>
      <c r="G775" s="23" t="s">
        <v>1401</v>
      </c>
      <c r="H775" s="14" t="n">
        <v>-0.691</v>
      </c>
      <c r="I775" s="15"/>
      <c r="J775" s="12"/>
      <c r="K775" s="9"/>
      <c r="L775" s="16" t="s">
        <v>51</v>
      </c>
      <c r="M775" s="17" t="s">
        <v>79</v>
      </c>
      <c r="N775" s="15"/>
      <c r="O775" s="16" t="s">
        <v>54</v>
      </c>
      <c r="P775" s="12" t="s">
        <v>2267</v>
      </c>
      <c r="Q775" s="16"/>
      <c r="R775" s="18" t="s">
        <v>79</v>
      </c>
      <c r="S775" s="19"/>
      <c r="T775" s="12" t="str">
        <f aca="false">IF(R775="維持",J775,IF(R775="排除","無關新聞事件",IFERROR(INDEX(事件規則!$B$2:$B$53,MATCH(S775,事件規則!$A$2:$A$53,0)),"")))</f>
        <v>無關新聞事件</v>
      </c>
      <c r="U775" s="20" t="n">
        <f aca="false">IF(R775="維持",K775,IF(R775="排除",0,IFERROR(INDEX(事件規則!$C$2:$C$53,MATCH(S775,事件規則!$A$2:$A$53,0)),"")))</f>
        <v>0</v>
      </c>
      <c r="V775" s="21"/>
      <c r="W775" s="22"/>
      <c r="X775" s="10" t="str">
        <f aca="false">IF(AND(R775="修改",S775=""),"請選新事件代碼",IF(AND(R775&lt;&gt;"修改",S775&lt;&gt;""),"只有「修改」才需填代碼",""))</f>
        <v/>
      </c>
      <c r="Y775" s="21"/>
      <c r="Z775" s="22"/>
      <c r="AA775" s="23" t="s">
        <v>2432</v>
      </c>
      <c r="AB775" s="13"/>
    </row>
    <row r="776" customFormat="false" ht="44" hidden="false" customHeight="false" outlineLevel="0" collapsed="false">
      <c r="A776" s="16" t="n">
        <v>775</v>
      </c>
      <c r="B776" s="9" t="s">
        <v>331</v>
      </c>
      <c r="C776" s="9" t="s">
        <v>2256</v>
      </c>
      <c r="D776" s="10" t="s">
        <v>2148</v>
      </c>
      <c r="E776" s="24" t="s">
        <v>2433</v>
      </c>
      <c r="F776" s="12"/>
      <c r="G776" s="23" t="s">
        <v>224</v>
      </c>
      <c r="H776" s="14" t="n">
        <v>-0.69</v>
      </c>
      <c r="I776" s="15"/>
      <c r="J776" s="12"/>
      <c r="K776" s="9"/>
      <c r="L776" s="16" t="s">
        <v>51</v>
      </c>
      <c r="M776" s="17" t="s">
        <v>79</v>
      </c>
      <c r="N776" s="15"/>
      <c r="O776" s="16" t="s">
        <v>54</v>
      </c>
      <c r="P776" s="12" t="s">
        <v>2267</v>
      </c>
      <c r="Q776" s="16"/>
      <c r="R776" s="18" t="s">
        <v>79</v>
      </c>
      <c r="S776" s="19"/>
      <c r="T776" s="12" t="str">
        <f aca="false">IF(R776="維持",J776,IF(R776="排除","無關新聞事件",IFERROR(INDEX(事件規則!$B$2:$B$53,MATCH(S776,事件規則!$A$2:$A$53,0)),"")))</f>
        <v>無關新聞事件</v>
      </c>
      <c r="U776" s="20" t="n">
        <f aca="false">IF(R776="維持",K776,IF(R776="排除",0,IFERROR(INDEX(事件規則!$C$2:$C$53,MATCH(S776,事件規則!$A$2:$A$53,0)),"")))</f>
        <v>0</v>
      </c>
      <c r="V776" s="21"/>
      <c r="W776" s="22"/>
      <c r="X776" s="10" t="str">
        <f aca="false">IF(AND(R776="修改",S776=""),"請選新事件代碼",IF(AND(R776&lt;&gt;"修改",S776&lt;&gt;""),"只有「修改」才需填代碼",""))</f>
        <v/>
      </c>
      <c r="Y776" s="21"/>
      <c r="Z776" s="22"/>
      <c r="AA776" s="23" t="s">
        <v>2434</v>
      </c>
      <c r="AB776" s="13"/>
    </row>
    <row r="777" customFormat="false" ht="44" hidden="false" customHeight="false" outlineLevel="0" collapsed="false">
      <c r="A777" s="16" t="n">
        <v>776</v>
      </c>
      <c r="B777" s="9" t="s">
        <v>65</v>
      </c>
      <c r="C777" s="9" t="s">
        <v>564</v>
      </c>
      <c r="D777" s="10" t="s">
        <v>565</v>
      </c>
      <c r="E777" s="24" t="s">
        <v>2435</v>
      </c>
      <c r="F777" s="12"/>
      <c r="G777" s="23" t="s">
        <v>575</v>
      </c>
      <c r="H777" s="14" t="n">
        <v>-0.69</v>
      </c>
      <c r="I777" s="15"/>
      <c r="J777" s="12"/>
      <c r="K777" s="9"/>
      <c r="L777" s="16" t="s">
        <v>51</v>
      </c>
      <c r="M777" s="17" t="s">
        <v>79</v>
      </c>
      <c r="N777" s="15"/>
      <c r="O777" s="16" t="s">
        <v>54</v>
      </c>
      <c r="P777" s="12" t="s">
        <v>2267</v>
      </c>
      <c r="Q777" s="16"/>
      <c r="R777" s="18" t="s">
        <v>79</v>
      </c>
      <c r="S777" s="19"/>
      <c r="T777" s="12" t="str">
        <f aca="false">IF(R777="維持",J777,IF(R777="排除","無關新聞事件",IFERROR(INDEX(事件規則!$B$2:$B$53,MATCH(S777,事件規則!$A$2:$A$53,0)),"")))</f>
        <v>無關新聞事件</v>
      </c>
      <c r="U777" s="20" t="n">
        <f aca="false">IF(R777="維持",K777,IF(R777="排除",0,IFERROR(INDEX(事件規則!$C$2:$C$53,MATCH(S777,事件規則!$A$2:$A$53,0)),"")))</f>
        <v>0</v>
      </c>
      <c r="V777" s="21"/>
      <c r="W777" s="22"/>
      <c r="X777" s="10" t="str">
        <f aca="false">IF(AND(R777="修改",S777=""),"請選新事件代碼",IF(AND(R777&lt;&gt;"修改",S777&lt;&gt;""),"只有「修改」才需填代碼",""))</f>
        <v/>
      </c>
      <c r="Y777" s="21"/>
      <c r="Z777" s="22"/>
      <c r="AA777" s="23" t="s">
        <v>2436</v>
      </c>
      <c r="AB777" s="13"/>
    </row>
    <row r="778" customFormat="false" ht="44" hidden="false" customHeight="false" outlineLevel="0" collapsed="false">
      <c r="A778" s="16" t="n">
        <v>777</v>
      </c>
      <c r="B778" s="9" t="s">
        <v>65</v>
      </c>
      <c r="C778" s="9" t="s">
        <v>142</v>
      </c>
      <c r="D778" s="10" t="s">
        <v>143</v>
      </c>
      <c r="E778" s="24" t="s">
        <v>2437</v>
      </c>
      <c r="F778" s="12"/>
      <c r="G778" s="23" t="s">
        <v>2438</v>
      </c>
      <c r="H778" s="14" t="n">
        <v>-0.689</v>
      </c>
      <c r="I778" s="15"/>
      <c r="J778" s="12"/>
      <c r="K778" s="9"/>
      <c r="L778" s="16" t="s">
        <v>51</v>
      </c>
      <c r="M778" s="17" t="s">
        <v>79</v>
      </c>
      <c r="N778" s="15"/>
      <c r="O778" s="16" t="s">
        <v>54</v>
      </c>
      <c r="P778" s="12" t="s">
        <v>2267</v>
      </c>
      <c r="Q778" s="16"/>
      <c r="R778" s="18" t="s">
        <v>79</v>
      </c>
      <c r="S778" s="19"/>
      <c r="T778" s="12" t="str">
        <f aca="false">IF(R778="維持",J778,IF(R778="排除","無關新聞事件",IFERROR(INDEX(事件規則!$B$2:$B$53,MATCH(S778,事件規則!$A$2:$A$53,0)),"")))</f>
        <v>無關新聞事件</v>
      </c>
      <c r="U778" s="20" t="n">
        <f aca="false">IF(R778="維持",K778,IF(R778="排除",0,IFERROR(INDEX(事件規則!$C$2:$C$53,MATCH(S778,事件規則!$A$2:$A$53,0)),"")))</f>
        <v>0</v>
      </c>
      <c r="V778" s="21"/>
      <c r="W778" s="22"/>
      <c r="X778" s="10" t="str">
        <f aca="false">IF(AND(R778="修改",S778=""),"請選新事件代碼",IF(AND(R778&lt;&gt;"修改",S778&lt;&gt;""),"只有「修改」才需填代碼",""))</f>
        <v/>
      </c>
      <c r="Y778" s="21"/>
      <c r="Z778" s="22"/>
      <c r="AA778" s="23" t="s">
        <v>2439</v>
      </c>
      <c r="AB778" s="13"/>
    </row>
    <row r="779" customFormat="false" ht="44" hidden="false" customHeight="false" outlineLevel="0" collapsed="false">
      <c r="A779" s="16" t="n">
        <v>778</v>
      </c>
      <c r="B779" s="9" t="s">
        <v>65</v>
      </c>
      <c r="C779" s="16"/>
      <c r="D779" s="12"/>
      <c r="E779" s="24" t="s">
        <v>2440</v>
      </c>
      <c r="F779" s="10" t="s">
        <v>2441</v>
      </c>
      <c r="G779" s="23" t="s">
        <v>2442</v>
      </c>
      <c r="H779" s="14" t="n">
        <v>-0.688</v>
      </c>
      <c r="I779" s="15"/>
      <c r="J779" s="12"/>
      <c r="K779" s="9"/>
      <c r="L779" s="16" t="s">
        <v>51</v>
      </c>
      <c r="M779" s="17" t="s">
        <v>79</v>
      </c>
      <c r="N779" s="15"/>
      <c r="O779" s="16" t="s">
        <v>54</v>
      </c>
      <c r="P779" s="12" t="s">
        <v>2267</v>
      </c>
      <c r="Q779" s="16"/>
      <c r="R779" s="18" t="s">
        <v>79</v>
      </c>
      <c r="S779" s="19"/>
      <c r="T779" s="12" t="str">
        <f aca="false">IF(R779="維持",J779,IF(R779="排除","無關新聞事件",IFERROR(INDEX(事件規則!$B$2:$B$53,MATCH(S779,事件規則!$A$2:$A$53,0)),"")))</f>
        <v>無關新聞事件</v>
      </c>
      <c r="U779" s="20" t="n">
        <f aca="false">IF(R779="維持",K779,IF(R779="排除",0,IFERROR(INDEX(事件規則!$C$2:$C$53,MATCH(S779,事件規則!$A$2:$A$53,0)),"")))</f>
        <v>0</v>
      </c>
      <c r="V779" s="21"/>
      <c r="W779" s="22"/>
      <c r="X779" s="10" t="str">
        <f aca="false">IF(AND(R779="修改",S779=""),"請選新事件代碼",IF(AND(R779&lt;&gt;"修改",S779&lt;&gt;""),"只有「修改」才需填代碼",""))</f>
        <v/>
      </c>
      <c r="Y779" s="21"/>
      <c r="Z779" s="22"/>
      <c r="AA779" s="23" t="s">
        <v>2443</v>
      </c>
      <c r="AB779" s="13"/>
    </row>
    <row r="780" customFormat="false" ht="44" hidden="false" customHeight="false" outlineLevel="0" collapsed="false">
      <c r="A780" s="16" t="n">
        <v>779</v>
      </c>
      <c r="B780" s="9" t="s">
        <v>65</v>
      </c>
      <c r="C780" s="9" t="s">
        <v>645</v>
      </c>
      <c r="D780" s="10" t="s">
        <v>646</v>
      </c>
      <c r="E780" s="24" t="s">
        <v>2444</v>
      </c>
      <c r="F780" s="12"/>
      <c r="G780" s="23" t="s">
        <v>2445</v>
      </c>
      <c r="H780" s="14" t="n">
        <v>-0.688</v>
      </c>
      <c r="I780" s="15"/>
      <c r="J780" s="12"/>
      <c r="K780" s="9"/>
      <c r="L780" s="16" t="s">
        <v>51</v>
      </c>
      <c r="M780" s="17" t="s">
        <v>79</v>
      </c>
      <c r="N780" s="15"/>
      <c r="O780" s="16" t="s">
        <v>54</v>
      </c>
      <c r="P780" s="12" t="s">
        <v>2267</v>
      </c>
      <c r="Q780" s="16"/>
      <c r="R780" s="18" t="s">
        <v>79</v>
      </c>
      <c r="S780" s="19"/>
      <c r="T780" s="12" t="str">
        <f aca="false">IF(R780="維持",J780,IF(R780="排除","無關新聞事件",IFERROR(INDEX(事件規則!$B$2:$B$53,MATCH(S780,事件規則!$A$2:$A$53,0)),"")))</f>
        <v>無關新聞事件</v>
      </c>
      <c r="U780" s="20" t="n">
        <f aca="false">IF(R780="維持",K780,IF(R780="排除",0,IFERROR(INDEX(事件規則!$C$2:$C$53,MATCH(S780,事件規則!$A$2:$A$53,0)),"")))</f>
        <v>0</v>
      </c>
      <c r="V780" s="21"/>
      <c r="W780" s="22"/>
      <c r="X780" s="10" t="str">
        <f aca="false">IF(AND(R780="修改",S780=""),"請選新事件代碼",IF(AND(R780&lt;&gt;"修改",S780&lt;&gt;""),"只有「修改」才需填代碼",""))</f>
        <v/>
      </c>
      <c r="Y780" s="21"/>
      <c r="Z780" s="22"/>
      <c r="AA780" s="23" t="s">
        <v>2446</v>
      </c>
      <c r="AB780" s="13"/>
    </row>
    <row r="781" customFormat="false" ht="44" hidden="false" customHeight="false" outlineLevel="0" collapsed="false">
      <c r="A781" s="16" t="n">
        <v>780</v>
      </c>
      <c r="B781" s="9" t="s">
        <v>331</v>
      </c>
      <c r="C781" s="9" t="s">
        <v>645</v>
      </c>
      <c r="D781" s="10" t="s">
        <v>646</v>
      </c>
      <c r="E781" s="24" t="s">
        <v>2447</v>
      </c>
      <c r="F781" s="12"/>
      <c r="G781" s="23" t="s">
        <v>2448</v>
      </c>
      <c r="H781" s="14" t="n">
        <v>-0.687</v>
      </c>
      <c r="I781" s="15"/>
      <c r="J781" s="12"/>
      <c r="K781" s="9"/>
      <c r="L781" s="16" t="s">
        <v>51</v>
      </c>
      <c r="M781" s="17" t="s">
        <v>79</v>
      </c>
      <c r="N781" s="15"/>
      <c r="O781" s="16" t="s">
        <v>54</v>
      </c>
      <c r="P781" s="12" t="s">
        <v>2267</v>
      </c>
      <c r="Q781" s="16"/>
      <c r="R781" s="18" t="s">
        <v>79</v>
      </c>
      <c r="S781" s="19"/>
      <c r="T781" s="12" t="str">
        <f aca="false">IF(R781="維持",J781,IF(R781="排除","無關新聞事件",IFERROR(INDEX(事件規則!$B$2:$B$53,MATCH(S781,事件規則!$A$2:$A$53,0)),"")))</f>
        <v>無關新聞事件</v>
      </c>
      <c r="U781" s="20" t="n">
        <f aca="false">IF(R781="維持",K781,IF(R781="排除",0,IFERROR(INDEX(事件規則!$C$2:$C$53,MATCH(S781,事件規則!$A$2:$A$53,0)),"")))</f>
        <v>0</v>
      </c>
      <c r="V781" s="21"/>
      <c r="W781" s="22"/>
      <c r="X781" s="10" t="str">
        <f aca="false">IF(AND(R781="修改",S781=""),"請選新事件代碼",IF(AND(R781&lt;&gt;"修改",S781&lt;&gt;""),"只有「修改」才需填代碼",""))</f>
        <v/>
      </c>
      <c r="Y781" s="21"/>
      <c r="Z781" s="22"/>
      <c r="AA781" s="23" t="s">
        <v>2449</v>
      </c>
      <c r="AB781" s="13"/>
    </row>
    <row r="782" customFormat="false" ht="44" hidden="false" customHeight="false" outlineLevel="0" collapsed="false">
      <c r="A782" s="16" t="n">
        <v>781</v>
      </c>
      <c r="B782" s="9" t="s">
        <v>331</v>
      </c>
      <c r="C782" s="9" t="s">
        <v>2450</v>
      </c>
      <c r="D782" s="10" t="s">
        <v>2451</v>
      </c>
      <c r="E782" s="24" t="s">
        <v>2452</v>
      </c>
      <c r="F782" s="12"/>
      <c r="G782" s="23" t="s">
        <v>120</v>
      </c>
      <c r="H782" s="14" t="n">
        <v>-0.687</v>
      </c>
      <c r="I782" s="15"/>
      <c r="J782" s="12"/>
      <c r="K782" s="9"/>
      <c r="L782" s="16" t="s">
        <v>51</v>
      </c>
      <c r="M782" s="17" t="s">
        <v>79</v>
      </c>
      <c r="N782" s="15"/>
      <c r="O782" s="16" t="s">
        <v>54</v>
      </c>
      <c r="P782" s="12" t="s">
        <v>2267</v>
      </c>
      <c r="Q782" s="16"/>
      <c r="R782" s="18" t="s">
        <v>79</v>
      </c>
      <c r="S782" s="19"/>
      <c r="T782" s="12" t="str">
        <f aca="false">IF(R782="維持",J782,IF(R782="排除","無關新聞事件",IFERROR(INDEX(事件規則!$B$2:$B$53,MATCH(S782,事件規則!$A$2:$A$53,0)),"")))</f>
        <v>無關新聞事件</v>
      </c>
      <c r="U782" s="20" t="n">
        <f aca="false">IF(R782="維持",K782,IF(R782="排除",0,IFERROR(INDEX(事件規則!$C$2:$C$53,MATCH(S782,事件規則!$A$2:$A$53,0)),"")))</f>
        <v>0</v>
      </c>
      <c r="V782" s="21"/>
      <c r="W782" s="22"/>
      <c r="X782" s="10" t="str">
        <f aca="false">IF(AND(R782="修改",S782=""),"請選新事件代碼",IF(AND(R782&lt;&gt;"修改",S782&lt;&gt;""),"只有「修改」才需填代碼",""))</f>
        <v/>
      </c>
      <c r="Y782" s="21"/>
      <c r="Z782" s="22"/>
      <c r="AA782" s="23" t="s">
        <v>2453</v>
      </c>
      <c r="AB782" s="13"/>
    </row>
    <row r="783" customFormat="false" ht="44" hidden="false" customHeight="false" outlineLevel="0" collapsed="false">
      <c r="A783" s="16" t="n">
        <v>782</v>
      </c>
      <c r="B783" s="9" t="s">
        <v>331</v>
      </c>
      <c r="C783" s="9" t="s">
        <v>564</v>
      </c>
      <c r="D783" s="10" t="s">
        <v>565</v>
      </c>
      <c r="E783" s="24" t="s">
        <v>2454</v>
      </c>
      <c r="F783" s="12"/>
      <c r="G783" s="23" t="s">
        <v>575</v>
      </c>
      <c r="H783" s="14" t="n">
        <v>-0.686</v>
      </c>
      <c r="I783" s="15"/>
      <c r="J783" s="12"/>
      <c r="K783" s="9"/>
      <c r="L783" s="16" t="s">
        <v>51</v>
      </c>
      <c r="M783" s="17" t="s">
        <v>79</v>
      </c>
      <c r="N783" s="15"/>
      <c r="O783" s="16" t="s">
        <v>54</v>
      </c>
      <c r="P783" s="12" t="s">
        <v>2267</v>
      </c>
      <c r="Q783" s="16"/>
      <c r="R783" s="18" t="s">
        <v>79</v>
      </c>
      <c r="S783" s="19"/>
      <c r="T783" s="12" t="str">
        <f aca="false">IF(R783="維持",J783,IF(R783="排除","無關新聞事件",IFERROR(INDEX(事件規則!$B$2:$B$53,MATCH(S783,事件規則!$A$2:$A$53,0)),"")))</f>
        <v>無關新聞事件</v>
      </c>
      <c r="U783" s="20" t="n">
        <f aca="false">IF(R783="維持",K783,IF(R783="排除",0,IFERROR(INDEX(事件規則!$C$2:$C$53,MATCH(S783,事件規則!$A$2:$A$53,0)),"")))</f>
        <v>0</v>
      </c>
      <c r="V783" s="21"/>
      <c r="W783" s="22"/>
      <c r="X783" s="10" t="str">
        <f aca="false">IF(AND(R783="修改",S783=""),"請選新事件代碼",IF(AND(R783&lt;&gt;"修改",S783&lt;&gt;""),"只有「修改」才需填代碼",""))</f>
        <v/>
      </c>
      <c r="Y783" s="21"/>
      <c r="Z783" s="22"/>
      <c r="AA783" s="23" t="s">
        <v>2455</v>
      </c>
      <c r="AB783" s="13"/>
    </row>
    <row r="784" customFormat="false" ht="44" hidden="false" customHeight="false" outlineLevel="0" collapsed="false">
      <c r="A784" s="16" t="n">
        <v>783</v>
      </c>
      <c r="B784" s="9" t="s">
        <v>331</v>
      </c>
      <c r="C784" s="9" t="s">
        <v>341</v>
      </c>
      <c r="D784" s="10" t="s">
        <v>342</v>
      </c>
      <c r="E784" s="24" t="s">
        <v>2456</v>
      </c>
      <c r="F784" s="12"/>
      <c r="G784" s="23" t="s">
        <v>774</v>
      </c>
      <c r="H784" s="14" t="n">
        <v>-0.685</v>
      </c>
      <c r="I784" s="15"/>
      <c r="J784" s="12"/>
      <c r="K784" s="9"/>
      <c r="L784" s="16" t="s">
        <v>51</v>
      </c>
      <c r="M784" s="17" t="s">
        <v>79</v>
      </c>
      <c r="N784" s="15"/>
      <c r="O784" s="16" t="s">
        <v>54</v>
      </c>
      <c r="P784" s="12" t="s">
        <v>2267</v>
      </c>
      <c r="Q784" s="16"/>
      <c r="R784" s="18" t="s">
        <v>79</v>
      </c>
      <c r="S784" s="19"/>
      <c r="T784" s="12" t="str">
        <f aca="false">IF(R784="維持",J784,IF(R784="排除","無關新聞事件",IFERROR(INDEX(事件規則!$B$2:$B$53,MATCH(S784,事件規則!$A$2:$A$53,0)),"")))</f>
        <v>無關新聞事件</v>
      </c>
      <c r="U784" s="20" t="n">
        <f aca="false">IF(R784="維持",K784,IF(R784="排除",0,IFERROR(INDEX(事件規則!$C$2:$C$53,MATCH(S784,事件規則!$A$2:$A$53,0)),"")))</f>
        <v>0</v>
      </c>
      <c r="V784" s="21"/>
      <c r="W784" s="22"/>
      <c r="X784" s="10" t="str">
        <f aca="false">IF(AND(R784="修改",S784=""),"請選新事件代碼",IF(AND(R784&lt;&gt;"修改",S784&lt;&gt;""),"只有「修改」才需填代碼",""))</f>
        <v/>
      </c>
      <c r="Y784" s="21"/>
      <c r="Z784" s="22"/>
      <c r="AA784" s="23" t="s">
        <v>2457</v>
      </c>
      <c r="AB784" s="13"/>
    </row>
    <row r="785" customFormat="false" ht="44" hidden="false" customHeight="false" outlineLevel="0" collapsed="false">
      <c r="A785" s="16" t="n">
        <v>784</v>
      </c>
      <c r="B785" s="9" t="s">
        <v>331</v>
      </c>
      <c r="C785" s="9" t="s">
        <v>471</v>
      </c>
      <c r="D785" s="10" t="s">
        <v>472</v>
      </c>
      <c r="E785" s="24" t="s">
        <v>2458</v>
      </c>
      <c r="F785" s="12"/>
      <c r="G785" s="23" t="s">
        <v>2459</v>
      </c>
      <c r="H785" s="14" t="n">
        <v>-0.682</v>
      </c>
      <c r="I785" s="15"/>
      <c r="J785" s="12"/>
      <c r="K785" s="9"/>
      <c r="L785" s="16" t="s">
        <v>51</v>
      </c>
      <c r="M785" s="17" t="s">
        <v>79</v>
      </c>
      <c r="N785" s="15"/>
      <c r="O785" s="16" t="s">
        <v>54</v>
      </c>
      <c r="P785" s="12" t="s">
        <v>2267</v>
      </c>
      <c r="Q785" s="16"/>
      <c r="R785" s="18" t="s">
        <v>79</v>
      </c>
      <c r="S785" s="19"/>
      <c r="T785" s="12" t="str">
        <f aca="false">IF(R785="維持",J785,IF(R785="排除","無關新聞事件",IFERROR(INDEX(事件規則!$B$2:$B$53,MATCH(S785,事件規則!$A$2:$A$53,0)),"")))</f>
        <v>無關新聞事件</v>
      </c>
      <c r="U785" s="20" t="n">
        <f aca="false">IF(R785="維持",K785,IF(R785="排除",0,IFERROR(INDEX(事件規則!$C$2:$C$53,MATCH(S785,事件規則!$A$2:$A$53,0)),"")))</f>
        <v>0</v>
      </c>
      <c r="V785" s="21"/>
      <c r="W785" s="22"/>
      <c r="X785" s="10" t="str">
        <f aca="false">IF(AND(R785="修改",S785=""),"請選新事件代碼",IF(AND(R785&lt;&gt;"修改",S785&lt;&gt;""),"只有「修改」才需填代碼",""))</f>
        <v/>
      </c>
      <c r="Y785" s="21"/>
      <c r="Z785" s="22"/>
      <c r="AA785" s="23" t="s">
        <v>2460</v>
      </c>
      <c r="AB785" s="13"/>
    </row>
    <row r="786" customFormat="false" ht="44" hidden="false" customHeight="false" outlineLevel="0" collapsed="false">
      <c r="A786" s="16" t="n">
        <v>785</v>
      </c>
      <c r="B786" s="9" t="s">
        <v>65</v>
      </c>
      <c r="C786" s="9" t="s">
        <v>822</v>
      </c>
      <c r="D786" s="10" t="s">
        <v>823</v>
      </c>
      <c r="E786" s="24" t="s">
        <v>2461</v>
      </c>
      <c r="F786" s="12"/>
      <c r="G786" s="23" t="s">
        <v>224</v>
      </c>
      <c r="H786" s="14" t="n">
        <v>-0.681</v>
      </c>
      <c r="I786" s="15"/>
      <c r="J786" s="12"/>
      <c r="K786" s="9"/>
      <c r="L786" s="16" t="s">
        <v>51</v>
      </c>
      <c r="M786" s="17" t="s">
        <v>79</v>
      </c>
      <c r="N786" s="15"/>
      <c r="O786" s="16" t="s">
        <v>54</v>
      </c>
      <c r="P786" s="12" t="s">
        <v>2267</v>
      </c>
      <c r="Q786" s="16"/>
      <c r="R786" s="18" t="s">
        <v>79</v>
      </c>
      <c r="S786" s="19"/>
      <c r="T786" s="12" t="str">
        <f aca="false">IF(R786="維持",J786,IF(R786="排除","無關新聞事件",IFERROR(INDEX(事件規則!$B$2:$B$53,MATCH(S786,事件規則!$A$2:$A$53,0)),"")))</f>
        <v>無關新聞事件</v>
      </c>
      <c r="U786" s="20" t="n">
        <f aca="false">IF(R786="維持",K786,IF(R786="排除",0,IFERROR(INDEX(事件規則!$C$2:$C$53,MATCH(S786,事件規則!$A$2:$A$53,0)),"")))</f>
        <v>0</v>
      </c>
      <c r="V786" s="21"/>
      <c r="W786" s="22"/>
      <c r="X786" s="10" t="str">
        <f aca="false">IF(AND(R786="修改",S786=""),"請選新事件代碼",IF(AND(R786&lt;&gt;"修改",S786&lt;&gt;""),"只有「修改」才需填代碼",""))</f>
        <v/>
      </c>
      <c r="Y786" s="21"/>
      <c r="Z786" s="22"/>
      <c r="AA786" s="23" t="s">
        <v>2462</v>
      </c>
      <c r="AB786" s="13"/>
    </row>
    <row r="787" customFormat="false" ht="44" hidden="false" customHeight="false" outlineLevel="0" collapsed="false">
      <c r="A787" s="16" t="n">
        <v>786</v>
      </c>
      <c r="B787" s="9" t="s">
        <v>65</v>
      </c>
      <c r="C787" s="9" t="s">
        <v>142</v>
      </c>
      <c r="D787" s="10" t="s">
        <v>143</v>
      </c>
      <c r="E787" s="24" t="s">
        <v>2463</v>
      </c>
      <c r="F787" s="12"/>
      <c r="G787" s="23" t="s">
        <v>152</v>
      </c>
      <c r="H787" s="14" t="n">
        <v>-0.681</v>
      </c>
      <c r="I787" s="15"/>
      <c r="J787" s="12"/>
      <c r="K787" s="9"/>
      <c r="L787" s="16" t="s">
        <v>51</v>
      </c>
      <c r="M787" s="17" t="s">
        <v>79</v>
      </c>
      <c r="N787" s="15"/>
      <c r="O787" s="16" t="s">
        <v>54</v>
      </c>
      <c r="P787" s="12" t="s">
        <v>2267</v>
      </c>
      <c r="Q787" s="16"/>
      <c r="R787" s="18" t="s">
        <v>79</v>
      </c>
      <c r="S787" s="19"/>
      <c r="T787" s="12" t="str">
        <f aca="false">IF(R787="維持",J787,IF(R787="排除","無關新聞事件",IFERROR(INDEX(事件規則!$B$2:$B$53,MATCH(S787,事件規則!$A$2:$A$53,0)),"")))</f>
        <v>無關新聞事件</v>
      </c>
      <c r="U787" s="20" t="n">
        <f aca="false">IF(R787="維持",K787,IF(R787="排除",0,IFERROR(INDEX(事件規則!$C$2:$C$53,MATCH(S787,事件規則!$A$2:$A$53,0)),"")))</f>
        <v>0</v>
      </c>
      <c r="V787" s="21"/>
      <c r="W787" s="22"/>
      <c r="X787" s="10" t="str">
        <f aca="false">IF(AND(R787="修改",S787=""),"請選新事件代碼",IF(AND(R787&lt;&gt;"修改",S787&lt;&gt;""),"只有「修改」才需填代碼",""))</f>
        <v/>
      </c>
      <c r="Y787" s="21"/>
      <c r="Z787" s="22"/>
      <c r="AA787" s="23" t="s">
        <v>2464</v>
      </c>
      <c r="AB787" s="13"/>
    </row>
    <row r="788" customFormat="false" ht="44" hidden="false" customHeight="false" outlineLevel="0" collapsed="false">
      <c r="A788" s="16" t="n">
        <v>787</v>
      </c>
      <c r="B788" s="9" t="s">
        <v>65</v>
      </c>
      <c r="C788" s="9" t="s">
        <v>879</v>
      </c>
      <c r="D788" s="10" t="s">
        <v>880</v>
      </c>
      <c r="E788" s="24" t="s">
        <v>2465</v>
      </c>
      <c r="F788" s="12"/>
      <c r="G788" s="23" t="s">
        <v>2466</v>
      </c>
      <c r="H788" s="14" t="n">
        <v>-0.681</v>
      </c>
      <c r="I788" s="15"/>
      <c r="J788" s="12"/>
      <c r="K788" s="9"/>
      <c r="L788" s="16" t="s">
        <v>51</v>
      </c>
      <c r="M788" s="17" t="s">
        <v>79</v>
      </c>
      <c r="N788" s="15"/>
      <c r="O788" s="16" t="s">
        <v>54</v>
      </c>
      <c r="P788" s="12" t="s">
        <v>2267</v>
      </c>
      <c r="Q788" s="16"/>
      <c r="R788" s="18" t="s">
        <v>79</v>
      </c>
      <c r="S788" s="19"/>
      <c r="T788" s="12" t="str">
        <f aca="false">IF(R788="維持",J788,IF(R788="排除","無關新聞事件",IFERROR(INDEX(事件規則!$B$2:$B$53,MATCH(S788,事件規則!$A$2:$A$53,0)),"")))</f>
        <v>無關新聞事件</v>
      </c>
      <c r="U788" s="20" t="n">
        <f aca="false">IF(R788="維持",K788,IF(R788="排除",0,IFERROR(INDEX(事件規則!$C$2:$C$53,MATCH(S788,事件規則!$A$2:$A$53,0)),"")))</f>
        <v>0</v>
      </c>
      <c r="V788" s="21"/>
      <c r="W788" s="22"/>
      <c r="X788" s="10" t="str">
        <f aca="false">IF(AND(R788="修改",S788=""),"請選新事件代碼",IF(AND(R788&lt;&gt;"修改",S788&lt;&gt;""),"只有「修改」才需填代碼",""))</f>
        <v/>
      </c>
      <c r="Y788" s="21"/>
      <c r="Z788" s="22"/>
      <c r="AA788" s="23" t="s">
        <v>2467</v>
      </c>
      <c r="AB788" s="13"/>
    </row>
    <row r="789" customFormat="false" ht="44" hidden="false" customHeight="false" outlineLevel="0" collapsed="false">
      <c r="A789" s="16" t="n">
        <v>788</v>
      </c>
      <c r="B789" s="9" t="s">
        <v>65</v>
      </c>
      <c r="C789" s="9" t="s">
        <v>879</v>
      </c>
      <c r="D789" s="10" t="s">
        <v>880</v>
      </c>
      <c r="E789" s="24" t="s">
        <v>2468</v>
      </c>
      <c r="F789" s="12"/>
      <c r="G789" s="23" t="s">
        <v>147</v>
      </c>
      <c r="H789" s="14" t="n">
        <v>-0.681</v>
      </c>
      <c r="I789" s="15"/>
      <c r="J789" s="12"/>
      <c r="K789" s="9"/>
      <c r="L789" s="16" t="s">
        <v>51</v>
      </c>
      <c r="M789" s="17" t="s">
        <v>79</v>
      </c>
      <c r="N789" s="15"/>
      <c r="O789" s="16" t="s">
        <v>54</v>
      </c>
      <c r="P789" s="12" t="s">
        <v>2267</v>
      </c>
      <c r="Q789" s="16"/>
      <c r="R789" s="18" t="s">
        <v>79</v>
      </c>
      <c r="S789" s="19"/>
      <c r="T789" s="12" t="str">
        <f aca="false">IF(R789="維持",J789,IF(R789="排除","無關新聞事件",IFERROR(INDEX(事件規則!$B$2:$B$53,MATCH(S789,事件規則!$A$2:$A$53,0)),"")))</f>
        <v>無關新聞事件</v>
      </c>
      <c r="U789" s="20" t="n">
        <f aca="false">IF(R789="維持",K789,IF(R789="排除",0,IFERROR(INDEX(事件規則!$C$2:$C$53,MATCH(S789,事件規則!$A$2:$A$53,0)),"")))</f>
        <v>0</v>
      </c>
      <c r="V789" s="21"/>
      <c r="W789" s="22"/>
      <c r="X789" s="10" t="str">
        <f aca="false">IF(AND(R789="修改",S789=""),"請選新事件代碼",IF(AND(R789&lt;&gt;"修改",S789&lt;&gt;""),"只有「修改」才需填代碼",""))</f>
        <v/>
      </c>
      <c r="Y789" s="21"/>
      <c r="Z789" s="22"/>
      <c r="AA789" s="23" t="s">
        <v>2469</v>
      </c>
      <c r="AB789" s="13"/>
    </row>
    <row r="790" customFormat="false" ht="44" hidden="false" customHeight="false" outlineLevel="0" collapsed="false">
      <c r="A790" s="16" t="n">
        <v>789</v>
      </c>
      <c r="B790" s="9" t="s">
        <v>65</v>
      </c>
      <c r="C790" s="9" t="s">
        <v>1118</v>
      </c>
      <c r="D790" s="10" t="s">
        <v>1119</v>
      </c>
      <c r="E790" s="24" t="s">
        <v>2463</v>
      </c>
      <c r="F790" s="12"/>
      <c r="G790" s="23" t="s">
        <v>152</v>
      </c>
      <c r="H790" s="14" t="n">
        <v>-0.681</v>
      </c>
      <c r="I790" s="15"/>
      <c r="J790" s="12"/>
      <c r="K790" s="9"/>
      <c r="L790" s="16" t="s">
        <v>51</v>
      </c>
      <c r="M790" s="17" t="s">
        <v>79</v>
      </c>
      <c r="N790" s="15"/>
      <c r="O790" s="16" t="s">
        <v>54</v>
      </c>
      <c r="P790" s="12" t="s">
        <v>2267</v>
      </c>
      <c r="Q790" s="16"/>
      <c r="R790" s="18" t="s">
        <v>79</v>
      </c>
      <c r="S790" s="19"/>
      <c r="T790" s="12" t="str">
        <f aca="false">IF(R790="維持",J790,IF(R790="排除","無關新聞事件",IFERROR(INDEX(事件規則!$B$2:$B$53,MATCH(S790,事件規則!$A$2:$A$53,0)),"")))</f>
        <v>無關新聞事件</v>
      </c>
      <c r="U790" s="20" t="n">
        <f aca="false">IF(R790="維持",K790,IF(R790="排除",0,IFERROR(INDEX(事件規則!$C$2:$C$53,MATCH(S790,事件規則!$A$2:$A$53,0)),"")))</f>
        <v>0</v>
      </c>
      <c r="V790" s="21"/>
      <c r="W790" s="22"/>
      <c r="X790" s="10" t="str">
        <f aca="false">IF(AND(R790="修改",S790=""),"請選新事件代碼",IF(AND(R790&lt;&gt;"修改",S790&lt;&gt;""),"只有「修改」才需填代碼",""))</f>
        <v/>
      </c>
      <c r="Y790" s="21"/>
      <c r="Z790" s="22"/>
      <c r="AA790" s="23" t="s">
        <v>2470</v>
      </c>
      <c r="AB790" s="13"/>
    </row>
    <row r="791" customFormat="false" ht="44" hidden="false" customHeight="false" outlineLevel="0" collapsed="false">
      <c r="A791" s="16" t="n">
        <v>790</v>
      </c>
      <c r="B791" s="9" t="s">
        <v>65</v>
      </c>
      <c r="C791" s="9" t="s">
        <v>2471</v>
      </c>
      <c r="D791" s="10" t="s">
        <v>2472</v>
      </c>
      <c r="E791" s="24" t="s">
        <v>2473</v>
      </c>
      <c r="F791" s="12"/>
      <c r="G791" s="23" t="s">
        <v>120</v>
      </c>
      <c r="H791" s="14" t="n">
        <v>-0.68</v>
      </c>
      <c r="I791" s="15"/>
      <c r="J791" s="12"/>
      <c r="K791" s="9"/>
      <c r="L791" s="16" t="s">
        <v>51</v>
      </c>
      <c r="M791" s="17" t="s">
        <v>79</v>
      </c>
      <c r="N791" s="15"/>
      <c r="O791" s="16" t="s">
        <v>54</v>
      </c>
      <c r="P791" s="12" t="s">
        <v>2267</v>
      </c>
      <c r="Q791" s="16"/>
      <c r="R791" s="18" t="s">
        <v>79</v>
      </c>
      <c r="S791" s="19"/>
      <c r="T791" s="12" t="str">
        <f aca="false">IF(R791="維持",J791,IF(R791="排除","無關新聞事件",IFERROR(INDEX(事件規則!$B$2:$B$53,MATCH(S791,事件規則!$A$2:$A$53,0)),"")))</f>
        <v>無關新聞事件</v>
      </c>
      <c r="U791" s="20" t="n">
        <f aca="false">IF(R791="維持",K791,IF(R791="排除",0,IFERROR(INDEX(事件規則!$C$2:$C$53,MATCH(S791,事件規則!$A$2:$A$53,0)),"")))</f>
        <v>0</v>
      </c>
      <c r="V791" s="21"/>
      <c r="W791" s="22"/>
      <c r="X791" s="10" t="str">
        <f aca="false">IF(AND(R791="修改",S791=""),"請選新事件代碼",IF(AND(R791&lt;&gt;"修改",S791&lt;&gt;""),"只有「修改」才需填代碼",""))</f>
        <v/>
      </c>
      <c r="Y791" s="21"/>
      <c r="Z791" s="22"/>
      <c r="AA791" s="23" t="s">
        <v>2474</v>
      </c>
      <c r="AB791" s="13"/>
    </row>
    <row r="792" customFormat="false" ht="44" hidden="false" customHeight="false" outlineLevel="0" collapsed="false">
      <c r="A792" s="16" t="n">
        <v>791</v>
      </c>
      <c r="B792" s="9" t="s">
        <v>65</v>
      </c>
      <c r="C792" s="9" t="s">
        <v>822</v>
      </c>
      <c r="D792" s="10" t="s">
        <v>823</v>
      </c>
      <c r="E792" s="24" t="s">
        <v>2475</v>
      </c>
      <c r="F792" s="12"/>
      <c r="G792" s="23" t="s">
        <v>501</v>
      </c>
      <c r="H792" s="14" t="n">
        <v>-0.678</v>
      </c>
      <c r="I792" s="15"/>
      <c r="J792" s="12"/>
      <c r="K792" s="9"/>
      <c r="L792" s="16" t="s">
        <v>51</v>
      </c>
      <c r="M792" s="17" t="s">
        <v>79</v>
      </c>
      <c r="N792" s="15"/>
      <c r="O792" s="16" t="s">
        <v>54</v>
      </c>
      <c r="P792" s="12" t="s">
        <v>2267</v>
      </c>
      <c r="Q792" s="16"/>
      <c r="R792" s="18" t="s">
        <v>79</v>
      </c>
      <c r="S792" s="19"/>
      <c r="T792" s="12" t="str">
        <f aca="false">IF(R792="維持",J792,IF(R792="排除","無關新聞事件",IFERROR(INDEX(事件規則!$B$2:$B$53,MATCH(S792,事件規則!$A$2:$A$53,0)),"")))</f>
        <v>無關新聞事件</v>
      </c>
      <c r="U792" s="20" t="n">
        <f aca="false">IF(R792="維持",K792,IF(R792="排除",0,IFERROR(INDEX(事件規則!$C$2:$C$53,MATCH(S792,事件規則!$A$2:$A$53,0)),"")))</f>
        <v>0</v>
      </c>
      <c r="V792" s="21"/>
      <c r="W792" s="22"/>
      <c r="X792" s="10" t="str">
        <f aca="false">IF(AND(R792="修改",S792=""),"請選新事件代碼",IF(AND(R792&lt;&gt;"修改",S792&lt;&gt;""),"只有「修改」才需填代碼",""))</f>
        <v/>
      </c>
      <c r="Y792" s="21"/>
      <c r="Z792" s="22"/>
      <c r="AA792" s="23" t="s">
        <v>2476</v>
      </c>
      <c r="AB792" s="13"/>
    </row>
    <row r="793" customFormat="false" ht="44" hidden="false" customHeight="false" outlineLevel="0" collapsed="false">
      <c r="A793" s="16" t="n">
        <v>792</v>
      </c>
      <c r="B793" s="9" t="s">
        <v>386</v>
      </c>
      <c r="C793" s="9" t="s">
        <v>1025</v>
      </c>
      <c r="D793" s="10" t="s">
        <v>1026</v>
      </c>
      <c r="E793" s="24" t="s">
        <v>2477</v>
      </c>
      <c r="F793" s="12"/>
      <c r="G793" s="23" t="s">
        <v>2088</v>
      </c>
      <c r="H793" s="14" t="n">
        <v>-0.678</v>
      </c>
      <c r="I793" s="15"/>
      <c r="J793" s="12"/>
      <c r="K793" s="9"/>
      <c r="L793" s="16" t="s">
        <v>51</v>
      </c>
      <c r="M793" s="17" t="s">
        <v>79</v>
      </c>
      <c r="N793" s="15"/>
      <c r="O793" s="16" t="s">
        <v>54</v>
      </c>
      <c r="P793" s="12" t="s">
        <v>2267</v>
      </c>
      <c r="Q793" s="16"/>
      <c r="R793" s="18" t="s">
        <v>79</v>
      </c>
      <c r="S793" s="19"/>
      <c r="T793" s="12" t="str">
        <f aca="false">IF(R793="維持",J793,IF(R793="排除","無關新聞事件",IFERROR(INDEX(事件規則!$B$2:$B$53,MATCH(S793,事件規則!$A$2:$A$53,0)),"")))</f>
        <v>無關新聞事件</v>
      </c>
      <c r="U793" s="20" t="n">
        <f aca="false">IF(R793="維持",K793,IF(R793="排除",0,IFERROR(INDEX(事件規則!$C$2:$C$53,MATCH(S793,事件規則!$A$2:$A$53,0)),"")))</f>
        <v>0</v>
      </c>
      <c r="V793" s="21"/>
      <c r="W793" s="22"/>
      <c r="X793" s="10" t="str">
        <f aca="false">IF(AND(R793="修改",S793=""),"請選新事件代碼",IF(AND(R793&lt;&gt;"修改",S793&lt;&gt;""),"只有「修改」才需填代碼",""))</f>
        <v/>
      </c>
      <c r="Y793" s="21"/>
      <c r="Z793" s="22"/>
      <c r="AA793" s="23" t="s">
        <v>2478</v>
      </c>
      <c r="AB793" s="13"/>
    </row>
    <row r="794" customFormat="false" ht="44" hidden="false" customHeight="false" outlineLevel="0" collapsed="false">
      <c r="A794" s="16" t="n">
        <v>793</v>
      </c>
      <c r="B794" s="9" t="s">
        <v>331</v>
      </c>
      <c r="C794" s="9" t="s">
        <v>46</v>
      </c>
      <c r="D794" s="10" t="s">
        <v>47</v>
      </c>
      <c r="E794" s="24" t="s">
        <v>2479</v>
      </c>
      <c r="F794" s="12"/>
      <c r="G794" s="23" t="s">
        <v>120</v>
      </c>
      <c r="H794" s="14" t="n">
        <v>-0.677</v>
      </c>
      <c r="I794" s="15"/>
      <c r="J794" s="12"/>
      <c r="K794" s="9"/>
      <c r="L794" s="16" t="s">
        <v>51</v>
      </c>
      <c r="M794" s="17" t="s">
        <v>79</v>
      </c>
      <c r="N794" s="15"/>
      <c r="O794" s="16" t="s">
        <v>54</v>
      </c>
      <c r="P794" s="12" t="s">
        <v>2267</v>
      </c>
      <c r="Q794" s="16"/>
      <c r="R794" s="18" t="s">
        <v>79</v>
      </c>
      <c r="S794" s="19"/>
      <c r="T794" s="12" t="str">
        <f aca="false">IF(R794="維持",J794,IF(R794="排除","無關新聞事件",IFERROR(INDEX(事件規則!$B$2:$B$53,MATCH(S794,事件規則!$A$2:$A$53,0)),"")))</f>
        <v>無關新聞事件</v>
      </c>
      <c r="U794" s="20" t="n">
        <f aca="false">IF(R794="維持",K794,IF(R794="排除",0,IFERROR(INDEX(事件規則!$C$2:$C$53,MATCH(S794,事件規則!$A$2:$A$53,0)),"")))</f>
        <v>0</v>
      </c>
      <c r="V794" s="21"/>
      <c r="W794" s="22"/>
      <c r="X794" s="10" t="str">
        <f aca="false">IF(AND(R794="修改",S794=""),"請選新事件代碼",IF(AND(R794&lt;&gt;"修改",S794&lt;&gt;""),"只有「修改」才需填代碼",""))</f>
        <v/>
      </c>
      <c r="Y794" s="21"/>
      <c r="Z794" s="22"/>
      <c r="AA794" s="23" t="s">
        <v>2480</v>
      </c>
      <c r="AB794" s="13"/>
    </row>
    <row r="795" customFormat="false" ht="44" hidden="false" customHeight="false" outlineLevel="0" collapsed="false">
      <c r="A795" s="16" t="n">
        <v>794</v>
      </c>
      <c r="B795" s="9" t="s">
        <v>331</v>
      </c>
      <c r="C795" s="9" t="s">
        <v>149</v>
      </c>
      <c r="D795" s="10" t="s">
        <v>150</v>
      </c>
      <c r="E795" s="24" t="s">
        <v>2479</v>
      </c>
      <c r="F795" s="12"/>
      <c r="G795" s="23" t="s">
        <v>120</v>
      </c>
      <c r="H795" s="14" t="n">
        <v>-0.677</v>
      </c>
      <c r="I795" s="15"/>
      <c r="J795" s="12"/>
      <c r="K795" s="9"/>
      <c r="L795" s="16" t="s">
        <v>51</v>
      </c>
      <c r="M795" s="17" t="s">
        <v>79</v>
      </c>
      <c r="N795" s="15"/>
      <c r="O795" s="16" t="s">
        <v>54</v>
      </c>
      <c r="P795" s="12" t="s">
        <v>2267</v>
      </c>
      <c r="Q795" s="16"/>
      <c r="R795" s="18" t="s">
        <v>79</v>
      </c>
      <c r="S795" s="19"/>
      <c r="T795" s="12" t="str">
        <f aca="false">IF(R795="維持",J795,IF(R795="排除","無關新聞事件",IFERROR(INDEX(事件規則!$B$2:$B$53,MATCH(S795,事件規則!$A$2:$A$53,0)),"")))</f>
        <v>無關新聞事件</v>
      </c>
      <c r="U795" s="20" t="n">
        <f aca="false">IF(R795="維持",K795,IF(R795="排除",0,IFERROR(INDEX(事件規則!$C$2:$C$53,MATCH(S795,事件規則!$A$2:$A$53,0)),"")))</f>
        <v>0</v>
      </c>
      <c r="V795" s="21"/>
      <c r="W795" s="22"/>
      <c r="X795" s="10" t="str">
        <f aca="false">IF(AND(R795="修改",S795=""),"請選新事件代碼",IF(AND(R795&lt;&gt;"修改",S795&lt;&gt;""),"只有「修改」才需填代碼",""))</f>
        <v/>
      </c>
      <c r="Y795" s="21"/>
      <c r="Z795" s="22"/>
      <c r="AA795" s="23" t="s">
        <v>2481</v>
      </c>
      <c r="AB795" s="13"/>
    </row>
    <row r="796" customFormat="false" ht="44" hidden="false" customHeight="false" outlineLevel="0" collapsed="false">
      <c r="A796" s="16" t="n">
        <v>795</v>
      </c>
      <c r="B796" s="9" t="s">
        <v>65</v>
      </c>
      <c r="C796" s="9" t="s">
        <v>704</v>
      </c>
      <c r="D796" s="10" t="s">
        <v>705</v>
      </c>
      <c r="E796" s="24" t="s">
        <v>2482</v>
      </c>
      <c r="F796" s="12"/>
      <c r="G796" s="23" t="s">
        <v>2483</v>
      </c>
      <c r="H796" s="14" t="n">
        <v>-0.677</v>
      </c>
      <c r="I796" s="15"/>
      <c r="J796" s="12"/>
      <c r="K796" s="9"/>
      <c r="L796" s="16" t="s">
        <v>51</v>
      </c>
      <c r="M796" s="17" t="s">
        <v>79</v>
      </c>
      <c r="N796" s="15"/>
      <c r="O796" s="16" t="s">
        <v>54</v>
      </c>
      <c r="P796" s="12" t="s">
        <v>2267</v>
      </c>
      <c r="Q796" s="16"/>
      <c r="R796" s="18" t="s">
        <v>79</v>
      </c>
      <c r="S796" s="19"/>
      <c r="T796" s="12" t="str">
        <f aca="false">IF(R796="維持",J796,IF(R796="排除","無關新聞事件",IFERROR(INDEX(事件規則!$B$2:$B$53,MATCH(S796,事件規則!$A$2:$A$53,0)),"")))</f>
        <v>無關新聞事件</v>
      </c>
      <c r="U796" s="20" t="n">
        <f aca="false">IF(R796="維持",K796,IF(R796="排除",0,IFERROR(INDEX(事件規則!$C$2:$C$53,MATCH(S796,事件規則!$A$2:$A$53,0)),"")))</f>
        <v>0</v>
      </c>
      <c r="V796" s="21"/>
      <c r="W796" s="22"/>
      <c r="X796" s="10" t="str">
        <f aca="false">IF(AND(R796="修改",S796=""),"請選新事件代碼",IF(AND(R796&lt;&gt;"修改",S796&lt;&gt;""),"只有「修改」才需填代碼",""))</f>
        <v/>
      </c>
      <c r="Y796" s="21"/>
      <c r="Z796" s="22"/>
      <c r="AA796" s="23" t="s">
        <v>2484</v>
      </c>
      <c r="AB796" s="13"/>
    </row>
    <row r="797" customFormat="false" ht="44" hidden="false" customHeight="false" outlineLevel="0" collapsed="false">
      <c r="A797" s="16" t="n">
        <v>796</v>
      </c>
      <c r="B797" s="9" t="s">
        <v>65</v>
      </c>
      <c r="C797" s="9" t="s">
        <v>2485</v>
      </c>
      <c r="D797" s="10" t="s">
        <v>2486</v>
      </c>
      <c r="E797" s="24" t="s">
        <v>2487</v>
      </c>
      <c r="F797" s="12"/>
      <c r="G797" s="23" t="s">
        <v>120</v>
      </c>
      <c r="H797" s="14" t="n">
        <v>-0.676</v>
      </c>
      <c r="I797" s="15"/>
      <c r="J797" s="12"/>
      <c r="K797" s="9"/>
      <c r="L797" s="16" t="s">
        <v>51</v>
      </c>
      <c r="M797" s="17" t="s">
        <v>79</v>
      </c>
      <c r="N797" s="15"/>
      <c r="O797" s="16" t="s">
        <v>54</v>
      </c>
      <c r="P797" s="12" t="s">
        <v>2267</v>
      </c>
      <c r="Q797" s="16"/>
      <c r="R797" s="18" t="s">
        <v>79</v>
      </c>
      <c r="S797" s="19"/>
      <c r="T797" s="12" t="str">
        <f aca="false">IF(R797="維持",J797,IF(R797="排除","無關新聞事件",IFERROR(INDEX(事件規則!$B$2:$B$53,MATCH(S797,事件規則!$A$2:$A$53,0)),"")))</f>
        <v>無關新聞事件</v>
      </c>
      <c r="U797" s="20" t="n">
        <f aca="false">IF(R797="維持",K797,IF(R797="排除",0,IFERROR(INDEX(事件規則!$C$2:$C$53,MATCH(S797,事件規則!$A$2:$A$53,0)),"")))</f>
        <v>0</v>
      </c>
      <c r="V797" s="21"/>
      <c r="W797" s="22"/>
      <c r="X797" s="10" t="str">
        <f aca="false">IF(AND(R797="修改",S797=""),"請選新事件代碼",IF(AND(R797&lt;&gt;"修改",S797&lt;&gt;""),"只有「修改」才需填代碼",""))</f>
        <v/>
      </c>
      <c r="Y797" s="21"/>
      <c r="Z797" s="22"/>
      <c r="AA797" s="23" t="s">
        <v>2488</v>
      </c>
      <c r="AB797" s="13"/>
    </row>
    <row r="798" customFormat="false" ht="44" hidden="false" customHeight="false" outlineLevel="0" collapsed="false">
      <c r="A798" s="16" t="n">
        <v>797</v>
      </c>
      <c r="B798" s="9" t="s">
        <v>45</v>
      </c>
      <c r="C798" s="9" t="s">
        <v>99</v>
      </c>
      <c r="D798" s="10" t="s">
        <v>100</v>
      </c>
      <c r="E798" s="24" t="s">
        <v>2489</v>
      </c>
      <c r="F798" s="12"/>
      <c r="G798" s="23" t="s">
        <v>152</v>
      </c>
      <c r="H798" s="14" t="n">
        <v>-0.676</v>
      </c>
      <c r="I798" s="15"/>
      <c r="J798" s="12"/>
      <c r="K798" s="9"/>
      <c r="L798" s="16" t="s">
        <v>51</v>
      </c>
      <c r="M798" s="17" t="s">
        <v>79</v>
      </c>
      <c r="N798" s="15"/>
      <c r="O798" s="16" t="s">
        <v>54</v>
      </c>
      <c r="P798" s="12" t="s">
        <v>2267</v>
      </c>
      <c r="Q798" s="16"/>
      <c r="R798" s="18" t="s">
        <v>79</v>
      </c>
      <c r="S798" s="19"/>
      <c r="T798" s="12" t="str">
        <f aca="false">IF(R798="維持",J798,IF(R798="排除","無關新聞事件",IFERROR(INDEX(事件規則!$B$2:$B$53,MATCH(S798,事件規則!$A$2:$A$53,0)),"")))</f>
        <v>無關新聞事件</v>
      </c>
      <c r="U798" s="20" t="n">
        <f aca="false">IF(R798="維持",K798,IF(R798="排除",0,IFERROR(INDEX(事件規則!$C$2:$C$53,MATCH(S798,事件規則!$A$2:$A$53,0)),"")))</f>
        <v>0</v>
      </c>
      <c r="V798" s="21"/>
      <c r="W798" s="22"/>
      <c r="X798" s="10" t="str">
        <f aca="false">IF(AND(R798="修改",S798=""),"請選新事件代碼",IF(AND(R798&lt;&gt;"修改",S798&lt;&gt;""),"只有「修改」才需填代碼",""))</f>
        <v/>
      </c>
      <c r="Y798" s="21"/>
      <c r="Z798" s="22"/>
      <c r="AA798" s="23" t="s">
        <v>2490</v>
      </c>
      <c r="AB798" s="13"/>
    </row>
    <row r="799" customFormat="false" ht="44" hidden="false" customHeight="false" outlineLevel="0" collapsed="false">
      <c r="A799" s="16" t="n">
        <v>798</v>
      </c>
      <c r="B799" s="9" t="s">
        <v>65</v>
      </c>
      <c r="C799" s="9" t="s">
        <v>569</v>
      </c>
      <c r="D799" s="10" t="s">
        <v>570</v>
      </c>
      <c r="E799" s="24" t="s">
        <v>2491</v>
      </c>
      <c r="F799" s="12"/>
      <c r="G799" s="23" t="s">
        <v>504</v>
      </c>
      <c r="H799" s="14" t="n">
        <v>-0.675</v>
      </c>
      <c r="I799" s="15"/>
      <c r="J799" s="12"/>
      <c r="K799" s="9"/>
      <c r="L799" s="16" t="s">
        <v>51</v>
      </c>
      <c r="M799" s="17" t="s">
        <v>79</v>
      </c>
      <c r="N799" s="15"/>
      <c r="O799" s="16" t="s">
        <v>54</v>
      </c>
      <c r="P799" s="12" t="s">
        <v>2267</v>
      </c>
      <c r="Q799" s="16"/>
      <c r="R799" s="18" t="s">
        <v>79</v>
      </c>
      <c r="S799" s="19"/>
      <c r="T799" s="12" t="str">
        <f aca="false">IF(R799="維持",J799,IF(R799="排除","無關新聞事件",IFERROR(INDEX(事件規則!$B$2:$B$53,MATCH(S799,事件規則!$A$2:$A$53,0)),"")))</f>
        <v>無關新聞事件</v>
      </c>
      <c r="U799" s="20" t="n">
        <f aca="false">IF(R799="維持",K799,IF(R799="排除",0,IFERROR(INDEX(事件規則!$C$2:$C$53,MATCH(S799,事件規則!$A$2:$A$53,0)),"")))</f>
        <v>0</v>
      </c>
      <c r="V799" s="21"/>
      <c r="W799" s="22"/>
      <c r="X799" s="10" t="str">
        <f aca="false">IF(AND(R799="修改",S799=""),"請選新事件代碼",IF(AND(R799&lt;&gt;"修改",S799&lt;&gt;""),"只有「修改」才需填代碼",""))</f>
        <v/>
      </c>
      <c r="Y799" s="21"/>
      <c r="Z799" s="22"/>
      <c r="AA799" s="23" t="s">
        <v>2492</v>
      </c>
      <c r="AB799" s="13"/>
    </row>
    <row r="800" customFormat="false" ht="44" hidden="false" customHeight="false" outlineLevel="0" collapsed="false">
      <c r="A800" s="16" t="n">
        <v>799</v>
      </c>
      <c r="B800" s="9" t="s">
        <v>65</v>
      </c>
      <c r="C800" s="9" t="s">
        <v>564</v>
      </c>
      <c r="D800" s="10" t="s">
        <v>565</v>
      </c>
      <c r="E800" s="24" t="s">
        <v>2493</v>
      </c>
      <c r="F800" s="12"/>
      <c r="G800" s="23" t="s">
        <v>2494</v>
      </c>
      <c r="H800" s="14" t="n">
        <v>-0.673</v>
      </c>
      <c r="I800" s="15"/>
      <c r="J800" s="12"/>
      <c r="K800" s="9"/>
      <c r="L800" s="16" t="s">
        <v>51</v>
      </c>
      <c r="M800" s="17" t="s">
        <v>79</v>
      </c>
      <c r="N800" s="15"/>
      <c r="O800" s="16" t="s">
        <v>54</v>
      </c>
      <c r="P800" s="12" t="s">
        <v>2267</v>
      </c>
      <c r="Q800" s="16"/>
      <c r="R800" s="18" t="s">
        <v>79</v>
      </c>
      <c r="S800" s="19"/>
      <c r="T800" s="12" t="str">
        <f aca="false">IF(R800="維持",J800,IF(R800="排除","無關新聞事件",IFERROR(INDEX(事件規則!$B$2:$B$53,MATCH(S800,事件規則!$A$2:$A$53,0)),"")))</f>
        <v>無關新聞事件</v>
      </c>
      <c r="U800" s="20" t="n">
        <f aca="false">IF(R800="維持",K800,IF(R800="排除",0,IFERROR(INDEX(事件規則!$C$2:$C$53,MATCH(S800,事件規則!$A$2:$A$53,0)),"")))</f>
        <v>0</v>
      </c>
      <c r="V800" s="21"/>
      <c r="W800" s="22"/>
      <c r="X800" s="10" t="str">
        <f aca="false">IF(AND(R800="修改",S800=""),"請選新事件代碼",IF(AND(R800&lt;&gt;"修改",S800&lt;&gt;""),"只有「修改」才需填代碼",""))</f>
        <v/>
      </c>
      <c r="Y800" s="21"/>
      <c r="Z800" s="22"/>
      <c r="AA800" s="23" t="s">
        <v>2495</v>
      </c>
      <c r="AB800" s="13"/>
    </row>
    <row r="801" customFormat="false" ht="44" hidden="false" customHeight="false" outlineLevel="0" collapsed="false">
      <c r="A801" s="16" t="n">
        <v>800</v>
      </c>
      <c r="B801" s="9" t="s">
        <v>65</v>
      </c>
      <c r="C801" s="9" t="s">
        <v>156</v>
      </c>
      <c r="D801" s="10" t="s">
        <v>157</v>
      </c>
      <c r="E801" s="24" t="s">
        <v>2496</v>
      </c>
      <c r="F801" s="12"/>
      <c r="G801" s="23" t="s">
        <v>224</v>
      </c>
      <c r="H801" s="14" t="n">
        <v>-0.668</v>
      </c>
      <c r="I801" s="15"/>
      <c r="J801" s="12"/>
      <c r="K801" s="9"/>
      <c r="L801" s="16" t="s">
        <v>51</v>
      </c>
      <c r="M801" s="17" t="s">
        <v>79</v>
      </c>
      <c r="N801" s="15"/>
      <c r="O801" s="16" t="s">
        <v>54</v>
      </c>
      <c r="P801" s="12" t="s">
        <v>2267</v>
      </c>
      <c r="Q801" s="16"/>
      <c r="R801" s="18" t="s">
        <v>79</v>
      </c>
      <c r="S801" s="19"/>
      <c r="T801" s="12" t="str">
        <f aca="false">IF(R801="維持",J801,IF(R801="排除","無關新聞事件",IFERROR(INDEX(事件規則!$B$2:$B$53,MATCH(S801,事件規則!$A$2:$A$53,0)),"")))</f>
        <v>無關新聞事件</v>
      </c>
      <c r="U801" s="20" t="n">
        <f aca="false">IF(R801="維持",K801,IF(R801="排除",0,IFERROR(INDEX(事件規則!$C$2:$C$53,MATCH(S801,事件規則!$A$2:$A$53,0)),"")))</f>
        <v>0</v>
      </c>
      <c r="V801" s="21"/>
      <c r="W801" s="22"/>
      <c r="X801" s="10" t="str">
        <f aca="false">IF(AND(R801="修改",S801=""),"請選新事件代碼",IF(AND(R801&lt;&gt;"修改",S801&lt;&gt;""),"只有「修改」才需填代碼",""))</f>
        <v/>
      </c>
      <c r="Y801" s="21"/>
      <c r="Z801" s="22"/>
      <c r="AA801" s="23" t="s">
        <v>2497</v>
      </c>
      <c r="AB801" s="13"/>
    </row>
    <row r="802" customFormat="false" ht="44" hidden="false" customHeight="false" outlineLevel="0" collapsed="false">
      <c r="A802" s="16" t="n">
        <v>801</v>
      </c>
      <c r="B802" s="9" t="s">
        <v>45</v>
      </c>
      <c r="C802" s="9" t="s">
        <v>2498</v>
      </c>
      <c r="D802" s="10" t="s">
        <v>2499</v>
      </c>
      <c r="E802" s="24" t="s">
        <v>2500</v>
      </c>
      <c r="F802" s="12"/>
      <c r="G802" s="23" t="s">
        <v>224</v>
      </c>
      <c r="H802" s="14" t="n">
        <v>-0.668</v>
      </c>
      <c r="I802" s="15"/>
      <c r="J802" s="12"/>
      <c r="K802" s="9"/>
      <c r="L802" s="16" t="s">
        <v>51</v>
      </c>
      <c r="M802" s="17" t="s">
        <v>79</v>
      </c>
      <c r="N802" s="15"/>
      <c r="O802" s="16" t="s">
        <v>54</v>
      </c>
      <c r="P802" s="12" t="s">
        <v>2267</v>
      </c>
      <c r="Q802" s="16"/>
      <c r="R802" s="18" t="s">
        <v>79</v>
      </c>
      <c r="S802" s="19"/>
      <c r="T802" s="12" t="str">
        <f aca="false">IF(R802="維持",J802,IF(R802="排除","無關新聞事件",IFERROR(INDEX(事件規則!$B$2:$B$53,MATCH(S802,事件規則!$A$2:$A$53,0)),"")))</f>
        <v>無關新聞事件</v>
      </c>
      <c r="U802" s="20" t="n">
        <f aca="false">IF(R802="維持",K802,IF(R802="排除",0,IFERROR(INDEX(事件規則!$C$2:$C$53,MATCH(S802,事件規則!$A$2:$A$53,0)),"")))</f>
        <v>0</v>
      </c>
      <c r="V802" s="21"/>
      <c r="W802" s="22"/>
      <c r="X802" s="10" t="str">
        <f aca="false">IF(AND(R802="修改",S802=""),"請選新事件代碼",IF(AND(R802&lt;&gt;"修改",S802&lt;&gt;""),"只有「修改」才需填代碼",""))</f>
        <v/>
      </c>
      <c r="Y802" s="21"/>
      <c r="Z802" s="22"/>
      <c r="AA802" s="23" t="s">
        <v>2501</v>
      </c>
      <c r="AB802" s="13"/>
    </row>
    <row r="803" customFormat="false" ht="44" hidden="false" customHeight="false" outlineLevel="0" collapsed="false">
      <c r="A803" s="16" t="n">
        <v>802</v>
      </c>
      <c r="B803" s="9" t="s">
        <v>65</v>
      </c>
      <c r="C803" s="9" t="s">
        <v>2502</v>
      </c>
      <c r="D803" s="10" t="s">
        <v>2503</v>
      </c>
      <c r="E803" s="24" t="s">
        <v>2504</v>
      </c>
      <c r="F803" s="12"/>
      <c r="G803" s="23" t="s">
        <v>120</v>
      </c>
      <c r="H803" s="14" t="n">
        <v>-0.666</v>
      </c>
      <c r="I803" s="15"/>
      <c r="J803" s="12"/>
      <c r="K803" s="9"/>
      <c r="L803" s="16" t="s">
        <v>51</v>
      </c>
      <c r="M803" s="17" t="s">
        <v>79</v>
      </c>
      <c r="N803" s="15"/>
      <c r="O803" s="16" t="s">
        <v>54</v>
      </c>
      <c r="P803" s="12" t="s">
        <v>2267</v>
      </c>
      <c r="Q803" s="16"/>
      <c r="R803" s="18" t="s">
        <v>79</v>
      </c>
      <c r="S803" s="19"/>
      <c r="T803" s="12" t="str">
        <f aca="false">IF(R803="維持",J803,IF(R803="排除","無關新聞事件",IFERROR(INDEX(事件規則!$B$2:$B$53,MATCH(S803,事件規則!$A$2:$A$53,0)),"")))</f>
        <v>無關新聞事件</v>
      </c>
      <c r="U803" s="20" t="n">
        <f aca="false">IF(R803="維持",K803,IF(R803="排除",0,IFERROR(INDEX(事件規則!$C$2:$C$53,MATCH(S803,事件規則!$A$2:$A$53,0)),"")))</f>
        <v>0</v>
      </c>
      <c r="V803" s="21"/>
      <c r="W803" s="22"/>
      <c r="X803" s="10" t="str">
        <f aca="false">IF(AND(R803="修改",S803=""),"請選新事件代碼",IF(AND(R803&lt;&gt;"修改",S803&lt;&gt;""),"只有「修改」才需填代碼",""))</f>
        <v/>
      </c>
      <c r="Y803" s="21"/>
      <c r="Z803" s="22"/>
      <c r="AA803" s="23" t="s">
        <v>2505</v>
      </c>
      <c r="AB803" s="13"/>
    </row>
    <row r="804" customFormat="false" ht="44" hidden="false" customHeight="false" outlineLevel="0" collapsed="false">
      <c r="A804" s="16" t="n">
        <v>803</v>
      </c>
      <c r="B804" s="9" t="s">
        <v>65</v>
      </c>
      <c r="C804" s="9" t="s">
        <v>2506</v>
      </c>
      <c r="D804" s="10" t="s">
        <v>2507</v>
      </c>
      <c r="E804" s="24" t="s">
        <v>2508</v>
      </c>
      <c r="F804" s="12"/>
      <c r="G804" s="23" t="s">
        <v>120</v>
      </c>
      <c r="H804" s="14" t="n">
        <v>-0.664</v>
      </c>
      <c r="I804" s="15"/>
      <c r="J804" s="12"/>
      <c r="K804" s="9"/>
      <c r="L804" s="16" t="s">
        <v>51</v>
      </c>
      <c r="M804" s="17" t="s">
        <v>79</v>
      </c>
      <c r="N804" s="15"/>
      <c r="O804" s="16" t="s">
        <v>54</v>
      </c>
      <c r="P804" s="12" t="s">
        <v>2267</v>
      </c>
      <c r="Q804" s="16"/>
      <c r="R804" s="18" t="s">
        <v>79</v>
      </c>
      <c r="S804" s="19"/>
      <c r="T804" s="12" t="str">
        <f aca="false">IF(R804="維持",J804,IF(R804="排除","無關新聞事件",IFERROR(INDEX(事件規則!$B$2:$B$53,MATCH(S804,事件規則!$A$2:$A$53,0)),"")))</f>
        <v>無關新聞事件</v>
      </c>
      <c r="U804" s="20" t="n">
        <f aca="false">IF(R804="維持",K804,IF(R804="排除",0,IFERROR(INDEX(事件規則!$C$2:$C$53,MATCH(S804,事件規則!$A$2:$A$53,0)),"")))</f>
        <v>0</v>
      </c>
      <c r="V804" s="21"/>
      <c r="W804" s="22"/>
      <c r="X804" s="10" t="str">
        <f aca="false">IF(AND(R804="修改",S804=""),"請選新事件代碼",IF(AND(R804&lt;&gt;"修改",S804&lt;&gt;""),"只有「修改」才需填代碼",""))</f>
        <v/>
      </c>
      <c r="Y804" s="21"/>
      <c r="Z804" s="22"/>
      <c r="AA804" s="23" t="s">
        <v>2509</v>
      </c>
      <c r="AB804" s="13"/>
    </row>
    <row r="805" customFormat="false" ht="44" hidden="false" customHeight="false" outlineLevel="0" collapsed="false">
      <c r="A805" s="16" t="n">
        <v>804</v>
      </c>
      <c r="B805" s="9" t="s">
        <v>65</v>
      </c>
      <c r="C805" s="9" t="s">
        <v>1437</v>
      </c>
      <c r="D805" s="10" t="s">
        <v>1438</v>
      </c>
      <c r="E805" s="24" t="s">
        <v>2510</v>
      </c>
      <c r="F805" s="12"/>
      <c r="G805" s="23" t="s">
        <v>2511</v>
      </c>
      <c r="H805" s="14" t="n">
        <v>-0.663</v>
      </c>
      <c r="I805" s="15"/>
      <c r="J805" s="12"/>
      <c r="K805" s="9"/>
      <c r="L805" s="16" t="s">
        <v>51</v>
      </c>
      <c r="M805" s="17" t="s">
        <v>79</v>
      </c>
      <c r="N805" s="15"/>
      <c r="O805" s="16" t="s">
        <v>54</v>
      </c>
      <c r="P805" s="12" t="s">
        <v>2267</v>
      </c>
      <c r="Q805" s="16"/>
      <c r="R805" s="18" t="s">
        <v>79</v>
      </c>
      <c r="S805" s="19"/>
      <c r="T805" s="12" t="str">
        <f aca="false">IF(R805="維持",J805,IF(R805="排除","無關新聞事件",IFERROR(INDEX(事件規則!$B$2:$B$53,MATCH(S805,事件規則!$A$2:$A$53,0)),"")))</f>
        <v>無關新聞事件</v>
      </c>
      <c r="U805" s="20" t="n">
        <f aca="false">IF(R805="維持",K805,IF(R805="排除",0,IFERROR(INDEX(事件規則!$C$2:$C$53,MATCH(S805,事件規則!$A$2:$A$53,0)),"")))</f>
        <v>0</v>
      </c>
      <c r="V805" s="21"/>
      <c r="W805" s="22"/>
      <c r="X805" s="10" t="str">
        <f aca="false">IF(AND(R805="修改",S805=""),"請選新事件代碼",IF(AND(R805&lt;&gt;"修改",S805&lt;&gt;""),"只有「修改」才需填代碼",""))</f>
        <v/>
      </c>
      <c r="Y805" s="21"/>
      <c r="Z805" s="22"/>
      <c r="AA805" s="23" t="s">
        <v>2512</v>
      </c>
      <c r="AB805" s="13"/>
    </row>
    <row r="806" customFormat="false" ht="44" hidden="false" customHeight="false" outlineLevel="0" collapsed="false">
      <c r="A806" s="16" t="n">
        <v>805</v>
      </c>
      <c r="B806" s="9" t="s">
        <v>45</v>
      </c>
      <c r="C806" s="9" t="s">
        <v>108</v>
      </c>
      <c r="D806" s="10" t="s">
        <v>109</v>
      </c>
      <c r="E806" s="24" t="s">
        <v>2513</v>
      </c>
      <c r="F806" s="12"/>
      <c r="G806" s="23" t="s">
        <v>152</v>
      </c>
      <c r="H806" s="14" t="n">
        <v>-0.662</v>
      </c>
      <c r="I806" s="15"/>
      <c r="J806" s="12"/>
      <c r="K806" s="9"/>
      <c r="L806" s="16" t="s">
        <v>51</v>
      </c>
      <c r="M806" s="17" t="s">
        <v>79</v>
      </c>
      <c r="N806" s="15"/>
      <c r="O806" s="16" t="s">
        <v>54</v>
      </c>
      <c r="P806" s="12" t="s">
        <v>2267</v>
      </c>
      <c r="Q806" s="16"/>
      <c r="R806" s="18" t="s">
        <v>79</v>
      </c>
      <c r="S806" s="19"/>
      <c r="T806" s="12" t="str">
        <f aca="false">IF(R806="維持",J806,IF(R806="排除","無關新聞事件",IFERROR(INDEX(事件規則!$B$2:$B$53,MATCH(S806,事件規則!$A$2:$A$53,0)),"")))</f>
        <v>無關新聞事件</v>
      </c>
      <c r="U806" s="20" t="n">
        <f aca="false">IF(R806="維持",K806,IF(R806="排除",0,IFERROR(INDEX(事件規則!$C$2:$C$53,MATCH(S806,事件規則!$A$2:$A$53,0)),"")))</f>
        <v>0</v>
      </c>
      <c r="V806" s="21"/>
      <c r="W806" s="22"/>
      <c r="X806" s="10" t="str">
        <f aca="false">IF(AND(R806="修改",S806=""),"請選新事件代碼",IF(AND(R806&lt;&gt;"修改",S806&lt;&gt;""),"只有「修改」才需填代碼",""))</f>
        <v/>
      </c>
      <c r="Y806" s="21"/>
      <c r="Z806" s="22"/>
      <c r="AA806" s="23" t="s">
        <v>2514</v>
      </c>
      <c r="AB806" s="13"/>
    </row>
    <row r="807" customFormat="false" ht="44" hidden="false" customHeight="false" outlineLevel="0" collapsed="false">
      <c r="A807" s="16" t="n">
        <v>806</v>
      </c>
      <c r="B807" s="9" t="s">
        <v>65</v>
      </c>
      <c r="C807" s="9" t="s">
        <v>645</v>
      </c>
      <c r="D807" s="10" t="s">
        <v>646</v>
      </c>
      <c r="E807" s="24" t="s">
        <v>2515</v>
      </c>
      <c r="F807" s="12"/>
      <c r="G807" s="23" t="s">
        <v>2516</v>
      </c>
      <c r="H807" s="14" t="n">
        <v>-0.66</v>
      </c>
      <c r="I807" s="15"/>
      <c r="J807" s="12"/>
      <c r="K807" s="9"/>
      <c r="L807" s="16" t="s">
        <v>51</v>
      </c>
      <c r="M807" s="17" t="s">
        <v>79</v>
      </c>
      <c r="N807" s="15"/>
      <c r="O807" s="16" t="s">
        <v>54</v>
      </c>
      <c r="P807" s="12" t="s">
        <v>2267</v>
      </c>
      <c r="Q807" s="16"/>
      <c r="R807" s="18" t="s">
        <v>79</v>
      </c>
      <c r="S807" s="19"/>
      <c r="T807" s="12" t="str">
        <f aca="false">IF(R807="維持",J807,IF(R807="排除","無關新聞事件",IFERROR(INDEX(事件規則!$B$2:$B$53,MATCH(S807,事件規則!$A$2:$A$53,0)),"")))</f>
        <v>無關新聞事件</v>
      </c>
      <c r="U807" s="20" t="n">
        <f aca="false">IF(R807="維持",K807,IF(R807="排除",0,IFERROR(INDEX(事件規則!$C$2:$C$53,MATCH(S807,事件規則!$A$2:$A$53,0)),"")))</f>
        <v>0</v>
      </c>
      <c r="V807" s="21"/>
      <c r="W807" s="22"/>
      <c r="X807" s="10" t="str">
        <f aca="false">IF(AND(R807="修改",S807=""),"請選新事件代碼",IF(AND(R807&lt;&gt;"修改",S807&lt;&gt;""),"只有「修改」才需填代碼",""))</f>
        <v/>
      </c>
      <c r="Y807" s="21"/>
      <c r="Z807" s="22"/>
      <c r="AA807" s="23" t="s">
        <v>2517</v>
      </c>
      <c r="AB807" s="13"/>
    </row>
    <row r="808" customFormat="false" ht="44" hidden="false" customHeight="false" outlineLevel="0" collapsed="false">
      <c r="A808" s="16" t="n">
        <v>807</v>
      </c>
      <c r="B808" s="9" t="s">
        <v>65</v>
      </c>
      <c r="C808" s="9" t="s">
        <v>2506</v>
      </c>
      <c r="D808" s="10" t="s">
        <v>2507</v>
      </c>
      <c r="E808" s="24" t="s">
        <v>2518</v>
      </c>
      <c r="F808" s="12"/>
      <c r="G808" s="23" t="s">
        <v>2519</v>
      </c>
      <c r="H808" s="14" t="n">
        <v>-0.66</v>
      </c>
      <c r="I808" s="15"/>
      <c r="J808" s="12"/>
      <c r="K808" s="9"/>
      <c r="L808" s="16" t="s">
        <v>51</v>
      </c>
      <c r="M808" s="17" t="s">
        <v>79</v>
      </c>
      <c r="N808" s="15"/>
      <c r="O808" s="16" t="s">
        <v>54</v>
      </c>
      <c r="P808" s="12" t="s">
        <v>2267</v>
      </c>
      <c r="Q808" s="16"/>
      <c r="R808" s="18" t="s">
        <v>79</v>
      </c>
      <c r="S808" s="19"/>
      <c r="T808" s="12" t="str">
        <f aca="false">IF(R808="維持",J808,IF(R808="排除","無關新聞事件",IFERROR(INDEX(事件規則!$B$2:$B$53,MATCH(S808,事件規則!$A$2:$A$53,0)),"")))</f>
        <v>無關新聞事件</v>
      </c>
      <c r="U808" s="20" t="n">
        <f aca="false">IF(R808="維持",K808,IF(R808="排除",0,IFERROR(INDEX(事件規則!$C$2:$C$53,MATCH(S808,事件規則!$A$2:$A$53,0)),"")))</f>
        <v>0</v>
      </c>
      <c r="V808" s="21"/>
      <c r="W808" s="22"/>
      <c r="X808" s="10" t="str">
        <f aca="false">IF(AND(R808="修改",S808=""),"請選新事件代碼",IF(AND(R808&lt;&gt;"修改",S808&lt;&gt;""),"只有「修改」才需填代碼",""))</f>
        <v/>
      </c>
      <c r="Y808" s="21"/>
      <c r="Z808" s="22"/>
      <c r="AA808" s="23" t="s">
        <v>2520</v>
      </c>
      <c r="AB808" s="13"/>
    </row>
    <row r="809" customFormat="false" ht="44" hidden="false" customHeight="false" outlineLevel="0" collapsed="false">
      <c r="A809" s="16" t="n">
        <v>808</v>
      </c>
      <c r="B809" s="9" t="s">
        <v>45</v>
      </c>
      <c r="C809" s="9" t="s">
        <v>1197</v>
      </c>
      <c r="D809" s="10" t="s">
        <v>1198</v>
      </c>
      <c r="E809" s="24" t="s">
        <v>2521</v>
      </c>
      <c r="F809" s="12"/>
      <c r="G809" s="23" t="s">
        <v>147</v>
      </c>
      <c r="H809" s="14" t="n">
        <v>-0.657</v>
      </c>
      <c r="I809" s="15"/>
      <c r="J809" s="12"/>
      <c r="K809" s="9"/>
      <c r="L809" s="16" t="s">
        <v>51</v>
      </c>
      <c r="M809" s="17" t="s">
        <v>79</v>
      </c>
      <c r="N809" s="15"/>
      <c r="O809" s="16" t="s">
        <v>54</v>
      </c>
      <c r="P809" s="12" t="s">
        <v>2267</v>
      </c>
      <c r="Q809" s="16"/>
      <c r="R809" s="18" t="s">
        <v>79</v>
      </c>
      <c r="S809" s="19"/>
      <c r="T809" s="12" t="str">
        <f aca="false">IF(R809="維持",J809,IF(R809="排除","無關新聞事件",IFERROR(INDEX(事件規則!$B$2:$B$53,MATCH(S809,事件規則!$A$2:$A$53,0)),"")))</f>
        <v>無關新聞事件</v>
      </c>
      <c r="U809" s="20" t="n">
        <f aca="false">IF(R809="維持",K809,IF(R809="排除",0,IFERROR(INDEX(事件規則!$C$2:$C$53,MATCH(S809,事件規則!$A$2:$A$53,0)),"")))</f>
        <v>0</v>
      </c>
      <c r="V809" s="21"/>
      <c r="W809" s="22"/>
      <c r="X809" s="10" t="str">
        <f aca="false">IF(AND(R809="修改",S809=""),"請選新事件代碼",IF(AND(R809&lt;&gt;"修改",S809&lt;&gt;""),"只有「修改」才需填代碼",""))</f>
        <v/>
      </c>
      <c r="Y809" s="21"/>
      <c r="Z809" s="22"/>
      <c r="AA809" s="23" t="s">
        <v>2522</v>
      </c>
      <c r="AB809" s="13"/>
    </row>
    <row r="810" customFormat="false" ht="44" hidden="false" customHeight="false" outlineLevel="0" collapsed="false">
      <c r="A810" s="16" t="n">
        <v>809</v>
      </c>
      <c r="B810" s="9" t="s">
        <v>386</v>
      </c>
      <c r="C810" s="9" t="s">
        <v>739</v>
      </c>
      <c r="D810" s="10" t="s">
        <v>740</v>
      </c>
      <c r="E810" s="24" t="s">
        <v>2523</v>
      </c>
      <c r="F810" s="12"/>
      <c r="G810" s="23" t="s">
        <v>2524</v>
      </c>
      <c r="H810" s="14" t="n">
        <v>-0.657</v>
      </c>
      <c r="I810" s="15"/>
      <c r="J810" s="12"/>
      <c r="K810" s="9"/>
      <c r="L810" s="16" t="s">
        <v>51</v>
      </c>
      <c r="M810" s="17" t="s">
        <v>79</v>
      </c>
      <c r="N810" s="15"/>
      <c r="O810" s="16" t="s">
        <v>54</v>
      </c>
      <c r="P810" s="12" t="s">
        <v>2267</v>
      </c>
      <c r="Q810" s="16"/>
      <c r="R810" s="18" t="s">
        <v>79</v>
      </c>
      <c r="S810" s="19"/>
      <c r="T810" s="12" t="str">
        <f aca="false">IF(R810="維持",J810,IF(R810="排除","無關新聞事件",IFERROR(INDEX(事件規則!$B$2:$B$53,MATCH(S810,事件規則!$A$2:$A$53,0)),"")))</f>
        <v>無關新聞事件</v>
      </c>
      <c r="U810" s="20" t="n">
        <f aca="false">IF(R810="維持",K810,IF(R810="排除",0,IFERROR(INDEX(事件規則!$C$2:$C$53,MATCH(S810,事件規則!$A$2:$A$53,0)),"")))</f>
        <v>0</v>
      </c>
      <c r="V810" s="21"/>
      <c r="W810" s="22"/>
      <c r="X810" s="10" t="str">
        <f aca="false">IF(AND(R810="修改",S810=""),"請選新事件代碼",IF(AND(R810&lt;&gt;"修改",S810&lt;&gt;""),"只有「修改」才需填代碼",""))</f>
        <v/>
      </c>
      <c r="Y810" s="21"/>
      <c r="Z810" s="22"/>
      <c r="AA810" s="23" t="s">
        <v>2525</v>
      </c>
      <c r="AB810" s="13"/>
    </row>
    <row r="811" customFormat="false" ht="44" hidden="false" customHeight="false" outlineLevel="0" collapsed="false">
      <c r="A811" s="16" t="n">
        <v>810</v>
      </c>
      <c r="B811" s="9" t="s">
        <v>65</v>
      </c>
      <c r="C811" s="9" t="s">
        <v>142</v>
      </c>
      <c r="D811" s="10" t="s">
        <v>143</v>
      </c>
      <c r="E811" s="24" t="s">
        <v>2526</v>
      </c>
      <c r="F811" s="12"/>
      <c r="G811" s="23" t="s">
        <v>2527</v>
      </c>
      <c r="H811" s="14" t="n">
        <v>-0.657</v>
      </c>
      <c r="I811" s="15"/>
      <c r="J811" s="12"/>
      <c r="K811" s="9"/>
      <c r="L811" s="16" t="s">
        <v>51</v>
      </c>
      <c r="M811" s="17" t="s">
        <v>79</v>
      </c>
      <c r="N811" s="15"/>
      <c r="O811" s="16" t="s">
        <v>54</v>
      </c>
      <c r="P811" s="12" t="s">
        <v>2267</v>
      </c>
      <c r="Q811" s="16"/>
      <c r="R811" s="18" t="s">
        <v>79</v>
      </c>
      <c r="S811" s="19"/>
      <c r="T811" s="12" t="str">
        <f aca="false">IF(R811="維持",J811,IF(R811="排除","無關新聞事件",IFERROR(INDEX(事件規則!$B$2:$B$53,MATCH(S811,事件規則!$A$2:$A$53,0)),"")))</f>
        <v>無關新聞事件</v>
      </c>
      <c r="U811" s="20" t="n">
        <f aca="false">IF(R811="維持",K811,IF(R811="排除",0,IFERROR(INDEX(事件規則!$C$2:$C$53,MATCH(S811,事件規則!$A$2:$A$53,0)),"")))</f>
        <v>0</v>
      </c>
      <c r="V811" s="21"/>
      <c r="W811" s="22"/>
      <c r="X811" s="10" t="str">
        <f aca="false">IF(AND(R811="修改",S811=""),"請選新事件代碼",IF(AND(R811&lt;&gt;"修改",S811&lt;&gt;""),"只有「修改」才需填代碼",""))</f>
        <v/>
      </c>
      <c r="Y811" s="21"/>
      <c r="Z811" s="22"/>
      <c r="AA811" s="23" t="s">
        <v>2528</v>
      </c>
      <c r="AB811" s="13"/>
    </row>
    <row r="812" customFormat="false" ht="44" hidden="false" customHeight="false" outlineLevel="0" collapsed="false">
      <c r="A812" s="16" t="n">
        <v>811</v>
      </c>
      <c r="B812" s="9" t="s">
        <v>386</v>
      </c>
      <c r="C812" s="9" t="s">
        <v>988</v>
      </c>
      <c r="D812" s="10" t="s">
        <v>989</v>
      </c>
      <c r="E812" s="24" t="s">
        <v>2529</v>
      </c>
      <c r="F812" s="12"/>
      <c r="G812" s="23" t="s">
        <v>2530</v>
      </c>
      <c r="H812" s="14" t="n">
        <v>-0.656</v>
      </c>
      <c r="I812" s="15"/>
      <c r="J812" s="12"/>
      <c r="K812" s="9"/>
      <c r="L812" s="16" t="s">
        <v>51</v>
      </c>
      <c r="M812" s="17" t="s">
        <v>79</v>
      </c>
      <c r="N812" s="15"/>
      <c r="O812" s="16" t="s">
        <v>54</v>
      </c>
      <c r="P812" s="12" t="s">
        <v>2267</v>
      </c>
      <c r="Q812" s="16"/>
      <c r="R812" s="18" t="s">
        <v>79</v>
      </c>
      <c r="S812" s="19"/>
      <c r="T812" s="12" t="str">
        <f aca="false">IF(R812="維持",J812,IF(R812="排除","無關新聞事件",IFERROR(INDEX(事件規則!$B$2:$B$53,MATCH(S812,事件規則!$A$2:$A$53,0)),"")))</f>
        <v>無關新聞事件</v>
      </c>
      <c r="U812" s="20" t="n">
        <f aca="false">IF(R812="維持",K812,IF(R812="排除",0,IFERROR(INDEX(事件規則!$C$2:$C$53,MATCH(S812,事件規則!$A$2:$A$53,0)),"")))</f>
        <v>0</v>
      </c>
      <c r="V812" s="21"/>
      <c r="W812" s="22"/>
      <c r="X812" s="10" t="str">
        <f aca="false">IF(AND(R812="修改",S812=""),"請選新事件代碼",IF(AND(R812&lt;&gt;"修改",S812&lt;&gt;""),"只有「修改」才需填代碼",""))</f>
        <v/>
      </c>
      <c r="Y812" s="21"/>
      <c r="Z812" s="22"/>
      <c r="AA812" s="23" t="s">
        <v>2531</v>
      </c>
      <c r="AB812" s="13"/>
    </row>
    <row r="813" customFormat="false" ht="44" hidden="false" customHeight="false" outlineLevel="0" collapsed="false">
      <c r="A813" s="16" t="n">
        <v>812</v>
      </c>
      <c r="B813" s="9" t="s">
        <v>65</v>
      </c>
      <c r="C813" s="9" t="s">
        <v>2256</v>
      </c>
      <c r="D813" s="10" t="s">
        <v>2148</v>
      </c>
      <c r="E813" s="24" t="s">
        <v>2532</v>
      </c>
      <c r="F813" s="12"/>
      <c r="G813" s="23" t="s">
        <v>224</v>
      </c>
      <c r="H813" s="14" t="n">
        <v>-0.656</v>
      </c>
      <c r="I813" s="15"/>
      <c r="J813" s="12"/>
      <c r="K813" s="9"/>
      <c r="L813" s="16" t="s">
        <v>51</v>
      </c>
      <c r="M813" s="17" t="s">
        <v>79</v>
      </c>
      <c r="N813" s="15"/>
      <c r="O813" s="16" t="s">
        <v>54</v>
      </c>
      <c r="P813" s="12" t="s">
        <v>2267</v>
      </c>
      <c r="Q813" s="16"/>
      <c r="R813" s="18" t="s">
        <v>79</v>
      </c>
      <c r="S813" s="19"/>
      <c r="T813" s="12" t="str">
        <f aca="false">IF(R813="維持",J813,IF(R813="排除","無關新聞事件",IFERROR(INDEX(事件規則!$B$2:$B$53,MATCH(S813,事件規則!$A$2:$A$53,0)),"")))</f>
        <v>無關新聞事件</v>
      </c>
      <c r="U813" s="20" t="n">
        <f aca="false">IF(R813="維持",K813,IF(R813="排除",0,IFERROR(INDEX(事件規則!$C$2:$C$53,MATCH(S813,事件規則!$A$2:$A$53,0)),"")))</f>
        <v>0</v>
      </c>
      <c r="V813" s="21"/>
      <c r="W813" s="22"/>
      <c r="X813" s="10" t="str">
        <f aca="false">IF(AND(R813="修改",S813=""),"請選新事件代碼",IF(AND(R813&lt;&gt;"修改",S813&lt;&gt;""),"只有「修改」才需填代碼",""))</f>
        <v/>
      </c>
      <c r="Y813" s="21"/>
      <c r="Z813" s="22"/>
      <c r="AA813" s="23" t="s">
        <v>2533</v>
      </c>
      <c r="AB813" s="13"/>
    </row>
    <row r="814" customFormat="false" ht="44" hidden="false" customHeight="false" outlineLevel="0" collapsed="false">
      <c r="A814" s="16" t="n">
        <v>813</v>
      </c>
      <c r="B814" s="9" t="s">
        <v>331</v>
      </c>
      <c r="C814" s="9" t="s">
        <v>2119</v>
      </c>
      <c r="D814" s="10" t="s">
        <v>2120</v>
      </c>
      <c r="E814" s="24" t="s">
        <v>2534</v>
      </c>
      <c r="F814" s="12"/>
      <c r="G814" s="23" t="s">
        <v>2535</v>
      </c>
      <c r="H814" s="14" t="n">
        <v>-0.655</v>
      </c>
      <c r="I814" s="15"/>
      <c r="J814" s="12"/>
      <c r="K814" s="9"/>
      <c r="L814" s="16" t="s">
        <v>51</v>
      </c>
      <c r="M814" s="17" t="s">
        <v>79</v>
      </c>
      <c r="N814" s="15"/>
      <c r="O814" s="16" t="s">
        <v>54</v>
      </c>
      <c r="P814" s="12" t="s">
        <v>2267</v>
      </c>
      <c r="Q814" s="16"/>
      <c r="R814" s="18" t="s">
        <v>79</v>
      </c>
      <c r="S814" s="19"/>
      <c r="T814" s="12" t="str">
        <f aca="false">IF(R814="維持",J814,IF(R814="排除","無關新聞事件",IFERROR(INDEX(事件規則!$B$2:$B$53,MATCH(S814,事件規則!$A$2:$A$53,0)),"")))</f>
        <v>無關新聞事件</v>
      </c>
      <c r="U814" s="20" t="n">
        <f aca="false">IF(R814="維持",K814,IF(R814="排除",0,IFERROR(INDEX(事件規則!$C$2:$C$53,MATCH(S814,事件規則!$A$2:$A$53,0)),"")))</f>
        <v>0</v>
      </c>
      <c r="V814" s="21"/>
      <c r="W814" s="22"/>
      <c r="X814" s="10" t="str">
        <f aca="false">IF(AND(R814="修改",S814=""),"請選新事件代碼",IF(AND(R814&lt;&gt;"修改",S814&lt;&gt;""),"只有「修改」才需填代碼",""))</f>
        <v/>
      </c>
      <c r="Y814" s="21"/>
      <c r="Z814" s="22"/>
      <c r="AA814" s="23" t="s">
        <v>2536</v>
      </c>
      <c r="AB814" s="13"/>
    </row>
    <row r="815" customFormat="false" ht="44" hidden="false" customHeight="false" outlineLevel="0" collapsed="false">
      <c r="A815" s="16" t="n">
        <v>814</v>
      </c>
      <c r="B815" s="9" t="s">
        <v>331</v>
      </c>
      <c r="C815" s="9" t="s">
        <v>594</v>
      </c>
      <c r="D815" s="10" t="s">
        <v>595</v>
      </c>
      <c r="E815" s="24" t="s">
        <v>2537</v>
      </c>
      <c r="F815" s="12"/>
      <c r="G815" s="23" t="s">
        <v>2188</v>
      </c>
      <c r="H815" s="14" t="n">
        <v>-0.655</v>
      </c>
      <c r="I815" s="15"/>
      <c r="J815" s="12"/>
      <c r="K815" s="9"/>
      <c r="L815" s="16" t="s">
        <v>51</v>
      </c>
      <c r="M815" s="17" t="s">
        <v>79</v>
      </c>
      <c r="N815" s="15"/>
      <c r="O815" s="16" t="s">
        <v>54</v>
      </c>
      <c r="P815" s="12" t="s">
        <v>2267</v>
      </c>
      <c r="Q815" s="16"/>
      <c r="R815" s="18" t="s">
        <v>79</v>
      </c>
      <c r="S815" s="19"/>
      <c r="T815" s="12" t="str">
        <f aca="false">IF(R815="維持",J815,IF(R815="排除","無關新聞事件",IFERROR(INDEX(事件規則!$B$2:$B$53,MATCH(S815,事件規則!$A$2:$A$53,0)),"")))</f>
        <v>無關新聞事件</v>
      </c>
      <c r="U815" s="20" t="n">
        <f aca="false">IF(R815="維持",K815,IF(R815="排除",0,IFERROR(INDEX(事件規則!$C$2:$C$53,MATCH(S815,事件規則!$A$2:$A$53,0)),"")))</f>
        <v>0</v>
      </c>
      <c r="V815" s="21"/>
      <c r="W815" s="22"/>
      <c r="X815" s="10" t="str">
        <f aca="false">IF(AND(R815="修改",S815=""),"請選新事件代碼",IF(AND(R815&lt;&gt;"修改",S815&lt;&gt;""),"只有「修改」才需填代碼",""))</f>
        <v/>
      </c>
      <c r="Y815" s="21"/>
      <c r="Z815" s="22"/>
      <c r="AA815" s="23" t="s">
        <v>2538</v>
      </c>
      <c r="AB815" s="13"/>
    </row>
    <row r="816" customFormat="false" ht="44" hidden="false" customHeight="false" outlineLevel="0" collapsed="false">
      <c r="A816" s="16" t="n">
        <v>815</v>
      </c>
      <c r="B816" s="9" t="s">
        <v>386</v>
      </c>
      <c r="C816" s="9" t="s">
        <v>569</v>
      </c>
      <c r="D816" s="10" t="s">
        <v>570</v>
      </c>
      <c r="E816" s="24" t="s">
        <v>2539</v>
      </c>
      <c r="F816" s="12"/>
      <c r="G816" s="23" t="s">
        <v>2540</v>
      </c>
      <c r="H816" s="14" t="n">
        <v>-0.653</v>
      </c>
      <c r="I816" s="15"/>
      <c r="J816" s="12"/>
      <c r="K816" s="9"/>
      <c r="L816" s="16" t="s">
        <v>51</v>
      </c>
      <c r="M816" s="17" t="s">
        <v>79</v>
      </c>
      <c r="N816" s="15"/>
      <c r="O816" s="16" t="s">
        <v>54</v>
      </c>
      <c r="P816" s="12" t="s">
        <v>2267</v>
      </c>
      <c r="Q816" s="16"/>
      <c r="R816" s="18" t="s">
        <v>79</v>
      </c>
      <c r="S816" s="19"/>
      <c r="T816" s="12" t="str">
        <f aca="false">IF(R816="維持",J816,IF(R816="排除","無關新聞事件",IFERROR(INDEX(事件規則!$B$2:$B$53,MATCH(S816,事件規則!$A$2:$A$53,0)),"")))</f>
        <v>無關新聞事件</v>
      </c>
      <c r="U816" s="20" t="n">
        <f aca="false">IF(R816="維持",K816,IF(R816="排除",0,IFERROR(INDEX(事件規則!$C$2:$C$53,MATCH(S816,事件規則!$A$2:$A$53,0)),"")))</f>
        <v>0</v>
      </c>
      <c r="V816" s="21"/>
      <c r="W816" s="22"/>
      <c r="X816" s="10" t="str">
        <f aca="false">IF(AND(R816="修改",S816=""),"請選新事件代碼",IF(AND(R816&lt;&gt;"修改",S816&lt;&gt;""),"只有「修改」才需填代碼",""))</f>
        <v/>
      </c>
      <c r="Y816" s="21"/>
      <c r="Z816" s="22"/>
      <c r="AA816" s="23" t="s">
        <v>2541</v>
      </c>
      <c r="AB816" s="13"/>
    </row>
    <row r="817" customFormat="false" ht="44" hidden="false" customHeight="false" outlineLevel="0" collapsed="false">
      <c r="A817" s="16" t="n">
        <v>816</v>
      </c>
      <c r="B817" s="9" t="s">
        <v>65</v>
      </c>
      <c r="C817" s="9" t="s">
        <v>2542</v>
      </c>
      <c r="D817" s="10" t="s">
        <v>2543</v>
      </c>
      <c r="E817" s="24" t="s">
        <v>2544</v>
      </c>
      <c r="F817" s="12"/>
      <c r="G817" s="23" t="s">
        <v>999</v>
      </c>
      <c r="H817" s="14" t="n">
        <v>-0.652</v>
      </c>
      <c r="I817" s="15"/>
      <c r="J817" s="12"/>
      <c r="K817" s="9"/>
      <c r="L817" s="16" t="s">
        <v>51</v>
      </c>
      <c r="M817" s="17" t="s">
        <v>79</v>
      </c>
      <c r="N817" s="15"/>
      <c r="O817" s="16" t="s">
        <v>54</v>
      </c>
      <c r="P817" s="12" t="s">
        <v>2267</v>
      </c>
      <c r="Q817" s="16"/>
      <c r="R817" s="18" t="s">
        <v>79</v>
      </c>
      <c r="S817" s="19"/>
      <c r="T817" s="12" t="str">
        <f aca="false">IF(R817="維持",J817,IF(R817="排除","無關新聞事件",IFERROR(INDEX(事件規則!$B$2:$B$53,MATCH(S817,事件規則!$A$2:$A$53,0)),"")))</f>
        <v>無關新聞事件</v>
      </c>
      <c r="U817" s="20" t="n">
        <f aca="false">IF(R817="維持",K817,IF(R817="排除",0,IFERROR(INDEX(事件規則!$C$2:$C$53,MATCH(S817,事件規則!$A$2:$A$53,0)),"")))</f>
        <v>0</v>
      </c>
      <c r="V817" s="21"/>
      <c r="W817" s="22"/>
      <c r="X817" s="10" t="str">
        <f aca="false">IF(AND(R817="修改",S817=""),"請選新事件代碼",IF(AND(R817&lt;&gt;"修改",S817&lt;&gt;""),"只有「修改」才需填代碼",""))</f>
        <v/>
      </c>
      <c r="Y817" s="21"/>
      <c r="Z817" s="22"/>
      <c r="AA817" s="23" t="s">
        <v>2545</v>
      </c>
      <c r="AB817" s="13"/>
    </row>
    <row r="818" customFormat="false" ht="44" hidden="false" customHeight="false" outlineLevel="0" collapsed="false">
      <c r="A818" s="16" t="n">
        <v>817</v>
      </c>
      <c r="B818" s="9" t="s">
        <v>386</v>
      </c>
      <c r="C818" s="9" t="s">
        <v>524</v>
      </c>
      <c r="D818" s="10" t="s">
        <v>525</v>
      </c>
      <c r="E818" s="24" t="s">
        <v>2546</v>
      </c>
      <c r="F818" s="12"/>
      <c r="G818" s="23" t="s">
        <v>2547</v>
      </c>
      <c r="H818" s="14" t="n">
        <v>-0.652</v>
      </c>
      <c r="I818" s="15"/>
      <c r="J818" s="12"/>
      <c r="K818" s="9"/>
      <c r="L818" s="16" t="s">
        <v>51</v>
      </c>
      <c r="M818" s="17" t="s">
        <v>79</v>
      </c>
      <c r="N818" s="15"/>
      <c r="O818" s="16" t="s">
        <v>54</v>
      </c>
      <c r="P818" s="12" t="s">
        <v>2267</v>
      </c>
      <c r="Q818" s="16"/>
      <c r="R818" s="18" t="s">
        <v>79</v>
      </c>
      <c r="S818" s="19"/>
      <c r="T818" s="12" t="str">
        <f aca="false">IF(R818="維持",J818,IF(R818="排除","無關新聞事件",IFERROR(INDEX(事件規則!$B$2:$B$53,MATCH(S818,事件規則!$A$2:$A$53,0)),"")))</f>
        <v>無關新聞事件</v>
      </c>
      <c r="U818" s="20" t="n">
        <f aca="false">IF(R818="維持",K818,IF(R818="排除",0,IFERROR(INDEX(事件規則!$C$2:$C$53,MATCH(S818,事件規則!$A$2:$A$53,0)),"")))</f>
        <v>0</v>
      </c>
      <c r="V818" s="21"/>
      <c r="W818" s="22"/>
      <c r="X818" s="10" t="str">
        <f aca="false">IF(AND(R818="修改",S818=""),"請選新事件代碼",IF(AND(R818&lt;&gt;"修改",S818&lt;&gt;""),"只有「修改」才需填代碼",""))</f>
        <v/>
      </c>
      <c r="Y818" s="21"/>
      <c r="Z818" s="22"/>
      <c r="AA818" s="23" t="s">
        <v>2548</v>
      </c>
      <c r="AB818" s="13"/>
    </row>
    <row r="819" customFormat="false" ht="44" hidden="false" customHeight="false" outlineLevel="0" collapsed="false">
      <c r="A819" s="16" t="n">
        <v>818</v>
      </c>
      <c r="B819" s="9" t="s">
        <v>331</v>
      </c>
      <c r="C819" s="9" t="s">
        <v>156</v>
      </c>
      <c r="D819" s="10" t="s">
        <v>157</v>
      </c>
      <c r="E819" s="24" t="s">
        <v>2549</v>
      </c>
      <c r="F819" s="12"/>
      <c r="G819" s="23" t="s">
        <v>120</v>
      </c>
      <c r="H819" s="14" t="n">
        <v>-0.651</v>
      </c>
      <c r="I819" s="15"/>
      <c r="J819" s="12"/>
      <c r="K819" s="9"/>
      <c r="L819" s="16" t="s">
        <v>51</v>
      </c>
      <c r="M819" s="17" t="s">
        <v>79</v>
      </c>
      <c r="N819" s="15"/>
      <c r="O819" s="16" t="s">
        <v>54</v>
      </c>
      <c r="P819" s="12" t="s">
        <v>2267</v>
      </c>
      <c r="Q819" s="16"/>
      <c r="R819" s="18" t="s">
        <v>79</v>
      </c>
      <c r="S819" s="19"/>
      <c r="T819" s="12" t="str">
        <f aca="false">IF(R819="維持",J819,IF(R819="排除","無關新聞事件",IFERROR(INDEX(事件規則!$B$2:$B$53,MATCH(S819,事件規則!$A$2:$A$53,0)),"")))</f>
        <v>無關新聞事件</v>
      </c>
      <c r="U819" s="20" t="n">
        <f aca="false">IF(R819="維持",K819,IF(R819="排除",0,IFERROR(INDEX(事件規則!$C$2:$C$53,MATCH(S819,事件規則!$A$2:$A$53,0)),"")))</f>
        <v>0</v>
      </c>
      <c r="V819" s="21"/>
      <c r="W819" s="22"/>
      <c r="X819" s="10" t="str">
        <f aca="false">IF(AND(R819="修改",S819=""),"請選新事件代碼",IF(AND(R819&lt;&gt;"修改",S819&lt;&gt;""),"只有「修改」才需填代碼",""))</f>
        <v/>
      </c>
      <c r="Y819" s="21"/>
      <c r="Z819" s="22"/>
      <c r="AA819" s="23" t="s">
        <v>2550</v>
      </c>
      <c r="AB819" s="13"/>
    </row>
    <row r="820" customFormat="false" ht="15" hidden="false" customHeight="false" outlineLevel="0" collapsed="false">
      <c r="A820" s="16" t="n">
        <v>819</v>
      </c>
      <c r="B820" s="9" t="s">
        <v>65</v>
      </c>
      <c r="C820" s="9" t="s">
        <v>1579</v>
      </c>
      <c r="D820" s="10" t="s">
        <v>1580</v>
      </c>
      <c r="E820" s="24" t="s">
        <v>2551</v>
      </c>
      <c r="F820" s="12"/>
      <c r="G820" s="23" t="s">
        <v>2552</v>
      </c>
      <c r="H820" s="14" t="n">
        <v>-0.651</v>
      </c>
      <c r="I820" s="15"/>
      <c r="J820" s="12"/>
      <c r="K820" s="9"/>
      <c r="L820" s="16" t="s">
        <v>51</v>
      </c>
      <c r="M820" s="17" t="s">
        <v>52</v>
      </c>
      <c r="N820" s="15" t="s">
        <v>736</v>
      </c>
      <c r="O820" s="16" t="s">
        <v>54</v>
      </c>
      <c r="P820" s="12" t="s">
        <v>2553</v>
      </c>
      <c r="Q820" s="16"/>
      <c r="R820" s="18" t="s">
        <v>52</v>
      </c>
      <c r="S820" s="19" t="s">
        <v>736</v>
      </c>
      <c r="T820" s="12" t="str">
        <f aca="false">IF(R820="維持",J820,IF(R820="排除","無關新聞事件",IFERROR(INDEX(事件規則!$B$2:$B$53,MATCH(S820,事件規則!$A$2:$A$53,0)),"")))</f>
        <v>重大訴訟</v>
      </c>
      <c r="U820" s="20" t="n">
        <f aca="false">IF(R820="維持",K820,IF(R820="排除",0,IFERROR(INDEX(事件規則!$C$2:$C$53,MATCH(S820,事件規則!$A$2:$A$53,0)),"")))</f>
        <v>4</v>
      </c>
      <c r="V820" s="21"/>
      <c r="W820" s="22"/>
      <c r="X820" s="10" t="str">
        <f aca="false">IF(AND(R820="修改",S820=""),"請選新事件代碼",IF(AND(R820&lt;&gt;"修改",S820&lt;&gt;""),"只有「修改」才需填代碼",""))</f>
        <v/>
      </c>
      <c r="Y820" s="21"/>
      <c r="Z820" s="22"/>
      <c r="AA820" s="23" t="s">
        <v>2554</v>
      </c>
      <c r="AB820" s="13"/>
    </row>
    <row r="821" customFormat="false" ht="15" hidden="false" customHeight="false" outlineLevel="0" collapsed="false">
      <c r="A821" s="16" t="n">
        <v>820</v>
      </c>
      <c r="B821" s="9" t="s">
        <v>331</v>
      </c>
      <c r="C821" s="9" t="s">
        <v>2555</v>
      </c>
      <c r="D821" s="10" t="s">
        <v>2556</v>
      </c>
      <c r="E821" s="24" t="s">
        <v>2557</v>
      </c>
      <c r="F821" s="12"/>
      <c r="G821" s="23" t="s">
        <v>120</v>
      </c>
      <c r="H821" s="14" t="n">
        <v>-0.65</v>
      </c>
      <c r="I821" s="15"/>
      <c r="J821" s="12"/>
      <c r="K821" s="9"/>
      <c r="L821" s="16" t="s">
        <v>51</v>
      </c>
      <c r="M821" s="17" t="s">
        <v>52</v>
      </c>
      <c r="N821" s="15" t="s">
        <v>53</v>
      </c>
      <c r="O821" s="16" t="s">
        <v>54</v>
      </c>
      <c r="P821" s="10" t="s">
        <v>2558</v>
      </c>
      <c r="Q821" s="16"/>
      <c r="R821" s="18" t="s">
        <v>52</v>
      </c>
      <c r="S821" s="19" t="s">
        <v>53</v>
      </c>
      <c r="T821" s="12" t="str">
        <f aca="false">IF(R821="維持",J821,IF(R821="排除","無關新聞事件",IFERROR(INDEX(事件規則!$B$2:$B$53,MATCH(S821,事件規則!$A$2:$A$53,0)),"")))</f>
        <v>股價下跌</v>
      </c>
      <c r="U821" s="20" t="n">
        <f aca="false">IF(R821="維持",K821,IF(R821="排除",0,IFERROR(INDEX(事件規則!$C$2:$C$53,MATCH(S821,事件規則!$A$2:$A$53,0)),"")))</f>
        <v>1</v>
      </c>
      <c r="V821" s="21"/>
      <c r="W821" s="22"/>
      <c r="X821" s="10" t="str">
        <f aca="false">IF(AND(R821="修改",S821=""),"請選新事件代碼",IF(AND(R821&lt;&gt;"修改",S821&lt;&gt;""),"只有「修改」才需填代碼",""))</f>
        <v/>
      </c>
      <c r="Y821" s="21"/>
      <c r="Z821" s="22"/>
      <c r="AA821" s="23" t="s">
        <v>2559</v>
      </c>
      <c r="AB821" s="13"/>
    </row>
    <row r="822" customFormat="false" ht="44" hidden="false" customHeight="false" outlineLevel="0" collapsed="false">
      <c r="A822" s="16" t="n">
        <v>821</v>
      </c>
      <c r="B822" s="9" t="s">
        <v>331</v>
      </c>
      <c r="C822" s="9" t="s">
        <v>781</v>
      </c>
      <c r="D822" s="10" t="s">
        <v>782</v>
      </c>
      <c r="E822" s="24" t="s">
        <v>2560</v>
      </c>
      <c r="F822" s="12"/>
      <c r="G822" s="23" t="s">
        <v>2561</v>
      </c>
      <c r="H822" s="14" t="n">
        <v>-0.65</v>
      </c>
      <c r="I822" s="15"/>
      <c r="J822" s="12"/>
      <c r="K822" s="9"/>
      <c r="L822" s="16" t="s">
        <v>51</v>
      </c>
      <c r="M822" s="17" t="s">
        <v>79</v>
      </c>
      <c r="N822" s="15"/>
      <c r="O822" s="16" t="s">
        <v>54</v>
      </c>
      <c r="P822" s="12" t="s">
        <v>2267</v>
      </c>
      <c r="Q822" s="16"/>
      <c r="R822" s="18" t="s">
        <v>79</v>
      </c>
      <c r="S822" s="19"/>
      <c r="T822" s="12" t="str">
        <f aca="false">IF(R822="維持",J822,IF(R822="排除","無關新聞事件",IFERROR(INDEX(事件規則!$B$2:$B$53,MATCH(S822,事件規則!$A$2:$A$53,0)),"")))</f>
        <v>無關新聞事件</v>
      </c>
      <c r="U822" s="20" t="n">
        <f aca="false">IF(R822="維持",K822,IF(R822="排除",0,IFERROR(INDEX(事件規則!$C$2:$C$53,MATCH(S822,事件規則!$A$2:$A$53,0)),"")))</f>
        <v>0</v>
      </c>
      <c r="V822" s="21"/>
      <c r="W822" s="22"/>
      <c r="X822" s="10" t="str">
        <f aca="false">IF(AND(R822="修改",S822=""),"請選新事件代碼",IF(AND(R822&lt;&gt;"修改",S822&lt;&gt;""),"只有「修改」才需填代碼",""))</f>
        <v/>
      </c>
      <c r="Y822" s="21"/>
      <c r="Z822" s="22"/>
      <c r="AA822" s="23" t="s">
        <v>2562</v>
      </c>
      <c r="AB822" s="13"/>
    </row>
    <row r="823" customFormat="false" ht="44" hidden="false" customHeight="false" outlineLevel="0" collapsed="false">
      <c r="A823" s="16" t="n">
        <v>822</v>
      </c>
      <c r="B823" s="9" t="s">
        <v>331</v>
      </c>
      <c r="C823" s="9" t="s">
        <v>2563</v>
      </c>
      <c r="D823" s="10" t="s">
        <v>2564</v>
      </c>
      <c r="E823" s="24" t="s">
        <v>2565</v>
      </c>
      <c r="F823" s="12"/>
      <c r="G823" s="23" t="s">
        <v>224</v>
      </c>
      <c r="H823" s="14" t="n">
        <v>-0.648</v>
      </c>
      <c r="I823" s="15"/>
      <c r="J823" s="12"/>
      <c r="K823" s="9"/>
      <c r="L823" s="16" t="s">
        <v>51</v>
      </c>
      <c r="M823" s="17" t="s">
        <v>79</v>
      </c>
      <c r="N823" s="15"/>
      <c r="O823" s="16" t="s">
        <v>54</v>
      </c>
      <c r="P823" s="12" t="s">
        <v>2267</v>
      </c>
      <c r="Q823" s="16"/>
      <c r="R823" s="18" t="s">
        <v>79</v>
      </c>
      <c r="S823" s="19"/>
      <c r="T823" s="12" t="str">
        <f aca="false">IF(R823="維持",J823,IF(R823="排除","無關新聞事件",IFERROR(INDEX(事件規則!$B$2:$B$53,MATCH(S823,事件規則!$A$2:$A$53,0)),"")))</f>
        <v>無關新聞事件</v>
      </c>
      <c r="U823" s="20" t="n">
        <f aca="false">IF(R823="維持",K823,IF(R823="排除",0,IFERROR(INDEX(事件規則!$C$2:$C$53,MATCH(S823,事件規則!$A$2:$A$53,0)),"")))</f>
        <v>0</v>
      </c>
      <c r="V823" s="21"/>
      <c r="W823" s="22"/>
      <c r="X823" s="10" t="str">
        <f aca="false">IF(AND(R823="修改",S823=""),"請選新事件代碼",IF(AND(R823&lt;&gt;"修改",S823&lt;&gt;""),"只有「修改」才需填代碼",""))</f>
        <v/>
      </c>
      <c r="Y823" s="21"/>
      <c r="Z823" s="22"/>
      <c r="AA823" s="23" t="s">
        <v>2566</v>
      </c>
      <c r="AB823" s="13"/>
    </row>
    <row r="824" customFormat="false" ht="44" hidden="false" customHeight="false" outlineLevel="0" collapsed="false">
      <c r="A824" s="16" t="n">
        <v>823</v>
      </c>
      <c r="B824" s="9" t="s">
        <v>65</v>
      </c>
      <c r="C824" s="9" t="s">
        <v>1166</v>
      </c>
      <c r="D824" s="10" t="s">
        <v>1167</v>
      </c>
      <c r="E824" s="24" t="s">
        <v>2567</v>
      </c>
      <c r="F824" s="12"/>
      <c r="G824" s="23" t="s">
        <v>779</v>
      </c>
      <c r="H824" s="14" t="n">
        <v>-0.647</v>
      </c>
      <c r="I824" s="15"/>
      <c r="J824" s="12"/>
      <c r="K824" s="9"/>
      <c r="L824" s="16" t="s">
        <v>51</v>
      </c>
      <c r="M824" s="17" t="s">
        <v>79</v>
      </c>
      <c r="N824" s="15"/>
      <c r="O824" s="16" t="s">
        <v>54</v>
      </c>
      <c r="P824" s="12" t="s">
        <v>2267</v>
      </c>
      <c r="Q824" s="16"/>
      <c r="R824" s="18" t="s">
        <v>79</v>
      </c>
      <c r="S824" s="19"/>
      <c r="T824" s="12" t="str">
        <f aca="false">IF(R824="維持",J824,IF(R824="排除","無關新聞事件",IFERROR(INDEX(事件規則!$B$2:$B$53,MATCH(S824,事件規則!$A$2:$A$53,0)),"")))</f>
        <v>無關新聞事件</v>
      </c>
      <c r="U824" s="20" t="n">
        <f aca="false">IF(R824="維持",K824,IF(R824="排除",0,IFERROR(INDEX(事件規則!$C$2:$C$53,MATCH(S824,事件規則!$A$2:$A$53,0)),"")))</f>
        <v>0</v>
      </c>
      <c r="V824" s="21"/>
      <c r="W824" s="22"/>
      <c r="X824" s="10" t="str">
        <f aca="false">IF(AND(R824="修改",S824=""),"請選新事件代碼",IF(AND(R824&lt;&gt;"修改",S824&lt;&gt;""),"只有「修改」才需填代碼",""))</f>
        <v/>
      </c>
      <c r="Y824" s="21"/>
      <c r="Z824" s="22"/>
      <c r="AA824" s="23" t="s">
        <v>2568</v>
      </c>
      <c r="AB824" s="13"/>
    </row>
    <row r="825" customFormat="false" ht="44" hidden="false" customHeight="false" outlineLevel="0" collapsed="false">
      <c r="A825" s="16" t="n">
        <v>824</v>
      </c>
      <c r="B825" s="9" t="s">
        <v>65</v>
      </c>
      <c r="C825" s="9" t="s">
        <v>564</v>
      </c>
      <c r="D825" s="10" t="s">
        <v>565</v>
      </c>
      <c r="E825" s="24" t="s">
        <v>2569</v>
      </c>
      <c r="F825" s="12"/>
      <c r="G825" s="23" t="s">
        <v>575</v>
      </c>
      <c r="H825" s="14" t="n">
        <v>-0.645</v>
      </c>
      <c r="I825" s="15"/>
      <c r="J825" s="12"/>
      <c r="K825" s="9"/>
      <c r="L825" s="16" t="s">
        <v>51</v>
      </c>
      <c r="M825" s="17" t="s">
        <v>79</v>
      </c>
      <c r="N825" s="15"/>
      <c r="O825" s="16" t="s">
        <v>54</v>
      </c>
      <c r="P825" s="12" t="s">
        <v>2267</v>
      </c>
      <c r="Q825" s="16"/>
      <c r="R825" s="18" t="s">
        <v>79</v>
      </c>
      <c r="S825" s="19"/>
      <c r="T825" s="12" t="str">
        <f aca="false">IF(R825="維持",J825,IF(R825="排除","無關新聞事件",IFERROR(INDEX(事件規則!$B$2:$B$53,MATCH(S825,事件規則!$A$2:$A$53,0)),"")))</f>
        <v>無關新聞事件</v>
      </c>
      <c r="U825" s="20" t="n">
        <f aca="false">IF(R825="維持",K825,IF(R825="排除",0,IFERROR(INDEX(事件規則!$C$2:$C$53,MATCH(S825,事件規則!$A$2:$A$53,0)),"")))</f>
        <v>0</v>
      </c>
      <c r="V825" s="21"/>
      <c r="W825" s="22"/>
      <c r="X825" s="10" t="str">
        <f aca="false">IF(AND(R825="修改",S825=""),"請選新事件代碼",IF(AND(R825&lt;&gt;"修改",S825&lt;&gt;""),"只有「修改」才需填代碼",""))</f>
        <v/>
      </c>
      <c r="Y825" s="21"/>
      <c r="Z825" s="22"/>
      <c r="AA825" s="23" t="s">
        <v>2570</v>
      </c>
      <c r="AB825" s="13"/>
    </row>
    <row r="826" customFormat="false" ht="44" hidden="false" customHeight="false" outlineLevel="0" collapsed="false">
      <c r="A826" s="16" t="n">
        <v>825</v>
      </c>
      <c r="B826" s="9" t="s">
        <v>45</v>
      </c>
      <c r="C826" s="9" t="s">
        <v>202</v>
      </c>
      <c r="D826" s="10" t="s">
        <v>203</v>
      </c>
      <c r="E826" s="24" t="s">
        <v>2571</v>
      </c>
      <c r="F826" s="12"/>
      <c r="G826" s="23" t="s">
        <v>865</v>
      </c>
      <c r="H826" s="14" t="n">
        <v>-0.645</v>
      </c>
      <c r="I826" s="15"/>
      <c r="J826" s="12"/>
      <c r="K826" s="9"/>
      <c r="L826" s="16" t="s">
        <v>51</v>
      </c>
      <c r="M826" s="17" t="s">
        <v>79</v>
      </c>
      <c r="N826" s="15"/>
      <c r="O826" s="16" t="s">
        <v>54</v>
      </c>
      <c r="P826" s="12" t="s">
        <v>2267</v>
      </c>
      <c r="Q826" s="16"/>
      <c r="R826" s="18" t="s">
        <v>79</v>
      </c>
      <c r="S826" s="19"/>
      <c r="T826" s="12" t="str">
        <f aca="false">IF(R826="維持",J826,IF(R826="排除","無關新聞事件",IFERROR(INDEX(事件規則!$B$2:$B$53,MATCH(S826,事件規則!$A$2:$A$53,0)),"")))</f>
        <v>無關新聞事件</v>
      </c>
      <c r="U826" s="20" t="n">
        <f aca="false">IF(R826="維持",K826,IF(R826="排除",0,IFERROR(INDEX(事件規則!$C$2:$C$53,MATCH(S826,事件規則!$A$2:$A$53,0)),"")))</f>
        <v>0</v>
      </c>
      <c r="V826" s="21"/>
      <c r="W826" s="22"/>
      <c r="X826" s="10" t="str">
        <f aca="false">IF(AND(R826="修改",S826=""),"請選新事件代碼",IF(AND(R826&lt;&gt;"修改",S826&lt;&gt;""),"只有「修改」才需填代碼",""))</f>
        <v/>
      </c>
      <c r="Y826" s="21"/>
      <c r="Z826" s="22"/>
      <c r="AA826" s="23" t="s">
        <v>2572</v>
      </c>
      <c r="AB826" s="13"/>
    </row>
    <row r="827" customFormat="false" ht="44" hidden="false" customHeight="false" outlineLevel="0" collapsed="false">
      <c r="A827" s="16" t="n">
        <v>826</v>
      </c>
      <c r="B827" s="9" t="s">
        <v>65</v>
      </c>
      <c r="C827" s="9" t="s">
        <v>1444</v>
      </c>
      <c r="D827" s="10" t="s">
        <v>1445</v>
      </c>
      <c r="E827" s="24" t="s">
        <v>2573</v>
      </c>
      <c r="F827" s="12"/>
      <c r="G827" s="23" t="s">
        <v>2574</v>
      </c>
      <c r="H827" s="14" t="n">
        <v>-0.645</v>
      </c>
      <c r="I827" s="15"/>
      <c r="J827" s="12"/>
      <c r="K827" s="9"/>
      <c r="L827" s="16" t="s">
        <v>51</v>
      </c>
      <c r="M827" s="17" t="s">
        <v>79</v>
      </c>
      <c r="N827" s="15"/>
      <c r="O827" s="16" t="s">
        <v>54</v>
      </c>
      <c r="P827" s="12" t="s">
        <v>2267</v>
      </c>
      <c r="Q827" s="16"/>
      <c r="R827" s="18" t="s">
        <v>79</v>
      </c>
      <c r="S827" s="19"/>
      <c r="T827" s="12" t="str">
        <f aca="false">IF(R827="維持",J827,IF(R827="排除","無關新聞事件",IFERROR(INDEX(事件規則!$B$2:$B$53,MATCH(S827,事件規則!$A$2:$A$53,0)),"")))</f>
        <v>無關新聞事件</v>
      </c>
      <c r="U827" s="20" t="n">
        <f aca="false">IF(R827="維持",K827,IF(R827="排除",0,IFERROR(INDEX(事件規則!$C$2:$C$53,MATCH(S827,事件規則!$A$2:$A$53,0)),"")))</f>
        <v>0</v>
      </c>
      <c r="V827" s="21"/>
      <c r="W827" s="22"/>
      <c r="X827" s="10" t="str">
        <f aca="false">IF(AND(R827="修改",S827=""),"請選新事件代碼",IF(AND(R827&lt;&gt;"修改",S827&lt;&gt;""),"只有「修改」才需填代碼",""))</f>
        <v/>
      </c>
      <c r="Y827" s="21"/>
      <c r="Z827" s="22"/>
      <c r="AA827" s="23" t="s">
        <v>2575</v>
      </c>
      <c r="AB827" s="13"/>
    </row>
    <row r="828" customFormat="false" ht="44" hidden="false" customHeight="false" outlineLevel="0" collapsed="false">
      <c r="A828" s="16" t="n">
        <v>827</v>
      </c>
      <c r="B828" s="9" t="s">
        <v>65</v>
      </c>
      <c r="C828" s="9" t="s">
        <v>639</v>
      </c>
      <c r="D828" s="10" t="s">
        <v>640</v>
      </c>
      <c r="E828" s="24" t="s">
        <v>2576</v>
      </c>
      <c r="F828" s="12"/>
      <c r="G828" s="23" t="s">
        <v>1188</v>
      </c>
      <c r="H828" s="14" t="n">
        <v>-0.638</v>
      </c>
      <c r="I828" s="15"/>
      <c r="J828" s="12"/>
      <c r="K828" s="9"/>
      <c r="L828" s="16" t="s">
        <v>51</v>
      </c>
      <c r="M828" s="17" t="s">
        <v>79</v>
      </c>
      <c r="N828" s="15"/>
      <c r="O828" s="16" t="s">
        <v>54</v>
      </c>
      <c r="P828" s="12" t="s">
        <v>2267</v>
      </c>
      <c r="Q828" s="16"/>
      <c r="R828" s="18" t="s">
        <v>79</v>
      </c>
      <c r="S828" s="19"/>
      <c r="T828" s="12" t="str">
        <f aca="false">IF(R828="維持",J828,IF(R828="排除","無關新聞事件",IFERROR(INDEX(事件規則!$B$2:$B$53,MATCH(S828,事件規則!$A$2:$A$53,0)),"")))</f>
        <v>無關新聞事件</v>
      </c>
      <c r="U828" s="20" t="n">
        <f aca="false">IF(R828="維持",K828,IF(R828="排除",0,IFERROR(INDEX(事件規則!$C$2:$C$53,MATCH(S828,事件規則!$A$2:$A$53,0)),"")))</f>
        <v>0</v>
      </c>
      <c r="V828" s="21"/>
      <c r="W828" s="22"/>
      <c r="X828" s="10" t="str">
        <f aca="false">IF(AND(R828="修改",S828=""),"請選新事件代碼",IF(AND(R828&lt;&gt;"修改",S828&lt;&gt;""),"只有「修改」才需填代碼",""))</f>
        <v/>
      </c>
      <c r="Y828" s="21"/>
      <c r="Z828" s="22"/>
      <c r="AA828" s="23" t="s">
        <v>2577</v>
      </c>
      <c r="AB828" s="13"/>
    </row>
    <row r="829" customFormat="false" ht="15" hidden="false" customHeight="false" outlineLevel="0" collapsed="false">
      <c r="A829" s="16" t="n">
        <v>828</v>
      </c>
      <c r="B829" s="9" t="s">
        <v>65</v>
      </c>
      <c r="C829" s="9" t="s">
        <v>1575</v>
      </c>
      <c r="D829" s="10" t="s">
        <v>1576</v>
      </c>
      <c r="E829" s="24" t="s">
        <v>2578</v>
      </c>
      <c r="F829" s="12"/>
      <c r="G829" s="23" t="s">
        <v>2579</v>
      </c>
      <c r="H829" s="14" t="n">
        <v>-0.637</v>
      </c>
      <c r="I829" s="15"/>
      <c r="J829" s="12"/>
      <c r="K829" s="9"/>
      <c r="L829" s="16" t="s">
        <v>51</v>
      </c>
      <c r="M829" s="17" t="s">
        <v>52</v>
      </c>
      <c r="N829" s="15" t="s">
        <v>667</v>
      </c>
      <c r="O829" s="16" t="s">
        <v>105</v>
      </c>
      <c r="P829" s="10" t="s">
        <v>2580</v>
      </c>
      <c r="Q829" s="16" t="s">
        <v>416</v>
      </c>
      <c r="R829" s="18" t="s">
        <v>52</v>
      </c>
      <c r="S829" s="19" t="s">
        <v>667</v>
      </c>
      <c r="T829" s="12" t="str">
        <f aca="false">IF(R829="維持",J829,IF(R829="排除","無關新聞事件",IFERROR(INDEX(事件規則!$B$2:$B$53,MATCH(S829,事件規則!$A$2:$A$53,0)),"")))</f>
        <v>重大產品瑕疵</v>
      </c>
      <c r="U829" s="20" t="n">
        <f aca="false">IF(R829="維持",K829,IF(R829="排除",0,IFERROR(INDEX(事件規則!$C$2:$C$53,MATCH(S829,事件規則!$A$2:$A$53,0)),"")))</f>
        <v>3</v>
      </c>
      <c r="V829" s="21"/>
      <c r="W829" s="22"/>
      <c r="X829" s="10" t="str">
        <f aca="false">IF(AND(R829="修改",S829=""),"請選新事件代碼",IF(AND(R829&lt;&gt;"修改",S829&lt;&gt;""),"只有「修改」才需填代碼",""))</f>
        <v/>
      </c>
      <c r="Y829" s="21"/>
      <c r="Z829" s="22"/>
      <c r="AA829" s="23" t="s">
        <v>2581</v>
      </c>
      <c r="AB829" s="13"/>
    </row>
    <row r="830" customFormat="false" ht="44" hidden="false" customHeight="false" outlineLevel="0" collapsed="false">
      <c r="A830" s="16" t="n">
        <v>829</v>
      </c>
      <c r="B830" s="9" t="s">
        <v>331</v>
      </c>
      <c r="C830" s="9" t="s">
        <v>2582</v>
      </c>
      <c r="D830" s="10" t="s">
        <v>2583</v>
      </c>
      <c r="E830" s="24" t="s">
        <v>2584</v>
      </c>
      <c r="F830" s="12"/>
      <c r="G830" s="23" t="s">
        <v>779</v>
      </c>
      <c r="H830" s="14" t="n">
        <v>-0.637</v>
      </c>
      <c r="I830" s="15"/>
      <c r="J830" s="12"/>
      <c r="K830" s="9"/>
      <c r="L830" s="16" t="s">
        <v>51</v>
      </c>
      <c r="M830" s="17" t="s">
        <v>79</v>
      </c>
      <c r="N830" s="15"/>
      <c r="O830" s="16" t="s">
        <v>54</v>
      </c>
      <c r="P830" s="12" t="s">
        <v>2267</v>
      </c>
      <c r="Q830" s="16"/>
      <c r="R830" s="18" t="s">
        <v>79</v>
      </c>
      <c r="S830" s="19"/>
      <c r="T830" s="12" t="str">
        <f aca="false">IF(R830="維持",J830,IF(R830="排除","無關新聞事件",IFERROR(INDEX(事件規則!$B$2:$B$53,MATCH(S830,事件規則!$A$2:$A$53,0)),"")))</f>
        <v>無關新聞事件</v>
      </c>
      <c r="U830" s="20" t="n">
        <f aca="false">IF(R830="維持",K830,IF(R830="排除",0,IFERROR(INDEX(事件規則!$C$2:$C$53,MATCH(S830,事件規則!$A$2:$A$53,0)),"")))</f>
        <v>0</v>
      </c>
      <c r="V830" s="21"/>
      <c r="W830" s="22"/>
      <c r="X830" s="10" t="str">
        <f aca="false">IF(AND(R830="修改",S830=""),"請選新事件代碼",IF(AND(R830&lt;&gt;"修改",S830&lt;&gt;""),"只有「修改」才需填代碼",""))</f>
        <v/>
      </c>
      <c r="Y830" s="21"/>
      <c r="Z830" s="22"/>
      <c r="AA830" s="23" t="s">
        <v>2585</v>
      </c>
      <c r="AB830" s="13"/>
    </row>
    <row r="831" customFormat="false" ht="44" hidden="false" customHeight="false" outlineLevel="0" collapsed="false">
      <c r="A831" s="16" t="n">
        <v>830</v>
      </c>
      <c r="B831" s="9" t="s">
        <v>65</v>
      </c>
      <c r="C831" s="9" t="s">
        <v>564</v>
      </c>
      <c r="D831" s="10" t="s">
        <v>565</v>
      </c>
      <c r="E831" s="24" t="s">
        <v>2586</v>
      </c>
      <c r="F831" s="12"/>
      <c r="G831" s="23" t="s">
        <v>2587</v>
      </c>
      <c r="H831" s="14" t="n">
        <v>-0.636</v>
      </c>
      <c r="I831" s="15"/>
      <c r="J831" s="12"/>
      <c r="K831" s="9"/>
      <c r="L831" s="16" t="s">
        <v>51</v>
      </c>
      <c r="M831" s="17" t="s">
        <v>79</v>
      </c>
      <c r="N831" s="15"/>
      <c r="O831" s="16" t="s">
        <v>54</v>
      </c>
      <c r="P831" s="12" t="s">
        <v>2267</v>
      </c>
      <c r="Q831" s="16"/>
      <c r="R831" s="18" t="s">
        <v>79</v>
      </c>
      <c r="S831" s="19"/>
      <c r="T831" s="12" t="str">
        <f aca="false">IF(R831="維持",J831,IF(R831="排除","無關新聞事件",IFERROR(INDEX(事件規則!$B$2:$B$53,MATCH(S831,事件規則!$A$2:$A$53,0)),"")))</f>
        <v>無關新聞事件</v>
      </c>
      <c r="U831" s="20" t="n">
        <f aca="false">IF(R831="維持",K831,IF(R831="排除",0,IFERROR(INDEX(事件規則!$C$2:$C$53,MATCH(S831,事件規則!$A$2:$A$53,0)),"")))</f>
        <v>0</v>
      </c>
      <c r="V831" s="21"/>
      <c r="W831" s="22"/>
      <c r="X831" s="10" t="str">
        <f aca="false">IF(AND(R831="修改",S831=""),"請選新事件代碼",IF(AND(R831&lt;&gt;"修改",S831&lt;&gt;""),"只有「修改」才需填代碼",""))</f>
        <v/>
      </c>
      <c r="Y831" s="21"/>
      <c r="Z831" s="22"/>
      <c r="AA831" s="23" t="s">
        <v>2588</v>
      </c>
      <c r="AB831" s="13"/>
    </row>
    <row r="832" customFormat="false" ht="44" hidden="false" customHeight="false" outlineLevel="0" collapsed="false">
      <c r="A832" s="16" t="n">
        <v>831</v>
      </c>
      <c r="B832" s="9" t="s">
        <v>386</v>
      </c>
      <c r="C832" s="9" t="s">
        <v>1325</v>
      </c>
      <c r="D832" s="10" t="s">
        <v>1326</v>
      </c>
      <c r="E832" s="24" t="s">
        <v>2589</v>
      </c>
      <c r="F832" s="12"/>
      <c r="G832" s="23" t="s">
        <v>83</v>
      </c>
      <c r="H832" s="14" t="n">
        <v>-0.636</v>
      </c>
      <c r="I832" s="15"/>
      <c r="J832" s="12"/>
      <c r="K832" s="9"/>
      <c r="L832" s="16" t="s">
        <v>51</v>
      </c>
      <c r="M832" s="17" t="s">
        <v>79</v>
      </c>
      <c r="N832" s="15"/>
      <c r="O832" s="16" t="s">
        <v>54</v>
      </c>
      <c r="P832" s="12" t="s">
        <v>2267</v>
      </c>
      <c r="Q832" s="16"/>
      <c r="R832" s="18" t="s">
        <v>79</v>
      </c>
      <c r="S832" s="19"/>
      <c r="T832" s="12" t="str">
        <f aca="false">IF(R832="維持",J832,IF(R832="排除","無關新聞事件",IFERROR(INDEX(事件規則!$B$2:$B$53,MATCH(S832,事件規則!$A$2:$A$53,0)),"")))</f>
        <v>無關新聞事件</v>
      </c>
      <c r="U832" s="20" t="n">
        <f aca="false">IF(R832="維持",K832,IF(R832="排除",0,IFERROR(INDEX(事件規則!$C$2:$C$53,MATCH(S832,事件規則!$A$2:$A$53,0)),"")))</f>
        <v>0</v>
      </c>
      <c r="V832" s="21"/>
      <c r="W832" s="22"/>
      <c r="X832" s="10" t="str">
        <f aca="false">IF(AND(R832="修改",S832=""),"請選新事件代碼",IF(AND(R832&lt;&gt;"修改",S832&lt;&gt;""),"只有「修改」才需填代碼",""))</f>
        <v/>
      </c>
      <c r="Y832" s="21"/>
      <c r="Z832" s="22"/>
      <c r="AA832" s="23" t="s">
        <v>2590</v>
      </c>
      <c r="AB832" s="13"/>
    </row>
    <row r="833" customFormat="false" ht="44" hidden="false" customHeight="false" outlineLevel="0" collapsed="false">
      <c r="A833" s="16" t="n">
        <v>832</v>
      </c>
      <c r="B833" s="9" t="s">
        <v>45</v>
      </c>
      <c r="C833" s="9" t="s">
        <v>2119</v>
      </c>
      <c r="D833" s="10" t="s">
        <v>2120</v>
      </c>
      <c r="E833" s="24" t="s">
        <v>2591</v>
      </c>
      <c r="F833" s="12"/>
      <c r="G833" s="23" t="s">
        <v>1188</v>
      </c>
      <c r="H833" s="14" t="n">
        <v>-0.634</v>
      </c>
      <c r="I833" s="15"/>
      <c r="J833" s="12"/>
      <c r="K833" s="9"/>
      <c r="L833" s="16" t="s">
        <v>51</v>
      </c>
      <c r="M833" s="17" t="s">
        <v>79</v>
      </c>
      <c r="N833" s="15"/>
      <c r="O833" s="16" t="s">
        <v>54</v>
      </c>
      <c r="P833" s="12" t="s">
        <v>2267</v>
      </c>
      <c r="Q833" s="16"/>
      <c r="R833" s="18" t="s">
        <v>79</v>
      </c>
      <c r="S833" s="19"/>
      <c r="T833" s="12" t="str">
        <f aca="false">IF(R833="維持",J833,IF(R833="排除","無關新聞事件",IFERROR(INDEX(事件規則!$B$2:$B$53,MATCH(S833,事件規則!$A$2:$A$53,0)),"")))</f>
        <v>無關新聞事件</v>
      </c>
      <c r="U833" s="20" t="n">
        <f aca="false">IF(R833="維持",K833,IF(R833="排除",0,IFERROR(INDEX(事件規則!$C$2:$C$53,MATCH(S833,事件規則!$A$2:$A$53,0)),"")))</f>
        <v>0</v>
      </c>
      <c r="V833" s="21"/>
      <c r="W833" s="22"/>
      <c r="X833" s="10" t="str">
        <f aca="false">IF(AND(R833="修改",S833=""),"請選新事件代碼",IF(AND(R833&lt;&gt;"修改",S833&lt;&gt;""),"只有「修改」才需填代碼",""))</f>
        <v/>
      </c>
      <c r="Y833" s="21"/>
      <c r="Z833" s="22"/>
      <c r="AA833" s="23" t="s">
        <v>2592</v>
      </c>
      <c r="AB833" s="13"/>
    </row>
    <row r="834" customFormat="false" ht="44" hidden="false" customHeight="false" outlineLevel="0" collapsed="false">
      <c r="A834" s="16" t="n">
        <v>833</v>
      </c>
      <c r="B834" s="9" t="s">
        <v>331</v>
      </c>
      <c r="C834" s="9" t="s">
        <v>2593</v>
      </c>
      <c r="D834" s="10" t="s">
        <v>2594</v>
      </c>
      <c r="E834" s="24" t="s">
        <v>2595</v>
      </c>
      <c r="F834" s="12"/>
      <c r="G834" s="23" t="s">
        <v>2596</v>
      </c>
      <c r="H834" s="14" t="n">
        <v>-0.633</v>
      </c>
      <c r="I834" s="15"/>
      <c r="J834" s="12"/>
      <c r="K834" s="9"/>
      <c r="L834" s="16" t="s">
        <v>51</v>
      </c>
      <c r="M834" s="17" t="s">
        <v>79</v>
      </c>
      <c r="N834" s="15"/>
      <c r="O834" s="16" t="s">
        <v>54</v>
      </c>
      <c r="P834" s="12" t="s">
        <v>2267</v>
      </c>
      <c r="Q834" s="16"/>
      <c r="R834" s="18" t="s">
        <v>79</v>
      </c>
      <c r="S834" s="19"/>
      <c r="T834" s="12" t="str">
        <f aca="false">IF(R834="維持",J834,IF(R834="排除","無關新聞事件",IFERROR(INDEX(事件規則!$B$2:$B$53,MATCH(S834,事件規則!$A$2:$A$53,0)),"")))</f>
        <v>無關新聞事件</v>
      </c>
      <c r="U834" s="20" t="n">
        <f aca="false">IF(R834="維持",K834,IF(R834="排除",0,IFERROR(INDEX(事件規則!$C$2:$C$53,MATCH(S834,事件規則!$A$2:$A$53,0)),"")))</f>
        <v>0</v>
      </c>
      <c r="V834" s="21"/>
      <c r="W834" s="22"/>
      <c r="X834" s="10" t="str">
        <f aca="false">IF(AND(R834="修改",S834=""),"請選新事件代碼",IF(AND(R834&lt;&gt;"修改",S834&lt;&gt;""),"只有「修改」才需填代碼",""))</f>
        <v/>
      </c>
      <c r="Y834" s="21"/>
      <c r="Z834" s="22"/>
      <c r="AA834" s="23" t="s">
        <v>2597</v>
      </c>
      <c r="AB834" s="13"/>
    </row>
    <row r="835" customFormat="false" ht="44" hidden="false" customHeight="false" outlineLevel="0" collapsed="false">
      <c r="A835" s="16" t="n">
        <v>834</v>
      </c>
      <c r="B835" s="9" t="s">
        <v>45</v>
      </c>
      <c r="C835" s="9" t="s">
        <v>1779</v>
      </c>
      <c r="D835" s="10" t="s">
        <v>1780</v>
      </c>
      <c r="E835" s="24" t="s">
        <v>2598</v>
      </c>
      <c r="F835" s="12"/>
      <c r="G835" s="23" t="s">
        <v>335</v>
      </c>
      <c r="H835" s="14" t="n">
        <v>-0.633</v>
      </c>
      <c r="I835" s="15"/>
      <c r="J835" s="12"/>
      <c r="K835" s="9"/>
      <c r="L835" s="16" t="s">
        <v>51</v>
      </c>
      <c r="M835" s="17" t="s">
        <v>79</v>
      </c>
      <c r="N835" s="15"/>
      <c r="O835" s="16" t="s">
        <v>54</v>
      </c>
      <c r="P835" s="12" t="s">
        <v>2267</v>
      </c>
      <c r="Q835" s="16"/>
      <c r="R835" s="18" t="s">
        <v>79</v>
      </c>
      <c r="S835" s="19"/>
      <c r="T835" s="12" t="str">
        <f aca="false">IF(R835="維持",J835,IF(R835="排除","無關新聞事件",IFERROR(INDEX(事件規則!$B$2:$B$53,MATCH(S835,事件規則!$A$2:$A$53,0)),"")))</f>
        <v>無關新聞事件</v>
      </c>
      <c r="U835" s="20" t="n">
        <f aca="false">IF(R835="維持",K835,IF(R835="排除",0,IFERROR(INDEX(事件規則!$C$2:$C$53,MATCH(S835,事件規則!$A$2:$A$53,0)),"")))</f>
        <v>0</v>
      </c>
      <c r="V835" s="21"/>
      <c r="W835" s="22"/>
      <c r="X835" s="10" t="str">
        <f aca="false">IF(AND(R835="修改",S835=""),"請選新事件代碼",IF(AND(R835&lt;&gt;"修改",S835&lt;&gt;""),"只有「修改」才需填代碼",""))</f>
        <v/>
      </c>
      <c r="Y835" s="21"/>
      <c r="Z835" s="22"/>
      <c r="AA835" s="23" t="s">
        <v>2599</v>
      </c>
      <c r="AB835" s="13"/>
    </row>
    <row r="836" customFormat="false" ht="44" hidden="false" customHeight="false" outlineLevel="0" collapsed="false">
      <c r="A836" s="16" t="n">
        <v>835</v>
      </c>
      <c r="B836" s="9" t="s">
        <v>386</v>
      </c>
      <c r="C836" s="9" t="s">
        <v>498</v>
      </c>
      <c r="D836" s="10" t="s">
        <v>499</v>
      </c>
      <c r="E836" s="24" t="s">
        <v>2600</v>
      </c>
      <c r="F836" s="12"/>
      <c r="G836" s="23" t="s">
        <v>939</v>
      </c>
      <c r="H836" s="14" t="n">
        <v>-0.632</v>
      </c>
      <c r="I836" s="15"/>
      <c r="J836" s="12"/>
      <c r="K836" s="9"/>
      <c r="L836" s="16" t="s">
        <v>51</v>
      </c>
      <c r="M836" s="17" t="s">
        <v>79</v>
      </c>
      <c r="N836" s="15"/>
      <c r="O836" s="16" t="s">
        <v>54</v>
      </c>
      <c r="P836" s="12" t="s">
        <v>2267</v>
      </c>
      <c r="Q836" s="16"/>
      <c r="R836" s="18" t="s">
        <v>79</v>
      </c>
      <c r="S836" s="19"/>
      <c r="T836" s="12" t="str">
        <f aca="false">IF(R836="維持",J836,IF(R836="排除","無關新聞事件",IFERROR(INDEX(事件規則!$B$2:$B$53,MATCH(S836,事件規則!$A$2:$A$53,0)),"")))</f>
        <v>無關新聞事件</v>
      </c>
      <c r="U836" s="20" t="n">
        <f aca="false">IF(R836="維持",K836,IF(R836="排除",0,IFERROR(INDEX(事件規則!$C$2:$C$53,MATCH(S836,事件規則!$A$2:$A$53,0)),"")))</f>
        <v>0</v>
      </c>
      <c r="V836" s="21"/>
      <c r="W836" s="22"/>
      <c r="X836" s="10" t="str">
        <f aca="false">IF(AND(R836="修改",S836=""),"請選新事件代碼",IF(AND(R836&lt;&gt;"修改",S836&lt;&gt;""),"只有「修改」才需填代碼",""))</f>
        <v/>
      </c>
      <c r="Y836" s="21"/>
      <c r="Z836" s="22"/>
      <c r="AA836" s="23" t="s">
        <v>2601</v>
      </c>
      <c r="AB836" s="13"/>
    </row>
    <row r="837" customFormat="false" ht="44" hidden="false" customHeight="false" outlineLevel="0" collapsed="false">
      <c r="A837" s="16" t="n">
        <v>836</v>
      </c>
      <c r="B837" s="9" t="s">
        <v>331</v>
      </c>
      <c r="C837" s="9" t="s">
        <v>2602</v>
      </c>
      <c r="D837" s="10" t="s">
        <v>2603</v>
      </c>
      <c r="E837" s="24" t="s">
        <v>2604</v>
      </c>
      <c r="F837" s="12"/>
      <c r="G837" s="23" t="s">
        <v>2605</v>
      </c>
      <c r="H837" s="14" t="n">
        <v>-0.632</v>
      </c>
      <c r="I837" s="15"/>
      <c r="J837" s="12"/>
      <c r="K837" s="9"/>
      <c r="L837" s="16" t="s">
        <v>51</v>
      </c>
      <c r="M837" s="17" t="s">
        <v>79</v>
      </c>
      <c r="N837" s="15"/>
      <c r="O837" s="16" t="s">
        <v>54</v>
      </c>
      <c r="P837" s="12" t="s">
        <v>2267</v>
      </c>
      <c r="Q837" s="16"/>
      <c r="R837" s="18" t="s">
        <v>79</v>
      </c>
      <c r="S837" s="19"/>
      <c r="T837" s="12" t="str">
        <f aca="false">IF(R837="維持",J837,IF(R837="排除","無關新聞事件",IFERROR(INDEX(事件規則!$B$2:$B$53,MATCH(S837,事件規則!$A$2:$A$53,0)),"")))</f>
        <v>無關新聞事件</v>
      </c>
      <c r="U837" s="20" t="n">
        <f aca="false">IF(R837="維持",K837,IF(R837="排除",0,IFERROR(INDEX(事件規則!$C$2:$C$53,MATCH(S837,事件規則!$A$2:$A$53,0)),"")))</f>
        <v>0</v>
      </c>
      <c r="V837" s="21"/>
      <c r="W837" s="22"/>
      <c r="X837" s="10" t="str">
        <f aca="false">IF(AND(R837="修改",S837=""),"請選新事件代碼",IF(AND(R837&lt;&gt;"修改",S837&lt;&gt;""),"只有「修改」才需填代碼",""))</f>
        <v/>
      </c>
      <c r="Y837" s="21"/>
      <c r="Z837" s="22"/>
      <c r="AA837" s="23" t="s">
        <v>2606</v>
      </c>
      <c r="AB837" s="13"/>
    </row>
    <row r="838" customFormat="false" ht="44" hidden="false" customHeight="false" outlineLevel="0" collapsed="false">
      <c r="A838" s="16" t="n">
        <v>837</v>
      </c>
      <c r="B838" s="9" t="s">
        <v>331</v>
      </c>
      <c r="C838" s="9" t="s">
        <v>943</v>
      </c>
      <c r="D838" s="10" t="s">
        <v>944</v>
      </c>
      <c r="E838" s="24" t="s">
        <v>2607</v>
      </c>
      <c r="F838" s="12"/>
      <c r="G838" s="23" t="s">
        <v>292</v>
      </c>
      <c r="H838" s="14" t="n">
        <v>-0.63</v>
      </c>
      <c r="I838" s="15"/>
      <c r="J838" s="12"/>
      <c r="K838" s="9"/>
      <c r="L838" s="16" t="s">
        <v>51</v>
      </c>
      <c r="M838" s="17" t="s">
        <v>79</v>
      </c>
      <c r="N838" s="15"/>
      <c r="O838" s="16" t="s">
        <v>54</v>
      </c>
      <c r="P838" s="12" t="s">
        <v>2267</v>
      </c>
      <c r="Q838" s="16"/>
      <c r="R838" s="18" t="s">
        <v>79</v>
      </c>
      <c r="S838" s="19"/>
      <c r="T838" s="12" t="str">
        <f aca="false">IF(R838="維持",J838,IF(R838="排除","無關新聞事件",IFERROR(INDEX(事件規則!$B$2:$B$53,MATCH(S838,事件規則!$A$2:$A$53,0)),"")))</f>
        <v>無關新聞事件</v>
      </c>
      <c r="U838" s="20" t="n">
        <f aca="false">IF(R838="維持",K838,IF(R838="排除",0,IFERROR(INDEX(事件規則!$C$2:$C$53,MATCH(S838,事件規則!$A$2:$A$53,0)),"")))</f>
        <v>0</v>
      </c>
      <c r="V838" s="21"/>
      <c r="W838" s="22"/>
      <c r="X838" s="10" t="str">
        <f aca="false">IF(AND(R838="修改",S838=""),"請選新事件代碼",IF(AND(R838&lt;&gt;"修改",S838&lt;&gt;""),"只有「修改」才需填代碼",""))</f>
        <v/>
      </c>
      <c r="Y838" s="21"/>
      <c r="Z838" s="22"/>
      <c r="AA838" s="23" t="s">
        <v>2608</v>
      </c>
      <c r="AB838" s="13"/>
    </row>
    <row r="839" customFormat="false" ht="44" hidden="false" customHeight="false" outlineLevel="0" collapsed="false">
      <c r="A839" s="16" t="n">
        <v>838</v>
      </c>
      <c r="B839" s="9" t="s">
        <v>65</v>
      </c>
      <c r="C839" s="9" t="s">
        <v>645</v>
      </c>
      <c r="D839" s="10" t="s">
        <v>646</v>
      </c>
      <c r="E839" s="24" t="s">
        <v>2609</v>
      </c>
      <c r="F839" s="12"/>
      <c r="G839" s="23" t="s">
        <v>2610</v>
      </c>
      <c r="H839" s="14" t="n">
        <v>-0.628</v>
      </c>
      <c r="I839" s="15"/>
      <c r="J839" s="12"/>
      <c r="K839" s="9"/>
      <c r="L839" s="16" t="s">
        <v>51</v>
      </c>
      <c r="M839" s="17" t="s">
        <v>79</v>
      </c>
      <c r="N839" s="15"/>
      <c r="O839" s="16" t="s">
        <v>54</v>
      </c>
      <c r="P839" s="12" t="s">
        <v>2267</v>
      </c>
      <c r="Q839" s="16"/>
      <c r="R839" s="18" t="s">
        <v>79</v>
      </c>
      <c r="S839" s="19"/>
      <c r="T839" s="12" t="str">
        <f aca="false">IF(R839="維持",J839,IF(R839="排除","無關新聞事件",IFERROR(INDEX(事件規則!$B$2:$B$53,MATCH(S839,事件規則!$A$2:$A$53,0)),"")))</f>
        <v>無關新聞事件</v>
      </c>
      <c r="U839" s="20" t="n">
        <f aca="false">IF(R839="維持",K839,IF(R839="排除",0,IFERROR(INDEX(事件規則!$C$2:$C$53,MATCH(S839,事件規則!$A$2:$A$53,0)),"")))</f>
        <v>0</v>
      </c>
      <c r="V839" s="21"/>
      <c r="W839" s="22"/>
      <c r="X839" s="10" t="str">
        <f aca="false">IF(AND(R839="修改",S839=""),"請選新事件代碼",IF(AND(R839&lt;&gt;"修改",S839&lt;&gt;""),"只有「修改」才需填代碼",""))</f>
        <v/>
      </c>
      <c r="Y839" s="21"/>
      <c r="Z839" s="22"/>
      <c r="AA839" s="23" t="s">
        <v>2611</v>
      </c>
      <c r="AB839" s="13"/>
    </row>
    <row r="840" customFormat="false" ht="15" hidden="false" customHeight="false" outlineLevel="0" collapsed="false">
      <c r="A840" s="16" t="n">
        <v>839</v>
      </c>
      <c r="B840" s="9" t="s">
        <v>65</v>
      </c>
      <c r="C840" s="9" t="s">
        <v>1926</v>
      </c>
      <c r="D840" s="10" t="s">
        <v>1927</v>
      </c>
      <c r="E840" s="24" t="s">
        <v>2612</v>
      </c>
      <c r="F840" s="12"/>
      <c r="G840" s="23" t="s">
        <v>2613</v>
      </c>
      <c r="H840" s="14" t="n">
        <v>-0.627</v>
      </c>
      <c r="I840" s="15"/>
      <c r="J840" s="12"/>
      <c r="K840" s="9"/>
      <c r="L840" s="16" t="s">
        <v>51</v>
      </c>
      <c r="M840" s="17" t="s">
        <v>52</v>
      </c>
      <c r="N840" s="15" t="s">
        <v>736</v>
      </c>
      <c r="O840" s="16" t="s">
        <v>54</v>
      </c>
      <c r="P840" s="12" t="s">
        <v>2398</v>
      </c>
      <c r="Q840" s="16"/>
      <c r="R840" s="18" t="s">
        <v>52</v>
      </c>
      <c r="S840" s="19" t="s">
        <v>736</v>
      </c>
      <c r="T840" s="12" t="str">
        <f aca="false">IF(R840="維持",J840,IF(R840="排除","無關新聞事件",IFERROR(INDEX(事件規則!$B$2:$B$53,MATCH(S840,事件規則!$A$2:$A$53,0)),"")))</f>
        <v>重大訴訟</v>
      </c>
      <c r="U840" s="20" t="n">
        <f aca="false">IF(R840="維持",K840,IF(R840="排除",0,IFERROR(INDEX(事件規則!$C$2:$C$53,MATCH(S840,事件規則!$A$2:$A$53,0)),"")))</f>
        <v>4</v>
      </c>
      <c r="V840" s="21"/>
      <c r="W840" s="22"/>
      <c r="X840" s="10" t="str">
        <f aca="false">IF(AND(R840="修改",S840=""),"請選新事件代碼",IF(AND(R840&lt;&gt;"修改",S840&lt;&gt;""),"只有「修改」才需填代碼",""))</f>
        <v/>
      </c>
      <c r="Y840" s="21"/>
      <c r="Z840" s="22"/>
      <c r="AA840" s="23" t="s">
        <v>2614</v>
      </c>
      <c r="AB840" s="13"/>
    </row>
    <row r="841" customFormat="false" ht="44" hidden="false" customHeight="false" outlineLevel="0" collapsed="false">
      <c r="A841" s="16" t="n">
        <v>840</v>
      </c>
      <c r="B841" s="9" t="s">
        <v>65</v>
      </c>
      <c r="C841" s="9" t="s">
        <v>206</v>
      </c>
      <c r="D841" s="10" t="s">
        <v>207</v>
      </c>
      <c r="E841" s="24" t="s">
        <v>2615</v>
      </c>
      <c r="F841" s="12"/>
      <c r="G841" s="23" t="s">
        <v>335</v>
      </c>
      <c r="H841" s="14" t="n">
        <v>-0.626</v>
      </c>
      <c r="I841" s="15"/>
      <c r="J841" s="12"/>
      <c r="K841" s="9"/>
      <c r="L841" s="16" t="s">
        <v>51</v>
      </c>
      <c r="M841" s="17" t="s">
        <v>79</v>
      </c>
      <c r="N841" s="15"/>
      <c r="O841" s="16" t="s">
        <v>54</v>
      </c>
      <c r="P841" s="12" t="s">
        <v>2267</v>
      </c>
      <c r="Q841" s="16"/>
      <c r="R841" s="18" t="s">
        <v>79</v>
      </c>
      <c r="S841" s="19"/>
      <c r="T841" s="12" t="str">
        <f aca="false">IF(R841="維持",J841,IF(R841="排除","無關新聞事件",IFERROR(INDEX(事件規則!$B$2:$B$53,MATCH(S841,事件規則!$A$2:$A$53,0)),"")))</f>
        <v>無關新聞事件</v>
      </c>
      <c r="U841" s="20" t="n">
        <f aca="false">IF(R841="維持",K841,IF(R841="排除",0,IFERROR(INDEX(事件規則!$C$2:$C$53,MATCH(S841,事件規則!$A$2:$A$53,0)),"")))</f>
        <v>0</v>
      </c>
      <c r="V841" s="21"/>
      <c r="W841" s="22"/>
      <c r="X841" s="10" t="str">
        <f aca="false">IF(AND(R841="修改",S841=""),"請選新事件代碼",IF(AND(R841&lt;&gt;"修改",S841&lt;&gt;""),"只有「修改」才需填代碼",""))</f>
        <v/>
      </c>
      <c r="Y841" s="21"/>
      <c r="Z841" s="22"/>
      <c r="AA841" s="23" t="s">
        <v>2616</v>
      </c>
      <c r="AB841" s="13"/>
    </row>
    <row r="842" customFormat="false" ht="44" hidden="false" customHeight="false" outlineLevel="0" collapsed="false">
      <c r="A842" s="16" t="n">
        <v>841</v>
      </c>
      <c r="B842" s="9" t="s">
        <v>65</v>
      </c>
      <c r="C842" s="9" t="s">
        <v>2617</v>
      </c>
      <c r="D842" s="10" t="s">
        <v>2618</v>
      </c>
      <c r="E842" s="24" t="s">
        <v>2619</v>
      </c>
      <c r="F842" s="12"/>
      <c r="G842" s="23" t="s">
        <v>120</v>
      </c>
      <c r="H842" s="14" t="n">
        <v>-0.625</v>
      </c>
      <c r="I842" s="15"/>
      <c r="J842" s="12"/>
      <c r="K842" s="9"/>
      <c r="L842" s="16" t="s">
        <v>51</v>
      </c>
      <c r="M842" s="17" t="s">
        <v>79</v>
      </c>
      <c r="N842" s="15"/>
      <c r="O842" s="16" t="s">
        <v>54</v>
      </c>
      <c r="P842" s="12" t="s">
        <v>2267</v>
      </c>
      <c r="Q842" s="16"/>
      <c r="R842" s="18" t="s">
        <v>79</v>
      </c>
      <c r="S842" s="19"/>
      <c r="T842" s="12" t="str">
        <f aca="false">IF(R842="維持",J842,IF(R842="排除","無關新聞事件",IFERROR(INDEX(事件規則!$B$2:$B$53,MATCH(S842,事件規則!$A$2:$A$53,0)),"")))</f>
        <v>無關新聞事件</v>
      </c>
      <c r="U842" s="20" t="n">
        <f aca="false">IF(R842="維持",K842,IF(R842="排除",0,IFERROR(INDEX(事件規則!$C$2:$C$53,MATCH(S842,事件規則!$A$2:$A$53,0)),"")))</f>
        <v>0</v>
      </c>
      <c r="V842" s="21"/>
      <c r="W842" s="22"/>
      <c r="X842" s="10" t="str">
        <f aca="false">IF(AND(R842="修改",S842=""),"請選新事件代碼",IF(AND(R842&lt;&gt;"修改",S842&lt;&gt;""),"只有「修改」才需填代碼",""))</f>
        <v/>
      </c>
      <c r="Y842" s="21"/>
      <c r="Z842" s="22"/>
      <c r="AA842" s="23" t="s">
        <v>2620</v>
      </c>
      <c r="AB842" s="13"/>
    </row>
    <row r="843" customFormat="false" ht="44" hidden="false" customHeight="false" outlineLevel="0" collapsed="false">
      <c r="A843" s="16" t="n">
        <v>842</v>
      </c>
      <c r="B843" s="9" t="s">
        <v>65</v>
      </c>
      <c r="C843" s="9" t="s">
        <v>1118</v>
      </c>
      <c r="D843" s="10" t="s">
        <v>1119</v>
      </c>
      <c r="E843" s="24" t="s">
        <v>2621</v>
      </c>
      <c r="F843" s="12"/>
      <c r="G843" s="23" t="s">
        <v>224</v>
      </c>
      <c r="H843" s="14" t="n">
        <v>-0.621</v>
      </c>
      <c r="I843" s="15"/>
      <c r="J843" s="12"/>
      <c r="K843" s="9"/>
      <c r="L843" s="16" t="s">
        <v>51</v>
      </c>
      <c r="M843" s="17" t="s">
        <v>79</v>
      </c>
      <c r="N843" s="15"/>
      <c r="O843" s="16" t="s">
        <v>54</v>
      </c>
      <c r="P843" s="12" t="s">
        <v>2267</v>
      </c>
      <c r="Q843" s="16"/>
      <c r="R843" s="18" t="s">
        <v>79</v>
      </c>
      <c r="S843" s="19"/>
      <c r="T843" s="12" t="str">
        <f aca="false">IF(R843="維持",J843,IF(R843="排除","無關新聞事件",IFERROR(INDEX(事件規則!$B$2:$B$53,MATCH(S843,事件規則!$A$2:$A$53,0)),"")))</f>
        <v>無關新聞事件</v>
      </c>
      <c r="U843" s="20" t="n">
        <f aca="false">IF(R843="維持",K843,IF(R843="排除",0,IFERROR(INDEX(事件規則!$C$2:$C$53,MATCH(S843,事件規則!$A$2:$A$53,0)),"")))</f>
        <v>0</v>
      </c>
      <c r="V843" s="21"/>
      <c r="W843" s="22"/>
      <c r="X843" s="10" t="str">
        <f aca="false">IF(AND(R843="修改",S843=""),"請選新事件代碼",IF(AND(R843&lt;&gt;"修改",S843&lt;&gt;""),"只有「修改」才需填代碼",""))</f>
        <v/>
      </c>
      <c r="Y843" s="21"/>
      <c r="Z843" s="22"/>
      <c r="AA843" s="23" t="s">
        <v>2622</v>
      </c>
      <c r="AB843" s="13"/>
    </row>
    <row r="844" customFormat="false" ht="44" hidden="false" customHeight="false" outlineLevel="0" collapsed="false">
      <c r="A844" s="16" t="n">
        <v>843</v>
      </c>
      <c r="B844" s="9" t="s">
        <v>45</v>
      </c>
      <c r="C844" s="9" t="s">
        <v>1437</v>
      </c>
      <c r="D844" s="10" t="s">
        <v>1438</v>
      </c>
      <c r="E844" s="24" t="s">
        <v>2623</v>
      </c>
      <c r="F844" s="12"/>
      <c r="G844" s="23" t="s">
        <v>2624</v>
      </c>
      <c r="H844" s="14" t="n">
        <v>-0.62</v>
      </c>
      <c r="I844" s="15"/>
      <c r="J844" s="12"/>
      <c r="K844" s="9"/>
      <c r="L844" s="16" t="s">
        <v>51</v>
      </c>
      <c r="M844" s="17" t="s">
        <v>79</v>
      </c>
      <c r="N844" s="15"/>
      <c r="O844" s="16" t="s">
        <v>54</v>
      </c>
      <c r="P844" s="12" t="s">
        <v>2267</v>
      </c>
      <c r="Q844" s="16"/>
      <c r="R844" s="18" t="s">
        <v>79</v>
      </c>
      <c r="S844" s="19"/>
      <c r="T844" s="12" t="str">
        <f aca="false">IF(R844="維持",J844,IF(R844="排除","無關新聞事件",IFERROR(INDEX(事件規則!$B$2:$B$53,MATCH(S844,事件規則!$A$2:$A$53,0)),"")))</f>
        <v>無關新聞事件</v>
      </c>
      <c r="U844" s="20" t="n">
        <f aca="false">IF(R844="維持",K844,IF(R844="排除",0,IFERROR(INDEX(事件規則!$C$2:$C$53,MATCH(S844,事件規則!$A$2:$A$53,0)),"")))</f>
        <v>0</v>
      </c>
      <c r="V844" s="21"/>
      <c r="W844" s="22"/>
      <c r="X844" s="10" t="str">
        <f aca="false">IF(AND(R844="修改",S844=""),"請選新事件代碼",IF(AND(R844&lt;&gt;"修改",S844&lt;&gt;""),"只有「修改」才需填代碼",""))</f>
        <v/>
      </c>
      <c r="Y844" s="21"/>
      <c r="Z844" s="22"/>
      <c r="AA844" s="23" t="s">
        <v>2625</v>
      </c>
      <c r="AB844" s="13"/>
    </row>
    <row r="845" customFormat="false" ht="44" hidden="false" customHeight="false" outlineLevel="0" collapsed="false">
      <c r="A845" s="16" t="n">
        <v>844</v>
      </c>
      <c r="B845" s="9" t="s">
        <v>65</v>
      </c>
      <c r="C845" s="9" t="s">
        <v>1207</v>
      </c>
      <c r="D845" s="10" t="s">
        <v>1208</v>
      </c>
      <c r="E845" s="24" t="s">
        <v>2626</v>
      </c>
      <c r="F845" s="12"/>
      <c r="G845" s="23" t="s">
        <v>147</v>
      </c>
      <c r="H845" s="14" t="n">
        <v>-0.62</v>
      </c>
      <c r="I845" s="15"/>
      <c r="J845" s="12"/>
      <c r="K845" s="9"/>
      <c r="L845" s="16" t="s">
        <v>51</v>
      </c>
      <c r="M845" s="17" t="s">
        <v>79</v>
      </c>
      <c r="N845" s="15"/>
      <c r="O845" s="16" t="s">
        <v>54</v>
      </c>
      <c r="P845" s="12" t="s">
        <v>2267</v>
      </c>
      <c r="Q845" s="16"/>
      <c r="R845" s="18" t="s">
        <v>79</v>
      </c>
      <c r="S845" s="19"/>
      <c r="T845" s="12" t="str">
        <f aca="false">IF(R845="維持",J845,IF(R845="排除","無關新聞事件",IFERROR(INDEX(事件規則!$B$2:$B$53,MATCH(S845,事件規則!$A$2:$A$53,0)),"")))</f>
        <v>無關新聞事件</v>
      </c>
      <c r="U845" s="20" t="n">
        <f aca="false">IF(R845="維持",K845,IF(R845="排除",0,IFERROR(INDEX(事件規則!$C$2:$C$53,MATCH(S845,事件規則!$A$2:$A$53,0)),"")))</f>
        <v>0</v>
      </c>
      <c r="V845" s="21"/>
      <c r="W845" s="22"/>
      <c r="X845" s="10" t="str">
        <f aca="false">IF(AND(R845="修改",S845=""),"請選新事件代碼",IF(AND(R845&lt;&gt;"修改",S845&lt;&gt;""),"只有「修改」才需填代碼",""))</f>
        <v/>
      </c>
      <c r="Y845" s="21"/>
      <c r="Z845" s="22"/>
      <c r="AA845" s="23" t="s">
        <v>2627</v>
      </c>
      <c r="AB845" s="13"/>
    </row>
    <row r="846" customFormat="false" ht="44" hidden="false" customHeight="false" outlineLevel="0" collapsed="false">
      <c r="A846" s="16" t="n">
        <v>845</v>
      </c>
      <c r="B846" s="9" t="s">
        <v>65</v>
      </c>
      <c r="C846" s="9" t="s">
        <v>645</v>
      </c>
      <c r="D846" s="10" t="s">
        <v>646</v>
      </c>
      <c r="E846" s="24" t="s">
        <v>2628</v>
      </c>
      <c r="F846" s="12"/>
      <c r="G846" s="23" t="s">
        <v>2629</v>
      </c>
      <c r="H846" s="14" t="n">
        <v>-0.62</v>
      </c>
      <c r="I846" s="15"/>
      <c r="J846" s="12"/>
      <c r="K846" s="9"/>
      <c r="L846" s="16" t="s">
        <v>51</v>
      </c>
      <c r="M846" s="17" t="s">
        <v>79</v>
      </c>
      <c r="N846" s="15"/>
      <c r="O846" s="16" t="s">
        <v>54</v>
      </c>
      <c r="P846" s="12" t="s">
        <v>2267</v>
      </c>
      <c r="Q846" s="16"/>
      <c r="R846" s="18" t="s">
        <v>79</v>
      </c>
      <c r="S846" s="19"/>
      <c r="T846" s="12" t="str">
        <f aca="false">IF(R846="維持",J846,IF(R846="排除","無關新聞事件",IFERROR(INDEX(事件規則!$B$2:$B$53,MATCH(S846,事件規則!$A$2:$A$53,0)),"")))</f>
        <v>無關新聞事件</v>
      </c>
      <c r="U846" s="20" t="n">
        <f aca="false">IF(R846="維持",K846,IF(R846="排除",0,IFERROR(INDEX(事件規則!$C$2:$C$53,MATCH(S846,事件規則!$A$2:$A$53,0)),"")))</f>
        <v>0</v>
      </c>
      <c r="V846" s="21"/>
      <c r="W846" s="22"/>
      <c r="X846" s="10" t="str">
        <f aca="false">IF(AND(R846="修改",S846=""),"請選新事件代碼",IF(AND(R846&lt;&gt;"修改",S846&lt;&gt;""),"只有「修改」才需填代碼",""))</f>
        <v/>
      </c>
      <c r="Y846" s="21"/>
      <c r="Z846" s="22"/>
      <c r="AA846" s="23" t="s">
        <v>2630</v>
      </c>
      <c r="AB846" s="13"/>
    </row>
    <row r="847" customFormat="false" ht="44" hidden="false" customHeight="false" outlineLevel="0" collapsed="false">
      <c r="A847" s="16" t="n">
        <v>846</v>
      </c>
      <c r="B847" s="9" t="s">
        <v>65</v>
      </c>
      <c r="C847" s="9" t="s">
        <v>2631</v>
      </c>
      <c r="D847" s="10" t="s">
        <v>2632</v>
      </c>
      <c r="E847" s="24" t="s">
        <v>2633</v>
      </c>
      <c r="F847" s="12"/>
      <c r="G847" s="23" t="s">
        <v>779</v>
      </c>
      <c r="H847" s="14" t="n">
        <v>-0.619</v>
      </c>
      <c r="I847" s="15"/>
      <c r="J847" s="12"/>
      <c r="K847" s="9"/>
      <c r="L847" s="16" t="s">
        <v>51</v>
      </c>
      <c r="M847" s="17" t="s">
        <v>79</v>
      </c>
      <c r="N847" s="15"/>
      <c r="O847" s="16" t="s">
        <v>54</v>
      </c>
      <c r="P847" s="12" t="s">
        <v>2267</v>
      </c>
      <c r="Q847" s="16"/>
      <c r="R847" s="18" t="s">
        <v>79</v>
      </c>
      <c r="S847" s="19"/>
      <c r="T847" s="12" t="str">
        <f aca="false">IF(R847="維持",J847,IF(R847="排除","無關新聞事件",IFERROR(INDEX(事件規則!$B$2:$B$53,MATCH(S847,事件規則!$A$2:$A$53,0)),"")))</f>
        <v>無關新聞事件</v>
      </c>
      <c r="U847" s="20" t="n">
        <f aca="false">IF(R847="維持",K847,IF(R847="排除",0,IFERROR(INDEX(事件規則!$C$2:$C$53,MATCH(S847,事件規則!$A$2:$A$53,0)),"")))</f>
        <v>0</v>
      </c>
      <c r="V847" s="21"/>
      <c r="W847" s="22"/>
      <c r="X847" s="10" t="str">
        <f aca="false">IF(AND(R847="修改",S847=""),"請選新事件代碼",IF(AND(R847&lt;&gt;"修改",S847&lt;&gt;""),"只有「修改」才需填代碼",""))</f>
        <v/>
      </c>
      <c r="Y847" s="21"/>
      <c r="Z847" s="22"/>
      <c r="AA847" s="23" t="s">
        <v>2634</v>
      </c>
      <c r="AB847" s="13"/>
    </row>
    <row r="848" customFormat="false" ht="44" hidden="false" customHeight="false" outlineLevel="0" collapsed="false">
      <c r="A848" s="16" t="n">
        <v>847</v>
      </c>
      <c r="B848" s="9" t="s">
        <v>65</v>
      </c>
      <c r="C848" s="16"/>
      <c r="D848" s="10" t="s">
        <v>150</v>
      </c>
      <c r="E848" s="24" t="s">
        <v>2635</v>
      </c>
      <c r="F848" s="10" t="s">
        <v>2636</v>
      </c>
      <c r="G848" s="23" t="s">
        <v>152</v>
      </c>
      <c r="H848" s="14" t="n">
        <v>-0.619</v>
      </c>
      <c r="I848" s="15"/>
      <c r="J848" s="12"/>
      <c r="K848" s="9"/>
      <c r="L848" s="16" t="s">
        <v>51</v>
      </c>
      <c r="M848" s="17" t="s">
        <v>79</v>
      </c>
      <c r="N848" s="15"/>
      <c r="O848" s="16" t="s">
        <v>54</v>
      </c>
      <c r="P848" s="12" t="s">
        <v>2267</v>
      </c>
      <c r="Q848" s="16"/>
      <c r="R848" s="18" t="s">
        <v>79</v>
      </c>
      <c r="S848" s="19"/>
      <c r="T848" s="12" t="str">
        <f aca="false">IF(R848="維持",J848,IF(R848="排除","無關新聞事件",IFERROR(INDEX(事件規則!$B$2:$B$53,MATCH(S848,事件規則!$A$2:$A$53,0)),"")))</f>
        <v>無關新聞事件</v>
      </c>
      <c r="U848" s="20" t="n">
        <f aca="false">IF(R848="維持",K848,IF(R848="排除",0,IFERROR(INDEX(事件規則!$C$2:$C$53,MATCH(S848,事件規則!$A$2:$A$53,0)),"")))</f>
        <v>0</v>
      </c>
      <c r="V848" s="21"/>
      <c r="W848" s="22"/>
      <c r="X848" s="10" t="str">
        <f aca="false">IF(AND(R848="修改",S848=""),"請選新事件代碼",IF(AND(R848&lt;&gt;"修改",S848&lt;&gt;""),"只有「修改」才需填代碼",""))</f>
        <v/>
      </c>
      <c r="Y848" s="21"/>
      <c r="Z848" s="22"/>
      <c r="AA848" s="23" t="s">
        <v>2637</v>
      </c>
      <c r="AB848" s="13"/>
    </row>
    <row r="849" customFormat="false" ht="44" hidden="false" customHeight="false" outlineLevel="0" collapsed="false">
      <c r="A849" s="16" t="n">
        <v>848</v>
      </c>
      <c r="B849" s="9" t="s">
        <v>65</v>
      </c>
      <c r="C849" s="16"/>
      <c r="D849" s="10" t="s">
        <v>89</v>
      </c>
      <c r="E849" s="24" t="s">
        <v>2635</v>
      </c>
      <c r="F849" s="10" t="s">
        <v>2636</v>
      </c>
      <c r="G849" s="23" t="s">
        <v>152</v>
      </c>
      <c r="H849" s="14" t="n">
        <v>-0.619</v>
      </c>
      <c r="I849" s="15"/>
      <c r="J849" s="12"/>
      <c r="K849" s="9"/>
      <c r="L849" s="16" t="s">
        <v>51</v>
      </c>
      <c r="M849" s="17" t="s">
        <v>79</v>
      </c>
      <c r="N849" s="15"/>
      <c r="O849" s="16" t="s">
        <v>54</v>
      </c>
      <c r="P849" s="12" t="s">
        <v>2267</v>
      </c>
      <c r="Q849" s="16"/>
      <c r="R849" s="18" t="s">
        <v>79</v>
      </c>
      <c r="S849" s="19"/>
      <c r="T849" s="12" t="str">
        <f aca="false">IF(R849="維持",J849,IF(R849="排除","無關新聞事件",IFERROR(INDEX(事件規則!$B$2:$B$53,MATCH(S849,事件規則!$A$2:$A$53,0)),"")))</f>
        <v>無關新聞事件</v>
      </c>
      <c r="U849" s="20" t="n">
        <f aca="false">IF(R849="維持",K849,IF(R849="排除",0,IFERROR(INDEX(事件規則!$C$2:$C$53,MATCH(S849,事件規則!$A$2:$A$53,0)),"")))</f>
        <v>0</v>
      </c>
      <c r="V849" s="21"/>
      <c r="W849" s="22"/>
      <c r="X849" s="10" t="str">
        <f aca="false">IF(AND(R849="修改",S849=""),"請選新事件代碼",IF(AND(R849&lt;&gt;"修改",S849&lt;&gt;""),"只有「修改」才需填代碼",""))</f>
        <v/>
      </c>
      <c r="Y849" s="21"/>
      <c r="Z849" s="22"/>
      <c r="AA849" s="23" t="s">
        <v>2638</v>
      </c>
      <c r="AB849" s="13"/>
    </row>
    <row r="850" customFormat="false" ht="44" hidden="false" customHeight="false" outlineLevel="0" collapsed="false">
      <c r="A850" s="16" t="n">
        <v>849</v>
      </c>
      <c r="B850" s="9" t="s">
        <v>331</v>
      </c>
      <c r="C850" s="9" t="s">
        <v>645</v>
      </c>
      <c r="D850" s="10" t="s">
        <v>646</v>
      </c>
      <c r="E850" s="24" t="s">
        <v>2639</v>
      </c>
      <c r="F850" s="12"/>
      <c r="G850" s="23" t="s">
        <v>2640</v>
      </c>
      <c r="H850" s="14" t="n">
        <v>-0.618</v>
      </c>
      <c r="I850" s="15"/>
      <c r="J850" s="12"/>
      <c r="K850" s="9"/>
      <c r="L850" s="16" t="s">
        <v>51</v>
      </c>
      <c r="M850" s="17" t="s">
        <v>79</v>
      </c>
      <c r="N850" s="15"/>
      <c r="O850" s="16" t="s">
        <v>54</v>
      </c>
      <c r="P850" s="12" t="s">
        <v>2267</v>
      </c>
      <c r="Q850" s="16"/>
      <c r="R850" s="18" t="s">
        <v>79</v>
      </c>
      <c r="S850" s="19"/>
      <c r="T850" s="12" t="str">
        <f aca="false">IF(R850="維持",J850,IF(R850="排除","無關新聞事件",IFERROR(INDEX(事件規則!$B$2:$B$53,MATCH(S850,事件規則!$A$2:$A$53,0)),"")))</f>
        <v>無關新聞事件</v>
      </c>
      <c r="U850" s="20" t="n">
        <f aca="false">IF(R850="維持",K850,IF(R850="排除",0,IFERROR(INDEX(事件規則!$C$2:$C$53,MATCH(S850,事件規則!$A$2:$A$53,0)),"")))</f>
        <v>0</v>
      </c>
      <c r="V850" s="21"/>
      <c r="W850" s="22"/>
      <c r="X850" s="10" t="str">
        <f aca="false">IF(AND(R850="修改",S850=""),"請選新事件代碼",IF(AND(R850&lt;&gt;"修改",S850&lt;&gt;""),"只有「修改」才需填代碼",""))</f>
        <v/>
      </c>
      <c r="Y850" s="21"/>
      <c r="Z850" s="22"/>
      <c r="AA850" s="23" t="s">
        <v>2641</v>
      </c>
      <c r="AB850" s="13"/>
    </row>
    <row r="851" customFormat="false" ht="15" hidden="false" customHeight="false" outlineLevel="0" collapsed="false">
      <c r="A851" s="16" t="n">
        <v>850</v>
      </c>
      <c r="B851" s="9" t="s">
        <v>331</v>
      </c>
      <c r="C851" s="9" t="s">
        <v>346</v>
      </c>
      <c r="D851" s="10" t="s">
        <v>347</v>
      </c>
      <c r="E851" s="24" t="s">
        <v>2642</v>
      </c>
      <c r="F851" s="12"/>
      <c r="G851" s="23" t="s">
        <v>2643</v>
      </c>
      <c r="H851" s="14" t="n">
        <v>-0.618</v>
      </c>
      <c r="I851" s="15"/>
      <c r="J851" s="12"/>
      <c r="K851" s="9"/>
      <c r="L851" s="16" t="s">
        <v>51</v>
      </c>
      <c r="M851" s="17" t="s">
        <v>52</v>
      </c>
      <c r="N851" s="15" t="s">
        <v>350</v>
      </c>
      <c r="O851" s="16" t="s">
        <v>62</v>
      </c>
      <c r="P851" s="12" t="s">
        <v>2644</v>
      </c>
      <c r="Q851" s="16"/>
      <c r="R851" s="18" t="s">
        <v>52</v>
      </c>
      <c r="S851" s="19" t="s">
        <v>350</v>
      </c>
      <c r="T851" s="12" t="str">
        <f aca="false">IF(R851="維持",J851,IF(R851="排除","無關新聞事件",IFERROR(INDEX(事件規則!$B$2:$B$53,MATCH(S851,事件規則!$A$2:$A$53,0)),"")))</f>
        <v>生產延遲</v>
      </c>
      <c r="U851" s="20" t="n">
        <f aca="false">IF(R851="維持",K851,IF(R851="排除",0,IFERROR(INDEX(事件規則!$C$2:$C$53,MATCH(S851,事件規則!$A$2:$A$53,0)),"")))</f>
        <v>2</v>
      </c>
      <c r="V851" s="21"/>
      <c r="W851" s="22"/>
      <c r="X851" s="10" t="str">
        <f aca="false">IF(AND(R851="修改",S851=""),"請選新事件代碼",IF(AND(R851&lt;&gt;"修改",S851&lt;&gt;""),"只有「修改」才需填代碼",""))</f>
        <v/>
      </c>
      <c r="Y851" s="21"/>
      <c r="Z851" s="22"/>
      <c r="AA851" s="23" t="s">
        <v>2645</v>
      </c>
      <c r="AB851" s="13"/>
    </row>
    <row r="852" customFormat="false" ht="44" hidden="false" customHeight="false" outlineLevel="0" collapsed="false">
      <c r="A852" s="16" t="n">
        <v>851</v>
      </c>
      <c r="B852" s="9" t="s">
        <v>65</v>
      </c>
      <c r="C852" s="9" t="s">
        <v>564</v>
      </c>
      <c r="D852" s="10" t="s">
        <v>565</v>
      </c>
      <c r="E852" s="24" t="s">
        <v>2646</v>
      </c>
      <c r="F852" s="12"/>
      <c r="G852" s="23" t="s">
        <v>2098</v>
      </c>
      <c r="H852" s="14" t="n">
        <v>-0.617</v>
      </c>
      <c r="I852" s="15"/>
      <c r="J852" s="12"/>
      <c r="K852" s="9"/>
      <c r="L852" s="16" t="s">
        <v>51</v>
      </c>
      <c r="M852" s="17" t="s">
        <v>79</v>
      </c>
      <c r="N852" s="15"/>
      <c r="O852" s="16" t="s">
        <v>54</v>
      </c>
      <c r="P852" s="12" t="s">
        <v>2267</v>
      </c>
      <c r="Q852" s="16"/>
      <c r="R852" s="18" t="s">
        <v>79</v>
      </c>
      <c r="S852" s="19"/>
      <c r="T852" s="12" t="str">
        <f aca="false">IF(R852="維持",J852,IF(R852="排除","無關新聞事件",IFERROR(INDEX(事件規則!$B$2:$B$53,MATCH(S852,事件規則!$A$2:$A$53,0)),"")))</f>
        <v>無關新聞事件</v>
      </c>
      <c r="U852" s="20" t="n">
        <f aca="false">IF(R852="維持",K852,IF(R852="排除",0,IFERROR(INDEX(事件規則!$C$2:$C$53,MATCH(S852,事件規則!$A$2:$A$53,0)),"")))</f>
        <v>0</v>
      </c>
      <c r="V852" s="21"/>
      <c r="W852" s="22"/>
      <c r="X852" s="10" t="str">
        <f aca="false">IF(AND(R852="修改",S852=""),"請選新事件代碼",IF(AND(R852&lt;&gt;"修改",S852&lt;&gt;""),"只有「修改」才需填代碼",""))</f>
        <v/>
      </c>
      <c r="Y852" s="21"/>
      <c r="Z852" s="22"/>
      <c r="AA852" s="23" t="s">
        <v>2647</v>
      </c>
      <c r="AB852" s="13"/>
    </row>
    <row r="853" customFormat="false" ht="44" hidden="false" customHeight="false" outlineLevel="0" collapsed="false">
      <c r="A853" s="16" t="n">
        <v>852</v>
      </c>
      <c r="B853" s="9" t="s">
        <v>65</v>
      </c>
      <c r="C853" s="9" t="s">
        <v>645</v>
      </c>
      <c r="D853" s="10" t="s">
        <v>646</v>
      </c>
      <c r="E853" s="24" t="s">
        <v>2648</v>
      </c>
      <c r="F853" s="12"/>
      <c r="G853" s="23" t="s">
        <v>2649</v>
      </c>
      <c r="H853" s="14" t="n">
        <v>-0.617</v>
      </c>
      <c r="I853" s="15"/>
      <c r="J853" s="12"/>
      <c r="K853" s="9"/>
      <c r="L853" s="16" t="s">
        <v>51</v>
      </c>
      <c r="M853" s="17" t="s">
        <v>79</v>
      </c>
      <c r="N853" s="15"/>
      <c r="O853" s="16" t="s">
        <v>54</v>
      </c>
      <c r="P853" s="12" t="s">
        <v>2267</v>
      </c>
      <c r="Q853" s="16"/>
      <c r="R853" s="18" t="s">
        <v>79</v>
      </c>
      <c r="S853" s="19"/>
      <c r="T853" s="12" t="str">
        <f aca="false">IF(R853="維持",J853,IF(R853="排除","無關新聞事件",IFERROR(INDEX(事件規則!$B$2:$B$53,MATCH(S853,事件規則!$A$2:$A$53,0)),"")))</f>
        <v>無關新聞事件</v>
      </c>
      <c r="U853" s="20" t="n">
        <f aca="false">IF(R853="維持",K853,IF(R853="排除",0,IFERROR(INDEX(事件規則!$C$2:$C$53,MATCH(S853,事件規則!$A$2:$A$53,0)),"")))</f>
        <v>0</v>
      </c>
      <c r="V853" s="21"/>
      <c r="W853" s="22"/>
      <c r="X853" s="10" t="str">
        <f aca="false">IF(AND(R853="修改",S853=""),"請選新事件代碼",IF(AND(R853&lt;&gt;"修改",S853&lt;&gt;""),"只有「修改」才需填代碼",""))</f>
        <v/>
      </c>
      <c r="Y853" s="21"/>
      <c r="Z853" s="22"/>
      <c r="AA853" s="23" t="s">
        <v>2650</v>
      </c>
      <c r="AB853" s="13"/>
    </row>
    <row r="854" customFormat="false" ht="15" hidden="false" customHeight="false" outlineLevel="0" collapsed="false">
      <c r="A854" s="16" t="n">
        <v>853</v>
      </c>
      <c r="B854" s="9" t="s">
        <v>65</v>
      </c>
      <c r="C854" s="9" t="s">
        <v>2136</v>
      </c>
      <c r="D854" s="10" t="s">
        <v>2137</v>
      </c>
      <c r="E854" s="24" t="s">
        <v>2651</v>
      </c>
      <c r="F854" s="12"/>
      <c r="G854" s="23" t="s">
        <v>2652</v>
      </c>
      <c r="H854" s="14" t="n">
        <v>-0.617</v>
      </c>
      <c r="I854" s="15"/>
      <c r="J854" s="12"/>
      <c r="K854" s="9"/>
      <c r="L854" s="16" t="s">
        <v>51</v>
      </c>
      <c r="M854" s="17" t="s">
        <v>52</v>
      </c>
      <c r="N854" s="15" t="s">
        <v>667</v>
      </c>
      <c r="O854" s="16" t="s">
        <v>54</v>
      </c>
      <c r="P854" s="10" t="s">
        <v>2653</v>
      </c>
      <c r="Q854" s="16"/>
      <c r="R854" s="18" t="s">
        <v>52</v>
      </c>
      <c r="S854" s="19" t="s">
        <v>667</v>
      </c>
      <c r="T854" s="12" t="str">
        <f aca="false">IF(R854="維持",J854,IF(R854="排除","無關新聞事件",IFERROR(INDEX(事件規則!$B$2:$B$53,MATCH(S854,事件規則!$A$2:$A$53,0)),"")))</f>
        <v>重大產品瑕疵</v>
      </c>
      <c r="U854" s="20" t="n">
        <f aca="false">IF(R854="維持",K854,IF(R854="排除",0,IFERROR(INDEX(事件規則!$C$2:$C$53,MATCH(S854,事件規則!$A$2:$A$53,0)),"")))</f>
        <v>3</v>
      </c>
      <c r="V854" s="21"/>
      <c r="W854" s="22"/>
      <c r="X854" s="10" t="str">
        <f aca="false">IF(AND(R854="修改",S854=""),"請選新事件代碼",IF(AND(R854&lt;&gt;"修改",S854&lt;&gt;""),"只有「修改」才需填代碼",""))</f>
        <v/>
      </c>
      <c r="Y854" s="21"/>
      <c r="Z854" s="22"/>
      <c r="AA854" s="23" t="s">
        <v>2654</v>
      </c>
      <c r="AB854" s="13"/>
    </row>
    <row r="855" customFormat="false" ht="44" hidden="false" customHeight="false" outlineLevel="0" collapsed="false">
      <c r="A855" s="16" t="n">
        <v>854</v>
      </c>
      <c r="B855" s="9" t="s">
        <v>331</v>
      </c>
      <c r="C855" s="9" t="s">
        <v>988</v>
      </c>
      <c r="D855" s="10" t="s">
        <v>989</v>
      </c>
      <c r="E855" s="24" t="s">
        <v>2655</v>
      </c>
      <c r="F855" s="12"/>
      <c r="G855" s="23" t="s">
        <v>2656</v>
      </c>
      <c r="H855" s="14" t="n">
        <v>-0.616</v>
      </c>
      <c r="I855" s="15"/>
      <c r="J855" s="12"/>
      <c r="K855" s="9"/>
      <c r="L855" s="16" t="s">
        <v>51</v>
      </c>
      <c r="M855" s="17" t="s">
        <v>79</v>
      </c>
      <c r="N855" s="15"/>
      <c r="O855" s="16" t="s">
        <v>54</v>
      </c>
      <c r="P855" s="12" t="s">
        <v>2267</v>
      </c>
      <c r="Q855" s="16"/>
      <c r="R855" s="18" t="s">
        <v>79</v>
      </c>
      <c r="S855" s="19"/>
      <c r="T855" s="12" t="str">
        <f aca="false">IF(R855="維持",J855,IF(R855="排除","無關新聞事件",IFERROR(INDEX(事件規則!$B$2:$B$53,MATCH(S855,事件規則!$A$2:$A$53,0)),"")))</f>
        <v>無關新聞事件</v>
      </c>
      <c r="U855" s="20" t="n">
        <f aca="false">IF(R855="維持",K855,IF(R855="排除",0,IFERROR(INDEX(事件規則!$C$2:$C$53,MATCH(S855,事件規則!$A$2:$A$53,0)),"")))</f>
        <v>0</v>
      </c>
      <c r="V855" s="21"/>
      <c r="W855" s="22"/>
      <c r="X855" s="10" t="str">
        <f aca="false">IF(AND(R855="修改",S855=""),"請選新事件代碼",IF(AND(R855&lt;&gt;"修改",S855&lt;&gt;""),"只有「修改」才需填代碼",""))</f>
        <v/>
      </c>
      <c r="Y855" s="21"/>
      <c r="Z855" s="22"/>
      <c r="AA855" s="23" t="s">
        <v>2657</v>
      </c>
      <c r="AB855" s="13"/>
    </row>
    <row r="856" customFormat="false" ht="44" hidden="false" customHeight="false" outlineLevel="0" collapsed="false">
      <c r="A856" s="16" t="n">
        <v>855</v>
      </c>
      <c r="B856" s="9" t="s">
        <v>65</v>
      </c>
      <c r="C856" s="9" t="s">
        <v>346</v>
      </c>
      <c r="D856" s="10" t="s">
        <v>347</v>
      </c>
      <c r="E856" s="24" t="s">
        <v>2658</v>
      </c>
      <c r="F856" s="12"/>
      <c r="G856" s="23" t="s">
        <v>152</v>
      </c>
      <c r="H856" s="14" t="n">
        <v>-0.616</v>
      </c>
      <c r="I856" s="15"/>
      <c r="J856" s="12"/>
      <c r="K856" s="9"/>
      <c r="L856" s="16" t="s">
        <v>51</v>
      </c>
      <c r="M856" s="17" t="s">
        <v>79</v>
      </c>
      <c r="N856" s="15"/>
      <c r="O856" s="16" t="s">
        <v>54</v>
      </c>
      <c r="P856" s="12" t="s">
        <v>2267</v>
      </c>
      <c r="Q856" s="16"/>
      <c r="R856" s="18" t="s">
        <v>79</v>
      </c>
      <c r="S856" s="19"/>
      <c r="T856" s="12" t="str">
        <f aca="false">IF(R856="維持",J856,IF(R856="排除","無關新聞事件",IFERROR(INDEX(事件規則!$B$2:$B$53,MATCH(S856,事件規則!$A$2:$A$53,0)),"")))</f>
        <v>無關新聞事件</v>
      </c>
      <c r="U856" s="20" t="n">
        <f aca="false">IF(R856="維持",K856,IF(R856="排除",0,IFERROR(INDEX(事件規則!$C$2:$C$53,MATCH(S856,事件規則!$A$2:$A$53,0)),"")))</f>
        <v>0</v>
      </c>
      <c r="V856" s="21"/>
      <c r="W856" s="22"/>
      <c r="X856" s="10" t="str">
        <f aca="false">IF(AND(R856="修改",S856=""),"請選新事件代碼",IF(AND(R856&lt;&gt;"修改",S856&lt;&gt;""),"只有「修改」才需填代碼",""))</f>
        <v/>
      </c>
      <c r="Y856" s="21"/>
      <c r="Z856" s="22"/>
      <c r="AA856" s="23" t="s">
        <v>2659</v>
      </c>
      <c r="AB856" s="13"/>
    </row>
    <row r="857" customFormat="false" ht="44" hidden="false" customHeight="false" outlineLevel="0" collapsed="false">
      <c r="A857" s="16" t="n">
        <v>856</v>
      </c>
      <c r="B857" s="9" t="s">
        <v>65</v>
      </c>
      <c r="C857" s="9" t="s">
        <v>267</v>
      </c>
      <c r="D857" s="10" t="s">
        <v>268</v>
      </c>
      <c r="E857" s="24" t="s">
        <v>2660</v>
      </c>
      <c r="F857" s="12"/>
      <c r="G857" s="23" t="s">
        <v>147</v>
      </c>
      <c r="H857" s="14" t="n">
        <v>-0.616</v>
      </c>
      <c r="I857" s="15"/>
      <c r="J857" s="12"/>
      <c r="K857" s="9"/>
      <c r="L857" s="16" t="s">
        <v>51</v>
      </c>
      <c r="M857" s="17" t="s">
        <v>79</v>
      </c>
      <c r="N857" s="15"/>
      <c r="O857" s="16" t="s">
        <v>54</v>
      </c>
      <c r="P857" s="12" t="s">
        <v>2267</v>
      </c>
      <c r="Q857" s="16"/>
      <c r="R857" s="18" t="s">
        <v>79</v>
      </c>
      <c r="S857" s="19"/>
      <c r="T857" s="12" t="str">
        <f aca="false">IF(R857="維持",J857,IF(R857="排除","無關新聞事件",IFERROR(INDEX(事件規則!$B$2:$B$53,MATCH(S857,事件規則!$A$2:$A$53,0)),"")))</f>
        <v>無關新聞事件</v>
      </c>
      <c r="U857" s="20" t="n">
        <f aca="false">IF(R857="維持",K857,IF(R857="排除",0,IFERROR(INDEX(事件規則!$C$2:$C$53,MATCH(S857,事件規則!$A$2:$A$53,0)),"")))</f>
        <v>0</v>
      </c>
      <c r="V857" s="21"/>
      <c r="W857" s="22"/>
      <c r="X857" s="10" t="str">
        <f aca="false">IF(AND(R857="修改",S857=""),"請選新事件代碼",IF(AND(R857&lt;&gt;"修改",S857&lt;&gt;""),"只有「修改」才需填代碼",""))</f>
        <v/>
      </c>
      <c r="Y857" s="21"/>
      <c r="Z857" s="22"/>
      <c r="AA857" s="23" t="s">
        <v>2661</v>
      </c>
      <c r="AB857" s="13"/>
    </row>
    <row r="858" customFormat="false" ht="15" hidden="false" customHeight="false" outlineLevel="0" collapsed="false">
      <c r="A858" s="16" t="n">
        <v>857</v>
      </c>
      <c r="B858" s="9" t="s">
        <v>65</v>
      </c>
      <c r="C858" s="9" t="s">
        <v>353</v>
      </c>
      <c r="D858" s="10" t="s">
        <v>354</v>
      </c>
      <c r="E858" s="24" t="s">
        <v>2662</v>
      </c>
      <c r="F858" s="12"/>
      <c r="G858" s="23" t="s">
        <v>263</v>
      </c>
      <c r="H858" s="14" t="n">
        <v>-0.616</v>
      </c>
      <c r="I858" s="15"/>
      <c r="J858" s="12"/>
      <c r="K858" s="9"/>
      <c r="L858" s="16" t="s">
        <v>51</v>
      </c>
      <c r="M858" s="17" t="s">
        <v>52</v>
      </c>
      <c r="N858" s="15" t="s">
        <v>357</v>
      </c>
      <c r="O858" s="16" t="s">
        <v>62</v>
      </c>
      <c r="P858" s="10" t="s">
        <v>2409</v>
      </c>
      <c r="Q858" s="16"/>
      <c r="R858" s="18" t="s">
        <v>52</v>
      </c>
      <c r="S858" s="19" t="s">
        <v>357</v>
      </c>
      <c r="T858" s="12" t="str">
        <f aca="false">IF(R858="維持",J858,IF(R858="排除","無關新聞事件",IFERROR(INDEX(事件規則!$B$2:$B$53,MATCH(S858,事件規則!$A$2:$A$53,0)),"")))</f>
        <v>資料外洩</v>
      </c>
      <c r="U858" s="20" t="n">
        <f aca="false">IF(R858="維持",K858,IF(R858="排除",0,IFERROR(INDEX(事件規則!$C$2:$C$53,MATCH(S858,事件規則!$A$2:$A$53,0)),"")))</f>
        <v>3</v>
      </c>
      <c r="V858" s="21"/>
      <c r="W858" s="22"/>
      <c r="X858" s="10" t="str">
        <f aca="false">IF(AND(R858="修改",S858=""),"請選新事件代碼",IF(AND(R858&lt;&gt;"修改",S858&lt;&gt;""),"只有「修改」才需填代碼",""))</f>
        <v/>
      </c>
      <c r="Y858" s="21"/>
      <c r="Z858" s="22"/>
      <c r="AA858" s="23" t="s">
        <v>2663</v>
      </c>
      <c r="AB858" s="13"/>
    </row>
    <row r="859" customFormat="false" ht="44" hidden="false" customHeight="false" outlineLevel="0" collapsed="false">
      <c r="A859" s="16" t="n">
        <v>858</v>
      </c>
      <c r="B859" s="9" t="s">
        <v>65</v>
      </c>
      <c r="C859" s="9" t="s">
        <v>511</v>
      </c>
      <c r="D859" s="10" t="s">
        <v>512</v>
      </c>
      <c r="E859" s="24" t="s">
        <v>2664</v>
      </c>
      <c r="F859" s="12"/>
      <c r="G859" s="23" t="s">
        <v>2665</v>
      </c>
      <c r="H859" s="14" t="n">
        <v>-0.613</v>
      </c>
      <c r="I859" s="15"/>
      <c r="J859" s="12"/>
      <c r="K859" s="9"/>
      <c r="L859" s="16" t="s">
        <v>51</v>
      </c>
      <c r="M859" s="17" t="s">
        <v>79</v>
      </c>
      <c r="N859" s="15"/>
      <c r="O859" s="16" t="s">
        <v>54</v>
      </c>
      <c r="P859" s="12" t="s">
        <v>2267</v>
      </c>
      <c r="Q859" s="16"/>
      <c r="R859" s="18" t="s">
        <v>79</v>
      </c>
      <c r="S859" s="19"/>
      <c r="T859" s="12" t="str">
        <f aca="false">IF(R859="維持",J859,IF(R859="排除","無關新聞事件",IFERROR(INDEX(事件規則!$B$2:$B$53,MATCH(S859,事件規則!$A$2:$A$53,0)),"")))</f>
        <v>無關新聞事件</v>
      </c>
      <c r="U859" s="20" t="n">
        <f aca="false">IF(R859="維持",K859,IF(R859="排除",0,IFERROR(INDEX(事件規則!$C$2:$C$53,MATCH(S859,事件規則!$A$2:$A$53,0)),"")))</f>
        <v>0</v>
      </c>
      <c r="V859" s="21"/>
      <c r="W859" s="22"/>
      <c r="X859" s="10" t="str">
        <f aca="false">IF(AND(R859="修改",S859=""),"請選新事件代碼",IF(AND(R859&lt;&gt;"修改",S859&lt;&gt;""),"只有「修改」才需填代碼",""))</f>
        <v/>
      </c>
      <c r="Y859" s="21"/>
      <c r="Z859" s="22"/>
      <c r="AA859" s="23" t="s">
        <v>2666</v>
      </c>
      <c r="AB859" s="13"/>
    </row>
    <row r="860" customFormat="false" ht="44" hidden="false" customHeight="false" outlineLevel="0" collapsed="false">
      <c r="A860" s="16" t="n">
        <v>859</v>
      </c>
      <c r="B860" s="9" t="s">
        <v>331</v>
      </c>
      <c r="C860" s="9" t="s">
        <v>2667</v>
      </c>
      <c r="D860" s="10" t="s">
        <v>2668</v>
      </c>
      <c r="E860" s="24" t="s">
        <v>2669</v>
      </c>
      <c r="F860" s="12"/>
      <c r="G860" s="23" t="s">
        <v>224</v>
      </c>
      <c r="H860" s="14" t="n">
        <v>-0.611</v>
      </c>
      <c r="I860" s="15"/>
      <c r="J860" s="12"/>
      <c r="K860" s="9"/>
      <c r="L860" s="16" t="s">
        <v>51</v>
      </c>
      <c r="M860" s="17" t="s">
        <v>79</v>
      </c>
      <c r="N860" s="15"/>
      <c r="O860" s="16" t="s">
        <v>54</v>
      </c>
      <c r="P860" s="12" t="s">
        <v>2267</v>
      </c>
      <c r="Q860" s="16"/>
      <c r="R860" s="18" t="s">
        <v>79</v>
      </c>
      <c r="S860" s="19"/>
      <c r="T860" s="12" t="str">
        <f aca="false">IF(R860="維持",J860,IF(R860="排除","無關新聞事件",IFERROR(INDEX(事件規則!$B$2:$B$53,MATCH(S860,事件規則!$A$2:$A$53,0)),"")))</f>
        <v>無關新聞事件</v>
      </c>
      <c r="U860" s="20" t="n">
        <f aca="false">IF(R860="維持",K860,IF(R860="排除",0,IFERROR(INDEX(事件規則!$C$2:$C$53,MATCH(S860,事件規則!$A$2:$A$53,0)),"")))</f>
        <v>0</v>
      </c>
      <c r="V860" s="21"/>
      <c r="W860" s="22"/>
      <c r="X860" s="10" t="str">
        <f aca="false">IF(AND(R860="修改",S860=""),"請選新事件代碼",IF(AND(R860&lt;&gt;"修改",S860&lt;&gt;""),"只有「修改」才需填代碼",""))</f>
        <v/>
      </c>
      <c r="Y860" s="21"/>
      <c r="Z860" s="22"/>
      <c r="AA860" s="23" t="s">
        <v>2670</v>
      </c>
      <c r="AB860" s="13"/>
    </row>
    <row r="861" customFormat="false" ht="44" hidden="false" customHeight="false" outlineLevel="0" collapsed="false">
      <c r="A861" s="16" t="n">
        <v>860</v>
      </c>
      <c r="B861" s="9" t="s">
        <v>65</v>
      </c>
      <c r="C861" s="9" t="s">
        <v>332</v>
      </c>
      <c r="D861" s="10" t="s">
        <v>333</v>
      </c>
      <c r="E861" s="24" t="s">
        <v>2671</v>
      </c>
      <c r="F861" s="12"/>
      <c r="G861" s="23" t="s">
        <v>120</v>
      </c>
      <c r="H861" s="14" t="n">
        <v>-0.609</v>
      </c>
      <c r="I861" s="15"/>
      <c r="J861" s="12"/>
      <c r="K861" s="9"/>
      <c r="L861" s="16" t="s">
        <v>51</v>
      </c>
      <c r="M861" s="17" t="s">
        <v>79</v>
      </c>
      <c r="N861" s="15"/>
      <c r="O861" s="16" t="s">
        <v>54</v>
      </c>
      <c r="P861" s="12" t="s">
        <v>2267</v>
      </c>
      <c r="Q861" s="16"/>
      <c r="R861" s="18" t="s">
        <v>79</v>
      </c>
      <c r="S861" s="19"/>
      <c r="T861" s="12" t="str">
        <f aca="false">IF(R861="維持",J861,IF(R861="排除","無關新聞事件",IFERROR(INDEX(事件規則!$B$2:$B$53,MATCH(S861,事件規則!$A$2:$A$53,0)),"")))</f>
        <v>無關新聞事件</v>
      </c>
      <c r="U861" s="20" t="n">
        <f aca="false">IF(R861="維持",K861,IF(R861="排除",0,IFERROR(INDEX(事件規則!$C$2:$C$53,MATCH(S861,事件規則!$A$2:$A$53,0)),"")))</f>
        <v>0</v>
      </c>
      <c r="V861" s="21"/>
      <c r="W861" s="22"/>
      <c r="X861" s="10" t="str">
        <f aca="false">IF(AND(R861="修改",S861=""),"請選新事件代碼",IF(AND(R861&lt;&gt;"修改",S861&lt;&gt;""),"只有「修改」才需填代碼",""))</f>
        <v/>
      </c>
      <c r="Y861" s="21"/>
      <c r="Z861" s="22"/>
      <c r="AA861" s="23" t="s">
        <v>2672</v>
      </c>
      <c r="AB861" s="13"/>
    </row>
    <row r="862" customFormat="false" ht="15" hidden="false" customHeight="false" outlineLevel="0" collapsed="false">
      <c r="A862" s="16" t="n">
        <v>861</v>
      </c>
      <c r="B862" s="9" t="s">
        <v>45</v>
      </c>
      <c r="C862" s="9" t="s">
        <v>353</v>
      </c>
      <c r="D862" s="10" t="s">
        <v>354</v>
      </c>
      <c r="E862" s="24" t="s">
        <v>2673</v>
      </c>
      <c r="F862" s="12"/>
      <c r="G862" s="23" t="s">
        <v>2674</v>
      </c>
      <c r="H862" s="14" t="n">
        <v>-0.609</v>
      </c>
      <c r="I862" s="15"/>
      <c r="J862" s="12"/>
      <c r="K862" s="9"/>
      <c r="L862" s="16" t="s">
        <v>51</v>
      </c>
      <c r="M862" s="17" t="s">
        <v>52</v>
      </c>
      <c r="N862" s="15" t="s">
        <v>357</v>
      </c>
      <c r="O862" s="16" t="s">
        <v>62</v>
      </c>
      <c r="P862" s="10" t="s">
        <v>2409</v>
      </c>
      <c r="Q862" s="16"/>
      <c r="R862" s="18" t="s">
        <v>52</v>
      </c>
      <c r="S862" s="19" t="s">
        <v>357</v>
      </c>
      <c r="T862" s="12" t="str">
        <f aca="false">IF(R862="維持",J862,IF(R862="排除","無關新聞事件",IFERROR(INDEX(事件規則!$B$2:$B$53,MATCH(S862,事件規則!$A$2:$A$53,0)),"")))</f>
        <v>資料外洩</v>
      </c>
      <c r="U862" s="20" t="n">
        <f aca="false">IF(R862="維持",K862,IF(R862="排除",0,IFERROR(INDEX(事件規則!$C$2:$C$53,MATCH(S862,事件規則!$A$2:$A$53,0)),"")))</f>
        <v>3</v>
      </c>
      <c r="V862" s="21"/>
      <c r="W862" s="22"/>
      <c r="X862" s="10" t="str">
        <f aca="false">IF(AND(R862="修改",S862=""),"請選新事件代碼",IF(AND(R862&lt;&gt;"修改",S862&lt;&gt;""),"只有「修改」才需填代碼",""))</f>
        <v/>
      </c>
      <c r="Y862" s="21"/>
      <c r="Z862" s="22"/>
      <c r="AA862" s="23" t="s">
        <v>2675</v>
      </c>
      <c r="AB862" s="13"/>
    </row>
    <row r="863" customFormat="false" ht="44" hidden="false" customHeight="false" outlineLevel="0" collapsed="false">
      <c r="A863" s="16" t="n">
        <v>862</v>
      </c>
      <c r="B863" s="9" t="s">
        <v>45</v>
      </c>
      <c r="C863" s="9" t="s">
        <v>498</v>
      </c>
      <c r="D863" s="10" t="s">
        <v>499</v>
      </c>
      <c r="E863" s="24" t="s">
        <v>2676</v>
      </c>
      <c r="F863" s="12"/>
      <c r="G863" s="23" t="s">
        <v>2677</v>
      </c>
      <c r="H863" s="14" t="n">
        <v>-0.608</v>
      </c>
      <c r="I863" s="15"/>
      <c r="J863" s="12"/>
      <c r="K863" s="9"/>
      <c r="L863" s="16" t="s">
        <v>51</v>
      </c>
      <c r="M863" s="17" t="s">
        <v>79</v>
      </c>
      <c r="N863" s="15"/>
      <c r="O863" s="16" t="s">
        <v>54</v>
      </c>
      <c r="P863" s="12" t="s">
        <v>2267</v>
      </c>
      <c r="Q863" s="16"/>
      <c r="R863" s="18" t="s">
        <v>79</v>
      </c>
      <c r="S863" s="19"/>
      <c r="T863" s="12" t="str">
        <f aca="false">IF(R863="維持",J863,IF(R863="排除","無關新聞事件",IFERROR(INDEX(事件規則!$B$2:$B$53,MATCH(S863,事件規則!$A$2:$A$53,0)),"")))</f>
        <v>無關新聞事件</v>
      </c>
      <c r="U863" s="20" t="n">
        <f aca="false">IF(R863="維持",K863,IF(R863="排除",0,IFERROR(INDEX(事件規則!$C$2:$C$53,MATCH(S863,事件規則!$A$2:$A$53,0)),"")))</f>
        <v>0</v>
      </c>
      <c r="V863" s="21"/>
      <c r="W863" s="22"/>
      <c r="X863" s="10" t="str">
        <f aca="false">IF(AND(R863="修改",S863=""),"請選新事件代碼",IF(AND(R863&lt;&gt;"修改",S863&lt;&gt;""),"只有「修改」才需填代碼",""))</f>
        <v/>
      </c>
      <c r="Y863" s="21"/>
      <c r="Z863" s="22"/>
      <c r="AA863" s="23" t="s">
        <v>2678</v>
      </c>
      <c r="AB863" s="13"/>
    </row>
    <row r="864" customFormat="false" ht="44" hidden="false" customHeight="false" outlineLevel="0" collapsed="false">
      <c r="A864" s="16" t="n">
        <v>863</v>
      </c>
      <c r="B864" s="9" t="s">
        <v>45</v>
      </c>
      <c r="C864" s="9" t="s">
        <v>1437</v>
      </c>
      <c r="D864" s="10" t="s">
        <v>1438</v>
      </c>
      <c r="E864" s="11" t="s">
        <v>2679</v>
      </c>
      <c r="F864" s="12" t="s">
        <v>2680</v>
      </c>
      <c r="G864" s="23" t="s">
        <v>152</v>
      </c>
      <c r="H864" s="14" t="n">
        <v>-0.607</v>
      </c>
      <c r="I864" s="15"/>
      <c r="J864" s="12"/>
      <c r="K864" s="9"/>
      <c r="L864" s="16" t="s">
        <v>51</v>
      </c>
      <c r="M864" s="17" t="s">
        <v>79</v>
      </c>
      <c r="N864" s="15"/>
      <c r="O864" s="16" t="s">
        <v>54</v>
      </c>
      <c r="P864" s="12" t="s">
        <v>2267</v>
      </c>
      <c r="Q864" s="16"/>
      <c r="R864" s="18" t="s">
        <v>79</v>
      </c>
      <c r="S864" s="19"/>
      <c r="T864" s="12" t="str">
        <f aca="false">IF(R864="維持",J864,IF(R864="排除","無關新聞事件",IFERROR(INDEX(事件規則!$B$2:$B$53,MATCH(S864,事件規則!$A$2:$A$53,0)),"")))</f>
        <v>無關新聞事件</v>
      </c>
      <c r="U864" s="20" t="n">
        <f aca="false">IF(R864="維持",K864,IF(R864="排除",0,IFERROR(INDEX(事件規則!$C$2:$C$53,MATCH(S864,事件規則!$A$2:$A$53,0)),"")))</f>
        <v>0</v>
      </c>
      <c r="V864" s="21"/>
      <c r="W864" s="22"/>
      <c r="X864" s="10" t="str">
        <f aca="false">IF(AND(R864="修改",S864=""),"請選新事件代碼",IF(AND(R864&lt;&gt;"修改",S864&lt;&gt;""),"只有「修改」才需填代碼",""))</f>
        <v/>
      </c>
      <c r="Y864" s="21"/>
      <c r="Z864" s="22"/>
      <c r="AA864" s="23" t="s">
        <v>2681</v>
      </c>
      <c r="AB864" s="13"/>
    </row>
    <row r="865" customFormat="false" ht="44" hidden="false" customHeight="false" outlineLevel="0" collapsed="false">
      <c r="A865" s="16" t="n">
        <v>864</v>
      </c>
      <c r="B865" s="9" t="s">
        <v>65</v>
      </c>
      <c r="C865" s="9" t="s">
        <v>1905</v>
      </c>
      <c r="D865" s="10" t="s">
        <v>1906</v>
      </c>
      <c r="E865" s="24" t="s">
        <v>2682</v>
      </c>
      <c r="F865" s="12"/>
      <c r="G865" s="23" t="s">
        <v>2683</v>
      </c>
      <c r="H865" s="14" t="n">
        <v>-0.607</v>
      </c>
      <c r="I865" s="15"/>
      <c r="J865" s="12"/>
      <c r="K865" s="9"/>
      <c r="L865" s="16" t="s">
        <v>51</v>
      </c>
      <c r="M865" s="17" t="s">
        <v>79</v>
      </c>
      <c r="N865" s="15"/>
      <c r="O865" s="16" t="s">
        <v>54</v>
      </c>
      <c r="P865" s="12" t="s">
        <v>2267</v>
      </c>
      <c r="Q865" s="16"/>
      <c r="R865" s="18" t="s">
        <v>79</v>
      </c>
      <c r="S865" s="19"/>
      <c r="T865" s="12" t="str">
        <f aca="false">IF(R865="維持",J865,IF(R865="排除","無關新聞事件",IFERROR(INDEX(事件規則!$B$2:$B$53,MATCH(S865,事件規則!$A$2:$A$53,0)),"")))</f>
        <v>無關新聞事件</v>
      </c>
      <c r="U865" s="20" t="n">
        <f aca="false">IF(R865="維持",K865,IF(R865="排除",0,IFERROR(INDEX(事件規則!$C$2:$C$53,MATCH(S865,事件規則!$A$2:$A$53,0)),"")))</f>
        <v>0</v>
      </c>
      <c r="V865" s="21"/>
      <c r="W865" s="22"/>
      <c r="X865" s="10" t="str">
        <f aca="false">IF(AND(R865="修改",S865=""),"請選新事件代碼",IF(AND(R865&lt;&gt;"修改",S865&lt;&gt;""),"只有「修改」才需填代碼",""))</f>
        <v/>
      </c>
      <c r="Y865" s="21"/>
      <c r="Z865" s="22"/>
      <c r="AA865" s="23" t="s">
        <v>2684</v>
      </c>
      <c r="AB865" s="13"/>
    </row>
    <row r="866" customFormat="false" ht="44" hidden="false" customHeight="false" outlineLevel="0" collapsed="false">
      <c r="A866" s="16" t="n">
        <v>865</v>
      </c>
      <c r="B866" s="9" t="s">
        <v>65</v>
      </c>
      <c r="C866" s="9" t="s">
        <v>142</v>
      </c>
      <c r="D866" s="10" t="s">
        <v>143</v>
      </c>
      <c r="E866" s="24" t="s">
        <v>2685</v>
      </c>
      <c r="F866" s="12"/>
      <c r="G866" s="23" t="s">
        <v>2686</v>
      </c>
      <c r="H866" s="14" t="n">
        <v>-0.605</v>
      </c>
      <c r="I866" s="15"/>
      <c r="J866" s="12"/>
      <c r="K866" s="9"/>
      <c r="L866" s="16" t="s">
        <v>51</v>
      </c>
      <c r="M866" s="17" t="s">
        <v>79</v>
      </c>
      <c r="N866" s="15"/>
      <c r="O866" s="16" t="s">
        <v>54</v>
      </c>
      <c r="P866" s="12" t="s">
        <v>2267</v>
      </c>
      <c r="Q866" s="16"/>
      <c r="R866" s="18" t="s">
        <v>79</v>
      </c>
      <c r="S866" s="19"/>
      <c r="T866" s="12" t="str">
        <f aca="false">IF(R866="維持",J866,IF(R866="排除","無關新聞事件",IFERROR(INDEX(事件規則!$B$2:$B$53,MATCH(S866,事件規則!$A$2:$A$53,0)),"")))</f>
        <v>無關新聞事件</v>
      </c>
      <c r="U866" s="20" t="n">
        <f aca="false">IF(R866="維持",K866,IF(R866="排除",0,IFERROR(INDEX(事件規則!$C$2:$C$53,MATCH(S866,事件規則!$A$2:$A$53,0)),"")))</f>
        <v>0</v>
      </c>
      <c r="V866" s="21"/>
      <c r="W866" s="22"/>
      <c r="X866" s="10" t="str">
        <f aca="false">IF(AND(R866="修改",S866=""),"請選新事件代碼",IF(AND(R866&lt;&gt;"修改",S866&lt;&gt;""),"只有「修改」才需填代碼",""))</f>
        <v/>
      </c>
      <c r="Y866" s="21"/>
      <c r="Z866" s="22"/>
      <c r="AA866" s="23" t="s">
        <v>2687</v>
      </c>
      <c r="AB866" s="13"/>
    </row>
    <row r="867" customFormat="false" ht="44" hidden="false" customHeight="false" outlineLevel="0" collapsed="false">
      <c r="A867" s="16" t="n">
        <v>866</v>
      </c>
      <c r="B867" s="9" t="s">
        <v>386</v>
      </c>
      <c r="C867" s="9" t="s">
        <v>577</v>
      </c>
      <c r="D867" s="10" t="s">
        <v>578</v>
      </c>
      <c r="E867" s="24" t="s">
        <v>2688</v>
      </c>
      <c r="F867" s="12"/>
      <c r="G867" s="23" t="s">
        <v>335</v>
      </c>
      <c r="H867" s="14" t="n">
        <v>-0.605</v>
      </c>
      <c r="I867" s="15"/>
      <c r="J867" s="12"/>
      <c r="K867" s="9"/>
      <c r="L867" s="16" t="s">
        <v>51</v>
      </c>
      <c r="M867" s="17" t="s">
        <v>79</v>
      </c>
      <c r="N867" s="15"/>
      <c r="O867" s="16" t="s">
        <v>54</v>
      </c>
      <c r="P867" s="12" t="s">
        <v>2267</v>
      </c>
      <c r="Q867" s="16"/>
      <c r="R867" s="18" t="s">
        <v>79</v>
      </c>
      <c r="S867" s="19"/>
      <c r="T867" s="12" t="str">
        <f aca="false">IF(R867="維持",J867,IF(R867="排除","無關新聞事件",IFERROR(INDEX(事件規則!$B$2:$B$53,MATCH(S867,事件規則!$A$2:$A$53,0)),"")))</f>
        <v>無關新聞事件</v>
      </c>
      <c r="U867" s="20" t="n">
        <f aca="false">IF(R867="維持",K867,IF(R867="排除",0,IFERROR(INDEX(事件規則!$C$2:$C$53,MATCH(S867,事件規則!$A$2:$A$53,0)),"")))</f>
        <v>0</v>
      </c>
      <c r="V867" s="21"/>
      <c r="W867" s="22"/>
      <c r="X867" s="10" t="str">
        <f aca="false">IF(AND(R867="修改",S867=""),"請選新事件代碼",IF(AND(R867&lt;&gt;"修改",S867&lt;&gt;""),"只有「修改」才需填代碼",""))</f>
        <v/>
      </c>
      <c r="Y867" s="21"/>
      <c r="Z867" s="22"/>
      <c r="AA867" s="23" t="s">
        <v>2689</v>
      </c>
      <c r="AB867" s="13"/>
    </row>
    <row r="868" customFormat="false" ht="44" hidden="false" customHeight="false" outlineLevel="0" collapsed="false">
      <c r="A868" s="16" t="n">
        <v>867</v>
      </c>
      <c r="B868" s="9" t="s">
        <v>45</v>
      </c>
      <c r="C868" s="9" t="s">
        <v>569</v>
      </c>
      <c r="D868" s="10" t="s">
        <v>570</v>
      </c>
      <c r="E868" s="24" t="s">
        <v>2690</v>
      </c>
      <c r="F868" s="12"/>
      <c r="G868" s="23" t="s">
        <v>120</v>
      </c>
      <c r="H868" s="14" t="n">
        <v>-0.604</v>
      </c>
      <c r="I868" s="15"/>
      <c r="J868" s="12"/>
      <c r="K868" s="9"/>
      <c r="L868" s="16" t="s">
        <v>51</v>
      </c>
      <c r="M868" s="17" t="s">
        <v>79</v>
      </c>
      <c r="N868" s="15"/>
      <c r="O868" s="16" t="s">
        <v>54</v>
      </c>
      <c r="P868" s="12" t="s">
        <v>2267</v>
      </c>
      <c r="Q868" s="16"/>
      <c r="R868" s="18" t="s">
        <v>79</v>
      </c>
      <c r="S868" s="19"/>
      <c r="T868" s="12" t="str">
        <f aca="false">IF(R868="維持",J868,IF(R868="排除","無關新聞事件",IFERROR(INDEX(事件規則!$B$2:$B$53,MATCH(S868,事件規則!$A$2:$A$53,0)),"")))</f>
        <v>無關新聞事件</v>
      </c>
      <c r="U868" s="20" t="n">
        <f aca="false">IF(R868="維持",K868,IF(R868="排除",0,IFERROR(INDEX(事件規則!$C$2:$C$53,MATCH(S868,事件規則!$A$2:$A$53,0)),"")))</f>
        <v>0</v>
      </c>
      <c r="V868" s="21"/>
      <c r="W868" s="22"/>
      <c r="X868" s="10" t="str">
        <f aca="false">IF(AND(R868="修改",S868=""),"請選新事件代碼",IF(AND(R868&lt;&gt;"修改",S868&lt;&gt;""),"只有「修改」才需填代碼",""))</f>
        <v/>
      </c>
      <c r="Y868" s="21"/>
      <c r="Z868" s="22"/>
      <c r="AA868" s="23" t="s">
        <v>2691</v>
      </c>
      <c r="AB868" s="13"/>
    </row>
    <row r="869" customFormat="false" ht="44" hidden="false" customHeight="false" outlineLevel="0" collapsed="false">
      <c r="A869" s="16" t="n">
        <v>868</v>
      </c>
      <c r="B869" s="9" t="s">
        <v>65</v>
      </c>
      <c r="C869" s="9" t="s">
        <v>2692</v>
      </c>
      <c r="D869" s="10" t="s">
        <v>2693</v>
      </c>
      <c r="E869" s="24" t="s">
        <v>2694</v>
      </c>
      <c r="F869" s="12"/>
      <c r="G869" s="23" t="s">
        <v>899</v>
      </c>
      <c r="H869" s="14" t="n">
        <v>-0.602</v>
      </c>
      <c r="I869" s="15"/>
      <c r="J869" s="12"/>
      <c r="K869" s="9"/>
      <c r="L869" s="16" t="s">
        <v>51</v>
      </c>
      <c r="M869" s="17" t="s">
        <v>79</v>
      </c>
      <c r="N869" s="15"/>
      <c r="O869" s="16" t="s">
        <v>54</v>
      </c>
      <c r="P869" s="12" t="s">
        <v>2267</v>
      </c>
      <c r="Q869" s="16"/>
      <c r="R869" s="18" t="s">
        <v>79</v>
      </c>
      <c r="S869" s="19"/>
      <c r="T869" s="12" t="str">
        <f aca="false">IF(R869="維持",J869,IF(R869="排除","無關新聞事件",IFERROR(INDEX(事件規則!$B$2:$B$53,MATCH(S869,事件規則!$A$2:$A$53,0)),"")))</f>
        <v>無關新聞事件</v>
      </c>
      <c r="U869" s="20" t="n">
        <f aca="false">IF(R869="維持",K869,IF(R869="排除",0,IFERROR(INDEX(事件規則!$C$2:$C$53,MATCH(S869,事件規則!$A$2:$A$53,0)),"")))</f>
        <v>0</v>
      </c>
      <c r="V869" s="21"/>
      <c r="W869" s="22"/>
      <c r="X869" s="10" t="str">
        <f aca="false">IF(AND(R869="修改",S869=""),"請選新事件代碼",IF(AND(R869&lt;&gt;"修改",S869&lt;&gt;""),"只有「修改」才需填代碼",""))</f>
        <v/>
      </c>
      <c r="Y869" s="21"/>
      <c r="Z869" s="22"/>
      <c r="AA869" s="23" t="s">
        <v>2695</v>
      </c>
      <c r="AB869" s="13"/>
    </row>
    <row r="870" customFormat="false" ht="44" hidden="false" customHeight="false" outlineLevel="0" collapsed="false">
      <c r="A870" s="16" t="n">
        <v>869</v>
      </c>
      <c r="B870" s="9" t="s">
        <v>45</v>
      </c>
      <c r="C870" s="9" t="s">
        <v>376</v>
      </c>
      <c r="D870" s="10" t="s">
        <v>377</v>
      </c>
      <c r="E870" s="24" t="s">
        <v>2696</v>
      </c>
      <c r="F870" s="12"/>
      <c r="G870" s="23" t="s">
        <v>224</v>
      </c>
      <c r="H870" s="14" t="n">
        <v>-0.599</v>
      </c>
      <c r="I870" s="15"/>
      <c r="J870" s="12"/>
      <c r="K870" s="9"/>
      <c r="L870" s="16" t="s">
        <v>51</v>
      </c>
      <c r="M870" s="17" t="s">
        <v>79</v>
      </c>
      <c r="N870" s="15"/>
      <c r="O870" s="16" t="s">
        <v>54</v>
      </c>
      <c r="P870" s="12" t="s">
        <v>2267</v>
      </c>
      <c r="Q870" s="16"/>
      <c r="R870" s="18" t="s">
        <v>79</v>
      </c>
      <c r="S870" s="19"/>
      <c r="T870" s="12" t="str">
        <f aca="false">IF(R870="維持",J870,IF(R870="排除","無關新聞事件",IFERROR(INDEX(事件規則!$B$2:$B$53,MATCH(S870,事件規則!$A$2:$A$53,0)),"")))</f>
        <v>無關新聞事件</v>
      </c>
      <c r="U870" s="20" t="n">
        <f aca="false">IF(R870="維持",K870,IF(R870="排除",0,IFERROR(INDEX(事件規則!$C$2:$C$53,MATCH(S870,事件規則!$A$2:$A$53,0)),"")))</f>
        <v>0</v>
      </c>
      <c r="V870" s="21"/>
      <c r="W870" s="22"/>
      <c r="X870" s="10" t="str">
        <f aca="false">IF(AND(R870="修改",S870=""),"請選新事件代碼",IF(AND(R870&lt;&gt;"修改",S870&lt;&gt;""),"只有「修改」才需填代碼",""))</f>
        <v/>
      </c>
      <c r="Y870" s="21"/>
      <c r="Z870" s="22"/>
      <c r="AA870" s="23" t="s">
        <v>2697</v>
      </c>
      <c r="AB870" s="13"/>
    </row>
    <row r="871" customFormat="false" ht="44" hidden="false" customHeight="false" outlineLevel="0" collapsed="false">
      <c r="A871" s="16" t="n">
        <v>870</v>
      </c>
      <c r="B871" s="9" t="s">
        <v>331</v>
      </c>
      <c r="C871" s="9" t="s">
        <v>854</v>
      </c>
      <c r="D871" s="10" t="s">
        <v>855</v>
      </c>
      <c r="E871" s="24" t="s">
        <v>2698</v>
      </c>
      <c r="F871" s="12"/>
      <c r="G871" s="23" t="s">
        <v>2699</v>
      </c>
      <c r="H871" s="14" t="n">
        <v>-0.599</v>
      </c>
      <c r="I871" s="15"/>
      <c r="J871" s="12"/>
      <c r="K871" s="9"/>
      <c r="L871" s="16" t="s">
        <v>51</v>
      </c>
      <c r="M871" s="17" t="s">
        <v>79</v>
      </c>
      <c r="N871" s="15"/>
      <c r="O871" s="16" t="s">
        <v>54</v>
      </c>
      <c r="P871" s="12" t="s">
        <v>2267</v>
      </c>
      <c r="Q871" s="16"/>
      <c r="R871" s="18" t="s">
        <v>79</v>
      </c>
      <c r="S871" s="19"/>
      <c r="T871" s="12" t="str">
        <f aca="false">IF(R871="維持",J871,IF(R871="排除","無關新聞事件",IFERROR(INDEX(事件規則!$B$2:$B$53,MATCH(S871,事件規則!$A$2:$A$53,0)),"")))</f>
        <v>無關新聞事件</v>
      </c>
      <c r="U871" s="20" t="n">
        <f aca="false">IF(R871="維持",K871,IF(R871="排除",0,IFERROR(INDEX(事件規則!$C$2:$C$53,MATCH(S871,事件規則!$A$2:$A$53,0)),"")))</f>
        <v>0</v>
      </c>
      <c r="V871" s="21"/>
      <c r="W871" s="22"/>
      <c r="X871" s="10" t="str">
        <f aca="false">IF(AND(R871="修改",S871=""),"請選新事件代碼",IF(AND(R871&lt;&gt;"修改",S871&lt;&gt;""),"只有「修改」才需填代碼",""))</f>
        <v/>
      </c>
      <c r="Y871" s="21"/>
      <c r="Z871" s="22"/>
      <c r="AA871" s="23" t="s">
        <v>2700</v>
      </c>
      <c r="AB871" s="13"/>
    </row>
    <row r="872" customFormat="false" ht="44" hidden="false" customHeight="false" outlineLevel="0" collapsed="false">
      <c r="A872" s="16" t="n">
        <v>871</v>
      </c>
      <c r="B872" s="9" t="s">
        <v>386</v>
      </c>
      <c r="C872" s="9" t="s">
        <v>594</v>
      </c>
      <c r="D872" s="10" t="s">
        <v>595</v>
      </c>
      <c r="E872" s="24" t="s">
        <v>2701</v>
      </c>
      <c r="F872" s="12"/>
      <c r="G872" s="23" t="s">
        <v>2702</v>
      </c>
      <c r="H872" s="14" t="n">
        <v>-0.597</v>
      </c>
      <c r="I872" s="15"/>
      <c r="J872" s="12"/>
      <c r="K872" s="9"/>
      <c r="L872" s="16" t="s">
        <v>51</v>
      </c>
      <c r="M872" s="17" t="s">
        <v>79</v>
      </c>
      <c r="N872" s="15"/>
      <c r="O872" s="16" t="s">
        <v>54</v>
      </c>
      <c r="P872" s="12" t="s">
        <v>2267</v>
      </c>
      <c r="Q872" s="16"/>
      <c r="R872" s="18" t="s">
        <v>79</v>
      </c>
      <c r="S872" s="19"/>
      <c r="T872" s="12" t="str">
        <f aca="false">IF(R872="維持",J872,IF(R872="排除","無關新聞事件",IFERROR(INDEX(事件規則!$B$2:$B$53,MATCH(S872,事件規則!$A$2:$A$53,0)),"")))</f>
        <v>無關新聞事件</v>
      </c>
      <c r="U872" s="20" t="n">
        <f aca="false">IF(R872="維持",K872,IF(R872="排除",0,IFERROR(INDEX(事件規則!$C$2:$C$53,MATCH(S872,事件規則!$A$2:$A$53,0)),"")))</f>
        <v>0</v>
      </c>
      <c r="V872" s="21"/>
      <c r="W872" s="22"/>
      <c r="X872" s="10" t="str">
        <f aca="false">IF(AND(R872="修改",S872=""),"請選新事件代碼",IF(AND(R872&lt;&gt;"修改",S872&lt;&gt;""),"只有「修改」才需填代碼",""))</f>
        <v/>
      </c>
      <c r="Y872" s="21"/>
      <c r="Z872" s="22"/>
      <c r="AA872" s="23" t="s">
        <v>2703</v>
      </c>
      <c r="AB872" s="13"/>
    </row>
    <row r="873" customFormat="false" ht="44" hidden="false" customHeight="false" outlineLevel="0" collapsed="false">
      <c r="A873" s="16" t="n">
        <v>872</v>
      </c>
      <c r="B873" s="9" t="s">
        <v>386</v>
      </c>
      <c r="C873" s="9" t="s">
        <v>240</v>
      </c>
      <c r="D873" s="10" t="s">
        <v>241</v>
      </c>
      <c r="E873" s="24" t="s">
        <v>2704</v>
      </c>
      <c r="F873" s="12"/>
      <c r="G873" s="13" t="s">
        <v>2705</v>
      </c>
      <c r="H873" s="14" t="n">
        <v>-0.595</v>
      </c>
      <c r="I873" s="15"/>
      <c r="J873" s="12"/>
      <c r="K873" s="9"/>
      <c r="L873" s="16" t="s">
        <v>51</v>
      </c>
      <c r="M873" s="17" t="s">
        <v>79</v>
      </c>
      <c r="N873" s="15"/>
      <c r="O873" s="16" t="s">
        <v>54</v>
      </c>
      <c r="P873" s="12" t="s">
        <v>2267</v>
      </c>
      <c r="Q873" s="16"/>
      <c r="R873" s="18" t="s">
        <v>79</v>
      </c>
      <c r="S873" s="19"/>
      <c r="T873" s="12" t="str">
        <f aca="false">IF(R873="維持",J873,IF(R873="排除","無關新聞事件",IFERROR(INDEX(事件規則!$B$2:$B$53,MATCH(S873,事件規則!$A$2:$A$53,0)),"")))</f>
        <v>無關新聞事件</v>
      </c>
      <c r="U873" s="20" t="n">
        <f aca="false">IF(R873="維持",K873,IF(R873="排除",0,IFERROR(INDEX(事件規則!$C$2:$C$53,MATCH(S873,事件規則!$A$2:$A$53,0)),"")))</f>
        <v>0</v>
      </c>
      <c r="V873" s="21"/>
      <c r="W873" s="22"/>
      <c r="X873" s="10" t="str">
        <f aca="false">IF(AND(R873="修改",S873=""),"請選新事件代碼",IF(AND(R873&lt;&gt;"修改",S873&lt;&gt;""),"只有「修改」才需填代碼",""))</f>
        <v/>
      </c>
      <c r="Y873" s="21"/>
      <c r="Z873" s="22"/>
      <c r="AA873" s="23" t="s">
        <v>2706</v>
      </c>
      <c r="AB873" s="13"/>
    </row>
    <row r="874" customFormat="false" ht="44" hidden="false" customHeight="false" outlineLevel="0" collapsed="false">
      <c r="A874" s="16" t="n">
        <v>873</v>
      </c>
      <c r="B874" s="9" t="s">
        <v>65</v>
      </c>
      <c r="C874" s="9" t="s">
        <v>704</v>
      </c>
      <c r="D874" s="10" t="s">
        <v>705</v>
      </c>
      <c r="E874" s="24" t="s">
        <v>2707</v>
      </c>
      <c r="F874" s="12"/>
      <c r="G874" s="23" t="s">
        <v>2708</v>
      </c>
      <c r="H874" s="14" t="n">
        <v>-0.591</v>
      </c>
      <c r="I874" s="15"/>
      <c r="J874" s="12"/>
      <c r="K874" s="9"/>
      <c r="L874" s="16" t="s">
        <v>51</v>
      </c>
      <c r="M874" s="17" t="s">
        <v>79</v>
      </c>
      <c r="N874" s="15"/>
      <c r="O874" s="16" t="s">
        <v>54</v>
      </c>
      <c r="P874" s="12" t="s">
        <v>2267</v>
      </c>
      <c r="Q874" s="16"/>
      <c r="R874" s="18" t="s">
        <v>79</v>
      </c>
      <c r="S874" s="19"/>
      <c r="T874" s="12" t="str">
        <f aca="false">IF(R874="維持",J874,IF(R874="排除","無關新聞事件",IFERROR(INDEX(事件規則!$B$2:$B$53,MATCH(S874,事件規則!$A$2:$A$53,0)),"")))</f>
        <v>無關新聞事件</v>
      </c>
      <c r="U874" s="20" t="n">
        <f aca="false">IF(R874="維持",K874,IF(R874="排除",0,IFERROR(INDEX(事件規則!$C$2:$C$53,MATCH(S874,事件規則!$A$2:$A$53,0)),"")))</f>
        <v>0</v>
      </c>
      <c r="V874" s="21"/>
      <c r="W874" s="22"/>
      <c r="X874" s="10" t="str">
        <f aca="false">IF(AND(R874="修改",S874=""),"請選新事件代碼",IF(AND(R874&lt;&gt;"修改",S874&lt;&gt;""),"只有「修改」才需填代碼",""))</f>
        <v/>
      </c>
      <c r="Y874" s="21"/>
      <c r="Z874" s="22"/>
      <c r="AA874" s="23" t="s">
        <v>2709</v>
      </c>
      <c r="AB874" s="13"/>
    </row>
    <row r="875" customFormat="false" ht="15" hidden="false" customHeight="false" outlineLevel="0" collapsed="false">
      <c r="A875" s="16" t="n">
        <v>874</v>
      </c>
      <c r="B875" s="9" t="s">
        <v>45</v>
      </c>
      <c r="C875" s="9" t="s">
        <v>524</v>
      </c>
      <c r="D875" s="10" t="s">
        <v>525</v>
      </c>
      <c r="E875" s="24" t="s">
        <v>2710</v>
      </c>
      <c r="F875" s="12"/>
      <c r="G875" s="23" t="s">
        <v>2711</v>
      </c>
      <c r="H875" s="14" t="n">
        <v>-0.587</v>
      </c>
      <c r="I875" s="15"/>
      <c r="J875" s="12"/>
      <c r="K875" s="9"/>
      <c r="L875" s="16" t="s">
        <v>51</v>
      </c>
      <c r="M875" s="17" t="s">
        <v>52</v>
      </c>
      <c r="N875" s="15" t="s">
        <v>1619</v>
      </c>
      <c r="O875" s="16" t="s">
        <v>54</v>
      </c>
      <c r="P875" s="10" t="s">
        <v>2712</v>
      </c>
      <c r="Q875" s="16"/>
      <c r="R875" s="18" t="s">
        <v>52</v>
      </c>
      <c r="S875" s="19" t="s">
        <v>1619</v>
      </c>
      <c r="T875" s="12" t="str">
        <f aca="false">IF(R875="維持",J875,IF(R875="排除","無關新聞事件",IFERROR(INDEX(事件規則!$B$2:$B$53,MATCH(S875,事件規則!$A$2:$A$53,0)),"")))</f>
        <v>資安攻擊</v>
      </c>
      <c r="U875" s="20" t="n">
        <f aca="false">IF(R875="維持",K875,IF(R875="排除",0,IFERROR(INDEX(事件規則!$C$2:$C$53,MATCH(S875,事件規則!$A$2:$A$53,0)),"")))</f>
        <v>3</v>
      </c>
      <c r="V875" s="21"/>
      <c r="W875" s="22"/>
      <c r="X875" s="10" t="str">
        <f aca="false">IF(AND(R875="修改",S875=""),"請選新事件代碼",IF(AND(R875&lt;&gt;"修改",S875&lt;&gt;""),"只有「修改」才需填代碼",""))</f>
        <v/>
      </c>
      <c r="Y875" s="21"/>
      <c r="Z875" s="22"/>
      <c r="AA875" s="23" t="s">
        <v>2713</v>
      </c>
      <c r="AB875" s="13"/>
    </row>
    <row r="876" customFormat="false" ht="44" hidden="false" customHeight="false" outlineLevel="0" collapsed="false">
      <c r="A876" s="16" t="n">
        <v>875</v>
      </c>
      <c r="B876" s="9" t="s">
        <v>65</v>
      </c>
      <c r="C876" s="9" t="s">
        <v>564</v>
      </c>
      <c r="D876" s="10" t="s">
        <v>565</v>
      </c>
      <c r="E876" s="24" t="s">
        <v>2714</v>
      </c>
      <c r="F876" s="12"/>
      <c r="G876" s="23" t="s">
        <v>2715</v>
      </c>
      <c r="H876" s="14" t="n">
        <v>-0.586</v>
      </c>
      <c r="I876" s="15"/>
      <c r="J876" s="12"/>
      <c r="K876" s="9"/>
      <c r="L876" s="16" t="s">
        <v>51</v>
      </c>
      <c r="M876" s="17" t="s">
        <v>79</v>
      </c>
      <c r="N876" s="15"/>
      <c r="O876" s="16" t="s">
        <v>54</v>
      </c>
      <c r="P876" s="12" t="s">
        <v>2267</v>
      </c>
      <c r="Q876" s="16"/>
      <c r="R876" s="18" t="s">
        <v>79</v>
      </c>
      <c r="S876" s="19"/>
      <c r="T876" s="12" t="str">
        <f aca="false">IF(R876="維持",J876,IF(R876="排除","無關新聞事件",IFERROR(INDEX(事件規則!$B$2:$B$53,MATCH(S876,事件規則!$A$2:$A$53,0)),"")))</f>
        <v>無關新聞事件</v>
      </c>
      <c r="U876" s="20" t="n">
        <f aca="false">IF(R876="維持",K876,IF(R876="排除",0,IFERROR(INDEX(事件規則!$C$2:$C$53,MATCH(S876,事件規則!$A$2:$A$53,0)),"")))</f>
        <v>0</v>
      </c>
      <c r="V876" s="21"/>
      <c r="W876" s="22"/>
      <c r="X876" s="10" t="str">
        <f aca="false">IF(AND(R876="修改",S876=""),"請選新事件代碼",IF(AND(R876&lt;&gt;"修改",S876&lt;&gt;""),"只有「修改」才需填代碼",""))</f>
        <v/>
      </c>
      <c r="Y876" s="21"/>
      <c r="Z876" s="22"/>
      <c r="AA876" s="23" t="s">
        <v>2716</v>
      </c>
      <c r="AB876" s="13"/>
    </row>
    <row r="877" customFormat="false" ht="44" hidden="false" customHeight="false" outlineLevel="0" collapsed="false">
      <c r="A877" s="16" t="n">
        <v>876</v>
      </c>
      <c r="B877" s="9" t="s">
        <v>45</v>
      </c>
      <c r="C877" s="9" t="s">
        <v>1325</v>
      </c>
      <c r="D877" s="10" t="s">
        <v>1326</v>
      </c>
      <c r="E877" s="24" t="s">
        <v>2717</v>
      </c>
      <c r="F877" s="12"/>
      <c r="G877" s="23" t="s">
        <v>2718</v>
      </c>
      <c r="H877" s="14" t="n">
        <v>-0.586</v>
      </c>
      <c r="I877" s="15"/>
      <c r="J877" s="12"/>
      <c r="K877" s="9"/>
      <c r="L877" s="16" t="s">
        <v>51</v>
      </c>
      <c r="M877" s="17" t="s">
        <v>79</v>
      </c>
      <c r="N877" s="15"/>
      <c r="O877" s="16" t="s">
        <v>54</v>
      </c>
      <c r="P877" s="12" t="s">
        <v>2267</v>
      </c>
      <c r="Q877" s="16"/>
      <c r="R877" s="18" t="s">
        <v>79</v>
      </c>
      <c r="S877" s="19"/>
      <c r="T877" s="12" t="str">
        <f aca="false">IF(R877="維持",J877,IF(R877="排除","無關新聞事件",IFERROR(INDEX(事件規則!$B$2:$B$53,MATCH(S877,事件規則!$A$2:$A$53,0)),"")))</f>
        <v>無關新聞事件</v>
      </c>
      <c r="U877" s="20" t="n">
        <f aca="false">IF(R877="維持",K877,IF(R877="排除",0,IFERROR(INDEX(事件規則!$C$2:$C$53,MATCH(S877,事件規則!$A$2:$A$53,0)),"")))</f>
        <v>0</v>
      </c>
      <c r="V877" s="21"/>
      <c r="W877" s="22"/>
      <c r="X877" s="10" t="str">
        <f aca="false">IF(AND(R877="修改",S877=""),"請選新事件代碼",IF(AND(R877&lt;&gt;"修改",S877&lt;&gt;""),"只有「修改」才需填代碼",""))</f>
        <v/>
      </c>
      <c r="Y877" s="21"/>
      <c r="Z877" s="22"/>
      <c r="AA877" s="23" t="s">
        <v>2719</v>
      </c>
      <c r="AB877" s="13"/>
    </row>
    <row r="878" customFormat="false" ht="44" hidden="false" customHeight="false" outlineLevel="0" collapsed="false">
      <c r="A878" s="16" t="n">
        <v>877</v>
      </c>
      <c r="B878" s="9" t="s">
        <v>386</v>
      </c>
      <c r="C878" s="9" t="s">
        <v>2720</v>
      </c>
      <c r="D878" s="10" t="s">
        <v>2721</v>
      </c>
      <c r="E878" s="24" t="s">
        <v>2722</v>
      </c>
      <c r="F878" s="12"/>
      <c r="G878" s="23" t="s">
        <v>120</v>
      </c>
      <c r="H878" s="14" t="n">
        <v>-0.584</v>
      </c>
      <c r="I878" s="15"/>
      <c r="J878" s="12"/>
      <c r="K878" s="9"/>
      <c r="L878" s="16" t="s">
        <v>51</v>
      </c>
      <c r="M878" s="17" t="s">
        <v>79</v>
      </c>
      <c r="N878" s="15"/>
      <c r="O878" s="16" t="s">
        <v>54</v>
      </c>
      <c r="P878" s="12" t="s">
        <v>2267</v>
      </c>
      <c r="Q878" s="16"/>
      <c r="R878" s="18" t="s">
        <v>79</v>
      </c>
      <c r="S878" s="19"/>
      <c r="T878" s="12" t="str">
        <f aca="false">IF(R878="維持",J878,IF(R878="排除","無關新聞事件",IFERROR(INDEX(事件規則!$B$2:$B$53,MATCH(S878,事件規則!$A$2:$A$53,0)),"")))</f>
        <v>無關新聞事件</v>
      </c>
      <c r="U878" s="20" t="n">
        <f aca="false">IF(R878="維持",K878,IF(R878="排除",0,IFERROR(INDEX(事件規則!$C$2:$C$53,MATCH(S878,事件規則!$A$2:$A$53,0)),"")))</f>
        <v>0</v>
      </c>
      <c r="V878" s="21"/>
      <c r="W878" s="22"/>
      <c r="X878" s="10" t="str">
        <f aca="false">IF(AND(R878="修改",S878=""),"請選新事件代碼",IF(AND(R878&lt;&gt;"修改",S878&lt;&gt;""),"只有「修改」才需填代碼",""))</f>
        <v/>
      </c>
      <c r="Y878" s="21"/>
      <c r="Z878" s="22"/>
      <c r="AA878" s="23" t="s">
        <v>2723</v>
      </c>
      <c r="AB878" s="13"/>
    </row>
    <row r="879" customFormat="false" ht="44" hidden="false" customHeight="false" outlineLevel="0" collapsed="false">
      <c r="A879" s="16" t="n">
        <v>878</v>
      </c>
      <c r="B879" s="9" t="s">
        <v>65</v>
      </c>
      <c r="C879" s="9" t="s">
        <v>456</v>
      </c>
      <c r="D879" s="10" t="s">
        <v>457</v>
      </c>
      <c r="E879" s="24" t="s">
        <v>2724</v>
      </c>
      <c r="F879" s="12"/>
      <c r="G879" s="23" t="s">
        <v>2725</v>
      </c>
      <c r="H879" s="14" t="n">
        <v>-0.584</v>
      </c>
      <c r="I879" s="15"/>
      <c r="J879" s="12"/>
      <c r="K879" s="9"/>
      <c r="L879" s="16" t="s">
        <v>51</v>
      </c>
      <c r="M879" s="17" t="s">
        <v>79</v>
      </c>
      <c r="N879" s="15"/>
      <c r="O879" s="16" t="s">
        <v>54</v>
      </c>
      <c r="P879" s="12" t="s">
        <v>2267</v>
      </c>
      <c r="Q879" s="16"/>
      <c r="R879" s="18" t="s">
        <v>79</v>
      </c>
      <c r="S879" s="19"/>
      <c r="T879" s="12" t="str">
        <f aca="false">IF(R879="維持",J879,IF(R879="排除","無關新聞事件",IFERROR(INDEX(事件規則!$B$2:$B$53,MATCH(S879,事件規則!$A$2:$A$53,0)),"")))</f>
        <v>無關新聞事件</v>
      </c>
      <c r="U879" s="20" t="n">
        <f aca="false">IF(R879="維持",K879,IF(R879="排除",0,IFERROR(INDEX(事件規則!$C$2:$C$53,MATCH(S879,事件規則!$A$2:$A$53,0)),"")))</f>
        <v>0</v>
      </c>
      <c r="V879" s="21"/>
      <c r="W879" s="22"/>
      <c r="X879" s="10" t="str">
        <f aca="false">IF(AND(R879="修改",S879=""),"請選新事件代碼",IF(AND(R879&lt;&gt;"修改",S879&lt;&gt;""),"只有「修改」才需填代碼",""))</f>
        <v/>
      </c>
      <c r="Y879" s="21"/>
      <c r="Z879" s="22"/>
      <c r="AA879" s="23" t="s">
        <v>2726</v>
      </c>
      <c r="AB879" s="13"/>
    </row>
    <row r="880" customFormat="false" ht="44" hidden="false" customHeight="false" outlineLevel="0" collapsed="false">
      <c r="A880" s="16" t="n">
        <v>879</v>
      </c>
      <c r="B880" s="9" t="s">
        <v>65</v>
      </c>
      <c r="C880" s="9" t="s">
        <v>862</v>
      </c>
      <c r="D880" s="10" t="s">
        <v>863</v>
      </c>
      <c r="E880" s="24" t="s">
        <v>2727</v>
      </c>
      <c r="F880" s="12"/>
      <c r="G880" s="23" t="s">
        <v>2728</v>
      </c>
      <c r="H880" s="14" t="n">
        <v>-0.584</v>
      </c>
      <c r="I880" s="15"/>
      <c r="J880" s="12"/>
      <c r="K880" s="9"/>
      <c r="L880" s="16" t="s">
        <v>51</v>
      </c>
      <c r="M880" s="17" t="s">
        <v>79</v>
      </c>
      <c r="N880" s="15"/>
      <c r="O880" s="16" t="s">
        <v>54</v>
      </c>
      <c r="P880" s="12" t="s">
        <v>2267</v>
      </c>
      <c r="Q880" s="16"/>
      <c r="R880" s="18" t="s">
        <v>79</v>
      </c>
      <c r="S880" s="19"/>
      <c r="T880" s="12" t="str">
        <f aca="false">IF(R880="維持",J880,IF(R880="排除","無關新聞事件",IFERROR(INDEX(事件規則!$B$2:$B$53,MATCH(S880,事件規則!$A$2:$A$53,0)),"")))</f>
        <v>無關新聞事件</v>
      </c>
      <c r="U880" s="20" t="n">
        <f aca="false">IF(R880="維持",K880,IF(R880="排除",0,IFERROR(INDEX(事件規則!$C$2:$C$53,MATCH(S880,事件規則!$A$2:$A$53,0)),"")))</f>
        <v>0</v>
      </c>
      <c r="V880" s="21"/>
      <c r="W880" s="22"/>
      <c r="X880" s="10" t="str">
        <f aca="false">IF(AND(R880="修改",S880=""),"請選新事件代碼",IF(AND(R880&lt;&gt;"修改",S880&lt;&gt;""),"只有「修改」才需填代碼",""))</f>
        <v/>
      </c>
      <c r="Y880" s="21"/>
      <c r="Z880" s="22"/>
      <c r="AA880" s="23" t="s">
        <v>2729</v>
      </c>
      <c r="AB880" s="13"/>
    </row>
    <row r="881" customFormat="false" ht="44" hidden="false" customHeight="false" outlineLevel="0" collapsed="false">
      <c r="A881" s="16" t="n">
        <v>880</v>
      </c>
      <c r="B881" s="9" t="s">
        <v>65</v>
      </c>
      <c r="C881" s="9" t="s">
        <v>108</v>
      </c>
      <c r="D881" s="10" t="s">
        <v>109</v>
      </c>
      <c r="E881" s="24" t="s">
        <v>2730</v>
      </c>
      <c r="F881" s="12"/>
      <c r="G881" s="23" t="s">
        <v>224</v>
      </c>
      <c r="H881" s="14" t="n">
        <v>-0.583</v>
      </c>
      <c r="I881" s="15"/>
      <c r="J881" s="12"/>
      <c r="K881" s="9"/>
      <c r="L881" s="16" t="s">
        <v>51</v>
      </c>
      <c r="M881" s="17" t="s">
        <v>79</v>
      </c>
      <c r="N881" s="15"/>
      <c r="O881" s="16" t="s">
        <v>54</v>
      </c>
      <c r="P881" s="12" t="s">
        <v>2267</v>
      </c>
      <c r="Q881" s="16"/>
      <c r="R881" s="18" t="s">
        <v>79</v>
      </c>
      <c r="S881" s="19"/>
      <c r="T881" s="12" t="str">
        <f aca="false">IF(R881="維持",J881,IF(R881="排除","無關新聞事件",IFERROR(INDEX(事件規則!$B$2:$B$53,MATCH(S881,事件規則!$A$2:$A$53,0)),"")))</f>
        <v>無關新聞事件</v>
      </c>
      <c r="U881" s="20" t="n">
        <f aca="false">IF(R881="維持",K881,IF(R881="排除",0,IFERROR(INDEX(事件規則!$C$2:$C$53,MATCH(S881,事件規則!$A$2:$A$53,0)),"")))</f>
        <v>0</v>
      </c>
      <c r="V881" s="21"/>
      <c r="W881" s="22"/>
      <c r="X881" s="10" t="str">
        <f aca="false">IF(AND(R881="修改",S881=""),"請選新事件代碼",IF(AND(R881&lt;&gt;"修改",S881&lt;&gt;""),"只有「修改」才需填代碼",""))</f>
        <v/>
      </c>
      <c r="Y881" s="21"/>
      <c r="Z881" s="22"/>
      <c r="AA881" s="23" t="s">
        <v>2731</v>
      </c>
      <c r="AB881" s="13"/>
    </row>
    <row r="882" customFormat="false" ht="44" hidden="false" customHeight="false" outlineLevel="0" collapsed="false">
      <c r="A882" s="16" t="n">
        <v>881</v>
      </c>
      <c r="B882" s="9" t="s">
        <v>65</v>
      </c>
      <c r="C882" s="9" t="s">
        <v>1796</v>
      </c>
      <c r="D882" s="10" t="s">
        <v>1797</v>
      </c>
      <c r="E882" s="24" t="s">
        <v>2732</v>
      </c>
      <c r="F882" s="12"/>
      <c r="G882" s="23" t="s">
        <v>335</v>
      </c>
      <c r="H882" s="14" t="n">
        <v>-0.582</v>
      </c>
      <c r="I882" s="15"/>
      <c r="J882" s="12"/>
      <c r="K882" s="9"/>
      <c r="L882" s="16" t="s">
        <v>51</v>
      </c>
      <c r="M882" s="17" t="s">
        <v>79</v>
      </c>
      <c r="N882" s="15"/>
      <c r="O882" s="16" t="s">
        <v>54</v>
      </c>
      <c r="P882" s="12" t="s">
        <v>2267</v>
      </c>
      <c r="Q882" s="16"/>
      <c r="R882" s="18" t="s">
        <v>79</v>
      </c>
      <c r="S882" s="19"/>
      <c r="T882" s="12" t="str">
        <f aca="false">IF(R882="維持",J882,IF(R882="排除","無關新聞事件",IFERROR(INDEX(事件規則!$B$2:$B$53,MATCH(S882,事件規則!$A$2:$A$53,0)),"")))</f>
        <v>無關新聞事件</v>
      </c>
      <c r="U882" s="20" t="n">
        <f aca="false">IF(R882="維持",K882,IF(R882="排除",0,IFERROR(INDEX(事件規則!$C$2:$C$53,MATCH(S882,事件規則!$A$2:$A$53,0)),"")))</f>
        <v>0</v>
      </c>
      <c r="V882" s="21"/>
      <c r="W882" s="22"/>
      <c r="X882" s="10" t="str">
        <f aca="false">IF(AND(R882="修改",S882=""),"請選新事件代碼",IF(AND(R882&lt;&gt;"修改",S882&lt;&gt;""),"只有「修改」才需填代碼",""))</f>
        <v/>
      </c>
      <c r="Y882" s="21"/>
      <c r="Z882" s="22"/>
      <c r="AA882" s="23" t="s">
        <v>2733</v>
      </c>
      <c r="AB882" s="13"/>
    </row>
    <row r="883" customFormat="false" ht="44" hidden="false" customHeight="false" outlineLevel="0" collapsed="false">
      <c r="A883" s="16" t="n">
        <v>882</v>
      </c>
      <c r="B883" s="9" t="s">
        <v>331</v>
      </c>
      <c r="C883" s="9" t="s">
        <v>524</v>
      </c>
      <c r="D883" s="10" t="s">
        <v>525</v>
      </c>
      <c r="E883" s="24" t="s">
        <v>2734</v>
      </c>
      <c r="F883" s="12"/>
      <c r="G883" s="23" t="s">
        <v>477</v>
      </c>
      <c r="H883" s="14" t="n">
        <v>-0.581</v>
      </c>
      <c r="I883" s="15"/>
      <c r="J883" s="12"/>
      <c r="K883" s="9"/>
      <c r="L883" s="16" t="s">
        <v>51</v>
      </c>
      <c r="M883" s="17" t="s">
        <v>79</v>
      </c>
      <c r="N883" s="15"/>
      <c r="O883" s="16" t="s">
        <v>54</v>
      </c>
      <c r="P883" s="12" t="s">
        <v>2267</v>
      </c>
      <c r="Q883" s="16"/>
      <c r="R883" s="18" t="s">
        <v>79</v>
      </c>
      <c r="S883" s="19"/>
      <c r="T883" s="12" t="str">
        <f aca="false">IF(R883="維持",J883,IF(R883="排除","無關新聞事件",IFERROR(INDEX(事件規則!$B$2:$B$53,MATCH(S883,事件規則!$A$2:$A$53,0)),"")))</f>
        <v>無關新聞事件</v>
      </c>
      <c r="U883" s="20" t="n">
        <f aca="false">IF(R883="維持",K883,IF(R883="排除",0,IFERROR(INDEX(事件規則!$C$2:$C$53,MATCH(S883,事件規則!$A$2:$A$53,0)),"")))</f>
        <v>0</v>
      </c>
      <c r="V883" s="21"/>
      <c r="W883" s="22"/>
      <c r="X883" s="10" t="str">
        <f aca="false">IF(AND(R883="修改",S883=""),"請選新事件代碼",IF(AND(R883&lt;&gt;"修改",S883&lt;&gt;""),"只有「修改」才需填代碼",""))</f>
        <v/>
      </c>
      <c r="Y883" s="21"/>
      <c r="Z883" s="22"/>
      <c r="AA883" s="23" t="s">
        <v>2735</v>
      </c>
      <c r="AB883" s="13"/>
    </row>
    <row r="884" customFormat="false" ht="44" hidden="false" customHeight="false" outlineLevel="0" collapsed="false">
      <c r="A884" s="16" t="n">
        <v>883</v>
      </c>
      <c r="B884" s="9" t="s">
        <v>65</v>
      </c>
      <c r="C884" s="9" t="s">
        <v>645</v>
      </c>
      <c r="D884" s="10" t="s">
        <v>646</v>
      </c>
      <c r="E884" s="24" t="s">
        <v>2736</v>
      </c>
      <c r="F884" s="12"/>
      <c r="G884" s="23" t="s">
        <v>2737</v>
      </c>
      <c r="H884" s="14" t="n">
        <v>-0.581</v>
      </c>
      <c r="I884" s="15"/>
      <c r="J884" s="12"/>
      <c r="K884" s="9"/>
      <c r="L884" s="16" t="s">
        <v>51</v>
      </c>
      <c r="M884" s="17" t="s">
        <v>79</v>
      </c>
      <c r="N884" s="15"/>
      <c r="O884" s="16" t="s">
        <v>54</v>
      </c>
      <c r="P884" s="12" t="s">
        <v>2267</v>
      </c>
      <c r="Q884" s="16"/>
      <c r="R884" s="18" t="s">
        <v>79</v>
      </c>
      <c r="S884" s="19"/>
      <c r="T884" s="12" t="str">
        <f aca="false">IF(R884="維持",J884,IF(R884="排除","無關新聞事件",IFERROR(INDEX(事件規則!$B$2:$B$53,MATCH(S884,事件規則!$A$2:$A$53,0)),"")))</f>
        <v>無關新聞事件</v>
      </c>
      <c r="U884" s="20" t="n">
        <f aca="false">IF(R884="維持",K884,IF(R884="排除",0,IFERROR(INDEX(事件規則!$C$2:$C$53,MATCH(S884,事件規則!$A$2:$A$53,0)),"")))</f>
        <v>0</v>
      </c>
      <c r="V884" s="21"/>
      <c r="W884" s="22"/>
      <c r="X884" s="10" t="str">
        <f aca="false">IF(AND(R884="修改",S884=""),"請選新事件代碼",IF(AND(R884&lt;&gt;"修改",S884&lt;&gt;""),"只有「修改」才需填代碼",""))</f>
        <v/>
      </c>
      <c r="Y884" s="21"/>
      <c r="Z884" s="22"/>
      <c r="AA884" s="23" t="s">
        <v>2738</v>
      </c>
      <c r="AB884" s="13"/>
    </row>
    <row r="885" customFormat="false" ht="44" hidden="false" customHeight="false" outlineLevel="0" collapsed="false">
      <c r="A885" s="16" t="n">
        <v>884</v>
      </c>
      <c r="B885" s="9" t="s">
        <v>386</v>
      </c>
      <c r="C885" s="9" t="s">
        <v>99</v>
      </c>
      <c r="D885" s="10" t="s">
        <v>100</v>
      </c>
      <c r="E885" s="24" t="s">
        <v>2739</v>
      </c>
      <c r="F885" s="12"/>
      <c r="G885" s="23" t="s">
        <v>1686</v>
      </c>
      <c r="H885" s="14" t="n">
        <v>-0.581</v>
      </c>
      <c r="I885" s="15"/>
      <c r="J885" s="12"/>
      <c r="K885" s="9"/>
      <c r="L885" s="16" t="s">
        <v>51</v>
      </c>
      <c r="M885" s="17" t="s">
        <v>79</v>
      </c>
      <c r="N885" s="15"/>
      <c r="O885" s="16" t="s">
        <v>54</v>
      </c>
      <c r="P885" s="12" t="s">
        <v>2267</v>
      </c>
      <c r="Q885" s="16"/>
      <c r="R885" s="18" t="s">
        <v>79</v>
      </c>
      <c r="S885" s="19"/>
      <c r="T885" s="12" t="str">
        <f aca="false">IF(R885="維持",J885,IF(R885="排除","無關新聞事件",IFERROR(INDEX(事件規則!$B$2:$B$53,MATCH(S885,事件規則!$A$2:$A$53,0)),"")))</f>
        <v>無關新聞事件</v>
      </c>
      <c r="U885" s="20" t="n">
        <f aca="false">IF(R885="維持",K885,IF(R885="排除",0,IFERROR(INDEX(事件規則!$C$2:$C$53,MATCH(S885,事件規則!$A$2:$A$53,0)),"")))</f>
        <v>0</v>
      </c>
      <c r="V885" s="21"/>
      <c r="W885" s="22"/>
      <c r="X885" s="10" t="str">
        <f aca="false">IF(AND(R885="修改",S885=""),"請選新事件代碼",IF(AND(R885&lt;&gt;"修改",S885&lt;&gt;""),"只有「修改」才需填代碼",""))</f>
        <v/>
      </c>
      <c r="Y885" s="21"/>
      <c r="Z885" s="22"/>
      <c r="AA885" s="23" t="s">
        <v>2740</v>
      </c>
      <c r="AB885" s="13"/>
    </row>
    <row r="886" customFormat="false" ht="44" hidden="false" customHeight="false" outlineLevel="0" collapsed="false">
      <c r="A886" s="16" t="n">
        <v>885</v>
      </c>
      <c r="B886" s="9" t="s">
        <v>386</v>
      </c>
      <c r="C886" s="9" t="s">
        <v>142</v>
      </c>
      <c r="D886" s="10" t="s">
        <v>143</v>
      </c>
      <c r="E886" s="24" t="s">
        <v>2741</v>
      </c>
      <c r="F886" s="12"/>
      <c r="G886" s="23" t="s">
        <v>2742</v>
      </c>
      <c r="H886" s="14" t="n">
        <v>-0.579</v>
      </c>
      <c r="I886" s="15"/>
      <c r="J886" s="12"/>
      <c r="K886" s="9"/>
      <c r="L886" s="16" t="s">
        <v>51</v>
      </c>
      <c r="M886" s="17" t="s">
        <v>79</v>
      </c>
      <c r="N886" s="15"/>
      <c r="O886" s="16" t="s">
        <v>54</v>
      </c>
      <c r="P886" s="12" t="s">
        <v>2267</v>
      </c>
      <c r="Q886" s="16"/>
      <c r="R886" s="18" t="s">
        <v>79</v>
      </c>
      <c r="S886" s="19"/>
      <c r="T886" s="12" t="str">
        <f aca="false">IF(R886="維持",J886,IF(R886="排除","無關新聞事件",IFERROR(INDEX(事件規則!$B$2:$B$53,MATCH(S886,事件規則!$A$2:$A$53,0)),"")))</f>
        <v>無關新聞事件</v>
      </c>
      <c r="U886" s="20" t="n">
        <f aca="false">IF(R886="維持",K886,IF(R886="排除",0,IFERROR(INDEX(事件規則!$C$2:$C$53,MATCH(S886,事件規則!$A$2:$A$53,0)),"")))</f>
        <v>0</v>
      </c>
      <c r="V886" s="21"/>
      <c r="W886" s="22"/>
      <c r="X886" s="10" t="str">
        <f aca="false">IF(AND(R886="修改",S886=""),"請選新事件代碼",IF(AND(R886&lt;&gt;"修改",S886&lt;&gt;""),"只有「修改」才需填代碼",""))</f>
        <v/>
      </c>
      <c r="Y886" s="21"/>
      <c r="Z886" s="22"/>
      <c r="AA886" s="23" t="s">
        <v>2743</v>
      </c>
      <c r="AB886" s="13"/>
    </row>
    <row r="887" customFormat="false" ht="44" hidden="false" customHeight="false" outlineLevel="0" collapsed="false">
      <c r="A887" s="16" t="n">
        <v>886</v>
      </c>
      <c r="B887" s="9" t="s">
        <v>65</v>
      </c>
      <c r="C887" s="9" t="s">
        <v>564</v>
      </c>
      <c r="D887" s="10" t="s">
        <v>565</v>
      </c>
      <c r="E887" s="24" t="s">
        <v>2744</v>
      </c>
      <c r="F887" s="12"/>
      <c r="G887" s="23" t="s">
        <v>999</v>
      </c>
      <c r="H887" s="14" t="n">
        <v>-0.579</v>
      </c>
      <c r="I887" s="15"/>
      <c r="J887" s="12"/>
      <c r="K887" s="9"/>
      <c r="L887" s="16" t="s">
        <v>51</v>
      </c>
      <c r="M887" s="17" t="s">
        <v>79</v>
      </c>
      <c r="N887" s="15"/>
      <c r="O887" s="16" t="s">
        <v>54</v>
      </c>
      <c r="P887" s="12" t="s">
        <v>2267</v>
      </c>
      <c r="Q887" s="16"/>
      <c r="R887" s="18" t="s">
        <v>79</v>
      </c>
      <c r="S887" s="19"/>
      <c r="T887" s="12" t="str">
        <f aca="false">IF(R887="維持",J887,IF(R887="排除","無關新聞事件",IFERROR(INDEX(事件規則!$B$2:$B$53,MATCH(S887,事件規則!$A$2:$A$53,0)),"")))</f>
        <v>無關新聞事件</v>
      </c>
      <c r="U887" s="20" t="n">
        <f aca="false">IF(R887="維持",K887,IF(R887="排除",0,IFERROR(INDEX(事件規則!$C$2:$C$53,MATCH(S887,事件規則!$A$2:$A$53,0)),"")))</f>
        <v>0</v>
      </c>
      <c r="V887" s="21"/>
      <c r="W887" s="22"/>
      <c r="X887" s="10" t="str">
        <f aca="false">IF(AND(R887="修改",S887=""),"請選新事件代碼",IF(AND(R887&lt;&gt;"修改",S887&lt;&gt;""),"只有「修改」才需填代碼",""))</f>
        <v/>
      </c>
      <c r="Y887" s="21"/>
      <c r="Z887" s="22"/>
      <c r="AA887" s="23" t="s">
        <v>2745</v>
      </c>
      <c r="AB887" s="13"/>
    </row>
    <row r="888" customFormat="false" ht="15" hidden="false" customHeight="false" outlineLevel="0" collapsed="false">
      <c r="A888" s="16" t="n">
        <v>887</v>
      </c>
      <c r="B888" s="9" t="s">
        <v>45</v>
      </c>
      <c r="C888" s="9" t="s">
        <v>2746</v>
      </c>
      <c r="D888" s="10" t="s">
        <v>2747</v>
      </c>
      <c r="E888" s="24" t="s">
        <v>2748</v>
      </c>
      <c r="F888" s="12"/>
      <c r="G888" s="23" t="s">
        <v>745</v>
      </c>
      <c r="H888" s="14" t="n">
        <v>-0.573</v>
      </c>
      <c r="I888" s="15"/>
      <c r="J888" s="12"/>
      <c r="K888" s="9"/>
      <c r="L888" s="16" t="s">
        <v>51</v>
      </c>
      <c r="M888" s="17" t="s">
        <v>52</v>
      </c>
      <c r="N888" s="15" t="s">
        <v>736</v>
      </c>
      <c r="O888" s="16" t="s">
        <v>54</v>
      </c>
      <c r="P888" s="10" t="s">
        <v>2749</v>
      </c>
      <c r="Q888" s="16"/>
      <c r="R888" s="18" t="s">
        <v>52</v>
      </c>
      <c r="S888" s="19" t="s">
        <v>736</v>
      </c>
      <c r="T888" s="12" t="str">
        <f aca="false">IF(R888="維持",J888,IF(R888="排除","無關新聞事件",IFERROR(INDEX(事件規則!$B$2:$B$53,MATCH(S888,事件規則!$A$2:$A$53,0)),"")))</f>
        <v>重大訴訟</v>
      </c>
      <c r="U888" s="20" t="n">
        <f aca="false">IF(R888="維持",K888,IF(R888="排除",0,IFERROR(INDEX(事件規則!$C$2:$C$53,MATCH(S888,事件規則!$A$2:$A$53,0)),"")))</f>
        <v>4</v>
      </c>
      <c r="V888" s="21"/>
      <c r="W888" s="22"/>
      <c r="X888" s="10" t="str">
        <f aca="false">IF(AND(R888="修改",S888=""),"請選新事件代碼",IF(AND(R888&lt;&gt;"修改",S888&lt;&gt;""),"只有「修改」才需填代碼",""))</f>
        <v/>
      </c>
      <c r="Y888" s="21"/>
      <c r="Z888" s="22"/>
      <c r="AA888" s="23" t="s">
        <v>2750</v>
      </c>
      <c r="AB888" s="13"/>
    </row>
    <row r="889" customFormat="false" ht="44" hidden="false" customHeight="false" outlineLevel="0" collapsed="false">
      <c r="A889" s="16" t="n">
        <v>888</v>
      </c>
      <c r="B889" s="9" t="s">
        <v>331</v>
      </c>
      <c r="C889" s="9" t="s">
        <v>988</v>
      </c>
      <c r="D889" s="10" t="s">
        <v>989</v>
      </c>
      <c r="E889" s="24" t="s">
        <v>2751</v>
      </c>
      <c r="F889" s="12"/>
      <c r="G889" s="23" t="s">
        <v>2752</v>
      </c>
      <c r="H889" s="14" t="n">
        <v>-0.572</v>
      </c>
      <c r="I889" s="15"/>
      <c r="J889" s="12"/>
      <c r="K889" s="9"/>
      <c r="L889" s="16" t="s">
        <v>51</v>
      </c>
      <c r="M889" s="17" t="s">
        <v>79</v>
      </c>
      <c r="N889" s="15"/>
      <c r="O889" s="16" t="s">
        <v>54</v>
      </c>
      <c r="P889" s="12" t="s">
        <v>2267</v>
      </c>
      <c r="Q889" s="16"/>
      <c r="R889" s="18" t="s">
        <v>79</v>
      </c>
      <c r="S889" s="19"/>
      <c r="T889" s="12" t="str">
        <f aca="false">IF(R889="維持",J889,IF(R889="排除","無關新聞事件",IFERROR(INDEX(事件規則!$B$2:$B$53,MATCH(S889,事件規則!$A$2:$A$53,0)),"")))</f>
        <v>無關新聞事件</v>
      </c>
      <c r="U889" s="20" t="n">
        <f aca="false">IF(R889="維持",K889,IF(R889="排除",0,IFERROR(INDEX(事件規則!$C$2:$C$53,MATCH(S889,事件規則!$A$2:$A$53,0)),"")))</f>
        <v>0</v>
      </c>
      <c r="V889" s="21"/>
      <c r="W889" s="22"/>
      <c r="X889" s="10" t="str">
        <f aca="false">IF(AND(R889="修改",S889=""),"請選新事件代碼",IF(AND(R889&lt;&gt;"修改",S889&lt;&gt;""),"只有「修改」才需填代碼",""))</f>
        <v/>
      </c>
      <c r="Y889" s="21"/>
      <c r="Z889" s="22"/>
      <c r="AA889" s="23" t="s">
        <v>2753</v>
      </c>
      <c r="AB889" s="13"/>
    </row>
    <row r="890" customFormat="false" ht="44" hidden="false" customHeight="false" outlineLevel="0" collapsed="false">
      <c r="A890" s="16" t="n">
        <v>889</v>
      </c>
      <c r="B890" s="9" t="s">
        <v>65</v>
      </c>
      <c r="C890" s="9" t="s">
        <v>341</v>
      </c>
      <c r="D890" s="10" t="s">
        <v>342</v>
      </c>
      <c r="E890" s="24" t="s">
        <v>2754</v>
      </c>
      <c r="F890" s="12"/>
      <c r="G890" s="23" t="s">
        <v>2755</v>
      </c>
      <c r="H890" s="14" t="n">
        <v>-0.57</v>
      </c>
      <c r="I890" s="15"/>
      <c r="J890" s="12"/>
      <c r="K890" s="9"/>
      <c r="L890" s="16" t="s">
        <v>51</v>
      </c>
      <c r="M890" s="17" t="s">
        <v>79</v>
      </c>
      <c r="N890" s="15"/>
      <c r="O890" s="16" t="s">
        <v>54</v>
      </c>
      <c r="P890" s="12" t="s">
        <v>2267</v>
      </c>
      <c r="Q890" s="16"/>
      <c r="R890" s="18" t="s">
        <v>79</v>
      </c>
      <c r="S890" s="19"/>
      <c r="T890" s="12" t="str">
        <f aca="false">IF(R890="維持",J890,IF(R890="排除","無關新聞事件",IFERROR(INDEX(事件規則!$B$2:$B$53,MATCH(S890,事件規則!$A$2:$A$53,0)),"")))</f>
        <v>無關新聞事件</v>
      </c>
      <c r="U890" s="20" t="n">
        <f aca="false">IF(R890="維持",K890,IF(R890="排除",0,IFERROR(INDEX(事件規則!$C$2:$C$53,MATCH(S890,事件規則!$A$2:$A$53,0)),"")))</f>
        <v>0</v>
      </c>
      <c r="V890" s="21"/>
      <c r="W890" s="22"/>
      <c r="X890" s="10" t="str">
        <f aca="false">IF(AND(R890="修改",S890=""),"請選新事件代碼",IF(AND(R890&lt;&gt;"修改",S890&lt;&gt;""),"只有「修改」才需填代碼",""))</f>
        <v/>
      </c>
      <c r="Y890" s="21"/>
      <c r="Z890" s="22"/>
      <c r="AA890" s="23" t="s">
        <v>2756</v>
      </c>
      <c r="AB890" s="13"/>
    </row>
    <row r="891" customFormat="false" ht="44" hidden="false" customHeight="false" outlineLevel="0" collapsed="false">
      <c r="A891" s="16" t="n">
        <v>890</v>
      </c>
      <c r="B891" s="9" t="s">
        <v>331</v>
      </c>
      <c r="C891" s="9" t="s">
        <v>142</v>
      </c>
      <c r="D891" s="10" t="s">
        <v>143</v>
      </c>
      <c r="E891" s="24" t="s">
        <v>2757</v>
      </c>
      <c r="F891" s="12"/>
      <c r="G891" s="23" t="s">
        <v>2758</v>
      </c>
      <c r="H891" s="14" t="n">
        <v>-0.57</v>
      </c>
      <c r="I891" s="15"/>
      <c r="J891" s="12"/>
      <c r="K891" s="9"/>
      <c r="L891" s="16" t="s">
        <v>51</v>
      </c>
      <c r="M891" s="17" t="s">
        <v>79</v>
      </c>
      <c r="N891" s="15"/>
      <c r="O891" s="16" t="s">
        <v>54</v>
      </c>
      <c r="P891" s="12" t="s">
        <v>2267</v>
      </c>
      <c r="Q891" s="16"/>
      <c r="R891" s="18" t="s">
        <v>79</v>
      </c>
      <c r="S891" s="19"/>
      <c r="T891" s="12" t="str">
        <f aca="false">IF(R891="維持",J891,IF(R891="排除","無關新聞事件",IFERROR(INDEX(事件規則!$B$2:$B$53,MATCH(S891,事件規則!$A$2:$A$53,0)),"")))</f>
        <v>無關新聞事件</v>
      </c>
      <c r="U891" s="20" t="n">
        <f aca="false">IF(R891="維持",K891,IF(R891="排除",0,IFERROR(INDEX(事件規則!$C$2:$C$53,MATCH(S891,事件規則!$A$2:$A$53,0)),"")))</f>
        <v>0</v>
      </c>
      <c r="V891" s="21"/>
      <c r="W891" s="22"/>
      <c r="X891" s="10" t="str">
        <f aca="false">IF(AND(R891="修改",S891=""),"請選新事件代碼",IF(AND(R891&lt;&gt;"修改",S891&lt;&gt;""),"只有「修改」才需填代碼",""))</f>
        <v/>
      </c>
      <c r="Y891" s="21"/>
      <c r="Z891" s="22"/>
      <c r="AA891" s="23" t="s">
        <v>2759</v>
      </c>
      <c r="AB891" s="13"/>
    </row>
    <row r="892" customFormat="false" ht="44" hidden="false" customHeight="false" outlineLevel="0" collapsed="false">
      <c r="A892" s="16" t="n">
        <v>891</v>
      </c>
      <c r="B892" s="9" t="s">
        <v>65</v>
      </c>
      <c r="C892" s="9" t="s">
        <v>2760</v>
      </c>
      <c r="D892" s="10" t="s">
        <v>2761</v>
      </c>
      <c r="E892" s="24" t="s">
        <v>2762</v>
      </c>
      <c r="F892" s="12"/>
      <c r="G892" s="23" t="s">
        <v>899</v>
      </c>
      <c r="H892" s="14" t="n">
        <v>-0.57</v>
      </c>
      <c r="I892" s="15"/>
      <c r="J892" s="12"/>
      <c r="K892" s="9"/>
      <c r="L892" s="16" t="s">
        <v>51</v>
      </c>
      <c r="M892" s="17" t="s">
        <v>79</v>
      </c>
      <c r="N892" s="15"/>
      <c r="O892" s="16" t="s">
        <v>54</v>
      </c>
      <c r="P892" s="12" t="s">
        <v>2267</v>
      </c>
      <c r="Q892" s="16"/>
      <c r="R892" s="18" t="s">
        <v>79</v>
      </c>
      <c r="S892" s="19"/>
      <c r="T892" s="12" t="str">
        <f aca="false">IF(R892="維持",J892,IF(R892="排除","無關新聞事件",IFERROR(INDEX(事件規則!$B$2:$B$53,MATCH(S892,事件規則!$A$2:$A$53,0)),"")))</f>
        <v>無關新聞事件</v>
      </c>
      <c r="U892" s="20" t="n">
        <f aca="false">IF(R892="維持",K892,IF(R892="排除",0,IFERROR(INDEX(事件規則!$C$2:$C$53,MATCH(S892,事件規則!$A$2:$A$53,0)),"")))</f>
        <v>0</v>
      </c>
      <c r="V892" s="21"/>
      <c r="W892" s="22"/>
      <c r="X892" s="10" t="str">
        <f aca="false">IF(AND(R892="修改",S892=""),"請選新事件代碼",IF(AND(R892&lt;&gt;"修改",S892&lt;&gt;""),"只有「修改」才需填代碼",""))</f>
        <v/>
      </c>
      <c r="Y892" s="21"/>
      <c r="Z892" s="22"/>
      <c r="AA892" s="23" t="s">
        <v>2763</v>
      </c>
      <c r="AB892" s="13"/>
    </row>
    <row r="893" customFormat="false" ht="44" hidden="false" customHeight="false" outlineLevel="0" collapsed="false">
      <c r="A893" s="16" t="n">
        <v>892</v>
      </c>
      <c r="B893" s="9" t="s">
        <v>331</v>
      </c>
      <c r="C893" s="9" t="s">
        <v>1654</v>
      </c>
      <c r="D893" s="10" t="s">
        <v>1655</v>
      </c>
      <c r="E893" s="24" t="s">
        <v>2764</v>
      </c>
      <c r="F893" s="12"/>
      <c r="G893" s="23" t="s">
        <v>224</v>
      </c>
      <c r="H893" s="14" t="n">
        <v>-0.566</v>
      </c>
      <c r="I893" s="15"/>
      <c r="J893" s="12"/>
      <c r="K893" s="9"/>
      <c r="L893" s="16" t="s">
        <v>51</v>
      </c>
      <c r="M893" s="17" t="s">
        <v>79</v>
      </c>
      <c r="N893" s="15"/>
      <c r="O893" s="16" t="s">
        <v>54</v>
      </c>
      <c r="P893" s="12" t="s">
        <v>2267</v>
      </c>
      <c r="Q893" s="16"/>
      <c r="R893" s="18" t="s">
        <v>79</v>
      </c>
      <c r="S893" s="19"/>
      <c r="T893" s="12" t="str">
        <f aca="false">IF(R893="維持",J893,IF(R893="排除","無關新聞事件",IFERROR(INDEX(事件規則!$B$2:$B$53,MATCH(S893,事件規則!$A$2:$A$53,0)),"")))</f>
        <v>無關新聞事件</v>
      </c>
      <c r="U893" s="20" t="n">
        <f aca="false">IF(R893="維持",K893,IF(R893="排除",0,IFERROR(INDEX(事件規則!$C$2:$C$53,MATCH(S893,事件規則!$A$2:$A$53,0)),"")))</f>
        <v>0</v>
      </c>
      <c r="V893" s="21"/>
      <c r="W893" s="22"/>
      <c r="X893" s="10" t="str">
        <f aca="false">IF(AND(R893="修改",S893=""),"請選新事件代碼",IF(AND(R893&lt;&gt;"修改",S893&lt;&gt;""),"只有「修改」才需填代碼",""))</f>
        <v/>
      </c>
      <c r="Y893" s="21"/>
      <c r="Z893" s="22"/>
      <c r="AA893" s="23" t="s">
        <v>2765</v>
      </c>
      <c r="AB893" s="13"/>
    </row>
    <row r="894" customFormat="false" ht="44" hidden="false" customHeight="false" outlineLevel="0" collapsed="false">
      <c r="A894" s="16" t="n">
        <v>893</v>
      </c>
      <c r="B894" s="9" t="s">
        <v>65</v>
      </c>
      <c r="C894" s="9" t="s">
        <v>1367</v>
      </c>
      <c r="D894" s="10" t="s">
        <v>1368</v>
      </c>
      <c r="E894" s="24" t="s">
        <v>2766</v>
      </c>
      <c r="F894" s="12"/>
      <c r="G894" s="23" t="s">
        <v>120</v>
      </c>
      <c r="H894" s="14" t="n">
        <v>-0.565</v>
      </c>
      <c r="I894" s="15"/>
      <c r="J894" s="12"/>
      <c r="K894" s="9"/>
      <c r="L894" s="16" t="s">
        <v>51</v>
      </c>
      <c r="M894" s="17" t="s">
        <v>79</v>
      </c>
      <c r="N894" s="15"/>
      <c r="O894" s="16" t="s">
        <v>54</v>
      </c>
      <c r="P894" s="12" t="s">
        <v>2267</v>
      </c>
      <c r="Q894" s="16"/>
      <c r="R894" s="18" t="s">
        <v>79</v>
      </c>
      <c r="S894" s="19"/>
      <c r="T894" s="12" t="str">
        <f aca="false">IF(R894="維持",J894,IF(R894="排除","無關新聞事件",IFERROR(INDEX(事件規則!$B$2:$B$53,MATCH(S894,事件規則!$A$2:$A$53,0)),"")))</f>
        <v>無關新聞事件</v>
      </c>
      <c r="U894" s="20" t="n">
        <f aca="false">IF(R894="維持",K894,IF(R894="排除",0,IFERROR(INDEX(事件規則!$C$2:$C$53,MATCH(S894,事件規則!$A$2:$A$53,0)),"")))</f>
        <v>0</v>
      </c>
      <c r="V894" s="21"/>
      <c r="W894" s="22"/>
      <c r="X894" s="10" t="str">
        <f aca="false">IF(AND(R894="修改",S894=""),"請選新事件代碼",IF(AND(R894&lt;&gt;"修改",S894&lt;&gt;""),"只有「修改」才需填代碼",""))</f>
        <v/>
      </c>
      <c r="Y894" s="21"/>
      <c r="Z894" s="22"/>
      <c r="AA894" s="23" t="s">
        <v>2767</v>
      </c>
      <c r="AB894" s="13"/>
    </row>
    <row r="895" customFormat="false" ht="44" hidden="false" customHeight="false" outlineLevel="0" collapsed="false">
      <c r="A895" s="16" t="n">
        <v>894</v>
      </c>
      <c r="B895" s="9" t="s">
        <v>45</v>
      </c>
      <c r="C895" s="9" t="s">
        <v>988</v>
      </c>
      <c r="D895" s="10" t="s">
        <v>989</v>
      </c>
      <c r="E895" s="24" t="s">
        <v>2768</v>
      </c>
      <c r="F895" s="12"/>
      <c r="G895" s="23" t="s">
        <v>2769</v>
      </c>
      <c r="H895" s="14" t="n">
        <v>-0.562</v>
      </c>
      <c r="I895" s="15"/>
      <c r="J895" s="12"/>
      <c r="K895" s="9"/>
      <c r="L895" s="16" t="s">
        <v>51</v>
      </c>
      <c r="M895" s="17" t="s">
        <v>79</v>
      </c>
      <c r="N895" s="15"/>
      <c r="O895" s="16" t="s">
        <v>54</v>
      </c>
      <c r="P895" s="12" t="s">
        <v>2267</v>
      </c>
      <c r="Q895" s="16"/>
      <c r="R895" s="18" t="s">
        <v>79</v>
      </c>
      <c r="S895" s="19"/>
      <c r="T895" s="12" t="str">
        <f aca="false">IF(R895="維持",J895,IF(R895="排除","無關新聞事件",IFERROR(INDEX(事件規則!$B$2:$B$53,MATCH(S895,事件規則!$A$2:$A$53,0)),"")))</f>
        <v>無關新聞事件</v>
      </c>
      <c r="U895" s="20" t="n">
        <f aca="false">IF(R895="維持",K895,IF(R895="排除",0,IFERROR(INDEX(事件規則!$C$2:$C$53,MATCH(S895,事件規則!$A$2:$A$53,0)),"")))</f>
        <v>0</v>
      </c>
      <c r="V895" s="21"/>
      <c r="W895" s="22"/>
      <c r="X895" s="10" t="str">
        <f aca="false">IF(AND(R895="修改",S895=""),"請選新事件代碼",IF(AND(R895&lt;&gt;"修改",S895&lt;&gt;""),"只有「修改」才需填代碼",""))</f>
        <v/>
      </c>
      <c r="Y895" s="21"/>
      <c r="Z895" s="22"/>
      <c r="AA895" s="23" t="s">
        <v>2770</v>
      </c>
      <c r="AB895" s="13"/>
    </row>
    <row r="896" customFormat="false" ht="44" hidden="false" customHeight="false" outlineLevel="0" collapsed="false">
      <c r="A896" s="16" t="n">
        <v>895</v>
      </c>
      <c r="B896" s="9" t="s">
        <v>65</v>
      </c>
      <c r="C896" s="9" t="s">
        <v>389</v>
      </c>
      <c r="D896" s="10" t="s">
        <v>390</v>
      </c>
      <c r="E896" s="24" t="s">
        <v>2771</v>
      </c>
      <c r="F896" s="12"/>
      <c r="G896" s="23" t="s">
        <v>501</v>
      </c>
      <c r="H896" s="14" t="n">
        <v>-0.56</v>
      </c>
      <c r="I896" s="15"/>
      <c r="J896" s="12"/>
      <c r="K896" s="9"/>
      <c r="L896" s="16" t="s">
        <v>51</v>
      </c>
      <c r="M896" s="17" t="s">
        <v>79</v>
      </c>
      <c r="N896" s="15"/>
      <c r="O896" s="16" t="s">
        <v>54</v>
      </c>
      <c r="P896" s="12" t="s">
        <v>2267</v>
      </c>
      <c r="Q896" s="16"/>
      <c r="R896" s="18" t="s">
        <v>79</v>
      </c>
      <c r="S896" s="19"/>
      <c r="T896" s="12" t="str">
        <f aca="false">IF(R896="維持",J896,IF(R896="排除","無關新聞事件",IFERROR(INDEX(事件規則!$B$2:$B$53,MATCH(S896,事件規則!$A$2:$A$53,0)),"")))</f>
        <v>無關新聞事件</v>
      </c>
      <c r="U896" s="20" t="n">
        <f aca="false">IF(R896="維持",K896,IF(R896="排除",0,IFERROR(INDEX(事件規則!$C$2:$C$53,MATCH(S896,事件規則!$A$2:$A$53,0)),"")))</f>
        <v>0</v>
      </c>
      <c r="V896" s="21"/>
      <c r="W896" s="22"/>
      <c r="X896" s="10" t="str">
        <f aca="false">IF(AND(R896="修改",S896=""),"請選新事件代碼",IF(AND(R896&lt;&gt;"修改",S896&lt;&gt;""),"只有「修改」才需填代碼",""))</f>
        <v/>
      </c>
      <c r="Y896" s="21"/>
      <c r="Z896" s="22"/>
      <c r="AA896" s="23" t="s">
        <v>2772</v>
      </c>
      <c r="AB896" s="13"/>
    </row>
    <row r="897" customFormat="false" ht="44" hidden="false" customHeight="false" outlineLevel="0" collapsed="false">
      <c r="A897" s="16" t="n">
        <v>896</v>
      </c>
      <c r="B897" s="9" t="s">
        <v>45</v>
      </c>
      <c r="C897" s="9" t="s">
        <v>99</v>
      </c>
      <c r="D897" s="10" t="s">
        <v>100</v>
      </c>
      <c r="E897" s="24" t="s">
        <v>2773</v>
      </c>
      <c r="F897" s="12"/>
      <c r="G897" s="23" t="s">
        <v>2774</v>
      </c>
      <c r="H897" s="14" t="n">
        <v>-0.557</v>
      </c>
      <c r="I897" s="15"/>
      <c r="J897" s="12"/>
      <c r="K897" s="9"/>
      <c r="L897" s="16" t="s">
        <v>51</v>
      </c>
      <c r="M897" s="17" t="s">
        <v>79</v>
      </c>
      <c r="N897" s="15"/>
      <c r="O897" s="16" t="s">
        <v>54</v>
      </c>
      <c r="P897" s="12" t="s">
        <v>2267</v>
      </c>
      <c r="Q897" s="16"/>
      <c r="R897" s="18" t="s">
        <v>79</v>
      </c>
      <c r="S897" s="19"/>
      <c r="T897" s="12" t="str">
        <f aca="false">IF(R897="維持",J897,IF(R897="排除","無關新聞事件",IFERROR(INDEX(事件規則!$B$2:$B$53,MATCH(S897,事件規則!$A$2:$A$53,0)),"")))</f>
        <v>無關新聞事件</v>
      </c>
      <c r="U897" s="20" t="n">
        <f aca="false">IF(R897="維持",K897,IF(R897="排除",0,IFERROR(INDEX(事件規則!$C$2:$C$53,MATCH(S897,事件規則!$A$2:$A$53,0)),"")))</f>
        <v>0</v>
      </c>
      <c r="V897" s="21"/>
      <c r="W897" s="22"/>
      <c r="X897" s="10" t="str">
        <f aca="false">IF(AND(R897="修改",S897=""),"請選新事件代碼",IF(AND(R897&lt;&gt;"修改",S897&lt;&gt;""),"只有「修改」才需填代碼",""))</f>
        <v/>
      </c>
      <c r="Y897" s="21"/>
      <c r="Z897" s="22"/>
      <c r="AA897" s="23" t="s">
        <v>2775</v>
      </c>
      <c r="AB897" s="13"/>
    </row>
    <row r="898" customFormat="false" ht="44" hidden="false" customHeight="false" outlineLevel="0" collapsed="false">
      <c r="A898" s="16" t="n">
        <v>897</v>
      </c>
      <c r="B898" s="9" t="s">
        <v>65</v>
      </c>
      <c r="C898" s="9" t="s">
        <v>1444</v>
      </c>
      <c r="D898" s="10" t="s">
        <v>1445</v>
      </c>
      <c r="E898" s="24" t="s">
        <v>2776</v>
      </c>
      <c r="F898" s="12"/>
      <c r="G898" s="23" t="s">
        <v>575</v>
      </c>
      <c r="H898" s="14" t="n">
        <v>-0.553</v>
      </c>
      <c r="I898" s="15"/>
      <c r="J898" s="12"/>
      <c r="K898" s="9"/>
      <c r="L898" s="16" t="s">
        <v>51</v>
      </c>
      <c r="M898" s="17" t="s">
        <v>79</v>
      </c>
      <c r="N898" s="15"/>
      <c r="O898" s="16" t="s">
        <v>54</v>
      </c>
      <c r="P898" s="12" t="s">
        <v>2267</v>
      </c>
      <c r="Q898" s="16"/>
      <c r="R898" s="18" t="s">
        <v>79</v>
      </c>
      <c r="S898" s="19"/>
      <c r="T898" s="12" t="str">
        <f aca="false">IF(R898="維持",J898,IF(R898="排除","無關新聞事件",IFERROR(INDEX(事件規則!$B$2:$B$53,MATCH(S898,事件規則!$A$2:$A$53,0)),"")))</f>
        <v>無關新聞事件</v>
      </c>
      <c r="U898" s="20" t="n">
        <f aca="false">IF(R898="維持",K898,IF(R898="排除",0,IFERROR(INDEX(事件規則!$C$2:$C$53,MATCH(S898,事件規則!$A$2:$A$53,0)),"")))</f>
        <v>0</v>
      </c>
      <c r="V898" s="21"/>
      <c r="W898" s="22"/>
      <c r="X898" s="10" t="str">
        <f aca="false">IF(AND(R898="修改",S898=""),"請選新事件代碼",IF(AND(R898&lt;&gt;"修改",S898&lt;&gt;""),"只有「修改」才需填代碼",""))</f>
        <v/>
      </c>
      <c r="Y898" s="21"/>
      <c r="Z898" s="22"/>
      <c r="AA898" s="23" t="s">
        <v>2777</v>
      </c>
      <c r="AB898" s="13"/>
    </row>
    <row r="899" customFormat="false" ht="44" hidden="false" customHeight="false" outlineLevel="0" collapsed="false">
      <c r="A899" s="16" t="n">
        <v>898</v>
      </c>
      <c r="B899" s="9" t="s">
        <v>65</v>
      </c>
      <c r="C899" s="9" t="s">
        <v>1575</v>
      </c>
      <c r="D899" s="10" t="s">
        <v>1576</v>
      </c>
      <c r="E899" s="24" t="s">
        <v>2778</v>
      </c>
      <c r="F899" s="12"/>
      <c r="G899" s="23" t="s">
        <v>224</v>
      </c>
      <c r="H899" s="14" t="n">
        <v>-0.551</v>
      </c>
      <c r="I899" s="15"/>
      <c r="J899" s="12"/>
      <c r="K899" s="9"/>
      <c r="L899" s="16" t="s">
        <v>51</v>
      </c>
      <c r="M899" s="17" t="s">
        <v>79</v>
      </c>
      <c r="N899" s="15"/>
      <c r="O899" s="16" t="s">
        <v>54</v>
      </c>
      <c r="P899" s="12" t="s">
        <v>2267</v>
      </c>
      <c r="Q899" s="16"/>
      <c r="R899" s="18" t="s">
        <v>79</v>
      </c>
      <c r="S899" s="19"/>
      <c r="T899" s="12" t="str">
        <f aca="false">IF(R899="維持",J899,IF(R899="排除","無關新聞事件",IFERROR(INDEX(事件規則!$B$2:$B$53,MATCH(S899,事件規則!$A$2:$A$53,0)),"")))</f>
        <v>無關新聞事件</v>
      </c>
      <c r="U899" s="20" t="n">
        <f aca="false">IF(R899="維持",K899,IF(R899="排除",0,IFERROR(INDEX(事件規則!$C$2:$C$53,MATCH(S899,事件規則!$A$2:$A$53,0)),"")))</f>
        <v>0</v>
      </c>
      <c r="V899" s="21"/>
      <c r="W899" s="22"/>
      <c r="X899" s="10" t="str">
        <f aca="false">IF(AND(R899="修改",S899=""),"請選新事件代碼",IF(AND(R899&lt;&gt;"修改",S899&lt;&gt;""),"只有「修改」才需填代碼",""))</f>
        <v/>
      </c>
      <c r="Y899" s="21"/>
      <c r="Z899" s="22"/>
      <c r="AA899" s="23" t="s">
        <v>2779</v>
      </c>
      <c r="AB899" s="13"/>
    </row>
    <row r="900" customFormat="false" ht="44" hidden="false" customHeight="false" outlineLevel="0" collapsed="false">
      <c r="A900" s="16" t="n">
        <v>899</v>
      </c>
      <c r="B900" s="9" t="s">
        <v>386</v>
      </c>
      <c r="C900" s="9" t="s">
        <v>2593</v>
      </c>
      <c r="D900" s="10" t="s">
        <v>2594</v>
      </c>
      <c r="E900" s="24" t="s">
        <v>2780</v>
      </c>
      <c r="F900" s="12"/>
      <c r="G900" s="23" t="s">
        <v>2596</v>
      </c>
      <c r="H900" s="14" t="n">
        <v>-0.551</v>
      </c>
      <c r="I900" s="15"/>
      <c r="J900" s="12"/>
      <c r="K900" s="9"/>
      <c r="L900" s="16" t="s">
        <v>51</v>
      </c>
      <c r="M900" s="17" t="s">
        <v>79</v>
      </c>
      <c r="N900" s="15"/>
      <c r="O900" s="16" t="s">
        <v>54</v>
      </c>
      <c r="P900" s="12" t="s">
        <v>2267</v>
      </c>
      <c r="Q900" s="16"/>
      <c r="R900" s="18" t="s">
        <v>79</v>
      </c>
      <c r="S900" s="19"/>
      <c r="T900" s="12" t="str">
        <f aca="false">IF(R900="維持",J900,IF(R900="排除","無關新聞事件",IFERROR(INDEX(事件規則!$B$2:$B$53,MATCH(S900,事件規則!$A$2:$A$53,0)),"")))</f>
        <v>無關新聞事件</v>
      </c>
      <c r="U900" s="20" t="n">
        <f aca="false">IF(R900="維持",K900,IF(R900="排除",0,IFERROR(INDEX(事件規則!$C$2:$C$53,MATCH(S900,事件規則!$A$2:$A$53,0)),"")))</f>
        <v>0</v>
      </c>
      <c r="V900" s="21"/>
      <c r="W900" s="22"/>
      <c r="X900" s="10" t="str">
        <f aca="false">IF(AND(R900="修改",S900=""),"請選新事件代碼",IF(AND(R900&lt;&gt;"修改",S900&lt;&gt;""),"只有「修改」才需填代碼",""))</f>
        <v/>
      </c>
      <c r="Y900" s="21"/>
      <c r="Z900" s="22"/>
      <c r="AA900" s="23" t="s">
        <v>2781</v>
      </c>
      <c r="AB900" s="13"/>
    </row>
    <row r="901" customFormat="false" ht="44" hidden="false" customHeight="false" outlineLevel="0" collapsed="false">
      <c r="A901" s="16" t="n">
        <v>900</v>
      </c>
      <c r="B901" s="9" t="s">
        <v>65</v>
      </c>
      <c r="C901" s="9" t="s">
        <v>1265</v>
      </c>
      <c r="D901" s="10" t="s">
        <v>1266</v>
      </c>
      <c r="E901" s="24" t="s">
        <v>2782</v>
      </c>
      <c r="F901" s="12"/>
      <c r="G901" s="23" t="s">
        <v>120</v>
      </c>
      <c r="H901" s="14" t="n">
        <v>-0.548</v>
      </c>
      <c r="I901" s="15"/>
      <c r="J901" s="12"/>
      <c r="K901" s="9"/>
      <c r="L901" s="16" t="s">
        <v>51</v>
      </c>
      <c r="M901" s="17" t="s">
        <v>79</v>
      </c>
      <c r="N901" s="15"/>
      <c r="O901" s="16" t="s">
        <v>54</v>
      </c>
      <c r="P901" s="12" t="s">
        <v>2267</v>
      </c>
      <c r="Q901" s="16"/>
      <c r="R901" s="18" t="s">
        <v>79</v>
      </c>
      <c r="S901" s="19"/>
      <c r="T901" s="12" t="str">
        <f aca="false">IF(R901="維持",J901,IF(R901="排除","無關新聞事件",IFERROR(INDEX(事件規則!$B$2:$B$53,MATCH(S901,事件規則!$A$2:$A$53,0)),"")))</f>
        <v>無關新聞事件</v>
      </c>
      <c r="U901" s="20" t="n">
        <f aca="false">IF(R901="維持",K901,IF(R901="排除",0,IFERROR(INDEX(事件規則!$C$2:$C$53,MATCH(S901,事件規則!$A$2:$A$53,0)),"")))</f>
        <v>0</v>
      </c>
      <c r="V901" s="21"/>
      <c r="W901" s="22"/>
      <c r="X901" s="10" t="str">
        <f aca="false">IF(AND(R901="修改",S901=""),"請選新事件代碼",IF(AND(R901&lt;&gt;"修改",S901&lt;&gt;""),"只有「修改」才需填代碼",""))</f>
        <v/>
      </c>
      <c r="Y901" s="21"/>
      <c r="Z901" s="22"/>
      <c r="AA901" s="23" t="s">
        <v>2783</v>
      </c>
      <c r="AB901" s="13"/>
    </row>
    <row r="902" customFormat="false" ht="44" hidden="false" customHeight="false" outlineLevel="0" collapsed="false">
      <c r="A902" s="16" t="n">
        <v>901</v>
      </c>
      <c r="B902" s="9" t="s">
        <v>65</v>
      </c>
      <c r="C902" s="9" t="s">
        <v>564</v>
      </c>
      <c r="D902" s="10" t="s">
        <v>565</v>
      </c>
      <c r="E902" s="24" t="s">
        <v>2784</v>
      </c>
      <c r="F902" s="12"/>
      <c r="G902" s="23" t="s">
        <v>2785</v>
      </c>
      <c r="H902" s="14" t="n">
        <v>-0.547</v>
      </c>
      <c r="I902" s="15"/>
      <c r="J902" s="12"/>
      <c r="K902" s="9"/>
      <c r="L902" s="16" t="s">
        <v>51</v>
      </c>
      <c r="M902" s="17" t="s">
        <v>79</v>
      </c>
      <c r="N902" s="15"/>
      <c r="O902" s="16" t="s">
        <v>54</v>
      </c>
      <c r="P902" s="12" t="s">
        <v>2267</v>
      </c>
      <c r="Q902" s="16"/>
      <c r="R902" s="18" t="s">
        <v>79</v>
      </c>
      <c r="S902" s="19"/>
      <c r="T902" s="12" t="str">
        <f aca="false">IF(R902="維持",J902,IF(R902="排除","無關新聞事件",IFERROR(INDEX(事件規則!$B$2:$B$53,MATCH(S902,事件規則!$A$2:$A$53,0)),"")))</f>
        <v>無關新聞事件</v>
      </c>
      <c r="U902" s="20" t="n">
        <f aca="false">IF(R902="維持",K902,IF(R902="排除",0,IFERROR(INDEX(事件規則!$C$2:$C$53,MATCH(S902,事件規則!$A$2:$A$53,0)),"")))</f>
        <v>0</v>
      </c>
      <c r="V902" s="21"/>
      <c r="W902" s="22"/>
      <c r="X902" s="10" t="str">
        <f aca="false">IF(AND(R902="修改",S902=""),"請選新事件代碼",IF(AND(R902&lt;&gt;"修改",S902&lt;&gt;""),"只有「修改」才需填代碼",""))</f>
        <v/>
      </c>
      <c r="Y902" s="21"/>
      <c r="Z902" s="22"/>
      <c r="AA902" s="23" t="s">
        <v>2786</v>
      </c>
      <c r="AB902" s="13"/>
    </row>
    <row r="903" customFormat="false" ht="44" hidden="false" customHeight="false" outlineLevel="0" collapsed="false">
      <c r="A903" s="16" t="n">
        <v>902</v>
      </c>
      <c r="B903" s="9" t="s">
        <v>45</v>
      </c>
      <c r="C903" s="16"/>
      <c r="D903" s="10" t="s">
        <v>157</v>
      </c>
      <c r="E903" s="11" t="s">
        <v>2787</v>
      </c>
      <c r="F903" s="12" t="s">
        <v>2788</v>
      </c>
      <c r="G903" s="23" t="s">
        <v>152</v>
      </c>
      <c r="H903" s="14" t="n">
        <v>-0.547</v>
      </c>
      <c r="I903" s="15"/>
      <c r="J903" s="12"/>
      <c r="K903" s="9"/>
      <c r="L903" s="16" t="s">
        <v>51</v>
      </c>
      <c r="M903" s="17" t="s">
        <v>79</v>
      </c>
      <c r="N903" s="15"/>
      <c r="O903" s="16" t="s">
        <v>54</v>
      </c>
      <c r="P903" s="12" t="s">
        <v>2267</v>
      </c>
      <c r="Q903" s="16"/>
      <c r="R903" s="18" t="s">
        <v>79</v>
      </c>
      <c r="S903" s="19"/>
      <c r="T903" s="12" t="str">
        <f aca="false">IF(R903="維持",J903,IF(R903="排除","無關新聞事件",IFERROR(INDEX(事件規則!$B$2:$B$53,MATCH(S903,事件規則!$A$2:$A$53,0)),"")))</f>
        <v>無關新聞事件</v>
      </c>
      <c r="U903" s="20" t="n">
        <f aca="false">IF(R903="維持",K903,IF(R903="排除",0,IFERROR(INDEX(事件規則!$C$2:$C$53,MATCH(S903,事件規則!$A$2:$A$53,0)),"")))</f>
        <v>0</v>
      </c>
      <c r="V903" s="21"/>
      <c r="W903" s="22"/>
      <c r="X903" s="10" t="str">
        <f aca="false">IF(AND(R903="修改",S903=""),"請選新事件代碼",IF(AND(R903&lt;&gt;"修改",S903&lt;&gt;""),"只有「修改」才需填代碼",""))</f>
        <v/>
      </c>
      <c r="Y903" s="21"/>
      <c r="Z903" s="22"/>
      <c r="AA903" s="23" t="s">
        <v>2789</v>
      </c>
      <c r="AB903" s="13"/>
    </row>
    <row r="904" customFormat="false" ht="44" hidden="false" customHeight="false" outlineLevel="0" collapsed="false">
      <c r="A904" s="16" t="n">
        <v>903</v>
      </c>
      <c r="B904" s="9" t="s">
        <v>65</v>
      </c>
      <c r="C904" s="9" t="s">
        <v>1197</v>
      </c>
      <c r="D904" s="10" t="s">
        <v>1198</v>
      </c>
      <c r="E904" s="24" t="s">
        <v>2790</v>
      </c>
      <c r="F904" s="12"/>
      <c r="G904" s="23" t="s">
        <v>120</v>
      </c>
      <c r="H904" s="14" t="n">
        <v>-0.546</v>
      </c>
      <c r="I904" s="15"/>
      <c r="J904" s="12"/>
      <c r="K904" s="9"/>
      <c r="L904" s="16" t="s">
        <v>51</v>
      </c>
      <c r="M904" s="17" t="s">
        <v>79</v>
      </c>
      <c r="N904" s="15"/>
      <c r="O904" s="16" t="s">
        <v>54</v>
      </c>
      <c r="P904" s="12" t="s">
        <v>2267</v>
      </c>
      <c r="Q904" s="16"/>
      <c r="R904" s="18" t="s">
        <v>79</v>
      </c>
      <c r="S904" s="19"/>
      <c r="T904" s="12" t="str">
        <f aca="false">IF(R904="維持",J904,IF(R904="排除","無關新聞事件",IFERROR(INDEX(事件規則!$B$2:$B$53,MATCH(S904,事件規則!$A$2:$A$53,0)),"")))</f>
        <v>無關新聞事件</v>
      </c>
      <c r="U904" s="20" t="n">
        <f aca="false">IF(R904="維持",K904,IF(R904="排除",0,IFERROR(INDEX(事件規則!$C$2:$C$53,MATCH(S904,事件規則!$A$2:$A$53,0)),"")))</f>
        <v>0</v>
      </c>
      <c r="V904" s="21"/>
      <c r="W904" s="22"/>
      <c r="X904" s="10" t="str">
        <f aca="false">IF(AND(R904="修改",S904=""),"請選新事件代碼",IF(AND(R904&lt;&gt;"修改",S904&lt;&gt;""),"只有「修改」才需填代碼",""))</f>
        <v/>
      </c>
      <c r="Y904" s="21"/>
      <c r="Z904" s="22"/>
      <c r="AA904" s="23" t="s">
        <v>2791</v>
      </c>
      <c r="AB904" s="13"/>
    </row>
    <row r="905" customFormat="false" ht="44" hidden="false" customHeight="false" outlineLevel="0" collapsed="false">
      <c r="A905" s="16" t="n">
        <v>904</v>
      </c>
      <c r="B905" s="9" t="s">
        <v>45</v>
      </c>
      <c r="C905" s="9" t="s">
        <v>108</v>
      </c>
      <c r="D905" s="10" t="s">
        <v>109</v>
      </c>
      <c r="E905" s="24" t="s">
        <v>2792</v>
      </c>
      <c r="F905" s="12"/>
      <c r="G905" s="23" t="s">
        <v>2793</v>
      </c>
      <c r="H905" s="14" t="n">
        <v>-0.545</v>
      </c>
      <c r="I905" s="15"/>
      <c r="J905" s="12"/>
      <c r="K905" s="9"/>
      <c r="L905" s="16" t="s">
        <v>51</v>
      </c>
      <c r="M905" s="17" t="s">
        <v>79</v>
      </c>
      <c r="N905" s="15"/>
      <c r="O905" s="16" t="s">
        <v>54</v>
      </c>
      <c r="P905" s="12" t="s">
        <v>2267</v>
      </c>
      <c r="Q905" s="16"/>
      <c r="R905" s="18" t="s">
        <v>79</v>
      </c>
      <c r="S905" s="19"/>
      <c r="T905" s="12" t="str">
        <f aca="false">IF(R905="維持",J905,IF(R905="排除","無關新聞事件",IFERROR(INDEX(事件規則!$B$2:$B$53,MATCH(S905,事件規則!$A$2:$A$53,0)),"")))</f>
        <v>無關新聞事件</v>
      </c>
      <c r="U905" s="20" t="n">
        <f aca="false">IF(R905="維持",K905,IF(R905="排除",0,IFERROR(INDEX(事件規則!$C$2:$C$53,MATCH(S905,事件規則!$A$2:$A$53,0)),"")))</f>
        <v>0</v>
      </c>
      <c r="V905" s="21"/>
      <c r="W905" s="22"/>
      <c r="X905" s="10" t="str">
        <f aca="false">IF(AND(R905="修改",S905=""),"請選新事件代碼",IF(AND(R905&lt;&gt;"修改",S905&lt;&gt;""),"只有「修改」才需填代碼",""))</f>
        <v/>
      </c>
      <c r="Y905" s="21"/>
      <c r="Z905" s="22"/>
      <c r="AA905" s="23" t="s">
        <v>2794</v>
      </c>
      <c r="AB905" s="13"/>
    </row>
    <row r="906" customFormat="false" ht="44" hidden="false" customHeight="false" outlineLevel="0" collapsed="false">
      <c r="A906" s="16" t="n">
        <v>905</v>
      </c>
      <c r="B906" s="9" t="s">
        <v>65</v>
      </c>
      <c r="C906" s="9" t="s">
        <v>2795</v>
      </c>
      <c r="D906" s="10" t="s">
        <v>2796</v>
      </c>
      <c r="E906" s="24" t="s">
        <v>2797</v>
      </c>
      <c r="F906" s="12"/>
      <c r="G906" s="23" t="s">
        <v>1498</v>
      </c>
      <c r="H906" s="14" t="n">
        <v>-0.545</v>
      </c>
      <c r="I906" s="15"/>
      <c r="J906" s="12"/>
      <c r="K906" s="9"/>
      <c r="L906" s="16" t="s">
        <v>51</v>
      </c>
      <c r="M906" s="17" t="s">
        <v>79</v>
      </c>
      <c r="N906" s="15"/>
      <c r="O906" s="16" t="s">
        <v>54</v>
      </c>
      <c r="P906" s="12" t="s">
        <v>2267</v>
      </c>
      <c r="Q906" s="16"/>
      <c r="R906" s="18" t="s">
        <v>79</v>
      </c>
      <c r="S906" s="19"/>
      <c r="T906" s="12" t="str">
        <f aca="false">IF(R906="維持",J906,IF(R906="排除","無關新聞事件",IFERROR(INDEX(事件規則!$B$2:$B$53,MATCH(S906,事件規則!$A$2:$A$53,0)),"")))</f>
        <v>無關新聞事件</v>
      </c>
      <c r="U906" s="20" t="n">
        <f aca="false">IF(R906="維持",K906,IF(R906="排除",0,IFERROR(INDEX(事件規則!$C$2:$C$53,MATCH(S906,事件規則!$A$2:$A$53,0)),"")))</f>
        <v>0</v>
      </c>
      <c r="V906" s="21"/>
      <c r="W906" s="22"/>
      <c r="X906" s="10" t="str">
        <f aca="false">IF(AND(R906="修改",S906=""),"請選新事件代碼",IF(AND(R906&lt;&gt;"修改",S906&lt;&gt;""),"只有「修改」才需填代碼",""))</f>
        <v/>
      </c>
      <c r="Y906" s="21"/>
      <c r="Z906" s="22"/>
      <c r="AA906" s="23" t="s">
        <v>2798</v>
      </c>
      <c r="AB906" s="13"/>
    </row>
    <row r="907" customFormat="false" ht="44" hidden="false" customHeight="false" outlineLevel="0" collapsed="false">
      <c r="A907" s="16" t="n">
        <v>906</v>
      </c>
      <c r="B907" s="9" t="s">
        <v>65</v>
      </c>
      <c r="C907" s="9" t="s">
        <v>2799</v>
      </c>
      <c r="D907" s="10" t="s">
        <v>2800</v>
      </c>
      <c r="E907" s="24" t="s">
        <v>2801</v>
      </c>
      <c r="F907" s="12"/>
      <c r="G907" s="23" t="s">
        <v>2427</v>
      </c>
      <c r="H907" s="14" t="n">
        <v>-0.542</v>
      </c>
      <c r="I907" s="15"/>
      <c r="J907" s="12"/>
      <c r="K907" s="9"/>
      <c r="L907" s="16" t="s">
        <v>51</v>
      </c>
      <c r="M907" s="17" t="s">
        <v>79</v>
      </c>
      <c r="N907" s="15"/>
      <c r="O907" s="16" t="s">
        <v>54</v>
      </c>
      <c r="P907" s="12" t="s">
        <v>2267</v>
      </c>
      <c r="Q907" s="16"/>
      <c r="R907" s="18" t="s">
        <v>79</v>
      </c>
      <c r="S907" s="19"/>
      <c r="T907" s="12" t="str">
        <f aca="false">IF(R907="維持",J907,IF(R907="排除","無關新聞事件",IFERROR(INDEX(事件規則!$B$2:$B$53,MATCH(S907,事件規則!$A$2:$A$53,0)),"")))</f>
        <v>無關新聞事件</v>
      </c>
      <c r="U907" s="20" t="n">
        <f aca="false">IF(R907="維持",K907,IF(R907="排除",0,IFERROR(INDEX(事件規則!$C$2:$C$53,MATCH(S907,事件規則!$A$2:$A$53,0)),"")))</f>
        <v>0</v>
      </c>
      <c r="V907" s="21"/>
      <c r="W907" s="22"/>
      <c r="X907" s="10" t="str">
        <f aca="false">IF(AND(R907="修改",S907=""),"請選新事件代碼",IF(AND(R907&lt;&gt;"修改",S907&lt;&gt;""),"只有「修改」才需填代碼",""))</f>
        <v/>
      </c>
      <c r="Y907" s="21"/>
      <c r="Z907" s="22"/>
      <c r="AA907" s="23" t="s">
        <v>2802</v>
      </c>
      <c r="AB907" s="13"/>
    </row>
    <row r="908" customFormat="false" ht="44" hidden="false" customHeight="false" outlineLevel="0" collapsed="false">
      <c r="A908" s="16" t="n">
        <v>907</v>
      </c>
      <c r="B908" s="9" t="s">
        <v>331</v>
      </c>
      <c r="C908" s="16"/>
      <c r="D908" s="10" t="s">
        <v>2803</v>
      </c>
      <c r="E908" s="24" t="s">
        <v>2804</v>
      </c>
      <c r="F908" s="12"/>
      <c r="G908" s="23" t="s">
        <v>899</v>
      </c>
      <c r="H908" s="14" t="n">
        <v>-0.54</v>
      </c>
      <c r="I908" s="15"/>
      <c r="J908" s="12"/>
      <c r="K908" s="9"/>
      <c r="L908" s="16" t="s">
        <v>51</v>
      </c>
      <c r="M908" s="17" t="s">
        <v>79</v>
      </c>
      <c r="N908" s="15"/>
      <c r="O908" s="16" t="s">
        <v>54</v>
      </c>
      <c r="P908" s="12" t="s">
        <v>2267</v>
      </c>
      <c r="Q908" s="16"/>
      <c r="R908" s="18" t="s">
        <v>79</v>
      </c>
      <c r="S908" s="19"/>
      <c r="T908" s="12" t="str">
        <f aca="false">IF(R908="維持",J908,IF(R908="排除","無關新聞事件",IFERROR(INDEX(事件規則!$B$2:$B$53,MATCH(S908,事件規則!$A$2:$A$53,0)),"")))</f>
        <v>無關新聞事件</v>
      </c>
      <c r="U908" s="20" t="n">
        <f aca="false">IF(R908="維持",K908,IF(R908="排除",0,IFERROR(INDEX(事件規則!$C$2:$C$53,MATCH(S908,事件規則!$A$2:$A$53,0)),"")))</f>
        <v>0</v>
      </c>
      <c r="V908" s="21"/>
      <c r="W908" s="22"/>
      <c r="X908" s="10" t="str">
        <f aca="false">IF(AND(R908="修改",S908=""),"請選新事件代碼",IF(AND(R908&lt;&gt;"修改",S908&lt;&gt;""),"只有「修改」才需填代碼",""))</f>
        <v/>
      </c>
      <c r="Y908" s="21"/>
      <c r="Z908" s="22"/>
      <c r="AA908" s="23" t="s">
        <v>2805</v>
      </c>
      <c r="AB908" s="13"/>
    </row>
    <row r="909" customFormat="false" ht="44" hidden="false" customHeight="false" outlineLevel="0" collapsed="false">
      <c r="A909" s="16" t="n">
        <v>908</v>
      </c>
      <c r="B909" s="9" t="s">
        <v>331</v>
      </c>
      <c r="C909" s="9" t="s">
        <v>1470</v>
      </c>
      <c r="D909" s="10" t="s">
        <v>1471</v>
      </c>
      <c r="E909" s="24" t="s">
        <v>2806</v>
      </c>
      <c r="F909" s="12"/>
      <c r="G909" s="23" t="s">
        <v>120</v>
      </c>
      <c r="H909" s="14" t="n">
        <v>-0.535</v>
      </c>
      <c r="I909" s="15"/>
      <c r="J909" s="12"/>
      <c r="K909" s="9"/>
      <c r="L909" s="16" t="s">
        <v>51</v>
      </c>
      <c r="M909" s="17" t="s">
        <v>79</v>
      </c>
      <c r="N909" s="15"/>
      <c r="O909" s="16" t="s">
        <v>54</v>
      </c>
      <c r="P909" s="12" t="s">
        <v>2267</v>
      </c>
      <c r="Q909" s="16"/>
      <c r="R909" s="18" t="s">
        <v>79</v>
      </c>
      <c r="S909" s="19"/>
      <c r="T909" s="12" t="str">
        <f aca="false">IF(R909="維持",J909,IF(R909="排除","無關新聞事件",IFERROR(INDEX(事件規則!$B$2:$B$53,MATCH(S909,事件規則!$A$2:$A$53,0)),"")))</f>
        <v>無關新聞事件</v>
      </c>
      <c r="U909" s="20" t="n">
        <f aca="false">IF(R909="維持",K909,IF(R909="排除",0,IFERROR(INDEX(事件規則!$C$2:$C$53,MATCH(S909,事件規則!$A$2:$A$53,0)),"")))</f>
        <v>0</v>
      </c>
      <c r="V909" s="21"/>
      <c r="W909" s="22"/>
      <c r="X909" s="10" t="str">
        <f aca="false">IF(AND(R909="修改",S909=""),"請選新事件代碼",IF(AND(R909&lt;&gt;"修改",S909&lt;&gt;""),"只有「修改」才需填代碼",""))</f>
        <v/>
      </c>
      <c r="Y909" s="21"/>
      <c r="Z909" s="22"/>
      <c r="AA909" s="23" t="s">
        <v>2807</v>
      </c>
      <c r="AB909" s="13"/>
    </row>
    <row r="910" customFormat="false" ht="15" hidden="false" customHeight="false" outlineLevel="0" collapsed="false">
      <c r="A910" s="16" t="n">
        <v>909</v>
      </c>
      <c r="B910" s="9" t="s">
        <v>65</v>
      </c>
      <c r="C910" s="9" t="s">
        <v>353</v>
      </c>
      <c r="D910" s="10" t="s">
        <v>354</v>
      </c>
      <c r="E910" s="24" t="s">
        <v>2808</v>
      </c>
      <c r="F910" s="12"/>
      <c r="G910" s="23" t="s">
        <v>2809</v>
      </c>
      <c r="H910" s="14" t="n">
        <v>-0.535</v>
      </c>
      <c r="I910" s="15"/>
      <c r="J910" s="12"/>
      <c r="K910" s="9"/>
      <c r="L910" s="16" t="s">
        <v>51</v>
      </c>
      <c r="M910" s="17" t="s">
        <v>52</v>
      </c>
      <c r="N910" s="15" t="s">
        <v>357</v>
      </c>
      <c r="O910" s="16" t="s">
        <v>62</v>
      </c>
      <c r="P910" s="10" t="s">
        <v>2409</v>
      </c>
      <c r="Q910" s="16"/>
      <c r="R910" s="18" t="s">
        <v>52</v>
      </c>
      <c r="S910" s="19" t="s">
        <v>357</v>
      </c>
      <c r="T910" s="12" t="str">
        <f aca="false">IF(R910="維持",J910,IF(R910="排除","無關新聞事件",IFERROR(INDEX(事件規則!$B$2:$B$53,MATCH(S910,事件規則!$A$2:$A$53,0)),"")))</f>
        <v>資料外洩</v>
      </c>
      <c r="U910" s="20" t="n">
        <f aca="false">IF(R910="維持",K910,IF(R910="排除",0,IFERROR(INDEX(事件規則!$C$2:$C$53,MATCH(S910,事件規則!$A$2:$A$53,0)),"")))</f>
        <v>3</v>
      </c>
      <c r="V910" s="21"/>
      <c r="W910" s="22"/>
      <c r="X910" s="10" t="str">
        <f aca="false">IF(AND(R910="修改",S910=""),"請選新事件代碼",IF(AND(R910&lt;&gt;"修改",S910&lt;&gt;""),"只有「修改」才需填代碼",""))</f>
        <v/>
      </c>
      <c r="Y910" s="21"/>
      <c r="Z910" s="22"/>
      <c r="AA910" s="23" t="s">
        <v>2810</v>
      </c>
      <c r="AB910" s="13"/>
    </row>
    <row r="911" customFormat="false" ht="44" hidden="false" customHeight="false" outlineLevel="0" collapsed="false">
      <c r="A911" s="16" t="n">
        <v>910</v>
      </c>
      <c r="B911" s="9" t="s">
        <v>65</v>
      </c>
      <c r="C911" s="9" t="s">
        <v>1207</v>
      </c>
      <c r="D911" s="10" t="s">
        <v>1208</v>
      </c>
      <c r="E911" s="24" t="s">
        <v>2811</v>
      </c>
      <c r="F911" s="12"/>
      <c r="G911" s="23" t="s">
        <v>152</v>
      </c>
      <c r="H911" s="14" t="n">
        <v>-0.533</v>
      </c>
      <c r="I911" s="15"/>
      <c r="J911" s="12"/>
      <c r="K911" s="9"/>
      <c r="L911" s="16" t="s">
        <v>51</v>
      </c>
      <c r="M911" s="17" t="s">
        <v>79</v>
      </c>
      <c r="N911" s="15"/>
      <c r="O911" s="16" t="s">
        <v>54</v>
      </c>
      <c r="P911" s="12" t="s">
        <v>2267</v>
      </c>
      <c r="Q911" s="16"/>
      <c r="R911" s="18" t="s">
        <v>79</v>
      </c>
      <c r="S911" s="19"/>
      <c r="T911" s="12" t="str">
        <f aca="false">IF(R911="維持",J911,IF(R911="排除","無關新聞事件",IFERROR(INDEX(事件規則!$B$2:$B$53,MATCH(S911,事件規則!$A$2:$A$53,0)),"")))</f>
        <v>無關新聞事件</v>
      </c>
      <c r="U911" s="20" t="n">
        <f aca="false">IF(R911="維持",K911,IF(R911="排除",0,IFERROR(INDEX(事件規則!$C$2:$C$53,MATCH(S911,事件規則!$A$2:$A$53,0)),"")))</f>
        <v>0</v>
      </c>
      <c r="V911" s="21"/>
      <c r="W911" s="22"/>
      <c r="X911" s="10" t="str">
        <f aca="false">IF(AND(R911="修改",S911=""),"請選新事件代碼",IF(AND(R911&lt;&gt;"修改",S911&lt;&gt;""),"只有「修改」才需填代碼",""))</f>
        <v/>
      </c>
      <c r="Y911" s="21"/>
      <c r="Z911" s="22"/>
      <c r="AA911" s="23" t="s">
        <v>2812</v>
      </c>
      <c r="AB911" s="13"/>
    </row>
    <row r="912" customFormat="false" ht="44" hidden="false" customHeight="false" outlineLevel="0" collapsed="false">
      <c r="A912" s="16" t="n">
        <v>911</v>
      </c>
      <c r="B912" s="9" t="s">
        <v>331</v>
      </c>
      <c r="C912" s="9" t="s">
        <v>798</v>
      </c>
      <c r="D912" s="10" t="s">
        <v>799</v>
      </c>
      <c r="E912" s="24" t="s">
        <v>2813</v>
      </c>
      <c r="F912" s="12"/>
      <c r="G912" s="23" t="s">
        <v>779</v>
      </c>
      <c r="H912" s="14" t="n">
        <v>-0.528</v>
      </c>
      <c r="I912" s="15"/>
      <c r="J912" s="12"/>
      <c r="K912" s="9"/>
      <c r="L912" s="16" t="s">
        <v>51</v>
      </c>
      <c r="M912" s="17" t="s">
        <v>79</v>
      </c>
      <c r="N912" s="15"/>
      <c r="O912" s="16" t="s">
        <v>54</v>
      </c>
      <c r="P912" s="12" t="s">
        <v>2267</v>
      </c>
      <c r="Q912" s="16"/>
      <c r="R912" s="18" t="s">
        <v>79</v>
      </c>
      <c r="S912" s="19"/>
      <c r="T912" s="12" t="str">
        <f aca="false">IF(R912="維持",J912,IF(R912="排除","無關新聞事件",IFERROR(INDEX(事件規則!$B$2:$B$53,MATCH(S912,事件規則!$A$2:$A$53,0)),"")))</f>
        <v>無關新聞事件</v>
      </c>
      <c r="U912" s="20" t="n">
        <f aca="false">IF(R912="維持",K912,IF(R912="排除",0,IFERROR(INDEX(事件規則!$C$2:$C$53,MATCH(S912,事件規則!$A$2:$A$53,0)),"")))</f>
        <v>0</v>
      </c>
      <c r="V912" s="21"/>
      <c r="W912" s="22"/>
      <c r="X912" s="10" t="str">
        <f aca="false">IF(AND(R912="修改",S912=""),"請選新事件代碼",IF(AND(R912&lt;&gt;"修改",S912&lt;&gt;""),"只有「修改」才需填代碼",""))</f>
        <v/>
      </c>
      <c r="Y912" s="21"/>
      <c r="Z912" s="22"/>
      <c r="AA912" s="23" t="s">
        <v>2814</v>
      </c>
      <c r="AB912" s="13"/>
    </row>
    <row r="913" customFormat="false" ht="44" hidden="false" customHeight="false" outlineLevel="0" collapsed="false">
      <c r="A913" s="16" t="n">
        <v>912</v>
      </c>
      <c r="B913" s="9" t="s">
        <v>65</v>
      </c>
      <c r="C913" s="9" t="s">
        <v>564</v>
      </c>
      <c r="D913" s="10" t="s">
        <v>565</v>
      </c>
      <c r="E913" s="24" t="s">
        <v>2815</v>
      </c>
      <c r="F913" s="12"/>
      <c r="G913" s="23" t="s">
        <v>2816</v>
      </c>
      <c r="H913" s="14" t="n">
        <v>-0.527</v>
      </c>
      <c r="I913" s="15"/>
      <c r="J913" s="12"/>
      <c r="K913" s="9"/>
      <c r="L913" s="16" t="s">
        <v>51</v>
      </c>
      <c r="M913" s="17" t="s">
        <v>79</v>
      </c>
      <c r="N913" s="15"/>
      <c r="O913" s="16" t="s">
        <v>54</v>
      </c>
      <c r="P913" s="12" t="s">
        <v>2267</v>
      </c>
      <c r="Q913" s="16"/>
      <c r="R913" s="18" t="s">
        <v>79</v>
      </c>
      <c r="S913" s="19"/>
      <c r="T913" s="12" t="str">
        <f aca="false">IF(R913="維持",J913,IF(R913="排除","無關新聞事件",IFERROR(INDEX(事件規則!$B$2:$B$53,MATCH(S913,事件規則!$A$2:$A$53,0)),"")))</f>
        <v>無關新聞事件</v>
      </c>
      <c r="U913" s="20" t="n">
        <f aca="false">IF(R913="維持",K913,IF(R913="排除",0,IFERROR(INDEX(事件規則!$C$2:$C$53,MATCH(S913,事件規則!$A$2:$A$53,0)),"")))</f>
        <v>0</v>
      </c>
      <c r="V913" s="21"/>
      <c r="W913" s="22"/>
      <c r="X913" s="10" t="str">
        <f aca="false">IF(AND(R913="修改",S913=""),"請選新事件代碼",IF(AND(R913&lt;&gt;"修改",S913&lt;&gt;""),"只有「修改」才需填代碼",""))</f>
        <v/>
      </c>
      <c r="Y913" s="21"/>
      <c r="Z913" s="22"/>
      <c r="AA913" s="23" t="s">
        <v>2817</v>
      </c>
      <c r="AB913" s="13"/>
    </row>
    <row r="914" customFormat="false" ht="44" hidden="false" customHeight="false" outlineLevel="0" collapsed="false">
      <c r="A914" s="16" t="n">
        <v>913</v>
      </c>
      <c r="B914" s="9" t="s">
        <v>386</v>
      </c>
      <c r="C914" s="9" t="s">
        <v>569</v>
      </c>
      <c r="D914" s="10" t="s">
        <v>570</v>
      </c>
      <c r="E914" s="24" t="s">
        <v>2818</v>
      </c>
      <c r="F914" s="12"/>
      <c r="G914" s="23" t="s">
        <v>437</v>
      </c>
      <c r="H914" s="14" t="n">
        <v>-0.526</v>
      </c>
      <c r="I914" s="15"/>
      <c r="J914" s="12"/>
      <c r="K914" s="9"/>
      <c r="L914" s="16" t="s">
        <v>51</v>
      </c>
      <c r="M914" s="17" t="s">
        <v>79</v>
      </c>
      <c r="N914" s="15"/>
      <c r="O914" s="16" t="s">
        <v>54</v>
      </c>
      <c r="P914" s="12" t="s">
        <v>2267</v>
      </c>
      <c r="Q914" s="16"/>
      <c r="R914" s="18" t="s">
        <v>79</v>
      </c>
      <c r="S914" s="19"/>
      <c r="T914" s="12" t="str">
        <f aca="false">IF(R914="維持",J914,IF(R914="排除","無關新聞事件",IFERROR(INDEX(事件規則!$B$2:$B$53,MATCH(S914,事件規則!$A$2:$A$53,0)),"")))</f>
        <v>無關新聞事件</v>
      </c>
      <c r="U914" s="20" t="n">
        <f aca="false">IF(R914="維持",K914,IF(R914="排除",0,IFERROR(INDEX(事件規則!$C$2:$C$53,MATCH(S914,事件規則!$A$2:$A$53,0)),"")))</f>
        <v>0</v>
      </c>
      <c r="V914" s="21"/>
      <c r="W914" s="22"/>
      <c r="X914" s="10" t="str">
        <f aca="false">IF(AND(R914="修改",S914=""),"請選新事件代碼",IF(AND(R914&lt;&gt;"修改",S914&lt;&gt;""),"只有「修改」才需填代碼",""))</f>
        <v/>
      </c>
      <c r="Y914" s="21"/>
      <c r="Z914" s="22"/>
      <c r="AA914" s="23" t="s">
        <v>2819</v>
      </c>
      <c r="AB914" s="13"/>
    </row>
    <row r="915" customFormat="false" ht="44" hidden="false" customHeight="false" outlineLevel="0" collapsed="false">
      <c r="A915" s="16" t="n">
        <v>914</v>
      </c>
      <c r="B915" s="9" t="s">
        <v>386</v>
      </c>
      <c r="C915" s="9" t="s">
        <v>564</v>
      </c>
      <c r="D915" s="10" t="s">
        <v>565</v>
      </c>
      <c r="E915" s="24" t="s">
        <v>2820</v>
      </c>
      <c r="F915" s="12"/>
      <c r="G915" s="23" t="s">
        <v>2821</v>
      </c>
      <c r="H915" s="14" t="n">
        <v>-0.525</v>
      </c>
      <c r="I915" s="15"/>
      <c r="J915" s="12"/>
      <c r="K915" s="9"/>
      <c r="L915" s="16" t="s">
        <v>51</v>
      </c>
      <c r="M915" s="17" t="s">
        <v>79</v>
      </c>
      <c r="N915" s="15"/>
      <c r="O915" s="16" t="s">
        <v>54</v>
      </c>
      <c r="P915" s="12" t="s">
        <v>2267</v>
      </c>
      <c r="Q915" s="16"/>
      <c r="R915" s="18" t="s">
        <v>79</v>
      </c>
      <c r="S915" s="19"/>
      <c r="T915" s="12" t="str">
        <f aca="false">IF(R915="維持",J915,IF(R915="排除","無關新聞事件",IFERROR(INDEX(事件規則!$B$2:$B$53,MATCH(S915,事件規則!$A$2:$A$53,0)),"")))</f>
        <v>無關新聞事件</v>
      </c>
      <c r="U915" s="20" t="n">
        <f aca="false">IF(R915="維持",K915,IF(R915="排除",0,IFERROR(INDEX(事件規則!$C$2:$C$53,MATCH(S915,事件規則!$A$2:$A$53,0)),"")))</f>
        <v>0</v>
      </c>
      <c r="V915" s="21"/>
      <c r="W915" s="22"/>
      <c r="X915" s="10" t="str">
        <f aca="false">IF(AND(R915="修改",S915=""),"請選新事件代碼",IF(AND(R915&lt;&gt;"修改",S915&lt;&gt;""),"只有「修改」才需填代碼",""))</f>
        <v/>
      </c>
      <c r="Y915" s="21"/>
      <c r="Z915" s="22"/>
      <c r="AA915" s="23" t="s">
        <v>2822</v>
      </c>
      <c r="AB915" s="13"/>
    </row>
    <row r="916" customFormat="false" ht="44" hidden="false" customHeight="false" outlineLevel="0" collapsed="false">
      <c r="A916" s="16" t="n">
        <v>915</v>
      </c>
      <c r="B916" s="9" t="s">
        <v>45</v>
      </c>
      <c r="C916" s="9" t="s">
        <v>179</v>
      </c>
      <c r="D916" s="10" t="s">
        <v>180</v>
      </c>
      <c r="E916" s="24" t="s">
        <v>2823</v>
      </c>
      <c r="F916" s="12"/>
      <c r="G916" s="23" t="s">
        <v>2824</v>
      </c>
      <c r="H916" s="14" t="n">
        <v>-0.525</v>
      </c>
      <c r="I916" s="15"/>
      <c r="J916" s="12"/>
      <c r="K916" s="9"/>
      <c r="L916" s="16" t="s">
        <v>51</v>
      </c>
      <c r="M916" s="17" t="s">
        <v>79</v>
      </c>
      <c r="N916" s="15"/>
      <c r="O916" s="16" t="s">
        <v>54</v>
      </c>
      <c r="P916" s="12" t="s">
        <v>2267</v>
      </c>
      <c r="Q916" s="16"/>
      <c r="R916" s="18" t="s">
        <v>79</v>
      </c>
      <c r="S916" s="19"/>
      <c r="T916" s="12" t="str">
        <f aca="false">IF(R916="維持",J916,IF(R916="排除","無關新聞事件",IFERROR(INDEX(事件規則!$B$2:$B$53,MATCH(S916,事件規則!$A$2:$A$53,0)),"")))</f>
        <v>無關新聞事件</v>
      </c>
      <c r="U916" s="20" t="n">
        <f aca="false">IF(R916="維持",K916,IF(R916="排除",0,IFERROR(INDEX(事件規則!$C$2:$C$53,MATCH(S916,事件規則!$A$2:$A$53,0)),"")))</f>
        <v>0</v>
      </c>
      <c r="V916" s="21"/>
      <c r="W916" s="22"/>
      <c r="X916" s="10" t="str">
        <f aca="false">IF(AND(R916="修改",S916=""),"請選新事件代碼",IF(AND(R916&lt;&gt;"修改",S916&lt;&gt;""),"只有「修改」才需填代碼",""))</f>
        <v/>
      </c>
      <c r="Y916" s="21"/>
      <c r="Z916" s="22"/>
      <c r="AA916" s="23" t="s">
        <v>2825</v>
      </c>
      <c r="AB916" s="13"/>
    </row>
    <row r="917" customFormat="false" ht="44" hidden="false" customHeight="false" outlineLevel="0" collapsed="false">
      <c r="A917" s="16" t="n">
        <v>916</v>
      </c>
      <c r="B917" s="9" t="s">
        <v>45</v>
      </c>
      <c r="C917" s="9" t="s">
        <v>1207</v>
      </c>
      <c r="D917" s="10" t="s">
        <v>1208</v>
      </c>
      <c r="E917" s="24" t="s">
        <v>2826</v>
      </c>
      <c r="F917" s="12"/>
      <c r="G917" s="23" t="s">
        <v>1498</v>
      </c>
      <c r="H917" s="14" t="n">
        <v>-0.518</v>
      </c>
      <c r="I917" s="15"/>
      <c r="J917" s="12"/>
      <c r="K917" s="9"/>
      <c r="L917" s="16" t="s">
        <v>51</v>
      </c>
      <c r="M917" s="17" t="s">
        <v>79</v>
      </c>
      <c r="N917" s="15"/>
      <c r="O917" s="16" t="s">
        <v>54</v>
      </c>
      <c r="P917" s="12" t="s">
        <v>2267</v>
      </c>
      <c r="Q917" s="16"/>
      <c r="R917" s="18" t="s">
        <v>79</v>
      </c>
      <c r="S917" s="19"/>
      <c r="T917" s="12" t="str">
        <f aca="false">IF(R917="維持",J917,IF(R917="排除","無關新聞事件",IFERROR(INDEX(事件規則!$B$2:$B$53,MATCH(S917,事件規則!$A$2:$A$53,0)),"")))</f>
        <v>無關新聞事件</v>
      </c>
      <c r="U917" s="20" t="n">
        <f aca="false">IF(R917="維持",K917,IF(R917="排除",0,IFERROR(INDEX(事件規則!$C$2:$C$53,MATCH(S917,事件規則!$A$2:$A$53,0)),"")))</f>
        <v>0</v>
      </c>
      <c r="V917" s="21"/>
      <c r="W917" s="22"/>
      <c r="X917" s="10" t="str">
        <f aca="false">IF(AND(R917="修改",S917=""),"請選新事件代碼",IF(AND(R917&lt;&gt;"修改",S917&lt;&gt;""),"只有「修改」才需填代碼",""))</f>
        <v/>
      </c>
      <c r="Y917" s="21"/>
      <c r="Z917" s="22"/>
      <c r="AA917" s="23" t="s">
        <v>2827</v>
      </c>
      <c r="AB917" s="13"/>
    </row>
    <row r="918" customFormat="false" ht="44" hidden="false" customHeight="false" outlineLevel="0" collapsed="false">
      <c r="A918" s="16" t="n">
        <v>917</v>
      </c>
      <c r="B918" s="9" t="s">
        <v>65</v>
      </c>
      <c r="C918" s="9" t="s">
        <v>1325</v>
      </c>
      <c r="D918" s="10" t="s">
        <v>1326</v>
      </c>
      <c r="E918" s="24" t="s">
        <v>2828</v>
      </c>
      <c r="F918" s="12"/>
      <c r="G918" s="23" t="s">
        <v>2085</v>
      </c>
      <c r="H918" s="14" t="n">
        <v>-0.515</v>
      </c>
      <c r="I918" s="15"/>
      <c r="J918" s="12"/>
      <c r="K918" s="9"/>
      <c r="L918" s="16" t="s">
        <v>51</v>
      </c>
      <c r="M918" s="17" t="s">
        <v>79</v>
      </c>
      <c r="N918" s="15"/>
      <c r="O918" s="16" t="s">
        <v>54</v>
      </c>
      <c r="P918" s="12" t="s">
        <v>2267</v>
      </c>
      <c r="Q918" s="16"/>
      <c r="R918" s="18" t="s">
        <v>79</v>
      </c>
      <c r="S918" s="19"/>
      <c r="T918" s="12" t="str">
        <f aca="false">IF(R918="維持",J918,IF(R918="排除","無關新聞事件",IFERROR(INDEX(事件規則!$B$2:$B$53,MATCH(S918,事件規則!$A$2:$A$53,0)),"")))</f>
        <v>無關新聞事件</v>
      </c>
      <c r="U918" s="20" t="n">
        <f aca="false">IF(R918="維持",K918,IF(R918="排除",0,IFERROR(INDEX(事件規則!$C$2:$C$53,MATCH(S918,事件規則!$A$2:$A$53,0)),"")))</f>
        <v>0</v>
      </c>
      <c r="V918" s="21"/>
      <c r="W918" s="22"/>
      <c r="X918" s="10" t="str">
        <f aca="false">IF(AND(R918="修改",S918=""),"請選新事件代碼",IF(AND(R918&lt;&gt;"修改",S918&lt;&gt;""),"只有「修改」才需填代碼",""))</f>
        <v/>
      </c>
      <c r="Y918" s="21"/>
      <c r="Z918" s="22"/>
      <c r="AA918" s="23" t="s">
        <v>2829</v>
      </c>
      <c r="AB918" s="13"/>
    </row>
    <row r="919" customFormat="false" ht="44" hidden="false" customHeight="false" outlineLevel="0" collapsed="false">
      <c r="A919" s="16" t="n">
        <v>918</v>
      </c>
      <c r="B919" s="9" t="s">
        <v>331</v>
      </c>
      <c r="C919" s="9" t="s">
        <v>2830</v>
      </c>
      <c r="D919" s="10" t="s">
        <v>2831</v>
      </c>
      <c r="E919" s="24" t="s">
        <v>2832</v>
      </c>
      <c r="F919" s="12"/>
      <c r="G919" s="23" t="s">
        <v>335</v>
      </c>
      <c r="H919" s="14" t="n">
        <v>-0.512</v>
      </c>
      <c r="I919" s="15"/>
      <c r="J919" s="12"/>
      <c r="K919" s="9"/>
      <c r="L919" s="16" t="s">
        <v>51</v>
      </c>
      <c r="M919" s="17" t="s">
        <v>79</v>
      </c>
      <c r="N919" s="15"/>
      <c r="O919" s="16" t="s">
        <v>54</v>
      </c>
      <c r="P919" s="12" t="s">
        <v>2267</v>
      </c>
      <c r="Q919" s="16"/>
      <c r="R919" s="18" t="s">
        <v>79</v>
      </c>
      <c r="S919" s="19"/>
      <c r="T919" s="12" t="str">
        <f aca="false">IF(R919="維持",J919,IF(R919="排除","無關新聞事件",IFERROR(INDEX(事件規則!$B$2:$B$53,MATCH(S919,事件規則!$A$2:$A$53,0)),"")))</f>
        <v>無關新聞事件</v>
      </c>
      <c r="U919" s="20" t="n">
        <f aca="false">IF(R919="維持",K919,IF(R919="排除",0,IFERROR(INDEX(事件規則!$C$2:$C$53,MATCH(S919,事件規則!$A$2:$A$53,0)),"")))</f>
        <v>0</v>
      </c>
      <c r="V919" s="21"/>
      <c r="W919" s="22"/>
      <c r="X919" s="10" t="str">
        <f aca="false">IF(AND(R919="修改",S919=""),"請選新事件代碼",IF(AND(R919&lt;&gt;"修改",S919&lt;&gt;""),"只有「修改」才需填代碼",""))</f>
        <v/>
      </c>
      <c r="Y919" s="21"/>
      <c r="Z919" s="22"/>
      <c r="AA919" s="23" t="s">
        <v>2833</v>
      </c>
      <c r="AB919" s="13"/>
    </row>
    <row r="920" customFormat="false" ht="44" hidden="false" customHeight="false" outlineLevel="0" collapsed="false">
      <c r="A920" s="16" t="n">
        <v>919</v>
      </c>
      <c r="B920" s="9" t="s">
        <v>386</v>
      </c>
      <c r="C920" s="9" t="s">
        <v>645</v>
      </c>
      <c r="D920" s="10" t="s">
        <v>646</v>
      </c>
      <c r="E920" s="24" t="s">
        <v>2834</v>
      </c>
      <c r="F920" s="12"/>
      <c r="G920" s="23" t="s">
        <v>2835</v>
      </c>
      <c r="H920" s="14" t="n">
        <v>-0.51</v>
      </c>
      <c r="I920" s="15"/>
      <c r="J920" s="12"/>
      <c r="K920" s="9"/>
      <c r="L920" s="16" t="s">
        <v>51</v>
      </c>
      <c r="M920" s="17" t="s">
        <v>79</v>
      </c>
      <c r="N920" s="15"/>
      <c r="O920" s="16" t="s">
        <v>54</v>
      </c>
      <c r="P920" s="12" t="s">
        <v>2267</v>
      </c>
      <c r="Q920" s="16"/>
      <c r="R920" s="18" t="s">
        <v>79</v>
      </c>
      <c r="S920" s="19"/>
      <c r="T920" s="12" t="str">
        <f aca="false">IF(R920="維持",J920,IF(R920="排除","無關新聞事件",IFERROR(INDEX(事件規則!$B$2:$B$53,MATCH(S920,事件規則!$A$2:$A$53,0)),"")))</f>
        <v>無關新聞事件</v>
      </c>
      <c r="U920" s="20" t="n">
        <f aca="false">IF(R920="維持",K920,IF(R920="排除",0,IFERROR(INDEX(事件規則!$C$2:$C$53,MATCH(S920,事件規則!$A$2:$A$53,0)),"")))</f>
        <v>0</v>
      </c>
      <c r="V920" s="21"/>
      <c r="W920" s="22"/>
      <c r="X920" s="10" t="str">
        <f aca="false">IF(AND(R920="修改",S920=""),"請選新事件代碼",IF(AND(R920&lt;&gt;"修改",S920&lt;&gt;""),"只有「修改」才需填代碼",""))</f>
        <v/>
      </c>
      <c r="Y920" s="21"/>
      <c r="Z920" s="22"/>
      <c r="AA920" s="23" t="s">
        <v>2836</v>
      </c>
      <c r="AB920" s="13"/>
    </row>
    <row r="921" customFormat="false" ht="15" hidden="false" customHeight="false" outlineLevel="0" collapsed="false">
      <c r="A921" s="16" t="n">
        <v>920</v>
      </c>
      <c r="B921" s="9" t="s">
        <v>45</v>
      </c>
      <c r="C921" s="9" t="s">
        <v>798</v>
      </c>
      <c r="D921" s="10" t="s">
        <v>799</v>
      </c>
      <c r="E921" s="24" t="s">
        <v>2837</v>
      </c>
      <c r="F921" s="12"/>
      <c r="G921" s="23" t="s">
        <v>224</v>
      </c>
      <c r="H921" s="14" t="n">
        <v>-0.509</v>
      </c>
      <c r="I921" s="15"/>
      <c r="J921" s="12"/>
      <c r="K921" s="9"/>
      <c r="L921" s="16" t="s">
        <v>51</v>
      </c>
      <c r="M921" s="17" t="s">
        <v>52</v>
      </c>
      <c r="N921" s="15" t="s">
        <v>53</v>
      </c>
      <c r="O921" s="16" t="s">
        <v>54</v>
      </c>
      <c r="P921" s="10" t="s">
        <v>2838</v>
      </c>
      <c r="Q921" s="16"/>
      <c r="R921" s="18" t="s">
        <v>52</v>
      </c>
      <c r="S921" s="19" t="s">
        <v>53</v>
      </c>
      <c r="T921" s="12" t="str">
        <f aca="false">IF(R921="維持",J921,IF(R921="排除","無關新聞事件",IFERROR(INDEX(事件規則!$B$2:$B$53,MATCH(S921,事件規則!$A$2:$A$53,0)),"")))</f>
        <v>股價下跌</v>
      </c>
      <c r="U921" s="20" t="n">
        <f aca="false">IF(R921="維持",K921,IF(R921="排除",0,IFERROR(INDEX(事件規則!$C$2:$C$53,MATCH(S921,事件規則!$A$2:$A$53,0)),"")))</f>
        <v>1</v>
      </c>
      <c r="V921" s="21"/>
      <c r="W921" s="22"/>
      <c r="X921" s="10" t="str">
        <f aca="false">IF(AND(R921="修改",S921=""),"請選新事件代碼",IF(AND(R921&lt;&gt;"修改",S921&lt;&gt;""),"只有「修改」才需填代碼",""))</f>
        <v/>
      </c>
      <c r="Y921" s="21"/>
      <c r="Z921" s="22"/>
      <c r="AA921" s="23" t="s">
        <v>2839</v>
      </c>
      <c r="AB921" s="13"/>
    </row>
    <row r="922" customFormat="false" ht="44" hidden="false" customHeight="false" outlineLevel="0" collapsed="false">
      <c r="A922" s="16" t="n">
        <v>921</v>
      </c>
      <c r="B922" s="9" t="s">
        <v>45</v>
      </c>
      <c r="C922" s="9" t="s">
        <v>108</v>
      </c>
      <c r="D922" s="10" t="s">
        <v>109</v>
      </c>
      <c r="E922" s="24" t="s">
        <v>2840</v>
      </c>
      <c r="F922" s="12"/>
      <c r="G922" s="23" t="s">
        <v>147</v>
      </c>
      <c r="H922" s="14" t="n">
        <v>-0.508</v>
      </c>
      <c r="I922" s="15"/>
      <c r="J922" s="12"/>
      <c r="K922" s="9"/>
      <c r="L922" s="16" t="s">
        <v>51</v>
      </c>
      <c r="M922" s="17" t="s">
        <v>79</v>
      </c>
      <c r="N922" s="15"/>
      <c r="O922" s="16" t="s">
        <v>54</v>
      </c>
      <c r="P922" s="12" t="s">
        <v>2267</v>
      </c>
      <c r="Q922" s="16"/>
      <c r="R922" s="18" t="s">
        <v>79</v>
      </c>
      <c r="S922" s="19"/>
      <c r="T922" s="12" t="str">
        <f aca="false">IF(R922="維持",J922,IF(R922="排除","無關新聞事件",IFERROR(INDEX(事件規則!$B$2:$B$53,MATCH(S922,事件規則!$A$2:$A$53,0)),"")))</f>
        <v>無關新聞事件</v>
      </c>
      <c r="U922" s="20" t="n">
        <f aca="false">IF(R922="維持",K922,IF(R922="排除",0,IFERROR(INDEX(事件規則!$C$2:$C$53,MATCH(S922,事件規則!$A$2:$A$53,0)),"")))</f>
        <v>0</v>
      </c>
      <c r="V922" s="21"/>
      <c r="W922" s="22"/>
      <c r="X922" s="10" t="str">
        <f aca="false">IF(AND(R922="修改",S922=""),"請選新事件代碼",IF(AND(R922&lt;&gt;"修改",S922&lt;&gt;""),"只有「修改」才需填代碼",""))</f>
        <v/>
      </c>
      <c r="Y922" s="21"/>
      <c r="Z922" s="22"/>
      <c r="AA922" s="23" t="s">
        <v>2841</v>
      </c>
      <c r="AB922" s="13"/>
    </row>
    <row r="923" customFormat="false" ht="44" hidden="false" customHeight="false" outlineLevel="0" collapsed="false">
      <c r="A923" s="16" t="n">
        <v>922</v>
      </c>
      <c r="B923" s="9" t="s">
        <v>386</v>
      </c>
      <c r="C923" s="9" t="s">
        <v>46</v>
      </c>
      <c r="D923" s="10" t="s">
        <v>47</v>
      </c>
      <c r="E923" s="24" t="s">
        <v>2842</v>
      </c>
      <c r="F923" s="12"/>
      <c r="G923" s="23" t="s">
        <v>437</v>
      </c>
      <c r="H923" s="14" t="n">
        <v>-0.508</v>
      </c>
      <c r="I923" s="15"/>
      <c r="J923" s="12"/>
      <c r="K923" s="9"/>
      <c r="L923" s="16" t="s">
        <v>51</v>
      </c>
      <c r="M923" s="17" t="s">
        <v>79</v>
      </c>
      <c r="N923" s="15"/>
      <c r="O923" s="16" t="s">
        <v>54</v>
      </c>
      <c r="P923" s="12" t="s">
        <v>2267</v>
      </c>
      <c r="Q923" s="16"/>
      <c r="R923" s="18" t="s">
        <v>79</v>
      </c>
      <c r="S923" s="19"/>
      <c r="T923" s="12" t="str">
        <f aca="false">IF(R923="維持",J923,IF(R923="排除","無關新聞事件",IFERROR(INDEX(事件規則!$B$2:$B$53,MATCH(S923,事件規則!$A$2:$A$53,0)),"")))</f>
        <v>無關新聞事件</v>
      </c>
      <c r="U923" s="20" t="n">
        <f aca="false">IF(R923="維持",K923,IF(R923="排除",0,IFERROR(INDEX(事件規則!$C$2:$C$53,MATCH(S923,事件規則!$A$2:$A$53,0)),"")))</f>
        <v>0</v>
      </c>
      <c r="V923" s="21"/>
      <c r="W923" s="22"/>
      <c r="X923" s="10" t="str">
        <f aca="false">IF(AND(R923="修改",S923=""),"請選新事件代碼",IF(AND(R923&lt;&gt;"修改",S923&lt;&gt;""),"只有「修改」才需填代碼",""))</f>
        <v/>
      </c>
      <c r="Y923" s="21"/>
      <c r="Z923" s="22"/>
      <c r="AA923" s="23" t="s">
        <v>2843</v>
      </c>
      <c r="AB923" s="13"/>
    </row>
    <row r="924" customFormat="false" ht="44" hidden="false" customHeight="false" outlineLevel="0" collapsed="false">
      <c r="A924" s="16" t="n">
        <v>923</v>
      </c>
      <c r="B924" s="9" t="s">
        <v>331</v>
      </c>
      <c r="C924" s="9" t="s">
        <v>1302</v>
      </c>
      <c r="D924" s="10" t="s">
        <v>1303</v>
      </c>
      <c r="E924" s="24" t="s">
        <v>2844</v>
      </c>
      <c r="F924" s="12"/>
      <c r="G924" s="23" t="s">
        <v>2845</v>
      </c>
      <c r="H924" s="14" t="n">
        <v>-0.507</v>
      </c>
      <c r="I924" s="15"/>
      <c r="J924" s="12"/>
      <c r="K924" s="9"/>
      <c r="L924" s="16" t="s">
        <v>51</v>
      </c>
      <c r="M924" s="17" t="s">
        <v>79</v>
      </c>
      <c r="N924" s="15"/>
      <c r="O924" s="16" t="s">
        <v>54</v>
      </c>
      <c r="P924" s="12" t="s">
        <v>2267</v>
      </c>
      <c r="Q924" s="16"/>
      <c r="R924" s="18" t="s">
        <v>79</v>
      </c>
      <c r="S924" s="19"/>
      <c r="T924" s="12" t="str">
        <f aca="false">IF(R924="維持",J924,IF(R924="排除","無關新聞事件",IFERROR(INDEX(事件規則!$B$2:$B$53,MATCH(S924,事件規則!$A$2:$A$53,0)),"")))</f>
        <v>無關新聞事件</v>
      </c>
      <c r="U924" s="20" t="n">
        <f aca="false">IF(R924="維持",K924,IF(R924="排除",0,IFERROR(INDEX(事件規則!$C$2:$C$53,MATCH(S924,事件規則!$A$2:$A$53,0)),"")))</f>
        <v>0</v>
      </c>
      <c r="V924" s="21"/>
      <c r="W924" s="22"/>
      <c r="X924" s="10" t="str">
        <f aca="false">IF(AND(R924="修改",S924=""),"請選新事件代碼",IF(AND(R924&lt;&gt;"修改",S924&lt;&gt;""),"只有「修改」才需填代碼",""))</f>
        <v/>
      </c>
      <c r="Y924" s="21"/>
      <c r="Z924" s="22"/>
      <c r="AA924" s="23" t="s">
        <v>2846</v>
      </c>
      <c r="AB924" s="13"/>
    </row>
    <row r="925" customFormat="false" ht="44" hidden="false" customHeight="false" outlineLevel="0" collapsed="false">
      <c r="A925" s="16" t="n">
        <v>924</v>
      </c>
      <c r="B925" s="9" t="s">
        <v>45</v>
      </c>
      <c r="C925" s="9" t="s">
        <v>1926</v>
      </c>
      <c r="D925" s="10" t="s">
        <v>1927</v>
      </c>
      <c r="E925" s="24" t="s">
        <v>2847</v>
      </c>
      <c r="F925" s="12"/>
      <c r="G925" s="23" t="s">
        <v>224</v>
      </c>
      <c r="H925" s="14" t="n">
        <v>-0.507</v>
      </c>
      <c r="I925" s="15"/>
      <c r="J925" s="12"/>
      <c r="K925" s="9"/>
      <c r="L925" s="16" t="s">
        <v>51</v>
      </c>
      <c r="M925" s="17" t="s">
        <v>79</v>
      </c>
      <c r="N925" s="15"/>
      <c r="O925" s="16" t="s">
        <v>54</v>
      </c>
      <c r="P925" s="12" t="s">
        <v>2267</v>
      </c>
      <c r="Q925" s="16"/>
      <c r="R925" s="18" t="s">
        <v>79</v>
      </c>
      <c r="S925" s="19"/>
      <c r="T925" s="12" t="str">
        <f aca="false">IF(R925="維持",J925,IF(R925="排除","無關新聞事件",IFERROR(INDEX(事件規則!$B$2:$B$53,MATCH(S925,事件規則!$A$2:$A$53,0)),"")))</f>
        <v>無關新聞事件</v>
      </c>
      <c r="U925" s="20" t="n">
        <f aca="false">IF(R925="維持",K925,IF(R925="排除",0,IFERROR(INDEX(事件規則!$C$2:$C$53,MATCH(S925,事件規則!$A$2:$A$53,0)),"")))</f>
        <v>0</v>
      </c>
      <c r="V925" s="21"/>
      <c r="W925" s="22"/>
      <c r="X925" s="10" t="str">
        <f aca="false">IF(AND(R925="修改",S925=""),"請選新事件代碼",IF(AND(R925&lt;&gt;"修改",S925&lt;&gt;""),"只有「修改」才需填代碼",""))</f>
        <v/>
      </c>
      <c r="Y925" s="21"/>
      <c r="Z925" s="22"/>
      <c r="AA925" s="23" t="s">
        <v>2848</v>
      </c>
      <c r="AB925" s="13"/>
    </row>
    <row r="926" customFormat="false" ht="44" hidden="false" customHeight="false" outlineLevel="0" collapsed="false">
      <c r="A926" s="16" t="n">
        <v>925</v>
      </c>
      <c r="B926" s="9" t="s">
        <v>386</v>
      </c>
      <c r="C926" s="9" t="s">
        <v>127</v>
      </c>
      <c r="D926" s="10" t="s">
        <v>128</v>
      </c>
      <c r="E926" s="24" t="s">
        <v>2849</v>
      </c>
      <c r="F926" s="12"/>
      <c r="G926" s="23" t="s">
        <v>2850</v>
      </c>
      <c r="H926" s="14" t="n">
        <v>-0.504</v>
      </c>
      <c r="I926" s="15"/>
      <c r="J926" s="12"/>
      <c r="K926" s="9"/>
      <c r="L926" s="16" t="s">
        <v>51</v>
      </c>
      <c r="M926" s="17" t="s">
        <v>79</v>
      </c>
      <c r="N926" s="15"/>
      <c r="O926" s="16" t="s">
        <v>54</v>
      </c>
      <c r="P926" s="12" t="s">
        <v>2267</v>
      </c>
      <c r="Q926" s="16"/>
      <c r="R926" s="18" t="s">
        <v>79</v>
      </c>
      <c r="S926" s="19"/>
      <c r="T926" s="12" t="str">
        <f aca="false">IF(R926="維持",J926,IF(R926="排除","無關新聞事件",IFERROR(INDEX(事件規則!$B$2:$B$53,MATCH(S926,事件規則!$A$2:$A$53,0)),"")))</f>
        <v>無關新聞事件</v>
      </c>
      <c r="U926" s="20" t="n">
        <f aca="false">IF(R926="維持",K926,IF(R926="排除",0,IFERROR(INDEX(事件規則!$C$2:$C$53,MATCH(S926,事件規則!$A$2:$A$53,0)),"")))</f>
        <v>0</v>
      </c>
      <c r="V926" s="21"/>
      <c r="W926" s="22"/>
      <c r="X926" s="10" t="str">
        <f aca="false">IF(AND(R926="修改",S926=""),"請選新事件代碼",IF(AND(R926&lt;&gt;"修改",S926&lt;&gt;""),"只有「修改」才需填代碼",""))</f>
        <v/>
      </c>
      <c r="Y926" s="21"/>
      <c r="Z926" s="22"/>
      <c r="AA926" s="23" t="s">
        <v>2851</v>
      </c>
      <c r="AB926" s="13"/>
    </row>
    <row r="927" customFormat="false" ht="44" hidden="false" customHeight="false" outlineLevel="0" collapsed="false">
      <c r="A927" s="16" t="n">
        <v>926</v>
      </c>
      <c r="B927" s="9" t="s">
        <v>45</v>
      </c>
      <c r="C927" s="16"/>
      <c r="D927" s="10" t="s">
        <v>109</v>
      </c>
      <c r="E927" s="11" t="s">
        <v>2852</v>
      </c>
      <c r="F927" s="12" t="s">
        <v>2852</v>
      </c>
      <c r="G927" s="23" t="s">
        <v>152</v>
      </c>
      <c r="H927" s="14" t="n">
        <v>-0.503</v>
      </c>
      <c r="I927" s="15"/>
      <c r="J927" s="12"/>
      <c r="K927" s="9"/>
      <c r="L927" s="16" t="s">
        <v>51</v>
      </c>
      <c r="M927" s="17" t="s">
        <v>79</v>
      </c>
      <c r="N927" s="15"/>
      <c r="O927" s="16" t="s">
        <v>54</v>
      </c>
      <c r="P927" s="12" t="s">
        <v>2267</v>
      </c>
      <c r="Q927" s="16"/>
      <c r="R927" s="18" t="s">
        <v>79</v>
      </c>
      <c r="S927" s="19"/>
      <c r="T927" s="12" t="str">
        <f aca="false">IF(R927="維持",J927,IF(R927="排除","無關新聞事件",IFERROR(INDEX(事件規則!$B$2:$B$53,MATCH(S927,事件規則!$A$2:$A$53,0)),"")))</f>
        <v>無關新聞事件</v>
      </c>
      <c r="U927" s="20" t="n">
        <f aca="false">IF(R927="維持",K927,IF(R927="排除",0,IFERROR(INDEX(事件規則!$C$2:$C$53,MATCH(S927,事件規則!$A$2:$A$53,0)),"")))</f>
        <v>0</v>
      </c>
      <c r="V927" s="21"/>
      <c r="W927" s="22"/>
      <c r="X927" s="10" t="str">
        <f aca="false">IF(AND(R927="修改",S927=""),"請選新事件代碼",IF(AND(R927&lt;&gt;"修改",S927&lt;&gt;""),"只有「修改」才需填代碼",""))</f>
        <v/>
      </c>
      <c r="Y927" s="21"/>
      <c r="Z927" s="22"/>
      <c r="AA927" s="23" t="s">
        <v>2853</v>
      </c>
      <c r="AB927" s="13"/>
    </row>
    <row r="928" customFormat="false" ht="44" hidden="false" customHeight="false" outlineLevel="0" collapsed="false">
      <c r="A928" s="16" t="n">
        <v>927</v>
      </c>
      <c r="B928" s="9" t="s">
        <v>331</v>
      </c>
      <c r="C928" s="9" t="s">
        <v>524</v>
      </c>
      <c r="D928" s="10" t="s">
        <v>525</v>
      </c>
      <c r="E928" s="24" t="s">
        <v>2854</v>
      </c>
      <c r="F928" s="12"/>
      <c r="G928" s="23" t="s">
        <v>2855</v>
      </c>
      <c r="H928" s="14" t="n">
        <v>-0.503</v>
      </c>
      <c r="I928" s="15"/>
      <c r="J928" s="12"/>
      <c r="K928" s="9"/>
      <c r="L928" s="16" t="s">
        <v>51</v>
      </c>
      <c r="M928" s="17" t="s">
        <v>79</v>
      </c>
      <c r="N928" s="15"/>
      <c r="O928" s="16" t="s">
        <v>54</v>
      </c>
      <c r="P928" s="12" t="s">
        <v>2267</v>
      </c>
      <c r="Q928" s="16"/>
      <c r="R928" s="18" t="s">
        <v>79</v>
      </c>
      <c r="S928" s="19"/>
      <c r="T928" s="12" t="str">
        <f aca="false">IF(R928="維持",J928,IF(R928="排除","無關新聞事件",IFERROR(INDEX(事件規則!$B$2:$B$53,MATCH(S928,事件規則!$A$2:$A$53,0)),"")))</f>
        <v>無關新聞事件</v>
      </c>
      <c r="U928" s="20" t="n">
        <f aca="false">IF(R928="維持",K928,IF(R928="排除",0,IFERROR(INDEX(事件規則!$C$2:$C$53,MATCH(S928,事件規則!$A$2:$A$53,0)),"")))</f>
        <v>0</v>
      </c>
      <c r="V928" s="21"/>
      <c r="W928" s="22"/>
      <c r="X928" s="10" t="str">
        <f aca="false">IF(AND(R928="修改",S928=""),"請選新事件代碼",IF(AND(R928&lt;&gt;"修改",S928&lt;&gt;""),"只有「修改」才需填代碼",""))</f>
        <v/>
      </c>
      <c r="Y928" s="21"/>
      <c r="Z928" s="22"/>
      <c r="AA928" s="23" t="s">
        <v>2856</v>
      </c>
      <c r="AB928" s="13"/>
    </row>
  </sheetData>
  <autoFilter ref="A1:AB928"/>
  <conditionalFormatting sqref="K2:K928">
    <cfRule type="expression" priority="2" aboveAverage="0" equalAverage="0" bottom="0" percent="0" rank="0" text="" dxfId="12">
      <formula>AND(ISNUMBER(K2),K2=5)</formula>
    </cfRule>
    <cfRule type="expression" priority="3" aboveAverage="0" equalAverage="0" bottom="0" percent="0" rank="0" text="" dxfId="13">
      <formula>AND(ISNUMBER(K2),K2=4)</formula>
    </cfRule>
    <cfRule type="expression" priority="4" aboveAverage="0" equalAverage="0" bottom="0" percent="0" rank="0" text="" dxfId="14">
      <formula>AND(ISNUMBER(K2),K2=3)</formula>
    </cfRule>
    <cfRule type="expression" priority="5" aboveAverage="0" equalAverage="0" bottom="0" percent="0" rank="0" text="" dxfId="15">
      <formula>AND(ISNUMBER(K2),K2=2)</formula>
    </cfRule>
    <cfRule type="expression" priority="6" aboveAverage="0" equalAverage="0" bottom="0" percent="0" rank="0" text="" dxfId="16">
      <formula>AND(ISNUMBER(K2),K2=1)</formula>
    </cfRule>
    <cfRule type="expression" priority="7" aboveAverage="0" equalAverage="0" bottom="0" percent="0" rank="0" text="" dxfId="17">
      <formula>AND(ISNUMBER(K2),K2=0)</formula>
    </cfRule>
  </conditionalFormatting>
  <conditionalFormatting sqref="U2:U928">
    <cfRule type="expression" priority="8" aboveAverage="0" equalAverage="0" bottom="0" percent="0" rank="0" text="" dxfId="12">
      <formula>AND(ISNUMBER(U2),U2=5)</formula>
    </cfRule>
    <cfRule type="expression" priority="9" aboveAverage="0" equalAverage="0" bottom="0" percent="0" rank="0" text="" dxfId="13">
      <formula>AND(ISNUMBER(U2),U2=4)</formula>
    </cfRule>
    <cfRule type="expression" priority="10" aboveAverage="0" equalAverage="0" bottom="0" percent="0" rank="0" text="" dxfId="14">
      <formula>AND(ISNUMBER(U2),U2=3)</formula>
    </cfRule>
    <cfRule type="expression" priority="11" aboveAverage="0" equalAverage="0" bottom="0" percent="0" rank="0" text="" dxfId="15">
      <formula>AND(ISNUMBER(U2),U2=2)</formula>
    </cfRule>
    <cfRule type="expression" priority="12" aboveAverage="0" equalAverage="0" bottom="0" percent="0" rank="0" text="" dxfId="16">
      <formula>AND(ISNUMBER(U2),U2=1)</formula>
    </cfRule>
    <cfRule type="expression" priority="13" aboveAverage="0" equalAverage="0" bottom="0" percent="0" rank="0" text="" dxfId="17">
      <formula>AND(ISNUMBER(U2),U2=0)</formula>
    </cfRule>
  </conditionalFormatting>
  <conditionalFormatting sqref="X2:X928">
    <cfRule type="expression" priority="14" aboveAverage="0" equalAverage="0" bottom="0" percent="0" rank="0" text="" dxfId="18">
      <formula>X2&lt;&gt;""</formula>
    </cfRule>
  </conditionalFormatting>
  <conditionalFormatting sqref="O2:O928">
    <cfRule type="expression" priority="15" aboveAverage="0" equalAverage="0" bottom="0" percent="0" rank="0" text="" dxfId="18">
      <formula>O2="低"</formula>
    </cfRule>
  </conditionalFormatting>
  <conditionalFormatting sqref="Q2:Q928">
    <cfRule type="expression" priority="16" aboveAverage="0" equalAverage="0" bottom="0" percent="0" rank="0" text="" dxfId="18">
      <formula>Q2="是"</formula>
    </cfRule>
  </conditionalFormatting>
  <dataValidations count="2">
    <dataValidation allowBlank="false" error="只能選：維持、修改、排除" errorStyle="stop" errorTitle="請選擇" operator="between" showDropDown="false" showErrorMessage="true" showInputMessage="false" sqref="R2:R928" type="list">
      <formula1>"維持,修改,排除"</formula1>
      <formula2>0</formula2>
    </dataValidation>
    <dataValidation allowBlank="true" error="只能選規則表內的事件代碼" errorStyle="stop" errorTitle="事件代碼" operator="between" showDropDown="false" showErrorMessage="true" showInputMessage="false" sqref="S2:S928" type="list">
      <formula1>事件規則!$A$2:$A$53</formula1>
      <formula2>0</formula2>
    </dataValidation>
  </dataValidations>
  <hyperlinks>
    <hyperlink ref="E2" r:id="rId1" display="盤中速報 - AT&amp;T(T-US)大跌5.08%，報21.59美元"/>
    <hyperlink ref="E3" r:id="rId2" display="American Express is cutting about 3,500 jobs to make room for AI"/>
    <hyperlink ref="E4" r:id="rId3" display="American Express Plans to Cut 5% of Global Jobs. The Stock Is Falling on Earnings."/>
    <hyperlink ref="E5" r:id="rId4" display="Delta Air Lines Shares Drop Nearly 4% Amid Rising Fuel Costs : 기업주식정보 : JKN"/>
    <hyperlink ref="E6" r:id="rId5" display="Booking Holdings Inc Stock (BKNG) Moved Down by 3.03% on Oct 23: A Full Analysis"/>
    <hyperlink ref="E7" r:id="rId6" display="American Express to slash 5% of workforce in latest AI-driven layoffs"/>
    <hyperlink ref="E8" r:id="rId7" display="American Express layoffs: Thousands of roles slashed in AI push as job losses in financial services pile up"/>
    <hyperlink ref="E9" r:id="rId8" display="盤中速報 - T-Mobile US Inc(TMUS-US)大跌5.16%，報150.6美元"/>
    <hyperlink ref="E10" r:id="rId9" display="Day Around the Bay: Netflix, Ebay Cut More Than 450 Bay Area Workers in Latest Layoffs"/>
    <hyperlink ref="E11" r:id="rId10" display="Day Around the Bay: Netflix, Ebay Cut More Than 450 Bay Area Workers in Latest Layoffs"/>
    <hyperlink ref="E12" r:id="rId11" display="Globe Life Inc Stock (GL) Moved Down by 7.74% on Oct 23: Drivers Behind the Movement"/>
    <hyperlink ref="E13" r:id="rId12" display="Western Digital Corp Stock (WDC) Moved Down by 3.80% on Oct 23: A Full Analysis"/>
    <hyperlink ref="E14" r:id="rId13" display="盤中速報 - Verisk Analytics Inc(VRSK-US)大跌5.04%，報193.09美元"/>
    <hyperlink ref="E15" r:id="rId14" display="Dollar Store Stocks Slide as Selling Hits Discount Retail: Dollar Tree and Dollar General Drop 6%"/>
    <hyperlink ref="E16" r:id="rId15" display="Eli Lilly and Co Stock (LLY) Moved Down by 3.33% on Oct 23: Drivers Behind the Movement"/>
    <hyperlink ref="E17" r:id="rId16" display="Dollar Store Stocks Slide as Selling Hits Discount Retail: Dollar Tree and Dollar General Drop 6%"/>
    <hyperlink ref="E18" r:id="rId17" display="Dollar Tree, Dollar General Stocks Slide as Their Core Shoppers Get Squeezed"/>
    <hyperlink ref="E19" r:id="rId18" display="Goldman Sachs sees AI-fueled layoffs displacing nearly 10% of workers in the coming years"/>
    <hyperlink ref="E20" r:id="rId19" display="MSI RTX 5070 gaming laptop with 32GB RAM drops to its lowest-ever price"/>
    <hyperlink ref="E21" r:id="rId20" display="Uber Technologies Inc Stock (UBER) Closed Down by 3.43% on Oct 23: Drivers Behind the Movement"/>
    <hyperlink ref="E22" r:id="rId21" display="American Express Co (AXP) Stock Down 3.7% -- Now Undervalued? GF Score: 87/100"/>
    <hyperlink ref="E23" r:id="rId22" display="Houston, Verizon Has a Problem: Verizon Stock Falls as SpaceX Reportedly Seeks 80,000 Cell Sites"/>
    <hyperlink ref="E24" r:id="rId23" display="Verizon Communications Inc Stock (VZ) Moved Down by 3.21% on Oct 23: Key Drivers Unveiled"/>
    <hyperlink ref="E25" r:id="rId24" display="Lam Research Stocks Edge Lower as $8.6 Billion Guidance Tests Shipment Capacity"/>
    <hyperlink ref="E26" r:id="rId25" display="American Express to Cut 3,500 Jobs as Corporate Layoffs Spread"/>
    <hyperlink ref="E27" r:id="rId26" display="Williams-Sonoma Inc (WSM) Shares Fall 3.2% -- What GF Score of 8"/>
    <hyperlink ref="E28" r:id="rId27" display="Dollar Tree, Dollar General Stocks Slide as Their Core Shoppers Get Squeezed"/>
    <hyperlink ref="E29" r:id="rId28" display="MSI RTX 5070 gaming laptop with 32GB RAM drops to its lowest-ever price"/>
    <hyperlink ref="E30" r:id="rId29" display="TransDigm Group Inc (TDG) Shares Fall 3.2% -- What GF Score of 8"/>
    <hyperlink ref="E31" r:id="rId30" display="Ross Stores Inc (ROST) Stock Down 3.1% but Still Overvalued -- G"/>
    <hyperlink ref="E32" r:id="rId31" display="Universal Theme Park Revenue Drops as Comcast Cites Disney Competition &amp; Epic Universe Capacity Challenges"/>
    <hyperlink ref="E33" r:id="rId32" display="CSX (CSX) Stock Slips As Q3 Results Show Margin Strength"/>
    <hyperlink ref="E34" r:id="rId33" display="Uber Technologies Inc (UBER) Stock Down 3.4% -- Now Undervalued? GF Score: 83/100"/>
    <hyperlink ref="E35" r:id="rId34" display="Polen Focus Growth Strategy Sells Rollins, Inc. (ROL) Amid Business Execution Concerns"/>
    <hyperlink ref="E36" r:id="rId35" display="Intuitive Surgical Sinks 6% as U.S. da Vinci Growth Slows to “Lowest We’ve Seen Since COVID”"/>
    <hyperlink ref="E37" r:id="rId36" display="Corteva Inc (CTVA) Stock Down 3.2% but Still Overvalued -- GF Sc"/>
    <hyperlink ref="E38" r:id="rId37" display="Sysco Corp (SYY) Stock Down 3.1% -- Now Undervalued? GF Score: 8"/>
    <hyperlink ref="E39" r:id="rId38" display="Tech Layoffs Mount as Netflix and eBay Cut Around 2,000 Jobs"/>
    <hyperlink ref="E40" r:id="rId39" display="Accenture Lobbying Spend Falls to $490K as Roster Shrinks"/>
    <hyperlink ref="E41" r:id="rId40" display="American Express is cutting 5% of its workforce to 'prepare for AI'"/>
    <hyperlink ref="E42" r:id="rId41" display="Robinhood Markets (NASDAQ:HOOD) Shares Down 1.6% After Insider Selling"/>
    <hyperlink ref="E43" r:id="rId42" display="Procter &amp; Gamble Stocks Decrease 2.62% as $1.4 Billion Cost Burden Grows"/>
    <hyperlink ref="E44" r:id="rId43" display="Top Midday Stories: American Express to Cut 5% of Workforce; Bloom Energy Shares Fall Despite Q3 Beat"/>
    <hyperlink ref="E45" r:id="rId44" display="Accenture PLC Stock (ACN) Opened Down by 4.04% on Oct 23: What Signal Does It Send?"/>
    <hyperlink ref="E46" r:id="rId45" display="American Express is cutting 5% of its workforce to 'prepare for AI'"/>
    <hyperlink ref="E47" r:id="rId46" display="Dover (DOV) Stock Slips As Q3 Earnings Meet Execution Doubts"/>
    <hyperlink ref="E48" r:id="rId47" display="2 Starbucks stores closing in Sea-Tac Airport; layoffs planned"/>
    <hyperlink ref="E49" r:id="rId48" display="Ethereum ETFs approach fourth week of outflows as Coinbase Premium drops to lowest since June"/>
    <hyperlink ref="E50" r:id="rId49" display="Tapestry Inc (TPR) Shares Fall 3.1% -- What GF Score of 82 Tells Investors"/>
    <hyperlink ref="E51" r:id="rId50" display="CBRE Falls After Revenue Miss and Cautious Segment Commentary Overshadow Profit Beat"/>
    <hyperlink ref="E52" r:id="rId51" display="Accenture shares fall on insider sales and analyst downgrade"/>
    <hyperlink ref="E53" r:id="rId52" display="Tractor Supply (TSCO) Stock Slides As Q3 Results Expose Margin Strain"/>
    <hyperlink ref="E54" r:id="rId53" display="Netflix reports slowing revenue growth following headcount reduction"/>
    <hyperlink ref="E55" r:id="rId54" display="美國運通首席執行官表示，公司將裁減5%的員工"/>
    <hyperlink ref="E56" r:id="rId55" display="美國航空股集體下跌"/>
    <hyperlink ref="E57" r:id="rId56" display="NVR Q3 net income falls 27% as homebuilding margin narrows"/>
    <hyperlink ref="E58" r:id="rId57" display="Starbucks to close SEA Terminal A store, cutting 13 jobs and leaving 4 airport cafes"/>
    <hyperlink ref="E59" r:id="rId58" display="T-Mobile US falls 8% amid SpaceX competition concerns (TMUS:NASDAQ)"/>
    <hyperlink ref="E60" r:id="rId59" display="CBRE Global Real Estate Income Fund drops 28%, raising concerns over its sustainability despite high yield."/>
    <hyperlink ref="E61" r:id="rId60" display="NVR Faces Margin Risk Amid Weak Housing Demand, BofA Says"/>
    <hyperlink ref="E62" r:id="rId61" display="First Hawaiian stock dips 2% on third-quarter earnings miss"/>
    <hyperlink ref="E63" r:id="rId62" display="American Express Reportedly Plans to Cut 5% of its Global Workforce"/>
    <hyperlink ref="E64" r:id="rId63" display="BofA downgrades NVR stock rating on weak orders and absorption"/>
    <hyperlink ref="E65" r:id="rId64" display="Goldman Sachs warns Turkey’s $30 billion reserve loss could deepen"/>
    <hyperlink ref="E66" r:id="rId65" display="Cummins stock trades 21.11 percent below its 52-week high"/>
    <hyperlink ref="E67" r:id="rId66" display="American Express (AXP) Stock Price Drops After Strong Q3 Earnings"/>
    <hyperlink ref="E68" r:id="rId67" display="Procter &amp; Gamble Stocks Decrease 2.62% as $1.4 Billion Cost Burd"/>
    <hyperlink ref="E69" r:id="rId68" display="Dow Jones Today: DJIA Falls to 52,215.16 as American Express Slides and Oil Prices Jump"/>
    <hyperlink ref="E70" r:id="rId69" display="Globe Life Inc (GL) Shares Fall 8.1% -- GF Value Says Still Overvalued"/>
    <hyperlink ref="E71" r:id="rId70" display="Why T-Mobile US Stock Dropped Today"/>
    <hyperlink ref="E72" r:id="rId71" display="Why Did Genuine Parts (GPC) Shares Drop After Its Latest Update?"/>
    <hyperlink ref="E73" r:id="rId72" display="Day Around the Bay: Netflix, Ebay Axe More Than 450 Bay Area Workers in Latest Layoffs"/>
    <hyperlink ref="E74" r:id="rId73" display="McDonald's India operator Westlife Foodworld swings to Q2 loss of Rs 2.7 crore"/>
    <hyperlink ref="E75" r:id="rId74" display="Exclusive-Boeing supplier dispute has halted 777 freighter production for two months, sources say"/>
    <hyperlink ref="E76" r:id="rId75" display="Quest Diagnostics Reports Patient-Record Intrusion As Labs Face Scrutiny Over Data Security"/>
    <hyperlink ref="E77" r:id="rId76" display="American Express To Cut 5% Of Jobs As AI Reshapes Business"/>
    <hyperlink ref="E78" r:id="rId77" display="Block Inc (XYZ) Shares Fall 3.2% -- GF Value Says Still Overvalued"/>
    <hyperlink ref="E79" r:id="rId78" display="Day Around the Bay: Netflix, Ebay Axe More Than 450 Bay Area Workers in Latest Layoffs"/>
    <hyperlink ref="E80" r:id="rId79" display="Carnival Corporation Ltd (CCL) Stock Down 3.6% but Still Overval"/>
    <hyperlink ref="E81" r:id="rId80" display="Colgate-Palmolive (CL) Faces A Leadership Exit On A Pricey Earnings Narrative"/>
    <hyperlink ref="E82" r:id="rId81" display="ODFL slides over 4% as shares remain below key moving averages despite dividend increase"/>
    <hyperlink ref="E83" r:id="rId82" display="Moderna Stock Plummets 18% After Cancer-Vaccine Data Leak"/>
    <hyperlink ref="E84" r:id="rId83" display="Goldman Sachs Notes Sharp Drop in Retail Trading Volumes, GS Sto"/>
    <hyperlink ref="E85" r:id="rId84" display="PulteGroup Net Down as Mortgage Rates Weigh on Home Sales"/>
    <hyperlink ref="E86" r:id="rId85" display="American Express CEO announces plans to cut 5% of workforce amid restructuring | Trending"/>
    <hyperlink ref="E87" r:id="rId86" display="Tech layoffs tracker 2026: All the job losses across Netflix, Electronic Arts, eBay, Apple, TikTok, Meta and others"/>
    <hyperlink ref="E88" r:id="rId87" display="Stellantis Sinks 8% as Q3 Report Nears; Ford Drops 4%, General Motors Slides 3%"/>
    <hyperlink ref="E89" r:id="rId88" display="T-Mobile US Inc Stock (TMUS) Opened Down by 3.56% on Oct 23: What Investors Need To Know"/>
    <hyperlink ref="E90" r:id="rId89" display="DEP: Equitrans LP [EQT] Conventional Well Plugging Results In Multiple Spills, Inadvertent Returns, Failure To Comply With Permits In Greene County"/>
    <hyperlink ref="E91" r:id="rId90" display="Delta Air Lines Inc (DAL) Shares Fall 3.1% -- GF Value Says Stil"/>
    <hyperlink ref="E92" r:id="rId91" display="Western Digital CFO Rebuts AI Cooling Rumors: Customers Unwavering, but Capex Surge Sends Shares Down 3%"/>
    <hyperlink ref="E93" r:id="rId92" display="eBay and Netflix layoffs to impact over 450 Bay Area workers"/>
    <hyperlink ref="E94" r:id="rId93" display="eBay and Netflix layoffs to impact over 450 Bay Area workers"/>
    <hyperlink ref="E95" r:id="rId94" display="美股三大電信股齊跌4%"/>
    <hyperlink ref="E96" r:id="rId95" display="AT&amp;T, Verizon, T-Mobile Shares Slip As SpaceX Reportedly Holds Cell Tower Talks For Starlink Mobile"/>
    <hyperlink ref="E97" r:id="rId96" display="美股三大電信股齊跌4%"/>
    <hyperlink ref="E98" r:id="rId97" display="Howmet Aerospace Stock: 5 Straight Red Days, Down 16%"/>
    <hyperlink ref="E99" r:id="rId98" display="AT&amp;T, Verizon, T-Mobile Shares Slip As SpaceX Reportedly Holds Cell Tower Talks For Starlink Mobile"/>
    <hyperlink ref="E100" r:id="rId99" display="ADP spending hits Tk 12,018cr in Q1, lowest since FY18"/>
    <hyperlink ref="E101" r:id="rId100" display="美股三大電信股齊跌4%"/>
    <hyperlink ref="E102" r:id="rId101" display="Netflix Is Down 51% From Its High. History Suggests This Is What Happens Next."/>
    <hyperlink ref="E103" r:id="rId102" display="Comfort Systems USA (FIX) Stock Price Slides After Q3 Earnings Strength"/>
    <hyperlink ref="E104" r:id="rId103" display="Western Digital downgraded to Hold amid AI cycle risks and fading pricing momentum"/>
    <hyperlink ref="E105" r:id="rId104" display="Amazon.com (AMZN) Cancels $427 Million Loudoun County Data Center Project"/>
    <hyperlink ref="E106" r:id="rId105" display="American Express Stocks Fall 1.94% as Company Plans 5% Workforce Cut"/>
    <hyperlink ref="E107" r:id="rId106" display="Western Digital (WDC) Stock Price Defies Q1 Earnings Strength"/>
    <hyperlink ref="E108" r:id="rId107" display="Howmet Aerospace stock: A 3.15 percent fall leaves Howmet Aerospace stock at EUR 166.73"/>
    <hyperlink ref="E109" r:id="rId108" display="Delta cut 2026 guidance as fuel costs pressure Delta Air Lines stock"/>
    <hyperlink ref="E110" r:id="rId109" display="Update: American Express Plans to Cut 5% of Global Workforce"/>
    <hyperlink ref="E111" r:id="rId110" display="United Rentals Falls 4.6% as Analyst Downgrade Appears to Pressure Shares"/>
    <hyperlink ref="E112" r:id="rId111" display="Amazon's Fire HD 10 tablet has been marked down to a throwaway $72 for a limited time"/>
    <hyperlink ref="E113" r:id="rId112" display="Boeing supplier dispute has halted 777 freighter production for two months, sources say"/>
    <hyperlink ref="E114" r:id="rId113" display="Telecom Stocks Fall as SpaceX Eyes 80,000 Cell Sites: T-Mobile Sinks 5%, AT&amp;T Drops 4%, Verizon Slides 3%"/>
    <hyperlink ref="E115" r:id="rId114" display="American Express Workforce Cuts Amid Rising AI Revolution"/>
    <hyperlink ref="E116" r:id="rId115" display="American Express to Lay Off 5% of Workforce to ‘Prepare for AI’"/>
    <hyperlink ref="E117" r:id="rId116" display="YouTube Is Running Away From Netflix as Nielsen’s Latest Gauge Shows the Streaming Gap Nearly Doubling"/>
    <hyperlink ref="E118" r:id="rId117" display="Comfort Systems USA drops 9% after earnings, CFO retirement (FIX:NYSE)"/>
    <hyperlink ref="E119" r:id="rId118" display="Howmet Aerospace stock hits 52-week low at 188.01 USD"/>
    <hyperlink ref="E120" r:id="rId119" display="Salesforce, American Express Share Losses Lead Dow's 575-Point Drop"/>
    <hyperlink ref="E121" r:id="rId120" display="American Express plans thousands of layoffs after two years of hiring"/>
    <hyperlink ref="E122" r:id="rId121" display="Flex Stock Slides 36% Over 10 Straight Down Days"/>
    <hyperlink ref="E123" r:id="rId122" display="EMCOR Stock Slides 18% Over 10 Straight Down Days"/>
    <hyperlink ref="E124" r:id="rId123" display="Incident at Findel airport: Cargolux Boeing 747-8F landing gear collapses while parked"/>
    <hyperlink ref="E125" r:id="rId124" display="CBRE shares fall as higher earnings meet property-market caution"/>
    <hyperlink ref="E126" r:id="rId125" display="Global investment bank Goldman Sachs lowered its 12-month KOSPI target index by 25% from 12,000 to 9.."/>
    <hyperlink ref="E127" r:id="rId126" display="Nasdaq Index: AI Spending Fears Put Alphabet, Microsoft and Amazon in Focus"/>
    <hyperlink ref="E128" r:id="rId127" display="Netflix viewing is said to fall as engagement weakens, raising growth concerns (NFLX:NASDAQ)"/>
    <hyperlink ref="E129" r:id="rId128" display="Nasdaq Index: AI Spending Fears Put Alphabet, Microsoft and Amazon in Focus"/>
    <hyperlink ref="E130" r:id="rId129" display="American Express Posts Mixed Financial Results"/>
    <hyperlink ref="E131" r:id="rId130" display="JBL 305P MkII Studio Monitors Drop to $99 Each"/>
    <hyperlink ref="E132" r:id="rId131" display="Globe Life (GL) Shares Dip After Piper Sandler Downgrade Amid Q3 Earnings Miss"/>
    <hyperlink ref="E133" r:id="rId132" display="Applied Materials (AMAT) Could Be 41% Below Fair Value Following Supply Bottleneck Fears"/>
    <hyperlink ref="E134" r:id="rId133" display="Western Digital Stock Pullback Despite Fiscal Q1 Beat Reflects AI Capex Concerns, Wedbush Says"/>
    <hyperlink ref="E135" r:id="rId134" display="SLM Stock Slides As Earnings Miss And Legal Probes Rattle Traders"/>
    <hyperlink ref="E136" r:id="rId135" display="NIKE (NYSE:NKE) Shares Down 2.6% - Should You Sell?"/>
    <hyperlink ref="E137" r:id="rId136" display="Boeing 777F production reportedly halted for nearly two months by supplier dispute"/>
    <hyperlink ref="E138" r:id="rId137" display="American Express Outage Today: Is American Express Down? Users Report Problems with App, Mobile Banking, and Login – Check American Express Downdetector Status"/>
    <hyperlink ref="E139" r:id="rId138" display="Walmart on Six Mile Cypress Pkwy closed following electrical injury, authorities say"/>
    <hyperlink ref="E140" r:id="rId139" display="NVIDIA's latest 621.01 driver is causing a black screen and other issues"/>
    <hyperlink ref="E141" r:id="rId140" display="eBay Layoffs 2026: 1,000 Jobs Cut Despite Stock Surge"/>
    <hyperlink ref="E142" r:id="rId141" display="Zacks Research Lowers Earnings Estimates for EOG Resources"/>
    <hyperlink ref="E143" r:id="rId142" display="Delta Air Lines Apologizes After Gate Agent Enforces Incorrect Bag Rule On Passenger's Carry-On"/>
    <hyperlink ref="E144" r:id="rId143" display="General Motors Stock Forecast: GM Coils Below $85.23 as Q3 Earnings Test a Third Guidance Raise"/>
    <hyperlink ref="E145" r:id="rId144" display="Boeing supplier dispute has halted 777 freighter production for two months"/>
    <hyperlink ref="E146" r:id="rId145" display="Nvidia Funding Pressure Is Reshaping AI Data Center Finance Stocks"/>
    <hyperlink ref="E147" r:id="rId146" display="Websites Go Offline, Protests in France, Netflix Downsizes"/>
    <hyperlink ref="E148" r:id="rId147" display="$1B in Budget — PSA part arrears; Divali Nagar nixed"/>
    <hyperlink ref="E149" r:id="rId148" display="Samsung 43-Inch M70F 4K Smart Monitor Drops to $399.99 at Best Buy"/>
    <hyperlink ref="E150" r:id="rId149" display="Why is American Express cutting 3,500 global jobs despite a profit surge to $3.71 billion?"/>
    <hyperlink ref="E151" r:id="rId150" display="Bryan Orders STT-STJ Public Schools, Executive Branch Offices Closed Friday as WAPA Outages Continue"/>
    <hyperlink ref="E152" r:id="rId151" display="Moderna stock extends decline after leaked data on melanoma vaccine trial"/>
    <hyperlink ref="E153" r:id="rId152" display="NVR Q3 Earnings Miss Estimates on Lower Settlements &amp; Margin Pressure"/>
    <hyperlink ref="E154" r:id="rId153" display="American Express to Cut 3,500 Jobs"/>
    <hyperlink ref="E155" r:id="rId154" display="Vertiv (VRT) Stock Looks Below Fair Value After A Huge Run"/>
    <hyperlink ref="E156" r:id="rId155" display="EXCLUSIVE-PRODUCTION OF BOEING'S 777 FREIGHTER STOPPED SINCE AUGUST DUE TO DISPUTE WITH PARTS SUPPLIER, SOURCES SAY"/>
    <hyperlink ref="E157" r:id="rId156" display="Boeing stock falls 26% from high as analysts cut targets"/>
    <hyperlink ref="E158" r:id="rId157" display="Stocktwits Defense Watch: Lockheed Martin, RTX, L3Harris, HII Add To Their Defense Contract Backlogs Amid Pentagon Spending Ramp-Up"/>
    <hyperlink ref="E159" r:id="rId158" display="Netflix, eBay reveal plans to cut hundreds of Bay Area jobs"/>
    <hyperlink ref="E160" r:id="rId159" display="Netflix, eBay reveal plans to cut hundreds of Bay Area jobs"/>
    <hyperlink ref="E161" r:id="rId160" display="TSCO Q3 deep dive: margin pressures persist despite sales momentum and operational actions"/>
    <hyperlink ref="E162" r:id="rId161" display="Stocktwits Defense Watch: Lockheed Martin, RTX, L3Harris, HII Add To Their Defense Contract Backlogs Amid Pentagon Spending Ramp-Up"/>
    <hyperlink ref="E163" r:id="rId162" display="Union Pacific (UNP) Stock Slips Even As Q3 Earnings Power Impresses"/>
    <hyperlink ref="E164" r:id="rId163" display="Nvidia Stocks Put AI-Factory Downtime in Minerva's Crosshairs"/>
    <hyperlink ref="E165" r:id="rId164" display="Xbox's first COO, Helen Chiang, reportedly terminated over &quot;policy violations&quot;"/>
    <hyperlink ref="E166" r:id="rId165" display="Comcast planning layoffs amid $1-billion charge"/>
    <hyperlink ref="E167" r:id="rId166" display="SLM Stock Slides As Earnings Miss And Charge-Off Surge Rattle Traders"/>
    <hyperlink ref="E168" r:id="rId167" display="American Express announces 3,500 layoffs despite profit jump and success of $895 Platinum Card"/>
    <hyperlink ref="E169" r:id="rId168" display="AI基建風暴升溫！新雲端業者全線重挫、信用風險攀升、Solidigm撤回IPO"/>
    <hyperlink ref="E170" r:id="rId169" display="Stocktwits Defense Watch: Lockheed Martin, RTX, L3Harris, HII Add To Their Defense Contract Backlogs Amid Pentagon Spending Ramp-Up"/>
    <hyperlink ref="E171" r:id="rId170" display="FAA Orders Boeing 737 Checks: Nearly 2,000 Jets Face Stabilizer Inspections"/>
    <hyperlink ref="E172" r:id="rId171" display="American Express to cut 3,500 jobs, around 5% of total workforce | CEO Stephen cited rising costs behind job cuts | Inshorts"/>
    <hyperlink ref="E173" r:id="rId172" display="American Express Is Cutting 3,500 Jobs Globally--Here's Why"/>
    <hyperlink ref="E174" r:id="rId173" display="Verizon has a bad news for iPhone Duo buyers"/>
    <hyperlink ref="E175" r:id="rId174" display="Home Depot Inc Stock (HD) Moved Down by 3.01% on Oct 23: What Investors Need To Know"/>
    <hyperlink ref="E176" r:id="rId175" display="Western Digital’s CFO refuted claims that AI demand has peaked, stating there are no signs of weakening"/>
    <hyperlink ref="E177" r:id="rId176" display="American Express profits rise; company plans to cut workforce by 5%, or about 3,500 employees"/>
    <hyperlink ref="E178" r:id="rId177" display="American Express Becomes the Latest Company To Announce Massive Layoffs Over the AI Boom"/>
    <hyperlink ref="E179" r:id="rId178" display="Update: Market Chatter: Johnson &amp; Johnson Orthopedics, Smith &amp; Nephew Merger Collapsed Over Leadership Dispute"/>
    <hyperlink ref="E180" r:id="rId179" display="Major U.S. Insurers Humana and UnitedHealthcare Cancel Medicare Advantage Plans for 1 Million Seniors"/>
    <hyperlink ref="E181" r:id="rId180" display="Nvidia Credit Stress Could Lift Hannover Re Stock And Other AI Insurance Names"/>
    <hyperlink ref="E182" r:id="rId181" display="Healthfirst Sues CMS Over 3.5-Star Medicare Advantage Rating, Saying the Drop Will Cost It Over $380 Million"/>
    <hyperlink ref="E183" r:id="rId182" display="Old Dominion Freight Line slides 4.3% as investors look ahead to earnings amid mixed freight signals"/>
    <hyperlink ref="E184" r:id="rId183" display="Booking Holdings Inc. $BKNG Position Decreased by Pinnacle Associates Ltd."/>
    <hyperlink ref="E185" r:id="rId184" display="UPS Stock Is Down 57% From Its Record. Is It a Buy Before Its Oct. 27 Report?"/>
    <hyperlink ref="E186" r:id="rId185" display="Starbucks crackdown leaves China’s young jobless with nowhere to hide"/>
    <hyperlink ref="E187" r:id="rId186" display="MSI MAG 321CQF E18 Gaming Office Monitor price drops to $209.99"/>
    <hyperlink ref="E188" r:id="rId187" display="Xbox COO May Have Been Terminated After 3 Months On The Job, Potentially Due To Policy Violations"/>
    <hyperlink ref="E189" r:id="rId188" display="NVIDIA confirms GeForce 621.01 driver bug causing video freezes and black screens"/>
    <hyperlink ref="E190" r:id="rId189" display="Amazon Drops Ego Tools Up to 35% Off—Save on Leaf Blowers, Lawn Mowers, Snow Blowers, and More"/>
    <hyperlink ref="E191" r:id="rId190" display="IBM’s CEO Just Issued a Warning Message on AI Spending. He Ended Up Hurting His Own Stock."/>
    <hyperlink ref="E192" r:id="rId191" display="Corteva (CTVA) Separation Lawsuit Puts Dividend And Asset Moves Under Court Scrutiny"/>
    <hyperlink ref="E193" r:id="rId192" display="“We’re SICK of CVS Executives!” As flu season hits, Rhode Island pharmacy professionals protest unsafe working conditions at CVS"/>
    <hyperlink ref="E194" r:id="rId193" display="Coinbase Unit Fined €3.2M By Central Bank Of Ireland"/>
    <hyperlink ref="E195" r:id="rId194" display="Verizon Shares Retreat as Sector &amp; Peer Pressures Mount"/>
    <hyperlink ref="E196" r:id="rId195" display="Walmart Hit With Proposed Class Action Over Unpaid Overtime (1)"/>
    <hyperlink ref="E197" r:id="rId196" display="Erste Group Bank Reduces Earnings Estimates for McDonald's"/>
    <hyperlink ref="E198" r:id="rId197" display="Correction: Update: Market Chatter: Johnson &amp; Johnson Orthopedics, Smith &amp; Nephew Merger Collapsed Over Leadership Dispute"/>
    <hyperlink ref="E199" r:id="rId198" display="Verizon Communications (NYSE:VZ) Shares Down 1.4% - Time to Sell?"/>
    <hyperlink ref="E200" r:id="rId199" display="Nvidia has been suspected of causing a GeForce shortage amid the AI chip boom"/>
    <hyperlink ref="E201" r:id="rId200" display="PayPal Is Down More Than 80% From Its Peak. Here's Why I Still Own It"/>
    <hyperlink ref="E202" r:id="rId201" display="Airbnb host says new rules may lead to increased costs for guests: &quot;An unintended consequence&quot;"/>
    <hyperlink ref="E203" r:id="rId202" display="Ohio farmers work from Walmart Wi-Fi as a 6-week outage leaves neighbors unable to call 911"/>
    <hyperlink ref="E204" r:id="rId203" display="Church &amp; Dwight stock edges lower as investors digest Q2 earnings and option activity"/>
    <hyperlink ref="E205" r:id="rId204" display="Qualcomm (NASDAQ: QCOM) Plans Global &quot;Performance-Focused&quot; Layoffs Beginning In November As Smartphone Revenue Slides"/>
    <hyperlink ref="E206" r:id="rId205" display="Microsoft Stock Forecast: MSFT Pulls Back From $546.35 as Azure's 45% Guide Faces the AI Spending Test"/>
    <hyperlink ref="E207" r:id="rId206" display="Old Dominion Freight Line (ODFL) Stock Looks Stretched Following Its 41% Run"/>
    <hyperlink ref="E208" r:id="rId207" display="Applovin stock hits 52-week low at 260.5 USD"/>
    <hyperlink ref="E209" r:id="rId208" display="McDonald's India operator Westlife posts narrower quarterly loss"/>
    <hyperlink ref="E210" r:id="rId209" display="Wynn Resorts stock slides while seller pressure dominates short-term trading"/>
    <hyperlink ref="E211" r:id="rId210" display="Bitcoin – Why Coinbase warns BTC could fall to $75K amid macro risks"/>
    <hyperlink ref="E212" r:id="rId211" display="Goldman Sachs sees US stocks dip on tech earnings and macro shifts"/>
    <hyperlink ref="E213" r:id="rId212" display="CTVA Stock Crashes As Corteva Finalizes Vylor Spin-Off"/>
    <hyperlink ref="E214" r:id="rId213" display="Uber passenger spots alleged fare scam after driver demands Rs 1,780 for an Rs 885 ride"/>
    <hyperlink ref="E215" r:id="rId214" display="Netflix Is Now Down 29% This Year: Is NFLX Stock Hopeless or Ready for a Rebound?"/>
    <hyperlink ref="E216" r:id="rId215" display="Starbucks in SEA Airport’s Terminal A to close, affecting 13 employees"/>
    <hyperlink ref="E217" r:id="rId216" display="Starbucks in SEA Airport’s Terminal A to close, affecting 13 employees"/>
    <hyperlink ref="E218" r:id="rId217" display="REGULATION | Ireland fines Coinbase Subsidiary Over $3 Million Over Customer Fund Safeguards Breach"/>
    <hyperlink ref="E219" r:id="rId218" display="Broadcom Stock Is Down 7% in a Year. Cheap for a Reason or Too Cheap to Ignore?"/>
    <hyperlink ref="E220" r:id="rId219" display="Citing ‘urgent need,’ Dominion Energy sues Prince William Co. over rejected substation plan"/>
    <hyperlink ref="E221" r:id="rId220" display="Amazon backs off Northern VA data center plan months after purchase"/>
    <hyperlink ref="E222" r:id="rId221" display="American Express to Cut 5% of Global Workforce"/>
    <hyperlink ref="E223" r:id="rId222" display="Stryker Corporation $SYK Position Reduced by Citizens Financial Group Inc. RI"/>
    <hyperlink ref="E224" r:id="rId223" display="Stryker Corporation $SYK Position Reduced by Citizens Financial Group Inc. RI"/>
    <hyperlink ref="E225" r:id="rId224" display="Comcast Flags $1 Billion Q4 Charge For Layoffs, Restructuring Amid Overhaul Of Core Connectivity Business"/>
    <hyperlink ref="E226" r:id="rId225" display="American Express to Cut 5% of Global Workforce"/>
    <hyperlink ref="E227" r:id="rId226" display="Coinbase Stock Is Down 31% This Year. Should You Buy the Drop?"/>
    <hyperlink ref="E228" r:id="rId227" display="Delta Air Lines rival slashes five huge US routes starting in 2027"/>
    <hyperlink ref="E229" r:id="rId228" display="Western Digital Stock Forecast: Guidance Beat Can't Stop WDC's Slide Toward $331.30 Support"/>
    <hyperlink ref="E230" r:id="rId229" display="ADP Outage Today: Is ADP Down Today in the US? Users Report Payroll, App, Website, Login &amp; HR Management Issues | ADP Downdetector Status"/>
    <hyperlink ref="E231" r:id="rId230" display="20-year courier sues FedEx over firing for boss-approved shortcut"/>
    <hyperlink ref="E232" r:id="rId231" display="Boeing Supplier Dispute Halts 777 Freighter Output For Two Months"/>
    <hyperlink ref="E233" r:id="rId232" display="Employment Law Attorneys, at Blumenthal Nordrehaug Bhowmik De Blouw LLP, Filed a Lawsuit Against Darden Restaurants, Inc. for Alleged Failure to Reimburse Employees' Business Expenses"/>
    <hyperlink ref="E234" r:id="rId233" display="Former Minecraft lead, Xbox veteran and COO Helen Chiang &quot;fired&quot; for &quot;policy violations&quot;"/>
    <hyperlink ref="E235" r:id="rId234" display="Western Digital: Cracks In Its AI Supercycle Are Worsening (Rating Downgrade)"/>
    <hyperlink ref="E236" r:id="rId235" display="Verizon (VZ) Stock Dips Amid Rising Put Options and Elevated Vol"/>
    <hyperlink ref="E237" r:id="rId236" display="FAA orders checks on nearly 2,000 Boeing 737s after pitch oscillation events"/>
    <hyperlink ref="E238" r:id="rId237" display="Uber doubles down on ChatGPT for workers after last month's layoffs"/>
    <hyperlink ref="E239" r:id="rId238" display="MGM stock hits 52-week low at 27.93 USD"/>
    <hyperlink ref="E240" r:id="rId239" display="Electronic Arts to cut 400 employees, gaming studio BioWare to close down"/>
    <hyperlink ref="E241" r:id="rId240" display="Walmart on Six Mile Cypress shut down following possible electrical injury and structure fire"/>
    <hyperlink ref="E242" r:id="rId241" display="Nvidia (NVDA) Has Lost Its China AI Accelerator Market"/>
    <hyperlink ref="E243" r:id="rId242" display="Goldman Sachs: Record Sell-Off of Tech Stocks as AI Trading Shifts from Storytelling to Revenue Delivery"/>
    <hyperlink ref="E244" r:id="rId243" display="Wealthy Traveler Lands Private Boeing on I-25 Just So He Can Say He's Been to Wyoming WHEATLAND, Wyo. - Traffic on Interstate 25 was temporarily halted Thursday after a wealthy traveler landed a privately owned Boeing aircraft on the highway for the so"/>
    <hyperlink ref="E245" r:id="rId244" display="Western Digital Shares Fall 6.54% After Hours - Western Digital (NASDAQ:WDC)"/>
    <hyperlink ref="E246" r:id="rId245" display="Kukakuka with Naka: Hawaii business filings delayed six weeks into DCCA Salesforce backlog"/>
    <hyperlink ref="E247" r:id="rId246" display="Crypto News: Coinbase Ireland Fined €3.25M Over Client Funds as Pepeto Presale Tops $11.2M"/>
    <hyperlink ref="E248" r:id="rId247" display="American Express profits rise; company plans to cut workforce by 5%"/>
    <hyperlink ref="E249" r:id="rId248" display="Irish Regulator Fines Coinbase Unit €3.25M Over US Parent Reliance"/>
    <hyperlink ref="E250" r:id="rId249" display="EU Charges KKR with Providing Misleading Information in €22B Telecom Italia NetCo Deal"/>
    <hyperlink ref="E251" r:id="rId250" display="Why AT&amp;T Is Dropping 5.1%: Morgan Stanley Maintains Overweight"/>
    <hyperlink ref="E252" r:id="rId251" display="AMAT stock drops 48%, seen as rare buy with 66% upside amid strong AI chip demand."/>
    <hyperlink ref="E253" r:id="rId252" display="Moderna stock crashes as leaked melanoma data threatens its record August rally"/>
    <hyperlink ref="E254" r:id="rId253" display="Nearly 2,000 Boeing 737s Must Get Tail Inspections After Jets Pitched Up And Down Mid-Flight"/>
    <hyperlink ref="E255" r:id="rId254" display="NKE Stock Slips As Nike’s China E-Commerce Reset Draws Wall Street Skepticism"/>
    <hyperlink ref="E256" r:id="rId255" display="[NY Stock Market Highlights] American Express down 3%; “Tower Companies” rise (23rd)"/>
    <hyperlink ref="E257" r:id="rId256" display="Here's Why The Trade Desk (TTD) Fell More Than Broader Market"/>
    <hyperlink ref="E258" r:id="rId257" display="Why Is Delta Air Lines Stock Falling on Friday?"/>
    <hyperlink ref="E259" r:id="rId258" display="Moderna stock extends losses as investors digest melanoma vaccine trial data"/>
    <hyperlink ref="E260" r:id="rId259" display="US AI Stocks Fall Early; Accenture Drops 3.03%"/>
    <hyperlink ref="E261" r:id="rId260" display="Why Is Western Digital Stock Falling Friday?"/>
    <hyperlink ref="E262" r:id="rId261" display="Paychex (PAYX) Could Be 36% Below Fair Value As Q1 Beats Lift Momentum"/>
    <hyperlink ref="E263" r:id="rId262" display="Uncut Pitch, Foul-Smelling Dressing Room: MAS Fez Face Unacceptable Treatment in Abidjan"/>
    <hyperlink ref="E264" r:id="rId263" display="Verizon Communications (VZ) Faces Market Pressure Ahead of Earni"/>
    <hyperlink ref="E265" r:id="rId264" display="Vertiv stock trades at EUR 174.43 as Vertiv introduces an AI factory approach"/>
    <hyperlink ref="E266" r:id="rId265" display="Ares Management's Q3 report on Oct 29 may hinge on $114B assets turning into fee revenue."/>
    <hyperlink ref="E267" r:id="rId266" display="California's In-Home Care Program, Mostly Staffed by Relatives, Faces Third Federal Medicaid Hold as CMS Defers $1.2 Billion"/>
    <hyperlink ref="E268" r:id="rId267" display="11 train cars derail in Altoona near Mill Run, Norfolk Southern says"/>
    <hyperlink ref="E269" r:id="rId268" display="Western Digital Stock Falls Despite Visibility to 2031"/>
    <hyperlink ref="E270" r:id="rId269" display="Boeing’s Ridley Township Plant and 3,000 Delco Jobs Face Uncertain Future"/>
    <hyperlink ref="E271" r:id="rId270" display="Uber Technologies stock closes 3.43% lower; 15-minute RSI sits at 27.11"/>
    <hyperlink ref="E272" r:id="rId271" display="$90 Million Loss: TKO Faces Massive Repercussions Should WWE + UFC Events In Saudi Arabia Get Cancelled [REPORT]"/>
    <hyperlink ref="E273" r:id="rId272" display="Xbox Movie and TV Exclusivity Deal With Netflix Reportedly Off the Table After Microsoft Asked for $800 Million"/>
    <hyperlink ref="E274" r:id="rId273" display="Las Vegas Sands Corp. stock falls Friday, still outperforms market"/>
    <hyperlink ref="E275" r:id="rId274" display="Sandisk (SNDK) Flags Industry Supply Chain Constraints As Memory Production Timelines Tighten"/>
    <hyperlink ref="E276" r:id="rId275" display="Bernstein keeps Neutral rating: T-Mobile US stock falls 4.46 percent"/>
    <hyperlink ref="E277" r:id="rId276" display="Is Honeywell Aerospace (HONA) Undervalued Following Its Securities Lawsuit And Share Price Drop?"/>
    <hyperlink ref="E278" r:id="rId277" display="AirTag 2 Drops to New Low Price of $23 on Amazon"/>
    <hyperlink ref="E279" r:id="rId278" display="Netflix is losing ground to YouTube"/>
    <hyperlink ref="E280" r:id="rId279" display="McDonald's (NYSE:MCD) Stock Falls 1.6% - Time to Sell?"/>
    <hyperlink ref="E281" r:id="rId280" display="Wynn Resorts stock hits 52-week low at 73.03 USD"/>
    <hyperlink ref="E282" r:id="rId281" display="American Express will cut about 3,500 jobs while raising its 2026 forecast"/>
    <hyperlink ref="E283" r:id="rId282" display="Vikings’ inability to get Justin Jefferson the ball has become a yearlong problem"/>
    <hyperlink ref="E284" r:id="rId283" display="American Express to cut 5% of its total workforce: What to know"/>
    <hyperlink ref="E285" r:id="rId284" display="CBRE warns rates are holding back real estate deals"/>
    <hyperlink ref="E286" r:id="rId285" display="Boeing Stock Forms Rare Bearish Flag as Earnings Loom: Will It Drop Further?"/>
    <hyperlink ref="E287" r:id="rId286" display="PepsiCo Shuttered a Bottling Plant and Cut 112 Jobs. 3 Fast-Growing Drinks Help Explain Why"/>
    <hyperlink ref="E288" r:id="rId287" display="FAA orders Boeing 737NG inspections after reports of pitch oscillations"/>
    <hyperlink ref="E289" r:id="rId288" display="EMR delays after person hit by train between Leicester and East Midlands Parkway"/>
    <hyperlink ref="E290" r:id="rId289" display="Honeywell Aerospace (HONA) Stock Looks Below Fair Value on Cash Flow"/>
    <hyperlink ref="E291" r:id="rId290" display="Walmart driver's tip cracks $1.2M AZ fraud ring shipping stolen goods to Vietnam"/>
    <hyperlink ref="E292" r:id="rId291" display="Earnings Miss Could Be A Game Changer For PulteGroup Stock (PHM)"/>
    <hyperlink ref="E293" r:id="rId292" display="Walmart driver's tip cracks $1.2M AZ fraud ring shipping stolen goods to Vietnam"/>
    <hyperlink ref="E294" r:id="rId293" display="MCD seals 3 industrial units for pollution violations in Delhi's west zone"/>
    <hyperlink ref="E295" r:id="rId294" display="Anker USB-C to HDMI Adapter Drops Into the $10 Range on Amazon, Making Connectivity Cheaper Than Ever"/>
    <hyperlink ref="E296" r:id="rId295" display="Humana (OM:HUM) Q3 Results Confront A Persistent Margin Squeeze"/>
    <hyperlink ref="E297" r:id="rId296" display="Bunge Global (BG) Faces An Earnings Test As Viterra Deal Fuels Undervalued View"/>
    <hyperlink ref="E298" r:id="rId297" display="Marvel’s Blade Game In Trouble As Microsoft Hunts For New Studio Buyer"/>
    <hyperlink ref="E299" r:id="rId298" display="Cloud Computing Sector Downturn Puts Nvidia’s AI-Boom Financing Bets to the Test"/>
    <hyperlink ref="E300" r:id="rId299" display="Jets’ inability to get the ball to Garrett Wilson has become downright baffling"/>
    <hyperlink ref="E301" r:id="rId300" display="American Express to cut about 5% of global workforce"/>
    <hyperlink ref="E302" r:id="rId301" display="PepsiCo Faces Suit Over Siete Avocado Oil Chip Claims"/>
    <hyperlink ref="E303" r:id="rId302" display="Fitch moves Prudential Financial to negative outlook on Japan remediation uncertainty"/>
    <hyperlink ref="E304" r:id="rId303" display="What Avery Dennison Stock's Lowered Earnings Outlook Means For Shareholders"/>
    <hyperlink ref="E305" r:id="rId304" display="Netflix Hits a 52-Week Low as Valuation Gets Cheaper"/>
    <hyperlink ref="E306" r:id="rId305" display="Quest Diagnostics warns of potential data theft after attack on lab service system"/>
    <hyperlink ref="E307" r:id="rId306" display="FAA Orders Tail Inspections on 1,987 US-Registered Boeing 737NG Jets After Pitch Oscillation Reports"/>
    <hyperlink ref="E308" r:id="rId307" display="Conagra Has Already Cut Its Dividend. Can Kraft Heinz Avoid the Same Fate?"/>
    <hyperlink ref="E309" r:id="rId308" display="Reports Surface of Boeing 777F Production Halt Amid Supplier Dispute"/>
    <hyperlink ref="E310" r:id="rId309" display="Apple’s iPhone Duo Hits Stores in Face of Short Supply and High Demand"/>
    <hyperlink ref="E311" r:id="rId310" display="UnitedHealthcare, Humana Medicare Advantage cancellations to affect 1 million"/>
    <hyperlink ref="E312" r:id="rId311" display="PPL Corporation stock edges lower as dividend and Q2 2026 figures set the tone"/>
    <hyperlink ref="E313" r:id="rId312" display="Netflix removes Sandra Bullock’s Indiana Jones-style movie from its streaming library"/>
    <hyperlink ref="E314" r:id="rId313" display="LKQ Stock Faces Earnings Miss And CEO Change After Europe Problems"/>
    <hyperlink ref="E315" r:id="rId314" display="Goldman Sachs warns on the Hormuz crisis and rising fuel costs"/>
    <hyperlink ref="E316" r:id="rId315" display="NVR (NYSE:NVR) Stock Gets Downgrade from Bank of America"/>
    <hyperlink ref="E317" r:id="rId316" display="Mosaic (MOS) Stock Still Looks Reasonable As Shares Fell 53%"/>
    <hyperlink ref="E318" r:id="rId317" display="Major lane closures near M&amp;T Bank Stadium for Ravens game, breast cancer walk"/>
    <hyperlink ref="E319" r:id="rId318" display="美國電信運營商股票盤前跌幅擴大"/>
    <hyperlink ref="E320" r:id="rId319" display="Comcast prepares major cable division job cuts ahead of 2027 NBCUniversal spin-off"/>
    <hyperlink ref="E321" r:id="rId320" display="TTWO Slips 1.98% as Opus 5.5 Tests GTA 6 Moat [2026]"/>
    <hyperlink ref="E322" r:id="rId321" display="美國電信運營商股票盤前跌幅擴大"/>
    <hyperlink ref="E323" r:id="rId322" display="Church &amp; Dwight Co. stock underperforms Friday when compared to competitors"/>
    <hyperlink ref="E324" r:id="rId323" display="Analog Devices (ADI) Gains On Earnings Optimism, Is It Still 18% Below Fair Value?"/>
    <hyperlink ref="E325" r:id="rId324" display="CoreWeave's Rising Financing Uncertainty Reduces Visibility, Morgan Stanley Says"/>
    <hyperlink ref="E326" r:id="rId325" display="American Express to cut 5% of workforce"/>
    <hyperlink ref="E327" r:id="rId326" display="JBL Live 680NC Wireless on-ear Noise Cancelling headphones slips to $79.95"/>
    <hyperlink ref="E328" r:id="rId327" display="Netflix Is Down Nearly 30% in 2026. Time to Sell or Load Up?"/>
    <hyperlink ref="E329" r:id="rId328" display="Meta vs. Lam Research: Why stocks fell 7% and 12% after earnings"/>
    <hyperlink ref="E330" r:id="rId329" display="NVIDIA has officially acknowledged the presence of a critical error in the GeForce 621.01 driver."/>
    <hyperlink ref="E331" r:id="rId330" display="AMD Stock Fell 8% in a Day as Lam Research’s Supply Warning Sank Chip Stocks. Here’s Where the Stock Could Go by 2030"/>
    <hyperlink ref="E332" r:id="rId331" display="Analysts Have Conflicting Sentiments on These Technology Companies: International Business Machines (IBM) and Lam Research (LRCX)"/>
    <hyperlink ref="E333" r:id="rId332" display="McCormick &amp; Company, Incorporated (NYSE:MKC) Stock Price Down 1.3% - Time to Sell?"/>
    <hyperlink ref="E334" r:id="rId333" display="Analysts Have Conflicting Sentiments on These Technology Companies: International Business Machines (IBM) and Lam Research (LRCX)"/>
    <hyperlink ref="E335" r:id="rId334" display="PulteGroup Q3FY26 net income falls 19% YoY; RBC cuts PT to $110"/>
    <hyperlink ref="E336" r:id="rId335" display="Chipotle Mexican Grill Inc. stock underperforms Friday when compared to competitors"/>
    <hyperlink ref="E337" r:id="rId336" display="Why Is United Airlines Stock Falling on Friday?"/>
    <hyperlink ref="E338" r:id="rId337" display="Western Digital Earnings: Pricing Drives Record Earnings, Volume Growth Slows"/>
    <hyperlink ref="E339" r:id="rId338" display="Huntington Bancshares stock hits 52-week low at 14.9 USD By Investing.com"/>
    <hyperlink ref="E340" r:id="rId339" display="Howmet Aerospace Inc. stock underperforms Friday when compared to competitors"/>
    <hyperlink ref="E341" r:id="rId340" display="Western Digital Gets Target Cut Despite Strong Earnings(EDIT1)"/>
    <hyperlink ref="E342" r:id="rId341" display="Higher rates are causing compression in P/E multiples, says Morgan Stanley's Andrew Slimmon"/>
    <hyperlink ref="E343" r:id="rId342" display="2% Below Fair Value As Host Hotels &amp; Resorts (HST) Draws Fresh Analyst Interest"/>
    <hyperlink ref="E344" r:id="rId343" display="Seaport Research Issues Stark Nvidia Warning on Nvidia Stock"/>
    <hyperlink ref="E345" r:id="rId344" display="Why is Verizon stock sliding today?"/>
    <hyperlink ref="E346" r:id="rId345" display="Punchy MSI RTX 5060 Ti, Intel 7 265 prebuilt PC spotted at its lowest price in 30 days at Newegg"/>
    <hyperlink ref="E347" r:id="rId346" display="Punchy MSI RTX 5060 Ti, Intel 7 265 prebuilt PC spotted at its lowest price in 30 days at Newegg"/>
    <hyperlink ref="E348" r:id="rId347" display="Punchy MSI RTX 5060 Ti, Intel 7 265 prebuilt PC spotted at its lowest price in 30 days at Newegg"/>
    <hyperlink ref="E349" r:id="rId348" display="Netflix Quietly Confirms Removal of Its 2-Season Cult Classic in Just 2 Weeks"/>
    <hyperlink ref="E350" r:id="rId349" display="Salesforce Stocks Decrease Over 2% as Braze Deal Sets a $5.66 Bi"/>
    <hyperlink ref="E351" r:id="rId350" display="Analysts Have Conflicting Sentiments on These Technology Companies: Teledyne Technologies (TDY), Karooooo (KARO) and International Business Machines (IBM)"/>
    <hyperlink ref="E352" r:id="rId351" display="Delayed production ramp-up on Boeing T-7A jet trainer sees costs mount at Saab"/>
    <hyperlink ref="E353" r:id="rId352" display="Analysts Have Conflicting Sentiments on These Technology Companies: Teledyne Technologies (TDY), Karooooo (KARO) and International Business Machines (IBM)"/>
    <hyperlink ref="E354" r:id="rId353" display="Economy: Lobby sues over broker ban | Bill to end NSA arbitration | CMS vs ‘ghost networks’ | FTC sends warning to hospitals"/>
    <hyperlink ref="E355" r:id="rId354" display="Comcast lost 144,000 broadband customers last quarter, is planning layoffs so AI agents can take over customer service"/>
    <hyperlink ref="E356" r:id="rId355" display="6 arrested in $1.2 million Walmart fraud scheme after dozens of packages found piling up"/>
    <hyperlink ref="E357" r:id="rId356" display="Boeing's Demolition of a California Nuclear Testing Facility Has Nearby Families Worried About Cancer"/>
    <hyperlink ref="E358" r:id="rId357" display="Allstate keeps $9,000 as premature subrogation cost falls on liability carrier"/>
    <hyperlink ref="E359" r:id="rId358" display="M5 MacBook Air Returns to Prime Day Low With $200 Amazon Discount"/>
    <hyperlink ref="E360" r:id="rId359" display="BlackRock warns traditional bond hedge is breaking down"/>
    <hyperlink ref="E361" r:id="rId360" display="Medical Testing Giant Quest Diagnostics Confirms Massive Security Breach Exposing Sensitive Patient Records Amid a Coordinated Global Hacking Surge"/>
    <hyperlink ref="E362" r:id="rId361" display="Why is American Express stock sliding today?"/>
    <hyperlink ref="E363" r:id="rId362" display="Booking Holdings Inc. stock underperforms Friday when compared to competitors"/>
    <hyperlink ref="E364" r:id="rId363" display="WWE and TKO Face Major Financial Hit if Crown Jewel Canceled"/>
    <hyperlink ref="E365" r:id="rId364" display="AT&amp;T extends recent slump with another 8% retreat (T:NYSE)"/>
    <hyperlink ref="E366" r:id="rId365" display="JBL Quantum 910X Wireless over-ear Performance Gaming Headset sees price cut to $199.95"/>
    <hyperlink ref="E367" r:id="rId366" display="Lab testing giant Quest Diagnostics confirms patients' personal and health data was compromised during breach"/>
    <hyperlink ref="E368" r:id="rId367" display="Old Dominion Freight Line (ODFL) Stock Dropped, So What Is Driving Attention Now?"/>
    <hyperlink ref="E369" r:id="rId368" display="Leaked footage shows Chinese factories stripping hundreds of RTX 5090s for AI use"/>
    <hyperlink ref="E370" r:id="rId369" display="HPE Warns Critical Aruba Networking Flaws Could Let Hackers Take Complete Control of Devices"/>
    <hyperlink ref="E371" r:id="rId370" display="10 Most Disappointing Netflix Adaptations (So Far)"/>
    <hyperlink ref="E372" r:id="rId371" display="Why TransDigm Group (TDG) Stock Is Down Today"/>
    <hyperlink ref="E373" r:id="rId372" display="Prabowo accuses MSCI of trying to intimidate Indonesia after market downgrade warning"/>
    <hyperlink ref="E374" r:id="rId373" display="REACTION: Syracuse Basketball STUMBLES in Exhibition vs. Niagara | Gerry McNamara Must FIX THIS"/>
    <hyperlink ref="E375" r:id="rId374" display="Clorox Co. stock underperforms Friday when compared to competitors"/>
    <hyperlink ref="E376" r:id="rId375" display="Why Is American Express Stock Falling Friday? - American Express (NYSE:AXP)"/>
    <hyperlink ref="E377" r:id="rId376" display="SpaceX Reportedly Eyes 80,000 Cell Sites In Push To Become Fourth US Wireless Carrier: T, TMUS, VZ Stocks Slip After-Hours"/>
    <hyperlink ref="E378" r:id="rId377" display="Goldman Sachs Group Inc. stock underperforms Friday when compared to competitors"/>
    <hyperlink ref="E379" r:id="rId378" display="Applied Materials Stock Is Down 48% From Its Peak. Here’s What Its 50%-Growth Inspection Business Means for Shares"/>
    <hyperlink ref="E380" r:id="rId379" display="Latham McDonald's unlawfully dumped grease down storm drain"/>
    <hyperlink ref="E381" r:id="rId380" display="This Is The Worst Coffee Blend In Costco's Kirkland Signature Lineup"/>
    <hyperlink ref="E382" r:id="rId381" display="eBay (EBAY) Cuts 9% Of Staff, Is The Upside Already Priced In?"/>
    <hyperlink ref="E383" r:id="rId382" display="Verizon Apologizes for iPhone Duo Pre-Order Delays, Giving Customers $100 Gift Card"/>
    <hyperlink ref="E384" r:id="rId383" display="Microsoft Project Professional 2024 drops to $50 for a lifetime license"/>
    <hyperlink ref="E385" r:id="rId384" display="Allegiant doubles down on Boeing 737 MAX with six more aircraft"/>
    <hyperlink ref="E386" r:id="rId385" display="Why did a Texas McDonald's worker quit over alleged sewage?"/>
    <hyperlink ref="E387" r:id="rId386" display="Bunge (BG) Stock May Be Below Fair Value On Earnings Power"/>
    <hyperlink ref="E388" r:id="rId387" display="Netflix Reportedly Walked Away After Xbox Asked $800 Million for Its Game IP"/>
    <hyperlink ref="E389" r:id="rId388" display="Ford Motor (F) Faces Fresh Fuel Pump Legal Risk As Undervalued Narrative Holds"/>
    <hyperlink ref="E390" r:id="rId389" display="Lam Research: Down 29% Since My Sell Call, But The Math Has Changed (Upgrade) (LRCX)"/>
    <hyperlink ref="E391" r:id="rId390" display="T-Mobile US (NASDAQ:TMUS) Stock Falls 6.9% - Time to Sell?"/>
    <hyperlink ref="E392" r:id="rId391" display="KC law firm files hundreds of lawsuits against FedEx challenging overtime pay"/>
    <hyperlink ref="E393" r:id="rId392" display="Uber’s new Fife private hire booking office licence faces court challenge after hundreds of objections rejected"/>
    <hyperlink ref="E394" r:id="rId393" display="Fastenal Co. stock underperforms Friday when compared to competitors"/>
    <hyperlink ref="E395" r:id="rId394" display="Textron Inc. stock underperforms Friday when compared to competitors"/>
    <hyperlink ref="E396" r:id="rId395" display="1 killed, 1 injured in shooting at Airbnb being used for a party near east of downtown Houston, HPD says"/>
    <hyperlink ref="E397" r:id="rId396" display="Broadcom (AVGO) Stock May Be 31% Undervalued As AI Spending Fears Grow"/>
    <hyperlink ref="E398" r:id="rId397" display="鉅亨速報 - Factset 最新調查：國際航空集團(IAG-US)EPS預估下修至1.95元，預估目標價為24.00元"/>
    <hyperlink ref="E399" r:id="rId398" display="Cyber Breach Hits Quest Diagnostics, Patient Records May Be Affected"/>
    <hyperlink ref="E400" r:id="rId399" display="Procter &amp; Gamble (NYSE:PG) Stock Price Down 2.6% - Here's What Happened"/>
    <hyperlink ref="E401" r:id="rId400" display="Why is Accenture stock sliding today?"/>
    <hyperlink ref="E402" r:id="rId401" display="CVS Health stock: Wall Street Zen downgrades CVS Health stock to Buy"/>
    <hyperlink ref="E403" r:id="rId402" display="Starbucks Ditches Chipotle Deal, But Headwinds Still Linger (NASDAQ:SBUX)"/>
    <hyperlink ref="E404" r:id="rId403" display="5G FWA Profitability in 2026: Verizon, AT&amp;T, T-Mobile, Jio and Airtel Face Cost and Payback Challenges"/>
    <hyperlink ref="E405" r:id="rId404" display="6 arrested after alleged $1.4M Walmart fraud ring busted in Peoria"/>
    <hyperlink ref="E406" r:id="rId405" display="Verizon faces earnings test as SpaceX threat looms"/>
    <hyperlink ref="E407" r:id="rId406" display="Microsoft confirms Windows 11 Universal Print broken for months, requires manual fix"/>
    <hyperlink ref="E408" r:id="rId407" display="Intel CEO bought $10 million in stock. Now he’s down nearly $1 million"/>
    <hyperlink ref="E409" r:id="rId408" display="Huntington Ingalls Industries Inc. stock underperforms Friday when compared to competitors"/>
    <hyperlink ref="E410" r:id="rId409" display="Accenture PLC Cl A stock underperforms Friday when compared to competitors"/>
    <hyperlink ref="E411" r:id="rId410" display="MSCI (MSCI) Could Be 19% Below Fair Value After Earnings Buyback And Dividend Update"/>
    <hyperlink ref="E412" r:id="rId411" display="Quanta Services Inc. stock underperforms Friday when compared to competitors"/>
    <hyperlink ref="E413" r:id="rId412" display="AAPL Price Prediction: Zero MACD Histogram and a $30 Analyst Gap Signal a Critical Juncture at $348"/>
    <hyperlink ref="E414" r:id="rId413" display="Quest Diagnostics reports unauthorized access to lab system, says patient information may have been compromised"/>
    <hyperlink ref="E415" r:id="rId414" display="J.B. Hunt shareholders may claim losses after s..."/>
    <hyperlink ref="E416" r:id="rId415" display="MetLife Inc. stock underperforms Friday when compared to competitors"/>
    <hyperlink ref="E417" r:id="rId416" display="鉅亨速報 - Factset 最新調查：Graco Inc.(GGG-US)EPS預估下修至3.25元，預估目標價為84.50元"/>
    <hyperlink ref="E418" r:id="rId417" display="All-new Amazon Fire TV Stick 4K now back at $30 all-time low (50% off)"/>
    <hyperlink ref="E419" r:id="rId418" display="Intuit (INTU) Suffers a Larger Drop Than the General Market: Key Insights"/>
    <hyperlink ref="E420" r:id="rId419" display="Red Roses boss John Mitchell issues PWR warning after back-to-back defeats for England"/>
    <hyperlink ref="E421" r:id="rId420" display="VSP: 75-year-old woman fatally struck by vehicle in Smithfield Kroger parking lot"/>
    <hyperlink ref="E422" r:id="rId421" display="Amazon’s $5 billion Nvidia AI servers sit idle in warehouses amid data center power shortages"/>
    <hyperlink ref="E423" r:id="rId422" display="Two Tamaqua Women Charged After Allegedly Hiding Merchandise in Garbage Cans at Walmart"/>
    <hyperlink ref="E424" r:id="rId423" display="How Labor Strike At Wynn Resorts (WYNN) Has Changed Its Investment Story"/>
    <hyperlink ref="E425" r:id="rId424" display="Oncologists Cheer Melanoma Data That Tanked Moderna’s Shares"/>
    <hyperlink ref="E426" r:id="rId425" display="Henry Schein Inc. stock underperforms Friday when compared to competitors"/>
    <hyperlink ref="E427" r:id="rId426" display="Amazon bows to local backlash over AI data centers, scraps plans to build four new facilities in Northern Virginia — site to be repurposed for mixed-use and residential development."/>
    <hyperlink ref="E428" r:id="rId427" display="Goldman Sachs Sees CoreWeave Debt Need Fall With Longer GPU Life"/>
    <hyperlink ref="E429" r:id="rId428" display="Visa Inc. Cl A stock underperforms Friday when compared to competitors"/>
    <hyperlink ref="E430" r:id="rId429" display="Piper Sandler cuts Globe Life stock rating on medical claims concerns"/>
    <hyperlink ref="E431" r:id="rId430" display="American Airlines Boeing 787 Makes Emergency Landing at O'Hare After Brake Issue, One Hospitalized"/>
    <hyperlink ref="E432" r:id="rId431" display="Xcel Energy Inc. stock underperforms Friday when compared to competitors"/>
    <hyperlink ref="E433" r:id="rId432" display="Globe Life Inc. stock underperforms Friday when compared to competitors"/>
    <hyperlink ref="E434" r:id="rId433" display="Are Retail-Wholesale Stocks Lagging Casey's General Stores (CASY) This Year?"/>
    <hyperlink ref="E435" r:id="rId434" display="ACSC warns of critical vulnerabilities in Fortinet products"/>
    <hyperlink ref="E436" r:id="rId435" display="CVS Health Corp. stock underperforms Friday when compared to competitors"/>
    <hyperlink ref="E437" r:id="rId436" display="Telco Stocks VZ, T, and TMUS Fall on Another SpaceX Wireless Push — Should Investors Worry?"/>
    <hyperlink ref="E438" r:id="rId437" display="Down Roughly 50% From Its Highs, Is Netflix Stock Finally a Buy?"/>
    <hyperlink ref="E439" r:id="rId438" display="Weyerhaeuser Stock: Profound Mispricing (NYSE:WY)"/>
    <hyperlink ref="E440" r:id="rId439" display="QUICK SPARK: ACVF ETF Dumps Wells Fargo, US Bancorp Over Debanking Concerns"/>
    <hyperlink ref="E441" r:id="rId440" display="Peoria police inquiry leads to arrest of 6 in Walmart.com fraud scheme"/>
    <hyperlink ref="E442" r:id="rId441" display="Is Apple (AAPL) Pricing In Too Much Future Cash Flow?"/>
    <hyperlink ref="E443" r:id="rId442" display="CMS Energy Corp. stock underperforms Friday when compared to competitors"/>
    <hyperlink ref="E444" r:id="rId443" display="Wells Fargo, Arm and Intuit Join Revolt Against OKX-ICE Tokenized Stock Plan as Objectors Reach 22"/>
    <hyperlink ref="E445" r:id="rId444" display="Global Payments Inc. stock underperforms Friday when compared to competitors"/>
    <hyperlink ref="E446" r:id="rId445" display="Xbox Misses Microsoft's Executive Pay Target for the Fifth Time in Six Years"/>
    <hyperlink ref="E447" r:id="rId446" display="Griffin MSI Defends Giant Glass Welcome Hall After Critics Call It Too Big"/>
    <hyperlink ref="E448" r:id="rId447" display="Wells Fargo, Arm and Intuit Join Revolt Against OKX-ICE Tokenized Stock Plan as Objectors Reach 22"/>
    <hyperlink ref="E449" r:id="rId448" display="Xcel Energy (XEL) Faces Wildfire And Credit Pressure, Is It Still 13% Undervalued?"/>
    <hyperlink ref="E450" r:id="rId449" display="Visalia Police Arrest Man Accused of Stealing TV, Pulling Knife at Walmart"/>
    <hyperlink ref="E451" r:id="rId450" display="Boeing Holds Near Lows as MAX 10 Approval Meets a 777 Freighter Shutdown"/>
    <hyperlink ref="E452" r:id="rId451" display="American Express Falls 3% Despite Q3 Beat and Higher Profit Floor; Visa and Mastercard Slip"/>
    <hyperlink ref="E453" r:id="rId452" display="American Express Falls 3% Despite Q3 Beat and Higher Profit Floor; Visa and Mastercard Slip"/>
    <hyperlink ref="E454" r:id="rId453" display="One hurt in shooting at Pampa Walmart parking lot; suspect identified"/>
    <hyperlink ref="E455" r:id="rId454" display="American Express cutting 5% of global workforce"/>
    <hyperlink ref="E456" r:id="rId455" display="輝瑞肺癌藥臨牀試驗未達預期，仍尋求後續研發路徑"/>
    <hyperlink ref="E457" r:id="rId456" display="AutoZone (AZO) Suffers a Larger Drop Than the General Market: Key Insights"/>
    <hyperlink ref="E458" r:id="rId457" display="American Express cutting 5% of global workforce"/>
    <hyperlink ref="E459" r:id="rId458" display="Trane Technologies (TT) Stock Dropped, What Is Driving Attention Now?"/>
    <hyperlink ref="E460" r:id="rId459" display="CBRE Group Inc. Cl A stock underperforms Friday when compared to competitors"/>
    <hyperlink ref="E461" r:id="rId460" display="International Business Machines Corporation $IBM Stake Cut by Robeco Institutional Asset Management B.V."/>
    <hyperlink ref="E462" r:id="rId461" display="$SanDisk (SNDK.US)$ Not An expert there is W trend from the last high of high and lows all happened between 22nd to 25th of ever 3 month , still the stock is in downtrend might be there is chance for 2500 next year strating"/>
    <hyperlink ref="E463" r:id="rId462" display="Newmont Corp. stock underperforms Friday when compared to competitors"/>
    <hyperlink ref="E464" r:id="rId463" display="Kraft Heinz, Aramark sue UnitedHealth over ‘bogus’ health claims"/>
    <hyperlink ref="E465" r:id="rId464" display="AT&amp;T, T-Mobile tighten AI guardrails as autonomous networks remain years away"/>
    <hyperlink ref="E466" r:id="rId465" display="Bristol Myers Squibb Co. stock underperforms Friday when compared to competitors"/>
    <hyperlink ref="E467" r:id="rId466" display="Rs 3.78 Crore For Whistleblowing? Bengaluru Court Finds WTW’s Termination Of Former Health Business Head Retaliatory"/>
    <hyperlink ref="E468" r:id="rId467" display="Amazon allegedly cut deaf worker's interpreter to 10 minutes a shift"/>
    <hyperlink ref="E469" r:id="rId468" display="BlackRock Inc. stock underperforms Friday when compared to competitors"/>
    <hyperlink ref="E470" r:id="rId469" display="Sea-Tac airport Starbucks to close after contract ends and concessions shift"/>
    <hyperlink ref="E471" r:id="rId470" display="UPDATE: Wenatchee Ball Boy Dispute Sparks Retaliation Complaint"/>
    <hyperlink ref="E472" r:id="rId471" display="Rollins (ROL) Could Be 21% Below Fair Value Following AI Search Pressures"/>
    <hyperlink ref="E473" r:id="rId472" display="Parker Hannifin Corp. stock underperforms Friday when compared to competitors"/>
    <hyperlink ref="E474" r:id="rId473" display="Western Digital Earnings Fail to Get Stock Back on Track"/>
    <hyperlink ref="E475" r:id="rId474" display="Worker flown to burn center after electric shock at South Fort Myers Walmart; store evacuated"/>
    <hyperlink ref="E476" r:id="rId475" display="Coinbase Ireland fined over safeguarding"/>
    <hyperlink ref="E477" r:id="rId476" display="MCD hikes salaries of 4k multi-tasking staff"/>
    <hyperlink ref="E478" r:id="rId477" display="Northern Trust prepares for two days of doctors’ strikes disruption as pay dispute deepens"/>
    <hyperlink ref="E479" r:id="rId478" display="Here's Why Quanta Services (PWR) Fell More Than Broader Market"/>
    <hyperlink ref="E480" r:id="rId479" display="微信迴應耐克等賬號髮色情鏈接：系第三方外掛服務被攻破"/>
    <hyperlink ref="E481" r:id="rId480" display="IBM (IBM) Stock Shrugs Off Q3 Earnings As Margins Quietly Improve"/>
    <hyperlink ref="E482" r:id="rId481" display="Amazon Just Walked Away From a $427 Million Data Center Plan After Neighbors Fought Back"/>
    <hyperlink ref="E483" r:id="rId482" display="Royal Caribbean (RCL) Suffers a Larger Drop Than the General Market: Key Insights"/>
    <hyperlink ref="E484" r:id="rId483" display="Citigroup Inc. stock underperforms Friday when compared to competitors"/>
    <hyperlink ref="E485" r:id="rId484" display="Why Is NVR Stock Falling Friday? - NVR (NYSE:NVR)"/>
    <hyperlink ref="E486" r:id="rId485" display="Severe storm drops ping-pong ball-sized hail across South Florida"/>
    <hyperlink ref="E487" r:id="rId486" display="Uber Stock Fell as Instacart’s Sale Talks With Uber and DoorDash Surfaced. Here’s Where the Stock Could Go by 2030"/>
    <hyperlink ref="E488" r:id="rId487" display="Uber Stock Fell as Instacart’s Sale Talks With Uber and DoorDash Surfaced. Here’s Where the Stock Could Go by 2030"/>
    <hyperlink ref="E489" r:id="rId488" display="Qualcomm schedules November 4 results as Qualcomm stock costs EUR 157.19"/>
    <hyperlink ref="E490" r:id="rId489" display="North Carolina couple accused of Walmart thefts in multiple states captured"/>
    <hyperlink ref="E491" r:id="rId490" display="Royal Bank Of Canada Has Lowered Expectations for Honeywell International (NASDAQ:HON) Stock Price"/>
    <hyperlink ref="E492" r:id="rId491" display="Invesco QQQ $QQQ Stake Cut by Seros Financial LLC"/>
    <hyperlink ref="E493" r:id="rId492" display="Walmart Is Being Sued for Allegedly Deceiving Shoppers"/>
    <hyperlink ref="E494" r:id="rId493" display="Nvidia Stock’s 2 Critical Flaws and More Reasons an Analyst Says Sell"/>
    <hyperlink ref="E495" r:id="rId494" display="Nicki Minaj’s Lawyers Seek to Withdraw From $275K Jingle Ball Production Lawsuit"/>
    <hyperlink ref="E496" r:id="rId495" display="Take-Two Interactive Software Inc. stock underperforms Friday when compared to competitors"/>
    <hyperlink ref="E497" r:id="rId496" display="Are Computer and Technology Stocks Lagging Analog Devices (ADI) This Year?"/>
    <hyperlink ref="E498" r:id="rId497" display="iPhoneDuo開售首日被越獄"/>
    <hyperlink ref="E499" r:id="rId498" display="J.B. Hunt Transport Services (JBHT) Reports Margin Pressure, Is The 18% Undervaluation Case Enough?"/>
    <hyperlink ref="E500" r:id="rId499" display="Three vehicles collide near San Angelo Walmart"/>
    <hyperlink ref="E501" r:id="rId500" display="Audi Reshoring Could Lift Aptiv Stock And Other US Auto Supply Chain Names"/>
    <hyperlink ref="E502" r:id="rId501" display="Starbucks Is Disappearing From Downtown Boston. Local Coffee Shops Are Cashing In"/>
    <hyperlink ref="E503" r:id="rId502" display="Netflix Is Officially Removing Jake Gyllenhaal’s Disturbing Cult Classic Thriller"/>
    <hyperlink ref="E504" r:id="rId503" display="MGM Resorts International stock underperforms Friday when compared to competitors"/>
    <hyperlink ref="E505" r:id="rId504" display="R. Ashok seeks probe into alleged irregularities in waste management tenders"/>
    <hyperlink ref="E506" r:id="rId505" display="Automatic Data Processing Inc. stock underperforms Friday when compared to competitors"/>
    <hyperlink ref="E507" r:id="rId506" display="Pampa police arrest 18-year-old suspect in Walmart parking lot shooting"/>
    <hyperlink ref="E508" r:id="rId507" display="Coinbase Stock And Crypto Exchange Shares Under Fresh Political Pressure"/>
    <hyperlink ref="E509" r:id="rId508" display="DRI Seizes 25,000 Kg Pakistan-Origin Watermelon Seeds Worth ₹2.02 Crore At Nhava Sheva Port, Arrests Two"/>
    <hyperlink ref="E510" r:id="rId509" display="Old Dominion Freight Line Inc. stock underperforms Friday when compared to competitors"/>
    <hyperlink ref="E511" r:id="rId510" display="Lower ADP's Fair Value Estimate by 10% to Reflect Short-Term Margin Pressure and Higher Cost of Debt"/>
    <hyperlink ref="E512" r:id="rId511" display="Mastercard Inc. stock underperforms Friday when compared to competitors"/>
    <hyperlink ref="E513" r:id="rId512" display="NVR Inc. stock underperforms Friday when compared to competitors"/>
    <hyperlink ref="E514" r:id="rId513" display="Binghamton Volleyball unable to hold early lead, falls to UNH in five sets"/>
    <hyperlink ref="E515" r:id="rId514" display="CrowdStrike’s CEO Says a Wave of Cyber Attacks Are Coming"/>
    <hyperlink ref="E516" r:id="rId515" display="ServiceNow Stock Rebounds as SaaSpocalypse Fears Fade: What to Expect from Earnings"/>
    <hyperlink ref="E517" r:id="rId516" display="Amazon formally withdraws data center application at GWU campus"/>
    <hyperlink ref="E518" r:id="rId517" display="Hogville’s Kevin McPherson drops NEW INTEL including start to 2025 5-star prospect Evan Willis’ weekend visit, plus PREVIEW of No. 12 Arkansas vs. No. 15 Gonzaga"/>
    <hyperlink ref="E519" r:id="rId518" display="Amazon cuts $85 off the Razer USB 4 Dock"/>
    <hyperlink ref="E520" r:id="rId519" display="Lenovo’s latest Tab Plus Gen 2 with JBL Pro speakers just hit a new $256 all-time low (Reg. $400)"/>
    <hyperlink ref="E521" r:id="rId520" display="VeriSign Inc. stock underperforms Friday when compared to competitors"/>
    <hyperlink ref="E522" r:id="rId521" display="DRI seizes 25,000 kg Pakistan- origin watermelon seeds, arrest two persons for evading import prohibition"/>
    <hyperlink ref="E523" r:id="rId522" display="Tractor Supply Co. stock underperforms Friday when compared to competitors"/>
    <hyperlink ref="E524" r:id="rId523" display="McCormick (MKC) Could Be 12% Undervalued As Synergy Hopes Clash With Share Price Weakness"/>
    <hyperlink ref="E525" r:id="rId524" display="EQT Expects $1 Billion Windfall on Storm-Driven Gas Price Rally"/>
    <hyperlink ref="E526" r:id="rId525" display="2 charged following numerous Walmart thefts, Washington County, Virginia, authorities say"/>
    <hyperlink ref="E527" r:id="rId526" display="Fresno police investigate shots fired at Airbnb rental in Tower District"/>
    <hyperlink ref="E528" r:id="rId527" display="Police: Nearly $1 Million in Pokémon, Other Cards Stolen From FedEx Truck"/>
    <hyperlink ref="E529" r:id="rId528" display="Walmart Employee Killed in Store Parking Lot Just Days After Celebrating Her Birthday"/>
    <hyperlink ref="E530" r:id="rId529" display="Medical lab Quest Diagnostics cyber breach may impact patient records"/>
    <hyperlink ref="E531" r:id="rId530" display="Indigenous voters in Brazil’s Amazon fear missing runoff after court denies transportation"/>
    <hyperlink ref="E532" r:id="rId531" display="Stock Market Today, Oct. 23: AT&amp;T Slides on SpaceX Cell-Site Talks"/>
    <hyperlink ref="E533" r:id="rId532" display="Runover death outside Costco in Southern California is investigated as murder"/>
    <hyperlink ref="E534" r:id="rId533" display="Plan Commission denies proposed Verizon cell tower amid flooding concerns"/>
    <hyperlink ref="E535" r:id="rId534" display="11-year-old girl in custody over alleged armed robbery of Uber Eats driver"/>
    <hyperlink ref="E536" r:id="rId535" display="Court approves Capital One data breach deal"/>
    <hyperlink ref="E537" r:id="rId536" display="Amazon communities lose water as mining and deforestation reshape rivers - news"/>
    <hyperlink ref="E538" r:id="rId537" display="Former Goldman Sachs chief Sherwood leaves Britain amid tax hike fears"/>
    <hyperlink ref="E539" r:id="rId538" display="Aranda unable to catch Contreras foul ball | 10/24/2026"/>
    <hyperlink ref="E540" r:id="rId539" display="美國因法國航空和荷蘭皇家航空在伊拉克禁飛區飛行而對其處以罰款"/>
    <hyperlink ref="E541" r:id="rId540" display="Amgen Inc. stock underperforms Friday when compared to competitors"/>
    <hyperlink ref="E542" r:id="rId541" display="Pan African Resources BlackRock Holding Falls Below 5% Threshold on 22 October 2026"/>
    <hyperlink ref="E543" r:id="rId542" display="Scarlett Johansson's (Very) R-Rated 108-Minute Sci-Fi Thriller Is Being Cut From Netflix"/>
    <hyperlink ref="E544" r:id="rId543" display="A Jet2 Boeing 737 veered off the runway during landing at Birmingham"/>
    <hyperlink ref="E545" r:id="rId544" display="CrowdStrike CEO George Kurtz: Will see a lot of breaches in coming months from PHP vulnerability"/>
    <hyperlink ref="E546" r:id="rId545" display="Lumentum Holdings (LITE) Fell In The AI Optics Selloff, Is It Still Undervalued?"/>
    <hyperlink ref="E547" r:id="rId546" display="ROL Q3 deep dive: AI-driven search disrupts residential leads, management adapts strategy"/>
    <hyperlink ref="E548" r:id="rId547" display="NSC directs TAJ to stop issuing blue demo license plates, cites misuse that facilitates crime and tax evasion"/>
    <hyperlink ref="E549" r:id="rId548" display="Boos for Jets as they fall to winless Dolphins at MetLife Stadium"/>
    <hyperlink ref="E550" r:id="rId549" display="Globe Life downgraded at Piper Sandler after Q3 earnings announcement"/>
    <hyperlink ref="E551" r:id="rId550" display="Karnataka BJP leader R Ashoka alleges irregularities in Rs 133-crore Bengaluru waste management tender"/>
    <hyperlink ref="E552" r:id="rId551" display="ROP Air Wing rescues injured hiker in Saham"/>
    <hyperlink ref="E553" r:id="rId552" display="AXP Stock Layoffs: What to Know About the Latest American Express Job Cuts"/>
    <hyperlink ref="E554" r:id="rId553" display="ACVF Divests from Wells Fargo and U.S. Bancorp as OCC Report Confirms De-Banking Concerns Both Boards Dismissed"/>
    <hyperlink ref="E555" r:id="rId554" display="ACVF Divests from Wells Fargo and U.S. Bancorp as OCC Report Confirms De-Banking Concerns Both Boards Dismissed"/>
    <hyperlink ref="E556" r:id="rId555" display="“We never stopped investing in our talent”: Salesforce doubles down on junior hiring"/>
    <hyperlink ref="E557" r:id="rId556" display="Road near American Express Stadium in Brighton closed after report of crash"/>
    <hyperlink ref="E558" r:id="rId557" display="College Football: UNH falls to Merrimack, now 2-7 on season"/>
    <hyperlink ref="E559" r:id="rId558" display="Amazon settles with ex-AWS managers in kickback lawsuit, GeekWire reports"/>
    <hyperlink ref="E560" r:id="rId559" display="Intuit launched Credit Karma Tax. Intuit stock slips 1.76 percent"/>
    <hyperlink ref="E561" r:id="rId560" display="Uber Technologies (UBER) Stock Dropped, What Is Driving Attention Now?"/>
    <hyperlink ref="E562" r:id="rId561" display="Uber cut 3,300 jobs in September. Now it is giving 30,000 employees ChatGPT"/>
    <hyperlink ref="E563" r:id="rId562" display="Starbucks in Hong Kong writes 'Kimchi' on Korean customer's cup, sparking racism row"/>
    <hyperlink ref="E564" r:id="rId563" display="‘I felt threatened’: Massachusetts McDonald’s worker calls police on DoorDash driver. Then she gets suspended"/>
    <hyperlink ref="E565" r:id="rId564" display="Defense attorneys allege CVS attacker suffered from untreated mental illness as murder trial continues"/>
    <hyperlink ref="E566" r:id="rId565" display="IBM’s ‘true ROI’ comment hits shares, exposing ETF risks"/>
    <hyperlink ref="E567" r:id="rId566" display="Top intel Democrats say they've &quot;war-gamed&quot; how to react if Trump alleges foreign interference in midterms"/>
    <hyperlink ref="E568" r:id="rId567" display="AT&amp;T Stock Sinks on Subscriber and SpaceX Worries. Is the Stock a Buy on the Dip?"/>
    <hyperlink ref="E569" r:id="rId568" display="人工智能建設的高昂成本令Meta及其他熱門科技股承壓"/>
    <hyperlink ref="E570" r:id="rId569" display="人工智能建設的高昂成本令Meta及其他熱門科技股承壓"/>
    <hyperlink ref="E571" r:id="rId570" display="Gilead Sciences stock trades 0.53 percent below EUR 140.02"/>
    <hyperlink ref="E572" r:id="rId571" display="Yum! Brands Slides as Sector Weakness Appears to Outweigh Recent Positive Brand News"/>
    <hyperlink ref="E573" r:id="rId572" display="Gilead Sciences stock trades 0.53 percent below its Xetra close"/>
    <hyperlink ref="E574" r:id="rId573" display="American Express To Cut 5% Of Global Workforce; Raises 2026 EPS Outlook"/>
    <hyperlink ref="E575" r:id="rId574" display="Earnings call transcript: Groupe ADP Q3 2026 revenue miss, stock slips"/>
    <hyperlink ref="E576" r:id="rId575" display="Arm Stock Is Down 8% Last Week. What Does Lam Research Have to Do With It?"/>
    <hyperlink ref="E577" r:id="rId576" display="Former Goldman Sachs boss leaves Britain over rising tax fears just days before Budget"/>
    <hyperlink ref="E578" r:id="rId577" display="Synopsys stock trades 0.19 percent below its Xetra close"/>
    <hyperlink ref="E579" r:id="rId578" display="Former Goldman Sachs chief Sherwood leaves Britain as tax hike fears mount"/>
    <hyperlink ref="E580" r:id="rId579" display="Bank of America warns of 2027 stock market risk few expect"/>
    <hyperlink ref="E581" r:id="rId580" display="Watch: Teen accused of carrying loaded gun at Mass. Walmart flees from officers"/>
    <hyperlink ref="E582" r:id="rId581" display="Broadcom Stocks Rise as Decade-Long VMware Deal Targets AI Workloads"/>
    <hyperlink ref="E583" r:id="rId582" display="Detours for Columbus drivers as Norfolk Southern closes railroad crossings"/>
    <hyperlink ref="E584" r:id="rId583" display="Bloomsbury Publishing (LSE:BMY) Stock Faces H1 Results Profit Reset"/>
    <hyperlink ref="E585" r:id="rId584" display="METC Maintained by Goldman Sachs -- Price Target Lowered to $8.0"/>
    <hyperlink ref="E586" r:id="rId585" display="News | Amazon switches gears on project after backlash in country's largest data center market"/>
    <hyperlink ref="E587" r:id="rId586" display="Here's Why Amgen (AMGN) Fell More Than Broader Market"/>
    <hyperlink ref="E588" r:id="rId587" display="Merck (MRK) Stock May Be 38% Undervalued Following Melanoma Vaccine Results"/>
    <hyperlink ref="E589" r:id="rId588" display="Critical HPE Aruba AOS-8 Vulnerability Allows Unauthenticated Network Attacks"/>
    <hyperlink ref="E590" r:id="rId589" display="Electronic Arts Shuts Down BioWare and Cancels Mass Effect: Inside the Four-Decade Graveyard Where the Gaming Giant's Grim Reaper Kept Knocking"/>
    <hyperlink ref="E591" r:id="rId590" display="'My Uber crashed as I tried to avoid chaotic NFL Paris Game transport'"/>
    <hyperlink ref="E592" r:id="rId591" display="FIX Q3 deep dive: backlog surge and margin mix drive investor debate"/>
    <hyperlink ref="E593" r:id="rId592" display="Devon Energy: Hitting An Oil Wall (Rating Downgrade)"/>
    <hyperlink ref="E594" r:id="rId593" display="Salesforce Inc. $CRM Stock: Beaumont Financial Advisors LLC Cuts Position"/>
    <hyperlink ref="E595" r:id="rId594" display="Bristol Myers Squibb Reports Patient Death in Early CAR-T Therapy Trial for Autoimmune Disease"/>
    <hyperlink ref="E596" r:id="rId595" display="SpaceX (NASDAQ:SPCX) Eyes 80,000 Cell Sites. Why Are AT&amp;T, Verizon and T-Mobile Falling?"/>
    <hyperlink ref="E597" r:id="rId596" display="Amazon drops 1TB M5 MacBook Air to $1,399, save $200"/>
    <hyperlink ref="E598" r:id="rId597" display="American Express to make job cuts as AI revolution ramps up"/>
    <hyperlink ref="E599" r:id="rId598" display="BlackRock TCP Capital remains a sell amid struc..."/>
    <hyperlink ref="E600" r:id="rId599" display="AI adoption among US small businesses reaches 86 pc, but full integration remains low: Goldman Sachs"/>
    <hyperlink ref="E601" r:id="rId600" display="AI adoption among US small businesses reaches 86 pc, but full integration remains low: Goldman Sachs"/>
    <hyperlink ref="E602" r:id="rId601" display="Down 21.0% in 4 Weeks, Here's Why KLA (KLAC) Looks Ripe for a Turnaround"/>
    <hyperlink ref="E603" r:id="rId602" display="DoorDash (DASH) Faces Olo Threat As Fair Value Debate Gets Harder"/>
    <hyperlink ref="E604" r:id="rId603" display="McDonald's Has Lost a Fifth of Its Value in 2026. Is It Time to Buy?"/>
    <hyperlink ref="E605" r:id="rId604" display="CBRE (CBRE) stock trades down, here is why"/>
    <hyperlink ref="E606" r:id="rId605" display="Walmart Workers In Colo. Say 'Off-The-Clock' Work Is Routine"/>
    <hyperlink ref="E607" r:id="rId606" display="Bengaluru court awards ₹3.78 crore to whistleblower terminated by Willis Towers Watson"/>
    <hyperlink ref="E608" r:id="rId607" display="American Airlines Boeing 787 Pilot Quits $300,000 Job: Nobody Replied"/>
    <hyperlink ref="E609" r:id="rId608" display="Scoop: U.S. intel memo warns of &quot;advanced&quot; Iranian plots to kill officials abroad"/>
    <hyperlink ref="E610" r:id="rId609" display="Florida Man Fights Fellow Uber Passenger On the Way to Walmart, Claiming They Took Up Too Much Space"/>
    <hyperlink ref="E611" r:id="rId610" display="Cummins declares USD 2.20 dividend as Cummins stock costs EUR 463.25"/>
    <hyperlink ref="E612" r:id="rId611" display="Chabad rabbi arrested on suspicion of murder after fatal Costco collision in California"/>
    <hyperlink ref="E613" r:id="rId612" display="Florida Man Fights Fellow Uber Passenger On the Way to Walmart, Claiming They Took Up Too Much Space"/>
    <hyperlink ref="E614" r:id="rId613" display="SpaceX’s $80 Billion Wireless Ambition Threatens AT&amp;T, Verizon and T-Mobile"/>
    <hyperlink ref="E615" r:id="rId614" display="Airbnb CEO Brian Chesky warns two types of people won’t survive the AI era"/>
    <hyperlink ref="E616" r:id="rId615" display="Officer who fatally shot 1-year-old in Walmart parking lot resigns"/>
    <hyperlink ref="E617" r:id="rId616" display="2nd suspect arrested for murder of 81-year-old man during fight outside Gainesville Walmart, police say"/>
    <hyperlink ref="E618" r:id="rId617" display="Wrongful death suit filed against waste management company for death of Seattle cyclist"/>
    <hyperlink ref="E619" r:id="rId618" display="Uber Deploys ChatGPT Work to 30,000 Staff Weeks After Cutting 3,300 Corporate Jobs"/>
    <hyperlink ref="E620" r:id="rId619" display="American Express Q3 earnings beat as network volume disappoints (AXP:NYSE)"/>
    <hyperlink ref="E621" r:id="rId620" display="Wells Fargo, Arm, Intuit Keep Their Stock Off OKX-ICE Token Venue as Objections Reach 22"/>
    <hyperlink ref="E622" r:id="rId621" display="Qualcomm To Reportedly Conduct Global Layoffs In Performance-Driven Overhaul"/>
    <hyperlink ref="E623" r:id="rId622" display="Wells Fargo, Arm, Intuit Keep Their Stock Off OKX-ICE Token Venue as Objections Reach 22"/>
    <hyperlink ref="E624" r:id="rId623" display="ADP: TAV growth offset Paris weakness; 2026 EBITDA outlook moved to the range’s lower end"/>
    <hyperlink ref="E625" r:id="rId624" display="VIDEO: Airbnb drops mandatory checkout chores starting Nov. 20"/>
    <hyperlink ref="E626" r:id="rId625" display="American Express Stock Forecast: Q3 Beat and Higher Guidance Leave AXP Just Below $327 Resistance"/>
    <hyperlink ref="E627" r:id="rId626" display="NEM Q3 Earnings Call Highlights 2027 Growth and Cost Pressures"/>
    <hyperlink ref="E628" r:id="rId627" display="Apple (NASDAQ: AAPL) Hardware Offensive Arrives As AI Spending Fears Rattle Rivals"/>
    <hyperlink ref="E629" r:id="rId628" display="Polar LNG Shakeup Puts Former Goldman Sachs Banker in Charge"/>
    <hyperlink ref="E630" r:id="rId629" display="Analysts’ Opinions Are Mixed on These Consumer Cyclical Stocks: Nike (NKE), Winnebago Industries (WGO) and Tesla (TSLA)"/>
    <hyperlink ref="E631" r:id="rId630" display="NVR, Inc. Stock 12‑Month Price Target Cut to $6262, Implies 2% Upside"/>
    <hyperlink ref="E632" r:id="rId631" display="Rapper Pooh Shiesty, jailed for Gucci Mane stickup, whines about 'inhumane' conditions despite access to Netflix"/>
    <hyperlink ref="E633" r:id="rId632" display="Uber Passenger Alleges 'Scam' After Driver Shows 'Fake Screenshot' Of Fare; Takes To Reddit"/>
    <hyperlink ref="E634" r:id="rId633" display="Northern Trust (NTRS) Could Be 10% Undervalued After Third Quarter Earnings Beat"/>
    <hyperlink ref="E635" r:id="rId634" display="Wabtec stock underperforms Friday when compared to competitors"/>
    <hyperlink ref="E636" r:id="rId635" display="Explosion, fire occur at PepsiCo subsidiary's building in US"/>
    <hyperlink ref="E637" r:id="rId636" display="Corteva Declares $0.05 Quarterly Dividend After Vylor Spin-Off"/>
    <hyperlink ref="E638" r:id="rId637" display="Suspect gets away with cash after threatening teller at Cypress PNC Bank"/>
    <hyperlink ref="E639" r:id="rId638" display="Simon Property Group, Inc. $SPG Holdings Cut by Sterling Capital Management LLC"/>
    <hyperlink ref="E640" r:id="rId639" display="Xbox COO Helen Chiang Leaves Microsoft After Just Three Months in the Role"/>
    <hyperlink ref="E641" r:id="rId640" display="Xbox COO Helen Chiang Leaves Microsoft After Just Three Months in the Role"/>
    <hyperlink ref="E642" r:id="rId641" display="No evidence driver's age contributed to deadly Walmart crash, police say"/>
    <hyperlink ref="E643" r:id="rId642" display="Apple is set to take back the market-cap crown from Nvidia. Upcoming earnings may push it over the top"/>
    <hyperlink ref="E644" r:id="rId643" display="😺 Walmart announces AI shopping controls"/>
    <hyperlink ref="E645" r:id="rId644" display="$325K Starbucks COBRA notice class action settlement"/>
    <hyperlink ref="E646" r:id="rId645" display="Applied Materials stays a buy as AI demand boos..."/>
    <hyperlink ref="E647" r:id="rId646" display="Walmart Worker Killed, Carjacking Shooting Plea: Eastern Montco News"/>
    <hyperlink ref="E648" r:id="rId647" display="Longtime Walmart worker leaving shift gunned down in the parking lot by masked shooter as she was about to enter Nissan: Police"/>
    <hyperlink ref="E649" r:id="rId648" display="Ignore Near-Term Friction: Nvidia’s Unmatched Scale and CUDA Ecosystem Lock-In Make Every Pullback a Buying Opportunity for Years to Come"/>
    <hyperlink ref="E650" r:id="rId649" display="Anker’s Nano 10-in-1 USB-C hub hits a new low price on Amazon"/>
    <hyperlink ref="E651" r:id="rId650" display="AI Fatigue Hits Korea: Why Goldman Sachs Slashed Kospi's 12-Month Target?"/>
    <hyperlink ref="E652" r:id="rId651" display="Second suspect surrenders in Gainesville Walmart parking loot shooting that killed innocent bystander"/>
    <hyperlink ref="E653" r:id="rId652" display="Smurfit Westrock PLC stock underperforms Friday when compared to competitors"/>
    <hyperlink ref="E654" r:id="rId653" display="Western Digital Stock Falls 3% After Beat: Sandisk Oct 29"/>
    <hyperlink ref="E655" r:id="rId654" display="Senatobia interim police chief steps down following AG ruling in fatal Walmart shooting"/>
    <hyperlink ref="E656" r:id="rId655" display="Western Digital Stock Falls 3% After Beat: Sandisk Oct 29"/>
    <hyperlink ref="E657" r:id="rId656" display="Lululemon (LULU) Suffers a Larger Drop Than the General Market: Key Insights"/>
    <hyperlink ref="E658" r:id="rId657" display="South Korea's SK Hynix Shelves Solidigm's US IPO; Fading NAND Expansion Risk a Boon for Micron, SanDisk"/>
    <hyperlink ref="E659" r:id="rId658" display="SpaceX's $40 Billion Debt Raise to Buy Nvidia Chips Hits Snag, Sounding AI Bond-Market Warning"/>
    <hyperlink ref="E660" r:id="rId659" display="Cattle futures flat as traders await Cattle on Feed report - CME"/>
    <hyperlink ref="E661" r:id="rId660" display="Cincinnati Financial (CINF) Stock Could Be 27% Overvalued On Modest Excess Returns"/>
    <hyperlink ref="E662" r:id="rId661" display="NVR downgraded at BofA Securities after Q3 earnings announcement (NVR:NYSE)"/>
    <hyperlink ref="E663" r:id="rId662" display="Tractor Supply Just Dropped A Big Discount On The Massimo Mini Truck"/>
    <hyperlink ref="E664" r:id="rId663" display="Cleveland Browns cornerback Tyson Campbell rips out the ball from Carnell Tate for a Browns recovery"/>
    <hyperlink ref="E665" r:id="rId664" display="Not admitting failure in job interviews is a major red flag, says GoDaddy CEO Aman Bhutani | Trending"/>
    <hyperlink ref="E666" r:id="rId665" display="Brad Pitt's 126-Minute 'Jack Ryan' Substitute Action Thriller Is Officially Being Cut From Netflix"/>
    <hyperlink ref="E667" r:id="rId666" display="Blackstone (BX) Stock Could Be 24% Undervalued Following AI Data Center Expansion"/>
    <hyperlink ref="E668" r:id="rId667" display="Is Carnival (CCL) Undervalued As Its Dividend Returns?"/>
    <hyperlink ref="E669" r:id="rId668" display="美媒：SpaceX與特斯拉的合併或面臨反壟斷審查"/>
    <hyperlink ref="E670" r:id="rId669" display="Chiropractor accused of posing as doctor in $2B fraud bust; Big Tech backs prior auth fixes; CMS can now exclude physicians"/>
    <hyperlink ref="E671" r:id="rId670" display="Xbox COO to leave company, Verge reports"/>
    <hyperlink ref="E672" r:id="rId671" display="Is Genuine Parts Co (GPC) a Bargain After 3.9% Drop? GF Value Sa"/>
    <hyperlink ref="E673" r:id="rId672" display="S&amp;P Global Ratings Identifies 146 Delayed or Canceled U.S. Data Center Projects"/>
    <hyperlink ref="E674" r:id="rId673" display="Oil Prices Above $100 Put Diamondback Energy Stock And Permian Peers In Focus"/>
    <hyperlink ref="E675" r:id="rId674" display="Hewlett Packard Enterprise Lobbying Rises Amid Antitrust Scrutiny"/>
    <hyperlink ref="E676" r:id="rId675" display="Goldman Sachs Flags Two‑Way Risks to Their 2026 Oil Price Outlook"/>
    <hyperlink ref="E677" r:id="rId676" display="Honeywell Technologies price target lowered to $269 from $270 at RBC Capital"/>
    <hyperlink ref="E678" r:id="rId677" display="Britt McHenry Removed From Wizards Game at Capital One Arena"/>
    <hyperlink ref="E679" r:id="rId678" display="Amazon’s Trainium Takes a Strike at the Training King"/>
    <hyperlink ref="E680" r:id="rId679" display="Netflix Bump Fails to Land Syfy Series ‘Revival’ a Season 2"/>
    <hyperlink ref="E681" r:id="rId680" display="Second suspect in custody in Gainesville Walmart shooting that police say killed innocent bystander"/>
    <hyperlink ref="E682" r:id="rId681" display="Earnings Reset Could Be A Big Test For ADP Stock"/>
    <hyperlink ref="E683" r:id="rId682" display="Microsoft CEO on rogue AI agents, super laptops and Clippy"/>
    <hyperlink ref="E684" r:id="rId683" display="The Pokémon TCG 30th Celebration Sylveon ex Box is (almost) down to market price at Walmart — save $20"/>
    <hyperlink ref="E685" r:id="rId684" display="Your car's USB port is probably killing your phone’s charging speed"/>
    <hyperlink ref="E686" r:id="rId685" display="Dassault Systèmes (ENXTPA:DSY) Could Be 9% Below Fair Value On Vertiv AI Deal"/>
    <hyperlink ref="E687" r:id="rId686" display="Merck: A 71% Rally Leaves Little Margin Of Safety Ahead Of Keytruda's Patent Cliff (MRK)"/>
    <hyperlink ref="E688" r:id="rId687" display="Police: Suspect arrested after pulling knife in Walmart TV robbery in Visalia"/>
    <hyperlink ref="E689" r:id="rId688" display="Netflix Is Officially Removing the Action-Thriller That Asks “What If Guy Ritchie Directed John Wick?”"/>
    <hyperlink ref="E690" r:id="rId689" display="A 68-Year-Old Who Puts $300,000 of a $500,000 IRA Into an Annuity Locks In a $2,000 Monthly Check for Life and Shrinks the RMD on What's Left to About $9,600 at 73. Every Dollar of Both Is Still Taxable"/>
    <hyperlink ref="E691" r:id="rId690" display="FedEx driver sentenced up to 12 years in prison for triple fatality crash on PA Turnpike"/>
    <hyperlink ref="E692" r:id="rId691" display="Quest Diagnostics investigating data breach involving patient records"/>
    <hyperlink ref="E693" r:id="rId692" display="Quest Diagnostics hit by cyber attack"/>
    <hyperlink ref="E694" r:id="rId693" display="SanDisk Falters for 3 Months But One Top-Tier Institutional Desk Is Sure It's Going to Nearly Triple"/>
    <hyperlink ref="E695" r:id="rId694" display="First Solar (FSLR) Stock Could Be Undervalued On Future Cash Flow"/>
    <hyperlink ref="E696" r:id="rId695" display="Investors launch probe into American Express after $350M compliance fine"/>
    <hyperlink ref="E697" r:id="rId696" display="US S&amp;P Global flash October services PMI 57.9 vs 58.0 expected"/>
    <hyperlink ref="E698" r:id="rId697" display="Stock Market Today: S&amp;P 500, Nasdaq 100, Dow Jones Futures Fall Ahead of Global PMI Data—Western Digital, Newmont, Crown Castle in Focus (UPDATED)"/>
    <hyperlink ref="E699" r:id="rId698" display="Homicide suspected in deadly parking lot encounter at Costco"/>
    <hyperlink ref="E700" r:id="rId699" display="黃仁勛：到2029年存儲供應過剩的可能性不大"/>
    <hyperlink ref="E701" r:id="rId700" display="Netflix Stock Slips as Q3 Earnings Hand Investors a Win Wrapped in Caution"/>
    <hyperlink ref="E702" r:id="rId701" display="Morgan Stanley raises Synopsys target to USD 574: Synopsys stock falls 2.71 percent"/>
    <hyperlink ref="E703" r:id="rId702" display="Killeen police chase ends outside Walmart after reported gun threat"/>
    <hyperlink ref="E704" r:id="rId703" display="Ex-AFL star Daniel Stewart dead at 37 following ‘unexpected medical episode’"/>
    <hyperlink ref="E705" r:id="rId704" display="Xbox COO Helen Chiang Leaves Microsoft After Three Months"/>
    <hyperlink ref="E706" r:id="rId705" display="Social Rundown: AI cake request controversy, Starbucks Halloween treats &amp; Is LOL dead?"/>
    <hyperlink ref="E707" r:id="rId706" display="FY2026 EPS Estimate for Merck &amp; Co., Inc. Lowered by Analyst"/>
    <hyperlink ref="E708" r:id="rId707" display="Western Digital Corporation Stock 12‑Month Price Target Cut to $623.74, Implies 76% Upside"/>
    <hyperlink ref="E709" r:id="rId708" display="Musk Warns SpaceX-Tesla (NASDAQ: TSLA) Merger Faces Major Vote Hurdle As JPMorgan Prices Deal Near $500"/>
    <hyperlink ref="E710" r:id="rId709" display="CamSur disputes ‘poorest province’ tag; PSA says label not official"/>
    <hyperlink ref="E711" r:id="rId710" display="Corpay (CPAY) Could Be 11% Below Fair Value After Newcastle United Deal"/>
    <hyperlink ref="E712" r:id="rId711" display="eBay Inc. $EBAY Stock: Investment House LLC Decreases Stake"/>
    <hyperlink ref="E713" r:id="rId712" display="When Genuine Goods Infringe: Patrick Ta’s Trademark Case Against CVS"/>
    <hyperlink ref="E714" r:id="rId713" display="Driver crashes into Dominion Energy pole in Hampton"/>
    <hyperlink ref="E715" r:id="rId714" display="Ventura County man charged with murder after deadly crash at Costco gas pumps"/>
    <hyperlink ref="E716" r:id="rId715" display="Jammu Police Detain Bovine Smuggling Accused Under PSA"/>
    <hyperlink ref="E717" r:id="rId716" display="Under the Skin Netflix Departure: Scarlett Johansson’s Unsettling Sci-Fi Masterpiece Leaves Streaming This Halloween"/>
    <hyperlink ref="E718" r:id="rId717" display="Mumbai DRI Busts International Gold Smuggling Syndicate; 4 Arrested, 2.29 Kg Gold Seized"/>
    <hyperlink ref="E719" r:id="rId718" display="Man found dead inside vehicle at Morehead Walmart parking lot identified"/>
    <hyperlink ref="E720" r:id="rId719" display="Wells Fargo, Cisco, Intuit Among 6 More Companies Objecting to Tokenized Stocks"/>
    <hyperlink ref="E721" r:id="rId720" display="Wells Fargo, Cisco, Intuit Among 6 More Companies Objecting to Tokenized Stocks"/>
    <hyperlink ref="E722" r:id="rId721" display="Wells Fargo, Cisco, Intuit Among 6 More Companies Objecting to Tokenized Stocks"/>
    <hyperlink ref="E723" r:id="rId722" display="Xbox's first COO leaves after three months"/>
    <hyperlink ref="E724" r:id="rId723" display="Is Netflix Stock a Buy Near Its 52-Week Low?"/>
    <hyperlink ref="E725" r:id="rId724" display="Google's solar plant deal with Entergy will shift $308 million in costs to Arkansas ratepayers, regulators say"/>
    <hyperlink ref="E726" r:id="rId725" display="Wells Fargo (WF), Cisco (CSCO), Marvell (MRVL) join objections to OKX-ICE tokenized stock plans"/>
    <hyperlink ref="E727" r:id="rId726" display="Wells Fargo (WF), Cisco (CSCO), Marvell (MRVL) join objections to OKX-ICE tokenized stock plans"/>
    <hyperlink ref="E728" r:id="rId727" display="ARRESTED: Suspect accused of shooting man outside Walmart in Pampa taken into custody"/>
    <hyperlink ref="E729" r:id="rId728" display="ADP implementation crawls to 3.89% in first quarter, with health spending lowest"/>
    <hyperlink ref="E730" r:id="rId729" display="Vehicle Strikes Knoxville Wells Fargo Building - KNIA"/>
    <hyperlink ref="E731" r:id="rId730" display="Ronald Rust: 65-year-old man found dead inside vehicle in Morehead Walmart parking lot, coroner says"/>
    <hyperlink ref="E732" r:id="rId731" display="The Lam Research Corporation (NASDAQ:LRCX) First-Quarter Results Are Out And Analysts Have Published New Forecasts"/>
    <hyperlink ref="E733" r:id="rId732" display="5 things USB-C gets so wrong it's frustrating"/>
    <hyperlink ref="E734" r:id="rId733" display="UNH Men’s Hockey Loses to #2 Michigan State, Splits Series with Spartans"/>
    <hyperlink ref="E735" r:id="rId734" display="Airbnb drops mandatory checkout chores starting Nov. 20"/>
    <hyperlink ref="E736" r:id="rId735" display="Oil Supply Risks Put Phillips 66 Stock And Global Energy Majors In Focus"/>
    <hyperlink ref="E737" r:id="rId736" display="CoreWeave Price Target Cut to $70.00/Share From $99.00 by Morgan Stanley"/>
    <hyperlink ref="E738" r:id="rId737" display="NetApp Inc. stock underperforms Friday when compared to competitors despite daily gains"/>
    <hyperlink ref="E739" r:id="rId738" display="Booking Holdings Inc. $BKNG Stock: Sterling Capital Management LLC Lowers Position"/>
    <hyperlink ref="E740" r:id="rId739" display="Jabil, Inc. $JBL Stock: Nisa Investment Advisors LLC Lowers Position"/>
    <hyperlink ref="E741" r:id="rId740" display="Can Caterpillar’s $72B Backlog Save Its Stock From a 10% Slump?"/>
    <hyperlink ref="E742" r:id="rId741" display="Hyderabad: DRI seizes methamphetamine worth ₹1.1 crore hidden under bus sleeper berths"/>
    <hyperlink ref="E743" r:id="rId742" display="Western Digital Beat Earnings, But AI Capex Talk Spooked Investors"/>
    <hyperlink ref="E744" r:id="rId743" display="Habitual bovine smuggler detained under PSA in Jammu"/>
    <hyperlink ref="E745" r:id="rId744" display="Newmont Corporation Stock 12‑Month Price Target Cut to $137.93, Implies 21% Upside"/>
    <hyperlink ref="E746" r:id="rId745" display="Western Digital Corporation Stock 12‑Month Price Target Cut to $648.74, Implies 83% Upside"/>
    <hyperlink ref="E747" r:id="rId746" display="Comcast Posts Q3 EBITDA Beat On Media Upside, Faces Threat From AI Tools Like Muse"/>
    <hyperlink ref="E748" r:id="rId747" display="Coinbase Will Temporarily Stop Certain Services This Weekend: Details Inside"/>
    <hyperlink ref="E749" r:id="rId748" display="Huntington Bancshares (NASDAQ:HBAN) Stock Price Target Cut by Robert W. Baird"/>
    <hyperlink ref="E750" r:id="rId749" display="Airbnb’s new policy sends ripples through short-term rentals in Ocean City"/>
    <hyperlink ref="E751" r:id="rId750" display="Police investigating if North Korean IT worker infiltrated ROK organization"/>
    <hyperlink ref="E752" r:id="rId751" display="FBI Now Investigating Theft of 6,451 PSA-Graded Cards from FedEx Truck"/>
    <hyperlink ref="E753" r:id="rId752" display="FBI Now Investigating Theft of 6,451 PSA-Graded Cards from FedEx Truck"/>
    <hyperlink ref="E754" r:id="rId753" display="MSCI data reveals the hidden cost of delayed IPO index inclusion for institutional investors"/>
    <hyperlink ref="E755" r:id="rId754" display="PNC Championship Organizers Reserve a Spot for Tiger Woods &amp; Charlie Amid Reports of Golf Comeback"/>
    <hyperlink ref="E756" r:id="rId755" display="Goldman Sachs Says Gulf Oil Flow Recovery Uncertain Amid Renewed Attacks"/>
    <hyperlink ref="E757" r:id="rId756" display="Goldman Sachs Says Gulf Oil Flow Recovery Uncertain Amid Renewed Attacks"/>
    <hyperlink ref="E758" r:id="rId757" display="Using a three-pin adapter caused the GeForce RTX 5080's pins to burn out."/>
    <hyperlink ref="E759" r:id="rId758" display="Apple Inc. $AAPL Stock: Generate Investment Management Ltd Trims Position"/>
    <hyperlink ref="E760" r:id="rId759" display="Globe Life downgraded at Piper Sandler after Q3 earnings announcement (GL:NYSE)"/>
    <hyperlink ref="E761" r:id="rId760" display="Microsoft explains why deleting Prefetch can slow down Windows 11, as it’s “designed to speed up” app launches"/>
    <hyperlink ref="E762" r:id="rId761" display="Pomerantz investigates Vertiv Holdings Co for securities fraud after stock crash"/>
    <hyperlink ref="E763" r:id="rId762" display="JBL Soundgear Clips -Open Ear Headphones sees price cut to $99.95"/>
    <hyperlink ref="E764" r:id="rId763" display="Take-Two Interactive (TTWO) Dips More Than Broader Market: What You Should Know"/>
    <hyperlink ref="E765" r:id="rId764" display="Xbox's 1st-ever COO, Helen Chiang, quits after just 3 months"/>
    <hyperlink ref="E766" r:id="rId765" display="Quest Diagnostics confirms patient data breach in the US — TechCrunch"/>
    <hyperlink ref="E767" r:id="rId766" display="Is Texas Instruments Incorporated (NASDAQ:TXN) Potentially Undervalued?"/>
    <hyperlink ref="E768" r:id="rId767" display="Western Digital Price Target Cut to $650.00/Share From $800.00 by Rosenblatt"/>
    <hyperlink ref="E769" r:id="rId768" display="Marion County Man Arrested in Shared Uber Battery Dispute"/>
    <hyperlink ref="E770" r:id="rId769" display="Jessica Sharp - Fall Savings at Kroger"/>
    <hyperlink ref="E771" r:id="rId770" display="Huntington Bancshares price target lowered to $19 from $21 at Wells Fargo"/>
    <hyperlink ref="E772" r:id="rId771" display="Comcast (CMCSA) Stock May Be A Bargain Following Its Planned Split"/>
    <hyperlink ref="E773" r:id="rId772" display="The Trade Desk (TTD) - Portfolio Killers: 10 US stocks that wiped out up to 66% of investors’ wealth in 2026"/>
    <hyperlink ref="E774" r:id="rId773" display="Intuit stock: Intuit schedules Connect October 26. Stock is 8.91 percent below USD 385 target"/>
    <hyperlink ref="E775" r:id="rId774" display="Xbox' first COO has left after just three months on the job"/>
    <hyperlink ref="E776" r:id="rId775" display="Tesla, Inc. $TSLA Position Lowered by Sterling Capital Management LLC"/>
    <hyperlink ref="E777" r:id="rId776" display="Visalia Walmart TV Theft Suspect Arrested After Knife Threat"/>
    <hyperlink ref="E778" r:id="rId777" display="El Paso County woman refuses mental exam in Uber driver murder case"/>
    <hyperlink ref="E779" r:id="rId778" display="AI雲端狂飆變債務炸彈？Neocloud泡沫疑雲蔓延到美股巨頭 NVDA、MSFT"/>
    <hyperlink ref="E780" r:id="rId779" display="Xbox COO Helen Chiang leaves Microsoft three months after taking the job"/>
    <hyperlink ref="E781" r:id="rId780" display="Xbox COO Helen Chiang leaves Microsoft after three months, with no successor named"/>
    <hyperlink ref="E782" r:id="rId781" display="Williams Companies (WMB) Outpaced The Market, Is The Stock Now Too Expensive?"/>
    <hyperlink ref="E783" r:id="rId782" display="Teen Flees Abington Walmart With Loaded Gun, Police Say"/>
    <hyperlink ref="E784" r:id="rId783" display="McDonald's worker accidentally gives customer 4 Monopoly stickers on cup. Then she peels them off"/>
    <hyperlink ref="E785" r:id="rId784" display="URI vs Albany fall to UAlbany in a shootout on Saturday."/>
    <hyperlink ref="E786" r:id="rId785" display="Broadcom Inc. $AVGO Stock: Axecap Investments LLC Decreases Position"/>
    <hyperlink ref="E787" r:id="rId786" display="S&amp;P 500, Dow Drop As Elevated Oil Prices Stoke Inflation Fears Ahead Of Fed Meeting Next Week — AAPL, AXP, CART, UBER In Focus"/>
    <hyperlink ref="E788" r:id="rId787" display="Judge sends Springfield-MGM dispute over host community agreement to arbitration"/>
    <hyperlink ref="E789" r:id="rId788" display="Is MGM Resorts International (MGM) a Bargain After 4.9% Drop? GF Value Says Undervalued"/>
    <hyperlink ref="E790" r:id="rId789" display="S&amp;P 500, Dow Drop As Elevated Oil Prices Stoke Inflation Fears Ahead Of Fed Meeting Next Week — AAPL, AXP, CART, UBER In Focus"/>
    <hyperlink ref="E791" r:id="rId790" display="TE Connectivity (TEL) Could Be 16% Undervalued As Earnings Views Improve"/>
    <hyperlink ref="E792" r:id="rId791" display="Possible Bearish Signals With Broadcom Insiders Disposing Stock"/>
    <hyperlink ref="E793" r:id="rId792" display="NFL star ruthlessly booed every time he touches the ball despite groveling apology"/>
    <hyperlink ref="E794" r:id="rId793" display="‘Real consequences’: AT&amp;T, Verizon and T-Mobile warn FCC as Elon Musk plots a SpaceX phone network for the US by 2028"/>
    <hyperlink ref="E795" r:id="rId794" display="‘Real consequences’: AT&amp;T, Verizon and T-Mobile warn FCC as Elon Musk plots a SpaceX phone network for the US by 2028"/>
    <hyperlink ref="E796" r:id="rId795" display="CMS has barred new brokers, agents from registering to sell plans on the ACA marketplace"/>
    <hyperlink ref="E797" r:id="rId796" display="Locking in Gains: Portfolio Discipline Triggers IQVIA Holding (IQV) Trim After Q2 Beat"/>
    <hyperlink ref="E798" r:id="rId797" display="SA Asks: Netflix hit a 52-week low this week. Is now the time to buy?"/>
    <hyperlink ref="E799" r:id="rId798" display="Tesla and Nvidia just found another AI bottleneck"/>
    <hyperlink ref="E800" r:id="rId799" display="Both suspects now in custody after innocent man killed outside Walmart"/>
    <hyperlink ref="E801" r:id="rId800" display="Lam Research (NASDAQ:LRCX) Downgraded by Zacks Research to Hold"/>
    <hyperlink ref="E802" r:id="rId801" display="Autodesk, Inc. $ADSK Stock Position Cut by Investment House LLC"/>
    <hyperlink ref="E803" r:id="rId802" display="CRH (CRH) Stock May Be 27% Undervalued On Its $8.5B Deal"/>
    <hyperlink ref="E804" r:id="rId803" display="Did Falling Treasury Yields Just Shift Lennar's (LEN) Stock Narrative?"/>
    <hyperlink ref="E805" r:id="rId804" display="Six More Firms, Including Wells Fargo and Intuit, Oppose OKX-ICE Tokenized Trading"/>
    <hyperlink ref="E806" r:id="rId805" display="Western Digital Corporation Stock 12‑Month Price Target Cut to $652.87, Implies 84% Upside"/>
    <hyperlink ref="E807" r:id="rId806" display="Pacers Sports &amp; Entertainment announces departure of Amber Cox, Indiana Fever COO and GM"/>
    <hyperlink ref="E808" r:id="rId807" display="Boynton Beach Mall to close as Lennar plans redevelopment"/>
    <hyperlink ref="E809" r:id="rId808" display="CMG Maintained by Mizuho -- Price Target Lowered to $37.00"/>
    <hyperlink ref="E810" r:id="rId809" display="Atlanta filmmaker’s CVS coupon for Zenpep suddenly stops working"/>
    <hyperlink ref="E811" r:id="rId810" display="Women Take Hourlong Uber To Nashville. Then The Driver Does Something Dangerous: 'I Would Have Lost My Mind'"/>
    <hyperlink ref="E812" r:id="rId811" display="MR. TITO: What If TKO's WWE Crown Jewel 2026 Gets Attacked in Saudi Arabia on November 7th?"/>
    <hyperlink ref="E813" r:id="rId812" display="Tesla, Inc. $TSLA Stock: Howland Capital Management LLC Cuts Stake"/>
    <hyperlink ref="E814" r:id="rId813" display="CME boss urges MPs to spare WA from punishing gas laws"/>
    <hyperlink ref="E815" r:id="rId814" display="Pokémon and sports card collectors outraged as PSA-graded cards stolen in delivery truck heist"/>
    <hyperlink ref="E816" r:id="rId815" display="San Jose rejects appeal of NVIDIA data center permit as environmental concerns persist"/>
    <hyperlink ref="E817" r:id="rId816" display="Occidental Petroleum Corp. stock underperforms Friday when compared to competitors despite daily gains"/>
    <hyperlink ref="E818" r:id="rId817" display="Quote of the day by Microsoft CEO Satya Nadella: 'We have to do something useful with AI, or we'll quickly lose social permission' — challenging AI pioneers to step up their game"/>
    <hyperlink ref="E819" r:id="rId818" display="Lam Research (LRCX) Stock Faces Q1 Earnings Quality Questions After Records"/>
    <hyperlink ref="E820" r:id="rId819" display="Willis Towers Watson Whistleblower Case: Bengaluru Court Awards ₹3.67 Crore in Damages | SCC Times"/>
    <hyperlink ref="E821" r:id="rId820" display="GE Vernova Stock Fell 11% in a Day. Here's What I Think It Could Be Worth by 2030."/>
    <hyperlink ref="E822" r:id="rId821" display="Exynos 2700 Internal Tests Show Qualcomm’s 2nm And New Snapdragon 8 Elite Extreme Gen 6 Packaging Bet Failed; Samsung’s Flagship SoC 20% Faster In CPU, GPU Workloads"/>
    <hyperlink ref="E823" r:id="rId822" display="O'Reilly Automotive, Inc. $ORLY Stock: Axxcess Wealth Management LLC Cuts Stake"/>
    <hyperlink ref="E824" r:id="rId823" display="Analog Devices schedules November results while stock trades at EUR 347.10"/>
    <hyperlink ref="E825" r:id="rId824" display="Asheboro Walmart Crash Kills Woman, No Charges Filed"/>
    <hyperlink ref="E826" r:id="rId825" display="Corteva Declares Quarterly Dividend"/>
    <hyperlink ref="E827" r:id="rId826" display="Train or Cut? From HSBC to Kroger, AI Layoffs Keep Rising. Here Is What They Really Cost Compared With Reskilling"/>
    <hyperlink ref="E828" r:id="rId827" display="Analysts’ Opinions Are Mixed on These Industrial Goods Stocks: Union Pacific (UNP), Waste Connections (WCN) and Bloom Energy (BE)"/>
    <hyperlink ref="E829" r:id="rId828" display="Bristol Myers Squibb reports patient death in early-stage cell therapy trial"/>
    <hyperlink ref="E830" r:id="rId829" display="BofA cuts General Mills stock target to USD 40.00"/>
    <hyperlink ref="E831" r:id="rId830" display="2nd suspect arrested in deadly shooting of 81-year-old at Gainesville Walmart"/>
    <hyperlink ref="E832" r:id="rId831" display="Rabbi charged with murder after man fatally struck at SoCal Costco"/>
    <hyperlink ref="E833" r:id="rId832" display="Analysts Conflicted on These Financial Names: SLR Investment Corp. (SLRC) and CME Group (CME)"/>
    <hyperlink ref="E834" r:id="rId833" display="Severe Thunderstorm Watch Issued for Parts of New Mexico and Texas Until 10 PM MDT"/>
    <hyperlink ref="E835" r:id="rId834" display="Capital One (COF) Stock May Be 38% Undervalued Despite Strong Q3 Earnings"/>
    <hyperlink ref="E836" r:id="rId835" display="BRZE Stock Gets Multiple Downgrades After $5.66B Salesforce Deal — Analysts See Shareholder Win, Potential Boost For Software Valuations"/>
    <hyperlink ref="E837" r:id="rId836" display="Duke Energy (NYSE:DUK): Why This Utility Looks Steady In A Shaky Market?"/>
    <hyperlink ref="E838" r:id="rId837" display="The Trade Desk: Great Tech, Bad Timing; Hold (NASDAQ:TTD)"/>
    <hyperlink ref="E839" r:id="rId838" display="Xbox COO Helen Chiang leaves Microsoft after 21 years"/>
    <hyperlink ref="E840" r:id="rId839" display="Bronstein, Gewirtz &amp; Grossman, LLC Is Investigating Merck &amp; Co., Inc. (MRK) And Encourages Stockholders to Connect"/>
    <hyperlink ref="E841" r:id="rId840" display="Labor Deal Could Change The Bull Case For Sysco (SYY)"/>
    <hyperlink ref="E842" r:id="rId841" display="Marvell Technology Faces a Multi-Front War Against Taiwan’s Custom Silicon Ecosystem"/>
    <hyperlink ref="E843" r:id="rId842" display="Apple Inc. $AAPL Stock: 4WEALTH Advisors Inc. Decreases Position"/>
    <hyperlink ref="E844" r:id="rId843" display="Wells Fargo, Intuit and 20 other companies oppose tokenized stock trading on OKX"/>
    <hyperlink ref="E845" r:id="rId844" display="HBAN Maintained by Wells Fargo -- Price Target Lowered to $19.00"/>
    <hyperlink ref="E846" r:id="rId845" display="Xbox COO Helen Chiang Leaves Microsoft Just Over Three Months After Taking the Job"/>
    <hyperlink ref="E847" r:id="rId846" display="Corning declares quarterly dividend as stock trades at EUR 110.51"/>
    <hyperlink ref="E848" r:id="rId847" display="AT&amp;T和T-Mobile收緊人工智能監管措施，而自主網絡的實現仍需數年時間"/>
    <hyperlink ref="E849" r:id="rId848" display="AT&amp;T和T-Mobile收緊人工智能監管措施，而自主網絡的實現仍需數年時間"/>
    <hyperlink ref="E850" r:id="rId849" display="Xbox’s brand-new COO already leaves Microsoft after three months"/>
    <hyperlink ref="E851" r:id="rId850" display="Boeing 777F production idle for two months: Reuters"/>
    <hyperlink ref="E852" r:id="rId851" display="2 teenage suspect arrested in Gainesville Walmart shooting"/>
    <hyperlink ref="E853" r:id="rId852" display="Microsoft Gaming Executive Helen Chiang Steps Down as Xbox COO"/>
    <hyperlink ref="E854" r:id="rId853" display="GoDaddy Revokes 404,607 SSL Certificates After Policy Errors"/>
    <hyperlink ref="E855" r:id="rId854" display="“They Need to Be Banned”: Aaron Pico Demands Punishment for Ranked UFC Fighters After TKO Win"/>
    <hyperlink ref="E856" r:id="rId855" display="What's Going on With Boeing Shares on Friday?"/>
    <hyperlink ref="E857" r:id="rId856" display="A Look at Tractor Supply Co (TSCO) After 3.8% Decline -- GF Value $57.59 vs Price $33.42"/>
    <hyperlink ref="E858" r:id="rId857" display="PRIVACY ALERT: AWKO Law LLP Investigates Quest Diagnostics for Data Breach of Patient Records"/>
    <hyperlink ref="E859" r:id="rId858" display="Emcor Group (EME) Dips More Than Broader Market: What You Should Know"/>
    <hyperlink ref="E860" r:id="rId859" display="Ventas, Inc. $VTR Stake Decreased by Robeco Institutional Asset Management B.V."/>
    <hyperlink ref="E861" r:id="rId860" display="Genuine Parts (GPC) Stock Looks Undervalued On Future Cash Flow"/>
    <hyperlink ref="E862" r:id="rId861" display="Quest Diagnostics Data Breach Exposed ‘Certain Patient Records’"/>
    <hyperlink ref="E863" r:id="rId862" display="Salesforce (NYSE:CRM): A Quality Investing Candidate With Mixed Fundamentals"/>
    <hyperlink ref="E864" r:id="rId863" display="富國銀行、Intuit等公司反對將其股份進行通證化——監管文件顯示"/>
    <hyperlink ref="E865" r:id="rId864" display="The Bank of America case makes data governance a financial crime control"/>
    <hyperlink ref="E866" r:id="rId865" display="Uber Airport Fare Scam: Delhi Man Spots Driver’s Trick To Demand Rs 1,780 Instead Of Actual Fare Of Rs 885"/>
    <hyperlink ref="E867" r:id="rId866" display="Revenue Jump Could Change The Case For EOG Resources Stock (EOG)"/>
    <hyperlink ref="E868" r:id="rId867" display="SpaceX Can't Find Spare Nvidia, Google or Amazon Chips Despite Billions to Spend, Strategist Terms It 'Pretty Insane'"/>
    <hyperlink ref="E869" r:id="rId868" display="Chevron Stock Moves Higher: What's Going On?"/>
    <hyperlink ref="E870" r:id="rId869" display="Old Dominion Freight Line, Inc. $ODFL Position Lowered by Nisa Investment Advisors LLC"/>
    <hyperlink ref="E871" r:id="rId870" display="Man sentenced to 40 years for shooting occupied FedEx truck in 2024 in Okaloosa County"/>
    <hyperlink ref="E872" r:id="rId871" display="Bla man detained under PSA, lodged in Anantnag Jail"/>
    <hyperlink ref="E873" r:id="rId872" display="“They said they’d supply Market Kurly and Starbucks” ... CEO swindles acquaintances out of 300 million won [Scammers]"/>
    <hyperlink ref="E874" r:id="rId873" display="BREAKING: CMS opens applications for nursing home staffing campaign"/>
    <hyperlink ref="E875" r:id="rId874" display="Microsoft 365 accounts compromised at 79 organizations, no passwords needed"/>
    <hyperlink ref="E876" r:id="rId875" display="Second suspect in deadly Gainesville Walmart shooting surrenders"/>
    <hyperlink ref="E877" r:id="rId876" display="The man facing murder charge in death of man near Costco gas pumps is a rabbi, records show"/>
    <hyperlink ref="E878" r:id="rId877" display="UDR (UDR) Could Be 11% Undervalued Following Its Guidance Reset"/>
    <hyperlink ref="E879" r:id="rId878" display="Consumer news: Childcare costs and Amazon holiday hiring"/>
    <hyperlink ref="E880" r:id="rId879" display="DRI Seizes Foreign Currency Worth ₹1.56 Crore at Hyderabad Airport, Two Arrested"/>
    <hyperlink ref="E881" r:id="rId880" display="Western Digital Corporation $WDC Stock: Atlatl Advisers LLC Trims Position"/>
    <hyperlink ref="E882" r:id="rId881" display="Amgen (AMGN) Draws Fresh Valuation Debate After Phase 3 TEZSPIRE Trial Results"/>
    <hyperlink ref="E883" r:id="rId882" display="Xbox's first-ever chief operating officer leaves as Microsoft gears up for next-gen Project Helix"/>
    <hyperlink ref="E884" r:id="rId883" display="Xbox COO Helen Chiang leaves Microsoft months after taking the role"/>
    <hyperlink ref="E885" r:id="rId884" display="David Tennant’s Chilling 3-Part Crime Thriller Is Officially Leaving Netflix"/>
    <hyperlink ref="E886" r:id="rId885" display="AI agents pose a threat to the business models of Amazon and Uber"/>
    <hyperlink ref="E887" r:id="rId886" display="Walmart, Best Buy and other stores now use digital price tags. Critics say they could lead to different prices for different shoppers."/>
    <hyperlink ref="E888" r:id="rId887" display="Judge Queries Class Share Of $29M AMP Class Action Deal"/>
    <hyperlink ref="E889" r:id="rId888" display="Pros react after Alexander Volkanovski TKO’s Movsar Evloev at UFC 333"/>
    <hyperlink ref="E890" r:id="rId889" display="Police Activity at McDonald's"/>
    <hyperlink ref="E891" r:id="rId890" display="Uber, Multinationals’ Exit Shows Nigeria’s Business Environment Needs Emergency Fixes – ASBON"/>
    <hyperlink ref="E892" r:id="rId891" display="Palo Alto Networks CEO Warns AI Exposes Legacy Software Flaws - Palo Alto Networks (NASDAQ:PANW)"/>
    <hyperlink ref="E893" r:id="rId892" display="Invesco QQQ $QQQ Stock Holdings Cut by Client First Capital LLC"/>
    <hyperlink ref="E894" r:id="rId893" display="Textron (TXT) Stock May Be 48% Undervalued On Fresh Cessna Order"/>
    <hyperlink ref="E895" r:id="rId894" display="TKO Could Lose Up To $90 Million If WWE Crown Jewel Is Canceled"/>
    <hyperlink ref="E896" r:id="rId895" display="PulteGroup Price Target Cut to $109.00/Share From $110.00 by Barclays"/>
    <hyperlink ref="E897" r:id="rId896" display="Netflix Leads U.S. Market, But Viewer Share is Shinking"/>
    <hyperlink ref="E898" r:id="rId897" display="Smithfield Woman, 75, Dies After Kroger Lot Crash"/>
    <hyperlink ref="E899" r:id="rId898" display="Bristol Myers Squibb (NYSE:BMY) Cut to &quot;Hold&quot; at Zacks Research"/>
    <hyperlink ref="E900" r:id="rId899" display="Tornado Warning Issued for Forrest and McAlister, New Mexico, Until 4 PM MDT"/>
    <hyperlink ref="E901" r:id="rId900" display="BlackRock (BLK) Stock Could Be 11% Undervalued Following Bitcoin ETF Filing"/>
    <hyperlink ref="E902" r:id="rId901" display="Body cam video released in deadly shooting at MS Walmart"/>
    <hyperlink ref="E903" r:id="rId902" display="大摩下調泛林集團目標價至339美元"/>
    <hyperlink ref="E904" r:id="rId903" display="Why Chipotle Mexican Grill (CMG) Dipped More Than Broader Market Today"/>
    <hyperlink ref="E905" r:id="rId904" display="Western Digital Earnings Easily Beat Estimates. Why The Stock Is Falling Anyway."/>
    <hyperlink ref="E906" r:id="rId905" display="Prologis price target lowered to $141 from $162 at Truist"/>
    <hyperlink ref="E907" r:id="rId906" display="Boston Scientific (BSX) - Portfolio Killers: 10 US stocks that wiped out up to 66% of investors’ wealth in 2026"/>
    <hyperlink ref="E908" r:id="rId907" display="Realty Income Stock Climbs Back as Treasury Yields Retreat, Yet Challenges Persist"/>
    <hyperlink ref="E909" r:id="rId908" display="Visa (V) Rumored Fireblocks Deal Denied As Digital Asset Push Keeps Building"/>
    <hyperlink ref="E910" r:id="rId909" display="Quest Diagnostics confirms data breach exposed patient records"/>
    <hyperlink ref="E911" r:id="rId910" display="Huntington Bancshares Incorporated Stock 12‑Month Price Target Cut to $18.8, Implies 20% Upside"/>
    <hyperlink ref="E912" r:id="rId911" display="Wynn Resorts commits MOP 1.37 billion. JPMorgan cuts target for Wynn Resorts stock"/>
    <hyperlink ref="E913" r:id="rId912" display="R-Calf Weekly Address–Walmart’s Beef Empire Threatens Rancher Independence"/>
    <hyperlink ref="E914" r:id="rId913" display="Is Nvidia Stock Cheaper Now That Its Multiple Has Fallen?"/>
    <hyperlink ref="E915" r:id="rId914" display="Beck family says cemetery concerns addressed two months after Walmart construction complaints"/>
    <hyperlink ref="E916" r:id="rId915" display="Comcast Co-CEO Teases Epic Universe Annual Passes"/>
    <hyperlink ref="E917" r:id="rId916" display="Huntington Bancshares price target lowered to $19 from $21 at Baird"/>
    <hyperlink ref="E918" r:id="rId917" display="Purdy To Greet At Costco | Haunted House Props Vanish | Car Slams Into Oncoming Traffic : Patch PM"/>
    <hyperlink ref="E919" r:id="rId918" display="Could Earnings Optimism Alter The Investment Case For Edison International (EIX)?"/>
    <hyperlink ref="E920" r:id="rId919" display="XBOX COO Helen Chiang Departs Microsoft After 21 Years"/>
    <hyperlink ref="E921" r:id="rId920" display="Wynn Resorts (NASDAQ:WYNN) Sets New 12-Month Low - Here's What Happened"/>
    <hyperlink ref="E922" r:id="rId921" display="WDC Maintained by Cantor Fitzgerald -- Price Target Lowered to $625"/>
    <hyperlink ref="E923" r:id="rId922" display="What Just Happened To AT&amp;T Stock?"/>
    <hyperlink ref="E924" r:id="rId923" display="What happens when a country gets kicked out of MSCI?"/>
    <hyperlink ref="E925" r:id="rId924" display="Merck &amp; Co., Inc. $MRK Stock: Investment House LLC Reduces Position"/>
    <hyperlink ref="E926" r:id="rId925" display="Crime Stoppers seeks information of four accused in Dollar General beer burglary"/>
    <hyperlink ref="E927" r:id="rId926" display="西部數據爆賺，股價卻崩了！"/>
    <hyperlink ref="E928" r:id="rId927" display="Sweden's Government Offices Block ChatGPT and Claude, Keep Microsoft Copilo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92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24"/>
    <col collapsed="false" customWidth="true" hidden="false" outlineLevel="0" max="3" min="3" style="0" width="8"/>
  </cols>
  <sheetData>
    <row r="1" customFormat="false" ht="15" hidden="false" customHeight="false" outlineLevel="0" collapsed="false">
      <c r="A1" s="25" t="s">
        <v>2857</v>
      </c>
      <c r="B1" s="26" t="s">
        <v>2858</v>
      </c>
      <c r="C1" s="25" t="s">
        <v>2859</v>
      </c>
    </row>
    <row r="2" customFormat="false" ht="15" hidden="false" customHeight="false" outlineLevel="0" collapsed="false">
      <c r="A2" s="27" t="s">
        <v>2860</v>
      </c>
      <c r="B2" s="5" t="s">
        <v>2861</v>
      </c>
      <c r="C2" s="5" t="n">
        <v>5</v>
      </c>
    </row>
    <row r="3" customFormat="false" ht="15" hidden="false" customHeight="false" outlineLevel="0" collapsed="false">
      <c r="A3" s="27" t="s">
        <v>2862</v>
      </c>
      <c r="B3" s="5" t="s">
        <v>2863</v>
      </c>
      <c r="C3" s="5" t="n">
        <v>5</v>
      </c>
    </row>
    <row r="4" customFormat="false" ht="15" hidden="false" customHeight="false" outlineLevel="0" collapsed="false">
      <c r="A4" s="27" t="s">
        <v>2864</v>
      </c>
      <c r="B4" s="5" t="s">
        <v>2865</v>
      </c>
      <c r="C4" s="5" t="n">
        <v>5</v>
      </c>
    </row>
    <row r="5" customFormat="false" ht="15" hidden="false" customHeight="false" outlineLevel="0" collapsed="false">
      <c r="A5" s="27" t="s">
        <v>2866</v>
      </c>
      <c r="B5" s="5" t="s">
        <v>2867</v>
      </c>
      <c r="C5" s="5" t="n">
        <v>5</v>
      </c>
    </row>
    <row r="6" customFormat="false" ht="15" hidden="false" customHeight="false" outlineLevel="0" collapsed="false">
      <c r="A6" s="27" t="s">
        <v>2868</v>
      </c>
      <c r="B6" s="5" t="s">
        <v>2869</v>
      </c>
      <c r="C6" s="5" t="n">
        <v>5</v>
      </c>
    </row>
    <row r="7" customFormat="false" ht="15" hidden="false" customHeight="false" outlineLevel="0" collapsed="false">
      <c r="A7" s="27" t="s">
        <v>2870</v>
      </c>
      <c r="B7" s="5" t="s">
        <v>2871</v>
      </c>
      <c r="C7" s="5" t="n">
        <v>5</v>
      </c>
    </row>
    <row r="8" customFormat="false" ht="15" hidden="false" customHeight="false" outlineLevel="0" collapsed="false">
      <c r="A8" s="27" t="s">
        <v>2872</v>
      </c>
      <c r="B8" s="5" t="s">
        <v>2873</v>
      </c>
      <c r="C8" s="5" t="n">
        <v>5</v>
      </c>
    </row>
    <row r="9" customFormat="false" ht="15" hidden="false" customHeight="false" outlineLevel="0" collapsed="false">
      <c r="A9" s="27" t="s">
        <v>2874</v>
      </c>
      <c r="B9" s="5" t="s">
        <v>2875</v>
      </c>
      <c r="C9" s="5" t="n">
        <v>4</v>
      </c>
    </row>
    <row r="10" customFormat="false" ht="15" hidden="false" customHeight="false" outlineLevel="0" collapsed="false">
      <c r="A10" s="27" t="s">
        <v>2876</v>
      </c>
      <c r="B10" s="5" t="s">
        <v>2877</v>
      </c>
      <c r="C10" s="5" t="n">
        <v>4</v>
      </c>
    </row>
    <row r="11" customFormat="false" ht="15" hidden="false" customHeight="false" outlineLevel="0" collapsed="false">
      <c r="A11" s="27" t="s">
        <v>1093</v>
      </c>
      <c r="B11" s="5" t="s">
        <v>2878</v>
      </c>
      <c r="C11" s="5" t="n">
        <v>4</v>
      </c>
    </row>
    <row r="12" customFormat="false" ht="15" hidden="false" customHeight="false" outlineLevel="0" collapsed="false">
      <c r="A12" s="27" t="s">
        <v>414</v>
      </c>
      <c r="B12" s="5" t="s">
        <v>2879</v>
      </c>
      <c r="C12" s="5" t="n">
        <v>4</v>
      </c>
    </row>
    <row r="13" customFormat="false" ht="15" hidden="false" customHeight="false" outlineLevel="0" collapsed="false">
      <c r="A13" s="27" t="s">
        <v>2880</v>
      </c>
      <c r="B13" s="5" t="s">
        <v>2881</v>
      </c>
      <c r="C13" s="5" t="n">
        <v>4</v>
      </c>
    </row>
    <row r="14" customFormat="false" ht="15" hidden="false" customHeight="false" outlineLevel="0" collapsed="false">
      <c r="A14" s="27" t="s">
        <v>2882</v>
      </c>
      <c r="B14" s="27" t="s">
        <v>2883</v>
      </c>
      <c r="C14" s="5" t="n">
        <v>4</v>
      </c>
    </row>
    <row r="15" customFormat="false" ht="15" hidden="false" customHeight="false" outlineLevel="0" collapsed="false">
      <c r="A15" s="27" t="s">
        <v>2884</v>
      </c>
      <c r="B15" s="5" t="s">
        <v>2885</v>
      </c>
      <c r="C15" s="5" t="n">
        <v>4</v>
      </c>
    </row>
    <row r="16" customFormat="false" ht="15" hidden="false" customHeight="false" outlineLevel="0" collapsed="false">
      <c r="A16" s="27" t="s">
        <v>2886</v>
      </c>
      <c r="B16" s="5" t="s">
        <v>2887</v>
      </c>
      <c r="C16" s="5" t="n">
        <v>4</v>
      </c>
    </row>
    <row r="17" customFormat="false" ht="15" hidden="false" customHeight="false" outlineLevel="0" collapsed="false">
      <c r="A17" s="27" t="s">
        <v>736</v>
      </c>
      <c r="B17" s="5" t="s">
        <v>2888</v>
      </c>
      <c r="C17" s="5" t="n">
        <v>4</v>
      </c>
    </row>
    <row r="18" customFormat="false" ht="15" hidden="false" customHeight="false" outlineLevel="0" collapsed="false">
      <c r="A18" s="27" t="s">
        <v>919</v>
      </c>
      <c r="B18" s="5" t="s">
        <v>2889</v>
      </c>
      <c r="C18" s="5" t="n">
        <v>4</v>
      </c>
    </row>
    <row r="19" customFormat="false" ht="15" hidden="false" customHeight="false" outlineLevel="0" collapsed="false">
      <c r="A19" s="27" t="s">
        <v>746</v>
      </c>
      <c r="B19" s="5" t="s">
        <v>2890</v>
      </c>
      <c r="C19" s="5" t="n">
        <v>4</v>
      </c>
    </row>
    <row r="20" customFormat="false" ht="15" hidden="false" customHeight="false" outlineLevel="0" collapsed="false">
      <c r="A20" s="27" t="s">
        <v>2891</v>
      </c>
      <c r="B20" s="5" t="s">
        <v>2892</v>
      </c>
      <c r="C20" s="5" t="n">
        <v>4</v>
      </c>
    </row>
    <row r="21" customFormat="false" ht="15" hidden="false" customHeight="false" outlineLevel="0" collapsed="false">
      <c r="A21" s="27" t="s">
        <v>2893</v>
      </c>
      <c r="B21" s="5" t="s">
        <v>2894</v>
      </c>
      <c r="C21" s="5" t="n">
        <v>4</v>
      </c>
    </row>
    <row r="22" customFormat="false" ht="15" hidden="false" customHeight="false" outlineLevel="0" collapsed="false">
      <c r="A22" s="27" t="s">
        <v>2895</v>
      </c>
      <c r="B22" s="27" t="s">
        <v>2896</v>
      </c>
      <c r="C22" s="5" t="n">
        <v>3</v>
      </c>
    </row>
    <row r="23" customFormat="false" ht="15" hidden="false" customHeight="false" outlineLevel="0" collapsed="false">
      <c r="A23" s="27" t="s">
        <v>2897</v>
      </c>
      <c r="B23" s="27" t="s">
        <v>2898</v>
      </c>
      <c r="C23" s="5" t="n">
        <v>3</v>
      </c>
    </row>
    <row r="24" customFormat="false" ht="15" hidden="false" customHeight="false" outlineLevel="0" collapsed="false">
      <c r="A24" s="27" t="s">
        <v>493</v>
      </c>
      <c r="B24" s="27" t="s">
        <v>2899</v>
      </c>
      <c r="C24" s="5" t="n">
        <v>3</v>
      </c>
    </row>
    <row r="25" customFormat="false" ht="15" hidden="false" customHeight="false" outlineLevel="0" collapsed="false">
      <c r="A25" s="27" t="s">
        <v>1619</v>
      </c>
      <c r="B25" s="5" t="s">
        <v>2900</v>
      </c>
      <c r="C25" s="5" t="n">
        <v>3</v>
      </c>
    </row>
    <row r="26" customFormat="false" ht="15" hidden="false" customHeight="false" outlineLevel="0" collapsed="false">
      <c r="A26" s="27" t="s">
        <v>357</v>
      </c>
      <c r="B26" s="5" t="s">
        <v>2901</v>
      </c>
      <c r="C26" s="5" t="n">
        <v>3</v>
      </c>
    </row>
    <row r="27" customFormat="false" ht="15" hidden="false" customHeight="false" outlineLevel="0" collapsed="false">
      <c r="A27" s="27" t="s">
        <v>259</v>
      </c>
      <c r="B27" s="5" t="s">
        <v>2902</v>
      </c>
      <c r="C27" s="5" t="n">
        <v>3</v>
      </c>
    </row>
    <row r="28" customFormat="false" ht="15" hidden="false" customHeight="false" outlineLevel="0" collapsed="false">
      <c r="A28" s="27" t="s">
        <v>336</v>
      </c>
      <c r="B28" s="5" t="s">
        <v>2903</v>
      </c>
      <c r="C28" s="5" t="n">
        <v>3</v>
      </c>
    </row>
    <row r="29" customFormat="false" ht="15" hidden="false" customHeight="false" outlineLevel="0" collapsed="false">
      <c r="A29" s="27" t="s">
        <v>2904</v>
      </c>
      <c r="B29" s="5" t="s">
        <v>2905</v>
      </c>
      <c r="C29" s="5" t="n">
        <v>3</v>
      </c>
    </row>
    <row r="30" customFormat="false" ht="15" hidden="false" customHeight="false" outlineLevel="0" collapsed="false">
      <c r="A30" s="27" t="s">
        <v>1041</v>
      </c>
      <c r="B30" s="5" t="s">
        <v>2906</v>
      </c>
      <c r="C30" s="5" t="n">
        <v>3</v>
      </c>
    </row>
    <row r="31" customFormat="false" ht="15" hidden="false" customHeight="false" outlineLevel="0" collapsed="false">
      <c r="A31" s="27" t="s">
        <v>2907</v>
      </c>
      <c r="B31" s="5" t="s">
        <v>2908</v>
      </c>
      <c r="C31" s="5" t="n">
        <v>3</v>
      </c>
    </row>
    <row r="32" customFormat="false" ht="15" hidden="false" customHeight="false" outlineLevel="0" collapsed="false">
      <c r="A32" s="27" t="s">
        <v>183</v>
      </c>
      <c r="B32" s="5" t="s">
        <v>2909</v>
      </c>
      <c r="C32" s="5" t="n">
        <v>3</v>
      </c>
    </row>
    <row r="33" customFormat="false" ht="15" hidden="false" customHeight="false" outlineLevel="0" collapsed="false">
      <c r="A33" s="27" t="s">
        <v>2910</v>
      </c>
      <c r="B33" s="5" t="s">
        <v>2911</v>
      </c>
      <c r="C33" s="5" t="n">
        <v>3</v>
      </c>
    </row>
    <row r="34" customFormat="false" ht="15" hidden="false" customHeight="false" outlineLevel="0" collapsed="false">
      <c r="A34" s="27" t="s">
        <v>667</v>
      </c>
      <c r="B34" s="5" t="s">
        <v>2912</v>
      </c>
      <c r="C34" s="5" t="n">
        <v>3</v>
      </c>
    </row>
    <row r="35" customFormat="false" ht="15" hidden="false" customHeight="false" outlineLevel="0" collapsed="false">
      <c r="A35" s="27" t="s">
        <v>2913</v>
      </c>
      <c r="B35" s="5" t="s">
        <v>2914</v>
      </c>
      <c r="C35" s="5" t="n">
        <v>3</v>
      </c>
    </row>
    <row r="36" customFormat="false" ht="15" hidden="false" customHeight="false" outlineLevel="0" collapsed="false">
      <c r="A36" s="27" t="s">
        <v>2915</v>
      </c>
      <c r="B36" s="5" t="s">
        <v>2916</v>
      </c>
      <c r="C36" s="5" t="n">
        <v>3</v>
      </c>
    </row>
    <row r="37" customFormat="false" ht="15" hidden="false" customHeight="false" outlineLevel="0" collapsed="false">
      <c r="A37" s="27" t="s">
        <v>2917</v>
      </c>
      <c r="B37" s="5" t="s">
        <v>2918</v>
      </c>
      <c r="C37" s="5" t="n">
        <v>3</v>
      </c>
    </row>
    <row r="38" customFormat="false" ht="15" hidden="false" customHeight="false" outlineLevel="0" collapsed="false">
      <c r="A38" s="27" t="s">
        <v>2919</v>
      </c>
      <c r="B38" s="5" t="s">
        <v>2920</v>
      </c>
      <c r="C38" s="5" t="n">
        <v>3</v>
      </c>
    </row>
    <row r="39" customFormat="false" ht="15" hidden="false" customHeight="false" outlineLevel="0" collapsed="false">
      <c r="A39" s="27" t="s">
        <v>61</v>
      </c>
      <c r="B39" s="5" t="s">
        <v>2921</v>
      </c>
      <c r="C39" s="5" t="n">
        <v>3</v>
      </c>
    </row>
    <row r="40" customFormat="false" ht="15" hidden="false" customHeight="false" outlineLevel="0" collapsed="false">
      <c r="A40" s="27" t="s">
        <v>264</v>
      </c>
      <c r="B40" s="5" t="s">
        <v>2922</v>
      </c>
      <c r="C40" s="5" t="n">
        <v>2</v>
      </c>
    </row>
    <row r="41" customFormat="false" ht="15" hidden="false" customHeight="false" outlineLevel="0" collapsed="false">
      <c r="A41" s="27" t="s">
        <v>2923</v>
      </c>
      <c r="B41" s="5" t="s">
        <v>2924</v>
      </c>
      <c r="C41" s="5" t="n">
        <v>2</v>
      </c>
    </row>
    <row r="42" customFormat="false" ht="15" hidden="false" customHeight="false" outlineLevel="0" collapsed="false">
      <c r="A42" s="27" t="s">
        <v>2925</v>
      </c>
      <c r="B42" s="5" t="s">
        <v>2926</v>
      </c>
      <c r="C42" s="5" t="n">
        <v>2</v>
      </c>
    </row>
    <row r="43" customFormat="false" ht="15" hidden="false" customHeight="false" outlineLevel="0" collapsed="false">
      <c r="A43" s="27" t="s">
        <v>350</v>
      </c>
      <c r="B43" s="5" t="s">
        <v>2927</v>
      </c>
      <c r="C43" s="5" t="n">
        <v>2</v>
      </c>
    </row>
    <row r="44" customFormat="false" ht="15" hidden="false" customHeight="false" outlineLevel="0" collapsed="false">
      <c r="A44" s="27" t="s">
        <v>699</v>
      </c>
      <c r="B44" s="5" t="s">
        <v>2928</v>
      </c>
      <c r="C44" s="5" t="n">
        <v>2</v>
      </c>
    </row>
    <row r="45" customFormat="false" ht="15" hidden="false" customHeight="false" outlineLevel="0" collapsed="false">
      <c r="A45" s="27" t="s">
        <v>2929</v>
      </c>
      <c r="B45" s="5" t="s">
        <v>2930</v>
      </c>
      <c r="C45" s="5" t="n">
        <v>2</v>
      </c>
    </row>
    <row r="46" customFormat="false" ht="15" hidden="false" customHeight="false" outlineLevel="0" collapsed="false">
      <c r="A46" s="27" t="s">
        <v>2931</v>
      </c>
      <c r="B46" s="5" t="s">
        <v>2932</v>
      </c>
      <c r="C46" s="5" t="n">
        <v>1</v>
      </c>
    </row>
    <row r="47" customFormat="false" ht="15" hidden="false" customHeight="false" outlineLevel="0" collapsed="false">
      <c r="A47" s="27" t="s">
        <v>53</v>
      </c>
      <c r="B47" s="5" t="s">
        <v>2933</v>
      </c>
      <c r="C47" s="5" t="n">
        <v>1</v>
      </c>
    </row>
    <row r="48" customFormat="false" ht="15" hidden="false" customHeight="false" outlineLevel="0" collapsed="false">
      <c r="A48" s="27" t="s">
        <v>2934</v>
      </c>
      <c r="B48" s="5" t="s">
        <v>2935</v>
      </c>
      <c r="C48" s="5" t="n">
        <v>1</v>
      </c>
    </row>
    <row r="49" customFormat="false" ht="15" hidden="false" customHeight="false" outlineLevel="0" collapsed="false">
      <c r="A49" s="27" t="s">
        <v>2936</v>
      </c>
      <c r="B49" s="5" t="s">
        <v>2937</v>
      </c>
      <c r="C49" s="5" t="n">
        <v>1</v>
      </c>
    </row>
    <row r="50" customFormat="false" ht="15" hidden="false" customHeight="false" outlineLevel="0" collapsed="false">
      <c r="A50" s="27" t="s">
        <v>2938</v>
      </c>
      <c r="B50" s="5" t="s">
        <v>2939</v>
      </c>
      <c r="C50" s="5" t="n">
        <v>0</v>
      </c>
    </row>
    <row r="51" customFormat="false" ht="15" hidden="false" customHeight="false" outlineLevel="0" collapsed="false">
      <c r="A51" s="27" t="s">
        <v>2940</v>
      </c>
      <c r="B51" s="5" t="s">
        <v>2941</v>
      </c>
      <c r="C51" s="5" t="n">
        <v>0</v>
      </c>
    </row>
    <row r="52" customFormat="false" ht="15" hidden="false" customHeight="false" outlineLevel="0" collapsed="false">
      <c r="A52" s="27" t="s">
        <v>2942</v>
      </c>
      <c r="B52" s="5" t="s">
        <v>2943</v>
      </c>
      <c r="C52" s="5" t="n">
        <v>0</v>
      </c>
    </row>
    <row r="53" customFormat="false" ht="15" hidden="false" customHeight="false" outlineLevel="0" collapsed="false">
      <c r="A53" s="27" t="s">
        <v>2944</v>
      </c>
      <c r="B53" s="5" t="s">
        <v>2945</v>
      </c>
      <c r="C53" s="5" t="n">
        <v>0</v>
      </c>
    </row>
    <row r="55" customFormat="false" ht="15" hidden="false" customHeight="false" outlineLevel="0" collapsed="false">
      <c r="A55" s="28" t="s">
        <v>2946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2026-10-26T07:58:00Z</dcterms:created>
  <dc:creator>openpyxl</dc:creator>
  <dc:description/>
  <dc:language>en-US</dc:language>
  <cp:lastModifiedBy/>
  <dcterms:modified xsi:type="dcterms:W3CDTF">2026-10-26T07:58:03Z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